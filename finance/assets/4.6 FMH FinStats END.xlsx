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002EB5C8-C84A-47CD-8A6C-2BB9BA76A3F6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Equity" sheetId="280" r:id="rId3"/>
    <sheet name="FS Qtr" sheetId="265" r:id="rId4"/>
    <sheet name="FS Ann" sheetId="277" r:id="rId5"/>
    <sheet name="Output" sheetId="269" r:id="rId6"/>
    <sheet name="Check" sheetId="264" r:id="rId7"/>
    <sheet name="Tmp" sheetId="275" r:id="rId8"/>
  </sheets>
  <definedNames>
    <definedName name="BaseCaseIndicator">InpC!$J$7:$S$7</definedName>
    <definedName name="CASE_ACTIVE">InpC!$F$4</definedName>
    <definedName name="CHK_TOL">InpC!$F$28</definedName>
    <definedName name="InputRowTemplate">InpC!$E$41:$S$41</definedName>
    <definedName name="InputStored">InpC!$J$3:$S$3</definedName>
    <definedName name="SMU">InpC!$F$31</definedName>
    <definedName name="TrackActive">Output!$H$5</definedName>
    <definedName name="TrackLiveResults">Output!$H$6:$H$71</definedName>
    <definedName name="TrackStoredResults">Output!$M$5:$Q$5</definedName>
    <definedName name="TRK_TOL">InpC!$F$27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3" i="265" l="1"/>
  <c r="F63" i="265"/>
  <c r="G63" i="265"/>
  <c r="H63" i="265"/>
  <c r="I63" i="265"/>
  <c r="J63" i="265"/>
  <c r="K63" i="265"/>
  <c r="L63" i="265"/>
  <c r="M63" i="265"/>
  <c r="N63" i="265"/>
  <c r="O63" i="265"/>
  <c r="P63" i="265"/>
  <c r="Q63" i="265"/>
  <c r="R63" i="265"/>
  <c r="S63" i="265"/>
  <c r="T63" i="265"/>
  <c r="U63" i="265"/>
  <c r="V63" i="265"/>
  <c r="W63" i="265"/>
  <c r="X63" i="265"/>
  <c r="Y63" i="265"/>
  <c r="Z63" i="265"/>
  <c r="AA63" i="265"/>
  <c r="AB63" i="265"/>
  <c r="AC63" i="265"/>
  <c r="AD63" i="265"/>
  <c r="AE63" i="265"/>
  <c r="AF63" i="265"/>
  <c r="AG63" i="265"/>
  <c r="AH63" i="265"/>
  <c r="AI63" i="265"/>
  <c r="AJ63" i="265"/>
  <c r="AK63" i="265"/>
  <c r="AL63" i="265"/>
  <c r="AM63" i="265"/>
  <c r="AN63" i="265"/>
  <c r="AO63" i="265"/>
  <c r="AP63" i="265"/>
  <c r="AQ63" i="265"/>
  <c r="AR63" i="265"/>
  <c r="AS63" i="265"/>
  <c r="AT63" i="265"/>
  <c r="AU63" i="265"/>
  <c r="AV63" i="265"/>
  <c r="AW63" i="265"/>
  <c r="AX63" i="265"/>
  <c r="AY63" i="265"/>
  <c r="AZ63" i="265"/>
  <c r="BA63" i="265"/>
  <c r="BB63" i="265"/>
  <c r="BC63" i="265"/>
  <c r="BD63" i="265"/>
  <c r="BE63" i="265"/>
  <c r="BF63" i="265"/>
  <c r="BG63" i="265"/>
  <c r="BH63" i="265"/>
  <c r="BI63" i="265"/>
  <c r="BJ63" i="265"/>
  <c r="BK63" i="265"/>
  <c r="BL63" i="265"/>
  <c r="BM63" i="265"/>
  <c r="BN63" i="265"/>
  <c r="BO63" i="265"/>
  <c r="BP63" i="265"/>
  <c r="BQ63" i="265"/>
  <c r="BR63" i="265"/>
  <c r="BS63" i="265"/>
  <c r="BT63" i="265"/>
  <c r="BU63" i="265"/>
  <c r="BV63" i="265"/>
  <c r="BW63" i="265"/>
  <c r="BX63" i="265"/>
  <c r="BY63" i="265"/>
  <c r="BZ63" i="265"/>
  <c r="CA63" i="265"/>
  <c r="CB63" i="265"/>
  <c r="CC63" i="265"/>
  <c r="CD63" i="265"/>
  <c r="CE63" i="265"/>
  <c r="CF63" i="265"/>
  <c r="CG63" i="265"/>
  <c r="CH63" i="265"/>
  <c r="CI63" i="265"/>
  <c r="CJ63" i="265"/>
  <c r="CK63" i="265"/>
  <c r="CL63" i="265"/>
  <c r="CM63" i="265"/>
  <c r="CN63" i="265"/>
  <c r="CO63" i="265"/>
  <c r="CP63" i="265"/>
  <c r="CQ63" i="265"/>
  <c r="CR63" i="265"/>
  <c r="CS63" i="265"/>
  <c r="CT63" i="265"/>
  <c r="CU63" i="265"/>
  <c r="CV63" i="265"/>
  <c r="CW63" i="265"/>
  <c r="CX63" i="265"/>
  <c r="CY63" i="265"/>
  <c r="CZ63" i="265"/>
  <c r="DA63" i="265"/>
  <c r="DB63" i="265"/>
  <c r="DC63" i="265"/>
  <c r="DD63" i="265"/>
  <c r="DE63" i="265"/>
  <c r="DF63" i="265"/>
  <c r="DG63" i="265"/>
  <c r="DH63" i="265"/>
  <c r="DI63" i="265"/>
  <c r="DJ63" i="265"/>
  <c r="DK63" i="265"/>
  <c r="DL63" i="265"/>
  <c r="DM63" i="265"/>
  <c r="DN63" i="265"/>
  <c r="DO63" i="265"/>
  <c r="DP63" i="265"/>
  <c r="DQ63" i="265"/>
  <c r="DR63" i="265"/>
  <c r="DS63" i="265"/>
  <c r="DT63" i="265"/>
  <c r="DU63" i="265"/>
  <c r="DV63" i="265"/>
  <c r="DW63" i="265"/>
  <c r="DX63" i="265"/>
  <c r="DY63" i="265"/>
  <c r="DZ63" i="265"/>
  <c r="EA63" i="265"/>
  <c r="E74" i="265"/>
  <c r="F74" i="265"/>
  <c r="G74" i="265"/>
  <c r="H74" i="265"/>
  <c r="I74" i="265"/>
  <c r="J74" i="265"/>
  <c r="K74" i="265"/>
  <c r="L74" i="265"/>
  <c r="M74" i="265"/>
  <c r="N74" i="265"/>
  <c r="O74" i="265"/>
  <c r="P74" i="265"/>
  <c r="Q74" i="265"/>
  <c r="R74" i="265"/>
  <c r="S74" i="265"/>
  <c r="T74" i="265"/>
  <c r="U74" i="265"/>
  <c r="V74" i="265"/>
  <c r="W74" i="265"/>
  <c r="X74" i="265"/>
  <c r="Y74" i="265"/>
  <c r="Z74" i="265"/>
  <c r="AA74" i="265"/>
  <c r="AB74" i="265"/>
  <c r="AC74" i="265"/>
  <c r="AD74" i="265"/>
  <c r="AE74" i="265"/>
  <c r="AF74" i="265"/>
  <c r="AG74" i="265"/>
  <c r="AH74" i="265"/>
  <c r="AI74" i="265"/>
  <c r="AJ74" i="265"/>
  <c r="AK74" i="265"/>
  <c r="AL74" i="265"/>
  <c r="AM74" i="265"/>
  <c r="AN74" i="265"/>
  <c r="AO74" i="265"/>
  <c r="AP74" i="265"/>
  <c r="AQ74" i="265"/>
  <c r="AR74" i="265"/>
  <c r="AS74" i="265"/>
  <c r="AT74" i="265"/>
  <c r="AU74" i="265"/>
  <c r="AV74" i="265"/>
  <c r="AW74" i="265"/>
  <c r="AX74" i="265"/>
  <c r="AY74" i="265"/>
  <c r="AZ74" i="265"/>
  <c r="BA74" i="265"/>
  <c r="BB74" i="265"/>
  <c r="BC74" i="265"/>
  <c r="BD74" i="265"/>
  <c r="BE74" i="265"/>
  <c r="BF74" i="265"/>
  <c r="BG74" i="265"/>
  <c r="BH74" i="265"/>
  <c r="BI74" i="265"/>
  <c r="BJ74" i="265"/>
  <c r="BK74" i="265"/>
  <c r="BL74" i="265"/>
  <c r="BM74" i="265"/>
  <c r="BN74" i="265"/>
  <c r="BO74" i="265"/>
  <c r="BP74" i="265"/>
  <c r="BQ74" i="265"/>
  <c r="BR74" i="265"/>
  <c r="BS74" i="265"/>
  <c r="BT74" i="265"/>
  <c r="BU74" i="265"/>
  <c r="BV74" i="265"/>
  <c r="BW74" i="265"/>
  <c r="BX74" i="265"/>
  <c r="BY74" i="265"/>
  <c r="BZ74" i="265"/>
  <c r="CA74" i="265"/>
  <c r="CB74" i="265"/>
  <c r="CC74" i="265"/>
  <c r="CD74" i="265"/>
  <c r="CE74" i="265"/>
  <c r="CF74" i="265"/>
  <c r="CG74" i="265"/>
  <c r="CH74" i="265"/>
  <c r="CI74" i="265"/>
  <c r="CJ74" i="265"/>
  <c r="CK74" i="265"/>
  <c r="CL74" i="265"/>
  <c r="CM74" i="265"/>
  <c r="CN74" i="265"/>
  <c r="CO74" i="265"/>
  <c r="CP74" i="265"/>
  <c r="CQ74" i="265"/>
  <c r="CR74" i="265"/>
  <c r="CS74" i="265"/>
  <c r="CT74" i="265"/>
  <c r="CU74" i="265"/>
  <c r="CV74" i="265"/>
  <c r="CW74" i="265"/>
  <c r="CX74" i="265"/>
  <c r="CY74" i="265"/>
  <c r="CZ74" i="265"/>
  <c r="DA74" i="265"/>
  <c r="DB74" i="265"/>
  <c r="DC74" i="265"/>
  <c r="DD74" i="265"/>
  <c r="DE74" i="265"/>
  <c r="DF74" i="265"/>
  <c r="DG74" i="265"/>
  <c r="DH74" i="265"/>
  <c r="DI74" i="265"/>
  <c r="DJ74" i="265"/>
  <c r="DK74" i="265"/>
  <c r="DL74" i="265"/>
  <c r="DM74" i="265"/>
  <c r="DN74" i="265"/>
  <c r="DO74" i="265"/>
  <c r="DP74" i="265"/>
  <c r="DQ74" i="265"/>
  <c r="DR74" i="265"/>
  <c r="DS74" i="265"/>
  <c r="DT74" i="265"/>
  <c r="DU74" i="265"/>
  <c r="DV74" i="265"/>
  <c r="DW74" i="265"/>
  <c r="DX74" i="265"/>
  <c r="DY74" i="265"/>
  <c r="DZ74" i="265"/>
  <c r="EA74" i="265"/>
  <c r="E25" i="280"/>
  <c r="F25" i="280"/>
  <c r="G25" i="280"/>
  <c r="H25" i="280"/>
  <c r="I25" i="280"/>
  <c r="J25" i="280"/>
  <c r="K25" i="280"/>
  <c r="L25" i="280"/>
  <c r="M25" i="280"/>
  <c r="N25" i="280"/>
  <c r="O25" i="280"/>
  <c r="P25" i="280"/>
  <c r="Q25" i="280"/>
  <c r="R25" i="280"/>
  <c r="S25" i="280"/>
  <c r="T25" i="280"/>
  <c r="U25" i="280"/>
  <c r="V25" i="280"/>
  <c r="W25" i="280"/>
  <c r="X25" i="280"/>
  <c r="Y25" i="280"/>
  <c r="Z25" i="280"/>
  <c r="AA25" i="280"/>
  <c r="AB25" i="280"/>
  <c r="AC25" i="280"/>
  <c r="AD25" i="280"/>
  <c r="AE25" i="280"/>
  <c r="AF25" i="280"/>
  <c r="AG25" i="280"/>
  <c r="AH25" i="280"/>
  <c r="AI25" i="280"/>
  <c r="AJ25" i="280"/>
  <c r="AK25" i="280"/>
  <c r="AL25" i="280"/>
  <c r="AM25" i="280"/>
  <c r="AN25" i="280"/>
  <c r="AO25" i="280"/>
  <c r="AP25" i="280"/>
  <c r="AQ25" i="280"/>
  <c r="AR25" i="280"/>
  <c r="AS25" i="280"/>
  <c r="AT25" i="280"/>
  <c r="AU25" i="280"/>
  <c r="AV25" i="280"/>
  <c r="AW25" i="280"/>
  <c r="AX25" i="280"/>
  <c r="AY25" i="280"/>
  <c r="AZ25" i="280"/>
  <c r="BA25" i="280"/>
  <c r="BB25" i="280"/>
  <c r="BC25" i="280"/>
  <c r="BD25" i="280"/>
  <c r="BE25" i="280"/>
  <c r="BF25" i="280"/>
  <c r="BG25" i="280"/>
  <c r="BH25" i="280"/>
  <c r="BI25" i="280"/>
  <c r="BJ25" i="280"/>
  <c r="BK25" i="280"/>
  <c r="BL25" i="280"/>
  <c r="BM25" i="280"/>
  <c r="BN25" i="280"/>
  <c r="BO25" i="280"/>
  <c r="BP25" i="280"/>
  <c r="BQ25" i="280"/>
  <c r="BR25" i="280"/>
  <c r="BS25" i="280"/>
  <c r="BT25" i="280"/>
  <c r="BU25" i="280"/>
  <c r="BV25" i="280"/>
  <c r="BW25" i="280"/>
  <c r="BX25" i="280"/>
  <c r="BY25" i="280"/>
  <c r="BZ25" i="280"/>
  <c r="CA25" i="280"/>
  <c r="CB25" i="280"/>
  <c r="CC25" i="280"/>
  <c r="CD25" i="280"/>
  <c r="CE25" i="280"/>
  <c r="CF25" i="280"/>
  <c r="CG25" i="280"/>
  <c r="CH25" i="280"/>
  <c r="CI25" i="280"/>
  <c r="CJ25" i="280"/>
  <c r="CK25" i="280"/>
  <c r="CL25" i="280"/>
  <c r="CM25" i="280"/>
  <c r="CN25" i="280"/>
  <c r="CO25" i="280"/>
  <c r="CP25" i="280"/>
  <c r="CQ25" i="280"/>
  <c r="CR25" i="280"/>
  <c r="CS25" i="280"/>
  <c r="CT25" i="280"/>
  <c r="CU25" i="280"/>
  <c r="CV25" i="280"/>
  <c r="CW25" i="280"/>
  <c r="CX25" i="280"/>
  <c r="CY25" i="280"/>
  <c r="CZ25" i="280"/>
  <c r="DA25" i="280"/>
  <c r="DB25" i="280"/>
  <c r="DC25" i="280"/>
  <c r="DD25" i="280"/>
  <c r="DE25" i="280"/>
  <c r="DF25" i="280"/>
  <c r="DG25" i="280"/>
  <c r="DH25" i="280"/>
  <c r="DI25" i="280"/>
  <c r="DJ25" i="280"/>
  <c r="DK25" i="280"/>
  <c r="DL25" i="280"/>
  <c r="DM25" i="280"/>
  <c r="DN25" i="280"/>
  <c r="DO25" i="280"/>
  <c r="DP25" i="280"/>
  <c r="DQ25" i="280"/>
  <c r="DR25" i="280"/>
  <c r="DS25" i="280"/>
  <c r="DT25" i="280"/>
  <c r="DU25" i="280"/>
  <c r="DV25" i="280"/>
  <c r="DW25" i="280"/>
  <c r="DX25" i="280"/>
  <c r="DY25" i="280"/>
  <c r="DZ25" i="280"/>
  <c r="EA25" i="280"/>
  <c r="E14" i="280"/>
  <c r="F14" i="280"/>
  <c r="G14" i="280"/>
  <c r="H14" i="280"/>
  <c r="I14" i="280"/>
  <c r="J14" i="280"/>
  <c r="K14" i="280"/>
  <c r="L14" i="280"/>
  <c r="M14" i="280"/>
  <c r="N14" i="280"/>
  <c r="O14" i="280"/>
  <c r="P14" i="280"/>
  <c r="Q14" i="280"/>
  <c r="R14" i="280"/>
  <c r="S14" i="280"/>
  <c r="T14" i="280"/>
  <c r="U14" i="280"/>
  <c r="V14" i="280"/>
  <c r="W14" i="280"/>
  <c r="X14" i="280"/>
  <c r="Y14" i="280"/>
  <c r="Z14" i="280"/>
  <c r="AA14" i="280"/>
  <c r="AB14" i="280"/>
  <c r="AC14" i="280"/>
  <c r="AD14" i="280"/>
  <c r="AE14" i="280"/>
  <c r="AF14" i="280"/>
  <c r="AG14" i="280"/>
  <c r="AH14" i="280"/>
  <c r="AI14" i="280"/>
  <c r="AJ14" i="280"/>
  <c r="AK14" i="280"/>
  <c r="AL14" i="280"/>
  <c r="AM14" i="280"/>
  <c r="AN14" i="280"/>
  <c r="AO14" i="280"/>
  <c r="AP14" i="280"/>
  <c r="AQ14" i="280"/>
  <c r="AR14" i="280"/>
  <c r="AS14" i="280"/>
  <c r="AT14" i="280"/>
  <c r="AU14" i="280"/>
  <c r="AV14" i="280"/>
  <c r="AW14" i="280"/>
  <c r="AX14" i="280"/>
  <c r="AY14" i="280"/>
  <c r="AZ14" i="280"/>
  <c r="BA14" i="280"/>
  <c r="BB14" i="280"/>
  <c r="BC14" i="280"/>
  <c r="BD14" i="280"/>
  <c r="BE14" i="280"/>
  <c r="BF14" i="280"/>
  <c r="BG14" i="280"/>
  <c r="BH14" i="280"/>
  <c r="BI14" i="280"/>
  <c r="BJ14" i="280"/>
  <c r="BK14" i="280"/>
  <c r="BL14" i="280"/>
  <c r="BM14" i="280"/>
  <c r="BN14" i="280"/>
  <c r="BO14" i="280"/>
  <c r="BP14" i="280"/>
  <c r="BQ14" i="280"/>
  <c r="BR14" i="280"/>
  <c r="BS14" i="280"/>
  <c r="BT14" i="280"/>
  <c r="BU14" i="280"/>
  <c r="BV14" i="280"/>
  <c r="BW14" i="280"/>
  <c r="BX14" i="280"/>
  <c r="BY14" i="280"/>
  <c r="BZ14" i="280"/>
  <c r="CA14" i="280"/>
  <c r="CB14" i="280"/>
  <c r="CC14" i="280"/>
  <c r="CD14" i="280"/>
  <c r="CE14" i="280"/>
  <c r="CF14" i="280"/>
  <c r="CG14" i="280"/>
  <c r="CH14" i="280"/>
  <c r="CI14" i="280"/>
  <c r="CJ14" i="280"/>
  <c r="CK14" i="280"/>
  <c r="CL14" i="280"/>
  <c r="CM14" i="280"/>
  <c r="CN14" i="280"/>
  <c r="CO14" i="280"/>
  <c r="CP14" i="280"/>
  <c r="CQ14" i="280"/>
  <c r="CR14" i="280"/>
  <c r="CS14" i="280"/>
  <c r="CT14" i="280"/>
  <c r="CU14" i="280"/>
  <c r="CV14" i="280"/>
  <c r="CW14" i="280"/>
  <c r="CX14" i="280"/>
  <c r="CY14" i="280"/>
  <c r="CZ14" i="280"/>
  <c r="DA14" i="280"/>
  <c r="DB14" i="280"/>
  <c r="DC14" i="280"/>
  <c r="DD14" i="280"/>
  <c r="DE14" i="280"/>
  <c r="DF14" i="280"/>
  <c r="DG14" i="280"/>
  <c r="DH14" i="280"/>
  <c r="DI14" i="280"/>
  <c r="DJ14" i="280"/>
  <c r="DK14" i="280"/>
  <c r="DL14" i="280"/>
  <c r="DM14" i="280"/>
  <c r="DN14" i="280"/>
  <c r="DO14" i="280"/>
  <c r="DP14" i="280"/>
  <c r="DQ14" i="280"/>
  <c r="DR14" i="280"/>
  <c r="DS14" i="280"/>
  <c r="DT14" i="280"/>
  <c r="DU14" i="280"/>
  <c r="DV14" i="280"/>
  <c r="DW14" i="280"/>
  <c r="DX14" i="280"/>
  <c r="DY14" i="280"/>
  <c r="DZ14" i="280"/>
  <c r="EA14" i="280"/>
  <c r="EA22" i="280"/>
  <c r="DZ22" i="280"/>
  <c r="DY22" i="280"/>
  <c r="DX22" i="280"/>
  <c r="DW22" i="280"/>
  <c r="DV22" i="280"/>
  <c r="DU22" i="280"/>
  <c r="DT22" i="280"/>
  <c r="DS22" i="280"/>
  <c r="DR22" i="280"/>
  <c r="DQ22" i="280"/>
  <c r="DP22" i="280"/>
  <c r="DO22" i="280"/>
  <c r="DN22" i="280"/>
  <c r="DM22" i="280"/>
  <c r="DL22" i="280"/>
  <c r="DK22" i="280"/>
  <c r="DJ22" i="280"/>
  <c r="DI22" i="280"/>
  <c r="DH22" i="280"/>
  <c r="DG22" i="280"/>
  <c r="DF22" i="280"/>
  <c r="DE22" i="280"/>
  <c r="DD22" i="280"/>
  <c r="DC22" i="280"/>
  <c r="DB22" i="280"/>
  <c r="DA22" i="280"/>
  <c r="CZ22" i="280"/>
  <c r="CY22" i="280"/>
  <c r="CX22" i="280"/>
  <c r="CW22" i="280"/>
  <c r="CV22" i="280"/>
  <c r="CU22" i="280"/>
  <c r="CT22" i="280"/>
  <c r="CS22" i="280"/>
  <c r="CR22" i="280"/>
  <c r="CQ22" i="280"/>
  <c r="CP22" i="280"/>
  <c r="CO22" i="280"/>
  <c r="CN22" i="280"/>
  <c r="CM22" i="280"/>
  <c r="CL22" i="280"/>
  <c r="CK22" i="280"/>
  <c r="CJ22" i="280"/>
  <c r="CI22" i="280"/>
  <c r="CH22" i="280"/>
  <c r="CG22" i="280"/>
  <c r="CF22" i="280"/>
  <c r="CE22" i="280"/>
  <c r="CD22" i="280"/>
  <c r="CC22" i="280"/>
  <c r="CB22" i="280"/>
  <c r="CA22" i="280"/>
  <c r="BZ22" i="280"/>
  <c r="BY22" i="280"/>
  <c r="BX22" i="280"/>
  <c r="BW22" i="280"/>
  <c r="BV22" i="280"/>
  <c r="BU22" i="280"/>
  <c r="BT22" i="280"/>
  <c r="BS22" i="280"/>
  <c r="BR22" i="280"/>
  <c r="BQ22" i="280"/>
  <c r="BP22" i="280"/>
  <c r="BO22" i="280"/>
  <c r="BN22" i="280"/>
  <c r="BM22" i="280"/>
  <c r="BL22" i="280"/>
  <c r="BK22" i="280"/>
  <c r="BJ22" i="280"/>
  <c r="BI22" i="280"/>
  <c r="BH22" i="280"/>
  <c r="BG22" i="280"/>
  <c r="BF22" i="280"/>
  <c r="BE22" i="280"/>
  <c r="BD22" i="280"/>
  <c r="BC22" i="280"/>
  <c r="BB22" i="280"/>
  <c r="BA22" i="280"/>
  <c r="AZ22" i="280"/>
  <c r="AY22" i="280"/>
  <c r="AX22" i="280"/>
  <c r="AW22" i="280"/>
  <c r="AV22" i="280"/>
  <c r="AU22" i="280"/>
  <c r="AT22" i="280"/>
  <c r="AS22" i="280"/>
  <c r="AR22" i="280"/>
  <c r="AQ22" i="280"/>
  <c r="AP22" i="280"/>
  <c r="AO22" i="280"/>
  <c r="AN22" i="280"/>
  <c r="AM22" i="280"/>
  <c r="AL22" i="280"/>
  <c r="AK22" i="280"/>
  <c r="AJ22" i="280"/>
  <c r="AI22" i="280"/>
  <c r="AH22" i="280"/>
  <c r="AG22" i="280"/>
  <c r="AF22" i="280"/>
  <c r="AE22" i="280"/>
  <c r="AD22" i="280"/>
  <c r="AC22" i="280"/>
  <c r="AB22" i="280"/>
  <c r="AA22" i="280"/>
  <c r="Z22" i="280"/>
  <c r="Y22" i="280"/>
  <c r="X22" i="280"/>
  <c r="W22" i="280"/>
  <c r="V22" i="280"/>
  <c r="U22" i="280"/>
  <c r="T22" i="280"/>
  <c r="S22" i="280"/>
  <c r="R22" i="280"/>
  <c r="Q22" i="280"/>
  <c r="P22" i="280"/>
  <c r="O22" i="280"/>
  <c r="N22" i="280"/>
  <c r="M22" i="280"/>
  <c r="L22" i="280"/>
  <c r="K22" i="280"/>
  <c r="J22" i="280"/>
  <c r="I22" i="280"/>
  <c r="H22" i="280"/>
  <c r="G22" i="280"/>
  <c r="F22" i="280"/>
  <c r="E22" i="280"/>
  <c r="L27" i="280"/>
  <c r="M24" i="280" s="1"/>
  <c r="M27" i="280" s="1"/>
  <c r="N24" i="280" s="1"/>
  <c r="N27" i="280" s="1"/>
  <c r="O24" i="280" s="1"/>
  <c r="O27" i="280" s="1"/>
  <c r="P24" i="280" s="1"/>
  <c r="P27" i="280" s="1"/>
  <c r="Q24" i="280" s="1"/>
  <c r="Q27" i="280" s="1"/>
  <c r="R24" i="280" s="1"/>
  <c r="R27" i="280" s="1"/>
  <c r="S24" i="280" s="1"/>
  <c r="S27" i="280" s="1"/>
  <c r="T24" i="280" s="1"/>
  <c r="T27" i="280" s="1"/>
  <c r="U24" i="280" s="1"/>
  <c r="U27" i="280" s="1"/>
  <c r="V24" i="280" s="1"/>
  <c r="V27" i="280" s="1"/>
  <c r="W24" i="280" s="1"/>
  <c r="W27" i="280" s="1"/>
  <c r="X24" i="280" s="1"/>
  <c r="X27" i="280" s="1"/>
  <c r="Y24" i="280" s="1"/>
  <c r="Y27" i="280" s="1"/>
  <c r="Z24" i="280" s="1"/>
  <c r="Z27" i="280" s="1"/>
  <c r="AA24" i="280" s="1"/>
  <c r="AA27" i="280" s="1"/>
  <c r="AB24" i="280" s="1"/>
  <c r="AB27" i="280" s="1"/>
  <c r="AC24" i="280" s="1"/>
  <c r="AC27" i="280" s="1"/>
  <c r="AD24" i="280" s="1"/>
  <c r="AD27" i="280" s="1"/>
  <c r="AE24" i="280" s="1"/>
  <c r="AE27" i="280" s="1"/>
  <c r="AF24" i="280" s="1"/>
  <c r="AF27" i="280" s="1"/>
  <c r="AG24" i="280" s="1"/>
  <c r="AG27" i="280" s="1"/>
  <c r="AH24" i="280" s="1"/>
  <c r="AH27" i="280" s="1"/>
  <c r="AI24" i="280" s="1"/>
  <c r="AI27" i="280" s="1"/>
  <c r="AJ24" i="280" s="1"/>
  <c r="AJ27" i="280" s="1"/>
  <c r="AK24" i="280" s="1"/>
  <c r="AK27" i="280" s="1"/>
  <c r="AL24" i="280" s="1"/>
  <c r="AL27" i="280" s="1"/>
  <c r="AM24" i="280" s="1"/>
  <c r="AM27" i="280" s="1"/>
  <c r="AN24" i="280" s="1"/>
  <c r="AN27" i="280" s="1"/>
  <c r="AO24" i="280" s="1"/>
  <c r="AO27" i="280" s="1"/>
  <c r="AP24" i="280" s="1"/>
  <c r="AP27" i="280" s="1"/>
  <c r="AQ24" i="280" s="1"/>
  <c r="AQ27" i="280" s="1"/>
  <c r="AR24" i="280" s="1"/>
  <c r="AR27" i="280" s="1"/>
  <c r="AS24" i="280" s="1"/>
  <c r="AS27" i="280" s="1"/>
  <c r="AT24" i="280" s="1"/>
  <c r="AT27" i="280" s="1"/>
  <c r="AU24" i="280" s="1"/>
  <c r="AU27" i="280" s="1"/>
  <c r="AV24" i="280" s="1"/>
  <c r="AV27" i="280" s="1"/>
  <c r="AW24" i="280" s="1"/>
  <c r="AW27" i="280" s="1"/>
  <c r="AX24" i="280" s="1"/>
  <c r="AX27" i="280" s="1"/>
  <c r="AY24" i="280" s="1"/>
  <c r="AY27" i="280" s="1"/>
  <c r="AZ24" i="280" s="1"/>
  <c r="AZ27" i="280" s="1"/>
  <c r="BA24" i="280" s="1"/>
  <c r="BA27" i="280" s="1"/>
  <c r="BB24" i="280" s="1"/>
  <c r="BB27" i="280" s="1"/>
  <c r="BC24" i="280" s="1"/>
  <c r="BC27" i="280" s="1"/>
  <c r="BD24" i="280" s="1"/>
  <c r="BD27" i="280" s="1"/>
  <c r="BE24" i="280" s="1"/>
  <c r="BE27" i="280" s="1"/>
  <c r="BF24" i="280" s="1"/>
  <c r="BF27" i="280" s="1"/>
  <c r="BG24" i="280" s="1"/>
  <c r="BG27" i="280" s="1"/>
  <c r="BH24" i="280" s="1"/>
  <c r="BH27" i="280" s="1"/>
  <c r="BI24" i="280" s="1"/>
  <c r="BI27" i="280" s="1"/>
  <c r="BJ24" i="280" s="1"/>
  <c r="BJ27" i="280" s="1"/>
  <c r="BK24" i="280" s="1"/>
  <c r="BK27" i="280" s="1"/>
  <c r="BL24" i="280" s="1"/>
  <c r="BL27" i="280" s="1"/>
  <c r="BM24" i="280" s="1"/>
  <c r="BM27" i="280" s="1"/>
  <c r="BN24" i="280" s="1"/>
  <c r="BN27" i="280" s="1"/>
  <c r="BO24" i="280" s="1"/>
  <c r="BO27" i="280" s="1"/>
  <c r="BP24" i="280" s="1"/>
  <c r="BP27" i="280" s="1"/>
  <c r="BQ24" i="280" s="1"/>
  <c r="BQ27" i="280" s="1"/>
  <c r="BR24" i="280" s="1"/>
  <c r="BR27" i="280" s="1"/>
  <c r="BS24" i="280" s="1"/>
  <c r="BS27" i="280" s="1"/>
  <c r="BT24" i="280" s="1"/>
  <c r="BT27" i="280" s="1"/>
  <c r="BU24" i="280" s="1"/>
  <c r="BU27" i="280" s="1"/>
  <c r="BV24" i="280" s="1"/>
  <c r="BV27" i="280" s="1"/>
  <c r="BW24" i="280" s="1"/>
  <c r="BW27" i="280" s="1"/>
  <c r="BX24" i="280" s="1"/>
  <c r="BX27" i="280" s="1"/>
  <c r="BY24" i="280" s="1"/>
  <c r="BY27" i="280" s="1"/>
  <c r="BZ24" i="280" s="1"/>
  <c r="BZ27" i="280" s="1"/>
  <c r="CA24" i="280" s="1"/>
  <c r="CA27" i="280" s="1"/>
  <c r="CB24" i="280" s="1"/>
  <c r="CB27" i="280" s="1"/>
  <c r="CC24" i="280" s="1"/>
  <c r="CC27" i="280" s="1"/>
  <c r="CD24" i="280" s="1"/>
  <c r="CD27" i="280" s="1"/>
  <c r="CE24" i="280" s="1"/>
  <c r="CE27" i="280" s="1"/>
  <c r="CF24" i="280" s="1"/>
  <c r="CF27" i="280" s="1"/>
  <c r="CG24" i="280" s="1"/>
  <c r="CG27" i="280" s="1"/>
  <c r="CH24" i="280" s="1"/>
  <c r="CH27" i="280" s="1"/>
  <c r="CI24" i="280" s="1"/>
  <c r="CI27" i="280" s="1"/>
  <c r="CJ24" i="280" s="1"/>
  <c r="CJ27" i="280" s="1"/>
  <c r="CK24" i="280" s="1"/>
  <c r="CK27" i="280" s="1"/>
  <c r="CL24" i="280" s="1"/>
  <c r="CL27" i="280" s="1"/>
  <c r="CM24" i="280" s="1"/>
  <c r="CM27" i="280" s="1"/>
  <c r="CN24" i="280" s="1"/>
  <c r="CN27" i="280" s="1"/>
  <c r="CO24" i="280" s="1"/>
  <c r="CO27" i="280" s="1"/>
  <c r="CP24" i="280" s="1"/>
  <c r="CP27" i="280" s="1"/>
  <c r="CQ24" i="280" s="1"/>
  <c r="CQ27" i="280" s="1"/>
  <c r="CR24" i="280" s="1"/>
  <c r="CR27" i="280" s="1"/>
  <c r="CS24" i="280" s="1"/>
  <c r="CS27" i="280" s="1"/>
  <c r="CT24" i="280" s="1"/>
  <c r="CT27" i="280" s="1"/>
  <c r="CU24" i="280" s="1"/>
  <c r="CU27" i="280" s="1"/>
  <c r="CV24" i="280" s="1"/>
  <c r="CV27" i="280" s="1"/>
  <c r="CW24" i="280" s="1"/>
  <c r="CW27" i="280" s="1"/>
  <c r="CX24" i="280" s="1"/>
  <c r="CX27" i="280" s="1"/>
  <c r="CY24" i="280" s="1"/>
  <c r="CY27" i="280" s="1"/>
  <c r="CZ24" i="280" s="1"/>
  <c r="CZ27" i="280" s="1"/>
  <c r="DA24" i="280" s="1"/>
  <c r="DA27" i="280" s="1"/>
  <c r="DB24" i="280" s="1"/>
  <c r="DB27" i="280" s="1"/>
  <c r="DC24" i="280" s="1"/>
  <c r="DC27" i="280" s="1"/>
  <c r="DD24" i="280" s="1"/>
  <c r="DD27" i="280" s="1"/>
  <c r="DE24" i="280" s="1"/>
  <c r="DE27" i="280" s="1"/>
  <c r="DF24" i="280" s="1"/>
  <c r="DF27" i="280" s="1"/>
  <c r="DG24" i="280" s="1"/>
  <c r="DG27" i="280" s="1"/>
  <c r="DH24" i="280" s="1"/>
  <c r="DH27" i="280" s="1"/>
  <c r="DI24" i="280" s="1"/>
  <c r="DI27" i="280" s="1"/>
  <c r="DJ24" i="280" s="1"/>
  <c r="DJ27" i="280" s="1"/>
  <c r="DK24" i="280" s="1"/>
  <c r="DK27" i="280" s="1"/>
  <c r="DL24" i="280" s="1"/>
  <c r="DL27" i="280" s="1"/>
  <c r="DM24" i="280" s="1"/>
  <c r="DM27" i="280" s="1"/>
  <c r="DN24" i="280" s="1"/>
  <c r="DN27" i="280" s="1"/>
  <c r="DO24" i="280" s="1"/>
  <c r="DO27" i="280" s="1"/>
  <c r="DP24" i="280" s="1"/>
  <c r="DP27" i="280" s="1"/>
  <c r="DQ24" i="280" s="1"/>
  <c r="DQ27" i="280" s="1"/>
  <c r="DR24" i="280" s="1"/>
  <c r="DR27" i="280" s="1"/>
  <c r="DS24" i="280" s="1"/>
  <c r="DS27" i="280" s="1"/>
  <c r="DT24" i="280" s="1"/>
  <c r="DT27" i="280" s="1"/>
  <c r="DU24" i="280" s="1"/>
  <c r="DU27" i="280" s="1"/>
  <c r="DV24" i="280" s="1"/>
  <c r="DV27" i="280" s="1"/>
  <c r="DW24" i="280" s="1"/>
  <c r="DW27" i="280" s="1"/>
  <c r="DX24" i="280" s="1"/>
  <c r="DX27" i="280" s="1"/>
  <c r="DY24" i="280" s="1"/>
  <c r="DY27" i="280" s="1"/>
  <c r="DZ24" i="280" s="1"/>
  <c r="DZ27" i="280" s="1"/>
  <c r="EA24" i="280" s="1"/>
  <c r="EA27" i="280" s="1"/>
  <c r="G27" i="280"/>
  <c r="J24" i="280"/>
  <c r="J27" i="280" s="1"/>
  <c r="K24" i="280" s="1"/>
  <c r="K27" i="280" s="1"/>
  <c r="L24" i="280" s="1"/>
  <c r="G24" i="280"/>
  <c r="G21" i="280"/>
  <c r="G16" i="280"/>
  <c r="J13" i="280"/>
  <c r="G13" i="280"/>
  <c r="EA11" i="280"/>
  <c r="DZ11" i="280"/>
  <c r="DY11" i="280"/>
  <c r="DX11" i="280"/>
  <c r="DW11" i="280"/>
  <c r="DV11" i="280"/>
  <c r="DU11" i="280"/>
  <c r="DT11" i="280"/>
  <c r="DS11" i="280"/>
  <c r="DR11" i="280"/>
  <c r="DQ11" i="280"/>
  <c r="DP11" i="280"/>
  <c r="DO11" i="280"/>
  <c r="DN11" i="280"/>
  <c r="DM11" i="280"/>
  <c r="DL11" i="280"/>
  <c r="DK11" i="280"/>
  <c r="DJ11" i="280"/>
  <c r="DI11" i="280"/>
  <c r="DH11" i="280"/>
  <c r="DG11" i="280"/>
  <c r="DF11" i="280"/>
  <c r="DE11" i="280"/>
  <c r="DD11" i="280"/>
  <c r="DC11" i="280"/>
  <c r="DB11" i="280"/>
  <c r="DA11" i="280"/>
  <c r="CZ11" i="280"/>
  <c r="CY11" i="280"/>
  <c r="CX11" i="280"/>
  <c r="CW11" i="280"/>
  <c r="CV11" i="280"/>
  <c r="CU11" i="280"/>
  <c r="CT11" i="280"/>
  <c r="CS11" i="280"/>
  <c r="CR11" i="280"/>
  <c r="CQ11" i="280"/>
  <c r="CP11" i="280"/>
  <c r="CO11" i="280"/>
  <c r="CN11" i="280"/>
  <c r="CM11" i="280"/>
  <c r="CL11" i="280"/>
  <c r="CK11" i="280"/>
  <c r="CJ11" i="280"/>
  <c r="CI11" i="280"/>
  <c r="CH11" i="280"/>
  <c r="CG11" i="280"/>
  <c r="CF11" i="280"/>
  <c r="CE11" i="280"/>
  <c r="CD11" i="280"/>
  <c r="CC11" i="280"/>
  <c r="CB11" i="280"/>
  <c r="CA11" i="280"/>
  <c r="BZ11" i="280"/>
  <c r="BY11" i="280"/>
  <c r="BX11" i="280"/>
  <c r="BW11" i="280"/>
  <c r="BV11" i="280"/>
  <c r="BU11" i="280"/>
  <c r="BT11" i="280"/>
  <c r="BS11" i="280"/>
  <c r="BR11" i="280"/>
  <c r="BQ11" i="280"/>
  <c r="BP11" i="280"/>
  <c r="BO11" i="280"/>
  <c r="BN11" i="280"/>
  <c r="BM11" i="280"/>
  <c r="BL11" i="280"/>
  <c r="BK11" i="280"/>
  <c r="BJ11" i="280"/>
  <c r="BI11" i="280"/>
  <c r="BH11" i="280"/>
  <c r="BG11" i="280"/>
  <c r="BF11" i="280"/>
  <c r="BE11" i="280"/>
  <c r="BD11" i="280"/>
  <c r="BC11" i="280"/>
  <c r="BB11" i="280"/>
  <c r="BA11" i="280"/>
  <c r="AZ11" i="280"/>
  <c r="AY11" i="280"/>
  <c r="AX11" i="280"/>
  <c r="AW11" i="280"/>
  <c r="AV11" i="280"/>
  <c r="AU11" i="280"/>
  <c r="AT11" i="280"/>
  <c r="AS11" i="280"/>
  <c r="AR11" i="280"/>
  <c r="AQ11" i="280"/>
  <c r="AP11" i="280"/>
  <c r="AO11" i="280"/>
  <c r="AN11" i="280"/>
  <c r="AM11" i="280"/>
  <c r="AL11" i="280"/>
  <c r="AK11" i="280"/>
  <c r="AJ11" i="280"/>
  <c r="AI11" i="280"/>
  <c r="AH11" i="280"/>
  <c r="AG11" i="280"/>
  <c r="AF11" i="280"/>
  <c r="AE11" i="280"/>
  <c r="AD11" i="280"/>
  <c r="AC11" i="280"/>
  <c r="AB11" i="280"/>
  <c r="AA11" i="280"/>
  <c r="Z11" i="280"/>
  <c r="Y11" i="280"/>
  <c r="X11" i="280"/>
  <c r="W11" i="280"/>
  <c r="V11" i="280"/>
  <c r="U11" i="280"/>
  <c r="T11" i="280"/>
  <c r="S11" i="280"/>
  <c r="R11" i="280"/>
  <c r="Q11" i="280"/>
  <c r="P11" i="280"/>
  <c r="O11" i="280"/>
  <c r="N11" i="280"/>
  <c r="M11" i="280"/>
  <c r="L11" i="280"/>
  <c r="L16" i="280" s="1"/>
  <c r="M13" i="280" s="1"/>
  <c r="K11" i="280"/>
  <c r="J11" i="280"/>
  <c r="I11" i="280"/>
  <c r="H11" i="280"/>
  <c r="G11" i="280"/>
  <c r="F11" i="280"/>
  <c r="E11" i="280"/>
  <c r="G10" i="280"/>
  <c r="EA5" i="280"/>
  <c r="DZ5" i="280"/>
  <c r="DY5" i="280"/>
  <c r="DX5" i="280"/>
  <c r="DW5" i="280"/>
  <c r="DV5" i="280"/>
  <c r="DU5" i="280"/>
  <c r="DT5" i="280"/>
  <c r="DS5" i="280"/>
  <c r="DR5" i="280"/>
  <c r="DQ5" i="280"/>
  <c r="DP5" i="280"/>
  <c r="DO5" i="280"/>
  <c r="DN5" i="280"/>
  <c r="DM5" i="280"/>
  <c r="DL5" i="280"/>
  <c r="DK5" i="280"/>
  <c r="DJ5" i="280"/>
  <c r="DI5" i="280"/>
  <c r="DH5" i="280"/>
  <c r="DG5" i="280"/>
  <c r="DF5" i="280"/>
  <c r="DE5" i="280"/>
  <c r="DD5" i="280"/>
  <c r="DC5" i="280"/>
  <c r="DB5" i="280"/>
  <c r="DA5" i="280"/>
  <c r="CZ5" i="280"/>
  <c r="CY5" i="280"/>
  <c r="CX5" i="280"/>
  <c r="CW5" i="280"/>
  <c r="CV5" i="280"/>
  <c r="CU5" i="280"/>
  <c r="CT5" i="280"/>
  <c r="CS5" i="280"/>
  <c r="CR5" i="280"/>
  <c r="CQ5" i="280"/>
  <c r="CP5" i="280"/>
  <c r="CO5" i="280"/>
  <c r="CN5" i="280"/>
  <c r="CM5" i="280"/>
  <c r="CL5" i="280"/>
  <c r="CK5" i="280"/>
  <c r="CJ5" i="280"/>
  <c r="CI5" i="280"/>
  <c r="CH5" i="280"/>
  <c r="CG5" i="280"/>
  <c r="CF5" i="280"/>
  <c r="CE5" i="280"/>
  <c r="CD5" i="280"/>
  <c r="CC5" i="280"/>
  <c r="CB5" i="280"/>
  <c r="CA5" i="280"/>
  <c r="BZ5" i="280"/>
  <c r="BY5" i="280"/>
  <c r="BX5" i="280"/>
  <c r="BW5" i="280"/>
  <c r="BV5" i="280"/>
  <c r="BU5" i="280"/>
  <c r="BT5" i="280"/>
  <c r="BS5" i="280"/>
  <c r="BR5" i="280"/>
  <c r="BQ5" i="280"/>
  <c r="BP5" i="280"/>
  <c r="BO5" i="280"/>
  <c r="BN5" i="280"/>
  <c r="BM5" i="280"/>
  <c r="BL5" i="280"/>
  <c r="BK5" i="280"/>
  <c r="BJ5" i="280"/>
  <c r="BI5" i="280"/>
  <c r="BH5" i="280"/>
  <c r="BG5" i="280"/>
  <c r="BF5" i="280"/>
  <c r="BE5" i="280"/>
  <c r="BD5" i="280"/>
  <c r="BC5" i="280"/>
  <c r="BB5" i="280"/>
  <c r="BA5" i="280"/>
  <c r="AZ5" i="280"/>
  <c r="AY5" i="280"/>
  <c r="AX5" i="280"/>
  <c r="AW5" i="280"/>
  <c r="AV5" i="280"/>
  <c r="AU5" i="280"/>
  <c r="AT5" i="280"/>
  <c r="AS5" i="280"/>
  <c r="AR5" i="280"/>
  <c r="AQ5" i="280"/>
  <c r="AP5" i="280"/>
  <c r="AO5" i="280"/>
  <c r="AN5" i="280"/>
  <c r="AM5" i="280"/>
  <c r="AL5" i="280"/>
  <c r="AK5" i="280"/>
  <c r="AJ5" i="280"/>
  <c r="AI5" i="280"/>
  <c r="AH5" i="280"/>
  <c r="AG5" i="280"/>
  <c r="AF5" i="280"/>
  <c r="AE5" i="280"/>
  <c r="AD5" i="280"/>
  <c r="AC5" i="280"/>
  <c r="AB5" i="280"/>
  <c r="AA5" i="280"/>
  <c r="Z5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E5" i="280"/>
  <c r="EA4" i="280"/>
  <c r="DZ4" i="280"/>
  <c r="DY4" i="280"/>
  <c r="DX4" i="280"/>
  <c r="DW4" i="280"/>
  <c r="DV4" i="280"/>
  <c r="DU4" i="280"/>
  <c r="DT4" i="280"/>
  <c r="DS4" i="280"/>
  <c r="DR4" i="280"/>
  <c r="DQ4" i="280"/>
  <c r="DP4" i="280"/>
  <c r="DO4" i="280"/>
  <c r="DN4" i="280"/>
  <c r="DM4" i="280"/>
  <c r="DL4" i="280"/>
  <c r="DK4" i="280"/>
  <c r="DJ4" i="280"/>
  <c r="DI4" i="280"/>
  <c r="DH4" i="280"/>
  <c r="DG4" i="280"/>
  <c r="DF4" i="280"/>
  <c r="DE4" i="280"/>
  <c r="DD4" i="280"/>
  <c r="DC4" i="280"/>
  <c r="DB4" i="280"/>
  <c r="DA4" i="280"/>
  <c r="CZ4" i="280"/>
  <c r="CY4" i="280"/>
  <c r="CX4" i="280"/>
  <c r="CW4" i="280"/>
  <c r="CV4" i="280"/>
  <c r="CU4" i="280"/>
  <c r="CT4" i="280"/>
  <c r="CS4" i="280"/>
  <c r="CR4" i="280"/>
  <c r="CQ4" i="280"/>
  <c r="CP4" i="280"/>
  <c r="CO4" i="280"/>
  <c r="CN4" i="280"/>
  <c r="CM4" i="280"/>
  <c r="CL4" i="280"/>
  <c r="CK4" i="280"/>
  <c r="CJ4" i="280"/>
  <c r="CI4" i="280"/>
  <c r="CH4" i="280"/>
  <c r="CG4" i="280"/>
  <c r="CF4" i="280"/>
  <c r="CE4" i="280"/>
  <c r="CD4" i="280"/>
  <c r="CC4" i="280"/>
  <c r="CB4" i="280"/>
  <c r="CA4" i="280"/>
  <c r="BZ4" i="280"/>
  <c r="BY4" i="280"/>
  <c r="BX4" i="280"/>
  <c r="BW4" i="280"/>
  <c r="BV4" i="280"/>
  <c r="BU4" i="280"/>
  <c r="BT4" i="280"/>
  <c r="BS4" i="280"/>
  <c r="BR4" i="280"/>
  <c r="BQ4" i="280"/>
  <c r="BP4" i="280"/>
  <c r="BO4" i="280"/>
  <c r="BN4" i="280"/>
  <c r="BM4" i="280"/>
  <c r="BL4" i="280"/>
  <c r="BK4" i="280"/>
  <c r="BJ4" i="280"/>
  <c r="BI4" i="280"/>
  <c r="BH4" i="280"/>
  <c r="BG4" i="280"/>
  <c r="BF4" i="280"/>
  <c r="BE4" i="280"/>
  <c r="BD4" i="280"/>
  <c r="BC4" i="280"/>
  <c r="BB4" i="280"/>
  <c r="BA4" i="280"/>
  <c r="AZ4" i="280"/>
  <c r="AY4" i="280"/>
  <c r="AX4" i="280"/>
  <c r="AW4" i="280"/>
  <c r="AV4" i="280"/>
  <c r="AU4" i="280"/>
  <c r="AT4" i="280"/>
  <c r="AS4" i="280"/>
  <c r="AR4" i="280"/>
  <c r="AQ4" i="280"/>
  <c r="AP4" i="280"/>
  <c r="AO4" i="280"/>
  <c r="AN4" i="280"/>
  <c r="AM4" i="280"/>
  <c r="AL4" i="280"/>
  <c r="AK4" i="280"/>
  <c r="AJ4" i="280"/>
  <c r="AI4" i="280"/>
  <c r="AH4" i="280"/>
  <c r="AG4" i="280"/>
  <c r="AF4" i="280"/>
  <c r="AE4" i="280"/>
  <c r="AD4" i="280"/>
  <c r="AC4" i="280"/>
  <c r="AB4" i="280"/>
  <c r="AA4" i="280"/>
  <c r="Z4" i="280"/>
  <c r="Y4" i="280"/>
  <c r="X4" i="280"/>
  <c r="W4" i="280"/>
  <c r="V4" i="280"/>
  <c r="U4" i="280"/>
  <c r="T4" i="280"/>
  <c r="S4" i="280"/>
  <c r="R4" i="280"/>
  <c r="Q4" i="280"/>
  <c r="P4" i="280"/>
  <c r="O4" i="280"/>
  <c r="N4" i="280"/>
  <c r="M4" i="280"/>
  <c r="L4" i="280"/>
  <c r="K4" i="280"/>
  <c r="J4" i="280"/>
  <c r="F4" i="280"/>
  <c r="E4" i="280"/>
  <c r="EA3" i="280"/>
  <c r="DZ3" i="280"/>
  <c r="DY3" i="280"/>
  <c r="DX3" i="280"/>
  <c r="DW3" i="280"/>
  <c r="DV3" i="280"/>
  <c r="DU3" i="280"/>
  <c r="DT3" i="280"/>
  <c r="DS3" i="280"/>
  <c r="DR3" i="280"/>
  <c r="DQ3" i="280"/>
  <c r="DP3" i="280"/>
  <c r="DO3" i="280"/>
  <c r="DN3" i="280"/>
  <c r="DM3" i="280"/>
  <c r="DL3" i="280"/>
  <c r="DK3" i="280"/>
  <c r="DJ3" i="280"/>
  <c r="DI3" i="280"/>
  <c r="DH3" i="280"/>
  <c r="DG3" i="280"/>
  <c r="DF3" i="280"/>
  <c r="DE3" i="280"/>
  <c r="DD3" i="280"/>
  <c r="DC3" i="280"/>
  <c r="DB3" i="280"/>
  <c r="DA3" i="280"/>
  <c r="CZ3" i="280"/>
  <c r="CY3" i="280"/>
  <c r="CX3" i="280"/>
  <c r="CW3" i="280"/>
  <c r="CV3" i="280"/>
  <c r="CU3" i="280"/>
  <c r="CT3" i="280"/>
  <c r="CS3" i="280"/>
  <c r="CR3" i="280"/>
  <c r="CQ3" i="280"/>
  <c r="CP3" i="280"/>
  <c r="CO3" i="280"/>
  <c r="CN3" i="280"/>
  <c r="CM3" i="280"/>
  <c r="CL3" i="280"/>
  <c r="CK3" i="280"/>
  <c r="CJ3" i="280"/>
  <c r="CI3" i="280"/>
  <c r="CH3" i="280"/>
  <c r="CG3" i="280"/>
  <c r="CF3" i="280"/>
  <c r="CE3" i="280"/>
  <c r="CD3" i="280"/>
  <c r="CC3" i="280"/>
  <c r="CB3" i="280"/>
  <c r="CA3" i="280"/>
  <c r="BZ3" i="280"/>
  <c r="BY3" i="280"/>
  <c r="BX3" i="280"/>
  <c r="BW3" i="280"/>
  <c r="BV3" i="280"/>
  <c r="BU3" i="280"/>
  <c r="BT3" i="280"/>
  <c r="BS3" i="280"/>
  <c r="BR3" i="280"/>
  <c r="BQ3" i="280"/>
  <c r="BP3" i="280"/>
  <c r="BO3" i="280"/>
  <c r="BN3" i="280"/>
  <c r="BM3" i="280"/>
  <c r="BL3" i="280"/>
  <c r="BK3" i="280"/>
  <c r="BJ3" i="280"/>
  <c r="BI3" i="280"/>
  <c r="BH3" i="280"/>
  <c r="BG3" i="280"/>
  <c r="BF3" i="280"/>
  <c r="BE3" i="280"/>
  <c r="BD3" i="280"/>
  <c r="BC3" i="280"/>
  <c r="BB3" i="280"/>
  <c r="BA3" i="280"/>
  <c r="AZ3" i="280"/>
  <c r="AY3" i="280"/>
  <c r="AX3" i="280"/>
  <c r="AW3" i="280"/>
  <c r="AV3" i="280"/>
  <c r="AU3" i="280"/>
  <c r="AT3" i="280"/>
  <c r="AS3" i="280"/>
  <c r="AR3" i="280"/>
  <c r="AQ3" i="280"/>
  <c r="AP3" i="280"/>
  <c r="AO3" i="280"/>
  <c r="AN3" i="280"/>
  <c r="AM3" i="280"/>
  <c r="AL3" i="280"/>
  <c r="AK3" i="280"/>
  <c r="AJ3" i="280"/>
  <c r="AI3" i="280"/>
  <c r="AH3" i="280"/>
  <c r="AG3" i="280"/>
  <c r="AF3" i="280"/>
  <c r="AE3" i="280"/>
  <c r="AD3" i="280"/>
  <c r="AC3" i="280"/>
  <c r="AB3" i="280"/>
  <c r="AA3" i="280"/>
  <c r="Z3" i="280"/>
  <c r="Y3" i="280"/>
  <c r="X3" i="280"/>
  <c r="W3" i="280"/>
  <c r="V3" i="280"/>
  <c r="U3" i="280"/>
  <c r="T3" i="280"/>
  <c r="S3" i="280"/>
  <c r="R3" i="280"/>
  <c r="Q3" i="280"/>
  <c r="P3" i="280"/>
  <c r="O3" i="280"/>
  <c r="N3" i="280"/>
  <c r="M3" i="280"/>
  <c r="L3" i="280"/>
  <c r="K3" i="280"/>
  <c r="J3" i="280"/>
  <c r="E3" i="280"/>
  <c r="EA2" i="280"/>
  <c r="DZ2" i="280"/>
  <c r="DY2" i="280"/>
  <c r="DX2" i="280"/>
  <c r="DW2" i="280"/>
  <c r="DV2" i="280"/>
  <c r="DU2" i="280"/>
  <c r="DT2" i="280"/>
  <c r="DS2" i="280"/>
  <c r="DR2" i="280"/>
  <c r="DQ2" i="280"/>
  <c r="DP2" i="280"/>
  <c r="DO2" i="280"/>
  <c r="DN2" i="280"/>
  <c r="DM2" i="280"/>
  <c r="DL2" i="280"/>
  <c r="DK2" i="280"/>
  <c r="DJ2" i="280"/>
  <c r="DI2" i="280"/>
  <c r="DH2" i="280"/>
  <c r="DG2" i="280"/>
  <c r="DF2" i="280"/>
  <c r="DE2" i="280"/>
  <c r="DD2" i="280"/>
  <c r="DC2" i="280"/>
  <c r="DB2" i="280"/>
  <c r="DA2" i="280"/>
  <c r="CZ2" i="280"/>
  <c r="CY2" i="280"/>
  <c r="CX2" i="280"/>
  <c r="CW2" i="280"/>
  <c r="CV2" i="280"/>
  <c r="CU2" i="280"/>
  <c r="CT2" i="280"/>
  <c r="CS2" i="280"/>
  <c r="CR2" i="280"/>
  <c r="CQ2" i="280"/>
  <c r="CP2" i="280"/>
  <c r="CO2" i="280"/>
  <c r="CN2" i="280"/>
  <c r="CM2" i="280"/>
  <c r="CL2" i="280"/>
  <c r="CK2" i="280"/>
  <c r="CJ2" i="280"/>
  <c r="CI2" i="280"/>
  <c r="CH2" i="280"/>
  <c r="CG2" i="280"/>
  <c r="CF2" i="280"/>
  <c r="CE2" i="280"/>
  <c r="CD2" i="280"/>
  <c r="CC2" i="280"/>
  <c r="CB2" i="280"/>
  <c r="CA2" i="280"/>
  <c r="BZ2" i="280"/>
  <c r="BY2" i="280"/>
  <c r="BX2" i="280"/>
  <c r="BW2" i="280"/>
  <c r="BV2" i="280"/>
  <c r="BU2" i="280"/>
  <c r="BT2" i="280"/>
  <c r="BS2" i="280"/>
  <c r="BR2" i="280"/>
  <c r="BQ2" i="280"/>
  <c r="BP2" i="280"/>
  <c r="BO2" i="280"/>
  <c r="BN2" i="280"/>
  <c r="BM2" i="280"/>
  <c r="BL2" i="280"/>
  <c r="BK2" i="280"/>
  <c r="BJ2" i="280"/>
  <c r="BI2" i="280"/>
  <c r="BH2" i="280"/>
  <c r="BG2" i="280"/>
  <c r="BF2" i="280"/>
  <c r="BE2" i="280"/>
  <c r="BD2" i="280"/>
  <c r="BC2" i="280"/>
  <c r="BB2" i="280"/>
  <c r="BA2" i="280"/>
  <c r="AZ2" i="280"/>
  <c r="AY2" i="280"/>
  <c r="AX2" i="280"/>
  <c r="AW2" i="280"/>
  <c r="AV2" i="280"/>
  <c r="AU2" i="280"/>
  <c r="AT2" i="280"/>
  <c r="AS2" i="280"/>
  <c r="AR2" i="280"/>
  <c r="AQ2" i="280"/>
  <c r="AP2" i="280"/>
  <c r="AO2" i="280"/>
  <c r="AN2" i="280"/>
  <c r="AM2" i="280"/>
  <c r="AL2" i="280"/>
  <c r="AK2" i="280"/>
  <c r="AJ2" i="280"/>
  <c r="AI2" i="280"/>
  <c r="AH2" i="280"/>
  <c r="AG2" i="280"/>
  <c r="AF2" i="280"/>
  <c r="AE2" i="280"/>
  <c r="AD2" i="280"/>
  <c r="AC2" i="280"/>
  <c r="AB2" i="280"/>
  <c r="AA2" i="280"/>
  <c r="Z2" i="280"/>
  <c r="Y2" i="280"/>
  <c r="X2" i="280"/>
  <c r="W2" i="280"/>
  <c r="V2" i="280"/>
  <c r="U2" i="280"/>
  <c r="T2" i="280"/>
  <c r="S2" i="280"/>
  <c r="R2" i="280"/>
  <c r="Q2" i="280"/>
  <c r="P2" i="280"/>
  <c r="O2" i="280"/>
  <c r="N2" i="280"/>
  <c r="M2" i="280"/>
  <c r="L2" i="280"/>
  <c r="K2" i="280"/>
  <c r="J2" i="280"/>
  <c r="E2" i="280"/>
  <c r="A1" i="280"/>
  <c r="F4" i="264"/>
  <c r="F4" i="273"/>
  <c r="F4" i="275"/>
  <c r="F4" i="265"/>
  <c r="I4" i="48"/>
  <c r="F13" i="48" s="1"/>
  <c r="F18" i="48"/>
  <c r="F74" i="273" s="1"/>
  <c r="I5" i="48"/>
  <c r="F14" i="48"/>
  <c r="F35" i="273" s="1"/>
  <c r="I79" i="273"/>
  <c r="J80" i="273" s="1"/>
  <c r="J58" i="273" s="1"/>
  <c r="I100" i="273"/>
  <c r="J101" i="273" s="1"/>
  <c r="J59" i="273" s="1"/>
  <c r="F20" i="48"/>
  <c r="F84" i="273" s="1"/>
  <c r="F21" i="48"/>
  <c r="F85" i="273" s="1"/>
  <c r="F86" i="273"/>
  <c r="F65" i="273"/>
  <c r="F64" i="273"/>
  <c r="F63" i="273"/>
  <c r="F62" i="273"/>
  <c r="J5" i="269"/>
  <c r="K10" i="269" s="1"/>
  <c r="K11" i="269"/>
  <c r="J11" i="269" s="1"/>
  <c r="K13" i="269"/>
  <c r="J13" i="269" s="1"/>
  <c r="H19" i="269"/>
  <c r="H20" i="269"/>
  <c r="K20" i="269" s="1"/>
  <c r="H23" i="269"/>
  <c r="H26" i="269"/>
  <c r="H27" i="269"/>
  <c r="H28" i="269"/>
  <c r="K28" i="269" s="1"/>
  <c r="J28" i="269" s="1"/>
  <c r="H31" i="269"/>
  <c r="H34" i="269"/>
  <c r="K34" i="269" s="1"/>
  <c r="J34" i="269" s="1"/>
  <c r="H40" i="269"/>
  <c r="K40" i="269"/>
  <c r="J40" i="269" s="1"/>
  <c r="H41" i="269"/>
  <c r="K41" i="269"/>
  <c r="J41" i="269" s="1"/>
  <c r="H42" i="269"/>
  <c r="H45" i="269"/>
  <c r="K45" i="269" s="1"/>
  <c r="H46" i="269"/>
  <c r="J47" i="269"/>
  <c r="H49" i="269"/>
  <c r="K49" i="269"/>
  <c r="J49" i="269" s="1"/>
  <c r="H50" i="269"/>
  <c r="H51" i="269"/>
  <c r="K51" i="269" s="1"/>
  <c r="J51" i="269" s="1"/>
  <c r="H54" i="269"/>
  <c r="K54" i="269"/>
  <c r="J54" i="269" s="1"/>
  <c r="H55" i="269"/>
  <c r="H56" i="269"/>
  <c r="K56" i="269" s="1"/>
  <c r="J56" i="269" s="1"/>
  <c r="H59" i="269"/>
  <c r="K59" i="269"/>
  <c r="J59" i="269" s="1"/>
  <c r="J60" i="269"/>
  <c r="H62" i="269"/>
  <c r="K62" i="269" s="1"/>
  <c r="J63" i="269"/>
  <c r="F45" i="273"/>
  <c r="F46" i="273"/>
  <c r="F3" i="48"/>
  <c r="G63" i="269"/>
  <c r="F63" i="269"/>
  <c r="E63" i="269"/>
  <c r="G62" i="269"/>
  <c r="F62" i="269"/>
  <c r="E62" i="269"/>
  <c r="G60" i="269"/>
  <c r="F60" i="269"/>
  <c r="E60" i="269"/>
  <c r="G59" i="269"/>
  <c r="F59" i="269"/>
  <c r="E59" i="269"/>
  <c r="G57" i="269"/>
  <c r="F57" i="269"/>
  <c r="E57" i="269"/>
  <c r="G56" i="269"/>
  <c r="F56" i="269"/>
  <c r="E56" i="269"/>
  <c r="G55" i="269"/>
  <c r="F55" i="269"/>
  <c r="E55" i="269"/>
  <c r="G54" i="269"/>
  <c r="F54" i="269"/>
  <c r="E54" i="269"/>
  <c r="G52" i="269"/>
  <c r="F52" i="269"/>
  <c r="E52" i="269"/>
  <c r="G51" i="269"/>
  <c r="F51" i="269"/>
  <c r="E51" i="269"/>
  <c r="G50" i="269"/>
  <c r="F50" i="269"/>
  <c r="E50" i="269"/>
  <c r="G49" i="269"/>
  <c r="F49" i="269"/>
  <c r="E49" i="269"/>
  <c r="G47" i="269"/>
  <c r="F47" i="269"/>
  <c r="E47" i="269"/>
  <c r="G46" i="269"/>
  <c r="F46" i="269"/>
  <c r="E46" i="269"/>
  <c r="G45" i="269"/>
  <c r="F45" i="269"/>
  <c r="E45" i="269"/>
  <c r="G43" i="269"/>
  <c r="F43" i="269"/>
  <c r="E43" i="269"/>
  <c r="G42" i="269"/>
  <c r="F42" i="269"/>
  <c r="E42" i="269"/>
  <c r="G41" i="269"/>
  <c r="F41" i="269"/>
  <c r="E41" i="269"/>
  <c r="G40" i="269"/>
  <c r="F40" i="269"/>
  <c r="E40" i="269"/>
  <c r="G35" i="269"/>
  <c r="F35" i="269"/>
  <c r="E35" i="269"/>
  <c r="G34" i="269"/>
  <c r="F34" i="269"/>
  <c r="E34" i="269"/>
  <c r="G32" i="269"/>
  <c r="F32" i="269"/>
  <c r="E32" i="269"/>
  <c r="G31" i="269"/>
  <c r="F31" i="269"/>
  <c r="E31" i="269"/>
  <c r="G29" i="269"/>
  <c r="F29" i="269"/>
  <c r="E29" i="269"/>
  <c r="G28" i="269"/>
  <c r="F28" i="269"/>
  <c r="E28" i="269"/>
  <c r="G27" i="269"/>
  <c r="F27" i="269"/>
  <c r="E27" i="269"/>
  <c r="G26" i="269"/>
  <c r="F26" i="269"/>
  <c r="E26" i="269"/>
  <c r="G24" i="269"/>
  <c r="F24" i="269"/>
  <c r="E24" i="269"/>
  <c r="G23" i="269"/>
  <c r="F23" i="269"/>
  <c r="E23" i="269"/>
  <c r="G21" i="269"/>
  <c r="F21" i="269"/>
  <c r="E21" i="269"/>
  <c r="G20" i="269"/>
  <c r="F20" i="269"/>
  <c r="E20" i="269"/>
  <c r="F19" i="269"/>
  <c r="E19" i="269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J10" i="273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G85" i="273"/>
  <c r="F6" i="48"/>
  <c r="E85" i="273"/>
  <c r="G18" i="277"/>
  <c r="F18" i="277"/>
  <c r="E18" i="277"/>
  <c r="G53" i="265"/>
  <c r="G50" i="265"/>
  <c r="G47" i="265"/>
  <c r="G42" i="265"/>
  <c r="G37" i="265"/>
  <c r="G33" i="265"/>
  <c r="G25" i="265"/>
  <c r="G22" i="265"/>
  <c r="G19" i="265"/>
  <c r="G14" i="265"/>
  <c r="G11" i="265"/>
  <c r="G19" i="269"/>
  <c r="J11" i="265"/>
  <c r="J14" i="265"/>
  <c r="J19" i="265" s="1"/>
  <c r="J22" i="265" s="1"/>
  <c r="J25" i="265" s="1"/>
  <c r="J33" i="265"/>
  <c r="J37" i="265" s="1"/>
  <c r="I75" i="273"/>
  <c r="I118" i="273"/>
  <c r="F111" i="273"/>
  <c r="DB11" i="265"/>
  <c r="DB14" i="265" s="1"/>
  <c r="DB19" i="265" s="1"/>
  <c r="DB22" i="265" s="1"/>
  <c r="DB25" i="265" s="1"/>
  <c r="K11" i="265"/>
  <c r="K14" i="265"/>
  <c r="K19" i="265" s="1"/>
  <c r="K22" i="265"/>
  <c r="L11" i="265"/>
  <c r="L14" i="265"/>
  <c r="M11" i="265"/>
  <c r="M14" i="265" s="1"/>
  <c r="N11" i="265"/>
  <c r="N14" i="265" s="1"/>
  <c r="N19" i="265" s="1"/>
  <c r="N22" i="265" s="1"/>
  <c r="N25" i="265" s="1"/>
  <c r="O11" i="265"/>
  <c r="O14" i="265" s="1"/>
  <c r="O19" i="265" s="1"/>
  <c r="O22" i="265" s="1"/>
  <c r="O25" i="265" s="1"/>
  <c r="P11" i="265"/>
  <c r="P14" i="265" s="1"/>
  <c r="P19" i="265" s="1"/>
  <c r="P22" i="265" s="1"/>
  <c r="P25" i="265" s="1"/>
  <c r="Q11" i="265"/>
  <c r="Q14" i="265"/>
  <c r="Q19" i="265" s="1"/>
  <c r="Q22" i="265" s="1"/>
  <c r="R11" i="265"/>
  <c r="R14" i="265"/>
  <c r="S11" i="265"/>
  <c r="S14" i="265"/>
  <c r="S19" i="265" s="1"/>
  <c r="S22" i="265" s="1"/>
  <c r="S25" i="265" s="1"/>
  <c r="T11" i="265"/>
  <c r="T14" i="265" s="1"/>
  <c r="T19" i="265" s="1"/>
  <c r="T22" i="265" s="1"/>
  <c r="T25" i="265" s="1"/>
  <c r="U11" i="265"/>
  <c r="U14" i="265" s="1"/>
  <c r="U19" i="265" s="1"/>
  <c r="U22" i="265" s="1"/>
  <c r="U25" i="265" s="1"/>
  <c r="V11" i="265"/>
  <c r="V14" i="265" s="1"/>
  <c r="V19" i="265" s="1"/>
  <c r="V22" i="265" s="1"/>
  <c r="V25" i="265" s="1"/>
  <c r="W11" i="265"/>
  <c r="W14" i="265"/>
  <c r="W19" i="265" s="1"/>
  <c r="W22" i="265" s="1"/>
  <c r="X11" i="265"/>
  <c r="X14" i="265"/>
  <c r="X19" i="265" s="1"/>
  <c r="X22" i="265" s="1"/>
  <c r="X25" i="265" s="1"/>
  <c r="Y11" i="265"/>
  <c r="Y14" i="265" s="1"/>
  <c r="Y19" i="265" s="1"/>
  <c r="Y22" i="265" s="1"/>
  <c r="Y25" i="265" s="1"/>
  <c r="Z11" i="265"/>
  <c r="Z14" i="265" s="1"/>
  <c r="Z19" i="265" s="1"/>
  <c r="Z22" i="265" s="1"/>
  <c r="Z25" i="265" s="1"/>
  <c r="AA11" i="265"/>
  <c r="AA14" i="265" s="1"/>
  <c r="AB11" i="265"/>
  <c r="AB14" i="265" s="1"/>
  <c r="AC11" i="265"/>
  <c r="AC14" i="265" s="1"/>
  <c r="AC19" i="265"/>
  <c r="AC22" i="265" s="1"/>
  <c r="AC25" i="265" s="1"/>
  <c r="AD11" i="265"/>
  <c r="AD14" i="265"/>
  <c r="AD19" i="265" s="1"/>
  <c r="AE11" i="265"/>
  <c r="AE14" i="265" s="1"/>
  <c r="AE19" i="265" s="1"/>
  <c r="AE22" i="265" s="1"/>
  <c r="AE25" i="265" s="1"/>
  <c r="AF11" i="265"/>
  <c r="AF14" i="265" s="1"/>
  <c r="AF19" i="265" s="1"/>
  <c r="AF22" i="265" s="1"/>
  <c r="AF25" i="265" s="1"/>
  <c r="AG11" i="265"/>
  <c r="AG14" i="265" s="1"/>
  <c r="AG19" i="265" s="1"/>
  <c r="AG22" i="265" s="1"/>
  <c r="AG25" i="265" s="1"/>
  <c r="AH11" i="265"/>
  <c r="AH14" i="265"/>
  <c r="AH19" i="265" s="1"/>
  <c r="AH22" i="265" s="1"/>
  <c r="AH25" i="265" s="1"/>
  <c r="AI11" i="265"/>
  <c r="AI14" i="265" s="1"/>
  <c r="AI19" i="265" s="1"/>
  <c r="AI22" i="265" s="1"/>
  <c r="AI25" i="265" s="1"/>
  <c r="AJ11" i="265"/>
  <c r="AJ14" i="265" s="1"/>
  <c r="AJ19" i="265" s="1"/>
  <c r="AJ22" i="265" s="1"/>
  <c r="AJ25" i="265" s="1"/>
  <c r="AK11" i="265"/>
  <c r="AK14" i="265" s="1"/>
  <c r="AK19" i="265" s="1"/>
  <c r="AK22" i="265" s="1"/>
  <c r="AK25" i="265" s="1"/>
  <c r="AL11" i="265"/>
  <c r="AL14" i="265" s="1"/>
  <c r="AL19" i="265" s="1"/>
  <c r="AL22" i="265" s="1"/>
  <c r="AL25" i="265" s="1"/>
  <c r="AM11" i="265"/>
  <c r="AM14" i="265" s="1"/>
  <c r="AM19" i="265" s="1"/>
  <c r="AM22" i="265" s="1"/>
  <c r="AM25" i="265" s="1"/>
  <c r="AN11" i="265"/>
  <c r="AN14" i="265" s="1"/>
  <c r="AN19" i="265"/>
  <c r="AN22" i="265" s="1"/>
  <c r="AN25" i="265" s="1"/>
  <c r="AO11" i="265"/>
  <c r="AO14" i="265"/>
  <c r="AO19" i="265" s="1"/>
  <c r="AO22" i="265" s="1"/>
  <c r="AO25" i="265" s="1"/>
  <c r="AP11" i="265"/>
  <c r="AP14" i="265" s="1"/>
  <c r="AP19" i="265" s="1"/>
  <c r="AP22" i="265" s="1"/>
  <c r="AP25" i="265" s="1"/>
  <c r="AQ11" i="265"/>
  <c r="AQ14" i="265" s="1"/>
  <c r="AQ19" i="265" s="1"/>
  <c r="AQ22" i="265" s="1"/>
  <c r="AQ25" i="265" s="1"/>
  <c r="AR11" i="265"/>
  <c r="AR14" i="265" s="1"/>
  <c r="AR19" i="265" s="1"/>
  <c r="AR22" i="265" s="1"/>
  <c r="AR25" i="265" s="1"/>
  <c r="AS11" i="265"/>
  <c r="AS14" i="265" s="1"/>
  <c r="AS19" i="265" s="1"/>
  <c r="AS22" i="265" s="1"/>
  <c r="AS25" i="265" s="1"/>
  <c r="AT11" i="265"/>
  <c r="AT14" i="265" s="1"/>
  <c r="AT19" i="265" s="1"/>
  <c r="AT22" i="265" s="1"/>
  <c r="AT25" i="265" s="1"/>
  <c r="AU11" i="265"/>
  <c r="AU14" i="265" s="1"/>
  <c r="AU19" i="265" s="1"/>
  <c r="AU22" i="265" s="1"/>
  <c r="AU25" i="265" s="1"/>
  <c r="AV11" i="265"/>
  <c r="AV14" i="265" s="1"/>
  <c r="AV19" i="265" s="1"/>
  <c r="AV22" i="265" s="1"/>
  <c r="AV25" i="265" s="1"/>
  <c r="AW11" i="265"/>
  <c r="AW14" i="265"/>
  <c r="AW19" i="265" s="1"/>
  <c r="AW22" i="265" s="1"/>
  <c r="AW25" i="265" s="1"/>
  <c r="AX11" i="265"/>
  <c r="AX14" i="265" s="1"/>
  <c r="AX19" i="265" s="1"/>
  <c r="AX22" i="265" s="1"/>
  <c r="AX25" i="265" s="1"/>
  <c r="AY11" i="265"/>
  <c r="AY14" i="265" s="1"/>
  <c r="AY19" i="265" s="1"/>
  <c r="AY22" i="265" s="1"/>
  <c r="AY25" i="265" s="1"/>
  <c r="AZ11" i="265"/>
  <c r="AZ14" i="265" s="1"/>
  <c r="AZ19" i="265" s="1"/>
  <c r="BA11" i="265"/>
  <c r="BA14" i="265"/>
  <c r="BA19" i="265" s="1"/>
  <c r="BA22" i="265" s="1"/>
  <c r="BB11" i="265"/>
  <c r="BB14" i="265"/>
  <c r="BB19" i="265" s="1"/>
  <c r="BB22" i="265" s="1"/>
  <c r="BB25" i="265" s="1"/>
  <c r="BC11" i="265"/>
  <c r="BC14" i="265" s="1"/>
  <c r="BC19" i="265" s="1"/>
  <c r="BC22" i="265" s="1"/>
  <c r="BC25" i="265" s="1"/>
  <c r="BD11" i="265"/>
  <c r="BD14" i="265" s="1"/>
  <c r="BD19" i="265" s="1"/>
  <c r="BD22" i="265" s="1"/>
  <c r="BD25" i="265" s="1"/>
  <c r="BE11" i="265"/>
  <c r="BE14" i="265" s="1"/>
  <c r="BE19" i="265" s="1"/>
  <c r="BE22" i="265" s="1"/>
  <c r="BF11" i="265"/>
  <c r="BF14" i="265" s="1"/>
  <c r="BF19" i="265" s="1"/>
  <c r="BF22" i="265" s="1"/>
  <c r="BF25" i="265" s="1"/>
  <c r="BG11" i="265"/>
  <c r="BG14" i="265" s="1"/>
  <c r="BG19" i="265" s="1"/>
  <c r="BG22" i="265" s="1"/>
  <c r="BG25" i="265" s="1"/>
  <c r="BH11" i="265"/>
  <c r="BH14" i="265" s="1"/>
  <c r="BI11" i="265"/>
  <c r="BI14" i="265" s="1"/>
  <c r="BI19" i="265" s="1"/>
  <c r="BI22" i="265" s="1"/>
  <c r="BI25" i="265" s="1"/>
  <c r="BJ11" i="265"/>
  <c r="BJ14" i="265" s="1"/>
  <c r="BJ19" i="265" s="1"/>
  <c r="BJ22" i="265" s="1"/>
  <c r="BJ25" i="265" s="1"/>
  <c r="BK11" i="265"/>
  <c r="BK14" i="265" s="1"/>
  <c r="BL11" i="265"/>
  <c r="BL14" i="265" s="1"/>
  <c r="BL19" i="265" s="1"/>
  <c r="BL22" i="265" s="1"/>
  <c r="BL25" i="265" s="1"/>
  <c r="BM11" i="265"/>
  <c r="BM14" i="265" s="1"/>
  <c r="BM19" i="265" s="1"/>
  <c r="BM22" i="265" s="1"/>
  <c r="BM25" i="265" s="1"/>
  <c r="BN11" i="265"/>
  <c r="BN14" i="265" s="1"/>
  <c r="BN19" i="265" s="1"/>
  <c r="BN22" i="265" s="1"/>
  <c r="BN25" i="265" s="1"/>
  <c r="BO11" i="265"/>
  <c r="BO14" i="265" s="1"/>
  <c r="BO19" i="265" s="1"/>
  <c r="BO22" i="265" s="1"/>
  <c r="BO25" i="265" s="1"/>
  <c r="BP11" i="265"/>
  <c r="BP14" i="265"/>
  <c r="BQ11" i="265"/>
  <c r="BQ14" i="265"/>
  <c r="BQ19" i="265" s="1"/>
  <c r="BQ22" i="265" s="1"/>
  <c r="BQ25" i="265" s="1"/>
  <c r="BR11" i="265"/>
  <c r="BR14" i="265" s="1"/>
  <c r="BR19" i="265" s="1"/>
  <c r="BR22" i="265" s="1"/>
  <c r="BR25" i="265" s="1"/>
  <c r="BS11" i="265"/>
  <c r="BS14" i="265" s="1"/>
  <c r="BS19" i="265" s="1"/>
  <c r="BS22" i="265" s="1"/>
  <c r="BS25" i="265" s="1"/>
  <c r="BT11" i="265"/>
  <c r="BT14" i="265" s="1"/>
  <c r="BT19" i="265" s="1"/>
  <c r="BT22" i="265" s="1"/>
  <c r="BT25" i="265" s="1"/>
  <c r="BU11" i="265"/>
  <c r="BU14" i="265"/>
  <c r="BV11" i="265"/>
  <c r="BV14" i="265"/>
  <c r="BW11" i="265"/>
  <c r="BW14" i="265"/>
  <c r="BW19" i="265" s="1"/>
  <c r="BX11" i="265"/>
  <c r="BX14" i="265" s="1"/>
  <c r="BX19" i="265" s="1"/>
  <c r="BX22" i="265" s="1"/>
  <c r="BX25" i="265" s="1"/>
  <c r="BY11" i="265"/>
  <c r="BY14" i="265" s="1"/>
  <c r="BY19" i="265" s="1"/>
  <c r="BY22" i="265" s="1"/>
  <c r="BY25" i="265" s="1"/>
  <c r="BZ11" i="265"/>
  <c r="BZ14" i="265" s="1"/>
  <c r="BZ19" i="265" s="1"/>
  <c r="BZ22" i="265" s="1"/>
  <c r="BZ25" i="265" s="1"/>
  <c r="CA11" i="265"/>
  <c r="CA14" i="265"/>
  <c r="CA19" i="265" s="1"/>
  <c r="CA22" i="265" s="1"/>
  <c r="CA25" i="265" s="1"/>
  <c r="CB11" i="265"/>
  <c r="CB14" i="265" s="1"/>
  <c r="CC11" i="265"/>
  <c r="CC14" i="265" s="1"/>
  <c r="CC19" i="265" s="1"/>
  <c r="CC22" i="265" s="1"/>
  <c r="CC25" i="265" s="1"/>
  <c r="CD11" i="265"/>
  <c r="CD14" i="265"/>
  <c r="CD19" i="265" s="1"/>
  <c r="CD22" i="265" s="1"/>
  <c r="CD25" i="265" s="1"/>
  <c r="CE11" i="265"/>
  <c r="CE14" i="265" s="1"/>
  <c r="CF11" i="265"/>
  <c r="CF14" i="265" s="1"/>
  <c r="CG11" i="265"/>
  <c r="CG14" i="265" s="1"/>
  <c r="CG19" i="265" s="1"/>
  <c r="CG22" i="265" s="1"/>
  <c r="CG25" i="265" s="1"/>
  <c r="CH11" i="265"/>
  <c r="CH14" i="265" s="1"/>
  <c r="CH19" i="265" s="1"/>
  <c r="CH22" i="265" s="1"/>
  <c r="CH25" i="265" s="1"/>
  <c r="CI11" i="265"/>
  <c r="CI14" i="265" s="1"/>
  <c r="CI19" i="265" s="1"/>
  <c r="CI22" i="265" s="1"/>
  <c r="CI25" i="265" s="1"/>
  <c r="CJ11" i="265"/>
  <c r="CJ14" i="265"/>
  <c r="CK11" i="265"/>
  <c r="CK14" i="265"/>
  <c r="CK19" i="265" s="1"/>
  <c r="CK22" i="265" s="1"/>
  <c r="CK25" i="265" s="1"/>
  <c r="CL11" i="265"/>
  <c r="CL14" i="265" s="1"/>
  <c r="CL19" i="265" s="1"/>
  <c r="CL22" i="265" s="1"/>
  <c r="CL25" i="265" s="1"/>
  <c r="CM11" i="265"/>
  <c r="CM14" i="265" s="1"/>
  <c r="CM19" i="265" s="1"/>
  <c r="CM22" i="265" s="1"/>
  <c r="CM25" i="265" s="1"/>
  <c r="CN11" i="265"/>
  <c r="CN14" i="265" s="1"/>
  <c r="CN19" i="265" s="1"/>
  <c r="CN22" i="265" s="1"/>
  <c r="CN25" i="265" s="1"/>
  <c r="CO11" i="265"/>
  <c r="CO14" i="265" s="1"/>
  <c r="CO19" i="265" s="1"/>
  <c r="CO22" i="265" s="1"/>
  <c r="CO25" i="265" s="1"/>
  <c r="CP11" i="265"/>
  <c r="CP14" i="265" s="1"/>
  <c r="CP19" i="265" s="1"/>
  <c r="CP22" i="265" s="1"/>
  <c r="CP25" i="265" s="1"/>
  <c r="CQ11" i="265"/>
  <c r="CQ14" i="265" s="1"/>
  <c r="CQ19" i="265" s="1"/>
  <c r="CQ22" i="265" s="1"/>
  <c r="CQ25" i="265" s="1"/>
  <c r="CR11" i="265"/>
  <c r="CR14" i="265"/>
  <c r="CS11" i="265"/>
  <c r="CS14" i="265"/>
  <c r="CS19" i="265" s="1"/>
  <c r="CS22" i="265" s="1"/>
  <c r="CS25" i="265" s="1"/>
  <c r="CT11" i="265"/>
  <c r="CT14" i="265" s="1"/>
  <c r="CT19" i="265" s="1"/>
  <c r="CT22" i="265" s="1"/>
  <c r="CT25" i="265" s="1"/>
  <c r="CU11" i="265"/>
  <c r="CU14" i="265" s="1"/>
  <c r="CU19" i="265" s="1"/>
  <c r="CU22" i="265" s="1"/>
  <c r="CU25" i="265" s="1"/>
  <c r="CV11" i="265"/>
  <c r="CV14" i="265" s="1"/>
  <c r="CW11" i="265"/>
  <c r="CW14" i="265" s="1"/>
  <c r="CW19" i="265" s="1"/>
  <c r="CW22" i="265" s="1"/>
  <c r="CW25" i="265" s="1"/>
  <c r="CX11" i="265"/>
  <c r="CX14" i="265" s="1"/>
  <c r="CX19" i="265" s="1"/>
  <c r="CX22" i="265" s="1"/>
  <c r="CX25" i="265" s="1"/>
  <c r="CY11" i="265"/>
  <c r="CY14" i="265" s="1"/>
  <c r="CY19" i="265" s="1"/>
  <c r="CY22" i="265" s="1"/>
  <c r="CY25" i="265" s="1"/>
  <c r="CZ11" i="265"/>
  <c r="CZ14" i="265" s="1"/>
  <c r="CZ19" i="265" s="1"/>
  <c r="CZ22" i="265" s="1"/>
  <c r="CZ25" i="265" s="1"/>
  <c r="DA11" i="265"/>
  <c r="DA14" i="265"/>
  <c r="DA19" i="265" s="1"/>
  <c r="DA22" i="265" s="1"/>
  <c r="DA25" i="265" s="1"/>
  <c r="DC11" i="265"/>
  <c r="DC14" i="265" s="1"/>
  <c r="DC19" i="265" s="1"/>
  <c r="DC22" i="265" s="1"/>
  <c r="DC25" i="265" s="1"/>
  <c r="DD11" i="265"/>
  <c r="DD14" i="265" s="1"/>
  <c r="DD19" i="265" s="1"/>
  <c r="DD22" i="265" s="1"/>
  <c r="DD25" i="265" s="1"/>
  <c r="DE11" i="265"/>
  <c r="DE14" i="265" s="1"/>
  <c r="DF11" i="265"/>
  <c r="DF14" i="265" s="1"/>
  <c r="DG11" i="265"/>
  <c r="DG14" i="265" s="1"/>
  <c r="DG19" i="265" s="1"/>
  <c r="DG22" i="265" s="1"/>
  <c r="DG25" i="265" s="1"/>
  <c r="DH11" i="265"/>
  <c r="DH14" i="265"/>
  <c r="DI11" i="265"/>
  <c r="DI14" i="265"/>
  <c r="DJ11" i="265"/>
  <c r="DJ14" i="265"/>
  <c r="DK11" i="265"/>
  <c r="DK14" i="265"/>
  <c r="DL11" i="265"/>
  <c r="DL14" i="265"/>
  <c r="DL19" i="265" s="1"/>
  <c r="DL22" i="265" s="1"/>
  <c r="DL25" i="265" s="1"/>
  <c r="DM11" i="265"/>
  <c r="DM14" i="265" s="1"/>
  <c r="DN11" i="265"/>
  <c r="DN14" i="265" s="1"/>
  <c r="DO11" i="265"/>
  <c r="DO14" i="265" s="1"/>
  <c r="DO19" i="265" s="1"/>
  <c r="DO22" i="265" s="1"/>
  <c r="DO25" i="265" s="1"/>
  <c r="DP11" i="265"/>
  <c r="DP14" i="265"/>
  <c r="DQ11" i="265"/>
  <c r="DQ14" i="265"/>
  <c r="DR11" i="265"/>
  <c r="DR14" i="265"/>
  <c r="DS11" i="265"/>
  <c r="DS14" i="265"/>
  <c r="DS19" i="265" s="1"/>
  <c r="DT11" i="265"/>
  <c r="DT14" i="265" s="1"/>
  <c r="DU11" i="265"/>
  <c r="DU14" i="265" s="1"/>
  <c r="DV11" i="265"/>
  <c r="DV14" i="265" s="1"/>
  <c r="DV19" i="265" s="1"/>
  <c r="DW11" i="265"/>
  <c r="DW14" i="265"/>
  <c r="DW19" i="265" s="1"/>
  <c r="DW22" i="265" s="1"/>
  <c r="DW25" i="265" s="1"/>
  <c r="DX11" i="265"/>
  <c r="DX14" i="265" s="1"/>
  <c r="DX19" i="265" s="1"/>
  <c r="DX22" i="265" s="1"/>
  <c r="DY11" i="265"/>
  <c r="DY14" i="265" s="1"/>
  <c r="DZ11" i="265"/>
  <c r="DZ14" i="265" s="1"/>
  <c r="DZ19" i="265" s="1"/>
  <c r="EA11" i="265"/>
  <c r="EA14" i="265"/>
  <c r="EA19" i="265" s="1"/>
  <c r="EA22" i="265" s="1"/>
  <c r="EA25" i="265" s="1"/>
  <c r="G30" i="277"/>
  <c r="F30" i="277"/>
  <c r="E30" i="277"/>
  <c r="G46" i="277"/>
  <c r="G45" i="277"/>
  <c r="F45" i="277"/>
  <c r="E45" i="277"/>
  <c r="G44" i="277"/>
  <c r="F44" i="277"/>
  <c r="E44" i="277"/>
  <c r="G43" i="277"/>
  <c r="F43" i="277"/>
  <c r="E43" i="277"/>
  <c r="G72" i="277"/>
  <c r="F72" i="277"/>
  <c r="E72" i="277"/>
  <c r="I119" i="273"/>
  <c r="G119" i="273"/>
  <c r="F119" i="273"/>
  <c r="E119" i="273"/>
  <c r="I113" i="273"/>
  <c r="G113" i="273"/>
  <c r="F113" i="273"/>
  <c r="E113" i="273"/>
  <c r="E108" i="273"/>
  <c r="F108" i="273"/>
  <c r="G108" i="273"/>
  <c r="I108" i="273"/>
  <c r="G89" i="273"/>
  <c r="E89" i="273"/>
  <c r="E59" i="273"/>
  <c r="F59" i="273"/>
  <c r="G59" i="273"/>
  <c r="H59" i="273"/>
  <c r="I59" i="273"/>
  <c r="J60" i="265"/>
  <c r="K60" i="265"/>
  <c r="L60" i="265"/>
  <c r="M60" i="265"/>
  <c r="N60" i="265"/>
  <c r="O60" i="265"/>
  <c r="P60" i="265"/>
  <c r="Q60" i="265"/>
  <c r="R60" i="265"/>
  <c r="S60" i="265"/>
  <c r="T60" i="265"/>
  <c r="U60" i="265"/>
  <c r="V60" i="265"/>
  <c r="W60" i="265"/>
  <c r="X60" i="265"/>
  <c r="Y60" i="265"/>
  <c r="Z60" i="265"/>
  <c r="AA60" i="265"/>
  <c r="AB60" i="265"/>
  <c r="AC60" i="265"/>
  <c r="AD60" i="265"/>
  <c r="AE60" i="265"/>
  <c r="AF60" i="265"/>
  <c r="AG60" i="265"/>
  <c r="AH60" i="265"/>
  <c r="AI60" i="265"/>
  <c r="AJ60" i="265"/>
  <c r="AK60" i="265"/>
  <c r="AL60" i="265"/>
  <c r="AM60" i="265"/>
  <c r="AN60" i="265"/>
  <c r="AO60" i="265"/>
  <c r="AP60" i="265"/>
  <c r="AQ60" i="265"/>
  <c r="AR60" i="265"/>
  <c r="AS60" i="265"/>
  <c r="AT60" i="265"/>
  <c r="AU60" i="265"/>
  <c r="AV60" i="265"/>
  <c r="AW60" i="265"/>
  <c r="AX60" i="265"/>
  <c r="AY60" i="265"/>
  <c r="AZ60" i="265"/>
  <c r="BA60" i="265"/>
  <c r="BB60" i="265"/>
  <c r="BC60" i="265"/>
  <c r="BD60" i="265"/>
  <c r="BE60" i="265"/>
  <c r="BF60" i="265"/>
  <c r="BG60" i="265"/>
  <c r="BH60" i="265"/>
  <c r="BI60" i="265"/>
  <c r="BJ60" i="265"/>
  <c r="BK60" i="265"/>
  <c r="BL60" i="265"/>
  <c r="BM60" i="265"/>
  <c r="BN60" i="265"/>
  <c r="BO60" i="265"/>
  <c r="BP60" i="265"/>
  <c r="BQ60" i="265"/>
  <c r="BR60" i="265"/>
  <c r="BS60" i="265"/>
  <c r="BT60" i="265"/>
  <c r="BU60" i="265"/>
  <c r="BV60" i="265"/>
  <c r="BW60" i="265"/>
  <c r="BX60" i="265"/>
  <c r="BY60" i="265"/>
  <c r="BZ60" i="265"/>
  <c r="CA60" i="265"/>
  <c r="CB60" i="265"/>
  <c r="CC60" i="265"/>
  <c r="CD60" i="265"/>
  <c r="CE60" i="265"/>
  <c r="CF60" i="265"/>
  <c r="CG60" i="265"/>
  <c r="CH60" i="265"/>
  <c r="CI60" i="265"/>
  <c r="CJ60" i="265"/>
  <c r="CK60" i="265"/>
  <c r="CL60" i="265"/>
  <c r="CM60" i="265"/>
  <c r="CN60" i="265"/>
  <c r="CO60" i="265"/>
  <c r="CP60" i="265"/>
  <c r="CQ60" i="265"/>
  <c r="CR60" i="265"/>
  <c r="CS60" i="265"/>
  <c r="CT60" i="265"/>
  <c r="CU60" i="265"/>
  <c r="CV60" i="265"/>
  <c r="CW60" i="265"/>
  <c r="CX60" i="265"/>
  <c r="CY60" i="265"/>
  <c r="CZ60" i="265"/>
  <c r="DA60" i="265"/>
  <c r="DB60" i="265"/>
  <c r="DC60" i="265"/>
  <c r="DD60" i="265"/>
  <c r="DE60" i="265"/>
  <c r="DF60" i="265"/>
  <c r="DG60" i="265"/>
  <c r="DH60" i="265"/>
  <c r="DI60" i="265"/>
  <c r="DJ60" i="265"/>
  <c r="DK60" i="265"/>
  <c r="DL60" i="265"/>
  <c r="DM60" i="265"/>
  <c r="DN60" i="265"/>
  <c r="DO60" i="265"/>
  <c r="DP60" i="265"/>
  <c r="DQ60" i="265"/>
  <c r="DR60" i="265"/>
  <c r="DS60" i="265"/>
  <c r="DT60" i="265"/>
  <c r="DU60" i="265"/>
  <c r="DV60" i="265"/>
  <c r="DW60" i="265"/>
  <c r="DX60" i="265"/>
  <c r="DY60" i="265"/>
  <c r="DZ60" i="265"/>
  <c r="EA60" i="265"/>
  <c r="E15" i="275"/>
  <c r="F15" i="275"/>
  <c r="G15" i="275"/>
  <c r="I15" i="275"/>
  <c r="G62" i="273"/>
  <c r="E62" i="273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8" i="273"/>
  <c r="F118" i="273"/>
  <c r="G118" i="273"/>
  <c r="H118" i="273"/>
  <c r="G117" i="273"/>
  <c r="F117" i="273"/>
  <c r="E117" i="273"/>
  <c r="E112" i="273"/>
  <c r="F112" i="273"/>
  <c r="G112" i="273"/>
  <c r="H112" i="273"/>
  <c r="I112" i="273"/>
  <c r="G111" i="273"/>
  <c r="E111" i="273"/>
  <c r="H23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1" i="264"/>
  <c r="G13" i="264"/>
  <c r="E13" i="264"/>
  <c r="G12" i="264"/>
  <c r="E12" i="264"/>
  <c r="H68" i="269"/>
  <c r="H67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1" i="277"/>
  <c r="F71" i="277"/>
  <c r="E71" i="277"/>
  <c r="G70" i="277"/>
  <c r="F70" i="277"/>
  <c r="E70" i="277"/>
  <c r="G69" i="277"/>
  <c r="F69" i="277"/>
  <c r="E69" i="277"/>
  <c r="G67" i="277"/>
  <c r="G80" i="277" s="1"/>
  <c r="G65" i="277"/>
  <c r="G64" i="277"/>
  <c r="F64" i="277"/>
  <c r="E64" i="277"/>
  <c r="G60" i="277"/>
  <c r="G52" i="277"/>
  <c r="G51" i="277"/>
  <c r="F51" i="277"/>
  <c r="E51" i="277"/>
  <c r="G49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1" i="277"/>
  <c r="F31" i="277"/>
  <c r="E31" i="277"/>
  <c r="G25" i="277"/>
  <c r="G24" i="277"/>
  <c r="F24" i="277"/>
  <c r="E24" i="277"/>
  <c r="G22" i="277"/>
  <c r="G19" i="277"/>
  <c r="G17" i="277"/>
  <c r="F17" i="277"/>
  <c r="E17" i="277"/>
  <c r="G16" i="277"/>
  <c r="F16" i="277"/>
  <c r="E16" i="277"/>
  <c r="G14" i="277"/>
  <c r="G11" i="277"/>
  <c r="E5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G74" i="277"/>
  <c r="F74" i="277"/>
  <c r="E74" i="277"/>
  <c r="G73" i="277"/>
  <c r="F73" i="277"/>
  <c r="E73" i="277"/>
  <c r="G67" i="265"/>
  <c r="G80" i="265" s="1"/>
  <c r="G65" i="265"/>
  <c r="G63" i="277"/>
  <c r="F63" i="277"/>
  <c r="E63" i="277"/>
  <c r="G60" i="265"/>
  <c r="G59" i="277"/>
  <c r="F59" i="277"/>
  <c r="E59" i="277"/>
  <c r="G10" i="277"/>
  <c r="F10" i="277"/>
  <c r="E10" i="277"/>
  <c r="E5" i="265"/>
  <c r="E4" i="265"/>
  <c r="E3" i="265"/>
  <c r="E2" i="265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A1" i="48"/>
  <c r="R2" i="48"/>
  <c r="Q2" i="48"/>
  <c r="P2" i="48"/>
  <c r="O2" i="48"/>
  <c r="M2" i="48"/>
  <c r="L2" i="48"/>
  <c r="K2" i="48"/>
  <c r="A1" i="269"/>
  <c r="A1" i="265"/>
  <c r="J5" i="273"/>
  <c r="J5" i="275"/>
  <c r="J5" i="277"/>
  <c r="J5" i="265"/>
  <c r="E13" i="277"/>
  <c r="G13" i="277"/>
  <c r="F21" i="277"/>
  <c r="F32" i="277"/>
  <c r="E48" i="277"/>
  <c r="G48" i="277"/>
  <c r="F9" i="277"/>
  <c r="G9" i="277"/>
  <c r="F13" i="277"/>
  <c r="E21" i="277"/>
  <c r="G21" i="277"/>
  <c r="E32" i="277"/>
  <c r="G32" i="277"/>
  <c r="F48" i="277"/>
  <c r="E9" i="277"/>
  <c r="J42" i="265"/>
  <c r="K33" i="265"/>
  <c r="K37" i="265" s="1"/>
  <c r="K42" i="265" s="1"/>
  <c r="K47" i="265" s="1"/>
  <c r="K50" i="265"/>
  <c r="K53" i="265" s="1"/>
  <c r="L19" i="265"/>
  <c r="L22" i="265" s="1"/>
  <c r="L33" i="265"/>
  <c r="L37" i="265" s="1"/>
  <c r="L42" i="265" s="1"/>
  <c r="L47" i="265" s="1"/>
  <c r="L50" i="265" s="1"/>
  <c r="L53" i="265" s="1"/>
  <c r="M33" i="265"/>
  <c r="M37" i="265" s="1"/>
  <c r="M42" i="265" s="1"/>
  <c r="M47" i="265" s="1"/>
  <c r="M50" i="265" s="1"/>
  <c r="M53" i="265" s="1"/>
  <c r="N33" i="265"/>
  <c r="N37" i="265" s="1"/>
  <c r="O33" i="265"/>
  <c r="O37" i="265" s="1"/>
  <c r="O42" i="265" s="1"/>
  <c r="O47" i="265" s="1"/>
  <c r="O50" i="265" s="1"/>
  <c r="O53" i="265" s="1"/>
  <c r="P33" i="265"/>
  <c r="P37" i="265" s="1"/>
  <c r="P42" i="265" s="1"/>
  <c r="P47" i="265" s="1"/>
  <c r="P50" i="265" s="1"/>
  <c r="P53" i="265" s="1"/>
  <c r="Q33" i="265"/>
  <c r="Q37" i="265" s="1"/>
  <c r="Q42" i="265" s="1"/>
  <c r="Q47" i="265" s="1"/>
  <c r="Q50" i="265" s="1"/>
  <c r="Q53" i="265" s="1"/>
  <c r="R19" i="265"/>
  <c r="R22" i="265" s="1"/>
  <c r="R25" i="265"/>
  <c r="R33" i="265"/>
  <c r="R37" i="265" s="1"/>
  <c r="R42" i="265" s="1"/>
  <c r="R47" i="265" s="1"/>
  <c r="R50" i="265" s="1"/>
  <c r="R53" i="265" s="1"/>
  <c r="S33" i="265"/>
  <c r="S37" i="265" s="1"/>
  <c r="S42" i="265" s="1"/>
  <c r="S47" i="265" s="1"/>
  <c r="S50" i="265" s="1"/>
  <c r="S53" i="265" s="1"/>
  <c r="T33" i="265"/>
  <c r="T37" i="265" s="1"/>
  <c r="T42" i="265" s="1"/>
  <c r="T47" i="265" s="1"/>
  <c r="T50" i="265" s="1"/>
  <c r="T53" i="265" s="1"/>
  <c r="U33" i="265"/>
  <c r="U37" i="265" s="1"/>
  <c r="U42" i="265" s="1"/>
  <c r="U47" i="265" s="1"/>
  <c r="U50" i="265" s="1"/>
  <c r="U53" i="265" s="1"/>
  <c r="V33" i="265"/>
  <c r="V37" i="265" s="1"/>
  <c r="V42" i="265" s="1"/>
  <c r="V47" i="265" s="1"/>
  <c r="V50" i="265" s="1"/>
  <c r="W33" i="265"/>
  <c r="W37" i="265" s="1"/>
  <c r="W42" i="265" s="1"/>
  <c r="W47" i="265" s="1"/>
  <c r="W50" i="265" s="1"/>
  <c r="W53" i="265" s="1"/>
  <c r="X33" i="265"/>
  <c r="X37" i="265" s="1"/>
  <c r="X42" i="265" s="1"/>
  <c r="X47" i="265" s="1"/>
  <c r="X50" i="265" s="1"/>
  <c r="X53" i="265" s="1"/>
  <c r="Y33" i="265"/>
  <c r="Y37" i="265" s="1"/>
  <c r="Y42" i="265" s="1"/>
  <c r="Y47" i="265" s="1"/>
  <c r="Y50" i="265" s="1"/>
  <c r="Y53" i="265" s="1"/>
  <c r="Z33" i="265"/>
  <c r="Z37" i="265" s="1"/>
  <c r="Z42" i="265" s="1"/>
  <c r="Z47" i="265" s="1"/>
  <c r="Z50" i="265" s="1"/>
  <c r="Z53" i="265" s="1"/>
  <c r="AA19" i="265"/>
  <c r="AA22" i="265" s="1"/>
  <c r="AA25" i="265" s="1"/>
  <c r="AA33" i="265"/>
  <c r="AA37" i="265" s="1"/>
  <c r="AA42" i="265" s="1"/>
  <c r="AA47" i="265" s="1"/>
  <c r="AA50" i="265" s="1"/>
  <c r="AA53" i="265" s="1"/>
  <c r="AB19" i="265"/>
  <c r="AB22" i="265"/>
  <c r="AB25" i="265" s="1"/>
  <c r="AB33" i="265"/>
  <c r="AB37" i="265" s="1"/>
  <c r="AB42" i="265" s="1"/>
  <c r="AB47" i="265" s="1"/>
  <c r="AB50" i="265" s="1"/>
  <c r="AB53" i="265" s="1"/>
  <c r="AC33" i="265"/>
  <c r="AC37" i="265" s="1"/>
  <c r="AC42" i="265" s="1"/>
  <c r="AC47" i="265" s="1"/>
  <c r="AC50" i="265" s="1"/>
  <c r="AC53" i="265" s="1"/>
  <c r="AD33" i="265"/>
  <c r="AD37" i="265" s="1"/>
  <c r="AD42" i="265" s="1"/>
  <c r="AD47" i="265" s="1"/>
  <c r="AD50" i="265" s="1"/>
  <c r="AD53" i="265" s="1"/>
  <c r="AD22" i="265"/>
  <c r="AD25" i="265" s="1"/>
  <c r="AE33" i="265"/>
  <c r="AE37" i="265" s="1"/>
  <c r="AE42" i="265" s="1"/>
  <c r="AE47" i="265" s="1"/>
  <c r="AE50" i="265" s="1"/>
  <c r="AE53" i="265" s="1"/>
  <c r="AF33" i="265"/>
  <c r="AF37" i="265" s="1"/>
  <c r="AF42" i="265" s="1"/>
  <c r="AF47" i="265" s="1"/>
  <c r="AF50" i="265" s="1"/>
  <c r="AF53" i="265" s="1"/>
  <c r="AG33" i="265"/>
  <c r="AG37" i="265" s="1"/>
  <c r="AG42" i="265" s="1"/>
  <c r="AG47" i="265" s="1"/>
  <c r="AG50" i="265" s="1"/>
  <c r="AG53" i="265" s="1"/>
  <c r="AH33" i="265"/>
  <c r="AH37" i="265" s="1"/>
  <c r="AH42" i="265" s="1"/>
  <c r="AH47" i="265" s="1"/>
  <c r="AH50" i="265" s="1"/>
  <c r="AH53" i="265" s="1"/>
  <c r="AI33" i="265"/>
  <c r="AI37" i="265" s="1"/>
  <c r="AI42" i="265" s="1"/>
  <c r="AI47" i="265" s="1"/>
  <c r="AI50" i="265" s="1"/>
  <c r="AI53" i="265" s="1"/>
  <c r="AJ33" i="265"/>
  <c r="AJ37" i="265" s="1"/>
  <c r="AJ42" i="265" s="1"/>
  <c r="AJ47" i="265" s="1"/>
  <c r="AJ50" i="265" s="1"/>
  <c r="AJ53" i="265" s="1"/>
  <c r="AK33" i="265"/>
  <c r="AK37" i="265" s="1"/>
  <c r="AK42" i="265" s="1"/>
  <c r="AK47" i="265" s="1"/>
  <c r="AK50" i="265" s="1"/>
  <c r="AK53" i="265" s="1"/>
  <c r="AL33" i="265"/>
  <c r="AL37" i="265" s="1"/>
  <c r="AL42" i="265" s="1"/>
  <c r="AL47" i="265" s="1"/>
  <c r="AL50" i="265" s="1"/>
  <c r="AL53" i="265" s="1"/>
  <c r="AM33" i="265"/>
  <c r="AM37" i="265"/>
  <c r="AM42" i="265" s="1"/>
  <c r="AM47" i="265" s="1"/>
  <c r="AM50" i="265" s="1"/>
  <c r="AM53" i="265" s="1"/>
  <c r="AN33" i="265"/>
  <c r="AN37" i="265" s="1"/>
  <c r="AN42" i="265" s="1"/>
  <c r="AN47" i="265" s="1"/>
  <c r="AN50" i="265" s="1"/>
  <c r="AN53" i="265" s="1"/>
  <c r="AO33" i="265"/>
  <c r="AO37" i="265" s="1"/>
  <c r="AO42" i="265" s="1"/>
  <c r="AO47" i="265" s="1"/>
  <c r="AO50" i="265" s="1"/>
  <c r="AO53" i="265" s="1"/>
  <c r="AP33" i="265"/>
  <c r="AP37" i="265" s="1"/>
  <c r="AP42" i="265" s="1"/>
  <c r="AP47" i="265" s="1"/>
  <c r="AP50" i="265" s="1"/>
  <c r="AP53" i="265" s="1"/>
  <c r="AQ33" i="265"/>
  <c r="AQ37" i="265" s="1"/>
  <c r="AQ42" i="265" s="1"/>
  <c r="AQ47" i="265" s="1"/>
  <c r="AQ50" i="265" s="1"/>
  <c r="AQ53" i="265" s="1"/>
  <c r="AR33" i="265"/>
  <c r="AR37" i="265" s="1"/>
  <c r="AR42" i="265" s="1"/>
  <c r="AR47" i="265" s="1"/>
  <c r="AR50" i="265" s="1"/>
  <c r="AR53" i="265" s="1"/>
  <c r="AS33" i="265"/>
  <c r="AS37" i="265" s="1"/>
  <c r="AS42" i="265" s="1"/>
  <c r="AS47" i="265" s="1"/>
  <c r="AS50" i="265" s="1"/>
  <c r="AS53" i="265" s="1"/>
  <c r="AT33" i="265"/>
  <c r="AT37" i="265" s="1"/>
  <c r="AT42" i="265" s="1"/>
  <c r="AT47" i="265" s="1"/>
  <c r="AT50" i="265" s="1"/>
  <c r="AT53" i="265" s="1"/>
  <c r="AU33" i="265"/>
  <c r="AU37" i="265" s="1"/>
  <c r="AU42" i="265" s="1"/>
  <c r="AU47" i="265" s="1"/>
  <c r="AU50" i="265" s="1"/>
  <c r="AU53" i="265" s="1"/>
  <c r="AV33" i="265"/>
  <c r="AV37" i="265" s="1"/>
  <c r="AV42" i="265" s="1"/>
  <c r="AV47" i="265" s="1"/>
  <c r="AV50" i="265" s="1"/>
  <c r="AV53" i="265" s="1"/>
  <c r="AW33" i="265"/>
  <c r="AW37" i="265" s="1"/>
  <c r="AW42" i="265" s="1"/>
  <c r="AW47" i="265" s="1"/>
  <c r="AW50" i="265" s="1"/>
  <c r="AW53" i="265" s="1"/>
  <c r="AX33" i="265"/>
  <c r="AX37" i="265" s="1"/>
  <c r="AX42" i="265" s="1"/>
  <c r="AX47" i="265" s="1"/>
  <c r="AX50" i="265" s="1"/>
  <c r="AX53" i="265" s="1"/>
  <c r="AY33" i="265"/>
  <c r="AY37" i="265" s="1"/>
  <c r="AY42" i="265" s="1"/>
  <c r="AY47" i="265" s="1"/>
  <c r="AY50" i="265" s="1"/>
  <c r="AY53" i="265" s="1"/>
  <c r="AZ33" i="265"/>
  <c r="AZ37" i="265" s="1"/>
  <c r="AZ42" i="265" s="1"/>
  <c r="AZ47" i="265" s="1"/>
  <c r="AZ50" i="265" s="1"/>
  <c r="AZ53" i="265" s="1"/>
  <c r="AZ22" i="265"/>
  <c r="AZ25" i="265" s="1"/>
  <c r="BA33" i="265"/>
  <c r="BA37" i="265" s="1"/>
  <c r="BA42" i="265" s="1"/>
  <c r="BA47" i="265" s="1"/>
  <c r="BA50" i="265" s="1"/>
  <c r="BA53" i="265" s="1"/>
  <c r="BB33" i="265"/>
  <c r="BB37" i="265" s="1"/>
  <c r="BB42" i="265" s="1"/>
  <c r="BB47" i="265" s="1"/>
  <c r="BB50" i="265" s="1"/>
  <c r="BB53" i="265" s="1"/>
  <c r="BC33" i="265"/>
  <c r="BC37" i="265" s="1"/>
  <c r="BC42" i="265" s="1"/>
  <c r="BC47" i="265" s="1"/>
  <c r="BC50" i="265" s="1"/>
  <c r="BC53" i="265" s="1"/>
  <c r="BD33" i="265"/>
  <c r="BD37" i="265" s="1"/>
  <c r="BD42" i="265" s="1"/>
  <c r="BD47" i="265" s="1"/>
  <c r="BD50" i="265" s="1"/>
  <c r="BD53" i="265" s="1"/>
  <c r="BE33" i="265"/>
  <c r="BE37" i="265" s="1"/>
  <c r="BE42" i="265" s="1"/>
  <c r="BE47" i="265" s="1"/>
  <c r="BE50" i="265" s="1"/>
  <c r="BE53" i="265" s="1"/>
  <c r="BF33" i="265"/>
  <c r="BF37" i="265" s="1"/>
  <c r="BF42" i="265" s="1"/>
  <c r="BF47" i="265" s="1"/>
  <c r="BF50" i="265" s="1"/>
  <c r="BF53" i="265" s="1"/>
  <c r="BG33" i="265"/>
  <c r="BG37" i="265" s="1"/>
  <c r="BG42" i="265" s="1"/>
  <c r="BG47" i="265" s="1"/>
  <c r="BG50" i="265" s="1"/>
  <c r="BG53" i="265" s="1"/>
  <c r="BH19" i="265"/>
  <c r="BH22" i="265"/>
  <c r="BH25" i="265" s="1"/>
  <c r="BH33" i="265"/>
  <c r="BH37" i="265" s="1"/>
  <c r="BH42" i="265" s="1"/>
  <c r="BH47" i="265" s="1"/>
  <c r="BH50" i="265" s="1"/>
  <c r="BH53" i="265" s="1"/>
  <c r="BI33" i="265"/>
  <c r="BI37" i="265" s="1"/>
  <c r="BI42" i="265" s="1"/>
  <c r="BI47" i="265" s="1"/>
  <c r="BI50" i="265" s="1"/>
  <c r="BI53" i="265" s="1"/>
  <c r="BJ33" i="265"/>
  <c r="BJ37" i="265" s="1"/>
  <c r="BJ42" i="265" s="1"/>
  <c r="BJ47" i="265" s="1"/>
  <c r="BJ50" i="265" s="1"/>
  <c r="BJ53" i="265" s="1"/>
  <c r="BK19" i="265"/>
  <c r="BK22" i="265" s="1"/>
  <c r="BK25" i="265" s="1"/>
  <c r="BK33" i="265"/>
  <c r="BK37" i="265" s="1"/>
  <c r="BK42" i="265" s="1"/>
  <c r="BK47" i="265" s="1"/>
  <c r="BK50" i="265" s="1"/>
  <c r="BK53" i="265" s="1"/>
  <c r="BL33" i="265"/>
  <c r="BL37" i="265" s="1"/>
  <c r="BL42" i="265"/>
  <c r="BL47" i="265" s="1"/>
  <c r="BL50" i="265" s="1"/>
  <c r="BL53" i="265" s="1"/>
  <c r="BM33" i="265"/>
  <c r="BM37" i="265"/>
  <c r="BM42" i="265" s="1"/>
  <c r="BM47" i="265" s="1"/>
  <c r="BM50" i="265" s="1"/>
  <c r="BM53" i="265" s="1"/>
  <c r="BN33" i="265"/>
  <c r="BN37" i="265"/>
  <c r="BN42" i="265" s="1"/>
  <c r="BN47" i="265" s="1"/>
  <c r="BN50" i="265" s="1"/>
  <c r="BN53" i="265" s="1"/>
  <c r="BO33" i="265"/>
  <c r="BO37" i="265" s="1"/>
  <c r="BO42" i="265" s="1"/>
  <c r="BO47" i="265" s="1"/>
  <c r="BO50" i="265" s="1"/>
  <c r="BO53" i="265" s="1"/>
  <c r="BP19" i="265"/>
  <c r="BP22" i="265" s="1"/>
  <c r="BP25" i="265" s="1"/>
  <c r="BP33" i="265"/>
  <c r="BP37" i="265" s="1"/>
  <c r="BP42" i="265" s="1"/>
  <c r="BP47" i="265" s="1"/>
  <c r="BP50" i="265" s="1"/>
  <c r="BP53" i="265" s="1"/>
  <c r="BQ33" i="265"/>
  <c r="BQ37" i="265" s="1"/>
  <c r="BQ42" i="265" s="1"/>
  <c r="BQ47" i="265" s="1"/>
  <c r="BQ50" i="265" s="1"/>
  <c r="BQ53" i="265" s="1"/>
  <c r="BR33" i="265"/>
  <c r="BR37" i="265" s="1"/>
  <c r="BR42" i="265" s="1"/>
  <c r="BR47" i="265" s="1"/>
  <c r="BR50" i="265" s="1"/>
  <c r="BR53" i="265" s="1"/>
  <c r="BS33" i="265"/>
  <c r="BS37" i="265" s="1"/>
  <c r="BS42" i="265" s="1"/>
  <c r="BS47" i="265" s="1"/>
  <c r="BS50" i="265" s="1"/>
  <c r="BS53" i="265" s="1"/>
  <c r="BT33" i="265"/>
  <c r="BT37" i="265" s="1"/>
  <c r="BT42" i="265" s="1"/>
  <c r="BT47" i="265" s="1"/>
  <c r="BT50" i="265" s="1"/>
  <c r="BT53" i="265" s="1"/>
  <c r="BU19" i="265"/>
  <c r="BU22" i="265"/>
  <c r="BU25" i="265" s="1"/>
  <c r="BU33" i="265"/>
  <c r="BU37" i="265" s="1"/>
  <c r="BU42" i="265" s="1"/>
  <c r="BU47" i="265" s="1"/>
  <c r="BU50" i="265" s="1"/>
  <c r="BU53" i="265" s="1"/>
  <c r="BV19" i="265"/>
  <c r="BV22" i="265" s="1"/>
  <c r="BV25" i="265" s="1"/>
  <c r="BV33" i="265"/>
  <c r="BV37" i="265" s="1"/>
  <c r="BV42" i="265" s="1"/>
  <c r="BV47" i="265" s="1"/>
  <c r="BV50" i="265" s="1"/>
  <c r="BV53" i="265" s="1"/>
  <c r="BW33" i="265"/>
  <c r="BW37" i="265" s="1"/>
  <c r="BW42" i="265" s="1"/>
  <c r="BW47" i="265" s="1"/>
  <c r="BW50" i="265" s="1"/>
  <c r="BW53" i="265" s="1"/>
  <c r="BW22" i="265"/>
  <c r="BW25" i="265" s="1"/>
  <c r="BX33" i="265"/>
  <c r="BX37" i="265" s="1"/>
  <c r="BX42" i="265" s="1"/>
  <c r="BX47" i="265" s="1"/>
  <c r="BX50" i="265" s="1"/>
  <c r="BX53" i="265" s="1"/>
  <c r="BY33" i="265"/>
  <c r="BY37" i="265" s="1"/>
  <c r="BY42" i="265" s="1"/>
  <c r="BY47" i="265" s="1"/>
  <c r="BY50" i="265" s="1"/>
  <c r="BY53" i="265" s="1"/>
  <c r="BZ33" i="265"/>
  <c r="BZ37" i="265"/>
  <c r="BZ42" i="265" s="1"/>
  <c r="BZ47" i="265" s="1"/>
  <c r="BZ50" i="265" s="1"/>
  <c r="BZ53" i="265" s="1"/>
  <c r="CA33" i="265"/>
  <c r="CA37" i="265" s="1"/>
  <c r="CA42" i="265" s="1"/>
  <c r="CA47" i="265" s="1"/>
  <c r="CA50" i="265" s="1"/>
  <c r="CA53" i="265" s="1"/>
  <c r="CB19" i="265"/>
  <c r="CB22" i="265" s="1"/>
  <c r="CB25" i="265" s="1"/>
  <c r="CB33" i="265"/>
  <c r="CB37" i="265" s="1"/>
  <c r="CB42" i="265" s="1"/>
  <c r="CB47" i="265" s="1"/>
  <c r="CB50" i="265" s="1"/>
  <c r="CB53" i="265" s="1"/>
  <c r="CC33" i="265"/>
  <c r="CC37" i="265" s="1"/>
  <c r="CC42" i="265" s="1"/>
  <c r="CC47" i="265" s="1"/>
  <c r="CC50" i="265" s="1"/>
  <c r="CC53" i="265" s="1"/>
  <c r="CD33" i="265"/>
  <c r="CD37" i="265" s="1"/>
  <c r="CD42" i="265" s="1"/>
  <c r="CD47" i="265" s="1"/>
  <c r="CD50" i="265" s="1"/>
  <c r="CD53" i="265" s="1"/>
  <c r="CE19" i="265"/>
  <c r="CE22" i="265" s="1"/>
  <c r="CE25" i="265" s="1"/>
  <c r="CE33" i="265"/>
  <c r="CE37" i="265" s="1"/>
  <c r="CE42" i="265" s="1"/>
  <c r="CE47" i="265" s="1"/>
  <c r="CE50" i="265" s="1"/>
  <c r="CE53" i="265" s="1"/>
  <c r="CF19" i="265"/>
  <c r="CF22" i="265" s="1"/>
  <c r="CF25" i="265"/>
  <c r="CF33" i="265"/>
  <c r="CF37" i="265" s="1"/>
  <c r="CF42" i="265" s="1"/>
  <c r="CF47" i="265" s="1"/>
  <c r="CF50" i="265" s="1"/>
  <c r="CF53" i="265" s="1"/>
  <c r="CG33" i="265"/>
  <c r="CG37" i="265" s="1"/>
  <c r="CG42" i="265" s="1"/>
  <c r="CG47" i="265" s="1"/>
  <c r="CG50" i="265" s="1"/>
  <c r="CG53" i="265" s="1"/>
  <c r="CH33" i="265"/>
  <c r="CH37" i="265" s="1"/>
  <c r="CH42" i="265" s="1"/>
  <c r="CH47" i="265" s="1"/>
  <c r="CH50" i="265" s="1"/>
  <c r="CH53" i="265" s="1"/>
  <c r="CI33" i="265"/>
  <c r="CI37" i="265" s="1"/>
  <c r="CI42" i="265" s="1"/>
  <c r="CI47" i="265" s="1"/>
  <c r="CI50" i="265" s="1"/>
  <c r="CI53" i="265" s="1"/>
  <c r="CJ19" i="265"/>
  <c r="CJ22" i="265"/>
  <c r="CJ25" i="265" s="1"/>
  <c r="CJ33" i="265"/>
  <c r="CJ37" i="265" s="1"/>
  <c r="CJ42" i="265" s="1"/>
  <c r="CJ47" i="265" s="1"/>
  <c r="CJ50" i="265" s="1"/>
  <c r="CJ53" i="265" s="1"/>
  <c r="CK33" i="265"/>
  <c r="CK37" i="265" s="1"/>
  <c r="CK42" i="265" s="1"/>
  <c r="CK47" i="265" s="1"/>
  <c r="CK50" i="265" s="1"/>
  <c r="CK53" i="265" s="1"/>
  <c r="CL33" i="265"/>
  <c r="CL37" i="265" s="1"/>
  <c r="CL42" i="265" s="1"/>
  <c r="CL47" i="265" s="1"/>
  <c r="CL50" i="265" s="1"/>
  <c r="CL53" i="265" s="1"/>
  <c r="CM33" i="265"/>
  <c r="CM37" i="265" s="1"/>
  <c r="CM42" i="265" s="1"/>
  <c r="CM47" i="265" s="1"/>
  <c r="CM50" i="265" s="1"/>
  <c r="CM53" i="265" s="1"/>
  <c r="CN33" i="265"/>
  <c r="CN37" i="265" s="1"/>
  <c r="CN42" i="265" s="1"/>
  <c r="CN47" i="265" s="1"/>
  <c r="CN50" i="265" s="1"/>
  <c r="CN53" i="265" s="1"/>
  <c r="CO33" i="265"/>
  <c r="CO37" i="265" s="1"/>
  <c r="CO42" i="265" s="1"/>
  <c r="CO47" i="265" s="1"/>
  <c r="CO50" i="265" s="1"/>
  <c r="CO53" i="265" s="1"/>
  <c r="CP33" i="265"/>
  <c r="CP37" i="265" s="1"/>
  <c r="CP42" i="265" s="1"/>
  <c r="CP47" i="265" s="1"/>
  <c r="CP50" i="265" s="1"/>
  <c r="CP53" i="265" s="1"/>
  <c r="CQ33" i="265"/>
  <c r="CQ37" i="265" s="1"/>
  <c r="CQ42" i="265" s="1"/>
  <c r="CQ47" i="265" s="1"/>
  <c r="CQ50" i="265" s="1"/>
  <c r="CQ53" i="265" s="1"/>
  <c r="CR19" i="265"/>
  <c r="CR22" i="265"/>
  <c r="CR25" i="265" s="1"/>
  <c r="CR33" i="265"/>
  <c r="CR37" i="265" s="1"/>
  <c r="CR42" i="265" s="1"/>
  <c r="CR47" i="265" s="1"/>
  <c r="CR50" i="265" s="1"/>
  <c r="CR53" i="265" s="1"/>
  <c r="CS33" i="265"/>
  <c r="CS37" i="265" s="1"/>
  <c r="CS42" i="265" s="1"/>
  <c r="CS47" i="265" s="1"/>
  <c r="CS50" i="265" s="1"/>
  <c r="CS53" i="265" s="1"/>
  <c r="CT33" i="265"/>
  <c r="CT37" i="265"/>
  <c r="CT42" i="265" s="1"/>
  <c r="CT47" i="265" s="1"/>
  <c r="CT50" i="265" s="1"/>
  <c r="CT53" i="265" s="1"/>
  <c r="CU33" i="265"/>
  <c r="CU37" i="265" s="1"/>
  <c r="CU42" i="265" s="1"/>
  <c r="CU47" i="265" s="1"/>
  <c r="CU50" i="265" s="1"/>
  <c r="CU53" i="265" s="1"/>
  <c r="CV19" i="265"/>
  <c r="CV22" i="265"/>
  <c r="CV25" i="265" s="1"/>
  <c r="CV33" i="265"/>
  <c r="CV37" i="265" s="1"/>
  <c r="CV42" i="265" s="1"/>
  <c r="CV47" i="265" s="1"/>
  <c r="CV50" i="265" s="1"/>
  <c r="CV53" i="265" s="1"/>
  <c r="CW33" i="265"/>
  <c r="CW37" i="265" s="1"/>
  <c r="CW42" i="265" s="1"/>
  <c r="CW47" i="265" s="1"/>
  <c r="CW50" i="265" s="1"/>
  <c r="CW53" i="265" s="1"/>
  <c r="CX33" i="265"/>
  <c r="CX37" i="265" s="1"/>
  <c r="CX42" i="265" s="1"/>
  <c r="CX47" i="265" s="1"/>
  <c r="CX50" i="265" s="1"/>
  <c r="CX53" i="265" s="1"/>
  <c r="CY33" i="265"/>
  <c r="CY37" i="265" s="1"/>
  <c r="CY42" i="265"/>
  <c r="CY47" i="265" s="1"/>
  <c r="CY50" i="265" s="1"/>
  <c r="CY53" i="265" s="1"/>
  <c r="CZ33" i="265"/>
  <c r="CZ37" i="265" s="1"/>
  <c r="CZ42" i="265" s="1"/>
  <c r="CZ47" i="265" s="1"/>
  <c r="CZ50" i="265" s="1"/>
  <c r="CZ53" i="265" s="1"/>
  <c r="DA33" i="265"/>
  <c r="DA37" i="265" s="1"/>
  <c r="DA42" i="265" s="1"/>
  <c r="DA47" i="265" s="1"/>
  <c r="DA50" i="265" s="1"/>
  <c r="DA53" i="265" s="1"/>
  <c r="DB33" i="265"/>
  <c r="DB37" i="265" s="1"/>
  <c r="DB42" i="265" s="1"/>
  <c r="DB47" i="265" s="1"/>
  <c r="DB50" i="265" s="1"/>
  <c r="DB53" i="265" s="1"/>
  <c r="DC33" i="265"/>
  <c r="DC37" i="265" s="1"/>
  <c r="DC42" i="265" s="1"/>
  <c r="DC47" i="265" s="1"/>
  <c r="DC50" i="265" s="1"/>
  <c r="DC53" i="265" s="1"/>
  <c r="DD33" i="265"/>
  <c r="DD37" i="265" s="1"/>
  <c r="DD42" i="265" s="1"/>
  <c r="DD47" i="265" s="1"/>
  <c r="DD50" i="265" s="1"/>
  <c r="DD53" i="265" s="1"/>
  <c r="DE19" i="265"/>
  <c r="DE22" i="265" s="1"/>
  <c r="DE25" i="265" s="1"/>
  <c r="DE33" i="265"/>
  <c r="DE37" i="265" s="1"/>
  <c r="DE42" i="265" s="1"/>
  <c r="DE47" i="265" s="1"/>
  <c r="DE50" i="265" s="1"/>
  <c r="DE53" i="265" s="1"/>
  <c r="DF19" i="265"/>
  <c r="DF22" i="265" s="1"/>
  <c r="DF25" i="265" s="1"/>
  <c r="DF33" i="265"/>
  <c r="DF37" i="265" s="1"/>
  <c r="DF42" i="265" s="1"/>
  <c r="DF47" i="265" s="1"/>
  <c r="DF50" i="265" s="1"/>
  <c r="DF53" i="265" s="1"/>
  <c r="DG33" i="265"/>
  <c r="DG37" i="265" s="1"/>
  <c r="DG42" i="265" s="1"/>
  <c r="DG47" i="265" s="1"/>
  <c r="DG50" i="265" s="1"/>
  <c r="DG53" i="265" s="1"/>
  <c r="DH19" i="265"/>
  <c r="DH22" i="265" s="1"/>
  <c r="DH33" i="265"/>
  <c r="DH37" i="265" s="1"/>
  <c r="DH42" i="265" s="1"/>
  <c r="DH47" i="265" s="1"/>
  <c r="DH50" i="265" s="1"/>
  <c r="DH53" i="265" s="1"/>
  <c r="DI19" i="265"/>
  <c r="DI22" i="265" s="1"/>
  <c r="DI25" i="265"/>
  <c r="DI33" i="265"/>
  <c r="DI37" i="265"/>
  <c r="DI42" i="265" s="1"/>
  <c r="DI47" i="265" s="1"/>
  <c r="DI50" i="265" s="1"/>
  <c r="DI53" i="265" s="1"/>
  <c r="DJ19" i="265"/>
  <c r="DJ22" i="265"/>
  <c r="DJ25" i="265" s="1"/>
  <c r="DJ33" i="265"/>
  <c r="DJ37" i="265" s="1"/>
  <c r="DJ42" i="265"/>
  <c r="DJ47" i="265" s="1"/>
  <c r="DJ50" i="265" s="1"/>
  <c r="DJ53" i="265" s="1"/>
  <c r="DK19" i="265"/>
  <c r="DK22" i="265" s="1"/>
  <c r="DK25" i="265" s="1"/>
  <c r="DK33" i="265"/>
  <c r="DK37" i="265" s="1"/>
  <c r="DK42" i="265"/>
  <c r="DK47" i="265" s="1"/>
  <c r="DK50" i="265" s="1"/>
  <c r="DK53" i="265" s="1"/>
  <c r="DL33" i="265"/>
  <c r="DL37" i="265" s="1"/>
  <c r="DL42" i="265" s="1"/>
  <c r="DL47" i="265" s="1"/>
  <c r="DL50" i="265" s="1"/>
  <c r="DL53" i="265" s="1"/>
  <c r="DM19" i="265"/>
  <c r="DM22" i="265" s="1"/>
  <c r="DM25" i="265"/>
  <c r="DM33" i="265"/>
  <c r="DM37" i="265"/>
  <c r="DM42" i="265" s="1"/>
  <c r="DM47" i="265" s="1"/>
  <c r="DM50" i="265" s="1"/>
  <c r="DM53" i="265" s="1"/>
  <c r="DN19" i="265"/>
  <c r="DN22" i="265"/>
  <c r="DN25" i="265" s="1"/>
  <c r="DN33" i="265"/>
  <c r="DN37" i="265" s="1"/>
  <c r="DN42" i="265"/>
  <c r="DN47" i="265" s="1"/>
  <c r="DN50" i="265" s="1"/>
  <c r="DN53" i="265" s="1"/>
  <c r="DO33" i="265"/>
  <c r="DO37" i="265" s="1"/>
  <c r="DO42" i="265" s="1"/>
  <c r="DO47" i="265" s="1"/>
  <c r="DO50" i="265" s="1"/>
  <c r="DO53" i="265" s="1"/>
  <c r="DP19" i="265"/>
  <c r="DP22" i="265" s="1"/>
  <c r="DP25" i="265"/>
  <c r="DP33" i="265"/>
  <c r="DP37" i="265"/>
  <c r="DP42" i="265" s="1"/>
  <c r="DP47" i="265" s="1"/>
  <c r="DP50" i="265" s="1"/>
  <c r="DP53" i="265" s="1"/>
  <c r="DQ19" i="265"/>
  <c r="DQ22" i="265"/>
  <c r="DQ25" i="265" s="1"/>
  <c r="DQ33" i="265"/>
  <c r="DQ37" i="265" s="1"/>
  <c r="DQ42" i="265"/>
  <c r="DQ47" i="265" s="1"/>
  <c r="DQ50" i="265" s="1"/>
  <c r="DQ53" i="265" s="1"/>
  <c r="DR19" i="265"/>
  <c r="DR22" i="265" s="1"/>
  <c r="DR25" i="265" s="1"/>
  <c r="DR33" i="265"/>
  <c r="DR37" i="265"/>
  <c r="DR42" i="265" s="1"/>
  <c r="DR47" i="265"/>
  <c r="DR50" i="265" s="1"/>
  <c r="DR53" i="265" s="1"/>
  <c r="DS33" i="265"/>
  <c r="DS37" i="265"/>
  <c r="DS42" i="265" s="1"/>
  <c r="DS47" i="265"/>
  <c r="DS50" i="265" s="1"/>
  <c r="DS53" i="265" s="1"/>
  <c r="DS22" i="265"/>
  <c r="DS25" i="265"/>
  <c r="DT19" i="265"/>
  <c r="DT22" i="265"/>
  <c r="DT25" i="265" s="1"/>
  <c r="DT33" i="265"/>
  <c r="DT37" i="265" s="1"/>
  <c r="DT42" i="265" s="1"/>
  <c r="DT47" i="265" s="1"/>
  <c r="DT50" i="265" s="1"/>
  <c r="DT53" i="265" s="1"/>
  <c r="DU19" i="265"/>
  <c r="DU22" i="265" s="1"/>
  <c r="DU25" i="265"/>
  <c r="DU33" i="265"/>
  <c r="DU37" i="265"/>
  <c r="DU42" i="265" s="1"/>
  <c r="DU47" i="265" s="1"/>
  <c r="DU50" i="265" s="1"/>
  <c r="DU53" i="265" s="1"/>
  <c r="DV33" i="265"/>
  <c r="DV37" i="265"/>
  <c r="DV42" i="265" s="1"/>
  <c r="DV47" i="265" s="1"/>
  <c r="DV50" i="265" s="1"/>
  <c r="DV53" i="265" s="1"/>
  <c r="DV22" i="265"/>
  <c r="DW33" i="265"/>
  <c r="DW37" i="265" s="1"/>
  <c r="DW42" i="265" s="1"/>
  <c r="DW47" i="265" s="1"/>
  <c r="DW50" i="265" s="1"/>
  <c r="DW53" i="265" s="1"/>
  <c r="DX33" i="265"/>
  <c r="DX37" i="265" s="1"/>
  <c r="DX42" i="265"/>
  <c r="DX47" i="265" s="1"/>
  <c r="DX50" i="265" s="1"/>
  <c r="DX53" i="265" s="1"/>
  <c r="DY19" i="265"/>
  <c r="DY22" i="265" s="1"/>
  <c r="DY25" i="265" s="1"/>
  <c r="DY33" i="265"/>
  <c r="DY37" i="265"/>
  <c r="DY42" i="265" s="1"/>
  <c r="DY47" i="265"/>
  <c r="DY50" i="265" s="1"/>
  <c r="DY53" i="265" s="1"/>
  <c r="DZ33" i="265"/>
  <c r="DZ37" i="265"/>
  <c r="DZ42" i="265" s="1"/>
  <c r="DZ47" i="265"/>
  <c r="DZ50" i="265" s="1"/>
  <c r="DZ53" i="265" s="1"/>
  <c r="DZ22" i="265"/>
  <c r="EA33" i="265"/>
  <c r="EA37" i="265" s="1"/>
  <c r="EA42" i="265"/>
  <c r="EA47" i="265" s="1"/>
  <c r="EA50" i="265" s="1"/>
  <c r="EA53" i="265" s="1"/>
  <c r="K25" i="265"/>
  <c r="L25" i="265"/>
  <c r="W25" i="265"/>
  <c r="BA25" i="265"/>
  <c r="BE25" i="265"/>
  <c r="DH25" i="265"/>
  <c r="DV25" i="265"/>
  <c r="DX25" i="265"/>
  <c r="DZ25" i="265"/>
  <c r="J65" i="265"/>
  <c r="J67" i="265" s="1"/>
  <c r="J80" i="265" s="1"/>
  <c r="J82" i="265" s="1"/>
  <c r="J75" i="265"/>
  <c r="J81" i="265" s="1"/>
  <c r="K65" i="265"/>
  <c r="K67" i="265" s="1"/>
  <c r="K80" i="265" s="1"/>
  <c r="K75" i="265"/>
  <c r="K81" i="265" s="1"/>
  <c r="L65" i="265"/>
  <c r="L67" i="265" s="1"/>
  <c r="L80" i="265" s="1"/>
  <c r="L82" i="265" s="1"/>
  <c r="L75" i="265"/>
  <c r="L81" i="265" s="1"/>
  <c r="M65" i="265"/>
  <c r="M67" i="265" s="1"/>
  <c r="M80" i="265" s="1"/>
  <c r="M75" i="265"/>
  <c r="M81" i="265" s="1"/>
  <c r="N65" i="265"/>
  <c r="N67" i="265" s="1"/>
  <c r="N80" i="265" s="1"/>
  <c r="N75" i="265"/>
  <c r="N81" i="265" s="1"/>
  <c r="O65" i="265"/>
  <c r="O67" i="265" s="1"/>
  <c r="O80" i="265"/>
  <c r="O75" i="265"/>
  <c r="O81" i="265"/>
  <c r="P65" i="265"/>
  <c r="P75" i="265"/>
  <c r="P81" i="265" s="1"/>
  <c r="Q65" i="265"/>
  <c r="Q67" i="265" s="1"/>
  <c r="Q80" i="265"/>
  <c r="Q75" i="265"/>
  <c r="Q81" i="265"/>
  <c r="R65" i="265"/>
  <c r="R67" i="265"/>
  <c r="R80" i="265" s="1"/>
  <c r="R82" i="265" s="1"/>
  <c r="R75" i="265"/>
  <c r="R81" i="265" s="1"/>
  <c r="S65" i="265"/>
  <c r="S67" i="265" s="1"/>
  <c r="S80" i="265" s="1"/>
  <c r="S75" i="265"/>
  <c r="S81" i="265"/>
  <c r="T65" i="265"/>
  <c r="T67" i="265"/>
  <c r="T80" i="265" s="1"/>
  <c r="T82" i="265" s="1"/>
  <c r="T75" i="265"/>
  <c r="T81" i="265" s="1"/>
  <c r="T83" i="265"/>
  <c r="U65" i="265"/>
  <c r="U67" i="265"/>
  <c r="U80" i="265" s="1"/>
  <c r="U82" i="265" s="1"/>
  <c r="U75" i="265"/>
  <c r="U81" i="265" s="1"/>
  <c r="V65" i="265"/>
  <c r="V67" i="265" s="1"/>
  <c r="V80" i="265" s="1"/>
  <c r="V75" i="265"/>
  <c r="V81" i="265"/>
  <c r="W65" i="265"/>
  <c r="W67" i="265"/>
  <c r="W80" i="265" s="1"/>
  <c r="W75" i="265"/>
  <c r="W81" i="265" s="1"/>
  <c r="X65" i="265"/>
  <c r="X67" i="265" s="1"/>
  <c r="X75" i="265"/>
  <c r="X81" i="265"/>
  <c r="Y65" i="265"/>
  <c r="Y67" i="265"/>
  <c r="Y80" i="265" s="1"/>
  <c r="Y75" i="265"/>
  <c r="Y81" i="265" s="1"/>
  <c r="Z65" i="265"/>
  <c r="Z67" i="265" s="1"/>
  <c r="Z80" i="265" s="1"/>
  <c r="Z75" i="265"/>
  <c r="Z81" i="265" s="1"/>
  <c r="AA65" i="265"/>
  <c r="AA75" i="265"/>
  <c r="AA81" i="265" s="1"/>
  <c r="AB65" i="265"/>
  <c r="AB67" i="265" s="1"/>
  <c r="AB80" i="265" s="1"/>
  <c r="AB75" i="265"/>
  <c r="AB81" i="265" s="1"/>
  <c r="AC65" i="265"/>
  <c r="AC67" i="265" s="1"/>
  <c r="AC80" i="265" s="1"/>
  <c r="AC82" i="265" s="1"/>
  <c r="AC75" i="265"/>
  <c r="AC81" i="265" s="1"/>
  <c r="AD65" i="265"/>
  <c r="AD67" i="265" s="1"/>
  <c r="AD80" i="265" s="1"/>
  <c r="AD75" i="265"/>
  <c r="AD81" i="265" s="1"/>
  <c r="AE65" i="265"/>
  <c r="AE67" i="265" s="1"/>
  <c r="AE80" i="265" s="1"/>
  <c r="AE75" i="265"/>
  <c r="AE81" i="265" s="1"/>
  <c r="AF65" i="265"/>
  <c r="AF75" i="265"/>
  <c r="AF81" i="265" s="1"/>
  <c r="AG65" i="265"/>
  <c r="AG67" i="265" s="1"/>
  <c r="AG80" i="265" s="1"/>
  <c r="AG75" i="265"/>
  <c r="AG81" i="265" s="1"/>
  <c r="AH65" i="265"/>
  <c r="AH67" i="265" s="1"/>
  <c r="AH80" i="265"/>
  <c r="AH83" i="265" s="1"/>
  <c r="AH75" i="265"/>
  <c r="AH81" i="265"/>
  <c r="AI65" i="265"/>
  <c r="AI75" i="265"/>
  <c r="AI81" i="265" s="1"/>
  <c r="AJ65" i="265"/>
  <c r="AJ67" i="265" s="1"/>
  <c r="AJ80" i="265"/>
  <c r="AJ75" i="265"/>
  <c r="AJ81" i="265"/>
  <c r="AK65" i="265"/>
  <c r="AK67" i="265" s="1"/>
  <c r="AK80" i="265"/>
  <c r="AK83" i="265" s="1"/>
  <c r="AK75" i="265"/>
  <c r="AK81" i="265"/>
  <c r="AL65" i="265"/>
  <c r="AL67" i="265"/>
  <c r="AL80" i="265" s="1"/>
  <c r="AL82" i="265" s="1"/>
  <c r="AL75" i="265"/>
  <c r="AL81" i="265" s="1"/>
  <c r="AM65" i="265"/>
  <c r="AM67" i="265" s="1"/>
  <c r="AM80" i="265" s="1"/>
  <c r="AM75" i="265"/>
  <c r="AM81" i="265"/>
  <c r="AN65" i="265"/>
  <c r="AN67" i="265"/>
  <c r="AN80" i="265" s="1"/>
  <c r="AN75" i="265"/>
  <c r="AN81" i="265" s="1"/>
  <c r="AO65" i="265"/>
  <c r="AO67" i="265" s="1"/>
  <c r="AO80" i="265" s="1"/>
  <c r="AO75" i="265"/>
  <c r="AO81" i="265" s="1"/>
  <c r="AP65" i="265"/>
  <c r="AP67" i="265" s="1"/>
  <c r="AP80" i="265" s="1"/>
  <c r="AP75" i="265"/>
  <c r="AP81" i="265" s="1"/>
  <c r="AQ65" i="265"/>
  <c r="AQ75" i="265"/>
  <c r="AQ81" i="265" s="1"/>
  <c r="AR65" i="265"/>
  <c r="AR67" i="265" s="1"/>
  <c r="AR80" i="265" s="1"/>
  <c r="AR75" i="265"/>
  <c r="AR81" i="265" s="1"/>
  <c r="AS65" i="265"/>
  <c r="AS67" i="265" s="1"/>
  <c r="AS80" i="265" s="1"/>
  <c r="AS82" i="265" s="1"/>
  <c r="AS75" i="265"/>
  <c r="AS81" i="265" s="1"/>
  <c r="AT65" i="265"/>
  <c r="AT67" i="265" s="1"/>
  <c r="AT80" i="265" s="1"/>
  <c r="AT75" i="265"/>
  <c r="AT81" i="265" s="1"/>
  <c r="AU65" i="265"/>
  <c r="AU67" i="265" s="1"/>
  <c r="AU80" i="265" s="1"/>
  <c r="AU75" i="265"/>
  <c r="AU81" i="265" s="1"/>
  <c r="AV65" i="265"/>
  <c r="AV75" i="265"/>
  <c r="AV81" i="265" s="1"/>
  <c r="AW65" i="265"/>
  <c r="AW67" i="265" s="1"/>
  <c r="AW80" i="265" s="1"/>
  <c r="AW75" i="265"/>
  <c r="AW81" i="265" s="1"/>
  <c r="AX65" i="265"/>
  <c r="AX67" i="265" s="1"/>
  <c r="AX80" i="265"/>
  <c r="AX75" i="265"/>
  <c r="AX81" i="265"/>
  <c r="AY65" i="265"/>
  <c r="AY75" i="265"/>
  <c r="AY81" i="265" s="1"/>
  <c r="AZ65" i="265"/>
  <c r="AZ67" i="265" s="1"/>
  <c r="AZ80" i="265"/>
  <c r="AZ75" i="265"/>
  <c r="AZ81" i="265"/>
  <c r="BA65" i="265"/>
  <c r="BA67" i="265"/>
  <c r="BA80" i="265" s="1"/>
  <c r="BA82" i="265" s="1"/>
  <c r="BA75" i="265"/>
  <c r="BA81" i="265" s="1"/>
  <c r="BB65" i="265"/>
  <c r="BB67" i="265" s="1"/>
  <c r="BB80" i="265" s="1"/>
  <c r="BB75" i="265"/>
  <c r="BB81" i="265"/>
  <c r="BC65" i="265"/>
  <c r="BC67" i="265"/>
  <c r="BC80" i="265" s="1"/>
  <c r="BC75" i="265"/>
  <c r="BC81" i="265" s="1"/>
  <c r="BD65" i="265"/>
  <c r="BD67" i="265" s="1"/>
  <c r="BD80" i="265" s="1"/>
  <c r="BD75" i="265"/>
  <c r="BD81" i="265"/>
  <c r="BE65" i="265"/>
  <c r="BE67" i="265"/>
  <c r="BE80" i="265" s="1"/>
  <c r="BE75" i="265"/>
  <c r="BE81" i="265" s="1"/>
  <c r="BF65" i="265"/>
  <c r="BF67" i="265" s="1"/>
  <c r="BF80" i="265" s="1"/>
  <c r="BF75" i="265"/>
  <c r="BF81" i="265" s="1"/>
  <c r="BG65" i="265"/>
  <c r="BG75" i="265"/>
  <c r="BG81" i="265" s="1"/>
  <c r="BH65" i="265"/>
  <c r="BH67" i="265" s="1"/>
  <c r="BH80" i="265" s="1"/>
  <c r="BH75" i="265"/>
  <c r="BH81" i="265" s="1"/>
  <c r="BI65" i="265"/>
  <c r="BI67" i="265" s="1"/>
  <c r="BI80" i="265" s="1"/>
  <c r="BI75" i="265"/>
  <c r="BI81" i="265" s="1"/>
  <c r="BI83" i="265" s="1"/>
  <c r="BJ65" i="265"/>
  <c r="BJ67" i="265" s="1"/>
  <c r="BJ80" i="265" s="1"/>
  <c r="BJ75" i="265"/>
  <c r="BJ81" i="265" s="1"/>
  <c r="BK65" i="265"/>
  <c r="BK67" i="265" s="1"/>
  <c r="BK80" i="265" s="1"/>
  <c r="BK75" i="265"/>
  <c r="BK81" i="265" s="1"/>
  <c r="BK83" i="265" s="1"/>
  <c r="BL65" i="265"/>
  <c r="BL75" i="265"/>
  <c r="BL81" i="265" s="1"/>
  <c r="BM65" i="265"/>
  <c r="BM67" i="265" s="1"/>
  <c r="BM80" i="265" s="1"/>
  <c r="BM75" i="265"/>
  <c r="BM81" i="265" s="1"/>
  <c r="BN65" i="265"/>
  <c r="BN67" i="265" s="1"/>
  <c r="BN80" i="265"/>
  <c r="BN83" i="265" s="1"/>
  <c r="BN75" i="265"/>
  <c r="BN81" i="265"/>
  <c r="BO65" i="265"/>
  <c r="BO75" i="265"/>
  <c r="BO81" i="265" s="1"/>
  <c r="BP65" i="265"/>
  <c r="BP67" i="265" s="1"/>
  <c r="BP80" i="265"/>
  <c r="BP75" i="265"/>
  <c r="BP81" i="265"/>
  <c r="BQ65" i="265"/>
  <c r="BQ67" i="265"/>
  <c r="BQ80" i="265" s="1"/>
  <c r="BQ82" i="265" s="1"/>
  <c r="BQ75" i="265"/>
  <c r="BQ81" i="265" s="1"/>
  <c r="BR65" i="265"/>
  <c r="BR67" i="265" s="1"/>
  <c r="BR80" i="265" s="1"/>
  <c r="BR75" i="265"/>
  <c r="BR81" i="265"/>
  <c r="BS65" i="265"/>
  <c r="BS67" i="265"/>
  <c r="BS80" i="265" s="1"/>
  <c r="BS75" i="265"/>
  <c r="BS81" i="265" s="1"/>
  <c r="BT65" i="265"/>
  <c r="BT67" i="265" s="1"/>
  <c r="BT80" i="265" s="1"/>
  <c r="BT75" i="265"/>
  <c r="BT81" i="265"/>
  <c r="BU65" i="265"/>
  <c r="BU67" i="265"/>
  <c r="BU80" i="265" s="1"/>
  <c r="BU75" i="265"/>
  <c r="BU81" i="265" s="1"/>
  <c r="BV65" i="265"/>
  <c r="BV67" i="265" s="1"/>
  <c r="BV80" i="265" s="1"/>
  <c r="BV75" i="265"/>
  <c r="BV81" i="265" s="1"/>
  <c r="BW65" i="265"/>
  <c r="BW75" i="265"/>
  <c r="BW81" i="265" s="1"/>
  <c r="BX65" i="265"/>
  <c r="BX67" i="265" s="1"/>
  <c r="BX80" i="265" s="1"/>
  <c r="BX75" i="265"/>
  <c r="BX81" i="265" s="1"/>
  <c r="BY65" i="265"/>
  <c r="BY67" i="265" s="1"/>
  <c r="BY80" i="265" s="1"/>
  <c r="BY82" i="265" s="1"/>
  <c r="BY75" i="265"/>
  <c r="BY81" i="265" s="1"/>
  <c r="BZ65" i="265"/>
  <c r="BZ67" i="265" s="1"/>
  <c r="BZ80" i="265" s="1"/>
  <c r="BZ75" i="265"/>
  <c r="BZ81" i="265" s="1"/>
  <c r="CA65" i="265"/>
  <c r="CA67" i="265" s="1"/>
  <c r="CA80" i="265" s="1"/>
  <c r="CA75" i="265"/>
  <c r="CA81" i="265" s="1"/>
  <c r="CB65" i="265"/>
  <c r="CB75" i="265"/>
  <c r="CB81" i="265" s="1"/>
  <c r="CC65" i="265"/>
  <c r="CC67" i="265" s="1"/>
  <c r="CC80" i="265" s="1"/>
  <c r="CC75" i="265"/>
  <c r="CC81" i="265" s="1"/>
  <c r="CD65" i="265"/>
  <c r="CD67" i="265" s="1"/>
  <c r="CD80" i="265"/>
  <c r="CD75" i="265"/>
  <c r="CD81" i="265"/>
  <c r="CE65" i="265"/>
  <c r="CE67" i="265"/>
  <c r="CE80" i="265" s="1"/>
  <c r="CE82" i="265" s="1"/>
  <c r="CE75" i="265"/>
  <c r="CE81" i="265" s="1"/>
  <c r="CF65" i="265"/>
  <c r="CF67" i="265" s="1"/>
  <c r="CF80" i="265" s="1"/>
  <c r="CF75" i="265"/>
  <c r="CF81" i="265"/>
  <c r="CG65" i="265"/>
  <c r="CG67" i="265"/>
  <c r="CG80" i="265" s="1"/>
  <c r="CG75" i="265"/>
  <c r="CG81" i="265" s="1"/>
  <c r="CH65" i="265"/>
  <c r="CH67" i="265" s="1"/>
  <c r="CH80" i="265" s="1"/>
  <c r="CH75" i="265"/>
  <c r="CH81" i="265" s="1"/>
  <c r="CH83" i="265" s="1"/>
  <c r="CI65" i="265"/>
  <c r="CI67" i="265" s="1"/>
  <c r="CI80" i="265" s="1"/>
  <c r="CI75" i="265"/>
  <c r="CI81" i="265" s="1"/>
  <c r="CJ65" i="265"/>
  <c r="CJ67" i="265" s="1"/>
  <c r="CJ80" i="265" s="1"/>
  <c r="CJ75" i="265"/>
  <c r="CJ81" i="265" s="1"/>
  <c r="CK65" i="265"/>
  <c r="CK67" i="265" s="1"/>
  <c r="CK80" i="265" s="1"/>
  <c r="CK75" i="265"/>
  <c r="CK81" i="265" s="1"/>
  <c r="CL65" i="265"/>
  <c r="CL67" i="265" s="1"/>
  <c r="CL80" i="265" s="1"/>
  <c r="CL75" i="265"/>
  <c r="CL81" i="265" s="1"/>
  <c r="CM65" i="265"/>
  <c r="CM75" i="265"/>
  <c r="CM81" i="265" s="1"/>
  <c r="CN65" i="265"/>
  <c r="CN67" i="265" s="1"/>
  <c r="CN80" i="265" s="1"/>
  <c r="CN75" i="265"/>
  <c r="CN81" i="265"/>
  <c r="CO65" i="265"/>
  <c r="CO67" i="265"/>
  <c r="CO80" i="265" s="1"/>
  <c r="CO75" i="265"/>
  <c r="CO81" i="265" s="1"/>
  <c r="CP65" i="265"/>
  <c r="CP67" i="265" s="1"/>
  <c r="CP80" i="265" s="1"/>
  <c r="CP75" i="265"/>
  <c r="CP81" i="265" s="1"/>
  <c r="CQ65" i="265"/>
  <c r="CQ67" i="265" s="1"/>
  <c r="CQ80" i="265" s="1"/>
  <c r="CQ75" i="265"/>
  <c r="CQ81" i="265" s="1"/>
  <c r="CQ83" i="265" s="1"/>
  <c r="CR65" i="265"/>
  <c r="CR75" i="265"/>
  <c r="CR81" i="265" s="1"/>
  <c r="CS65" i="265"/>
  <c r="CS67" i="265" s="1"/>
  <c r="CS80" i="265" s="1"/>
  <c r="CS75" i="265"/>
  <c r="CS81" i="265" s="1"/>
  <c r="CT65" i="265"/>
  <c r="CT67" i="265" s="1"/>
  <c r="CT80" i="265" s="1"/>
  <c r="CT75" i="265"/>
  <c r="CT81" i="265" s="1"/>
  <c r="CU65" i="265"/>
  <c r="CU75" i="265"/>
  <c r="CU81" i="265" s="1"/>
  <c r="CV65" i="265"/>
  <c r="CV67" i="265" s="1"/>
  <c r="CV80" i="265" s="1"/>
  <c r="CV75" i="265"/>
  <c r="CV81" i="265"/>
  <c r="CW65" i="265"/>
  <c r="CW67" i="265" s="1"/>
  <c r="CW80" i="265" s="1"/>
  <c r="CW75" i="265"/>
  <c r="CW81" i="265" s="1"/>
  <c r="CX65" i="265"/>
  <c r="CX67" i="265" s="1"/>
  <c r="CX80" i="265" s="1"/>
  <c r="CX75" i="265"/>
  <c r="CX81" i="265" s="1"/>
  <c r="CY65" i="265"/>
  <c r="CY67" i="265" s="1"/>
  <c r="CY80" i="265"/>
  <c r="CY75" i="265"/>
  <c r="CY81" i="265"/>
  <c r="CZ65" i="265"/>
  <c r="CZ67" i="265"/>
  <c r="CZ80" i="265" s="1"/>
  <c r="CZ82" i="265" s="1"/>
  <c r="CZ75" i="265"/>
  <c r="CZ81" i="265" s="1"/>
  <c r="DA65" i="265"/>
  <c r="DA67" i="265" s="1"/>
  <c r="DA80" i="265" s="1"/>
  <c r="DA75" i="265"/>
  <c r="DA81" i="265"/>
  <c r="DB65" i="265"/>
  <c r="DB67" i="265"/>
  <c r="DB80" i="265" s="1"/>
  <c r="DB75" i="265"/>
  <c r="DB81" i="265" s="1"/>
  <c r="DC65" i="265"/>
  <c r="DC75" i="265"/>
  <c r="DC81" i="265" s="1"/>
  <c r="DD65" i="265"/>
  <c r="DD67" i="265" s="1"/>
  <c r="DD80" i="265" s="1"/>
  <c r="DD75" i="265"/>
  <c r="DD81" i="265"/>
  <c r="DE65" i="265"/>
  <c r="DE67" i="265"/>
  <c r="DE80" i="265" s="1"/>
  <c r="DE75" i="265"/>
  <c r="DE81" i="265" s="1"/>
  <c r="DF65" i="265"/>
  <c r="DF67" i="265" s="1"/>
  <c r="DF80" i="265" s="1"/>
  <c r="DF75" i="265"/>
  <c r="DF81" i="265" s="1"/>
  <c r="DF83" i="265" s="1"/>
  <c r="DG65" i="265"/>
  <c r="DG67" i="265" s="1"/>
  <c r="DG80" i="265" s="1"/>
  <c r="DG75" i="265"/>
  <c r="DG81" i="265" s="1"/>
  <c r="DH65" i="265"/>
  <c r="DH67" i="265" s="1"/>
  <c r="DH80" i="265" s="1"/>
  <c r="DH75" i="265"/>
  <c r="DH81" i="265" s="1"/>
  <c r="DI65" i="265"/>
  <c r="DI67" i="265" s="1"/>
  <c r="DI80" i="265" s="1"/>
  <c r="DI75" i="265"/>
  <c r="DI81" i="265" s="1"/>
  <c r="DJ65" i="265"/>
  <c r="DJ67" i="265" s="1"/>
  <c r="DJ80" i="265" s="1"/>
  <c r="DJ75" i="265"/>
  <c r="DJ81" i="265" s="1"/>
  <c r="DK65" i="265"/>
  <c r="DK75" i="265"/>
  <c r="DK81" i="265" s="1"/>
  <c r="DL65" i="265"/>
  <c r="DL67" i="265" s="1"/>
  <c r="DL80" i="265" s="1"/>
  <c r="DL75" i="265"/>
  <c r="DL81" i="265"/>
  <c r="DM65" i="265"/>
  <c r="DM67" i="265"/>
  <c r="DM80" i="265" s="1"/>
  <c r="DM75" i="265"/>
  <c r="DM81" i="265" s="1"/>
  <c r="DN65" i="265"/>
  <c r="DN67" i="265" s="1"/>
  <c r="DN80" i="265" s="1"/>
  <c r="DN75" i="265"/>
  <c r="DN81" i="265"/>
  <c r="DO65" i="265"/>
  <c r="DO67" i="265"/>
  <c r="DO80" i="265" s="1"/>
  <c r="DO75" i="265"/>
  <c r="DO81" i="265" s="1"/>
  <c r="DP65" i="265"/>
  <c r="DP67" i="265" s="1"/>
  <c r="DP80" i="265" s="1"/>
  <c r="DP75" i="265"/>
  <c r="DP81" i="265"/>
  <c r="DQ65" i="265"/>
  <c r="DQ67" i="265"/>
  <c r="DQ80" i="265" s="1"/>
  <c r="DQ75" i="265"/>
  <c r="DQ81" i="265" s="1"/>
  <c r="DR65" i="265"/>
  <c r="DR67" i="265" s="1"/>
  <c r="DR80" i="265" s="1"/>
  <c r="DR75" i="265"/>
  <c r="DR81" i="265"/>
  <c r="DS65" i="265"/>
  <c r="DS67" i="265" s="1"/>
  <c r="DS80" i="265" s="1"/>
  <c r="DS75" i="265"/>
  <c r="DS81" i="265" s="1"/>
  <c r="DT65" i="265"/>
  <c r="DT67" i="265" s="1"/>
  <c r="DT80" i="265" s="1"/>
  <c r="DT75" i="265"/>
  <c r="DT81" i="265" s="1"/>
  <c r="DU65" i="265"/>
  <c r="DU67" i="265" s="1"/>
  <c r="DU80" i="265" s="1"/>
  <c r="DU75" i="265"/>
  <c r="DU81" i="265" s="1"/>
  <c r="DV65" i="265"/>
  <c r="DV67" i="265" s="1"/>
  <c r="DV80" i="265" s="1"/>
  <c r="DV75" i="265"/>
  <c r="DV81" i="265" s="1"/>
  <c r="DW65" i="265"/>
  <c r="DW67" i="265" s="1"/>
  <c r="DW80" i="265" s="1"/>
  <c r="DW75" i="265"/>
  <c r="DW81" i="265" s="1"/>
  <c r="DX65" i="265"/>
  <c r="DX67" i="265" s="1"/>
  <c r="DX80" i="265" s="1"/>
  <c r="DX75" i="265"/>
  <c r="DX81" i="265" s="1"/>
  <c r="DY65" i="265"/>
  <c r="DY67" i="265" s="1"/>
  <c r="DY80" i="265" s="1"/>
  <c r="DY75" i="265"/>
  <c r="DY81" i="265" s="1"/>
  <c r="DZ65" i="265"/>
  <c r="DZ67" i="265" s="1"/>
  <c r="DZ80" i="265" s="1"/>
  <c r="DZ75" i="265"/>
  <c r="DZ81" i="265" s="1"/>
  <c r="EA65" i="265"/>
  <c r="EA67" i="265" s="1"/>
  <c r="EA80" i="265" s="1"/>
  <c r="EA75" i="265"/>
  <c r="EA81" i="265" s="1"/>
  <c r="BL67" i="265"/>
  <c r="BL80" i="265" s="1"/>
  <c r="CR67" i="265"/>
  <c r="CR80" i="265" s="1"/>
  <c r="AF67" i="265"/>
  <c r="AF80" i="265" s="1"/>
  <c r="X80" i="265"/>
  <c r="X82" i="265" s="1"/>
  <c r="P67" i="265"/>
  <c r="P80" i="265" s="1"/>
  <c r="P82" i="265" s="1"/>
  <c r="CB67" i="265"/>
  <c r="CB80" i="265" s="1"/>
  <c r="AV67" i="265"/>
  <c r="AV80" i="265" s="1"/>
  <c r="CZ83" i="265"/>
  <c r="Z83" i="265"/>
  <c r="BO67" i="265"/>
  <c r="BO80" i="265"/>
  <c r="BO82" i="265" s="1"/>
  <c r="DK67" i="265"/>
  <c r="DK80" i="265"/>
  <c r="CM67" i="265"/>
  <c r="CM80" i="265"/>
  <c r="CM82" i="265" s="1"/>
  <c r="AA67" i="265"/>
  <c r="AA80" i="265" s="1"/>
  <c r="AY67" i="265"/>
  <c r="AY80" i="265" s="1"/>
  <c r="BW67" i="265"/>
  <c r="BW80" i="265" s="1"/>
  <c r="BW82" i="265" s="1"/>
  <c r="AR83" i="265"/>
  <c r="CU67" i="265"/>
  <c r="CU80" i="265" s="1"/>
  <c r="BP83" i="265"/>
  <c r="AI67" i="265"/>
  <c r="AI80" i="265"/>
  <c r="AI82" i="265" s="1"/>
  <c r="BG67" i="265"/>
  <c r="BG80" i="265" s="1"/>
  <c r="DC67" i="265"/>
  <c r="DC80" i="265" s="1"/>
  <c r="CD83" i="265"/>
  <c r="AQ67" i="265"/>
  <c r="AQ80" i="265" s="1"/>
  <c r="R83" i="265"/>
  <c r="Q25" i="265"/>
  <c r="I6" i="48"/>
  <c r="K7" i="48"/>
  <c r="L7" i="48"/>
  <c r="CP83" i="265"/>
  <c r="N83" i="265"/>
  <c r="H3" i="269"/>
  <c r="F15" i="48"/>
  <c r="I15" i="48" a="1"/>
  <c r="I15" i="48" s="1"/>
  <c r="L56" i="269"/>
  <c r="A1" i="275"/>
  <c r="A1" i="277"/>
  <c r="A1" i="273"/>
  <c r="A1" i="264"/>
  <c r="M7" i="48"/>
  <c r="F41" i="48"/>
  <c r="DE83" i="265"/>
  <c r="CK83" i="265"/>
  <c r="CG83" i="265"/>
  <c r="CC83" i="265"/>
  <c r="BU83" i="265"/>
  <c r="BM83" i="265"/>
  <c r="BE83" i="265"/>
  <c r="BA83" i="265"/>
  <c r="AW83" i="265"/>
  <c r="AO83" i="265"/>
  <c r="AG83" i="265"/>
  <c r="AC83" i="265"/>
  <c r="Y83" i="265"/>
  <c r="U83" i="265"/>
  <c r="Q83" i="265"/>
  <c r="J47" i="265"/>
  <c r="F4" i="277"/>
  <c r="H11" i="265"/>
  <c r="H21" i="269" s="1"/>
  <c r="K21" i="269" s="1"/>
  <c r="J21" i="269" s="1"/>
  <c r="I41" i="48" a="1"/>
  <c r="I41" i="48" s="1"/>
  <c r="I18" i="48" a="1"/>
  <c r="I18" i="48" s="1"/>
  <c r="I14" i="48" a="1"/>
  <c r="I14" i="48" s="1"/>
  <c r="J13" i="273"/>
  <c r="J14" i="273" s="1"/>
  <c r="J37" i="273" s="1"/>
  <c r="K10" i="273"/>
  <c r="X83" i="265"/>
  <c r="L59" i="269"/>
  <c r="I20" i="48" a="1"/>
  <c r="I20" i="48" s="1"/>
  <c r="J50" i="265"/>
  <c r="J53" i="265" s="1"/>
  <c r="K5" i="275"/>
  <c r="L13" i="269"/>
  <c r="L41" i="269"/>
  <c r="F94" i="273"/>
  <c r="I21" i="48" a="1"/>
  <c r="I21" i="48" s="1"/>
  <c r="L34" i="269"/>
  <c r="AE83" i="265" l="1"/>
  <c r="BL82" i="265"/>
  <c r="BL83" i="265"/>
  <c r="AP82" i="265"/>
  <c r="AP83" i="265"/>
  <c r="AS83" i="265"/>
  <c r="BQ83" i="265"/>
  <c r="BY83" i="265"/>
  <c r="DG82" i="265"/>
  <c r="CX83" i="265"/>
  <c r="CS82" i="265"/>
  <c r="CQ82" i="265"/>
  <c r="CK82" i="265"/>
  <c r="CI82" i="265"/>
  <c r="CA83" i="265"/>
  <c r="BI82" i="265"/>
  <c r="BF83" i="265"/>
  <c r="AU83" i="265"/>
  <c r="DB83" i="265"/>
  <c r="CO83" i="265"/>
  <c r="BS83" i="265"/>
  <c r="BC83" i="265"/>
  <c r="AN83" i="265"/>
  <c r="W83" i="265"/>
  <c r="J16" i="280"/>
  <c r="K13" i="280" s="1"/>
  <c r="K16" i="280" s="1"/>
  <c r="L13" i="280" s="1"/>
  <c r="M16" i="280"/>
  <c r="N13" i="280" s="1"/>
  <c r="N16" i="280" s="1"/>
  <c r="O13" i="280" s="1"/>
  <c r="O16" i="280" s="1"/>
  <c r="P13" i="280" s="1"/>
  <c r="P16" i="280" s="1"/>
  <c r="Q13" i="280" s="1"/>
  <c r="Q16" i="280" s="1"/>
  <c r="R13" i="280" s="1"/>
  <c r="R16" i="280" s="1"/>
  <c r="S13" i="280" s="1"/>
  <c r="S16" i="280" s="1"/>
  <c r="T13" i="280" s="1"/>
  <c r="T16" i="280" s="1"/>
  <c r="U13" i="280" s="1"/>
  <c r="U16" i="280" s="1"/>
  <c r="V13" i="280" s="1"/>
  <c r="V16" i="280" s="1"/>
  <c r="W13" i="280" s="1"/>
  <c r="W16" i="280" s="1"/>
  <c r="X13" i="280" s="1"/>
  <c r="X16" i="280" s="1"/>
  <c r="Y13" i="280" s="1"/>
  <c r="Y16" i="280" s="1"/>
  <c r="Z13" i="280" s="1"/>
  <c r="Z16" i="280" s="1"/>
  <c r="AA13" i="280" s="1"/>
  <c r="AA16" i="280" s="1"/>
  <c r="AB13" i="280" s="1"/>
  <c r="AB16" i="280" s="1"/>
  <c r="AC13" i="280" s="1"/>
  <c r="AC16" i="280" s="1"/>
  <c r="AD13" i="280" s="1"/>
  <c r="AD16" i="280" s="1"/>
  <c r="AE13" i="280" s="1"/>
  <c r="AE16" i="280" s="1"/>
  <c r="AF13" i="280" s="1"/>
  <c r="AF16" i="280" s="1"/>
  <c r="AG13" i="280" s="1"/>
  <c r="AG16" i="280" s="1"/>
  <c r="AH13" i="280" s="1"/>
  <c r="AH16" i="280" s="1"/>
  <c r="AI13" i="280" s="1"/>
  <c r="AI16" i="280" s="1"/>
  <c r="AJ13" i="280" s="1"/>
  <c r="AJ16" i="280" s="1"/>
  <c r="AK13" i="280" s="1"/>
  <c r="AK16" i="280" s="1"/>
  <c r="AL13" i="280" s="1"/>
  <c r="AL16" i="280" s="1"/>
  <c r="AM13" i="280" s="1"/>
  <c r="AM16" i="280" s="1"/>
  <c r="AN13" i="280" s="1"/>
  <c r="AN16" i="280" s="1"/>
  <c r="AO13" i="280" s="1"/>
  <c r="AO16" i="280" s="1"/>
  <c r="AP13" i="280" s="1"/>
  <c r="AP16" i="280" s="1"/>
  <c r="AQ13" i="280" s="1"/>
  <c r="AQ16" i="280" s="1"/>
  <c r="AR13" i="280" s="1"/>
  <c r="AR16" i="280" s="1"/>
  <c r="AS13" i="280" s="1"/>
  <c r="AS16" i="280" s="1"/>
  <c r="AT13" i="280" s="1"/>
  <c r="AT16" i="280" s="1"/>
  <c r="AU13" i="280" s="1"/>
  <c r="AU16" i="280" s="1"/>
  <c r="AV13" i="280" s="1"/>
  <c r="AV16" i="280" s="1"/>
  <c r="AW13" i="280" s="1"/>
  <c r="AW16" i="280" s="1"/>
  <c r="AX13" i="280" s="1"/>
  <c r="AX16" i="280" s="1"/>
  <c r="AY13" i="280" s="1"/>
  <c r="AY16" i="280" s="1"/>
  <c r="AZ13" i="280" s="1"/>
  <c r="AZ16" i="280" s="1"/>
  <c r="BA13" i="280" s="1"/>
  <c r="BA16" i="280" s="1"/>
  <c r="BB13" i="280" s="1"/>
  <c r="BB16" i="280" s="1"/>
  <c r="BC13" i="280" s="1"/>
  <c r="BC16" i="280" s="1"/>
  <c r="BD13" i="280" s="1"/>
  <c r="BD16" i="280" s="1"/>
  <c r="BE13" i="280" s="1"/>
  <c r="BE16" i="280" s="1"/>
  <c r="BF13" i="280" s="1"/>
  <c r="BF16" i="280" s="1"/>
  <c r="BG13" i="280" s="1"/>
  <c r="BG16" i="280" s="1"/>
  <c r="BH13" i="280" s="1"/>
  <c r="BH16" i="280" s="1"/>
  <c r="BI13" i="280" s="1"/>
  <c r="BI16" i="280" s="1"/>
  <c r="BJ13" i="280" s="1"/>
  <c r="BJ16" i="280" s="1"/>
  <c r="BK13" i="280" s="1"/>
  <c r="BK16" i="280" s="1"/>
  <c r="BL13" i="280" s="1"/>
  <c r="BL16" i="280" s="1"/>
  <c r="BM13" i="280" s="1"/>
  <c r="BM16" i="280" s="1"/>
  <c r="BN13" i="280" s="1"/>
  <c r="BN16" i="280" s="1"/>
  <c r="BO13" i="280" s="1"/>
  <c r="BO16" i="280" s="1"/>
  <c r="BP13" i="280" s="1"/>
  <c r="BP16" i="280" s="1"/>
  <c r="BQ13" i="280" s="1"/>
  <c r="BQ16" i="280" s="1"/>
  <c r="BR13" i="280" s="1"/>
  <c r="BR16" i="280" s="1"/>
  <c r="BS13" i="280" s="1"/>
  <c r="BS16" i="280" s="1"/>
  <c r="BT13" i="280" s="1"/>
  <c r="BT16" i="280" s="1"/>
  <c r="BU13" i="280" s="1"/>
  <c r="BU16" i="280" s="1"/>
  <c r="BV13" i="280" s="1"/>
  <c r="BV16" i="280" s="1"/>
  <c r="BW13" i="280" s="1"/>
  <c r="BW16" i="280" s="1"/>
  <c r="BX13" i="280" s="1"/>
  <c r="BX16" i="280" s="1"/>
  <c r="BY13" i="280" s="1"/>
  <c r="BY16" i="280" s="1"/>
  <c r="BZ13" i="280" s="1"/>
  <c r="BZ16" i="280" s="1"/>
  <c r="CA13" i="280" s="1"/>
  <c r="CA16" i="280" s="1"/>
  <c r="CB13" i="280" s="1"/>
  <c r="CB16" i="280" s="1"/>
  <c r="CC13" i="280" s="1"/>
  <c r="CC16" i="280" s="1"/>
  <c r="CD13" i="280" s="1"/>
  <c r="CD16" i="280" s="1"/>
  <c r="CE13" i="280" s="1"/>
  <c r="CE16" i="280" s="1"/>
  <c r="CF13" i="280" s="1"/>
  <c r="CF16" i="280" s="1"/>
  <c r="CG13" i="280" s="1"/>
  <c r="CG16" i="280" s="1"/>
  <c r="CH13" i="280" s="1"/>
  <c r="CH16" i="280" s="1"/>
  <c r="CI13" i="280" s="1"/>
  <c r="CI16" i="280" s="1"/>
  <c r="CJ13" i="280" s="1"/>
  <c r="CJ16" i="280" s="1"/>
  <c r="CK13" i="280" s="1"/>
  <c r="CK16" i="280" s="1"/>
  <c r="CL13" i="280" s="1"/>
  <c r="CL16" i="280" s="1"/>
  <c r="CM13" i="280" s="1"/>
  <c r="CM16" i="280" s="1"/>
  <c r="CN13" i="280" s="1"/>
  <c r="CN16" i="280" s="1"/>
  <c r="CO13" i="280" s="1"/>
  <c r="CO16" i="280" s="1"/>
  <c r="CP13" i="280" s="1"/>
  <c r="CP16" i="280" s="1"/>
  <c r="CQ13" i="280" s="1"/>
  <c r="CQ16" i="280" s="1"/>
  <c r="CR13" i="280" s="1"/>
  <c r="CR16" i="280" s="1"/>
  <c r="CS13" i="280" s="1"/>
  <c r="CS16" i="280" s="1"/>
  <c r="CT13" i="280" s="1"/>
  <c r="CT16" i="280" s="1"/>
  <c r="CU13" i="280" s="1"/>
  <c r="CU16" i="280" s="1"/>
  <c r="CV13" i="280" s="1"/>
  <c r="CV16" i="280" s="1"/>
  <c r="CW13" i="280" s="1"/>
  <c r="CW16" i="280" s="1"/>
  <c r="CX13" i="280" s="1"/>
  <c r="CX16" i="280" s="1"/>
  <c r="CY13" i="280" s="1"/>
  <c r="CY16" i="280" s="1"/>
  <c r="CZ13" i="280" s="1"/>
  <c r="CZ16" i="280" s="1"/>
  <c r="DA13" i="280" s="1"/>
  <c r="DA16" i="280" s="1"/>
  <c r="DB13" i="280" s="1"/>
  <c r="DB16" i="280" s="1"/>
  <c r="DC13" i="280" s="1"/>
  <c r="DC16" i="280" s="1"/>
  <c r="DD13" i="280" s="1"/>
  <c r="DD16" i="280" s="1"/>
  <c r="DE13" i="280" s="1"/>
  <c r="DE16" i="280" s="1"/>
  <c r="DF13" i="280" s="1"/>
  <c r="DF16" i="280" s="1"/>
  <c r="DG13" i="280" s="1"/>
  <c r="DG16" i="280" s="1"/>
  <c r="DH13" i="280" s="1"/>
  <c r="DH16" i="280" s="1"/>
  <c r="DI13" i="280" s="1"/>
  <c r="DI16" i="280" s="1"/>
  <c r="DJ13" i="280" s="1"/>
  <c r="DJ16" i="280" s="1"/>
  <c r="DK13" i="280" s="1"/>
  <c r="DK16" i="280" s="1"/>
  <c r="DL13" i="280" s="1"/>
  <c r="DL16" i="280" s="1"/>
  <c r="DM13" i="280" s="1"/>
  <c r="DM16" i="280" s="1"/>
  <c r="DN13" i="280" s="1"/>
  <c r="DN16" i="280" s="1"/>
  <c r="DO13" i="280" s="1"/>
  <c r="DO16" i="280" s="1"/>
  <c r="DP13" i="280" s="1"/>
  <c r="DP16" i="280" s="1"/>
  <c r="DQ13" i="280" s="1"/>
  <c r="DQ16" i="280" s="1"/>
  <c r="DR13" i="280" s="1"/>
  <c r="DR16" i="280" s="1"/>
  <c r="DS13" i="280" s="1"/>
  <c r="DS16" i="280" s="1"/>
  <c r="DT13" i="280" s="1"/>
  <c r="DT16" i="280" s="1"/>
  <c r="DU13" i="280" s="1"/>
  <c r="DU16" i="280" s="1"/>
  <c r="DV13" i="280" s="1"/>
  <c r="DV16" i="280" s="1"/>
  <c r="DW13" i="280" s="1"/>
  <c r="DW16" i="280" s="1"/>
  <c r="DX13" i="280" s="1"/>
  <c r="DX16" i="280" s="1"/>
  <c r="DY13" i="280" s="1"/>
  <c r="DY16" i="280" s="1"/>
  <c r="DZ13" i="280" s="1"/>
  <c r="DZ16" i="280" s="1"/>
  <c r="EA13" i="280" s="1"/>
  <c r="EA16" i="280" s="1"/>
  <c r="N42" i="265"/>
  <c r="N47" i="265" s="1"/>
  <c r="N50" i="265" s="1"/>
  <c r="N53" i="265" s="1"/>
  <c r="H37" i="265"/>
  <c r="H47" i="269" s="1"/>
  <c r="M19" i="265"/>
  <c r="M22" i="265" s="1"/>
  <c r="H14" i="265"/>
  <c r="H24" i="269" s="1"/>
  <c r="J10" i="269"/>
  <c r="L10" i="269"/>
  <c r="L40" i="269"/>
  <c r="L54" i="269"/>
  <c r="L51" i="269"/>
  <c r="L28" i="269"/>
  <c r="L11" i="269"/>
  <c r="L49" i="269"/>
  <c r="K24" i="269"/>
  <c r="K55" i="269"/>
  <c r="K50" i="269"/>
  <c r="K46" i="269"/>
  <c r="K42" i="269"/>
  <c r="K31" i="269"/>
  <c r="K27" i="269"/>
  <c r="K26" i="269"/>
  <c r="K23" i="269"/>
  <c r="K19" i="269"/>
  <c r="K12" i="269"/>
  <c r="J62" i="269"/>
  <c r="L62" i="269"/>
  <c r="J45" i="269"/>
  <c r="L45" i="269"/>
  <c r="J20" i="269"/>
  <c r="L20" i="269"/>
  <c r="J46" i="269"/>
  <c r="L46" i="269"/>
  <c r="J31" i="269"/>
  <c r="L31" i="269"/>
  <c r="L21" i="269"/>
  <c r="F17" i="273"/>
  <c r="I13" i="48" a="1"/>
  <c r="I13" i="48" s="1"/>
  <c r="J39" i="273"/>
  <c r="J41" i="273" s="1"/>
  <c r="F83" i="273"/>
  <c r="F28" i="273"/>
  <c r="F29" i="273" s="1"/>
  <c r="F31" i="273" s="1"/>
  <c r="F16" i="48"/>
  <c r="AQ82" i="265"/>
  <c r="AQ83" i="265"/>
  <c r="DC82" i="265"/>
  <c r="DC83" i="265"/>
  <c r="BG82" i="265"/>
  <c r="BG83" i="265"/>
  <c r="AY82" i="265"/>
  <c r="AY83" i="265"/>
  <c r="CB82" i="265"/>
  <c r="CB83" i="265"/>
  <c r="AF82" i="265"/>
  <c r="AF83" i="265"/>
  <c r="CR82" i="265"/>
  <c r="CR83" i="265"/>
  <c r="DZ82" i="265"/>
  <c r="DZ83" i="265"/>
  <c r="DY82" i="265"/>
  <c r="DY83" i="265"/>
  <c r="DX82" i="265"/>
  <c r="DX83" i="265"/>
  <c r="DW82" i="265"/>
  <c r="DW83" i="265"/>
  <c r="DV82" i="265"/>
  <c r="DV83" i="265"/>
  <c r="DU82" i="265"/>
  <c r="DU83" i="265"/>
  <c r="DT82" i="265"/>
  <c r="DT83" i="265"/>
  <c r="DS82" i="265"/>
  <c r="DS83" i="265"/>
  <c r="DJ82" i="265"/>
  <c r="DJ83" i="265"/>
  <c r="DI82" i="265"/>
  <c r="DI83" i="265"/>
  <c r="DH82" i="265"/>
  <c r="DH83" i="265"/>
  <c r="CW82" i="265"/>
  <c r="CW83" i="265"/>
  <c r="CT82" i="265"/>
  <c r="CT83" i="265"/>
  <c r="CL82" i="265"/>
  <c r="CL83" i="265"/>
  <c r="CJ82" i="265"/>
  <c r="CJ83" i="265"/>
  <c r="BZ82" i="265"/>
  <c r="BZ83" i="265"/>
  <c r="BJ82" i="265"/>
  <c r="BJ83" i="265"/>
  <c r="AT82" i="265"/>
  <c r="AT83" i="265"/>
  <c r="AD82" i="265"/>
  <c r="AD83" i="265"/>
  <c r="M82" i="265"/>
  <c r="M83" i="265"/>
  <c r="K82" i="265"/>
  <c r="K83" i="265"/>
  <c r="H47" i="265"/>
  <c r="H57" i="269" s="1"/>
  <c r="K57" i="269" s="1"/>
  <c r="EA82" i="265"/>
  <c r="EA83" i="265"/>
  <c r="CU82" i="265"/>
  <c r="CU83" i="265"/>
  <c r="AA82" i="265"/>
  <c r="AA83" i="265"/>
  <c r="BT82" i="265"/>
  <c r="BT83" i="265"/>
  <c r="AV82" i="265"/>
  <c r="AV83" i="265"/>
  <c r="BD82" i="265"/>
  <c r="BD83" i="265"/>
  <c r="DR82" i="265"/>
  <c r="DR83" i="265"/>
  <c r="DQ82" i="265"/>
  <c r="DQ83" i="265"/>
  <c r="DP82" i="265"/>
  <c r="DP83" i="265"/>
  <c r="DO82" i="265"/>
  <c r="DO83" i="265"/>
  <c r="DN82" i="265"/>
  <c r="DN83" i="265"/>
  <c r="DM82" i="265"/>
  <c r="DM83" i="265"/>
  <c r="DL82" i="265"/>
  <c r="DL83" i="265"/>
  <c r="DD82" i="265"/>
  <c r="DD83" i="265"/>
  <c r="DA82" i="265"/>
  <c r="DA83" i="265"/>
  <c r="CV82" i="265"/>
  <c r="CV83" i="265"/>
  <c r="CN82" i="265"/>
  <c r="CN83" i="265"/>
  <c r="CF82" i="265"/>
  <c r="CF83" i="265"/>
  <c r="BR82" i="265"/>
  <c r="BR83" i="265"/>
  <c r="BB82" i="265"/>
  <c r="BB83" i="265"/>
  <c r="AM82" i="265"/>
  <c r="AM83" i="265"/>
  <c r="V82" i="265"/>
  <c r="V83" i="265"/>
  <c r="S82" i="265"/>
  <c r="S83" i="265"/>
  <c r="V53" i="265"/>
  <c r="H50" i="265"/>
  <c r="H60" i="269" s="1"/>
  <c r="DK82" i="265"/>
  <c r="DF82" i="265"/>
  <c r="CY82" i="265"/>
  <c r="CP82" i="265"/>
  <c r="CH82" i="265"/>
  <c r="CD82" i="265"/>
  <c r="BX82" i="265"/>
  <c r="BV82" i="265"/>
  <c r="BP82" i="265"/>
  <c r="BN82" i="265"/>
  <c r="BH82" i="265"/>
  <c r="BF82" i="265"/>
  <c r="AZ82" i="265"/>
  <c r="AX82" i="265"/>
  <c r="AR82" i="265"/>
  <c r="AO82" i="265"/>
  <c r="AK82" i="265"/>
  <c r="AJ82" i="265"/>
  <c r="AJ83" i="265"/>
  <c r="AH82" i="265"/>
  <c r="AB82" i="265"/>
  <c r="Z82" i="265"/>
  <c r="Q82" i="265"/>
  <c r="O82" i="265"/>
  <c r="O83" i="265"/>
  <c r="AI83" i="265"/>
  <c r="BO83" i="265"/>
  <c r="BW83" i="265"/>
  <c r="CE83" i="265"/>
  <c r="CI83" i="265"/>
  <c r="CS83" i="265"/>
  <c r="CY83" i="265"/>
  <c r="DG83" i="265"/>
  <c r="DK83" i="265"/>
  <c r="H33" i="265"/>
  <c r="H43" i="269" s="1"/>
  <c r="K43" i="269" s="1"/>
  <c r="H19" i="265"/>
  <c r="H29" i="269" s="1"/>
  <c r="K29" i="269" s="1"/>
  <c r="AL83" i="265"/>
  <c r="L83" i="265"/>
  <c r="BX83" i="265"/>
  <c r="AB83" i="265"/>
  <c r="J83" i="265"/>
  <c r="BV83" i="265"/>
  <c r="AX83" i="265"/>
  <c r="BH83" i="265"/>
  <c r="CM83" i="265"/>
  <c r="P83" i="265"/>
  <c r="AZ83" i="265"/>
  <c r="DE82" i="265"/>
  <c r="DB82" i="265"/>
  <c r="CX82" i="265"/>
  <c r="CO82" i="265"/>
  <c r="CG82" i="265"/>
  <c r="CC82" i="265"/>
  <c r="CA82" i="265"/>
  <c r="BU82" i="265"/>
  <c r="BS82" i="265"/>
  <c r="BM82" i="265"/>
  <c r="BK82" i="265"/>
  <c r="BE82" i="265"/>
  <c r="BC82" i="265"/>
  <c r="AW82" i="265"/>
  <c r="AU82" i="265"/>
  <c r="AN82" i="265"/>
  <c r="AG82" i="265"/>
  <c r="AE82" i="265"/>
  <c r="Y82" i="265"/>
  <c r="W82" i="265"/>
  <c r="N82" i="265"/>
  <c r="J42" i="273"/>
  <c r="J4" i="273" s="1"/>
  <c r="J52" i="273"/>
  <c r="K13" i="273"/>
  <c r="K14" i="273" s="1"/>
  <c r="K5" i="277"/>
  <c r="K5" i="265"/>
  <c r="L10" i="273"/>
  <c r="K5" i="273"/>
  <c r="J4" i="265"/>
  <c r="J56" i="273"/>
  <c r="J19" i="273"/>
  <c r="J47" i="273"/>
  <c r="J48" i="273" s="1"/>
  <c r="J20" i="273"/>
  <c r="J24" i="273" s="1"/>
  <c r="F87" i="273"/>
  <c r="H42" i="265" l="1"/>
  <c r="H52" i="269" s="1"/>
  <c r="K52" i="269" s="1"/>
  <c r="L52" i="269" s="1"/>
  <c r="H53" i="265"/>
  <c r="H63" i="269" s="1"/>
  <c r="M25" i="265"/>
  <c r="H25" i="265" s="1"/>
  <c r="H35" i="269" s="1"/>
  <c r="K35" i="269" s="1"/>
  <c r="L35" i="269" s="1"/>
  <c r="H22" i="265"/>
  <c r="H32" i="269" s="1"/>
  <c r="K32" i="269" s="1"/>
  <c r="J12" i="269"/>
  <c r="L12" i="269"/>
  <c r="J23" i="269"/>
  <c r="L23" i="269"/>
  <c r="J27" i="269"/>
  <c r="L27" i="269"/>
  <c r="J42" i="269"/>
  <c r="L42" i="269"/>
  <c r="J50" i="269"/>
  <c r="L50" i="269"/>
  <c r="J32" i="269"/>
  <c r="L32" i="269"/>
  <c r="J19" i="269"/>
  <c r="L19" i="269"/>
  <c r="J26" i="269"/>
  <c r="L26" i="269"/>
  <c r="J55" i="269"/>
  <c r="L55" i="269"/>
  <c r="J24" i="269"/>
  <c r="L24" i="269"/>
  <c r="F18" i="273"/>
  <c r="I16" i="48" a="1"/>
  <c r="I16" i="48" s="1"/>
  <c r="F23" i="273"/>
  <c r="F7" i="48"/>
  <c r="J25" i="273"/>
  <c r="F82" i="265"/>
  <c r="F12" i="264" s="1"/>
  <c r="J4" i="275"/>
  <c r="H83" i="265"/>
  <c r="J43" i="269"/>
  <c r="L43" i="269"/>
  <c r="J29" i="269"/>
  <c r="L29" i="269"/>
  <c r="J52" i="269"/>
  <c r="J57" i="269"/>
  <c r="L57" i="269"/>
  <c r="J35" i="269"/>
  <c r="J51" i="273"/>
  <c r="J2" i="277"/>
  <c r="J4" i="277" s="1"/>
  <c r="J2" i="265"/>
  <c r="J2" i="275"/>
  <c r="J2" i="273"/>
  <c r="J96" i="273"/>
  <c r="M10" i="273"/>
  <c r="L5" i="277"/>
  <c r="L5" i="265"/>
  <c r="L5" i="275"/>
  <c r="L13" i="273"/>
  <c r="L14" i="273" s="1"/>
  <c r="L5" i="273"/>
  <c r="J32" i="273"/>
  <c r="J33" i="273" s="1"/>
  <c r="J38" i="273" s="1"/>
  <c r="K37" i="273"/>
  <c r="K47" i="273"/>
  <c r="K48" i="273" s="1"/>
  <c r="K51" i="273" s="1"/>
  <c r="K19" i="273"/>
  <c r="K20" i="273" s="1"/>
  <c r="K24" i="273" s="1"/>
  <c r="K25" i="273" s="1"/>
  <c r="K90" i="273" s="1"/>
  <c r="K56" i="273"/>
  <c r="K75" i="273"/>
  <c r="K2" i="265"/>
  <c r="F89" i="273"/>
  <c r="F95" i="273"/>
  <c r="K2" i="277" l="1"/>
  <c r="J75" i="273"/>
  <c r="J76" i="273" s="1"/>
  <c r="J90" i="273"/>
  <c r="J91" i="273" s="1"/>
  <c r="K2" i="273"/>
  <c r="K32" i="273"/>
  <c r="K33" i="273" s="1"/>
  <c r="J2" i="269"/>
  <c r="F3" i="280" s="1"/>
  <c r="K96" i="273"/>
  <c r="K2" i="275"/>
  <c r="K39" i="273"/>
  <c r="K41" i="273" s="1"/>
  <c r="J118" i="273"/>
  <c r="J97" i="273"/>
  <c r="L37" i="273"/>
  <c r="L56" i="273"/>
  <c r="L47" i="273"/>
  <c r="L48" i="273" s="1"/>
  <c r="L51" i="273" s="1"/>
  <c r="L19" i="273"/>
  <c r="L20" i="273" s="1"/>
  <c r="L24" i="273" s="1"/>
  <c r="L25" i="273" s="1"/>
  <c r="N10" i="273"/>
  <c r="M5" i="277"/>
  <c r="M5" i="275"/>
  <c r="M13" i="273"/>
  <c r="M14" i="273" s="1"/>
  <c r="M5" i="273"/>
  <c r="M5" i="265"/>
  <c r="K4" i="277"/>
  <c r="K42" i="273"/>
  <c r="K52" i="273"/>
  <c r="J100" i="273"/>
  <c r="K101" i="273" s="1"/>
  <c r="K59" i="273" s="1"/>
  <c r="K97" i="273"/>
  <c r="K91" i="273"/>
  <c r="K100" i="273" s="1"/>
  <c r="L101" i="273" s="1"/>
  <c r="L59" i="273" s="1"/>
  <c r="L75" i="273"/>
  <c r="L32" i="273"/>
  <c r="L33" i="273" s="1"/>
  <c r="L90" i="273"/>
  <c r="L91" i="273" s="1"/>
  <c r="L100" i="273" s="1"/>
  <c r="M101" i="273" s="1"/>
  <c r="M59" i="273" s="1"/>
  <c r="L2" i="265"/>
  <c r="L2" i="275"/>
  <c r="L2" i="273"/>
  <c r="L96" i="273"/>
  <c r="L97" i="273" s="1"/>
  <c r="J108" i="273"/>
  <c r="J109" i="273" s="1"/>
  <c r="J119" i="273"/>
  <c r="J120" i="273" s="1"/>
  <c r="J113" i="273"/>
  <c r="J114" i="273" s="1"/>
  <c r="K38" i="273"/>
  <c r="K118" i="273"/>
  <c r="L76" i="273"/>
  <c r="F3" i="273" l="1"/>
  <c r="F3" i="265"/>
  <c r="F3" i="264"/>
  <c r="F3" i="275"/>
  <c r="K76" i="273"/>
  <c r="J79" i="273"/>
  <c r="K80" i="273" s="1"/>
  <c r="K58" i="273" s="1"/>
  <c r="J57" i="273"/>
  <c r="J60" i="273" s="1"/>
  <c r="J66" i="273" s="1"/>
  <c r="J67" i="273" s="1"/>
  <c r="J15" i="275"/>
  <c r="J20" i="275" s="1"/>
  <c r="K17" i="275" s="1"/>
  <c r="F3" i="277"/>
  <c r="L39" i="273"/>
  <c r="L41" i="273" s="1"/>
  <c r="L2" i="277"/>
  <c r="N5" i="277"/>
  <c r="N5" i="275"/>
  <c r="O10" i="273"/>
  <c r="N5" i="265"/>
  <c r="N5" i="273"/>
  <c r="N13" i="273"/>
  <c r="N14" i="273" s="1"/>
  <c r="M37" i="273"/>
  <c r="M56" i="273"/>
  <c r="M47" i="273"/>
  <c r="M48" i="273" s="1"/>
  <c r="M51" i="273" s="1"/>
  <c r="M19" i="273"/>
  <c r="M20" i="273" s="1"/>
  <c r="M24" i="273" s="1"/>
  <c r="M25" i="273" s="1"/>
  <c r="M75" i="273" s="1"/>
  <c r="L57" i="273"/>
  <c r="L79" i="273"/>
  <c r="M80" i="273" s="1"/>
  <c r="M58" i="273" s="1"/>
  <c r="L15" i="275"/>
  <c r="L20" i="275" s="1"/>
  <c r="M17" i="275" s="1"/>
  <c r="J3" i="273"/>
  <c r="J3" i="265"/>
  <c r="J50" i="273"/>
  <c r="J53" i="273" s="1"/>
  <c r="J3" i="277" s="1"/>
  <c r="J3" i="275"/>
  <c r="M32" i="273"/>
  <c r="M33" i="273" s="1"/>
  <c r="M2" i="265"/>
  <c r="M2" i="277"/>
  <c r="L42" i="273"/>
  <c r="L52" i="273"/>
  <c r="L119" i="273"/>
  <c r="L108" i="273"/>
  <c r="L113" i="273"/>
  <c r="J112" i="273"/>
  <c r="L38" i="273"/>
  <c r="L118" i="273"/>
  <c r="K108" i="273"/>
  <c r="K109" i="273" s="1"/>
  <c r="K119" i="273"/>
  <c r="K120" i="273" s="1"/>
  <c r="K113" i="273"/>
  <c r="K114" i="273" s="1"/>
  <c r="L114" i="273" s="1"/>
  <c r="K4" i="273"/>
  <c r="K4" i="275"/>
  <c r="K4" i="265"/>
  <c r="L4" i="277"/>
  <c r="M2" i="275" l="1"/>
  <c r="K57" i="273"/>
  <c r="K60" i="273" s="1"/>
  <c r="K66" i="273" s="1"/>
  <c r="K67" i="273" s="1"/>
  <c r="K15" i="275"/>
  <c r="K20" i="275" s="1"/>
  <c r="L17" i="275" s="1"/>
  <c r="K79" i="273"/>
  <c r="L80" i="273" s="1"/>
  <c r="L58" i="273" s="1"/>
  <c r="L120" i="273"/>
  <c r="L60" i="273"/>
  <c r="M2" i="273"/>
  <c r="M96" i="273"/>
  <c r="M97" i="273" s="1"/>
  <c r="M119" i="273" s="1"/>
  <c r="M90" i="273"/>
  <c r="M91" i="273" s="1"/>
  <c r="M100" i="273" s="1"/>
  <c r="N101" i="273" s="1"/>
  <c r="N59" i="273" s="1"/>
  <c r="O13" i="273"/>
  <c r="O14" i="273" s="1"/>
  <c r="P10" i="273"/>
  <c r="O5" i="265"/>
  <c r="O5" i="273"/>
  <c r="O5" i="275"/>
  <c r="O5" i="277"/>
  <c r="M39" i="273"/>
  <c r="M41" i="273" s="1"/>
  <c r="M42" i="273" s="1"/>
  <c r="N37" i="273"/>
  <c r="N56" i="273"/>
  <c r="N19" i="273"/>
  <c r="N20" i="273" s="1"/>
  <c r="N24" i="273" s="1"/>
  <c r="N25" i="273" s="1"/>
  <c r="N32" i="273" s="1"/>
  <c r="N33" i="273" s="1"/>
  <c r="N47" i="273"/>
  <c r="N48" i="273" s="1"/>
  <c r="N51" i="273" s="1"/>
  <c r="L66" i="273"/>
  <c r="L67" i="273" s="1"/>
  <c r="L109" i="273"/>
  <c r="K112" i="273"/>
  <c r="M4" i="277"/>
  <c r="M38" i="273"/>
  <c r="N39" i="273" s="1"/>
  <c r="N41" i="273" s="1"/>
  <c r="M118" i="273"/>
  <c r="N75" i="273"/>
  <c r="N90" i="273"/>
  <c r="N91" i="273" s="1"/>
  <c r="N2" i="275"/>
  <c r="N2" i="273"/>
  <c r="L4" i="275"/>
  <c r="L4" i="265"/>
  <c r="L4" i="273"/>
  <c r="M108" i="273"/>
  <c r="M76" i="273"/>
  <c r="K50" i="273"/>
  <c r="K3" i="265"/>
  <c r="K3" i="275"/>
  <c r="K3" i="273"/>
  <c r="N96" i="273" l="1"/>
  <c r="N97" i="273" s="1"/>
  <c r="N108" i="273" s="1"/>
  <c r="N2" i="265"/>
  <c r="M120" i="273"/>
  <c r="M113" i="273"/>
  <c r="M114" i="273" s="1"/>
  <c r="M52" i="273"/>
  <c r="N2" i="277"/>
  <c r="O37" i="273"/>
  <c r="O47" i="273"/>
  <c r="O48" i="273" s="1"/>
  <c r="O19" i="273"/>
  <c r="O20" i="273" s="1"/>
  <c r="O24" i="273" s="1"/>
  <c r="O25" i="273" s="1"/>
  <c r="O75" i="273" s="1"/>
  <c r="O76" i="273" s="1"/>
  <c r="O56" i="273"/>
  <c r="P5" i="277"/>
  <c r="P5" i="275"/>
  <c r="P13" i="273"/>
  <c r="P14" i="273" s="1"/>
  <c r="P5" i="273"/>
  <c r="P5" i="265"/>
  <c r="Q10" i="273"/>
  <c r="N100" i="273"/>
  <c r="O101" i="273" s="1"/>
  <c r="O59" i="273" s="1"/>
  <c r="N76" i="273"/>
  <c r="M4" i="265"/>
  <c r="M4" i="275"/>
  <c r="M4" i="273"/>
  <c r="N119" i="273"/>
  <c r="N120" i="273" s="1"/>
  <c r="N38" i="273"/>
  <c r="O39" i="273" s="1"/>
  <c r="O41" i="273" s="1"/>
  <c r="N118" i="273"/>
  <c r="N42" i="273"/>
  <c r="N52" i="273"/>
  <c r="N4" i="277"/>
  <c r="L3" i="275"/>
  <c r="L3" i="265"/>
  <c r="L50" i="273"/>
  <c r="L3" i="273"/>
  <c r="M57" i="273"/>
  <c r="M60" i="273" s="1"/>
  <c r="M79" i="273"/>
  <c r="N80" i="273" s="1"/>
  <c r="M15" i="275"/>
  <c r="M20" i="275" s="1"/>
  <c r="N17" i="275" s="1"/>
  <c r="O51" i="273"/>
  <c r="O2" i="277"/>
  <c r="L112" i="273"/>
  <c r="M109" i="273"/>
  <c r="O96" i="273" l="1"/>
  <c r="O97" i="273" s="1"/>
  <c r="O113" i="273" s="1"/>
  <c r="O114" i="273" s="1"/>
  <c r="N113" i="273"/>
  <c r="N114" i="273" s="1"/>
  <c r="O2" i="265"/>
  <c r="O90" i="273"/>
  <c r="O91" i="273" s="1"/>
  <c r="O100" i="273" s="1"/>
  <c r="P101" i="273" s="1"/>
  <c r="P59" i="273" s="1"/>
  <c r="Q13" i="273"/>
  <c r="Q14" i="273" s="1"/>
  <c r="R10" i="273"/>
  <c r="Q5" i="273"/>
  <c r="Q5" i="277"/>
  <c r="Q5" i="275"/>
  <c r="Q5" i="265"/>
  <c r="O2" i="275"/>
  <c r="O2" i="273"/>
  <c r="O32" i="273"/>
  <c r="O33" i="273" s="1"/>
  <c r="O118" i="273" s="1"/>
  <c r="P37" i="273"/>
  <c r="P47" i="273"/>
  <c r="P48" i="273" s="1"/>
  <c r="P51" i="273" s="1"/>
  <c r="P56" i="273"/>
  <c r="P19" i="273"/>
  <c r="P20" i="273" s="1"/>
  <c r="P24" i="273" s="1"/>
  <c r="P25" i="273" s="1"/>
  <c r="P75" i="273" s="1"/>
  <c r="P76" i="273" s="1"/>
  <c r="O57" i="273"/>
  <c r="O79" i="273"/>
  <c r="P80" i="273" s="1"/>
  <c r="P58" i="273" s="1"/>
  <c r="O15" i="275"/>
  <c r="N58" i="273"/>
  <c r="O108" i="273"/>
  <c r="N4" i="273"/>
  <c r="N4" i="275"/>
  <c r="N4" i="265"/>
  <c r="N109" i="273"/>
  <c r="M112" i="273"/>
  <c r="O4" i="277"/>
  <c r="M66" i="273"/>
  <c r="M67" i="273" s="1"/>
  <c r="O38" i="273"/>
  <c r="O42" i="273"/>
  <c r="O52" i="273"/>
  <c r="N57" i="273"/>
  <c r="N60" i="273" s="1"/>
  <c r="N79" i="273"/>
  <c r="O80" i="273" s="1"/>
  <c r="O58" i="273" s="1"/>
  <c r="N15" i="275"/>
  <c r="N20" i="275" s="1"/>
  <c r="O17" i="275" s="1"/>
  <c r="P2" i="277" l="1"/>
  <c r="P2" i="275"/>
  <c r="P32" i="273"/>
  <c r="P33" i="273" s="1"/>
  <c r="P2" i="265"/>
  <c r="P96" i="273"/>
  <c r="P97" i="273" s="1"/>
  <c r="P113" i="273" s="1"/>
  <c r="P114" i="273" s="1"/>
  <c r="P2" i="273"/>
  <c r="P90" i="273"/>
  <c r="P91" i="273" s="1"/>
  <c r="P100" i="273" s="1"/>
  <c r="Q101" i="273" s="1"/>
  <c r="Q59" i="273" s="1"/>
  <c r="O119" i="273"/>
  <c r="O120" i="273" s="1"/>
  <c r="P39" i="273"/>
  <c r="P41" i="273" s="1"/>
  <c r="P42" i="273" s="1"/>
  <c r="Q37" i="273"/>
  <c r="Q56" i="273"/>
  <c r="Q47" i="273"/>
  <c r="Q48" i="273" s="1"/>
  <c r="Q2" i="277" s="1"/>
  <c r="Q19" i="273"/>
  <c r="Q20" i="273" s="1"/>
  <c r="Q24" i="273" s="1"/>
  <c r="Q25" i="273" s="1"/>
  <c r="Q32" i="273" s="1"/>
  <c r="Q33" i="273" s="1"/>
  <c r="R5" i="277"/>
  <c r="R5" i="275"/>
  <c r="S10" i="273"/>
  <c r="R5" i="265"/>
  <c r="R13" i="273"/>
  <c r="R14" i="273" s="1"/>
  <c r="R5" i="273"/>
  <c r="O60" i="273"/>
  <c r="N66" i="273"/>
  <c r="N67" i="273" s="1"/>
  <c r="O4" i="275"/>
  <c r="O4" i="265"/>
  <c r="O4" i="273"/>
  <c r="P57" i="273"/>
  <c r="P79" i="273"/>
  <c r="Q80" i="273" s="1"/>
  <c r="Q58" i="273" s="1"/>
  <c r="P15" i="275"/>
  <c r="P108" i="273"/>
  <c r="O109" i="273"/>
  <c r="N112" i="273"/>
  <c r="M50" i="273"/>
  <c r="M3" i="273"/>
  <c r="M3" i="265"/>
  <c r="M3" i="275"/>
  <c r="P4" i="277"/>
  <c r="Q51" i="273"/>
  <c r="P38" i="273"/>
  <c r="P118" i="273"/>
  <c r="Q90" i="273"/>
  <c r="Q91" i="273" s="1"/>
  <c r="Q2" i="275"/>
  <c r="O20" i="275"/>
  <c r="P17" i="275" s="1"/>
  <c r="Q2" i="265" l="1"/>
  <c r="Q75" i="273"/>
  <c r="P52" i="273"/>
  <c r="Q96" i="273"/>
  <c r="Q97" i="273" s="1"/>
  <c r="Q113" i="273" s="1"/>
  <c r="Q114" i="273" s="1"/>
  <c r="Q2" i="273"/>
  <c r="P119" i="273"/>
  <c r="P120" i="273" s="1"/>
  <c r="Q39" i="273"/>
  <c r="Q41" i="273" s="1"/>
  <c r="R19" i="273"/>
  <c r="R20" i="273" s="1"/>
  <c r="R24" i="273" s="1"/>
  <c r="R25" i="273" s="1"/>
  <c r="R75" i="273" s="1"/>
  <c r="R76" i="273" s="1"/>
  <c r="R56" i="273"/>
  <c r="R47" i="273"/>
  <c r="R48" i="273" s="1"/>
  <c r="R51" i="273" s="1"/>
  <c r="R37" i="273"/>
  <c r="S13" i="273"/>
  <c r="S14" i="273" s="1"/>
  <c r="T10" i="273"/>
  <c r="S5" i="277"/>
  <c r="S5" i="273"/>
  <c r="S5" i="275"/>
  <c r="S5" i="265"/>
  <c r="Q42" i="273"/>
  <c r="Q52" i="273"/>
  <c r="R32" i="273"/>
  <c r="R33" i="273" s="1"/>
  <c r="Q76" i="273"/>
  <c r="P4" i="265"/>
  <c r="P4" i="273"/>
  <c r="P4" i="275"/>
  <c r="P60" i="273"/>
  <c r="O66" i="273"/>
  <c r="O67" i="273" s="1"/>
  <c r="Q100" i="273"/>
  <c r="R101" i="273" s="1"/>
  <c r="R59" i="273" s="1"/>
  <c r="Q119" i="273"/>
  <c r="Q120" i="273" s="1"/>
  <c r="Q38" i="273"/>
  <c r="R39" i="273" s="1"/>
  <c r="R41" i="273" s="1"/>
  <c r="Q118" i="273"/>
  <c r="Q4" i="277"/>
  <c r="P109" i="273"/>
  <c r="O112" i="273"/>
  <c r="P20" i="275"/>
  <c r="Q17" i="275" s="1"/>
  <c r="N3" i="265"/>
  <c r="N3" i="273"/>
  <c r="N3" i="275"/>
  <c r="N50" i="273"/>
  <c r="R2" i="277" l="1"/>
  <c r="Q108" i="273"/>
  <c r="R2" i="275"/>
  <c r="R2" i="265"/>
  <c r="S19" i="273"/>
  <c r="S20" i="273" s="1"/>
  <c r="S24" i="273" s="1"/>
  <c r="S25" i="273" s="1"/>
  <c r="S90" i="273" s="1"/>
  <c r="S91" i="273" s="1"/>
  <c r="S100" i="273" s="1"/>
  <c r="T101" i="273" s="1"/>
  <c r="T59" i="273" s="1"/>
  <c r="S47" i="273"/>
  <c r="S48" i="273" s="1"/>
  <c r="S37" i="273"/>
  <c r="S56" i="273"/>
  <c r="R2" i="273"/>
  <c r="R96" i="273"/>
  <c r="R97" i="273" s="1"/>
  <c r="R119" i="273" s="1"/>
  <c r="R120" i="273" s="1"/>
  <c r="R90" i="273"/>
  <c r="R91" i="273" s="1"/>
  <c r="R100" i="273" s="1"/>
  <c r="S101" i="273" s="1"/>
  <c r="S59" i="273" s="1"/>
  <c r="T5" i="275"/>
  <c r="T5" i="277"/>
  <c r="T13" i="273"/>
  <c r="T14" i="273" s="1"/>
  <c r="T5" i="265"/>
  <c r="T5" i="273"/>
  <c r="U10" i="273"/>
  <c r="R57" i="273"/>
  <c r="R79" i="273"/>
  <c r="S80" i="273" s="1"/>
  <c r="S58" i="273" s="1"/>
  <c r="R15" i="275"/>
  <c r="R4" i="277"/>
  <c r="P112" i="273"/>
  <c r="Q109" i="273"/>
  <c r="S2" i="277"/>
  <c r="S51" i="273"/>
  <c r="R42" i="273"/>
  <c r="R52" i="273"/>
  <c r="P66" i="273"/>
  <c r="P67" i="273" s="1"/>
  <c r="Q57" i="273"/>
  <c r="Q60" i="273" s="1"/>
  <c r="Q79" i="273"/>
  <c r="R80" i="273" s="1"/>
  <c r="Q15" i="275"/>
  <c r="Q20" i="275" s="1"/>
  <c r="R17" i="275" s="1"/>
  <c r="R38" i="273"/>
  <c r="R118" i="273"/>
  <c r="Q4" i="265"/>
  <c r="Q4" i="273"/>
  <c r="Q4" i="275"/>
  <c r="O3" i="275"/>
  <c r="O50" i="273"/>
  <c r="O3" i="265"/>
  <c r="O3" i="273"/>
  <c r="R108" i="273"/>
  <c r="S2" i="273" l="1"/>
  <c r="S32" i="273"/>
  <c r="S33" i="273" s="1"/>
  <c r="S39" i="273"/>
  <c r="S41" i="273" s="1"/>
  <c r="S52" i="273" s="1"/>
  <c r="S2" i="275"/>
  <c r="S75" i="273"/>
  <c r="S76" i="273" s="1"/>
  <c r="S57" i="273" s="1"/>
  <c r="T19" i="273"/>
  <c r="T20" i="273" s="1"/>
  <c r="T24" i="273" s="1"/>
  <c r="T25" i="273" s="1"/>
  <c r="T75" i="273" s="1"/>
  <c r="T56" i="273"/>
  <c r="T37" i="273"/>
  <c r="T47" i="273"/>
  <c r="T48" i="273" s="1"/>
  <c r="T51" i="273" s="1"/>
  <c r="R113" i="273"/>
  <c r="R114" i="273" s="1"/>
  <c r="S2" i="265"/>
  <c r="S96" i="273"/>
  <c r="S97" i="273" s="1"/>
  <c r="S119" i="273" s="1"/>
  <c r="S120" i="273" s="1"/>
  <c r="U13" i="273"/>
  <c r="U14" i="273" s="1"/>
  <c r="U5" i="275"/>
  <c r="V10" i="273"/>
  <c r="U5" i="273"/>
  <c r="U5" i="265"/>
  <c r="U5" i="277"/>
  <c r="Q66" i="273"/>
  <c r="Q67" i="273" s="1"/>
  <c r="S79" i="273"/>
  <c r="T80" i="273" s="1"/>
  <c r="T58" i="273" s="1"/>
  <c r="S42" i="273"/>
  <c r="R58" i="273"/>
  <c r="R60" i="273" s="1"/>
  <c r="R4" i="265"/>
  <c r="R4" i="273"/>
  <c r="R4" i="275"/>
  <c r="S4" i="277"/>
  <c r="S113" i="273"/>
  <c r="S114" i="273" s="1"/>
  <c r="R109" i="273"/>
  <c r="Q112" i="273"/>
  <c r="T32" i="273"/>
  <c r="T33" i="273" s="1"/>
  <c r="T2" i="273"/>
  <c r="R20" i="275"/>
  <c r="S17" i="275" s="1"/>
  <c r="P3" i="265"/>
  <c r="P50" i="273"/>
  <c r="P3" i="273"/>
  <c r="P3" i="275"/>
  <c r="T2" i="277"/>
  <c r="S38" i="273"/>
  <c r="S118" i="273"/>
  <c r="T39" i="273" l="1"/>
  <c r="T41" i="273" s="1"/>
  <c r="S15" i="275"/>
  <c r="S20" i="275" s="1"/>
  <c r="T17" i="275" s="1"/>
  <c r="T76" i="273"/>
  <c r="T2" i="265"/>
  <c r="S108" i="273"/>
  <c r="T2" i="275"/>
  <c r="T96" i="273"/>
  <c r="T97" i="273" s="1"/>
  <c r="T113" i="273" s="1"/>
  <c r="T114" i="273" s="1"/>
  <c r="T90" i="273"/>
  <c r="T91" i="273" s="1"/>
  <c r="T100" i="273" s="1"/>
  <c r="U101" i="273" s="1"/>
  <c r="U59" i="273" s="1"/>
  <c r="V5" i="277"/>
  <c r="V5" i="265"/>
  <c r="W10" i="273"/>
  <c r="V5" i="275"/>
  <c r="V13" i="273"/>
  <c r="V14" i="273" s="1"/>
  <c r="V5" i="273"/>
  <c r="U19" i="273"/>
  <c r="U20" i="273" s="1"/>
  <c r="U24" i="273" s="1"/>
  <c r="U25" i="273" s="1"/>
  <c r="U32" i="273" s="1"/>
  <c r="U33" i="273" s="1"/>
  <c r="U47" i="273"/>
  <c r="U48" i="273" s="1"/>
  <c r="U2" i="277" s="1"/>
  <c r="U56" i="273"/>
  <c r="U37" i="273"/>
  <c r="S60" i="273"/>
  <c r="R66" i="273"/>
  <c r="R67" i="273" s="1"/>
  <c r="T4" i="277"/>
  <c r="U51" i="273"/>
  <c r="T108" i="273"/>
  <c r="T119" i="273"/>
  <c r="T120" i="273" s="1"/>
  <c r="U75" i="273"/>
  <c r="U2" i="275"/>
  <c r="U2" i="273"/>
  <c r="T57" i="273"/>
  <c r="T79" i="273"/>
  <c r="U80" i="273" s="1"/>
  <c r="U58" i="273" s="1"/>
  <c r="T15" i="275"/>
  <c r="T42" i="273"/>
  <c r="T52" i="273"/>
  <c r="T38" i="273"/>
  <c r="T118" i="273"/>
  <c r="S109" i="273"/>
  <c r="R112" i="273"/>
  <c r="S4" i="265"/>
  <c r="S4" i="273"/>
  <c r="S4" i="275"/>
  <c r="Q50" i="273"/>
  <c r="Q3" i="265"/>
  <c r="Q3" i="275"/>
  <c r="Q3" i="273"/>
  <c r="U90" i="273" l="1"/>
  <c r="U91" i="273" s="1"/>
  <c r="U100" i="273" s="1"/>
  <c r="V101" i="273" s="1"/>
  <c r="V59" i="273" s="1"/>
  <c r="T20" i="275"/>
  <c r="U17" i="275" s="1"/>
  <c r="U2" i="265"/>
  <c r="U96" i="273"/>
  <c r="U97" i="273" s="1"/>
  <c r="U113" i="273" s="1"/>
  <c r="U114" i="273" s="1"/>
  <c r="U39" i="273"/>
  <c r="U41" i="273" s="1"/>
  <c r="U52" i="273" s="1"/>
  <c r="V19" i="273"/>
  <c r="V20" i="273" s="1"/>
  <c r="V24" i="273" s="1"/>
  <c r="V25" i="273" s="1"/>
  <c r="V75" i="273" s="1"/>
  <c r="V76" i="273" s="1"/>
  <c r="V56" i="273"/>
  <c r="V47" i="273"/>
  <c r="V48" i="273" s="1"/>
  <c r="V2" i="277" s="1"/>
  <c r="V37" i="273"/>
  <c r="W13" i="273"/>
  <c r="W14" i="273" s="1"/>
  <c r="X10" i="273"/>
  <c r="W5" i="277"/>
  <c r="W5" i="275"/>
  <c r="W5" i="273"/>
  <c r="W5" i="265"/>
  <c r="S112" i="273"/>
  <c r="T109" i="273"/>
  <c r="T4" i="265"/>
  <c r="T4" i="273"/>
  <c r="T4" i="275"/>
  <c r="U76" i="273"/>
  <c r="V51" i="273"/>
  <c r="T60" i="273"/>
  <c r="S66" i="273"/>
  <c r="S67" i="273" s="1"/>
  <c r="U42" i="273"/>
  <c r="U119" i="273"/>
  <c r="U120" i="273" s="1"/>
  <c r="U38" i="273"/>
  <c r="U118" i="273"/>
  <c r="U4" i="277"/>
  <c r="V32" i="273"/>
  <c r="V33" i="273" s="1"/>
  <c r="V2" i="265"/>
  <c r="V96" i="273"/>
  <c r="V97" i="273" s="1"/>
  <c r="R3" i="273"/>
  <c r="R3" i="265"/>
  <c r="R3" i="275"/>
  <c r="R50" i="273"/>
  <c r="V2" i="273" l="1"/>
  <c r="V2" i="275"/>
  <c r="V90" i="273"/>
  <c r="V91" i="273" s="1"/>
  <c r="V100" i="273" s="1"/>
  <c r="W101" i="273" s="1"/>
  <c r="W59" i="273" s="1"/>
  <c r="U108" i="273"/>
  <c r="U109" i="273" s="1"/>
  <c r="X5" i="275"/>
  <c r="X5" i="277"/>
  <c r="X13" i="273"/>
  <c r="X14" i="273" s="1"/>
  <c r="X5" i="265"/>
  <c r="X5" i="273"/>
  <c r="Y10" i="273"/>
  <c r="V39" i="273"/>
  <c r="V41" i="273" s="1"/>
  <c r="V42" i="273" s="1"/>
  <c r="W19" i="273"/>
  <c r="W20" i="273" s="1"/>
  <c r="W24" i="273" s="1"/>
  <c r="W25" i="273" s="1"/>
  <c r="W75" i="273" s="1"/>
  <c r="W47" i="273"/>
  <c r="W48" i="273" s="1"/>
  <c r="W51" i="273" s="1"/>
  <c r="W37" i="273"/>
  <c r="W56" i="273"/>
  <c r="V57" i="273"/>
  <c r="V79" i="273"/>
  <c r="W80" i="273" s="1"/>
  <c r="W58" i="273" s="1"/>
  <c r="V15" i="275"/>
  <c r="V113" i="273"/>
  <c r="V114" i="273" s="1"/>
  <c r="V108" i="273"/>
  <c r="V119" i="273"/>
  <c r="V120" i="273" s="1"/>
  <c r="T66" i="273"/>
  <c r="T67" i="273" s="1"/>
  <c r="V4" i="277"/>
  <c r="W2" i="277"/>
  <c r="U57" i="273"/>
  <c r="U60" i="273" s="1"/>
  <c r="U79" i="273"/>
  <c r="V80" i="273" s="1"/>
  <c r="V58" i="273" s="1"/>
  <c r="U15" i="275"/>
  <c r="U20" i="275" s="1"/>
  <c r="V17" i="275" s="1"/>
  <c r="V38" i="273"/>
  <c r="V118" i="273"/>
  <c r="U4" i="265"/>
  <c r="U4" i="275"/>
  <c r="U4" i="273"/>
  <c r="S50" i="273"/>
  <c r="S3" i="275"/>
  <c r="S3" i="265"/>
  <c r="S3" i="273"/>
  <c r="W90" i="273"/>
  <c r="W91" i="273" s="1"/>
  <c r="W100" i="273" s="1"/>
  <c r="X101" i="273" s="1"/>
  <c r="X59" i="273" s="1"/>
  <c r="W96" i="273"/>
  <c r="W97" i="273" s="1"/>
  <c r="W2" i="265"/>
  <c r="W2" i="275"/>
  <c r="T112" i="273"/>
  <c r="W39" i="273" l="1"/>
  <c r="W41" i="273" s="1"/>
  <c r="W42" i="273" s="1"/>
  <c r="V52" i="273"/>
  <c r="W2" i="273"/>
  <c r="W32" i="273"/>
  <c r="W33" i="273" s="1"/>
  <c r="X19" i="273"/>
  <c r="X20" i="273" s="1"/>
  <c r="X24" i="273" s="1"/>
  <c r="X25" i="273" s="1"/>
  <c r="X32" i="273" s="1"/>
  <c r="X33" i="273" s="1"/>
  <c r="X56" i="273"/>
  <c r="X37" i="273"/>
  <c r="X47" i="273"/>
  <c r="X48" i="273" s="1"/>
  <c r="Y13" i="273"/>
  <c r="Y14" i="273" s="1"/>
  <c r="Z10" i="273"/>
  <c r="Y5" i="277"/>
  <c r="Y5" i="273"/>
  <c r="Y5" i="265"/>
  <c r="Y5" i="275"/>
  <c r="V60" i="273"/>
  <c r="U66" i="273"/>
  <c r="U67" i="273" s="1"/>
  <c r="W38" i="273"/>
  <c r="X39" i="273" s="1"/>
  <c r="X41" i="273" s="1"/>
  <c r="W118" i="273"/>
  <c r="W76" i="273"/>
  <c r="W52" i="273"/>
  <c r="W4" i="277"/>
  <c r="X75" i="273"/>
  <c r="T3" i="275"/>
  <c r="T3" i="265"/>
  <c r="T3" i="273"/>
  <c r="T50" i="273"/>
  <c r="V4" i="275"/>
  <c r="V4" i="265"/>
  <c r="V4" i="273"/>
  <c r="V109" i="273"/>
  <c r="U112" i="273"/>
  <c r="W119" i="273"/>
  <c r="W120" i="273" s="1"/>
  <c r="W113" i="273"/>
  <c r="W114" i="273" s="1"/>
  <c r="W108" i="273"/>
  <c r="X51" i="273"/>
  <c r="X2" i="277"/>
  <c r="V20" i="275"/>
  <c r="W17" i="275" s="1"/>
  <c r="X2" i="275" l="1"/>
  <c r="X90" i="273"/>
  <c r="X91" i="273" s="1"/>
  <c r="X100" i="273" s="1"/>
  <c r="Y101" i="273" s="1"/>
  <c r="Y59" i="273" s="1"/>
  <c r="Y37" i="273"/>
  <c r="Y56" i="273"/>
  <c r="Y47" i="273"/>
  <c r="Y48" i="273" s="1"/>
  <c r="Y2" i="277" s="1"/>
  <c r="Y19" i="273"/>
  <c r="Y20" i="273" s="1"/>
  <c r="Y24" i="273" s="1"/>
  <c r="Y25" i="273" s="1"/>
  <c r="Y32" i="273" s="1"/>
  <c r="Y33" i="273" s="1"/>
  <c r="X2" i="273"/>
  <c r="X96" i="273"/>
  <c r="X97" i="273" s="1"/>
  <c r="X113" i="273" s="1"/>
  <c r="X114" i="273" s="1"/>
  <c r="X2" i="265"/>
  <c r="Z5" i="275"/>
  <c r="Z5" i="277"/>
  <c r="AA10" i="273"/>
  <c r="Z5" i="273"/>
  <c r="Z5" i="265"/>
  <c r="Z13" i="273"/>
  <c r="Z14" i="273" s="1"/>
  <c r="Y75" i="273"/>
  <c r="Y90" i="273"/>
  <c r="Y91" i="273" s="1"/>
  <c r="Y100" i="273" s="1"/>
  <c r="Z101" i="273" s="1"/>
  <c r="Z59" i="273" s="1"/>
  <c r="Y96" i="273"/>
  <c r="Y97" i="273" s="1"/>
  <c r="Y2" i="265"/>
  <c r="X4" i="277"/>
  <c r="Y51" i="273"/>
  <c r="Y76" i="273"/>
  <c r="W4" i="275"/>
  <c r="W4" i="265"/>
  <c r="W4" i="273"/>
  <c r="X76" i="273"/>
  <c r="X42" i="273"/>
  <c r="X52" i="273"/>
  <c r="U50" i="273"/>
  <c r="U3" i="275"/>
  <c r="U3" i="265"/>
  <c r="U3" i="273"/>
  <c r="V112" i="273"/>
  <c r="W109" i="273"/>
  <c r="X108" i="273"/>
  <c r="X38" i="273"/>
  <c r="X118" i="273"/>
  <c r="W57" i="273"/>
  <c r="W60" i="273" s="1"/>
  <c r="W79" i="273"/>
  <c r="X80" i="273" s="1"/>
  <c r="X58" i="273" s="1"/>
  <c r="W15" i="275"/>
  <c r="W20" i="275" s="1"/>
  <c r="X17" i="275" s="1"/>
  <c r="V66" i="273"/>
  <c r="V67" i="273" s="1"/>
  <c r="Y39" i="273" l="1"/>
  <c r="Y41" i="273" s="1"/>
  <c r="X119" i="273"/>
  <c r="X120" i="273" s="1"/>
  <c r="Y2" i="275"/>
  <c r="Y2" i="273"/>
  <c r="Z37" i="273"/>
  <c r="Z47" i="273"/>
  <c r="Z48" i="273" s="1"/>
  <c r="Z19" i="273"/>
  <c r="Z20" i="273" s="1"/>
  <c r="Z24" i="273" s="1"/>
  <c r="Z25" i="273" s="1"/>
  <c r="Z75" i="273" s="1"/>
  <c r="Z76" i="273" s="1"/>
  <c r="Z56" i="273"/>
  <c r="AA13" i="273"/>
  <c r="AA14" i="273" s="1"/>
  <c r="AB10" i="273"/>
  <c r="AA5" i="273"/>
  <c r="AA5" i="277"/>
  <c r="AA5" i="265"/>
  <c r="AA5" i="275"/>
  <c r="V50" i="273"/>
  <c r="V3" i="275"/>
  <c r="V3" i="265"/>
  <c r="V3" i="273"/>
  <c r="Y42" i="273"/>
  <c r="Y52" i="273"/>
  <c r="X4" i="275"/>
  <c r="X4" i="273"/>
  <c r="X4" i="265"/>
  <c r="Z51" i="273"/>
  <c r="Y119" i="273"/>
  <c r="Y113" i="273"/>
  <c r="Y114" i="273" s="1"/>
  <c r="Y108" i="273"/>
  <c r="W66" i="273"/>
  <c r="W67" i="273" s="1"/>
  <c r="W112" i="273"/>
  <c r="X109" i="273"/>
  <c r="Z32" i="273"/>
  <c r="Z33" i="273" s="1"/>
  <c r="Z2" i="265"/>
  <c r="Z2" i="273"/>
  <c r="Z96" i="273"/>
  <c r="Z97" i="273" s="1"/>
  <c r="X57" i="273"/>
  <c r="X60" i="273" s="1"/>
  <c r="X79" i="273"/>
  <c r="Y80" i="273" s="1"/>
  <c r="Y58" i="273" s="1"/>
  <c r="X15" i="275"/>
  <c r="X20" i="275" s="1"/>
  <c r="Y17" i="275" s="1"/>
  <c r="Y57" i="273"/>
  <c r="Y79" i="273"/>
  <c r="Z80" i="273" s="1"/>
  <c r="Z58" i="273" s="1"/>
  <c r="Y15" i="275"/>
  <c r="Y4" i="277"/>
  <c r="Y38" i="273"/>
  <c r="Z39" i="273" s="1"/>
  <c r="Z41" i="273" s="1"/>
  <c r="Y118" i="273"/>
  <c r="Y120" i="273" l="1"/>
  <c r="Y20" i="275"/>
  <c r="Z17" i="275" s="1"/>
  <c r="Z2" i="277"/>
  <c r="Z4" i="277" s="1"/>
  <c r="AB5" i="275"/>
  <c r="AB5" i="277"/>
  <c r="AB13" i="273"/>
  <c r="AB14" i="273" s="1"/>
  <c r="AB5" i="265"/>
  <c r="AC10" i="273"/>
  <c r="AB5" i="273"/>
  <c r="Z2" i="275"/>
  <c r="Z90" i="273"/>
  <c r="Z91" i="273" s="1"/>
  <c r="Z100" i="273" s="1"/>
  <c r="AA101" i="273" s="1"/>
  <c r="AA59" i="273" s="1"/>
  <c r="AA19" i="273"/>
  <c r="AA20" i="273" s="1"/>
  <c r="AA24" i="273" s="1"/>
  <c r="AA25" i="273" s="1"/>
  <c r="AA75" i="273" s="1"/>
  <c r="AA47" i="273"/>
  <c r="AA48" i="273" s="1"/>
  <c r="AA2" i="277" s="1"/>
  <c r="AA37" i="273"/>
  <c r="AA56" i="273"/>
  <c r="Z57" i="273"/>
  <c r="Z79" i="273"/>
  <c r="AA80" i="273" s="1"/>
  <c r="AA58" i="273" s="1"/>
  <c r="Z15" i="275"/>
  <c r="Z20" i="275" s="1"/>
  <c r="AA17" i="275" s="1"/>
  <c r="Z113" i="273"/>
  <c r="Z114" i="273" s="1"/>
  <c r="Z119" i="273"/>
  <c r="Z108" i="273"/>
  <c r="Z38" i="273"/>
  <c r="AA39" i="273" s="1"/>
  <c r="AA41" i="273" s="1"/>
  <c r="Z118" i="273"/>
  <c r="Y109" i="273"/>
  <c r="X112" i="273"/>
  <c r="W3" i="273"/>
  <c r="W3" i="265"/>
  <c r="W3" i="275"/>
  <c r="W50" i="273"/>
  <c r="Y4" i="275"/>
  <c r="Y4" i="273"/>
  <c r="Y4" i="265"/>
  <c r="Z42" i="273"/>
  <c r="Z52" i="273"/>
  <c r="Y60" i="273"/>
  <c r="X66" i="273"/>
  <c r="X67" i="273" s="1"/>
  <c r="AA51" i="273"/>
  <c r="AA90" i="273"/>
  <c r="AA91" i="273" s="1"/>
  <c r="AA100" i="273" s="1"/>
  <c r="AB101" i="273" s="1"/>
  <c r="AB59" i="273" s="1"/>
  <c r="AA2" i="265"/>
  <c r="AA96" i="273"/>
  <c r="AA97" i="273" s="1"/>
  <c r="Z120" i="273" l="1"/>
  <c r="AA2" i="275"/>
  <c r="AA2" i="273"/>
  <c r="AA32" i="273"/>
  <c r="AA33" i="273" s="1"/>
  <c r="AA38" i="273" s="1"/>
  <c r="AC13" i="273"/>
  <c r="AC14" i="273" s="1"/>
  <c r="AD10" i="273"/>
  <c r="AC5" i="273"/>
  <c r="AC5" i="275"/>
  <c r="AC5" i="277"/>
  <c r="AC5" i="265"/>
  <c r="AB19" i="273"/>
  <c r="AB20" i="273" s="1"/>
  <c r="AB24" i="273" s="1"/>
  <c r="AB25" i="273" s="1"/>
  <c r="AB32" i="273" s="1"/>
  <c r="AB33" i="273" s="1"/>
  <c r="AB56" i="273"/>
  <c r="AB37" i="273"/>
  <c r="AB47" i="273"/>
  <c r="AB48" i="273" s="1"/>
  <c r="AB51" i="273" s="1"/>
  <c r="AA118" i="273"/>
  <c r="AB2" i="277"/>
  <c r="AA76" i="273"/>
  <c r="AA113" i="273"/>
  <c r="AA114" i="273" s="1"/>
  <c r="AA108" i="273"/>
  <c r="AA119" i="273"/>
  <c r="Z60" i="273"/>
  <c r="Y66" i="273"/>
  <c r="Y67" i="273" s="1"/>
  <c r="Y112" i="273"/>
  <c r="Z109" i="273"/>
  <c r="AA42" i="273"/>
  <c r="AA52" i="273"/>
  <c r="AA4" i="277"/>
  <c r="X50" i="273"/>
  <c r="X3" i="273"/>
  <c r="X3" i="275"/>
  <c r="X3" i="265"/>
  <c r="Z4" i="275"/>
  <c r="Z4" i="265"/>
  <c r="Z4" i="273"/>
  <c r="AB75" i="273"/>
  <c r="AA120" i="273"/>
  <c r="AB96" i="273" l="1"/>
  <c r="AB97" i="273" s="1"/>
  <c r="AB90" i="273"/>
  <c r="AB91" i="273" s="1"/>
  <c r="AB100" i="273" s="1"/>
  <c r="AC101" i="273" s="1"/>
  <c r="AC59" i="273" s="1"/>
  <c r="AC37" i="273"/>
  <c r="AC56" i="273"/>
  <c r="AC19" i="273"/>
  <c r="AC20" i="273" s="1"/>
  <c r="AC24" i="273" s="1"/>
  <c r="AC25" i="273" s="1"/>
  <c r="AC32" i="273" s="1"/>
  <c r="AC33" i="273" s="1"/>
  <c r="AC47" i="273"/>
  <c r="AC48" i="273" s="1"/>
  <c r="AB2" i="275"/>
  <c r="AB2" i="273"/>
  <c r="AB2" i="265"/>
  <c r="AB39" i="273"/>
  <c r="AB41" i="273" s="1"/>
  <c r="AB42" i="273" s="1"/>
  <c r="AD5" i="277"/>
  <c r="AD5" i="265"/>
  <c r="AE10" i="273"/>
  <c r="AD5" i="275"/>
  <c r="AD5" i="273"/>
  <c r="AD13" i="273"/>
  <c r="AD14" i="273" s="1"/>
  <c r="AB113" i="273"/>
  <c r="AB119" i="273"/>
  <c r="AB120" i="273" s="1"/>
  <c r="AB108" i="273"/>
  <c r="Z112" i="273"/>
  <c r="AA109" i="273"/>
  <c r="AC75" i="273"/>
  <c r="AC76" i="273" s="1"/>
  <c r="AC90" i="273"/>
  <c r="AC91" i="273" s="1"/>
  <c r="AC100" i="273" s="1"/>
  <c r="AD101" i="273" s="1"/>
  <c r="AD59" i="273" s="1"/>
  <c r="AC96" i="273"/>
  <c r="AC97" i="273" s="1"/>
  <c r="AC2" i="265"/>
  <c r="Z66" i="273"/>
  <c r="Z67" i="273" s="1"/>
  <c r="AB76" i="273"/>
  <c r="AB38" i="273"/>
  <c r="AB118" i="273"/>
  <c r="AA4" i="265"/>
  <c r="AA4" i="273"/>
  <c r="AA4" i="275"/>
  <c r="Y3" i="273"/>
  <c r="Y50" i="273"/>
  <c r="Y3" i="265"/>
  <c r="Y3" i="275"/>
  <c r="AA57" i="273"/>
  <c r="AA60" i="273" s="1"/>
  <c r="AA79" i="273"/>
  <c r="AB80" i="273" s="1"/>
  <c r="AB58" i="273" s="1"/>
  <c r="AA15" i="275"/>
  <c r="AA20" i="275" s="1"/>
  <c r="AB17" i="275" s="1"/>
  <c r="AB4" i="277"/>
  <c r="AC51" i="273"/>
  <c r="AB114" i="273"/>
  <c r="AB52" i="273" l="1"/>
  <c r="AC2" i="277"/>
  <c r="AC4" i="277" s="1"/>
  <c r="AF10" i="273"/>
  <c r="AE5" i="273"/>
  <c r="AE13" i="273"/>
  <c r="AE14" i="273" s="1"/>
  <c r="AE5" i="275"/>
  <c r="AE5" i="277"/>
  <c r="AE5" i="265"/>
  <c r="AC39" i="273"/>
  <c r="AC41" i="273" s="1"/>
  <c r="AC42" i="273" s="1"/>
  <c r="AC2" i="273"/>
  <c r="AC2" i="275"/>
  <c r="AD19" i="273"/>
  <c r="AD20" i="273" s="1"/>
  <c r="AD24" i="273" s="1"/>
  <c r="AD25" i="273" s="1"/>
  <c r="AD32" i="273" s="1"/>
  <c r="AD33" i="273" s="1"/>
  <c r="AD56" i="273"/>
  <c r="AD47" i="273"/>
  <c r="AD48" i="273" s="1"/>
  <c r="AD51" i="273" s="1"/>
  <c r="AD37" i="273"/>
  <c r="AC57" i="273"/>
  <c r="AC79" i="273"/>
  <c r="AD80" i="273" s="1"/>
  <c r="AD58" i="273" s="1"/>
  <c r="AC15" i="275"/>
  <c r="AB4" i="275"/>
  <c r="AB4" i="265"/>
  <c r="AB4" i="273"/>
  <c r="AA66" i="273"/>
  <c r="AA67" i="273" s="1"/>
  <c r="AB57" i="273"/>
  <c r="AB60" i="273" s="1"/>
  <c r="AB79" i="273"/>
  <c r="AC80" i="273" s="1"/>
  <c r="AC58" i="273" s="1"/>
  <c r="AB15" i="275"/>
  <c r="AB20" i="275" s="1"/>
  <c r="AC17" i="275" s="1"/>
  <c r="Z3" i="265"/>
  <c r="Z3" i="275"/>
  <c r="Z50" i="273"/>
  <c r="Z3" i="273"/>
  <c r="AC38" i="273"/>
  <c r="AC118" i="273"/>
  <c r="AB109" i="273"/>
  <c r="AA112" i="273"/>
  <c r="AC119" i="273"/>
  <c r="AC120" i="273" s="1"/>
  <c r="AC113" i="273"/>
  <c r="AC114" i="273" s="1"/>
  <c r="AC108" i="273"/>
  <c r="AD75" i="273" l="1"/>
  <c r="AD76" i="273" s="1"/>
  <c r="AD2" i="275"/>
  <c r="AD90" i="273"/>
  <c r="AD91" i="273" s="1"/>
  <c r="AD100" i="273" s="1"/>
  <c r="AE101" i="273" s="1"/>
  <c r="AE59" i="273" s="1"/>
  <c r="AD2" i="277"/>
  <c r="AD4" i="277" s="1"/>
  <c r="AD39" i="273"/>
  <c r="AD41" i="273" s="1"/>
  <c r="AD42" i="273" s="1"/>
  <c r="AC52" i="273"/>
  <c r="AE37" i="273"/>
  <c r="AE56" i="273"/>
  <c r="AE19" i="273"/>
  <c r="AE20" i="273" s="1"/>
  <c r="AE24" i="273" s="1"/>
  <c r="AE25" i="273" s="1"/>
  <c r="AE75" i="273" s="1"/>
  <c r="AE76" i="273" s="1"/>
  <c r="AE47" i="273"/>
  <c r="AE48" i="273" s="1"/>
  <c r="AE51" i="273" s="1"/>
  <c r="AF13" i="273"/>
  <c r="AF14" i="273" s="1"/>
  <c r="AG10" i="273"/>
  <c r="AF5" i="273"/>
  <c r="AF5" i="275"/>
  <c r="AF5" i="265"/>
  <c r="AF5" i="277"/>
  <c r="AD2" i="273"/>
  <c r="AD96" i="273"/>
  <c r="AD97" i="273" s="1"/>
  <c r="AD113" i="273" s="1"/>
  <c r="AD114" i="273" s="1"/>
  <c r="AD2" i="265"/>
  <c r="AC60" i="273"/>
  <c r="AB66" i="273"/>
  <c r="AB67" i="273" s="1"/>
  <c r="AD57" i="273"/>
  <c r="AD79" i="273"/>
  <c r="AE80" i="273" s="1"/>
  <c r="AE58" i="273" s="1"/>
  <c r="AD15" i="275"/>
  <c r="AD119" i="273"/>
  <c r="AD120" i="273" s="1"/>
  <c r="AE2" i="277"/>
  <c r="AC20" i="275"/>
  <c r="AD17" i="275" s="1"/>
  <c r="AD38" i="273"/>
  <c r="AD118" i="273"/>
  <c r="AB112" i="273"/>
  <c r="AC109" i="273"/>
  <c r="AE90" i="273"/>
  <c r="AE91" i="273" s="1"/>
  <c r="AE100" i="273" s="1"/>
  <c r="AF101" i="273" s="1"/>
  <c r="AF59" i="273" s="1"/>
  <c r="AE2" i="275"/>
  <c r="AA3" i="273"/>
  <c r="AA50" i="273"/>
  <c r="AA3" i="265"/>
  <c r="AA3" i="275"/>
  <c r="AC4" i="275"/>
  <c r="AC4" i="265"/>
  <c r="AC4" i="273"/>
  <c r="AD108" i="273" l="1"/>
  <c r="AD52" i="273"/>
  <c r="AE2" i="273"/>
  <c r="AF19" i="273"/>
  <c r="AF20" i="273" s="1"/>
  <c r="AF24" i="273" s="1"/>
  <c r="AF25" i="273" s="1"/>
  <c r="AF32" i="273" s="1"/>
  <c r="AF33" i="273" s="1"/>
  <c r="AF56" i="273"/>
  <c r="AF47" i="273"/>
  <c r="AF48" i="273" s="1"/>
  <c r="AF2" i="277" s="1"/>
  <c r="AF37" i="273"/>
  <c r="AE2" i="265"/>
  <c r="AE96" i="273"/>
  <c r="AE97" i="273" s="1"/>
  <c r="AE113" i="273" s="1"/>
  <c r="AE114" i="273" s="1"/>
  <c r="AE32" i="273"/>
  <c r="AE33" i="273" s="1"/>
  <c r="AE118" i="273" s="1"/>
  <c r="AE39" i="273"/>
  <c r="AE41" i="273" s="1"/>
  <c r="AE52" i="273" s="1"/>
  <c r="AG5" i="275"/>
  <c r="AG5" i="265"/>
  <c r="AH10" i="273"/>
  <c r="AG5" i="273"/>
  <c r="AG13" i="273"/>
  <c r="AG14" i="273" s="1"/>
  <c r="AG5" i="277"/>
  <c r="AE57" i="273"/>
  <c r="AE79" i="273"/>
  <c r="AF80" i="273" s="1"/>
  <c r="AF58" i="273" s="1"/>
  <c r="AE15" i="275"/>
  <c r="AC112" i="273"/>
  <c r="AD109" i="273"/>
  <c r="AE42" i="273"/>
  <c r="AD4" i="275"/>
  <c r="AD4" i="265"/>
  <c r="AD4" i="273"/>
  <c r="AE4" i="277"/>
  <c r="AD20" i="275"/>
  <c r="AE17" i="275" s="1"/>
  <c r="AB3" i="265"/>
  <c r="AB3" i="275"/>
  <c r="AB3" i="273"/>
  <c r="AB50" i="273"/>
  <c r="AE119" i="273"/>
  <c r="AE120" i="273" s="1"/>
  <c r="AE108" i="273"/>
  <c r="AF2" i="273"/>
  <c r="AD60" i="273"/>
  <c r="AC66" i="273"/>
  <c r="AC67" i="273" s="1"/>
  <c r="AF75" i="273" l="1"/>
  <c r="AF90" i="273"/>
  <c r="AF91" i="273" s="1"/>
  <c r="AF100" i="273" s="1"/>
  <c r="AG101" i="273" s="1"/>
  <c r="AG59" i="273" s="1"/>
  <c r="AE38" i="273"/>
  <c r="AF39" i="273" s="1"/>
  <c r="AF41" i="273" s="1"/>
  <c r="AG19" i="273"/>
  <c r="AG20" i="273" s="1"/>
  <c r="AG24" i="273" s="1"/>
  <c r="AG25" i="273" s="1"/>
  <c r="AG32" i="273" s="1"/>
  <c r="AG33" i="273" s="1"/>
  <c r="AG47" i="273"/>
  <c r="AG48" i="273" s="1"/>
  <c r="AG56" i="273"/>
  <c r="AG37" i="273"/>
  <c r="AH13" i="273"/>
  <c r="AH14" i="273" s="1"/>
  <c r="AI10" i="273"/>
  <c r="AH5" i="273"/>
  <c r="AH5" i="265"/>
  <c r="AH5" i="277"/>
  <c r="AH5" i="275"/>
  <c r="AF51" i="273"/>
  <c r="AF2" i="275"/>
  <c r="AF96" i="273"/>
  <c r="AF97" i="273" s="1"/>
  <c r="AF108" i="273" s="1"/>
  <c r="AF2" i="265"/>
  <c r="AE60" i="273"/>
  <c r="AD66" i="273"/>
  <c r="AD67" i="273" s="1"/>
  <c r="AC50" i="273"/>
  <c r="AC3" i="265"/>
  <c r="AC3" i="275"/>
  <c r="AC3" i="273"/>
  <c r="AF4" i="277"/>
  <c r="AG51" i="273"/>
  <c r="AG2" i="277"/>
  <c r="AF38" i="273"/>
  <c r="AF118" i="273"/>
  <c r="AF76" i="273"/>
  <c r="AD112" i="273"/>
  <c r="AE109" i="273"/>
  <c r="AG2" i="273"/>
  <c r="AE4" i="273"/>
  <c r="AE4" i="265"/>
  <c r="AE4" i="275"/>
  <c r="AE20" i="275"/>
  <c r="AF17" i="275" s="1"/>
  <c r="AF42" i="273" l="1"/>
  <c r="AF52" i="273"/>
  <c r="AG39" i="273"/>
  <c r="AG41" i="273" s="1"/>
  <c r="AG75" i="273"/>
  <c r="AG76" i="273" s="1"/>
  <c r="AG57" i="273" s="1"/>
  <c r="AF119" i="273"/>
  <c r="AF120" i="273" s="1"/>
  <c r="AG96" i="273"/>
  <c r="AG97" i="273" s="1"/>
  <c r="AG113" i="273" s="1"/>
  <c r="AG90" i="273"/>
  <c r="AG91" i="273" s="1"/>
  <c r="AG100" i="273" s="1"/>
  <c r="AH101" i="273" s="1"/>
  <c r="AH59" i="273" s="1"/>
  <c r="AF113" i="273"/>
  <c r="AF114" i="273" s="1"/>
  <c r="AH19" i="273"/>
  <c r="AH20" i="273" s="1"/>
  <c r="AH24" i="273" s="1"/>
  <c r="AH25" i="273" s="1"/>
  <c r="AH75" i="273" s="1"/>
  <c r="AH56" i="273"/>
  <c r="AH37" i="273"/>
  <c r="AH47" i="273"/>
  <c r="AH48" i="273" s="1"/>
  <c r="AH51" i="273" s="1"/>
  <c r="AG2" i="275"/>
  <c r="AG2" i="265"/>
  <c r="AI5" i="275"/>
  <c r="AI5" i="265"/>
  <c r="AI13" i="273"/>
  <c r="AI14" i="273" s="1"/>
  <c r="AI5" i="277"/>
  <c r="AJ10" i="273"/>
  <c r="AI5" i="273"/>
  <c r="AG79" i="273"/>
  <c r="AH80" i="273" s="1"/>
  <c r="AH58" i="273" s="1"/>
  <c r="AG119" i="273"/>
  <c r="AG120" i="273" s="1"/>
  <c r="AG108" i="273"/>
  <c r="AH2" i="273"/>
  <c r="AF4" i="265"/>
  <c r="AF4" i="273"/>
  <c r="AF4" i="275"/>
  <c r="AG4" i="277"/>
  <c r="AH2" i="277"/>
  <c r="AD3" i="275"/>
  <c r="AD3" i="273"/>
  <c r="AD3" i="265"/>
  <c r="AD50" i="273"/>
  <c r="AG38" i="273"/>
  <c r="AG118" i="273"/>
  <c r="AE112" i="273"/>
  <c r="AF109" i="273"/>
  <c r="AF57" i="273"/>
  <c r="AF60" i="273" s="1"/>
  <c r="AF79" i="273"/>
  <c r="AG80" i="273" s="1"/>
  <c r="AG58" i="273" s="1"/>
  <c r="AF15" i="275"/>
  <c r="AF20" i="275" s="1"/>
  <c r="AG17" i="275" s="1"/>
  <c r="AG42" i="273"/>
  <c r="AG52" i="273"/>
  <c r="AE66" i="273"/>
  <c r="AE67" i="273" s="1"/>
  <c r="AH2" i="265" l="1"/>
  <c r="AG114" i="273"/>
  <c r="AG15" i="275"/>
  <c r="AG20" i="275" s="1"/>
  <c r="AH17" i="275" s="1"/>
  <c r="AH76" i="273"/>
  <c r="AH2" i="275"/>
  <c r="AH32" i="273"/>
  <c r="AH33" i="273" s="1"/>
  <c r="AH38" i="273" s="1"/>
  <c r="AH39" i="273"/>
  <c r="AH41" i="273" s="1"/>
  <c r="AH52" i="273" s="1"/>
  <c r="AH96" i="273"/>
  <c r="AH97" i="273" s="1"/>
  <c r="AH119" i="273" s="1"/>
  <c r="AH120" i="273" s="1"/>
  <c r="AH90" i="273"/>
  <c r="AH91" i="273" s="1"/>
  <c r="AH100" i="273" s="1"/>
  <c r="AI101" i="273" s="1"/>
  <c r="AI59" i="273" s="1"/>
  <c r="AJ13" i="273"/>
  <c r="AJ14" i="273" s="1"/>
  <c r="AK10" i="273"/>
  <c r="AJ5" i="265"/>
  <c r="AJ5" i="273"/>
  <c r="AJ5" i="277"/>
  <c r="AJ5" i="275"/>
  <c r="AI19" i="273"/>
  <c r="AI20" i="273" s="1"/>
  <c r="AI24" i="273" s="1"/>
  <c r="AI25" i="273" s="1"/>
  <c r="AI90" i="273" s="1"/>
  <c r="AI91" i="273" s="1"/>
  <c r="AI100" i="273" s="1"/>
  <c r="AJ101" i="273" s="1"/>
  <c r="AJ59" i="273" s="1"/>
  <c r="AI47" i="273"/>
  <c r="AI48" i="273" s="1"/>
  <c r="AI51" i="273" s="1"/>
  <c r="AI37" i="273"/>
  <c r="AI56" i="273"/>
  <c r="AE3" i="273"/>
  <c r="AE3" i="265"/>
  <c r="AE3" i="275"/>
  <c r="AE50" i="273"/>
  <c r="AG4" i="273"/>
  <c r="AG4" i="265"/>
  <c r="AG4" i="275"/>
  <c r="AF112" i="273"/>
  <c r="AG109" i="273"/>
  <c r="AH42" i="273"/>
  <c r="AH118" i="273"/>
  <c r="AG60" i="273"/>
  <c r="AF66" i="273"/>
  <c r="AF67" i="273" s="1"/>
  <c r="AI75" i="273"/>
  <c r="AI76" i="273" s="1"/>
  <c r="AI32" i="273"/>
  <c r="AI33" i="273" s="1"/>
  <c r="AI2" i="265"/>
  <c r="AH57" i="273"/>
  <c r="AH79" i="273"/>
  <c r="AI80" i="273" s="1"/>
  <c r="AI58" i="273" s="1"/>
  <c r="AH15" i="275"/>
  <c r="AH4" i="277"/>
  <c r="AH108" i="273"/>
  <c r="AI2" i="277" l="1"/>
  <c r="AI39" i="273"/>
  <c r="AI41" i="273" s="1"/>
  <c r="AH113" i="273"/>
  <c r="AH114" i="273" s="1"/>
  <c r="AJ19" i="273"/>
  <c r="AJ20" i="273" s="1"/>
  <c r="AJ24" i="273" s="1"/>
  <c r="AJ25" i="273" s="1"/>
  <c r="AJ75" i="273" s="1"/>
  <c r="AJ76" i="273" s="1"/>
  <c r="AJ56" i="273"/>
  <c r="AJ47" i="273"/>
  <c r="AJ48" i="273" s="1"/>
  <c r="AJ37" i="273"/>
  <c r="AI2" i="275"/>
  <c r="AI96" i="273"/>
  <c r="AI97" i="273" s="1"/>
  <c r="AI119" i="273" s="1"/>
  <c r="AI120" i="273" s="1"/>
  <c r="AI2" i="273"/>
  <c r="AK5" i="265"/>
  <c r="AK5" i="275"/>
  <c r="AL10" i="273"/>
  <c r="AK5" i="277"/>
  <c r="AK5" i="273"/>
  <c r="AK13" i="273"/>
  <c r="AK14" i="273" s="1"/>
  <c r="AI57" i="273"/>
  <c r="AI79" i="273"/>
  <c r="AJ80" i="273" s="1"/>
  <c r="AJ58" i="273" s="1"/>
  <c r="AI15" i="275"/>
  <c r="AI113" i="273"/>
  <c r="AI114" i="273" s="1"/>
  <c r="AF3" i="265"/>
  <c r="AF3" i="275"/>
  <c r="AF50" i="273"/>
  <c r="AF3" i="273"/>
  <c r="AI4" i="277"/>
  <c r="AH4" i="265"/>
  <c r="AH4" i="275"/>
  <c r="AH4" i="273"/>
  <c r="AH20" i="275"/>
  <c r="AI17" i="275" s="1"/>
  <c r="AI38" i="273"/>
  <c r="AI118" i="273"/>
  <c r="AH60" i="273"/>
  <c r="AG66" i="273"/>
  <c r="AG67" i="273" s="1"/>
  <c r="AI42" i="273"/>
  <c r="AI52" i="273"/>
  <c r="AJ51" i="273"/>
  <c r="AH109" i="273"/>
  <c r="AG112" i="273"/>
  <c r="AJ2" i="265"/>
  <c r="AJ2" i="273"/>
  <c r="AJ39" i="273" l="1"/>
  <c r="AJ41" i="273" s="1"/>
  <c r="AJ52" i="273" s="1"/>
  <c r="AI108" i="273"/>
  <c r="AJ2" i="275"/>
  <c r="AJ32" i="273"/>
  <c r="AJ33" i="273" s="1"/>
  <c r="AJ38" i="273" s="1"/>
  <c r="AJ2" i="277"/>
  <c r="AJ4" i="277" s="1"/>
  <c r="AK37" i="273"/>
  <c r="AK47" i="273"/>
  <c r="AK48" i="273" s="1"/>
  <c r="AK51" i="273" s="1"/>
  <c r="AK56" i="273"/>
  <c r="AK19" i="273"/>
  <c r="AK20" i="273" s="1"/>
  <c r="AK24" i="273" s="1"/>
  <c r="AK25" i="273" s="1"/>
  <c r="AK32" i="273" s="1"/>
  <c r="AK33" i="273" s="1"/>
  <c r="AJ96" i="273"/>
  <c r="AJ97" i="273" s="1"/>
  <c r="AJ90" i="273"/>
  <c r="AJ91" i="273" s="1"/>
  <c r="AJ100" i="273" s="1"/>
  <c r="AK101" i="273" s="1"/>
  <c r="AK59" i="273" s="1"/>
  <c r="AL13" i="273"/>
  <c r="AL14" i="273" s="1"/>
  <c r="AM10" i="273"/>
  <c r="AL5" i="273"/>
  <c r="AL5" i="265"/>
  <c r="AL5" i="277"/>
  <c r="AL5" i="275"/>
  <c r="AJ57" i="273"/>
  <c r="AJ79" i="273"/>
  <c r="AK80" i="273" s="1"/>
  <c r="AK58" i="273" s="1"/>
  <c r="AJ15" i="275"/>
  <c r="AJ114" i="273"/>
  <c r="AJ113" i="273"/>
  <c r="AJ119" i="273"/>
  <c r="AJ120" i="273" s="1"/>
  <c r="AJ108" i="273"/>
  <c r="AK2" i="277"/>
  <c r="AI60" i="273"/>
  <c r="AH66" i="273"/>
  <c r="AH67" i="273" s="1"/>
  <c r="AJ118" i="273"/>
  <c r="AG50" i="273"/>
  <c r="AG3" i="273"/>
  <c r="AG3" i="265"/>
  <c r="AG3" i="275"/>
  <c r="AJ42" i="273"/>
  <c r="AK90" i="273"/>
  <c r="AK91" i="273" s="1"/>
  <c r="AK100" i="273" s="1"/>
  <c r="AL101" i="273" s="1"/>
  <c r="AL59" i="273" s="1"/>
  <c r="AK2" i="275"/>
  <c r="AH112" i="273"/>
  <c r="AI109" i="273"/>
  <c r="AI4" i="273"/>
  <c r="AI4" i="275"/>
  <c r="AI4" i="265"/>
  <c r="AI20" i="275"/>
  <c r="AJ17" i="275" s="1"/>
  <c r="AK2" i="265" l="1"/>
  <c r="AK75" i="273"/>
  <c r="AK76" i="273" s="1"/>
  <c r="AK96" i="273"/>
  <c r="AK97" i="273" s="1"/>
  <c r="AK119" i="273" s="1"/>
  <c r="AK120" i="273" s="1"/>
  <c r="AK2" i="273"/>
  <c r="AK39" i="273"/>
  <c r="AK41" i="273" s="1"/>
  <c r="AK42" i="273" s="1"/>
  <c r="AM5" i="275"/>
  <c r="AM5" i="265"/>
  <c r="AM13" i="273"/>
  <c r="AM14" i="273" s="1"/>
  <c r="AM5" i="277"/>
  <c r="AM5" i="273"/>
  <c r="AN10" i="273"/>
  <c r="AL19" i="273"/>
  <c r="AL20" i="273" s="1"/>
  <c r="AL24" i="273" s="1"/>
  <c r="AL25" i="273" s="1"/>
  <c r="AL75" i="273" s="1"/>
  <c r="AL76" i="273" s="1"/>
  <c r="AL56" i="273"/>
  <c r="AL37" i="273"/>
  <c r="AL47" i="273"/>
  <c r="AL48" i="273" s="1"/>
  <c r="AL2" i="277" s="1"/>
  <c r="AJ109" i="273"/>
  <c r="AI112" i="273"/>
  <c r="AK57" i="273"/>
  <c r="AK79" i="273"/>
  <c r="AL80" i="273" s="1"/>
  <c r="AL58" i="273" s="1"/>
  <c r="AK15" i="275"/>
  <c r="AK38" i="273"/>
  <c r="AK118" i="273"/>
  <c r="AJ60" i="273"/>
  <c r="AI66" i="273"/>
  <c r="AI67" i="273" s="1"/>
  <c r="AL51" i="273"/>
  <c r="AL32" i="273"/>
  <c r="AL33" i="273" s="1"/>
  <c r="AL2" i="265"/>
  <c r="AL96" i="273"/>
  <c r="AL97" i="273" s="1"/>
  <c r="AL2" i="273"/>
  <c r="AK113" i="273"/>
  <c r="AK114" i="273" s="1"/>
  <c r="AJ4" i="273"/>
  <c r="AJ4" i="275"/>
  <c r="AJ4" i="265"/>
  <c r="AK52" i="273"/>
  <c r="AH3" i="273"/>
  <c r="AH50" i="273"/>
  <c r="AH3" i="275"/>
  <c r="AH3" i="265"/>
  <c r="AK4" i="277"/>
  <c r="AJ20" i="275"/>
  <c r="AK17" i="275" s="1"/>
  <c r="AK108" i="273" l="1"/>
  <c r="AK109" i="273" s="1"/>
  <c r="AM19" i="273"/>
  <c r="AM20" i="273" s="1"/>
  <c r="AM24" i="273" s="1"/>
  <c r="AM25" i="273" s="1"/>
  <c r="AM90" i="273" s="1"/>
  <c r="AM91" i="273" s="1"/>
  <c r="AM100" i="273" s="1"/>
  <c r="AN101" i="273" s="1"/>
  <c r="AN59" i="273" s="1"/>
  <c r="AM47" i="273"/>
  <c r="AM48" i="273" s="1"/>
  <c r="AM2" i="277" s="1"/>
  <c r="AM37" i="273"/>
  <c r="AM56" i="273"/>
  <c r="AL2" i="275"/>
  <c r="AL90" i="273"/>
  <c r="AL91" i="273" s="1"/>
  <c r="AL100" i="273" s="1"/>
  <c r="AM101" i="273" s="1"/>
  <c r="AM59" i="273" s="1"/>
  <c r="AL39" i="273"/>
  <c r="AL41" i="273" s="1"/>
  <c r="AL42" i="273" s="1"/>
  <c r="AN13" i="273"/>
  <c r="AN14" i="273" s="1"/>
  <c r="AO10" i="273"/>
  <c r="AN5" i="273"/>
  <c r="AN5" i="265"/>
  <c r="AN5" i="275"/>
  <c r="AN5" i="277"/>
  <c r="AL57" i="273"/>
  <c r="AL79" i="273"/>
  <c r="AM80" i="273" s="1"/>
  <c r="AM58" i="273" s="1"/>
  <c r="AL15" i="275"/>
  <c r="AL4" i="277"/>
  <c r="AM51" i="273"/>
  <c r="AI3" i="275"/>
  <c r="AI50" i="273"/>
  <c r="AI3" i="273"/>
  <c r="AI3" i="265"/>
  <c r="AK20" i="275"/>
  <c r="AL17" i="275" s="1"/>
  <c r="AJ112" i="273"/>
  <c r="AK4" i="265"/>
  <c r="AK4" i="273"/>
  <c r="AK4" i="275"/>
  <c r="AL113" i="273"/>
  <c r="AL114" i="273" s="1"/>
  <c r="AL119" i="273"/>
  <c r="AL120" i="273" s="1"/>
  <c r="AL108" i="273"/>
  <c r="AL38" i="273"/>
  <c r="AL118" i="273"/>
  <c r="AK60" i="273"/>
  <c r="AJ66" i="273"/>
  <c r="AJ67" i="273" s="1"/>
  <c r="AM75" i="273"/>
  <c r="AM32" i="273"/>
  <c r="AM33" i="273" s="1"/>
  <c r="AM2" i="275"/>
  <c r="AM39" i="273" l="1"/>
  <c r="AM41" i="273" s="1"/>
  <c r="AM52" i="273" s="1"/>
  <c r="AL52" i="273"/>
  <c r="AL20" i="275"/>
  <c r="AM17" i="275" s="1"/>
  <c r="AN37" i="273"/>
  <c r="AN47" i="273"/>
  <c r="AN48" i="273" s="1"/>
  <c r="AN51" i="273" s="1"/>
  <c r="AN56" i="273"/>
  <c r="AN19" i="273"/>
  <c r="AN20" i="273" s="1"/>
  <c r="AN24" i="273" s="1"/>
  <c r="AN25" i="273" s="1"/>
  <c r="AN75" i="273" s="1"/>
  <c r="AM2" i="273"/>
  <c r="AM2" i="265"/>
  <c r="AM96" i="273"/>
  <c r="AM97" i="273" s="1"/>
  <c r="AM108" i="273" s="1"/>
  <c r="AO5" i="265"/>
  <c r="AP10" i="273"/>
  <c r="AO5" i="275"/>
  <c r="AO5" i="273"/>
  <c r="AO13" i="273"/>
  <c r="AO14" i="273" s="1"/>
  <c r="AM38" i="273"/>
  <c r="AM118" i="273"/>
  <c r="AJ3" i="265"/>
  <c r="AJ3" i="275"/>
  <c r="AJ3" i="273"/>
  <c r="AJ50" i="273"/>
  <c r="AM4" i="277"/>
  <c r="AM76" i="273"/>
  <c r="AM113" i="273"/>
  <c r="AM114" i="273" s="1"/>
  <c r="AM119" i="273"/>
  <c r="AM120" i="273" s="1"/>
  <c r="AL60" i="273"/>
  <c r="AK66" i="273"/>
  <c r="AK67" i="273" s="1"/>
  <c r="AM42" i="273"/>
  <c r="AN32" i="273"/>
  <c r="AN33" i="273" s="1"/>
  <c r="AK112" i="273"/>
  <c r="AL109" i="273"/>
  <c r="AL4" i="265"/>
  <c r="AL4" i="275"/>
  <c r="AL4" i="273"/>
  <c r="AN2" i="277"/>
  <c r="AN2" i="275" l="1"/>
  <c r="AN2" i="265"/>
  <c r="AN96" i="273"/>
  <c r="AN97" i="273" s="1"/>
  <c r="AN2" i="273"/>
  <c r="AN90" i="273"/>
  <c r="AN91" i="273" s="1"/>
  <c r="AN100" i="273" s="1"/>
  <c r="AO101" i="273" s="1"/>
  <c r="AO59" i="273" s="1"/>
  <c r="AO37" i="273"/>
  <c r="AO56" i="273"/>
  <c r="AO19" i="273"/>
  <c r="AO20" i="273" s="1"/>
  <c r="AO24" i="273" s="1"/>
  <c r="AO25" i="273" s="1"/>
  <c r="AO32" i="273" s="1"/>
  <c r="AO33" i="273" s="1"/>
  <c r="AO47" i="273"/>
  <c r="AO48" i="273" s="1"/>
  <c r="AN39" i="273"/>
  <c r="AN41" i="273" s="1"/>
  <c r="AN52" i="273" s="1"/>
  <c r="AP13" i="273"/>
  <c r="AP14" i="273" s="1"/>
  <c r="AQ10" i="273"/>
  <c r="AP5" i="265"/>
  <c r="AP5" i="273"/>
  <c r="AP5" i="275"/>
  <c r="AN4" i="277"/>
  <c r="AN108" i="273"/>
  <c r="AN113" i="273"/>
  <c r="AN114" i="273" s="1"/>
  <c r="AN119" i="273"/>
  <c r="AN120" i="273" s="1"/>
  <c r="AL66" i="273"/>
  <c r="AL67" i="273" s="1"/>
  <c r="AO75" i="273"/>
  <c r="AO51" i="273"/>
  <c r="AL112" i="273"/>
  <c r="AM109" i="273"/>
  <c r="AN38" i="273"/>
  <c r="AN118" i="273"/>
  <c r="AM4" i="265"/>
  <c r="AM4" i="273"/>
  <c r="AM4" i="275"/>
  <c r="AK3" i="275"/>
  <c r="AK50" i="273"/>
  <c r="AK3" i="265"/>
  <c r="AK3" i="273"/>
  <c r="AM57" i="273"/>
  <c r="AM60" i="273" s="1"/>
  <c r="AM79" i="273"/>
  <c r="AN80" i="273" s="1"/>
  <c r="AN58" i="273" s="1"/>
  <c r="AM15" i="275"/>
  <c r="AM20" i="275" s="1"/>
  <c r="AN17" i="275" s="1"/>
  <c r="AN76" i="273"/>
  <c r="AO2" i="265" l="1"/>
  <c r="AN42" i="273"/>
  <c r="AN4" i="265" s="1"/>
  <c r="AO39" i="273"/>
  <c r="AO41" i="273" s="1"/>
  <c r="AO52" i="273" s="1"/>
  <c r="AO96" i="273"/>
  <c r="AO97" i="273" s="1"/>
  <c r="AO119" i="273" s="1"/>
  <c r="AO120" i="273" s="1"/>
  <c r="AO90" i="273"/>
  <c r="AO91" i="273" s="1"/>
  <c r="AO100" i="273" s="1"/>
  <c r="AP101" i="273" s="1"/>
  <c r="AP59" i="273" s="1"/>
  <c r="AQ5" i="275"/>
  <c r="AQ5" i="265"/>
  <c r="AQ13" i="273"/>
  <c r="AQ14" i="273" s="1"/>
  <c r="AQ5" i="273"/>
  <c r="AR10" i="273"/>
  <c r="AO2" i="275"/>
  <c r="AO2" i="273"/>
  <c r="AP37" i="273"/>
  <c r="AP47" i="273"/>
  <c r="AP48" i="273" s="1"/>
  <c r="AP19" i="273"/>
  <c r="AP20" i="273" s="1"/>
  <c r="AP24" i="273" s="1"/>
  <c r="AP25" i="273" s="1"/>
  <c r="AP32" i="273" s="1"/>
  <c r="AP33" i="273" s="1"/>
  <c r="AP56" i="273"/>
  <c r="AM66" i="273"/>
  <c r="AM67" i="273" s="1"/>
  <c r="AN57" i="273"/>
  <c r="AN60" i="273" s="1"/>
  <c r="AN79" i="273"/>
  <c r="AO80" i="273" s="1"/>
  <c r="AO58" i="273" s="1"/>
  <c r="AN15" i="275"/>
  <c r="AN20" i="275" s="1"/>
  <c r="AO17" i="275" s="1"/>
  <c r="AP75" i="273"/>
  <c r="AP76" i="273" s="1"/>
  <c r="AO42" i="273"/>
  <c r="AO113" i="273"/>
  <c r="AO114" i="273" s="1"/>
  <c r="AL3" i="275"/>
  <c r="AL50" i="273"/>
  <c r="AL3" i="273"/>
  <c r="AL3" i="265"/>
  <c r="AO76" i="273"/>
  <c r="AN4" i="275"/>
  <c r="AN109" i="273"/>
  <c r="AM112" i="273"/>
  <c r="AP51" i="273"/>
  <c r="AO38" i="273"/>
  <c r="AO118" i="273"/>
  <c r="AP2" i="273" l="1"/>
  <c r="AP39" i="273"/>
  <c r="AP41" i="273" s="1"/>
  <c r="AN4" i="273"/>
  <c r="AO108" i="273"/>
  <c r="AP96" i="273"/>
  <c r="AP97" i="273" s="1"/>
  <c r="AP113" i="273" s="1"/>
  <c r="AP114" i="273" s="1"/>
  <c r="AP90" i="273"/>
  <c r="AP91" i="273" s="1"/>
  <c r="AP100" i="273" s="1"/>
  <c r="AQ101" i="273" s="1"/>
  <c r="AQ59" i="273" s="1"/>
  <c r="AP2" i="275"/>
  <c r="AP2" i="265"/>
  <c r="AQ19" i="273"/>
  <c r="AQ20" i="273" s="1"/>
  <c r="AQ24" i="273" s="1"/>
  <c r="AQ25" i="273" s="1"/>
  <c r="AQ75" i="273" s="1"/>
  <c r="AQ76" i="273" s="1"/>
  <c r="AQ47" i="273"/>
  <c r="AQ48" i="273" s="1"/>
  <c r="AQ37" i="273"/>
  <c r="AQ56" i="273"/>
  <c r="AR13" i="273"/>
  <c r="AR14" i="273" s="1"/>
  <c r="AS10" i="273"/>
  <c r="AR5" i="265"/>
  <c r="AR5" i="273"/>
  <c r="AR5" i="275"/>
  <c r="AN66" i="273"/>
  <c r="AN67" i="273" s="1"/>
  <c r="AQ51" i="273"/>
  <c r="AO109" i="273"/>
  <c r="AN112" i="273"/>
  <c r="AO57" i="273"/>
  <c r="AO60" i="273" s="1"/>
  <c r="AO79" i="273"/>
  <c r="AP80" i="273" s="1"/>
  <c r="AP58" i="273" s="1"/>
  <c r="AO15" i="275"/>
  <c r="AO20" i="275" s="1"/>
  <c r="AP17" i="275" s="1"/>
  <c r="AP57" i="273"/>
  <c r="AP79" i="273"/>
  <c r="AQ80" i="273" s="1"/>
  <c r="AQ58" i="273" s="1"/>
  <c r="AP15" i="275"/>
  <c r="AP38" i="273"/>
  <c r="AP118" i="273"/>
  <c r="AM3" i="265"/>
  <c r="AM3" i="275"/>
  <c r="AM3" i="273"/>
  <c r="AM50" i="273"/>
  <c r="AP42" i="273"/>
  <c r="AP52" i="273"/>
  <c r="AQ90" i="273"/>
  <c r="AQ91" i="273" s="1"/>
  <c r="AQ100" i="273" s="1"/>
  <c r="AR101" i="273" s="1"/>
  <c r="AR59" i="273" s="1"/>
  <c r="AO4" i="265"/>
  <c r="AO4" i="275"/>
  <c r="AO4" i="273"/>
  <c r="AP119" i="273"/>
  <c r="AP120" i="273" s="1"/>
  <c r="AP108" i="273" l="1"/>
  <c r="AQ2" i="265"/>
  <c r="AQ96" i="273"/>
  <c r="AQ97" i="273" s="1"/>
  <c r="AQ113" i="273" s="1"/>
  <c r="AQ114" i="273" s="1"/>
  <c r="AR37" i="273"/>
  <c r="AR47" i="273"/>
  <c r="AR48" i="273" s="1"/>
  <c r="AR56" i="273"/>
  <c r="AR19" i="273"/>
  <c r="AR20" i="273" s="1"/>
  <c r="AR24" i="273" s="1"/>
  <c r="AR25" i="273" s="1"/>
  <c r="AR32" i="273" s="1"/>
  <c r="AR33" i="273" s="1"/>
  <c r="AQ2" i="275"/>
  <c r="AQ2" i="273"/>
  <c r="AQ32" i="273"/>
  <c r="AQ33" i="273" s="1"/>
  <c r="AQ118" i="273" s="1"/>
  <c r="AQ39" i="273"/>
  <c r="AQ41" i="273" s="1"/>
  <c r="AQ42" i="273" s="1"/>
  <c r="AS5" i="265"/>
  <c r="AS5" i="275"/>
  <c r="AT10" i="273"/>
  <c r="AS13" i="273"/>
  <c r="AS14" i="273" s="1"/>
  <c r="AS5" i="273"/>
  <c r="AP60" i="273"/>
  <c r="AO66" i="273"/>
  <c r="AO67" i="273" s="1"/>
  <c r="AQ108" i="273"/>
  <c r="AP4" i="275"/>
  <c r="AP4" i="273"/>
  <c r="AP4" i="265"/>
  <c r="AO112" i="273"/>
  <c r="AP109" i="273"/>
  <c r="AN50" i="273"/>
  <c r="AN3" i="275"/>
  <c r="AN3" i="265"/>
  <c r="AN3" i="273"/>
  <c r="AQ57" i="273"/>
  <c r="AQ79" i="273"/>
  <c r="AR80" i="273" s="1"/>
  <c r="AR58" i="273" s="1"/>
  <c r="AQ15" i="275"/>
  <c r="AQ38" i="273"/>
  <c r="AP20" i="275"/>
  <c r="AQ17" i="275" s="1"/>
  <c r="AR90" i="273" l="1"/>
  <c r="AR91" i="273" s="1"/>
  <c r="AR100" i="273" s="1"/>
  <c r="AS101" i="273" s="1"/>
  <c r="AS59" i="273" s="1"/>
  <c r="AR2" i="275"/>
  <c r="AR75" i="273"/>
  <c r="AQ52" i="273"/>
  <c r="AQ119" i="273"/>
  <c r="AQ120" i="273" s="1"/>
  <c r="AR39" i="273"/>
  <c r="AR41" i="273" s="1"/>
  <c r="AR96" i="273"/>
  <c r="AR97" i="273" s="1"/>
  <c r="AR113" i="273" s="1"/>
  <c r="AR114" i="273" s="1"/>
  <c r="AR2" i="273"/>
  <c r="AR2" i="265"/>
  <c r="AR51" i="273"/>
  <c r="AS47" i="273"/>
  <c r="AS48" i="273" s="1"/>
  <c r="AS19" i="273"/>
  <c r="AS20" i="273" s="1"/>
  <c r="AS24" i="273" s="1"/>
  <c r="AS25" i="273" s="1"/>
  <c r="AS75" i="273" s="1"/>
  <c r="AS37" i="273"/>
  <c r="AS56" i="273"/>
  <c r="AT13" i="273"/>
  <c r="AT14" i="273" s="1"/>
  <c r="AU10" i="273"/>
  <c r="AT5" i="273"/>
  <c r="AT5" i="265"/>
  <c r="AT5" i="275"/>
  <c r="AQ4" i="265"/>
  <c r="AQ4" i="273"/>
  <c r="AQ4" i="275"/>
  <c r="AQ60" i="273"/>
  <c r="AP66" i="273"/>
  <c r="AP67" i="273" s="1"/>
  <c r="AR108" i="273"/>
  <c r="AR38" i="273"/>
  <c r="AR118" i="273"/>
  <c r="AR76" i="273"/>
  <c r="AR42" i="273"/>
  <c r="AR52" i="273"/>
  <c r="AQ20" i="275"/>
  <c r="AR17" i="275" s="1"/>
  <c r="AQ109" i="273"/>
  <c r="AP112" i="273"/>
  <c r="AS32" i="273"/>
  <c r="AS33" i="273" s="1"/>
  <c r="AS2" i="265"/>
  <c r="AS2" i="275"/>
  <c r="AO50" i="273"/>
  <c r="AO3" i="273"/>
  <c r="AO3" i="265"/>
  <c r="AO3" i="275"/>
  <c r="AR119" i="273" l="1"/>
  <c r="AR120" i="273" s="1"/>
  <c r="AS96" i="273"/>
  <c r="AS97" i="273" s="1"/>
  <c r="AS2" i="273"/>
  <c r="AS90" i="273"/>
  <c r="AS91" i="273" s="1"/>
  <c r="AS100" i="273" s="1"/>
  <c r="AT101" i="273" s="1"/>
  <c r="AT59" i="273" s="1"/>
  <c r="AT19" i="273"/>
  <c r="AT20" i="273" s="1"/>
  <c r="AT24" i="273" s="1"/>
  <c r="AT25" i="273" s="1"/>
  <c r="AT32" i="273" s="1"/>
  <c r="AT33" i="273" s="1"/>
  <c r="AT56" i="273"/>
  <c r="AT37" i="273"/>
  <c r="AT47" i="273"/>
  <c r="AT48" i="273" s="1"/>
  <c r="AS39" i="273"/>
  <c r="AS41" i="273" s="1"/>
  <c r="AS52" i="273" s="1"/>
  <c r="AS51" i="273"/>
  <c r="AU13" i="273"/>
  <c r="AU14" i="273" s="1"/>
  <c r="AU5" i="275"/>
  <c r="AU5" i="265"/>
  <c r="AV10" i="273"/>
  <c r="AU5" i="273"/>
  <c r="AS119" i="273"/>
  <c r="AS120" i="273" s="1"/>
  <c r="AS113" i="273"/>
  <c r="AS114" i="273" s="1"/>
  <c r="AS108" i="273"/>
  <c r="AQ112" i="273"/>
  <c r="AR109" i="273"/>
  <c r="AR57" i="273"/>
  <c r="AR79" i="273"/>
  <c r="AS80" i="273" s="1"/>
  <c r="AS58" i="273" s="1"/>
  <c r="AR15" i="275"/>
  <c r="AR20" i="275" s="1"/>
  <c r="AS17" i="275" s="1"/>
  <c r="AP3" i="265"/>
  <c r="AP3" i="275"/>
  <c r="AP3" i="273"/>
  <c r="AP50" i="273"/>
  <c r="AT51" i="273"/>
  <c r="AS76" i="273"/>
  <c r="AS38" i="273"/>
  <c r="AS118" i="273"/>
  <c r="AR4" i="273"/>
  <c r="AR4" i="265"/>
  <c r="AR4" i="275"/>
  <c r="AR60" i="273"/>
  <c r="AQ66" i="273"/>
  <c r="AQ67" i="273" s="1"/>
  <c r="AT75" i="273"/>
  <c r="AT96" i="273" l="1"/>
  <c r="AT97" i="273" s="1"/>
  <c r="AT108" i="273" s="1"/>
  <c r="AT90" i="273"/>
  <c r="AT91" i="273" s="1"/>
  <c r="AT100" i="273" s="1"/>
  <c r="AU101" i="273" s="1"/>
  <c r="AU59" i="273" s="1"/>
  <c r="AS42" i="273"/>
  <c r="AU37" i="273"/>
  <c r="AU56" i="273"/>
  <c r="AU47" i="273"/>
  <c r="AU48" i="273" s="1"/>
  <c r="AU19" i="273"/>
  <c r="AU20" i="273" s="1"/>
  <c r="AU24" i="273" s="1"/>
  <c r="AU25" i="273" s="1"/>
  <c r="AU90" i="273" s="1"/>
  <c r="AU91" i="273" s="1"/>
  <c r="AU100" i="273" s="1"/>
  <c r="AV101" i="273" s="1"/>
  <c r="AV59" i="273" s="1"/>
  <c r="AT2" i="275"/>
  <c r="AT2" i="273"/>
  <c r="AT2" i="265"/>
  <c r="AT39" i="273"/>
  <c r="AT41" i="273" s="1"/>
  <c r="AT52" i="273" s="1"/>
  <c r="AV13" i="273"/>
  <c r="AV14" i="273" s="1"/>
  <c r="AW10" i="273"/>
  <c r="AV5" i="273"/>
  <c r="AV5" i="275"/>
  <c r="AV5" i="265"/>
  <c r="AT119" i="273"/>
  <c r="AT120" i="273" s="1"/>
  <c r="AT113" i="273"/>
  <c r="AT114" i="273" s="1"/>
  <c r="AR66" i="273"/>
  <c r="AR67" i="273" s="1"/>
  <c r="AT42" i="273"/>
  <c r="AU75" i="273"/>
  <c r="AU32" i="273"/>
  <c r="AU33" i="273" s="1"/>
  <c r="AU2" i="265"/>
  <c r="AU2" i="275"/>
  <c r="AS109" i="273"/>
  <c r="AR112" i="273"/>
  <c r="AT76" i="273"/>
  <c r="AT38" i="273"/>
  <c r="AT118" i="273"/>
  <c r="AQ3" i="265"/>
  <c r="AQ3" i="273"/>
  <c r="AQ50" i="273"/>
  <c r="AQ3" i="275"/>
  <c r="AS4" i="275"/>
  <c r="AS4" i="265"/>
  <c r="AS4" i="273"/>
  <c r="AS57" i="273"/>
  <c r="AS60" i="273" s="1"/>
  <c r="AS79" i="273"/>
  <c r="AT80" i="273" s="1"/>
  <c r="AT58" i="273" s="1"/>
  <c r="AS15" i="275"/>
  <c r="AS20" i="275" s="1"/>
  <c r="AT17" i="275" s="1"/>
  <c r="AU96" i="273" l="1"/>
  <c r="AU97" i="273" s="1"/>
  <c r="AU2" i="273"/>
  <c r="AU51" i="273"/>
  <c r="AV37" i="273"/>
  <c r="AV47" i="273"/>
  <c r="AV48" i="273" s="1"/>
  <c r="AV51" i="273" s="1"/>
  <c r="AV56" i="273"/>
  <c r="AV19" i="273"/>
  <c r="AV20" i="273" s="1"/>
  <c r="AV24" i="273" s="1"/>
  <c r="AV25" i="273" s="1"/>
  <c r="AV32" i="273" s="1"/>
  <c r="AV33" i="273" s="1"/>
  <c r="AU39" i="273"/>
  <c r="AU41" i="273" s="1"/>
  <c r="AU42" i="273" s="1"/>
  <c r="AW5" i="265"/>
  <c r="AX10" i="273"/>
  <c r="AW5" i="275"/>
  <c r="AW5" i="273"/>
  <c r="AW13" i="273"/>
  <c r="AW14" i="273" s="1"/>
  <c r="AU52" i="273"/>
  <c r="AU119" i="273"/>
  <c r="AU120" i="273" s="1"/>
  <c r="AU113" i="273"/>
  <c r="AU114" i="273" s="1"/>
  <c r="AU108" i="273"/>
  <c r="AT57" i="273"/>
  <c r="AT79" i="273"/>
  <c r="AU80" i="273" s="1"/>
  <c r="AU58" i="273" s="1"/>
  <c r="AT15" i="275"/>
  <c r="AT20" i="275" s="1"/>
  <c r="AU17" i="275" s="1"/>
  <c r="AT109" i="273"/>
  <c r="AS112" i="273"/>
  <c r="AU38" i="273"/>
  <c r="AU118" i="273"/>
  <c r="AT4" i="265"/>
  <c r="AT4" i="275"/>
  <c r="AT4" i="273"/>
  <c r="AT60" i="273"/>
  <c r="AS66" i="273"/>
  <c r="AS67" i="273" s="1"/>
  <c r="AR3" i="273"/>
  <c r="AR3" i="275"/>
  <c r="AR3" i="265"/>
  <c r="AR50" i="273"/>
  <c r="AU76" i="273"/>
  <c r="AV2" i="273" l="1"/>
  <c r="AV90" i="273"/>
  <c r="AV91" i="273" s="1"/>
  <c r="AV100" i="273" s="1"/>
  <c r="AW101" i="273" s="1"/>
  <c r="AW59" i="273" s="1"/>
  <c r="AV96" i="273"/>
  <c r="AV97" i="273" s="1"/>
  <c r="AV75" i="273"/>
  <c r="AV2" i="275"/>
  <c r="AV2" i="265"/>
  <c r="AX13" i="273"/>
  <c r="AX14" i="273" s="1"/>
  <c r="AY10" i="273"/>
  <c r="AX5" i="273"/>
  <c r="AX5" i="275"/>
  <c r="AX5" i="265"/>
  <c r="AV39" i="273"/>
  <c r="AV41" i="273" s="1"/>
  <c r="AV52" i="273" s="1"/>
  <c r="AW19" i="273"/>
  <c r="AW20" i="273" s="1"/>
  <c r="AW24" i="273" s="1"/>
  <c r="AW25" i="273" s="1"/>
  <c r="AW32" i="273" s="1"/>
  <c r="AW33" i="273" s="1"/>
  <c r="AW47" i="273"/>
  <c r="AW48" i="273" s="1"/>
  <c r="AW56" i="273"/>
  <c r="AW37" i="273"/>
  <c r="AT66" i="273"/>
  <c r="AT67" i="273" s="1"/>
  <c r="AU4" i="273"/>
  <c r="AU4" i="275"/>
  <c r="AU4" i="265"/>
  <c r="AU57" i="273"/>
  <c r="AU60" i="273" s="1"/>
  <c r="AU79" i="273"/>
  <c r="AV80" i="273" s="1"/>
  <c r="AV58" i="273" s="1"/>
  <c r="AU15" i="275"/>
  <c r="AU20" i="275" s="1"/>
  <c r="AV17" i="275" s="1"/>
  <c r="AV113" i="273"/>
  <c r="AV114" i="273" s="1"/>
  <c r="AV119" i="273"/>
  <c r="AV120" i="273" s="1"/>
  <c r="AV108" i="273"/>
  <c r="AV38" i="273"/>
  <c r="AV118" i="273"/>
  <c r="AS50" i="273"/>
  <c r="AS3" i="265"/>
  <c r="AS3" i="275"/>
  <c r="AS3" i="273"/>
  <c r="AV76" i="273"/>
  <c r="AV42" i="273"/>
  <c r="AT112" i="273"/>
  <c r="AU109" i="273"/>
  <c r="AW75" i="273"/>
  <c r="AW90" i="273"/>
  <c r="AW91" i="273" s="1"/>
  <c r="AW100" i="273" s="1"/>
  <c r="AX101" i="273" s="1"/>
  <c r="AX59" i="273" s="1"/>
  <c r="AW2" i="273"/>
  <c r="AW2" i="275"/>
  <c r="AW39" i="273" l="1"/>
  <c r="AW41" i="273" s="1"/>
  <c r="AW52" i="273" s="1"/>
  <c r="AW51" i="273"/>
  <c r="AW96" i="273"/>
  <c r="AW97" i="273" s="1"/>
  <c r="AW108" i="273" s="1"/>
  <c r="AW2" i="265"/>
  <c r="AX37" i="273"/>
  <c r="AX47" i="273"/>
  <c r="AX48" i="273" s="1"/>
  <c r="AX51" i="273" s="1"/>
  <c r="AX19" i="273"/>
  <c r="AX20" i="273" s="1"/>
  <c r="AX24" i="273" s="1"/>
  <c r="AX25" i="273" s="1"/>
  <c r="AX75" i="273" s="1"/>
  <c r="AX56" i="273"/>
  <c r="AY5" i="275"/>
  <c r="AY5" i="265"/>
  <c r="AY13" i="273"/>
  <c r="AY14" i="273" s="1"/>
  <c r="AY5" i="273"/>
  <c r="AZ10" i="273"/>
  <c r="AU66" i="273"/>
  <c r="AU67" i="273" s="1"/>
  <c r="AW113" i="273"/>
  <c r="AW114" i="273" s="1"/>
  <c r="AW119" i="273"/>
  <c r="AW120" i="273" s="1"/>
  <c r="AU112" i="273"/>
  <c r="AV109" i="273"/>
  <c r="AV4" i="275"/>
  <c r="AV4" i="265"/>
  <c r="AV4" i="273"/>
  <c r="AW42" i="273"/>
  <c r="AT3" i="265"/>
  <c r="AT3" i="273"/>
  <c r="AT3" i="275"/>
  <c r="AT50" i="273"/>
  <c r="AW76" i="273"/>
  <c r="AW38" i="273"/>
  <c r="AW118" i="273"/>
  <c r="AV57" i="273"/>
  <c r="AV60" i="273" s="1"/>
  <c r="AV79" i="273"/>
  <c r="AW80" i="273" s="1"/>
  <c r="AW58" i="273" s="1"/>
  <c r="AV15" i="275"/>
  <c r="AV20" i="275" s="1"/>
  <c r="AW17" i="275" s="1"/>
  <c r="AX32" i="273"/>
  <c r="AX33" i="273" s="1"/>
  <c r="AX2" i="275" l="1"/>
  <c r="AX96" i="273"/>
  <c r="AX97" i="273" s="1"/>
  <c r="AX2" i="265"/>
  <c r="AX39" i="273"/>
  <c r="AX41" i="273" s="1"/>
  <c r="AY19" i="273"/>
  <c r="AY20" i="273" s="1"/>
  <c r="AY24" i="273" s="1"/>
  <c r="AY25" i="273" s="1"/>
  <c r="AY90" i="273" s="1"/>
  <c r="AY91" i="273" s="1"/>
  <c r="AY100" i="273" s="1"/>
  <c r="AZ101" i="273" s="1"/>
  <c r="AZ59" i="273" s="1"/>
  <c r="AY47" i="273"/>
  <c r="AY48" i="273" s="1"/>
  <c r="AY37" i="273"/>
  <c r="AY56" i="273"/>
  <c r="AX2" i="273"/>
  <c r="AX90" i="273"/>
  <c r="AX91" i="273" s="1"/>
  <c r="AX100" i="273" s="1"/>
  <c r="AY101" i="273" s="1"/>
  <c r="AY59" i="273" s="1"/>
  <c r="AZ13" i="273"/>
  <c r="AZ14" i="273" s="1"/>
  <c r="BA10" i="273"/>
  <c r="AZ5" i="273"/>
  <c r="AZ5" i="265"/>
  <c r="AZ5" i="275"/>
  <c r="AV66" i="273"/>
  <c r="AV67" i="273" s="1"/>
  <c r="AX113" i="273"/>
  <c r="AX114" i="273" s="1"/>
  <c r="AX119" i="273"/>
  <c r="AX120" i="273" s="1"/>
  <c r="AX108" i="273"/>
  <c r="AX38" i="273"/>
  <c r="AX118" i="273"/>
  <c r="AX42" i="273"/>
  <c r="AX52" i="273"/>
  <c r="AW57" i="273"/>
  <c r="AW60" i="273" s="1"/>
  <c r="AW79" i="273"/>
  <c r="AX80" i="273" s="1"/>
  <c r="AX58" i="273" s="1"/>
  <c r="AW15" i="275"/>
  <c r="AW20" i="275" s="1"/>
  <c r="AX17" i="275" s="1"/>
  <c r="AW4" i="265"/>
  <c r="AW4" i="273"/>
  <c r="AW4" i="275"/>
  <c r="AU3" i="275"/>
  <c r="AU3" i="273"/>
  <c r="AU50" i="273"/>
  <c r="AU3" i="265"/>
  <c r="AY51" i="273"/>
  <c r="AY2" i="275"/>
  <c r="AX76" i="273"/>
  <c r="AV112" i="273"/>
  <c r="AW109" i="273"/>
  <c r="AY75" i="273" l="1"/>
  <c r="AY2" i="273"/>
  <c r="AY32" i="273"/>
  <c r="AY33" i="273" s="1"/>
  <c r="AY38" i="273" s="1"/>
  <c r="AY39" i="273"/>
  <c r="AY41" i="273" s="1"/>
  <c r="AY42" i="273" s="1"/>
  <c r="BA5" i="265"/>
  <c r="BA5" i="275"/>
  <c r="BB10" i="273"/>
  <c r="BA5" i="273"/>
  <c r="BA13" i="273"/>
  <c r="BA14" i="273" s="1"/>
  <c r="AY96" i="273"/>
  <c r="AY97" i="273" s="1"/>
  <c r="AY108" i="273" s="1"/>
  <c r="AY2" i="265"/>
  <c r="AZ19" i="273"/>
  <c r="AZ20" i="273" s="1"/>
  <c r="AZ24" i="273" s="1"/>
  <c r="AZ25" i="273" s="1"/>
  <c r="AZ32" i="273" s="1"/>
  <c r="AZ33" i="273" s="1"/>
  <c r="AZ56" i="273"/>
  <c r="AZ47" i="273"/>
  <c r="AZ48" i="273" s="1"/>
  <c r="AZ51" i="273" s="1"/>
  <c r="AZ37" i="273"/>
  <c r="AW66" i="273"/>
  <c r="AW67" i="273" s="1"/>
  <c r="AX109" i="273"/>
  <c r="AW112" i="273"/>
  <c r="AZ90" i="273"/>
  <c r="AZ91" i="273" s="1"/>
  <c r="AZ100" i="273" s="1"/>
  <c r="BA101" i="273" s="1"/>
  <c r="BA59" i="273" s="1"/>
  <c r="AZ2" i="275"/>
  <c r="AY52" i="273"/>
  <c r="AV3" i="275"/>
  <c r="AV3" i="273"/>
  <c r="AV50" i="273"/>
  <c r="AV3" i="265"/>
  <c r="AX57" i="273"/>
  <c r="AX60" i="273" s="1"/>
  <c r="AX79" i="273"/>
  <c r="AY80" i="273" s="1"/>
  <c r="AY58" i="273" s="1"/>
  <c r="AX15" i="275"/>
  <c r="AX20" i="275" s="1"/>
  <c r="AY17" i="275" s="1"/>
  <c r="AY118" i="273"/>
  <c r="AY76" i="273"/>
  <c r="AX4" i="265"/>
  <c r="AX4" i="273"/>
  <c r="AX4" i="275"/>
  <c r="AZ96" i="273" l="1"/>
  <c r="AZ97" i="273" s="1"/>
  <c r="AZ75" i="273"/>
  <c r="AZ76" i="273" s="1"/>
  <c r="AZ79" i="273" s="1"/>
  <c r="BA80" i="273" s="1"/>
  <c r="BA58" i="273" s="1"/>
  <c r="AZ39" i="273"/>
  <c r="AZ41" i="273" s="1"/>
  <c r="AZ2" i="273"/>
  <c r="AZ2" i="265"/>
  <c r="AY119" i="273"/>
  <c r="AY120" i="273" s="1"/>
  <c r="AY113" i="273"/>
  <c r="AY114" i="273" s="1"/>
  <c r="BB13" i="273"/>
  <c r="BB14" i="273" s="1"/>
  <c r="BC10" i="273"/>
  <c r="BB5" i="265"/>
  <c r="BB5" i="273"/>
  <c r="BB5" i="275"/>
  <c r="BA37" i="273"/>
  <c r="BA47" i="273"/>
  <c r="BA48" i="273" s="1"/>
  <c r="BA51" i="273" s="1"/>
  <c r="BA56" i="273"/>
  <c r="BA19" i="273"/>
  <c r="BA20" i="273" s="1"/>
  <c r="BA24" i="273" s="1"/>
  <c r="BA25" i="273" s="1"/>
  <c r="BA32" i="273" s="1"/>
  <c r="BA33" i="273" s="1"/>
  <c r="AX66" i="273"/>
  <c r="AX67" i="273" s="1"/>
  <c r="AY57" i="273"/>
  <c r="AY60" i="273" s="1"/>
  <c r="AY79" i="273"/>
  <c r="AZ80" i="273" s="1"/>
  <c r="AZ58" i="273" s="1"/>
  <c r="AY15" i="275"/>
  <c r="AY20" i="275" s="1"/>
  <c r="AZ17" i="275" s="1"/>
  <c r="AZ57" i="273"/>
  <c r="AZ15" i="275"/>
  <c r="AZ42" i="273"/>
  <c r="AZ52" i="273"/>
  <c r="AY4" i="275"/>
  <c r="AY4" i="265"/>
  <c r="AY4" i="273"/>
  <c r="AZ38" i="273"/>
  <c r="AZ118" i="273"/>
  <c r="AX112" i="273"/>
  <c r="AY109" i="273"/>
  <c r="AZ113" i="273"/>
  <c r="AZ114" i="273" s="1"/>
  <c r="AZ119" i="273"/>
  <c r="AZ108" i="273"/>
  <c r="AW3" i="265"/>
  <c r="AW50" i="273"/>
  <c r="AW3" i="273"/>
  <c r="AW3" i="275"/>
  <c r="BA2" i="275" l="1"/>
  <c r="BA2" i="265"/>
  <c r="BA90" i="273"/>
  <c r="BA91" i="273" s="1"/>
  <c r="BA100" i="273" s="1"/>
  <c r="BB101" i="273" s="1"/>
  <c r="BB59" i="273" s="1"/>
  <c r="BA75" i="273"/>
  <c r="BA96" i="273"/>
  <c r="BA97" i="273" s="1"/>
  <c r="BA2" i="273"/>
  <c r="AZ120" i="273"/>
  <c r="BB19" i="273"/>
  <c r="BB20" i="273" s="1"/>
  <c r="BB24" i="273" s="1"/>
  <c r="BB25" i="273" s="1"/>
  <c r="BB32" i="273" s="1"/>
  <c r="BB33" i="273" s="1"/>
  <c r="BB56" i="273"/>
  <c r="BB37" i="273"/>
  <c r="BB47" i="273"/>
  <c r="BB48" i="273" s="1"/>
  <c r="BB51" i="273" s="1"/>
  <c r="BA39" i="273"/>
  <c r="BA41" i="273" s="1"/>
  <c r="BA52" i="273" s="1"/>
  <c r="AZ20" i="275"/>
  <c r="BA17" i="275" s="1"/>
  <c r="BC5" i="265"/>
  <c r="BC13" i="273"/>
  <c r="BC14" i="273" s="1"/>
  <c r="BD10" i="273"/>
  <c r="BC5" i="273"/>
  <c r="BC5" i="275"/>
  <c r="AY112" i="273"/>
  <c r="AZ109" i="273"/>
  <c r="AZ4" i="265"/>
  <c r="AZ4" i="273"/>
  <c r="AZ4" i="275"/>
  <c r="AZ60" i="273"/>
  <c r="AY66" i="273"/>
  <c r="AY67" i="273" s="1"/>
  <c r="BA76" i="273"/>
  <c r="BA119" i="273"/>
  <c r="BA120" i="273" s="1"/>
  <c r="BA113" i="273"/>
  <c r="BA114" i="273" s="1"/>
  <c r="BA108" i="273"/>
  <c r="BA38" i="273"/>
  <c r="BA118" i="273"/>
  <c r="BB75" i="273"/>
  <c r="BB2" i="273"/>
  <c r="AX3" i="273"/>
  <c r="AX3" i="275"/>
  <c r="AX3" i="265"/>
  <c r="AX50" i="273"/>
  <c r="BA42" i="273" l="1"/>
  <c r="BB96" i="273"/>
  <c r="BB97" i="273" s="1"/>
  <c r="BB113" i="273" s="1"/>
  <c r="BB114" i="273" s="1"/>
  <c r="BB90" i="273"/>
  <c r="BB91" i="273" s="1"/>
  <c r="BB100" i="273" s="1"/>
  <c r="BC101" i="273" s="1"/>
  <c r="BC59" i="273" s="1"/>
  <c r="BC19" i="273"/>
  <c r="BC20" i="273" s="1"/>
  <c r="BC24" i="273" s="1"/>
  <c r="BC25" i="273" s="1"/>
  <c r="BC75" i="273" s="1"/>
  <c r="BC76" i="273" s="1"/>
  <c r="BC47" i="273"/>
  <c r="BC48" i="273" s="1"/>
  <c r="BC56" i="273"/>
  <c r="BC37" i="273"/>
  <c r="BB2" i="275"/>
  <c r="BB2" i="265"/>
  <c r="BB39" i="273"/>
  <c r="BB41" i="273" s="1"/>
  <c r="BB52" i="273" s="1"/>
  <c r="BD13" i="273"/>
  <c r="BD14" i="273" s="1"/>
  <c r="BD5" i="275"/>
  <c r="BE10" i="273"/>
  <c r="BD5" i="273"/>
  <c r="BD5" i="265"/>
  <c r="BB38" i="273"/>
  <c r="BB118" i="273"/>
  <c r="BC51" i="273"/>
  <c r="BA57" i="273"/>
  <c r="BA79" i="273"/>
  <c r="BB80" i="273" s="1"/>
  <c r="BB58" i="273" s="1"/>
  <c r="BA15" i="275"/>
  <c r="BA20" i="275" s="1"/>
  <c r="BB17" i="275" s="1"/>
  <c r="AY50" i="273"/>
  <c r="AY3" i="265"/>
  <c r="AY3" i="273"/>
  <c r="AY3" i="275"/>
  <c r="BC2" i="265"/>
  <c r="BA4" i="275"/>
  <c r="BA4" i="265"/>
  <c r="BA4" i="273"/>
  <c r="AZ112" i="273"/>
  <c r="BA109" i="273"/>
  <c r="BB119" i="273"/>
  <c r="BB120" i="273" s="1"/>
  <c r="BA60" i="273"/>
  <c r="AZ66" i="273"/>
  <c r="AZ67" i="273" s="1"/>
  <c r="BB76" i="273"/>
  <c r="BB42" i="273" l="1"/>
  <c r="BB4" i="273" s="1"/>
  <c r="BB108" i="273"/>
  <c r="BC2" i="275"/>
  <c r="BC90" i="273"/>
  <c r="BC91" i="273" s="1"/>
  <c r="BC100" i="273" s="1"/>
  <c r="BD101" i="273" s="1"/>
  <c r="BD59" i="273" s="1"/>
  <c r="BC39" i="273"/>
  <c r="BC41" i="273" s="1"/>
  <c r="BC42" i="273" s="1"/>
  <c r="BD19" i="273"/>
  <c r="BD20" i="273" s="1"/>
  <c r="BD24" i="273" s="1"/>
  <c r="BD25" i="273" s="1"/>
  <c r="BD32" i="273" s="1"/>
  <c r="BD33" i="273" s="1"/>
  <c r="BD56" i="273"/>
  <c r="BD37" i="273"/>
  <c r="BD47" i="273"/>
  <c r="BD48" i="273" s="1"/>
  <c r="BD51" i="273" s="1"/>
  <c r="BC96" i="273"/>
  <c r="BC97" i="273" s="1"/>
  <c r="BC113" i="273" s="1"/>
  <c r="BC114" i="273" s="1"/>
  <c r="BC2" i="273"/>
  <c r="BC32" i="273"/>
  <c r="BC33" i="273" s="1"/>
  <c r="BC38" i="273" s="1"/>
  <c r="BE13" i="273"/>
  <c r="BE14" i="273" s="1"/>
  <c r="BF10" i="273"/>
  <c r="BE5" i="273"/>
  <c r="BE5" i="275"/>
  <c r="BE5" i="265"/>
  <c r="BD75" i="273"/>
  <c r="BD76" i="273" s="1"/>
  <c r="BD90" i="273"/>
  <c r="BD91" i="273" s="1"/>
  <c r="BD100" i="273" s="1"/>
  <c r="BE101" i="273" s="1"/>
  <c r="BE59" i="273" s="1"/>
  <c r="BD96" i="273"/>
  <c r="BD97" i="273" s="1"/>
  <c r="AZ3" i="273"/>
  <c r="AZ3" i="275"/>
  <c r="AZ50" i="273"/>
  <c r="AZ3" i="265"/>
  <c r="BB4" i="265"/>
  <c r="BB4" i="275"/>
  <c r="BC52" i="273"/>
  <c r="BB57" i="273"/>
  <c r="BB60" i="273" s="1"/>
  <c r="BB79" i="273"/>
  <c r="BC80" i="273" s="1"/>
  <c r="BC58" i="273" s="1"/>
  <c r="BB15" i="275"/>
  <c r="BB20" i="275" s="1"/>
  <c r="BC17" i="275" s="1"/>
  <c r="BA66" i="273"/>
  <c r="BA67" i="273" s="1"/>
  <c r="BC57" i="273"/>
  <c r="BC79" i="273"/>
  <c r="BD80" i="273" s="1"/>
  <c r="BD58" i="273" s="1"/>
  <c r="BC15" i="275"/>
  <c r="BA112" i="273"/>
  <c r="BB109" i="273"/>
  <c r="BC119" i="273"/>
  <c r="BC120" i="273" s="1"/>
  <c r="BC108" i="273"/>
  <c r="BC118" i="273"/>
  <c r="BD39" i="273" l="1"/>
  <c r="BD41" i="273" s="1"/>
  <c r="BD52" i="273" s="1"/>
  <c r="BF13" i="273"/>
  <c r="BF14" i="273" s="1"/>
  <c r="BG10" i="273"/>
  <c r="BF5" i="273"/>
  <c r="BF5" i="265"/>
  <c r="BF5" i="275"/>
  <c r="BC20" i="275"/>
  <c r="BD17" i="275" s="1"/>
  <c r="BD2" i="275"/>
  <c r="BD2" i="273"/>
  <c r="BD2" i="265"/>
  <c r="BE19" i="273"/>
  <c r="BE20" i="273" s="1"/>
  <c r="BE24" i="273" s="1"/>
  <c r="BE25" i="273" s="1"/>
  <c r="BE32" i="273" s="1"/>
  <c r="BE33" i="273" s="1"/>
  <c r="BE56" i="273"/>
  <c r="BE37" i="273"/>
  <c r="BE47" i="273"/>
  <c r="BE48" i="273" s="1"/>
  <c r="BA3" i="275"/>
  <c r="BA50" i="273"/>
  <c r="BA3" i="273"/>
  <c r="BA3" i="265"/>
  <c r="BE90" i="273"/>
  <c r="BE91" i="273" s="1"/>
  <c r="BE100" i="273" s="1"/>
  <c r="BF101" i="273" s="1"/>
  <c r="BF59" i="273" s="1"/>
  <c r="BC4" i="265"/>
  <c r="BC4" i="273"/>
  <c r="BC4" i="275"/>
  <c r="BD38" i="273"/>
  <c r="BD118" i="273"/>
  <c r="BE51" i="273"/>
  <c r="BD57" i="273"/>
  <c r="BD79" i="273"/>
  <c r="BE80" i="273" s="1"/>
  <c r="BE58" i="273" s="1"/>
  <c r="BD15" i="275"/>
  <c r="BD42" i="273"/>
  <c r="BB112" i="273"/>
  <c r="BC109" i="273"/>
  <c r="BC60" i="273"/>
  <c r="BB66" i="273"/>
  <c r="BB67" i="273" s="1"/>
  <c r="BD113" i="273"/>
  <c r="BD114" i="273" s="1"/>
  <c r="BD119" i="273"/>
  <c r="BD120" i="273" s="1"/>
  <c r="BD108" i="273"/>
  <c r="BE96" i="273" l="1"/>
  <c r="BE97" i="273" s="1"/>
  <c r="BE2" i="273"/>
  <c r="BE75" i="273"/>
  <c r="BE76" i="273" s="1"/>
  <c r="BE79" i="273" s="1"/>
  <c r="BF80" i="273" s="1"/>
  <c r="BF58" i="273" s="1"/>
  <c r="BD20" i="275"/>
  <c r="BE17" i="275" s="1"/>
  <c r="BE39" i="273"/>
  <c r="BE41" i="273" s="1"/>
  <c r="BE42" i="273" s="1"/>
  <c r="BE2" i="275"/>
  <c r="BE2" i="265"/>
  <c r="BF19" i="273"/>
  <c r="BF20" i="273" s="1"/>
  <c r="BF24" i="273" s="1"/>
  <c r="BF25" i="273" s="1"/>
  <c r="BF32" i="273" s="1"/>
  <c r="BF33" i="273" s="1"/>
  <c r="BF56" i="273"/>
  <c r="BF47" i="273"/>
  <c r="BF48" i="273" s="1"/>
  <c r="BF51" i="273" s="1"/>
  <c r="BF37" i="273"/>
  <c r="BG13" i="273"/>
  <c r="BG14" i="273" s="1"/>
  <c r="BH10" i="273"/>
  <c r="BG5" i="273"/>
  <c r="BG5" i="275"/>
  <c r="BG5" i="265"/>
  <c r="BE57" i="273"/>
  <c r="BE15" i="275"/>
  <c r="BF75" i="273"/>
  <c r="BD60" i="273"/>
  <c r="BC66" i="273"/>
  <c r="BC67" i="273" s="1"/>
  <c r="BC112" i="273"/>
  <c r="BD109" i="273"/>
  <c r="BE119" i="273"/>
  <c r="BE120" i="273" s="1"/>
  <c r="BE113" i="273"/>
  <c r="BE114" i="273" s="1"/>
  <c r="BE108" i="273"/>
  <c r="BB50" i="273"/>
  <c r="BB3" i="273"/>
  <c r="BB3" i="275"/>
  <c r="BB3" i="265"/>
  <c r="BD4" i="275"/>
  <c r="BD4" i="265"/>
  <c r="BD4" i="273"/>
  <c r="BE52" i="273"/>
  <c r="BE38" i="273"/>
  <c r="BE118" i="273"/>
  <c r="BF96" i="273" l="1"/>
  <c r="BF97" i="273" s="1"/>
  <c r="BF113" i="273" s="1"/>
  <c r="BF114" i="273" s="1"/>
  <c r="BE20" i="275"/>
  <c r="BF17" i="275" s="1"/>
  <c r="BF39" i="273"/>
  <c r="BF41" i="273" s="1"/>
  <c r="BF52" i="273" s="1"/>
  <c r="BF90" i="273"/>
  <c r="BF91" i="273" s="1"/>
  <c r="BF100" i="273" s="1"/>
  <c r="BG101" i="273" s="1"/>
  <c r="BG59" i="273" s="1"/>
  <c r="BG19" i="273"/>
  <c r="BG20" i="273" s="1"/>
  <c r="BG24" i="273" s="1"/>
  <c r="BG25" i="273" s="1"/>
  <c r="BG75" i="273" s="1"/>
  <c r="BG76" i="273" s="1"/>
  <c r="BG56" i="273"/>
  <c r="BG37" i="273"/>
  <c r="BG47" i="273"/>
  <c r="BG48" i="273" s="1"/>
  <c r="BF2" i="273"/>
  <c r="BF2" i="275"/>
  <c r="BF2" i="265"/>
  <c r="BH13" i="273"/>
  <c r="BH14" i="273" s="1"/>
  <c r="BI10" i="273"/>
  <c r="BH5" i="275"/>
  <c r="BH5" i="273"/>
  <c r="BH5" i="265"/>
  <c r="BF42" i="273"/>
  <c r="BE4" i="275"/>
  <c r="BE4" i="265"/>
  <c r="BE4" i="273"/>
  <c r="BG2" i="273"/>
  <c r="BE60" i="273"/>
  <c r="BD66" i="273"/>
  <c r="BD67" i="273" s="1"/>
  <c r="BF119" i="273"/>
  <c r="BF120" i="273" s="1"/>
  <c r="BF76" i="273"/>
  <c r="BG51" i="273"/>
  <c r="BD112" i="273"/>
  <c r="BE109" i="273"/>
  <c r="BC3" i="273"/>
  <c r="BC3" i="265"/>
  <c r="BC50" i="273"/>
  <c r="BC3" i="275"/>
  <c r="BF38" i="273"/>
  <c r="BG39" i="273" s="1"/>
  <c r="BG41" i="273" s="1"/>
  <c r="BF118" i="273"/>
  <c r="BF108" i="273" l="1"/>
  <c r="BG96" i="273"/>
  <c r="BG97" i="273" s="1"/>
  <c r="BG2" i="265"/>
  <c r="BG90" i="273"/>
  <c r="BG91" i="273" s="1"/>
  <c r="BG100" i="273" s="1"/>
  <c r="BH101" i="273" s="1"/>
  <c r="BH59" i="273" s="1"/>
  <c r="BI13" i="273"/>
  <c r="BI14" i="273" s="1"/>
  <c r="BJ10" i="273"/>
  <c r="BI5" i="275"/>
  <c r="BI5" i="265"/>
  <c r="BI5" i="273"/>
  <c r="BG2" i="275"/>
  <c r="BG32" i="273"/>
  <c r="BG33" i="273" s="1"/>
  <c r="BG38" i="273" s="1"/>
  <c r="BH39" i="273" s="1"/>
  <c r="BH41" i="273" s="1"/>
  <c r="BH19" i="273"/>
  <c r="BH20" i="273" s="1"/>
  <c r="BH24" i="273" s="1"/>
  <c r="BH25" i="273" s="1"/>
  <c r="BH32" i="273" s="1"/>
  <c r="BH33" i="273" s="1"/>
  <c r="BH56" i="273"/>
  <c r="BH37" i="273"/>
  <c r="BH47" i="273"/>
  <c r="BH48" i="273" s="1"/>
  <c r="BH51" i="273" s="1"/>
  <c r="BF109" i="273"/>
  <c r="BE112" i="273"/>
  <c r="BH75" i="273"/>
  <c r="BH90" i="273"/>
  <c r="BH91" i="273" s="1"/>
  <c r="BH100" i="273" s="1"/>
  <c r="BI101" i="273" s="1"/>
  <c r="BI59" i="273" s="1"/>
  <c r="BH2" i="273"/>
  <c r="BG57" i="273"/>
  <c r="BG79" i="273"/>
  <c r="BH80" i="273" s="1"/>
  <c r="BH58" i="273" s="1"/>
  <c r="BG15" i="275"/>
  <c r="BD50" i="273"/>
  <c r="BD3" i="265"/>
  <c r="BD3" i="275"/>
  <c r="BD3" i="273"/>
  <c r="BH76" i="273"/>
  <c r="BG42" i="273"/>
  <c r="BG52" i="273"/>
  <c r="BF57" i="273"/>
  <c r="BF60" i="273" s="1"/>
  <c r="BF79" i="273"/>
  <c r="BG80" i="273" s="1"/>
  <c r="BG58" i="273" s="1"/>
  <c r="BF15" i="275"/>
  <c r="BF20" i="275" s="1"/>
  <c r="BG17" i="275" s="1"/>
  <c r="BE66" i="273"/>
  <c r="BE67" i="273" s="1"/>
  <c r="BG119" i="273"/>
  <c r="BG120" i="273" s="1"/>
  <c r="BG113" i="273"/>
  <c r="BG114" i="273" s="1"/>
  <c r="BG108" i="273"/>
  <c r="BF4" i="275"/>
  <c r="BF4" i="273"/>
  <c r="BF4" i="265"/>
  <c r="BG118" i="273" l="1"/>
  <c r="BI37" i="273"/>
  <c r="BI19" i="273"/>
  <c r="BI20" i="273" s="1"/>
  <c r="BI24" i="273" s="1"/>
  <c r="BI25" i="273" s="1"/>
  <c r="BI32" i="273" s="1"/>
  <c r="BI33" i="273" s="1"/>
  <c r="BI56" i="273"/>
  <c r="BI47" i="273"/>
  <c r="BI48" i="273" s="1"/>
  <c r="BI51" i="273" s="1"/>
  <c r="BH2" i="275"/>
  <c r="BH96" i="273"/>
  <c r="BH97" i="273" s="1"/>
  <c r="BH119" i="273" s="1"/>
  <c r="BH120" i="273" s="1"/>
  <c r="BH2" i="265"/>
  <c r="BJ13" i="273"/>
  <c r="BJ14" i="273" s="1"/>
  <c r="BK10" i="273"/>
  <c r="BJ5" i="273"/>
  <c r="BJ5" i="265"/>
  <c r="BJ5" i="275"/>
  <c r="BG60" i="273"/>
  <c r="BF66" i="273"/>
  <c r="BF67" i="273" s="1"/>
  <c r="BI75" i="273"/>
  <c r="BI76" i="273" s="1"/>
  <c r="BI90" i="273"/>
  <c r="BI91" i="273" s="1"/>
  <c r="BI100" i="273" s="1"/>
  <c r="BJ101" i="273" s="1"/>
  <c r="BJ59" i="273" s="1"/>
  <c r="BI2" i="275"/>
  <c r="BH108" i="273"/>
  <c r="BH113" i="273"/>
  <c r="BH114" i="273" s="1"/>
  <c r="BH38" i="273"/>
  <c r="BH118" i="273"/>
  <c r="BE3" i="273"/>
  <c r="BE50" i="273"/>
  <c r="BE3" i="265"/>
  <c r="BE3" i="275"/>
  <c r="BG4" i="265"/>
  <c r="BG4" i="273"/>
  <c r="BG4" i="275"/>
  <c r="BH57" i="273"/>
  <c r="BH79" i="273"/>
  <c r="BI80" i="273" s="1"/>
  <c r="BI58" i="273" s="1"/>
  <c r="BH15" i="275"/>
  <c r="BH42" i="273"/>
  <c r="BH52" i="273"/>
  <c r="BG20" i="275"/>
  <c r="BH17" i="275" s="1"/>
  <c r="BF112" i="273"/>
  <c r="BG109" i="273"/>
  <c r="BI39" i="273" l="1"/>
  <c r="BI41" i="273" s="1"/>
  <c r="BI52" i="273" s="1"/>
  <c r="BI2" i="273"/>
  <c r="BI2" i="265"/>
  <c r="BI96" i="273"/>
  <c r="BI97" i="273" s="1"/>
  <c r="BL10" i="273"/>
  <c r="BK5" i="273"/>
  <c r="BK13" i="273"/>
  <c r="BK14" i="273" s="1"/>
  <c r="BK5" i="265"/>
  <c r="BK5" i="275"/>
  <c r="BH20" i="275"/>
  <c r="BI17" i="275" s="1"/>
  <c r="BJ19" i="273"/>
  <c r="BJ20" i="273" s="1"/>
  <c r="BJ24" i="273" s="1"/>
  <c r="BJ25" i="273" s="1"/>
  <c r="BJ32" i="273" s="1"/>
  <c r="BJ33" i="273" s="1"/>
  <c r="BJ56" i="273"/>
  <c r="BJ47" i="273"/>
  <c r="BJ48" i="273" s="1"/>
  <c r="BJ37" i="273"/>
  <c r="BH109" i="273"/>
  <c r="BG112" i="273"/>
  <c r="BI57" i="273"/>
  <c r="BI79" i="273"/>
  <c r="BJ80" i="273" s="1"/>
  <c r="BJ58" i="273" s="1"/>
  <c r="BI15" i="275"/>
  <c r="BI119" i="273"/>
  <c r="BI120" i="273" s="1"/>
  <c r="BI108" i="273"/>
  <c r="BI113" i="273"/>
  <c r="BI38" i="273"/>
  <c r="BJ39" i="273" s="1"/>
  <c r="BJ41" i="273" s="1"/>
  <c r="BI118" i="273"/>
  <c r="BF3" i="265"/>
  <c r="BF3" i="273"/>
  <c r="BF3" i="275"/>
  <c r="BF50" i="273"/>
  <c r="BI114" i="273"/>
  <c r="BH4" i="265"/>
  <c r="BH4" i="275"/>
  <c r="BH4" i="273"/>
  <c r="BJ90" i="273"/>
  <c r="BJ91" i="273" s="1"/>
  <c r="BJ100" i="273" s="1"/>
  <c r="BK101" i="273" s="1"/>
  <c r="BK59" i="273" s="1"/>
  <c r="BH60" i="273"/>
  <c r="BG66" i="273"/>
  <c r="BG67" i="273" s="1"/>
  <c r="BI42" i="273" l="1"/>
  <c r="BI20" i="275"/>
  <c r="BJ17" i="275" s="1"/>
  <c r="BJ96" i="273"/>
  <c r="BJ97" i="273" s="1"/>
  <c r="BJ113" i="273" s="1"/>
  <c r="BJ114" i="273" s="1"/>
  <c r="BJ75" i="273"/>
  <c r="BJ76" i="273" s="1"/>
  <c r="BJ57" i="273" s="1"/>
  <c r="BK19" i="273"/>
  <c r="BK20" i="273" s="1"/>
  <c r="BK24" i="273" s="1"/>
  <c r="BK25" i="273" s="1"/>
  <c r="BK75" i="273" s="1"/>
  <c r="BK56" i="273"/>
  <c r="BK37" i="273"/>
  <c r="BK47" i="273"/>
  <c r="BK48" i="273" s="1"/>
  <c r="BK51" i="273" s="1"/>
  <c r="BL13" i="273"/>
  <c r="BL14" i="273" s="1"/>
  <c r="BM10" i="273"/>
  <c r="BL5" i="275"/>
  <c r="BL5" i="273"/>
  <c r="BL5" i="265"/>
  <c r="BJ2" i="275"/>
  <c r="BJ2" i="273"/>
  <c r="BJ2" i="265"/>
  <c r="BJ51" i="273"/>
  <c r="BG3" i="275"/>
  <c r="BG50" i="273"/>
  <c r="BG3" i="273"/>
  <c r="BG3" i="265"/>
  <c r="BJ79" i="273"/>
  <c r="BK80" i="273" s="1"/>
  <c r="BK58" i="273" s="1"/>
  <c r="BI4" i="265"/>
  <c r="BI4" i="273"/>
  <c r="BI4" i="275"/>
  <c r="BJ119" i="273"/>
  <c r="BJ120" i="273" s="1"/>
  <c r="BJ42" i="273"/>
  <c r="BJ52" i="273"/>
  <c r="BK90" i="273"/>
  <c r="BK91" i="273" s="1"/>
  <c r="BK100" i="273" s="1"/>
  <c r="BL101" i="273" s="1"/>
  <c r="BL59" i="273" s="1"/>
  <c r="BK2" i="273"/>
  <c r="BH112" i="273"/>
  <c r="BI109" i="273"/>
  <c r="BI60" i="273"/>
  <c r="BH66" i="273"/>
  <c r="BH67" i="273" s="1"/>
  <c r="BJ38" i="273"/>
  <c r="BJ118" i="273"/>
  <c r="BK2" i="275" l="1"/>
  <c r="BJ108" i="273"/>
  <c r="BJ15" i="275"/>
  <c r="BJ20" i="275" s="1"/>
  <c r="BK17" i="275" s="1"/>
  <c r="BK76" i="273"/>
  <c r="BK57" i="273" s="1"/>
  <c r="BL19" i="273"/>
  <c r="BL20" i="273" s="1"/>
  <c r="BL24" i="273" s="1"/>
  <c r="BL25" i="273" s="1"/>
  <c r="BL75" i="273" s="1"/>
  <c r="BL76" i="273" s="1"/>
  <c r="BL56" i="273"/>
  <c r="BL37" i="273"/>
  <c r="BL47" i="273"/>
  <c r="BL48" i="273" s="1"/>
  <c r="BK39" i="273"/>
  <c r="BK41" i="273" s="1"/>
  <c r="BK42" i="273" s="1"/>
  <c r="BK2" i="265"/>
  <c r="BK96" i="273"/>
  <c r="BK97" i="273" s="1"/>
  <c r="BK113" i="273" s="1"/>
  <c r="BK114" i="273" s="1"/>
  <c r="BK32" i="273"/>
  <c r="BK33" i="273" s="1"/>
  <c r="BK38" i="273" s="1"/>
  <c r="BM13" i="273"/>
  <c r="BM14" i="273" s="1"/>
  <c r="BN10" i="273"/>
  <c r="BM5" i="275"/>
  <c r="BM5" i="265"/>
  <c r="BM5" i="273"/>
  <c r="BI66" i="273"/>
  <c r="BI67" i="273" s="1"/>
  <c r="BJ60" i="273"/>
  <c r="BL51" i="273"/>
  <c r="BK79" i="273"/>
  <c r="BL80" i="273" s="1"/>
  <c r="BL58" i="273" s="1"/>
  <c r="BL32" i="273"/>
  <c r="BL33" i="273" s="1"/>
  <c r="BL2" i="275"/>
  <c r="BH50" i="273"/>
  <c r="BH3" i="275"/>
  <c r="BH3" i="273"/>
  <c r="BH3" i="265"/>
  <c r="BI112" i="273"/>
  <c r="BJ109" i="273"/>
  <c r="BK118" i="273"/>
  <c r="BJ4" i="265"/>
  <c r="BJ4" i="273"/>
  <c r="BJ4" i="275"/>
  <c r="BK119" i="273" l="1"/>
  <c r="BK120" i="273" s="1"/>
  <c r="BK108" i="273"/>
  <c r="BL2" i="273"/>
  <c r="BL2" i="265"/>
  <c r="BK52" i="273"/>
  <c r="BK15" i="275"/>
  <c r="BK20" i="275" s="1"/>
  <c r="BL17" i="275" s="1"/>
  <c r="BM19" i="273"/>
  <c r="BM20" i="273" s="1"/>
  <c r="BM24" i="273" s="1"/>
  <c r="BM25" i="273" s="1"/>
  <c r="BM32" i="273" s="1"/>
  <c r="BM33" i="273" s="1"/>
  <c r="BM56" i="273"/>
  <c r="BM37" i="273"/>
  <c r="BM47" i="273"/>
  <c r="BM48" i="273" s="1"/>
  <c r="BM51" i="273" s="1"/>
  <c r="BL39" i="273"/>
  <c r="BL41" i="273" s="1"/>
  <c r="BL52" i="273" s="1"/>
  <c r="BL96" i="273"/>
  <c r="BL97" i="273" s="1"/>
  <c r="BL108" i="273" s="1"/>
  <c r="BL90" i="273"/>
  <c r="BL91" i="273" s="1"/>
  <c r="BL100" i="273" s="1"/>
  <c r="BM101" i="273" s="1"/>
  <c r="BM59" i="273" s="1"/>
  <c r="BN13" i="273"/>
  <c r="BN14" i="273" s="1"/>
  <c r="BO10" i="273"/>
  <c r="BN5" i="273"/>
  <c r="BN5" i="265"/>
  <c r="BN5" i="275"/>
  <c r="BL57" i="273"/>
  <c r="BL79" i="273"/>
  <c r="BM80" i="273" s="1"/>
  <c r="BM58" i="273" s="1"/>
  <c r="BL15" i="275"/>
  <c r="BL119" i="273"/>
  <c r="BL120" i="273" s="1"/>
  <c r="BI3" i="275"/>
  <c r="BI3" i="265"/>
  <c r="BI50" i="273"/>
  <c r="BI3" i="273"/>
  <c r="BK4" i="275"/>
  <c r="BK4" i="265"/>
  <c r="BK4" i="273"/>
  <c r="BJ112" i="273"/>
  <c r="BK109" i="273"/>
  <c r="BL38" i="273"/>
  <c r="BL118" i="273"/>
  <c r="BJ66" i="273"/>
  <c r="BJ67" i="273" s="1"/>
  <c r="BK60" i="273"/>
  <c r="BM96" i="273"/>
  <c r="BM97" i="273" s="1"/>
  <c r="BL20" i="275" l="1"/>
  <c r="BM17" i="275" s="1"/>
  <c r="BM90" i="273"/>
  <c r="BM91" i="273" s="1"/>
  <c r="BM100" i="273" s="1"/>
  <c r="BN101" i="273" s="1"/>
  <c r="BN59" i="273" s="1"/>
  <c r="BL42" i="273"/>
  <c r="BM2" i="275"/>
  <c r="BM75" i="273"/>
  <c r="BM39" i="273"/>
  <c r="BM41" i="273" s="1"/>
  <c r="BM52" i="273" s="1"/>
  <c r="BL113" i="273"/>
  <c r="BL114" i="273" s="1"/>
  <c r="BN19" i="273"/>
  <c r="BN20" i="273" s="1"/>
  <c r="BN24" i="273" s="1"/>
  <c r="BN25" i="273" s="1"/>
  <c r="BN32" i="273" s="1"/>
  <c r="BN33" i="273" s="1"/>
  <c r="BN56" i="273"/>
  <c r="BN47" i="273"/>
  <c r="BN48" i="273" s="1"/>
  <c r="BN51" i="273" s="1"/>
  <c r="BN37" i="273"/>
  <c r="BM2" i="273"/>
  <c r="BM2" i="265"/>
  <c r="BO13" i="273"/>
  <c r="BO14" i="273" s="1"/>
  <c r="BP10" i="273"/>
  <c r="BO5" i="275"/>
  <c r="BO5" i="265"/>
  <c r="BO5" i="273"/>
  <c r="BM119" i="273"/>
  <c r="BM120" i="273" s="1"/>
  <c r="BM113" i="273"/>
  <c r="BM114" i="273" s="1"/>
  <c r="BM108" i="273"/>
  <c r="BJ3" i="275"/>
  <c r="BJ3" i="273"/>
  <c r="BJ50" i="273"/>
  <c r="BJ3" i="265"/>
  <c r="BM42" i="273"/>
  <c r="BL109" i="273"/>
  <c r="BK112" i="273"/>
  <c r="BN75" i="273"/>
  <c r="BN96" i="273"/>
  <c r="BN97" i="273" s="1"/>
  <c r="BL4" i="265"/>
  <c r="BL4" i="273"/>
  <c r="BL4" i="275"/>
  <c r="BM38" i="273"/>
  <c r="BN39" i="273" s="1"/>
  <c r="BN41" i="273" s="1"/>
  <c r="BM118" i="273"/>
  <c r="BK66" i="273"/>
  <c r="BK67" i="273" s="1"/>
  <c r="BL60" i="273"/>
  <c r="BM76" i="273"/>
  <c r="BN90" i="273" l="1"/>
  <c r="BN91" i="273" s="1"/>
  <c r="BN100" i="273" s="1"/>
  <c r="BO101" i="273" s="1"/>
  <c r="BO59" i="273" s="1"/>
  <c r="BP13" i="273"/>
  <c r="BP14" i="273" s="1"/>
  <c r="BQ10" i="273"/>
  <c r="BP5" i="273"/>
  <c r="BP5" i="265"/>
  <c r="BP5" i="275"/>
  <c r="BN2" i="273"/>
  <c r="BN2" i="275"/>
  <c r="BN2" i="265"/>
  <c r="BO19" i="273"/>
  <c r="BO20" i="273" s="1"/>
  <c r="BO24" i="273" s="1"/>
  <c r="BO25" i="273" s="1"/>
  <c r="BO90" i="273" s="1"/>
  <c r="BO91" i="273" s="1"/>
  <c r="BO100" i="273" s="1"/>
  <c r="BP101" i="273" s="1"/>
  <c r="BP59" i="273" s="1"/>
  <c r="BO56" i="273"/>
  <c r="BO37" i="273"/>
  <c r="BO47" i="273"/>
  <c r="BO48" i="273" s="1"/>
  <c r="BM57" i="273"/>
  <c r="BM60" i="273" s="1"/>
  <c r="BM79" i="273"/>
  <c r="BN80" i="273" s="1"/>
  <c r="BN58" i="273" s="1"/>
  <c r="BM15" i="275"/>
  <c r="BM20" i="275" s="1"/>
  <c r="BN17" i="275" s="1"/>
  <c r="BO51" i="273"/>
  <c r="BO75" i="273"/>
  <c r="BO76" i="273" s="1"/>
  <c r="BO32" i="273"/>
  <c r="BO33" i="273" s="1"/>
  <c r="BO2" i="265"/>
  <c r="BO96" i="273"/>
  <c r="BO97" i="273" s="1"/>
  <c r="BL66" i="273"/>
  <c r="BL67" i="273" s="1"/>
  <c r="BN119" i="273"/>
  <c r="BN120" i="273" s="1"/>
  <c r="BN108" i="273"/>
  <c r="BN113" i="273"/>
  <c r="BN114" i="273" s="1"/>
  <c r="BM109" i="273"/>
  <c r="BL112" i="273"/>
  <c r="BM4" i="273"/>
  <c r="BM4" i="265"/>
  <c r="BM4" i="275"/>
  <c r="BN76" i="273"/>
  <c r="BK3" i="275"/>
  <c r="BK3" i="273"/>
  <c r="BK3" i="265"/>
  <c r="BK50" i="273"/>
  <c r="BN42" i="273"/>
  <c r="BN52" i="273"/>
  <c r="BN38" i="273"/>
  <c r="BN118" i="273"/>
  <c r="BO39" i="273" l="1"/>
  <c r="BO41" i="273" s="1"/>
  <c r="BO2" i="275"/>
  <c r="BO2" i="273"/>
  <c r="BP19" i="273"/>
  <c r="BP20" i="273" s="1"/>
  <c r="BP24" i="273" s="1"/>
  <c r="BP25" i="273" s="1"/>
  <c r="BP32" i="273" s="1"/>
  <c r="BP33" i="273" s="1"/>
  <c r="BP56" i="273"/>
  <c r="BP37" i="273"/>
  <c r="BP47" i="273"/>
  <c r="BP48" i="273" s="1"/>
  <c r="BP51" i="273" s="1"/>
  <c r="BQ13" i="273"/>
  <c r="BQ14" i="273" s="1"/>
  <c r="BR10" i="273"/>
  <c r="BQ5" i="275"/>
  <c r="BQ5" i="265"/>
  <c r="BQ5" i="273"/>
  <c r="BO42" i="273"/>
  <c r="BO52" i="273"/>
  <c r="BN4" i="275"/>
  <c r="BN4" i="265"/>
  <c r="BN4" i="273"/>
  <c r="BP75" i="273"/>
  <c r="BP76" i="273" s="1"/>
  <c r="BN57" i="273"/>
  <c r="BN60" i="273" s="1"/>
  <c r="BN79" i="273"/>
  <c r="BO80" i="273" s="1"/>
  <c r="BO58" i="273" s="1"/>
  <c r="BN15" i="275"/>
  <c r="BN20" i="275" s="1"/>
  <c r="BO17" i="275" s="1"/>
  <c r="BO57" i="273"/>
  <c r="BO79" i="273"/>
  <c r="BP80" i="273" s="1"/>
  <c r="BP58" i="273" s="1"/>
  <c r="BO15" i="275"/>
  <c r="BM66" i="273"/>
  <c r="BM67" i="273" s="1"/>
  <c r="BM112" i="273"/>
  <c r="BN109" i="273"/>
  <c r="BL3" i="273"/>
  <c r="BL3" i="265"/>
  <c r="BL50" i="273"/>
  <c r="BL3" i="275"/>
  <c r="BO119" i="273"/>
  <c r="BO120" i="273" s="1"/>
  <c r="BO113" i="273"/>
  <c r="BO114" i="273" s="1"/>
  <c r="BO108" i="273"/>
  <c r="BO38" i="273"/>
  <c r="BO118" i="273"/>
  <c r="BP2" i="275" l="1"/>
  <c r="BP90" i="273"/>
  <c r="BP91" i="273" s="1"/>
  <c r="BP100" i="273" s="1"/>
  <c r="BQ101" i="273" s="1"/>
  <c r="BQ59" i="273" s="1"/>
  <c r="BQ37" i="273"/>
  <c r="BQ56" i="273"/>
  <c r="BQ19" i="273"/>
  <c r="BQ20" i="273" s="1"/>
  <c r="BQ24" i="273" s="1"/>
  <c r="BQ25" i="273" s="1"/>
  <c r="BQ75" i="273" s="1"/>
  <c r="BQ76" i="273" s="1"/>
  <c r="BQ47" i="273"/>
  <c r="BQ48" i="273" s="1"/>
  <c r="BQ51" i="273" s="1"/>
  <c r="BP39" i="273"/>
  <c r="BP41" i="273" s="1"/>
  <c r="BP52" i="273" s="1"/>
  <c r="BO20" i="275"/>
  <c r="BP17" i="275" s="1"/>
  <c r="BP2" i="273"/>
  <c r="BP96" i="273"/>
  <c r="BP97" i="273" s="1"/>
  <c r="BP119" i="273" s="1"/>
  <c r="BP120" i="273" s="1"/>
  <c r="BP2" i="265"/>
  <c r="BR13" i="273"/>
  <c r="BR14" i="273" s="1"/>
  <c r="BS10" i="273"/>
  <c r="BR5" i="275"/>
  <c r="BR5" i="273"/>
  <c r="BR5" i="265"/>
  <c r="BO109" i="273"/>
  <c r="BN112" i="273"/>
  <c r="BQ32" i="273"/>
  <c r="BQ33" i="273" s="1"/>
  <c r="BQ2" i="265"/>
  <c r="BQ2" i="275"/>
  <c r="BN66" i="273"/>
  <c r="BN67" i="273" s="1"/>
  <c r="BO60" i="273"/>
  <c r="BP108" i="273"/>
  <c r="BP38" i="273"/>
  <c r="BQ39" i="273" s="1"/>
  <c r="BQ41" i="273" s="1"/>
  <c r="BP118" i="273"/>
  <c r="BO4" i="275"/>
  <c r="BO4" i="265"/>
  <c r="BO4" i="273"/>
  <c r="BP57" i="273"/>
  <c r="BP79" i="273"/>
  <c r="BQ80" i="273" s="1"/>
  <c r="BQ58" i="273" s="1"/>
  <c r="BP15" i="275"/>
  <c r="BP42" i="273"/>
  <c r="BM3" i="265"/>
  <c r="BM3" i="275"/>
  <c r="BM50" i="273"/>
  <c r="BM3" i="273"/>
  <c r="BP20" i="275" l="1"/>
  <c r="BQ17" i="275" s="1"/>
  <c r="BP113" i="273"/>
  <c r="BP114" i="273" s="1"/>
  <c r="BS13" i="273"/>
  <c r="BS14" i="273" s="1"/>
  <c r="BT10" i="273"/>
  <c r="BS5" i="273"/>
  <c r="BS5" i="275"/>
  <c r="BS5" i="265"/>
  <c r="BQ96" i="273"/>
  <c r="BQ97" i="273" s="1"/>
  <c r="BQ108" i="273" s="1"/>
  <c r="BQ2" i="273"/>
  <c r="BQ90" i="273"/>
  <c r="BQ91" i="273" s="1"/>
  <c r="BQ100" i="273" s="1"/>
  <c r="BR101" i="273" s="1"/>
  <c r="BR59" i="273" s="1"/>
  <c r="BR19" i="273"/>
  <c r="BR20" i="273" s="1"/>
  <c r="BR24" i="273" s="1"/>
  <c r="BR25" i="273" s="1"/>
  <c r="BR32" i="273" s="1"/>
  <c r="BR33" i="273" s="1"/>
  <c r="BR56" i="273"/>
  <c r="BR47" i="273"/>
  <c r="BR48" i="273" s="1"/>
  <c r="BR51" i="273" s="1"/>
  <c r="BR37" i="273"/>
  <c r="BQ57" i="273"/>
  <c r="BQ79" i="273"/>
  <c r="BR80" i="273" s="1"/>
  <c r="BR58" i="273" s="1"/>
  <c r="BQ15" i="275"/>
  <c r="BQ20" i="275" s="1"/>
  <c r="BR17" i="275" s="1"/>
  <c r="BP4" i="265"/>
  <c r="BP4" i="273"/>
  <c r="BP4" i="275"/>
  <c r="BQ42" i="273"/>
  <c r="BQ52" i="273"/>
  <c r="BO66" i="273"/>
  <c r="BO67" i="273" s="1"/>
  <c r="BP60" i="273"/>
  <c r="BQ38" i="273"/>
  <c r="BQ118" i="273"/>
  <c r="BR75" i="273"/>
  <c r="BR90" i="273"/>
  <c r="BR91" i="273" s="1"/>
  <c r="BR100" i="273" s="1"/>
  <c r="BS101" i="273" s="1"/>
  <c r="BS59" i="273" s="1"/>
  <c r="BR2" i="273"/>
  <c r="BR2" i="275"/>
  <c r="BN3" i="275"/>
  <c r="BN3" i="265"/>
  <c r="BN50" i="273"/>
  <c r="BN3" i="273"/>
  <c r="BR76" i="273"/>
  <c r="BP109" i="273"/>
  <c r="BO112" i="273"/>
  <c r="BQ113" i="273" l="1"/>
  <c r="BQ114" i="273" s="1"/>
  <c r="BQ119" i="273"/>
  <c r="BQ120" i="273" s="1"/>
  <c r="BR39" i="273"/>
  <c r="BR41" i="273" s="1"/>
  <c r="BS19" i="273"/>
  <c r="BS20" i="273" s="1"/>
  <c r="BS24" i="273" s="1"/>
  <c r="BS25" i="273" s="1"/>
  <c r="BS90" i="273" s="1"/>
  <c r="BS91" i="273" s="1"/>
  <c r="BS100" i="273" s="1"/>
  <c r="BT101" i="273" s="1"/>
  <c r="BT59" i="273" s="1"/>
  <c r="BS56" i="273"/>
  <c r="BS47" i="273"/>
  <c r="BS48" i="273" s="1"/>
  <c r="BS51" i="273" s="1"/>
  <c r="BS37" i="273"/>
  <c r="BR96" i="273"/>
  <c r="BR97" i="273" s="1"/>
  <c r="BR119" i="273" s="1"/>
  <c r="BR120" i="273" s="1"/>
  <c r="BR2" i="265"/>
  <c r="BT13" i="273"/>
  <c r="BT14" i="273" s="1"/>
  <c r="BU10" i="273"/>
  <c r="BT5" i="273"/>
  <c r="BT5" i="265"/>
  <c r="BT5" i="275"/>
  <c r="BP112" i="273"/>
  <c r="BQ109" i="273"/>
  <c r="BR38" i="273"/>
  <c r="BS39" i="273" s="1"/>
  <c r="BS41" i="273" s="1"/>
  <c r="BR118" i="273"/>
  <c r="BR42" i="273"/>
  <c r="BR52" i="273"/>
  <c r="BO3" i="265"/>
  <c r="BO3" i="275"/>
  <c r="BO50" i="273"/>
  <c r="BO3" i="273"/>
  <c r="BQ4" i="275"/>
  <c r="BQ4" i="265"/>
  <c r="BQ4" i="273"/>
  <c r="BS96" i="273"/>
  <c r="BS97" i="273" s="1"/>
  <c r="BR57" i="273"/>
  <c r="BR79" i="273"/>
  <c r="BS80" i="273" s="1"/>
  <c r="BS58" i="273" s="1"/>
  <c r="BR15" i="275"/>
  <c r="BR20" i="275" s="1"/>
  <c r="BS17" i="275" s="1"/>
  <c r="BP66" i="273"/>
  <c r="BP67" i="273" s="1"/>
  <c r="BQ60" i="273"/>
  <c r="BS32" i="273" l="1"/>
  <c r="BS33" i="273" s="1"/>
  <c r="BR113" i="273"/>
  <c r="BR114" i="273" s="1"/>
  <c r="BS2" i="275"/>
  <c r="BS75" i="273"/>
  <c r="BS76" i="273" s="1"/>
  <c r="BU5" i="265"/>
  <c r="BU5" i="273"/>
  <c r="BV10" i="273"/>
  <c r="BU13" i="273"/>
  <c r="BU14" i="273" s="1"/>
  <c r="BU5" i="275"/>
  <c r="BS2" i="273"/>
  <c r="BS2" i="265"/>
  <c r="BR108" i="273"/>
  <c r="BR109" i="273" s="1"/>
  <c r="BT37" i="273"/>
  <c r="BT47" i="273"/>
  <c r="BT48" i="273" s="1"/>
  <c r="BT51" i="273" s="1"/>
  <c r="BT19" i="273"/>
  <c r="BT20" i="273" s="1"/>
  <c r="BT24" i="273" s="1"/>
  <c r="BT25" i="273" s="1"/>
  <c r="BT75" i="273" s="1"/>
  <c r="BT56" i="273"/>
  <c r="BP3" i="275"/>
  <c r="BP50" i="273"/>
  <c r="BP3" i="265"/>
  <c r="BP3" i="273"/>
  <c r="BS113" i="273"/>
  <c r="BS119" i="273"/>
  <c r="BS108" i="273"/>
  <c r="BS38" i="273"/>
  <c r="BT39" i="273" s="1"/>
  <c r="BT41" i="273" s="1"/>
  <c r="BS118" i="273"/>
  <c r="BR4" i="273"/>
  <c r="BR4" i="275"/>
  <c r="BR4" i="265"/>
  <c r="BS42" i="273"/>
  <c r="BS52" i="273"/>
  <c r="BQ112" i="273"/>
  <c r="BS120" i="273"/>
  <c r="BT32" i="273"/>
  <c r="BT33" i="273" s="1"/>
  <c r="BT2" i="265"/>
  <c r="BT2" i="273"/>
  <c r="BT96" i="273"/>
  <c r="BT97" i="273" s="1"/>
  <c r="BQ66" i="273"/>
  <c r="BQ67" i="273" s="1"/>
  <c r="BR60" i="273"/>
  <c r="BS114" i="273" l="1"/>
  <c r="BT76" i="273"/>
  <c r="BT57" i="273" s="1"/>
  <c r="BT2" i="275"/>
  <c r="BT90" i="273"/>
  <c r="BT91" i="273" s="1"/>
  <c r="BT100" i="273" s="1"/>
  <c r="BU101" i="273" s="1"/>
  <c r="BU59" i="273" s="1"/>
  <c r="BV5" i="275"/>
  <c r="BV5" i="265"/>
  <c r="BV13" i="273"/>
  <c r="BV14" i="273" s="1"/>
  <c r="BV5" i="273"/>
  <c r="BW10" i="273"/>
  <c r="BU37" i="273"/>
  <c r="BU47" i="273"/>
  <c r="BU48" i="273" s="1"/>
  <c r="BU51" i="273" s="1"/>
  <c r="BU56" i="273"/>
  <c r="BU19" i="273"/>
  <c r="BU20" i="273" s="1"/>
  <c r="BU24" i="273" s="1"/>
  <c r="BU25" i="273" s="1"/>
  <c r="BU32" i="273" s="1"/>
  <c r="BU33" i="273" s="1"/>
  <c r="BR66" i="273"/>
  <c r="BR67" i="273" s="1"/>
  <c r="BT108" i="273"/>
  <c r="BT113" i="273"/>
  <c r="BT119" i="273"/>
  <c r="BT120" i="273" s="1"/>
  <c r="BT38" i="273"/>
  <c r="BU39" i="273" s="1"/>
  <c r="BU41" i="273" s="1"/>
  <c r="BT118" i="273"/>
  <c r="BR112" i="273"/>
  <c r="BS109" i="273"/>
  <c r="BS4" i="273"/>
  <c r="BS4" i="265"/>
  <c r="BS4" i="275"/>
  <c r="BT79" i="273"/>
  <c r="BU80" i="273" s="1"/>
  <c r="BU58" i="273" s="1"/>
  <c r="BT42" i="273"/>
  <c r="BT52" i="273"/>
  <c r="BS57" i="273"/>
  <c r="BS60" i="273" s="1"/>
  <c r="BS79" i="273"/>
  <c r="BT80" i="273" s="1"/>
  <c r="BT58" i="273" s="1"/>
  <c r="BS15" i="275"/>
  <c r="BS20" i="275" s="1"/>
  <c r="BT17" i="275" s="1"/>
  <c r="BQ3" i="275"/>
  <c r="BQ3" i="273"/>
  <c r="BQ50" i="273"/>
  <c r="BQ3" i="265"/>
  <c r="BU90" i="273"/>
  <c r="BU91" i="273" s="1"/>
  <c r="BU100" i="273" s="1"/>
  <c r="BV101" i="273" s="1"/>
  <c r="BV59" i="273" s="1"/>
  <c r="BT15" i="275" l="1"/>
  <c r="BU2" i="275"/>
  <c r="BT114" i="273"/>
  <c r="BU2" i="265"/>
  <c r="BU75" i="273"/>
  <c r="BU76" i="273" s="1"/>
  <c r="BU57" i="273" s="1"/>
  <c r="BW5" i="275"/>
  <c r="BW5" i="265"/>
  <c r="BX10" i="273"/>
  <c r="BW5" i="273"/>
  <c r="BW13" i="273"/>
  <c r="BW14" i="273" s="1"/>
  <c r="BV37" i="273"/>
  <c r="BV47" i="273"/>
  <c r="BV48" i="273" s="1"/>
  <c r="BV51" i="273" s="1"/>
  <c r="BV19" i="273"/>
  <c r="BV20" i="273" s="1"/>
  <c r="BV24" i="273" s="1"/>
  <c r="BV25" i="273" s="1"/>
  <c r="BV32" i="273" s="1"/>
  <c r="BV33" i="273" s="1"/>
  <c r="BV56" i="273"/>
  <c r="BU96" i="273"/>
  <c r="BU97" i="273" s="1"/>
  <c r="BU113" i="273" s="1"/>
  <c r="BU114" i="273" s="1"/>
  <c r="BU2" i="273"/>
  <c r="BS66" i="273"/>
  <c r="BS67" i="273" s="1"/>
  <c r="BT60" i="273"/>
  <c r="BU119" i="273"/>
  <c r="BU120" i="273" s="1"/>
  <c r="BU38" i="273"/>
  <c r="BU118" i="273"/>
  <c r="BU79" i="273"/>
  <c r="BV80" i="273" s="1"/>
  <c r="BV58" i="273" s="1"/>
  <c r="BV90" i="273"/>
  <c r="BV91" i="273" s="1"/>
  <c r="BV100" i="273" s="1"/>
  <c r="BW101" i="273" s="1"/>
  <c r="BW59" i="273" s="1"/>
  <c r="BT4" i="265"/>
  <c r="BT4" i="273"/>
  <c r="BT4" i="275"/>
  <c r="BR3" i="265"/>
  <c r="BR50" i="273"/>
  <c r="BR3" i="273"/>
  <c r="BR3" i="275"/>
  <c r="BT20" i="275"/>
  <c r="BU17" i="275" s="1"/>
  <c r="BT109" i="273"/>
  <c r="BS112" i="273"/>
  <c r="BU42" i="273"/>
  <c r="BU52" i="273"/>
  <c r="BV96" i="273" l="1"/>
  <c r="BV97" i="273" s="1"/>
  <c r="BV75" i="273"/>
  <c r="BV76" i="273" s="1"/>
  <c r="BU108" i="273"/>
  <c r="BV2" i="273"/>
  <c r="BV2" i="275"/>
  <c r="BV2" i="265"/>
  <c r="BU15" i="275"/>
  <c r="BU20" i="275" s="1"/>
  <c r="BV17" i="275" s="1"/>
  <c r="BV39" i="273"/>
  <c r="BV41" i="273" s="1"/>
  <c r="BV52" i="273" s="1"/>
  <c r="BW37" i="273"/>
  <c r="BW47" i="273"/>
  <c r="BW48" i="273" s="1"/>
  <c r="BW51" i="273" s="1"/>
  <c r="BW19" i="273"/>
  <c r="BW20" i="273" s="1"/>
  <c r="BW24" i="273" s="1"/>
  <c r="BW25" i="273" s="1"/>
  <c r="BW90" i="273" s="1"/>
  <c r="BW91" i="273" s="1"/>
  <c r="BW100" i="273" s="1"/>
  <c r="BX101" i="273" s="1"/>
  <c r="BX59" i="273" s="1"/>
  <c r="BW56" i="273"/>
  <c r="BX5" i="275"/>
  <c r="BX5" i="265"/>
  <c r="BX13" i="273"/>
  <c r="BX14" i="273" s="1"/>
  <c r="BX5" i="273"/>
  <c r="BY10" i="273"/>
  <c r="BV38" i="273"/>
  <c r="BV118" i="273"/>
  <c r="BV42" i="273"/>
  <c r="BS3" i="273"/>
  <c r="BS3" i="275"/>
  <c r="BS3" i="265"/>
  <c r="BS50" i="273"/>
  <c r="BU4" i="265"/>
  <c r="BU4" i="275"/>
  <c r="BU4" i="273"/>
  <c r="BU109" i="273"/>
  <c r="BT112" i="273"/>
  <c r="BW75" i="273"/>
  <c r="BW2" i="275"/>
  <c r="BV113" i="273"/>
  <c r="BV114" i="273" s="1"/>
  <c r="BV119" i="273"/>
  <c r="BV120" i="273" s="1"/>
  <c r="BV108" i="273"/>
  <c r="BT66" i="273"/>
  <c r="BT67" i="273" s="1"/>
  <c r="BU60" i="273"/>
  <c r="BV79" i="273" l="1"/>
  <c r="BW80" i="273" s="1"/>
  <c r="BW58" i="273" s="1"/>
  <c r="BV57" i="273"/>
  <c r="BV60" i="273" s="1"/>
  <c r="BV15" i="275"/>
  <c r="BW76" i="273"/>
  <c r="BW79" i="273" s="1"/>
  <c r="BX80" i="273" s="1"/>
  <c r="BX58" i="273" s="1"/>
  <c r="BV20" i="275"/>
  <c r="BW17" i="275" s="1"/>
  <c r="BW2" i="273"/>
  <c r="BW32" i="273"/>
  <c r="BW33" i="273" s="1"/>
  <c r="BW38" i="273" s="1"/>
  <c r="BY5" i="265"/>
  <c r="BY5" i="273"/>
  <c r="BZ10" i="273"/>
  <c r="BY13" i="273"/>
  <c r="BY14" i="273" s="1"/>
  <c r="BY5" i="275"/>
  <c r="BX37" i="273"/>
  <c r="BX47" i="273"/>
  <c r="BX48" i="273" s="1"/>
  <c r="BX51" i="273" s="1"/>
  <c r="BX19" i="273"/>
  <c r="BX20" i="273" s="1"/>
  <c r="BX24" i="273" s="1"/>
  <c r="BX25" i="273" s="1"/>
  <c r="BX32" i="273" s="1"/>
  <c r="BX33" i="273" s="1"/>
  <c r="BX56" i="273"/>
  <c r="BW96" i="273"/>
  <c r="BW97" i="273" s="1"/>
  <c r="BW119" i="273" s="1"/>
  <c r="BW120" i="273" s="1"/>
  <c r="BW2" i="265"/>
  <c r="BW39" i="273"/>
  <c r="BW41" i="273" s="1"/>
  <c r="BW42" i="273" s="1"/>
  <c r="BU66" i="273"/>
  <c r="BU67" i="273" s="1"/>
  <c r="BW57" i="273"/>
  <c r="BW15" i="275"/>
  <c r="BW118" i="273"/>
  <c r="BU112" i="273"/>
  <c r="BV109" i="273"/>
  <c r="BV4" i="265"/>
  <c r="BV4" i="275"/>
  <c r="BV4" i="273"/>
  <c r="BX75" i="273"/>
  <c r="BX90" i="273"/>
  <c r="BX91" i="273" s="1"/>
  <c r="BX100" i="273" s="1"/>
  <c r="BY101" i="273" s="1"/>
  <c r="BY59" i="273" s="1"/>
  <c r="BX96" i="273"/>
  <c r="BX97" i="273" s="1"/>
  <c r="BX2" i="273"/>
  <c r="BT3" i="265"/>
  <c r="BT50" i="273"/>
  <c r="BT3" i="275"/>
  <c r="BT3" i="273"/>
  <c r="BW113" i="273"/>
  <c r="BW114" i="273" s="1"/>
  <c r="BW52" i="273"/>
  <c r="BW108" i="273" l="1"/>
  <c r="BW109" i="273" s="1"/>
  <c r="BX2" i="275"/>
  <c r="BX2" i="265"/>
  <c r="BW20" i="275"/>
  <c r="BX17" i="275" s="1"/>
  <c r="BX39" i="273"/>
  <c r="BX41" i="273" s="1"/>
  <c r="BX42" i="273" s="1"/>
  <c r="BZ5" i="275"/>
  <c r="BZ5" i="265"/>
  <c r="BZ13" i="273"/>
  <c r="BZ14" i="273" s="1"/>
  <c r="BZ5" i="273"/>
  <c r="CA10" i="273"/>
  <c r="BY56" i="273"/>
  <c r="BY19" i="273"/>
  <c r="BY20" i="273" s="1"/>
  <c r="BY24" i="273" s="1"/>
  <c r="BY25" i="273" s="1"/>
  <c r="BY32" i="273" s="1"/>
  <c r="BY33" i="273" s="1"/>
  <c r="BY37" i="273"/>
  <c r="BY47" i="273"/>
  <c r="BY48" i="273" s="1"/>
  <c r="BW4" i="265"/>
  <c r="BW4" i="275"/>
  <c r="BW4" i="273"/>
  <c r="BX113" i="273"/>
  <c r="BX114" i="273" s="1"/>
  <c r="BX108" i="273"/>
  <c r="BX119" i="273"/>
  <c r="BX120" i="273" s="1"/>
  <c r="BV112" i="273"/>
  <c r="BX76" i="273"/>
  <c r="BX52" i="273"/>
  <c r="BV66" i="273"/>
  <c r="BV67" i="273" s="1"/>
  <c r="BW60" i="273"/>
  <c r="BY75" i="273"/>
  <c r="BX38" i="273"/>
  <c r="BX118" i="273"/>
  <c r="BY51" i="273"/>
  <c r="BU50" i="273"/>
  <c r="BU3" i="275"/>
  <c r="BU3" i="273"/>
  <c r="BU3" i="265"/>
  <c r="BY2" i="265" l="1"/>
  <c r="BY39" i="273"/>
  <c r="BY41" i="273" s="1"/>
  <c r="BY52" i="273" s="1"/>
  <c r="BY2" i="275"/>
  <c r="BY90" i="273"/>
  <c r="BY91" i="273" s="1"/>
  <c r="BY100" i="273" s="1"/>
  <c r="BZ101" i="273" s="1"/>
  <c r="BZ59" i="273" s="1"/>
  <c r="CA13" i="273"/>
  <c r="CA14" i="273" s="1"/>
  <c r="CA5" i="265"/>
  <c r="CA5" i="273"/>
  <c r="CB10" i="273"/>
  <c r="CA5" i="275"/>
  <c r="BZ37" i="273"/>
  <c r="BZ47" i="273"/>
  <c r="BZ48" i="273" s="1"/>
  <c r="BZ51" i="273" s="1"/>
  <c r="BZ56" i="273"/>
  <c r="BZ19" i="273"/>
  <c r="BZ20" i="273" s="1"/>
  <c r="BZ24" i="273" s="1"/>
  <c r="BZ25" i="273" s="1"/>
  <c r="BZ32" i="273" s="1"/>
  <c r="BZ33" i="273" s="1"/>
  <c r="BY96" i="273"/>
  <c r="BY97" i="273" s="1"/>
  <c r="BY119" i="273" s="1"/>
  <c r="BY120" i="273" s="1"/>
  <c r="BY2" i="273"/>
  <c r="BY108" i="273"/>
  <c r="BY38" i="273"/>
  <c r="BY118" i="273"/>
  <c r="BW66" i="273"/>
  <c r="BW67" i="273" s="1"/>
  <c r="BX57" i="273"/>
  <c r="BX60" i="273" s="1"/>
  <c r="BX79" i="273"/>
  <c r="BY80" i="273" s="1"/>
  <c r="BY58" i="273" s="1"/>
  <c r="BX15" i="275"/>
  <c r="BX20" i="275" s="1"/>
  <c r="BY17" i="275" s="1"/>
  <c r="BZ75" i="273"/>
  <c r="BZ90" i="273"/>
  <c r="BZ91" i="273" s="1"/>
  <c r="BZ100" i="273" s="1"/>
  <c r="CA101" i="273" s="1"/>
  <c r="CA59" i="273" s="1"/>
  <c r="BZ96" i="273"/>
  <c r="BZ97" i="273" s="1"/>
  <c r="BY42" i="273"/>
  <c r="BZ76" i="273"/>
  <c r="BV3" i="273"/>
  <c r="BV3" i="265"/>
  <c r="BV50" i="273"/>
  <c r="BV3" i="275"/>
  <c r="BX4" i="275"/>
  <c r="BX4" i="273"/>
  <c r="BX4" i="265"/>
  <c r="BW112" i="273"/>
  <c r="BX109" i="273"/>
  <c r="BY76" i="273"/>
  <c r="BZ39" i="273" l="1"/>
  <c r="BZ41" i="273" s="1"/>
  <c r="BZ52" i="273" s="1"/>
  <c r="CA37" i="273"/>
  <c r="CA47" i="273"/>
  <c r="CA48" i="273" s="1"/>
  <c r="CA51" i="273" s="1"/>
  <c r="CA19" i="273"/>
  <c r="CA20" i="273" s="1"/>
  <c r="CA24" i="273" s="1"/>
  <c r="CA25" i="273" s="1"/>
  <c r="CA90" i="273" s="1"/>
  <c r="CA91" i="273" s="1"/>
  <c r="CA100" i="273" s="1"/>
  <c r="CB101" i="273" s="1"/>
  <c r="CB59" i="273" s="1"/>
  <c r="CA56" i="273"/>
  <c r="BZ2" i="273"/>
  <c r="BZ2" i="275"/>
  <c r="BZ2" i="265"/>
  <c r="BY113" i="273"/>
  <c r="BY114" i="273" s="1"/>
  <c r="CB5" i="275"/>
  <c r="CB5" i="265"/>
  <c r="CB13" i="273"/>
  <c r="CB14" i="273" s="1"/>
  <c r="CB5" i="273"/>
  <c r="CC10" i="273"/>
  <c r="BX66" i="273"/>
  <c r="BX67" i="273" s="1"/>
  <c r="CA75" i="273"/>
  <c r="CA2" i="275"/>
  <c r="BY57" i="273"/>
  <c r="BY60" i="273" s="1"/>
  <c r="BY79" i="273"/>
  <c r="BZ80" i="273" s="1"/>
  <c r="BZ58" i="273" s="1"/>
  <c r="BY15" i="275"/>
  <c r="BY20" i="275" s="1"/>
  <c r="BZ17" i="275" s="1"/>
  <c r="BZ38" i="273"/>
  <c r="BZ118" i="273"/>
  <c r="BW3" i="273"/>
  <c r="BW3" i="265"/>
  <c r="BW3" i="275"/>
  <c r="BW50" i="273"/>
  <c r="BZ42" i="273"/>
  <c r="BZ114" i="273"/>
  <c r="BY109" i="273"/>
  <c r="BX112" i="273"/>
  <c r="BZ57" i="273"/>
  <c r="BZ79" i="273"/>
  <c r="CA80" i="273" s="1"/>
  <c r="CA58" i="273" s="1"/>
  <c r="BZ15" i="275"/>
  <c r="BY4" i="273"/>
  <c r="BY4" i="275"/>
  <c r="BY4" i="265"/>
  <c r="BZ113" i="273"/>
  <c r="BZ108" i="273"/>
  <c r="BZ119" i="273"/>
  <c r="BZ120" i="273" s="1"/>
  <c r="CA76" i="273"/>
  <c r="CA2" i="273" l="1"/>
  <c r="CA32" i="273"/>
  <c r="CA33" i="273" s="1"/>
  <c r="CA118" i="273" s="1"/>
  <c r="CC5" i="275"/>
  <c r="CC5" i="265"/>
  <c r="CD10" i="273"/>
  <c r="CC5" i="273"/>
  <c r="CC13" i="273"/>
  <c r="CC14" i="273" s="1"/>
  <c r="CB37" i="273"/>
  <c r="CB47" i="273"/>
  <c r="CB48" i="273" s="1"/>
  <c r="CB56" i="273"/>
  <c r="CB19" i="273"/>
  <c r="CB20" i="273" s="1"/>
  <c r="CB24" i="273" s="1"/>
  <c r="CB25" i="273" s="1"/>
  <c r="CB32" i="273" s="1"/>
  <c r="CB33" i="273" s="1"/>
  <c r="CA39" i="273"/>
  <c r="CA41" i="273" s="1"/>
  <c r="CA52" i="273" s="1"/>
  <c r="CA2" i="265"/>
  <c r="CA96" i="273"/>
  <c r="CA97" i="273" s="1"/>
  <c r="CA119" i="273" s="1"/>
  <c r="CA120" i="273" s="1"/>
  <c r="BY66" i="273"/>
  <c r="BY67" i="273" s="1"/>
  <c r="BZ60" i="273"/>
  <c r="CA57" i="273"/>
  <c r="CA79" i="273"/>
  <c r="CB80" i="273" s="1"/>
  <c r="CB58" i="273" s="1"/>
  <c r="CA15" i="275"/>
  <c r="CB90" i="273"/>
  <c r="CB91" i="273" s="1"/>
  <c r="CB100" i="273" s="1"/>
  <c r="CC101" i="273" s="1"/>
  <c r="CC59" i="273" s="1"/>
  <c r="BZ4" i="273"/>
  <c r="BZ4" i="275"/>
  <c r="BZ4" i="265"/>
  <c r="CA38" i="273"/>
  <c r="CB39" i="273" s="1"/>
  <c r="CB41" i="273" s="1"/>
  <c r="BZ20" i="275"/>
  <c r="CA17" i="275" s="1"/>
  <c r="BY112" i="273"/>
  <c r="BZ109" i="273"/>
  <c r="CB51" i="273"/>
  <c r="CA42" i="273"/>
  <c r="BX3" i="265"/>
  <c r="BX50" i="273"/>
  <c r="BX3" i="273"/>
  <c r="BX3" i="275"/>
  <c r="CA108" i="273" l="1"/>
  <c r="CB96" i="273"/>
  <c r="CB97" i="273" s="1"/>
  <c r="CB113" i="273" s="1"/>
  <c r="CB114" i="273" s="1"/>
  <c r="CB75" i="273"/>
  <c r="CB76" i="273" s="1"/>
  <c r="CB57" i="273" s="1"/>
  <c r="CC37" i="273"/>
  <c r="CC47" i="273"/>
  <c r="CC48" i="273" s="1"/>
  <c r="CC19" i="273"/>
  <c r="CC20" i="273" s="1"/>
  <c r="CC24" i="273" s="1"/>
  <c r="CC25" i="273" s="1"/>
  <c r="CC32" i="273" s="1"/>
  <c r="CC33" i="273" s="1"/>
  <c r="CC56" i="273"/>
  <c r="CD5" i="265"/>
  <c r="CD5" i="273"/>
  <c r="CD13" i="273"/>
  <c r="CD14" i="273" s="1"/>
  <c r="CD5" i="275"/>
  <c r="CE10" i="273"/>
  <c r="CA113" i="273"/>
  <c r="CA114" i="273" s="1"/>
  <c r="CB2" i="273"/>
  <c r="CB2" i="275"/>
  <c r="CB2" i="265"/>
  <c r="CC90" i="273"/>
  <c r="CC91" i="273" s="1"/>
  <c r="CC100" i="273" s="1"/>
  <c r="CD101" i="273" s="1"/>
  <c r="CD59" i="273" s="1"/>
  <c r="CC2" i="273"/>
  <c r="BZ112" i="273"/>
  <c r="CA109" i="273"/>
  <c r="CB38" i="273"/>
  <c r="CC39" i="273" s="1"/>
  <c r="CC41" i="273" s="1"/>
  <c r="CB118" i="273"/>
  <c r="CA20" i="275"/>
  <c r="CB17" i="275" s="1"/>
  <c r="BZ66" i="273"/>
  <c r="BZ67" i="273" s="1"/>
  <c r="CA60" i="273"/>
  <c r="CA4" i="273"/>
  <c r="CA4" i="265"/>
  <c r="CA4" i="275"/>
  <c r="CC51" i="273"/>
  <c r="CB79" i="273"/>
  <c r="CC80" i="273" s="1"/>
  <c r="CC58" i="273" s="1"/>
  <c r="CB42" i="273"/>
  <c r="CB52" i="273"/>
  <c r="CB119" i="273"/>
  <c r="CB120" i="273" s="1"/>
  <c r="BY3" i="275"/>
  <c r="BY3" i="273"/>
  <c r="BY50" i="273"/>
  <c r="BY3" i="265"/>
  <c r="CB108" i="273" l="1"/>
  <c r="CC2" i="275"/>
  <c r="CC75" i="273"/>
  <c r="CC76" i="273" s="1"/>
  <c r="CB15" i="275"/>
  <c r="CB20" i="275" s="1"/>
  <c r="CC17" i="275" s="1"/>
  <c r="CE13" i="273"/>
  <c r="CE14" i="273" s="1"/>
  <c r="CE5" i="275"/>
  <c r="CE5" i="265"/>
  <c r="CF10" i="273"/>
  <c r="CE5" i="273"/>
  <c r="CD37" i="273"/>
  <c r="CD47" i="273"/>
  <c r="CD48" i="273" s="1"/>
  <c r="CD51" i="273" s="1"/>
  <c r="CD56" i="273"/>
  <c r="CD19" i="273"/>
  <c r="CD20" i="273" s="1"/>
  <c r="CD24" i="273" s="1"/>
  <c r="CD25" i="273" s="1"/>
  <c r="CD75" i="273" s="1"/>
  <c r="CD76" i="273" s="1"/>
  <c r="CC96" i="273"/>
  <c r="CC97" i="273" s="1"/>
  <c r="CC119" i="273" s="1"/>
  <c r="CC120" i="273" s="1"/>
  <c r="CC2" i="265"/>
  <c r="CB4" i="265"/>
  <c r="CB4" i="273"/>
  <c r="CB4" i="275"/>
  <c r="CD2" i="265"/>
  <c r="BZ3" i="265"/>
  <c r="BZ3" i="273"/>
  <c r="BZ3" i="275"/>
  <c r="BZ50" i="273"/>
  <c r="CA112" i="273"/>
  <c r="CB109" i="273"/>
  <c r="CC108" i="273"/>
  <c r="CC38" i="273"/>
  <c r="CD39" i="273" s="1"/>
  <c r="CD41" i="273" s="1"/>
  <c r="CC118" i="273"/>
  <c r="CC57" i="273"/>
  <c r="CC79" i="273"/>
  <c r="CD80" i="273" s="1"/>
  <c r="CD58" i="273" s="1"/>
  <c r="CC15" i="275"/>
  <c r="CA66" i="273"/>
  <c r="CA67" i="273" s="1"/>
  <c r="CB60" i="273"/>
  <c r="CC42" i="273"/>
  <c r="CC52" i="273"/>
  <c r="CC20" i="275" l="1"/>
  <c r="CD17" i="275" s="1"/>
  <c r="CD2" i="273"/>
  <c r="CC113" i="273"/>
  <c r="CC114" i="273" s="1"/>
  <c r="CD96" i="273"/>
  <c r="CD97" i="273" s="1"/>
  <c r="CD113" i="273" s="1"/>
  <c r="CD114" i="273" s="1"/>
  <c r="CD32" i="273"/>
  <c r="CD33" i="273" s="1"/>
  <c r="CD38" i="273" s="1"/>
  <c r="CE37" i="273"/>
  <c r="CE47" i="273"/>
  <c r="CE48" i="273" s="1"/>
  <c r="CE56" i="273"/>
  <c r="CE19" i="273"/>
  <c r="CE20" i="273" s="1"/>
  <c r="CE24" i="273" s="1"/>
  <c r="CE25" i="273" s="1"/>
  <c r="CE90" i="273" s="1"/>
  <c r="CE91" i="273" s="1"/>
  <c r="CE100" i="273" s="1"/>
  <c r="CF101" i="273" s="1"/>
  <c r="CF59" i="273" s="1"/>
  <c r="CD2" i="275"/>
  <c r="CD90" i="273"/>
  <c r="CD91" i="273" s="1"/>
  <c r="CD100" i="273" s="1"/>
  <c r="CE101" i="273" s="1"/>
  <c r="CE59" i="273" s="1"/>
  <c r="CF5" i="265"/>
  <c r="CF5" i="273"/>
  <c r="CF13" i="273"/>
  <c r="CF14" i="273" s="1"/>
  <c r="CF5" i="275"/>
  <c r="CG10" i="273"/>
  <c r="CB66" i="273"/>
  <c r="CB67" i="273" s="1"/>
  <c r="CC60" i="273"/>
  <c r="CE75" i="273"/>
  <c r="CE76" i="273" s="1"/>
  <c r="CE32" i="273"/>
  <c r="CE33" i="273" s="1"/>
  <c r="CE2" i="265"/>
  <c r="CE96" i="273"/>
  <c r="CE97" i="273" s="1"/>
  <c r="CD118" i="273"/>
  <c r="CD57" i="273"/>
  <c r="CD79" i="273"/>
  <c r="CE80" i="273" s="1"/>
  <c r="CE58" i="273" s="1"/>
  <c r="CD15" i="275"/>
  <c r="CD20" i="275" s="1"/>
  <c r="CE17" i="275" s="1"/>
  <c r="CC4" i="273"/>
  <c r="CC4" i="275"/>
  <c r="CC4" i="265"/>
  <c r="CA50" i="273"/>
  <c r="CA3" i="273"/>
  <c r="CA3" i="265"/>
  <c r="CA3" i="275"/>
  <c r="CE51" i="273"/>
  <c r="CD42" i="273"/>
  <c r="CD52" i="273"/>
  <c r="CC109" i="273"/>
  <c r="CB112" i="273"/>
  <c r="CD108" i="273" l="1"/>
  <c r="CD119" i="273"/>
  <c r="CD120" i="273" s="1"/>
  <c r="CE39" i="273"/>
  <c r="CE41" i="273" s="1"/>
  <c r="CE42" i="273" s="1"/>
  <c r="CE2" i="273"/>
  <c r="CE2" i="275"/>
  <c r="CG5" i="265"/>
  <c r="CG5" i="273"/>
  <c r="CH10" i="273"/>
  <c r="CG5" i="275"/>
  <c r="CG13" i="273"/>
  <c r="CG14" i="273" s="1"/>
  <c r="CF19" i="273"/>
  <c r="CF20" i="273" s="1"/>
  <c r="CF24" i="273" s="1"/>
  <c r="CF25" i="273" s="1"/>
  <c r="CF32" i="273" s="1"/>
  <c r="CF33" i="273" s="1"/>
  <c r="CF47" i="273"/>
  <c r="CF48" i="273" s="1"/>
  <c r="CF51" i="273" s="1"/>
  <c r="CF56" i="273"/>
  <c r="CF37" i="273"/>
  <c r="CF75" i="273"/>
  <c r="CF90" i="273"/>
  <c r="CF91" i="273" s="1"/>
  <c r="CF100" i="273" s="1"/>
  <c r="CG101" i="273" s="1"/>
  <c r="CG59" i="273" s="1"/>
  <c r="CF96" i="273"/>
  <c r="CF97" i="273" s="1"/>
  <c r="CF2" i="273"/>
  <c r="CE52" i="273"/>
  <c r="CC66" i="273"/>
  <c r="CC67" i="273" s="1"/>
  <c r="CD60" i="273"/>
  <c r="CE57" i="273"/>
  <c r="CE79" i="273"/>
  <c r="CF80" i="273" s="1"/>
  <c r="CF58" i="273" s="1"/>
  <c r="CE15" i="275"/>
  <c r="CE20" i="275" s="1"/>
  <c r="CF17" i="275" s="1"/>
  <c r="CD109" i="273"/>
  <c r="CC112" i="273"/>
  <c r="CD4" i="265"/>
  <c r="CD4" i="273"/>
  <c r="CD4" i="275"/>
  <c r="CE119" i="273"/>
  <c r="CE120" i="273" s="1"/>
  <c r="CE113" i="273"/>
  <c r="CE114" i="273" s="1"/>
  <c r="CE108" i="273"/>
  <c r="CE38" i="273"/>
  <c r="CE118" i="273"/>
  <c r="CF76" i="273"/>
  <c r="CB50" i="273"/>
  <c r="CB3" i="273"/>
  <c r="CB3" i="265"/>
  <c r="CB3" i="275"/>
  <c r="CF2" i="275" l="1"/>
  <c r="CF2" i="265"/>
  <c r="CG37" i="273"/>
  <c r="CG47" i="273"/>
  <c r="CG48" i="273" s="1"/>
  <c r="CG51" i="273" s="1"/>
  <c r="CG19" i="273"/>
  <c r="CG20" i="273" s="1"/>
  <c r="CG24" i="273" s="1"/>
  <c r="CG25" i="273" s="1"/>
  <c r="CG75" i="273" s="1"/>
  <c r="CG76" i="273" s="1"/>
  <c r="CG56" i="273"/>
  <c r="CH5" i="275"/>
  <c r="CH5" i="265"/>
  <c r="CH13" i="273"/>
  <c r="CH14" i="273" s="1"/>
  <c r="CH5" i="273"/>
  <c r="CI10" i="273"/>
  <c r="CF39" i="273"/>
  <c r="CF41" i="273" s="1"/>
  <c r="CF52" i="273" s="1"/>
  <c r="CF57" i="273"/>
  <c r="CF79" i="273"/>
  <c r="CG80" i="273" s="1"/>
  <c r="CG58" i="273" s="1"/>
  <c r="CF15" i="275"/>
  <c r="CF20" i="275" s="1"/>
  <c r="CG17" i="275" s="1"/>
  <c r="CF42" i="273"/>
  <c r="CG32" i="273"/>
  <c r="CG33" i="273" s="1"/>
  <c r="CG2" i="275"/>
  <c r="CG2" i="273"/>
  <c r="CD112" i="273"/>
  <c r="CE109" i="273"/>
  <c r="CC3" i="273"/>
  <c r="CC3" i="275"/>
  <c r="CC3" i="265"/>
  <c r="CC50" i="273"/>
  <c r="CE4" i="265"/>
  <c r="CE4" i="273"/>
  <c r="CE4" i="275"/>
  <c r="CF113" i="273"/>
  <c r="CF114" i="273" s="1"/>
  <c r="CF108" i="273"/>
  <c r="CF119" i="273"/>
  <c r="CF120" i="273" s="1"/>
  <c r="CD66" i="273"/>
  <c r="CD67" i="273" s="1"/>
  <c r="CE60" i="273"/>
  <c r="CF38" i="273"/>
  <c r="CF118" i="273"/>
  <c r="CI5" i="265" l="1"/>
  <c r="CI5" i="273"/>
  <c r="CJ10" i="273"/>
  <c r="CI5" i="275"/>
  <c r="CI13" i="273"/>
  <c r="CI14" i="273" s="1"/>
  <c r="CH37" i="273"/>
  <c r="CH47" i="273"/>
  <c r="CH48" i="273" s="1"/>
  <c r="CH19" i="273"/>
  <c r="CH20" i="273" s="1"/>
  <c r="CH24" i="273" s="1"/>
  <c r="CH25" i="273" s="1"/>
  <c r="CH32" i="273" s="1"/>
  <c r="CH33" i="273" s="1"/>
  <c r="CH56" i="273"/>
  <c r="CG39" i="273"/>
  <c r="CG41" i="273" s="1"/>
  <c r="CG52" i="273" s="1"/>
  <c r="CG2" i="265"/>
  <c r="CG96" i="273"/>
  <c r="CG97" i="273" s="1"/>
  <c r="CG113" i="273" s="1"/>
  <c r="CG114" i="273" s="1"/>
  <c r="CG90" i="273"/>
  <c r="CG91" i="273" s="1"/>
  <c r="CG100" i="273" s="1"/>
  <c r="CH101" i="273" s="1"/>
  <c r="CH59" i="273" s="1"/>
  <c r="CG42" i="273"/>
  <c r="CD3" i="273"/>
  <c r="CD3" i="265"/>
  <c r="CD3" i="275"/>
  <c r="CD50" i="273"/>
  <c r="CH51" i="273"/>
  <c r="CE112" i="273"/>
  <c r="CF109" i="273"/>
  <c r="CG38" i="273"/>
  <c r="CG118" i="273"/>
  <c r="CE66" i="273"/>
  <c r="CE67" i="273" s="1"/>
  <c r="CF60" i="273"/>
  <c r="CH75" i="273"/>
  <c r="CH2" i="273"/>
  <c r="CG57" i="273"/>
  <c r="CG79" i="273"/>
  <c r="CH80" i="273" s="1"/>
  <c r="CH58" i="273" s="1"/>
  <c r="CG15" i="275"/>
  <c r="CG20" i="275" s="1"/>
  <c r="CH17" i="275" s="1"/>
  <c r="CH76" i="273"/>
  <c r="CF4" i="275"/>
  <c r="CF4" i="265"/>
  <c r="CF4" i="273"/>
  <c r="CG119" i="273" l="1"/>
  <c r="CG120" i="273" s="1"/>
  <c r="CH96" i="273"/>
  <c r="CH97" i="273" s="1"/>
  <c r="CH119" i="273" s="1"/>
  <c r="CH120" i="273" s="1"/>
  <c r="CH90" i="273"/>
  <c r="CH91" i="273" s="1"/>
  <c r="CH100" i="273" s="1"/>
  <c r="CI101" i="273" s="1"/>
  <c r="CI59" i="273" s="1"/>
  <c r="CH39" i="273"/>
  <c r="CH41" i="273" s="1"/>
  <c r="CH42" i="273" s="1"/>
  <c r="CG108" i="273"/>
  <c r="CH2" i="275"/>
  <c r="CH2" i="265"/>
  <c r="CI37" i="273"/>
  <c r="CI47" i="273"/>
  <c r="CI48" i="273" s="1"/>
  <c r="CI51" i="273" s="1"/>
  <c r="CI56" i="273"/>
  <c r="CI19" i="273"/>
  <c r="CI20" i="273" s="1"/>
  <c r="CI24" i="273" s="1"/>
  <c r="CI25" i="273" s="1"/>
  <c r="CI90" i="273" s="1"/>
  <c r="CI91" i="273" s="1"/>
  <c r="CI100" i="273" s="1"/>
  <c r="CJ101" i="273" s="1"/>
  <c r="CJ59" i="273" s="1"/>
  <c r="CJ5" i="265"/>
  <c r="CJ5" i="273"/>
  <c r="CJ13" i="273"/>
  <c r="CJ14" i="273" s="1"/>
  <c r="CJ5" i="275"/>
  <c r="CK10" i="273"/>
  <c r="CH57" i="273"/>
  <c r="CH79" i="273"/>
  <c r="CI80" i="273" s="1"/>
  <c r="CI58" i="273" s="1"/>
  <c r="CH15" i="275"/>
  <c r="CH20" i="275" s="1"/>
  <c r="CI17" i="275" s="1"/>
  <c r="CH113" i="273"/>
  <c r="CH114" i="273" s="1"/>
  <c r="CH108" i="273"/>
  <c r="CE3" i="275"/>
  <c r="CE3" i="265"/>
  <c r="CE3" i="273"/>
  <c r="CE50" i="273"/>
  <c r="CH52" i="273"/>
  <c r="CH38" i="273"/>
  <c r="CH118" i="273"/>
  <c r="CF66" i="273"/>
  <c r="CF67" i="273" s="1"/>
  <c r="CG60" i="273"/>
  <c r="CG109" i="273"/>
  <c r="CF112" i="273"/>
  <c r="CI75" i="273"/>
  <c r="CI76" i="273" s="1"/>
  <c r="CI96" i="273"/>
  <c r="CI97" i="273" s="1"/>
  <c r="CG4" i="265"/>
  <c r="CG4" i="275"/>
  <c r="CG4" i="273"/>
  <c r="CI39" i="273" l="1"/>
  <c r="CI41" i="273" s="1"/>
  <c r="CI2" i="265"/>
  <c r="CI32" i="273"/>
  <c r="CI33" i="273" s="1"/>
  <c r="CI2" i="273"/>
  <c r="CI2" i="275"/>
  <c r="CK5" i="275"/>
  <c r="CK5" i="265"/>
  <c r="CL10" i="273"/>
  <c r="CK5" i="273"/>
  <c r="CK13" i="273"/>
  <c r="CK14" i="273" s="1"/>
  <c r="CJ56" i="273"/>
  <c r="CJ47" i="273"/>
  <c r="CJ48" i="273" s="1"/>
  <c r="CJ51" i="273" s="1"/>
  <c r="CJ19" i="273"/>
  <c r="CJ20" i="273" s="1"/>
  <c r="CJ24" i="273" s="1"/>
  <c r="CJ25" i="273" s="1"/>
  <c r="CJ37" i="273"/>
  <c r="CG66" i="273"/>
  <c r="CG67" i="273" s="1"/>
  <c r="CH60" i="273"/>
  <c r="CH4" i="265"/>
  <c r="CH4" i="273"/>
  <c r="CH4" i="275"/>
  <c r="CI57" i="273"/>
  <c r="CI79" i="273"/>
  <c r="CJ80" i="273" s="1"/>
  <c r="CJ58" i="273" s="1"/>
  <c r="CI15" i="275"/>
  <c r="CI20" i="275" s="1"/>
  <c r="CJ17" i="275" s="1"/>
  <c r="CI119" i="273"/>
  <c r="CI120" i="273" s="1"/>
  <c r="CI108" i="273"/>
  <c r="CI113" i="273"/>
  <c r="CI114" i="273" s="1"/>
  <c r="CI38" i="273"/>
  <c r="CI118" i="273"/>
  <c r="CG112" i="273"/>
  <c r="CH109" i="273"/>
  <c r="CF3" i="275"/>
  <c r="CF3" i="273"/>
  <c r="CF50" i="273"/>
  <c r="CF3" i="265"/>
  <c r="CI42" i="273"/>
  <c r="CI52" i="273"/>
  <c r="CJ75" i="273"/>
  <c r="CJ32" i="273"/>
  <c r="CJ33" i="273" s="1"/>
  <c r="CJ90" i="273"/>
  <c r="CJ91" i="273" s="1"/>
  <c r="CJ100" i="273" s="1"/>
  <c r="CK101" i="273" s="1"/>
  <c r="CK59" i="273" s="1"/>
  <c r="CJ2" i="265"/>
  <c r="CJ96" i="273"/>
  <c r="CJ97" i="273" s="1"/>
  <c r="CJ2" i="273"/>
  <c r="CJ2" i="275"/>
  <c r="CK37" i="273" l="1"/>
  <c r="CK47" i="273"/>
  <c r="CK48" i="273" s="1"/>
  <c r="CK51" i="273" s="1"/>
  <c r="CK56" i="273"/>
  <c r="CK19" i="273"/>
  <c r="CK20" i="273" s="1"/>
  <c r="CK24" i="273" s="1"/>
  <c r="CK25" i="273" s="1"/>
  <c r="CK32" i="273" s="1"/>
  <c r="CK33" i="273" s="1"/>
  <c r="CM10" i="273"/>
  <c r="CL5" i="273"/>
  <c r="CL13" i="273"/>
  <c r="CL14" i="273" s="1"/>
  <c r="CL5" i="275"/>
  <c r="CL5" i="265"/>
  <c r="CJ39" i="273"/>
  <c r="CJ41" i="273" s="1"/>
  <c r="CJ52" i="273" s="1"/>
  <c r="CJ113" i="273"/>
  <c r="CJ114" i="273" s="1"/>
  <c r="CJ119" i="273"/>
  <c r="CJ120" i="273" s="1"/>
  <c r="CJ108" i="273"/>
  <c r="CI4" i="273"/>
  <c r="CI4" i="265"/>
  <c r="CI4" i="275"/>
  <c r="CH112" i="273"/>
  <c r="CI109" i="273"/>
  <c r="CJ76" i="273"/>
  <c r="CJ42" i="273"/>
  <c r="CK96" i="273"/>
  <c r="CK97" i="273" s="1"/>
  <c r="CG3" i="265"/>
  <c r="CG3" i="275"/>
  <c r="CG50" i="273"/>
  <c r="CG3" i="273"/>
  <c r="CJ38" i="273"/>
  <c r="CJ118" i="273"/>
  <c r="CH66" i="273"/>
  <c r="CH67" i="273" s="1"/>
  <c r="CI60" i="273"/>
  <c r="CK90" i="273" l="1"/>
  <c r="CK91" i="273" s="1"/>
  <c r="CK100" i="273" s="1"/>
  <c r="CL101" i="273" s="1"/>
  <c r="CL59" i="273" s="1"/>
  <c r="CK2" i="273"/>
  <c r="CK75" i="273"/>
  <c r="CK2" i="275"/>
  <c r="CK2" i="265"/>
  <c r="CL37" i="273"/>
  <c r="CL47" i="273"/>
  <c r="CL48" i="273" s="1"/>
  <c r="CL19" i="273"/>
  <c r="CL20" i="273" s="1"/>
  <c r="CL24" i="273" s="1"/>
  <c r="CL25" i="273" s="1"/>
  <c r="CL75" i="273" s="1"/>
  <c r="CL76" i="273" s="1"/>
  <c r="CL56" i="273"/>
  <c r="CM5" i="275"/>
  <c r="CM5" i="265"/>
  <c r="CN10" i="273"/>
  <c r="CM5" i="273"/>
  <c r="CM13" i="273"/>
  <c r="CM14" i="273" s="1"/>
  <c r="CK39" i="273"/>
  <c r="CK41" i="273" s="1"/>
  <c r="CH3" i="265"/>
  <c r="CH3" i="273"/>
  <c r="CH3" i="275"/>
  <c r="CH50" i="273"/>
  <c r="CL2" i="265"/>
  <c r="CK42" i="273"/>
  <c r="CK52" i="273"/>
  <c r="CK119" i="273"/>
  <c r="CK120" i="273" s="1"/>
  <c r="CK113" i="273"/>
  <c r="CK114" i="273" s="1"/>
  <c r="CK108" i="273"/>
  <c r="CJ4" i="265"/>
  <c r="CJ4" i="275"/>
  <c r="CJ4" i="273"/>
  <c r="CJ109" i="273"/>
  <c r="CI112" i="273"/>
  <c r="CI66" i="273"/>
  <c r="CI67" i="273" s="1"/>
  <c r="CL51" i="273"/>
  <c r="CK38" i="273"/>
  <c r="CK118" i="273"/>
  <c r="CJ57" i="273"/>
  <c r="CJ60" i="273" s="1"/>
  <c r="CJ79" i="273"/>
  <c r="CK80" i="273" s="1"/>
  <c r="CK58" i="273" s="1"/>
  <c r="CJ15" i="275"/>
  <c r="CJ20" i="275" s="1"/>
  <c r="CK17" i="275" s="1"/>
  <c r="CK76" i="273"/>
  <c r="CL2" i="273" l="1"/>
  <c r="CL39" i="273"/>
  <c r="CL41" i="273" s="1"/>
  <c r="CL52" i="273" s="1"/>
  <c r="CL2" i="275"/>
  <c r="CL32" i="273"/>
  <c r="CL33" i="273" s="1"/>
  <c r="CL118" i="273" s="1"/>
  <c r="CM37" i="273"/>
  <c r="CM47" i="273"/>
  <c r="CM48" i="273" s="1"/>
  <c r="CM51" i="273" s="1"/>
  <c r="CM56" i="273"/>
  <c r="CM19" i="273"/>
  <c r="CM20" i="273" s="1"/>
  <c r="CM24" i="273" s="1"/>
  <c r="CM25" i="273" s="1"/>
  <c r="CM90" i="273" s="1"/>
  <c r="CM91" i="273" s="1"/>
  <c r="CM100" i="273" s="1"/>
  <c r="CN101" i="273" s="1"/>
  <c r="CN59" i="273" s="1"/>
  <c r="CN5" i="265"/>
  <c r="CN5" i="273"/>
  <c r="CN13" i="273"/>
  <c r="CN14" i="273" s="1"/>
  <c r="CN5" i="275"/>
  <c r="CO10" i="273"/>
  <c r="CL96" i="273"/>
  <c r="CL97" i="273" s="1"/>
  <c r="CL113" i="273" s="1"/>
  <c r="CL114" i="273" s="1"/>
  <c r="CL90" i="273"/>
  <c r="CL91" i="273" s="1"/>
  <c r="CL100" i="273" s="1"/>
  <c r="CM101" i="273" s="1"/>
  <c r="CM59" i="273" s="1"/>
  <c r="CK57" i="273"/>
  <c r="CK60" i="273" s="1"/>
  <c r="CK79" i="273"/>
  <c r="CL80" i="273" s="1"/>
  <c r="CL58" i="273" s="1"/>
  <c r="CK15" i="275"/>
  <c r="CK20" i="275" s="1"/>
  <c r="CL17" i="275" s="1"/>
  <c r="CM75" i="273"/>
  <c r="CM32" i="273"/>
  <c r="CM33" i="273" s="1"/>
  <c r="CM2" i="265"/>
  <c r="CM96" i="273"/>
  <c r="CM97" i="273" s="1"/>
  <c r="CJ66" i="273"/>
  <c r="CJ67" i="273" s="1"/>
  <c r="CL38" i="273"/>
  <c r="CL42" i="273"/>
  <c r="CI3" i="265"/>
  <c r="CI50" i="273"/>
  <c r="CI3" i="273"/>
  <c r="CI3" i="275"/>
  <c r="CJ112" i="273"/>
  <c r="CK109" i="273"/>
  <c r="CL57" i="273"/>
  <c r="CL79" i="273"/>
  <c r="CM80" i="273" s="1"/>
  <c r="CM58" i="273" s="1"/>
  <c r="CL15" i="275"/>
  <c r="CK4" i="265"/>
  <c r="CK4" i="275"/>
  <c r="CK4" i="273"/>
  <c r="CM76" i="273"/>
  <c r="CM2" i="273" l="1"/>
  <c r="CM2" i="275"/>
  <c r="CM39" i="273"/>
  <c r="CM41" i="273" s="1"/>
  <c r="CM42" i="273" s="1"/>
  <c r="CL108" i="273"/>
  <c r="CL20" i="275"/>
  <c r="CM17" i="275" s="1"/>
  <c r="CO5" i="275"/>
  <c r="CO5" i="265"/>
  <c r="CP10" i="273"/>
  <c r="CO5" i="273"/>
  <c r="CO13" i="273"/>
  <c r="CO14" i="273" s="1"/>
  <c r="CN19" i="273"/>
  <c r="CN20" i="273" s="1"/>
  <c r="CN24" i="273" s="1"/>
  <c r="CN25" i="273" s="1"/>
  <c r="CN32" i="273" s="1"/>
  <c r="CN33" i="273" s="1"/>
  <c r="CN47" i="273"/>
  <c r="CN48" i="273" s="1"/>
  <c r="CN51" i="273" s="1"/>
  <c r="CN56" i="273"/>
  <c r="CN37" i="273"/>
  <c r="CL119" i="273"/>
  <c r="CL120" i="273" s="1"/>
  <c r="CM57" i="273"/>
  <c r="CM79" i="273"/>
  <c r="CN80" i="273" s="1"/>
  <c r="CN58" i="273" s="1"/>
  <c r="CM15" i="275"/>
  <c r="CK112" i="273"/>
  <c r="CL109" i="273"/>
  <c r="CL4" i="265"/>
  <c r="CL4" i="273"/>
  <c r="CL4" i="275"/>
  <c r="CM52" i="273"/>
  <c r="CJ50" i="273"/>
  <c r="CJ3" i="265"/>
  <c r="CJ3" i="275"/>
  <c r="CJ3" i="273"/>
  <c r="CM38" i="273"/>
  <c r="CM118" i="273"/>
  <c r="CN90" i="273"/>
  <c r="CN91" i="273" s="1"/>
  <c r="CN100" i="273" s="1"/>
  <c r="CO101" i="273" s="1"/>
  <c r="CO59" i="273" s="1"/>
  <c r="CK66" i="273"/>
  <c r="CK67" i="273" s="1"/>
  <c r="CL60" i="273"/>
  <c r="CM113" i="273"/>
  <c r="CM114" i="273" s="1"/>
  <c r="CM119" i="273"/>
  <c r="CM108" i="273"/>
  <c r="CN96" i="273" l="1"/>
  <c r="CN97" i="273" s="1"/>
  <c r="CN75" i="273"/>
  <c r="CM120" i="273"/>
  <c r="CN2" i="273"/>
  <c r="CN2" i="275"/>
  <c r="CN2" i="265"/>
  <c r="CM20" i="275"/>
  <c r="CN17" i="275" s="1"/>
  <c r="CO37" i="273"/>
  <c r="CO47" i="273"/>
  <c r="CO48" i="273" s="1"/>
  <c r="CO51" i="273" s="1"/>
  <c r="CO19" i="273"/>
  <c r="CO20" i="273" s="1"/>
  <c r="CO24" i="273" s="1"/>
  <c r="CO25" i="273" s="1"/>
  <c r="CO75" i="273" s="1"/>
  <c r="CO76" i="273" s="1"/>
  <c r="CO56" i="273"/>
  <c r="CP5" i="275"/>
  <c r="CP5" i="265"/>
  <c r="CP13" i="273"/>
  <c r="CP14" i="273" s="1"/>
  <c r="CP5" i="273"/>
  <c r="CQ10" i="273"/>
  <c r="CN39" i="273"/>
  <c r="CN41" i="273" s="1"/>
  <c r="CN42" i="273" s="1"/>
  <c r="CL66" i="273"/>
  <c r="CL67" i="273" s="1"/>
  <c r="CM60" i="273"/>
  <c r="CN38" i="273"/>
  <c r="CN118" i="273"/>
  <c r="CM4" i="273"/>
  <c r="CM4" i="265"/>
  <c r="CM4" i="275"/>
  <c r="CO2" i="265"/>
  <c r="CM109" i="273"/>
  <c r="CL112" i="273"/>
  <c r="CK50" i="273"/>
  <c r="CK3" i="265"/>
  <c r="CK3" i="273"/>
  <c r="CK3" i="275"/>
  <c r="CN113" i="273"/>
  <c r="CN114" i="273" s="1"/>
  <c r="CN108" i="273"/>
  <c r="CN119" i="273"/>
  <c r="CN120" i="273" s="1"/>
  <c r="CN76" i="273"/>
  <c r="CN52" i="273"/>
  <c r="CO32" i="273" l="1"/>
  <c r="CO33" i="273" s="1"/>
  <c r="CO2" i="275"/>
  <c r="CO39" i="273"/>
  <c r="CO41" i="273" s="1"/>
  <c r="CQ5" i="265"/>
  <c r="CQ5" i="273"/>
  <c r="CR10" i="273"/>
  <c r="CQ5" i="275"/>
  <c r="CQ13" i="273"/>
  <c r="CQ14" i="273" s="1"/>
  <c r="CP37" i="273"/>
  <c r="CP56" i="273"/>
  <c r="CP19" i="273"/>
  <c r="CP20" i="273" s="1"/>
  <c r="CP24" i="273" s="1"/>
  <c r="CP25" i="273" s="1"/>
  <c r="CP47" i="273"/>
  <c r="CP48" i="273" s="1"/>
  <c r="CP51" i="273" s="1"/>
  <c r="CO96" i="273"/>
  <c r="CO97" i="273" s="1"/>
  <c r="CO2" i="273"/>
  <c r="CO90" i="273"/>
  <c r="CO91" i="273" s="1"/>
  <c r="CO100" i="273" s="1"/>
  <c r="CP101" i="273" s="1"/>
  <c r="CP59" i="273" s="1"/>
  <c r="CP75" i="273"/>
  <c r="CP76" i="273" s="1"/>
  <c r="CP32" i="273"/>
  <c r="CP33" i="273" s="1"/>
  <c r="CP90" i="273"/>
  <c r="CP91" i="273" s="1"/>
  <c r="CP100" i="273" s="1"/>
  <c r="CQ101" i="273" s="1"/>
  <c r="CQ59" i="273" s="1"/>
  <c r="CP2" i="265"/>
  <c r="CP96" i="273"/>
  <c r="CP97" i="273" s="1"/>
  <c r="CP2" i="275"/>
  <c r="CP2" i="273"/>
  <c r="CN57" i="273"/>
  <c r="CN79" i="273"/>
  <c r="CO80" i="273" s="1"/>
  <c r="CO58" i="273" s="1"/>
  <c r="CN15" i="275"/>
  <c r="CN20" i="275" s="1"/>
  <c r="CO17" i="275" s="1"/>
  <c r="CO38" i="273"/>
  <c r="CP39" i="273" s="1"/>
  <c r="CP41" i="273" s="1"/>
  <c r="CO118" i="273"/>
  <c r="CM66" i="273"/>
  <c r="CM67" i="273" s="1"/>
  <c r="CN60" i="273"/>
  <c r="CN4" i="265"/>
  <c r="CN4" i="273"/>
  <c r="CN4" i="275"/>
  <c r="CO57" i="273"/>
  <c r="CO79" i="273"/>
  <c r="CP80" i="273" s="1"/>
  <c r="CP58" i="273" s="1"/>
  <c r="CO15" i="275"/>
  <c r="CM112" i="273"/>
  <c r="CN109" i="273"/>
  <c r="CO119" i="273"/>
  <c r="CO120" i="273" s="1"/>
  <c r="CO113" i="273"/>
  <c r="CO114" i="273" s="1"/>
  <c r="CO108" i="273"/>
  <c r="CO42" i="273"/>
  <c r="CO52" i="273"/>
  <c r="CL3" i="273"/>
  <c r="CL3" i="275"/>
  <c r="CL3" i="265"/>
  <c r="CL50" i="273"/>
  <c r="CO20" i="275" l="1"/>
  <c r="CP17" i="275" s="1"/>
  <c r="CQ37" i="273"/>
  <c r="CQ47" i="273"/>
  <c r="CQ48" i="273" s="1"/>
  <c r="CQ19" i="273"/>
  <c r="CQ20" i="273" s="1"/>
  <c r="CQ24" i="273" s="1"/>
  <c r="CQ25" i="273" s="1"/>
  <c r="CQ90" i="273" s="1"/>
  <c r="CQ91" i="273" s="1"/>
  <c r="CQ100" i="273" s="1"/>
  <c r="CR101" i="273" s="1"/>
  <c r="CR59" i="273" s="1"/>
  <c r="CQ56" i="273"/>
  <c r="CR5" i="265"/>
  <c r="CR5" i="273"/>
  <c r="CR13" i="273"/>
  <c r="CR14" i="273" s="1"/>
  <c r="CR5" i="275"/>
  <c r="CS10" i="273"/>
  <c r="CP57" i="273"/>
  <c r="CP79" i="273"/>
  <c r="CQ80" i="273" s="1"/>
  <c r="CQ58" i="273" s="1"/>
  <c r="CP15" i="275"/>
  <c r="CP20" i="275" s="1"/>
  <c r="CQ17" i="275" s="1"/>
  <c r="CN112" i="273"/>
  <c r="CO109" i="273"/>
  <c r="CQ75" i="273"/>
  <c r="CQ76" i="273" s="1"/>
  <c r="CQ51" i="273"/>
  <c r="CN66" i="273"/>
  <c r="CN67" i="273" s="1"/>
  <c r="CO60" i="273"/>
  <c r="CP113" i="273"/>
  <c r="CP114" i="273" s="1"/>
  <c r="CP119" i="273"/>
  <c r="CP120" i="273" s="1"/>
  <c r="CP108" i="273"/>
  <c r="CO4" i="275"/>
  <c r="CO4" i="273"/>
  <c r="CO4" i="265"/>
  <c r="CM3" i="265"/>
  <c r="CM3" i="273"/>
  <c r="CM50" i="273"/>
  <c r="CM3" i="275"/>
  <c r="CP42" i="273"/>
  <c r="CP52" i="273"/>
  <c r="CP38" i="273"/>
  <c r="CP118" i="273"/>
  <c r="CQ39" i="273" l="1"/>
  <c r="CQ41" i="273" s="1"/>
  <c r="CQ42" i="273" s="1"/>
  <c r="CQ2" i="265"/>
  <c r="CQ96" i="273"/>
  <c r="CQ97" i="273" s="1"/>
  <c r="CQ119" i="273" s="1"/>
  <c r="CQ120" i="273" s="1"/>
  <c r="CQ32" i="273"/>
  <c r="CQ33" i="273" s="1"/>
  <c r="CQ118" i="273" s="1"/>
  <c r="CS5" i="265"/>
  <c r="CS5" i="273"/>
  <c r="CT10" i="273"/>
  <c r="CS13" i="273"/>
  <c r="CS14" i="273" s="1"/>
  <c r="CS5" i="275"/>
  <c r="CR56" i="273"/>
  <c r="CR47" i="273"/>
  <c r="CR48" i="273" s="1"/>
  <c r="CR51" i="273" s="1"/>
  <c r="CR37" i="273"/>
  <c r="CR19" i="273"/>
  <c r="CR20" i="273" s="1"/>
  <c r="CR24" i="273" s="1"/>
  <c r="CR25" i="273" s="1"/>
  <c r="CR75" i="273" s="1"/>
  <c r="CR76" i="273" s="1"/>
  <c r="CQ2" i="275"/>
  <c r="CQ2" i="273"/>
  <c r="CQ52" i="273"/>
  <c r="CP4" i="273"/>
  <c r="CP4" i="265"/>
  <c r="CP4" i="275"/>
  <c r="CQ57" i="273"/>
  <c r="CQ79" i="273"/>
  <c r="CR80" i="273" s="1"/>
  <c r="CR58" i="273" s="1"/>
  <c r="CQ15" i="275"/>
  <c r="CQ20" i="275" s="1"/>
  <c r="CR17" i="275" s="1"/>
  <c r="CO66" i="273"/>
  <c r="CO67" i="273" s="1"/>
  <c r="CP60" i="273"/>
  <c r="CO112" i="273"/>
  <c r="CP109" i="273"/>
  <c r="CN3" i="275"/>
  <c r="CN3" i="265"/>
  <c r="CN50" i="273"/>
  <c r="CN3" i="273"/>
  <c r="CQ113" i="273"/>
  <c r="CQ114" i="273" s="1"/>
  <c r="CQ108" i="273"/>
  <c r="CQ38" i="273"/>
  <c r="CR2" i="275" l="1"/>
  <c r="CR32" i="273"/>
  <c r="CR33" i="273" s="1"/>
  <c r="CR39" i="273"/>
  <c r="CR41" i="273" s="1"/>
  <c r="CR52" i="273" s="1"/>
  <c r="CR2" i="273"/>
  <c r="CR2" i="265"/>
  <c r="CT5" i="265"/>
  <c r="CT5" i="273"/>
  <c r="CU10" i="273"/>
  <c r="CT5" i="275"/>
  <c r="CT13" i="273"/>
  <c r="CT14" i="273" s="1"/>
  <c r="CR96" i="273"/>
  <c r="CR97" i="273" s="1"/>
  <c r="CR119" i="273" s="1"/>
  <c r="CR120" i="273" s="1"/>
  <c r="CR90" i="273"/>
  <c r="CR91" i="273" s="1"/>
  <c r="CR100" i="273" s="1"/>
  <c r="CS101" i="273" s="1"/>
  <c r="CS59" i="273" s="1"/>
  <c r="CS37" i="273"/>
  <c r="CS47" i="273"/>
  <c r="CS48" i="273" s="1"/>
  <c r="CS51" i="273" s="1"/>
  <c r="CS19" i="273"/>
  <c r="CS20" i="273" s="1"/>
  <c r="CS24" i="273" s="1"/>
  <c r="CS25" i="273" s="1"/>
  <c r="CS32" i="273" s="1"/>
  <c r="CS33" i="273" s="1"/>
  <c r="CS56" i="273"/>
  <c r="CR42" i="273"/>
  <c r="CS2" i="273"/>
  <c r="CP112" i="273"/>
  <c r="CQ109" i="273"/>
  <c r="CP66" i="273"/>
  <c r="CP67" i="273" s="1"/>
  <c r="CQ60" i="273"/>
  <c r="CR113" i="273"/>
  <c r="CR114" i="273" s="1"/>
  <c r="CR57" i="273"/>
  <c r="CR79" i="273"/>
  <c r="CS80" i="273" s="1"/>
  <c r="CS58" i="273" s="1"/>
  <c r="CR15" i="275"/>
  <c r="CR20" i="275" s="1"/>
  <c r="CS17" i="275" s="1"/>
  <c r="CO50" i="273"/>
  <c r="CO3" i="265"/>
  <c r="CO3" i="275"/>
  <c r="CO3" i="273"/>
  <c r="CR38" i="273"/>
  <c r="CR118" i="273"/>
  <c r="CQ4" i="275"/>
  <c r="CQ4" i="265"/>
  <c r="CQ4" i="273"/>
  <c r="CS75" i="273" l="1"/>
  <c r="CS76" i="273" s="1"/>
  <c r="CS79" i="273" s="1"/>
  <c r="CT80" i="273" s="1"/>
  <c r="CT58" i="273" s="1"/>
  <c r="CS39" i="273"/>
  <c r="CS41" i="273" s="1"/>
  <c r="CS52" i="273" s="1"/>
  <c r="CR108" i="273"/>
  <c r="CS96" i="273"/>
  <c r="CS97" i="273" s="1"/>
  <c r="CS113" i="273" s="1"/>
  <c r="CS114" i="273" s="1"/>
  <c r="CS90" i="273"/>
  <c r="CS91" i="273" s="1"/>
  <c r="CS100" i="273" s="1"/>
  <c r="CT101" i="273" s="1"/>
  <c r="CT59" i="273" s="1"/>
  <c r="CT37" i="273"/>
  <c r="CT47" i="273"/>
  <c r="CT48" i="273" s="1"/>
  <c r="CT51" i="273" s="1"/>
  <c r="CT19" i="273"/>
  <c r="CT20" i="273" s="1"/>
  <c r="CT24" i="273" s="1"/>
  <c r="CT25" i="273" s="1"/>
  <c r="CT32" i="273" s="1"/>
  <c r="CT33" i="273" s="1"/>
  <c r="CT56" i="273"/>
  <c r="CU5" i="265"/>
  <c r="CU5" i="273"/>
  <c r="CV10" i="273"/>
  <c r="CU5" i="275"/>
  <c r="CU13" i="273"/>
  <c r="CU14" i="273" s="1"/>
  <c r="CS2" i="275"/>
  <c r="CS2" i="265"/>
  <c r="CS57" i="273"/>
  <c r="CS15" i="275"/>
  <c r="CS20" i="275" s="1"/>
  <c r="CT17" i="275" s="1"/>
  <c r="CQ66" i="273"/>
  <c r="CQ67" i="273" s="1"/>
  <c r="CR60" i="273"/>
  <c r="CR109" i="273"/>
  <c r="CQ112" i="273"/>
  <c r="CS38" i="273"/>
  <c r="CS118" i="273"/>
  <c r="CT90" i="273"/>
  <c r="CT91" i="273" s="1"/>
  <c r="CT100" i="273" s="1"/>
  <c r="CU101" i="273" s="1"/>
  <c r="CU59" i="273" s="1"/>
  <c r="CS42" i="273"/>
  <c r="CP50" i="273"/>
  <c r="CP3" i="273"/>
  <c r="CP3" i="265"/>
  <c r="CP3" i="275"/>
  <c r="CS119" i="273"/>
  <c r="CS120" i="273" s="1"/>
  <c r="CS108" i="273"/>
  <c r="CR4" i="275"/>
  <c r="CR4" i="265"/>
  <c r="CR4" i="273"/>
  <c r="CT96" i="273" l="1"/>
  <c r="CT97" i="273" s="1"/>
  <c r="CT113" i="273" s="1"/>
  <c r="CT114" i="273" s="1"/>
  <c r="CT75" i="273"/>
  <c r="CT76" i="273" s="1"/>
  <c r="CT79" i="273" s="1"/>
  <c r="CU80" i="273" s="1"/>
  <c r="CU58" i="273" s="1"/>
  <c r="CT39" i="273"/>
  <c r="CT41" i="273" s="1"/>
  <c r="CT52" i="273" s="1"/>
  <c r="CU37" i="273"/>
  <c r="CU47" i="273"/>
  <c r="CU48" i="273" s="1"/>
  <c r="CU51" i="273" s="1"/>
  <c r="CU56" i="273"/>
  <c r="CU19" i="273"/>
  <c r="CU20" i="273" s="1"/>
  <c r="CU24" i="273" s="1"/>
  <c r="CU25" i="273" s="1"/>
  <c r="CU75" i="273" s="1"/>
  <c r="CV5" i="265"/>
  <c r="CV5" i="273"/>
  <c r="CV13" i="273"/>
  <c r="CV14" i="273" s="1"/>
  <c r="CV5" i="275"/>
  <c r="CW10" i="273"/>
  <c r="CT2" i="273"/>
  <c r="CT2" i="275"/>
  <c r="CT2" i="265"/>
  <c r="CT38" i="273"/>
  <c r="CT118" i="273"/>
  <c r="CU90" i="273"/>
  <c r="CU91" i="273" s="1"/>
  <c r="CU100" i="273" s="1"/>
  <c r="CV101" i="273" s="1"/>
  <c r="CV59" i="273" s="1"/>
  <c r="CU2" i="275"/>
  <c r="CT57" i="273"/>
  <c r="CT15" i="275"/>
  <c r="CT20" i="275" s="1"/>
  <c r="CU17" i="275" s="1"/>
  <c r="CS4" i="275"/>
  <c r="CS4" i="273"/>
  <c r="CS4" i="265"/>
  <c r="CT108" i="273"/>
  <c r="CT42" i="273"/>
  <c r="CR112" i="273"/>
  <c r="CS109" i="273"/>
  <c r="CQ3" i="265"/>
  <c r="CQ3" i="275"/>
  <c r="CQ3" i="273"/>
  <c r="CQ50" i="273"/>
  <c r="CR66" i="273"/>
  <c r="CR67" i="273" s="1"/>
  <c r="CS60" i="273"/>
  <c r="CU76" i="273" l="1"/>
  <c r="CT119" i="273"/>
  <c r="CT120" i="273" s="1"/>
  <c r="CU2" i="265"/>
  <c r="CU39" i="273"/>
  <c r="CU41" i="273" s="1"/>
  <c r="CU52" i="273" s="1"/>
  <c r="CU96" i="273"/>
  <c r="CU97" i="273" s="1"/>
  <c r="CU2" i="273"/>
  <c r="CU32" i="273"/>
  <c r="CU33" i="273" s="1"/>
  <c r="CW5" i="265"/>
  <c r="CW5" i="273"/>
  <c r="CX10" i="273"/>
  <c r="CW5" i="275"/>
  <c r="CW13" i="273"/>
  <c r="CW14" i="273" s="1"/>
  <c r="CV19" i="273"/>
  <c r="CV20" i="273" s="1"/>
  <c r="CV24" i="273" s="1"/>
  <c r="CV25" i="273" s="1"/>
  <c r="CV56" i="273"/>
  <c r="CV47" i="273"/>
  <c r="CV48" i="273" s="1"/>
  <c r="CV37" i="273"/>
  <c r="CR3" i="273"/>
  <c r="CR50" i="273"/>
  <c r="CR3" i="265"/>
  <c r="CR3" i="275"/>
  <c r="CS112" i="273"/>
  <c r="CT109" i="273"/>
  <c r="CU57" i="273"/>
  <c r="CU79" i="273"/>
  <c r="CV80" i="273" s="1"/>
  <c r="CV58" i="273" s="1"/>
  <c r="CU15" i="275"/>
  <c r="CU20" i="275" s="1"/>
  <c r="CV17" i="275" s="1"/>
  <c r="CU42" i="273"/>
  <c r="CS66" i="273"/>
  <c r="CS67" i="273" s="1"/>
  <c r="CT60" i="273"/>
  <c r="CT4" i="265"/>
  <c r="CT4" i="273"/>
  <c r="CT4" i="275"/>
  <c r="CU119" i="273"/>
  <c r="CU113" i="273"/>
  <c r="CU114" i="273" s="1"/>
  <c r="CU108" i="273"/>
  <c r="CU38" i="273"/>
  <c r="CU118" i="273"/>
  <c r="CV51" i="273"/>
  <c r="CV75" i="273"/>
  <c r="CV76" i="273" s="1"/>
  <c r="CV32" i="273"/>
  <c r="CV33" i="273" s="1"/>
  <c r="CV90" i="273"/>
  <c r="CV91" i="273" s="1"/>
  <c r="CV100" i="273" s="1"/>
  <c r="CW101" i="273" s="1"/>
  <c r="CW59" i="273" s="1"/>
  <c r="CV2" i="265"/>
  <c r="CV96" i="273"/>
  <c r="CV97" i="273" s="1"/>
  <c r="CV2" i="275"/>
  <c r="CV2" i="273"/>
  <c r="CU120" i="273" l="1"/>
  <c r="CW37" i="273"/>
  <c r="CW47" i="273"/>
  <c r="CW48" i="273" s="1"/>
  <c r="CW51" i="273" s="1"/>
  <c r="CW56" i="273"/>
  <c r="CW19" i="273"/>
  <c r="CW20" i="273" s="1"/>
  <c r="CW24" i="273" s="1"/>
  <c r="CW25" i="273" s="1"/>
  <c r="CW75" i="273" s="1"/>
  <c r="CX5" i="265"/>
  <c r="CX5" i="273"/>
  <c r="CX13" i="273"/>
  <c r="CX14" i="273" s="1"/>
  <c r="CX5" i="275"/>
  <c r="CY10" i="273"/>
  <c r="CV39" i="273"/>
  <c r="CV41" i="273" s="1"/>
  <c r="CV42" i="273" s="1"/>
  <c r="CV113" i="273"/>
  <c r="CV114" i="273" s="1"/>
  <c r="CV119" i="273"/>
  <c r="CV120" i="273" s="1"/>
  <c r="CV108" i="273"/>
  <c r="CV38" i="273"/>
  <c r="CV118" i="273"/>
  <c r="CV57" i="273"/>
  <c r="CV79" i="273"/>
  <c r="CW80" i="273" s="1"/>
  <c r="CW58" i="273" s="1"/>
  <c r="CV15" i="275"/>
  <c r="CV20" i="275" s="1"/>
  <c r="CW17" i="275" s="1"/>
  <c r="CT66" i="273"/>
  <c r="CT67" i="273" s="1"/>
  <c r="CU60" i="273"/>
  <c r="CW32" i="273"/>
  <c r="CW33" i="273" s="1"/>
  <c r="CW2" i="275"/>
  <c r="CW2" i="273"/>
  <c r="CT112" i="273"/>
  <c r="CU109" i="273"/>
  <c r="CS3" i="265"/>
  <c r="CS3" i="275"/>
  <c r="CS3" i="273"/>
  <c r="CS50" i="273"/>
  <c r="CU4" i="275"/>
  <c r="CU4" i="273"/>
  <c r="CU4" i="265"/>
  <c r="CV52" i="273" l="1"/>
  <c r="CW2" i="265"/>
  <c r="CW96" i="273"/>
  <c r="CW97" i="273" s="1"/>
  <c r="CW108" i="273" s="1"/>
  <c r="CW90" i="273"/>
  <c r="CW91" i="273" s="1"/>
  <c r="CW100" i="273" s="1"/>
  <c r="CX101" i="273" s="1"/>
  <c r="CX59" i="273" s="1"/>
  <c r="CY5" i="265"/>
  <c r="CY5" i="273"/>
  <c r="CZ10" i="273"/>
  <c r="CY13" i="273"/>
  <c r="CY14" i="273" s="1"/>
  <c r="CY5" i="275"/>
  <c r="CX37" i="273"/>
  <c r="CX56" i="273"/>
  <c r="CX47" i="273"/>
  <c r="CX48" i="273" s="1"/>
  <c r="CX51" i="273" s="1"/>
  <c r="CX19" i="273"/>
  <c r="CX20" i="273" s="1"/>
  <c r="CX24" i="273" s="1"/>
  <c r="CX25" i="273" s="1"/>
  <c r="CX75" i="273" s="1"/>
  <c r="CW39" i="273"/>
  <c r="CW41" i="273" s="1"/>
  <c r="CW42" i="273" s="1"/>
  <c r="CW119" i="273"/>
  <c r="CW120" i="273" s="1"/>
  <c r="CW113" i="273"/>
  <c r="CW114" i="273" s="1"/>
  <c r="CT3" i="275"/>
  <c r="CT3" i="265"/>
  <c r="CT3" i="273"/>
  <c r="CT50" i="273"/>
  <c r="CX32" i="273"/>
  <c r="CX33" i="273" s="1"/>
  <c r="CX2" i="275"/>
  <c r="CW52" i="273"/>
  <c r="CV109" i="273"/>
  <c r="CU112" i="273"/>
  <c r="CW38" i="273"/>
  <c r="CW118" i="273"/>
  <c r="CU66" i="273"/>
  <c r="CU67" i="273" s="1"/>
  <c r="CV60" i="273"/>
  <c r="CW76" i="273"/>
  <c r="CV4" i="275"/>
  <c r="CV4" i="273"/>
  <c r="CV4" i="265"/>
  <c r="CX39" i="273" l="1"/>
  <c r="CX41" i="273" s="1"/>
  <c r="CX96" i="273"/>
  <c r="CX97" i="273" s="1"/>
  <c r="CX113" i="273" s="1"/>
  <c r="CX114" i="273" s="1"/>
  <c r="CX2" i="265"/>
  <c r="CZ5" i="275"/>
  <c r="CZ5" i="265"/>
  <c r="CZ13" i="273"/>
  <c r="CZ14" i="273" s="1"/>
  <c r="CZ5" i="273"/>
  <c r="DA10" i="273"/>
  <c r="CX2" i="273"/>
  <c r="CX90" i="273"/>
  <c r="CX91" i="273" s="1"/>
  <c r="CX100" i="273" s="1"/>
  <c r="CY101" i="273" s="1"/>
  <c r="CY59" i="273" s="1"/>
  <c r="CY37" i="273"/>
  <c r="CY47" i="273"/>
  <c r="CY48" i="273" s="1"/>
  <c r="CY51" i="273" s="1"/>
  <c r="CY56" i="273"/>
  <c r="CY19" i="273"/>
  <c r="CY20" i="273" s="1"/>
  <c r="CY24" i="273" s="1"/>
  <c r="CY25" i="273" s="1"/>
  <c r="CY75" i="273" s="1"/>
  <c r="CW57" i="273"/>
  <c r="CW60" i="273" s="1"/>
  <c r="CW79" i="273"/>
  <c r="CX80" i="273" s="1"/>
  <c r="CX58" i="273" s="1"/>
  <c r="CW15" i="275"/>
  <c r="CW20" i="275" s="1"/>
  <c r="CX17" i="275" s="1"/>
  <c r="CU3" i="265"/>
  <c r="CU3" i="273"/>
  <c r="CU50" i="273"/>
  <c r="CU3" i="275"/>
  <c r="CX42" i="273"/>
  <c r="CX52" i="273"/>
  <c r="CW109" i="273"/>
  <c r="CV112" i="273"/>
  <c r="CW4" i="275"/>
  <c r="CW4" i="265"/>
  <c r="CW4" i="273"/>
  <c r="CX76" i="273"/>
  <c r="CV66" i="273"/>
  <c r="CV67" i="273" s="1"/>
  <c r="CX108" i="273"/>
  <c r="CX38" i="273"/>
  <c r="CY39" i="273" s="1"/>
  <c r="CY41" i="273" s="1"/>
  <c r="CX118" i="273"/>
  <c r="CX119" i="273" l="1"/>
  <c r="CX120" i="273" s="1"/>
  <c r="CY2" i="275"/>
  <c r="CY2" i="273"/>
  <c r="CY90" i="273"/>
  <c r="CY91" i="273" s="1"/>
  <c r="CY100" i="273" s="1"/>
  <c r="CZ101" i="273" s="1"/>
  <c r="CZ59" i="273" s="1"/>
  <c r="CY2" i="265"/>
  <c r="CY96" i="273"/>
  <c r="CY97" i="273" s="1"/>
  <c r="CY108" i="273" s="1"/>
  <c r="CY32" i="273"/>
  <c r="CY33" i="273" s="1"/>
  <c r="DA5" i="275"/>
  <c r="DA5" i="265"/>
  <c r="DB10" i="273"/>
  <c r="DA5" i="273"/>
  <c r="DA13" i="273"/>
  <c r="DA14" i="273" s="1"/>
  <c r="CZ19" i="273"/>
  <c r="CZ20" i="273" s="1"/>
  <c r="CZ24" i="273" s="1"/>
  <c r="CZ25" i="273" s="1"/>
  <c r="CZ56" i="273"/>
  <c r="CZ47" i="273"/>
  <c r="CZ48" i="273" s="1"/>
  <c r="CZ51" i="273" s="1"/>
  <c r="CZ37" i="273"/>
  <c r="CW66" i="273"/>
  <c r="CW67" i="273" s="1"/>
  <c r="CV3" i="273"/>
  <c r="CV3" i="275"/>
  <c r="CV50" i="273"/>
  <c r="CV3" i="265"/>
  <c r="CX57" i="273"/>
  <c r="CX60" i="273" s="1"/>
  <c r="CX79" i="273"/>
  <c r="CY80" i="273" s="1"/>
  <c r="CY58" i="273" s="1"/>
  <c r="CX15" i="275"/>
  <c r="CX20" i="275" s="1"/>
  <c r="CY17" i="275" s="1"/>
  <c r="CX109" i="273"/>
  <c r="CW112" i="273"/>
  <c r="CX4" i="265"/>
  <c r="CX4" i="275"/>
  <c r="CX4" i="273"/>
  <c r="CY119" i="273"/>
  <c r="CY120" i="273" s="1"/>
  <c r="CY113" i="273"/>
  <c r="CY114" i="273" s="1"/>
  <c r="CY38" i="273"/>
  <c r="CY118" i="273"/>
  <c r="CY42" i="273"/>
  <c r="CY52" i="273"/>
  <c r="CZ75" i="273"/>
  <c r="CZ32" i="273"/>
  <c r="CZ33" i="273" s="1"/>
  <c r="CZ90" i="273"/>
  <c r="CZ91" i="273" s="1"/>
  <c r="CZ100" i="273" s="1"/>
  <c r="DA101" i="273" s="1"/>
  <c r="DA59" i="273" s="1"/>
  <c r="CZ2" i="265"/>
  <c r="CZ2" i="273"/>
  <c r="CZ96" i="273"/>
  <c r="CZ97" i="273" s="1"/>
  <c r="CZ2" i="275"/>
  <c r="CY76" i="273"/>
  <c r="CZ39" i="273" l="1"/>
  <c r="CZ41" i="273" s="1"/>
  <c r="CZ42" i="273" s="1"/>
  <c r="DA37" i="273"/>
  <c r="DA47" i="273"/>
  <c r="DA48" i="273" s="1"/>
  <c r="DA51" i="273" s="1"/>
  <c r="DA56" i="273"/>
  <c r="DA19" i="273"/>
  <c r="DA20" i="273" s="1"/>
  <c r="DA24" i="273" s="1"/>
  <c r="DA25" i="273" s="1"/>
  <c r="DA75" i="273" s="1"/>
  <c r="DB5" i="275"/>
  <c r="DC10" i="273"/>
  <c r="DB13" i="273"/>
  <c r="DB14" i="273" s="1"/>
  <c r="DB5" i="273"/>
  <c r="DB5" i="265"/>
  <c r="CX66" i="273"/>
  <c r="CX67" i="273" s="1"/>
  <c r="CY57" i="273"/>
  <c r="CY60" i="273" s="1"/>
  <c r="CY79" i="273"/>
  <c r="CZ80" i="273" s="1"/>
  <c r="CZ58" i="273" s="1"/>
  <c r="CY15" i="275"/>
  <c r="CY20" i="275" s="1"/>
  <c r="CZ17" i="275" s="1"/>
  <c r="CZ113" i="273"/>
  <c r="CZ114" i="273" s="1"/>
  <c r="CZ108" i="273"/>
  <c r="CZ119" i="273"/>
  <c r="CZ120" i="273" s="1"/>
  <c r="CY4" i="265"/>
  <c r="CY4" i="273"/>
  <c r="CY4" i="275"/>
  <c r="CZ38" i="273"/>
  <c r="CZ118" i="273"/>
  <c r="CZ76" i="273"/>
  <c r="CY109" i="273"/>
  <c r="CX112" i="273"/>
  <c r="DA32" i="273"/>
  <c r="DA33" i="273" s="1"/>
  <c r="DA96" i="273"/>
  <c r="DA97" i="273" s="1"/>
  <c r="CW3" i="265"/>
  <c r="CW3" i="273"/>
  <c r="CW3" i="275"/>
  <c r="CW50" i="273"/>
  <c r="DA2" i="273" l="1"/>
  <c r="CZ52" i="273"/>
  <c r="DA2" i="275"/>
  <c r="DA2" i="265"/>
  <c r="DA90" i="273"/>
  <c r="DA91" i="273" s="1"/>
  <c r="DA100" i="273" s="1"/>
  <c r="DB101" i="273" s="1"/>
  <c r="DB59" i="273" s="1"/>
  <c r="DA39" i="273"/>
  <c r="DA41" i="273" s="1"/>
  <c r="DB37" i="273"/>
  <c r="DB56" i="273"/>
  <c r="DB47" i="273"/>
  <c r="DB48" i="273" s="1"/>
  <c r="DB51" i="273" s="1"/>
  <c r="DB19" i="273"/>
  <c r="DB20" i="273" s="1"/>
  <c r="DB24" i="273" s="1"/>
  <c r="DB25" i="273" s="1"/>
  <c r="DC5" i="265"/>
  <c r="DC5" i="273"/>
  <c r="DD10" i="273"/>
  <c r="DC13" i="273"/>
  <c r="DC14" i="273" s="1"/>
  <c r="DC5" i="275"/>
  <c r="CY66" i="273"/>
  <c r="CY67" i="273" s="1"/>
  <c r="DA119" i="273"/>
  <c r="DA120" i="273" s="1"/>
  <c r="DA108" i="273"/>
  <c r="DA113" i="273"/>
  <c r="DA114" i="273" s="1"/>
  <c r="CY112" i="273"/>
  <c r="CZ109" i="273"/>
  <c r="CZ4" i="275"/>
  <c r="CZ4" i="273"/>
  <c r="CZ4" i="265"/>
  <c r="DA38" i="273"/>
  <c r="DB39" i="273" s="1"/>
  <c r="DB41" i="273" s="1"/>
  <c r="DA118" i="273"/>
  <c r="CZ57" i="273"/>
  <c r="CZ60" i="273" s="1"/>
  <c r="CZ79" i="273"/>
  <c r="DA80" i="273" s="1"/>
  <c r="DA58" i="273" s="1"/>
  <c r="CZ15" i="275"/>
  <c r="CZ20" i="275" s="1"/>
  <c r="DA17" i="275" s="1"/>
  <c r="DA42" i="273"/>
  <c r="DA52" i="273"/>
  <c r="DB75" i="273"/>
  <c r="DB76" i="273" s="1"/>
  <c r="DB32" i="273"/>
  <c r="DB33" i="273" s="1"/>
  <c r="DB90" i="273"/>
  <c r="DB91" i="273" s="1"/>
  <c r="DB100" i="273" s="1"/>
  <c r="DC101" i="273" s="1"/>
  <c r="DC59" i="273" s="1"/>
  <c r="DB2" i="265"/>
  <c r="DB2" i="273"/>
  <c r="DB2" i="275"/>
  <c r="DB96" i="273"/>
  <c r="DB97" i="273" s="1"/>
  <c r="DA76" i="273"/>
  <c r="CX3" i="265"/>
  <c r="CX3" i="273"/>
  <c r="CX50" i="273"/>
  <c r="CX3" i="275"/>
  <c r="DD5" i="265" l="1"/>
  <c r="DD5" i="273"/>
  <c r="DD13" i="273"/>
  <c r="DD14" i="273" s="1"/>
  <c r="DD5" i="275"/>
  <c r="DE10" i="273"/>
  <c r="DC37" i="273"/>
  <c r="DC47" i="273"/>
  <c r="DC48" i="273" s="1"/>
  <c r="DC51" i="273" s="1"/>
  <c r="DC19" i="273"/>
  <c r="DC20" i="273" s="1"/>
  <c r="DC24" i="273" s="1"/>
  <c r="DC25" i="273" s="1"/>
  <c r="DC75" i="273" s="1"/>
  <c r="DC56" i="273"/>
  <c r="CZ66" i="273"/>
  <c r="CZ67" i="273" s="1"/>
  <c r="DB57" i="273"/>
  <c r="DB79" i="273"/>
  <c r="DC80" i="273" s="1"/>
  <c r="DC58" i="273" s="1"/>
  <c r="DB15" i="275"/>
  <c r="DA57" i="273"/>
  <c r="DA60" i="273" s="1"/>
  <c r="DA79" i="273"/>
  <c r="DB80" i="273" s="1"/>
  <c r="DB58" i="273" s="1"/>
  <c r="DA15" i="275"/>
  <c r="DA20" i="275" s="1"/>
  <c r="DB17" i="275" s="1"/>
  <c r="DA4" i="273"/>
  <c r="DA4" i="275"/>
  <c r="DA4" i="265"/>
  <c r="DC90" i="273"/>
  <c r="DC91" i="273" s="1"/>
  <c r="DC100" i="273" s="1"/>
  <c r="DD101" i="273" s="1"/>
  <c r="DD59" i="273" s="1"/>
  <c r="DC2" i="265"/>
  <c r="DC96" i="273"/>
  <c r="DC97" i="273" s="1"/>
  <c r="DB113" i="273"/>
  <c r="DB114" i="273" s="1"/>
  <c r="DB119" i="273"/>
  <c r="DB120" i="273" s="1"/>
  <c r="DB108" i="273"/>
  <c r="DB38" i="273"/>
  <c r="DC39" i="273" s="1"/>
  <c r="DC41" i="273" s="1"/>
  <c r="DB118" i="273"/>
  <c r="DB42" i="273"/>
  <c r="DB52" i="273"/>
  <c r="CZ112" i="273"/>
  <c r="DA109" i="273"/>
  <c r="CY3" i="275"/>
  <c r="CY3" i="273"/>
  <c r="CY3" i="265"/>
  <c r="CY50" i="273"/>
  <c r="DC2" i="273" l="1"/>
  <c r="DC2" i="275"/>
  <c r="DC32" i="273"/>
  <c r="DC33" i="273" s="1"/>
  <c r="DE5" i="265"/>
  <c r="DE5" i="273"/>
  <c r="DF10" i="273"/>
  <c r="DE13" i="273"/>
  <c r="DE14" i="273" s="1"/>
  <c r="DE5" i="275"/>
  <c r="DD19" i="273"/>
  <c r="DD20" i="273" s="1"/>
  <c r="DD24" i="273" s="1"/>
  <c r="DD25" i="273" s="1"/>
  <c r="DD47" i="273"/>
  <c r="DD48" i="273" s="1"/>
  <c r="DD51" i="273" s="1"/>
  <c r="DD37" i="273"/>
  <c r="DD56" i="273"/>
  <c r="DA66" i="273"/>
  <c r="DA67" i="273" s="1"/>
  <c r="DB60" i="273"/>
  <c r="DA112" i="273"/>
  <c r="DB109" i="273"/>
  <c r="DD75" i="273"/>
  <c r="DD32" i="273"/>
  <c r="DD33" i="273" s="1"/>
  <c r="DD90" i="273"/>
  <c r="DD91" i="273" s="1"/>
  <c r="DD100" i="273" s="1"/>
  <c r="DE101" i="273" s="1"/>
  <c r="DE59" i="273" s="1"/>
  <c r="DD2" i="265"/>
  <c r="DD96" i="273"/>
  <c r="DD97" i="273" s="1"/>
  <c r="DD2" i="275"/>
  <c r="DD2" i="273"/>
  <c r="DC38" i="273"/>
  <c r="DD39" i="273" s="1"/>
  <c r="DD41" i="273" s="1"/>
  <c r="DC118" i="273"/>
  <c r="DD76" i="273"/>
  <c r="DC76" i="273"/>
  <c r="DB4" i="273"/>
  <c r="DB4" i="275"/>
  <c r="DB4" i="265"/>
  <c r="DC42" i="273"/>
  <c r="DC52" i="273"/>
  <c r="DC108" i="273"/>
  <c r="DC119" i="273"/>
  <c r="DC120" i="273" s="1"/>
  <c r="DC113" i="273"/>
  <c r="DC114" i="273" s="1"/>
  <c r="DB20" i="275"/>
  <c r="DC17" i="275" s="1"/>
  <c r="CZ3" i="275"/>
  <c r="CZ50" i="273"/>
  <c r="CZ3" i="265"/>
  <c r="CZ3" i="273"/>
  <c r="DF5" i="265" l="1"/>
  <c r="DF5" i="273"/>
  <c r="DF13" i="273"/>
  <c r="DF14" i="273" s="1"/>
  <c r="DF5" i="275"/>
  <c r="DG10" i="273"/>
  <c r="DE37" i="273"/>
  <c r="DE47" i="273"/>
  <c r="DE48" i="273" s="1"/>
  <c r="DE19" i="273"/>
  <c r="DE20" i="273" s="1"/>
  <c r="DE24" i="273" s="1"/>
  <c r="DE25" i="273" s="1"/>
  <c r="DE75" i="273" s="1"/>
  <c r="DE56" i="273"/>
  <c r="DC4" i="265"/>
  <c r="DC4" i="275"/>
  <c r="DC4" i="273"/>
  <c r="DE2" i="273"/>
  <c r="DE51" i="273"/>
  <c r="DC57" i="273"/>
  <c r="DC60" i="273" s="1"/>
  <c r="DC79" i="273"/>
  <c r="DD80" i="273" s="1"/>
  <c r="DD58" i="273" s="1"/>
  <c r="DC15" i="275"/>
  <c r="DC20" i="275" s="1"/>
  <c r="DD17" i="275" s="1"/>
  <c r="DD57" i="273"/>
  <c r="DD79" i="273"/>
  <c r="DE80" i="273" s="1"/>
  <c r="DE58" i="273" s="1"/>
  <c r="DD15" i="275"/>
  <c r="DD42" i="273"/>
  <c r="DD52" i="273"/>
  <c r="DD108" i="273"/>
  <c r="DD113" i="273"/>
  <c r="DD114" i="273" s="1"/>
  <c r="DD119" i="273"/>
  <c r="DD120" i="273" s="1"/>
  <c r="DA3" i="265"/>
  <c r="DA3" i="275"/>
  <c r="DA3" i="273"/>
  <c r="DA50" i="273"/>
  <c r="DD38" i="273"/>
  <c r="DE39" i="273" s="1"/>
  <c r="DE41" i="273" s="1"/>
  <c r="DD118" i="273"/>
  <c r="DB112" i="273"/>
  <c r="DC109" i="273"/>
  <c r="DB66" i="273"/>
  <c r="DB67" i="273" s="1"/>
  <c r="DE2" i="265" l="1"/>
  <c r="DE32" i="273"/>
  <c r="DE33" i="273" s="1"/>
  <c r="DE38" i="273" s="1"/>
  <c r="DF39" i="273" s="1"/>
  <c r="DF41" i="273" s="1"/>
  <c r="DE96" i="273"/>
  <c r="DE97" i="273" s="1"/>
  <c r="DE113" i="273" s="1"/>
  <c r="DE114" i="273" s="1"/>
  <c r="DE2" i="275"/>
  <c r="DE90" i="273"/>
  <c r="DE91" i="273" s="1"/>
  <c r="DE100" i="273" s="1"/>
  <c r="DF101" i="273" s="1"/>
  <c r="DF59" i="273" s="1"/>
  <c r="DG5" i="275"/>
  <c r="DG5" i="265"/>
  <c r="DH10" i="273"/>
  <c r="DG13" i="273"/>
  <c r="DG14" i="273" s="1"/>
  <c r="DG5" i="273"/>
  <c r="DF37" i="273"/>
  <c r="DF56" i="273"/>
  <c r="DF47" i="273"/>
  <c r="DF48" i="273" s="1"/>
  <c r="DF51" i="273" s="1"/>
  <c r="DF19" i="273"/>
  <c r="DF20" i="273" s="1"/>
  <c r="DF24" i="273" s="1"/>
  <c r="DF25" i="273" s="1"/>
  <c r="DF32" i="273" s="1"/>
  <c r="DF33" i="273" s="1"/>
  <c r="DC66" i="273"/>
  <c r="DC67" i="273" s="1"/>
  <c r="DD60" i="273"/>
  <c r="DD109" i="273"/>
  <c r="DC112" i="273"/>
  <c r="DD4" i="265"/>
  <c r="DD4" i="273"/>
  <c r="DD4" i="275"/>
  <c r="DB3" i="265"/>
  <c r="DB3" i="273"/>
  <c r="DB50" i="273"/>
  <c r="DB3" i="275"/>
  <c r="DE42" i="273"/>
  <c r="DE52" i="273"/>
  <c r="DE76" i="273"/>
  <c r="DD20" i="275"/>
  <c r="DE17" i="275" s="1"/>
  <c r="DE118" i="273" l="1"/>
  <c r="DF90" i="273"/>
  <c r="DF91" i="273" s="1"/>
  <c r="DF100" i="273" s="1"/>
  <c r="DG101" i="273" s="1"/>
  <c r="DG59" i="273" s="1"/>
  <c r="DE108" i="273"/>
  <c r="DE119" i="273"/>
  <c r="DE120" i="273" s="1"/>
  <c r="DF96" i="273"/>
  <c r="DF97" i="273" s="1"/>
  <c r="DF75" i="273"/>
  <c r="DF76" i="273" s="1"/>
  <c r="DF57" i="273" s="1"/>
  <c r="DH5" i="275"/>
  <c r="DH5" i="265"/>
  <c r="DH13" i="273"/>
  <c r="DH14" i="273" s="1"/>
  <c r="DH5" i="273"/>
  <c r="DI10" i="273"/>
  <c r="DF2" i="275"/>
  <c r="DF2" i="273"/>
  <c r="DF2" i="265"/>
  <c r="DG37" i="273"/>
  <c r="DG47" i="273"/>
  <c r="DG48" i="273" s="1"/>
  <c r="DG51" i="273" s="1"/>
  <c r="DG56" i="273"/>
  <c r="DG19" i="273"/>
  <c r="DG20" i="273" s="1"/>
  <c r="DG24" i="273" s="1"/>
  <c r="DG25" i="273" s="1"/>
  <c r="DG90" i="273" s="1"/>
  <c r="DG91" i="273" s="1"/>
  <c r="DG100" i="273" s="1"/>
  <c r="DH101" i="273" s="1"/>
  <c r="DH59" i="273" s="1"/>
  <c r="DG32" i="273"/>
  <c r="DG33" i="273" s="1"/>
  <c r="DF38" i="273"/>
  <c r="DG39" i="273" s="1"/>
  <c r="DG41" i="273" s="1"/>
  <c r="DF118" i="273"/>
  <c r="DD66" i="273"/>
  <c r="DD67" i="273" s="1"/>
  <c r="DF42" i="273"/>
  <c r="DF52" i="273"/>
  <c r="DE57" i="273"/>
  <c r="DE60" i="273" s="1"/>
  <c r="DE79" i="273"/>
  <c r="DF80" i="273" s="1"/>
  <c r="DF58" i="273" s="1"/>
  <c r="DE15" i="275"/>
  <c r="DE20" i="275" s="1"/>
  <c r="DF17" i="275" s="1"/>
  <c r="DE4" i="275"/>
  <c r="DE4" i="265"/>
  <c r="DE4" i="273"/>
  <c r="DF113" i="273"/>
  <c r="DF114" i="273" s="1"/>
  <c r="DF119" i="273"/>
  <c r="DF108" i="273"/>
  <c r="DD112" i="273"/>
  <c r="DE109" i="273"/>
  <c r="DC3" i="265"/>
  <c r="DC3" i="273"/>
  <c r="DC50" i="273"/>
  <c r="DC3" i="275"/>
  <c r="DF120" i="273" l="1"/>
  <c r="DF79" i="273"/>
  <c r="DG80" i="273" s="1"/>
  <c r="DG58" i="273" s="1"/>
  <c r="DG2" i="275"/>
  <c r="DG75" i="273"/>
  <c r="DG76" i="273" s="1"/>
  <c r="DG79" i="273" s="1"/>
  <c r="DH80" i="273" s="1"/>
  <c r="DH58" i="273" s="1"/>
  <c r="DF15" i="275"/>
  <c r="DF20" i="275" s="1"/>
  <c r="DG17" i="275" s="1"/>
  <c r="DG2" i="273"/>
  <c r="DG2" i="265"/>
  <c r="DG96" i="273"/>
  <c r="DG97" i="273" s="1"/>
  <c r="DG113" i="273" s="1"/>
  <c r="DG114" i="273" s="1"/>
  <c r="DI5" i="275"/>
  <c r="DI5" i="265"/>
  <c r="DJ10" i="273"/>
  <c r="DI13" i="273"/>
  <c r="DI14" i="273" s="1"/>
  <c r="DI5" i="273"/>
  <c r="DH47" i="273"/>
  <c r="DH48" i="273" s="1"/>
  <c r="DH51" i="273" s="1"/>
  <c r="DH56" i="273"/>
  <c r="DH37" i="273"/>
  <c r="DH19" i="273"/>
  <c r="DH20" i="273" s="1"/>
  <c r="DH24" i="273" s="1"/>
  <c r="DH25" i="273" s="1"/>
  <c r="DH32" i="273" s="1"/>
  <c r="DH33" i="273" s="1"/>
  <c r="DE66" i="273"/>
  <c r="DE67" i="273" s="1"/>
  <c r="DF60" i="273"/>
  <c r="DF109" i="273"/>
  <c r="DE112" i="273"/>
  <c r="DG57" i="273"/>
  <c r="DG15" i="275"/>
  <c r="DH75" i="273"/>
  <c r="DH96" i="273"/>
  <c r="DH97" i="273" s="1"/>
  <c r="DF4" i="265"/>
  <c r="DF4" i="275"/>
  <c r="DF4" i="273"/>
  <c r="DG119" i="273"/>
  <c r="DG120" i="273" s="1"/>
  <c r="DD3" i="273"/>
  <c r="DD3" i="265"/>
  <c r="DD3" i="275"/>
  <c r="DD50" i="273"/>
  <c r="DG42" i="273"/>
  <c r="DG52" i="273"/>
  <c r="DG38" i="273"/>
  <c r="DG118" i="273"/>
  <c r="DG108" i="273" l="1"/>
  <c r="DH76" i="273"/>
  <c r="DH90" i="273"/>
  <c r="DH91" i="273" s="1"/>
  <c r="DH100" i="273" s="1"/>
  <c r="DI101" i="273" s="1"/>
  <c r="DI59" i="273" s="1"/>
  <c r="DG20" i="275"/>
  <c r="DH17" i="275" s="1"/>
  <c r="DH39" i="273"/>
  <c r="DH41" i="273" s="1"/>
  <c r="DJ5" i="265"/>
  <c r="DJ5" i="273"/>
  <c r="DK10" i="273"/>
  <c r="DJ13" i="273"/>
  <c r="DJ14" i="273" s="1"/>
  <c r="DJ5" i="275"/>
  <c r="DH2" i="275"/>
  <c r="DH2" i="273"/>
  <c r="DH2" i="265"/>
  <c r="DI37" i="273"/>
  <c r="DI47" i="273"/>
  <c r="DI48" i="273" s="1"/>
  <c r="DI51" i="273" s="1"/>
  <c r="DI19" i="273"/>
  <c r="DI20" i="273" s="1"/>
  <c r="DI24" i="273" s="1"/>
  <c r="DI25" i="273" s="1"/>
  <c r="DI75" i="273" s="1"/>
  <c r="DI56" i="273"/>
  <c r="DH119" i="273"/>
  <c r="DH120" i="273" s="1"/>
  <c r="DH108" i="273"/>
  <c r="DH113" i="273"/>
  <c r="DH114" i="273" s="1"/>
  <c r="DE3" i="275"/>
  <c r="DE50" i="273"/>
  <c r="DE3" i="273"/>
  <c r="DE3" i="265"/>
  <c r="DH57" i="273"/>
  <c r="DH79" i="273"/>
  <c r="DI80" i="273" s="1"/>
  <c r="DI58" i="273" s="1"/>
  <c r="DH15" i="275"/>
  <c r="DH20" i="275" s="1"/>
  <c r="DI17" i="275" s="1"/>
  <c r="DH42" i="273"/>
  <c r="DH52" i="273"/>
  <c r="DG4" i="275"/>
  <c r="DG4" i="273"/>
  <c r="DG4" i="265"/>
  <c r="DI32" i="273"/>
  <c r="DI33" i="273" s="1"/>
  <c r="DH38" i="273"/>
  <c r="DH118" i="273"/>
  <c r="DF112" i="273"/>
  <c r="DG109" i="273"/>
  <c r="DF66" i="273"/>
  <c r="DF67" i="273" s="1"/>
  <c r="DG60" i="273"/>
  <c r="DI2" i="275" l="1"/>
  <c r="DI2" i="273"/>
  <c r="DK5" i="265"/>
  <c r="DK5" i="273"/>
  <c r="DL10" i="273"/>
  <c r="DK13" i="273"/>
  <c r="DK14" i="273" s="1"/>
  <c r="DK5" i="275"/>
  <c r="DI39" i="273"/>
  <c r="DI41" i="273" s="1"/>
  <c r="DI42" i="273" s="1"/>
  <c r="DI2" i="265"/>
  <c r="DI96" i="273"/>
  <c r="DI97" i="273" s="1"/>
  <c r="DI119" i="273" s="1"/>
  <c r="DI120" i="273" s="1"/>
  <c r="DI90" i="273"/>
  <c r="DI91" i="273" s="1"/>
  <c r="DI100" i="273" s="1"/>
  <c r="DJ101" i="273" s="1"/>
  <c r="DJ59" i="273" s="1"/>
  <c r="DJ37" i="273"/>
  <c r="DJ56" i="273"/>
  <c r="DJ47" i="273"/>
  <c r="DJ48" i="273" s="1"/>
  <c r="DJ51" i="273" s="1"/>
  <c r="DJ19" i="273"/>
  <c r="DJ20" i="273" s="1"/>
  <c r="DJ24" i="273" s="1"/>
  <c r="DJ25" i="273" s="1"/>
  <c r="DJ32" i="273" s="1"/>
  <c r="DJ33" i="273" s="1"/>
  <c r="DF3" i="273"/>
  <c r="DF3" i="275"/>
  <c r="DF3" i="265"/>
  <c r="DF50" i="273"/>
  <c r="DI108" i="273"/>
  <c r="DI76" i="273"/>
  <c r="DG66" i="273"/>
  <c r="DG67" i="273" s="1"/>
  <c r="DH60" i="273"/>
  <c r="DG112" i="273"/>
  <c r="DH109" i="273"/>
  <c r="DI38" i="273"/>
  <c r="DJ39" i="273" s="1"/>
  <c r="DJ41" i="273" s="1"/>
  <c r="DI118" i="273"/>
  <c r="DH4" i="265"/>
  <c r="DH4" i="273"/>
  <c r="DH4" i="275"/>
  <c r="DJ75" i="273" l="1"/>
  <c r="DJ2" i="273"/>
  <c r="DJ90" i="273"/>
  <c r="DJ91" i="273" s="1"/>
  <c r="DJ100" i="273" s="1"/>
  <c r="DK101" i="273" s="1"/>
  <c r="DK59" i="273" s="1"/>
  <c r="DI52" i="273"/>
  <c r="DI113" i="273"/>
  <c r="DI114" i="273" s="1"/>
  <c r="DL5" i="265"/>
  <c r="DL5" i="273"/>
  <c r="DL13" i="273"/>
  <c r="DL14" i="273" s="1"/>
  <c r="DL5" i="275"/>
  <c r="DM10" i="273"/>
  <c r="DJ2" i="275"/>
  <c r="DJ96" i="273"/>
  <c r="DJ97" i="273" s="1"/>
  <c r="DJ119" i="273" s="1"/>
  <c r="DJ120" i="273" s="1"/>
  <c r="DJ2" i="265"/>
  <c r="DK37" i="273"/>
  <c r="DK47" i="273"/>
  <c r="DK48" i="273" s="1"/>
  <c r="DK56" i="273"/>
  <c r="DK19" i="273"/>
  <c r="DK20" i="273" s="1"/>
  <c r="DK24" i="273" s="1"/>
  <c r="DK25" i="273" s="1"/>
  <c r="DI109" i="273"/>
  <c r="DH112" i="273"/>
  <c r="DH66" i="273"/>
  <c r="DH67" i="273" s="1"/>
  <c r="DJ76" i="273"/>
  <c r="DJ38" i="273"/>
  <c r="DK39" i="273" s="1"/>
  <c r="DK41" i="273" s="1"/>
  <c r="DJ118" i="273"/>
  <c r="DK51" i="273"/>
  <c r="DJ42" i="273"/>
  <c r="DJ52" i="273"/>
  <c r="DG3" i="265"/>
  <c r="DG3" i="273"/>
  <c r="DG50" i="273"/>
  <c r="DG3" i="275"/>
  <c r="DK75" i="273"/>
  <c r="DK76" i="273" s="1"/>
  <c r="DK90" i="273"/>
  <c r="DK91" i="273" s="1"/>
  <c r="DK100" i="273" s="1"/>
  <c r="DL101" i="273" s="1"/>
  <c r="DL59" i="273" s="1"/>
  <c r="DK32" i="273"/>
  <c r="DK33" i="273" s="1"/>
  <c r="DK2" i="273"/>
  <c r="DK2" i="265"/>
  <c r="DK2" i="275"/>
  <c r="DK96" i="273"/>
  <c r="DK97" i="273" s="1"/>
  <c r="DI57" i="273"/>
  <c r="DI60" i="273" s="1"/>
  <c r="DI79" i="273"/>
  <c r="DJ80" i="273" s="1"/>
  <c r="DJ58" i="273" s="1"/>
  <c r="DI15" i="275"/>
  <c r="DI20" i="275" s="1"/>
  <c r="DJ17" i="275" s="1"/>
  <c r="DI4" i="265"/>
  <c r="DI4" i="273"/>
  <c r="DI4" i="275"/>
  <c r="DJ108" i="273" l="1"/>
  <c r="DJ109" i="273" s="1"/>
  <c r="DM5" i="265"/>
  <c r="DM5" i="273"/>
  <c r="DN10" i="273"/>
  <c r="DM5" i="275"/>
  <c r="DM13" i="273"/>
  <c r="DM14" i="273" s="1"/>
  <c r="DL19" i="273"/>
  <c r="DL20" i="273" s="1"/>
  <c r="DL24" i="273" s="1"/>
  <c r="DL25" i="273" s="1"/>
  <c r="DL75" i="273" s="1"/>
  <c r="DL76" i="273" s="1"/>
  <c r="DL56" i="273"/>
  <c r="DL47" i="273"/>
  <c r="DL48" i="273" s="1"/>
  <c r="DL37" i="273"/>
  <c r="DJ113" i="273"/>
  <c r="DJ114" i="273" s="1"/>
  <c r="DI66" i="273"/>
  <c r="DI67" i="273" s="1"/>
  <c r="DK113" i="273"/>
  <c r="DK114" i="273" s="1"/>
  <c r="DK119" i="273"/>
  <c r="DK120" i="273" s="1"/>
  <c r="DK108" i="273"/>
  <c r="DJ4" i="275"/>
  <c r="DJ4" i="265"/>
  <c r="DJ4" i="273"/>
  <c r="DK42" i="273"/>
  <c r="DK52" i="273"/>
  <c r="DJ57" i="273"/>
  <c r="DJ60" i="273" s="1"/>
  <c r="DJ79" i="273"/>
  <c r="DK80" i="273" s="1"/>
  <c r="DK58" i="273" s="1"/>
  <c r="DJ15" i="275"/>
  <c r="DJ20" i="275" s="1"/>
  <c r="DK17" i="275" s="1"/>
  <c r="DH3" i="275"/>
  <c r="DH3" i="265"/>
  <c r="DH3" i="273"/>
  <c r="DH50" i="273"/>
  <c r="DK57" i="273"/>
  <c r="DK79" i="273"/>
  <c r="DL80" i="273" s="1"/>
  <c r="DL58" i="273" s="1"/>
  <c r="DK15" i="275"/>
  <c r="DK38" i="273"/>
  <c r="DL39" i="273" s="1"/>
  <c r="DL41" i="273" s="1"/>
  <c r="DK118" i="273"/>
  <c r="DL51" i="273"/>
  <c r="DL2" i="265"/>
  <c r="DI112" i="273"/>
  <c r="DL2" i="275" l="1"/>
  <c r="DL32" i="273"/>
  <c r="DL33" i="273" s="1"/>
  <c r="DL96" i="273"/>
  <c r="DL97" i="273" s="1"/>
  <c r="DL113" i="273" s="1"/>
  <c r="DL114" i="273" s="1"/>
  <c r="DL2" i="273"/>
  <c r="DL90" i="273"/>
  <c r="DL91" i="273" s="1"/>
  <c r="DL100" i="273" s="1"/>
  <c r="DM101" i="273" s="1"/>
  <c r="DM59" i="273" s="1"/>
  <c r="DK20" i="275"/>
  <c r="DL17" i="275" s="1"/>
  <c r="DM37" i="273"/>
  <c r="DM47" i="273"/>
  <c r="DM48" i="273" s="1"/>
  <c r="DM51" i="273" s="1"/>
  <c r="DM56" i="273"/>
  <c r="DM19" i="273"/>
  <c r="DM20" i="273" s="1"/>
  <c r="DM24" i="273" s="1"/>
  <c r="DM25" i="273" s="1"/>
  <c r="DM75" i="273" s="1"/>
  <c r="DN5" i="275"/>
  <c r="DN5" i="265"/>
  <c r="DN13" i="273"/>
  <c r="DN14" i="273" s="1"/>
  <c r="DN5" i="273"/>
  <c r="DO10" i="273"/>
  <c r="DK60" i="273"/>
  <c r="DJ66" i="273"/>
  <c r="DJ67" i="273" s="1"/>
  <c r="DL57" i="273"/>
  <c r="DL79" i="273"/>
  <c r="DM80" i="273" s="1"/>
  <c r="DM58" i="273" s="1"/>
  <c r="DL15" i="275"/>
  <c r="DL20" i="275" s="1"/>
  <c r="DM17" i="275" s="1"/>
  <c r="DK4" i="265"/>
  <c r="DK4" i="275"/>
  <c r="DK4" i="273"/>
  <c r="DK109" i="273"/>
  <c r="DJ112" i="273"/>
  <c r="DL108" i="273"/>
  <c r="DL38" i="273"/>
  <c r="DM39" i="273" s="1"/>
  <c r="DM41" i="273" s="1"/>
  <c r="DL118" i="273"/>
  <c r="DL42" i="273"/>
  <c r="DL52" i="273"/>
  <c r="DI3" i="265"/>
  <c r="DI50" i="273"/>
  <c r="DI3" i="275"/>
  <c r="DI3" i="273"/>
  <c r="DM32" i="273"/>
  <c r="DM33" i="273" s="1"/>
  <c r="DM2" i="265"/>
  <c r="DM2" i="275"/>
  <c r="DL119" i="273" l="1"/>
  <c r="DL120" i="273" s="1"/>
  <c r="DM96" i="273"/>
  <c r="DM97" i="273" s="1"/>
  <c r="DM108" i="273" s="1"/>
  <c r="DM2" i="273"/>
  <c r="DM90" i="273"/>
  <c r="DM91" i="273" s="1"/>
  <c r="DM100" i="273" s="1"/>
  <c r="DN101" i="273" s="1"/>
  <c r="DN59" i="273" s="1"/>
  <c r="DO5" i="275"/>
  <c r="DO5" i="265"/>
  <c r="DP10" i="273"/>
  <c r="DO5" i="273"/>
  <c r="DO13" i="273"/>
  <c r="DO14" i="273" s="1"/>
  <c r="DN37" i="273"/>
  <c r="DN47" i="273"/>
  <c r="DN48" i="273" s="1"/>
  <c r="DN51" i="273" s="1"/>
  <c r="DN19" i="273"/>
  <c r="DN20" i="273" s="1"/>
  <c r="DN24" i="273" s="1"/>
  <c r="DN25" i="273" s="1"/>
  <c r="DN75" i="273" s="1"/>
  <c r="DN56" i="273"/>
  <c r="DM119" i="273"/>
  <c r="DM113" i="273"/>
  <c r="DM114" i="273" s="1"/>
  <c r="DL4" i="273"/>
  <c r="DL4" i="265"/>
  <c r="DL4" i="275"/>
  <c r="DM42" i="273"/>
  <c r="DM52" i="273"/>
  <c r="DJ3" i="265"/>
  <c r="DJ50" i="273"/>
  <c r="DJ3" i="275"/>
  <c r="DJ3" i="273"/>
  <c r="DM38" i="273"/>
  <c r="DN39" i="273" s="1"/>
  <c r="DN41" i="273" s="1"/>
  <c r="DM118" i="273"/>
  <c r="DM76" i="273"/>
  <c r="DN32" i="273"/>
  <c r="DN33" i="273" s="1"/>
  <c r="DN2" i="265"/>
  <c r="DN2" i="273"/>
  <c r="DK112" i="273"/>
  <c r="DL109" i="273"/>
  <c r="DL60" i="273"/>
  <c r="DK66" i="273"/>
  <c r="DK67" i="273" s="1"/>
  <c r="DN2" i="275" l="1"/>
  <c r="DN96" i="273"/>
  <c r="DN97" i="273" s="1"/>
  <c r="DN119" i="273" s="1"/>
  <c r="DN120" i="273" s="1"/>
  <c r="DN90" i="273"/>
  <c r="DN91" i="273" s="1"/>
  <c r="DN100" i="273" s="1"/>
  <c r="DO101" i="273" s="1"/>
  <c r="DO59" i="273" s="1"/>
  <c r="DM120" i="273"/>
  <c r="DO37" i="273"/>
  <c r="DO47" i="273"/>
  <c r="DO48" i="273" s="1"/>
  <c r="DO51" i="273" s="1"/>
  <c r="DO56" i="273"/>
  <c r="DO19" i="273"/>
  <c r="DO20" i="273" s="1"/>
  <c r="DO24" i="273" s="1"/>
  <c r="DO25" i="273" s="1"/>
  <c r="DO75" i="273" s="1"/>
  <c r="DP5" i="275"/>
  <c r="DP5" i="265"/>
  <c r="DP13" i="273"/>
  <c r="DP14" i="273" s="1"/>
  <c r="DP5" i="273"/>
  <c r="DQ10" i="273"/>
  <c r="DL66" i="273"/>
  <c r="DL67" i="273" s="1"/>
  <c r="DN113" i="273"/>
  <c r="DM4" i="273"/>
  <c r="DM4" i="275"/>
  <c r="DM4" i="265"/>
  <c r="DO96" i="273"/>
  <c r="DO97" i="273" s="1"/>
  <c r="DO2" i="273"/>
  <c r="DN76" i="273"/>
  <c r="DN114" i="273"/>
  <c r="DK3" i="265"/>
  <c r="DK50" i="273"/>
  <c r="DK3" i="275"/>
  <c r="DK3" i="273"/>
  <c r="DM109" i="273"/>
  <c r="DL112" i="273"/>
  <c r="DN38" i="273"/>
  <c r="DN118" i="273"/>
  <c r="DM57" i="273"/>
  <c r="DM60" i="273" s="1"/>
  <c r="DM79" i="273"/>
  <c r="DN80" i="273" s="1"/>
  <c r="DN58" i="273" s="1"/>
  <c r="DM15" i="275"/>
  <c r="DM20" i="275" s="1"/>
  <c r="DN17" i="275" s="1"/>
  <c r="DN42" i="273"/>
  <c r="DN52" i="273"/>
  <c r="DO2" i="265" l="1"/>
  <c r="DO90" i="273"/>
  <c r="DO91" i="273" s="1"/>
  <c r="DO100" i="273" s="1"/>
  <c r="DP101" i="273" s="1"/>
  <c r="DP59" i="273" s="1"/>
  <c r="DN108" i="273"/>
  <c r="DO2" i="275"/>
  <c r="DO32" i="273"/>
  <c r="DO33" i="273" s="1"/>
  <c r="DQ5" i="275"/>
  <c r="DQ5" i="265"/>
  <c r="DR10" i="273"/>
  <c r="DQ5" i="273"/>
  <c r="DQ13" i="273"/>
  <c r="DQ14" i="273" s="1"/>
  <c r="DP19" i="273"/>
  <c r="DP20" i="273" s="1"/>
  <c r="DP24" i="273" s="1"/>
  <c r="DP25" i="273" s="1"/>
  <c r="DP47" i="273"/>
  <c r="DP48" i="273" s="1"/>
  <c r="DP51" i="273" s="1"/>
  <c r="DP56" i="273"/>
  <c r="DP37" i="273"/>
  <c r="DO39" i="273"/>
  <c r="DO41" i="273" s="1"/>
  <c r="DM66" i="273"/>
  <c r="DM67" i="273" s="1"/>
  <c r="DN4" i="265"/>
  <c r="DN4" i="273"/>
  <c r="DN4" i="275"/>
  <c r="DP75" i="273"/>
  <c r="DP76" i="273" s="1"/>
  <c r="DP32" i="273"/>
  <c r="DP33" i="273" s="1"/>
  <c r="DP90" i="273"/>
  <c r="DP91" i="273" s="1"/>
  <c r="DP100" i="273" s="1"/>
  <c r="DQ101" i="273" s="1"/>
  <c r="DQ59" i="273" s="1"/>
  <c r="DP2" i="265"/>
  <c r="DP96" i="273"/>
  <c r="DP97" i="273" s="1"/>
  <c r="DP2" i="273"/>
  <c r="DP2" i="275"/>
  <c r="DO42" i="273"/>
  <c r="DO52" i="273"/>
  <c r="DM112" i="273"/>
  <c r="DN109" i="273"/>
  <c r="DO119" i="273"/>
  <c r="DO120" i="273" s="1"/>
  <c r="DO113" i="273"/>
  <c r="DO114" i="273" s="1"/>
  <c r="DO108" i="273"/>
  <c r="DN57" i="273"/>
  <c r="DN60" i="273" s="1"/>
  <c r="DN79" i="273"/>
  <c r="DO80" i="273" s="1"/>
  <c r="DO58" i="273" s="1"/>
  <c r="DN15" i="275"/>
  <c r="DN20" i="275" s="1"/>
  <c r="DO17" i="275" s="1"/>
  <c r="DO38" i="273"/>
  <c r="DO118" i="273"/>
  <c r="DO76" i="273"/>
  <c r="DL3" i="275"/>
  <c r="DL3" i="265"/>
  <c r="DL3" i="273"/>
  <c r="DL50" i="273"/>
  <c r="DP39" i="273" l="1"/>
  <c r="DP41" i="273" s="1"/>
  <c r="DP42" i="273" s="1"/>
  <c r="DQ37" i="273"/>
  <c r="DQ47" i="273"/>
  <c r="DQ48" i="273" s="1"/>
  <c r="DQ51" i="273" s="1"/>
  <c r="DQ19" i="273"/>
  <c r="DQ20" i="273" s="1"/>
  <c r="DQ24" i="273" s="1"/>
  <c r="DQ25" i="273" s="1"/>
  <c r="DQ32" i="273" s="1"/>
  <c r="DQ33" i="273" s="1"/>
  <c r="DQ56" i="273"/>
  <c r="DS10" i="273"/>
  <c r="DR5" i="273"/>
  <c r="DR13" i="273"/>
  <c r="DR14" i="273" s="1"/>
  <c r="DR5" i="275"/>
  <c r="DR5" i="265"/>
  <c r="DN66" i="273"/>
  <c r="DN67" i="273" s="1"/>
  <c r="DP52" i="273"/>
  <c r="DN112" i="273"/>
  <c r="DO109" i="273"/>
  <c r="DP113" i="273"/>
  <c r="DP114" i="273" s="1"/>
  <c r="DP108" i="273"/>
  <c r="DP119" i="273"/>
  <c r="DP120" i="273" s="1"/>
  <c r="DP38" i="273"/>
  <c r="DP118" i="273"/>
  <c r="DM3" i="265"/>
  <c r="DM3" i="273"/>
  <c r="DM3" i="275"/>
  <c r="DM50" i="273"/>
  <c r="DP57" i="273"/>
  <c r="DP79" i="273"/>
  <c r="DQ80" i="273" s="1"/>
  <c r="DQ58" i="273" s="1"/>
  <c r="DP15" i="275"/>
  <c r="DO57" i="273"/>
  <c r="DO60" i="273" s="1"/>
  <c r="DO79" i="273"/>
  <c r="DP80" i="273" s="1"/>
  <c r="DP58" i="273" s="1"/>
  <c r="DO15" i="275"/>
  <c r="DO20" i="275" s="1"/>
  <c r="DP17" i="275" s="1"/>
  <c r="DO4" i="273"/>
  <c r="DO4" i="275"/>
  <c r="DO4" i="265"/>
  <c r="DQ75" i="273"/>
  <c r="DQ76" i="273" s="1"/>
  <c r="DQ90" i="273"/>
  <c r="DQ91" i="273" s="1"/>
  <c r="DQ100" i="273" s="1"/>
  <c r="DR101" i="273" s="1"/>
  <c r="DR59" i="273" s="1"/>
  <c r="DQ2" i="273"/>
  <c r="DQ2" i="275"/>
  <c r="DR37" i="273" l="1"/>
  <c r="DR56" i="273"/>
  <c r="DR19" i="273"/>
  <c r="DR20" i="273" s="1"/>
  <c r="DR24" i="273" s="1"/>
  <c r="DR25" i="273" s="1"/>
  <c r="DR75" i="273" s="1"/>
  <c r="DR76" i="273" s="1"/>
  <c r="DR47" i="273"/>
  <c r="DR48" i="273" s="1"/>
  <c r="DR51" i="273" s="1"/>
  <c r="DS5" i="275"/>
  <c r="DS5" i="265"/>
  <c r="DT10" i="273"/>
  <c r="DS5" i="273"/>
  <c r="DS13" i="273"/>
  <c r="DS14" i="273" s="1"/>
  <c r="DQ96" i="273"/>
  <c r="DQ97" i="273" s="1"/>
  <c r="DQ119" i="273" s="1"/>
  <c r="DQ120" i="273" s="1"/>
  <c r="DQ2" i="265"/>
  <c r="DQ39" i="273"/>
  <c r="DQ41" i="273" s="1"/>
  <c r="DQ42" i="273" s="1"/>
  <c r="DP60" i="273"/>
  <c r="DO66" i="273"/>
  <c r="DO67" i="273" s="1"/>
  <c r="DQ38" i="273"/>
  <c r="DQ118" i="273"/>
  <c r="DR32" i="273"/>
  <c r="DR33" i="273" s="1"/>
  <c r="DR2" i="265"/>
  <c r="DR2" i="273"/>
  <c r="DR96" i="273"/>
  <c r="DR97" i="273" s="1"/>
  <c r="DO112" i="273"/>
  <c r="DP109" i="273"/>
  <c r="DN3" i="265"/>
  <c r="DN3" i="273"/>
  <c r="DN3" i="275"/>
  <c r="DN50" i="273"/>
  <c r="DQ108" i="273"/>
  <c r="DQ57" i="273"/>
  <c r="DQ79" i="273"/>
  <c r="DR80" i="273" s="1"/>
  <c r="DR58" i="273" s="1"/>
  <c r="DQ15" i="275"/>
  <c r="DP20" i="275"/>
  <c r="DQ17" i="275" s="1"/>
  <c r="DP4" i="273"/>
  <c r="DP4" i="275"/>
  <c r="DP4" i="265"/>
  <c r="DQ52" i="273" l="1"/>
  <c r="DQ113" i="273"/>
  <c r="DQ114" i="273" s="1"/>
  <c r="DS37" i="273"/>
  <c r="DS47" i="273"/>
  <c r="DS48" i="273" s="1"/>
  <c r="DS19" i="273"/>
  <c r="DS20" i="273" s="1"/>
  <c r="DS24" i="273" s="1"/>
  <c r="DS25" i="273" s="1"/>
  <c r="DS90" i="273" s="1"/>
  <c r="DS91" i="273" s="1"/>
  <c r="DS100" i="273" s="1"/>
  <c r="DT101" i="273" s="1"/>
  <c r="DT59" i="273" s="1"/>
  <c r="DS56" i="273"/>
  <c r="DT13" i="273"/>
  <c r="DT14" i="273" s="1"/>
  <c r="DT5" i="275"/>
  <c r="DT5" i="265"/>
  <c r="DU10" i="273"/>
  <c r="DT5" i="273"/>
  <c r="DR2" i="275"/>
  <c r="DR90" i="273"/>
  <c r="DR91" i="273" s="1"/>
  <c r="DR100" i="273" s="1"/>
  <c r="DS101" i="273" s="1"/>
  <c r="DS59" i="273" s="1"/>
  <c r="DR39" i="273"/>
  <c r="DR41" i="273" s="1"/>
  <c r="DR42" i="273" s="1"/>
  <c r="DR57" i="273"/>
  <c r="DR79" i="273"/>
  <c r="DS80" i="273" s="1"/>
  <c r="DS58" i="273" s="1"/>
  <c r="DR15" i="275"/>
  <c r="DS51" i="273"/>
  <c r="DP112" i="273"/>
  <c r="DQ109" i="273"/>
  <c r="DR113" i="273"/>
  <c r="DR119" i="273"/>
  <c r="DR120" i="273" s="1"/>
  <c r="DR108" i="273"/>
  <c r="DR38" i="273"/>
  <c r="DR118" i="273"/>
  <c r="DO50" i="273"/>
  <c r="DO3" i="275"/>
  <c r="DO3" i="273"/>
  <c r="DO3" i="265"/>
  <c r="DS32" i="273"/>
  <c r="DS33" i="273" s="1"/>
  <c r="DS2" i="275"/>
  <c r="DQ20" i="275"/>
  <c r="DR17" i="275" s="1"/>
  <c r="DQ4" i="275"/>
  <c r="DQ4" i="265"/>
  <c r="DQ4" i="273"/>
  <c r="DQ60" i="273"/>
  <c r="DP66" i="273"/>
  <c r="DP67" i="273" s="1"/>
  <c r="DR114" i="273" l="1"/>
  <c r="DR52" i="273"/>
  <c r="DS2" i="273"/>
  <c r="DS75" i="273"/>
  <c r="DS76" i="273" s="1"/>
  <c r="DS57" i="273" s="1"/>
  <c r="DT19" i="273"/>
  <c r="DT20" i="273" s="1"/>
  <c r="DT24" i="273" s="1"/>
  <c r="DT25" i="273" s="1"/>
  <c r="DT75" i="273" s="1"/>
  <c r="DT47" i="273"/>
  <c r="DT48" i="273" s="1"/>
  <c r="DT51" i="273" s="1"/>
  <c r="DT37" i="273"/>
  <c r="DT56" i="273"/>
  <c r="DS96" i="273"/>
  <c r="DS97" i="273" s="1"/>
  <c r="DS119" i="273" s="1"/>
  <c r="DS120" i="273" s="1"/>
  <c r="DS2" i="265"/>
  <c r="DS39" i="273"/>
  <c r="DS41" i="273" s="1"/>
  <c r="DS42" i="273" s="1"/>
  <c r="DU5" i="265"/>
  <c r="DU5" i="273"/>
  <c r="DU13" i="273"/>
  <c r="DU14" i="273" s="1"/>
  <c r="DU5" i="275"/>
  <c r="DV10" i="273"/>
  <c r="DR60" i="273"/>
  <c r="DQ66" i="273"/>
  <c r="DQ67" i="273" s="1"/>
  <c r="DP3" i="265"/>
  <c r="DP3" i="273"/>
  <c r="DP3" i="275"/>
  <c r="DP50" i="273"/>
  <c r="DS79" i="273"/>
  <c r="DT80" i="273" s="1"/>
  <c r="DT58" i="273" s="1"/>
  <c r="DS38" i="273"/>
  <c r="DS118" i="273"/>
  <c r="DR4" i="265"/>
  <c r="DR4" i="275"/>
  <c r="DR4" i="273"/>
  <c r="DR109" i="273"/>
  <c r="DQ112" i="273"/>
  <c r="DR20" i="275"/>
  <c r="DS17" i="275" s="1"/>
  <c r="DT2" i="265" l="1"/>
  <c r="DS113" i="273"/>
  <c r="DS114" i="273" s="1"/>
  <c r="DS52" i="273"/>
  <c r="DT96" i="273"/>
  <c r="DT97" i="273" s="1"/>
  <c r="DT108" i="273" s="1"/>
  <c r="DT32" i="273"/>
  <c r="DT33" i="273" s="1"/>
  <c r="DT38" i="273" s="1"/>
  <c r="DS108" i="273"/>
  <c r="DS15" i="275"/>
  <c r="DS20" i="275" s="1"/>
  <c r="DT17" i="275" s="1"/>
  <c r="DV5" i="265"/>
  <c r="DV5" i="273"/>
  <c r="DW10" i="273"/>
  <c r="DV13" i="273"/>
  <c r="DV14" i="273" s="1"/>
  <c r="DV5" i="275"/>
  <c r="DU37" i="273"/>
  <c r="DU47" i="273"/>
  <c r="DU48" i="273" s="1"/>
  <c r="DU19" i="273"/>
  <c r="DU20" i="273" s="1"/>
  <c r="DU24" i="273" s="1"/>
  <c r="DU25" i="273" s="1"/>
  <c r="DU32" i="273" s="1"/>
  <c r="DU33" i="273" s="1"/>
  <c r="DU56" i="273"/>
  <c r="DT2" i="275"/>
  <c r="DT2" i="273"/>
  <c r="DT90" i="273"/>
  <c r="DT91" i="273" s="1"/>
  <c r="DT100" i="273" s="1"/>
  <c r="DU101" i="273" s="1"/>
  <c r="DU59" i="273" s="1"/>
  <c r="DT39" i="273"/>
  <c r="DT41" i="273" s="1"/>
  <c r="DU51" i="273"/>
  <c r="DS60" i="273"/>
  <c r="DR66" i="273"/>
  <c r="DR67" i="273" s="1"/>
  <c r="DR112" i="273"/>
  <c r="DS109" i="273"/>
  <c r="DS4" i="275"/>
  <c r="DS4" i="273"/>
  <c r="DS4" i="265"/>
  <c r="DT113" i="273"/>
  <c r="DT114" i="273" s="1"/>
  <c r="DT119" i="273"/>
  <c r="DT120" i="273" s="1"/>
  <c r="DT118" i="273"/>
  <c r="DT76" i="273"/>
  <c r="DT42" i="273"/>
  <c r="DT52" i="273"/>
  <c r="DQ3" i="275"/>
  <c r="DQ3" i="273"/>
  <c r="DQ50" i="273"/>
  <c r="DQ3" i="265"/>
  <c r="DU2" i="273" l="1"/>
  <c r="DU90" i="273"/>
  <c r="DU91" i="273" s="1"/>
  <c r="DU100" i="273" s="1"/>
  <c r="DV101" i="273" s="1"/>
  <c r="DV59" i="273" s="1"/>
  <c r="DU39" i="273"/>
  <c r="DU41" i="273" s="1"/>
  <c r="DU2" i="275"/>
  <c r="DU75" i="273"/>
  <c r="DV37" i="273"/>
  <c r="DV56" i="273"/>
  <c r="DV19" i="273"/>
  <c r="DV20" i="273" s="1"/>
  <c r="DV24" i="273" s="1"/>
  <c r="DV25" i="273" s="1"/>
  <c r="DV75" i="273" s="1"/>
  <c r="DV76" i="273" s="1"/>
  <c r="DV47" i="273"/>
  <c r="DV48" i="273" s="1"/>
  <c r="DU2" i="265"/>
  <c r="DU96" i="273"/>
  <c r="DU97" i="273" s="1"/>
  <c r="DU119" i="273" s="1"/>
  <c r="DU120" i="273" s="1"/>
  <c r="DW5" i="265"/>
  <c r="DW5" i="273"/>
  <c r="DW13" i="273"/>
  <c r="DW14" i="273" s="1"/>
  <c r="DW5" i="275"/>
  <c r="DX10" i="273"/>
  <c r="DT4" i="275"/>
  <c r="DT4" i="273"/>
  <c r="DT4" i="265"/>
  <c r="DS112" i="273"/>
  <c r="DT109" i="273"/>
  <c r="DU38" i="273"/>
  <c r="DV39" i="273" s="1"/>
  <c r="DV41" i="273" s="1"/>
  <c r="DU118" i="273"/>
  <c r="DS66" i="273"/>
  <c r="DS67" i="273" s="1"/>
  <c r="DV51" i="273"/>
  <c r="DV32" i="273"/>
  <c r="DV33" i="273" s="1"/>
  <c r="DT57" i="273"/>
  <c r="DT60" i="273" s="1"/>
  <c r="DT79" i="273"/>
  <c r="DU80" i="273" s="1"/>
  <c r="DU58" i="273" s="1"/>
  <c r="DT15" i="275"/>
  <c r="DT20" i="275" s="1"/>
  <c r="DU17" i="275" s="1"/>
  <c r="DU42" i="273"/>
  <c r="DU52" i="273"/>
  <c r="DR3" i="273"/>
  <c r="DR50" i="273"/>
  <c r="DR3" i="265"/>
  <c r="DR3" i="275"/>
  <c r="DU76" i="273"/>
  <c r="DV96" i="273" l="1"/>
  <c r="DV97" i="273" s="1"/>
  <c r="DV113" i="273" s="1"/>
  <c r="DV114" i="273" s="1"/>
  <c r="DV2" i="275"/>
  <c r="DV2" i="265"/>
  <c r="DU108" i="273"/>
  <c r="DV2" i="273"/>
  <c r="DV90" i="273"/>
  <c r="DV91" i="273" s="1"/>
  <c r="DV100" i="273" s="1"/>
  <c r="DW101" i="273" s="1"/>
  <c r="DW59" i="273" s="1"/>
  <c r="DU113" i="273"/>
  <c r="DU114" i="273" s="1"/>
  <c r="DX5" i="265"/>
  <c r="DX5" i="273"/>
  <c r="DY10" i="273"/>
  <c r="DX13" i="273"/>
  <c r="DX14" i="273" s="1"/>
  <c r="DX5" i="275"/>
  <c r="DW37" i="273"/>
  <c r="DW47" i="273"/>
  <c r="DW48" i="273" s="1"/>
  <c r="DW19" i="273"/>
  <c r="DW20" i="273" s="1"/>
  <c r="DW24" i="273" s="1"/>
  <c r="DW25" i="273" s="1"/>
  <c r="DW75" i="273" s="1"/>
  <c r="DW76" i="273" s="1"/>
  <c r="DW56" i="273"/>
  <c r="DT66" i="273"/>
  <c r="DT67" i="273" s="1"/>
  <c r="DU57" i="273"/>
  <c r="DU60" i="273" s="1"/>
  <c r="DU79" i="273"/>
  <c r="DV80" i="273" s="1"/>
  <c r="DV58" i="273" s="1"/>
  <c r="DU15" i="275"/>
  <c r="DU20" i="275" s="1"/>
  <c r="DV17" i="275" s="1"/>
  <c r="DV57" i="273"/>
  <c r="DV79" i="273"/>
  <c r="DW80" i="273" s="1"/>
  <c r="DW58" i="273" s="1"/>
  <c r="DV15" i="275"/>
  <c r="DU4" i="265"/>
  <c r="DU4" i="275"/>
  <c r="DU4" i="273"/>
  <c r="DV119" i="273"/>
  <c r="DV120" i="273" s="1"/>
  <c r="DV108" i="273"/>
  <c r="DV38" i="273"/>
  <c r="DW39" i="273" s="1"/>
  <c r="DW41" i="273" s="1"/>
  <c r="DV118" i="273"/>
  <c r="DW51" i="273"/>
  <c r="DS3" i="273"/>
  <c r="DS3" i="265"/>
  <c r="DS3" i="275"/>
  <c r="DS50" i="273"/>
  <c r="DV42" i="273"/>
  <c r="DV52" i="273"/>
  <c r="DU109" i="273"/>
  <c r="DT112" i="273"/>
  <c r="DW2" i="265" l="1"/>
  <c r="DW96" i="273"/>
  <c r="DW97" i="273" s="1"/>
  <c r="DW90" i="273"/>
  <c r="DW91" i="273" s="1"/>
  <c r="DW100" i="273" s="1"/>
  <c r="DX101" i="273" s="1"/>
  <c r="DX59" i="273" s="1"/>
  <c r="DW2" i="275"/>
  <c r="DW2" i="273"/>
  <c r="DW32" i="273"/>
  <c r="DW33" i="273" s="1"/>
  <c r="DY5" i="265"/>
  <c r="DY5" i="273"/>
  <c r="DY13" i="273"/>
  <c r="DY14" i="273" s="1"/>
  <c r="DY5" i="275"/>
  <c r="DZ10" i="273"/>
  <c r="DV20" i="275"/>
  <c r="DW17" i="275" s="1"/>
  <c r="DX47" i="273"/>
  <c r="DX48" i="273" s="1"/>
  <c r="DX51" i="273" s="1"/>
  <c r="DX19" i="273"/>
  <c r="DX20" i="273" s="1"/>
  <c r="DX24" i="273" s="1"/>
  <c r="DX25" i="273" s="1"/>
  <c r="DX32" i="273" s="1"/>
  <c r="DX33" i="273" s="1"/>
  <c r="DX56" i="273"/>
  <c r="DX37" i="273"/>
  <c r="DV60" i="273"/>
  <c r="DU66" i="273"/>
  <c r="DU67" i="273" s="1"/>
  <c r="DW57" i="273"/>
  <c r="DW79" i="273"/>
  <c r="DX80" i="273" s="1"/>
  <c r="DX58" i="273" s="1"/>
  <c r="DW15" i="275"/>
  <c r="DT3" i="265"/>
  <c r="DT50" i="273"/>
  <c r="DT3" i="275"/>
  <c r="DT3" i="273"/>
  <c r="DU112" i="273"/>
  <c r="DV109" i="273"/>
  <c r="DV4" i="273"/>
  <c r="DV4" i="265"/>
  <c r="DV4" i="275"/>
  <c r="DX75" i="273"/>
  <c r="DX90" i="273"/>
  <c r="DX91" i="273" s="1"/>
  <c r="DX100" i="273" s="1"/>
  <c r="DY101" i="273" s="1"/>
  <c r="DY59" i="273" s="1"/>
  <c r="DX2" i="273"/>
  <c r="DX96" i="273"/>
  <c r="DX97" i="273" s="1"/>
  <c r="DW42" i="273"/>
  <c r="DW52" i="273"/>
  <c r="DW119" i="273"/>
  <c r="DW120" i="273" s="1"/>
  <c r="DW108" i="273"/>
  <c r="DW113" i="273"/>
  <c r="DW114" i="273" s="1"/>
  <c r="DW38" i="273"/>
  <c r="DW118" i="273"/>
  <c r="DX39" i="273" l="1"/>
  <c r="DX41" i="273" s="1"/>
  <c r="DX2" i="275"/>
  <c r="DX2" i="265"/>
  <c r="DW20" i="275"/>
  <c r="DX17" i="275" s="1"/>
  <c r="DZ5" i="275"/>
  <c r="DZ13" i="273"/>
  <c r="DZ14" i="273" s="1"/>
  <c r="DZ5" i="265"/>
  <c r="DZ5" i="273"/>
  <c r="EA10" i="273"/>
  <c r="DY37" i="273"/>
  <c r="DY47" i="273"/>
  <c r="DY48" i="273" s="1"/>
  <c r="DY51" i="273" s="1"/>
  <c r="DY19" i="273"/>
  <c r="DY20" i="273" s="1"/>
  <c r="DY24" i="273" s="1"/>
  <c r="DY25" i="273" s="1"/>
  <c r="DY56" i="273"/>
  <c r="DW4" i="265"/>
  <c r="DW4" i="273"/>
  <c r="DW4" i="275"/>
  <c r="DX113" i="273"/>
  <c r="DX114" i="273" s="1"/>
  <c r="DX119" i="273"/>
  <c r="DX120" i="273" s="1"/>
  <c r="DX108" i="273"/>
  <c r="DW109" i="273"/>
  <c r="DV112" i="273"/>
  <c r="DW60" i="273"/>
  <c r="DV66" i="273"/>
  <c r="DV67" i="273" s="1"/>
  <c r="DX76" i="273"/>
  <c r="DX42" i="273"/>
  <c r="DX52" i="273"/>
  <c r="DX38" i="273"/>
  <c r="DY39" i="273" s="1"/>
  <c r="DY41" i="273" s="1"/>
  <c r="DX118" i="273"/>
  <c r="DY75" i="273"/>
  <c r="DY32" i="273"/>
  <c r="DY33" i="273" s="1"/>
  <c r="DY90" i="273"/>
  <c r="DY91" i="273" s="1"/>
  <c r="DY100" i="273" s="1"/>
  <c r="DZ101" i="273" s="1"/>
  <c r="DZ59" i="273" s="1"/>
  <c r="DY96" i="273"/>
  <c r="DY97" i="273" s="1"/>
  <c r="DY2" i="275"/>
  <c r="DY2" i="265"/>
  <c r="DY2" i="273"/>
  <c r="DU3" i="273"/>
  <c r="DU3" i="275"/>
  <c r="DU3" i="265"/>
  <c r="DU50" i="273"/>
  <c r="EA5" i="275" l="1"/>
  <c r="EA5" i="265"/>
  <c r="EA13" i="273"/>
  <c r="EA14" i="273" s="1"/>
  <c r="EA5" i="273"/>
  <c r="DZ37" i="273"/>
  <c r="DZ56" i="273"/>
  <c r="DZ19" i="273"/>
  <c r="DZ20" i="273" s="1"/>
  <c r="DZ24" i="273" s="1"/>
  <c r="DZ25" i="273" s="1"/>
  <c r="DZ75" i="273" s="1"/>
  <c r="DZ47" i="273"/>
  <c r="DZ48" i="273" s="1"/>
  <c r="DZ51" i="273" s="1"/>
  <c r="DY119" i="273"/>
  <c r="DY120" i="273" s="1"/>
  <c r="DY113" i="273"/>
  <c r="DY114" i="273" s="1"/>
  <c r="DY108" i="273"/>
  <c r="DY38" i="273"/>
  <c r="DY118" i="273"/>
  <c r="DX57" i="273"/>
  <c r="DX60" i="273" s="1"/>
  <c r="DX79" i="273"/>
  <c r="DY80" i="273" s="1"/>
  <c r="DY58" i="273" s="1"/>
  <c r="DX15" i="275"/>
  <c r="DX20" i="275" s="1"/>
  <c r="DY17" i="275" s="1"/>
  <c r="DW66" i="273"/>
  <c r="DW67" i="273" s="1"/>
  <c r="DX109" i="273"/>
  <c r="DW112" i="273"/>
  <c r="DY42" i="273"/>
  <c r="DY52" i="273"/>
  <c r="DX4" i="275"/>
  <c r="DX4" i="273"/>
  <c r="DX4" i="265"/>
  <c r="DV3" i="275"/>
  <c r="DV50" i="273"/>
  <c r="DV3" i="265"/>
  <c r="DV3" i="273"/>
  <c r="DY76" i="273"/>
  <c r="DZ2" i="273" l="1"/>
  <c r="DZ2" i="265"/>
  <c r="DZ96" i="273"/>
  <c r="DZ97" i="273" s="1"/>
  <c r="DZ119" i="273" s="1"/>
  <c r="DZ120" i="273" s="1"/>
  <c r="DZ32" i="273"/>
  <c r="DZ33" i="273" s="1"/>
  <c r="DZ2" i="275"/>
  <c r="DZ90" i="273"/>
  <c r="DZ91" i="273" s="1"/>
  <c r="DZ100" i="273" s="1"/>
  <c r="EA101" i="273" s="1"/>
  <c r="EA59" i="273" s="1"/>
  <c r="DZ39" i="273"/>
  <c r="DZ41" i="273" s="1"/>
  <c r="DZ42" i="273" s="1"/>
  <c r="EA37" i="273"/>
  <c r="EA47" i="273"/>
  <c r="EA48" i="273" s="1"/>
  <c r="EA51" i="273" s="1"/>
  <c r="EA19" i="273"/>
  <c r="EA20" i="273" s="1"/>
  <c r="EA24" i="273" s="1"/>
  <c r="EA25" i="273" s="1"/>
  <c r="EA90" i="273" s="1"/>
  <c r="EA91" i="273" s="1"/>
  <c r="EA100" i="273" s="1"/>
  <c r="EA56" i="273"/>
  <c r="DY57" i="273"/>
  <c r="DY79" i="273"/>
  <c r="DZ80" i="273" s="1"/>
  <c r="DZ58" i="273" s="1"/>
  <c r="DY15" i="275"/>
  <c r="DY20" i="275" s="1"/>
  <c r="DZ17" i="275" s="1"/>
  <c r="DY4" i="265"/>
  <c r="DY4" i="273"/>
  <c r="DY4" i="275"/>
  <c r="DY109" i="273"/>
  <c r="DX112" i="273"/>
  <c r="DY60" i="273"/>
  <c r="DX66" i="273"/>
  <c r="DX67" i="273" s="1"/>
  <c r="EA75" i="273"/>
  <c r="EA32" i="273"/>
  <c r="EA33" i="273" s="1"/>
  <c r="EA2" i="265"/>
  <c r="EA96" i="273"/>
  <c r="EA97" i="273" s="1"/>
  <c r="DZ76" i="273"/>
  <c r="DZ113" i="273"/>
  <c r="DZ114" i="273" s="1"/>
  <c r="DZ108" i="273"/>
  <c r="DZ38" i="273"/>
  <c r="DZ118" i="273"/>
  <c r="DW3" i="273"/>
  <c r="DW50" i="273"/>
  <c r="DW3" i="265"/>
  <c r="DW3" i="275"/>
  <c r="EA39" i="273" l="1"/>
  <c r="EA41" i="273" s="1"/>
  <c r="EA52" i="273" s="1"/>
  <c r="DZ52" i="273"/>
  <c r="EA2" i="275"/>
  <c r="EA2" i="273"/>
  <c r="DZ57" i="273"/>
  <c r="DZ79" i="273"/>
  <c r="EA80" i="273" s="1"/>
  <c r="EA58" i="273" s="1"/>
  <c r="DZ15" i="275"/>
  <c r="DZ20" i="275" s="1"/>
  <c r="EA17" i="275" s="1"/>
  <c r="EA119" i="273"/>
  <c r="EA120" i="273" s="1"/>
  <c r="EA113" i="273"/>
  <c r="EA114" i="273" s="1"/>
  <c r="EA108" i="273"/>
  <c r="EA38" i="273"/>
  <c r="EA118" i="273"/>
  <c r="DZ60" i="273"/>
  <c r="DY66" i="273"/>
  <c r="DY67" i="273" s="1"/>
  <c r="DZ4" i="265"/>
  <c r="DZ4" i="275"/>
  <c r="DZ4" i="273"/>
  <c r="DX3" i="273"/>
  <c r="DX50" i="273"/>
  <c r="DX3" i="265"/>
  <c r="DX3" i="275"/>
  <c r="EA76" i="273"/>
  <c r="DY112" i="273"/>
  <c r="DZ109" i="273"/>
  <c r="EA42" i="273" l="1"/>
  <c r="DZ112" i="273"/>
  <c r="EA109" i="273"/>
  <c r="EA57" i="273"/>
  <c r="EA60" i="273" s="1"/>
  <c r="EA79" i="273"/>
  <c r="EA15" i="275"/>
  <c r="EA20" i="275" s="1"/>
  <c r="DZ66" i="273"/>
  <c r="DZ67" i="273" s="1"/>
  <c r="DY50" i="273"/>
  <c r="DY3" i="273"/>
  <c r="DY3" i="265"/>
  <c r="DY3" i="275"/>
  <c r="EA4" i="275"/>
  <c r="EA4" i="273"/>
  <c r="EA4" i="265"/>
  <c r="EA66" i="273" l="1"/>
  <c r="EA67" i="273" s="1"/>
  <c r="EA112" i="273"/>
  <c r="DZ50" i="273"/>
  <c r="DZ3" i="275"/>
  <c r="DZ3" i="273"/>
  <c r="DZ3" i="265"/>
  <c r="EA3" i="275" l="1"/>
  <c r="EA3" i="273"/>
  <c r="EA3" i="265"/>
  <c r="EA50" i="273"/>
  <c r="F11" i="273" l="1"/>
  <c r="H14" i="273" l="1"/>
  <c r="H56" i="273" l="1"/>
  <c r="H47" i="273"/>
  <c r="H19" i="273"/>
  <c r="H37" i="273"/>
  <c r="J59" i="277" l="1"/>
  <c r="J60" i="277" s="1"/>
  <c r="J64" i="277"/>
  <c r="K63" i="277"/>
  <c r="J70" i="277"/>
  <c r="K73" i="277"/>
  <c r="J74" i="277"/>
  <c r="J73" i="277"/>
  <c r="K69" i="277"/>
  <c r="L72" i="277"/>
  <c r="L63" i="277"/>
  <c r="L73" i="277"/>
  <c r="M70" i="277"/>
  <c r="K59" i="277"/>
  <c r="K60" i="277" s="1"/>
  <c r="M64" i="277"/>
  <c r="N71" i="277"/>
  <c r="M69" i="277"/>
  <c r="L59" i="277"/>
  <c r="L60" i="277" s="1"/>
  <c r="M63" i="277"/>
  <c r="M65" i="277" s="1"/>
  <c r="L70" i="277"/>
  <c r="N63" i="277"/>
  <c r="N64" i="277"/>
  <c r="N69" i="277"/>
  <c r="O70" i="277"/>
  <c r="P59" i="277"/>
  <c r="P60" i="277" s="1"/>
  <c r="P71" i="277"/>
  <c r="P69" i="277"/>
  <c r="O72" i="277"/>
  <c r="P63" i="277"/>
  <c r="O69" i="277"/>
  <c r="R74" i="277"/>
  <c r="R69" i="277"/>
  <c r="P73" i="277"/>
  <c r="O64" i="277"/>
  <c r="Q69" i="277"/>
  <c r="R59" i="277"/>
  <c r="R60" i="277" s="1"/>
  <c r="S73" i="277"/>
  <c r="Q59" i="277"/>
  <c r="Q60" i="277" s="1"/>
  <c r="Q70" i="277"/>
  <c r="R72" i="277"/>
  <c r="R70" i="277"/>
  <c r="Q63" i="277"/>
  <c r="R73" i="277"/>
  <c r="S64" i="277"/>
  <c r="S74" i="277"/>
  <c r="T64" i="277"/>
  <c r="T69" i="277"/>
  <c r="T72" i="277"/>
  <c r="S71" i="277"/>
  <c r="T74" i="277"/>
  <c r="U72" i="277"/>
  <c r="U74" i="277"/>
  <c r="U70" i="277"/>
  <c r="U59" i="277"/>
  <c r="U60" i="277" s="1"/>
  <c r="U63" i="277"/>
  <c r="V69" i="277"/>
  <c r="V74" i="277"/>
  <c r="V63" i="277"/>
  <c r="V59" i="277"/>
  <c r="V60" i="277" s="1"/>
  <c r="W70" i="277"/>
  <c r="V71" i="277"/>
  <c r="W72" i="277"/>
  <c r="W59" i="277"/>
  <c r="W60" i="277" s="1"/>
  <c r="X63" i="277"/>
  <c r="W73" i="277"/>
  <c r="X59" i="277"/>
  <c r="X60" i="277" s="1"/>
  <c r="X73" i="277"/>
  <c r="Z69" i="277"/>
  <c r="Y59" i="277"/>
  <c r="Y60" i="277" s="1"/>
  <c r="X74" i="277"/>
  <c r="X69" i="277"/>
  <c r="Y64" i="277"/>
  <c r="X64" i="277"/>
  <c r="AA72" i="277"/>
  <c r="AA59" i="277"/>
  <c r="AA60" i="277" s="1"/>
  <c r="Y70" i="277"/>
  <c r="AA63" i="277"/>
  <c r="Y74" i="277"/>
  <c r="Z59" i="277"/>
  <c r="Z60" i="277" s="1"/>
  <c r="AA69" i="277"/>
  <c r="AB71" i="277"/>
  <c r="AA74" i="277"/>
  <c r="AA70" i="277"/>
  <c r="AB63" i="277"/>
  <c r="AB59" i="277"/>
  <c r="AB60" i="277" s="1"/>
  <c r="AB72" i="277"/>
  <c r="AB73" i="277"/>
  <c r="AD73" i="277"/>
  <c r="AB64" i="277"/>
  <c r="AC71" i="277"/>
  <c r="AC70" i="277"/>
  <c r="AD70" i="277"/>
  <c r="AD64" i="277"/>
  <c r="AC73" i="277"/>
  <c r="AD63" i="277"/>
  <c r="AD65" i="277" s="1"/>
  <c r="AE71" i="277"/>
  <c r="AD72" i="277"/>
  <c r="AF63" i="277"/>
  <c r="AD59" i="277"/>
  <c r="AD60" i="277" s="1"/>
  <c r="AF71" i="277"/>
  <c r="AF70" i="277"/>
  <c r="AE72" i="277"/>
  <c r="AF69" i="277"/>
  <c r="AF74" i="277"/>
  <c r="AH71" i="277"/>
  <c r="AG70" i="277"/>
  <c r="AG69" i="277"/>
  <c r="AG63" i="277"/>
  <c r="AH59" i="277"/>
  <c r="AH60" i="277" s="1"/>
  <c r="AI69" i="277"/>
  <c r="AI63" i="277"/>
  <c r="AI74" i="277"/>
  <c r="AG71" i="277"/>
  <c r="AI70" i="277"/>
  <c r="AI72" i="277"/>
  <c r="AH64" i="277"/>
  <c r="AI73" i="277"/>
  <c r="AJ71" i="277"/>
  <c r="AI59" i="277"/>
  <c r="AI60" i="277" s="1"/>
  <c r="AJ69" i="277"/>
  <c r="AK72" i="277"/>
  <c r="AJ70" i="277"/>
  <c r="AK74" i="277"/>
  <c r="AK69" i="277"/>
  <c r="AK71" i="277"/>
  <c r="AM64" i="277"/>
  <c r="AK70" i="277"/>
  <c r="AN69" i="277"/>
  <c r="AN72" i="277"/>
  <c r="AK59" i="277"/>
  <c r="AK60" i="277" s="1"/>
  <c r="AM71" i="277"/>
  <c r="AL59" i="277"/>
  <c r="AL60" i="277" s="1"/>
  <c r="AM72" i="277"/>
  <c r="AN74" i="277"/>
  <c r="AK64" i="277"/>
  <c r="AL73" i="277"/>
  <c r="AN64" i="277"/>
  <c r="AN73" i="277"/>
  <c r="AM59" i="277"/>
  <c r="AM60" i="277" s="1"/>
  <c r="K70" i="277"/>
  <c r="J72" i="277"/>
  <c r="J63" i="277"/>
  <c r="J65" i="277" s="1"/>
  <c r="K64" i="277"/>
  <c r="K71" i="277"/>
  <c r="L69" i="277"/>
  <c r="L64" i="277"/>
  <c r="K72" i="277"/>
  <c r="N59" i="277"/>
  <c r="N60" i="277" s="1"/>
  <c r="L74" i="277"/>
  <c r="J71" i="277"/>
  <c r="M73" i="277"/>
  <c r="K74" i="277"/>
  <c r="J69" i="277"/>
  <c r="L71" i="277"/>
  <c r="M71" i="277"/>
  <c r="N72" i="277"/>
  <c r="M74" i="277"/>
  <c r="M59" i="277"/>
  <c r="M60" i="277" s="1"/>
  <c r="M72" i="277"/>
  <c r="N73" i="277"/>
  <c r="N70" i="277"/>
  <c r="N74" i="277"/>
  <c r="O74" i="277"/>
  <c r="O73" i="277"/>
  <c r="S63" i="277"/>
  <c r="S65" i="277" s="1"/>
  <c r="O63" i="277"/>
  <c r="P70" i="277"/>
  <c r="O71" i="277"/>
  <c r="O59" i="277"/>
  <c r="O60" i="277" s="1"/>
  <c r="Q72" i="277"/>
  <c r="P64" i="277"/>
  <c r="P72" i="277"/>
  <c r="P74" i="277"/>
  <c r="Q74" i="277"/>
  <c r="S69" i="277"/>
  <c r="Q73" i="277"/>
  <c r="Q71" i="277"/>
  <c r="S72" i="277"/>
  <c r="Q64" i="277"/>
  <c r="R63" i="277"/>
  <c r="R64" i="277"/>
  <c r="R71" i="277"/>
  <c r="T73" i="277"/>
  <c r="T71" i="277"/>
  <c r="S59" i="277"/>
  <c r="S60" i="277" s="1"/>
  <c r="T63" i="277"/>
  <c r="T70" i="277"/>
  <c r="T59" i="277"/>
  <c r="T60" i="277" s="1"/>
  <c r="S70" i="277"/>
  <c r="U69" i="277"/>
  <c r="U71" i="277"/>
  <c r="U73" i="277"/>
  <c r="U64" i="277"/>
  <c r="V72" i="277"/>
  <c r="V73" i="277"/>
  <c r="V64" i="277"/>
  <c r="V70" i="277"/>
  <c r="W63" i="277"/>
  <c r="W69" i="277"/>
  <c r="W74" i="277"/>
  <c r="W64" i="277"/>
  <c r="X70" i="277"/>
  <c r="W71" i="277"/>
  <c r="X72" i="277"/>
  <c r="X71" i="277"/>
  <c r="Z71" i="277"/>
  <c r="Z64" i="277"/>
  <c r="Y73" i="277"/>
  <c r="Z72" i="277"/>
  <c r="Z74" i="277"/>
  <c r="Y71" i="277"/>
  <c r="Z70" i="277"/>
  <c r="Z73" i="277"/>
  <c r="Y69" i="277"/>
  <c r="AA73" i="277"/>
  <c r="Z63" i="277"/>
  <c r="Y63" i="277"/>
  <c r="Y65" i="277" s="1"/>
  <c r="Y67" i="277" s="1"/>
  <c r="Y80" i="277" s="1"/>
  <c r="Y72" i="277"/>
  <c r="AB74" i="277"/>
  <c r="AA64" i="277"/>
  <c r="AA71" i="277"/>
  <c r="AC59" i="277"/>
  <c r="AC60" i="277" s="1"/>
  <c r="AB70" i="277"/>
  <c r="AC72" i="277"/>
  <c r="AC63" i="277"/>
  <c r="AE63" i="277"/>
  <c r="AC69" i="277"/>
  <c r="AC64" i="277"/>
  <c r="AD69" i="277"/>
  <c r="AD74" i="277"/>
  <c r="AB69" i="277"/>
  <c r="AB75" i="277" s="1"/>
  <c r="AB81" i="277" s="1"/>
  <c r="AC74" i="277"/>
  <c r="AE73" i="277"/>
  <c r="AE59" i="277"/>
  <c r="AE60" i="277" s="1"/>
  <c r="AE74" i="277"/>
  <c r="AD71" i="277"/>
  <c r="AE64" i="277"/>
  <c r="AE70" i="277"/>
  <c r="AF72" i="277"/>
  <c r="AF64" i="277"/>
  <c r="AE69" i="277"/>
  <c r="AF73" i="277"/>
  <c r="AF59" i="277"/>
  <c r="AF60" i="277" s="1"/>
  <c r="AG73" i="277"/>
  <c r="AG59" i="277"/>
  <c r="AG60" i="277" s="1"/>
  <c r="AH70" i="277"/>
  <c r="AG74" i="277"/>
  <c r="AG64" i="277"/>
  <c r="AG72" i="277"/>
  <c r="AJ59" i="277"/>
  <c r="AJ60" i="277" s="1"/>
  <c r="AH63" i="277"/>
  <c r="AH65" i="277" s="1"/>
  <c r="AH67" i="277" s="1"/>
  <c r="AH80" i="277" s="1"/>
  <c r="AH72" i="277"/>
  <c r="AH69" i="277"/>
  <c r="AH73" i="277"/>
  <c r="AH74" i="277"/>
  <c r="AJ64" i="277"/>
  <c r="AJ63" i="277"/>
  <c r="AI71" i="277"/>
  <c r="AI64" i="277"/>
  <c r="AJ73" i="277"/>
  <c r="AJ72" i="277"/>
  <c r="AL74" i="277"/>
  <c r="AK63" i="277"/>
  <c r="AK65" i="277" s="1"/>
  <c r="AK67" i="277" s="1"/>
  <c r="AK80" i="277" s="1"/>
  <c r="AJ74" i="277"/>
  <c r="AL72" i="277"/>
  <c r="AK73" i="277"/>
  <c r="AN71" i="277"/>
  <c r="AM63" i="277"/>
  <c r="AL63" i="277"/>
  <c r="AL70" i="277"/>
  <c r="AM73" i="277"/>
  <c r="AL64" i="277"/>
  <c r="AL71" i="277"/>
  <c r="AL69" i="277"/>
  <c r="AM69" i="277"/>
  <c r="AM74" i="277"/>
  <c r="AM70" i="277"/>
  <c r="AN59" i="277"/>
  <c r="AN60" i="277" s="1"/>
  <c r="AN63" i="277"/>
  <c r="AN65" i="277" s="1"/>
  <c r="AN70" i="277"/>
  <c r="H97" i="273"/>
  <c r="H91" i="273"/>
  <c r="H100" i="273" s="1"/>
  <c r="H76" i="273"/>
  <c r="L53" i="273"/>
  <c r="L3" i="277" s="1"/>
  <c r="M53" i="273"/>
  <c r="M3" i="277" s="1"/>
  <c r="O53" i="273"/>
  <c r="O3" i="277" s="1"/>
  <c r="P53" i="273"/>
  <c r="P3" i="277" s="1"/>
  <c r="N53" i="273"/>
  <c r="N3" i="277" s="1"/>
  <c r="R53" i="273"/>
  <c r="R3" i="277" s="1"/>
  <c r="Q53" i="273"/>
  <c r="Q3" i="277" s="1"/>
  <c r="T53" i="273"/>
  <c r="T3" i="277" s="1"/>
  <c r="S53" i="273"/>
  <c r="S3" i="277" s="1"/>
  <c r="U53" i="273"/>
  <c r="U3" i="277" s="1"/>
  <c r="Y53" i="273"/>
  <c r="W53" i="273"/>
  <c r="V53" i="273"/>
  <c r="V3" i="277" s="1"/>
  <c r="X53" i="273"/>
  <c r="Z53" i="273"/>
  <c r="AA53" i="273"/>
  <c r="AB53" i="273"/>
  <c r="AC53" i="273"/>
  <c r="AD53" i="273"/>
  <c r="AE53" i="273"/>
  <c r="AH53" i="273"/>
  <c r="AF53" i="273"/>
  <c r="AG53" i="273"/>
  <c r="AI53" i="273"/>
  <c r="AJ53" i="273"/>
  <c r="AK53" i="273"/>
  <c r="AL53" i="273"/>
  <c r="AM53" i="273"/>
  <c r="AN53" i="273"/>
  <c r="AO53" i="273"/>
  <c r="AQ53" i="273"/>
  <c r="AP53" i="273"/>
  <c r="AR53" i="273"/>
  <c r="AS53" i="273"/>
  <c r="AT53" i="273"/>
  <c r="AV53" i="273"/>
  <c r="AU53" i="273"/>
  <c r="AX53" i="273"/>
  <c r="AW53" i="273"/>
  <c r="AZ53" i="273"/>
  <c r="AY53" i="273"/>
  <c r="BB53" i="273"/>
  <c r="BA53" i="273"/>
  <c r="BC53" i="273"/>
  <c r="AM65" i="277" l="1"/>
  <c r="AM67" i="277" s="1"/>
  <c r="AM80" i="277" s="1"/>
  <c r="T65" i="277"/>
  <c r="T67" i="277" s="1"/>
  <c r="T80" i="277" s="1"/>
  <c r="O65" i="277"/>
  <c r="J67" i="277"/>
  <c r="J80" i="277" s="1"/>
  <c r="AL75" i="277"/>
  <c r="AL81" i="277" s="1"/>
  <c r="Z65" i="277"/>
  <c r="Z67" i="277" s="1"/>
  <c r="Z80" i="277" s="1"/>
  <c r="W65" i="277"/>
  <c r="W67" i="277" s="1"/>
  <c r="W80" i="277" s="1"/>
  <c r="R65" i="277"/>
  <c r="R67" i="277" s="1"/>
  <c r="R80" i="277" s="1"/>
  <c r="O67" i="277"/>
  <c r="O80" i="277" s="1"/>
  <c r="N65" i="277"/>
  <c r="N67" i="277" s="1"/>
  <c r="N80" i="277" s="1"/>
  <c r="H15" i="275"/>
  <c r="H79" i="273"/>
  <c r="H57" i="273"/>
  <c r="H113" i="273"/>
  <c r="H119" i="273"/>
  <c r="H108" i="273"/>
  <c r="AN67" i="277"/>
  <c r="AN80" i="277" s="1"/>
  <c r="AM75" i="277"/>
  <c r="AM81" i="277" s="1"/>
  <c r="AL65" i="277"/>
  <c r="AL67" i="277" s="1"/>
  <c r="AL80" i="277" s="1"/>
  <c r="AJ65" i="277"/>
  <c r="AJ67" i="277" s="1"/>
  <c r="AJ80" i="277" s="1"/>
  <c r="AH75" i="277"/>
  <c r="AH81" i="277" s="1"/>
  <c r="AE75" i="277"/>
  <c r="AE81" i="277" s="1"/>
  <c r="AD75" i="277"/>
  <c r="AD81" i="277" s="1"/>
  <c r="AC75" i="277"/>
  <c r="AC81" i="277" s="1"/>
  <c r="AC65" i="277"/>
  <c r="AC67" i="277" s="1"/>
  <c r="AC80" i="277" s="1"/>
  <c r="W75" i="277"/>
  <c r="W81" i="277" s="1"/>
  <c r="S75" i="277"/>
  <c r="S81" i="277" s="1"/>
  <c r="S67" i="277"/>
  <c r="S80" i="277" s="1"/>
  <c r="J75" i="277"/>
  <c r="J81" i="277" s="1"/>
  <c r="L75" i="277"/>
  <c r="L81" i="277" s="1"/>
  <c r="AN75" i="277"/>
  <c r="AN81" i="277" s="1"/>
  <c r="AK75" i="277"/>
  <c r="AK81" i="277" s="1"/>
  <c r="AJ75" i="277"/>
  <c r="AJ81" i="277" s="1"/>
  <c r="AI75" i="277"/>
  <c r="AI81" i="277" s="1"/>
  <c r="AG65" i="277"/>
  <c r="AG67" i="277" s="1"/>
  <c r="AG80" i="277" s="1"/>
  <c r="AF65" i="277"/>
  <c r="AF67" i="277" s="1"/>
  <c r="AF80" i="277" s="1"/>
  <c r="AB65" i="277"/>
  <c r="AB67" i="277" s="1"/>
  <c r="AB80" i="277" s="1"/>
  <c r="AA75" i="277"/>
  <c r="AA81" i="277" s="1"/>
  <c r="Z75" i="277"/>
  <c r="Z81" i="277" s="1"/>
  <c r="X65" i="277"/>
  <c r="X67" i="277" s="1"/>
  <c r="X80" i="277" s="1"/>
  <c r="V65" i="277"/>
  <c r="V67" i="277" s="1"/>
  <c r="V80" i="277" s="1"/>
  <c r="V75" i="277"/>
  <c r="V81" i="277" s="1"/>
  <c r="Q65" i="277"/>
  <c r="Q67" i="277" s="1"/>
  <c r="Q80" i="277" s="1"/>
  <c r="R75" i="277"/>
  <c r="R81" i="277" s="1"/>
  <c r="O75" i="277"/>
  <c r="O81" i="277" s="1"/>
  <c r="K65" i="277"/>
  <c r="K67" i="277" s="1"/>
  <c r="K80" i="277" s="1"/>
  <c r="H80" i="273"/>
  <c r="H58" i="273" s="1"/>
  <c r="AE65" i="277"/>
  <c r="AE67" i="277" s="1"/>
  <c r="AE80" i="277" s="1"/>
  <c r="Y75" i="277"/>
  <c r="Y81" i="277" s="1"/>
  <c r="Y83" i="277" s="1"/>
  <c r="U75" i="277"/>
  <c r="U81" i="277" s="1"/>
  <c r="J83" i="277"/>
  <c r="AI65" i="277"/>
  <c r="AI67" i="277" s="1"/>
  <c r="AI80" i="277" s="1"/>
  <c r="AG75" i="277"/>
  <c r="AG81" i="277" s="1"/>
  <c r="AG83" i="277" s="1"/>
  <c r="AF75" i="277"/>
  <c r="AF81" i="277" s="1"/>
  <c r="AD67" i="277"/>
  <c r="AD80" i="277" s="1"/>
  <c r="AA65" i="277"/>
  <c r="AA67" i="277" s="1"/>
  <c r="AA80" i="277" s="1"/>
  <c r="X75" i="277"/>
  <c r="X81" i="277" s="1"/>
  <c r="U65" i="277"/>
  <c r="U67" i="277" s="1"/>
  <c r="U80" i="277" s="1"/>
  <c r="T75" i="277"/>
  <c r="T81" i="277" s="1"/>
  <c r="Q75" i="277"/>
  <c r="Q81" i="277" s="1"/>
  <c r="P65" i="277"/>
  <c r="P67" i="277" s="1"/>
  <c r="P80" i="277" s="1"/>
  <c r="P75" i="277"/>
  <c r="P81" i="277" s="1"/>
  <c r="N75" i="277"/>
  <c r="N81" i="277" s="1"/>
  <c r="M67" i="277"/>
  <c r="M80" i="277" s="1"/>
  <c r="M75" i="277"/>
  <c r="M81" i="277" s="1"/>
  <c r="L65" i="277"/>
  <c r="L67" i="277" s="1"/>
  <c r="L80" i="277" s="1"/>
  <c r="K75" i="277"/>
  <c r="K81" i="277" s="1"/>
  <c r="AN3" i="277"/>
  <c r="AL3" i="277"/>
  <c r="AJ3" i="277"/>
  <c r="AG3" i="277"/>
  <c r="AH3" i="277"/>
  <c r="AD3" i="277"/>
  <c r="AB3" i="277"/>
  <c r="Z3" i="277"/>
  <c r="Y3" i="277"/>
  <c r="K53" i="273"/>
  <c r="K3" i="277" s="1"/>
  <c r="AM3" i="277"/>
  <c r="AK3" i="277"/>
  <c r="AI3" i="277"/>
  <c r="AF3" i="277"/>
  <c r="AE3" i="277"/>
  <c r="AC3" i="277"/>
  <c r="AA3" i="277"/>
  <c r="X3" i="277"/>
  <c r="W3" i="277"/>
  <c r="K31" i="277"/>
  <c r="J36" i="277"/>
  <c r="J31" i="277"/>
  <c r="K24" i="277"/>
  <c r="J30" i="277"/>
  <c r="K10" i="277"/>
  <c r="J35" i="277"/>
  <c r="K32" i="277"/>
  <c r="J39" i="277"/>
  <c r="K9" i="277"/>
  <c r="K11" i="277" s="1"/>
  <c r="K35" i="277"/>
  <c r="K18" i="277"/>
  <c r="J32" i="277"/>
  <c r="K40" i="277"/>
  <c r="K44" i="277"/>
  <c r="J40" i="277"/>
  <c r="J13" i="277"/>
  <c r="J51" i="277"/>
  <c r="J16" i="277"/>
  <c r="J24" i="277"/>
  <c r="J18" i="277"/>
  <c r="J44" i="277"/>
  <c r="K43" i="277"/>
  <c r="J21" i="277"/>
  <c r="J45" i="277"/>
  <c r="K21" i="277"/>
  <c r="J48" i="277"/>
  <c r="J9" i="277"/>
  <c r="J10" i="277"/>
  <c r="J17" i="277"/>
  <c r="J43" i="277"/>
  <c r="K48" i="277"/>
  <c r="K51" i="277"/>
  <c r="K30" i="277"/>
  <c r="K33" i="277" s="1"/>
  <c r="K39" i="277"/>
  <c r="O32" i="277"/>
  <c r="O48" i="277"/>
  <c r="K13" i="277"/>
  <c r="L44" i="277"/>
  <c r="L36" i="277"/>
  <c r="O10" i="277"/>
  <c r="K16" i="277"/>
  <c r="L45" i="277"/>
  <c r="L35" i="277"/>
  <c r="L51" i="277"/>
  <c r="K45" i="277"/>
  <c r="L13" i="277"/>
  <c r="L10" i="277"/>
  <c r="L43" i="277"/>
  <c r="L9" i="277"/>
  <c r="L11" i="277" s="1"/>
  <c r="L16" i="277"/>
  <c r="L17" i="277"/>
  <c r="L30" i="277"/>
  <c r="L31" i="277"/>
  <c r="L40" i="277"/>
  <c r="L48" i="277"/>
  <c r="L32" i="277"/>
  <c r="L21" i="277"/>
  <c r="K36" i="277"/>
  <c r="N43" i="277"/>
  <c r="L24" i="277"/>
  <c r="L39" i="277"/>
  <c r="K17" i="277"/>
  <c r="L18" i="277"/>
  <c r="O31" i="277"/>
  <c r="O44" i="277"/>
  <c r="M13" i="277"/>
  <c r="N36" i="277"/>
  <c r="M51" i="277"/>
  <c r="M31" i="277"/>
  <c r="N44" i="277"/>
  <c r="M36" i="277"/>
  <c r="M9" i="277"/>
  <c r="N32" i="277"/>
  <c r="O39" i="277"/>
  <c r="M24" i="277"/>
  <c r="N45" i="277"/>
  <c r="M45" i="277"/>
  <c r="O21" i="277"/>
  <c r="N48" i="277"/>
  <c r="M40" i="277"/>
  <c r="M10" i="277"/>
  <c r="M39" i="277"/>
  <c r="N9" i="277"/>
  <c r="N17" i="277"/>
  <c r="N35" i="277"/>
  <c r="M18" i="277"/>
  <c r="P21" i="277"/>
  <c r="N10" i="277"/>
  <c r="M44" i="277"/>
  <c r="N24" i="277"/>
  <c r="M21" i="277"/>
  <c r="N51" i="277"/>
  <c r="M30" i="277"/>
  <c r="O9" i="277"/>
  <c r="O11" i="277" s="1"/>
  <c r="M17" i="277"/>
  <c r="N13" i="277"/>
  <c r="O24" i="277"/>
  <c r="N31" i="277"/>
  <c r="M43" i="277"/>
  <c r="N21" i="277"/>
  <c r="N18" i="277"/>
  <c r="M48" i="277"/>
  <c r="N16" i="277"/>
  <c r="M32" i="277"/>
  <c r="M16" i="277"/>
  <c r="N40" i="277"/>
  <c r="M35" i="277"/>
  <c r="N30" i="277"/>
  <c r="O16" i="277"/>
  <c r="O43" i="277"/>
  <c r="N39" i="277"/>
  <c r="O30" i="277"/>
  <c r="O51" i="277"/>
  <c r="O45" i="277"/>
  <c r="O17" i="277"/>
  <c r="Q24" i="277"/>
  <c r="P16" i="277"/>
  <c r="O36" i="277"/>
  <c r="O40" i="277"/>
  <c r="P39" i="277"/>
  <c r="P48" i="277"/>
  <c r="O18" i="277"/>
  <c r="O35" i="277"/>
  <c r="P24" i="277"/>
  <c r="Q35" i="277"/>
  <c r="Q44" i="277"/>
  <c r="P40" i="277"/>
  <c r="P31" i="277"/>
  <c r="O13" i="277"/>
  <c r="P17" i="277"/>
  <c r="P44" i="277"/>
  <c r="P32" i="277"/>
  <c r="Q40" i="277"/>
  <c r="P18" i="277"/>
  <c r="P43" i="277"/>
  <c r="Q13" i="277"/>
  <c r="P35" i="277"/>
  <c r="P10" i="277"/>
  <c r="Q10" i="277"/>
  <c r="P13" i="277"/>
  <c r="Q48" i="277"/>
  <c r="P45" i="277"/>
  <c r="P36" i="277"/>
  <c r="P30" i="277"/>
  <c r="P33" i="277" s="1"/>
  <c r="P51" i="277"/>
  <c r="P9" i="277"/>
  <c r="P11" i="277" s="1"/>
  <c r="P14" i="277" s="1"/>
  <c r="Q16" i="277"/>
  <c r="Q36" i="277"/>
  <c r="S16" i="277"/>
  <c r="S43" i="277"/>
  <c r="Q18" i="277"/>
  <c r="Q31" i="277"/>
  <c r="Q32" i="277"/>
  <c r="Q30" i="277"/>
  <c r="Q45" i="277"/>
  <c r="Q17" i="277"/>
  <c r="S31" i="277"/>
  <c r="Q9" i="277"/>
  <c r="Q43" i="277"/>
  <c r="U9" i="277"/>
  <c r="S40" i="277"/>
  <c r="Q39" i="277"/>
  <c r="Q51" i="277"/>
  <c r="Q21" i="277"/>
  <c r="S24" i="277"/>
  <c r="R18" i="277"/>
  <c r="R10" i="277"/>
  <c r="S45" i="277"/>
  <c r="R21" i="277"/>
  <c r="S39" i="277"/>
  <c r="R16" i="277"/>
  <c r="S21" i="277"/>
  <c r="S17" i="277"/>
  <c r="R36" i="277"/>
  <c r="S9" i="277"/>
  <c r="S30" i="277"/>
  <c r="R44" i="277"/>
  <c r="S36" i="277"/>
  <c r="R35" i="277"/>
  <c r="S44" i="277"/>
  <c r="S48" i="277"/>
  <c r="R32" i="277"/>
  <c r="S10" i="277"/>
  <c r="R45" i="277"/>
  <c r="R51" i="277"/>
  <c r="R9" i="277"/>
  <c r="S13" i="277"/>
  <c r="R24" i="277"/>
  <c r="S35" i="277"/>
  <c r="R31" i="277"/>
  <c r="S18" i="277"/>
  <c r="S32" i="277"/>
  <c r="R40" i="277"/>
  <c r="R48" i="277"/>
  <c r="R17" i="277"/>
  <c r="R13" i="277"/>
  <c r="R39" i="277"/>
  <c r="R43" i="277"/>
  <c r="R30" i="277"/>
  <c r="S51" i="277"/>
  <c r="U36" i="277"/>
  <c r="T40" i="277"/>
  <c r="U18" i="277"/>
  <c r="T17" i="277"/>
  <c r="U30" i="277"/>
  <c r="U51" i="277"/>
  <c r="T43" i="277"/>
  <c r="T48" i="277"/>
  <c r="U40" i="277"/>
  <c r="U45" i="277"/>
  <c r="U48" i="277"/>
  <c r="U43" i="277"/>
  <c r="T18" i="277"/>
  <c r="T44" i="277"/>
  <c r="U24" i="277"/>
  <c r="T24" i="277"/>
  <c r="T9" i="277"/>
  <c r="U13" i="277"/>
  <c r="T36" i="277"/>
  <c r="T35" i="277"/>
  <c r="T45" i="277"/>
  <c r="U32" i="277"/>
  <c r="T30" i="277"/>
  <c r="U39" i="277"/>
  <c r="T13" i="277"/>
  <c r="U31" i="277"/>
  <c r="T21" i="277"/>
  <c r="U44" i="277"/>
  <c r="T31" i="277"/>
  <c r="T16" i="277"/>
  <c r="U35" i="277"/>
  <c r="T32" i="277"/>
  <c r="U10" i="277"/>
  <c r="T51" i="277"/>
  <c r="T39" i="277"/>
  <c r="U17" i="277"/>
  <c r="U16" i="277"/>
  <c r="T10" i="277"/>
  <c r="U21" i="277"/>
  <c r="V51" i="277"/>
  <c r="V43" i="277"/>
  <c r="V44" i="277"/>
  <c r="V31" i="277"/>
  <c r="V21" i="277"/>
  <c r="V35" i="277"/>
  <c r="V40" i="277"/>
  <c r="V9" i="277"/>
  <c r="V18" i="277"/>
  <c r="V10" i="277"/>
  <c r="V17" i="277"/>
  <c r="V24" i="277"/>
  <c r="V30" i="277"/>
  <c r="V45" i="277"/>
  <c r="V39" i="277"/>
  <c r="V16" i="277"/>
  <c r="V48" i="277"/>
  <c r="V36" i="277"/>
  <c r="V13" i="277"/>
  <c r="V32" i="277"/>
  <c r="X45" i="277"/>
  <c r="W31" i="277"/>
  <c r="X32" i="277"/>
  <c r="W24" i="277"/>
  <c r="W48" i="277"/>
  <c r="W43" i="277"/>
  <c r="X21" i="277"/>
  <c r="W13" i="277"/>
  <c r="W35" i="277"/>
  <c r="W40" i="277"/>
  <c r="X9" i="277"/>
  <c r="W16" i="277"/>
  <c r="W39" i="277"/>
  <c r="W45" i="277"/>
  <c r="X51" i="277"/>
  <c r="W32" i="277"/>
  <c r="X44" i="277"/>
  <c r="X10" i="277"/>
  <c r="X35" i="277"/>
  <c r="W18" i="277"/>
  <c r="X43" i="277"/>
  <c r="X24" i="277"/>
  <c r="W36" i="277"/>
  <c r="W10" i="277"/>
  <c r="W30" i="277"/>
  <c r="X40" i="277"/>
  <c r="W51" i="277"/>
  <c r="W17" i="277"/>
  <c r="X13" i="277"/>
  <c r="X39" i="277"/>
  <c r="X16" i="277"/>
  <c r="X30" i="277"/>
  <c r="X36" i="277"/>
  <c r="W44" i="277"/>
  <c r="W9" i="277"/>
  <c r="X48" i="277"/>
  <c r="X31" i="277"/>
  <c r="W21" i="277"/>
  <c r="Y21" i="277"/>
  <c r="Y17" i="277"/>
  <c r="Y48" i="277"/>
  <c r="AC9" i="277"/>
  <c r="Y43" i="277"/>
  <c r="Y44" i="277"/>
  <c r="X18" i="277"/>
  <c r="Y31" i="277"/>
  <c r="X17" i="277"/>
  <c r="Y35" i="277"/>
  <c r="Y30" i="277"/>
  <c r="Y39" i="277"/>
  <c r="Y24" i="277"/>
  <c r="Y16" i="277"/>
  <c r="Y18" i="277"/>
  <c r="Y32" i="277"/>
  <c r="AA39" i="277"/>
  <c r="Y45" i="277"/>
  <c r="Y40" i="277"/>
  <c r="Y13" i="277"/>
  <c r="Y10" i="277"/>
  <c r="Y51" i="277"/>
  <c r="Y9" i="277"/>
  <c r="Y11" i="277" s="1"/>
  <c r="Y36" i="277"/>
  <c r="AA35" i="277"/>
  <c r="AA51" i="277"/>
  <c r="AE32" i="277"/>
  <c r="Z32" i="277"/>
  <c r="AA13" i="277"/>
  <c r="Z36" i="277"/>
  <c r="Z9" i="277"/>
  <c r="AA10" i="277"/>
  <c r="Z31" i="277"/>
  <c r="AA21" i="277"/>
  <c r="Z21" i="277"/>
  <c r="AA9" i="277"/>
  <c r="AA11" i="277" s="1"/>
  <c r="AA14" i="277" s="1"/>
  <c r="Z40" i="277"/>
  <c r="Z45" i="277"/>
  <c r="AA44" i="277"/>
  <c r="AA24" i="277"/>
  <c r="AC13" i="277"/>
  <c r="Z10" i="277"/>
  <c r="AA17" i="277"/>
  <c r="Z24" i="277"/>
  <c r="AA36" i="277"/>
  <c r="Z16" i="277"/>
  <c r="AA32" i="277"/>
  <c r="AA16" i="277"/>
  <c r="AC51" i="277"/>
  <c r="Z18" i="277"/>
  <c r="Z48" i="277"/>
  <c r="AA43" i="277"/>
  <c r="Z39" i="277"/>
  <c r="Z30" i="277"/>
  <c r="Z33" i="277" s="1"/>
  <c r="Z51" i="277"/>
  <c r="AA18" i="277"/>
  <c r="AA40" i="277"/>
  <c r="AC45" i="277"/>
  <c r="AC32" i="277"/>
  <c r="Z13" i="277"/>
  <c r="Z35" i="277"/>
  <c r="AA45" i="277"/>
  <c r="Z43" i="277"/>
  <c r="Z17" i="277"/>
  <c r="Z44" i="277"/>
  <c r="AA30" i="277"/>
  <c r="AA31" i="277"/>
  <c r="AA48" i="277"/>
  <c r="AC16" i="277"/>
  <c r="AB9" i="277"/>
  <c r="AB43" i="277"/>
  <c r="AB48" i="277"/>
  <c r="AC30" i="277"/>
  <c r="AB16" i="277"/>
  <c r="AC24" i="277"/>
  <c r="AB24" i="277"/>
  <c r="AC21" i="277"/>
  <c r="AC18" i="277"/>
  <c r="AB32" i="277"/>
  <c r="AB17" i="277"/>
  <c r="AC35" i="277"/>
  <c r="AC40" i="277"/>
  <c r="AB35" i="277"/>
  <c r="AB10" i="277"/>
  <c r="AC10" i="277"/>
  <c r="AC36" i="277"/>
  <c r="AB31" i="277"/>
  <c r="AB39" i="277"/>
  <c r="AC43" i="277"/>
  <c r="AC48" i="277"/>
  <c r="AB36" i="277"/>
  <c r="AB45" i="277"/>
  <c r="AC39" i="277"/>
  <c r="AE40" i="277"/>
  <c r="AE36" i="277"/>
  <c r="AB18" i="277"/>
  <c r="AB13" i="277"/>
  <c r="AB40" i="277"/>
  <c r="AC31" i="277"/>
  <c r="AB21" i="277"/>
  <c r="AB44" i="277"/>
  <c r="AC44" i="277"/>
  <c r="AB30" i="277"/>
  <c r="AB33" i="277" s="1"/>
  <c r="AB37" i="277" s="1"/>
  <c r="AB51" i="277"/>
  <c r="AC17" i="277"/>
  <c r="AE9" i="277"/>
  <c r="AE17" i="277"/>
  <c r="AE10" i="277"/>
  <c r="AE43" i="277"/>
  <c r="AE48" i="277"/>
  <c r="AD32" i="277"/>
  <c r="AD21" i="277"/>
  <c r="AD16" i="277"/>
  <c r="AE24" i="277"/>
  <c r="AD35" i="277"/>
  <c r="AD17" i="277"/>
  <c r="AE45" i="277"/>
  <c r="AD44" i="277"/>
  <c r="AD43" i="277"/>
  <c r="AD24" i="277"/>
  <c r="AE30" i="277"/>
  <c r="AD13" i="277"/>
  <c r="AE21" i="277"/>
  <c r="AD51" i="277"/>
  <c r="AE51" i="277"/>
  <c r="AE16" i="277"/>
  <c r="AE13" i="277"/>
  <c r="AD40" i="277"/>
  <c r="AE35" i="277"/>
  <c r="AD36" i="277"/>
  <c r="AE39" i="277"/>
  <c r="AD9" i="277"/>
  <c r="AD48" i="277"/>
  <c r="AE44" i="277"/>
  <c r="AD18" i="277"/>
  <c r="AE18" i="277"/>
  <c r="AD39" i="277"/>
  <c r="AE31" i="277"/>
  <c r="AD45" i="277"/>
  <c r="AD10" i="277"/>
  <c r="AD30" i="277"/>
  <c r="AD31" i="277"/>
  <c r="AF18" i="277"/>
  <c r="AF51" i="277"/>
  <c r="AH32" i="277"/>
  <c r="AG45" i="277"/>
  <c r="AF13" i="277"/>
  <c r="AF21" i="277"/>
  <c r="AH24" i="277"/>
  <c r="AG51" i="277"/>
  <c r="AG31" i="277"/>
  <c r="AF16" i="277"/>
  <c r="AF24" i="277"/>
  <c r="AF9" i="277"/>
  <c r="AG21" i="277"/>
  <c r="AG16" i="277"/>
  <c r="AF17" i="277"/>
  <c r="AF31" i="277"/>
  <c r="AF45" i="277"/>
  <c r="AG40" i="277"/>
  <c r="AF32" i="277"/>
  <c r="AF43" i="277"/>
  <c r="AF48" i="277"/>
  <c r="AH18" i="277"/>
  <c r="AG48" i="277"/>
  <c r="AF10" i="277"/>
  <c r="AF40" i="277"/>
  <c r="AH45" i="277"/>
  <c r="AG10" i="277"/>
  <c r="AG24" i="277"/>
  <c r="AF35" i="277"/>
  <c r="AF44" i="277"/>
  <c r="AF30" i="277"/>
  <c r="AI36" i="277"/>
  <c r="AH9" i="277"/>
  <c r="AG17" i="277"/>
  <c r="AH35" i="277"/>
  <c r="AI9" i="277"/>
  <c r="AG44" i="277"/>
  <c r="AG9" i="277"/>
  <c r="AG11" i="277" s="1"/>
  <c r="AH36" i="277"/>
  <c r="AI45" i="277"/>
  <c r="AH44" i="277"/>
  <c r="AG35" i="277"/>
  <c r="AH48" i="277"/>
  <c r="AI13" i="277"/>
  <c r="AG18" i="277"/>
  <c r="AH40" i="277"/>
  <c r="AF39" i="277"/>
  <c r="AF36" i="277"/>
  <c r="AG43" i="277"/>
  <c r="AH51" i="277"/>
  <c r="AI21" i="277"/>
  <c r="AH16" i="277"/>
  <c r="AG30" i="277"/>
  <c r="AH30" i="277"/>
  <c r="AI43" i="277"/>
  <c r="AG36" i="277"/>
  <c r="AH21" i="277"/>
  <c r="AH39" i="277"/>
  <c r="AH17" i="277"/>
  <c r="AH10" i="277"/>
  <c r="AG32" i="277"/>
  <c r="AH43" i="277"/>
  <c r="AJ24" i="277"/>
  <c r="AI24" i="277"/>
  <c r="AJ16" i="277"/>
  <c r="AI18" i="277"/>
  <c r="AJ31" i="277"/>
  <c r="AI16" i="277"/>
  <c r="AI32" i="277"/>
  <c r="AH31" i="277"/>
  <c r="AG39" i="277"/>
  <c r="AG13" i="277"/>
  <c r="AH13" i="277"/>
  <c r="AJ40" i="277"/>
  <c r="AJ10" i="277"/>
  <c r="AJ9" i="277"/>
  <c r="AJ11" i="277" s="1"/>
  <c r="AI39" i="277"/>
  <c r="AJ13" i="277"/>
  <c r="AJ36" i="277"/>
  <c r="AI10" i="277"/>
  <c r="AJ32" i="277"/>
  <c r="AI40" i="277"/>
  <c r="AJ51" i="277"/>
  <c r="AI30" i="277"/>
  <c r="AJ18" i="277"/>
  <c r="AJ43" i="277"/>
  <c r="AI51" i="277"/>
  <c r="AK17" i="277"/>
  <c r="AI17" i="277"/>
  <c r="AI35" i="277"/>
  <c r="AJ45" i="277"/>
  <c r="AI48" i="277"/>
  <c r="AK9" i="277"/>
  <c r="AK10" i="277"/>
  <c r="AJ44" i="277"/>
  <c r="AI44" i="277"/>
  <c r="AK48" i="277"/>
  <c r="AJ17" i="277"/>
  <c r="AK18" i="277"/>
  <c r="AJ39" i="277"/>
  <c r="AJ30" i="277"/>
  <c r="AJ33" i="277" s="1"/>
  <c r="AI31" i="277"/>
  <c r="AJ48" i="277"/>
  <c r="AK44" i="277"/>
  <c r="AK51" i="277"/>
  <c r="AK40" i="277"/>
  <c r="AK43" i="277"/>
  <c r="AK39" i="277"/>
  <c r="AK16" i="277"/>
  <c r="AJ35" i="277"/>
  <c r="AK21" i="277"/>
  <c r="AK31" i="277"/>
  <c r="AL36" i="277"/>
  <c r="AK35" i="277"/>
  <c r="AJ21" i="277"/>
  <c r="AK24" i="277"/>
  <c r="AK36" i="277"/>
  <c r="AK30" i="277"/>
  <c r="AK33" i="277" s="1"/>
  <c r="AK37" i="277" s="1"/>
  <c r="AK41" i="277" s="1"/>
  <c r="AL40" i="277"/>
  <c r="AL13" i="277"/>
  <c r="AK32" i="277"/>
  <c r="AK45" i="277"/>
  <c r="AL51" i="277"/>
  <c r="AL43" i="277"/>
  <c r="AK13" i="277"/>
  <c r="AL30" i="277"/>
  <c r="AL35" i="277"/>
  <c r="AL17" i="277"/>
  <c r="AM48" i="277"/>
  <c r="AM51" i="277"/>
  <c r="AL39" i="277"/>
  <c r="AL31" i="277"/>
  <c r="AL9" i="277"/>
  <c r="AM32" i="277"/>
  <c r="AM45" i="277"/>
  <c r="AL44" i="277"/>
  <c r="AN17" i="277"/>
  <c r="AM24" i="277"/>
  <c r="AL45" i="277"/>
  <c r="AM40" i="277"/>
  <c r="AL21" i="277"/>
  <c r="AM39" i="277"/>
  <c r="AN51" i="277"/>
  <c r="AM10" i="277"/>
  <c r="AM44" i="277"/>
  <c r="AL10" i="277"/>
  <c r="AN18" i="277"/>
  <c r="AL16" i="277"/>
  <c r="AM16" i="277"/>
  <c r="AN9" i="277"/>
  <c r="AM31" i="277"/>
  <c r="AM43" i="277"/>
  <c r="AL32" i="277"/>
  <c r="AL24" i="277"/>
  <c r="AM9" i="277"/>
  <c r="AL48" i="277"/>
  <c r="AN30" i="277"/>
  <c r="AN43" i="277"/>
  <c r="AM35" i="277"/>
  <c r="AN39" i="277"/>
  <c r="AM18" i="277"/>
  <c r="AN16" i="277"/>
  <c r="AN32" i="277"/>
  <c r="AN45" i="277"/>
  <c r="AN21" i="277"/>
  <c r="AL18" i="277"/>
  <c r="AM13" i="277"/>
  <c r="AM21" i="277"/>
  <c r="AN48" i="277"/>
  <c r="AN36" i="277"/>
  <c r="AN13" i="277"/>
  <c r="AM36" i="277"/>
  <c r="AN31" i="277"/>
  <c r="AN35" i="277"/>
  <c r="AM17" i="277"/>
  <c r="AN24" i="277"/>
  <c r="AM30" i="277"/>
  <c r="AN40" i="277"/>
  <c r="AN44" i="277"/>
  <c r="AN10" i="277"/>
  <c r="L14" i="277" l="1"/>
  <c r="J82" i="277"/>
  <c r="Q83" i="277"/>
  <c r="R33" i="277"/>
  <c r="R37" i="277" s="1"/>
  <c r="R41" i="277" s="1"/>
  <c r="R46" i="277" s="1"/>
  <c r="R49" i="277" s="1"/>
  <c r="R52" i="277" s="1"/>
  <c r="N11" i="277"/>
  <c r="N14" i="277" s="1"/>
  <c r="N19" i="277" s="1"/>
  <c r="N22" i="277" s="1"/>
  <c r="N25" i="277" s="1"/>
  <c r="N83" i="277"/>
  <c r="N82" i="277"/>
  <c r="U82" i="277"/>
  <c r="U83" i="277"/>
  <c r="AA83" i="277"/>
  <c r="AA82" i="277"/>
  <c r="AI83" i="277"/>
  <c r="AI82" i="277"/>
  <c r="AE82" i="277"/>
  <c r="AE83" i="277"/>
  <c r="O82" i="277"/>
  <c r="O83" i="277"/>
  <c r="Q82" i="277"/>
  <c r="V82" i="277"/>
  <c r="V83" i="277"/>
  <c r="Z82" i="277"/>
  <c r="Z83" i="277"/>
  <c r="AB83" i="277"/>
  <c r="AB82" i="277"/>
  <c r="AG82" i="277"/>
  <c r="S82" i="277"/>
  <c r="S83" i="277"/>
  <c r="W82" i="277"/>
  <c r="W83" i="277"/>
  <c r="AC82" i="277"/>
  <c r="AC83" i="277"/>
  <c r="AH82" i="277"/>
  <c r="AH83" i="277"/>
  <c r="AL82" i="277"/>
  <c r="AL83" i="277"/>
  <c r="AN82" i="277"/>
  <c r="AN83" i="277"/>
  <c r="AI33" i="277"/>
  <c r="AI37" i="277" s="1"/>
  <c r="AI41" i="277" s="1"/>
  <c r="AI46" i="277" s="1"/>
  <c r="AI49" i="277" s="1"/>
  <c r="AI52" i="277" s="1"/>
  <c r="AA33" i="277"/>
  <c r="AA37" i="277" s="1"/>
  <c r="AA41" i="277" s="1"/>
  <c r="AA46" i="277" s="1"/>
  <c r="AA49" i="277" s="1"/>
  <c r="AA52" i="277" s="1"/>
  <c r="Z37" i="277"/>
  <c r="Z41" i="277" s="1"/>
  <c r="Z46" i="277" s="1"/>
  <c r="Z49" i="277" s="1"/>
  <c r="Z52" i="277" s="1"/>
  <c r="AC11" i="277"/>
  <c r="AC14" i="277" s="1"/>
  <c r="AC19" i="277" s="1"/>
  <c r="AC22" i="277" s="1"/>
  <c r="AC25" i="277" s="1"/>
  <c r="X33" i="277"/>
  <c r="X37" i="277" s="1"/>
  <c r="X41" i="277" s="1"/>
  <c r="X46" i="277" s="1"/>
  <c r="X49" i="277" s="1"/>
  <c r="X52" i="277" s="1"/>
  <c r="T11" i="277"/>
  <c r="T14" i="277" s="1"/>
  <c r="T19" i="277" s="1"/>
  <c r="T22" i="277" s="1"/>
  <c r="T25" i="277" s="1"/>
  <c r="U33" i="277"/>
  <c r="U37" i="277" s="1"/>
  <c r="U41" i="277" s="1"/>
  <c r="U46" i="277" s="1"/>
  <c r="U49" i="277" s="1"/>
  <c r="U52" i="277" s="1"/>
  <c r="M33" i="277"/>
  <c r="K37" i="277"/>
  <c r="K41" i="277" s="1"/>
  <c r="K46" i="277" s="1"/>
  <c r="K49" i="277" s="1"/>
  <c r="K52" i="277" s="1"/>
  <c r="L83" i="277"/>
  <c r="L82" i="277"/>
  <c r="M83" i="277"/>
  <c r="M82" i="277"/>
  <c r="P83" i="277"/>
  <c r="P82" i="277"/>
  <c r="AD82" i="277"/>
  <c r="AD83" i="277"/>
  <c r="T82" i="277"/>
  <c r="T83" i="277"/>
  <c r="K83" i="277"/>
  <c r="K82" i="277"/>
  <c r="R82" i="277"/>
  <c r="R83" i="277"/>
  <c r="X83" i="277"/>
  <c r="X82" i="277"/>
  <c r="AF83" i="277"/>
  <c r="AF82" i="277"/>
  <c r="AK82" i="277"/>
  <c r="AK83" i="277"/>
  <c r="Y82" i="277"/>
  <c r="AJ82" i="277"/>
  <c r="AJ83" i="277"/>
  <c r="AM82" i="277"/>
  <c r="AM83" i="277"/>
  <c r="AJ14" i="277"/>
  <c r="AJ19" i="277" s="1"/>
  <c r="AJ22" i="277" s="1"/>
  <c r="AJ25" i="277" s="1"/>
  <c r="AH33" i="277"/>
  <c r="AH37" i="277" s="1"/>
  <c r="AH41" i="277" s="1"/>
  <c r="AH46" i="277" s="1"/>
  <c r="AH49" i="277" s="1"/>
  <c r="AH52" i="277" s="1"/>
  <c r="AG14" i="277"/>
  <c r="AG19" i="277" s="1"/>
  <c r="AG22" i="277" s="1"/>
  <c r="AG25" i="277" s="1"/>
  <c r="AI11" i="277"/>
  <c r="AI14" i="277" s="1"/>
  <c r="AI19" i="277" s="1"/>
  <c r="AI22" i="277" s="1"/>
  <c r="AI25" i="277" s="1"/>
  <c r="AF11" i="277"/>
  <c r="AF14" i="277" s="1"/>
  <c r="AF19" i="277" s="1"/>
  <c r="AF22" i="277" s="1"/>
  <c r="AF25" i="277" s="1"/>
  <c r="AD11" i="277"/>
  <c r="AD14" i="277" s="1"/>
  <c r="AD19" i="277" s="1"/>
  <c r="AD22" i="277" s="1"/>
  <c r="AD25" i="277" s="1"/>
  <c r="AE11" i="277"/>
  <c r="AE14" i="277" s="1"/>
  <c r="AE19" i="277" s="1"/>
  <c r="AE22" i="277" s="1"/>
  <c r="AE25" i="277" s="1"/>
  <c r="AB11" i="277"/>
  <c r="AB14" i="277" s="1"/>
  <c r="AB19" i="277" s="1"/>
  <c r="AB22" i="277" s="1"/>
  <c r="AB25" i="277" s="1"/>
  <c r="AA19" i="277"/>
  <c r="AA22" i="277" s="1"/>
  <c r="AA25" i="277" s="1"/>
  <c r="V11" i="277"/>
  <c r="V14" i="277" s="1"/>
  <c r="V19" i="277" s="1"/>
  <c r="V22" i="277" s="1"/>
  <c r="V25" i="277" s="1"/>
  <c r="T33" i="277"/>
  <c r="T37" i="277" s="1"/>
  <c r="T41" i="277" s="1"/>
  <c r="T46" i="277" s="1"/>
  <c r="T49" i="277" s="1"/>
  <c r="T52" i="277" s="1"/>
  <c r="S11" i="277"/>
  <c r="S14" i="277" s="1"/>
  <c r="S19" i="277" s="1"/>
  <c r="S22" i="277" s="1"/>
  <c r="S25" i="277" s="1"/>
  <c r="M37" i="277"/>
  <c r="M41" i="277" s="1"/>
  <c r="M46" i="277" s="1"/>
  <c r="M49" i="277" s="1"/>
  <c r="M52" i="277" s="1"/>
  <c r="L19" i="277"/>
  <c r="L22" i="277" s="1"/>
  <c r="L25" i="277" s="1"/>
  <c r="H17" i="277"/>
  <c r="J11" i="277"/>
  <c r="H9" i="277"/>
  <c r="H21" i="277"/>
  <c r="H44" i="277"/>
  <c r="H24" i="277"/>
  <c r="H51" i="277"/>
  <c r="H40" i="277"/>
  <c r="K14" i="277"/>
  <c r="K19" i="277" s="1"/>
  <c r="K22" i="277" s="1"/>
  <c r="K25" i="277" s="1"/>
  <c r="H36" i="277"/>
  <c r="AN11" i="277"/>
  <c r="AN14" i="277" s="1"/>
  <c r="AN19" i="277" s="1"/>
  <c r="AN22" i="277" s="1"/>
  <c r="AN25" i="277" s="1"/>
  <c r="AL33" i="277"/>
  <c r="AL37" i="277" s="1"/>
  <c r="AL41" i="277" s="1"/>
  <c r="AL46" i="277" s="1"/>
  <c r="AL49" i="277" s="1"/>
  <c r="AL52" i="277" s="1"/>
  <c r="AK46" i="277"/>
  <c r="AK49" i="277" s="1"/>
  <c r="AK52" i="277" s="1"/>
  <c r="AM33" i="277"/>
  <c r="AM37" i="277" s="1"/>
  <c r="AM41" i="277" s="1"/>
  <c r="AM46" i="277" s="1"/>
  <c r="AM49" i="277" s="1"/>
  <c r="AM52" i="277" s="1"/>
  <c r="AN33" i="277"/>
  <c r="AN37" i="277" s="1"/>
  <c r="AN41" i="277" s="1"/>
  <c r="AN46" i="277" s="1"/>
  <c r="AN49" i="277" s="1"/>
  <c r="AN52" i="277" s="1"/>
  <c r="AM11" i="277"/>
  <c r="AM14" i="277" s="1"/>
  <c r="AM19" i="277" s="1"/>
  <c r="AM22" i="277" s="1"/>
  <c r="AM25" i="277" s="1"/>
  <c r="AL11" i="277"/>
  <c r="AL14" i="277" s="1"/>
  <c r="AL19" i="277" s="1"/>
  <c r="AL22" i="277" s="1"/>
  <c r="AL25" i="277" s="1"/>
  <c r="AJ37" i="277"/>
  <c r="AJ41" i="277" s="1"/>
  <c r="AJ46" i="277" s="1"/>
  <c r="AJ49" i="277" s="1"/>
  <c r="AJ52" i="277" s="1"/>
  <c r="AK11" i="277"/>
  <c r="AK14" i="277" s="1"/>
  <c r="AK19" i="277" s="1"/>
  <c r="AK22" i="277" s="1"/>
  <c r="AK25" i="277" s="1"/>
  <c r="AG33" i="277"/>
  <c r="AG37" i="277" s="1"/>
  <c r="AG41" i="277" s="1"/>
  <c r="AG46" i="277" s="1"/>
  <c r="AG49" i="277" s="1"/>
  <c r="AG52" i="277" s="1"/>
  <c r="AH11" i="277"/>
  <c r="AH14" i="277" s="1"/>
  <c r="AH19" i="277" s="1"/>
  <c r="AH22" i="277" s="1"/>
  <c r="AH25" i="277" s="1"/>
  <c r="AF33" i="277"/>
  <c r="AF37" i="277" s="1"/>
  <c r="AF41" i="277" s="1"/>
  <c r="AF46" i="277" s="1"/>
  <c r="AF49" i="277" s="1"/>
  <c r="AF52" i="277" s="1"/>
  <c r="AD33" i="277"/>
  <c r="AD37" i="277" s="1"/>
  <c r="AD41" i="277" s="1"/>
  <c r="AD46" i="277" s="1"/>
  <c r="AD49" i="277" s="1"/>
  <c r="AD52" i="277" s="1"/>
  <c r="AE33" i="277"/>
  <c r="AE37" i="277" s="1"/>
  <c r="AE41" i="277" s="1"/>
  <c r="AE46" i="277" s="1"/>
  <c r="AE49" i="277" s="1"/>
  <c r="AE52" i="277" s="1"/>
  <c r="AB41" i="277"/>
  <c r="AB46" i="277" s="1"/>
  <c r="AB49" i="277" s="1"/>
  <c r="AB52" i="277" s="1"/>
  <c r="AC33" i="277"/>
  <c r="AC37" i="277" s="1"/>
  <c r="AC41" i="277" s="1"/>
  <c r="AC46" i="277" s="1"/>
  <c r="AC49" i="277" s="1"/>
  <c r="AC52" i="277" s="1"/>
  <c r="Z11" i="277"/>
  <c r="Z14" i="277" s="1"/>
  <c r="Z19" i="277" s="1"/>
  <c r="Z22" i="277" s="1"/>
  <c r="Z25" i="277" s="1"/>
  <c r="Y14" i="277"/>
  <c r="Y19" i="277" s="1"/>
  <c r="Y22" i="277" s="1"/>
  <c r="Y25" i="277" s="1"/>
  <c r="Y33" i="277"/>
  <c r="Y37" i="277" s="1"/>
  <c r="Y41" i="277" s="1"/>
  <c r="Y46" i="277" s="1"/>
  <c r="Y49" i="277" s="1"/>
  <c r="Y52" i="277" s="1"/>
  <c r="W11" i="277"/>
  <c r="W14" i="277" s="1"/>
  <c r="W19" i="277" s="1"/>
  <c r="W22" i="277" s="1"/>
  <c r="W25" i="277" s="1"/>
  <c r="W33" i="277"/>
  <c r="W37" i="277" s="1"/>
  <c r="W41" i="277" s="1"/>
  <c r="W46" i="277" s="1"/>
  <c r="W49" i="277" s="1"/>
  <c r="W52" i="277" s="1"/>
  <c r="X11" i="277"/>
  <c r="X14" i="277" s="1"/>
  <c r="X19" i="277" s="1"/>
  <c r="X22" i="277" s="1"/>
  <c r="X25" i="277" s="1"/>
  <c r="V33" i="277"/>
  <c r="V37" i="277" s="1"/>
  <c r="V41" i="277" s="1"/>
  <c r="V46" i="277" s="1"/>
  <c r="V49" i="277" s="1"/>
  <c r="V52" i="277" s="1"/>
  <c r="R11" i="277"/>
  <c r="R14" i="277" s="1"/>
  <c r="R19" i="277" s="1"/>
  <c r="R22" i="277" s="1"/>
  <c r="R25" i="277" s="1"/>
  <c r="S33" i="277"/>
  <c r="S37" i="277" s="1"/>
  <c r="S41" i="277" s="1"/>
  <c r="S46" i="277" s="1"/>
  <c r="S49" i="277" s="1"/>
  <c r="S52" i="277" s="1"/>
  <c r="U11" i="277"/>
  <c r="U14" i="277" s="1"/>
  <c r="U19" i="277" s="1"/>
  <c r="U22" i="277" s="1"/>
  <c r="U25" i="277" s="1"/>
  <c r="Q11" i="277"/>
  <c r="Q14" i="277" s="1"/>
  <c r="Q19" i="277" s="1"/>
  <c r="Q22" i="277" s="1"/>
  <c r="Q25" i="277" s="1"/>
  <c r="Q33" i="277"/>
  <c r="Q37" i="277" s="1"/>
  <c r="Q41" i="277" s="1"/>
  <c r="Q46" i="277" s="1"/>
  <c r="Q49" i="277" s="1"/>
  <c r="Q52" i="277" s="1"/>
  <c r="P19" i="277"/>
  <c r="P22" i="277" s="1"/>
  <c r="P25" i="277" s="1"/>
  <c r="P37" i="277"/>
  <c r="P41" i="277" s="1"/>
  <c r="P46" i="277" s="1"/>
  <c r="P49" i="277" s="1"/>
  <c r="P52" i="277" s="1"/>
  <c r="O33" i="277"/>
  <c r="O37" i="277" s="1"/>
  <c r="O41" i="277" s="1"/>
  <c r="O46" i="277" s="1"/>
  <c r="O49" i="277" s="1"/>
  <c r="O52" i="277" s="1"/>
  <c r="N33" i="277"/>
  <c r="N37" i="277" s="1"/>
  <c r="N41" i="277" s="1"/>
  <c r="N46" i="277" s="1"/>
  <c r="N49" i="277" s="1"/>
  <c r="N52" i="277" s="1"/>
  <c r="O14" i="277"/>
  <c r="O19" i="277" s="1"/>
  <c r="O22" i="277" s="1"/>
  <c r="O25" i="277" s="1"/>
  <c r="M11" i="277"/>
  <c r="M14" i="277" s="1"/>
  <c r="M19" i="277" s="1"/>
  <c r="M22" i="277" s="1"/>
  <c r="M25" i="277" s="1"/>
  <c r="L33" i="277"/>
  <c r="L37" i="277" s="1"/>
  <c r="L41" i="277" s="1"/>
  <c r="L46" i="277" s="1"/>
  <c r="L49" i="277" s="1"/>
  <c r="L52" i="277" s="1"/>
  <c r="H43" i="277"/>
  <c r="H10" i="277"/>
  <c r="H48" i="277"/>
  <c r="H45" i="277"/>
  <c r="H18" i="277"/>
  <c r="H16" i="277"/>
  <c r="H13" i="277"/>
  <c r="H32" i="277"/>
  <c r="H39" i="277"/>
  <c r="H35" i="277"/>
  <c r="J33" i="277"/>
  <c r="H30" i="277"/>
  <c r="H31" i="277"/>
  <c r="F82" i="277" l="1"/>
  <c r="F13" i="264" s="1"/>
  <c r="F9" i="264" s="1"/>
  <c r="F2" i="280" s="1"/>
  <c r="H83" i="277"/>
  <c r="J37" i="277"/>
  <c r="H33" i="277"/>
  <c r="H11" i="277"/>
  <c r="J14" i="277"/>
  <c r="F2" i="264" l="1"/>
  <c r="F2" i="275"/>
  <c r="F2" i="273"/>
  <c r="F2" i="265"/>
  <c r="F2" i="277"/>
  <c r="J19" i="277"/>
  <c r="H14" i="277"/>
  <c r="J41" i="277"/>
  <c r="H37" i="277"/>
  <c r="J46" i="277" l="1"/>
  <c r="H41" i="277"/>
  <c r="H19" i="277"/>
  <c r="J22" i="277"/>
  <c r="J25" i="277" l="1"/>
  <c r="H25" i="277" s="1"/>
  <c r="H22" i="277"/>
  <c r="H46" i="277"/>
  <c r="J49" i="277"/>
  <c r="J52" i="277" l="1"/>
  <c r="H52" i="277" s="1"/>
  <c r="H49" i="27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<sst xmlns="http://schemas.openxmlformats.org/spreadsheetml/2006/main" count="281" uniqueCount="174">
  <si>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</si>
  <si>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</si>
  <si>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</si>
  <si>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</si>
  <si>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</si>
  <si>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</si>
  <si>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</si>
  <si>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</si>
  <si>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</si>
  <si>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</si>
  <si>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</si>
  <si>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</si>
  <si>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</si>
  <si>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</si>
  <si>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</si>
  <si>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</si>
  <si>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</si>
  <si>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</si>
  <si>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</si>
  <si>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</si>
  <si>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</si>
  <si>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</si>
  <si>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</si>
  <si>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</si>
  <si>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</si>
  <si>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</si>
  <si>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</si>
  <si>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</si>
  <si>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</si>
  <si>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</si>
  <si>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</si>
  <si>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</si>
  <si>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</si>
  <si>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</si>
  <si>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</si>
  <si>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</si>
  <si>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</si>
  <si>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</si>
  <si>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</si>
  <si>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</si>
  <si>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</si>
  <si>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</si>
  <si>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</si>
  <si>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</si>
  <si>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</si>
  <si>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</si>
  <si>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</si>
  <si>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</si>
  <si>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</si>
  <si>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</si>
  <si>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</si>
  <si>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</si>
  <si>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</si>
  <si>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</si>
  <si>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</si>
  <si>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</si>
  <si>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</si>
  <si>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</si>
  <si>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</si>
  <si>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</si>
  <si>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</si>
  <si>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</si>
  <si>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</si>
  <si>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</si>
  <si>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</si>
  <si>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</si>
  <si>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</si>
  <si>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</si>
  <si>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</si>
  <si>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</si>
  <si>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</si>
  <si>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</si>
  <si>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</si>
  <si>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</si>
  <si>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</si>
  <si>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</si>
  <si>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</si>
  <si>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</si>
  <si>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</si>
  <si>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</si>
  <si>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</si>
  <si>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</si>
  <si>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</si>
  <si>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</si>
  <si>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</si>
  <si>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</si>
  <si>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</si>
  <si>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</si>
  <si>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</si>
  <si>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</si>
  <si>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</si>
  <si>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</si>
  <si>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</si>
  <si>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</si>
  <si>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</si>
  <si>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</si>
  <si>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</si>
  <si>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</si>
  <si>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</si>
  <si>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</si>
  <si>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</si>
  <si>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</si>
  <si>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</si>
  <si>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</si>
  <si>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</si>
  <si>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</si>
  <si>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</si>
  <si>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</si>
  <si>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</si>
  <si>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</si>
  <si>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</si>
  <si>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</si>
  <si>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</si>
  <si>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</si>
  <si>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</si>
  <si>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</si>
  <si>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</si>
  <si>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</si>
  <si>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</si>
  <si>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</si>
  <si>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</si>
  <si>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</si>
  <si>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</si>
  <si>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</si>
  <si>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</si>
  <si>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</si>
  <si>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</si>
  <si>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</si>
  <si>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</si>
  <si>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[Electricity generation revenue]</t>
  </si>
  <si>
    <t>[O&amp;M]</t>
  </si>
  <si>
    <t>[Senior debt interest]</t>
  </si>
  <si>
    <t>[Refi facility interest]</t>
  </si>
  <si>
    <t>[RCF interest expense]</t>
  </si>
  <si>
    <t>[Corporate income tax expense]</t>
  </si>
  <si>
    <t>[Dividends paid]</t>
  </si>
  <si>
    <t>[Cash received from invoices]</t>
  </si>
  <si>
    <t>[Cash paid for operating costs]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</si>
  <si>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</si>
  <si>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</si>
  <si>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</si>
  <si>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</si>
  <si>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</si>
  <si>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</si>
  <si>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</si>
  <si>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[Non current assets balance]</t>
  </si>
  <si>
    <t>[Accounts receivable balance]</t>
  </si>
  <si>
    <t>[Accounts payable balance]</t>
  </si>
  <si>
    <t>[Senior debt balance]</t>
  </si>
  <si>
    <t>[Refi facility balance]</t>
  </si>
  <si>
    <t>[RCF balance]</t>
  </si>
  <si>
    <t>[Share capital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</si>
  <si>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</si>
  <si>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</si>
  <si>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</si>
  <si>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</si>
  <si>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</si>
  <si>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</si>
  <si>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</si>
  <si>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</si>
  <si>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</si>
  <si>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</si>
  <si>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</si>
  <si>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</si>
  <si>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</si>
  <si>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</si>
  <si>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</si>
  <si>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</si>
  <si>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</si>
  <si>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</si>
  <si>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</si>
  <si>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[dividends paid]</t>
  </si>
  <si>
    <t>Retained cash balance</t>
  </si>
  <si>
    <t>Retained cash balance BEG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</si>
</sst>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rgb="FF808080"/>
      </top>
      <bottom style="thin">
        <color theme="0" tint="-0.24994659260841701"/>
      </bottom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71" fontId="3" fillId="0" borderId="0" applyFont="0" applyFill="0" applyBorder="0" applyProtection="0">
      <alignment vertical="top"/>
    </xf>
    <xf numFmtId="170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436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71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70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70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70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70" fontId="7" fillId="5" borderId="0" xfId="5" applyFont="1" applyFill="1">
      <alignment vertical="top"/>
    </xf>
    <xf numFmtId="170" fontId="6" fillId="5" borderId="0" xfId="5" applyFont="1" applyFill="1">
      <alignment vertical="top"/>
    </xf>
    <xf numFmtId="170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71" fontId="7" fillId="0" borderId="0" xfId="4" applyFont="1" applyFill="1" applyBorder="1">
      <alignment vertical="top"/>
    </xf>
    <xf numFmtId="171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70" fontId="3" fillId="0" borderId="0" xfId="5" applyFont="1">
      <alignment vertical="top"/>
    </xf>
    <xf numFmtId="170" fontId="7" fillId="0" borderId="0" xfId="5" applyFont="1" applyFill="1" applyBorder="1">
      <alignment vertical="top"/>
    </xf>
    <xf numFmtId="170" fontId="0" fillId="0" borderId="0" xfId="5" applyFont="1">
      <alignment vertical="top"/>
    </xf>
    <xf numFmtId="170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70" fontId="17" fillId="0" borderId="0" xfId="5" applyFont="1" applyFill="1">
      <alignment vertical="top"/>
    </xf>
    <xf numFmtId="170" fontId="3" fillId="0" borderId="0" xfId="5">
      <alignment vertical="top"/>
    </xf>
    <xf numFmtId="170" fontId="8" fillId="0" borderId="0" xfId="5" applyFont="1" applyFill="1">
      <alignment vertical="top"/>
    </xf>
    <xf numFmtId="170" fontId="3" fillId="4" borderId="0" xfId="5" applyFont="1" applyFill="1">
      <alignment vertical="top"/>
    </xf>
    <xf numFmtId="170" fontId="23" fillId="0" borderId="0" xfId="5" applyFont="1">
      <alignment vertical="top"/>
    </xf>
    <xf numFmtId="170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71" fontId="3" fillId="4" borderId="0" xfId="4" applyFont="1" applyFill="1">
      <alignment vertical="top"/>
    </xf>
    <xf numFmtId="171" fontId="17" fillId="0" borderId="0" xfId="4" applyFont="1" applyFill="1">
      <alignment vertical="top"/>
    </xf>
    <xf numFmtId="171" fontId="3" fillId="0" borderId="0" xfId="4">
      <alignment vertical="top"/>
    </xf>
    <xf numFmtId="171" fontId="8" fillId="0" borderId="0" xfId="4" applyFont="1" applyFill="1">
      <alignment vertical="top"/>
    </xf>
    <xf numFmtId="171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70" fontId="28" fillId="0" borderId="0" xfId="5" applyFont="1" applyFill="1" applyBorder="1">
      <alignment vertical="top"/>
    </xf>
    <xf numFmtId="170" fontId="28" fillId="0" borderId="0" xfId="5" applyFont="1">
      <alignment vertical="top"/>
    </xf>
    <xf numFmtId="170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70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70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70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70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69" fontId="26" fillId="0" borderId="0" xfId="0" applyFont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71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7" fontId="3" fillId="6" borderId="8" xfId="1" applyFont="1" applyFill="1" applyBorder="1">
      <alignment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52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45"/>
  <sheetViews>
    <sheetView showGridLines="0" tabSelected="1" defaultGridColor="0" colorId="22" zoomScale="110" zoomScaleNormal="110" workbookViewId="0">
      <pane xSplit="10" ySplit="9" topLeftCell="K19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157</v>
      </c>
      <c r="M3" s="168" t="s">
        <v>158</v>
      </c>
      <c r="N3" s="167"/>
      <c r="O3" s="168" t="s">
        <v>159</v>
      </c>
      <c r="P3" s="168" t="s">
        <v>160</v>
      </c>
      <c r="Q3" s="168" t="s">
        <v>161</v>
      </c>
      <c r="R3" s="168" t="s">
        <v>162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COUNTIF(I10:I25,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5"/>
      <c r="B14" s="355"/>
      <c r="C14" s="356"/>
      <c r="D14" s="357"/>
      <c r="E14" s="358" t="s">
        <v>88</v>
      </c>
      <c r="F14" s="359">
        <f xml:space="preserve"> IF( INDEX(J14:S14, $I$4) = "", INDEX(J14:R14, $I$6), INDEX(J14:S14, $I$4))</f>
        <v>43921</v>
      </c>
      <c r="G14" s="358" t="s">
        <v>6</v>
      </c>
      <c r="H14" s="358"/>
      <c r="I14" s="336" t="str" cm="1">
        <f t="array" ref="I14" xml:space="preserve"> IF( INDEX(J14:S14, I$5) = "", IF( INDEX(J14:S14, I$6) = F14, "vw", "tu"), IF(INDEX(J14:S14, I$5) = F14, "vw", "tu"))</f>
        <v>vw</v>
      </c>
      <c r="J14" s="360"/>
      <c r="K14" s="361">
        <v>43921</v>
      </c>
      <c r="L14" s="361"/>
      <c r="M14" s="361"/>
      <c r="N14" s="360"/>
      <c r="O14" s="361"/>
      <c r="P14" s="361"/>
      <c r="Q14" s="361"/>
      <c r="R14" s="361"/>
      <c r="S14" s="360"/>
    </row>
    <row r="15" spans="1:19" x14ac:dyDescent="0.35">
      <c r="A15" s="365"/>
      <c r="B15" s="365"/>
      <c r="C15" s="366"/>
      <c r="D15" s="151"/>
      <c r="E15" s="150" t="s">
        <v>12</v>
      </c>
      <c r="F15" s="363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4">
        <v>12</v>
      </c>
      <c r="L15" s="364"/>
      <c r="M15" s="364"/>
      <c r="N15" s="280"/>
      <c r="O15" s="364"/>
      <c r="P15" s="364"/>
      <c r="Q15" s="364"/>
      <c r="R15" s="364"/>
      <c r="S15" s="280"/>
    </row>
    <row r="16" spans="1:19" x14ac:dyDescent="0.35">
      <c r="A16" s="365"/>
      <c r="B16" s="365"/>
      <c r="C16" s="366"/>
      <c r="D16" s="151"/>
      <c r="E16" s="150" t="s">
        <v>86</v>
      </c>
      <c r="F16" s="363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4">
        <v>3</v>
      </c>
      <c r="L16" s="364"/>
      <c r="M16" s="364"/>
      <c r="N16" s="280"/>
      <c r="O16" s="364"/>
      <c r="P16" s="364"/>
      <c r="Q16" s="364"/>
      <c r="R16" s="364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9"/>
      <c r="B21" s="349"/>
      <c r="C21" s="350"/>
      <c r="D21" s="351"/>
      <c r="E21" s="351" t="s">
        <v>84</v>
      </c>
      <c r="F21" s="352">
        <f xml:space="preserve"> IF( INDEX(J21:S21, $I$4) = "", INDEX(J21:R21, $I$6), INDEX(J21:S21, $I$4))</f>
        <v>0</v>
      </c>
      <c r="G21" s="351" t="s">
        <v>29</v>
      </c>
      <c r="H21" s="353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4">
        <v>0</v>
      </c>
      <c r="L21" s="354"/>
      <c r="M21" s="354"/>
      <c r="N21" s="282"/>
      <c r="O21" s="354"/>
      <c r="P21" s="354"/>
      <c r="Q21" s="354"/>
      <c r="R21" s="354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I23" s="336"/>
    </row>
    <row r="25" spans="1:19" x14ac:dyDescent="0.35">
      <c r="A25" s="195" t="s">
        <v>92</v>
      </c>
      <c r="B25" s="195"/>
      <c r="C25" s="196"/>
      <c r="D25" s="118"/>
      <c r="E25" s="118"/>
      <c r="F25" s="118"/>
      <c r="G25" s="118"/>
      <c r="H25" s="118"/>
      <c r="I25" s="339"/>
      <c r="J25" s="118"/>
      <c r="K25" s="118"/>
      <c r="L25" s="118"/>
      <c r="M25" s="118"/>
      <c r="N25" s="118"/>
      <c r="O25" s="118"/>
      <c r="P25" s="118"/>
      <c r="Q25" s="118"/>
      <c r="R25" s="118"/>
      <c r="S25" s="118"/>
    </row>
    <row r="26" spans="1:19" x14ac:dyDescent="0.35">
      <c r="A26" s="22"/>
      <c r="B26" s="22"/>
      <c r="C26" s="19"/>
      <c r="D26" s="47"/>
      <c r="E26" s="21"/>
      <c r="F26" s="20"/>
      <c r="G26" s="21"/>
      <c r="H26" s="21"/>
      <c r="J26" s="118"/>
      <c r="K26" s="21"/>
      <c r="L26" s="21"/>
      <c r="M26" s="21"/>
      <c r="N26" s="118"/>
      <c r="O26" s="21"/>
      <c r="P26" s="21"/>
      <c r="Q26" s="21"/>
      <c r="R26" s="21"/>
      <c r="S26" s="118"/>
    </row>
    <row r="27" spans="1:19" x14ac:dyDescent="0.35">
      <c r="A27" s="22"/>
      <c r="B27" s="22"/>
      <c r="C27" s="19"/>
      <c r="D27" s="47"/>
      <c r="E27" s="48" t="s">
        <v>40</v>
      </c>
      <c r="F27" s="388">
        <v>1E-3</v>
      </c>
      <c r="G27" s="48" t="s">
        <v>41</v>
      </c>
      <c r="H27" s="21"/>
      <c r="J27" s="118"/>
      <c r="K27" s="21"/>
      <c r="L27" s="21"/>
      <c r="M27" s="21"/>
      <c r="N27" s="118"/>
      <c r="O27" s="21"/>
      <c r="P27" s="21"/>
      <c r="Q27" s="21"/>
      <c r="R27" s="21"/>
      <c r="S27" s="118"/>
    </row>
    <row r="28" spans="1:19" x14ac:dyDescent="0.35">
      <c r="A28" s="22"/>
      <c r="B28" s="22"/>
      <c r="C28" s="19"/>
      <c r="D28" s="47"/>
      <c r="E28" s="48" t="s">
        <v>73</v>
      </c>
      <c r="F28" s="388">
        <v>1E-3</v>
      </c>
      <c r="G28" s="48" t="s">
        <v>41</v>
      </c>
      <c r="H28" s="21"/>
      <c r="J28" s="118"/>
      <c r="K28" s="21"/>
      <c r="L28" s="21"/>
      <c r="M28" s="21"/>
      <c r="N28" s="118"/>
      <c r="O28" s="21"/>
      <c r="P28" s="21"/>
      <c r="Q28" s="21"/>
      <c r="R28" s="21"/>
      <c r="S28" s="118"/>
    </row>
    <row r="29" spans="1:19" x14ac:dyDescent="0.35">
      <c r="A29" s="22"/>
      <c r="B29" s="22"/>
      <c r="C29" s="19"/>
      <c r="D29" s="20"/>
      <c r="E29" s="20" t="s">
        <v>43</v>
      </c>
      <c r="F29" s="121">
        <v>12</v>
      </c>
      <c r="G29" s="20" t="s">
        <v>10</v>
      </c>
      <c r="H29" s="20"/>
      <c r="J29" s="118"/>
      <c r="K29" s="20"/>
      <c r="L29" s="20"/>
      <c r="M29" s="20"/>
      <c r="N29" s="118"/>
      <c r="O29" s="20"/>
      <c r="P29" s="20"/>
      <c r="Q29" s="20"/>
      <c r="R29" s="20"/>
      <c r="S29" s="118"/>
    </row>
    <row r="30" spans="1:19" x14ac:dyDescent="0.35">
      <c r="E30" s="7" t="s">
        <v>105</v>
      </c>
      <c r="F30" s="156">
        <v>4</v>
      </c>
      <c r="G30" s="7" t="s">
        <v>87</v>
      </c>
    </row>
    <row r="31" spans="1:19" x14ac:dyDescent="0.35">
      <c r="E31" s="7" t="s">
        <v>90</v>
      </c>
      <c r="F31" s="390" t="s">
        <v>108</v>
      </c>
      <c r="G31" s="7" t="s">
        <v>91</v>
      </c>
      <c r="I31" s="340"/>
    </row>
    <row r="32" spans="1:19" x14ac:dyDescent="0.35">
      <c r="E32" s="107" t="s">
        <v>109</v>
      </c>
      <c r="F32" s="389">
        <v>100</v>
      </c>
      <c r="G32" s="107" t="s">
        <v>109</v>
      </c>
      <c r="H32" s="107"/>
    </row>
    <row r="33" spans="1:19" x14ac:dyDescent="0.35">
      <c r="E33" s="107" t="s">
        <v>163</v>
      </c>
      <c r="F33" s="389">
        <v>1000</v>
      </c>
      <c r="G33" s="107" t="s">
        <v>107</v>
      </c>
      <c r="H33" s="107"/>
    </row>
    <row r="35" spans="1:19" x14ac:dyDescent="0.35">
      <c r="B35" s="1" t="s">
        <v>27</v>
      </c>
    </row>
    <row r="36" spans="1:19" x14ac:dyDescent="0.35">
      <c r="A36" s="8"/>
      <c r="B36" s="8"/>
      <c r="C36" s="13"/>
      <c r="D36" s="34"/>
      <c r="E36" s="6" t="s">
        <v>30</v>
      </c>
      <c r="F36" s="156" t="s">
        <v>31</v>
      </c>
      <c r="G36" s="6" t="s">
        <v>26</v>
      </c>
      <c r="H36" s="6"/>
      <c r="J36" s="117"/>
      <c r="K36" s="33"/>
      <c r="L36" s="33"/>
      <c r="M36" s="33"/>
      <c r="N36" s="117"/>
      <c r="O36" s="33"/>
      <c r="P36" s="33"/>
      <c r="Q36" s="33"/>
      <c r="R36" s="33"/>
      <c r="S36" s="117"/>
    </row>
    <row r="37" spans="1:19" x14ac:dyDescent="0.35">
      <c r="A37" s="8"/>
      <c r="B37" s="8"/>
      <c r="C37" s="13"/>
      <c r="D37" s="34"/>
      <c r="E37" s="6" t="s">
        <v>46</v>
      </c>
      <c r="F37" s="156" t="s">
        <v>47</v>
      </c>
      <c r="G37" s="6" t="s">
        <v>26</v>
      </c>
      <c r="H37" s="6"/>
      <c r="J37" s="117"/>
      <c r="K37" s="33"/>
      <c r="L37" s="33"/>
      <c r="M37" s="33"/>
      <c r="N37" s="117"/>
      <c r="O37" s="33"/>
      <c r="P37" s="33"/>
      <c r="Q37" s="33"/>
      <c r="R37" s="33"/>
      <c r="S37" s="117"/>
    </row>
    <row r="38" spans="1:19" x14ac:dyDescent="0.35">
      <c r="A38" s="8"/>
      <c r="B38" s="8"/>
      <c r="C38" s="13"/>
      <c r="D38" s="34"/>
      <c r="E38" s="6" t="s">
        <v>48</v>
      </c>
      <c r="F38" s="156" t="s">
        <v>48</v>
      </c>
      <c r="G38" s="6" t="s">
        <v>26</v>
      </c>
      <c r="H38" s="6"/>
      <c r="I38" s="340"/>
      <c r="J38" s="117"/>
      <c r="K38" s="33"/>
      <c r="L38" s="33"/>
      <c r="M38" s="33"/>
      <c r="N38" s="117"/>
      <c r="O38" s="33"/>
      <c r="P38" s="33"/>
      <c r="Q38" s="33"/>
      <c r="R38" s="33"/>
      <c r="S38" s="117"/>
    </row>
    <row r="39" spans="1:19" x14ac:dyDescent="0.35">
      <c r="A39" s="8"/>
      <c r="B39" s="8"/>
      <c r="C39" s="13"/>
      <c r="D39" s="34"/>
      <c r="E39" s="6" t="s">
        <v>49</v>
      </c>
      <c r="F39" s="156" t="s">
        <v>49</v>
      </c>
      <c r="G39" s="6" t="s">
        <v>26</v>
      </c>
      <c r="H39" s="6"/>
      <c r="I39" s="340"/>
      <c r="J39" s="117"/>
      <c r="K39" s="33"/>
      <c r="L39" s="33"/>
      <c r="M39" s="33"/>
      <c r="N39" s="117"/>
      <c r="O39" s="33"/>
      <c r="P39" s="33"/>
      <c r="Q39" s="33"/>
      <c r="R39" s="33"/>
      <c r="S39" s="117"/>
    </row>
    <row r="40" spans="1:19" x14ac:dyDescent="0.35">
      <c r="A40" s="8"/>
      <c r="B40" s="8"/>
      <c r="C40" s="13"/>
      <c r="D40" s="34"/>
      <c r="E40" s="6"/>
      <c r="F40" s="26"/>
      <c r="G40" s="6"/>
      <c r="H40" s="6"/>
      <c r="I40" s="340"/>
      <c r="J40" s="117"/>
      <c r="K40" s="33"/>
      <c r="L40" s="33"/>
      <c r="M40" s="33"/>
      <c r="N40" s="117"/>
      <c r="O40" s="33"/>
      <c r="P40" s="33"/>
      <c r="Q40" s="33"/>
      <c r="R40" s="33"/>
      <c r="S40" s="117"/>
    </row>
    <row r="41" spans="1:19" x14ac:dyDescent="0.35">
      <c r="E41" s="106" t="s">
        <v>114</v>
      </c>
      <c r="F41" s="263">
        <f xml:space="preserve"> IF( INDEX(J41:S41, $I$4) = "", INDEX(J41:R41, $I$6), INDEX(J41:S41, $I$4))</f>
        <v>0</v>
      </c>
      <c r="G41" s="106" t="s">
        <v>115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/>
      <c r="L41" s="241"/>
      <c r="M41" s="241"/>
      <c r="N41" s="265"/>
      <c r="O41" s="266"/>
      <c r="P41" s="266"/>
      <c r="Q41" s="266"/>
      <c r="R41" s="266"/>
      <c r="S41" s="265"/>
    </row>
    <row r="42" spans="1:19" x14ac:dyDescent="0.35">
      <c r="A42" s="8"/>
      <c r="B42" s="8"/>
      <c r="C42" s="13"/>
      <c r="D42" s="34"/>
      <c r="E42" s="6"/>
      <c r="F42" s="26"/>
      <c r="G42" s="6"/>
      <c r="H42" s="6"/>
      <c r="I42" s="336"/>
      <c r="J42" s="117"/>
      <c r="K42" s="33"/>
      <c r="L42" s="33"/>
      <c r="M42" s="33"/>
      <c r="N42" s="117"/>
      <c r="O42" s="33"/>
      <c r="P42" s="33"/>
      <c r="Q42" s="33"/>
      <c r="R42" s="33"/>
      <c r="S42" s="117"/>
    </row>
    <row r="43" spans="1:19" x14ac:dyDescent="0.35">
      <c r="I43" s="336"/>
    </row>
    <row r="44" spans="1:19" x14ac:dyDescent="0.35">
      <c r="A44" s="1" t="s">
        <v>63</v>
      </c>
      <c r="I44" s="336"/>
    </row>
    <row r="45" spans="1:19" x14ac:dyDescent="0.35">
      <c r="I45" s="336"/>
    </row>
  </sheetData>
  <phoneticPr fontId="4" type="noConversion"/>
  <conditionalFormatting sqref="I13:I16">
    <cfRule type="cellIs" dxfId="51" priority="14" operator="equal">
      <formula>"tu"</formula>
    </cfRule>
  </conditionalFormatting>
  <conditionalFormatting sqref="I18">
    <cfRule type="cellIs" dxfId="50" priority="37" operator="equal">
      <formula>"tu"</formula>
    </cfRule>
  </conditionalFormatting>
  <conditionalFormatting sqref="I20:I21 I23">
    <cfRule type="cellIs" dxfId="49" priority="128" operator="equal">
      <formula>"tu"</formula>
    </cfRule>
  </conditionalFormatting>
  <conditionalFormatting sqref="I33:I35">
    <cfRule type="cellIs" dxfId="48" priority="129" operator="equal">
      <formula>1</formula>
    </cfRule>
  </conditionalFormatting>
  <conditionalFormatting sqref="I41:I45">
    <cfRule type="cellIs" dxfId="47" priority="43" operator="equal">
      <formula>"tu"</formula>
    </cfRule>
  </conditionalFormatting>
  <conditionalFormatting sqref="O13:R16">
    <cfRule type="cellIs" dxfId="46" priority="123" operator="equal">
      <formula>""</formula>
    </cfRule>
  </conditionalFormatting>
  <conditionalFormatting sqref="O18:R18 O20:R23 O30:R30">
    <cfRule type="cellIs" dxfId="45" priority="334" operator="equal">
      <formula>""</formula>
    </cfRule>
  </conditionalFormatting>
  <conditionalFormatting sqref="O32:R33">
    <cfRule type="cellIs" dxfId="44" priority="175" operator="equal">
      <formula>""</formula>
    </cfRule>
  </conditionalFormatting>
  <conditionalFormatting sqref="O41:R41">
    <cfRule type="cellIs" dxfId="43" priority="47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29"/>
  <sheetViews>
    <sheetView showGridLines="0" defaultGridColor="0" colorId="22" zoomScale="90" zoomScaleNormal="9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F2" sqref="F2:F4"/>
    </sheetView>
  </sheetViews>
  <sheetFormatPr defaultColWidth="0" defaultRowHeight="13.15" zeroHeight="1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8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6" spans="1:131" x14ac:dyDescent="0.35"/>
    <row r="7" spans="1:131" x14ac:dyDescent="0.35">
      <c r="A7" s="192" t="s">
        <v>3</v>
      </c>
      <c r="B7" s="192"/>
      <c r="C7" s="193"/>
      <c r="D7" s="194"/>
      <c r="E7" s="391"/>
      <c r="F7" s="391"/>
      <c r="G7" s="392"/>
      <c r="H7" s="391"/>
      <c r="I7" s="393"/>
      <c r="J7" s="391"/>
      <c r="K7" s="391"/>
      <c r="L7" s="391"/>
      <c r="M7" s="391"/>
      <c r="N7" s="391"/>
      <c r="O7" s="391"/>
      <c r="P7" s="391"/>
      <c r="Q7" s="391"/>
      <c r="R7" s="391"/>
      <c r="S7" s="391"/>
      <c r="T7" s="391"/>
      <c r="U7" s="391"/>
      <c r="V7" s="391"/>
      <c r="W7" s="391"/>
      <c r="X7" s="391"/>
      <c r="Y7" s="391"/>
      <c r="Z7" s="391"/>
      <c r="AA7" s="391"/>
      <c r="AB7" s="391"/>
      <c r="AC7" s="391"/>
      <c r="AD7" s="391"/>
      <c r="AE7" s="391"/>
      <c r="AF7" s="391"/>
      <c r="AG7" s="391"/>
      <c r="AH7" s="391"/>
      <c r="AI7" s="391"/>
      <c r="AJ7" s="391"/>
      <c r="AK7" s="391"/>
      <c r="AL7" s="391"/>
      <c r="AM7" s="391"/>
      <c r="AN7" s="391"/>
      <c r="AO7" s="391"/>
      <c r="AP7" s="391"/>
      <c r="AQ7" s="391"/>
      <c r="AR7" s="391"/>
      <c r="AS7" s="391"/>
      <c r="AT7" s="391"/>
      <c r="AU7" s="391"/>
      <c r="AV7" s="391"/>
      <c r="AW7" s="391"/>
      <c r="AX7" s="391"/>
      <c r="AY7" s="391"/>
      <c r="AZ7" s="391"/>
      <c r="BA7" s="391"/>
      <c r="BB7" s="391"/>
      <c r="BC7" s="391"/>
      <c r="BD7" s="391"/>
      <c r="BE7" s="391"/>
      <c r="BF7" s="391"/>
      <c r="BG7" s="391"/>
      <c r="BH7" s="391"/>
      <c r="BI7" s="391"/>
      <c r="BJ7" s="391"/>
      <c r="BK7" s="391"/>
      <c r="BL7" s="391"/>
      <c r="BM7" s="391"/>
      <c r="BN7" s="391"/>
      <c r="BO7" s="391"/>
      <c r="BP7" s="391"/>
      <c r="BQ7" s="391"/>
      <c r="BR7" s="391"/>
      <c r="BS7" s="391"/>
      <c r="BT7" s="391"/>
      <c r="BU7" s="391"/>
      <c r="BV7" s="391"/>
      <c r="BW7" s="391"/>
      <c r="BX7" s="391"/>
      <c r="BY7" s="391"/>
      <c r="BZ7" s="391"/>
      <c r="CA7" s="391"/>
      <c r="CB7" s="391"/>
      <c r="CC7" s="391"/>
      <c r="CD7" s="391"/>
      <c r="CE7" s="391"/>
      <c r="CF7" s="391"/>
      <c r="CG7" s="391"/>
      <c r="CH7" s="391"/>
      <c r="CI7" s="391"/>
      <c r="CJ7" s="391"/>
      <c r="CK7" s="391"/>
      <c r="CL7" s="391"/>
      <c r="CM7" s="391"/>
      <c r="CN7" s="391"/>
      <c r="CO7" s="391"/>
      <c r="CP7" s="391"/>
      <c r="CQ7" s="391"/>
      <c r="CR7" s="391"/>
      <c r="CS7" s="391"/>
      <c r="CT7" s="391"/>
      <c r="CU7" s="391"/>
      <c r="CV7" s="391"/>
      <c r="CW7" s="391"/>
      <c r="CX7" s="391"/>
      <c r="CY7" s="391"/>
      <c r="CZ7" s="391"/>
      <c r="DA7" s="391"/>
      <c r="DB7" s="391"/>
      <c r="DC7" s="391"/>
      <c r="DD7" s="391"/>
      <c r="DE7" s="391"/>
      <c r="DF7" s="391"/>
      <c r="DG7" s="391"/>
      <c r="DH7" s="391"/>
      <c r="DI7" s="391"/>
      <c r="DJ7" s="391"/>
      <c r="DK7" s="391"/>
      <c r="DL7" s="391"/>
      <c r="DM7" s="391"/>
      <c r="DN7" s="391"/>
      <c r="DO7" s="391"/>
      <c r="DP7" s="391"/>
      <c r="DQ7" s="391"/>
      <c r="DR7" s="391"/>
      <c r="DS7" s="391"/>
      <c r="DT7" s="391"/>
      <c r="DU7" s="391"/>
      <c r="DV7" s="391"/>
      <c r="DW7" s="391"/>
      <c r="DX7" s="391"/>
      <c r="DY7" s="391"/>
      <c r="DZ7" s="391"/>
      <c r="EA7" s="391"/>
    </row>
    <row r="8" spans="1:131" outlineLevel="1" x14ac:dyDescent="0.35">
      <c r="A8" s="192"/>
      <c r="B8" s="192"/>
      <c r="C8" s="193"/>
      <c r="D8" s="194"/>
      <c r="E8" s="391"/>
      <c r="F8" s="391"/>
      <c r="G8" s="392"/>
      <c r="H8" s="391"/>
      <c r="I8" s="393"/>
      <c r="J8" s="391"/>
      <c r="K8" s="391"/>
      <c r="L8" s="391"/>
      <c r="M8" s="391"/>
      <c r="N8" s="391"/>
      <c r="O8" s="391"/>
      <c r="P8" s="391"/>
      <c r="Q8" s="391"/>
      <c r="R8" s="391"/>
      <c r="S8" s="391"/>
      <c r="T8" s="391"/>
      <c r="U8" s="391"/>
      <c r="V8" s="391"/>
      <c r="W8" s="391"/>
      <c r="X8" s="391"/>
      <c r="Y8" s="391"/>
      <c r="Z8" s="391"/>
      <c r="AA8" s="391"/>
      <c r="AB8" s="391"/>
      <c r="AC8" s="391"/>
      <c r="AD8" s="391"/>
      <c r="AE8" s="391"/>
      <c r="AF8" s="391"/>
      <c r="AG8" s="391"/>
      <c r="AH8" s="391"/>
      <c r="AI8" s="391"/>
      <c r="AJ8" s="391"/>
      <c r="AK8" s="391"/>
      <c r="AL8" s="391"/>
      <c r="AM8" s="391"/>
      <c r="AN8" s="391"/>
      <c r="AO8" s="391"/>
      <c r="AP8" s="391"/>
      <c r="AQ8" s="391"/>
      <c r="AR8" s="391"/>
      <c r="AS8" s="391"/>
      <c r="AT8" s="391"/>
      <c r="AU8" s="391"/>
      <c r="AV8" s="391"/>
      <c r="AW8" s="391"/>
      <c r="AX8" s="391"/>
      <c r="AY8" s="391"/>
      <c r="AZ8" s="391"/>
      <c r="BA8" s="391"/>
      <c r="BB8" s="391"/>
      <c r="BC8" s="391"/>
      <c r="BD8" s="391"/>
      <c r="BE8" s="391"/>
      <c r="BF8" s="391"/>
      <c r="BG8" s="391"/>
      <c r="BH8" s="391"/>
      <c r="BI8" s="391"/>
      <c r="BJ8" s="391"/>
      <c r="BK8" s="391"/>
      <c r="BL8" s="391"/>
      <c r="BM8" s="391"/>
      <c r="BN8" s="391"/>
      <c r="BO8" s="391"/>
      <c r="BP8" s="391"/>
      <c r="BQ8" s="391"/>
      <c r="BR8" s="391"/>
      <c r="BS8" s="391"/>
      <c r="BT8" s="391"/>
      <c r="BU8" s="391"/>
      <c r="BV8" s="391"/>
      <c r="BW8" s="391"/>
      <c r="BX8" s="391"/>
      <c r="BY8" s="391"/>
      <c r="BZ8" s="391"/>
      <c r="CA8" s="391"/>
      <c r="CB8" s="391"/>
      <c r="CC8" s="391"/>
      <c r="CD8" s="391"/>
      <c r="CE8" s="391"/>
      <c r="CF8" s="391"/>
      <c r="CG8" s="391"/>
      <c r="CH8" s="391"/>
      <c r="CI8" s="391"/>
      <c r="CJ8" s="391"/>
      <c r="CK8" s="391"/>
      <c r="CL8" s="391"/>
      <c r="CM8" s="391"/>
      <c r="CN8" s="391"/>
      <c r="CO8" s="391"/>
      <c r="CP8" s="391"/>
      <c r="CQ8" s="391"/>
      <c r="CR8" s="391"/>
      <c r="CS8" s="391"/>
      <c r="CT8" s="391"/>
      <c r="CU8" s="391"/>
      <c r="CV8" s="391"/>
      <c r="CW8" s="391"/>
      <c r="CX8" s="391"/>
      <c r="CY8" s="391"/>
      <c r="CZ8" s="391"/>
      <c r="DA8" s="391"/>
      <c r="DB8" s="391"/>
      <c r="DC8" s="391"/>
      <c r="DD8" s="391"/>
      <c r="DE8" s="391"/>
      <c r="DF8" s="391"/>
      <c r="DG8" s="391"/>
      <c r="DH8" s="391"/>
      <c r="DI8" s="391"/>
      <c r="DJ8" s="391"/>
      <c r="DK8" s="391"/>
      <c r="DL8" s="391"/>
      <c r="DM8" s="391"/>
      <c r="DN8" s="391"/>
      <c r="DO8" s="391"/>
      <c r="DP8" s="391"/>
      <c r="DQ8" s="391"/>
      <c r="DR8" s="391"/>
      <c r="DS8" s="391"/>
      <c r="DT8" s="391"/>
      <c r="DU8" s="391"/>
      <c r="DV8" s="391"/>
      <c r="DW8" s="391"/>
      <c r="DX8" s="391"/>
      <c r="DY8" s="391"/>
      <c r="DZ8" s="391"/>
      <c r="EA8" s="391"/>
    </row>
    <row r="9" spans="1:131" outlineLevel="1" x14ac:dyDescent="0.35">
      <c r="A9" s="192"/>
      <c r="B9" s="192" t="s">
        <v>79</v>
      </c>
      <c r="C9" s="193"/>
      <c r="D9" s="194"/>
      <c r="E9" s="391"/>
      <c r="F9" s="391"/>
      <c r="G9" s="392"/>
      <c r="H9" s="391"/>
      <c r="I9" s="393"/>
      <c r="J9" s="391"/>
      <c r="K9" s="391"/>
      <c r="L9" s="391"/>
      <c r="M9" s="391"/>
      <c r="N9" s="391"/>
      <c r="O9" s="391"/>
      <c r="P9" s="391"/>
      <c r="Q9" s="391"/>
      <c r="R9" s="391"/>
      <c r="S9" s="391"/>
      <c r="T9" s="391"/>
      <c r="U9" s="391"/>
      <c r="V9" s="391"/>
      <c r="W9" s="391"/>
      <c r="X9" s="391"/>
      <c r="Y9" s="391"/>
      <c r="Z9" s="391"/>
      <c r="AA9" s="391"/>
      <c r="AB9" s="391"/>
      <c r="AC9" s="391"/>
      <c r="AD9" s="391"/>
      <c r="AE9" s="391"/>
      <c r="AF9" s="391"/>
      <c r="AG9" s="391"/>
      <c r="AH9" s="391"/>
      <c r="AI9" s="391"/>
      <c r="AJ9" s="391"/>
      <c r="AK9" s="391"/>
      <c r="AL9" s="391"/>
      <c r="AM9" s="391"/>
      <c r="AN9" s="391"/>
      <c r="AO9" s="391"/>
      <c r="AP9" s="391"/>
      <c r="AQ9" s="391"/>
      <c r="AR9" s="391"/>
      <c r="AS9" s="391"/>
      <c r="AT9" s="391"/>
      <c r="AU9" s="391"/>
      <c r="AV9" s="391"/>
      <c r="AW9" s="391"/>
      <c r="AX9" s="391"/>
      <c r="AY9" s="391"/>
      <c r="AZ9" s="391"/>
      <c r="BA9" s="391"/>
      <c r="BB9" s="391"/>
      <c r="BC9" s="391"/>
      <c r="BD9" s="391"/>
      <c r="BE9" s="391"/>
      <c r="BF9" s="391"/>
      <c r="BG9" s="391"/>
      <c r="BH9" s="391"/>
      <c r="BI9" s="391"/>
      <c r="BJ9" s="391"/>
      <c r="BK9" s="391"/>
      <c r="BL9" s="391"/>
      <c r="BM9" s="391"/>
      <c r="BN9" s="391"/>
      <c r="BO9" s="391"/>
      <c r="BP9" s="391"/>
      <c r="BQ9" s="391"/>
      <c r="BR9" s="391"/>
      <c r="BS9" s="391"/>
      <c r="BT9" s="391"/>
      <c r="BU9" s="391"/>
      <c r="BV9" s="391"/>
      <c r="BW9" s="391"/>
      <c r="BX9" s="391"/>
      <c r="BY9" s="391"/>
      <c r="BZ9" s="391"/>
      <c r="CA9" s="391"/>
      <c r="CB9" s="391"/>
      <c r="CC9" s="391"/>
      <c r="CD9" s="391"/>
      <c r="CE9" s="391"/>
      <c r="CF9" s="391"/>
      <c r="CG9" s="391"/>
      <c r="CH9" s="391"/>
      <c r="CI9" s="391"/>
      <c r="CJ9" s="391"/>
      <c r="CK9" s="391"/>
      <c r="CL9" s="391"/>
      <c r="CM9" s="391"/>
      <c r="CN9" s="391"/>
      <c r="CO9" s="391"/>
      <c r="CP9" s="391"/>
      <c r="CQ9" s="391"/>
      <c r="CR9" s="391"/>
      <c r="CS9" s="391"/>
      <c r="CT9" s="391"/>
      <c r="CU9" s="391"/>
      <c r="CV9" s="391"/>
      <c r="CW9" s="391"/>
      <c r="CX9" s="391"/>
      <c r="CY9" s="391"/>
      <c r="CZ9" s="391"/>
      <c r="DA9" s="391"/>
      <c r="DB9" s="391"/>
      <c r="DC9" s="391"/>
      <c r="DD9" s="391"/>
      <c r="DE9" s="391"/>
      <c r="DF9" s="391"/>
      <c r="DG9" s="391"/>
      <c r="DH9" s="391"/>
      <c r="DI9" s="391"/>
      <c r="DJ9" s="391"/>
      <c r="DK9" s="391"/>
      <c r="DL9" s="391"/>
      <c r="DM9" s="391"/>
      <c r="DN9" s="391"/>
      <c r="DO9" s="391"/>
      <c r="DP9" s="391"/>
      <c r="DQ9" s="391"/>
      <c r="DR9" s="391"/>
      <c r="DS9" s="391"/>
      <c r="DT9" s="391"/>
      <c r="DU9" s="391"/>
      <c r="DV9" s="391"/>
      <c r="DW9" s="391"/>
      <c r="DX9" s="391"/>
      <c r="DY9" s="391"/>
      <c r="DZ9" s="391"/>
      <c r="EA9" s="391"/>
    </row>
    <row r="10" spans="1:131" outlineLevel="2" x14ac:dyDescent="0.35">
      <c r="A10" s="367"/>
      <c r="B10" s="368"/>
      <c r="C10" s="369"/>
      <c r="D10" s="370"/>
      <c r="E10" s="371" t="s">
        <v>0</v>
      </c>
      <c r="F10" s="371"/>
      <c r="G10" s="371" t="s">
        <v>14</v>
      </c>
      <c r="H10" s="371"/>
      <c r="I10" s="372"/>
      <c r="J10" s="371">
        <f t="shared" ref="J10:BU10" si="0" xml:space="preserve"> I10 + 1</f>
        <v>1</v>
      </c>
      <c r="K10" s="371">
        <f t="shared" si="0"/>
        <v>2</v>
      </c>
      <c r="L10" s="371">
        <f t="shared" si="0"/>
        <v>3</v>
      </c>
      <c r="M10" s="371">
        <f t="shared" si="0"/>
        <v>4</v>
      </c>
      <c r="N10" s="371">
        <f t="shared" si="0"/>
        <v>5</v>
      </c>
      <c r="O10" s="371">
        <f t="shared" si="0"/>
        <v>6</v>
      </c>
      <c r="P10" s="371">
        <f t="shared" si="0"/>
        <v>7</v>
      </c>
      <c r="Q10" s="371">
        <f t="shared" si="0"/>
        <v>8</v>
      </c>
      <c r="R10" s="371">
        <f t="shared" si="0"/>
        <v>9</v>
      </c>
      <c r="S10" s="371">
        <f t="shared" si="0"/>
        <v>10</v>
      </c>
      <c r="T10" s="371">
        <f t="shared" si="0"/>
        <v>11</v>
      </c>
      <c r="U10" s="371">
        <f t="shared" si="0"/>
        <v>12</v>
      </c>
      <c r="V10" s="371">
        <f t="shared" si="0"/>
        <v>13</v>
      </c>
      <c r="W10" s="371">
        <f t="shared" si="0"/>
        <v>14</v>
      </c>
      <c r="X10" s="371">
        <f t="shared" si="0"/>
        <v>15</v>
      </c>
      <c r="Y10" s="371">
        <f t="shared" si="0"/>
        <v>16</v>
      </c>
      <c r="Z10" s="371">
        <f t="shared" si="0"/>
        <v>17</v>
      </c>
      <c r="AA10" s="371">
        <f t="shared" si="0"/>
        <v>18</v>
      </c>
      <c r="AB10" s="371">
        <f t="shared" si="0"/>
        <v>19</v>
      </c>
      <c r="AC10" s="371">
        <f t="shared" si="0"/>
        <v>20</v>
      </c>
      <c r="AD10" s="371">
        <f t="shared" si="0"/>
        <v>21</v>
      </c>
      <c r="AE10" s="371">
        <f t="shared" si="0"/>
        <v>22</v>
      </c>
      <c r="AF10" s="371">
        <f t="shared" si="0"/>
        <v>23</v>
      </c>
      <c r="AG10" s="371">
        <f t="shared" si="0"/>
        <v>24</v>
      </c>
      <c r="AH10" s="371">
        <f t="shared" si="0"/>
        <v>25</v>
      </c>
      <c r="AI10" s="371">
        <f t="shared" si="0"/>
        <v>26</v>
      </c>
      <c r="AJ10" s="371">
        <f t="shared" si="0"/>
        <v>27</v>
      </c>
      <c r="AK10" s="371">
        <f t="shared" si="0"/>
        <v>28</v>
      </c>
      <c r="AL10" s="371">
        <f t="shared" si="0"/>
        <v>29</v>
      </c>
      <c r="AM10" s="371">
        <f t="shared" si="0"/>
        <v>30</v>
      </c>
      <c r="AN10" s="371">
        <f t="shared" si="0"/>
        <v>31</v>
      </c>
      <c r="AO10" s="371">
        <f t="shared" si="0"/>
        <v>32</v>
      </c>
      <c r="AP10" s="371">
        <f t="shared" si="0"/>
        <v>33</v>
      </c>
      <c r="AQ10" s="371">
        <f t="shared" si="0"/>
        <v>34</v>
      </c>
      <c r="AR10" s="371">
        <f t="shared" si="0"/>
        <v>35</v>
      </c>
      <c r="AS10" s="371">
        <f t="shared" si="0"/>
        <v>36</v>
      </c>
      <c r="AT10" s="371">
        <f t="shared" si="0"/>
        <v>37</v>
      </c>
      <c r="AU10" s="371">
        <f t="shared" si="0"/>
        <v>38</v>
      </c>
      <c r="AV10" s="371">
        <f t="shared" si="0"/>
        <v>39</v>
      </c>
      <c r="AW10" s="371">
        <f t="shared" si="0"/>
        <v>40</v>
      </c>
      <c r="AX10" s="371">
        <f t="shared" si="0"/>
        <v>41</v>
      </c>
      <c r="AY10" s="371">
        <f t="shared" si="0"/>
        <v>42</v>
      </c>
      <c r="AZ10" s="371">
        <f t="shared" si="0"/>
        <v>43</v>
      </c>
      <c r="BA10" s="371">
        <f t="shared" si="0"/>
        <v>44</v>
      </c>
      <c r="BB10" s="371">
        <f t="shared" si="0"/>
        <v>45</v>
      </c>
      <c r="BC10" s="371">
        <f t="shared" si="0"/>
        <v>46</v>
      </c>
      <c r="BD10" s="371">
        <f t="shared" si="0"/>
        <v>47</v>
      </c>
      <c r="BE10" s="371">
        <f t="shared" si="0"/>
        <v>48</v>
      </c>
      <c r="BF10" s="371">
        <f t="shared" si="0"/>
        <v>49</v>
      </c>
      <c r="BG10" s="371">
        <f t="shared" si="0"/>
        <v>50</v>
      </c>
      <c r="BH10" s="371">
        <f t="shared" si="0"/>
        <v>51</v>
      </c>
      <c r="BI10" s="371">
        <f t="shared" si="0"/>
        <v>52</v>
      </c>
      <c r="BJ10" s="371">
        <f t="shared" si="0"/>
        <v>53</v>
      </c>
      <c r="BK10" s="371">
        <f t="shared" si="0"/>
        <v>54</v>
      </c>
      <c r="BL10" s="371">
        <f t="shared" si="0"/>
        <v>55</v>
      </c>
      <c r="BM10" s="371">
        <f t="shared" si="0"/>
        <v>56</v>
      </c>
      <c r="BN10" s="371">
        <f t="shared" si="0"/>
        <v>57</v>
      </c>
      <c r="BO10" s="371">
        <f t="shared" si="0"/>
        <v>58</v>
      </c>
      <c r="BP10" s="371">
        <f t="shared" si="0"/>
        <v>59</v>
      </c>
      <c r="BQ10" s="371">
        <f t="shared" si="0"/>
        <v>60</v>
      </c>
      <c r="BR10" s="371">
        <f t="shared" si="0"/>
        <v>61</v>
      </c>
      <c r="BS10" s="371">
        <f t="shared" si="0"/>
        <v>62</v>
      </c>
      <c r="BT10" s="371">
        <f t="shared" si="0"/>
        <v>63</v>
      </c>
      <c r="BU10" s="371">
        <f t="shared" si="0"/>
        <v>64</v>
      </c>
      <c r="BV10" s="371">
        <f t="shared" ref="BV10:EA10" si="1" xml:space="preserve"> BU10 + 1</f>
        <v>65</v>
      </c>
      <c r="BW10" s="371">
        <f t="shared" si="1"/>
        <v>66</v>
      </c>
      <c r="BX10" s="371">
        <f t="shared" si="1"/>
        <v>67</v>
      </c>
      <c r="BY10" s="371">
        <f t="shared" si="1"/>
        <v>68</v>
      </c>
      <c r="BZ10" s="371">
        <f t="shared" si="1"/>
        <v>69</v>
      </c>
      <c r="CA10" s="371">
        <f t="shared" si="1"/>
        <v>70</v>
      </c>
      <c r="CB10" s="371">
        <f t="shared" si="1"/>
        <v>71</v>
      </c>
      <c r="CC10" s="371">
        <f t="shared" si="1"/>
        <v>72</v>
      </c>
      <c r="CD10" s="371">
        <f t="shared" si="1"/>
        <v>73</v>
      </c>
      <c r="CE10" s="371">
        <f t="shared" si="1"/>
        <v>74</v>
      </c>
      <c r="CF10" s="371">
        <f t="shared" si="1"/>
        <v>75</v>
      </c>
      <c r="CG10" s="371">
        <f t="shared" si="1"/>
        <v>76</v>
      </c>
      <c r="CH10" s="371">
        <f t="shared" si="1"/>
        <v>77</v>
      </c>
      <c r="CI10" s="371">
        <f t="shared" si="1"/>
        <v>78</v>
      </c>
      <c r="CJ10" s="371">
        <f t="shared" si="1"/>
        <v>79</v>
      </c>
      <c r="CK10" s="371">
        <f t="shared" si="1"/>
        <v>80</v>
      </c>
      <c r="CL10" s="371">
        <f t="shared" si="1"/>
        <v>81</v>
      </c>
      <c r="CM10" s="371">
        <f t="shared" si="1"/>
        <v>82</v>
      </c>
      <c r="CN10" s="371">
        <f t="shared" si="1"/>
        <v>83</v>
      </c>
      <c r="CO10" s="371">
        <f t="shared" si="1"/>
        <v>84</v>
      </c>
      <c r="CP10" s="371">
        <f t="shared" si="1"/>
        <v>85</v>
      </c>
      <c r="CQ10" s="371">
        <f t="shared" si="1"/>
        <v>86</v>
      </c>
      <c r="CR10" s="371">
        <f t="shared" si="1"/>
        <v>87</v>
      </c>
      <c r="CS10" s="371">
        <f t="shared" si="1"/>
        <v>88</v>
      </c>
      <c r="CT10" s="371">
        <f t="shared" si="1"/>
        <v>89</v>
      </c>
      <c r="CU10" s="371">
        <f t="shared" si="1"/>
        <v>90</v>
      </c>
      <c r="CV10" s="371">
        <f t="shared" si="1"/>
        <v>91</v>
      </c>
      <c r="CW10" s="371">
        <f t="shared" si="1"/>
        <v>92</v>
      </c>
      <c r="CX10" s="371">
        <f t="shared" si="1"/>
        <v>93</v>
      </c>
      <c r="CY10" s="371">
        <f t="shared" si="1"/>
        <v>94</v>
      </c>
      <c r="CZ10" s="371">
        <f t="shared" si="1"/>
        <v>95</v>
      </c>
      <c r="DA10" s="371">
        <f t="shared" si="1"/>
        <v>96</v>
      </c>
      <c r="DB10" s="371">
        <f t="shared" si="1"/>
        <v>97</v>
      </c>
      <c r="DC10" s="371">
        <f t="shared" si="1"/>
        <v>98</v>
      </c>
      <c r="DD10" s="371">
        <f t="shared" si="1"/>
        <v>99</v>
      </c>
      <c r="DE10" s="371">
        <f t="shared" si="1"/>
        <v>100</v>
      </c>
      <c r="DF10" s="371">
        <f t="shared" si="1"/>
        <v>101</v>
      </c>
      <c r="DG10" s="371">
        <f t="shared" si="1"/>
        <v>102</v>
      </c>
      <c r="DH10" s="371">
        <f t="shared" si="1"/>
        <v>103</v>
      </c>
      <c r="DI10" s="371">
        <f t="shared" si="1"/>
        <v>104</v>
      </c>
      <c r="DJ10" s="371">
        <f t="shared" si="1"/>
        <v>105</v>
      </c>
      <c r="DK10" s="371">
        <f t="shared" si="1"/>
        <v>106</v>
      </c>
      <c r="DL10" s="371">
        <f t="shared" si="1"/>
        <v>107</v>
      </c>
      <c r="DM10" s="371">
        <f t="shared" si="1"/>
        <v>108</v>
      </c>
      <c r="DN10" s="371">
        <f t="shared" si="1"/>
        <v>109</v>
      </c>
      <c r="DO10" s="371">
        <f t="shared" si="1"/>
        <v>110</v>
      </c>
      <c r="DP10" s="371">
        <f t="shared" si="1"/>
        <v>111</v>
      </c>
      <c r="DQ10" s="371">
        <f t="shared" si="1"/>
        <v>112</v>
      </c>
      <c r="DR10" s="371">
        <f t="shared" si="1"/>
        <v>113</v>
      </c>
      <c r="DS10" s="371">
        <f t="shared" si="1"/>
        <v>114</v>
      </c>
      <c r="DT10" s="371">
        <f t="shared" si="1"/>
        <v>115</v>
      </c>
      <c r="DU10" s="371">
        <f t="shared" si="1"/>
        <v>116</v>
      </c>
      <c r="DV10" s="371">
        <f t="shared" si="1"/>
        <v>117</v>
      </c>
      <c r="DW10" s="371">
        <f t="shared" si="1"/>
        <v>118</v>
      </c>
      <c r="DX10" s="371">
        <f t="shared" si="1"/>
        <v>119</v>
      </c>
      <c r="DY10" s="371">
        <f t="shared" si="1"/>
        <v>120</v>
      </c>
      <c r="DZ10" s="371">
        <f t="shared" si="1"/>
        <v>121</v>
      </c>
      <c r="EA10" s="371">
        <f t="shared" si="1"/>
        <v>122</v>
      </c>
    </row>
    <row r="11" spans="1:131" outlineLevel="2" x14ac:dyDescent="0.35">
      <c r="A11" s="395"/>
      <c r="B11" s="396"/>
      <c r="C11" s="397"/>
      <c r="D11" s="398"/>
      <c r="E11" s="399" t="s">
        <v>22</v>
      </c>
      <c r="F11" s="400">
        <f xml:space="preserve"> MAX(J10:EA10)</f>
        <v>122</v>
      </c>
      <c r="G11" s="399" t="s">
        <v>21</v>
      </c>
      <c r="H11" s="399"/>
      <c r="I11" s="400"/>
      <c r="J11" s="399"/>
      <c r="K11" s="399"/>
      <c r="L11" s="399"/>
      <c r="M11" s="399"/>
      <c r="N11" s="399"/>
      <c r="O11" s="399"/>
      <c r="P11" s="399"/>
      <c r="Q11" s="399"/>
      <c r="R11" s="399"/>
      <c r="S11" s="399"/>
      <c r="T11" s="399"/>
      <c r="U11" s="399"/>
      <c r="V11" s="399"/>
      <c r="W11" s="399"/>
      <c r="X11" s="399"/>
      <c r="Y11" s="399"/>
      <c r="Z11" s="399"/>
      <c r="AA11" s="399"/>
      <c r="AB11" s="399"/>
      <c r="AC11" s="399"/>
      <c r="AD11" s="399"/>
      <c r="AE11" s="399"/>
      <c r="AF11" s="399"/>
      <c r="AG11" s="399"/>
      <c r="AH11" s="399"/>
      <c r="AI11" s="399"/>
      <c r="AJ11" s="399"/>
      <c r="AK11" s="399"/>
      <c r="AL11" s="399"/>
      <c r="AM11" s="399"/>
      <c r="AN11" s="399"/>
      <c r="AO11" s="399"/>
      <c r="AP11" s="399"/>
      <c r="AQ11" s="399"/>
      <c r="AR11" s="399"/>
      <c r="AS11" s="399"/>
      <c r="AT11" s="399"/>
      <c r="AU11" s="399"/>
      <c r="AV11" s="399"/>
      <c r="AW11" s="399"/>
      <c r="AX11" s="399"/>
      <c r="AY11" s="399"/>
      <c r="AZ11" s="399"/>
      <c r="BA11" s="399"/>
      <c r="BB11" s="399"/>
      <c r="BC11" s="399"/>
      <c r="BD11" s="399"/>
      <c r="BE11" s="399"/>
      <c r="BF11" s="399"/>
      <c r="BG11" s="399"/>
      <c r="BH11" s="399"/>
      <c r="BI11" s="399"/>
      <c r="BJ11" s="399"/>
      <c r="BK11" s="399"/>
      <c r="BL11" s="399"/>
      <c r="BM11" s="399"/>
      <c r="BN11" s="399"/>
      <c r="BO11" s="399"/>
      <c r="BP11" s="399"/>
      <c r="BQ11" s="399"/>
      <c r="BR11" s="399"/>
      <c r="BS11" s="399"/>
      <c r="BT11" s="399"/>
      <c r="BU11" s="399"/>
      <c r="BV11" s="399"/>
      <c r="BW11" s="399"/>
      <c r="BX11" s="399"/>
      <c r="BY11" s="399"/>
      <c r="BZ11" s="399"/>
      <c r="CA11" s="399"/>
      <c r="CB11" s="399"/>
      <c r="CC11" s="399"/>
      <c r="CD11" s="399"/>
      <c r="CE11" s="399"/>
      <c r="CF11" s="399"/>
      <c r="CG11" s="399"/>
      <c r="CH11" s="399"/>
      <c r="CI11" s="399"/>
      <c r="CJ11" s="399"/>
      <c r="CK11" s="399"/>
      <c r="CL11" s="399"/>
      <c r="CM11" s="399"/>
      <c r="CN11" s="399"/>
      <c r="CO11" s="399"/>
      <c r="CP11" s="399"/>
      <c r="CQ11" s="399"/>
      <c r="CR11" s="399"/>
      <c r="CS11" s="399"/>
      <c r="CT11" s="399"/>
      <c r="CU11" s="399"/>
      <c r="CV11" s="399"/>
      <c r="CW11" s="399"/>
      <c r="CX11" s="399"/>
      <c r="CY11" s="399"/>
      <c r="CZ11" s="399"/>
      <c r="DA11" s="399"/>
      <c r="DB11" s="399"/>
      <c r="DC11" s="399"/>
      <c r="DD11" s="399"/>
      <c r="DE11" s="399"/>
      <c r="DF11" s="399"/>
      <c r="DG11" s="399"/>
      <c r="DH11" s="399"/>
      <c r="DI11" s="399"/>
      <c r="DJ11" s="399"/>
      <c r="DK11" s="399"/>
      <c r="DL11" s="399"/>
      <c r="DM11" s="399"/>
      <c r="DN11" s="399"/>
      <c r="DO11" s="399"/>
      <c r="DP11" s="399"/>
      <c r="DQ11" s="399"/>
      <c r="DR11" s="399"/>
      <c r="DS11" s="399"/>
      <c r="DT11" s="399"/>
      <c r="DU11" s="399"/>
      <c r="DV11" s="399"/>
      <c r="DW11" s="399"/>
      <c r="DX11" s="399"/>
      <c r="DY11" s="399"/>
      <c r="DZ11" s="399"/>
      <c r="EA11" s="399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5"/>
      <c r="B13" s="396"/>
      <c r="C13" s="397"/>
      <c r="D13" s="398"/>
      <c r="E13" s="400" t="str">
        <f t="shared" ref="E13:BP13" si="2" xml:space="preserve"> E$10</f>
        <v>Model column counter</v>
      </c>
      <c r="F13" s="400">
        <f t="shared" si="2"/>
        <v>0</v>
      </c>
      <c r="G13" s="400" t="str">
        <f t="shared" si="2"/>
        <v>counter</v>
      </c>
      <c r="H13" s="400">
        <f t="shared" si="2"/>
        <v>0</v>
      </c>
      <c r="I13" s="400">
        <f t="shared" si="2"/>
        <v>0</v>
      </c>
      <c r="J13" s="400">
        <f t="shared" si="2"/>
        <v>1</v>
      </c>
      <c r="K13" s="400">
        <f t="shared" si="2"/>
        <v>2</v>
      </c>
      <c r="L13" s="400">
        <f t="shared" si="2"/>
        <v>3</v>
      </c>
      <c r="M13" s="400">
        <f t="shared" si="2"/>
        <v>4</v>
      </c>
      <c r="N13" s="400">
        <f t="shared" si="2"/>
        <v>5</v>
      </c>
      <c r="O13" s="400">
        <f t="shared" si="2"/>
        <v>6</v>
      </c>
      <c r="P13" s="400">
        <f t="shared" si="2"/>
        <v>7</v>
      </c>
      <c r="Q13" s="400">
        <f t="shared" si="2"/>
        <v>8</v>
      </c>
      <c r="R13" s="400">
        <f t="shared" si="2"/>
        <v>9</v>
      </c>
      <c r="S13" s="400">
        <f t="shared" si="2"/>
        <v>10</v>
      </c>
      <c r="T13" s="400">
        <f t="shared" si="2"/>
        <v>11</v>
      </c>
      <c r="U13" s="400">
        <f t="shared" si="2"/>
        <v>12</v>
      </c>
      <c r="V13" s="400">
        <f t="shared" si="2"/>
        <v>13</v>
      </c>
      <c r="W13" s="400">
        <f t="shared" si="2"/>
        <v>14</v>
      </c>
      <c r="X13" s="400">
        <f t="shared" si="2"/>
        <v>15</v>
      </c>
      <c r="Y13" s="400">
        <f t="shared" si="2"/>
        <v>16</v>
      </c>
      <c r="Z13" s="400">
        <f t="shared" si="2"/>
        <v>17</v>
      </c>
      <c r="AA13" s="400">
        <f t="shared" si="2"/>
        <v>18</v>
      </c>
      <c r="AB13" s="400">
        <f t="shared" si="2"/>
        <v>19</v>
      </c>
      <c r="AC13" s="400">
        <f t="shared" si="2"/>
        <v>20</v>
      </c>
      <c r="AD13" s="400">
        <f t="shared" si="2"/>
        <v>21</v>
      </c>
      <c r="AE13" s="400">
        <f t="shared" si="2"/>
        <v>22</v>
      </c>
      <c r="AF13" s="400">
        <f t="shared" si="2"/>
        <v>23</v>
      </c>
      <c r="AG13" s="400">
        <f t="shared" si="2"/>
        <v>24</v>
      </c>
      <c r="AH13" s="400">
        <f t="shared" si="2"/>
        <v>25</v>
      </c>
      <c r="AI13" s="400">
        <f t="shared" si="2"/>
        <v>26</v>
      </c>
      <c r="AJ13" s="400">
        <f t="shared" si="2"/>
        <v>27</v>
      </c>
      <c r="AK13" s="400">
        <f t="shared" si="2"/>
        <v>28</v>
      </c>
      <c r="AL13" s="400">
        <f t="shared" si="2"/>
        <v>29</v>
      </c>
      <c r="AM13" s="400">
        <f t="shared" si="2"/>
        <v>30</v>
      </c>
      <c r="AN13" s="400">
        <f t="shared" si="2"/>
        <v>31</v>
      </c>
      <c r="AO13" s="400">
        <f t="shared" si="2"/>
        <v>32</v>
      </c>
      <c r="AP13" s="400">
        <f t="shared" si="2"/>
        <v>33</v>
      </c>
      <c r="AQ13" s="400">
        <f t="shared" si="2"/>
        <v>34</v>
      </c>
      <c r="AR13" s="400">
        <f t="shared" si="2"/>
        <v>35</v>
      </c>
      <c r="AS13" s="400">
        <f t="shared" si="2"/>
        <v>36</v>
      </c>
      <c r="AT13" s="400">
        <f t="shared" si="2"/>
        <v>37</v>
      </c>
      <c r="AU13" s="400">
        <f t="shared" si="2"/>
        <v>38</v>
      </c>
      <c r="AV13" s="400">
        <f t="shared" si="2"/>
        <v>39</v>
      </c>
      <c r="AW13" s="400">
        <f t="shared" si="2"/>
        <v>40</v>
      </c>
      <c r="AX13" s="400">
        <f t="shared" si="2"/>
        <v>41</v>
      </c>
      <c r="AY13" s="400">
        <f t="shared" si="2"/>
        <v>42</v>
      </c>
      <c r="AZ13" s="400">
        <f t="shared" si="2"/>
        <v>43</v>
      </c>
      <c r="BA13" s="400">
        <f t="shared" si="2"/>
        <v>44</v>
      </c>
      <c r="BB13" s="400">
        <f t="shared" si="2"/>
        <v>45</v>
      </c>
      <c r="BC13" s="400">
        <f t="shared" si="2"/>
        <v>46</v>
      </c>
      <c r="BD13" s="400">
        <f t="shared" si="2"/>
        <v>47</v>
      </c>
      <c r="BE13" s="400">
        <f t="shared" si="2"/>
        <v>48</v>
      </c>
      <c r="BF13" s="400">
        <f t="shared" si="2"/>
        <v>49</v>
      </c>
      <c r="BG13" s="400">
        <f t="shared" si="2"/>
        <v>50</v>
      </c>
      <c r="BH13" s="400">
        <f t="shared" si="2"/>
        <v>51</v>
      </c>
      <c r="BI13" s="400">
        <f t="shared" si="2"/>
        <v>52</v>
      </c>
      <c r="BJ13" s="400">
        <f t="shared" si="2"/>
        <v>53</v>
      </c>
      <c r="BK13" s="400">
        <f t="shared" si="2"/>
        <v>54</v>
      </c>
      <c r="BL13" s="400">
        <f t="shared" si="2"/>
        <v>55</v>
      </c>
      <c r="BM13" s="400">
        <f t="shared" si="2"/>
        <v>56</v>
      </c>
      <c r="BN13" s="400">
        <f t="shared" si="2"/>
        <v>57</v>
      </c>
      <c r="BO13" s="400">
        <f t="shared" si="2"/>
        <v>58</v>
      </c>
      <c r="BP13" s="400">
        <f t="shared" si="2"/>
        <v>59</v>
      </c>
      <c r="BQ13" s="400">
        <f t="shared" ref="BQ13:EA13" si="3" xml:space="preserve"> BQ$10</f>
        <v>60</v>
      </c>
      <c r="BR13" s="400">
        <f t="shared" si="3"/>
        <v>61</v>
      </c>
      <c r="BS13" s="400">
        <f t="shared" si="3"/>
        <v>62</v>
      </c>
      <c r="BT13" s="400">
        <f t="shared" si="3"/>
        <v>63</v>
      </c>
      <c r="BU13" s="400">
        <f t="shared" si="3"/>
        <v>64</v>
      </c>
      <c r="BV13" s="400">
        <f t="shared" si="3"/>
        <v>65</v>
      </c>
      <c r="BW13" s="400">
        <f t="shared" si="3"/>
        <v>66</v>
      </c>
      <c r="BX13" s="400">
        <f t="shared" si="3"/>
        <v>67</v>
      </c>
      <c r="BY13" s="400">
        <f t="shared" si="3"/>
        <v>68</v>
      </c>
      <c r="BZ13" s="400">
        <f t="shared" si="3"/>
        <v>69</v>
      </c>
      <c r="CA13" s="400">
        <f t="shared" si="3"/>
        <v>70</v>
      </c>
      <c r="CB13" s="400">
        <f t="shared" si="3"/>
        <v>71</v>
      </c>
      <c r="CC13" s="400">
        <f t="shared" si="3"/>
        <v>72</v>
      </c>
      <c r="CD13" s="400">
        <f t="shared" si="3"/>
        <v>73</v>
      </c>
      <c r="CE13" s="400">
        <f t="shared" si="3"/>
        <v>74</v>
      </c>
      <c r="CF13" s="400">
        <f t="shared" si="3"/>
        <v>75</v>
      </c>
      <c r="CG13" s="400">
        <f t="shared" si="3"/>
        <v>76</v>
      </c>
      <c r="CH13" s="400">
        <f t="shared" si="3"/>
        <v>77</v>
      </c>
      <c r="CI13" s="400">
        <f t="shared" si="3"/>
        <v>78</v>
      </c>
      <c r="CJ13" s="400">
        <f t="shared" si="3"/>
        <v>79</v>
      </c>
      <c r="CK13" s="400">
        <f t="shared" si="3"/>
        <v>80</v>
      </c>
      <c r="CL13" s="400">
        <f t="shared" si="3"/>
        <v>81</v>
      </c>
      <c r="CM13" s="400">
        <f t="shared" si="3"/>
        <v>82</v>
      </c>
      <c r="CN13" s="400">
        <f t="shared" si="3"/>
        <v>83</v>
      </c>
      <c r="CO13" s="400">
        <f t="shared" si="3"/>
        <v>84</v>
      </c>
      <c r="CP13" s="400">
        <f t="shared" si="3"/>
        <v>85</v>
      </c>
      <c r="CQ13" s="400">
        <f t="shared" si="3"/>
        <v>86</v>
      </c>
      <c r="CR13" s="400">
        <f t="shared" si="3"/>
        <v>87</v>
      </c>
      <c r="CS13" s="400">
        <f t="shared" si="3"/>
        <v>88</v>
      </c>
      <c r="CT13" s="400">
        <f t="shared" si="3"/>
        <v>89</v>
      </c>
      <c r="CU13" s="400">
        <f t="shared" si="3"/>
        <v>90</v>
      </c>
      <c r="CV13" s="400">
        <f t="shared" si="3"/>
        <v>91</v>
      </c>
      <c r="CW13" s="400">
        <f t="shared" si="3"/>
        <v>92</v>
      </c>
      <c r="CX13" s="400">
        <f t="shared" si="3"/>
        <v>93</v>
      </c>
      <c r="CY13" s="400">
        <f t="shared" si="3"/>
        <v>94</v>
      </c>
      <c r="CZ13" s="400">
        <f t="shared" si="3"/>
        <v>95</v>
      </c>
      <c r="DA13" s="400">
        <f t="shared" si="3"/>
        <v>96</v>
      </c>
      <c r="DB13" s="400">
        <f t="shared" si="3"/>
        <v>97</v>
      </c>
      <c r="DC13" s="400">
        <f t="shared" si="3"/>
        <v>98</v>
      </c>
      <c r="DD13" s="400">
        <f t="shared" si="3"/>
        <v>99</v>
      </c>
      <c r="DE13" s="400">
        <f t="shared" si="3"/>
        <v>100</v>
      </c>
      <c r="DF13" s="400">
        <f t="shared" si="3"/>
        <v>101</v>
      </c>
      <c r="DG13" s="400">
        <f t="shared" si="3"/>
        <v>102</v>
      </c>
      <c r="DH13" s="400">
        <f t="shared" si="3"/>
        <v>103</v>
      </c>
      <c r="DI13" s="400">
        <f t="shared" si="3"/>
        <v>104</v>
      </c>
      <c r="DJ13" s="400">
        <f t="shared" si="3"/>
        <v>105</v>
      </c>
      <c r="DK13" s="400">
        <f t="shared" si="3"/>
        <v>106</v>
      </c>
      <c r="DL13" s="400">
        <f t="shared" si="3"/>
        <v>107</v>
      </c>
      <c r="DM13" s="400">
        <f t="shared" si="3"/>
        <v>108</v>
      </c>
      <c r="DN13" s="400">
        <f t="shared" si="3"/>
        <v>109</v>
      </c>
      <c r="DO13" s="400">
        <f t="shared" si="3"/>
        <v>110</v>
      </c>
      <c r="DP13" s="400">
        <f t="shared" si="3"/>
        <v>111</v>
      </c>
      <c r="DQ13" s="400">
        <f t="shared" si="3"/>
        <v>112</v>
      </c>
      <c r="DR13" s="400">
        <f t="shared" si="3"/>
        <v>113</v>
      </c>
      <c r="DS13" s="400">
        <f t="shared" si="3"/>
        <v>114</v>
      </c>
      <c r="DT13" s="400">
        <f t="shared" si="3"/>
        <v>115</v>
      </c>
      <c r="DU13" s="400">
        <f t="shared" si="3"/>
        <v>116</v>
      </c>
      <c r="DV13" s="400">
        <f t="shared" si="3"/>
        <v>117</v>
      </c>
      <c r="DW13" s="400">
        <f t="shared" si="3"/>
        <v>118</v>
      </c>
      <c r="DX13" s="400">
        <f t="shared" si="3"/>
        <v>119</v>
      </c>
      <c r="DY13" s="400">
        <f t="shared" si="3"/>
        <v>120</v>
      </c>
      <c r="DZ13" s="400">
        <f t="shared" si="3"/>
        <v>121</v>
      </c>
      <c r="EA13" s="400">
        <f t="shared" si="3"/>
        <v>122</v>
      </c>
    </row>
    <row r="14" spans="1:131" outlineLevel="2" x14ac:dyDescent="0.35">
      <c r="A14" s="192"/>
      <c r="B14" s="192"/>
      <c r="C14" s="193"/>
      <c r="D14" s="194"/>
      <c r="E14" s="190" t="s">
        <v>1</v>
      </c>
      <c r="F14" s="190"/>
      <c r="G14" s="190" t="s">
        <v>5</v>
      </c>
      <c r="H14" s="150">
        <f xml:space="preserve"> SUM(J14:EA14)</f>
        <v>1</v>
      </c>
      <c r="I14" s="191"/>
      <c r="J14" s="190">
        <f t="shared" ref="J14:BU14" si="4" xml:space="preserve"> IF(J13 = 1, 1, 0)</f>
        <v>1</v>
      </c>
      <c r="K14" s="190">
        <f t="shared" si="4"/>
        <v>0</v>
      </c>
      <c r="L14" s="190">
        <f t="shared" si="4"/>
        <v>0</v>
      </c>
      <c r="M14" s="190">
        <f t="shared" si="4"/>
        <v>0</v>
      </c>
      <c r="N14" s="190">
        <f t="shared" si="4"/>
        <v>0</v>
      </c>
      <c r="O14" s="190">
        <f t="shared" si="4"/>
        <v>0</v>
      </c>
      <c r="P14" s="190">
        <f t="shared" si="4"/>
        <v>0</v>
      </c>
      <c r="Q14" s="190">
        <f t="shared" si="4"/>
        <v>0</v>
      </c>
      <c r="R14" s="190">
        <f t="shared" si="4"/>
        <v>0</v>
      </c>
      <c r="S14" s="190">
        <f t="shared" si="4"/>
        <v>0</v>
      </c>
      <c r="T14" s="190">
        <f t="shared" si="4"/>
        <v>0</v>
      </c>
      <c r="U14" s="190">
        <f t="shared" si="4"/>
        <v>0</v>
      </c>
      <c r="V14" s="190">
        <f t="shared" si="4"/>
        <v>0</v>
      </c>
      <c r="W14" s="190">
        <f t="shared" si="4"/>
        <v>0</v>
      </c>
      <c r="X14" s="190">
        <f t="shared" si="4"/>
        <v>0</v>
      </c>
      <c r="Y14" s="190">
        <f t="shared" si="4"/>
        <v>0</v>
      </c>
      <c r="Z14" s="190">
        <f t="shared" si="4"/>
        <v>0</v>
      </c>
      <c r="AA14" s="190">
        <f t="shared" si="4"/>
        <v>0</v>
      </c>
      <c r="AB14" s="190">
        <f t="shared" si="4"/>
        <v>0</v>
      </c>
      <c r="AC14" s="190">
        <f t="shared" si="4"/>
        <v>0</v>
      </c>
      <c r="AD14" s="190">
        <f t="shared" si="4"/>
        <v>0</v>
      </c>
      <c r="AE14" s="190">
        <f t="shared" si="4"/>
        <v>0</v>
      </c>
      <c r="AF14" s="190">
        <f t="shared" si="4"/>
        <v>0</v>
      </c>
      <c r="AG14" s="190">
        <f t="shared" si="4"/>
        <v>0</v>
      </c>
      <c r="AH14" s="190">
        <f t="shared" si="4"/>
        <v>0</v>
      </c>
      <c r="AI14" s="190">
        <f t="shared" si="4"/>
        <v>0</v>
      </c>
      <c r="AJ14" s="190">
        <f t="shared" si="4"/>
        <v>0</v>
      </c>
      <c r="AK14" s="190">
        <f t="shared" si="4"/>
        <v>0</v>
      </c>
      <c r="AL14" s="190">
        <f t="shared" si="4"/>
        <v>0</v>
      </c>
      <c r="AM14" s="190">
        <f t="shared" si="4"/>
        <v>0</v>
      </c>
      <c r="AN14" s="190">
        <f t="shared" si="4"/>
        <v>0</v>
      </c>
      <c r="AO14" s="190">
        <f t="shared" si="4"/>
        <v>0</v>
      </c>
      <c r="AP14" s="190">
        <f t="shared" si="4"/>
        <v>0</v>
      </c>
      <c r="AQ14" s="190">
        <f t="shared" si="4"/>
        <v>0</v>
      </c>
      <c r="AR14" s="190">
        <f t="shared" si="4"/>
        <v>0</v>
      </c>
      <c r="AS14" s="190">
        <f t="shared" si="4"/>
        <v>0</v>
      </c>
      <c r="AT14" s="190">
        <f t="shared" si="4"/>
        <v>0</v>
      </c>
      <c r="AU14" s="190">
        <f t="shared" si="4"/>
        <v>0</v>
      </c>
      <c r="AV14" s="190">
        <f t="shared" si="4"/>
        <v>0</v>
      </c>
      <c r="AW14" s="190">
        <f t="shared" si="4"/>
        <v>0</v>
      </c>
      <c r="AX14" s="190">
        <f t="shared" si="4"/>
        <v>0</v>
      </c>
      <c r="AY14" s="190">
        <f t="shared" si="4"/>
        <v>0</v>
      </c>
      <c r="AZ14" s="190">
        <f t="shared" si="4"/>
        <v>0</v>
      </c>
      <c r="BA14" s="190">
        <f t="shared" si="4"/>
        <v>0</v>
      </c>
      <c r="BB14" s="190">
        <f t="shared" si="4"/>
        <v>0</v>
      </c>
      <c r="BC14" s="190">
        <f t="shared" si="4"/>
        <v>0</v>
      </c>
      <c r="BD14" s="190">
        <f t="shared" si="4"/>
        <v>0</v>
      </c>
      <c r="BE14" s="190">
        <f t="shared" si="4"/>
        <v>0</v>
      </c>
      <c r="BF14" s="190">
        <f t="shared" si="4"/>
        <v>0</v>
      </c>
      <c r="BG14" s="190">
        <f t="shared" si="4"/>
        <v>0</v>
      </c>
      <c r="BH14" s="190">
        <f t="shared" si="4"/>
        <v>0</v>
      </c>
      <c r="BI14" s="190">
        <f t="shared" si="4"/>
        <v>0</v>
      </c>
      <c r="BJ14" s="190">
        <f t="shared" si="4"/>
        <v>0</v>
      </c>
      <c r="BK14" s="190">
        <f t="shared" si="4"/>
        <v>0</v>
      </c>
      <c r="BL14" s="190">
        <f t="shared" si="4"/>
        <v>0</v>
      </c>
      <c r="BM14" s="190">
        <f t="shared" si="4"/>
        <v>0</v>
      </c>
      <c r="BN14" s="190">
        <f t="shared" si="4"/>
        <v>0</v>
      </c>
      <c r="BO14" s="190">
        <f t="shared" si="4"/>
        <v>0</v>
      </c>
      <c r="BP14" s="190">
        <f t="shared" si="4"/>
        <v>0</v>
      </c>
      <c r="BQ14" s="190">
        <f t="shared" si="4"/>
        <v>0</v>
      </c>
      <c r="BR14" s="190">
        <f t="shared" si="4"/>
        <v>0</v>
      </c>
      <c r="BS14" s="190">
        <f t="shared" si="4"/>
        <v>0</v>
      </c>
      <c r="BT14" s="190">
        <f t="shared" si="4"/>
        <v>0</v>
      </c>
      <c r="BU14" s="190">
        <f t="shared" si="4"/>
        <v>0</v>
      </c>
      <c r="BV14" s="190">
        <f t="shared" ref="BV14:EA14" si="5" xml:space="preserve"> IF(BV13 = 1, 1, 0)</f>
        <v>0</v>
      </c>
      <c r="BW14" s="190">
        <f t="shared" si="5"/>
        <v>0</v>
      </c>
      <c r="BX14" s="190">
        <f t="shared" si="5"/>
        <v>0</v>
      </c>
      <c r="BY14" s="190">
        <f t="shared" si="5"/>
        <v>0</v>
      </c>
      <c r="BZ14" s="190">
        <f t="shared" si="5"/>
        <v>0</v>
      </c>
      <c r="CA14" s="190">
        <f t="shared" si="5"/>
        <v>0</v>
      </c>
      <c r="CB14" s="190">
        <f t="shared" si="5"/>
        <v>0</v>
      </c>
      <c r="CC14" s="190">
        <f t="shared" si="5"/>
        <v>0</v>
      </c>
      <c r="CD14" s="190">
        <f t="shared" si="5"/>
        <v>0</v>
      </c>
      <c r="CE14" s="190">
        <f t="shared" si="5"/>
        <v>0</v>
      </c>
      <c r="CF14" s="190">
        <f t="shared" si="5"/>
        <v>0</v>
      </c>
      <c r="CG14" s="190">
        <f t="shared" si="5"/>
        <v>0</v>
      </c>
      <c r="CH14" s="190">
        <f t="shared" si="5"/>
        <v>0</v>
      </c>
      <c r="CI14" s="190">
        <f t="shared" si="5"/>
        <v>0</v>
      </c>
      <c r="CJ14" s="190">
        <f t="shared" si="5"/>
        <v>0</v>
      </c>
      <c r="CK14" s="190">
        <f t="shared" si="5"/>
        <v>0</v>
      </c>
      <c r="CL14" s="190">
        <f t="shared" si="5"/>
        <v>0</v>
      </c>
      <c r="CM14" s="190">
        <f t="shared" si="5"/>
        <v>0</v>
      </c>
      <c r="CN14" s="190">
        <f t="shared" si="5"/>
        <v>0</v>
      </c>
      <c r="CO14" s="190">
        <f t="shared" si="5"/>
        <v>0</v>
      </c>
      <c r="CP14" s="190">
        <f t="shared" si="5"/>
        <v>0</v>
      </c>
      <c r="CQ14" s="190">
        <f t="shared" si="5"/>
        <v>0</v>
      </c>
      <c r="CR14" s="190">
        <f t="shared" si="5"/>
        <v>0</v>
      </c>
      <c r="CS14" s="190">
        <f t="shared" si="5"/>
        <v>0</v>
      </c>
      <c r="CT14" s="190">
        <f t="shared" si="5"/>
        <v>0</v>
      </c>
      <c r="CU14" s="190">
        <f t="shared" si="5"/>
        <v>0</v>
      </c>
      <c r="CV14" s="190">
        <f t="shared" si="5"/>
        <v>0</v>
      </c>
      <c r="CW14" s="190">
        <f t="shared" si="5"/>
        <v>0</v>
      </c>
      <c r="CX14" s="190">
        <f t="shared" si="5"/>
        <v>0</v>
      </c>
      <c r="CY14" s="190">
        <f t="shared" si="5"/>
        <v>0</v>
      </c>
      <c r="CZ14" s="190">
        <f t="shared" si="5"/>
        <v>0</v>
      </c>
      <c r="DA14" s="190">
        <f t="shared" si="5"/>
        <v>0</v>
      </c>
      <c r="DB14" s="190">
        <f t="shared" si="5"/>
        <v>0</v>
      </c>
      <c r="DC14" s="190">
        <f t="shared" si="5"/>
        <v>0</v>
      </c>
      <c r="DD14" s="190">
        <f t="shared" si="5"/>
        <v>0</v>
      </c>
      <c r="DE14" s="190">
        <f t="shared" si="5"/>
        <v>0</v>
      </c>
      <c r="DF14" s="190">
        <f t="shared" si="5"/>
        <v>0</v>
      </c>
      <c r="DG14" s="190">
        <f t="shared" si="5"/>
        <v>0</v>
      </c>
      <c r="DH14" s="190">
        <f t="shared" si="5"/>
        <v>0</v>
      </c>
      <c r="DI14" s="190">
        <f t="shared" si="5"/>
        <v>0</v>
      </c>
      <c r="DJ14" s="190">
        <f t="shared" si="5"/>
        <v>0</v>
      </c>
      <c r="DK14" s="190">
        <f t="shared" si="5"/>
        <v>0</v>
      </c>
      <c r="DL14" s="190">
        <f t="shared" si="5"/>
        <v>0</v>
      </c>
      <c r="DM14" s="190">
        <f t="shared" si="5"/>
        <v>0</v>
      </c>
      <c r="DN14" s="190">
        <f t="shared" si="5"/>
        <v>0</v>
      </c>
      <c r="DO14" s="190">
        <f t="shared" si="5"/>
        <v>0</v>
      </c>
      <c r="DP14" s="190">
        <f t="shared" si="5"/>
        <v>0</v>
      </c>
      <c r="DQ14" s="190">
        <f t="shared" si="5"/>
        <v>0</v>
      </c>
      <c r="DR14" s="190">
        <f t="shared" si="5"/>
        <v>0</v>
      </c>
      <c r="DS14" s="190">
        <f t="shared" si="5"/>
        <v>0</v>
      </c>
      <c r="DT14" s="190">
        <f t="shared" si="5"/>
        <v>0</v>
      </c>
      <c r="DU14" s="190">
        <f t="shared" si="5"/>
        <v>0</v>
      </c>
      <c r="DV14" s="190">
        <f t="shared" si="5"/>
        <v>0</v>
      </c>
      <c r="DW14" s="190">
        <f t="shared" si="5"/>
        <v>0</v>
      </c>
      <c r="DX14" s="190">
        <f t="shared" si="5"/>
        <v>0</v>
      </c>
      <c r="DY14" s="190">
        <f t="shared" si="5"/>
        <v>0</v>
      </c>
      <c r="DZ14" s="190">
        <f t="shared" si="5"/>
        <v>0</v>
      </c>
      <c r="EA14" s="190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3"/>
      <c r="B17" s="373"/>
      <c r="C17" s="374"/>
      <c r="D17" s="375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6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6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6"/>
      <c r="C20" s="244"/>
      <c r="D20" s="245"/>
      <c r="E20" s="153" t="s">
        <v>16</v>
      </c>
      <c r="F20" s="153"/>
      <c r="G20" s="153" t="s">
        <v>6</v>
      </c>
      <c r="H20" s="153"/>
      <c r="I20" s="402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6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6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2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2"/>
      <c r="F26" s="402"/>
      <c r="G26" s="402"/>
      <c r="H26" s="402"/>
      <c r="I26" s="402"/>
      <c r="J26" s="402"/>
      <c r="K26" s="402"/>
      <c r="L26" s="402"/>
      <c r="M26" s="402"/>
      <c r="N26" s="402"/>
      <c r="O26" s="402"/>
      <c r="P26" s="402"/>
      <c r="Q26" s="402"/>
      <c r="R26" s="402"/>
      <c r="S26" s="402"/>
      <c r="T26" s="402"/>
      <c r="U26" s="402"/>
      <c r="V26" s="402"/>
      <c r="W26" s="402"/>
      <c r="X26" s="402"/>
      <c r="Y26" s="402"/>
      <c r="Z26" s="402"/>
      <c r="AA26" s="402"/>
      <c r="AB26" s="402"/>
      <c r="AC26" s="402"/>
      <c r="AD26" s="402"/>
      <c r="AE26" s="402"/>
      <c r="AF26" s="402"/>
      <c r="AG26" s="402"/>
      <c r="AH26" s="402"/>
      <c r="AI26" s="402"/>
      <c r="AJ26" s="402"/>
      <c r="AK26" s="402"/>
      <c r="AL26" s="402"/>
      <c r="AM26" s="402"/>
      <c r="AN26" s="402"/>
      <c r="AO26" s="402"/>
      <c r="AP26" s="402"/>
      <c r="AQ26" s="402"/>
      <c r="AR26" s="402"/>
      <c r="AS26" s="402"/>
      <c r="AT26" s="402"/>
      <c r="AU26" s="402"/>
      <c r="AV26" s="402"/>
      <c r="AW26" s="402"/>
      <c r="AX26" s="402"/>
      <c r="AY26" s="402"/>
      <c r="AZ26" s="402"/>
      <c r="BA26" s="402"/>
      <c r="BB26" s="402"/>
      <c r="BC26" s="402"/>
      <c r="BD26" s="402"/>
      <c r="BE26" s="402"/>
      <c r="BF26" s="402"/>
      <c r="BG26" s="402"/>
      <c r="BH26" s="402"/>
      <c r="BI26" s="402"/>
      <c r="BJ26" s="402"/>
      <c r="BK26" s="402"/>
      <c r="BL26" s="402"/>
      <c r="BM26" s="402"/>
      <c r="BN26" s="402"/>
      <c r="BO26" s="402"/>
      <c r="BP26" s="402"/>
      <c r="BQ26" s="402"/>
      <c r="BR26" s="402"/>
      <c r="BS26" s="402"/>
      <c r="BT26" s="402"/>
      <c r="BU26" s="402"/>
      <c r="BV26" s="402"/>
      <c r="BW26" s="402"/>
      <c r="BX26" s="402"/>
      <c r="BY26" s="402"/>
      <c r="BZ26" s="402"/>
      <c r="CA26" s="402"/>
      <c r="CB26" s="402"/>
      <c r="CC26" s="402"/>
      <c r="CD26" s="402"/>
      <c r="CE26" s="402"/>
      <c r="CF26" s="402"/>
      <c r="CG26" s="402"/>
      <c r="CH26" s="402"/>
      <c r="CI26" s="402"/>
      <c r="CJ26" s="402"/>
      <c r="CK26" s="402"/>
      <c r="CL26" s="402"/>
      <c r="CM26" s="402"/>
      <c r="CN26" s="402"/>
      <c r="CO26" s="402"/>
      <c r="CP26" s="402"/>
      <c r="CQ26" s="402"/>
      <c r="CR26" s="402"/>
      <c r="CS26" s="402"/>
      <c r="CT26" s="402"/>
      <c r="CU26" s="402"/>
      <c r="CV26" s="402"/>
      <c r="CW26" s="402"/>
      <c r="CX26" s="402"/>
      <c r="CY26" s="402"/>
      <c r="CZ26" s="402"/>
      <c r="DA26" s="402"/>
      <c r="DB26" s="402"/>
      <c r="DC26" s="402"/>
      <c r="DD26" s="402"/>
      <c r="DE26" s="402"/>
      <c r="DF26" s="402"/>
      <c r="DG26" s="402"/>
      <c r="DH26" s="402"/>
      <c r="DI26" s="402"/>
      <c r="DJ26" s="402"/>
      <c r="DK26" s="402"/>
      <c r="DL26" s="402"/>
      <c r="DM26" s="402"/>
      <c r="DN26" s="402"/>
      <c r="DO26" s="402"/>
      <c r="DP26" s="402"/>
      <c r="DQ26" s="402"/>
      <c r="DR26" s="402"/>
      <c r="DS26" s="402"/>
      <c r="DT26" s="402"/>
      <c r="DU26" s="402"/>
      <c r="DV26" s="402"/>
      <c r="DW26" s="402"/>
      <c r="DX26" s="402"/>
      <c r="DY26" s="402"/>
      <c r="DZ26" s="402"/>
      <c r="EA26" s="402"/>
    </row>
    <row r="27" spans="1:131" outlineLevel="1" x14ac:dyDescent="0.35">
      <c r="A27" s="243"/>
      <c r="B27" s="192" t="s">
        <v>96</v>
      </c>
      <c r="C27" s="244"/>
      <c r="D27" s="245"/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  <c r="P27" s="402"/>
      <c r="Q27" s="402"/>
      <c r="R27" s="402"/>
      <c r="S27" s="402"/>
      <c r="T27" s="402"/>
      <c r="U27" s="402"/>
      <c r="V27" s="402"/>
      <c r="W27" s="402"/>
      <c r="X27" s="402"/>
      <c r="Y27" s="402"/>
      <c r="Z27" s="402"/>
      <c r="AA27" s="402"/>
      <c r="AB27" s="402"/>
      <c r="AC27" s="402"/>
      <c r="AD27" s="402"/>
      <c r="AE27" s="402"/>
      <c r="AF27" s="402"/>
      <c r="AG27" s="402"/>
      <c r="AH27" s="402"/>
      <c r="AI27" s="402"/>
      <c r="AJ27" s="402"/>
      <c r="AK27" s="402"/>
      <c r="AL27" s="402"/>
      <c r="AM27" s="402"/>
      <c r="AN27" s="402"/>
      <c r="AO27" s="402"/>
      <c r="AP27" s="402"/>
      <c r="AQ27" s="402"/>
      <c r="AR27" s="402"/>
      <c r="AS27" s="402"/>
      <c r="AT27" s="402"/>
      <c r="AU27" s="402"/>
      <c r="AV27" s="402"/>
      <c r="AW27" s="402"/>
      <c r="AX27" s="402"/>
      <c r="AY27" s="402"/>
      <c r="AZ27" s="402"/>
      <c r="BA27" s="402"/>
      <c r="BB27" s="402"/>
      <c r="BC27" s="402"/>
      <c r="BD27" s="402"/>
      <c r="BE27" s="402"/>
      <c r="BF27" s="402"/>
      <c r="BG27" s="402"/>
      <c r="BH27" s="402"/>
      <c r="BI27" s="402"/>
      <c r="BJ27" s="402"/>
      <c r="BK27" s="402"/>
      <c r="BL27" s="402"/>
      <c r="BM27" s="402"/>
      <c r="BN27" s="402"/>
      <c r="BO27" s="402"/>
      <c r="BP27" s="402"/>
      <c r="BQ27" s="402"/>
      <c r="BR27" s="402"/>
      <c r="BS27" s="402"/>
      <c r="BT27" s="402"/>
      <c r="BU27" s="402"/>
      <c r="BV27" s="402"/>
      <c r="BW27" s="402"/>
      <c r="BX27" s="402"/>
      <c r="BY27" s="402"/>
      <c r="BZ27" s="402"/>
      <c r="CA27" s="402"/>
      <c r="CB27" s="402"/>
      <c r="CC27" s="402"/>
      <c r="CD27" s="402"/>
      <c r="CE27" s="402"/>
      <c r="CF27" s="402"/>
      <c r="CG27" s="402"/>
      <c r="CH27" s="402"/>
      <c r="CI27" s="402"/>
      <c r="CJ27" s="402"/>
      <c r="CK27" s="402"/>
      <c r="CL27" s="402"/>
      <c r="CM27" s="402"/>
      <c r="CN27" s="402"/>
      <c r="CO27" s="402"/>
      <c r="CP27" s="402"/>
      <c r="CQ27" s="402"/>
      <c r="CR27" s="402"/>
      <c r="CS27" s="402"/>
      <c r="CT27" s="402"/>
      <c r="CU27" s="402"/>
      <c r="CV27" s="402"/>
      <c r="CW27" s="402"/>
      <c r="CX27" s="402"/>
      <c r="CY27" s="402"/>
      <c r="CZ27" s="402"/>
      <c r="DA27" s="402"/>
      <c r="DB27" s="402"/>
      <c r="DC27" s="402"/>
      <c r="DD27" s="402"/>
      <c r="DE27" s="402"/>
      <c r="DF27" s="402"/>
      <c r="DG27" s="402"/>
      <c r="DH27" s="402"/>
      <c r="DI27" s="402"/>
      <c r="DJ27" s="402"/>
      <c r="DK27" s="402"/>
      <c r="DL27" s="402"/>
      <c r="DM27" s="402"/>
      <c r="DN27" s="402"/>
      <c r="DO27" s="402"/>
      <c r="DP27" s="402"/>
      <c r="DQ27" s="402"/>
      <c r="DR27" s="402"/>
      <c r="DS27" s="402"/>
      <c r="DT27" s="402"/>
      <c r="DU27" s="402"/>
      <c r="DV27" s="402"/>
      <c r="DW27" s="402"/>
      <c r="DX27" s="402"/>
      <c r="DY27" s="402"/>
      <c r="DZ27" s="402"/>
      <c r="EA27" s="402"/>
    </row>
    <row r="28" spans="1:131" outlineLevel="2" x14ac:dyDescent="0.35">
      <c r="A28" s="373"/>
      <c r="B28" s="51"/>
      <c r="C28" s="374"/>
      <c r="D28" s="375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6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153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5" t="str">
        <f t="shared" ref="E32:BP32" si="14" xml:space="preserve"> E$25</f>
        <v>Model period ending</v>
      </c>
      <c r="F32" s="405">
        <f t="shared" si="14"/>
        <v>0</v>
      </c>
      <c r="G32" s="405" t="str">
        <f t="shared" si="14"/>
        <v>date</v>
      </c>
      <c r="H32" s="405">
        <f t="shared" si="14"/>
        <v>0</v>
      </c>
      <c r="I32" s="406">
        <f t="shared" si="14"/>
        <v>0</v>
      </c>
      <c r="J32" s="405">
        <f t="shared" si="14"/>
        <v>44104</v>
      </c>
      <c r="K32" s="405">
        <f t="shared" si="14"/>
        <v>44196</v>
      </c>
      <c r="L32" s="405">
        <f t="shared" si="14"/>
        <v>44286</v>
      </c>
      <c r="M32" s="405">
        <f t="shared" si="14"/>
        <v>44377</v>
      </c>
      <c r="N32" s="405">
        <f t="shared" si="14"/>
        <v>44469</v>
      </c>
      <c r="O32" s="405">
        <f t="shared" si="14"/>
        <v>44561</v>
      </c>
      <c r="P32" s="405">
        <f t="shared" si="14"/>
        <v>44651</v>
      </c>
      <c r="Q32" s="405">
        <f t="shared" si="14"/>
        <v>44742</v>
      </c>
      <c r="R32" s="405">
        <f t="shared" si="14"/>
        <v>44834</v>
      </c>
      <c r="S32" s="405">
        <f t="shared" si="14"/>
        <v>44926</v>
      </c>
      <c r="T32" s="405">
        <f t="shared" si="14"/>
        <v>45016</v>
      </c>
      <c r="U32" s="405">
        <f t="shared" si="14"/>
        <v>45107</v>
      </c>
      <c r="V32" s="405">
        <f t="shared" si="14"/>
        <v>45199</v>
      </c>
      <c r="W32" s="405">
        <f t="shared" si="14"/>
        <v>45291</v>
      </c>
      <c r="X32" s="405">
        <f t="shared" si="14"/>
        <v>45382</v>
      </c>
      <c r="Y32" s="405">
        <f t="shared" si="14"/>
        <v>45473</v>
      </c>
      <c r="Z32" s="405">
        <f t="shared" si="14"/>
        <v>45565</v>
      </c>
      <c r="AA32" s="405">
        <f t="shared" si="14"/>
        <v>45657</v>
      </c>
      <c r="AB32" s="405">
        <f t="shared" si="14"/>
        <v>45747</v>
      </c>
      <c r="AC32" s="405">
        <f t="shared" si="14"/>
        <v>45838</v>
      </c>
      <c r="AD32" s="405">
        <f t="shared" si="14"/>
        <v>45930</v>
      </c>
      <c r="AE32" s="405">
        <f t="shared" si="14"/>
        <v>46022</v>
      </c>
      <c r="AF32" s="405">
        <f t="shared" si="14"/>
        <v>46112</v>
      </c>
      <c r="AG32" s="405">
        <f t="shared" si="14"/>
        <v>46203</v>
      </c>
      <c r="AH32" s="405">
        <f t="shared" si="14"/>
        <v>46295</v>
      </c>
      <c r="AI32" s="405">
        <f t="shared" si="14"/>
        <v>46387</v>
      </c>
      <c r="AJ32" s="405">
        <f t="shared" si="14"/>
        <v>46477</v>
      </c>
      <c r="AK32" s="405">
        <f t="shared" si="14"/>
        <v>46568</v>
      </c>
      <c r="AL32" s="405">
        <f t="shared" si="14"/>
        <v>46660</v>
      </c>
      <c r="AM32" s="405">
        <f t="shared" si="14"/>
        <v>46752</v>
      </c>
      <c r="AN32" s="405">
        <f t="shared" si="14"/>
        <v>46843</v>
      </c>
      <c r="AO32" s="405">
        <f t="shared" si="14"/>
        <v>46934</v>
      </c>
      <c r="AP32" s="405">
        <f t="shared" si="14"/>
        <v>47026</v>
      </c>
      <c r="AQ32" s="405">
        <f t="shared" si="14"/>
        <v>47118</v>
      </c>
      <c r="AR32" s="405">
        <f t="shared" si="14"/>
        <v>47208</v>
      </c>
      <c r="AS32" s="405">
        <f t="shared" si="14"/>
        <v>47299</v>
      </c>
      <c r="AT32" s="405">
        <f t="shared" si="14"/>
        <v>47391</v>
      </c>
      <c r="AU32" s="405">
        <f t="shared" si="14"/>
        <v>47483</v>
      </c>
      <c r="AV32" s="405">
        <f t="shared" si="14"/>
        <v>47573</v>
      </c>
      <c r="AW32" s="405">
        <f t="shared" si="14"/>
        <v>47664</v>
      </c>
      <c r="AX32" s="405">
        <f t="shared" si="14"/>
        <v>47756</v>
      </c>
      <c r="AY32" s="405">
        <f t="shared" si="14"/>
        <v>47848</v>
      </c>
      <c r="AZ32" s="405">
        <f t="shared" si="14"/>
        <v>47938</v>
      </c>
      <c r="BA32" s="405">
        <f t="shared" si="14"/>
        <v>48029</v>
      </c>
      <c r="BB32" s="405">
        <f t="shared" si="14"/>
        <v>48121</v>
      </c>
      <c r="BC32" s="405">
        <f t="shared" si="14"/>
        <v>48213</v>
      </c>
      <c r="BD32" s="405">
        <f t="shared" si="14"/>
        <v>48304</v>
      </c>
      <c r="BE32" s="405">
        <f t="shared" si="14"/>
        <v>48395</v>
      </c>
      <c r="BF32" s="405">
        <f t="shared" si="14"/>
        <v>48487</v>
      </c>
      <c r="BG32" s="405">
        <f t="shared" si="14"/>
        <v>48579</v>
      </c>
      <c r="BH32" s="405">
        <f t="shared" si="14"/>
        <v>48669</v>
      </c>
      <c r="BI32" s="405">
        <f t="shared" si="14"/>
        <v>48760</v>
      </c>
      <c r="BJ32" s="405">
        <f t="shared" si="14"/>
        <v>48852</v>
      </c>
      <c r="BK32" s="405">
        <f t="shared" si="14"/>
        <v>48944</v>
      </c>
      <c r="BL32" s="405">
        <f t="shared" si="14"/>
        <v>49034</v>
      </c>
      <c r="BM32" s="405">
        <f t="shared" si="14"/>
        <v>49125</v>
      </c>
      <c r="BN32" s="405">
        <f t="shared" si="14"/>
        <v>49217</v>
      </c>
      <c r="BO32" s="405">
        <f t="shared" si="14"/>
        <v>49309</v>
      </c>
      <c r="BP32" s="405">
        <f t="shared" si="14"/>
        <v>49399</v>
      </c>
      <c r="BQ32" s="405">
        <f t="shared" ref="BQ32:EA32" si="15" xml:space="preserve"> BQ$25</f>
        <v>49490</v>
      </c>
      <c r="BR32" s="405">
        <f t="shared" si="15"/>
        <v>49582</v>
      </c>
      <c r="BS32" s="405">
        <f t="shared" si="15"/>
        <v>49674</v>
      </c>
      <c r="BT32" s="405">
        <f t="shared" si="15"/>
        <v>49765</v>
      </c>
      <c r="BU32" s="405">
        <f t="shared" si="15"/>
        <v>49856</v>
      </c>
      <c r="BV32" s="405">
        <f t="shared" si="15"/>
        <v>49948</v>
      </c>
      <c r="BW32" s="405">
        <f t="shared" si="15"/>
        <v>50040</v>
      </c>
      <c r="BX32" s="405">
        <f t="shared" si="15"/>
        <v>50130</v>
      </c>
      <c r="BY32" s="405">
        <f t="shared" si="15"/>
        <v>50221</v>
      </c>
      <c r="BZ32" s="405">
        <f t="shared" si="15"/>
        <v>50313</v>
      </c>
      <c r="CA32" s="405">
        <f t="shared" si="15"/>
        <v>50405</v>
      </c>
      <c r="CB32" s="405">
        <f t="shared" si="15"/>
        <v>50495</v>
      </c>
      <c r="CC32" s="405">
        <f t="shared" si="15"/>
        <v>50586</v>
      </c>
      <c r="CD32" s="405">
        <f t="shared" si="15"/>
        <v>50678</v>
      </c>
      <c r="CE32" s="405">
        <f t="shared" si="15"/>
        <v>50770</v>
      </c>
      <c r="CF32" s="405">
        <f t="shared" si="15"/>
        <v>50860</v>
      </c>
      <c r="CG32" s="405">
        <f t="shared" si="15"/>
        <v>50951</v>
      </c>
      <c r="CH32" s="405">
        <f t="shared" si="15"/>
        <v>51043</v>
      </c>
      <c r="CI32" s="405">
        <f t="shared" si="15"/>
        <v>51135</v>
      </c>
      <c r="CJ32" s="405">
        <f t="shared" si="15"/>
        <v>51226</v>
      </c>
      <c r="CK32" s="405">
        <f t="shared" si="15"/>
        <v>51317</v>
      </c>
      <c r="CL32" s="405">
        <f t="shared" si="15"/>
        <v>51409</v>
      </c>
      <c r="CM32" s="405">
        <f t="shared" si="15"/>
        <v>51501</v>
      </c>
      <c r="CN32" s="405">
        <f t="shared" si="15"/>
        <v>51591</v>
      </c>
      <c r="CO32" s="405">
        <f t="shared" si="15"/>
        <v>51682</v>
      </c>
      <c r="CP32" s="405">
        <f t="shared" si="15"/>
        <v>51774</v>
      </c>
      <c r="CQ32" s="405">
        <f t="shared" si="15"/>
        <v>51866</v>
      </c>
      <c r="CR32" s="405">
        <f t="shared" si="15"/>
        <v>51956</v>
      </c>
      <c r="CS32" s="405">
        <f t="shared" si="15"/>
        <v>52047</v>
      </c>
      <c r="CT32" s="405">
        <f t="shared" si="15"/>
        <v>52139</v>
      </c>
      <c r="CU32" s="405">
        <f t="shared" si="15"/>
        <v>52231</v>
      </c>
      <c r="CV32" s="405">
        <f t="shared" si="15"/>
        <v>52321</v>
      </c>
      <c r="CW32" s="405">
        <f t="shared" si="15"/>
        <v>52412</v>
      </c>
      <c r="CX32" s="405">
        <f t="shared" si="15"/>
        <v>52504</v>
      </c>
      <c r="CY32" s="405">
        <f t="shared" si="15"/>
        <v>52596</v>
      </c>
      <c r="CZ32" s="405">
        <f t="shared" si="15"/>
        <v>52687</v>
      </c>
      <c r="DA32" s="405">
        <f t="shared" si="15"/>
        <v>52778</v>
      </c>
      <c r="DB32" s="405">
        <f t="shared" si="15"/>
        <v>52870</v>
      </c>
      <c r="DC32" s="405">
        <f t="shared" si="15"/>
        <v>52962</v>
      </c>
      <c r="DD32" s="405">
        <f t="shared" si="15"/>
        <v>53052</v>
      </c>
      <c r="DE32" s="405">
        <f t="shared" si="15"/>
        <v>53143</v>
      </c>
      <c r="DF32" s="405">
        <f t="shared" si="15"/>
        <v>53235</v>
      </c>
      <c r="DG32" s="405">
        <f t="shared" si="15"/>
        <v>53327</v>
      </c>
      <c r="DH32" s="405">
        <f t="shared" si="15"/>
        <v>53417</v>
      </c>
      <c r="DI32" s="405">
        <f t="shared" si="15"/>
        <v>53508</v>
      </c>
      <c r="DJ32" s="405">
        <f t="shared" si="15"/>
        <v>53600</v>
      </c>
      <c r="DK32" s="405">
        <f t="shared" si="15"/>
        <v>53692</v>
      </c>
      <c r="DL32" s="405">
        <f t="shared" si="15"/>
        <v>53782</v>
      </c>
      <c r="DM32" s="405">
        <f t="shared" si="15"/>
        <v>53873</v>
      </c>
      <c r="DN32" s="405">
        <f t="shared" si="15"/>
        <v>53965</v>
      </c>
      <c r="DO32" s="405">
        <f t="shared" si="15"/>
        <v>54057</v>
      </c>
      <c r="DP32" s="405">
        <f t="shared" si="15"/>
        <v>54148</v>
      </c>
      <c r="DQ32" s="405">
        <f t="shared" si="15"/>
        <v>54239</v>
      </c>
      <c r="DR32" s="405">
        <f t="shared" si="15"/>
        <v>54331</v>
      </c>
      <c r="DS32" s="405">
        <f t="shared" si="15"/>
        <v>54423</v>
      </c>
      <c r="DT32" s="405">
        <f t="shared" si="15"/>
        <v>54513</v>
      </c>
      <c r="DU32" s="405">
        <f t="shared" si="15"/>
        <v>54604</v>
      </c>
      <c r="DV32" s="405">
        <f t="shared" si="15"/>
        <v>54696</v>
      </c>
      <c r="DW32" s="405">
        <f t="shared" si="15"/>
        <v>54788</v>
      </c>
      <c r="DX32" s="405">
        <f t="shared" si="15"/>
        <v>54878</v>
      </c>
      <c r="DY32" s="405">
        <f t="shared" si="15"/>
        <v>54969</v>
      </c>
      <c r="DZ32" s="405">
        <f t="shared" si="15"/>
        <v>55061</v>
      </c>
      <c r="EA32" s="405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3"/>
      <c r="B35" s="373"/>
      <c r="C35" s="374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6"/>
      <c r="J35" s="376"/>
      <c r="K35" s="376"/>
      <c r="L35" s="376"/>
      <c r="M35" s="376"/>
      <c r="N35" s="376"/>
      <c r="O35" s="376"/>
      <c r="P35" s="376"/>
      <c r="Q35" s="376"/>
      <c r="R35" s="376"/>
      <c r="S35" s="376"/>
      <c r="T35" s="376"/>
      <c r="U35" s="376"/>
      <c r="V35" s="376"/>
      <c r="W35" s="376"/>
      <c r="X35" s="376"/>
      <c r="Y35" s="376"/>
      <c r="Z35" s="376"/>
      <c r="AA35" s="376"/>
      <c r="AB35" s="376"/>
      <c r="AC35" s="376"/>
      <c r="AD35" s="376"/>
      <c r="AE35" s="376"/>
      <c r="AF35" s="376"/>
      <c r="AG35" s="376"/>
      <c r="AH35" s="376"/>
      <c r="AI35" s="376"/>
      <c r="AJ35" s="376"/>
      <c r="AK35" s="376"/>
      <c r="AL35" s="376"/>
      <c r="AM35" s="376"/>
      <c r="AN35" s="376"/>
      <c r="AO35" s="376"/>
      <c r="AP35" s="376"/>
      <c r="AQ35" s="376"/>
      <c r="AR35" s="376"/>
      <c r="AS35" s="376"/>
      <c r="AT35" s="376"/>
      <c r="AU35" s="376"/>
      <c r="AV35" s="376"/>
      <c r="AW35" s="376"/>
      <c r="AX35" s="376"/>
      <c r="AY35" s="376"/>
      <c r="AZ35" s="376"/>
      <c r="BA35" s="376"/>
      <c r="BB35" s="376"/>
      <c r="BC35" s="376"/>
      <c r="BD35" s="376"/>
      <c r="BE35" s="376"/>
      <c r="BF35" s="376"/>
      <c r="BG35" s="376"/>
      <c r="BH35" s="376"/>
      <c r="BI35" s="376"/>
      <c r="BJ35" s="376"/>
      <c r="BK35" s="376"/>
      <c r="BL35" s="376"/>
      <c r="BM35" s="376"/>
      <c r="BN35" s="376"/>
      <c r="BO35" s="376"/>
      <c r="BP35" s="376"/>
      <c r="BQ35" s="376"/>
      <c r="BR35" s="376"/>
      <c r="BS35" s="376"/>
      <c r="BT35" s="376"/>
      <c r="BU35" s="376"/>
      <c r="BV35" s="376"/>
      <c r="BW35" s="376"/>
      <c r="BX35" s="376"/>
      <c r="BY35" s="376"/>
      <c r="BZ35" s="376"/>
      <c r="CA35" s="376"/>
      <c r="CB35" s="376"/>
      <c r="CC35" s="376"/>
      <c r="CD35" s="376"/>
      <c r="CE35" s="376"/>
      <c r="CF35" s="376"/>
      <c r="CG35" s="376"/>
      <c r="CH35" s="376"/>
      <c r="CI35" s="376"/>
      <c r="CJ35" s="376"/>
      <c r="CK35" s="376"/>
      <c r="CL35" s="376"/>
      <c r="CM35" s="376"/>
      <c r="CN35" s="376"/>
      <c r="CO35" s="376"/>
      <c r="CP35" s="376"/>
      <c r="CQ35" s="376"/>
      <c r="CR35" s="376"/>
      <c r="CS35" s="376"/>
      <c r="CT35" s="376"/>
      <c r="CU35" s="376"/>
      <c r="CV35" s="376"/>
      <c r="CW35" s="376"/>
      <c r="CX35" s="376"/>
      <c r="CY35" s="376"/>
      <c r="CZ35" s="376"/>
      <c r="DA35" s="376"/>
      <c r="DB35" s="376"/>
      <c r="DC35" s="376"/>
      <c r="DD35" s="376"/>
      <c r="DE35" s="376"/>
      <c r="DF35" s="376"/>
      <c r="DG35" s="376"/>
      <c r="DH35" s="376"/>
      <c r="DI35" s="376"/>
      <c r="DJ35" s="376"/>
      <c r="DK35" s="376"/>
      <c r="DL35" s="376"/>
      <c r="DM35" s="376"/>
      <c r="DN35" s="376"/>
      <c r="DO35" s="376"/>
      <c r="DP35" s="376"/>
      <c r="DQ35" s="376"/>
      <c r="DR35" s="376"/>
      <c r="DS35" s="376"/>
      <c r="DT35" s="376"/>
      <c r="DU35" s="376"/>
      <c r="DV35" s="376"/>
      <c r="DW35" s="376"/>
      <c r="DX35" s="376"/>
      <c r="DY35" s="376"/>
      <c r="DZ35" s="376"/>
      <c r="EA35" s="376"/>
    </row>
    <row r="36" spans="1:131" outlineLevel="2" x14ac:dyDescent="0.35">
      <c r="A36" s="377"/>
      <c r="B36" s="377"/>
      <c r="C36" s="378"/>
      <c r="D36" s="379"/>
      <c r="E36" s="93" t="str">
        <f xml:space="preserve"> InpC!E$29</f>
        <v>Months in year</v>
      </c>
      <c r="F36" s="93">
        <f xml:space="preserve"> InpC!F$29</f>
        <v>12</v>
      </c>
      <c r="G36" s="93" t="str">
        <f xml:space="preserve"> InpC!G$29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6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6"/>
      <c r="C38" s="193"/>
      <c r="D38" s="194"/>
      <c r="E38" s="401" t="str">
        <f t="shared" ref="E38:AJ38" si="22" xml:space="preserve"> E$33</f>
        <v>End of contract year flag</v>
      </c>
      <c r="F38" s="401">
        <f t="shared" si="22"/>
        <v>0</v>
      </c>
      <c r="G38" s="401">
        <f t="shared" si="22"/>
        <v>0</v>
      </c>
      <c r="H38" s="401">
        <f t="shared" si="22"/>
        <v>0</v>
      </c>
      <c r="I38" s="401">
        <f t="shared" si="22"/>
        <v>0</v>
      </c>
      <c r="J38" s="401">
        <f t="shared" si="22"/>
        <v>0</v>
      </c>
      <c r="K38" s="401">
        <f t="shared" si="22"/>
        <v>0</v>
      </c>
      <c r="L38" s="401">
        <f t="shared" si="22"/>
        <v>1</v>
      </c>
      <c r="M38" s="401">
        <f t="shared" si="22"/>
        <v>0</v>
      </c>
      <c r="N38" s="401">
        <f t="shared" si="22"/>
        <v>0</v>
      </c>
      <c r="O38" s="401">
        <f t="shared" si="22"/>
        <v>0</v>
      </c>
      <c r="P38" s="401">
        <f t="shared" si="22"/>
        <v>1</v>
      </c>
      <c r="Q38" s="401">
        <f t="shared" si="22"/>
        <v>0</v>
      </c>
      <c r="R38" s="401">
        <f t="shared" si="22"/>
        <v>0</v>
      </c>
      <c r="S38" s="401">
        <f t="shared" si="22"/>
        <v>0</v>
      </c>
      <c r="T38" s="401">
        <f t="shared" si="22"/>
        <v>1</v>
      </c>
      <c r="U38" s="401">
        <f t="shared" si="22"/>
        <v>0</v>
      </c>
      <c r="V38" s="401">
        <f t="shared" si="22"/>
        <v>0</v>
      </c>
      <c r="W38" s="401">
        <f t="shared" si="22"/>
        <v>0</v>
      </c>
      <c r="X38" s="401">
        <f t="shared" si="22"/>
        <v>1</v>
      </c>
      <c r="Y38" s="401">
        <f t="shared" si="22"/>
        <v>0</v>
      </c>
      <c r="Z38" s="401">
        <f t="shared" si="22"/>
        <v>0</v>
      </c>
      <c r="AA38" s="401">
        <f t="shared" si="22"/>
        <v>0</v>
      </c>
      <c r="AB38" s="401">
        <f t="shared" si="22"/>
        <v>1</v>
      </c>
      <c r="AC38" s="401">
        <f t="shared" si="22"/>
        <v>0</v>
      </c>
      <c r="AD38" s="401">
        <f t="shared" si="22"/>
        <v>0</v>
      </c>
      <c r="AE38" s="401">
        <f t="shared" si="22"/>
        <v>0</v>
      </c>
      <c r="AF38" s="401">
        <f t="shared" si="22"/>
        <v>1</v>
      </c>
      <c r="AG38" s="401">
        <f t="shared" si="22"/>
        <v>0</v>
      </c>
      <c r="AH38" s="401">
        <f t="shared" si="22"/>
        <v>0</v>
      </c>
      <c r="AI38" s="401">
        <f t="shared" si="22"/>
        <v>0</v>
      </c>
      <c r="AJ38" s="401">
        <f t="shared" si="22"/>
        <v>1</v>
      </c>
      <c r="AK38" s="401">
        <f t="shared" ref="AK38:BP38" si="23" xml:space="preserve"> AK$33</f>
        <v>0</v>
      </c>
      <c r="AL38" s="401">
        <f t="shared" si="23"/>
        <v>0</v>
      </c>
      <c r="AM38" s="401">
        <f t="shared" si="23"/>
        <v>0</v>
      </c>
      <c r="AN38" s="401">
        <f t="shared" si="23"/>
        <v>1</v>
      </c>
      <c r="AO38" s="401">
        <f t="shared" si="23"/>
        <v>0</v>
      </c>
      <c r="AP38" s="401">
        <f t="shared" si="23"/>
        <v>0</v>
      </c>
      <c r="AQ38" s="401">
        <f t="shared" si="23"/>
        <v>0</v>
      </c>
      <c r="AR38" s="401">
        <f t="shared" si="23"/>
        <v>1</v>
      </c>
      <c r="AS38" s="401">
        <f t="shared" si="23"/>
        <v>0</v>
      </c>
      <c r="AT38" s="401">
        <f t="shared" si="23"/>
        <v>0</v>
      </c>
      <c r="AU38" s="401">
        <f t="shared" si="23"/>
        <v>0</v>
      </c>
      <c r="AV38" s="401">
        <f t="shared" si="23"/>
        <v>1</v>
      </c>
      <c r="AW38" s="401">
        <f t="shared" si="23"/>
        <v>0</v>
      </c>
      <c r="AX38" s="401">
        <f t="shared" si="23"/>
        <v>0</v>
      </c>
      <c r="AY38" s="401">
        <f t="shared" si="23"/>
        <v>0</v>
      </c>
      <c r="AZ38" s="401">
        <f t="shared" si="23"/>
        <v>1</v>
      </c>
      <c r="BA38" s="401">
        <f t="shared" si="23"/>
        <v>0</v>
      </c>
      <c r="BB38" s="401">
        <f t="shared" si="23"/>
        <v>0</v>
      </c>
      <c r="BC38" s="401">
        <f t="shared" si="23"/>
        <v>0</v>
      </c>
      <c r="BD38" s="401">
        <f t="shared" si="23"/>
        <v>1</v>
      </c>
      <c r="BE38" s="401">
        <f t="shared" si="23"/>
        <v>0</v>
      </c>
      <c r="BF38" s="401">
        <f t="shared" si="23"/>
        <v>0</v>
      </c>
      <c r="BG38" s="401">
        <f t="shared" si="23"/>
        <v>0</v>
      </c>
      <c r="BH38" s="401">
        <f t="shared" si="23"/>
        <v>1</v>
      </c>
      <c r="BI38" s="401">
        <f t="shared" si="23"/>
        <v>0</v>
      </c>
      <c r="BJ38" s="401">
        <f t="shared" si="23"/>
        <v>0</v>
      </c>
      <c r="BK38" s="401">
        <f t="shared" si="23"/>
        <v>0</v>
      </c>
      <c r="BL38" s="401">
        <f t="shared" si="23"/>
        <v>1</v>
      </c>
      <c r="BM38" s="401">
        <f t="shared" si="23"/>
        <v>0</v>
      </c>
      <c r="BN38" s="401">
        <f t="shared" si="23"/>
        <v>0</v>
      </c>
      <c r="BO38" s="401">
        <f t="shared" si="23"/>
        <v>0</v>
      </c>
      <c r="BP38" s="401">
        <f t="shared" si="23"/>
        <v>1</v>
      </c>
      <c r="BQ38" s="401">
        <f t="shared" ref="BQ38:CV38" si="24" xml:space="preserve"> BQ$33</f>
        <v>0</v>
      </c>
      <c r="BR38" s="401">
        <f t="shared" si="24"/>
        <v>0</v>
      </c>
      <c r="BS38" s="401">
        <f t="shared" si="24"/>
        <v>0</v>
      </c>
      <c r="BT38" s="401">
        <f t="shared" si="24"/>
        <v>1</v>
      </c>
      <c r="BU38" s="401">
        <f t="shared" si="24"/>
        <v>0</v>
      </c>
      <c r="BV38" s="401">
        <f t="shared" si="24"/>
        <v>0</v>
      </c>
      <c r="BW38" s="401">
        <f t="shared" si="24"/>
        <v>0</v>
      </c>
      <c r="BX38" s="401">
        <f t="shared" si="24"/>
        <v>1</v>
      </c>
      <c r="BY38" s="401">
        <f t="shared" si="24"/>
        <v>0</v>
      </c>
      <c r="BZ38" s="401">
        <f t="shared" si="24"/>
        <v>0</v>
      </c>
      <c r="CA38" s="401">
        <f t="shared" si="24"/>
        <v>0</v>
      </c>
      <c r="CB38" s="401">
        <f t="shared" si="24"/>
        <v>1</v>
      </c>
      <c r="CC38" s="401">
        <f t="shared" si="24"/>
        <v>0</v>
      </c>
      <c r="CD38" s="401">
        <f t="shared" si="24"/>
        <v>0</v>
      </c>
      <c r="CE38" s="401">
        <f t="shared" si="24"/>
        <v>0</v>
      </c>
      <c r="CF38" s="401">
        <f t="shared" si="24"/>
        <v>1</v>
      </c>
      <c r="CG38" s="401">
        <f t="shared" si="24"/>
        <v>0</v>
      </c>
      <c r="CH38" s="401">
        <f t="shared" si="24"/>
        <v>0</v>
      </c>
      <c r="CI38" s="401">
        <f t="shared" si="24"/>
        <v>0</v>
      </c>
      <c r="CJ38" s="401">
        <f t="shared" si="24"/>
        <v>1</v>
      </c>
      <c r="CK38" s="401">
        <f t="shared" si="24"/>
        <v>0</v>
      </c>
      <c r="CL38" s="401">
        <f t="shared" si="24"/>
        <v>0</v>
      </c>
      <c r="CM38" s="401">
        <f t="shared" si="24"/>
        <v>0</v>
      </c>
      <c r="CN38" s="401">
        <f t="shared" si="24"/>
        <v>1</v>
      </c>
      <c r="CO38" s="401">
        <f t="shared" si="24"/>
        <v>0</v>
      </c>
      <c r="CP38" s="401">
        <f t="shared" si="24"/>
        <v>0</v>
      </c>
      <c r="CQ38" s="401">
        <f t="shared" si="24"/>
        <v>0</v>
      </c>
      <c r="CR38" s="401">
        <f t="shared" si="24"/>
        <v>1</v>
      </c>
      <c r="CS38" s="401">
        <f t="shared" si="24"/>
        <v>0</v>
      </c>
      <c r="CT38" s="401">
        <f t="shared" si="24"/>
        <v>0</v>
      </c>
      <c r="CU38" s="401">
        <f t="shared" si="24"/>
        <v>0</v>
      </c>
      <c r="CV38" s="401">
        <f t="shared" si="24"/>
        <v>1</v>
      </c>
      <c r="CW38" s="401">
        <f t="shared" ref="CW38:EA38" si="25" xml:space="preserve"> CW$33</f>
        <v>0</v>
      </c>
      <c r="CX38" s="401">
        <f t="shared" si="25"/>
        <v>0</v>
      </c>
      <c r="CY38" s="401">
        <f t="shared" si="25"/>
        <v>0</v>
      </c>
      <c r="CZ38" s="401">
        <f t="shared" si="25"/>
        <v>1</v>
      </c>
      <c r="DA38" s="401">
        <f t="shared" si="25"/>
        <v>0</v>
      </c>
      <c r="DB38" s="401">
        <f t="shared" si="25"/>
        <v>0</v>
      </c>
      <c r="DC38" s="401">
        <f t="shared" si="25"/>
        <v>0</v>
      </c>
      <c r="DD38" s="401">
        <f t="shared" si="25"/>
        <v>1</v>
      </c>
      <c r="DE38" s="401">
        <f t="shared" si="25"/>
        <v>0</v>
      </c>
      <c r="DF38" s="401">
        <f t="shared" si="25"/>
        <v>0</v>
      </c>
      <c r="DG38" s="401">
        <f t="shared" si="25"/>
        <v>0</v>
      </c>
      <c r="DH38" s="401">
        <f t="shared" si="25"/>
        <v>1</v>
      </c>
      <c r="DI38" s="401">
        <f t="shared" si="25"/>
        <v>0</v>
      </c>
      <c r="DJ38" s="401">
        <f t="shared" si="25"/>
        <v>0</v>
      </c>
      <c r="DK38" s="401">
        <f t="shared" si="25"/>
        <v>0</v>
      </c>
      <c r="DL38" s="401">
        <f t="shared" si="25"/>
        <v>1</v>
      </c>
      <c r="DM38" s="401">
        <f t="shared" si="25"/>
        <v>0</v>
      </c>
      <c r="DN38" s="401">
        <f t="shared" si="25"/>
        <v>0</v>
      </c>
      <c r="DO38" s="401">
        <f t="shared" si="25"/>
        <v>0</v>
      </c>
      <c r="DP38" s="401">
        <f t="shared" si="25"/>
        <v>1</v>
      </c>
      <c r="DQ38" s="401">
        <f t="shared" si="25"/>
        <v>0</v>
      </c>
      <c r="DR38" s="401">
        <f t="shared" si="25"/>
        <v>0</v>
      </c>
      <c r="DS38" s="401">
        <f t="shared" si="25"/>
        <v>0</v>
      </c>
      <c r="DT38" s="401">
        <f t="shared" si="25"/>
        <v>1</v>
      </c>
      <c r="DU38" s="401">
        <f t="shared" si="25"/>
        <v>0</v>
      </c>
      <c r="DV38" s="401">
        <f t="shared" si="25"/>
        <v>0</v>
      </c>
      <c r="DW38" s="401">
        <f t="shared" si="25"/>
        <v>0</v>
      </c>
      <c r="DX38" s="401">
        <f t="shared" si="25"/>
        <v>1</v>
      </c>
      <c r="DY38" s="401">
        <f t="shared" si="25"/>
        <v>0</v>
      </c>
      <c r="DZ38" s="401">
        <f t="shared" si="25"/>
        <v>0</v>
      </c>
      <c r="EA38" s="401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2">
        <f t="shared" ref="J39:AO39" si="26" xml:space="preserve"> IF( J37 = 1, $F35, IF( I38 = 1, EOMONTH(I39, 12), I39))</f>
        <v>43921</v>
      </c>
      <c r="K39" s="402">
        <f t="shared" si="26"/>
        <v>43921</v>
      </c>
      <c r="L39" s="402">
        <f t="shared" si="26"/>
        <v>43921</v>
      </c>
      <c r="M39" s="402">
        <f t="shared" si="26"/>
        <v>44286</v>
      </c>
      <c r="N39" s="402">
        <f t="shared" si="26"/>
        <v>44286</v>
      </c>
      <c r="O39" s="402">
        <f t="shared" si="26"/>
        <v>44286</v>
      </c>
      <c r="P39" s="402">
        <f t="shared" si="26"/>
        <v>44286</v>
      </c>
      <c r="Q39" s="402">
        <f t="shared" si="26"/>
        <v>44651</v>
      </c>
      <c r="R39" s="402">
        <f t="shared" si="26"/>
        <v>44651</v>
      </c>
      <c r="S39" s="402">
        <f t="shared" si="26"/>
        <v>44651</v>
      </c>
      <c r="T39" s="402">
        <f t="shared" si="26"/>
        <v>44651</v>
      </c>
      <c r="U39" s="402">
        <f t="shared" si="26"/>
        <v>45016</v>
      </c>
      <c r="V39" s="402">
        <f t="shared" si="26"/>
        <v>45016</v>
      </c>
      <c r="W39" s="402">
        <f t="shared" si="26"/>
        <v>45016</v>
      </c>
      <c r="X39" s="402">
        <f t="shared" si="26"/>
        <v>45016</v>
      </c>
      <c r="Y39" s="402">
        <f t="shared" si="26"/>
        <v>45382</v>
      </c>
      <c r="Z39" s="402">
        <f t="shared" si="26"/>
        <v>45382</v>
      </c>
      <c r="AA39" s="402">
        <f t="shared" si="26"/>
        <v>45382</v>
      </c>
      <c r="AB39" s="402">
        <f t="shared" si="26"/>
        <v>45382</v>
      </c>
      <c r="AC39" s="402">
        <f t="shared" si="26"/>
        <v>45747</v>
      </c>
      <c r="AD39" s="402">
        <f t="shared" si="26"/>
        <v>45747</v>
      </c>
      <c r="AE39" s="402">
        <f t="shared" si="26"/>
        <v>45747</v>
      </c>
      <c r="AF39" s="402">
        <f t="shared" si="26"/>
        <v>45747</v>
      </c>
      <c r="AG39" s="402">
        <f t="shared" si="26"/>
        <v>46112</v>
      </c>
      <c r="AH39" s="402">
        <f t="shared" si="26"/>
        <v>46112</v>
      </c>
      <c r="AI39" s="402">
        <f t="shared" si="26"/>
        <v>46112</v>
      </c>
      <c r="AJ39" s="402">
        <f t="shared" si="26"/>
        <v>46112</v>
      </c>
      <c r="AK39" s="402">
        <f t="shared" si="26"/>
        <v>46477</v>
      </c>
      <c r="AL39" s="402">
        <f t="shared" si="26"/>
        <v>46477</v>
      </c>
      <c r="AM39" s="402">
        <f t="shared" si="26"/>
        <v>46477</v>
      </c>
      <c r="AN39" s="402">
        <f t="shared" si="26"/>
        <v>46477</v>
      </c>
      <c r="AO39" s="402">
        <f t="shared" si="26"/>
        <v>46843</v>
      </c>
      <c r="AP39" s="402">
        <f t="shared" ref="AP39:BU39" si="27" xml:space="preserve"> IF( AP37 = 1, $F35, IF( AO38 = 1, EOMONTH(AO39, 12), AO39))</f>
        <v>46843</v>
      </c>
      <c r="AQ39" s="402">
        <f t="shared" si="27"/>
        <v>46843</v>
      </c>
      <c r="AR39" s="402">
        <f t="shared" si="27"/>
        <v>46843</v>
      </c>
      <c r="AS39" s="402">
        <f t="shared" si="27"/>
        <v>47208</v>
      </c>
      <c r="AT39" s="402">
        <f t="shared" si="27"/>
        <v>47208</v>
      </c>
      <c r="AU39" s="402">
        <f t="shared" si="27"/>
        <v>47208</v>
      </c>
      <c r="AV39" s="402">
        <f t="shared" si="27"/>
        <v>47208</v>
      </c>
      <c r="AW39" s="402">
        <f t="shared" si="27"/>
        <v>47573</v>
      </c>
      <c r="AX39" s="402">
        <f t="shared" si="27"/>
        <v>47573</v>
      </c>
      <c r="AY39" s="402">
        <f t="shared" si="27"/>
        <v>47573</v>
      </c>
      <c r="AZ39" s="402">
        <f t="shared" si="27"/>
        <v>47573</v>
      </c>
      <c r="BA39" s="402">
        <f t="shared" si="27"/>
        <v>47938</v>
      </c>
      <c r="BB39" s="402">
        <f t="shared" si="27"/>
        <v>47938</v>
      </c>
      <c r="BC39" s="402">
        <f t="shared" si="27"/>
        <v>47938</v>
      </c>
      <c r="BD39" s="402">
        <f t="shared" si="27"/>
        <v>47938</v>
      </c>
      <c r="BE39" s="402">
        <f t="shared" si="27"/>
        <v>48304</v>
      </c>
      <c r="BF39" s="402">
        <f t="shared" si="27"/>
        <v>48304</v>
      </c>
      <c r="BG39" s="402">
        <f t="shared" si="27"/>
        <v>48304</v>
      </c>
      <c r="BH39" s="402">
        <f t="shared" si="27"/>
        <v>48304</v>
      </c>
      <c r="BI39" s="402">
        <f t="shared" si="27"/>
        <v>48669</v>
      </c>
      <c r="BJ39" s="402">
        <f t="shared" si="27"/>
        <v>48669</v>
      </c>
      <c r="BK39" s="402">
        <f t="shared" si="27"/>
        <v>48669</v>
      </c>
      <c r="BL39" s="402">
        <f t="shared" si="27"/>
        <v>48669</v>
      </c>
      <c r="BM39" s="402">
        <f t="shared" si="27"/>
        <v>49034</v>
      </c>
      <c r="BN39" s="402">
        <f t="shared" si="27"/>
        <v>49034</v>
      </c>
      <c r="BO39" s="402">
        <f t="shared" si="27"/>
        <v>49034</v>
      </c>
      <c r="BP39" s="402">
        <f t="shared" si="27"/>
        <v>49034</v>
      </c>
      <c r="BQ39" s="402">
        <f t="shared" si="27"/>
        <v>49399</v>
      </c>
      <c r="BR39" s="402">
        <f t="shared" si="27"/>
        <v>49399</v>
      </c>
      <c r="BS39" s="402">
        <f t="shared" si="27"/>
        <v>49399</v>
      </c>
      <c r="BT39" s="402">
        <f t="shared" si="27"/>
        <v>49399</v>
      </c>
      <c r="BU39" s="402">
        <f t="shared" si="27"/>
        <v>49765</v>
      </c>
      <c r="BV39" s="402">
        <f t="shared" ref="BV39:DA39" si="28" xml:space="preserve"> IF( BV37 = 1, $F35, IF( BU38 = 1, EOMONTH(BU39, 12), BU39))</f>
        <v>49765</v>
      </c>
      <c r="BW39" s="402">
        <f t="shared" si="28"/>
        <v>49765</v>
      </c>
      <c r="BX39" s="402">
        <f t="shared" si="28"/>
        <v>49765</v>
      </c>
      <c r="BY39" s="402">
        <f t="shared" si="28"/>
        <v>50130</v>
      </c>
      <c r="BZ39" s="402">
        <f t="shared" si="28"/>
        <v>50130</v>
      </c>
      <c r="CA39" s="402">
        <f t="shared" si="28"/>
        <v>50130</v>
      </c>
      <c r="CB39" s="402">
        <f t="shared" si="28"/>
        <v>50130</v>
      </c>
      <c r="CC39" s="402">
        <f t="shared" si="28"/>
        <v>50495</v>
      </c>
      <c r="CD39" s="402">
        <f t="shared" si="28"/>
        <v>50495</v>
      </c>
      <c r="CE39" s="402">
        <f t="shared" si="28"/>
        <v>50495</v>
      </c>
      <c r="CF39" s="402">
        <f t="shared" si="28"/>
        <v>50495</v>
      </c>
      <c r="CG39" s="402">
        <f t="shared" si="28"/>
        <v>50860</v>
      </c>
      <c r="CH39" s="402">
        <f t="shared" si="28"/>
        <v>50860</v>
      </c>
      <c r="CI39" s="402">
        <f t="shared" si="28"/>
        <v>50860</v>
      </c>
      <c r="CJ39" s="402">
        <f t="shared" si="28"/>
        <v>50860</v>
      </c>
      <c r="CK39" s="402">
        <f t="shared" si="28"/>
        <v>51226</v>
      </c>
      <c r="CL39" s="402">
        <f t="shared" si="28"/>
        <v>51226</v>
      </c>
      <c r="CM39" s="402">
        <f t="shared" si="28"/>
        <v>51226</v>
      </c>
      <c r="CN39" s="402">
        <f t="shared" si="28"/>
        <v>51226</v>
      </c>
      <c r="CO39" s="402">
        <f t="shared" si="28"/>
        <v>51591</v>
      </c>
      <c r="CP39" s="402">
        <f t="shared" si="28"/>
        <v>51591</v>
      </c>
      <c r="CQ39" s="402">
        <f t="shared" si="28"/>
        <v>51591</v>
      </c>
      <c r="CR39" s="402">
        <f t="shared" si="28"/>
        <v>51591</v>
      </c>
      <c r="CS39" s="402">
        <f t="shared" si="28"/>
        <v>51956</v>
      </c>
      <c r="CT39" s="402">
        <f t="shared" si="28"/>
        <v>51956</v>
      </c>
      <c r="CU39" s="402">
        <f t="shared" si="28"/>
        <v>51956</v>
      </c>
      <c r="CV39" s="402">
        <f t="shared" si="28"/>
        <v>51956</v>
      </c>
      <c r="CW39" s="402">
        <f t="shared" si="28"/>
        <v>52321</v>
      </c>
      <c r="CX39" s="402">
        <f t="shared" si="28"/>
        <v>52321</v>
      </c>
      <c r="CY39" s="402">
        <f t="shared" si="28"/>
        <v>52321</v>
      </c>
      <c r="CZ39" s="402">
        <f t="shared" si="28"/>
        <v>52321</v>
      </c>
      <c r="DA39" s="402">
        <f t="shared" si="28"/>
        <v>52687</v>
      </c>
      <c r="DB39" s="402">
        <f t="shared" ref="DB39:EA39" si="29" xml:space="preserve"> IF( DB37 = 1, $F35, IF( DA38 = 1, EOMONTH(DA39, 12), DA39))</f>
        <v>52687</v>
      </c>
      <c r="DC39" s="402">
        <f t="shared" si="29"/>
        <v>52687</v>
      </c>
      <c r="DD39" s="402">
        <f t="shared" si="29"/>
        <v>52687</v>
      </c>
      <c r="DE39" s="402">
        <f t="shared" si="29"/>
        <v>53052</v>
      </c>
      <c r="DF39" s="402">
        <f t="shared" si="29"/>
        <v>53052</v>
      </c>
      <c r="DG39" s="402">
        <f t="shared" si="29"/>
        <v>53052</v>
      </c>
      <c r="DH39" s="402">
        <f t="shared" si="29"/>
        <v>53052</v>
      </c>
      <c r="DI39" s="402">
        <f t="shared" si="29"/>
        <v>53417</v>
      </c>
      <c r="DJ39" s="402">
        <f t="shared" si="29"/>
        <v>53417</v>
      </c>
      <c r="DK39" s="402">
        <f t="shared" si="29"/>
        <v>53417</v>
      </c>
      <c r="DL39" s="402">
        <f t="shared" si="29"/>
        <v>53417</v>
      </c>
      <c r="DM39" s="402">
        <f t="shared" si="29"/>
        <v>53782</v>
      </c>
      <c r="DN39" s="402">
        <f t="shared" si="29"/>
        <v>53782</v>
      </c>
      <c r="DO39" s="402">
        <f t="shared" si="29"/>
        <v>53782</v>
      </c>
      <c r="DP39" s="402">
        <f t="shared" si="29"/>
        <v>53782</v>
      </c>
      <c r="DQ39" s="402">
        <f t="shared" si="29"/>
        <v>54148</v>
      </c>
      <c r="DR39" s="402">
        <f t="shared" si="29"/>
        <v>54148</v>
      </c>
      <c r="DS39" s="402">
        <f t="shared" si="29"/>
        <v>54148</v>
      </c>
      <c r="DT39" s="402">
        <f t="shared" si="29"/>
        <v>54148</v>
      </c>
      <c r="DU39" s="402">
        <f t="shared" si="29"/>
        <v>54513</v>
      </c>
      <c r="DV39" s="402">
        <f t="shared" si="29"/>
        <v>54513</v>
      </c>
      <c r="DW39" s="402">
        <f t="shared" si="29"/>
        <v>54513</v>
      </c>
      <c r="DX39" s="402">
        <f t="shared" si="29"/>
        <v>54513</v>
      </c>
      <c r="DY39" s="402">
        <f t="shared" si="29"/>
        <v>54878</v>
      </c>
      <c r="DZ39" s="402">
        <f t="shared" si="29"/>
        <v>54878</v>
      </c>
      <c r="EA39" s="402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8" t="str">
        <f t="shared" ref="E41:AJ41" si="30" xml:space="preserve"> E$39</f>
        <v>Contract year applicable to period</v>
      </c>
      <c r="F41" s="408">
        <f t="shared" si="30"/>
        <v>0</v>
      </c>
      <c r="G41" s="408" t="str">
        <f t="shared" si="30"/>
        <v>date</v>
      </c>
      <c r="H41" s="408">
        <f t="shared" si="30"/>
        <v>0</v>
      </c>
      <c r="I41" s="408">
        <f t="shared" si="30"/>
        <v>0</v>
      </c>
      <c r="J41" s="408">
        <f t="shared" si="30"/>
        <v>43921</v>
      </c>
      <c r="K41" s="408">
        <f t="shared" si="30"/>
        <v>43921</v>
      </c>
      <c r="L41" s="408">
        <f t="shared" si="30"/>
        <v>43921</v>
      </c>
      <c r="M41" s="408">
        <f t="shared" si="30"/>
        <v>44286</v>
      </c>
      <c r="N41" s="408">
        <f t="shared" si="30"/>
        <v>44286</v>
      </c>
      <c r="O41" s="408">
        <f t="shared" si="30"/>
        <v>44286</v>
      </c>
      <c r="P41" s="408">
        <f t="shared" si="30"/>
        <v>44286</v>
      </c>
      <c r="Q41" s="408">
        <f t="shared" si="30"/>
        <v>44651</v>
      </c>
      <c r="R41" s="408">
        <f t="shared" si="30"/>
        <v>44651</v>
      </c>
      <c r="S41" s="408">
        <f t="shared" si="30"/>
        <v>44651</v>
      </c>
      <c r="T41" s="408">
        <f t="shared" si="30"/>
        <v>44651</v>
      </c>
      <c r="U41" s="408">
        <f t="shared" si="30"/>
        <v>45016</v>
      </c>
      <c r="V41" s="408">
        <f t="shared" si="30"/>
        <v>45016</v>
      </c>
      <c r="W41" s="408">
        <f t="shared" si="30"/>
        <v>45016</v>
      </c>
      <c r="X41" s="408">
        <f t="shared" si="30"/>
        <v>45016</v>
      </c>
      <c r="Y41" s="408">
        <f t="shared" si="30"/>
        <v>45382</v>
      </c>
      <c r="Z41" s="408">
        <f t="shared" si="30"/>
        <v>45382</v>
      </c>
      <c r="AA41" s="408">
        <f t="shared" si="30"/>
        <v>45382</v>
      </c>
      <c r="AB41" s="408">
        <f t="shared" si="30"/>
        <v>45382</v>
      </c>
      <c r="AC41" s="408">
        <f t="shared" si="30"/>
        <v>45747</v>
      </c>
      <c r="AD41" s="408">
        <f t="shared" si="30"/>
        <v>45747</v>
      </c>
      <c r="AE41" s="408">
        <f t="shared" si="30"/>
        <v>45747</v>
      </c>
      <c r="AF41" s="408">
        <f t="shared" si="30"/>
        <v>45747</v>
      </c>
      <c r="AG41" s="408">
        <f t="shared" si="30"/>
        <v>46112</v>
      </c>
      <c r="AH41" s="408">
        <f t="shared" si="30"/>
        <v>46112</v>
      </c>
      <c r="AI41" s="408">
        <f t="shared" si="30"/>
        <v>46112</v>
      </c>
      <c r="AJ41" s="408">
        <f t="shared" si="30"/>
        <v>46112</v>
      </c>
      <c r="AK41" s="408">
        <f t="shared" ref="AK41:BP41" si="31" xml:space="preserve"> AK$39</f>
        <v>46477</v>
      </c>
      <c r="AL41" s="408">
        <f t="shared" si="31"/>
        <v>46477</v>
      </c>
      <c r="AM41" s="408">
        <f t="shared" si="31"/>
        <v>46477</v>
      </c>
      <c r="AN41" s="408">
        <f t="shared" si="31"/>
        <v>46477</v>
      </c>
      <c r="AO41" s="408">
        <f t="shared" si="31"/>
        <v>46843</v>
      </c>
      <c r="AP41" s="408">
        <f t="shared" si="31"/>
        <v>46843</v>
      </c>
      <c r="AQ41" s="408">
        <f t="shared" si="31"/>
        <v>46843</v>
      </c>
      <c r="AR41" s="408">
        <f t="shared" si="31"/>
        <v>46843</v>
      </c>
      <c r="AS41" s="408">
        <f t="shared" si="31"/>
        <v>47208</v>
      </c>
      <c r="AT41" s="408">
        <f t="shared" si="31"/>
        <v>47208</v>
      </c>
      <c r="AU41" s="408">
        <f t="shared" si="31"/>
        <v>47208</v>
      </c>
      <c r="AV41" s="408">
        <f t="shared" si="31"/>
        <v>47208</v>
      </c>
      <c r="AW41" s="408">
        <f t="shared" si="31"/>
        <v>47573</v>
      </c>
      <c r="AX41" s="408">
        <f t="shared" si="31"/>
        <v>47573</v>
      </c>
      <c r="AY41" s="408">
        <f t="shared" si="31"/>
        <v>47573</v>
      </c>
      <c r="AZ41" s="408">
        <f t="shared" si="31"/>
        <v>47573</v>
      </c>
      <c r="BA41" s="408">
        <f t="shared" si="31"/>
        <v>47938</v>
      </c>
      <c r="BB41" s="408">
        <f t="shared" si="31"/>
        <v>47938</v>
      </c>
      <c r="BC41" s="408">
        <f t="shared" si="31"/>
        <v>47938</v>
      </c>
      <c r="BD41" s="408">
        <f t="shared" si="31"/>
        <v>47938</v>
      </c>
      <c r="BE41" s="408">
        <f t="shared" si="31"/>
        <v>48304</v>
      </c>
      <c r="BF41" s="408">
        <f t="shared" si="31"/>
        <v>48304</v>
      </c>
      <c r="BG41" s="408">
        <f t="shared" si="31"/>
        <v>48304</v>
      </c>
      <c r="BH41" s="408">
        <f t="shared" si="31"/>
        <v>48304</v>
      </c>
      <c r="BI41" s="408">
        <f t="shared" si="31"/>
        <v>48669</v>
      </c>
      <c r="BJ41" s="408">
        <f t="shared" si="31"/>
        <v>48669</v>
      </c>
      <c r="BK41" s="408">
        <f t="shared" si="31"/>
        <v>48669</v>
      </c>
      <c r="BL41" s="408">
        <f t="shared" si="31"/>
        <v>48669</v>
      </c>
      <c r="BM41" s="408">
        <f t="shared" si="31"/>
        <v>49034</v>
      </c>
      <c r="BN41" s="408">
        <f t="shared" si="31"/>
        <v>49034</v>
      </c>
      <c r="BO41" s="408">
        <f t="shared" si="31"/>
        <v>49034</v>
      </c>
      <c r="BP41" s="408">
        <f t="shared" si="31"/>
        <v>49034</v>
      </c>
      <c r="BQ41" s="408">
        <f t="shared" ref="BQ41:CV41" si="32" xml:space="preserve"> BQ$39</f>
        <v>49399</v>
      </c>
      <c r="BR41" s="408">
        <f t="shared" si="32"/>
        <v>49399</v>
      </c>
      <c r="BS41" s="408">
        <f t="shared" si="32"/>
        <v>49399</v>
      </c>
      <c r="BT41" s="408">
        <f t="shared" si="32"/>
        <v>49399</v>
      </c>
      <c r="BU41" s="408">
        <f t="shared" si="32"/>
        <v>49765</v>
      </c>
      <c r="BV41" s="408">
        <f t="shared" si="32"/>
        <v>49765</v>
      </c>
      <c r="BW41" s="408">
        <f t="shared" si="32"/>
        <v>49765</v>
      </c>
      <c r="BX41" s="408">
        <f t="shared" si="32"/>
        <v>49765</v>
      </c>
      <c r="BY41" s="408">
        <f t="shared" si="32"/>
        <v>50130</v>
      </c>
      <c r="BZ41" s="408">
        <f t="shared" si="32"/>
        <v>50130</v>
      </c>
      <c r="CA41" s="408">
        <f t="shared" si="32"/>
        <v>50130</v>
      </c>
      <c r="CB41" s="408">
        <f t="shared" si="32"/>
        <v>50130</v>
      </c>
      <c r="CC41" s="408">
        <f t="shared" si="32"/>
        <v>50495</v>
      </c>
      <c r="CD41" s="408">
        <f t="shared" si="32"/>
        <v>50495</v>
      </c>
      <c r="CE41" s="408">
        <f t="shared" si="32"/>
        <v>50495</v>
      </c>
      <c r="CF41" s="408">
        <f t="shared" si="32"/>
        <v>50495</v>
      </c>
      <c r="CG41" s="408">
        <f t="shared" si="32"/>
        <v>50860</v>
      </c>
      <c r="CH41" s="408">
        <f t="shared" si="32"/>
        <v>50860</v>
      </c>
      <c r="CI41" s="408">
        <f t="shared" si="32"/>
        <v>50860</v>
      </c>
      <c r="CJ41" s="408">
        <f t="shared" si="32"/>
        <v>50860</v>
      </c>
      <c r="CK41" s="408">
        <f t="shared" si="32"/>
        <v>51226</v>
      </c>
      <c r="CL41" s="408">
        <f t="shared" si="32"/>
        <v>51226</v>
      </c>
      <c r="CM41" s="408">
        <f t="shared" si="32"/>
        <v>51226</v>
      </c>
      <c r="CN41" s="408">
        <f t="shared" si="32"/>
        <v>51226</v>
      </c>
      <c r="CO41" s="408">
        <f t="shared" si="32"/>
        <v>51591</v>
      </c>
      <c r="CP41" s="408">
        <f t="shared" si="32"/>
        <v>51591</v>
      </c>
      <c r="CQ41" s="408">
        <f t="shared" si="32"/>
        <v>51591</v>
      </c>
      <c r="CR41" s="408">
        <f t="shared" si="32"/>
        <v>51591</v>
      </c>
      <c r="CS41" s="408">
        <f t="shared" si="32"/>
        <v>51956</v>
      </c>
      <c r="CT41" s="408">
        <f t="shared" si="32"/>
        <v>51956</v>
      </c>
      <c r="CU41" s="408">
        <f t="shared" si="32"/>
        <v>51956</v>
      </c>
      <c r="CV41" s="408">
        <f t="shared" si="32"/>
        <v>51956</v>
      </c>
      <c r="CW41" s="408">
        <f t="shared" ref="CW41:EA41" si="33" xml:space="preserve"> CW$39</f>
        <v>52321</v>
      </c>
      <c r="CX41" s="408">
        <f t="shared" si="33"/>
        <v>52321</v>
      </c>
      <c r="CY41" s="408">
        <f t="shared" si="33"/>
        <v>52321</v>
      </c>
      <c r="CZ41" s="408">
        <f t="shared" si="33"/>
        <v>52321</v>
      </c>
      <c r="DA41" s="408">
        <f t="shared" si="33"/>
        <v>52687</v>
      </c>
      <c r="DB41" s="408">
        <f t="shared" si="33"/>
        <v>52687</v>
      </c>
      <c r="DC41" s="408">
        <f t="shared" si="33"/>
        <v>52687</v>
      </c>
      <c r="DD41" s="408">
        <f t="shared" si="33"/>
        <v>52687</v>
      </c>
      <c r="DE41" s="408">
        <f t="shared" si="33"/>
        <v>53052</v>
      </c>
      <c r="DF41" s="408">
        <f t="shared" si="33"/>
        <v>53052</v>
      </c>
      <c r="DG41" s="408">
        <f t="shared" si="33"/>
        <v>53052</v>
      </c>
      <c r="DH41" s="408">
        <f t="shared" si="33"/>
        <v>53052</v>
      </c>
      <c r="DI41" s="408">
        <f t="shared" si="33"/>
        <v>53417</v>
      </c>
      <c r="DJ41" s="408">
        <f t="shared" si="33"/>
        <v>53417</v>
      </c>
      <c r="DK41" s="408">
        <f t="shared" si="33"/>
        <v>53417</v>
      </c>
      <c r="DL41" s="408">
        <f t="shared" si="33"/>
        <v>53417</v>
      </c>
      <c r="DM41" s="408">
        <f t="shared" si="33"/>
        <v>53782</v>
      </c>
      <c r="DN41" s="408">
        <f t="shared" si="33"/>
        <v>53782</v>
      </c>
      <c r="DO41" s="408">
        <f t="shared" si="33"/>
        <v>53782</v>
      </c>
      <c r="DP41" s="408">
        <f t="shared" si="33"/>
        <v>53782</v>
      </c>
      <c r="DQ41" s="408">
        <f t="shared" si="33"/>
        <v>54148</v>
      </c>
      <c r="DR41" s="408">
        <f t="shared" si="33"/>
        <v>54148</v>
      </c>
      <c r="DS41" s="408">
        <f t="shared" si="33"/>
        <v>54148</v>
      </c>
      <c r="DT41" s="408">
        <f t="shared" si="33"/>
        <v>54148</v>
      </c>
      <c r="DU41" s="408">
        <f t="shared" si="33"/>
        <v>54513</v>
      </c>
      <c r="DV41" s="408">
        <f t="shared" si="33"/>
        <v>54513</v>
      </c>
      <c r="DW41" s="408">
        <f t="shared" si="33"/>
        <v>54513</v>
      </c>
      <c r="DX41" s="408">
        <f t="shared" si="33"/>
        <v>54513</v>
      </c>
      <c r="DY41" s="408">
        <f t="shared" si="33"/>
        <v>54878</v>
      </c>
      <c r="DZ41" s="408">
        <f t="shared" si="33"/>
        <v>54878</v>
      </c>
      <c r="EA41" s="408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155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3"/>
      <c r="B45" s="373"/>
      <c r="C45" s="374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6"/>
      <c r="J45" s="376"/>
      <c r="K45" s="376"/>
      <c r="L45" s="376"/>
      <c r="M45" s="376"/>
      <c r="N45" s="376"/>
      <c r="O45" s="376"/>
      <c r="P45" s="376"/>
      <c r="Q45" s="376"/>
      <c r="R45" s="376"/>
      <c r="S45" s="376"/>
      <c r="T45" s="376"/>
      <c r="U45" s="376"/>
      <c r="V45" s="376"/>
      <c r="W45" s="376"/>
      <c r="X45" s="376"/>
      <c r="Y45" s="376"/>
      <c r="Z45" s="376"/>
      <c r="AA45" s="376"/>
      <c r="AB45" s="376"/>
      <c r="AC45" s="376"/>
      <c r="AD45" s="376"/>
      <c r="AE45" s="376"/>
      <c r="AF45" s="376"/>
      <c r="AG45" s="376"/>
      <c r="AH45" s="376"/>
      <c r="AI45" s="376"/>
      <c r="AJ45" s="376"/>
      <c r="AK45" s="376"/>
      <c r="AL45" s="376"/>
      <c r="AM45" s="376"/>
      <c r="AN45" s="376"/>
      <c r="AO45" s="376"/>
      <c r="AP45" s="376"/>
      <c r="AQ45" s="376"/>
      <c r="AR45" s="376"/>
      <c r="AS45" s="376"/>
      <c r="AT45" s="376"/>
      <c r="AU45" s="376"/>
      <c r="AV45" s="376"/>
      <c r="AW45" s="376"/>
      <c r="AX45" s="376"/>
      <c r="AY45" s="376"/>
      <c r="AZ45" s="376"/>
      <c r="BA45" s="376"/>
      <c r="BB45" s="376"/>
      <c r="BC45" s="376"/>
      <c r="BD45" s="376"/>
      <c r="BE45" s="376"/>
      <c r="BF45" s="376"/>
      <c r="BG45" s="376"/>
      <c r="BH45" s="376"/>
      <c r="BI45" s="376"/>
      <c r="BJ45" s="376"/>
      <c r="BK45" s="376"/>
      <c r="BL45" s="376"/>
      <c r="BM45" s="376"/>
      <c r="BN45" s="376"/>
      <c r="BO45" s="376"/>
      <c r="BP45" s="376"/>
      <c r="BQ45" s="376"/>
      <c r="BR45" s="376"/>
      <c r="BS45" s="376"/>
      <c r="BT45" s="376"/>
      <c r="BU45" s="376"/>
      <c r="BV45" s="376"/>
      <c r="BW45" s="376"/>
      <c r="BX45" s="376"/>
      <c r="BY45" s="376"/>
      <c r="BZ45" s="376"/>
      <c r="CA45" s="376"/>
      <c r="CB45" s="376"/>
      <c r="CC45" s="376"/>
      <c r="CD45" s="376"/>
      <c r="CE45" s="376"/>
      <c r="CF45" s="376"/>
      <c r="CG45" s="376"/>
      <c r="CH45" s="376"/>
      <c r="CI45" s="376"/>
      <c r="CJ45" s="376"/>
      <c r="CK45" s="376"/>
      <c r="CL45" s="376"/>
      <c r="CM45" s="376"/>
      <c r="CN45" s="376"/>
      <c r="CO45" s="376"/>
      <c r="CP45" s="376"/>
      <c r="CQ45" s="376"/>
      <c r="CR45" s="376"/>
      <c r="CS45" s="376"/>
      <c r="CT45" s="376"/>
      <c r="CU45" s="376"/>
      <c r="CV45" s="376"/>
      <c r="CW45" s="376"/>
      <c r="CX45" s="376"/>
      <c r="CY45" s="376"/>
      <c r="CZ45" s="376"/>
      <c r="DA45" s="376"/>
      <c r="DB45" s="376"/>
      <c r="DC45" s="376"/>
      <c r="DD45" s="376"/>
      <c r="DE45" s="376"/>
      <c r="DF45" s="376"/>
      <c r="DG45" s="376"/>
      <c r="DH45" s="376"/>
      <c r="DI45" s="376"/>
      <c r="DJ45" s="376"/>
      <c r="DK45" s="376"/>
      <c r="DL45" s="376"/>
      <c r="DM45" s="376"/>
      <c r="DN45" s="376"/>
      <c r="DO45" s="376"/>
      <c r="DP45" s="376"/>
      <c r="DQ45" s="376"/>
      <c r="DR45" s="376"/>
      <c r="DS45" s="376"/>
      <c r="DT45" s="376"/>
      <c r="DU45" s="376"/>
      <c r="DV45" s="376"/>
      <c r="DW45" s="376"/>
      <c r="DX45" s="376"/>
      <c r="DY45" s="376"/>
      <c r="DZ45" s="376"/>
      <c r="EA45" s="376"/>
    </row>
    <row r="46" spans="1:131" outlineLevel="2" x14ac:dyDescent="0.35">
      <c r="A46" s="377"/>
      <c r="B46" s="377"/>
      <c r="C46" s="378"/>
      <c r="D46" s="379"/>
      <c r="E46" s="93" t="str">
        <f xml:space="preserve"> InpC!E$29</f>
        <v>Months in year</v>
      </c>
      <c r="F46" s="93">
        <f xml:space="preserve"> InpC!F$29</f>
        <v>12</v>
      </c>
      <c r="G46" s="93" t="str">
        <f xml:space="preserve"> InpC!G$29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6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3"/>
      <c r="E51" s="403" t="str">
        <f t="shared" ref="E51:AJ51" si="46" xml:space="preserve"> E$48</f>
        <v>Model period ending - annual</v>
      </c>
      <c r="F51" s="403">
        <f t="shared" si="46"/>
        <v>0</v>
      </c>
      <c r="G51" s="403" t="str">
        <f t="shared" si="46"/>
        <v>date</v>
      </c>
      <c r="H51" s="403">
        <f t="shared" si="46"/>
        <v>0</v>
      </c>
      <c r="I51" s="403">
        <f t="shared" si="46"/>
        <v>0</v>
      </c>
      <c r="J51" s="403">
        <f t="shared" si="46"/>
        <v>43921</v>
      </c>
      <c r="K51" s="403">
        <f t="shared" si="46"/>
        <v>44286</v>
      </c>
      <c r="L51" s="403">
        <f t="shared" si="46"/>
        <v>44651</v>
      </c>
      <c r="M51" s="403">
        <f t="shared" si="46"/>
        <v>45016</v>
      </c>
      <c r="N51" s="403">
        <f t="shared" si="46"/>
        <v>45382</v>
      </c>
      <c r="O51" s="403">
        <f t="shared" si="46"/>
        <v>45747</v>
      </c>
      <c r="P51" s="403">
        <f t="shared" si="46"/>
        <v>46112</v>
      </c>
      <c r="Q51" s="403">
        <f t="shared" si="46"/>
        <v>46477</v>
      </c>
      <c r="R51" s="403">
        <f t="shared" si="46"/>
        <v>46843</v>
      </c>
      <c r="S51" s="403">
        <f t="shared" si="46"/>
        <v>47208</v>
      </c>
      <c r="T51" s="403">
        <f t="shared" si="46"/>
        <v>47573</v>
      </c>
      <c r="U51" s="403">
        <f t="shared" si="46"/>
        <v>47938</v>
      </c>
      <c r="V51" s="403">
        <f t="shared" si="46"/>
        <v>48304</v>
      </c>
      <c r="W51" s="403">
        <f t="shared" si="46"/>
        <v>48669</v>
      </c>
      <c r="X51" s="403">
        <f t="shared" si="46"/>
        <v>49034</v>
      </c>
      <c r="Y51" s="403">
        <f t="shared" si="46"/>
        <v>49399</v>
      </c>
      <c r="Z51" s="403">
        <f t="shared" si="46"/>
        <v>49765</v>
      </c>
      <c r="AA51" s="403">
        <f t="shared" si="46"/>
        <v>50130</v>
      </c>
      <c r="AB51" s="403">
        <f t="shared" si="46"/>
        <v>50495</v>
      </c>
      <c r="AC51" s="403">
        <f t="shared" si="46"/>
        <v>50860</v>
      </c>
      <c r="AD51" s="403">
        <f t="shared" si="46"/>
        <v>51226</v>
      </c>
      <c r="AE51" s="403">
        <f t="shared" si="46"/>
        <v>51591</v>
      </c>
      <c r="AF51" s="403">
        <f t="shared" si="46"/>
        <v>51956</v>
      </c>
      <c r="AG51" s="403">
        <f t="shared" si="46"/>
        <v>52321</v>
      </c>
      <c r="AH51" s="403">
        <f t="shared" si="46"/>
        <v>52687</v>
      </c>
      <c r="AI51" s="403">
        <f t="shared" si="46"/>
        <v>53052</v>
      </c>
      <c r="AJ51" s="403">
        <f t="shared" si="46"/>
        <v>53417</v>
      </c>
      <c r="AK51" s="403">
        <f t="shared" ref="AK51:BP51" si="47" xml:space="preserve"> AK$48</f>
        <v>53782</v>
      </c>
      <c r="AL51" s="403">
        <f t="shared" si="47"/>
        <v>54148</v>
      </c>
      <c r="AM51" s="403">
        <f t="shared" si="47"/>
        <v>54513</v>
      </c>
      <c r="AN51" s="403">
        <f t="shared" si="47"/>
        <v>54878</v>
      </c>
      <c r="AO51" s="403">
        <f t="shared" si="47"/>
        <v>55243</v>
      </c>
      <c r="AP51" s="403">
        <f t="shared" si="47"/>
        <v>55609</v>
      </c>
      <c r="AQ51" s="403">
        <f t="shared" si="47"/>
        <v>55974</v>
      </c>
      <c r="AR51" s="403">
        <f t="shared" si="47"/>
        <v>56339</v>
      </c>
      <c r="AS51" s="403">
        <f t="shared" si="47"/>
        <v>56704</v>
      </c>
      <c r="AT51" s="403">
        <f t="shared" si="47"/>
        <v>57070</v>
      </c>
      <c r="AU51" s="403">
        <f t="shared" si="47"/>
        <v>57435</v>
      </c>
      <c r="AV51" s="403">
        <f t="shared" si="47"/>
        <v>57800</v>
      </c>
      <c r="AW51" s="403">
        <f t="shared" si="47"/>
        <v>58165</v>
      </c>
      <c r="AX51" s="403">
        <f t="shared" si="47"/>
        <v>58531</v>
      </c>
      <c r="AY51" s="403">
        <f t="shared" si="47"/>
        <v>58896</v>
      </c>
      <c r="AZ51" s="403">
        <f t="shared" si="47"/>
        <v>59261</v>
      </c>
      <c r="BA51" s="403">
        <f t="shared" si="47"/>
        <v>59626</v>
      </c>
      <c r="BB51" s="403">
        <f t="shared" si="47"/>
        <v>59992</v>
      </c>
      <c r="BC51" s="403">
        <f t="shared" si="47"/>
        <v>60357</v>
      </c>
      <c r="BD51" s="403">
        <f t="shared" si="47"/>
        <v>60722</v>
      </c>
      <c r="BE51" s="403">
        <f t="shared" si="47"/>
        <v>61087</v>
      </c>
      <c r="BF51" s="403">
        <f t="shared" si="47"/>
        <v>61453</v>
      </c>
      <c r="BG51" s="403">
        <f t="shared" si="47"/>
        <v>61818</v>
      </c>
      <c r="BH51" s="403">
        <f t="shared" si="47"/>
        <v>62183</v>
      </c>
      <c r="BI51" s="403">
        <f t="shared" si="47"/>
        <v>62548</v>
      </c>
      <c r="BJ51" s="403">
        <f t="shared" si="47"/>
        <v>62914</v>
      </c>
      <c r="BK51" s="403">
        <f t="shared" si="47"/>
        <v>63279</v>
      </c>
      <c r="BL51" s="403">
        <f t="shared" si="47"/>
        <v>63644</v>
      </c>
      <c r="BM51" s="403">
        <f t="shared" si="47"/>
        <v>64009</v>
      </c>
      <c r="BN51" s="403">
        <f t="shared" si="47"/>
        <v>64375</v>
      </c>
      <c r="BO51" s="403">
        <f t="shared" si="47"/>
        <v>64740</v>
      </c>
      <c r="BP51" s="403">
        <f t="shared" si="47"/>
        <v>65105</v>
      </c>
      <c r="BQ51" s="403">
        <f t="shared" ref="BQ51:CV51" si="48" xml:space="preserve"> BQ$48</f>
        <v>65470</v>
      </c>
      <c r="BR51" s="403">
        <f t="shared" si="48"/>
        <v>65836</v>
      </c>
      <c r="BS51" s="403">
        <f t="shared" si="48"/>
        <v>66201</v>
      </c>
      <c r="BT51" s="403">
        <f t="shared" si="48"/>
        <v>66566</v>
      </c>
      <c r="BU51" s="403">
        <f t="shared" si="48"/>
        <v>66931</v>
      </c>
      <c r="BV51" s="403">
        <f t="shared" si="48"/>
        <v>67297</v>
      </c>
      <c r="BW51" s="403">
        <f t="shared" si="48"/>
        <v>67662</v>
      </c>
      <c r="BX51" s="403">
        <f t="shared" si="48"/>
        <v>68027</v>
      </c>
      <c r="BY51" s="403">
        <f t="shared" si="48"/>
        <v>68392</v>
      </c>
      <c r="BZ51" s="403">
        <f t="shared" si="48"/>
        <v>68758</v>
      </c>
      <c r="CA51" s="403">
        <f t="shared" si="48"/>
        <v>69123</v>
      </c>
      <c r="CB51" s="403">
        <f t="shared" si="48"/>
        <v>69488</v>
      </c>
      <c r="CC51" s="403">
        <f t="shared" si="48"/>
        <v>69853</v>
      </c>
      <c r="CD51" s="403">
        <f t="shared" si="48"/>
        <v>70219</v>
      </c>
      <c r="CE51" s="403">
        <f t="shared" si="48"/>
        <v>70584</v>
      </c>
      <c r="CF51" s="403">
        <f t="shared" si="48"/>
        <v>70949</v>
      </c>
      <c r="CG51" s="403">
        <f t="shared" si="48"/>
        <v>71314</v>
      </c>
      <c r="CH51" s="403">
        <f t="shared" si="48"/>
        <v>71680</v>
      </c>
      <c r="CI51" s="403">
        <f t="shared" si="48"/>
        <v>72045</v>
      </c>
      <c r="CJ51" s="403">
        <f t="shared" si="48"/>
        <v>72410</v>
      </c>
      <c r="CK51" s="403">
        <f t="shared" si="48"/>
        <v>72775</v>
      </c>
      <c r="CL51" s="403">
        <f t="shared" si="48"/>
        <v>73140</v>
      </c>
      <c r="CM51" s="403">
        <f t="shared" si="48"/>
        <v>73505</v>
      </c>
      <c r="CN51" s="403">
        <f t="shared" si="48"/>
        <v>73870</v>
      </c>
      <c r="CO51" s="403">
        <f t="shared" si="48"/>
        <v>74235</v>
      </c>
      <c r="CP51" s="403">
        <f t="shared" si="48"/>
        <v>74601</v>
      </c>
      <c r="CQ51" s="403">
        <f t="shared" si="48"/>
        <v>74966</v>
      </c>
      <c r="CR51" s="403">
        <f t="shared" si="48"/>
        <v>75331</v>
      </c>
      <c r="CS51" s="403">
        <f t="shared" si="48"/>
        <v>75696</v>
      </c>
      <c r="CT51" s="403">
        <f t="shared" si="48"/>
        <v>76062</v>
      </c>
      <c r="CU51" s="403">
        <f t="shared" si="48"/>
        <v>76427</v>
      </c>
      <c r="CV51" s="403">
        <f t="shared" si="48"/>
        <v>76792</v>
      </c>
      <c r="CW51" s="403">
        <f t="shared" ref="CW51:EA51" si="49" xml:space="preserve"> CW$48</f>
        <v>77157</v>
      </c>
      <c r="CX51" s="403">
        <f t="shared" si="49"/>
        <v>77523</v>
      </c>
      <c r="CY51" s="403">
        <f t="shared" si="49"/>
        <v>77888</v>
      </c>
      <c r="CZ51" s="403">
        <f t="shared" si="49"/>
        <v>78253</v>
      </c>
      <c r="DA51" s="403">
        <f t="shared" si="49"/>
        <v>78618</v>
      </c>
      <c r="DB51" s="403">
        <f t="shared" si="49"/>
        <v>78984</v>
      </c>
      <c r="DC51" s="403">
        <f t="shared" si="49"/>
        <v>79349</v>
      </c>
      <c r="DD51" s="403">
        <f t="shared" si="49"/>
        <v>79714</v>
      </c>
      <c r="DE51" s="403">
        <f t="shared" si="49"/>
        <v>80079</v>
      </c>
      <c r="DF51" s="403">
        <f t="shared" si="49"/>
        <v>80445</v>
      </c>
      <c r="DG51" s="403">
        <f t="shared" si="49"/>
        <v>80810</v>
      </c>
      <c r="DH51" s="403">
        <f t="shared" si="49"/>
        <v>81175</v>
      </c>
      <c r="DI51" s="403">
        <f t="shared" si="49"/>
        <v>81540</v>
      </c>
      <c r="DJ51" s="403">
        <f t="shared" si="49"/>
        <v>81906</v>
      </c>
      <c r="DK51" s="403">
        <f t="shared" si="49"/>
        <v>82271</v>
      </c>
      <c r="DL51" s="403">
        <f t="shared" si="49"/>
        <v>82636</v>
      </c>
      <c r="DM51" s="403">
        <f t="shared" si="49"/>
        <v>83001</v>
      </c>
      <c r="DN51" s="403">
        <f t="shared" si="49"/>
        <v>83367</v>
      </c>
      <c r="DO51" s="403">
        <f t="shared" si="49"/>
        <v>83732</v>
      </c>
      <c r="DP51" s="403">
        <f t="shared" si="49"/>
        <v>84097</v>
      </c>
      <c r="DQ51" s="403">
        <f t="shared" si="49"/>
        <v>84462</v>
      </c>
      <c r="DR51" s="403">
        <f t="shared" si="49"/>
        <v>84828</v>
      </c>
      <c r="DS51" s="403">
        <f t="shared" si="49"/>
        <v>85193</v>
      </c>
      <c r="DT51" s="403">
        <f t="shared" si="49"/>
        <v>85558</v>
      </c>
      <c r="DU51" s="403">
        <f t="shared" si="49"/>
        <v>85923</v>
      </c>
      <c r="DV51" s="403">
        <f t="shared" si="49"/>
        <v>86289</v>
      </c>
      <c r="DW51" s="403">
        <f t="shared" si="49"/>
        <v>86654</v>
      </c>
      <c r="DX51" s="403">
        <f t="shared" si="49"/>
        <v>87019</v>
      </c>
      <c r="DY51" s="403">
        <f t="shared" si="49"/>
        <v>87384</v>
      </c>
      <c r="DZ51" s="403">
        <f t="shared" si="49"/>
        <v>87750</v>
      </c>
      <c r="EA51" s="403">
        <f t="shared" si="49"/>
        <v>88115</v>
      </c>
    </row>
    <row r="52" spans="1:131" outlineLevel="2" x14ac:dyDescent="0.35">
      <c r="A52" s="192"/>
      <c r="B52" s="192"/>
      <c r="C52" s="193"/>
      <c r="D52" s="194"/>
      <c r="E52" s="408" t="str">
        <f t="shared" ref="E52:AJ52" si="50" xml:space="preserve"> E$41</f>
        <v>Contract year applicable to period</v>
      </c>
      <c r="F52" s="408">
        <f t="shared" si="50"/>
        <v>0</v>
      </c>
      <c r="G52" s="408" t="str">
        <f t="shared" si="50"/>
        <v>date</v>
      </c>
      <c r="H52" s="408">
        <f t="shared" si="50"/>
        <v>0</v>
      </c>
      <c r="I52" s="408">
        <f t="shared" si="50"/>
        <v>0</v>
      </c>
      <c r="J52" s="408">
        <f t="shared" si="50"/>
        <v>43921</v>
      </c>
      <c r="K52" s="408">
        <f t="shared" si="50"/>
        <v>43921</v>
      </c>
      <c r="L52" s="408">
        <f t="shared" si="50"/>
        <v>43921</v>
      </c>
      <c r="M52" s="408">
        <f t="shared" si="50"/>
        <v>44286</v>
      </c>
      <c r="N52" s="408">
        <f t="shared" si="50"/>
        <v>44286</v>
      </c>
      <c r="O52" s="408">
        <f t="shared" si="50"/>
        <v>44286</v>
      </c>
      <c r="P52" s="408">
        <f t="shared" si="50"/>
        <v>44286</v>
      </c>
      <c r="Q52" s="408">
        <f t="shared" si="50"/>
        <v>44651</v>
      </c>
      <c r="R52" s="408">
        <f t="shared" si="50"/>
        <v>44651</v>
      </c>
      <c r="S52" s="408">
        <f t="shared" si="50"/>
        <v>44651</v>
      </c>
      <c r="T52" s="408">
        <f t="shared" si="50"/>
        <v>44651</v>
      </c>
      <c r="U52" s="408">
        <f t="shared" si="50"/>
        <v>45016</v>
      </c>
      <c r="V52" s="408">
        <f t="shared" si="50"/>
        <v>45016</v>
      </c>
      <c r="W52" s="408">
        <f t="shared" si="50"/>
        <v>45016</v>
      </c>
      <c r="X52" s="408">
        <f t="shared" si="50"/>
        <v>45016</v>
      </c>
      <c r="Y52" s="408">
        <f t="shared" si="50"/>
        <v>45382</v>
      </c>
      <c r="Z52" s="408">
        <f t="shared" si="50"/>
        <v>45382</v>
      </c>
      <c r="AA52" s="408">
        <f t="shared" si="50"/>
        <v>45382</v>
      </c>
      <c r="AB52" s="408">
        <f t="shared" si="50"/>
        <v>45382</v>
      </c>
      <c r="AC52" s="408">
        <f t="shared" si="50"/>
        <v>45747</v>
      </c>
      <c r="AD52" s="408">
        <f t="shared" si="50"/>
        <v>45747</v>
      </c>
      <c r="AE52" s="408">
        <f t="shared" si="50"/>
        <v>45747</v>
      </c>
      <c r="AF52" s="408">
        <f t="shared" si="50"/>
        <v>45747</v>
      </c>
      <c r="AG52" s="408">
        <f t="shared" si="50"/>
        <v>46112</v>
      </c>
      <c r="AH52" s="408">
        <f t="shared" si="50"/>
        <v>46112</v>
      </c>
      <c r="AI52" s="408">
        <f t="shared" si="50"/>
        <v>46112</v>
      </c>
      <c r="AJ52" s="408">
        <f t="shared" si="50"/>
        <v>46112</v>
      </c>
      <c r="AK52" s="408">
        <f t="shared" ref="AK52:BC52" si="51" xml:space="preserve"> AK$41</f>
        <v>46477</v>
      </c>
      <c r="AL52" s="408">
        <f t="shared" si="51"/>
        <v>46477</v>
      </c>
      <c r="AM52" s="408">
        <f t="shared" si="51"/>
        <v>46477</v>
      </c>
      <c r="AN52" s="408">
        <f t="shared" si="51"/>
        <v>46477</v>
      </c>
      <c r="AO52" s="408">
        <f t="shared" si="51"/>
        <v>46843</v>
      </c>
      <c r="AP52" s="408">
        <f t="shared" si="51"/>
        <v>46843</v>
      </c>
      <c r="AQ52" s="408">
        <f t="shared" si="51"/>
        <v>46843</v>
      </c>
      <c r="AR52" s="408">
        <f t="shared" si="51"/>
        <v>46843</v>
      </c>
      <c r="AS52" s="408">
        <f t="shared" si="51"/>
        <v>47208</v>
      </c>
      <c r="AT52" s="408">
        <f t="shared" si="51"/>
        <v>47208</v>
      </c>
      <c r="AU52" s="408">
        <f t="shared" si="51"/>
        <v>47208</v>
      </c>
      <c r="AV52" s="408">
        <f t="shared" si="51"/>
        <v>47208</v>
      </c>
      <c r="AW52" s="408">
        <f t="shared" si="51"/>
        <v>47573</v>
      </c>
      <c r="AX52" s="408">
        <f t="shared" si="51"/>
        <v>47573</v>
      </c>
      <c r="AY52" s="408">
        <f t="shared" si="51"/>
        <v>47573</v>
      </c>
      <c r="AZ52" s="408">
        <f t="shared" si="51"/>
        <v>47573</v>
      </c>
      <c r="BA52" s="408">
        <f t="shared" si="51"/>
        <v>47938</v>
      </c>
      <c r="BB52" s="408">
        <f t="shared" si="51"/>
        <v>47938</v>
      </c>
      <c r="BC52" s="408">
        <f t="shared" si="51"/>
        <v>47938</v>
      </c>
      <c r="BD52" s="408">
        <f t="shared" ref="BD52:CI52" si="52" xml:space="preserve"> BD$41</f>
        <v>47938</v>
      </c>
      <c r="BE52" s="408">
        <f t="shared" si="52"/>
        <v>48304</v>
      </c>
      <c r="BF52" s="408">
        <f t="shared" si="52"/>
        <v>48304</v>
      </c>
      <c r="BG52" s="408">
        <f t="shared" si="52"/>
        <v>48304</v>
      </c>
      <c r="BH52" s="408">
        <f t="shared" si="52"/>
        <v>48304</v>
      </c>
      <c r="BI52" s="408">
        <f t="shared" si="52"/>
        <v>48669</v>
      </c>
      <c r="BJ52" s="408">
        <f t="shared" si="52"/>
        <v>48669</v>
      </c>
      <c r="BK52" s="408">
        <f t="shared" si="52"/>
        <v>48669</v>
      </c>
      <c r="BL52" s="408">
        <f t="shared" si="52"/>
        <v>48669</v>
      </c>
      <c r="BM52" s="408">
        <f t="shared" si="52"/>
        <v>49034</v>
      </c>
      <c r="BN52" s="408">
        <f t="shared" si="52"/>
        <v>49034</v>
      </c>
      <c r="BO52" s="408">
        <f t="shared" si="52"/>
        <v>49034</v>
      </c>
      <c r="BP52" s="408">
        <f t="shared" si="52"/>
        <v>49034</v>
      </c>
      <c r="BQ52" s="408">
        <f t="shared" si="52"/>
        <v>49399</v>
      </c>
      <c r="BR52" s="408">
        <f t="shared" si="52"/>
        <v>49399</v>
      </c>
      <c r="BS52" s="408">
        <f t="shared" si="52"/>
        <v>49399</v>
      </c>
      <c r="BT52" s="408">
        <f t="shared" si="52"/>
        <v>49399</v>
      </c>
      <c r="BU52" s="408">
        <f t="shared" si="52"/>
        <v>49765</v>
      </c>
      <c r="BV52" s="408">
        <f t="shared" si="52"/>
        <v>49765</v>
      </c>
      <c r="BW52" s="408">
        <f t="shared" si="52"/>
        <v>49765</v>
      </c>
      <c r="BX52" s="408">
        <f t="shared" si="52"/>
        <v>49765</v>
      </c>
      <c r="BY52" s="408">
        <f t="shared" si="52"/>
        <v>50130</v>
      </c>
      <c r="BZ52" s="408">
        <f t="shared" si="52"/>
        <v>50130</v>
      </c>
      <c r="CA52" s="408">
        <f t="shared" si="52"/>
        <v>50130</v>
      </c>
      <c r="CB52" s="408">
        <f t="shared" si="52"/>
        <v>50130</v>
      </c>
      <c r="CC52" s="408">
        <f t="shared" si="52"/>
        <v>50495</v>
      </c>
      <c r="CD52" s="408">
        <f t="shared" si="52"/>
        <v>50495</v>
      </c>
      <c r="CE52" s="408">
        <f t="shared" si="52"/>
        <v>50495</v>
      </c>
      <c r="CF52" s="408">
        <f t="shared" si="52"/>
        <v>50495</v>
      </c>
      <c r="CG52" s="408">
        <f t="shared" si="52"/>
        <v>50860</v>
      </c>
      <c r="CH52" s="408">
        <f t="shared" si="52"/>
        <v>50860</v>
      </c>
      <c r="CI52" s="408">
        <f t="shared" si="52"/>
        <v>50860</v>
      </c>
      <c r="CJ52" s="408">
        <f t="shared" ref="CJ52:DO52" si="53" xml:space="preserve"> CJ$41</f>
        <v>50860</v>
      </c>
      <c r="CK52" s="408">
        <f t="shared" si="53"/>
        <v>51226</v>
      </c>
      <c r="CL52" s="408">
        <f t="shared" si="53"/>
        <v>51226</v>
      </c>
      <c r="CM52" s="408">
        <f t="shared" si="53"/>
        <v>51226</v>
      </c>
      <c r="CN52" s="408">
        <f t="shared" si="53"/>
        <v>51226</v>
      </c>
      <c r="CO52" s="408">
        <f t="shared" si="53"/>
        <v>51591</v>
      </c>
      <c r="CP52" s="408">
        <f t="shared" si="53"/>
        <v>51591</v>
      </c>
      <c r="CQ52" s="408">
        <f t="shared" si="53"/>
        <v>51591</v>
      </c>
      <c r="CR52" s="408">
        <f t="shared" si="53"/>
        <v>51591</v>
      </c>
      <c r="CS52" s="408">
        <f t="shared" si="53"/>
        <v>51956</v>
      </c>
      <c r="CT52" s="408">
        <f t="shared" si="53"/>
        <v>51956</v>
      </c>
      <c r="CU52" s="408">
        <f t="shared" si="53"/>
        <v>51956</v>
      </c>
      <c r="CV52" s="408">
        <f t="shared" si="53"/>
        <v>51956</v>
      </c>
      <c r="CW52" s="408">
        <f t="shared" si="53"/>
        <v>52321</v>
      </c>
      <c r="CX52" s="408">
        <f t="shared" si="53"/>
        <v>52321</v>
      </c>
      <c r="CY52" s="408">
        <f t="shared" si="53"/>
        <v>52321</v>
      </c>
      <c r="CZ52" s="408">
        <f t="shared" si="53"/>
        <v>52321</v>
      </c>
      <c r="DA52" s="408">
        <f t="shared" si="53"/>
        <v>52687</v>
      </c>
      <c r="DB52" s="408">
        <f t="shared" si="53"/>
        <v>52687</v>
      </c>
      <c r="DC52" s="408">
        <f t="shared" si="53"/>
        <v>52687</v>
      </c>
      <c r="DD52" s="408">
        <f t="shared" si="53"/>
        <v>52687</v>
      </c>
      <c r="DE52" s="408">
        <f t="shared" si="53"/>
        <v>53052</v>
      </c>
      <c r="DF52" s="408">
        <f t="shared" si="53"/>
        <v>53052</v>
      </c>
      <c r="DG52" s="408">
        <f t="shared" si="53"/>
        <v>53052</v>
      </c>
      <c r="DH52" s="408">
        <f t="shared" si="53"/>
        <v>53052</v>
      </c>
      <c r="DI52" s="408">
        <f t="shared" si="53"/>
        <v>53417</v>
      </c>
      <c r="DJ52" s="408">
        <f t="shared" si="53"/>
        <v>53417</v>
      </c>
      <c r="DK52" s="408">
        <f t="shared" si="53"/>
        <v>53417</v>
      </c>
      <c r="DL52" s="408">
        <f t="shared" si="53"/>
        <v>53417</v>
      </c>
      <c r="DM52" s="408">
        <f t="shared" si="53"/>
        <v>53782</v>
      </c>
      <c r="DN52" s="408">
        <f t="shared" si="53"/>
        <v>53782</v>
      </c>
      <c r="DO52" s="408">
        <f t="shared" si="53"/>
        <v>53782</v>
      </c>
      <c r="DP52" s="408">
        <f t="shared" ref="DP52:EA52" si="54" xml:space="preserve"> DP$41</f>
        <v>53782</v>
      </c>
      <c r="DQ52" s="408">
        <f t="shared" si="54"/>
        <v>54148</v>
      </c>
      <c r="DR52" s="408">
        <f t="shared" si="54"/>
        <v>54148</v>
      </c>
      <c r="DS52" s="408">
        <f t="shared" si="54"/>
        <v>54148</v>
      </c>
      <c r="DT52" s="408">
        <f t="shared" si="54"/>
        <v>54148</v>
      </c>
      <c r="DU52" s="408">
        <f t="shared" si="54"/>
        <v>54513</v>
      </c>
      <c r="DV52" s="408">
        <f t="shared" si="54"/>
        <v>54513</v>
      </c>
      <c r="DW52" s="408">
        <f t="shared" si="54"/>
        <v>54513</v>
      </c>
      <c r="DX52" s="408">
        <f t="shared" si="54"/>
        <v>54513</v>
      </c>
      <c r="DY52" s="408">
        <f t="shared" si="54"/>
        <v>54878</v>
      </c>
      <c r="DZ52" s="408">
        <f t="shared" si="54"/>
        <v>54878</v>
      </c>
      <c r="EA52" s="408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156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9"/>
      <c r="B56" s="409"/>
      <c r="C56" s="410"/>
      <c r="D56" s="411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2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5"/>
      <c r="B57" s="365"/>
      <c r="C57" s="366"/>
      <c r="D57" s="413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5"/>
      <c r="B58" s="365"/>
      <c r="C58" s="366"/>
      <c r="D58" s="413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5"/>
      <c r="B59" s="365"/>
      <c r="C59" s="366"/>
      <c r="D59" s="413"/>
      <c r="E59" s="150" t="str">
        <f t="shared" ref="E59:AJ59" si="64" xml:space="preserve"> E$101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AK$101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BQ$101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CW$101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5"/>
      <c r="B60" s="365"/>
      <c r="C60" s="366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InpC!E$36</f>
        <v>Pre-forecast period</v>
      </c>
      <c r="F62" s="146" t="str">
        <f xml:space="preserve"> InpC!F$36</f>
        <v>Pre-fcst</v>
      </c>
      <c r="G62" s="146" t="str">
        <f xml:space="preserve"> InpC!G$36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InpC!E$37</f>
        <v>Financial Close</v>
      </c>
      <c r="F63" s="38" t="str">
        <f xml:space="preserve"> InpC!F$37</f>
        <v>Fin Close</v>
      </c>
      <c r="G63" s="38" t="str">
        <f xml:space="preserve"> InpC!G$37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InpC!E$38</f>
        <v>Operations</v>
      </c>
      <c r="F64" s="38" t="str">
        <f xml:space="preserve"> InpC!F$38</f>
        <v>Operations</v>
      </c>
      <c r="G64" s="38" t="str">
        <f xml:space="preserve"> InpC!G$38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InpC!E$39</f>
        <v>Post ops</v>
      </c>
      <c r="F65" s="38" t="str">
        <f xml:space="preserve"> InpC!F$39</f>
        <v>Post ops</v>
      </c>
      <c r="G65" s="38" t="str">
        <f xml:space="preserve"> InpC!G$39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4"/>
      <c r="B66" s="414"/>
      <c r="C66" s="415"/>
      <c r="D66" s="416"/>
      <c r="E66" s="417" t="str">
        <f t="shared" ref="E66:AJ66" si="72" xml:space="preserve"> E$60</f>
        <v>Timeline label counter</v>
      </c>
      <c r="F66" s="417">
        <f t="shared" si="72"/>
        <v>0</v>
      </c>
      <c r="G66" s="417" t="str">
        <f t="shared" si="72"/>
        <v>counter</v>
      </c>
      <c r="H66" s="417">
        <f t="shared" si="72"/>
        <v>0</v>
      </c>
      <c r="I66" s="417">
        <f t="shared" si="72"/>
        <v>0</v>
      </c>
      <c r="J66" s="417">
        <f t="shared" si="72"/>
        <v>1</v>
      </c>
      <c r="K66" s="417">
        <f t="shared" si="72"/>
        <v>1</v>
      </c>
      <c r="L66" s="417">
        <f t="shared" si="72"/>
        <v>2</v>
      </c>
      <c r="M66" s="417">
        <f t="shared" si="72"/>
        <v>3</v>
      </c>
      <c r="N66" s="417">
        <f t="shared" si="72"/>
        <v>3</v>
      </c>
      <c r="O66" s="417">
        <f t="shared" si="72"/>
        <v>3</v>
      </c>
      <c r="P66" s="417">
        <f t="shared" si="72"/>
        <v>3</v>
      </c>
      <c r="Q66" s="417">
        <f t="shared" si="72"/>
        <v>3</v>
      </c>
      <c r="R66" s="417">
        <f t="shared" si="72"/>
        <v>3</v>
      </c>
      <c r="S66" s="417">
        <f t="shared" si="72"/>
        <v>3</v>
      </c>
      <c r="T66" s="417">
        <f t="shared" si="72"/>
        <v>3</v>
      </c>
      <c r="U66" s="417">
        <f t="shared" si="72"/>
        <v>3</v>
      </c>
      <c r="V66" s="417">
        <f t="shared" si="72"/>
        <v>3</v>
      </c>
      <c r="W66" s="417">
        <f t="shared" si="72"/>
        <v>3</v>
      </c>
      <c r="X66" s="417">
        <f t="shared" si="72"/>
        <v>3</v>
      </c>
      <c r="Y66" s="417">
        <f t="shared" si="72"/>
        <v>3</v>
      </c>
      <c r="Z66" s="417">
        <f t="shared" si="72"/>
        <v>3</v>
      </c>
      <c r="AA66" s="417">
        <f t="shared" si="72"/>
        <v>3</v>
      </c>
      <c r="AB66" s="417">
        <f t="shared" si="72"/>
        <v>3</v>
      </c>
      <c r="AC66" s="417">
        <f t="shared" si="72"/>
        <v>3</v>
      </c>
      <c r="AD66" s="417">
        <f t="shared" si="72"/>
        <v>3</v>
      </c>
      <c r="AE66" s="417">
        <f t="shared" si="72"/>
        <v>3</v>
      </c>
      <c r="AF66" s="417">
        <f t="shared" si="72"/>
        <v>3</v>
      </c>
      <c r="AG66" s="417">
        <f t="shared" si="72"/>
        <v>3</v>
      </c>
      <c r="AH66" s="417">
        <f t="shared" si="72"/>
        <v>3</v>
      </c>
      <c r="AI66" s="417">
        <f t="shared" si="72"/>
        <v>3</v>
      </c>
      <c r="AJ66" s="417">
        <f t="shared" si="72"/>
        <v>3</v>
      </c>
      <c r="AK66" s="417">
        <f t="shared" ref="AK66:BP66" si="73" xml:space="preserve"> AK$60</f>
        <v>3</v>
      </c>
      <c r="AL66" s="417">
        <f t="shared" si="73"/>
        <v>3</v>
      </c>
      <c r="AM66" s="417">
        <f t="shared" si="73"/>
        <v>3</v>
      </c>
      <c r="AN66" s="417">
        <f t="shared" si="73"/>
        <v>3</v>
      </c>
      <c r="AO66" s="417">
        <f t="shared" si="73"/>
        <v>3</v>
      </c>
      <c r="AP66" s="417">
        <f t="shared" si="73"/>
        <v>3</v>
      </c>
      <c r="AQ66" s="417">
        <f t="shared" si="73"/>
        <v>3</v>
      </c>
      <c r="AR66" s="417">
        <f t="shared" si="73"/>
        <v>3</v>
      </c>
      <c r="AS66" s="417">
        <f t="shared" si="73"/>
        <v>3</v>
      </c>
      <c r="AT66" s="417">
        <f t="shared" si="73"/>
        <v>3</v>
      </c>
      <c r="AU66" s="417">
        <f t="shared" si="73"/>
        <v>3</v>
      </c>
      <c r="AV66" s="417">
        <f t="shared" si="73"/>
        <v>3</v>
      </c>
      <c r="AW66" s="417">
        <f t="shared" si="73"/>
        <v>3</v>
      </c>
      <c r="AX66" s="417">
        <f t="shared" si="73"/>
        <v>3</v>
      </c>
      <c r="AY66" s="417">
        <f t="shared" si="73"/>
        <v>3</v>
      </c>
      <c r="AZ66" s="417">
        <f t="shared" si="73"/>
        <v>3</v>
      </c>
      <c r="BA66" s="417">
        <f t="shared" si="73"/>
        <v>3</v>
      </c>
      <c r="BB66" s="417">
        <f t="shared" si="73"/>
        <v>3</v>
      </c>
      <c r="BC66" s="417">
        <f t="shared" si="73"/>
        <v>3</v>
      </c>
      <c r="BD66" s="417">
        <f t="shared" si="73"/>
        <v>3</v>
      </c>
      <c r="BE66" s="417">
        <f t="shared" si="73"/>
        <v>3</v>
      </c>
      <c r="BF66" s="417">
        <f t="shared" si="73"/>
        <v>3</v>
      </c>
      <c r="BG66" s="417">
        <f t="shared" si="73"/>
        <v>3</v>
      </c>
      <c r="BH66" s="417">
        <f t="shared" si="73"/>
        <v>3</v>
      </c>
      <c r="BI66" s="417">
        <f t="shared" si="73"/>
        <v>3</v>
      </c>
      <c r="BJ66" s="417">
        <f t="shared" si="73"/>
        <v>3</v>
      </c>
      <c r="BK66" s="417">
        <f t="shared" si="73"/>
        <v>3</v>
      </c>
      <c r="BL66" s="417">
        <f t="shared" si="73"/>
        <v>3</v>
      </c>
      <c r="BM66" s="417">
        <f t="shared" si="73"/>
        <v>3</v>
      </c>
      <c r="BN66" s="417">
        <f t="shared" si="73"/>
        <v>3</v>
      </c>
      <c r="BO66" s="417">
        <f t="shared" si="73"/>
        <v>3</v>
      </c>
      <c r="BP66" s="417">
        <f t="shared" si="73"/>
        <v>3</v>
      </c>
      <c r="BQ66" s="417">
        <f t="shared" ref="BQ66:CV66" si="74" xml:space="preserve"> BQ$60</f>
        <v>3</v>
      </c>
      <c r="BR66" s="417">
        <f t="shared" si="74"/>
        <v>3</v>
      </c>
      <c r="BS66" s="417">
        <f t="shared" si="74"/>
        <v>3</v>
      </c>
      <c r="BT66" s="417">
        <f t="shared" si="74"/>
        <v>3</v>
      </c>
      <c r="BU66" s="417">
        <f t="shared" si="74"/>
        <v>3</v>
      </c>
      <c r="BV66" s="417">
        <f t="shared" si="74"/>
        <v>3</v>
      </c>
      <c r="BW66" s="417">
        <f t="shared" si="74"/>
        <v>3</v>
      </c>
      <c r="BX66" s="417">
        <f t="shared" si="74"/>
        <v>3</v>
      </c>
      <c r="BY66" s="417">
        <f t="shared" si="74"/>
        <v>3</v>
      </c>
      <c r="BZ66" s="417">
        <f t="shared" si="74"/>
        <v>3</v>
      </c>
      <c r="CA66" s="417">
        <f t="shared" si="74"/>
        <v>3</v>
      </c>
      <c r="CB66" s="417">
        <f t="shared" si="74"/>
        <v>3</v>
      </c>
      <c r="CC66" s="417">
        <f t="shared" si="74"/>
        <v>3</v>
      </c>
      <c r="CD66" s="417">
        <f t="shared" si="74"/>
        <v>3</v>
      </c>
      <c r="CE66" s="417">
        <f t="shared" si="74"/>
        <v>3</v>
      </c>
      <c r="CF66" s="417">
        <f t="shared" si="74"/>
        <v>3</v>
      </c>
      <c r="CG66" s="417">
        <f t="shared" si="74"/>
        <v>3</v>
      </c>
      <c r="CH66" s="417">
        <f t="shared" si="74"/>
        <v>3</v>
      </c>
      <c r="CI66" s="417">
        <f t="shared" si="74"/>
        <v>3</v>
      </c>
      <c r="CJ66" s="417">
        <f t="shared" si="74"/>
        <v>3</v>
      </c>
      <c r="CK66" s="417">
        <f t="shared" si="74"/>
        <v>3</v>
      </c>
      <c r="CL66" s="417">
        <f t="shared" si="74"/>
        <v>3</v>
      </c>
      <c r="CM66" s="417">
        <f t="shared" si="74"/>
        <v>3</v>
      </c>
      <c r="CN66" s="417">
        <f t="shared" si="74"/>
        <v>3</v>
      </c>
      <c r="CO66" s="417">
        <f t="shared" si="74"/>
        <v>3</v>
      </c>
      <c r="CP66" s="417">
        <f t="shared" si="74"/>
        <v>3</v>
      </c>
      <c r="CQ66" s="417">
        <f t="shared" si="74"/>
        <v>3</v>
      </c>
      <c r="CR66" s="417">
        <f t="shared" si="74"/>
        <v>3</v>
      </c>
      <c r="CS66" s="417">
        <f t="shared" si="74"/>
        <v>3</v>
      </c>
      <c r="CT66" s="417">
        <f t="shared" si="74"/>
        <v>3</v>
      </c>
      <c r="CU66" s="417">
        <f t="shared" si="74"/>
        <v>3</v>
      </c>
      <c r="CV66" s="417">
        <f t="shared" si="74"/>
        <v>3</v>
      </c>
      <c r="CW66" s="417">
        <f t="shared" ref="CW66:EA66" si="75" xml:space="preserve"> CW$60</f>
        <v>3</v>
      </c>
      <c r="CX66" s="417">
        <f t="shared" si="75"/>
        <v>3</v>
      </c>
      <c r="CY66" s="417">
        <f t="shared" si="75"/>
        <v>3</v>
      </c>
      <c r="CZ66" s="417">
        <f t="shared" si="75"/>
        <v>3</v>
      </c>
      <c r="DA66" s="417">
        <f t="shared" si="75"/>
        <v>3</v>
      </c>
      <c r="DB66" s="417">
        <f t="shared" si="75"/>
        <v>3</v>
      </c>
      <c r="DC66" s="417">
        <f t="shared" si="75"/>
        <v>3</v>
      </c>
      <c r="DD66" s="417">
        <f t="shared" si="75"/>
        <v>3</v>
      </c>
      <c r="DE66" s="417">
        <f t="shared" si="75"/>
        <v>3</v>
      </c>
      <c r="DF66" s="417">
        <f t="shared" si="75"/>
        <v>3</v>
      </c>
      <c r="DG66" s="417">
        <f t="shared" si="75"/>
        <v>3</v>
      </c>
      <c r="DH66" s="417">
        <f t="shared" si="75"/>
        <v>3</v>
      </c>
      <c r="DI66" s="417">
        <f t="shared" si="75"/>
        <v>4</v>
      </c>
      <c r="DJ66" s="417">
        <f t="shared" si="75"/>
        <v>4</v>
      </c>
      <c r="DK66" s="417">
        <f t="shared" si="75"/>
        <v>4</v>
      </c>
      <c r="DL66" s="417">
        <f t="shared" si="75"/>
        <v>4</v>
      </c>
      <c r="DM66" s="417">
        <f t="shared" si="75"/>
        <v>4</v>
      </c>
      <c r="DN66" s="417">
        <f t="shared" si="75"/>
        <v>4</v>
      </c>
      <c r="DO66" s="417">
        <f t="shared" si="75"/>
        <v>4</v>
      </c>
      <c r="DP66" s="417">
        <f t="shared" si="75"/>
        <v>4</v>
      </c>
      <c r="DQ66" s="417">
        <f t="shared" si="75"/>
        <v>4</v>
      </c>
      <c r="DR66" s="417">
        <f t="shared" si="75"/>
        <v>4</v>
      </c>
      <c r="DS66" s="417">
        <f t="shared" si="75"/>
        <v>4</v>
      </c>
      <c r="DT66" s="417">
        <f t="shared" si="75"/>
        <v>4</v>
      </c>
      <c r="DU66" s="417">
        <f t="shared" si="75"/>
        <v>4</v>
      </c>
      <c r="DV66" s="417">
        <f t="shared" si="75"/>
        <v>4</v>
      </c>
      <c r="DW66" s="417">
        <f t="shared" si="75"/>
        <v>4</v>
      </c>
      <c r="DX66" s="417">
        <f t="shared" si="75"/>
        <v>4</v>
      </c>
      <c r="DY66" s="417">
        <f t="shared" si="75"/>
        <v>4</v>
      </c>
      <c r="DZ66" s="417">
        <f t="shared" si="75"/>
        <v>4</v>
      </c>
      <c r="EA66" s="417">
        <f t="shared" si="75"/>
        <v>4</v>
      </c>
    </row>
    <row r="67" spans="1:131" outlineLevel="2" x14ac:dyDescent="0.35">
      <c r="A67" s="383"/>
      <c r="B67" s="383"/>
      <c r="C67" s="384"/>
      <c r="D67" s="385"/>
      <c r="E67" s="386" t="s">
        <v>27</v>
      </c>
      <c r="F67" s="386"/>
      <c r="G67" s="386" t="s">
        <v>26</v>
      </c>
      <c r="H67" s="387"/>
      <c r="I67" s="387"/>
      <c r="J67" s="387" t="str">
        <f t="shared" ref="J67:AO67" si="76">INDEX($F62:$F65, J66)</f>
        <v>Pre-fcst</v>
      </c>
      <c r="K67" s="387" t="str">
        <f t="shared" si="76"/>
        <v>Pre-fcst</v>
      </c>
      <c r="L67" s="387" t="str">
        <f t="shared" si="76"/>
        <v>Fin Close</v>
      </c>
      <c r="M67" s="387" t="str">
        <f t="shared" si="76"/>
        <v>Operations</v>
      </c>
      <c r="N67" s="387" t="str">
        <f t="shared" si="76"/>
        <v>Operations</v>
      </c>
      <c r="O67" s="387" t="str">
        <f t="shared" si="76"/>
        <v>Operations</v>
      </c>
      <c r="P67" s="387" t="str">
        <f t="shared" si="76"/>
        <v>Operations</v>
      </c>
      <c r="Q67" s="387" t="str">
        <f t="shared" si="76"/>
        <v>Operations</v>
      </c>
      <c r="R67" s="387" t="str">
        <f t="shared" si="76"/>
        <v>Operations</v>
      </c>
      <c r="S67" s="387" t="str">
        <f t="shared" si="76"/>
        <v>Operations</v>
      </c>
      <c r="T67" s="387" t="str">
        <f t="shared" si="76"/>
        <v>Operations</v>
      </c>
      <c r="U67" s="387" t="str">
        <f t="shared" si="76"/>
        <v>Operations</v>
      </c>
      <c r="V67" s="387" t="str">
        <f t="shared" si="76"/>
        <v>Operations</v>
      </c>
      <c r="W67" s="387" t="str">
        <f t="shared" si="76"/>
        <v>Operations</v>
      </c>
      <c r="X67" s="387" t="str">
        <f t="shared" si="76"/>
        <v>Operations</v>
      </c>
      <c r="Y67" s="387" t="str">
        <f t="shared" si="76"/>
        <v>Operations</v>
      </c>
      <c r="Z67" s="387" t="str">
        <f t="shared" si="76"/>
        <v>Operations</v>
      </c>
      <c r="AA67" s="387" t="str">
        <f t="shared" si="76"/>
        <v>Operations</v>
      </c>
      <c r="AB67" s="387" t="str">
        <f t="shared" si="76"/>
        <v>Operations</v>
      </c>
      <c r="AC67" s="387" t="str">
        <f t="shared" si="76"/>
        <v>Operations</v>
      </c>
      <c r="AD67" s="387" t="str">
        <f t="shared" si="76"/>
        <v>Operations</v>
      </c>
      <c r="AE67" s="387" t="str">
        <f t="shared" si="76"/>
        <v>Operations</v>
      </c>
      <c r="AF67" s="387" t="str">
        <f t="shared" si="76"/>
        <v>Operations</v>
      </c>
      <c r="AG67" s="387" t="str">
        <f t="shared" si="76"/>
        <v>Operations</v>
      </c>
      <c r="AH67" s="387" t="str">
        <f t="shared" si="76"/>
        <v>Operations</v>
      </c>
      <c r="AI67" s="387" t="str">
        <f t="shared" si="76"/>
        <v>Operations</v>
      </c>
      <c r="AJ67" s="387" t="str">
        <f t="shared" si="76"/>
        <v>Operations</v>
      </c>
      <c r="AK67" s="387" t="str">
        <f t="shared" si="76"/>
        <v>Operations</v>
      </c>
      <c r="AL67" s="387" t="str">
        <f t="shared" si="76"/>
        <v>Operations</v>
      </c>
      <c r="AM67" s="387" t="str">
        <f t="shared" si="76"/>
        <v>Operations</v>
      </c>
      <c r="AN67" s="387" t="str">
        <f t="shared" si="76"/>
        <v>Operations</v>
      </c>
      <c r="AO67" s="387" t="str">
        <f t="shared" si="76"/>
        <v>Operations</v>
      </c>
      <c r="AP67" s="387" t="str">
        <f t="shared" ref="AP67:BU67" si="77">INDEX($F62:$F65, AP66)</f>
        <v>Operations</v>
      </c>
      <c r="AQ67" s="387" t="str">
        <f t="shared" si="77"/>
        <v>Operations</v>
      </c>
      <c r="AR67" s="387" t="str">
        <f t="shared" si="77"/>
        <v>Operations</v>
      </c>
      <c r="AS67" s="387" t="str">
        <f t="shared" si="77"/>
        <v>Operations</v>
      </c>
      <c r="AT67" s="387" t="str">
        <f t="shared" si="77"/>
        <v>Operations</v>
      </c>
      <c r="AU67" s="387" t="str">
        <f t="shared" si="77"/>
        <v>Operations</v>
      </c>
      <c r="AV67" s="387" t="str">
        <f t="shared" si="77"/>
        <v>Operations</v>
      </c>
      <c r="AW67" s="387" t="str">
        <f t="shared" si="77"/>
        <v>Operations</v>
      </c>
      <c r="AX67" s="387" t="str">
        <f t="shared" si="77"/>
        <v>Operations</v>
      </c>
      <c r="AY67" s="387" t="str">
        <f t="shared" si="77"/>
        <v>Operations</v>
      </c>
      <c r="AZ67" s="387" t="str">
        <f t="shared" si="77"/>
        <v>Operations</v>
      </c>
      <c r="BA67" s="387" t="str">
        <f t="shared" si="77"/>
        <v>Operations</v>
      </c>
      <c r="BB67" s="387" t="str">
        <f t="shared" si="77"/>
        <v>Operations</v>
      </c>
      <c r="BC67" s="387" t="str">
        <f t="shared" si="77"/>
        <v>Operations</v>
      </c>
      <c r="BD67" s="387" t="str">
        <f t="shared" si="77"/>
        <v>Operations</v>
      </c>
      <c r="BE67" s="387" t="str">
        <f t="shared" si="77"/>
        <v>Operations</v>
      </c>
      <c r="BF67" s="387" t="str">
        <f t="shared" si="77"/>
        <v>Operations</v>
      </c>
      <c r="BG67" s="387" t="str">
        <f t="shared" si="77"/>
        <v>Operations</v>
      </c>
      <c r="BH67" s="387" t="str">
        <f t="shared" si="77"/>
        <v>Operations</v>
      </c>
      <c r="BI67" s="387" t="str">
        <f t="shared" si="77"/>
        <v>Operations</v>
      </c>
      <c r="BJ67" s="387" t="str">
        <f t="shared" si="77"/>
        <v>Operations</v>
      </c>
      <c r="BK67" s="387" t="str">
        <f t="shared" si="77"/>
        <v>Operations</v>
      </c>
      <c r="BL67" s="387" t="str">
        <f t="shared" si="77"/>
        <v>Operations</v>
      </c>
      <c r="BM67" s="387" t="str">
        <f t="shared" si="77"/>
        <v>Operations</v>
      </c>
      <c r="BN67" s="387" t="str">
        <f t="shared" si="77"/>
        <v>Operations</v>
      </c>
      <c r="BO67" s="387" t="str">
        <f t="shared" si="77"/>
        <v>Operations</v>
      </c>
      <c r="BP67" s="387" t="str">
        <f t="shared" si="77"/>
        <v>Operations</v>
      </c>
      <c r="BQ67" s="387" t="str">
        <f t="shared" si="77"/>
        <v>Operations</v>
      </c>
      <c r="BR67" s="387" t="str">
        <f t="shared" si="77"/>
        <v>Operations</v>
      </c>
      <c r="BS67" s="387" t="str">
        <f t="shared" si="77"/>
        <v>Operations</v>
      </c>
      <c r="BT67" s="387" t="str">
        <f t="shared" si="77"/>
        <v>Operations</v>
      </c>
      <c r="BU67" s="387" t="str">
        <f t="shared" si="77"/>
        <v>Operations</v>
      </c>
      <c r="BV67" s="387" t="str">
        <f t="shared" ref="BV67:DA67" si="78">INDEX($F62:$F65, BV66)</f>
        <v>Operations</v>
      </c>
      <c r="BW67" s="387" t="str">
        <f t="shared" si="78"/>
        <v>Operations</v>
      </c>
      <c r="BX67" s="387" t="str">
        <f t="shared" si="78"/>
        <v>Operations</v>
      </c>
      <c r="BY67" s="387" t="str">
        <f t="shared" si="78"/>
        <v>Operations</v>
      </c>
      <c r="BZ67" s="387" t="str">
        <f t="shared" si="78"/>
        <v>Operations</v>
      </c>
      <c r="CA67" s="387" t="str">
        <f t="shared" si="78"/>
        <v>Operations</v>
      </c>
      <c r="CB67" s="387" t="str">
        <f t="shared" si="78"/>
        <v>Operations</v>
      </c>
      <c r="CC67" s="387" t="str">
        <f t="shared" si="78"/>
        <v>Operations</v>
      </c>
      <c r="CD67" s="387" t="str">
        <f t="shared" si="78"/>
        <v>Operations</v>
      </c>
      <c r="CE67" s="387" t="str">
        <f t="shared" si="78"/>
        <v>Operations</v>
      </c>
      <c r="CF67" s="387" t="str">
        <f t="shared" si="78"/>
        <v>Operations</v>
      </c>
      <c r="CG67" s="387" t="str">
        <f t="shared" si="78"/>
        <v>Operations</v>
      </c>
      <c r="CH67" s="387" t="str">
        <f t="shared" si="78"/>
        <v>Operations</v>
      </c>
      <c r="CI67" s="387" t="str">
        <f t="shared" si="78"/>
        <v>Operations</v>
      </c>
      <c r="CJ67" s="387" t="str">
        <f t="shared" si="78"/>
        <v>Operations</v>
      </c>
      <c r="CK67" s="387" t="str">
        <f t="shared" si="78"/>
        <v>Operations</v>
      </c>
      <c r="CL67" s="387" t="str">
        <f t="shared" si="78"/>
        <v>Operations</v>
      </c>
      <c r="CM67" s="387" t="str">
        <f t="shared" si="78"/>
        <v>Operations</v>
      </c>
      <c r="CN67" s="387" t="str">
        <f t="shared" si="78"/>
        <v>Operations</v>
      </c>
      <c r="CO67" s="387" t="str">
        <f t="shared" si="78"/>
        <v>Operations</v>
      </c>
      <c r="CP67" s="387" t="str">
        <f t="shared" si="78"/>
        <v>Operations</v>
      </c>
      <c r="CQ67" s="387" t="str">
        <f t="shared" si="78"/>
        <v>Operations</v>
      </c>
      <c r="CR67" s="387" t="str">
        <f t="shared" si="78"/>
        <v>Operations</v>
      </c>
      <c r="CS67" s="387" t="str">
        <f t="shared" si="78"/>
        <v>Operations</v>
      </c>
      <c r="CT67" s="387" t="str">
        <f t="shared" si="78"/>
        <v>Operations</v>
      </c>
      <c r="CU67" s="387" t="str">
        <f t="shared" si="78"/>
        <v>Operations</v>
      </c>
      <c r="CV67" s="387" t="str">
        <f t="shared" si="78"/>
        <v>Operations</v>
      </c>
      <c r="CW67" s="387" t="str">
        <f t="shared" si="78"/>
        <v>Operations</v>
      </c>
      <c r="CX67" s="387" t="str">
        <f t="shared" si="78"/>
        <v>Operations</v>
      </c>
      <c r="CY67" s="387" t="str">
        <f t="shared" si="78"/>
        <v>Operations</v>
      </c>
      <c r="CZ67" s="387" t="str">
        <f t="shared" si="78"/>
        <v>Operations</v>
      </c>
      <c r="DA67" s="387" t="str">
        <f t="shared" si="78"/>
        <v>Operations</v>
      </c>
      <c r="DB67" s="387" t="str">
        <f t="shared" ref="DB67:EA67" si="79">INDEX($F62:$F65, DB66)</f>
        <v>Operations</v>
      </c>
      <c r="DC67" s="387" t="str">
        <f t="shared" si="79"/>
        <v>Operations</v>
      </c>
      <c r="DD67" s="387" t="str">
        <f t="shared" si="79"/>
        <v>Operations</v>
      </c>
      <c r="DE67" s="387" t="str">
        <f t="shared" si="79"/>
        <v>Operations</v>
      </c>
      <c r="DF67" s="387" t="str">
        <f t="shared" si="79"/>
        <v>Operations</v>
      </c>
      <c r="DG67" s="387" t="str">
        <f t="shared" si="79"/>
        <v>Operations</v>
      </c>
      <c r="DH67" s="387" t="str">
        <f t="shared" si="79"/>
        <v>Operations</v>
      </c>
      <c r="DI67" s="387" t="str">
        <f t="shared" si="79"/>
        <v>Post ops</v>
      </c>
      <c r="DJ67" s="387" t="str">
        <f t="shared" si="79"/>
        <v>Post ops</v>
      </c>
      <c r="DK67" s="387" t="str">
        <f t="shared" si="79"/>
        <v>Post ops</v>
      </c>
      <c r="DL67" s="387" t="str">
        <f t="shared" si="79"/>
        <v>Post ops</v>
      </c>
      <c r="DM67" s="387" t="str">
        <f t="shared" si="79"/>
        <v>Post ops</v>
      </c>
      <c r="DN67" s="387" t="str">
        <f t="shared" si="79"/>
        <v>Post ops</v>
      </c>
      <c r="DO67" s="387" t="str">
        <f t="shared" si="79"/>
        <v>Post ops</v>
      </c>
      <c r="DP67" s="387" t="str">
        <f t="shared" si="79"/>
        <v>Post ops</v>
      </c>
      <c r="DQ67" s="387" t="str">
        <f t="shared" si="79"/>
        <v>Post ops</v>
      </c>
      <c r="DR67" s="387" t="str">
        <f t="shared" si="79"/>
        <v>Post ops</v>
      </c>
      <c r="DS67" s="387" t="str">
        <f t="shared" si="79"/>
        <v>Post ops</v>
      </c>
      <c r="DT67" s="387" t="str">
        <f t="shared" si="79"/>
        <v>Post ops</v>
      </c>
      <c r="DU67" s="387" t="str">
        <f t="shared" si="79"/>
        <v>Post ops</v>
      </c>
      <c r="DV67" s="387" t="str">
        <f t="shared" si="79"/>
        <v>Post ops</v>
      </c>
      <c r="DW67" s="387" t="str">
        <f t="shared" si="79"/>
        <v>Post ops</v>
      </c>
      <c r="DX67" s="387" t="str">
        <f t="shared" si="79"/>
        <v>Post ops</v>
      </c>
      <c r="DY67" s="387" t="str">
        <f t="shared" si="79"/>
        <v>Post ops</v>
      </c>
      <c r="DZ67" s="387" t="str">
        <f t="shared" si="79"/>
        <v>Post ops</v>
      </c>
      <c r="EA67" s="387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2"/>
      <c r="F70" s="402"/>
      <c r="G70" s="402"/>
      <c r="H70" s="402"/>
      <c r="I70" s="402"/>
      <c r="J70" s="191"/>
      <c r="K70" s="402"/>
      <c r="L70" s="402"/>
      <c r="M70" s="402"/>
      <c r="N70" s="402"/>
      <c r="O70" s="402"/>
      <c r="P70" s="402"/>
      <c r="Q70" s="402"/>
      <c r="R70" s="402"/>
      <c r="S70" s="402"/>
      <c r="T70" s="402"/>
      <c r="U70" s="402"/>
      <c r="V70" s="402"/>
      <c r="W70" s="402"/>
      <c r="X70" s="402"/>
      <c r="Y70" s="402"/>
      <c r="Z70" s="402"/>
      <c r="AA70" s="402"/>
      <c r="AB70" s="402"/>
      <c r="AC70" s="402"/>
      <c r="AD70" s="402"/>
      <c r="AE70" s="402"/>
      <c r="AF70" s="402"/>
      <c r="AG70" s="402"/>
      <c r="AH70" s="402"/>
      <c r="AI70" s="402"/>
      <c r="AJ70" s="402"/>
      <c r="AK70" s="402"/>
      <c r="AL70" s="402"/>
      <c r="AM70" s="402"/>
      <c r="AN70" s="402"/>
      <c r="AO70" s="402"/>
      <c r="AP70" s="402"/>
      <c r="AQ70" s="402"/>
      <c r="AR70" s="402"/>
      <c r="AS70" s="402"/>
      <c r="AT70" s="402"/>
      <c r="AU70" s="402"/>
      <c r="AV70" s="402"/>
      <c r="AW70" s="402"/>
      <c r="AX70" s="402"/>
      <c r="AY70" s="402"/>
      <c r="AZ70" s="402"/>
      <c r="BA70" s="402"/>
      <c r="BB70" s="402"/>
      <c r="BC70" s="402"/>
      <c r="BD70" s="402"/>
      <c r="BE70" s="402"/>
      <c r="BF70" s="402"/>
      <c r="BG70" s="402"/>
      <c r="BH70" s="402"/>
      <c r="BI70" s="402"/>
      <c r="BJ70" s="402"/>
      <c r="BK70" s="402"/>
      <c r="BL70" s="402"/>
      <c r="BM70" s="402"/>
      <c r="BN70" s="402"/>
      <c r="BO70" s="402"/>
      <c r="BP70" s="402"/>
      <c r="BQ70" s="402"/>
      <c r="BR70" s="402"/>
      <c r="BS70" s="402"/>
      <c r="BT70" s="402"/>
      <c r="BU70" s="402"/>
      <c r="BV70" s="402"/>
      <c r="BW70" s="402"/>
      <c r="BX70" s="402"/>
      <c r="BY70" s="402"/>
      <c r="BZ70" s="402"/>
      <c r="CA70" s="402"/>
      <c r="CB70" s="402"/>
      <c r="CC70" s="402"/>
      <c r="CD70" s="402"/>
      <c r="CE70" s="402"/>
      <c r="CF70" s="402"/>
      <c r="CG70" s="402"/>
      <c r="CH70" s="402"/>
      <c r="CI70" s="402"/>
      <c r="CJ70" s="402"/>
      <c r="CK70" s="402"/>
      <c r="CL70" s="402"/>
      <c r="CM70" s="402"/>
      <c r="CN70" s="402"/>
      <c r="CO70" s="402"/>
      <c r="CP70" s="402"/>
      <c r="CQ70" s="402"/>
      <c r="CR70" s="402"/>
      <c r="CS70" s="402"/>
      <c r="CT70" s="402"/>
      <c r="CU70" s="402"/>
      <c r="CV70" s="402"/>
      <c r="CW70" s="402"/>
      <c r="CX70" s="402"/>
      <c r="CY70" s="402"/>
      <c r="CZ70" s="402"/>
      <c r="DA70" s="402"/>
      <c r="DB70" s="402"/>
      <c r="DC70" s="402"/>
      <c r="DD70" s="402"/>
      <c r="DE70" s="402"/>
      <c r="DF70" s="402"/>
      <c r="DG70" s="402"/>
      <c r="DH70" s="402"/>
      <c r="DI70" s="402"/>
      <c r="DJ70" s="402"/>
      <c r="DK70" s="402"/>
      <c r="DL70" s="402"/>
      <c r="DM70" s="402"/>
      <c r="DN70" s="402"/>
      <c r="DO70" s="402"/>
      <c r="DP70" s="402"/>
      <c r="DQ70" s="402"/>
      <c r="DR70" s="402"/>
      <c r="DS70" s="402"/>
      <c r="DT70" s="402"/>
      <c r="DU70" s="402"/>
      <c r="DV70" s="402"/>
      <c r="DW70" s="402"/>
      <c r="DX70" s="402"/>
      <c r="DY70" s="402"/>
      <c r="DZ70" s="402"/>
      <c r="EA70" s="402"/>
    </row>
    <row r="71" spans="1:131" x14ac:dyDescent="0.35">
      <c r="A71" s="243" t="s">
        <v>2</v>
      </c>
      <c r="B71" s="192"/>
      <c r="C71" s="244"/>
      <c r="D71" s="245"/>
      <c r="E71" s="402"/>
      <c r="F71" s="402"/>
      <c r="G71" s="402"/>
      <c r="H71" s="402"/>
      <c r="I71" s="402"/>
      <c r="J71" s="191"/>
      <c r="K71" s="402"/>
      <c r="L71" s="402"/>
      <c r="M71" s="402"/>
      <c r="N71" s="402"/>
      <c r="O71" s="402"/>
      <c r="P71" s="402"/>
      <c r="Q71" s="402"/>
      <c r="R71" s="402"/>
      <c r="S71" s="402"/>
      <c r="T71" s="402"/>
      <c r="U71" s="402"/>
      <c r="V71" s="402"/>
      <c r="W71" s="402"/>
      <c r="X71" s="402"/>
      <c r="Y71" s="402"/>
      <c r="Z71" s="402"/>
      <c r="AA71" s="402"/>
      <c r="AB71" s="402"/>
      <c r="AC71" s="402"/>
      <c r="AD71" s="402"/>
      <c r="AE71" s="402"/>
      <c r="AF71" s="402"/>
      <c r="AG71" s="402"/>
      <c r="AH71" s="402"/>
      <c r="AI71" s="402"/>
      <c r="AJ71" s="402"/>
      <c r="AK71" s="402"/>
      <c r="AL71" s="402"/>
      <c r="AM71" s="402"/>
      <c r="AN71" s="402"/>
      <c r="AO71" s="402"/>
      <c r="AP71" s="402"/>
      <c r="AQ71" s="402"/>
      <c r="AR71" s="402"/>
      <c r="AS71" s="402"/>
      <c r="AT71" s="402"/>
      <c r="AU71" s="402"/>
      <c r="AV71" s="402"/>
      <c r="AW71" s="402"/>
      <c r="AX71" s="402"/>
      <c r="AY71" s="402"/>
      <c r="AZ71" s="402"/>
      <c r="BA71" s="402"/>
      <c r="BB71" s="402"/>
      <c r="BC71" s="402"/>
      <c r="BD71" s="402"/>
      <c r="BE71" s="402"/>
      <c r="BF71" s="402"/>
      <c r="BG71" s="402"/>
      <c r="BH71" s="402"/>
      <c r="BI71" s="402"/>
      <c r="BJ71" s="402"/>
      <c r="BK71" s="402"/>
      <c r="BL71" s="402"/>
      <c r="BM71" s="402"/>
      <c r="BN71" s="402"/>
      <c r="BO71" s="402"/>
      <c r="BP71" s="402"/>
      <c r="BQ71" s="402"/>
      <c r="BR71" s="402"/>
      <c r="BS71" s="402"/>
      <c r="BT71" s="402"/>
      <c r="BU71" s="402"/>
      <c r="BV71" s="402"/>
      <c r="BW71" s="402"/>
      <c r="BX71" s="402"/>
      <c r="BY71" s="402"/>
      <c r="BZ71" s="402"/>
      <c r="CA71" s="402"/>
      <c r="CB71" s="402"/>
      <c r="CC71" s="402"/>
      <c r="CD71" s="402"/>
      <c r="CE71" s="402"/>
      <c r="CF71" s="402"/>
      <c r="CG71" s="402"/>
      <c r="CH71" s="402"/>
      <c r="CI71" s="402"/>
      <c r="CJ71" s="402"/>
      <c r="CK71" s="402"/>
      <c r="CL71" s="402"/>
      <c r="CM71" s="402"/>
      <c r="CN71" s="402"/>
      <c r="CO71" s="402"/>
      <c r="CP71" s="402"/>
      <c r="CQ71" s="402"/>
      <c r="CR71" s="402"/>
      <c r="CS71" s="402"/>
      <c r="CT71" s="402"/>
      <c r="CU71" s="402"/>
      <c r="CV71" s="402"/>
      <c r="CW71" s="402"/>
      <c r="CX71" s="402"/>
      <c r="CY71" s="402"/>
      <c r="CZ71" s="402"/>
      <c r="DA71" s="402"/>
      <c r="DB71" s="402"/>
      <c r="DC71" s="402"/>
      <c r="DD71" s="402"/>
      <c r="DE71" s="402"/>
      <c r="DF71" s="402"/>
      <c r="DG71" s="402"/>
      <c r="DH71" s="402"/>
      <c r="DI71" s="402"/>
      <c r="DJ71" s="402"/>
      <c r="DK71" s="402"/>
      <c r="DL71" s="402"/>
      <c r="DM71" s="402"/>
      <c r="DN71" s="402"/>
      <c r="DO71" s="402"/>
      <c r="DP71" s="402"/>
      <c r="DQ71" s="402"/>
      <c r="DR71" s="402"/>
      <c r="DS71" s="402"/>
      <c r="DT71" s="402"/>
      <c r="DU71" s="402"/>
      <c r="DV71" s="402"/>
      <c r="DW71" s="402"/>
      <c r="DX71" s="402"/>
      <c r="DY71" s="402"/>
      <c r="DZ71" s="402"/>
      <c r="EA71" s="402"/>
    </row>
    <row r="72" spans="1:131" outlineLevel="1" x14ac:dyDescent="0.35">
      <c r="A72" s="243"/>
      <c r="B72" s="192"/>
      <c r="C72" s="244"/>
      <c r="D72" s="245"/>
      <c r="E72" s="402"/>
      <c r="F72" s="402"/>
      <c r="G72" s="402"/>
      <c r="H72" s="402"/>
      <c r="I72" s="402"/>
      <c r="J72" s="191"/>
      <c r="K72" s="402"/>
      <c r="L72" s="402"/>
      <c r="M72" s="402"/>
      <c r="N72" s="402"/>
      <c r="O72" s="402"/>
      <c r="P72" s="402"/>
      <c r="Q72" s="402"/>
      <c r="R72" s="402"/>
      <c r="S72" s="402"/>
      <c r="T72" s="402"/>
      <c r="U72" s="402"/>
      <c r="V72" s="402"/>
      <c r="W72" s="402"/>
      <c r="X72" s="402"/>
      <c r="Y72" s="402"/>
      <c r="Z72" s="402"/>
      <c r="AA72" s="402"/>
      <c r="AB72" s="402"/>
      <c r="AC72" s="402"/>
      <c r="AD72" s="402"/>
      <c r="AE72" s="402"/>
      <c r="AF72" s="402"/>
      <c r="AG72" s="402"/>
      <c r="AH72" s="402"/>
      <c r="AI72" s="402"/>
      <c r="AJ72" s="402"/>
      <c r="AK72" s="402"/>
      <c r="AL72" s="402"/>
      <c r="AM72" s="402"/>
      <c r="AN72" s="402"/>
      <c r="AO72" s="402"/>
      <c r="AP72" s="402"/>
      <c r="AQ72" s="402"/>
      <c r="AR72" s="402"/>
      <c r="AS72" s="402"/>
      <c r="AT72" s="402"/>
      <c r="AU72" s="402"/>
      <c r="AV72" s="402"/>
      <c r="AW72" s="402"/>
      <c r="AX72" s="402"/>
      <c r="AY72" s="402"/>
      <c r="AZ72" s="402"/>
      <c r="BA72" s="402"/>
      <c r="BB72" s="402"/>
      <c r="BC72" s="402"/>
      <c r="BD72" s="402"/>
      <c r="BE72" s="402"/>
      <c r="BF72" s="402"/>
      <c r="BG72" s="402"/>
      <c r="BH72" s="402"/>
      <c r="BI72" s="402"/>
      <c r="BJ72" s="402"/>
      <c r="BK72" s="402"/>
      <c r="BL72" s="402"/>
      <c r="BM72" s="402"/>
      <c r="BN72" s="402"/>
      <c r="BO72" s="402"/>
      <c r="BP72" s="402"/>
      <c r="BQ72" s="402"/>
      <c r="BR72" s="402"/>
      <c r="BS72" s="402"/>
      <c r="BT72" s="402"/>
      <c r="BU72" s="402"/>
      <c r="BV72" s="402"/>
      <c r="BW72" s="402"/>
      <c r="BX72" s="402"/>
      <c r="BY72" s="402"/>
      <c r="BZ72" s="402"/>
      <c r="CA72" s="402"/>
      <c r="CB72" s="402"/>
      <c r="CC72" s="402"/>
      <c r="CD72" s="402"/>
      <c r="CE72" s="402"/>
      <c r="CF72" s="402"/>
      <c r="CG72" s="402"/>
      <c r="CH72" s="402"/>
      <c r="CI72" s="402"/>
      <c r="CJ72" s="402"/>
      <c r="CK72" s="402"/>
      <c r="CL72" s="402"/>
      <c r="CM72" s="402"/>
      <c r="CN72" s="402"/>
      <c r="CO72" s="402"/>
      <c r="CP72" s="402"/>
      <c r="CQ72" s="402"/>
      <c r="CR72" s="402"/>
      <c r="CS72" s="402"/>
      <c r="CT72" s="402"/>
      <c r="CU72" s="402"/>
      <c r="CV72" s="402"/>
      <c r="CW72" s="402"/>
      <c r="CX72" s="402"/>
      <c r="CY72" s="402"/>
      <c r="CZ72" s="402"/>
      <c r="DA72" s="402"/>
      <c r="DB72" s="402"/>
      <c r="DC72" s="402"/>
      <c r="DD72" s="402"/>
      <c r="DE72" s="402"/>
      <c r="DF72" s="402"/>
      <c r="DG72" s="402"/>
      <c r="DH72" s="402"/>
      <c r="DI72" s="402"/>
      <c r="DJ72" s="402"/>
      <c r="DK72" s="402"/>
      <c r="DL72" s="402"/>
      <c r="DM72" s="402"/>
      <c r="DN72" s="402"/>
      <c r="DO72" s="402"/>
      <c r="DP72" s="402"/>
      <c r="DQ72" s="402"/>
      <c r="DR72" s="402"/>
      <c r="DS72" s="402"/>
      <c r="DT72" s="402"/>
      <c r="DU72" s="402"/>
      <c r="DV72" s="402"/>
      <c r="DW72" s="402"/>
      <c r="DX72" s="402"/>
      <c r="DY72" s="402"/>
      <c r="DZ72" s="402"/>
      <c r="EA72" s="402"/>
    </row>
    <row r="73" spans="1:131" outlineLevel="1" x14ac:dyDescent="0.35">
      <c r="A73" s="243"/>
      <c r="B73" s="192" t="s">
        <v>42</v>
      </c>
      <c r="C73" s="244"/>
      <c r="D73" s="245"/>
      <c r="E73" s="402"/>
      <c r="F73" s="402"/>
      <c r="G73" s="402"/>
      <c r="H73" s="402"/>
      <c r="I73" s="402"/>
      <c r="J73" s="191"/>
      <c r="K73" s="402"/>
      <c r="L73" s="402"/>
      <c r="M73" s="402"/>
      <c r="N73" s="402"/>
      <c r="O73" s="402"/>
      <c r="P73" s="402"/>
      <c r="Q73" s="402"/>
      <c r="R73" s="402"/>
      <c r="S73" s="402"/>
      <c r="T73" s="402"/>
      <c r="U73" s="402"/>
      <c r="V73" s="402"/>
      <c r="W73" s="402"/>
      <c r="X73" s="402"/>
      <c r="Y73" s="402"/>
      <c r="Z73" s="402"/>
      <c r="AA73" s="402"/>
      <c r="AB73" s="402"/>
      <c r="AC73" s="402"/>
      <c r="AD73" s="402"/>
      <c r="AE73" s="402"/>
      <c r="AF73" s="402"/>
      <c r="AG73" s="402"/>
      <c r="AH73" s="402"/>
      <c r="AI73" s="402"/>
      <c r="AJ73" s="402"/>
      <c r="AK73" s="402"/>
      <c r="AL73" s="402"/>
      <c r="AM73" s="402"/>
      <c r="AN73" s="402"/>
      <c r="AO73" s="402"/>
      <c r="AP73" s="402"/>
      <c r="AQ73" s="402"/>
      <c r="AR73" s="402"/>
      <c r="AS73" s="402"/>
      <c r="AT73" s="402"/>
      <c r="AU73" s="402"/>
      <c r="AV73" s="402"/>
      <c r="AW73" s="402"/>
      <c r="AX73" s="402"/>
      <c r="AY73" s="402"/>
      <c r="AZ73" s="402"/>
      <c r="BA73" s="402"/>
      <c r="BB73" s="402"/>
      <c r="BC73" s="402"/>
      <c r="BD73" s="402"/>
      <c r="BE73" s="402"/>
      <c r="BF73" s="402"/>
      <c r="BG73" s="402"/>
      <c r="BH73" s="402"/>
      <c r="BI73" s="402"/>
      <c r="BJ73" s="402"/>
      <c r="BK73" s="402"/>
      <c r="BL73" s="402"/>
      <c r="BM73" s="402"/>
      <c r="BN73" s="402"/>
      <c r="BO73" s="402"/>
      <c r="BP73" s="402"/>
      <c r="BQ73" s="402"/>
      <c r="BR73" s="402"/>
      <c r="BS73" s="402"/>
      <c r="BT73" s="402"/>
      <c r="BU73" s="402"/>
      <c r="BV73" s="402"/>
      <c r="BW73" s="402"/>
      <c r="BX73" s="402"/>
      <c r="BY73" s="402"/>
      <c r="BZ73" s="402"/>
      <c r="CA73" s="402"/>
      <c r="CB73" s="402"/>
      <c r="CC73" s="402"/>
      <c r="CD73" s="402"/>
      <c r="CE73" s="402"/>
      <c r="CF73" s="402"/>
      <c r="CG73" s="402"/>
      <c r="CH73" s="402"/>
      <c r="CI73" s="402"/>
      <c r="CJ73" s="402"/>
      <c r="CK73" s="402"/>
      <c r="CL73" s="402"/>
      <c r="CM73" s="402"/>
      <c r="CN73" s="402"/>
      <c r="CO73" s="402"/>
      <c r="CP73" s="402"/>
      <c r="CQ73" s="402"/>
      <c r="CR73" s="402"/>
      <c r="CS73" s="402"/>
      <c r="CT73" s="402"/>
      <c r="CU73" s="402"/>
      <c r="CV73" s="402"/>
      <c r="CW73" s="402"/>
      <c r="CX73" s="402"/>
      <c r="CY73" s="402"/>
      <c r="CZ73" s="402"/>
      <c r="DA73" s="402"/>
      <c r="DB73" s="402"/>
      <c r="DC73" s="402"/>
      <c r="DD73" s="402"/>
      <c r="DE73" s="402"/>
      <c r="DF73" s="402"/>
      <c r="DG73" s="402"/>
      <c r="DH73" s="402"/>
      <c r="DI73" s="402"/>
      <c r="DJ73" s="402"/>
      <c r="DK73" s="402"/>
      <c r="DL73" s="402"/>
      <c r="DM73" s="402"/>
      <c r="DN73" s="402"/>
      <c r="DO73" s="402"/>
      <c r="DP73" s="402"/>
      <c r="DQ73" s="402"/>
      <c r="DR73" s="402"/>
      <c r="DS73" s="402"/>
      <c r="DT73" s="402"/>
      <c r="DU73" s="402"/>
      <c r="DV73" s="402"/>
      <c r="DW73" s="402"/>
      <c r="DX73" s="402"/>
      <c r="DY73" s="402"/>
      <c r="DZ73" s="402"/>
      <c r="EA73" s="402"/>
    </row>
    <row r="74" spans="1:131" outlineLevel="2" x14ac:dyDescent="0.35">
      <c r="A74" s="373"/>
      <c r="B74" s="51"/>
      <c r="C74" s="374"/>
      <c r="D74" s="375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6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5" t="str">
        <f t="shared" ref="E75:BP75" si="80" xml:space="preserve"> E$25</f>
        <v>Model period ending</v>
      </c>
      <c r="F75" s="405">
        <f t="shared" si="80"/>
        <v>0</v>
      </c>
      <c r="G75" s="405" t="str">
        <f t="shared" si="80"/>
        <v>date</v>
      </c>
      <c r="H75" s="405">
        <f t="shared" si="80"/>
        <v>0</v>
      </c>
      <c r="I75" s="406">
        <f t="shared" si="80"/>
        <v>0</v>
      </c>
      <c r="J75" s="405">
        <f t="shared" si="80"/>
        <v>44104</v>
      </c>
      <c r="K75" s="405">
        <f t="shared" si="80"/>
        <v>44196</v>
      </c>
      <c r="L75" s="405">
        <f t="shared" si="80"/>
        <v>44286</v>
      </c>
      <c r="M75" s="405">
        <f t="shared" si="80"/>
        <v>44377</v>
      </c>
      <c r="N75" s="405">
        <f t="shared" si="80"/>
        <v>44469</v>
      </c>
      <c r="O75" s="405">
        <f t="shared" si="80"/>
        <v>44561</v>
      </c>
      <c r="P75" s="405">
        <f t="shared" si="80"/>
        <v>44651</v>
      </c>
      <c r="Q75" s="405">
        <f t="shared" si="80"/>
        <v>44742</v>
      </c>
      <c r="R75" s="405">
        <f t="shared" si="80"/>
        <v>44834</v>
      </c>
      <c r="S75" s="405">
        <f t="shared" si="80"/>
        <v>44926</v>
      </c>
      <c r="T75" s="405">
        <f t="shared" si="80"/>
        <v>45016</v>
      </c>
      <c r="U75" s="405">
        <f t="shared" si="80"/>
        <v>45107</v>
      </c>
      <c r="V75" s="405">
        <f t="shared" si="80"/>
        <v>45199</v>
      </c>
      <c r="W75" s="405">
        <f t="shared" si="80"/>
        <v>45291</v>
      </c>
      <c r="X75" s="405">
        <f t="shared" si="80"/>
        <v>45382</v>
      </c>
      <c r="Y75" s="405">
        <f t="shared" si="80"/>
        <v>45473</v>
      </c>
      <c r="Z75" s="405">
        <f t="shared" si="80"/>
        <v>45565</v>
      </c>
      <c r="AA75" s="405">
        <f t="shared" si="80"/>
        <v>45657</v>
      </c>
      <c r="AB75" s="405">
        <f t="shared" si="80"/>
        <v>45747</v>
      </c>
      <c r="AC75" s="405">
        <f t="shared" si="80"/>
        <v>45838</v>
      </c>
      <c r="AD75" s="405">
        <f t="shared" si="80"/>
        <v>45930</v>
      </c>
      <c r="AE75" s="405">
        <f t="shared" si="80"/>
        <v>46022</v>
      </c>
      <c r="AF75" s="405">
        <f t="shared" si="80"/>
        <v>46112</v>
      </c>
      <c r="AG75" s="405">
        <f t="shared" si="80"/>
        <v>46203</v>
      </c>
      <c r="AH75" s="405">
        <f t="shared" si="80"/>
        <v>46295</v>
      </c>
      <c r="AI75" s="405">
        <f t="shared" si="80"/>
        <v>46387</v>
      </c>
      <c r="AJ75" s="405">
        <f t="shared" si="80"/>
        <v>46477</v>
      </c>
      <c r="AK75" s="405">
        <f t="shared" si="80"/>
        <v>46568</v>
      </c>
      <c r="AL75" s="405">
        <f t="shared" si="80"/>
        <v>46660</v>
      </c>
      <c r="AM75" s="405">
        <f t="shared" si="80"/>
        <v>46752</v>
      </c>
      <c r="AN75" s="405">
        <f t="shared" si="80"/>
        <v>46843</v>
      </c>
      <c r="AO75" s="405">
        <f t="shared" si="80"/>
        <v>46934</v>
      </c>
      <c r="AP75" s="405">
        <f t="shared" si="80"/>
        <v>47026</v>
      </c>
      <c r="AQ75" s="405">
        <f t="shared" si="80"/>
        <v>47118</v>
      </c>
      <c r="AR75" s="405">
        <f t="shared" si="80"/>
        <v>47208</v>
      </c>
      <c r="AS75" s="405">
        <f t="shared" si="80"/>
        <v>47299</v>
      </c>
      <c r="AT75" s="405">
        <f t="shared" si="80"/>
        <v>47391</v>
      </c>
      <c r="AU75" s="405">
        <f t="shared" si="80"/>
        <v>47483</v>
      </c>
      <c r="AV75" s="405">
        <f t="shared" si="80"/>
        <v>47573</v>
      </c>
      <c r="AW75" s="405">
        <f t="shared" si="80"/>
        <v>47664</v>
      </c>
      <c r="AX75" s="405">
        <f t="shared" si="80"/>
        <v>47756</v>
      </c>
      <c r="AY75" s="405">
        <f t="shared" si="80"/>
        <v>47848</v>
      </c>
      <c r="AZ75" s="405">
        <f t="shared" si="80"/>
        <v>47938</v>
      </c>
      <c r="BA75" s="405">
        <f t="shared" si="80"/>
        <v>48029</v>
      </c>
      <c r="BB75" s="405">
        <f t="shared" si="80"/>
        <v>48121</v>
      </c>
      <c r="BC75" s="405">
        <f t="shared" si="80"/>
        <v>48213</v>
      </c>
      <c r="BD75" s="405">
        <f t="shared" si="80"/>
        <v>48304</v>
      </c>
      <c r="BE75" s="405">
        <f t="shared" si="80"/>
        <v>48395</v>
      </c>
      <c r="BF75" s="405">
        <f t="shared" si="80"/>
        <v>48487</v>
      </c>
      <c r="BG75" s="405">
        <f t="shared" si="80"/>
        <v>48579</v>
      </c>
      <c r="BH75" s="405">
        <f t="shared" si="80"/>
        <v>48669</v>
      </c>
      <c r="BI75" s="405">
        <f t="shared" si="80"/>
        <v>48760</v>
      </c>
      <c r="BJ75" s="405">
        <f t="shared" si="80"/>
        <v>48852</v>
      </c>
      <c r="BK75" s="405">
        <f t="shared" si="80"/>
        <v>48944</v>
      </c>
      <c r="BL75" s="405">
        <f t="shared" si="80"/>
        <v>49034</v>
      </c>
      <c r="BM75" s="405">
        <f t="shared" si="80"/>
        <v>49125</v>
      </c>
      <c r="BN75" s="405">
        <f t="shared" si="80"/>
        <v>49217</v>
      </c>
      <c r="BO75" s="405">
        <f t="shared" si="80"/>
        <v>49309</v>
      </c>
      <c r="BP75" s="405">
        <f t="shared" si="80"/>
        <v>49399</v>
      </c>
      <c r="BQ75" s="405">
        <f t="shared" ref="BQ75:EA75" si="81" xml:space="preserve"> BQ$25</f>
        <v>49490</v>
      </c>
      <c r="BR75" s="405">
        <f t="shared" si="81"/>
        <v>49582</v>
      </c>
      <c r="BS75" s="405">
        <f t="shared" si="81"/>
        <v>49674</v>
      </c>
      <c r="BT75" s="405">
        <f t="shared" si="81"/>
        <v>49765</v>
      </c>
      <c r="BU75" s="405">
        <f t="shared" si="81"/>
        <v>49856</v>
      </c>
      <c r="BV75" s="405">
        <f t="shared" si="81"/>
        <v>49948</v>
      </c>
      <c r="BW75" s="405">
        <f t="shared" si="81"/>
        <v>50040</v>
      </c>
      <c r="BX75" s="405">
        <f t="shared" si="81"/>
        <v>50130</v>
      </c>
      <c r="BY75" s="405">
        <f t="shared" si="81"/>
        <v>50221</v>
      </c>
      <c r="BZ75" s="405">
        <f t="shared" si="81"/>
        <v>50313</v>
      </c>
      <c r="CA75" s="405">
        <f t="shared" si="81"/>
        <v>50405</v>
      </c>
      <c r="CB75" s="405">
        <f t="shared" si="81"/>
        <v>50495</v>
      </c>
      <c r="CC75" s="405">
        <f t="shared" si="81"/>
        <v>50586</v>
      </c>
      <c r="CD75" s="405">
        <f t="shared" si="81"/>
        <v>50678</v>
      </c>
      <c r="CE75" s="405">
        <f t="shared" si="81"/>
        <v>50770</v>
      </c>
      <c r="CF75" s="405">
        <f t="shared" si="81"/>
        <v>50860</v>
      </c>
      <c r="CG75" s="405">
        <f t="shared" si="81"/>
        <v>50951</v>
      </c>
      <c r="CH75" s="405">
        <f t="shared" si="81"/>
        <v>51043</v>
      </c>
      <c r="CI75" s="405">
        <f t="shared" si="81"/>
        <v>51135</v>
      </c>
      <c r="CJ75" s="405">
        <f t="shared" si="81"/>
        <v>51226</v>
      </c>
      <c r="CK75" s="405">
        <f t="shared" si="81"/>
        <v>51317</v>
      </c>
      <c r="CL75" s="405">
        <f t="shared" si="81"/>
        <v>51409</v>
      </c>
      <c r="CM75" s="405">
        <f t="shared" si="81"/>
        <v>51501</v>
      </c>
      <c r="CN75" s="405">
        <f t="shared" si="81"/>
        <v>51591</v>
      </c>
      <c r="CO75" s="405">
        <f t="shared" si="81"/>
        <v>51682</v>
      </c>
      <c r="CP75" s="405">
        <f t="shared" si="81"/>
        <v>51774</v>
      </c>
      <c r="CQ75" s="405">
        <f t="shared" si="81"/>
        <v>51866</v>
      </c>
      <c r="CR75" s="405">
        <f t="shared" si="81"/>
        <v>51956</v>
      </c>
      <c r="CS75" s="405">
        <f t="shared" si="81"/>
        <v>52047</v>
      </c>
      <c r="CT75" s="405">
        <f t="shared" si="81"/>
        <v>52139</v>
      </c>
      <c r="CU75" s="405">
        <f t="shared" si="81"/>
        <v>52231</v>
      </c>
      <c r="CV75" s="405">
        <f t="shared" si="81"/>
        <v>52321</v>
      </c>
      <c r="CW75" s="405">
        <f t="shared" si="81"/>
        <v>52412</v>
      </c>
      <c r="CX75" s="405">
        <f t="shared" si="81"/>
        <v>52504</v>
      </c>
      <c r="CY75" s="405">
        <f t="shared" si="81"/>
        <v>52596</v>
      </c>
      <c r="CZ75" s="405">
        <f t="shared" si="81"/>
        <v>52687</v>
      </c>
      <c r="DA75" s="405">
        <f t="shared" si="81"/>
        <v>52778</v>
      </c>
      <c r="DB75" s="405">
        <f t="shared" si="81"/>
        <v>52870</v>
      </c>
      <c r="DC75" s="405">
        <f t="shared" si="81"/>
        <v>52962</v>
      </c>
      <c r="DD75" s="405">
        <f t="shared" si="81"/>
        <v>53052</v>
      </c>
      <c r="DE75" s="405">
        <f t="shared" si="81"/>
        <v>53143</v>
      </c>
      <c r="DF75" s="405">
        <f t="shared" si="81"/>
        <v>53235</v>
      </c>
      <c r="DG75" s="405">
        <f t="shared" si="81"/>
        <v>53327</v>
      </c>
      <c r="DH75" s="405">
        <f t="shared" si="81"/>
        <v>53417</v>
      </c>
      <c r="DI75" s="405">
        <f t="shared" si="81"/>
        <v>53508</v>
      </c>
      <c r="DJ75" s="405">
        <f t="shared" si="81"/>
        <v>53600</v>
      </c>
      <c r="DK75" s="405">
        <f t="shared" si="81"/>
        <v>53692</v>
      </c>
      <c r="DL75" s="405">
        <f t="shared" si="81"/>
        <v>53782</v>
      </c>
      <c r="DM75" s="405">
        <f t="shared" si="81"/>
        <v>53873</v>
      </c>
      <c r="DN75" s="405">
        <f t="shared" si="81"/>
        <v>53965</v>
      </c>
      <c r="DO75" s="405">
        <f t="shared" si="81"/>
        <v>54057</v>
      </c>
      <c r="DP75" s="405">
        <f t="shared" si="81"/>
        <v>54148</v>
      </c>
      <c r="DQ75" s="405">
        <f t="shared" si="81"/>
        <v>54239</v>
      </c>
      <c r="DR75" s="405">
        <f t="shared" si="81"/>
        <v>54331</v>
      </c>
      <c r="DS75" s="405">
        <f t="shared" si="81"/>
        <v>54423</v>
      </c>
      <c r="DT75" s="405">
        <f t="shared" si="81"/>
        <v>54513</v>
      </c>
      <c r="DU75" s="405">
        <f t="shared" si="81"/>
        <v>54604</v>
      </c>
      <c r="DV75" s="405">
        <f t="shared" si="81"/>
        <v>54696</v>
      </c>
      <c r="DW75" s="405">
        <f t="shared" si="81"/>
        <v>54788</v>
      </c>
      <c r="DX75" s="405">
        <f t="shared" si="81"/>
        <v>54878</v>
      </c>
      <c r="DY75" s="405">
        <f t="shared" si="81"/>
        <v>54969</v>
      </c>
      <c r="DZ75" s="405">
        <f t="shared" si="81"/>
        <v>55061</v>
      </c>
      <c r="EA75" s="405">
        <f t="shared" si="81"/>
        <v>55153</v>
      </c>
    </row>
    <row r="76" spans="1:131" outlineLevel="2" x14ac:dyDescent="0.35">
      <c r="A76" s="183"/>
      <c r="B76" s="183"/>
      <c r="C76" s="184"/>
      <c r="D76" s="185"/>
      <c r="E76" s="181" t="s">
        <v>42</v>
      </c>
      <c r="F76" s="181"/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8"/>
      <c r="F77" s="418"/>
      <c r="G77" s="418"/>
      <c r="H77" s="418"/>
      <c r="I77" s="419"/>
      <c r="J77" s="418"/>
      <c r="K77" s="418"/>
      <c r="L77" s="418"/>
      <c r="M77" s="418"/>
      <c r="N77" s="418"/>
      <c r="O77" s="418"/>
      <c r="P77" s="418"/>
      <c r="Q77" s="418"/>
      <c r="R77" s="418"/>
      <c r="S77" s="418"/>
      <c r="T77" s="418"/>
      <c r="U77" s="418"/>
      <c r="V77" s="418"/>
      <c r="W77" s="418"/>
      <c r="X77" s="418"/>
      <c r="Y77" s="418"/>
      <c r="Z77" s="418"/>
      <c r="AA77" s="418"/>
      <c r="AB77" s="418"/>
      <c r="AC77" s="418"/>
      <c r="AD77" s="418"/>
      <c r="AE77" s="418"/>
      <c r="AF77" s="418"/>
      <c r="AG77" s="418"/>
      <c r="AH77" s="418"/>
      <c r="AI77" s="418"/>
      <c r="AJ77" s="418"/>
      <c r="AK77" s="418"/>
      <c r="AL77" s="418"/>
      <c r="AM77" s="418"/>
      <c r="AN77" s="418"/>
      <c r="AO77" s="418"/>
      <c r="AP77" s="418"/>
      <c r="AQ77" s="418"/>
      <c r="AR77" s="418"/>
      <c r="AS77" s="418"/>
      <c r="AT77" s="418"/>
      <c r="AU77" s="418"/>
      <c r="AV77" s="418"/>
      <c r="AW77" s="418"/>
      <c r="AX77" s="418"/>
      <c r="AY77" s="418"/>
      <c r="AZ77" s="418"/>
      <c r="BA77" s="418"/>
      <c r="BB77" s="418"/>
      <c r="BC77" s="418"/>
      <c r="BD77" s="418"/>
      <c r="BE77" s="418"/>
      <c r="BF77" s="418"/>
      <c r="BG77" s="418"/>
      <c r="BH77" s="418"/>
      <c r="BI77" s="418"/>
      <c r="BJ77" s="418"/>
      <c r="BK77" s="418"/>
      <c r="BL77" s="418"/>
      <c r="BM77" s="418"/>
      <c r="BN77" s="418"/>
      <c r="BO77" s="418"/>
      <c r="BP77" s="418"/>
      <c r="BQ77" s="418"/>
      <c r="BR77" s="418"/>
      <c r="BS77" s="418"/>
      <c r="BT77" s="418"/>
      <c r="BU77" s="418"/>
      <c r="BV77" s="418"/>
      <c r="BW77" s="418"/>
      <c r="BX77" s="418"/>
      <c r="BY77" s="418"/>
      <c r="BZ77" s="418"/>
      <c r="CA77" s="418"/>
      <c r="CB77" s="418"/>
      <c r="CC77" s="418"/>
      <c r="CD77" s="418"/>
      <c r="CE77" s="418"/>
      <c r="CF77" s="418"/>
      <c r="CG77" s="418"/>
      <c r="CH77" s="418"/>
      <c r="CI77" s="418"/>
      <c r="CJ77" s="418"/>
      <c r="CK77" s="418"/>
      <c r="CL77" s="418"/>
      <c r="CM77" s="418"/>
      <c r="CN77" s="418"/>
      <c r="CO77" s="418"/>
      <c r="CP77" s="418"/>
      <c r="CQ77" s="418"/>
      <c r="CR77" s="418"/>
      <c r="CS77" s="418"/>
      <c r="CT77" s="418"/>
      <c r="CU77" s="418"/>
      <c r="CV77" s="418"/>
      <c r="CW77" s="418"/>
      <c r="CX77" s="418"/>
      <c r="CY77" s="418"/>
      <c r="CZ77" s="418"/>
      <c r="DA77" s="418"/>
      <c r="DB77" s="418"/>
      <c r="DC77" s="418"/>
      <c r="DD77" s="418"/>
      <c r="DE77" s="418"/>
      <c r="DF77" s="418"/>
      <c r="DG77" s="418"/>
      <c r="DH77" s="418"/>
      <c r="DI77" s="418"/>
      <c r="DJ77" s="418"/>
      <c r="DK77" s="418"/>
      <c r="DL77" s="418"/>
      <c r="DM77" s="418"/>
      <c r="DN77" s="418"/>
      <c r="DO77" s="418"/>
      <c r="DP77" s="418"/>
      <c r="DQ77" s="418"/>
      <c r="DR77" s="418"/>
      <c r="DS77" s="418"/>
      <c r="DT77" s="418"/>
      <c r="DU77" s="418"/>
      <c r="DV77" s="418"/>
      <c r="DW77" s="418"/>
      <c r="DX77" s="418"/>
      <c r="DY77" s="418"/>
      <c r="DZ77" s="418"/>
      <c r="EA77" s="418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8">
        <f t="shared" ref="J80:AO80" si="88" xml:space="preserve"> I79</f>
        <v>0</v>
      </c>
      <c r="K80" s="418">
        <f t="shared" si="88"/>
        <v>0</v>
      </c>
      <c r="L80" s="418">
        <f t="shared" si="88"/>
        <v>0</v>
      </c>
      <c r="M80" s="418">
        <f t="shared" si="88"/>
        <v>1</v>
      </c>
      <c r="N80" s="418">
        <f t="shared" si="88"/>
        <v>0</v>
      </c>
      <c r="O80" s="418">
        <f t="shared" si="88"/>
        <v>0</v>
      </c>
      <c r="P80" s="418">
        <f t="shared" si="88"/>
        <v>0</v>
      </c>
      <c r="Q80" s="418">
        <f t="shared" si="88"/>
        <v>0</v>
      </c>
      <c r="R80" s="418">
        <f t="shared" si="88"/>
        <v>0</v>
      </c>
      <c r="S80" s="418">
        <f t="shared" si="88"/>
        <v>0</v>
      </c>
      <c r="T80" s="418">
        <f t="shared" si="88"/>
        <v>0</v>
      </c>
      <c r="U80" s="418">
        <f t="shared" si="88"/>
        <v>0</v>
      </c>
      <c r="V80" s="418">
        <f t="shared" si="88"/>
        <v>0</v>
      </c>
      <c r="W80" s="418">
        <f t="shared" si="88"/>
        <v>0</v>
      </c>
      <c r="X80" s="418">
        <f t="shared" si="88"/>
        <v>0</v>
      </c>
      <c r="Y80" s="418">
        <f t="shared" si="88"/>
        <v>0</v>
      </c>
      <c r="Z80" s="418">
        <f t="shared" si="88"/>
        <v>0</v>
      </c>
      <c r="AA80" s="418">
        <f t="shared" si="88"/>
        <v>0</v>
      </c>
      <c r="AB80" s="418">
        <f t="shared" si="88"/>
        <v>0</v>
      </c>
      <c r="AC80" s="418">
        <f t="shared" si="88"/>
        <v>0</v>
      </c>
      <c r="AD80" s="418">
        <f t="shared" si="88"/>
        <v>0</v>
      </c>
      <c r="AE80" s="418">
        <f t="shared" si="88"/>
        <v>0</v>
      </c>
      <c r="AF80" s="418">
        <f t="shared" si="88"/>
        <v>0</v>
      </c>
      <c r="AG80" s="418">
        <f t="shared" si="88"/>
        <v>0</v>
      </c>
      <c r="AH80" s="418">
        <f t="shared" si="88"/>
        <v>0</v>
      </c>
      <c r="AI80" s="418">
        <f t="shared" si="88"/>
        <v>0</v>
      </c>
      <c r="AJ80" s="418">
        <f t="shared" si="88"/>
        <v>0</v>
      </c>
      <c r="AK80" s="418">
        <f t="shared" si="88"/>
        <v>0</v>
      </c>
      <c r="AL80" s="418">
        <f t="shared" si="88"/>
        <v>0</v>
      </c>
      <c r="AM80" s="418">
        <f t="shared" si="88"/>
        <v>0</v>
      </c>
      <c r="AN80" s="418">
        <f t="shared" si="88"/>
        <v>0</v>
      </c>
      <c r="AO80" s="418">
        <f t="shared" si="88"/>
        <v>0</v>
      </c>
      <c r="AP80" s="418">
        <f t="shared" ref="AP80:BU80" si="89" xml:space="preserve"> AO79</f>
        <v>0</v>
      </c>
      <c r="AQ80" s="418">
        <f t="shared" si="89"/>
        <v>0</v>
      </c>
      <c r="AR80" s="418">
        <f t="shared" si="89"/>
        <v>0</v>
      </c>
      <c r="AS80" s="418">
        <f t="shared" si="89"/>
        <v>0</v>
      </c>
      <c r="AT80" s="418">
        <f t="shared" si="89"/>
        <v>0</v>
      </c>
      <c r="AU80" s="418">
        <f t="shared" si="89"/>
        <v>0</v>
      </c>
      <c r="AV80" s="418">
        <f t="shared" si="89"/>
        <v>0</v>
      </c>
      <c r="AW80" s="418">
        <f t="shared" si="89"/>
        <v>0</v>
      </c>
      <c r="AX80" s="418">
        <f t="shared" si="89"/>
        <v>0</v>
      </c>
      <c r="AY80" s="418">
        <f t="shared" si="89"/>
        <v>0</v>
      </c>
      <c r="AZ80" s="418">
        <f t="shared" si="89"/>
        <v>0</v>
      </c>
      <c r="BA80" s="418">
        <f t="shared" si="89"/>
        <v>0</v>
      </c>
      <c r="BB80" s="418">
        <f t="shared" si="89"/>
        <v>0</v>
      </c>
      <c r="BC80" s="418">
        <f t="shared" si="89"/>
        <v>0</v>
      </c>
      <c r="BD80" s="418">
        <f t="shared" si="89"/>
        <v>0</v>
      </c>
      <c r="BE80" s="418">
        <f t="shared" si="89"/>
        <v>0</v>
      </c>
      <c r="BF80" s="418">
        <f t="shared" si="89"/>
        <v>0</v>
      </c>
      <c r="BG80" s="418">
        <f t="shared" si="89"/>
        <v>0</v>
      </c>
      <c r="BH80" s="418">
        <f t="shared" si="89"/>
        <v>0</v>
      </c>
      <c r="BI80" s="418">
        <f t="shared" si="89"/>
        <v>0</v>
      </c>
      <c r="BJ80" s="418">
        <f t="shared" si="89"/>
        <v>0</v>
      </c>
      <c r="BK80" s="418">
        <f t="shared" si="89"/>
        <v>0</v>
      </c>
      <c r="BL80" s="418">
        <f t="shared" si="89"/>
        <v>0</v>
      </c>
      <c r="BM80" s="418">
        <f t="shared" si="89"/>
        <v>0</v>
      </c>
      <c r="BN80" s="418">
        <f t="shared" si="89"/>
        <v>0</v>
      </c>
      <c r="BO80" s="418">
        <f t="shared" si="89"/>
        <v>0</v>
      </c>
      <c r="BP80" s="418">
        <f t="shared" si="89"/>
        <v>0</v>
      </c>
      <c r="BQ80" s="418">
        <f t="shared" si="89"/>
        <v>0</v>
      </c>
      <c r="BR80" s="418">
        <f t="shared" si="89"/>
        <v>0</v>
      </c>
      <c r="BS80" s="418">
        <f t="shared" si="89"/>
        <v>0</v>
      </c>
      <c r="BT80" s="418">
        <f t="shared" si="89"/>
        <v>0</v>
      </c>
      <c r="BU80" s="418">
        <f t="shared" si="89"/>
        <v>0</v>
      </c>
      <c r="BV80" s="418">
        <f t="shared" ref="BV80:DA80" si="90" xml:space="preserve"> BU79</f>
        <v>0</v>
      </c>
      <c r="BW80" s="418">
        <f t="shared" si="90"/>
        <v>0</v>
      </c>
      <c r="BX80" s="418">
        <f t="shared" si="90"/>
        <v>0</v>
      </c>
      <c r="BY80" s="418">
        <f t="shared" si="90"/>
        <v>0</v>
      </c>
      <c r="BZ80" s="418">
        <f t="shared" si="90"/>
        <v>0</v>
      </c>
      <c r="CA80" s="418">
        <f t="shared" si="90"/>
        <v>0</v>
      </c>
      <c r="CB80" s="418">
        <f t="shared" si="90"/>
        <v>0</v>
      </c>
      <c r="CC80" s="418">
        <f t="shared" si="90"/>
        <v>0</v>
      </c>
      <c r="CD80" s="418">
        <f t="shared" si="90"/>
        <v>0</v>
      </c>
      <c r="CE80" s="418">
        <f t="shared" si="90"/>
        <v>0</v>
      </c>
      <c r="CF80" s="418">
        <f t="shared" si="90"/>
        <v>0</v>
      </c>
      <c r="CG80" s="418">
        <f t="shared" si="90"/>
        <v>0</v>
      </c>
      <c r="CH80" s="418">
        <f t="shared" si="90"/>
        <v>0</v>
      </c>
      <c r="CI80" s="418">
        <f t="shared" si="90"/>
        <v>0</v>
      </c>
      <c r="CJ80" s="418">
        <f t="shared" si="90"/>
        <v>0</v>
      </c>
      <c r="CK80" s="418">
        <f t="shared" si="90"/>
        <v>0</v>
      </c>
      <c r="CL80" s="418">
        <f t="shared" si="90"/>
        <v>0</v>
      </c>
      <c r="CM80" s="418">
        <f t="shared" si="90"/>
        <v>0</v>
      </c>
      <c r="CN80" s="418">
        <f t="shared" si="90"/>
        <v>0</v>
      </c>
      <c r="CO80" s="418">
        <f t="shared" si="90"/>
        <v>0</v>
      </c>
      <c r="CP80" s="418">
        <f t="shared" si="90"/>
        <v>0</v>
      </c>
      <c r="CQ80" s="418">
        <f t="shared" si="90"/>
        <v>0</v>
      </c>
      <c r="CR80" s="418">
        <f t="shared" si="90"/>
        <v>0</v>
      </c>
      <c r="CS80" s="418">
        <f t="shared" si="90"/>
        <v>0</v>
      </c>
      <c r="CT80" s="418">
        <f t="shared" si="90"/>
        <v>0</v>
      </c>
      <c r="CU80" s="418">
        <f t="shared" si="90"/>
        <v>0</v>
      </c>
      <c r="CV80" s="418">
        <f t="shared" si="90"/>
        <v>0</v>
      </c>
      <c r="CW80" s="418">
        <f t="shared" si="90"/>
        <v>0</v>
      </c>
      <c r="CX80" s="418">
        <f t="shared" si="90"/>
        <v>0</v>
      </c>
      <c r="CY80" s="418">
        <f t="shared" si="90"/>
        <v>0</v>
      </c>
      <c r="CZ80" s="418">
        <f t="shared" si="90"/>
        <v>0</v>
      </c>
      <c r="DA80" s="418">
        <f t="shared" si="90"/>
        <v>0</v>
      </c>
      <c r="DB80" s="418">
        <f t="shared" ref="DB80:EA80" si="91" xml:space="preserve"> DA79</f>
        <v>0</v>
      </c>
      <c r="DC80" s="418">
        <f t="shared" si="91"/>
        <v>0</v>
      </c>
      <c r="DD80" s="418">
        <f t="shared" si="91"/>
        <v>0</v>
      </c>
      <c r="DE80" s="418">
        <f t="shared" si="91"/>
        <v>0</v>
      </c>
      <c r="DF80" s="418">
        <f t="shared" si="91"/>
        <v>0</v>
      </c>
      <c r="DG80" s="418">
        <f t="shared" si="91"/>
        <v>0</v>
      </c>
      <c r="DH80" s="418">
        <f t="shared" si="91"/>
        <v>0</v>
      </c>
      <c r="DI80" s="418">
        <f t="shared" si="91"/>
        <v>0</v>
      </c>
      <c r="DJ80" s="418">
        <f t="shared" si="91"/>
        <v>0</v>
      </c>
      <c r="DK80" s="418">
        <f t="shared" si="91"/>
        <v>0</v>
      </c>
      <c r="DL80" s="418">
        <f t="shared" si="91"/>
        <v>0</v>
      </c>
      <c r="DM80" s="418">
        <f t="shared" si="91"/>
        <v>0</v>
      </c>
      <c r="DN80" s="418">
        <f t="shared" si="91"/>
        <v>0</v>
      </c>
      <c r="DO80" s="418">
        <f t="shared" si="91"/>
        <v>0</v>
      </c>
      <c r="DP80" s="418">
        <f t="shared" si="91"/>
        <v>0</v>
      </c>
      <c r="DQ80" s="418">
        <f t="shared" si="91"/>
        <v>0</v>
      </c>
      <c r="DR80" s="418">
        <f t="shared" si="91"/>
        <v>0</v>
      </c>
      <c r="DS80" s="418">
        <f t="shared" si="91"/>
        <v>0</v>
      </c>
      <c r="DT80" s="418">
        <f t="shared" si="91"/>
        <v>0</v>
      </c>
      <c r="DU80" s="418">
        <f t="shared" si="91"/>
        <v>0</v>
      </c>
      <c r="DV80" s="418">
        <f t="shared" si="91"/>
        <v>0</v>
      </c>
      <c r="DW80" s="418">
        <f t="shared" si="91"/>
        <v>0</v>
      </c>
      <c r="DX80" s="418">
        <f t="shared" si="91"/>
        <v>0</v>
      </c>
      <c r="DY80" s="418">
        <f t="shared" si="91"/>
        <v>0</v>
      </c>
      <c r="DZ80" s="418">
        <f t="shared" si="91"/>
        <v>0</v>
      </c>
      <c r="EA80" s="418">
        <f t="shared" si="91"/>
        <v>0</v>
      </c>
    </row>
    <row r="81" spans="1:131" outlineLevel="1" x14ac:dyDescent="0.35">
      <c r="A81" s="192"/>
      <c r="B81" s="192"/>
      <c r="C81" s="193"/>
      <c r="D81" s="194"/>
      <c r="E81" s="418"/>
      <c r="F81" s="418"/>
      <c r="G81" s="418"/>
      <c r="H81" s="418"/>
      <c r="I81" s="419"/>
      <c r="J81" s="418"/>
      <c r="K81" s="418"/>
      <c r="L81" s="418"/>
      <c r="M81" s="418"/>
      <c r="N81" s="418"/>
      <c r="O81" s="418"/>
      <c r="P81" s="418"/>
      <c r="Q81" s="418"/>
      <c r="R81" s="418"/>
      <c r="S81" s="418"/>
      <c r="T81" s="418"/>
      <c r="U81" s="418"/>
      <c r="V81" s="418"/>
      <c r="W81" s="418"/>
      <c r="X81" s="418"/>
      <c r="Y81" s="418"/>
      <c r="Z81" s="418"/>
      <c r="AA81" s="418"/>
      <c r="AB81" s="418"/>
      <c r="AC81" s="418"/>
      <c r="AD81" s="418"/>
      <c r="AE81" s="418"/>
      <c r="AF81" s="418"/>
      <c r="AG81" s="418"/>
      <c r="AH81" s="418"/>
      <c r="AI81" s="418"/>
      <c r="AJ81" s="418"/>
      <c r="AK81" s="418"/>
      <c r="AL81" s="418"/>
      <c r="AM81" s="418"/>
      <c r="AN81" s="418"/>
      <c r="AO81" s="418"/>
      <c r="AP81" s="418"/>
      <c r="AQ81" s="418"/>
      <c r="AR81" s="418"/>
      <c r="AS81" s="418"/>
      <c r="AT81" s="418"/>
      <c r="AU81" s="418"/>
      <c r="AV81" s="418"/>
      <c r="AW81" s="418"/>
      <c r="AX81" s="418"/>
      <c r="AY81" s="418"/>
      <c r="AZ81" s="418"/>
      <c r="BA81" s="418"/>
      <c r="BB81" s="418"/>
      <c r="BC81" s="418"/>
      <c r="BD81" s="418"/>
      <c r="BE81" s="418"/>
      <c r="BF81" s="418"/>
      <c r="BG81" s="418"/>
      <c r="BH81" s="418"/>
      <c r="BI81" s="418"/>
      <c r="BJ81" s="418"/>
      <c r="BK81" s="418"/>
      <c r="BL81" s="418"/>
      <c r="BM81" s="418"/>
      <c r="BN81" s="418"/>
      <c r="BO81" s="418"/>
      <c r="BP81" s="418"/>
      <c r="BQ81" s="418"/>
      <c r="BR81" s="418"/>
      <c r="BS81" s="418"/>
      <c r="BT81" s="418"/>
      <c r="BU81" s="418"/>
      <c r="BV81" s="418"/>
      <c r="BW81" s="418"/>
      <c r="BX81" s="418"/>
      <c r="BY81" s="418"/>
      <c r="BZ81" s="418"/>
      <c r="CA81" s="418"/>
      <c r="CB81" s="418"/>
      <c r="CC81" s="418"/>
      <c r="CD81" s="418"/>
      <c r="CE81" s="418"/>
      <c r="CF81" s="418"/>
      <c r="CG81" s="418"/>
      <c r="CH81" s="418"/>
      <c r="CI81" s="418"/>
      <c r="CJ81" s="418"/>
      <c r="CK81" s="418"/>
      <c r="CL81" s="418"/>
      <c r="CM81" s="418"/>
      <c r="CN81" s="418"/>
      <c r="CO81" s="418"/>
      <c r="CP81" s="418"/>
      <c r="CQ81" s="418"/>
      <c r="CR81" s="418"/>
      <c r="CS81" s="418"/>
      <c r="CT81" s="418"/>
      <c r="CU81" s="418"/>
      <c r="CV81" s="418"/>
      <c r="CW81" s="418"/>
      <c r="CX81" s="418"/>
      <c r="CY81" s="418"/>
      <c r="CZ81" s="418"/>
      <c r="DA81" s="418"/>
      <c r="DB81" s="418"/>
      <c r="DC81" s="418"/>
      <c r="DD81" s="418"/>
      <c r="DE81" s="418"/>
      <c r="DF81" s="418"/>
      <c r="DG81" s="418"/>
      <c r="DH81" s="418"/>
      <c r="DI81" s="418"/>
      <c r="DJ81" s="418"/>
      <c r="DK81" s="418"/>
      <c r="DL81" s="418"/>
      <c r="DM81" s="418"/>
      <c r="DN81" s="418"/>
      <c r="DO81" s="418"/>
      <c r="DP81" s="418"/>
      <c r="DQ81" s="418"/>
      <c r="DR81" s="418"/>
      <c r="DS81" s="418"/>
      <c r="DT81" s="418"/>
      <c r="DU81" s="418"/>
      <c r="DV81" s="418"/>
      <c r="DW81" s="418"/>
      <c r="DX81" s="418"/>
      <c r="DY81" s="418"/>
      <c r="DZ81" s="418"/>
      <c r="EA81" s="418"/>
    </row>
    <row r="82" spans="1:131" outlineLevel="1" x14ac:dyDescent="0.35">
      <c r="A82" s="192"/>
      <c r="B82" s="192" t="s">
        <v>45</v>
      </c>
      <c r="C82" s="193"/>
      <c r="D82" s="194"/>
      <c r="E82" s="418"/>
      <c r="F82" s="418"/>
      <c r="G82" s="418"/>
      <c r="H82" s="418"/>
      <c r="I82" s="419"/>
      <c r="J82" s="418"/>
      <c r="K82" s="418"/>
      <c r="L82" s="418"/>
      <c r="M82" s="418"/>
      <c r="N82" s="418"/>
      <c r="O82" s="418"/>
      <c r="P82" s="418"/>
      <c r="Q82" s="418"/>
      <c r="R82" s="418"/>
      <c r="S82" s="418"/>
      <c r="T82" s="418"/>
      <c r="U82" s="418"/>
      <c r="V82" s="418"/>
      <c r="W82" s="418"/>
      <c r="X82" s="418"/>
      <c r="Y82" s="418"/>
      <c r="Z82" s="418"/>
      <c r="AA82" s="418"/>
      <c r="AB82" s="418"/>
      <c r="AC82" s="418"/>
      <c r="AD82" s="418"/>
      <c r="AE82" s="418"/>
      <c r="AF82" s="418"/>
      <c r="AG82" s="418"/>
      <c r="AH82" s="418"/>
      <c r="AI82" s="418"/>
      <c r="AJ82" s="418"/>
      <c r="AK82" s="418"/>
      <c r="AL82" s="418"/>
      <c r="AM82" s="418"/>
      <c r="AN82" s="418"/>
      <c r="AO82" s="418"/>
      <c r="AP82" s="418"/>
      <c r="AQ82" s="418"/>
      <c r="AR82" s="418"/>
      <c r="AS82" s="418"/>
      <c r="AT82" s="418"/>
      <c r="AU82" s="418"/>
      <c r="AV82" s="418"/>
      <c r="AW82" s="418"/>
      <c r="AX82" s="418"/>
      <c r="AY82" s="418"/>
      <c r="AZ82" s="418"/>
      <c r="BA82" s="418"/>
      <c r="BB82" s="418"/>
      <c r="BC82" s="418"/>
      <c r="BD82" s="418"/>
      <c r="BE82" s="418"/>
      <c r="BF82" s="418"/>
      <c r="BG82" s="418"/>
      <c r="BH82" s="418"/>
      <c r="BI82" s="418"/>
      <c r="BJ82" s="418"/>
      <c r="BK82" s="418"/>
      <c r="BL82" s="418"/>
      <c r="BM82" s="418"/>
      <c r="BN82" s="418"/>
      <c r="BO82" s="418"/>
      <c r="BP82" s="418"/>
      <c r="BQ82" s="418"/>
      <c r="BR82" s="418"/>
      <c r="BS82" s="418"/>
      <c r="BT82" s="418"/>
      <c r="BU82" s="418"/>
      <c r="BV82" s="418"/>
      <c r="BW82" s="418"/>
      <c r="BX82" s="418"/>
      <c r="BY82" s="418"/>
      <c r="BZ82" s="418"/>
      <c r="CA82" s="418"/>
      <c r="CB82" s="418"/>
      <c r="CC82" s="418"/>
      <c r="CD82" s="418"/>
      <c r="CE82" s="418"/>
      <c r="CF82" s="418"/>
      <c r="CG82" s="418"/>
      <c r="CH82" s="418"/>
      <c r="CI82" s="418"/>
      <c r="CJ82" s="418"/>
      <c r="CK82" s="418"/>
      <c r="CL82" s="418"/>
      <c r="CM82" s="418"/>
      <c r="CN82" s="418"/>
      <c r="CO82" s="418"/>
      <c r="CP82" s="418"/>
      <c r="CQ82" s="418"/>
      <c r="CR82" s="418"/>
      <c r="CS82" s="418"/>
      <c r="CT82" s="418"/>
      <c r="CU82" s="418"/>
      <c r="CV82" s="418"/>
      <c r="CW82" s="418"/>
      <c r="CX82" s="418"/>
      <c r="CY82" s="418"/>
      <c r="CZ82" s="418"/>
      <c r="DA82" s="418"/>
      <c r="DB82" s="418"/>
      <c r="DC82" s="418"/>
      <c r="DD82" s="418"/>
      <c r="DE82" s="418"/>
      <c r="DF82" s="418"/>
      <c r="DG82" s="418"/>
      <c r="DH82" s="418"/>
      <c r="DI82" s="418"/>
      <c r="DJ82" s="418"/>
      <c r="DK82" s="418"/>
      <c r="DL82" s="418"/>
      <c r="DM82" s="418"/>
      <c r="DN82" s="418"/>
      <c r="DO82" s="418"/>
      <c r="DP82" s="418"/>
      <c r="DQ82" s="418"/>
      <c r="DR82" s="418"/>
      <c r="DS82" s="418"/>
      <c r="DT82" s="418"/>
      <c r="DU82" s="418"/>
      <c r="DV82" s="418"/>
      <c r="DW82" s="418"/>
      <c r="DX82" s="418"/>
      <c r="DY82" s="418"/>
      <c r="DZ82" s="418"/>
      <c r="EA82" s="418"/>
    </row>
    <row r="83" spans="1:131" outlineLevel="2" x14ac:dyDescent="0.35">
      <c r="A83" s="373"/>
      <c r="B83" s="51"/>
      <c r="C83" s="374"/>
      <c r="D83" s="375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6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InpC!E$29</f>
        <v>Months in year</v>
      </c>
      <c r="F86" s="43">
        <f xml:space="preserve"> InpC!F$29</f>
        <v>12</v>
      </c>
      <c r="G86" s="43" t="str">
        <f xml:space="preserve"> InpC!G$29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20"/>
      <c r="B87" s="420"/>
      <c r="C87" s="421"/>
      <c r="D87" s="407"/>
      <c r="E87" s="358" t="s">
        <v>121</v>
      </c>
      <c r="F87" s="358">
        <f xml:space="preserve"> EOMONTH(F83, ((F84 + F85) * F86))</f>
        <v>53417</v>
      </c>
      <c r="G87" s="358" t="s">
        <v>6</v>
      </c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  <c r="AA87" s="358"/>
      <c r="AB87" s="358"/>
      <c r="AC87" s="358"/>
      <c r="AD87" s="358"/>
      <c r="AE87" s="358"/>
      <c r="AF87" s="358"/>
      <c r="AG87" s="358"/>
      <c r="AH87" s="358"/>
      <c r="AI87" s="358"/>
      <c r="AJ87" s="358"/>
      <c r="AK87" s="358"/>
      <c r="AL87" s="358"/>
      <c r="AM87" s="358"/>
      <c r="AN87" s="358"/>
      <c r="AO87" s="358"/>
      <c r="AP87" s="358"/>
      <c r="AQ87" s="358"/>
      <c r="AR87" s="358"/>
      <c r="AS87" s="358"/>
      <c r="AT87" s="358"/>
      <c r="AU87" s="358"/>
      <c r="AV87" s="358"/>
      <c r="AW87" s="358"/>
      <c r="AX87" s="358"/>
      <c r="AY87" s="358"/>
      <c r="AZ87" s="358"/>
      <c r="BA87" s="358"/>
      <c r="BB87" s="358"/>
      <c r="BC87" s="358"/>
      <c r="BD87" s="358"/>
      <c r="BE87" s="358"/>
      <c r="BF87" s="358"/>
      <c r="BG87" s="358"/>
      <c r="BH87" s="358"/>
      <c r="BI87" s="358"/>
      <c r="BJ87" s="358"/>
      <c r="BK87" s="358"/>
      <c r="BL87" s="358"/>
      <c r="BM87" s="358"/>
      <c r="BN87" s="358"/>
      <c r="BO87" s="358"/>
      <c r="BP87" s="358"/>
      <c r="BQ87" s="358"/>
      <c r="BR87" s="358"/>
      <c r="BS87" s="358"/>
      <c r="BT87" s="358"/>
      <c r="BU87" s="358"/>
      <c r="BV87" s="358"/>
      <c r="BW87" s="358"/>
      <c r="BX87" s="358"/>
      <c r="BY87" s="358"/>
      <c r="BZ87" s="358"/>
      <c r="CA87" s="358"/>
      <c r="CB87" s="358"/>
      <c r="CC87" s="358"/>
      <c r="CD87" s="358"/>
      <c r="CE87" s="358"/>
      <c r="CF87" s="358"/>
      <c r="CG87" s="358"/>
      <c r="CH87" s="358"/>
      <c r="CI87" s="358"/>
      <c r="CJ87" s="358"/>
      <c r="CK87" s="358"/>
      <c r="CL87" s="358"/>
      <c r="CM87" s="358"/>
      <c r="CN87" s="358"/>
      <c r="CO87" s="358"/>
      <c r="CP87" s="358"/>
      <c r="CQ87" s="358"/>
      <c r="CR87" s="358"/>
      <c r="CS87" s="358"/>
      <c r="CT87" s="358"/>
      <c r="CU87" s="358"/>
      <c r="CV87" s="358"/>
      <c r="CW87" s="358"/>
      <c r="CX87" s="358"/>
      <c r="CY87" s="358"/>
      <c r="CZ87" s="358"/>
      <c r="DA87" s="358"/>
      <c r="DB87" s="358"/>
      <c r="DC87" s="358"/>
      <c r="DD87" s="358"/>
      <c r="DE87" s="358"/>
      <c r="DF87" s="358"/>
      <c r="DG87" s="358"/>
      <c r="DH87" s="358"/>
      <c r="DI87" s="358"/>
      <c r="DJ87" s="358"/>
      <c r="DK87" s="358"/>
      <c r="DL87" s="358"/>
      <c r="DM87" s="358"/>
      <c r="DN87" s="358"/>
      <c r="DO87" s="358"/>
      <c r="DP87" s="358"/>
      <c r="DQ87" s="358"/>
      <c r="DR87" s="358"/>
      <c r="DS87" s="358"/>
      <c r="DT87" s="358"/>
      <c r="DU87" s="358"/>
      <c r="DV87" s="358"/>
      <c r="DW87" s="358"/>
      <c r="DX87" s="358"/>
      <c r="DY87" s="358"/>
      <c r="DZ87" s="358"/>
      <c r="EA87" s="358"/>
    </row>
    <row r="88" spans="1:131" outlineLevel="2" x14ac:dyDescent="0.35">
      <c r="A88" s="192"/>
      <c r="B88" s="192"/>
      <c r="C88" s="193"/>
      <c r="D88" s="194"/>
      <c r="E88" s="418"/>
      <c r="F88" s="418"/>
      <c r="G88" s="418"/>
      <c r="H88" s="418"/>
      <c r="I88" s="419"/>
      <c r="J88" s="418"/>
      <c r="K88" s="418"/>
      <c r="L88" s="418"/>
      <c r="M88" s="418"/>
      <c r="N88" s="418"/>
      <c r="O88" s="418"/>
      <c r="P88" s="418"/>
      <c r="Q88" s="418"/>
      <c r="R88" s="418"/>
      <c r="S88" s="418"/>
      <c r="T88" s="418"/>
      <c r="U88" s="418"/>
      <c r="V88" s="418"/>
      <c r="W88" s="418"/>
      <c r="X88" s="418"/>
      <c r="Y88" s="418"/>
      <c r="Z88" s="418"/>
      <c r="AA88" s="418"/>
      <c r="AB88" s="418"/>
      <c r="AC88" s="418"/>
      <c r="AD88" s="418"/>
      <c r="AE88" s="418"/>
      <c r="AF88" s="418"/>
      <c r="AG88" s="418"/>
      <c r="AH88" s="418"/>
      <c r="AI88" s="418"/>
      <c r="AJ88" s="418"/>
      <c r="AK88" s="418"/>
      <c r="AL88" s="418"/>
      <c r="AM88" s="418"/>
      <c r="AN88" s="418"/>
      <c r="AO88" s="418"/>
      <c r="AP88" s="418"/>
      <c r="AQ88" s="418"/>
      <c r="AR88" s="418"/>
      <c r="AS88" s="418"/>
      <c r="AT88" s="418"/>
      <c r="AU88" s="418"/>
      <c r="AV88" s="418"/>
      <c r="AW88" s="418"/>
      <c r="AX88" s="418"/>
      <c r="AY88" s="418"/>
      <c r="AZ88" s="418"/>
      <c r="BA88" s="418"/>
      <c r="BB88" s="418"/>
      <c r="BC88" s="418"/>
      <c r="BD88" s="418"/>
      <c r="BE88" s="418"/>
      <c r="BF88" s="418"/>
      <c r="BG88" s="418"/>
      <c r="BH88" s="418"/>
      <c r="BI88" s="418"/>
      <c r="BJ88" s="418"/>
      <c r="BK88" s="418"/>
      <c r="BL88" s="418"/>
      <c r="BM88" s="418"/>
      <c r="BN88" s="418"/>
      <c r="BO88" s="418"/>
      <c r="BP88" s="418"/>
      <c r="BQ88" s="418"/>
      <c r="BR88" s="418"/>
      <c r="BS88" s="418"/>
      <c r="BT88" s="418"/>
      <c r="BU88" s="418"/>
      <c r="BV88" s="418"/>
      <c r="BW88" s="418"/>
      <c r="BX88" s="418"/>
      <c r="BY88" s="418"/>
      <c r="BZ88" s="418"/>
      <c r="CA88" s="418"/>
      <c r="CB88" s="418"/>
      <c r="CC88" s="418"/>
      <c r="CD88" s="418"/>
      <c r="CE88" s="418"/>
      <c r="CF88" s="418"/>
      <c r="CG88" s="418"/>
      <c r="CH88" s="418"/>
      <c r="CI88" s="418"/>
      <c r="CJ88" s="418"/>
      <c r="CK88" s="418"/>
      <c r="CL88" s="418"/>
      <c r="CM88" s="418"/>
      <c r="CN88" s="418"/>
      <c r="CO88" s="418"/>
      <c r="CP88" s="418"/>
      <c r="CQ88" s="418"/>
      <c r="CR88" s="418"/>
      <c r="CS88" s="418"/>
      <c r="CT88" s="418"/>
      <c r="CU88" s="418"/>
      <c r="CV88" s="418"/>
      <c r="CW88" s="418"/>
      <c r="CX88" s="418"/>
      <c r="CY88" s="418"/>
      <c r="CZ88" s="418"/>
      <c r="DA88" s="418"/>
      <c r="DB88" s="418"/>
      <c r="DC88" s="418"/>
      <c r="DD88" s="418"/>
      <c r="DE88" s="418"/>
      <c r="DF88" s="418"/>
      <c r="DG88" s="418"/>
      <c r="DH88" s="418"/>
      <c r="DI88" s="418"/>
      <c r="DJ88" s="418"/>
      <c r="DK88" s="418"/>
      <c r="DL88" s="418"/>
      <c r="DM88" s="418"/>
      <c r="DN88" s="418"/>
      <c r="DO88" s="418"/>
      <c r="DP88" s="418"/>
      <c r="DQ88" s="418"/>
      <c r="DR88" s="418"/>
      <c r="DS88" s="418"/>
      <c r="DT88" s="418"/>
      <c r="DU88" s="418"/>
      <c r="DV88" s="418"/>
      <c r="DW88" s="418"/>
      <c r="DX88" s="418"/>
      <c r="DY88" s="418"/>
      <c r="DZ88" s="418"/>
      <c r="EA88" s="418"/>
    </row>
    <row r="89" spans="1:131" outlineLevel="2" x14ac:dyDescent="0.35">
      <c r="A89" s="396"/>
      <c r="B89" s="396"/>
      <c r="C89" s="422"/>
      <c r="D89" s="423"/>
      <c r="E89" s="358" t="str">
        <f xml:space="preserve"> E$87</f>
        <v>End of operating period</v>
      </c>
      <c r="F89" s="358">
        <f xml:space="preserve"> F$87</f>
        <v>53417</v>
      </c>
      <c r="G89" s="358" t="str">
        <f xml:space="preserve"> G$87</f>
        <v>date</v>
      </c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  <c r="AA89" s="358"/>
      <c r="AB89" s="358"/>
      <c r="AC89" s="358"/>
      <c r="AD89" s="358"/>
      <c r="AE89" s="358"/>
      <c r="AF89" s="358"/>
      <c r="AG89" s="358"/>
      <c r="AH89" s="358"/>
      <c r="AI89" s="358"/>
      <c r="AJ89" s="358"/>
      <c r="AK89" s="358"/>
      <c r="AL89" s="358"/>
      <c r="AM89" s="358"/>
      <c r="AN89" s="358"/>
      <c r="AO89" s="358"/>
      <c r="AP89" s="358"/>
      <c r="AQ89" s="358"/>
      <c r="AR89" s="358"/>
      <c r="AS89" s="358"/>
      <c r="AT89" s="358"/>
      <c r="AU89" s="358"/>
      <c r="AV89" s="358"/>
      <c r="AW89" s="358"/>
      <c r="AX89" s="358"/>
      <c r="AY89" s="358"/>
      <c r="AZ89" s="358"/>
      <c r="BA89" s="358"/>
      <c r="BB89" s="358"/>
      <c r="BC89" s="358"/>
      <c r="BD89" s="358"/>
      <c r="BE89" s="358"/>
      <c r="BF89" s="358"/>
      <c r="BG89" s="358"/>
      <c r="BH89" s="358"/>
      <c r="BI89" s="358"/>
      <c r="BJ89" s="358"/>
      <c r="BK89" s="358"/>
      <c r="BL89" s="358"/>
      <c r="BM89" s="358"/>
      <c r="BN89" s="358"/>
      <c r="BO89" s="358"/>
      <c r="BP89" s="358"/>
      <c r="BQ89" s="358"/>
      <c r="BR89" s="358"/>
      <c r="BS89" s="358"/>
      <c r="BT89" s="358"/>
      <c r="BU89" s="358"/>
      <c r="BV89" s="358"/>
      <c r="BW89" s="358"/>
      <c r="BX89" s="358"/>
      <c r="BY89" s="358"/>
      <c r="BZ89" s="358"/>
      <c r="CA89" s="358"/>
      <c r="CB89" s="358"/>
      <c r="CC89" s="358"/>
      <c r="CD89" s="358"/>
      <c r="CE89" s="358"/>
      <c r="CF89" s="358"/>
      <c r="CG89" s="358"/>
      <c r="CH89" s="358"/>
      <c r="CI89" s="358"/>
      <c r="CJ89" s="358"/>
      <c r="CK89" s="358"/>
      <c r="CL89" s="358"/>
      <c r="CM89" s="358"/>
      <c r="CN89" s="358"/>
      <c r="CO89" s="358"/>
      <c r="CP89" s="358"/>
      <c r="CQ89" s="358"/>
      <c r="CR89" s="358"/>
      <c r="CS89" s="358"/>
      <c r="CT89" s="358"/>
      <c r="CU89" s="358"/>
      <c r="CV89" s="358"/>
      <c r="CW89" s="358"/>
      <c r="CX89" s="358"/>
      <c r="CY89" s="358"/>
      <c r="CZ89" s="358"/>
      <c r="DA89" s="358"/>
      <c r="DB89" s="358"/>
      <c r="DC89" s="358"/>
      <c r="DD89" s="358"/>
      <c r="DE89" s="358"/>
      <c r="DF89" s="358"/>
      <c r="DG89" s="358"/>
      <c r="DH89" s="358"/>
      <c r="DI89" s="358"/>
      <c r="DJ89" s="358"/>
      <c r="DK89" s="358"/>
      <c r="DL89" s="358"/>
      <c r="DM89" s="358"/>
      <c r="DN89" s="358"/>
      <c r="DO89" s="358"/>
      <c r="DP89" s="358"/>
      <c r="DQ89" s="358"/>
      <c r="DR89" s="358"/>
      <c r="DS89" s="358"/>
      <c r="DT89" s="358"/>
      <c r="DU89" s="358"/>
      <c r="DV89" s="358"/>
      <c r="DW89" s="358"/>
      <c r="DX89" s="358"/>
      <c r="DY89" s="358"/>
      <c r="DZ89" s="358"/>
      <c r="EA89" s="358"/>
    </row>
    <row r="90" spans="1:131" outlineLevel="2" x14ac:dyDescent="0.35">
      <c r="A90" s="243"/>
      <c r="B90" s="192"/>
      <c r="C90" s="244"/>
      <c r="D90" s="245"/>
      <c r="E90" s="405" t="str">
        <f t="shared" ref="E90:BP90" si="92" xml:space="preserve"> E$25</f>
        <v>Model period ending</v>
      </c>
      <c r="F90" s="405">
        <f t="shared" si="92"/>
        <v>0</v>
      </c>
      <c r="G90" s="405" t="str">
        <f t="shared" si="92"/>
        <v>date</v>
      </c>
      <c r="H90" s="405">
        <f t="shared" si="92"/>
        <v>0</v>
      </c>
      <c r="I90" s="406">
        <f t="shared" si="92"/>
        <v>0</v>
      </c>
      <c r="J90" s="405">
        <f t="shared" si="92"/>
        <v>44104</v>
      </c>
      <c r="K90" s="405">
        <f t="shared" si="92"/>
        <v>44196</v>
      </c>
      <c r="L90" s="405">
        <f t="shared" si="92"/>
        <v>44286</v>
      </c>
      <c r="M90" s="405">
        <f t="shared" si="92"/>
        <v>44377</v>
      </c>
      <c r="N90" s="405">
        <f t="shared" si="92"/>
        <v>44469</v>
      </c>
      <c r="O90" s="405">
        <f t="shared" si="92"/>
        <v>44561</v>
      </c>
      <c r="P90" s="405">
        <f t="shared" si="92"/>
        <v>44651</v>
      </c>
      <c r="Q90" s="405">
        <f t="shared" si="92"/>
        <v>44742</v>
      </c>
      <c r="R90" s="405">
        <f t="shared" si="92"/>
        <v>44834</v>
      </c>
      <c r="S90" s="405">
        <f t="shared" si="92"/>
        <v>44926</v>
      </c>
      <c r="T90" s="405">
        <f t="shared" si="92"/>
        <v>45016</v>
      </c>
      <c r="U90" s="405">
        <f t="shared" si="92"/>
        <v>45107</v>
      </c>
      <c r="V90" s="405">
        <f t="shared" si="92"/>
        <v>45199</v>
      </c>
      <c r="W90" s="405">
        <f t="shared" si="92"/>
        <v>45291</v>
      </c>
      <c r="X90" s="405">
        <f t="shared" si="92"/>
        <v>45382</v>
      </c>
      <c r="Y90" s="405">
        <f t="shared" si="92"/>
        <v>45473</v>
      </c>
      <c r="Z90" s="405">
        <f t="shared" si="92"/>
        <v>45565</v>
      </c>
      <c r="AA90" s="405">
        <f t="shared" si="92"/>
        <v>45657</v>
      </c>
      <c r="AB90" s="405">
        <f t="shared" si="92"/>
        <v>45747</v>
      </c>
      <c r="AC90" s="405">
        <f t="shared" si="92"/>
        <v>45838</v>
      </c>
      <c r="AD90" s="405">
        <f t="shared" si="92"/>
        <v>45930</v>
      </c>
      <c r="AE90" s="405">
        <f t="shared" si="92"/>
        <v>46022</v>
      </c>
      <c r="AF90" s="405">
        <f t="shared" si="92"/>
        <v>46112</v>
      </c>
      <c r="AG90" s="405">
        <f t="shared" si="92"/>
        <v>46203</v>
      </c>
      <c r="AH90" s="405">
        <f t="shared" si="92"/>
        <v>46295</v>
      </c>
      <c r="AI90" s="405">
        <f t="shared" si="92"/>
        <v>46387</v>
      </c>
      <c r="AJ90" s="405">
        <f t="shared" si="92"/>
        <v>46477</v>
      </c>
      <c r="AK90" s="405">
        <f t="shared" si="92"/>
        <v>46568</v>
      </c>
      <c r="AL90" s="405">
        <f t="shared" si="92"/>
        <v>46660</v>
      </c>
      <c r="AM90" s="405">
        <f t="shared" si="92"/>
        <v>46752</v>
      </c>
      <c r="AN90" s="405">
        <f t="shared" si="92"/>
        <v>46843</v>
      </c>
      <c r="AO90" s="405">
        <f t="shared" si="92"/>
        <v>46934</v>
      </c>
      <c r="AP90" s="405">
        <f t="shared" si="92"/>
        <v>47026</v>
      </c>
      <c r="AQ90" s="405">
        <f t="shared" si="92"/>
        <v>47118</v>
      </c>
      <c r="AR90" s="405">
        <f t="shared" si="92"/>
        <v>47208</v>
      </c>
      <c r="AS90" s="405">
        <f t="shared" si="92"/>
        <v>47299</v>
      </c>
      <c r="AT90" s="405">
        <f t="shared" si="92"/>
        <v>47391</v>
      </c>
      <c r="AU90" s="405">
        <f t="shared" si="92"/>
        <v>47483</v>
      </c>
      <c r="AV90" s="405">
        <f t="shared" si="92"/>
        <v>47573</v>
      </c>
      <c r="AW90" s="405">
        <f t="shared" si="92"/>
        <v>47664</v>
      </c>
      <c r="AX90" s="405">
        <f t="shared" si="92"/>
        <v>47756</v>
      </c>
      <c r="AY90" s="405">
        <f t="shared" si="92"/>
        <v>47848</v>
      </c>
      <c r="AZ90" s="405">
        <f t="shared" si="92"/>
        <v>47938</v>
      </c>
      <c r="BA90" s="405">
        <f t="shared" si="92"/>
        <v>48029</v>
      </c>
      <c r="BB90" s="405">
        <f t="shared" si="92"/>
        <v>48121</v>
      </c>
      <c r="BC90" s="405">
        <f t="shared" si="92"/>
        <v>48213</v>
      </c>
      <c r="BD90" s="405">
        <f t="shared" si="92"/>
        <v>48304</v>
      </c>
      <c r="BE90" s="405">
        <f t="shared" si="92"/>
        <v>48395</v>
      </c>
      <c r="BF90" s="405">
        <f t="shared" si="92"/>
        <v>48487</v>
      </c>
      <c r="BG90" s="405">
        <f t="shared" si="92"/>
        <v>48579</v>
      </c>
      <c r="BH90" s="405">
        <f t="shared" si="92"/>
        <v>48669</v>
      </c>
      <c r="BI90" s="405">
        <f t="shared" si="92"/>
        <v>48760</v>
      </c>
      <c r="BJ90" s="405">
        <f t="shared" si="92"/>
        <v>48852</v>
      </c>
      <c r="BK90" s="405">
        <f t="shared" si="92"/>
        <v>48944</v>
      </c>
      <c r="BL90" s="405">
        <f t="shared" si="92"/>
        <v>49034</v>
      </c>
      <c r="BM90" s="405">
        <f t="shared" si="92"/>
        <v>49125</v>
      </c>
      <c r="BN90" s="405">
        <f t="shared" si="92"/>
        <v>49217</v>
      </c>
      <c r="BO90" s="405">
        <f t="shared" si="92"/>
        <v>49309</v>
      </c>
      <c r="BP90" s="405">
        <f t="shared" si="92"/>
        <v>49399</v>
      </c>
      <c r="BQ90" s="405">
        <f t="shared" ref="BQ90:EA90" si="93" xml:space="preserve"> BQ$25</f>
        <v>49490</v>
      </c>
      <c r="BR90" s="405">
        <f t="shared" si="93"/>
        <v>49582</v>
      </c>
      <c r="BS90" s="405">
        <f t="shared" si="93"/>
        <v>49674</v>
      </c>
      <c r="BT90" s="405">
        <f t="shared" si="93"/>
        <v>49765</v>
      </c>
      <c r="BU90" s="405">
        <f t="shared" si="93"/>
        <v>49856</v>
      </c>
      <c r="BV90" s="405">
        <f t="shared" si="93"/>
        <v>49948</v>
      </c>
      <c r="BW90" s="405">
        <f t="shared" si="93"/>
        <v>50040</v>
      </c>
      <c r="BX90" s="405">
        <f t="shared" si="93"/>
        <v>50130</v>
      </c>
      <c r="BY90" s="405">
        <f t="shared" si="93"/>
        <v>50221</v>
      </c>
      <c r="BZ90" s="405">
        <f t="shared" si="93"/>
        <v>50313</v>
      </c>
      <c r="CA90" s="405">
        <f t="shared" si="93"/>
        <v>50405</v>
      </c>
      <c r="CB90" s="405">
        <f t="shared" si="93"/>
        <v>50495</v>
      </c>
      <c r="CC90" s="405">
        <f t="shared" si="93"/>
        <v>50586</v>
      </c>
      <c r="CD90" s="405">
        <f t="shared" si="93"/>
        <v>50678</v>
      </c>
      <c r="CE90" s="405">
        <f t="shared" si="93"/>
        <v>50770</v>
      </c>
      <c r="CF90" s="405">
        <f t="shared" si="93"/>
        <v>50860</v>
      </c>
      <c r="CG90" s="405">
        <f t="shared" si="93"/>
        <v>50951</v>
      </c>
      <c r="CH90" s="405">
        <f t="shared" si="93"/>
        <v>51043</v>
      </c>
      <c r="CI90" s="405">
        <f t="shared" si="93"/>
        <v>51135</v>
      </c>
      <c r="CJ90" s="405">
        <f t="shared" si="93"/>
        <v>51226</v>
      </c>
      <c r="CK90" s="405">
        <f t="shared" si="93"/>
        <v>51317</v>
      </c>
      <c r="CL90" s="405">
        <f t="shared" si="93"/>
        <v>51409</v>
      </c>
      <c r="CM90" s="405">
        <f t="shared" si="93"/>
        <v>51501</v>
      </c>
      <c r="CN90" s="405">
        <f t="shared" si="93"/>
        <v>51591</v>
      </c>
      <c r="CO90" s="405">
        <f t="shared" si="93"/>
        <v>51682</v>
      </c>
      <c r="CP90" s="405">
        <f t="shared" si="93"/>
        <v>51774</v>
      </c>
      <c r="CQ90" s="405">
        <f t="shared" si="93"/>
        <v>51866</v>
      </c>
      <c r="CR90" s="405">
        <f t="shared" si="93"/>
        <v>51956</v>
      </c>
      <c r="CS90" s="405">
        <f t="shared" si="93"/>
        <v>52047</v>
      </c>
      <c r="CT90" s="405">
        <f t="shared" si="93"/>
        <v>52139</v>
      </c>
      <c r="CU90" s="405">
        <f t="shared" si="93"/>
        <v>52231</v>
      </c>
      <c r="CV90" s="405">
        <f t="shared" si="93"/>
        <v>52321</v>
      </c>
      <c r="CW90" s="405">
        <f t="shared" si="93"/>
        <v>52412</v>
      </c>
      <c r="CX90" s="405">
        <f t="shared" si="93"/>
        <v>52504</v>
      </c>
      <c r="CY90" s="405">
        <f t="shared" si="93"/>
        <v>52596</v>
      </c>
      <c r="CZ90" s="405">
        <f t="shared" si="93"/>
        <v>52687</v>
      </c>
      <c r="DA90" s="405">
        <f t="shared" si="93"/>
        <v>52778</v>
      </c>
      <c r="DB90" s="405">
        <f t="shared" si="93"/>
        <v>52870</v>
      </c>
      <c r="DC90" s="405">
        <f t="shared" si="93"/>
        <v>52962</v>
      </c>
      <c r="DD90" s="405">
        <f t="shared" si="93"/>
        <v>53052</v>
      </c>
      <c r="DE90" s="405">
        <f t="shared" si="93"/>
        <v>53143</v>
      </c>
      <c r="DF90" s="405">
        <f t="shared" si="93"/>
        <v>53235</v>
      </c>
      <c r="DG90" s="405">
        <f t="shared" si="93"/>
        <v>53327</v>
      </c>
      <c r="DH90" s="405">
        <f t="shared" si="93"/>
        <v>53417</v>
      </c>
      <c r="DI90" s="405">
        <f t="shared" si="93"/>
        <v>53508</v>
      </c>
      <c r="DJ90" s="405">
        <f t="shared" si="93"/>
        <v>53600</v>
      </c>
      <c r="DK90" s="405">
        <f t="shared" si="93"/>
        <v>53692</v>
      </c>
      <c r="DL90" s="405">
        <f t="shared" si="93"/>
        <v>53782</v>
      </c>
      <c r="DM90" s="405">
        <f t="shared" si="93"/>
        <v>53873</v>
      </c>
      <c r="DN90" s="405">
        <f t="shared" si="93"/>
        <v>53965</v>
      </c>
      <c r="DO90" s="405">
        <f t="shared" si="93"/>
        <v>54057</v>
      </c>
      <c r="DP90" s="405">
        <f t="shared" si="93"/>
        <v>54148</v>
      </c>
      <c r="DQ90" s="405">
        <f t="shared" si="93"/>
        <v>54239</v>
      </c>
      <c r="DR90" s="405">
        <f t="shared" si="93"/>
        <v>54331</v>
      </c>
      <c r="DS90" s="405">
        <f t="shared" si="93"/>
        <v>54423</v>
      </c>
      <c r="DT90" s="405">
        <f t="shared" si="93"/>
        <v>54513</v>
      </c>
      <c r="DU90" s="405">
        <f t="shared" si="93"/>
        <v>54604</v>
      </c>
      <c r="DV90" s="405">
        <f t="shared" si="93"/>
        <v>54696</v>
      </c>
      <c r="DW90" s="405">
        <f t="shared" si="93"/>
        <v>54788</v>
      </c>
      <c r="DX90" s="405">
        <f t="shared" si="93"/>
        <v>54878</v>
      </c>
      <c r="DY90" s="405">
        <f t="shared" si="93"/>
        <v>54969</v>
      </c>
      <c r="DZ90" s="405">
        <f t="shared" si="93"/>
        <v>55061</v>
      </c>
      <c r="EA90" s="405">
        <f t="shared" si="93"/>
        <v>55153</v>
      </c>
    </row>
    <row r="91" spans="1:131" outlineLevel="2" x14ac:dyDescent="0.35">
      <c r="A91" s="346"/>
      <c r="B91" s="346"/>
      <c r="C91" s="347"/>
      <c r="D91" s="149"/>
      <c r="E91" s="150" t="s">
        <v>122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outlineLevel="1" x14ac:dyDescent="0.35">
      <c r="A92" s="192"/>
      <c r="B92" s="192"/>
      <c r="C92" s="193"/>
      <c r="D92" s="194"/>
      <c r="E92" s="418"/>
      <c r="F92" s="418"/>
      <c r="G92" s="418"/>
      <c r="H92" s="418"/>
      <c r="I92" s="419"/>
      <c r="J92" s="418"/>
      <c r="K92" s="418"/>
      <c r="L92" s="418"/>
      <c r="M92" s="418"/>
      <c r="N92" s="418"/>
      <c r="O92" s="418"/>
      <c r="P92" s="418"/>
      <c r="Q92" s="418"/>
      <c r="R92" s="418"/>
      <c r="S92" s="418"/>
      <c r="T92" s="418"/>
      <c r="U92" s="418"/>
      <c r="V92" s="418"/>
      <c r="W92" s="418"/>
      <c r="X92" s="418"/>
      <c r="Y92" s="418"/>
      <c r="Z92" s="418"/>
      <c r="AA92" s="418"/>
      <c r="AB92" s="418"/>
      <c r="AC92" s="418"/>
      <c r="AD92" s="418"/>
      <c r="AE92" s="418"/>
      <c r="AF92" s="418"/>
      <c r="AG92" s="418"/>
      <c r="AH92" s="418"/>
      <c r="AI92" s="418"/>
      <c r="AJ92" s="418"/>
      <c r="AK92" s="418"/>
      <c r="AL92" s="418"/>
      <c r="AM92" s="418"/>
      <c r="AN92" s="418"/>
      <c r="AO92" s="418"/>
      <c r="AP92" s="418"/>
      <c r="AQ92" s="418"/>
      <c r="AR92" s="418"/>
      <c r="AS92" s="418"/>
      <c r="AT92" s="418"/>
      <c r="AU92" s="418"/>
      <c r="AV92" s="418"/>
      <c r="AW92" s="418"/>
      <c r="AX92" s="418"/>
      <c r="AY92" s="418"/>
      <c r="AZ92" s="418"/>
      <c r="BA92" s="418"/>
      <c r="BB92" s="418"/>
      <c r="BC92" s="418"/>
      <c r="BD92" s="418"/>
      <c r="BE92" s="418"/>
      <c r="BF92" s="418"/>
      <c r="BG92" s="418"/>
      <c r="BH92" s="418"/>
      <c r="BI92" s="418"/>
      <c r="BJ92" s="418"/>
      <c r="BK92" s="418"/>
      <c r="BL92" s="418"/>
      <c r="BM92" s="418"/>
      <c r="BN92" s="418"/>
      <c r="BO92" s="418"/>
      <c r="BP92" s="418"/>
      <c r="BQ92" s="418"/>
      <c r="BR92" s="418"/>
      <c r="BS92" s="418"/>
      <c r="BT92" s="418"/>
      <c r="BU92" s="418"/>
      <c r="BV92" s="418"/>
      <c r="BW92" s="418"/>
      <c r="BX92" s="418"/>
      <c r="BY92" s="418"/>
      <c r="BZ92" s="418"/>
      <c r="CA92" s="418"/>
      <c r="CB92" s="418"/>
      <c r="CC92" s="418"/>
      <c r="CD92" s="418"/>
      <c r="CE92" s="418"/>
      <c r="CF92" s="418"/>
      <c r="CG92" s="418"/>
      <c r="CH92" s="418"/>
      <c r="CI92" s="418"/>
      <c r="CJ92" s="418"/>
      <c r="CK92" s="418"/>
      <c r="CL92" s="418"/>
      <c r="CM92" s="418"/>
      <c r="CN92" s="418"/>
      <c r="CO92" s="418"/>
      <c r="CP92" s="418"/>
      <c r="CQ92" s="418"/>
      <c r="CR92" s="418"/>
      <c r="CS92" s="418"/>
      <c r="CT92" s="418"/>
      <c r="CU92" s="418"/>
      <c r="CV92" s="418"/>
      <c r="CW92" s="418"/>
      <c r="CX92" s="418"/>
      <c r="CY92" s="418"/>
      <c r="CZ92" s="418"/>
      <c r="DA92" s="418"/>
      <c r="DB92" s="418"/>
      <c r="DC92" s="418"/>
      <c r="DD92" s="418"/>
      <c r="DE92" s="418"/>
      <c r="DF92" s="418"/>
      <c r="DG92" s="418"/>
      <c r="DH92" s="418"/>
      <c r="DI92" s="418"/>
      <c r="DJ92" s="418"/>
      <c r="DK92" s="418"/>
      <c r="DL92" s="418"/>
      <c r="DM92" s="418"/>
      <c r="DN92" s="418"/>
      <c r="DO92" s="418"/>
      <c r="DP92" s="418"/>
      <c r="DQ92" s="418"/>
      <c r="DR92" s="418"/>
      <c r="DS92" s="418"/>
      <c r="DT92" s="418"/>
      <c r="DU92" s="418"/>
      <c r="DV92" s="418"/>
      <c r="DW92" s="418"/>
      <c r="DX92" s="418"/>
      <c r="DY92" s="418"/>
      <c r="DZ92" s="418"/>
      <c r="EA92" s="418"/>
    </row>
    <row r="93" spans="1:131" outlineLevel="1" x14ac:dyDescent="0.35">
      <c r="A93" s="192"/>
      <c r="B93" s="192" t="s">
        <v>118</v>
      </c>
      <c r="C93" s="193"/>
      <c r="D93" s="194"/>
      <c r="E93" s="418"/>
      <c r="F93" s="418"/>
      <c r="G93" s="418"/>
      <c r="H93" s="418"/>
      <c r="I93" s="419"/>
      <c r="J93" s="418"/>
      <c r="K93" s="418"/>
      <c r="L93" s="418"/>
      <c r="M93" s="418"/>
      <c r="N93" s="418"/>
      <c r="O93" s="418"/>
      <c r="P93" s="418"/>
      <c r="Q93" s="418"/>
      <c r="R93" s="418"/>
      <c r="S93" s="418"/>
      <c r="T93" s="418"/>
      <c r="U93" s="418"/>
      <c r="V93" s="418"/>
      <c r="W93" s="418"/>
      <c r="X93" s="418"/>
      <c r="Y93" s="418"/>
      <c r="Z93" s="418"/>
      <c r="AA93" s="418"/>
      <c r="AB93" s="418"/>
      <c r="AC93" s="418"/>
      <c r="AD93" s="418"/>
      <c r="AE93" s="418"/>
      <c r="AF93" s="418"/>
      <c r="AG93" s="418"/>
      <c r="AH93" s="418"/>
      <c r="AI93" s="418"/>
      <c r="AJ93" s="418"/>
      <c r="AK93" s="418"/>
      <c r="AL93" s="418"/>
      <c r="AM93" s="418"/>
      <c r="AN93" s="418"/>
      <c r="AO93" s="418"/>
      <c r="AP93" s="418"/>
      <c r="AQ93" s="418"/>
      <c r="AR93" s="418"/>
      <c r="AS93" s="418"/>
      <c r="AT93" s="418"/>
      <c r="AU93" s="418"/>
      <c r="AV93" s="418"/>
      <c r="AW93" s="418"/>
      <c r="AX93" s="418"/>
      <c r="AY93" s="418"/>
      <c r="AZ93" s="418"/>
      <c r="BA93" s="418"/>
      <c r="BB93" s="418"/>
      <c r="BC93" s="418"/>
      <c r="BD93" s="418"/>
      <c r="BE93" s="418"/>
      <c r="BF93" s="418"/>
      <c r="BG93" s="418"/>
      <c r="BH93" s="418"/>
      <c r="BI93" s="418"/>
      <c r="BJ93" s="418"/>
      <c r="BK93" s="418"/>
      <c r="BL93" s="418"/>
      <c r="BM93" s="418"/>
      <c r="BN93" s="418"/>
      <c r="BO93" s="418"/>
      <c r="BP93" s="418"/>
      <c r="BQ93" s="418"/>
      <c r="BR93" s="418"/>
      <c r="BS93" s="418"/>
      <c r="BT93" s="418"/>
      <c r="BU93" s="418"/>
      <c r="BV93" s="418"/>
      <c r="BW93" s="418"/>
      <c r="BX93" s="418"/>
      <c r="BY93" s="418"/>
      <c r="BZ93" s="418"/>
      <c r="CA93" s="418"/>
      <c r="CB93" s="418"/>
      <c r="CC93" s="418"/>
      <c r="CD93" s="418"/>
      <c r="CE93" s="418"/>
      <c r="CF93" s="418"/>
      <c r="CG93" s="418"/>
      <c r="CH93" s="418"/>
      <c r="CI93" s="418"/>
      <c r="CJ93" s="418"/>
      <c r="CK93" s="418"/>
      <c r="CL93" s="418"/>
      <c r="CM93" s="418"/>
      <c r="CN93" s="418"/>
      <c r="CO93" s="418"/>
      <c r="CP93" s="418"/>
      <c r="CQ93" s="418"/>
      <c r="CR93" s="418"/>
      <c r="CS93" s="418"/>
      <c r="CT93" s="418"/>
      <c r="CU93" s="418"/>
      <c r="CV93" s="418"/>
      <c r="CW93" s="418"/>
      <c r="CX93" s="418"/>
      <c r="CY93" s="418"/>
      <c r="CZ93" s="418"/>
      <c r="DA93" s="418"/>
      <c r="DB93" s="418"/>
      <c r="DC93" s="418"/>
      <c r="DD93" s="418"/>
      <c r="DE93" s="418"/>
      <c r="DF93" s="418"/>
      <c r="DG93" s="418"/>
      <c r="DH93" s="418"/>
      <c r="DI93" s="418"/>
      <c r="DJ93" s="418"/>
      <c r="DK93" s="418"/>
      <c r="DL93" s="418"/>
      <c r="DM93" s="418"/>
      <c r="DN93" s="418"/>
      <c r="DO93" s="418"/>
      <c r="DP93" s="418"/>
      <c r="DQ93" s="418"/>
      <c r="DR93" s="418"/>
      <c r="DS93" s="418"/>
      <c r="DT93" s="418"/>
      <c r="DU93" s="418"/>
      <c r="DV93" s="418"/>
      <c r="DW93" s="418"/>
      <c r="DX93" s="418"/>
      <c r="DY93" s="418"/>
      <c r="DZ93" s="418"/>
      <c r="EA93" s="418"/>
    </row>
    <row r="94" spans="1:131" outlineLevel="2" x14ac:dyDescent="0.35">
      <c r="A94" s="373"/>
      <c r="B94" s="51"/>
      <c r="C94" s="374"/>
      <c r="D94" s="375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6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2" t="str">
        <f xml:space="preserve"> E$87</f>
        <v>End of operating period</v>
      </c>
      <c r="F95" s="362">
        <f xml:space="preserve"> F$87</f>
        <v>53417</v>
      </c>
      <c r="G95" s="362" t="str">
        <f xml:space="preserve"> G$87</f>
        <v>date</v>
      </c>
      <c r="H95" s="418"/>
      <c r="I95" s="419"/>
      <c r="J95" s="418"/>
      <c r="K95" s="418"/>
      <c r="L95" s="418"/>
      <c r="M95" s="418"/>
      <c r="N95" s="418"/>
      <c r="O95" s="418"/>
      <c r="P95" s="418"/>
      <c r="Q95" s="418"/>
      <c r="R95" s="418"/>
      <c r="S95" s="418"/>
      <c r="T95" s="418"/>
      <c r="U95" s="418"/>
      <c r="V95" s="418"/>
      <c r="W95" s="418"/>
      <c r="X95" s="418"/>
      <c r="Y95" s="418"/>
      <c r="Z95" s="418"/>
      <c r="AA95" s="418"/>
      <c r="AB95" s="418"/>
      <c r="AC95" s="418"/>
      <c r="AD95" s="418"/>
      <c r="AE95" s="418"/>
      <c r="AF95" s="418"/>
      <c r="AG95" s="418"/>
      <c r="AH95" s="418"/>
      <c r="AI95" s="418"/>
      <c r="AJ95" s="418"/>
      <c r="AK95" s="418"/>
      <c r="AL95" s="418"/>
      <c r="AM95" s="418"/>
      <c r="AN95" s="418"/>
      <c r="AO95" s="418"/>
      <c r="AP95" s="418"/>
      <c r="AQ95" s="418"/>
      <c r="AR95" s="418"/>
      <c r="AS95" s="418"/>
      <c r="AT95" s="418"/>
      <c r="AU95" s="418"/>
      <c r="AV95" s="418"/>
      <c r="AW95" s="418"/>
      <c r="AX95" s="418"/>
      <c r="AY95" s="418"/>
      <c r="AZ95" s="418"/>
      <c r="BA95" s="418"/>
      <c r="BB95" s="418"/>
      <c r="BC95" s="418"/>
      <c r="BD95" s="418"/>
      <c r="BE95" s="418"/>
      <c r="BF95" s="418"/>
      <c r="BG95" s="418"/>
      <c r="BH95" s="418"/>
      <c r="BI95" s="418"/>
      <c r="BJ95" s="418"/>
      <c r="BK95" s="418"/>
      <c r="BL95" s="418"/>
      <c r="BM95" s="418"/>
      <c r="BN95" s="418"/>
      <c r="BO95" s="418"/>
      <c r="BP95" s="418"/>
      <c r="BQ95" s="418"/>
      <c r="BR95" s="418"/>
      <c r="BS95" s="418"/>
      <c r="BT95" s="418"/>
      <c r="BU95" s="418"/>
      <c r="BV95" s="418"/>
      <c r="BW95" s="418"/>
      <c r="BX95" s="418"/>
      <c r="BY95" s="418"/>
      <c r="BZ95" s="418"/>
      <c r="CA95" s="418"/>
      <c r="CB95" s="418"/>
      <c r="CC95" s="418"/>
      <c r="CD95" s="418"/>
      <c r="CE95" s="418"/>
      <c r="CF95" s="418"/>
      <c r="CG95" s="418"/>
      <c r="CH95" s="418"/>
      <c r="CI95" s="418"/>
      <c r="CJ95" s="418"/>
      <c r="CK95" s="418"/>
      <c r="CL95" s="418"/>
      <c r="CM95" s="418"/>
      <c r="CN95" s="418"/>
      <c r="CO95" s="418"/>
      <c r="CP95" s="418"/>
      <c r="CQ95" s="418"/>
      <c r="CR95" s="418"/>
      <c r="CS95" s="418"/>
      <c r="CT95" s="418"/>
      <c r="CU95" s="418"/>
      <c r="CV95" s="418"/>
      <c r="CW95" s="418"/>
      <c r="CX95" s="418"/>
      <c r="CY95" s="418"/>
      <c r="CZ95" s="418"/>
      <c r="DA95" s="418"/>
      <c r="DB95" s="418"/>
      <c r="DC95" s="418"/>
      <c r="DD95" s="418"/>
      <c r="DE95" s="418"/>
      <c r="DF95" s="418"/>
      <c r="DG95" s="418"/>
      <c r="DH95" s="418"/>
      <c r="DI95" s="418"/>
      <c r="DJ95" s="418"/>
      <c r="DK95" s="418"/>
      <c r="DL95" s="418"/>
      <c r="DM95" s="418"/>
      <c r="DN95" s="418"/>
      <c r="DO95" s="418"/>
      <c r="DP95" s="418"/>
      <c r="DQ95" s="418"/>
      <c r="DR95" s="418"/>
      <c r="DS95" s="418"/>
      <c r="DT95" s="418"/>
      <c r="DU95" s="418"/>
      <c r="DV95" s="418"/>
      <c r="DW95" s="418"/>
      <c r="DX95" s="418"/>
      <c r="DY95" s="418"/>
      <c r="DZ95" s="418"/>
      <c r="EA95" s="418"/>
    </row>
    <row r="96" spans="1:131" outlineLevel="2" x14ac:dyDescent="0.35">
      <c r="A96" s="243"/>
      <c r="B96" s="192"/>
      <c r="C96" s="244"/>
      <c r="D96" s="245"/>
      <c r="E96" s="405" t="str">
        <f t="shared" ref="E96:BP96" si="98" xml:space="preserve"> E$25</f>
        <v>Model period ending</v>
      </c>
      <c r="F96" s="405">
        <f t="shared" si="98"/>
        <v>0</v>
      </c>
      <c r="G96" s="405" t="str">
        <f t="shared" si="98"/>
        <v>date</v>
      </c>
      <c r="H96" s="405">
        <f t="shared" si="98"/>
        <v>0</v>
      </c>
      <c r="I96" s="406">
        <f t="shared" si="98"/>
        <v>0</v>
      </c>
      <c r="J96" s="405">
        <f t="shared" si="98"/>
        <v>44104</v>
      </c>
      <c r="K96" s="405">
        <f t="shared" si="98"/>
        <v>44196</v>
      </c>
      <c r="L96" s="405">
        <f t="shared" si="98"/>
        <v>44286</v>
      </c>
      <c r="M96" s="405">
        <f t="shared" si="98"/>
        <v>44377</v>
      </c>
      <c r="N96" s="405">
        <f t="shared" si="98"/>
        <v>44469</v>
      </c>
      <c r="O96" s="405">
        <f t="shared" si="98"/>
        <v>44561</v>
      </c>
      <c r="P96" s="405">
        <f t="shared" si="98"/>
        <v>44651</v>
      </c>
      <c r="Q96" s="405">
        <f t="shared" si="98"/>
        <v>44742</v>
      </c>
      <c r="R96" s="405">
        <f t="shared" si="98"/>
        <v>44834</v>
      </c>
      <c r="S96" s="405">
        <f t="shared" si="98"/>
        <v>44926</v>
      </c>
      <c r="T96" s="405">
        <f t="shared" si="98"/>
        <v>45016</v>
      </c>
      <c r="U96" s="405">
        <f t="shared" si="98"/>
        <v>45107</v>
      </c>
      <c r="V96" s="405">
        <f t="shared" si="98"/>
        <v>45199</v>
      </c>
      <c r="W96" s="405">
        <f t="shared" si="98"/>
        <v>45291</v>
      </c>
      <c r="X96" s="405">
        <f t="shared" si="98"/>
        <v>45382</v>
      </c>
      <c r="Y96" s="405">
        <f t="shared" si="98"/>
        <v>45473</v>
      </c>
      <c r="Z96" s="405">
        <f t="shared" si="98"/>
        <v>45565</v>
      </c>
      <c r="AA96" s="405">
        <f t="shared" si="98"/>
        <v>45657</v>
      </c>
      <c r="AB96" s="405">
        <f t="shared" si="98"/>
        <v>45747</v>
      </c>
      <c r="AC96" s="405">
        <f t="shared" si="98"/>
        <v>45838</v>
      </c>
      <c r="AD96" s="405">
        <f t="shared" si="98"/>
        <v>45930</v>
      </c>
      <c r="AE96" s="405">
        <f t="shared" si="98"/>
        <v>46022</v>
      </c>
      <c r="AF96" s="405">
        <f t="shared" si="98"/>
        <v>46112</v>
      </c>
      <c r="AG96" s="405">
        <f t="shared" si="98"/>
        <v>46203</v>
      </c>
      <c r="AH96" s="405">
        <f t="shared" si="98"/>
        <v>46295</v>
      </c>
      <c r="AI96" s="405">
        <f t="shared" si="98"/>
        <v>46387</v>
      </c>
      <c r="AJ96" s="405">
        <f t="shared" si="98"/>
        <v>46477</v>
      </c>
      <c r="AK96" s="405">
        <f t="shared" si="98"/>
        <v>46568</v>
      </c>
      <c r="AL96" s="405">
        <f t="shared" si="98"/>
        <v>46660</v>
      </c>
      <c r="AM96" s="405">
        <f t="shared" si="98"/>
        <v>46752</v>
      </c>
      <c r="AN96" s="405">
        <f t="shared" si="98"/>
        <v>46843</v>
      </c>
      <c r="AO96" s="405">
        <f t="shared" si="98"/>
        <v>46934</v>
      </c>
      <c r="AP96" s="405">
        <f t="shared" si="98"/>
        <v>47026</v>
      </c>
      <c r="AQ96" s="405">
        <f t="shared" si="98"/>
        <v>47118</v>
      </c>
      <c r="AR96" s="405">
        <f t="shared" si="98"/>
        <v>47208</v>
      </c>
      <c r="AS96" s="405">
        <f t="shared" si="98"/>
        <v>47299</v>
      </c>
      <c r="AT96" s="405">
        <f t="shared" si="98"/>
        <v>47391</v>
      </c>
      <c r="AU96" s="405">
        <f t="shared" si="98"/>
        <v>47483</v>
      </c>
      <c r="AV96" s="405">
        <f t="shared" si="98"/>
        <v>47573</v>
      </c>
      <c r="AW96" s="405">
        <f t="shared" si="98"/>
        <v>47664</v>
      </c>
      <c r="AX96" s="405">
        <f t="shared" si="98"/>
        <v>47756</v>
      </c>
      <c r="AY96" s="405">
        <f t="shared" si="98"/>
        <v>47848</v>
      </c>
      <c r="AZ96" s="405">
        <f t="shared" si="98"/>
        <v>47938</v>
      </c>
      <c r="BA96" s="405">
        <f t="shared" si="98"/>
        <v>48029</v>
      </c>
      <c r="BB96" s="405">
        <f t="shared" si="98"/>
        <v>48121</v>
      </c>
      <c r="BC96" s="405">
        <f t="shared" si="98"/>
        <v>48213</v>
      </c>
      <c r="BD96" s="405">
        <f t="shared" si="98"/>
        <v>48304</v>
      </c>
      <c r="BE96" s="405">
        <f t="shared" si="98"/>
        <v>48395</v>
      </c>
      <c r="BF96" s="405">
        <f t="shared" si="98"/>
        <v>48487</v>
      </c>
      <c r="BG96" s="405">
        <f t="shared" si="98"/>
        <v>48579</v>
      </c>
      <c r="BH96" s="405">
        <f t="shared" si="98"/>
        <v>48669</v>
      </c>
      <c r="BI96" s="405">
        <f t="shared" si="98"/>
        <v>48760</v>
      </c>
      <c r="BJ96" s="405">
        <f t="shared" si="98"/>
        <v>48852</v>
      </c>
      <c r="BK96" s="405">
        <f t="shared" si="98"/>
        <v>48944</v>
      </c>
      <c r="BL96" s="405">
        <f t="shared" si="98"/>
        <v>49034</v>
      </c>
      <c r="BM96" s="405">
        <f t="shared" si="98"/>
        <v>49125</v>
      </c>
      <c r="BN96" s="405">
        <f t="shared" si="98"/>
        <v>49217</v>
      </c>
      <c r="BO96" s="405">
        <f t="shared" si="98"/>
        <v>49309</v>
      </c>
      <c r="BP96" s="405">
        <f t="shared" si="98"/>
        <v>49399</v>
      </c>
      <c r="BQ96" s="405">
        <f t="shared" ref="BQ96:EA96" si="99" xml:space="preserve"> BQ$25</f>
        <v>49490</v>
      </c>
      <c r="BR96" s="405">
        <f t="shared" si="99"/>
        <v>49582</v>
      </c>
      <c r="BS96" s="405">
        <f t="shared" si="99"/>
        <v>49674</v>
      </c>
      <c r="BT96" s="405">
        <f t="shared" si="99"/>
        <v>49765</v>
      </c>
      <c r="BU96" s="405">
        <f t="shared" si="99"/>
        <v>49856</v>
      </c>
      <c r="BV96" s="405">
        <f t="shared" si="99"/>
        <v>49948</v>
      </c>
      <c r="BW96" s="405">
        <f t="shared" si="99"/>
        <v>50040</v>
      </c>
      <c r="BX96" s="405">
        <f t="shared" si="99"/>
        <v>50130</v>
      </c>
      <c r="BY96" s="405">
        <f t="shared" si="99"/>
        <v>50221</v>
      </c>
      <c r="BZ96" s="405">
        <f t="shared" si="99"/>
        <v>50313</v>
      </c>
      <c r="CA96" s="405">
        <f t="shared" si="99"/>
        <v>50405</v>
      </c>
      <c r="CB96" s="405">
        <f t="shared" si="99"/>
        <v>50495</v>
      </c>
      <c r="CC96" s="405">
        <f t="shared" si="99"/>
        <v>50586</v>
      </c>
      <c r="CD96" s="405">
        <f t="shared" si="99"/>
        <v>50678</v>
      </c>
      <c r="CE96" s="405">
        <f t="shared" si="99"/>
        <v>50770</v>
      </c>
      <c r="CF96" s="405">
        <f t="shared" si="99"/>
        <v>50860</v>
      </c>
      <c r="CG96" s="405">
        <f t="shared" si="99"/>
        <v>50951</v>
      </c>
      <c r="CH96" s="405">
        <f t="shared" si="99"/>
        <v>51043</v>
      </c>
      <c r="CI96" s="405">
        <f t="shared" si="99"/>
        <v>51135</v>
      </c>
      <c r="CJ96" s="405">
        <f t="shared" si="99"/>
        <v>51226</v>
      </c>
      <c r="CK96" s="405">
        <f t="shared" si="99"/>
        <v>51317</v>
      </c>
      <c r="CL96" s="405">
        <f t="shared" si="99"/>
        <v>51409</v>
      </c>
      <c r="CM96" s="405">
        <f t="shared" si="99"/>
        <v>51501</v>
      </c>
      <c r="CN96" s="405">
        <f t="shared" si="99"/>
        <v>51591</v>
      </c>
      <c r="CO96" s="405">
        <f t="shared" si="99"/>
        <v>51682</v>
      </c>
      <c r="CP96" s="405">
        <f t="shared" si="99"/>
        <v>51774</v>
      </c>
      <c r="CQ96" s="405">
        <f t="shared" si="99"/>
        <v>51866</v>
      </c>
      <c r="CR96" s="405">
        <f t="shared" si="99"/>
        <v>51956</v>
      </c>
      <c r="CS96" s="405">
        <f t="shared" si="99"/>
        <v>52047</v>
      </c>
      <c r="CT96" s="405">
        <f t="shared" si="99"/>
        <v>52139</v>
      </c>
      <c r="CU96" s="405">
        <f t="shared" si="99"/>
        <v>52231</v>
      </c>
      <c r="CV96" s="405">
        <f t="shared" si="99"/>
        <v>52321</v>
      </c>
      <c r="CW96" s="405">
        <f t="shared" si="99"/>
        <v>52412</v>
      </c>
      <c r="CX96" s="405">
        <f t="shared" si="99"/>
        <v>52504</v>
      </c>
      <c r="CY96" s="405">
        <f t="shared" si="99"/>
        <v>52596</v>
      </c>
      <c r="CZ96" s="405">
        <f t="shared" si="99"/>
        <v>52687</v>
      </c>
      <c r="DA96" s="405">
        <f t="shared" si="99"/>
        <v>52778</v>
      </c>
      <c r="DB96" s="405">
        <f t="shared" si="99"/>
        <v>52870</v>
      </c>
      <c r="DC96" s="405">
        <f t="shared" si="99"/>
        <v>52962</v>
      </c>
      <c r="DD96" s="405">
        <f t="shared" si="99"/>
        <v>53052</v>
      </c>
      <c r="DE96" s="405">
        <f t="shared" si="99"/>
        <v>53143</v>
      </c>
      <c r="DF96" s="405">
        <f t="shared" si="99"/>
        <v>53235</v>
      </c>
      <c r="DG96" s="405">
        <f t="shared" si="99"/>
        <v>53327</v>
      </c>
      <c r="DH96" s="405">
        <f t="shared" si="99"/>
        <v>53417</v>
      </c>
      <c r="DI96" s="405">
        <f t="shared" si="99"/>
        <v>53508</v>
      </c>
      <c r="DJ96" s="405">
        <f t="shared" si="99"/>
        <v>53600</v>
      </c>
      <c r="DK96" s="405">
        <f t="shared" si="99"/>
        <v>53692</v>
      </c>
      <c r="DL96" s="405">
        <f t="shared" si="99"/>
        <v>53782</v>
      </c>
      <c r="DM96" s="405">
        <f t="shared" si="99"/>
        <v>53873</v>
      </c>
      <c r="DN96" s="405">
        <f t="shared" si="99"/>
        <v>53965</v>
      </c>
      <c r="DO96" s="405">
        <f t="shared" si="99"/>
        <v>54057</v>
      </c>
      <c r="DP96" s="405">
        <f t="shared" si="99"/>
        <v>54148</v>
      </c>
      <c r="DQ96" s="405">
        <f t="shared" si="99"/>
        <v>54239</v>
      </c>
      <c r="DR96" s="405">
        <f t="shared" si="99"/>
        <v>54331</v>
      </c>
      <c r="DS96" s="405">
        <f t="shared" si="99"/>
        <v>54423</v>
      </c>
      <c r="DT96" s="405">
        <f t="shared" si="99"/>
        <v>54513</v>
      </c>
      <c r="DU96" s="405">
        <f t="shared" si="99"/>
        <v>54604</v>
      </c>
      <c r="DV96" s="405">
        <f t="shared" si="99"/>
        <v>54696</v>
      </c>
      <c r="DW96" s="405">
        <f t="shared" si="99"/>
        <v>54788</v>
      </c>
      <c r="DX96" s="405">
        <f t="shared" si="99"/>
        <v>54878</v>
      </c>
      <c r="DY96" s="405">
        <f t="shared" si="99"/>
        <v>54969</v>
      </c>
      <c r="DZ96" s="405">
        <f t="shared" si="99"/>
        <v>55061</v>
      </c>
      <c r="EA96" s="405">
        <f t="shared" si="99"/>
        <v>55153</v>
      </c>
    </row>
    <row r="97" spans="1:131" outlineLevel="2" x14ac:dyDescent="0.35">
      <c r="A97" s="346"/>
      <c r="B97" s="346"/>
      <c r="C97" s="347"/>
      <c r="D97" s="149"/>
      <c r="E97" s="151" t="s">
        <v>118</v>
      </c>
      <c r="F97" s="348"/>
      <c r="G97" s="150" t="s">
        <v>5</v>
      </c>
      <c r="H97" s="150">
        <f xml:space="preserve"> SUM(J97:EA97)</f>
        <v>100</v>
      </c>
      <c r="I97" s="151"/>
      <c r="J97" s="151">
        <f t="shared" ref="J97:AO97" si="100" xml:space="preserve"> IF( AND(J96 &gt; $F94, J96 &lt;= $F95), 1, 0)</f>
        <v>0</v>
      </c>
      <c r="K97" s="151">
        <f t="shared" si="100"/>
        <v>0</v>
      </c>
      <c r="L97" s="151">
        <f t="shared" si="100"/>
        <v>0</v>
      </c>
      <c r="M97" s="151">
        <f t="shared" si="100"/>
        <v>1</v>
      </c>
      <c r="N97" s="151">
        <f t="shared" si="100"/>
        <v>1</v>
      </c>
      <c r="O97" s="151">
        <f t="shared" si="100"/>
        <v>1</v>
      </c>
      <c r="P97" s="151">
        <f t="shared" si="100"/>
        <v>1</v>
      </c>
      <c r="Q97" s="151">
        <f t="shared" si="100"/>
        <v>1</v>
      </c>
      <c r="R97" s="151">
        <f t="shared" si="100"/>
        <v>1</v>
      </c>
      <c r="S97" s="151">
        <f t="shared" si="100"/>
        <v>1</v>
      </c>
      <c r="T97" s="151">
        <f t="shared" si="100"/>
        <v>1</v>
      </c>
      <c r="U97" s="151">
        <f t="shared" si="100"/>
        <v>1</v>
      </c>
      <c r="V97" s="151">
        <f t="shared" si="100"/>
        <v>1</v>
      </c>
      <c r="W97" s="151">
        <f t="shared" si="100"/>
        <v>1</v>
      </c>
      <c r="X97" s="151">
        <f t="shared" si="100"/>
        <v>1</v>
      </c>
      <c r="Y97" s="151">
        <f t="shared" si="100"/>
        <v>1</v>
      </c>
      <c r="Z97" s="151">
        <f t="shared" si="100"/>
        <v>1</v>
      </c>
      <c r="AA97" s="151">
        <f t="shared" si="100"/>
        <v>1</v>
      </c>
      <c r="AB97" s="151">
        <f t="shared" si="100"/>
        <v>1</v>
      </c>
      <c r="AC97" s="151">
        <f t="shared" si="100"/>
        <v>1</v>
      </c>
      <c r="AD97" s="151">
        <f t="shared" si="100"/>
        <v>1</v>
      </c>
      <c r="AE97" s="151">
        <f t="shared" si="100"/>
        <v>1</v>
      </c>
      <c r="AF97" s="151">
        <f t="shared" si="100"/>
        <v>1</v>
      </c>
      <c r="AG97" s="151">
        <f t="shared" si="100"/>
        <v>1</v>
      </c>
      <c r="AH97" s="151">
        <f t="shared" si="100"/>
        <v>1</v>
      </c>
      <c r="AI97" s="151">
        <f t="shared" si="100"/>
        <v>1</v>
      </c>
      <c r="AJ97" s="151">
        <f t="shared" si="100"/>
        <v>1</v>
      </c>
      <c r="AK97" s="151">
        <f t="shared" si="100"/>
        <v>1</v>
      </c>
      <c r="AL97" s="151">
        <f t="shared" si="100"/>
        <v>1</v>
      </c>
      <c r="AM97" s="151">
        <f t="shared" si="100"/>
        <v>1</v>
      </c>
      <c r="AN97" s="151">
        <f t="shared" si="100"/>
        <v>1</v>
      </c>
      <c r="AO97" s="151">
        <f t="shared" si="100"/>
        <v>1</v>
      </c>
      <c r="AP97" s="151">
        <f t="shared" ref="AP97:BU97" si="101" xml:space="preserve"> IF( AND(AP96 &gt; $F94, AP96 &lt;= $F95), 1, 0)</f>
        <v>1</v>
      </c>
      <c r="AQ97" s="151">
        <f t="shared" si="101"/>
        <v>1</v>
      </c>
      <c r="AR97" s="151">
        <f t="shared" si="101"/>
        <v>1</v>
      </c>
      <c r="AS97" s="151">
        <f t="shared" si="101"/>
        <v>1</v>
      </c>
      <c r="AT97" s="151">
        <f t="shared" si="101"/>
        <v>1</v>
      </c>
      <c r="AU97" s="151">
        <f t="shared" si="101"/>
        <v>1</v>
      </c>
      <c r="AV97" s="151">
        <f t="shared" si="101"/>
        <v>1</v>
      </c>
      <c r="AW97" s="151">
        <f t="shared" si="101"/>
        <v>1</v>
      </c>
      <c r="AX97" s="151">
        <f t="shared" si="101"/>
        <v>1</v>
      </c>
      <c r="AY97" s="151">
        <f t="shared" si="101"/>
        <v>1</v>
      </c>
      <c r="AZ97" s="151">
        <f t="shared" si="101"/>
        <v>1</v>
      </c>
      <c r="BA97" s="151">
        <f t="shared" si="101"/>
        <v>1</v>
      </c>
      <c r="BB97" s="151">
        <f t="shared" si="101"/>
        <v>1</v>
      </c>
      <c r="BC97" s="151">
        <f t="shared" si="101"/>
        <v>1</v>
      </c>
      <c r="BD97" s="151">
        <f t="shared" si="101"/>
        <v>1</v>
      </c>
      <c r="BE97" s="151">
        <f t="shared" si="101"/>
        <v>1</v>
      </c>
      <c r="BF97" s="151">
        <f t="shared" si="101"/>
        <v>1</v>
      </c>
      <c r="BG97" s="151">
        <f t="shared" si="101"/>
        <v>1</v>
      </c>
      <c r="BH97" s="151">
        <f t="shared" si="101"/>
        <v>1</v>
      </c>
      <c r="BI97" s="151">
        <f t="shared" si="101"/>
        <v>1</v>
      </c>
      <c r="BJ97" s="151">
        <f t="shared" si="101"/>
        <v>1</v>
      </c>
      <c r="BK97" s="151">
        <f t="shared" si="101"/>
        <v>1</v>
      </c>
      <c r="BL97" s="151">
        <f t="shared" si="101"/>
        <v>1</v>
      </c>
      <c r="BM97" s="151">
        <f t="shared" si="101"/>
        <v>1</v>
      </c>
      <c r="BN97" s="151">
        <f t="shared" si="101"/>
        <v>1</v>
      </c>
      <c r="BO97" s="151">
        <f t="shared" si="101"/>
        <v>1</v>
      </c>
      <c r="BP97" s="151">
        <f t="shared" si="101"/>
        <v>1</v>
      </c>
      <c r="BQ97" s="151">
        <f t="shared" si="101"/>
        <v>1</v>
      </c>
      <c r="BR97" s="151">
        <f t="shared" si="101"/>
        <v>1</v>
      </c>
      <c r="BS97" s="151">
        <f t="shared" si="101"/>
        <v>1</v>
      </c>
      <c r="BT97" s="151">
        <f t="shared" si="101"/>
        <v>1</v>
      </c>
      <c r="BU97" s="151">
        <f t="shared" si="101"/>
        <v>1</v>
      </c>
      <c r="BV97" s="151">
        <f t="shared" ref="BV97:DA97" si="102" xml:space="preserve"> IF( AND(BV96 &gt; $F94, BV96 &lt;= $F95), 1, 0)</f>
        <v>1</v>
      </c>
      <c r="BW97" s="151">
        <f t="shared" si="102"/>
        <v>1</v>
      </c>
      <c r="BX97" s="151">
        <f t="shared" si="102"/>
        <v>1</v>
      </c>
      <c r="BY97" s="151">
        <f t="shared" si="102"/>
        <v>1</v>
      </c>
      <c r="BZ97" s="151">
        <f t="shared" si="102"/>
        <v>1</v>
      </c>
      <c r="CA97" s="151">
        <f t="shared" si="102"/>
        <v>1</v>
      </c>
      <c r="CB97" s="151">
        <f t="shared" si="102"/>
        <v>1</v>
      </c>
      <c r="CC97" s="151">
        <f t="shared" si="102"/>
        <v>1</v>
      </c>
      <c r="CD97" s="151">
        <f t="shared" si="102"/>
        <v>1</v>
      </c>
      <c r="CE97" s="151">
        <f t="shared" si="102"/>
        <v>1</v>
      </c>
      <c r="CF97" s="151">
        <f t="shared" si="102"/>
        <v>1</v>
      </c>
      <c r="CG97" s="151">
        <f t="shared" si="102"/>
        <v>1</v>
      </c>
      <c r="CH97" s="151">
        <f t="shared" si="102"/>
        <v>1</v>
      </c>
      <c r="CI97" s="151">
        <f t="shared" si="102"/>
        <v>1</v>
      </c>
      <c r="CJ97" s="151">
        <f t="shared" si="102"/>
        <v>1</v>
      </c>
      <c r="CK97" s="151">
        <f t="shared" si="102"/>
        <v>1</v>
      </c>
      <c r="CL97" s="151">
        <f t="shared" si="102"/>
        <v>1</v>
      </c>
      <c r="CM97" s="151">
        <f t="shared" si="102"/>
        <v>1</v>
      </c>
      <c r="CN97" s="151">
        <f t="shared" si="102"/>
        <v>1</v>
      </c>
      <c r="CO97" s="151">
        <f t="shared" si="102"/>
        <v>1</v>
      </c>
      <c r="CP97" s="151">
        <f t="shared" si="102"/>
        <v>1</v>
      </c>
      <c r="CQ97" s="151">
        <f t="shared" si="102"/>
        <v>1</v>
      </c>
      <c r="CR97" s="151">
        <f t="shared" si="102"/>
        <v>1</v>
      </c>
      <c r="CS97" s="151">
        <f t="shared" si="102"/>
        <v>1</v>
      </c>
      <c r="CT97" s="151">
        <f t="shared" si="102"/>
        <v>1</v>
      </c>
      <c r="CU97" s="151">
        <f t="shared" si="102"/>
        <v>1</v>
      </c>
      <c r="CV97" s="151">
        <f t="shared" si="102"/>
        <v>1</v>
      </c>
      <c r="CW97" s="151">
        <f t="shared" si="102"/>
        <v>1</v>
      </c>
      <c r="CX97" s="151">
        <f t="shared" si="102"/>
        <v>1</v>
      </c>
      <c r="CY97" s="151">
        <f t="shared" si="102"/>
        <v>1</v>
      </c>
      <c r="CZ97" s="151">
        <f t="shared" si="102"/>
        <v>1</v>
      </c>
      <c r="DA97" s="151">
        <f t="shared" si="102"/>
        <v>1</v>
      </c>
      <c r="DB97" s="151">
        <f t="shared" ref="DB97:EA97" si="103" xml:space="preserve"> IF( AND(DB96 &gt; $F94, DB96 &lt;= $F95), 1, 0)</f>
        <v>1</v>
      </c>
      <c r="DC97" s="151">
        <f t="shared" si="103"/>
        <v>1</v>
      </c>
      <c r="DD97" s="151">
        <f t="shared" si="103"/>
        <v>1</v>
      </c>
      <c r="DE97" s="151">
        <f t="shared" si="103"/>
        <v>1</v>
      </c>
      <c r="DF97" s="151">
        <f t="shared" si="103"/>
        <v>1</v>
      </c>
      <c r="DG97" s="151">
        <f t="shared" si="103"/>
        <v>1</v>
      </c>
      <c r="DH97" s="151">
        <f t="shared" si="103"/>
        <v>1</v>
      </c>
      <c r="DI97" s="151">
        <f t="shared" si="103"/>
        <v>0</v>
      </c>
      <c r="DJ97" s="151">
        <f t="shared" si="103"/>
        <v>0</v>
      </c>
      <c r="DK97" s="151">
        <f t="shared" si="103"/>
        <v>0</v>
      </c>
      <c r="DL97" s="151">
        <f t="shared" si="103"/>
        <v>0</v>
      </c>
      <c r="DM97" s="151">
        <f t="shared" si="103"/>
        <v>0</v>
      </c>
      <c r="DN97" s="151">
        <f t="shared" si="103"/>
        <v>0</v>
      </c>
      <c r="DO97" s="151">
        <f t="shared" si="103"/>
        <v>0</v>
      </c>
      <c r="DP97" s="151">
        <f t="shared" si="103"/>
        <v>0</v>
      </c>
      <c r="DQ97" s="151">
        <f t="shared" si="103"/>
        <v>0</v>
      </c>
      <c r="DR97" s="151">
        <f t="shared" si="103"/>
        <v>0</v>
      </c>
      <c r="DS97" s="151">
        <f t="shared" si="103"/>
        <v>0</v>
      </c>
      <c r="DT97" s="151">
        <f t="shared" si="103"/>
        <v>0</v>
      </c>
      <c r="DU97" s="151">
        <f t="shared" si="103"/>
        <v>0</v>
      </c>
      <c r="DV97" s="151">
        <f t="shared" si="103"/>
        <v>0</v>
      </c>
      <c r="DW97" s="151">
        <f t="shared" si="103"/>
        <v>0</v>
      </c>
      <c r="DX97" s="151">
        <f t="shared" si="103"/>
        <v>0</v>
      </c>
      <c r="DY97" s="151">
        <f t="shared" si="103"/>
        <v>0</v>
      </c>
      <c r="DZ97" s="151">
        <f t="shared" si="103"/>
        <v>0</v>
      </c>
      <c r="EA97" s="151">
        <f t="shared" si="103"/>
        <v>0</v>
      </c>
    </row>
    <row r="98" spans="1:131" outlineLevel="1" x14ac:dyDescent="0.35">
      <c r="A98" s="192"/>
      <c r="B98" s="192"/>
      <c r="C98" s="193"/>
      <c r="D98" s="194"/>
      <c r="E98" s="418"/>
      <c r="F98" s="418"/>
      <c r="G98" s="418"/>
      <c r="H98" s="418"/>
      <c r="I98" s="419"/>
      <c r="J98" s="418"/>
      <c r="K98" s="418"/>
      <c r="L98" s="418"/>
      <c r="M98" s="418"/>
      <c r="N98" s="418"/>
      <c r="O98" s="418"/>
      <c r="P98" s="418"/>
      <c r="Q98" s="418"/>
      <c r="R98" s="418"/>
      <c r="S98" s="418"/>
      <c r="T98" s="418"/>
      <c r="U98" s="418"/>
      <c r="V98" s="418"/>
      <c r="W98" s="418"/>
      <c r="X98" s="418"/>
      <c r="Y98" s="418"/>
      <c r="Z98" s="418"/>
      <c r="AA98" s="418"/>
      <c r="AB98" s="418"/>
      <c r="AC98" s="418"/>
      <c r="AD98" s="418"/>
      <c r="AE98" s="418"/>
      <c r="AF98" s="418"/>
      <c r="AG98" s="418"/>
      <c r="AH98" s="418"/>
      <c r="AI98" s="418"/>
      <c r="AJ98" s="418"/>
      <c r="AK98" s="418"/>
      <c r="AL98" s="418"/>
      <c r="AM98" s="418"/>
      <c r="AN98" s="418"/>
      <c r="AO98" s="418"/>
      <c r="AP98" s="418"/>
      <c r="AQ98" s="418"/>
      <c r="AR98" s="418"/>
      <c r="AS98" s="418"/>
      <c r="AT98" s="418"/>
      <c r="AU98" s="418"/>
      <c r="AV98" s="418"/>
      <c r="AW98" s="418"/>
      <c r="AX98" s="418"/>
      <c r="AY98" s="418"/>
      <c r="AZ98" s="418"/>
      <c r="BA98" s="418"/>
      <c r="BB98" s="418"/>
      <c r="BC98" s="418"/>
      <c r="BD98" s="418"/>
      <c r="BE98" s="418"/>
      <c r="BF98" s="418"/>
      <c r="BG98" s="418"/>
      <c r="BH98" s="418"/>
      <c r="BI98" s="418"/>
      <c r="BJ98" s="418"/>
      <c r="BK98" s="418"/>
      <c r="BL98" s="418"/>
      <c r="BM98" s="418"/>
      <c r="BN98" s="418"/>
      <c r="BO98" s="418"/>
      <c r="BP98" s="418"/>
      <c r="BQ98" s="418"/>
      <c r="BR98" s="418"/>
      <c r="BS98" s="418"/>
      <c r="BT98" s="418"/>
      <c r="BU98" s="418"/>
      <c r="BV98" s="418"/>
      <c r="BW98" s="418"/>
      <c r="BX98" s="418"/>
      <c r="BY98" s="418"/>
      <c r="BZ98" s="418"/>
      <c r="CA98" s="418"/>
      <c r="CB98" s="418"/>
      <c r="CC98" s="418"/>
      <c r="CD98" s="418"/>
      <c r="CE98" s="418"/>
      <c r="CF98" s="418"/>
      <c r="CG98" s="418"/>
      <c r="CH98" s="418"/>
      <c r="CI98" s="418"/>
      <c r="CJ98" s="418"/>
      <c r="CK98" s="418"/>
      <c r="CL98" s="418"/>
      <c r="CM98" s="418"/>
      <c r="CN98" s="418"/>
      <c r="CO98" s="418"/>
      <c r="CP98" s="418"/>
      <c r="CQ98" s="418"/>
      <c r="CR98" s="418"/>
      <c r="CS98" s="418"/>
      <c r="CT98" s="418"/>
      <c r="CU98" s="418"/>
      <c r="CV98" s="418"/>
      <c r="CW98" s="418"/>
      <c r="CX98" s="418"/>
      <c r="CY98" s="418"/>
      <c r="CZ98" s="418"/>
      <c r="DA98" s="418"/>
      <c r="DB98" s="418"/>
      <c r="DC98" s="418"/>
      <c r="DD98" s="418"/>
      <c r="DE98" s="418"/>
      <c r="DF98" s="418"/>
      <c r="DG98" s="418"/>
      <c r="DH98" s="418"/>
      <c r="DI98" s="418"/>
      <c r="DJ98" s="418"/>
      <c r="DK98" s="418"/>
      <c r="DL98" s="418"/>
      <c r="DM98" s="418"/>
      <c r="DN98" s="418"/>
      <c r="DO98" s="418"/>
      <c r="DP98" s="418"/>
      <c r="DQ98" s="418"/>
      <c r="DR98" s="418"/>
      <c r="DS98" s="418"/>
      <c r="DT98" s="418"/>
      <c r="DU98" s="418"/>
      <c r="DV98" s="418"/>
      <c r="DW98" s="418"/>
      <c r="DX98" s="418"/>
      <c r="DY98" s="418"/>
      <c r="DZ98" s="418"/>
      <c r="EA98" s="418"/>
    </row>
    <row r="99" spans="1:131" outlineLevel="1" x14ac:dyDescent="0.35">
      <c r="A99" s="192"/>
      <c r="B99" s="192" t="s">
        <v>120</v>
      </c>
      <c r="C99" s="193"/>
      <c r="D99" s="194"/>
      <c r="E99" s="418"/>
      <c r="F99" s="418"/>
      <c r="G99" s="418"/>
      <c r="H99" s="418"/>
      <c r="I99" s="419"/>
      <c r="J99" s="418"/>
      <c r="K99" s="418"/>
      <c r="L99" s="418"/>
      <c r="M99" s="418"/>
      <c r="N99" s="418"/>
      <c r="O99" s="418"/>
      <c r="P99" s="418"/>
      <c r="Q99" s="418"/>
      <c r="R99" s="418"/>
      <c r="S99" s="418"/>
      <c r="T99" s="418"/>
      <c r="U99" s="418"/>
      <c r="V99" s="418"/>
      <c r="W99" s="418"/>
      <c r="X99" s="418"/>
      <c r="Y99" s="418"/>
      <c r="Z99" s="418"/>
      <c r="AA99" s="418"/>
      <c r="AB99" s="418"/>
      <c r="AC99" s="418"/>
      <c r="AD99" s="418"/>
      <c r="AE99" s="418"/>
      <c r="AF99" s="418"/>
      <c r="AG99" s="418"/>
      <c r="AH99" s="418"/>
      <c r="AI99" s="418"/>
      <c r="AJ99" s="418"/>
      <c r="AK99" s="418"/>
      <c r="AL99" s="418"/>
      <c r="AM99" s="418"/>
      <c r="AN99" s="418"/>
      <c r="AO99" s="418"/>
      <c r="AP99" s="418"/>
      <c r="AQ99" s="418"/>
      <c r="AR99" s="418"/>
      <c r="AS99" s="418"/>
      <c r="AT99" s="418"/>
      <c r="AU99" s="418"/>
      <c r="AV99" s="418"/>
      <c r="AW99" s="418"/>
      <c r="AX99" s="418"/>
      <c r="AY99" s="418"/>
      <c r="AZ99" s="418"/>
      <c r="BA99" s="418"/>
      <c r="BB99" s="418"/>
      <c r="BC99" s="418"/>
      <c r="BD99" s="418"/>
      <c r="BE99" s="418"/>
      <c r="BF99" s="418"/>
      <c r="BG99" s="418"/>
      <c r="BH99" s="418"/>
      <c r="BI99" s="418"/>
      <c r="BJ99" s="418"/>
      <c r="BK99" s="418"/>
      <c r="BL99" s="418"/>
      <c r="BM99" s="418"/>
      <c r="BN99" s="418"/>
      <c r="BO99" s="418"/>
      <c r="BP99" s="418"/>
      <c r="BQ99" s="418"/>
      <c r="BR99" s="418"/>
      <c r="BS99" s="418"/>
      <c r="BT99" s="418"/>
      <c r="BU99" s="418"/>
      <c r="BV99" s="418"/>
      <c r="BW99" s="418"/>
      <c r="BX99" s="418"/>
      <c r="BY99" s="418"/>
      <c r="BZ99" s="418"/>
      <c r="CA99" s="418"/>
      <c r="CB99" s="418"/>
      <c r="CC99" s="418"/>
      <c r="CD99" s="418"/>
      <c r="CE99" s="418"/>
      <c r="CF99" s="418"/>
      <c r="CG99" s="418"/>
      <c r="CH99" s="418"/>
      <c r="CI99" s="418"/>
      <c r="CJ99" s="418"/>
      <c r="CK99" s="418"/>
      <c r="CL99" s="418"/>
      <c r="CM99" s="418"/>
      <c r="CN99" s="418"/>
      <c r="CO99" s="418"/>
      <c r="CP99" s="418"/>
      <c r="CQ99" s="418"/>
      <c r="CR99" s="418"/>
      <c r="CS99" s="418"/>
      <c r="CT99" s="418"/>
      <c r="CU99" s="418"/>
      <c r="CV99" s="418"/>
      <c r="CW99" s="418"/>
      <c r="CX99" s="418"/>
      <c r="CY99" s="418"/>
      <c r="CZ99" s="418"/>
      <c r="DA99" s="418"/>
      <c r="DB99" s="418"/>
      <c r="DC99" s="418"/>
      <c r="DD99" s="418"/>
      <c r="DE99" s="418"/>
      <c r="DF99" s="418"/>
      <c r="DG99" s="418"/>
      <c r="DH99" s="418"/>
      <c r="DI99" s="418"/>
      <c r="DJ99" s="418"/>
      <c r="DK99" s="418"/>
      <c r="DL99" s="418"/>
      <c r="DM99" s="418"/>
      <c r="DN99" s="418"/>
      <c r="DO99" s="418"/>
      <c r="DP99" s="418"/>
      <c r="DQ99" s="418"/>
      <c r="DR99" s="418"/>
      <c r="DS99" s="418"/>
      <c r="DT99" s="418"/>
      <c r="DU99" s="418"/>
      <c r="DV99" s="418"/>
      <c r="DW99" s="418"/>
      <c r="DX99" s="418"/>
      <c r="DY99" s="418"/>
      <c r="DZ99" s="418"/>
      <c r="EA99" s="418"/>
    </row>
    <row r="100" spans="1:131" outlineLevel="2" x14ac:dyDescent="0.35">
      <c r="A100" s="192"/>
      <c r="B100" s="192"/>
      <c r="C100" s="193"/>
      <c r="D100" s="194"/>
      <c r="E100" s="424" t="str">
        <f t="shared" ref="E100:AJ100" si="104" xml:space="preserve"> E$91</f>
        <v xml:space="preserve">Last operating period flag </v>
      </c>
      <c r="F100" s="424">
        <f t="shared" si="104"/>
        <v>0</v>
      </c>
      <c r="G100" s="424" t="str">
        <f t="shared" si="104"/>
        <v>flag</v>
      </c>
      <c r="H100" s="424">
        <f t="shared" si="104"/>
        <v>1</v>
      </c>
      <c r="I100" s="424">
        <f t="shared" si="104"/>
        <v>0</v>
      </c>
      <c r="J100" s="424">
        <f t="shared" si="104"/>
        <v>0</v>
      </c>
      <c r="K100" s="424">
        <f t="shared" si="104"/>
        <v>0</v>
      </c>
      <c r="L100" s="424">
        <f t="shared" si="104"/>
        <v>0</v>
      </c>
      <c r="M100" s="424">
        <f t="shared" si="104"/>
        <v>0</v>
      </c>
      <c r="N100" s="424">
        <f t="shared" si="104"/>
        <v>0</v>
      </c>
      <c r="O100" s="424">
        <f t="shared" si="104"/>
        <v>0</v>
      </c>
      <c r="P100" s="424">
        <f t="shared" si="104"/>
        <v>0</v>
      </c>
      <c r="Q100" s="424">
        <f t="shared" si="104"/>
        <v>0</v>
      </c>
      <c r="R100" s="424">
        <f t="shared" si="104"/>
        <v>0</v>
      </c>
      <c r="S100" s="424">
        <f t="shared" si="104"/>
        <v>0</v>
      </c>
      <c r="T100" s="424">
        <f t="shared" si="104"/>
        <v>0</v>
      </c>
      <c r="U100" s="424">
        <f t="shared" si="104"/>
        <v>0</v>
      </c>
      <c r="V100" s="424">
        <f t="shared" si="104"/>
        <v>0</v>
      </c>
      <c r="W100" s="424">
        <f t="shared" si="104"/>
        <v>0</v>
      </c>
      <c r="X100" s="424">
        <f t="shared" si="104"/>
        <v>0</v>
      </c>
      <c r="Y100" s="424">
        <f t="shared" si="104"/>
        <v>0</v>
      </c>
      <c r="Z100" s="424">
        <f t="shared" si="104"/>
        <v>0</v>
      </c>
      <c r="AA100" s="424">
        <f t="shared" si="104"/>
        <v>0</v>
      </c>
      <c r="AB100" s="424">
        <f t="shared" si="104"/>
        <v>0</v>
      </c>
      <c r="AC100" s="424">
        <f t="shared" si="104"/>
        <v>0</v>
      </c>
      <c r="AD100" s="424">
        <f t="shared" si="104"/>
        <v>0</v>
      </c>
      <c r="AE100" s="424">
        <f t="shared" si="104"/>
        <v>0</v>
      </c>
      <c r="AF100" s="424">
        <f t="shared" si="104"/>
        <v>0</v>
      </c>
      <c r="AG100" s="424">
        <f t="shared" si="104"/>
        <v>0</v>
      </c>
      <c r="AH100" s="424">
        <f t="shared" si="104"/>
        <v>0</v>
      </c>
      <c r="AI100" s="424">
        <f t="shared" si="104"/>
        <v>0</v>
      </c>
      <c r="AJ100" s="424">
        <f t="shared" si="104"/>
        <v>0</v>
      </c>
      <c r="AK100" s="424">
        <f t="shared" ref="AK100:BP100" si="105" xml:space="preserve"> AK$91</f>
        <v>0</v>
      </c>
      <c r="AL100" s="424">
        <f t="shared" si="105"/>
        <v>0</v>
      </c>
      <c r="AM100" s="424">
        <f t="shared" si="105"/>
        <v>0</v>
      </c>
      <c r="AN100" s="424">
        <f t="shared" si="105"/>
        <v>0</v>
      </c>
      <c r="AO100" s="424">
        <f t="shared" si="105"/>
        <v>0</v>
      </c>
      <c r="AP100" s="424">
        <f t="shared" si="105"/>
        <v>0</v>
      </c>
      <c r="AQ100" s="424">
        <f t="shared" si="105"/>
        <v>0</v>
      </c>
      <c r="AR100" s="424">
        <f t="shared" si="105"/>
        <v>0</v>
      </c>
      <c r="AS100" s="424">
        <f t="shared" si="105"/>
        <v>0</v>
      </c>
      <c r="AT100" s="424">
        <f t="shared" si="105"/>
        <v>0</v>
      </c>
      <c r="AU100" s="424">
        <f t="shared" si="105"/>
        <v>0</v>
      </c>
      <c r="AV100" s="424">
        <f t="shared" si="105"/>
        <v>0</v>
      </c>
      <c r="AW100" s="424">
        <f t="shared" si="105"/>
        <v>0</v>
      </c>
      <c r="AX100" s="424">
        <f t="shared" si="105"/>
        <v>0</v>
      </c>
      <c r="AY100" s="424">
        <f t="shared" si="105"/>
        <v>0</v>
      </c>
      <c r="AZ100" s="424">
        <f t="shared" si="105"/>
        <v>0</v>
      </c>
      <c r="BA100" s="424">
        <f t="shared" si="105"/>
        <v>0</v>
      </c>
      <c r="BB100" s="424">
        <f t="shared" si="105"/>
        <v>0</v>
      </c>
      <c r="BC100" s="424">
        <f t="shared" si="105"/>
        <v>0</v>
      </c>
      <c r="BD100" s="424">
        <f t="shared" si="105"/>
        <v>0</v>
      </c>
      <c r="BE100" s="424">
        <f t="shared" si="105"/>
        <v>0</v>
      </c>
      <c r="BF100" s="424">
        <f t="shared" si="105"/>
        <v>0</v>
      </c>
      <c r="BG100" s="424">
        <f t="shared" si="105"/>
        <v>0</v>
      </c>
      <c r="BH100" s="424">
        <f t="shared" si="105"/>
        <v>0</v>
      </c>
      <c r="BI100" s="424">
        <f t="shared" si="105"/>
        <v>0</v>
      </c>
      <c r="BJ100" s="424">
        <f t="shared" si="105"/>
        <v>0</v>
      </c>
      <c r="BK100" s="424">
        <f t="shared" si="105"/>
        <v>0</v>
      </c>
      <c r="BL100" s="424">
        <f t="shared" si="105"/>
        <v>0</v>
      </c>
      <c r="BM100" s="424">
        <f t="shared" si="105"/>
        <v>0</v>
      </c>
      <c r="BN100" s="424">
        <f t="shared" si="105"/>
        <v>0</v>
      </c>
      <c r="BO100" s="424">
        <f t="shared" si="105"/>
        <v>0</v>
      </c>
      <c r="BP100" s="424">
        <f t="shared" si="105"/>
        <v>0</v>
      </c>
      <c r="BQ100" s="424">
        <f t="shared" ref="BQ100:CV100" si="106" xml:space="preserve"> BQ$91</f>
        <v>0</v>
      </c>
      <c r="BR100" s="424">
        <f t="shared" si="106"/>
        <v>0</v>
      </c>
      <c r="BS100" s="424">
        <f t="shared" si="106"/>
        <v>0</v>
      </c>
      <c r="BT100" s="424">
        <f t="shared" si="106"/>
        <v>0</v>
      </c>
      <c r="BU100" s="424">
        <f t="shared" si="106"/>
        <v>0</v>
      </c>
      <c r="BV100" s="424">
        <f t="shared" si="106"/>
        <v>0</v>
      </c>
      <c r="BW100" s="424">
        <f t="shared" si="106"/>
        <v>0</v>
      </c>
      <c r="BX100" s="424">
        <f t="shared" si="106"/>
        <v>0</v>
      </c>
      <c r="BY100" s="424">
        <f t="shared" si="106"/>
        <v>0</v>
      </c>
      <c r="BZ100" s="424">
        <f t="shared" si="106"/>
        <v>0</v>
      </c>
      <c r="CA100" s="424">
        <f t="shared" si="106"/>
        <v>0</v>
      </c>
      <c r="CB100" s="424">
        <f t="shared" si="106"/>
        <v>0</v>
      </c>
      <c r="CC100" s="424">
        <f t="shared" si="106"/>
        <v>0</v>
      </c>
      <c r="CD100" s="424">
        <f t="shared" si="106"/>
        <v>0</v>
      </c>
      <c r="CE100" s="424">
        <f t="shared" si="106"/>
        <v>0</v>
      </c>
      <c r="CF100" s="424">
        <f t="shared" si="106"/>
        <v>0</v>
      </c>
      <c r="CG100" s="424">
        <f t="shared" si="106"/>
        <v>0</v>
      </c>
      <c r="CH100" s="424">
        <f t="shared" si="106"/>
        <v>0</v>
      </c>
      <c r="CI100" s="424">
        <f t="shared" si="106"/>
        <v>0</v>
      </c>
      <c r="CJ100" s="424">
        <f t="shared" si="106"/>
        <v>0</v>
      </c>
      <c r="CK100" s="424">
        <f t="shared" si="106"/>
        <v>0</v>
      </c>
      <c r="CL100" s="424">
        <f t="shared" si="106"/>
        <v>0</v>
      </c>
      <c r="CM100" s="424">
        <f t="shared" si="106"/>
        <v>0</v>
      </c>
      <c r="CN100" s="424">
        <f t="shared" si="106"/>
        <v>0</v>
      </c>
      <c r="CO100" s="424">
        <f t="shared" si="106"/>
        <v>0</v>
      </c>
      <c r="CP100" s="424">
        <f t="shared" si="106"/>
        <v>0</v>
      </c>
      <c r="CQ100" s="424">
        <f t="shared" si="106"/>
        <v>0</v>
      </c>
      <c r="CR100" s="424">
        <f t="shared" si="106"/>
        <v>0</v>
      </c>
      <c r="CS100" s="424">
        <f t="shared" si="106"/>
        <v>0</v>
      </c>
      <c r="CT100" s="424">
        <f t="shared" si="106"/>
        <v>0</v>
      </c>
      <c r="CU100" s="424">
        <f t="shared" si="106"/>
        <v>0</v>
      </c>
      <c r="CV100" s="424">
        <f t="shared" si="106"/>
        <v>0</v>
      </c>
      <c r="CW100" s="424">
        <f t="shared" ref="CW100:EA100" si="107" xml:space="preserve"> CW$91</f>
        <v>0</v>
      </c>
      <c r="CX100" s="424">
        <f t="shared" si="107"/>
        <v>0</v>
      </c>
      <c r="CY100" s="424">
        <f t="shared" si="107"/>
        <v>0</v>
      </c>
      <c r="CZ100" s="424">
        <f t="shared" si="107"/>
        <v>0</v>
      </c>
      <c r="DA100" s="424">
        <f t="shared" si="107"/>
        <v>0</v>
      </c>
      <c r="DB100" s="424">
        <f t="shared" si="107"/>
        <v>0</v>
      </c>
      <c r="DC100" s="424">
        <f t="shared" si="107"/>
        <v>0</v>
      </c>
      <c r="DD100" s="424">
        <f t="shared" si="107"/>
        <v>0</v>
      </c>
      <c r="DE100" s="424">
        <f t="shared" si="107"/>
        <v>0</v>
      </c>
      <c r="DF100" s="424">
        <f t="shared" si="107"/>
        <v>0</v>
      </c>
      <c r="DG100" s="424">
        <f t="shared" si="107"/>
        <v>0</v>
      </c>
      <c r="DH100" s="424">
        <f t="shared" si="107"/>
        <v>1</v>
      </c>
      <c r="DI100" s="424">
        <f t="shared" si="107"/>
        <v>0</v>
      </c>
      <c r="DJ100" s="424">
        <f t="shared" si="107"/>
        <v>0</v>
      </c>
      <c r="DK100" s="424">
        <f t="shared" si="107"/>
        <v>0</v>
      </c>
      <c r="DL100" s="424">
        <f t="shared" si="107"/>
        <v>0</v>
      </c>
      <c r="DM100" s="424">
        <f t="shared" si="107"/>
        <v>0</v>
      </c>
      <c r="DN100" s="424">
        <f t="shared" si="107"/>
        <v>0</v>
      </c>
      <c r="DO100" s="424">
        <f t="shared" si="107"/>
        <v>0</v>
      </c>
      <c r="DP100" s="424">
        <f t="shared" si="107"/>
        <v>0</v>
      </c>
      <c r="DQ100" s="424">
        <f t="shared" si="107"/>
        <v>0</v>
      </c>
      <c r="DR100" s="424">
        <f t="shared" si="107"/>
        <v>0</v>
      </c>
      <c r="DS100" s="424">
        <f t="shared" si="107"/>
        <v>0</v>
      </c>
      <c r="DT100" s="424">
        <f t="shared" si="107"/>
        <v>0</v>
      </c>
      <c r="DU100" s="424">
        <f t="shared" si="107"/>
        <v>0</v>
      </c>
      <c r="DV100" s="424">
        <f t="shared" si="107"/>
        <v>0</v>
      </c>
      <c r="DW100" s="424">
        <f t="shared" si="107"/>
        <v>0</v>
      </c>
      <c r="DX100" s="424">
        <f t="shared" si="107"/>
        <v>0</v>
      </c>
      <c r="DY100" s="424">
        <f t="shared" si="107"/>
        <v>0</v>
      </c>
      <c r="DZ100" s="424">
        <f t="shared" si="107"/>
        <v>0</v>
      </c>
      <c r="EA100" s="424">
        <f t="shared" si="107"/>
        <v>0</v>
      </c>
    </row>
    <row r="101" spans="1:131" outlineLevel="2" x14ac:dyDescent="0.35">
      <c r="A101" s="192"/>
      <c r="B101" s="192"/>
      <c r="C101" s="193"/>
      <c r="D101" s="194"/>
      <c r="E101" s="235" t="s">
        <v>120</v>
      </c>
      <c r="F101" s="235"/>
      <c r="G101" s="235"/>
      <c r="H101" s="235"/>
      <c r="I101" s="235"/>
      <c r="J101" s="235">
        <f t="shared" ref="J101:AO101" si="108" xml:space="preserve"> I100</f>
        <v>0</v>
      </c>
      <c r="K101" s="235">
        <f t="shared" si="108"/>
        <v>0</v>
      </c>
      <c r="L101" s="235">
        <f t="shared" si="108"/>
        <v>0</v>
      </c>
      <c r="M101" s="235">
        <f t="shared" si="108"/>
        <v>0</v>
      </c>
      <c r="N101" s="235">
        <f t="shared" si="108"/>
        <v>0</v>
      </c>
      <c r="O101" s="235">
        <f t="shared" si="108"/>
        <v>0</v>
      </c>
      <c r="P101" s="235">
        <f t="shared" si="108"/>
        <v>0</v>
      </c>
      <c r="Q101" s="235">
        <f t="shared" si="108"/>
        <v>0</v>
      </c>
      <c r="R101" s="235">
        <f t="shared" si="108"/>
        <v>0</v>
      </c>
      <c r="S101" s="235">
        <f t="shared" si="108"/>
        <v>0</v>
      </c>
      <c r="T101" s="235">
        <f t="shared" si="108"/>
        <v>0</v>
      </c>
      <c r="U101" s="235">
        <f t="shared" si="108"/>
        <v>0</v>
      </c>
      <c r="V101" s="235">
        <f t="shared" si="108"/>
        <v>0</v>
      </c>
      <c r="W101" s="235">
        <f t="shared" si="108"/>
        <v>0</v>
      </c>
      <c r="X101" s="235">
        <f t="shared" si="108"/>
        <v>0</v>
      </c>
      <c r="Y101" s="235">
        <f t="shared" si="108"/>
        <v>0</v>
      </c>
      <c r="Z101" s="235">
        <f t="shared" si="108"/>
        <v>0</v>
      </c>
      <c r="AA101" s="235">
        <f t="shared" si="108"/>
        <v>0</v>
      </c>
      <c r="AB101" s="235">
        <f t="shared" si="108"/>
        <v>0</v>
      </c>
      <c r="AC101" s="235">
        <f t="shared" si="108"/>
        <v>0</v>
      </c>
      <c r="AD101" s="235">
        <f t="shared" si="108"/>
        <v>0</v>
      </c>
      <c r="AE101" s="235">
        <f t="shared" si="108"/>
        <v>0</v>
      </c>
      <c r="AF101" s="235">
        <f t="shared" si="108"/>
        <v>0</v>
      </c>
      <c r="AG101" s="235">
        <f t="shared" si="108"/>
        <v>0</v>
      </c>
      <c r="AH101" s="235">
        <f t="shared" si="108"/>
        <v>0</v>
      </c>
      <c r="AI101" s="235">
        <f t="shared" si="108"/>
        <v>0</v>
      </c>
      <c r="AJ101" s="235">
        <f t="shared" si="108"/>
        <v>0</v>
      </c>
      <c r="AK101" s="235">
        <f t="shared" si="108"/>
        <v>0</v>
      </c>
      <c r="AL101" s="235">
        <f t="shared" si="108"/>
        <v>0</v>
      </c>
      <c r="AM101" s="235">
        <f t="shared" si="108"/>
        <v>0</v>
      </c>
      <c r="AN101" s="235">
        <f t="shared" si="108"/>
        <v>0</v>
      </c>
      <c r="AO101" s="235">
        <f t="shared" si="108"/>
        <v>0</v>
      </c>
      <c r="AP101" s="235">
        <f t="shared" ref="AP101:BU101" si="109" xml:space="preserve"> AO100</f>
        <v>0</v>
      </c>
      <c r="AQ101" s="235">
        <f t="shared" si="109"/>
        <v>0</v>
      </c>
      <c r="AR101" s="235">
        <f t="shared" si="109"/>
        <v>0</v>
      </c>
      <c r="AS101" s="235">
        <f t="shared" si="109"/>
        <v>0</v>
      </c>
      <c r="AT101" s="235">
        <f t="shared" si="109"/>
        <v>0</v>
      </c>
      <c r="AU101" s="235">
        <f t="shared" si="109"/>
        <v>0</v>
      </c>
      <c r="AV101" s="235">
        <f t="shared" si="109"/>
        <v>0</v>
      </c>
      <c r="AW101" s="235">
        <f t="shared" si="109"/>
        <v>0</v>
      </c>
      <c r="AX101" s="235">
        <f t="shared" si="109"/>
        <v>0</v>
      </c>
      <c r="AY101" s="235">
        <f t="shared" si="109"/>
        <v>0</v>
      </c>
      <c r="AZ101" s="235">
        <f t="shared" si="109"/>
        <v>0</v>
      </c>
      <c r="BA101" s="235">
        <f t="shared" si="109"/>
        <v>0</v>
      </c>
      <c r="BB101" s="235">
        <f t="shared" si="109"/>
        <v>0</v>
      </c>
      <c r="BC101" s="235">
        <f t="shared" si="109"/>
        <v>0</v>
      </c>
      <c r="BD101" s="235">
        <f t="shared" si="109"/>
        <v>0</v>
      </c>
      <c r="BE101" s="235">
        <f t="shared" si="109"/>
        <v>0</v>
      </c>
      <c r="BF101" s="235">
        <f t="shared" si="109"/>
        <v>0</v>
      </c>
      <c r="BG101" s="235">
        <f t="shared" si="109"/>
        <v>0</v>
      </c>
      <c r="BH101" s="235">
        <f t="shared" si="109"/>
        <v>0</v>
      </c>
      <c r="BI101" s="235">
        <f t="shared" si="109"/>
        <v>0</v>
      </c>
      <c r="BJ101" s="235">
        <f t="shared" si="109"/>
        <v>0</v>
      </c>
      <c r="BK101" s="235">
        <f t="shared" si="109"/>
        <v>0</v>
      </c>
      <c r="BL101" s="235">
        <f t="shared" si="109"/>
        <v>0</v>
      </c>
      <c r="BM101" s="235">
        <f t="shared" si="109"/>
        <v>0</v>
      </c>
      <c r="BN101" s="235">
        <f t="shared" si="109"/>
        <v>0</v>
      </c>
      <c r="BO101" s="235">
        <f t="shared" si="109"/>
        <v>0</v>
      </c>
      <c r="BP101" s="235">
        <f t="shared" si="109"/>
        <v>0</v>
      </c>
      <c r="BQ101" s="235">
        <f t="shared" si="109"/>
        <v>0</v>
      </c>
      <c r="BR101" s="235">
        <f t="shared" si="109"/>
        <v>0</v>
      </c>
      <c r="BS101" s="235">
        <f t="shared" si="109"/>
        <v>0</v>
      </c>
      <c r="BT101" s="235">
        <f t="shared" si="109"/>
        <v>0</v>
      </c>
      <c r="BU101" s="235">
        <f t="shared" si="109"/>
        <v>0</v>
      </c>
      <c r="BV101" s="235">
        <f t="shared" ref="BV101:DA101" si="110" xml:space="preserve"> BU100</f>
        <v>0</v>
      </c>
      <c r="BW101" s="235">
        <f t="shared" si="110"/>
        <v>0</v>
      </c>
      <c r="BX101" s="235">
        <f t="shared" si="110"/>
        <v>0</v>
      </c>
      <c r="BY101" s="235">
        <f t="shared" si="110"/>
        <v>0</v>
      </c>
      <c r="BZ101" s="235">
        <f t="shared" si="110"/>
        <v>0</v>
      </c>
      <c r="CA101" s="235">
        <f t="shared" si="110"/>
        <v>0</v>
      </c>
      <c r="CB101" s="235">
        <f t="shared" si="110"/>
        <v>0</v>
      </c>
      <c r="CC101" s="235">
        <f t="shared" si="110"/>
        <v>0</v>
      </c>
      <c r="CD101" s="235">
        <f t="shared" si="110"/>
        <v>0</v>
      </c>
      <c r="CE101" s="235">
        <f t="shared" si="110"/>
        <v>0</v>
      </c>
      <c r="CF101" s="235">
        <f t="shared" si="110"/>
        <v>0</v>
      </c>
      <c r="CG101" s="235">
        <f t="shared" si="110"/>
        <v>0</v>
      </c>
      <c r="CH101" s="235">
        <f t="shared" si="110"/>
        <v>0</v>
      </c>
      <c r="CI101" s="235">
        <f t="shared" si="110"/>
        <v>0</v>
      </c>
      <c r="CJ101" s="235">
        <f t="shared" si="110"/>
        <v>0</v>
      </c>
      <c r="CK101" s="235">
        <f t="shared" si="110"/>
        <v>0</v>
      </c>
      <c r="CL101" s="235">
        <f t="shared" si="110"/>
        <v>0</v>
      </c>
      <c r="CM101" s="235">
        <f t="shared" si="110"/>
        <v>0</v>
      </c>
      <c r="CN101" s="235">
        <f t="shared" si="110"/>
        <v>0</v>
      </c>
      <c r="CO101" s="235">
        <f t="shared" si="110"/>
        <v>0</v>
      </c>
      <c r="CP101" s="235">
        <f t="shared" si="110"/>
        <v>0</v>
      </c>
      <c r="CQ101" s="235">
        <f t="shared" si="110"/>
        <v>0</v>
      </c>
      <c r="CR101" s="235">
        <f t="shared" si="110"/>
        <v>0</v>
      </c>
      <c r="CS101" s="235">
        <f t="shared" si="110"/>
        <v>0</v>
      </c>
      <c r="CT101" s="235">
        <f t="shared" si="110"/>
        <v>0</v>
      </c>
      <c r="CU101" s="235">
        <f t="shared" si="110"/>
        <v>0</v>
      </c>
      <c r="CV101" s="235">
        <f t="shared" si="110"/>
        <v>0</v>
      </c>
      <c r="CW101" s="235">
        <f t="shared" si="110"/>
        <v>0</v>
      </c>
      <c r="CX101" s="235">
        <f t="shared" si="110"/>
        <v>0</v>
      </c>
      <c r="CY101" s="235">
        <f t="shared" si="110"/>
        <v>0</v>
      </c>
      <c r="CZ101" s="235">
        <f t="shared" si="110"/>
        <v>0</v>
      </c>
      <c r="DA101" s="235">
        <f t="shared" si="110"/>
        <v>0</v>
      </c>
      <c r="DB101" s="235">
        <f t="shared" ref="DB101:EA101" si="111" xml:space="preserve"> DA100</f>
        <v>0</v>
      </c>
      <c r="DC101" s="235">
        <f t="shared" si="111"/>
        <v>0</v>
      </c>
      <c r="DD101" s="235">
        <f t="shared" si="111"/>
        <v>0</v>
      </c>
      <c r="DE101" s="235">
        <f t="shared" si="111"/>
        <v>0</v>
      </c>
      <c r="DF101" s="235">
        <f t="shared" si="111"/>
        <v>0</v>
      </c>
      <c r="DG101" s="235">
        <f t="shared" si="111"/>
        <v>0</v>
      </c>
      <c r="DH101" s="235">
        <f t="shared" si="111"/>
        <v>0</v>
      </c>
      <c r="DI101" s="235">
        <f t="shared" si="111"/>
        <v>1</v>
      </c>
      <c r="DJ101" s="235">
        <f t="shared" si="111"/>
        <v>0</v>
      </c>
      <c r="DK101" s="235">
        <f t="shared" si="111"/>
        <v>0</v>
      </c>
      <c r="DL101" s="235">
        <f t="shared" si="111"/>
        <v>0</v>
      </c>
      <c r="DM101" s="235">
        <f t="shared" si="111"/>
        <v>0</v>
      </c>
      <c r="DN101" s="235">
        <f t="shared" si="111"/>
        <v>0</v>
      </c>
      <c r="DO101" s="235">
        <f t="shared" si="111"/>
        <v>0</v>
      </c>
      <c r="DP101" s="235">
        <f t="shared" si="111"/>
        <v>0</v>
      </c>
      <c r="DQ101" s="235">
        <f t="shared" si="111"/>
        <v>0</v>
      </c>
      <c r="DR101" s="235">
        <f t="shared" si="111"/>
        <v>0</v>
      </c>
      <c r="DS101" s="235">
        <f t="shared" si="111"/>
        <v>0</v>
      </c>
      <c r="DT101" s="235">
        <f t="shared" si="111"/>
        <v>0</v>
      </c>
      <c r="DU101" s="235">
        <f t="shared" si="111"/>
        <v>0</v>
      </c>
      <c r="DV101" s="235">
        <f t="shared" si="111"/>
        <v>0</v>
      </c>
      <c r="DW101" s="235">
        <f t="shared" si="111"/>
        <v>0</v>
      </c>
      <c r="DX101" s="235">
        <f t="shared" si="111"/>
        <v>0</v>
      </c>
      <c r="DY101" s="235">
        <f t="shared" si="111"/>
        <v>0</v>
      </c>
      <c r="DZ101" s="235">
        <f t="shared" si="111"/>
        <v>0</v>
      </c>
      <c r="EA101" s="235">
        <f t="shared" si="111"/>
        <v>0</v>
      </c>
    </row>
    <row r="102" spans="1:131" outlineLevel="2" x14ac:dyDescent="0.35">
      <c r="A102" s="192"/>
      <c r="B102" s="192"/>
      <c r="C102" s="193"/>
      <c r="D102" s="194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/>
      <c r="BK102" s="235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35"/>
      <c r="BW102" s="235"/>
      <c r="BX102" s="235"/>
      <c r="BY102" s="235"/>
      <c r="BZ102" s="235"/>
      <c r="CA102" s="235"/>
      <c r="CB102" s="235"/>
      <c r="CC102" s="235"/>
      <c r="CD102" s="235"/>
      <c r="CE102" s="235"/>
      <c r="CF102" s="235"/>
      <c r="CG102" s="235"/>
      <c r="CH102" s="235"/>
      <c r="CI102" s="235"/>
      <c r="CJ102" s="235"/>
      <c r="CK102" s="235"/>
      <c r="CL102" s="235"/>
      <c r="CM102" s="235"/>
      <c r="CN102" s="235"/>
      <c r="CO102" s="235"/>
      <c r="CP102" s="235"/>
      <c r="CQ102" s="235"/>
      <c r="CR102" s="235"/>
      <c r="CS102" s="235"/>
      <c r="CT102" s="235"/>
      <c r="CU102" s="235"/>
      <c r="CV102" s="235"/>
      <c r="CW102" s="235"/>
      <c r="CX102" s="235"/>
      <c r="CY102" s="235"/>
      <c r="CZ102" s="235"/>
      <c r="DA102" s="235"/>
      <c r="DB102" s="235"/>
      <c r="DC102" s="235"/>
      <c r="DD102" s="235"/>
      <c r="DE102" s="235"/>
      <c r="DF102" s="235"/>
      <c r="DG102" s="235"/>
      <c r="DH102" s="235"/>
      <c r="DI102" s="235"/>
      <c r="DJ102" s="235"/>
      <c r="DK102" s="235"/>
      <c r="DL102" s="235"/>
      <c r="DM102" s="235"/>
      <c r="DN102" s="235"/>
      <c r="DO102" s="235"/>
      <c r="DP102" s="235"/>
      <c r="DQ102" s="235"/>
      <c r="DR102" s="235"/>
      <c r="DS102" s="235"/>
      <c r="DT102" s="235"/>
      <c r="DU102" s="235"/>
      <c r="DV102" s="235"/>
      <c r="DW102" s="235"/>
      <c r="DX102" s="235"/>
      <c r="DY102" s="235"/>
      <c r="DZ102" s="235"/>
      <c r="EA102" s="235"/>
    </row>
    <row r="103" spans="1:131" outlineLevel="2" x14ac:dyDescent="0.35">
      <c r="A103" s="192"/>
      <c r="B103" s="192"/>
      <c r="C103" s="193"/>
      <c r="D103" s="194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  <c r="CT103" s="191"/>
      <c r="CU103" s="191"/>
      <c r="CV103" s="191"/>
      <c r="CW103" s="191"/>
      <c r="CX103" s="191"/>
      <c r="CY103" s="191"/>
      <c r="CZ103" s="191"/>
      <c r="DA103" s="191"/>
      <c r="DB103" s="191"/>
      <c r="DC103" s="191"/>
      <c r="DD103" s="191"/>
      <c r="DE103" s="191"/>
      <c r="DF103" s="191"/>
      <c r="DG103" s="191"/>
      <c r="DH103" s="191"/>
      <c r="DI103" s="191"/>
      <c r="DJ103" s="191"/>
      <c r="DK103" s="191"/>
      <c r="DL103" s="191"/>
      <c r="DM103" s="191"/>
      <c r="DN103" s="191"/>
      <c r="DO103" s="191"/>
      <c r="DP103" s="191"/>
      <c r="DQ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</row>
    <row r="104" spans="1:131" x14ac:dyDescent="0.35">
      <c r="A104" s="192"/>
      <c r="B104" s="192"/>
      <c r="C104" s="193"/>
      <c r="D104" s="194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  <c r="CT104" s="191"/>
      <c r="CU104" s="191"/>
      <c r="CV104" s="191"/>
      <c r="CW104" s="191"/>
      <c r="CX104" s="191"/>
      <c r="CY104" s="191"/>
      <c r="CZ104" s="191"/>
      <c r="DA104" s="191"/>
      <c r="DB104" s="191"/>
      <c r="DC104" s="191"/>
      <c r="DD104" s="191"/>
      <c r="DE104" s="191"/>
      <c r="DF104" s="191"/>
      <c r="DG104" s="191"/>
      <c r="DH104" s="191"/>
      <c r="DI104" s="191"/>
      <c r="DJ104" s="191"/>
      <c r="DK104" s="191"/>
      <c r="DL104" s="191"/>
      <c r="DM104" s="191"/>
      <c r="DN104" s="191"/>
      <c r="DO104" s="191"/>
      <c r="DP104" s="191"/>
      <c r="DQ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</row>
    <row r="105" spans="1:131" x14ac:dyDescent="0.35">
      <c r="A105" s="192" t="s">
        <v>152</v>
      </c>
      <c r="B105" s="192"/>
      <c r="C105" s="193"/>
      <c r="D105" s="194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  <c r="CT105" s="191"/>
      <c r="CU105" s="191"/>
      <c r="CV105" s="191"/>
      <c r="CW105" s="191"/>
      <c r="CX105" s="191"/>
      <c r="CY105" s="191"/>
      <c r="CZ105" s="191"/>
      <c r="DA105" s="191"/>
      <c r="DB105" s="191"/>
      <c r="DC105" s="191"/>
      <c r="DD105" s="191"/>
      <c r="DE105" s="191"/>
      <c r="DF105" s="191"/>
      <c r="DG105" s="191"/>
      <c r="DH105" s="191"/>
      <c r="DI105" s="191"/>
      <c r="DJ105" s="191"/>
      <c r="DK105" s="191"/>
      <c r="DL105" s="191"/>
      <c r="DM105" s="191"/>
      <c r="DN105" s="191"/>
      <c r="DO105" s="191"/>
      <c r="DP105" s="191"/>
      <c r="DQ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</row>
    <row r="106" spans="1:131" outlineLevel="1" x14ac:dyDescent="0.35">
      <c r="A106" s="192"/>
      <c r="B106" s="192"/>
      <c r="C106" s="193"/>
      <c r="D106" s="194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1"/>
      <c r="DI106" s="191"/>
      <c r="DJ106" s="191"/>
      <c r="DK106" s="191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</row>
    <row r="107" spans="1:131" outlineLevel="1" x14ac:dyDescent="0.35">
      <c r="A107" s="192"/>
      <c r="B107" s="192" t="s">
        <v>154</v>
      </c>
      <c r="C107" s="193"/>
      <c r="D107" s="194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  <c r="CT107" s="191"/>
      <c r="CU107" s="191"/>
      <c r="CV107" s="191"/>
      <c r="CW107" s="191"/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1"/>
      <c r="DI107" s="191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</row>
    <row r="108" spans="1:131" outlineLevel="2" x14ac:dyDescent="0.35">
      <c r="A108" s="192"/>
      <c r="B108" s="192"/>
      <c r="C108" s="193"/>
      <c r="D108" s="194"/>
      <c r="E108" s="240" t="str">
        <f t="shared" ref="E108:AJ108" si="112" xml:space="preserve"> E$97</f>
        <v>Operating period flag</v>
      </c>
      <c r="F108" s="240">
        <f t="shared" si="112"/>
        <v>0</v>
      </c>
      <c r="G108" s="240" t="str">
        <f t="shared" si="112"/>
        <v>flag</v>
      </c>
      <c r="H108" s="240">
        <f t="shared" si="112"/>
        <v>100</v>
      </c>
      <c r="I108" s="240">
        <f t="shared" si="112"/>
        <v>0</v>
      </c>
      <c r="J108" s="240">
        <f t="shared" si="112"/>
        <v>0</v>
      </c>
      <c r="K108" s="240">
        <f t="shared" si="112"/>
        <v>0</v>
      </c>
      <c r="L108" s="240">
        <f t="shared" si="112"/>
        <v>0</v>
      </c>
      <c r="M108" s="240">
        <f t="shared" si="112"/>
        <v>1</v>
      </c>
      <c r="N108" s="240">
        <f t="shared" si="112"/>
        <v>1</v>
      </c>
      <c r="O108" s="240">
        <f t="shared" si="112"/>
        <v>1</v>
      </c>
      <c r="P108" s="240">
        <f t="shared" si="112"/>
        <v>1</v>
      </c>
      <c r="Q108" s="240">
        <f t="shared" si="112"/>
        <v>1</v>
      </c>
      <c r="R108" s="240">
        <f t="shared" si="112"/>
        <v>1</v>
      </c>
      <c r="S108" s="240">
        <f t="shared" si="112"/>
        <v>1</v>
      </c>
      <c r="T108" s="240">
        <f t="shared" si="112"/>
        <v>1</v>
      </c>
      <c r="U108" s="240">
        <f t="shared" si="112"/>
        <v>1</v>
      </c>
      <c r="V108" s="240">
        <f t="shared" si="112"/>
        <v>1</v>
      </c>
      <c r="W108" s="240">
        <f t="shared" si="112"/>
        <v>1</v>
      </c>
      <c r="X108" s="240">
        <f t="shared" si="112"/>
        <v>1</v>
      </c>
      <c r="Y108" s="240">
        <f t="shared" si="112"/>
        <v>1</v>
      </c>
      <c r="Z108" s="240">
        <f t="shared" si="112"/>
        <v>1</v>
      </c>
      <c r="AA108" s="240">
        <f t="shared" si="112"/>
        <v>1</v>
      </c>
      <c r="AB108" s="240">
        <f t="shared" si="112"/>
        <v>1</v>
      </c>
      <c r="AC108" s="240">
        <f t="shared" si="112"/>
        <v>1</v>
      </c>
      <c r="AD108" s="240">
        <f t="shared" si="112"/>
        <v>1</v>
      </c>
      <c r="AE108" s="240">
        <f t="shared" si="112"/>
        <v>1</v>
      </c>
      <c r="AF108" s="240">
        <f t="shared" si="112"/>
        <v>1</v>
      </c>
      <c r="AG108" s="240">
        <f t="shared" si="112"/>
        <v>1</v>
      </c>
      <c r="AH108" s="240">
        <f t="shared" si="112"/>
        <v>1</v>
      </c>
      <c r="AI108" s="240">
        <f t="shared" si="112"/>
        <v>1</v>
      </c>
      <c r="AJ108" s="240">
        <f t="shared" si="112"/>
        <v>1</v>
      </c>
      <c r="AK108" s="240">
        <f t="shared" ref="AK108:BP108" si="113" xml:space="preserve"> AK$97</f>
        <v>1</v>
      </c>
      <c r="AL108" s="240">
        <f t="shared" si="113"/>
        <v>1</v>
      </c>
      <c r="AM108" s="240">
        <f t="shared" si="113"/>
        <v>1</v>
      </c>
      <c r="AN108" s="240">
        <f t="shared" si="113"/>
        <v>1</v>
      </c>
      <c r="AO108" s="240">
        <f t="shared" si="113"/>
        <v>1</v>
      </c>
      <c r="AP108" s="240">
        <f t="shared" si="113"/>
        <v>1</v>
      </c>
      <c r="AQ108" s="240">
        <f t="shared" si="113"/>
        <v>1</v>
      </c>
      <c r="AR108" s="240">
        <f t="shared" si="113"/>
        <v>1</v>
      </c>
      <c r="AS108" s="240">
        <f t="shared" si="113"/>
        <v>1</v>
      </c>
      <c r="AT108" s="240">
        <f t="shared" si="113"/>
        <v>1</v>
      </c>
      <c r="AU108" s="240">
        <f t="shared" si="113"/>
        <v>1</v>
      </c>
      <c r="AV108" s="240">
        <f t="shared" si="113"/>
        <v>1</v>
      </c>
      <c r="AW108" s="240">
        <f t="shared" si="113"/>
        <v>1</v>
      </c>
      <c r="AX108" s="240">
        <f t="shared" si="113"/>
        <v>1</v>
      </c>
      <c r="AY108" s="240">
        <f t="shared" si="113"/>
        <v>1</v>
      </c>
      <c r="AZ108" s="240">
        <f t="shared" si="113"/>
        <v>1</v>
      </c>
      <c r="BA108" s="240">
        <f t="shared" si="113"/>
        <v>1</v>
      </c>
      <c r="BB108" s="240">
        <f t="shared" si="113"/>
        <v>1</v>
      </c>
      <c r="BC108" s="240">
        <f t="shared" si="113"/>
        <v>1</v>
      </c>
      <c r="BD108" s="240">
        <f t="shared" si="113"/>
        <v>1</v>
      </c>
      <c r="BE108" s="240">
        <f t="shared" si="113"/>
        <v>1</v>
      </c>
      <c r="BF108" s="240">
        <f t="shared" si="113"/>
        <v>1</v>
      </c>
      <c r="BG108" s="240">
        <f t="shared" si="113"/>
        <v>1</v>
      </c>
      <c r="BH108" s="240">
        <f t="shared" si="113"/>
        <v>1</v>
      </c>
      <c r="BI108" s="240">
        <f t="shared" si="113"/>
        <v>1</v>
      </c>
      <c r="BJ108" s="240">
        <f t="shared" si="113"/>
        <v>1</v>
      </c>
      <c r="BK108" s="240">
        <f t="shared" si="113"/>
        <v>1</v>
      </c>
      <c r="BL108" s="240">
        <f t="shared" si="113"/>
        <v>1</v>
      </c>
      <c r="BM108" s="240">
        <f t="shared" si="113"/>
        <v>1</v>
      </c>
      <c r="BN108" s="240">
        <f t="shared" si="113"/>
        <v>1</v>
      </c>
      <c r="BO108" s="240">
        <f t="shared" si="113"/>
        <v>1</v>
      </c>
      <c r="BP108" s="240">
        <f t="shared" si="113"/>
        <v>1</v>
      </c>
      <c r="BQ108" s="240">
        <f t="shared" ref="BQ108:CV108" si="114" xml:space="preserve"> BQ$97</f>
        <v>1</v>
      </c>
      <c r="BR108" s="240">
        <f t="shared" si="114"/>
        <v>1</v>
      </c>
      <c r="BS108" s="240">
        <f t="shared" si="114"/>
        <v>1</v>
      </c>
      <c r="BT108" s="240">
        <f t="shared" si="114"/>
        <v>1</v>
      </c>
      <c r="BU108" s="240">
        <f t="shared" si="114"/>
        <v>1</v>
      </c>
      <c r="BV108" s="240">
        <f t="shared" si="114"/>
        <v>1</v>
      </c>
      <c r="BW108" s="240">
        <f t="shared" si="114"/>
        <v>1</v>
      </c>
      <c r="BX108" s="240">
        <f t="shared" si="114"/>
        <v>1</v>
      </c>
      <c r="BY108" s="240">
        <f t="shared" si="114"/>
        <v>1</v>
      </c>
      <c r="BZ108" s="240">
        <f t="shared" si="114"/>
        <v>1</v>
      </c>
      <c r="CA108" s="240">
        <f t="shared" si="114"/>
        <v>1</v>
      </c>
      <c r="CB108" s="240">
        <f t="shared" si="114"/>
        <v>1</v>
      </c>
      <c r="CC108" s="240">
        <f t="shared" si="114"/>
        <v>1</v>
      </c>
      <c r="CD108" s="240">
        <f t="shared" si="114"/>
        <v>1</v>
      </c>
      <c r="CE108" s="240">
        <f t="shared" si="114"/>
        <v>1</v>
      </c>
      <c r="CF108" s="240">
        <f t="shared" si="114"/>
        <v>1</v>
      </c>
      <c r="CG108" s="240">
        <f t="shared" si="114"/>
        <v>1</v>
      </c>
      <c r="CH108" s="240">
        <f t="shared" si="114"/>
        <v>1</v>
      </c>
      <c r="CI108" s="240">
        <f t="shared" si="114"/>
        <v>1</v>
      </c>
      <c r="CJ108" s="240">
        <f t="shared" si="114"/>
        <v>1</v>
      </c>
      <c r="CK108" s="240">
        <f t="shared" si="114"/>
        <v>1</v>
      </c>
      <c r="CL108" s="240">
        <f t="shared" si="114"/>
        <v>1</v>
      </c>
      <c r="CM108" s="240">
        <f t="shared" si="114"/>
        <v>1</v>
      </c>
      <c r="CN108" s="240">
        <f t="shared" si="114"/>
        <v>1</v>
      </c>
      <c r="CO108" s="240">
        <f t="shared" si="114"/>
        <v>1</v>
      </c>
      <c r="CP108" s="240">
        <f t="shared" si="114"/>
        <v>1</v>
      </c>
      <c r="CQ108" s="240">
        <f t="shared" si="114"/>
        <v>1</v>
      </c>
      <c r="CR108" s="240">
        <f t="shared" si="114"/>
        <v>1</v>
      </c>
      <c r="CS108" s="240">
        <f t="shared" si="114"/>
        <v>1</v>
      </c>
      <c r="CT108" s="240">
        <f t="shared" si="114"/>
        <v>1</v>
      </c>
      <c r="CU108" s="240">
        <f t="shared" si="114"/>
        <v>1</v>
      </c>
      <c r="CV108" s="240">
        <f t="shared" si="114"/>
        <v>1</v>
      </c>
      <c r="CW108" s="240">
        <f t="shared" ref="CW108:EA108" si="115" xml:space="preserve"> CW$97</f>
        <v>1</v>
      </c>
      <c r="CX108" s="240">
        <f t="shared" si="115"/>
        <v>1</v>
      </c>
      <c r="CY108" s="240">
        <f t="shared" si="115"/>
        <v>1</v>
      </c>
      <c r="CZ108" s="240">
        <f t="shared" si="115"/>
        <v>1</v>
      </c>
      <c r="DA108" s="240">
        <f t="shared" si="115"/>
        <v>1</v>
      </c>
      <c r="DB108" s="240">
        <f t="shared" si="115"/>
        <v>1</v>
      </c>
      <c r="DC108" s="240">
        <f t="shared" si="115"/>
        <v>1</v>
      </c>
      <c r="DD108" s="240">
        <f t="shared" si="115"/>
        <v>1</v>
      </c>
      <c r="DE108" s="240">
        <f t="shared" si="115"/>
        <v>1</v>
      </c>
      <c r="DF108" s="240">
        <f t="shared" si="115"/>
        <v>1</v>
      </c>
      <c r="DG108" s="240">
        <f t="shared" si="115"/>
        <v>1</v>
      </c>
      <c r="DH108" s="240">
        <f t="shared" si="115"/>
        <v>1</v>
      </c>
      <c r="DI108" s="240">
        <f t="shared" si="115"/>
        <v>0</v>
      </c>
      <c r="DJ108" s="240">
        <f t="shared" si="115"/>
        <v>0</v>
      </c>
      <c r="DK108" s="240">
        <f t="shared" si="115"/>
        <v>0</v>
      </c>
      <c r="DL108" s="240">
        <f t="shared" si="115"/>
        <v>0</v>
      </c>
      <c r="DM108" s="240">
        <f t="shared" si="115"/>
        <v>0</v>
      </c>
      <c r="DN108" s="240">
        <f t="shared" si="115"/>
        <v>0</v>
      </c>
      <c r="DO108" s="240">
        <f t="shared" si="115"/>
        <v>0</v>
      </c>
      <c r="DP108" s="240">
        <f t="shared" si="115"/>
        <v>0</v>
      </c>
      <c r="DQ108" s="240">
        <f t="shared" si="115"/>
        <v>0</v>
      </c>
      <c r="DR108" s="240">
        <f t="shared" si="115"/>
        <v>0</v>
      </c>
      <c r="DS108" s="240">
        <f t="shared" si="115"/>
        <v>0</v>
      </c>
      <c r="DT108" s="240">
        <f t="shared" si="115"/>
        <v>0</v>
      </c>
      <c r="DU108" s="240">
        <f t="shared" si="115"/>
        <v>0</v>
      </c>
      <c r="DV108" s="240">
        <f t="shared" si="115"/>
        <v>0</v>
      </c>
      <c r="DW108" s="240">
        <f t="shared" si="115"/>
        <v>0</v>
      </c>
      <c r="DX108" s="240">
        <f t="shared" si="115"/>
        <v>0</v>
      </c>
      <c r="DY108" s="240">
        <f t="shared" si="115"/>
        <v>0</v>
      </c>
      <c r="DZ108" s="240">
        <f t="shared" si="115"/>
        <v>0</v>
      </c>
      <c r="EA108" s="240">
        <f t="shared" si="115"/>
        <v>0</v>
      </c>
    </row>
    <row r="109" spans="1:131" outlineLevel="2" x14ac:dyDescent="0.35">
      <c r="A109" s="192"/>
      <c r="B109" s="192"/>
      <c r="C109" s="193"/>
      <c r="D109" s="194"/>
      <c r="E109" s="191" t="s">
        <v>123</v>
      </c>
      <c r="F109" s="191"/>
      <c r="G109" s="191"/>
      <c r="H109" s="191"/>
      <c r="I109" s="191"/>
      <c r="J109" s="191">
        <f t="shared" ref="J109:AO109" si="116">I109 + J108</f>
        <v>0</v>
      </c>
      <c r="K109" s="191">
        <f t="shared" si="116"/>
        <v>0</v>
      </c>
      <c r="L109" s="191">
        <f t="shared" si="116"/>
        <v>0</v>
      </c>
      <c r="M109" s="191">
        <f t="shared" si="116"/>
        <v>1</v>
      </c>
      <c r="N109" s="191">
        <f t="shared" si="116"/>
        <v>2</v>
      </c>
      <c r="O109" s="191">
        <f t="shared" si="116"/>
        <v>3</v>
      </c>
      <c r="P109" s="191">
        <f t="shared" si="116"/>
        <v>4</v>
      </c>
      <c r="Q109" s="191">
        <f t="shared" si="116"/>
        <v>5</v>
      </c>
      <c r="R109" s="191">
        <f t="shared" si="116"/>
        <v>6</v>
      </c>
      <c r="S109" s="191">
        <f t="shared" si="116"/>
        <v>7</v>
      </c>
      <c r="T109" s="191">
        <f t="shared" si="116"/>
        <v>8</v>
      </c>
      <c r="U109" s="191">
        <f t="shared" si="116"/>
        <v>9</v>
      </c>
      <c r="V109" s="191">
        <f t="shared" si="116"/>
        <v>10</v>
      </c>
      <c r="W109" s="191">
        <f t="shared" si="116"/>
        <v>11</v>
      </c>
      <c r="X109" s="191">
        <f t="shared" si="116"/>
        <v>12</v>
      </c>
      <c r="Y109" s="191">
        <f t="shared" si="116"/>
        <v>13</v>
      </c>
      <c r="Z109" s="191">
        <f t="shared" si="116"/>
        <v>14</v>
      </c>
      <c r="AA109" s="191">
        <f t="shared" si="116"/>
        <v>15</v>
      </c>
      <c r="AB109" s="191">
        <f t="shared" si="116"/>
        <v>16</v>
      </c>
      <c r="AC109" s="191">
        <f t="shared" si="116"/>
        <v>17</v>
      </c>
      <c r="AD109" s="191">
        <f t="shared" si="116"/>
        <v>18</v>
      </c>
      <c r="AE109" s="191">
        <f t="shared" si="116"/>
        <v>19</v>
      </c>
      <c r="AF109" s="191">
        <f t="shared" si="116"/>
        <v>20</v>
      </c>
      <c r="AG109" s="191">
        <f t="shared" si="116"/>
        <v>21</v>
      </c>
      <c r="AH109" s="191">
        <f t="shared" si="116"/>
        <v>22</v>
      </c>
      <c r="AI109" s="191">
        <f t="shared" si="116"/>
        <v>23</v>
      </c>
      <c r="AJ109" s="191">
        <f t="shared" si="116"/>
        <v>24</v>
      </c>
      <c r="AK109" s="191">
        <f t="shared" si="116"/>
        <v>25</v>
      </c>
      <c r="AL109" s="191">
        <f t="shared" si="116"/>
        <v>26</v>
      </c>
      <c r="AM109" s="191">
        <f t="shared" si="116"/>
        <v>27</v>
      </c>
      <c r="AN109" s="191">
        <f t="shared" si="116"/>
        <v>28</v>
      </c>
      <c r="AO109" s="191">
        <f t="shared" si="116"/>
        <v>29</v>
      </c>
      <c r="AP109" s="191">
        <f t="shared" ref="AP109:BU109" si="117">AO109 + AP108</f>
        <v>30</v>
      </c>
      <c r="AQ109" s="191">
        <f t="shared" si="117"/>
        <v>31</v>
      </c>
      <c r="AR109" s="191">
        <f t="shared" si="117"/>
        <v>32</v>
      </c>
      <c r="AS109" s="191">
        <f t="shared" si="117"/>
        <v>33</v>
      </c>
      <c r="AT109" s="191">
        <f t="shared" si="117"/>
        <v>34</v>
      </c>
      <c r="AU109" s="191">
        <f t="shared" si="117"/>
        <v>35</v>
      </c>
      <c r="AV109" s="191">
        <f t="shared" si="117"/>
        <v>36</v>
      </c>
      <c r="AW109" s="191">
        <f t="shared" si="117"/>
        <v>37</v>
      </c>
      <c r="AX109" s="191">
        <f t="shared" si="117"/>
        <v>38</v>
      </c>
      <c r="AY109" s="191">
        <f t="shared" si="117"/>
        <v>39</v>
      </c>
      <c r="AZ109" s="191">
        <f t="shared" si="117"/>
        <v>40</v>
      </c>
      <c r="BA109" s="191">
        <f t="shared" si="117"/>
        <v>41</v>
      </c>
      <c r="BB109" s="191">
        <f t="shared" si="117"/>
        <v>42</v>
      </c>
      <c r="BC109" s="191">
        <f t="shared" si="117"/>
        <v>43</v>
      </c>
      <c r="BD109" s="191">
        <f t="shared" si="117"/>
        <v>44</v>
      </c>
      <c r="BE109" s="191">
        <f t="shared" si="117"/>
        <v>45</v>
      </c>
      <c r="BF109" s="191">
        <f t="shared" si="117"/>
        <v>46</v>
      </c>
      <c r="BG109" s="191">
        <f t="shared" si="117"/>
        <v>47</v>
      </c>
      <c r="BH109" s="191">
        <f t="shared" si="117"/>
        <v>48</v>
      </c>
      <c r="BI109" s="191">
        <f t="shared" si="117"/>
        <v>49</v>
      </c>
      <c r="BJ109" s="191">
        <f t="shared" si="117"/>
        <v>50</v>
      </c>
      <c r="BK109" s="191">
        <f t="shared" si="117"/>
        <v>51</v>
      </c>
      <c r="BL109" s="191">
        <f t="shared" si="117"/>
        <v>52</v>
      </c>
      <c r="BM109" s="191">
        <f t="shared" si="117"/>
        <v>53</v>
      </c>
      <c r="BN109" s="191">
        <f t="shared" si="117"/>
        <v>54</v>
      </c>
      <c r="BO109" s="191">
        <f t="shared" si="117"/>
        <v>55</v>
      </c>
      <c r="BP109" s="191">
        <f t="shared" si="117"/>
        <v>56</v>
      </c>
      <c r="BQ109" s="191">
        <f t="shared" si="117"/>
        <v>57</v>
      </c>
      <c r="BR109" s="191">
        <f t="shared" si="117"/>
        <v>58</v>
      </c>
      <c r="BS109" s="191">
        <f t="shared" si="117"/>
        <v>59</v>
      </c>
      <c r="BT109" s="191">
        <f t="shared" si="117"/>
        <v>60</v>
      </c>
      <c r="BU109" s="191">
        <f t="shared" si="117"/>
        <v>61</v>
      </c>
      <c r="BV109" s="191">
        <f t="shared" ref="BV109:DA109" si="118">BU109 + BV108</f>
        <v>62</v>
      </c>
      <c r="BW109" s="191">
        <f t="shared" si="118"/>
        <v>63</v>
      </c>
      <c r="BX109" s="191">
        <f t="shared" si="118"/>
        <v>64</v>
      </c>
      <c r="BY109" s="191">
        <f t="shared" si="118"/>
        <v>65</v>
      </c>
      <c r="BZ109" s="191">
        <f t="shared" si="118"/>
        <v>66</v>
      </c>
      <c r="CA109" s="191">
        <f t="shared" si="118"/>
        <v>67</v>
      </c>
      <c r="CB109" s="191">
        <f t="shared" si="118"/>
        <v>68</v>
      </c>
      <c r="CC109" s="191">
        <f t="shared" si="118"/>
        <v>69</v>
      </c>
      <c r="CD109" s="191">
        <f t="shared" si="118"/>
        <v>70</v>
      </c>
      <c r="CE109" s="191">
        <f t="shared" si="118"/>
        <v>71</v>
      </c>
      <c r="CF109" s="191">
        <f t="shared" si="118"/>
        <v>72</v>
      </c>
      <c r="CG109" s="191">
        <f t="shared" si="118"/>
        <v>73</v>
      </c>
      <c r="CH109" s="191">
        <f t="shared" si="118"/>
        <v>74</v>
      </c>
      <c r="CI109" s="191">
        <f t="shared" si="118"/>
        <v>75</v>
      </c>
      <c r="CJ109" s="191">
        <f t="shared" si="118"/>
        <v>76</v>
      </c>
      <c r="CK109" s="191">
        <f t="shared" si="118"/>
        <v>77</v>
      </c>
      <c r="CL109" s="191">
        <f t="shared" si="118"/>
        <v>78</v>
      </c>
      <c r="CM109" s="191">
        <f t="shared" si="118"/>
        <v>79</v>
      </c>
      <c r="CN109" s="191">
        <f t="shared" si="118"/>
        <v>80</v>
      </c>
      <c r="CO109" s="191">
        <f t="shared" si="118"/>
        <v>81</v>
      </c>
      <c r="CP109" s="191">
        <f t="shared" si="118"/>
        <v>82</v>
      </c>
      <c r="CQ109" s="191">
        <f t="shared" si="118"/>
        <v>83</v>
      </c>
      <c r="CR109" s="191">
        <f t="shared" si="118"/>
        <v>84</v>
      </c>
      <c r="CS109" s="191">
        <f t="shared" si="118"/>
        <v>85</v>
      </c>
      <c r="CT109" s="191">
        <f t="shared" si="118"/>
        <v>86</v>
      </c>
      <c r="CU109" s="191">
        <f t="shared" si="118"/>
        <v>87</v>
      </c>
      <c r="CV109" s="191">
        <f t="shared" si="118"/>
        <v>88</v>
      </c>
      <c r="CW109" s="191">
        <f t="shared" si="118"/>
        <v>89</v>
      </c>
      <c r="CX109" s="191">
        <f t="shared" si="118"/>
        <v>90</v>
      </c>
      <c r="CY109" s="191">
        <f t="shared" si="118"/>
        <v>91</v>
      </c>
      <c r="CZ109" s="191">
        <f t="shared" si="118"/>
        <v>92</v>
      </c>
      <c r="DA109" s="191">
        <f t="shared" si="118"/>
        <v>93</v>
      </c>
      <c r="DB109" s="191">
        <f t="shared" ref="DB109:EA109" si="119">DA109 + DB108</f>
        <v>94</v>
      </c>
      <c r="DC109" s="191">
        <f t="shared" si="119"/>
        <v>95</v>
      </c>
      <c r="DD109" s="191">
        <f t="shared" si="119"/>
        <v>96</v>
      </c>
      <c r="DE109" s="191">
        <f t="shared" si="119"/>
        <v>97</v>
      </c>
      <c r="DF109" s="191">
        <f t="shared" si="119"/>
        <v>98</v>
      </c>
      <c r="DG109" s="191">
        <f t="shared" si="119"/>
        <v>99</v>
      </c>
      <c r="DH109" s="191">
        <f t="shared" si="119"/>
        <v>100</v>
      </c>
      <c r="DI109" s="191">
        <f t="shared" si="119"/>
        <v>100</v>
      </c>
      <c r="DJ109" s="191">
        <f t="shared" si="119"/>
        <v>100</v>
      </c>
      <c r="DK109" s="191">
        <f t="shared" si="119"/>
        <v>100</v>
      </c>
      <c r="DL109" s="191">
        <f t="shared" si="119"/>
        <v>100</v>
      </c>
      <c r="DM109" s="191">
        <f t="shared" si="119"/>
        <v>100</v>
      </c>
      <c r="DN109" s="191">
        <f t="shared" si="119"/>
        <v>100</v>
      </c>
      <c r="DO109" s="191">
        <f t="shared" si="119"/>
        <v>100</v>
      </c>
      <c r="DP109" s="191">
        <f t="shared" si="119"/>
        <v>100</v>
      </c>
      <c r="DQ109" s="191">
        <f t="shared" si="119"/>
        <v>100</v>
      </c>
      <c r="DR109" s="191">
        <f t="shared" si="119"/>
        <v>100</v>
      </c>
      <c r="DS109" s="191">
        <f t="shared" si="119"/>
        <v>100</v>
      </c>
      <c r="DT109" s="191">
        <f t="shared" si="119"/>
        <v>100</v>
      </c>
      <c r="DU109" s="191">
        <f t="shared" si="119"/>
        <v>100</v>
      </c>
      <c r="DV109" s="191">
        <f t="shared" si="119"/>
        <v>100</v>
      </c>
      <c r="DW109" s="191">
        <f t="shared" si="119"/>
        <v>100</v>
      </c>
      <c r="DX109" s="191">
        <f t="shared" si="119"/>
        <v>100</v>
      </c>
      <c r="DY109" s="191">
        <f t="shared" si="119"/>
        <v>100</v>
      </c>
      <c r="DZ109" s="191">
        <f t="shared" si="119"/>
        <v>100</v>
      </c>
      <c r="EA109" s="191">
        <f t="shared" si="119"/>
        <v>100</v>
      </c>
    </row>
    <row r="110" spans="1:131" outlineLevel="2" x14ac:dyDescent="0.35">
      <c r="A110" s="192"/>
      <c r="B110" s="192"/>
      <c r="C110" s="193"/>
      <c r="D110" s="194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  <c r="CT110" s="191"/>
      <c r="CU110" s="191"/>
      <c r="CV110" s="191"/>
      <c r="CW110" s="191"/>
      <c r="CX110" s="191"/>
      <c r="CY110" s="191"/>
      <c r="CZ110" s="191"/>
      <c r="DA110" s="191"/>
      <c r="DB110" s="191"/>
      <c r="DC110" s="191"/>
      <c r="DD110" s="191"/>
      <c r="DE110" s="191"/>
      <c r="DF110" s="191"/>
      <c r="DG110" s="191"/>
      <c r="DH110" s="191"/>
      <c r="DI110" s="191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</row>
    <row r="111" spans="1:131" outlineLevel="2" x14ac:dyDescent="0.35">
      <c r="A111" s="51"/>
      <c r="B111" s="51"/>
      <c r="C111" s="52"/>
      <c r="D111" s="53"/>
      <c r="E111" s="38" t="str">
        <f xml:space="preserve"> InpC!E$30</f>
        <v>Number of periods in a year</v>
      </c>
      <c r="F111" s="38">
        <f xml:space="preserve"> InpC!F$30</f>
        <v>4</v>
      </c>
      <c r="G111" s="38" t="str">
        <f xml:space="preserve"> InpC!G$30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outlineLevel="2" x14ac:dyDescent="0.35">
      <c r="A112" s="192"/>
      <c r="B112" s="192"/>
      <c r="C112" s="193"/>
      <c r="D112" s="194"/>
      <c r="E112" s="240" t="str">
        <f t="shared" ref="E112:AJ112" si="120" xml:space="preserve"> E$109</f>
        <v>Contract period number</v>
      </c>
      <c r="F112" s="240">
        <f t="shared" si="120"/>
        <v>0</v>
      </c>
      <c r="G112" s="240">
        <f t="shared" si="120"/>
        <v>0</v>
      </c>
      <c r="H112" s="240">
        <f t="shared" si="120"/>
        <v>0</v>
      </c>
      <c r="I112" s="240">
        <f t="shared" si="120"/>
        <v>0</v>
      </c>
      <c r="J112" s="240">
        <f t="shared" si="120"/>
        <v>0</v>
      </c>
      <c r="K112" s="240">
        <f t="shared" si="120"/>
        <v>0</v>
      </c>
      <c r="L112" s="240">
        <f t="shared" si="120"/>
        <v>0</v>
      </c>
      <c r="M112" s="240">
        <f t="shared" si="120"/>
        <v>1</v>
      </c>
      <c r="N112" s="240">
        <f t="shared" si="120"/>
        <v>2</v>
      </c>
      <c r="O112" s="240">
        <f t="shared" si="120"/>
        <v>3</v>
      </c>
      <c r="P112" s="240">
        <f t="shared" si="120"/>
        <v>4</v>
      </c>
      <c r="Q112" s="240">
        <f t="shared" si="120"/>
        <v>5</v>
      </c>
      <c r="R112" s="240">
        <f t="shared" si="120"/>
        <v>6</v>
      </c>
      <c r="S112" s="240">
        <f t="shared" si="120"/>
        <v>7</v>
      </c>
      <c r="T112" s="240">
        <f t="shared" si="120"/>
        <v>8</v>
      </c>
      <c r="U112" s="240">
        <f t="shared" si="120"/>
        <v>9</v>
      </c>
      <c r="V112" s="240">
        <f t="shared" si="120"/>
        <v>10</v>
      </c>
      <c r="W112" s="240">
        <f t="shared" si="120"/>
        <v>11</v>
      </c>
      <c r="X112" s="240">
        <f t="shared" si="120"/>
        <v>12</v>
      </c>
      <c r="Y112" s="240">
        <f t="shared" si="120"/>
        <v>13</v>
      </c>
      <c r="Z112" s="240">
        <f t="shared" si="120"/>
        <v>14</v>
      </c>
      <c r="AA112" s="240">
        <f t="shared" si="120"/>
        <v>15</v>
      </c>
      <c r="AB112" s="240">
        <f t="shared" si="120"/>
        <v>16</v>
      </c>
      <c r="AC112" s="240">
        <f t="shared" si="120"/>
        <v>17</v>
      </c>
      <c r="AD112" s="240">
        <f t="shared" si="120"/>
        <v>18</v>
      </c>
      <c r="AE112" s="240">
        <f t="shared" si="120"/>
        <v>19</v>
      </c>
      <c r="AF112" s="240">
        <f t="shared" si="120"/>
        <v>20</v>
      </c>
      <c r="AG112" s="240">
        <f t="shared" si="120"/>
        <v>21</v>
      </c>
      <c r="AH112" s="240">
        <f t="shared" si="120"/>
        <v>22</v>
      </c>
      <c r="AI112" s="240">
        <f t="shared" si="120"/>
        <v>23</v>
      </c>
      <c r="AJ112" s="240">
        <f t="shared" si="120"/>
        <v>24</v>
      </c>
      <c r="AK112" s="240">
        <f t="shared" ref="AK112:BP112" si="121" xml:space="preserve"> AK$109</f>
        <v>25</v>
      </c>
      <c r="AL112" s="240">
        <f t="shared" si="121"/>
        <v>26</v>
      </c>
      <c r="AM112" s="240">
        <f t="shared" si="121"/>
        <v>27</v>
      </c>
      <c r="AN112" s="240">
        <f t="shared" si="121"/>
        <v>28</v>
      </c>
      <c r="AO112" s="240">
        <f t="shared" si="121"/>
        <v>29</v>
      </c>
      <c r="AP112" s="240">
        <f t="shared" si="121"/>
        <v>30</v>
      </c>
      <c r="AQ112" s="240">
        <f t="shared" si="121"/>
        <v>31</v>
      </c>
      <c r="AR112" s="240">
        <f t="shared" si="121"/>
        <v>32</v>
      </c>
      <c r="AS112" s="240">
        <f t="shared" si="121"/>
        <v>33</v>
      </c>
      <c r="AT112" s="240">
        <f t="shared" si="121"/>
        <v>34</v>
      </c>
      <c r="AU112" s="240">
        <f t="shared" si="121"/>
        <v>35</v>
      </c>
      <c r="AV112" s="240">
        <f t="shared" si="121"/>
        <v>36</v>
      </c>
      <c r="AW112" s="240">
        <f t="shared" si="121"/>
        <v>37</v>
      </c>
      <c r="AX112" s="240">
        <f t="shared" si="121"/>
        <v>38</v>
      </c>
      <c r="AY112" s="240">
        <f t="shared" si="121"/>
        <v>39</v>
      </c>
      <c r="AZ112" s="240">
        <f t="shared" si="121"/>
        <v>40</v>
      </c>
      <c r="BA112" s="240">
        <f t="shared" si="121"/>
        <v>41</v>
      </c>
      <c r="BB112" s="240">
        <f t="shared" si="121"/>
        <v>42</v>
      </c>
      <c r="BC112" s="240">
        <f t="shared" si="121"/>
        <v>43</v>
      </c>
      <c r="BD112" s="240">
        <f t="shared" si="121"/>
        <v>44</v>
      </c>
      <c r="BE112" s="240">
        <f t="shared" si="121"/>
        <v>45</v>
      </c>
      <c r="BF112" s="240">
        <f t="shared" si="121"/>
        <v>46</v>
      </c>
      <c r="BG112" s="240">
        <f t="shared" si="121"/>
        <v>47</v>
      </c>
      <c r="BH112" s="240">
        <f t="shared" si="121"/>
        <v>48</v>
      </c>
      <c r="BI112" s="240">
        <f t="shared" si="121"/>
        <v>49</v>
      </c>
      <c r="BJ112" s="240">
        <f t="shared" si="121"/>
        <v>50</v>
      </c>
      <c r="BK112" s="240">
        <f t="shared" si="121"/>
        <v>51</v>
      </c>
      <c r="BL112" s="240">
        <f t="shared" si="121"/>
        <v>52</v>
      </c>
      <c r="BM112" s="240">
        <f t="shared" si="121"/>
        <v>53</v>
      </c>
      <c r="BN112" s="240">
        <f t="shared" si="121"/>
        <v>54</v>
      </c>
      <c r="BO112" s="240">
        <f t="shared" si="121"/>
        <v>55</v>
      </c>
      <c r="BP112" s="240">
        <f t="shared" si="121"/>
        <v>56</v>
      </c>
      <c r="BQ112" s="240">
        <f t="shared" ref="BQ112:CV112" si="122" xml:space="preserve"> BQ$109</f>
        <v>57</v>
      </c>
      <c r="BR112" s="240">
        <f t="shared" si="122"/>
        <v>58</v>
      </c>
      <c r="BS112" s="240">
        <f t="shared" si="122"/>
        <v>59</v>
      </c>
      <c r="BT112" s="240">
        <f t="shared" si="122"/>
        <v>60</v>
      </c>
      <c r="BU112" s="240">
        <f t="shared" si="122"/>
        <v>61</v>
      </c>
      <c r="BV112" s="240">
        <f t="shared" si="122"/>
        <v>62</v>
      </c>
      <c r="BW112" s="240">
        <f t="shared" si="122"/>
        <v>63</v>
      </c>
      <c r="BX112" s="240">
        <f t="shared" si="122"/>
        <v>64</v>
      </c>
      <c r="BY112" s="240">
        <f t="shared" si="122"/>
        <v>65</v>
      </c>
      <c r="BZ112" s="240">
        <f t="shared" si="122"/>
        <v>66</v>
      </c>
      <c r="CA112" s="240">
        <f t="shared" si="122"/>
        <v>67</v>
      </c>
      <c r="CB112" s="240">
        <f t="shared" si="122"/>
        <v>68</v>
      </c>
      <c r="CC112" s="240">
        <f t="shared" si="122"/>
        <v>69</v>
      </c>
      <c r="CD112" s="240">
        <f t="shared" si="122"/>
        <v>70</v>
      </c>
      <c r="CE112" s="240">
        <f t="shared" si="122"/>
        <v>71</v>
      </c>
      <c r="CF112" s="240">
        <f t="shared" si="122"/>
        <v>72</v>
      </c>
      <c r="CG112" s="240">
        <f t="shared" si="122"/>
        <v>73</v>
      </c>
      <c r="CH112" s="240">
        <f t="shared" si="122"/>
        <v>74</v>
      </c>
      <c r="CI112" s="240">
        <f t="shared" si="122"/>
        <v>75</v>
      </c>
      <c r="CJ112" s="240">
        <f t="shared" si="122"/>
        <v>76</v>
      </c>
      <c r="CK112" s="240">
        <f t="shared" si="122"/>
        <v>77</v>
      </c>
      <c r="CL112" s="240">
        <f t="shared" si="122"/>
        <v>78</v>
      </c>
      <c r="CM112" s="240">
        <f t="shared" si="122"/>
        <v>79</v>
      </c>
      <c r="CN112" s="240">
        <f t="shared" si="122"/>
        <v>80</v>
      </c>
      <c r="CO112" s="240">
        <f t="shared" si="122"/>
        <v>81</v>
      </c>
      <c r="CP112" s="240">
        <f t="shared" si="122"/>
        <v>82</v>
      </c>
      <c r="CQ112" s="240">
        <f t="shared" si="122"/>
        <v>83</v>
      </c>
      <c r="CR112" s="240">
        <f t="shared" si="122"/>
        <v>84</v>
      </c>
      <c r="CS112" s="240">
        <f t="shared" si="122"/>
        <v>85</v>
      </c>
      <c r="CT112" s="240">
        <f t="shared" si="122"/>
        <v>86</v>
      </c>
      <c r="CU112" s="240">
        <f t="shared" si="122"/>
        <v>87</v>
      </c>
      <c r="CV112" s="240">
        <f t="shared" si="122"/>
        <v>88</v>
      </c>
      <c r="CW112" s="240">
        <f t="shared" ref="CW112:EA112" si="123" xml:space="preserve"> CW$109</f>
        <v>89</v>
      </c>
      <c r="CX112" s="240">
        <f t="shared" si="123"/>
        <v>90</v>
      </c>
      <c r="CY112" s="240">
        <f t="shared" si="123"/>
        <v>91</v>
      </c>
      <c r="CZ112" s="240">
        <f t="shared" si="123"/>
        <v>92</v>
      </c>
      <c r="DA112" s="240">
        <f t="shared" si="123"/>
        <v>93</v>
      </c>
      <c r="DB112" s="240">
        <f t="shared" si="123"/>
        <v>94</v>
      </c>
      <c r="DC112" s="240">
        <f t="shared" si="123"/>
        <v>95</v>
      </c>
      <c r="DD112" s="240">
        <f t="shared" si="123"/>
        <v>96</v>
      </c>
      <c r="DE112" s="240">
        <f t="shared" si="123"/>
        <v>97</v>
      </c>
      <c r="DF112" s="240">
        <f t="shared" si="123"/>
        <v>98</v>
      </c>
      <c r="DG112" s="240">
        <f t="shared" si="123"/>
        <v>99</v>
      </c>
      <c r="DH112" s="240">
        <f t="shared" si="123"/>
        <v>100</v>
      </c>
      <c r="DI112" s="240">
        <f t="shared" si="123"/>
        <v>100</v>
      </c>
      <c r="DJ112" s="240">
        <f t="shared" si="123"/>
        <v>100</v>
      </c>
      <c r="DK112" s="240">
        <f t="shared" si="123"/>
        <v>100</v>
      </c>
      <c r="DL112" s="240">
        <f t="shared" si="123"/>
        <v>100</v>
      </c>
      <c r="DM112" s="240">
        <f t="shared" si="123"/>
        <v>100</v>
      </c>
      <c r="DN112" s="240">
        <f t="shared" si="123"/>
        <v>100</v>
      </c>
      <c r="DO112" s="240">
        <f t="shared" si="123"/>
        <v>100</v>
      </c>
      <c r="DP112" s="240">
        <f t="shared" si="123"/>
        <v>100</v>
      </c>
      <c r="DQ112" s="240">
        <f t="shared" si="123"/>
        <v>100</v>
      </c>
      <c r="DR112" s="240">
        <f t="shared" si="123"/>
        <v>100</v>
      </c>
      <c r="DS112" s="240">
        <f t="shared" si="123"/>
        <v>100</v>
      </c>
      <c r="DT112" s="240">
        <f t="shared" si="123"/>
        <v>100</v>
      </c>
      <c r="DU112" s="240">
        <f t="shared" si="123"/>
        <v>100</v>
      </c>
      <c r="DV112" s="240">
        <f t="shared" si="123"/>
        <v>100</v>
      </c>
      <c r="DW112" s="240">
        <f t="shared" si="123"/>
        <v>100</v>
      </c>
      <c r="DX112" s="240">
        <f t="shared" si="123"/>
        <v>100</v>
      </c>
      <c r="DY112" s="240">
        <f t="shared" si="123"/>
        <v>100</v>
      </c>
      <c r="DZ112" s="240">
        <f t="shared" si="123"/>
        <v>100</v>
      </c>
      <c r="EA112" s="240">
        <f t="shared" si="123"/>
        <v>100</v>
      </c>
    </row>
    <row r="113" spans="1:131" outlineLevel="2" x14ac:dyDescent="0.35">
      <c r="A113" s="192"/>
      <c r="B113" s="192"/>
      <c r="C113" s="193"/>
      <c r="D113" s="194"/>
      <c r="E113" s="240" t="str">
        <f t="shared" ref="E113:BP113" si="124" xml:space="preserve"> E$97</f>
        <v>Operating period flag</v>
      </c>
      <c r="F113" s="240">
        <f t="shared" si="124"/>
        <v>0</v>
      </c>
      <c r="G113" s="240" t="str">
        <f t="shared" si="124"/>
        <v>flag</v>
      </c>
      <c r="H113" s="240">
        <f t="shared" si="124"/>
        <v>100</v>
      </c>
      <c r="I113" s="240">
        <f t="shared" si="124"/>
        <v>0</v>
      </c>
      <c r="J113" s="240">
        <f t="shared" si="124"/>
        <v>0</v>
      </c>
      <c r="K113" s="240">
        <f t="shared" si="124"/>
        <v>0</v>
      </c>
      <c r="L113" s="240">
        <f t="shared" si="124"/>
        <v>0</v>
      </c>
      <c r="M113" s="240">
        <f t="shared" si="124"/>
        <v>1</v>
      </c>
      <c r="N113" s="240">
        <f t="shared" si="124"/>
        <v>1</v>
      </c>
      <c r="O113" s="240">
        <f t="shared" si="124"/>
        <v>1</v>
      </c>
      <c r="P113" s="240">
        <f t="shared" si="124"/>
        <v>1</v>
      </c>
      <c r="Q113" s="240">
        <f t="shared" si="124"/>
        <v>1</v>
      </c>
      <c r="R113" s="240">
        <f t="shared" si="124"/>
        <v>1</v>
      </c>
      <c r="S113" s="240">
        <f t="shared" si="124"/>
        <v>1</v>
      </c>
      <c r="T113" s="240">
        <f t="shared" si="124"/>
        <v>1</v>
      </c>
      <c r="U113" s="240">
        <f t="shared" si="124"/>
        <v>1</v>
      </c>
      <c r="V113" s="240">
        <f t="shared" si="124"/>
        <v>1</v>
      </c>
      <c r="W113" s="240">
        <f t="shared" si="124"/>
        <v>1</v>
      </c>
      <c r="X113" s="240">
        <f t="shared" si="124"/>
        <v>1</v>
      </c>
      <c r="Y113" s="240">
        <f t="shared" si="124"/>
        <v>1</v>
      </c>
      <c r="Z113" s="240">
        <f t="shared" si="124"/>
        <v>1</v>
      </c>
      <c r="AA113" s="240">
        <f t="shared" si="124"/>
        <v>1</v>
      </c>
      <c r="AB113" s="240">
        <f t="shared" si="124"/>
        <v>1</v>
      </c>
      <c r="AC113" s="240">
        <f t="shared" si="124"/>
        <v>1</v>
      </c>
      <c r="AD113" s="240">
        <f t="shared" si="124"/>
        <v>1</v>
      </c>
      <c r="AE113" s="240">
        <f t="shared" si="124"/>
        <v>1</v>
      </c>
      <c r="AF113" s="240">
        <f t="shared" si="124"/>
        <v>1</v>
      </c>
      <c r="AG113" s="240">
        <f t="shared" si="124"/>
        <v>1</v>
      </c>
      <c r="AH113" s="240">
        <f t="shared" si="124"/>
        <v>1</v>
      </c>
      <c r="AI113" s="240">
        <f t="shared" si="124"/>
        <v>1</v>
      </c>
      <c r="AJ113" s="240">
        <f t="shared" si="124"/>
        <v>1</v>
      </c>
      <c r="AK113" s="240">
        <f t="shared" si="124"/>
        <v>1</v>
      </c>
      <c r="AL113" s="240">
        <f t="shared" si="124"/>
        <v>1</v>
      </c>
      <c r="AM113" s="240">
        <f t="shared" si="124"/>
        <v>1</v>
      </c>
      <c r="AN113" s="240">
        <f t="shared" si="124"/>
        <v>1</v>
      </c>
      <c r="AO113" s="240">
        <f t="shared" si="124"/>
        <v>1</v>
      </c>
      <c r="AP113" s="240">
        <f t="shared" si="124"/>
        <v>1</v>
      </c>
      <c r="AQ113" s="240">
        <f t="shared" si="124"/>
        <v>1</v>
      </c>
      <c r="AR113" s="240">
        <f t="shared" si="124"/>
        <v>1</v>
      </c>
      <c r="AS113" s="240">
        <f t="shared" si="124"/>
        <v>1</v>
      </c>
      <c r="AT113" s="240">
        <f t="shared" si="124"/>
        <v>1</v>
      </c>
      <c r="AU113" s="240">
        <f t="shared" si="124"/>
        <v>1</v>
      </c>
      <c r="AV113" s="240">
        <f t="shared" si="124"/>
        <v>1</v>
      </c>
      <c r="AW113" s="240">
        <f t="shared" si="124"/>
        <v>1</v>
      </c>
      <c r="AX113" s="240">
        <f t="shared" si="124"/>
        <v>1</v>
      </c>
      <c r="AY113" s="240">
        <f t="shared" si="124"/>
        <v>1</v>
      </c>
      <c r="AZ113" s="240">
        <f t="shared" si="124"/>
        <v>1</v>
      </c>
      <c r="BA113" s="240">
        <f t="shared" si="124"/>
        <v>1</v>
      </c>
      <c r="BB113" s="240">
        <f t="shared" si="124"/>
        <v>1</v>
      </c>
      <c r="BC113" s="240">
        <f t="shared" si="124"/>
        <v>1</v>
      </c>
      <c r="BD113" s="240">
        <f t="shared" si="124"/>
        <v>1</v>
      </c>
      <c r="BE113" s="240">
        <f t="shared" si="124"/>
        <v>1</v>
      </c>
      <c r="BF113" s="240">
        <f t="shared" si="124"/>
        <v>1</v>
      </c>
      <c r="BG113" s="240">
        <f t="shared" si="124"/>
        <v>1</v>
      </c>
      <c r="BH113" s="240">
        <f t="shared" si="124"/>
        <v>1</v>
      </c>
      <c r="BI113" s="240">
        <f t="shared" si="124"/>
        <v>1</v>
      </c>
      <c r="BJ113" s="240">
        <f t="shared" si="124"/>
        <v>1</v>
      </c>
      <c r="BK113" s="240">
        <f t="shared" si="124"/>
        <v>1</v>
      </c>
      <c r="BL113" s="240">
        <f t="shared" si="124"/>
        <v>1</v>
      </c>
      <c r="BM113" s="240">
        <f t="shared" si="124"/>
        <v>1</v>
      </c>
      <c r="BN113" s="240">
        <f t="shared" si="124"/>
        <v>1</v>
      </c>
      <c r="BO113" s="240">
        <f t="shared" si="124"/>
        <v>1</v>
      </c>
      <c r="BP113" s="240">
        <f t="shared" si="124"/>
        <v>1</v>
      </c>
      <c r="BQ113" s="240">
        <f t="shared" ref="BQ113:EA113" si="125" xml:space="preserve"> BQ$97</f>
        <v>1</v>
      </c>
      <c r="BR113" s="240">
        <f t="shared" si="125"/>
        <v>1</v>
      </c>
      <c r="BS113" s="240">
        <f t="shared" si="125"/>
        <v>1</v>
      </c>
      <c r="BT113" s="240">
        <f t="shared" si="125"/>
        <v>1</v>
      </c>
      <c r="BU113" s="240">
        <f t="shared" si="125"/>
        <v>1</v>
      </c>
      <c r="BV113" s="240">
        <f t="shared" si="125"/>
        <v>1</v>
      </c>
      <c r="BW113" s="240">
        <f t="shared" si="125"/>
        <v>1</v>
      </c>
      <c r="BX113" s="240">
        <f t="shared" si="125"/>
        <v>1</v>
      </c>
      <c r="BY113" s="240">
        <f t="shared" si="125"/>
        <v>1</v>
      </c>
      <c r="BZ113" s="240">
        <f t="shared" si="125"/>
        <v>1</v>
      </c>
      <c r="CA113" s="240">
        <f t="shared" si="125"/>
        <v>1</v>
      </c>
      <c r="CB113" s="240">
        <f t="shared" si="125"/>
        <v>1</v>
      </c>
      <c r="CC113" s="240">
        <f t="shared" si="125"/>
        <v>1</v>
      </c>
      <c r="CD113" s="240">
        <f t="shared" si="125"/>
        <v>1</v>
      </c>
      <c r="CE113" s="240">
        <f t="shared" si="125"/>
        <v>1</v>
      </c>
      <c r="CF113" s="240">
        <f t="shared" si="125"/>
        <v>1</v>
      </c>
      <c r="CG113" s="240">
        <f t="shared" si="125"/>
        <v>1</v>
      </c>
      <c r="CH113" s="240">
        <f t="shared" si="125"/>
        <v>1</v>
      </c>
      <c r="CI113" s="240">
        <f t="shared" si="125"/>
        <v>1</v>
      </c>
      <c r="CJ113" s="240">
        <f t="shared" si="125"/>
        <v>1</v>
      </c>
      <c r="CK113" s="240">
        <f t="shared" si="125"/>
        <v>1</v>
      </c>
      <c r="CL113" s="240">
        <f t="shared" si="125"/>
        <v>1</v>
      </c>
      <c r="CM113" s="240">
        <f t="shared" si="125"/>
        <v>1</v>
      </c>
      <c r="CN113" s="240">
        <f t="shared" si="125"/>
        <v>1</v>
      </c>
      <c r="CO113" s="240">
        <f t="shared" si="125"/>
        <v>1</v>
      </c>
      <c r="CP113" s="240">
        <f t="shared" si="125"/>
        <v>1</v>
      </c>
      <c r="CQ113" s="240">
        <f t="shared" si="125"/>
        <v>1</v>
      </c>
      <c r="CR113" s="240">
        <f t="shared" si="125"/>
        <v>1</v>
      </c>
      <c r="CS113" s="240">
        <f t="shared" si="125"/>
        <v>1</v>
      </c>
      <c r="CT113" s="240">
        <f t="shared" si="125"/>
        <v>1</v>
      </c>
      <c r="CU113" s="240">
        <f t="shared" si="125"/>
        <v>1</v>
      </c>
      <c r="CV113" s="240">
        <f t="shared" si="125"/>
        <v>1</v>
      </c>
      <c r="CW113" s="240">
        <f t="shared" si="125"/>
        <v>1</v>
      </c>
      <c r="CX113" s="240">
        <f t="shared" si="125"/>
        <v>1</v>
      </c>
      <c r="CY113" s="240">
        <f t="shared" si="125"/>
        <v>1</v>
      </c>
      <c r="CZ113" s="240">
        <f t="shared" si="125"/>
        <v>1</v>
      </c>
      <c r="DA113" s="240">
        <f t="shared" si="125"/>
        <v>1</v>
      </c>
      <c r="DB113" s="240">
        <f t="shared" si="125"/>
        <v>1</v>
      </c>
      <c r="DC113" s="240">
        <f t="shared" si="125"/>
        <v>1</v>
      </c>
      <c r="DD113" s="240">
        <f t="shared" si="125"/>
        <v>1</v>
      </c>
      <c r="DE113" s="240">
        <f t="shared" si="125"/>
        <v>1</v>
      </c>
      <c r="DF113" s="240">
        <f t="shared" si="125"/>
        <v>1</v>
      </c>
      <c r="DG113" s="240">
        <f t="shared" si="125"/>
        <v>1</v>
      </c>
      <c r="DH113" s="240">
        <f t="shared" si="125"/>
        <v>1</v>
      </c>
      <c r="DI113" s="240">
        <f t="shared" si="125"/>
        <v>0</v>
      </c>
      <c r="DJ113" s="240">
        <f t="shared" si="125"/>
        <v>0</v>
      </c>
      <c r="DK113" s="240">
        <f t="shared" si="125"/>
        <v>0</v>
      </c>
      <c r="DL113" s="240">
        <f t="shared" si="125"/>
        <v>0</v>
      </c>
      <c r="DM113" s="240">
        <f t="shared" si="125"/>
        <v>0</v>
      </c>
      <c r="DN113" s="240">
        <f t="shared" si="125"/>
        <v>0</v>
      </c>
      <c r="DO113" s="240">
        <f t="shared" si="125"/>
        <v>0</v>
      </c>
      <c r="DP113" s="240">
        <f t="shared" si="125"/>
        <v>0</v>
      </c>
      <c r="DQ113" s="240">
        <f t="shared" si="125"/>
        <v>0</v>
      </c>
      <c r="DR113" s="240">
        <f t="shared" si="125"/>
        <v>0</v>
      </c>
      <c r="DS113" s="240">
        <f t="shared" si="125"/>
        <v>0</v>
      </c>
      <c r="DT113" s="240">
        <f t="shared" si="125"/>
        <v>0</v>
      </c>
      <c r="DU113" s="240">
        <f t="shared" si="125"/>
        <v>0</v>
      </c>
      <c r="DV113" s="240">
        <f t="shared" si="125"/>
        <v>0</v>
      </c>
      <c r="DW113" s="240">
        <f t="shared" si="125"/>
        <v>0</v>
      </c>
      <c r="DX113" s="240">
        <f t="shared" si="125"/>
        <v>0</v>
      </c>
      <c r="DY113" s="240">
        <f t="shared" si="125"/>
        <v>0</v>
      </c>
      <c r="DZ113" s="240">
        <f t="shared" si="125"/>
        <v>0</v>
      </c>
      <c r="EA113" s="240">
        <f t="shared" si="125"/>
        <v>0</v>
      </c>
    </row>
    <row r="114" spans="1:131" outlineLevel="2" x14ac:dyDescent="0.35">
      <c r="A114" s="192"/>
      <c r="B114" s="192"/>
      <c r="C114" s="193"/>
      <c r="D114" s="194"/>
      <c r="E114" s="191" t="s">
        <v>154</v>
      </c>
      <c r="F114" s="191"/>
      <c r="G114" s="191" t="s">
        <v>14</v>
      </c>
      <c r="H114" s="191"/>
      <c r="I114" s="191"/>
      <c r="J114" s="191">
        <f t="shared" ref="J114:AO114" si="126" xml:space="preserve"> IF( I114 = $F111, 1, I114 + 1) * J113</f>
        <v>0</v>
      </c>
      <c r="K114" s="191">
        <f t="shared" si="126"/>
        <v>0</v>
      </c>
      <c r="L114" s="191">
        <f t="shared" si="126"/>
        <v>0</v>
      </c>
      <c r="M114" s="191">
        <f t="shared" si="126"/>
        <v>1</v>
      </c>
      <c r="N114" s="191">
        <f t="shared" si="126"/>
        <v>2</v>
      </c>
      <c r="O114" s="191">
        <f t="shared" si="126"/>
        <v>3</v>
      </c>
      <c r="P114" s="191">
        <f t="shared" si="126"/>
        <v>4</v>
      </c>
      <c r="Q114" s="191">
        <f t="shared" si="126"/>
        <v>1</v>
      </c>
      <c r="R114" s="191">
        <f t="shared" si="126"/>
        <v>2</v>
      </c>
      <c r="S114" s="191">
        <f t="shared" si="126"/>
        <v>3</v>
      </c>
      <c r="T114" s="191">
        <f t="shared" si="126"/>
        <v>4</v>
      </c>
      <c r="U114" s="191">
        <f t="shared" si="126"/>
        <v>1</v>
      </c>
      <c r="V114" s="191">
        <f t="shared" si="126"/>
        <v>2</v>
      </c>
      <c r="W114" s="191">
        <f t="shared" si="126"/>
        <v>3</v>
      </c>
      <c r="X114" s="191">
        <f t="shared" si="126"/>
        <v>4</v>
      </c>
      <c r="Y114" s="191">
        <f t="shared" si="126"/>
        <v>1</v>
      </c>
      <c r="Z114" s="191">
        <f t="shared" si="126"/>
        <v>2</v>
      </c>
      <c r="AA114" s="191">
        <f t="shared" si="126"/>
        <v>3</v>
      </c>
      <c r="AB114" s="191">
        <f t="shared" si="126"/>
        <v>4</v>
      </c>
      <c r="AC114" s="191">
        <f t="shared" si="126"/>
        <v>1</v>
      </c>
      <c r="AD114" s="191">
        <f t="shared" si="126"/>
        <v>2</v>
      </c>
      <c r="AE114" s="191">
        <f t="shared" si="126"/>
        <v>3</v>
      </c>
      <c r="AF114" s="191">
        <f t="shared" si="126"/>
        <v>4</v>
      </c>
      <c r="AG114" s="191">
        <f t="shared" si="126"/>
        <v>1</v>
      </c>
      <c r="AH114" s="191">
        <f t="shared" si="126"/>
        <v>2</v>
      </c>
      <c r="AI114" s="191">
        <f t="shared" si="126"/>
        <v>3</v>
      </c>
      <c r="AJ114" s="191">
        <f t="shared" si="126"/>
        <v>4</v>
      </c>
      <c r="AK114" s="191">
        <f t="shared" si="126"/>
        <v>1</v>
      </c>
      <c r="AL114" s="191">
        <f t="shared" si="126"/>
        <v>2</v>
      </c>
      <c r="AM114" s="191">
        <f t="shared" si="126"/>
        <v>3</v>
      </c>
      <c r="AN114" s="191">
        <f t="shared" si="126"/>
        <v>4</v>
      </c>
      <c r="AO114" s="191">
        <f t="shared" si="126"/>
        <v>1</v>
      </c>
      <c r="AP114" s="191">
        <f t="shared" ref="AP114:BU114" si="127" xml:space="preserve"> IF( AO114 = $F111, 1, AO114 + 1) * AP113</f>
        <v>2</v>
      </c>
      <c r="AQ114" s="191">
        <f t="shared" si="127"/>
        <v>3</v>
      </c>
      <c r="AR114" s="191">
        <f t="shared" si="127"/>
        <v>4</v>
      </c>
      <c r="AS114" s="191">
        <f t="shared" si="127"/>
        <v>1</v>
      </c>
      <c r="AT114" s="191">
        <f t="shared" si="127"/>
        <v>2</v>
      </c>
      <c r="AU114" s="191">
        <f t="shared" si="127"/>
        <v>3</v>
      </c>
      <c r="AV114" s="191">
        <f t="shared" si="127"/>
        <v>4</v>
      </c>
      <c r="AW114" s="191">
        <f t="shared" si="127"/>
        <v>1</v>
      </c>
      <c r="AX114" s="191">
        <f t="shared" si="127"/>
        <v>2</v>
      </c>
      <c r="AY114" s="191">
        <f t="shared" si="127"/>
        <v>3</v>
      </c>
      <c r="AZ114" s="191">
        <f t="shared" si="127"/>
        <v>4</v>
      </c>
      <c r="BA114" s="191">
        <f t="shared" si="127"/>
        <v>1</v>
      </c>
      <c r="BB114" s="191">
        <f t="shared" si="127"/>
        <v>2</v>
      </c>
      <c r="BC114" s="191">
        <f t="shared" si="127"/>
        <v>3</v>
      </c>
      <c r="BD114" s="191">
        <f t="shared" si="127"/>
        <v>4</v>
      </c>
      <c r="BE114" s="191">
        <f t="shared" si="127"/>
        <v>1</v>
      </c>
      <c r="BF114" s="191">
        <f t="shared" si="127"/>
        <v>2</v>
      </c>
      <c r="BG114" s="191">
        <f t="shared" si="127"/>
        <v>3</v>
      </c>
      <c r="BH114" s="191">
        <f t="shared" si="127"/>
        <v>4</v>
      </c>
      <c r="BI114" s="191">
        <f t="shared" si="127"/>
        <v>1</v>
      </c>
      <c r="BJ114" s="191">
        <f t="shared" si="127"/>
        <v>2</v>
      </c>
      <c r="BK114" s="191">
        <f t="shared" si="127"/>
        <v>3</v>
      </c>
      <c r="BL114" s="191">
        <f t="shared" si="127"/>
        <v>4</v>
      </c>
      <c r="BM114" s="191">
        <f t="shared" si="127"/>
        <v>1</v>
      </c>
      <c r="BN114" s="191">
        <f t="shared" si="127"/>
        <v>2</v>
      </c>
      <c r="BO114" s="191">
        <f t="shared" si="127"/>
        <v>3</v>
      </c>
      <c r="BP114" s="191">
        <f t="shared" si="127"/>
        <v>4</v>
      </c>
      <c r="BQ114" s="191">
        <f t="shared" si="127"/>
        <v>1</v>
      </c>
      <c r="BR114" s="191">
        <f t="shared" si="127"/>
        <v>2</v>
      </c>
      <c r="BS114" s="191">
        <f t="shared" si="127"/>
        <v>3</v>
      </c>
      <c r="BT114" s="191">
        <f t="shared" si="127"/>
        <v>4</v>
      </c>
      <c r="BU114" s="191">
        <f t="shared" si="127"/>
        <v>1</v>
      </c>
      <c r="BV114" s="191">
        <f t="shared" ref="BV114:DA114" si="128" xml:space="preserve"> IF( BU114 = $F111, 1, BU114 + 1) * BV113</f>
        <v>2</v>
      </c>
      <c r="BW114" s="191">
        <f t="shared" si="128"/>
        <v>3</v>
      </c>
      <c r="BX114" s="191">
        <f t="shared" si="128"/>
        <v>4</v>
      </c>
      <c r="BY114" s="191">
        <f t="shared" si="128"/>
        <v>1</v>
      </c>
      <c r="BZ114" s="191">
        <f t="shared" si="128"/>
        <v>2</v>
      </c>
      <c r="CA114" s="191">
        <f t="shared" si="128"/>
        <v>3</v>
      </c>
      <c r="CB114" s="191">
        <f t="shared" si="128"/>
        <v>4</v>
      </c>
      <c r="CC114" s="191">
        <f t="shared" si="128"/>
        <v>1</v>
      </c>
      <c r="CD114" s="191">
        <f t="shared" si="128"/>
        <v>2</v>
      </c>
      <c r="CE114" s="191">
        <f t="shared" si="128"/>
        <v>3</v>
      </c>
      <c r="CF114" s="191">
        <f t="shared" si="128"/>
        <v>4</v>
      </c>
      <c r="CG114" s="191">
        <f t="shared" si="128"/>
        <v>1</v>
      </c>
      <c r="CH114" s="191">
        <f t="shared" si="128"/>
        <v>2</v>
      </c>
      <c r="CI114" s="191">
        <f t="shared" si="128"/>
        <v>3</v>
      </c>
      <c r="CJ114" s="191">
        <f t="shared" si="128"/>
        <v>4</v>
      </c>
      <c r="CK114" s="191">
        <f t="shared" si="128"/>
        <v>1</v>
      </c>
      <c r="CL114" s="191">
        <f t="shared" si="128"/>
        <v>2</v>
      </c>
      <c r="CM114" s="191">
        <f t="shared" si="128"/>
        <v>3</v>
      </c>
      <c r="CN114" s="191">
        <f t="shared" si="128"/>
        <v>4</v>
      </c>
      <c r="CO114" s="191">
        <f t="shared" si="128"/>
        <v>1</v>
      </c>
      <c r="CP114" s="191">
        <f t="shared" si="128"/>
        <v>2</v>
      </c>
      <c r="CQ114" s="191">
        <f t="shared" si="128"/>
        <v>3</v>
      </c>
      <c r="CR114" s="191">
        <f t="shared" si="128"/>
        <v>4</v>
      </c>
      <c r="CS114" s="191">
        <f t="shared" si="128"/>
        <v>1</v>
      </c>
      <c r="CT114" s="191">
        <f t="shared" si="128"/>
        <v>2</v>
      </c>
      <c r="CU114" s="191">
        <f t="shared" si="128"/>
        <v>3</v>
      </c>
      <c r="CV114" s="191">
        <f t="shared" si="128"/>
        <v>4</v>
      </c>
      <c r="CW114" s="191">
        <f t="shared" si="128"/>
        <v>1</v>
      </c>
      <c r="CX114" s="191">
        <f t="shared" si="128"/>
        <v>2</v>
      </c>
      <c r="CY114" s="191">
        <f t="shared" si="128"/>
        <v>3</v>
      </c>
      <c r="CZ114" s="191">
        <f t="shared" si="128"/>
        <v>4</v>
      </c>
      <c r="DA114" s="191">
        <f t="shared" si="128"/>
        <v>1</v>
      </c>
      <c r="DB114" s="191">
        <f t="shared" ref="DB114:EA114" si="129" xml:space="preserve"> IF( DA114 = $F111, 1, DA114 + 1) * DB113</f>
        <v>2</v>
      </c>
      <c r="DC114" s="191">
        <f t="shared" si="129"/>
        <v>3</v>
      </c>
      <c r="DD114" s="191">
        <f t="shared" si="129"/>
        <v>4</v>
      </c>
      <c r="DE114" s="191">
        <f t="shared" si="129"/>
        <v>1</v>
      </c>
      <c r="DF114" s="191">
        <f t="shared" si="129"/>
        <v>2</v>
      </c>
      <c r="DG114" s="191">
        <f t="shared" si="129"/>
        <v>3</v>
      </c>
      <c r="DH114" s="191">
        <f t="shared" si="129"/>
        <v>4</v>
      </c>
      <c r="DI114" s="191">
        <f t="shared" si="129"/>
        <v>0</v>
      </c>
      <c r="DJ114" s="191">
        <f t="shared" si="129"/>
        <v>0</v>
      </c>
      <c r="DK114" s="191">
        <f t="shared" si="129"/>
        <v>0</v>
      </c>
      <c r="DL114" s="191">
        <f t="shared" si="129"/>
        <v>0</v>
      </c>
      <c r="DM114" s="191">
        <f t="shared" si="129"/>
        <v>0</v>
      </c>
      <c r="DN114" s="191">
        <f t="shared" si="129"/>
        <v>0</v>
      </c>
      <c r="DO114" s="191">
        <f t="shared" si="129"/>
        <v>0</v>
      </c>
      <c r="DP114" s="191">
        <f t="shared" si="129"/>
        <v>0</v>
      </c>
      <c r="DQ114" s="191">
        <f t="shared" si="129"/>
        <v>0</v>
      </c>
      <c r="DR114" s="191">
        <f t="shared" si="129"/>
        <v>0</v>
      </c>
      <c r="DS114" s="191">
        <f t="shared" si="129"/>
        <v>0</v>
      </c>
      <c r="DT114" s="191">
        <f t="shared" si="129"/>
        <v>0</v>
      </c>
      <c r="DU114" s="191">
        <f t="shared" si="129"/>
        <v>0</v>
      </c>
      <c r="DV114" s="191">
        <f t="shared" si="129"/>
        <v>0</v>
      </c>
      <c r="DW114" s="191">
        <f t="shared" si="129"/>
        <v>0</v>
      </c>
      <c r="DX114" s="191">
        <f t="shared" si="129"/>
        <v>0</v>
      </c>
      <c r="DY114" s="191">
        <f t="shared" si="129"/>
        <v>0</v>
      </c>
      <c r="DZ114" s="191">
        <f t="shared" si="129"/>
        <v>0</v>
      </c>
      <c r="EA114" s="191">
        <f t="shared" si="129"/>
        <v>0</v>
      </c>
    </row>
    <row r="115" spans="1:131" outlineLevel="1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outlineLevel="1" x14ac:dyDescent="0.35">
      <c r="A116" s="192"/>
      <c r="B116" s="192" t="s">
        <v>124</v>
      </c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outlineLevel="2" x14ac:dyDescent="0.35">
      <c r="A117" s="380"/>
      <c r="B117" s="380"/>
      <c r="C117" s="381"/>
      <c r="D117" s="382"/>
      <c r="E117" s="43" t="str">
        <f xml:space="preserve"> InpC!E$30</f>
        <v>Number of periods in a year</v>
      </c>
      <c r="F117" s="43">
        <f xml:space="preserve"> InpC!F$30</f>
        <v>4</v>
      </c>
      <c r="G117" s="43" t="str">
        <f xml:space="preserve"> InpC!G$30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346"/>
      <c r="B118" s="346"/>
      <c r="C118" s="347"/>
      <c r="D118" s="149"/>
      <c r="E118" s="151" t="str">
        <f t="shared" ref="E118:AJ118" si="130" xml:space="preserve"> E$33</f>
        <v>End of contract year flag</v>
      </c>
      <c r="F118" s="151">
        <f t="shared" si="130"/>
        <v>0</v>
      </c>
      <c r="G118" s="151">
        <f t="shared" si="130"/>
        <v>0</v>
      </c>
      <c r="H118" s="151">
        <f t="shared" si="130"/>
        <v>0</v>
      </c>
      <c r="I118" s="151">
        <f t="shared" si="130"/>
        <v>0</v>
      </c>
      <c r="J118" s="151">
        <f t="shared" si="130"/>
        <v>0</v>
      </c>
      <c r="K118" s="151">
        <f t="shared" si="130"/>
        <v>0</v>
      </c>
      <c r="L118" s="151">
        <f t="shared" si="130"/>
        <v>1</v>
      </c>
      <c r="M118" s="151">
        <f t="shared" si="130"/>
        <v>0</v>
      </c>
      <c r="N118" s="151">
        <f t="shared" si="130"/>
        <v>0</v>
      </c>
      <c r="O118" s="151">
        <f t="shared" si="130"/>
        <v>0</v>
      </c>
      <c r="P118" s="151">
        <f t="shared" si="130"/>
        <v>1</v>
      </c>
      <c r="Q118" s="151">
        <f t="shared" si="130"/>
        <v>0</v>
      </c>
      <c r="R118" s="151">
        <f t="shared" si="130"/>
        <v>0</v>
      </c>
      <c r="S118" s="151">
        <f t="shared" si="130"/>
        <v>0</v>
      </c>
      <c r="T118" s="151">
        <f t="shared" si="130"/>
        <v>1</v>
      </c>
      <c r="U118" s="151">
        <f t="shared" si="130"/>
        <v>0</v>
      </c>
      <c r="V118" s="151">
        <f t="shared" si="130"/>
        <v>0</v>
      </c>
      <c r="W118" s="151">
        <f t="shared" si="130"/>
        <v>0</v>
      </c>
      <c r="X118" s="151">
        <f t="shared" si="130"/>
        <v>1</v>
      </c>
      <c r="Y118" s="151">
        <f t="shared" si="130"/>
        <v>0</v>
      </c>
      <c r="Z118" s="151">
        <f t="shared" si="130"/>
        <v>0</v>
      </c>
      <c r="AA118" s="151">
        <f t="shared" si="130"/>
        <v>0</v>
      </c>
      <c r="AB118" s="151">
        <f t="shared" si="130"/>
        <v>1</v>
      </c>
      <c r="AC118" s="151">
        <f t="shared" si="130"/>
        <v>0</v>
      </c>
      <c r="AD118" s="151">
        <f t="shared" si="130"/>
        <v>0</v>
      </c>
      <c r="AE118" s="151">
        <f t="shared" si="130"/>
        <v>0</v>
      </c>
      <c r="AF118" s="151">
        <f t="shared" si="130"/>
        <v>1</v>
      </c>
      <c r="AG118" s="151">
        <f t="shared" si="130"/>
        <v>0</v>
      </c>
      <c r="AH118" s="151">
        <f t="shared" si="130"/>
        <v>0</v>
      </c>
      <c r="AI118" s="151">
        <f t="shared" si="130"/>
        <v>0</v>
      </c>
      <c r="AJ118" s="151">
        <f t="shared" si="130"/>
        <v>1</v>
      </c>
      <c r="AK118" s="151">
        <f t="shared" ref="AK118:BP118" si="131" xml:space="preserve"> AK$33</f>
        <v>0</v>
      </c>
      <c r="AL118" s="151">
        <f t="shared" si="131"/>
        <v>0</v>
      </c>
      <c r="AM118" s="151">
        <f t="shared" si="131"/>
        <v>0</v>
      </c>
      <c r="AN118" s="151">
        <f t="shared" si="131"/>
        <v>1</v>
      </c>
      <c r="AO118" s="151">
        <f t="shared" si="131"/>
        <v>0</v>
      </c>
      <c r="AP118" s="151">
        <f t="shared" si="131"/>
        <v>0</v>
      </c>
      <c r="AQ118" s="151">
        <f t="shared" si="131"/>
        <v>0</v>
      </c>
      <c r="AR118" s="151">
        <f t="shared" si="131"/>
        <v>1</v>
      </c>
      <c r="AS118" s="151">
        <f t="shared" si="131"/>
        <v>0</v>
      </c>
      <c r="AT118" s="151">
        <f t="shared" si="131"/>
        <v>0</v>
      </c>
      <c r="AU118" s="151">
        <f t="shared" si="131"/>
        <v>0</v>
      </c>
      <c r="AV118" s="151">
        <f t="shared" si="131"/>
        <v>1</v>
      </c>
      <c r="AW118" s="151">
        <f t="shared" si="131"/>
        <v>0</v>
      </c>
      <c r="AX118" s="151">
        <f t="shared" si="131"/>
        <v>0</v>
      </c>
      <c r="AY118" s="151">
        <f t="shared" si="131"/>
        <v>0</v>
      </c>
      <c r="AZ118" s="151">
        <f t="shared" si="131"/>
        <v>1</v>
      </c>
      <c r="BA118" s="151">
        <f t="shared" si="131"/>
        <v>0</v>
      </c>
      <c r="BB118" s="151">
        <f t="shared" si="131"/>
        <v>0</v>
      </c>
      <c r="BC118" s="151">
        <f t="shared" si="131"/>
        <v>0</v>
      </c>
      <c r="BD118" s="151">
        <f t="shared" si="131"/>
        <v>1</v>
      </c>
      <c r="BE118" s="151">
        <f t="shared" si="131"/>
        <v>0</v>
      </c>
      <c r="BF118" s="151">
        <f t="shared" si="131"/>
        <v>0</v>
      </c>
      <c r="BG118" s="151">
        <f t="shared" si="131"/>
        <v>0</v>
      </c>
      <c r="BH118" s="151">
        <f t="shared" si="131"/>
        <v>1</v>
      </c>
      <c r="BI118" s="151">
        <f t="shared" si="131"/>
        <v>0</v>
      </c>
      <c r="BJ118" s="151">
        <f t="shared" si="131"/>
        <v>0</v>
      </c>
      <c r="BK118" s="151">
        <f t="shared" si="131"/>
        <v>0</v>
      </c>
      <c r="BL118" s="151">
        <f t="shared" si="131"/>
        <v>1</v>
      </c>
      <c r="BM118" s="151">
        <f t="shared" si="131"/>
        <v>0</v>
      </c>
      <c r="BN118" s="151">
        <f t="shared" si="131"/>
        <v>0</v>
      </c>
      <c r="BO118" s="151">
        <f t="shared" si="131"/>
        <v>0</v>
      </c>
      <c r="BP118" s="151">
        <f t="shared" si="131"/>
        <v>1</v>
      </c>
      <c r="BQ118" s="151">
        <f t="shared" ref="BQ118:CV118" si="132" xml:space="preserve"> BQ$33</f>
        <v>0</v>
      </c>
      <c r="BR118" s="151">
        <f t="shared" si="132"/>
        <v>0</v>
      </c>
      <c r="BS118" s="151">
        <f t="shared" si="132"/>
        <v>0</v>
      </c>
      <c r="BT118" s="151">
        <f t="shared" si="132"/>
        <v>1</v>
      </c>
      <c r="BU118" s="151">
        <f t="shared" si="132"/>
        <v>0</v>
      </c>
      <c r="BV118" s="151">
        <f t="shared" si="132"/>
        <v>0</v>
      </c>
      <c r="BW118" s="151">
        <f t="shared" si="132"/>
        <v>0</v>
      </c>
      <c r="BX118" s="151">
        <f t="shared" si="132"/>
        <v>1</v>
      </c>
      <c r="BY118" s="151">
        <f t="shared" si="132"/>
        <v>0</v>
      </c>
      <c r="BZ118" s="151">
        <f t="shared" si="132"/>
        <v>0</v>
      </c>
      <c r="CA118" s="151">
        <f t="shared" si="132"/>
        <v>0</v>
      </c>
      <c r="CB118" s="151">
        <f t="shared" si="132"/>
        <v>1</v>
      </c>
      <c r="CC118" s="151">
        <f t="shared" si="132"/>
        <v>0</v>
      </c>
      <c r="CD118" s="151">
        <f t="shared" si="132"/>
        <v>0</v>
      </c>
      <c r="CE118" s="151">
        <f t="shared" si="132"/>
        <v>0</v>
      </c>
      <c r="CF118" s="151">
        <f t="shared" si="132"/>
        <v>1</v>
      </c>
      <c r="CG118" s="151">
        <f t="shared" si="132"/>
        <v>0</v>
      </c>
      <c r="CH118" s="151">
        <f t="shared" si="132"/>
        <v>0</v>
      </c>
      <c r="CI118" s="151">
        <f t="shared" si="132"/>
        <v>0</v>
      </c>
      <c r="CJ118" s="151">
        <f t="shared" si="132"/>
        <v>1</v>
      </c>
      <c r="CK118" s="151">
        <f t="shared" si="132"/>
        <v>0</v>
      </c>
      <c r="CL118" s="151">
        <f t="shared" si="132"/>
        <v>0</v>
      </c>
      <c r="CM118" s="151">
        <f t="shared" si="132"/>
        <v>0</v>
      </c>
      <c r="CN118" s="151">
        <f t="shared" si="132"/>
        <v>1</v>
      </c>
      <c r="CO118" s="151">
        <f t="shared" si="132"/>
        <v>0</v>
      </c>
      <c r="CP118" s="151">
        <f t="shared" si="132"/>
        <v>0</v>
      </c>
      <c r="CQ118" s="151">
        <f t="shared" si="132"/>
        <v>0</v>
      </c>
      <c r="CR118" s="151">
        <f t="shared" si="132"/>
        <v>1</v>
      </c>
      <c r="CS118" s="151">
        <f t="shared" si="132"/>
        <v>0</v>
      </c>
      <c r="CT118" s="151">
        <f t="shared" si="132"/>
        <v>0</v>
      </c>
      <c r="CU118" s="151">
        <f t="shared" si="132"/>
        <v>0</v>
      </c>
      <c r="CV118" s="151">
        <f t="shared" si="132"/>
        <v>1</v>
      </c>
      <c r="CW118" s="151">
        <f t="shared" ref="CW118:EA118" si="133" xml:space="preserve"> CW$33</f>
        <v>0</v>
      </c>
      <c r="CX118" s="151">
        <f t="shared" si="133"/>
        <v>0</v>
      </c>
      <c r="CY118" s="151">
        <f t="shared" si="133"/>
        <v>0</v>
      </c>
      <c r="CZ118" s="151">
        <f t="shared" si="133"/>
        <v>1</v>
      </c>
      <c r="DA118" s="151">
        <f t="shared" si="133"/>
        <v>0</v>
      </c>
      <c r="DB118" s="151">
        <f t="shared" si="133"/>
        <v>0</v>
      </c>
      <c r="DC118" s="151">
        <f t="shared" si="133"/>
        <v>0</v>
      </c>
      <c r="DD118" s="151">
        <f t="shared" si="133"/>
        <v>1</v>
      </c>
      <c r="DE118" s="151">
        <f t="shared" si="133"/>
        <v>0</v>
      </c>
      <c r="DF118" s="151">
        <f t="shared" si="133"/>
        <v>0</v>
      </c>
      <c r="DG118" s="151">
        <f t="shared" si="133"/>
        <v>0</v>
      </c>
      <c r="DH118" s="151">
        <f t="shared" si="133"/>
        <v>1</v>
      </c>
      <c r="DI118" s="151">
        <f t="shared" si="133"/>
        <v>0</v>
      </c>
      <c r="DJ118" s="151">
        <f t="shared" si="133"/>
        <v>0</v>
      </c>
      <c r="DK118" s="151">
        <f t="shared" si="133"/>
        <v>0</v>
      </c>
      <c r="DL118" s="151">
        <f t="shared" si="133"/>
        <v>1</v>
      </c>
      <c r="DM118" s="151">
        <f t="shared" si="133"/>
        <v>0</v>
      </c>
      <c r="DN118" s="151">
        <f t="shared" si="133"/>
        <v>0</v>
      </c>
      <c r="DO118" s="151">
        <f t="shared" si="133"/>
        <v>0</v>
      </c>
      <c r="DP118" s="151">
        <f t="shared" si="133"/>
        <v>1</v>
      </c>
      <c r="DQ118" s="151">
        <f t="shared" si="133"/>
        <v>0</v>
      </c>
      <c r="DR118" s="151">
        <f t="shared" si="133"/>
        <v>0</v>
      </c>
      <c r="DS118" s="151">
        <f t="shared" si="133"/>
        <v>0</v>
      </c>
      <c r="DT118" s="151">
        <f t="shared" si="133"/>
        <v>1</v>
      </c>
      <c r="DU118" s="151">
        <f t="shared" si="133"/>
        <v>0</v>
      </c>
      <c r="DV118" s="151">
        <f t="shared" si="133"/>
        <v>0</v>
      </c>
      <c r="DW118" s="151">
        <f t="shared" si="133"/>
        <v>0</v>
      </c>
      <c r="DX118" s="151">
        <f t="shared" si="133"/>
        <v>1</v>
      </c>
      <c r="DY118" s="151">
        <f t="shared" si="133"/>
        <v>0</v>
      </c>
      <c r="DZ118" s="151">
        <f t="shared" si="133"/>
        <v>0</v>
      </c>
      <c r="EA118" s="151">
        <f t="shared" si="133"/>
        <v>0</v>
      </c>
    </row>
    <row r="119" spans="1:131" outlineLevel="2" x14ac:dyDescent="0.35">
      <c r="A119" s="346"/>
      <c r="B119" s="346"/>
      <c r="C119" s="347"/>
      <c r="D119" s="149"/>
      <c r="E119" s="151" t="str">
        <f t="shared" ref="E119:BP119" si="134" xml:space="preserve"> E$97</f>
        <v>Operating period flag</v>
      </c>
      <c r="F119" s="151">
        <f t="shared" si="134"/>
        <v>0</v>
      </c>
      <c r="G119" s="151" t="str">
        <f t="shared" si="134"/>
        <v>flag</v>
      </c>
      <c r="H119" s="151">
        <f t="shared" si="134"/>
        <v>100</v>
      </c>
      <c r="I119" s="151">
        <f t="shared" si="134"/>
        <v>0</v>
      </c>
      <c r="J119" s="151">
        <f t="shared" si="134"/>
        <v>0</v>
      </c>
      <c r="K119" s="151">
        <f t="shared" si="134"/>
        <v>0</v>
      </c>
      <c r="L119" s="151">
        <f t="shared" si="134"/>
        <v>0</v>
      </c>
      <c r="M119" s="151">
        <f t="shared" si="134"/>
        <v>1</v>
      </c>
      <c r="N119" s="151">
        <f t="shared" si="134"/>
        <v>1</v>
      </c>
      <c r="O119" s="151">
        <f t="shared" si="134"/>
        <v>1</v>
      </c>
      <c r="P119" s="151">
        <f t="shared" si="134"/>
        <v>1</v>
      </c>
      <c r="Q119" s="151">
        <f t="shared" si="134"/>
        <v>1</v>
      </c>
      <c r="R119" s="151">
        <f t="shared" si="134"/>
        <v>1</v>
      </c>
      <c r="S119" s="151">
        <f t="shared" si="134"/>
        <v>1</v>
      </c>
      <c r="T119" s="151">
        <f t="shared" si="134"/>
        <v>1</v>
      </c>
      <c r="U119" s="151">
        <f t="shared" si="134"/>
        <v>1</v>
      </c>
      <c r="V119" s="151">
        <f t="shared" si="134"/>
        <v>1</v>
      </c>
      <c r="W119" s="151">
        <f t="shared" si="134"/>
        <v>1</v>
      </c>
      <c r="X119" s="151">
        <f t="shared" si="134"/>
        <v>1</v>
      </c>
      <c r="Y119" s="151">
        <f t="shared" si="134"/>
        <v>1</v>
      </c>
      <c r="Z119" s="151">
        <f t="shared" si="134"/>
        <v>1</v>
      </c>
      <c r="AA119" s="151">
        <f t="shared" si="134"/>
        <v>1</v>
      </c>
      <c r="AB119" s="151">
        <f t="shared" si="134"/>
        <v>1</v>
      </c>
      <c r="AC119" s="151">
        <f t="shared" si="134"/>
        <v>1</v>
      </c>
      <c r="AD119" s="151">
        <f t="shared" si="134"/>
        <v>1</v>
      </c>
      <c r="AE119" s="151">
        <f t="shared" si="134"/>
        <v>1</v>
      </c>
      <c r="AF119" s="151">
        <f t="shared" si="134"/>
        <v>1</v>
      </c>
      <c r="AG119" s="151">
        <f t="shared" si="134"/>
        <v>1</v>
      </c>
      <c r="AH119" s="151">
        <f t="shared" si="134"/>
        <v>1</v>
      </c>
      <c r="AI119" s="151">
        <f t="shared" si="134"/>
        <v>1</v>
      </c>
      <c r="AJ119" s="151">
        <f t="shared" si="134"/>
        <v>1</v>
      </c>
      <c r="AK119" s="151">
        <f t="shared" si="134"/>
        <v>1</v>
      </c>
      <c r="AL119" s="151">
        <f t="shared" si="134"/>
        <v>1</v>
      </c>
      <c r="AM119" s="151">
        <f t="shared" si="134"/>
        <v>1</v>
      </c>
      <c r="AN119" s="151">
        <f t="shared" si="134"/>
        <v>1</v>
      </c>
      <c r="AO119" s="151">
        <f t="shared" si="134"/>
        <v>1</v>
      </c>
      <c r="AP119" s="151">
        <f t="shared" si="134"/>
        <v>1</v>
      </c>
      <c r="AQ119" s="151">
        <f t="shared" si="134"/>
        <v>1</v>
      </c>
      <c r="AR119" s="151">
        <f t="shared" si="134"/>
        <v>1</v>
      </c>
      <c r="AS119" s="151">
        <f t="shared" si="134"/>
        <v>1</v>
      </c>
      <c r="AT119" s="151">
        <f t="shared" si="134"/>
        <v>1</v>
      </c>
      <c r="AU119" s="151">
        <f t="shared" si="134"/>
        <v>1</v>
      </c>
      <c r="AV119" s="151">
        <f t="shared" si="134"/>
        <v>1</v>
      </c>
      <c r="AW119" s="151">
        <f t="shared" si="134"/>
        <v>1</v>
      </c>
      <c r="AX119" s="151">
        <f t="shared" si="134"/>
        <v>1</v>
      </c>
      <c r="AY119" s="151">
        <f t="shared" si="134"/>
        <v>1</v>
      </c>
      <c r="AZ119" s="151">
        <f t="shared" si="134"/>
        <v>1</v>
      </c>
      <c r="BA119" s="151">
        <f t="shared" si="134"/>
        <v>1</v>
      </c>
      <c r="BB119" s="151">
        <f t="shared" si="134"/>
        <v>1</v>
      </c>
      <c r="BC119" s="151">
        <f t="shared" si="134"/>
        <v>1</v>
      </c>
      <c r="BD119" s="151">
        <f t="shared" si="134"/>
        <v>1</v>
      </c>
      <c r="BE119" s="151">
        <f t="shared" si="134"/>
        <v>1</v>
      </c>
      <c r="BF119" s="151">
        <f t="shared" si="134"/>
        <v>1</v>
      </c>
      <c r="BG119" s="151">
        <f t="shared" si="134"/>
        <v>1</v>
      </c>
      <c r="BH119" s="151">
        <f t="shared" si="134"/>
        <v>1</v>
      </c>
      <c r="BI119" s="151">
        <f t="shared" si="134"/>
        <v>1</v>
      </c>
      <c r="BJ119" s="151">
        <f t="shared" si="134"/>
        <v>1</v>
      </c>
      <c r="BK119" s="151">
        <f t="shared" si="134"/>
        <v>1</v>
      </c>
      <c r="BL119" s="151">
        <f t="shared" si="134"/>
        <v>1</v>
      </c>
      <c r="BM119" s="151">
        <f t="shared" si="134"/>
        <v>1</v>
      </c>
      <c r="BN119" s="151">
        <f t="shared" si="134"/>
        <v>1</v>
      </c>
      <c r="BO119" s="151">
        <f t="shared" si="134"/>
        <v>1</v>
      </c>
      <c r="BP119" s="151">
        <f t="shared" si="134"/>
        <v>1</v>
      </c>
      <c r="BQ119" s="151">
        <f t="shared" ref="BQ119:EA119" si="135" xml:space="preserve"> BQ$97</f>
        <v>1</v>
      </c>
      <c r="BR119" s="151">
        <f t="shared" si="135"/>
        <v>1</v>
      </c>
      <c r="BS119" s="151">
        <f t="shared" si="135"/>
        <v>1</v>
      </c>
      <c r="BT119" s="151">
        <f t="shared" si="135"/>
        <v>1</v>
      </c>
      <c r="BU119" s="151">
        <f t="shared" si="135"/>
        <v>1</v>
      </c>
      <c r="BV119" s="151">
        <f t="shared" si="135"/>
        <v>1</v>
      </c>
      <c r="BW119" s="151">
        <f t="shared" si="135"/>
        <v>1</v>
      </c>
      <c r="BX119" s="151">
        <f t="shared" si="135"/>
        <v>1</v>
      </c>
      <c r="BY119" s="151">
        <f t="shared" si="135"/>
        <v>1</v>
      </c>
      <c r="BZ119" s="151">
        <f t="shared" si="135"/>
        <v>1</v>
      </c>
      <c r="CA119" s="151">
        <f t="shared" si="135"/>
        <v>1</v>
      </c>
      <c r="CB119" s="151">
        <f t="shared" si="135"/>
        <v>1</v>
      </c>
      <c r="CC119" s="151">
        <f t="shared" si="135"/>
        <v>1</v>
      </c>
      <c r="CD119" s="151">
        <f t="shared" si="135"/>
        <v>1</v>
      </c>
      <c r="CE119" s="151">
        <f t="shared" si="135"/>
        <v>1</v>
      </c>
      <c r="CF119" s="151">
        <f t="shared" si="135"/>
        <v>1</v>
      </c>
      <c r="CG119" s="151">
        <f t="shared" si="135"/>
        <v>1</v>
      </c>
      <c r="CH119" s="151">
        <f t="shared" si="135"/>
        <v>1</v>
      </c>
      <c r="CI119" s="151">
        <f t="shared" si="135"/>
        <v>1</v>
      </c>
      <c r="CJ119" s="151">
        <f t="shared" si="135"/>
        <v>1</v>
      </c>
      <c r="CK119" s="151">
        <f t="shared" si="135"/>
        <v>1</v>
      </c>
      <c r="CL119" s="151">
        <f t="shared" si="135"/>
        <v>1</v>
      </c>
      <c r="CM119" s="151">
        <f t="shared" si="135"/>
        <v>1</v>
      </c>
      <c r="CN119" s="151">
        <f t="shared" si="135"/>
        <v>1</v>
      </c>
      <c r="CO119" s="151">
        <f t="shared" si="135"/>
        <v>1</v>
      </c>
      <c r="CP119" s="151">
        <f t="shared" si="135"/>
        <v>1</v>
      </c>
      <c r="CQ119" s="151">
        <f t="shared" si="135"/>
        <v>1</v>
      </c>
      <c r="CR119" s="151">
        <f t="shared" si="135"/>
        <v>1</v>
      </c>
      <c r="CS119" s="151">
        <f t="shared" si="135"/>
        <v>1</v>
      </c>
      <c r="CT119" s="151">
        <f t="shared" si="135"/>
        <v>1</v>
      </c>
      <c r="CU119" s="151">
        <f t="shared" si="135"/>
        <v>1</v>
      </c>
      <c r="CV119" s="151">
        <f t="shared" si="135"/>
        <v>1</v>
      </c>
      <c r="CW119" s="151">
        <f t="shared" si="135"/>
        <v>1</v>
      </c>
      <c r="CX119" s="151">
        <f t="shared" si="135"/>
        <v>1</v>
      </c>
      <c r="CY119" s="151">
        <f t="shared" si="135"/>
        <v>1</v>
      </c>
      <c r="CZ119" s="151">
        <f t="shared" si="135"/>
        <v>1</v>
      </c>
      <c r="DA119" s="151">
        <f t="shared" si="135"/>
        <v>1</v>
      </c>
      <c r="DB119" s="151">
        <f t="shared" si="135"/>
        <v>1</v>
      </c>
      <c r="DC119" s="151">
        <f t="shared" si="135"/>
        <v>1</v>
      </c>
      <c r="DD119" s="151">
        <f t="shared" si="135"/>
        <v>1</v>
      </c>
      <c r="DE119" s="151">
        <f t="shared" si="135"/>
        <v>1</v>
      </c>
      <c r="DF119" s="151">
        <f t="shared" si="135"/>
        <v>1</v>
      </c>
      <c r="DG119" s="151">
        <f t="shared" si="135"/>
        <v>1</v>
      </c>
      <c r="DH119" s="151">
        <f t="shared" si="135"/>
        <v>1</v>
      </c>
      <c r="DI119" s="151">
        <f t="shared" si="135"/>
        <v>0</v>
      </c>
      <c r="DJ119" s="151">
        <f t="shared" si="135"/>
        <v>0</v>
      </c>
      <c r="DK119" s="151">
        <f t="shared" si="135"/>
        <v>0</v>
      </c>
      <c r="DL119" s="151">
        <f t="shared" si="135"/>
        <v>0</v>
      </c>
      <c r="DM119" s="151">
        <f t="shared" si="135"/>
        <v>0</v>
      </c>
      <c r="DN119" s="151">
        <f t="shared" si="135"/>
        <v>0</v>
      </c>
      <c r="DO119" s="151">
        <f t="shared" si="135"/>
        <v>0</v>
      </c>
      <c r="DP119" s="151">
        <f t="shared" si="135"/>
        <v>0</v>
      </c>
      <c r="DQ119" s="151">
        <f t="shared" si="135"/>
        <v>0</v>
      </c>
      <c r="DR119" s="151">
        <f t="shared" si="135"/>
        <v>0</v>
      </c>
      <c r="DS119" s="151">
        <f t="shared" si="135"/>
        <v>0</v>
      </c>
      <c r="DT119" s="151">
        <f t="shared" si="135"/>
        <v>0</v>
      </c>
      <c r="DU119" s="151">
        <f t="shared" si="135"/>
        <v>0</v>
      </c>
      <c r="DV119" s="151">
        <f t="shared" si="135"/>
        <v>0</v>
      </c>
      <c r="DW119" s="151">
        <f t="shared" si="135"/>
        <v>0</v>
      </c>
      <c r="DX119" s="151">
        <f t="shared" si="135"/>
        <v>0</v>
      </c>
      <c r="DY119" s="151">
        <f t="shared" si="135"/>
        <v>0</v>
      </c>
      <c r="DZ119" s="151">
        <f t="shared" si="135"/>
        <v>0</v>
      </c>
      <c r="EA119" s="151">
        <f t="shared" si="135"/>
        <v>0</v>
      </c>
    </row>
    <row r="120" spans="1:131" outlineLevel="2" x14ac:dyDescent="0.35">
      <c r="A120" s="346"/>
      <c r="B120" s="346"/>
      <c r="C120" s="347"/>
      <c r="D120" s="149"/>
      <c r="E120" s="151" t="s">
        <v>124</v>
      </c>
      <c r="F120" s="151"/>
      <c r="G120" s="151" t="s">
        <v>14</v>
      </c>
      <c r="H120" s="151"/>
      <c r="I120" s="151"/>
      <c r="J120" s="151">
        <f t="shared" ref="J120:AO120" si="136" xml:space="preserve"> (I120 + I118) * J119</f>
        <v>0</v>
      </c>
      <c r="K120" s="151">
        <f t="shared" si="136"/>
        <v>0</v>
      </c>
      <c r="L120" s="151">
        <f t="shared" si="136"/>
        <v>0</v>
      </c>
      <c r="M120" s="151">
        <f t="shared" si="136"/>
        <v>1</v>
      </c>
      <c r="N120" s="151">
        <f t="shared" si="136"/>
        <v>1</v>
      </c>
      <c r="O120" s="151">
        <f t="shared" si="136"/>
        <v>1</v>
      </c>
      <c r="P120" s="151">
        <f t="shared" si="136"/>
        <v>1</v>
      </c>
      <c r="Q120" s="151">
        <f t="shared" si="136"/>
        <v>2</v>
      </c>
      <c r="R120" s="151">
        <f t="shared" si="136"/>
        <v>2</v>
      </c>
      <c r="S120" s="151">
        <f t="shared" si="136"/>
        <v>2</v>
      </c>
      <c r="T120" s="151">
        <f t="shared" si="136"/>
        <v>2</v>
      </c>
      <c r="U120" s="151">
        <f t="shared" si="136"/>
        <v>3</v>
      </c>
      <c r="V120" s="151">
        <f t="shared" si="136"/>
        <v>3</v>
      </c>
      <c r="W120" s="151">
        <f t="shared" si="136"/>
        <v>3</v>
      </c>
      <c r="X120" s="151">
        <f t="shared" si="136"/>
        <v>3</v>
      </c>
      <c r="Y120" s="151">
        <f t="shared" si="136"/>
        <v>4</v>
      </c>
      <c r="Z120" s="151">
        <f t="shared" si="136"/>
        <v>4</v>
      </c>
      <c r="AA120" s="151">
        <f t="shared" si="136"/>
        <v>4</v>
      </c>
      <c r="AB120" s="151">
        <f t="shared" si="136"/>
        <v>4</v>
      </c>
      <c r="AC120" s="151">
        <f t="shared" si="136"/>
        <v>5</v>
      </c>
      <c r="AD120" s="151">
        <f t="shared" si="136"/>
        <v>5</v>
      </c>
      <c r="AE120" s="151">
        <f t="shared" si="136"/>
        <v>5</v>
      </c>
      <c r="AF120" s="151">
        <f t="shared" si="136"/>
        <v>5</v>
      </c>
      <c r="AG120" s="151">
        <f t="shared" si="136"/>
        <v>6</v>
      </c>
      <c r="AH120" s="151">
        <f t="shared" si="136"/>
        <v>6</v>
      </c>
      <c r="AI120" s="151">
        <f t="shared" si="136"/>
        <v>6</v>
      </c>
      <c r="AJ120" s="151">
        <f t="shared" si="136"/>
        <v>6</v>
      </c>
      <c r="AK120" s="151">
        <f t="shared" si="136"/>
        <v>7</v>
      </c>
      <c r="AL120" s="151">
        <f t="shared" si="136"/>
        <v>7</v>
      </c>
      <c r="AM120" s="151">
        <f t="shared" si="136"/>
        <v>7</v>
      </c>
      <c r="AN120" s="151">
        <f t="shared" si="136"/>
        <v>7</v>
      </c>
      <c r="AO120" s="151">
        <f t="shared" si="136"/>
        <v>8</v>
      </c>
      <c r="AP120" s="151">
        <f t="shared" ref="AP120:BU120" si="137" xml:space="preserve"> (AO120 + AO118) * AP119</f>
        <v>8</v>
      </c>
      <c r="AQ120" s="151">
        <f t="shared" si="137"/>
        <v>8</v>
      </c>
      <c r="AR120" s="151">
        <f t="shared" si="137"/>
        <v>8</v>
      </c>
      <c r="AS120" s="151">
        <f t="shared" si="137"/>
        <v>9</v>
      </c>
      <c r="AT120" s="151">
        <f t="shared" si="137"/>
        <v>9</v>
      </c>
      <c r="AU120" s="151">
        <f t="shared" si="137"/>
        <v>9</v>
      </c>
      <c r="AV120" s="151">
        <f t="shared" si="137"/>
        <v>9</v>
      </c>
      <c r="AW120" s="151">
        <f t="shared" si="137"/>
        <v>10</v>
      </c>
      <c r="AX120" s="151">
        <f t="shared" si="137"/>
        <v>10</v>
      </c>
      <c r="AY120" s="151">
        <f t="shared" si="137"/>
        <v>10</v>
      </c>
      <c r="AZ120" s="151">
        <f t="shared" si="137"/>
        <v>10</v>
      </c>
      <c r="BA120" s="151">
        <f t="shared" si="137"/>
        <v>11</v>
      </c>
      <c r="BB120" s="151">
        <f t="shared" si="137"/>
        <v>11</v>
      </c>
      <c r="BC120" s="151">
        <f t="shared" si="137"/>
        <v>11</v>
      </c>
      <c r="BD120" s="151">
        <f t="shared" si="137"/>
        <v>11</v>
      </c>
      <c r="BE120" s="151">
        <f t="shared" si="137"/>
        <v>12</v>
      </c>
      <c r="BF120" s="151">
        <f t="shared" si="137"/>
        <v>12</v>
      </c>
      <c r="BG120" s="151">
        <f t="shared" si="137"/>
        <v>12</v>
      </c>
      <c r="BH120" s="151">
        <f t="shared" si="137"/>
        <v>12</v>
      </c>
      <c r="BI120" s="151">
        <f t="shared" si="137"/>
        <v>13</v>
      </c>
      <c r="BJ120" s="151">
        <f t="shared" si="137"/>
        <v>13</v>
      </c>
      <c r="BK120" s="151">
        <f t="shared" si="137"/>
        <v>13</v>
      </c>
      <c r="BL120" s="151">
        <f t="shared" si="137"/>
        <v>13</v>
      </c>
      <c r="BM120" s="151">
        <f t="shared" si="137"/>
        <v>14</v>
      </c>
      <c r="BN120" s="151">
        <f t="shared" si="137"/>
        <v>14</v>
      </c>
      <c r="BO120" s="151">
        <f t="shared" si="137"/>
        <v>14</v>
      </c>
      <c r="BP120" s="151">
        <f t="shared" si="137"/>
        <v>14</v>
      </c>
      <c r="BQ120" s="151">
        <f t="shared" si="137"/>
        <v>15</v>
      </c>
      <c r="BR120" s="151">
        <f t="shared" si="137"/>
        <v>15</v>
      </c>
      <c r="BS120" s="151">
        <f t="shared" si="137"/>
        <v>15</v>
      </c>
      <c r="BT120" s="151">
        <f t="shared" si="137"/>
        <v>15</v>
      </c>
      <c r="BU120" s="151">
        <f t="shared" si="137"/>
        <v>16</v>
      </c>
      <c r="BV120" s="151">
        <f t="shared" ref="BV120:DA120" si="138" xml:space="preserve"> (BU120 + BU118) * BV119</f>
        <v>16</v>
      </c>
      <c r="BW120" s="151">
        <f t="shared" si="138"/>
        <v>16</v>
      </c>
      <c r="BX120" s="151">
        <f t="shared" si="138"/>
        <v>16</v>
      </c>
      <c r="BY120" s="151">
        <f t="shared" si="138"/>
        <v>17</v>
      </c>
      <c r="BZ120" s="151">
        <f t="shared" si="138"/>
        <v>17</v>
      </c>
      <c r="CA120" s="151">
        <f t="shared" si="138"/>
        <v>17</v>
      </c>
      <c r="CB120" s="151">
        <f t="shared" si="138"/>
        <v>17</v>
      </c>
      <c r="CC120" s="151">
        <f t="shared" si="138"/>
        <v>18</v>
      </c>
      <c r="CD120" s="151">
        <f t="shared" si="138"/>
        <v>18</v>
      </c>
      <c r="CE120" s="151">
        <f t="shared" si="138"/>
        <v>18</v>
      </c>
      <c r="CF120" s="151">
        <f t="shared" si="138"/>
        <v>18</v>
      </c>
      <c r="CG120" s="151">
        <f t="shared" si="138"/>
        <v>19</v>
      </c>
      <c r="CH120" s="151">
        <f t="shared" si="138"/>
        <v>19</v>
      </c>
      <c r="CI120" s="151">
        <f t="shared" si="138"/>
        <v>19</v>
      </c>
      <c r="CJ120" s="151">
        <f t="shared" si="138"/>
        <v>19</v>
      </c>
      <c r="CK120" s="151">
        <f t="shared" si="138"/>
        <v>20</v>
      </c>
      <c r="CL120" s="151">
        <f t="shared" si="138"/>
        <v>20</v>
      </c>
      <c r="CM120" s="151">
        <f t="shared" si="138"/>
        <v>20</v>
      </c>
      <c r="CN120" s="151">
        <f t="shared" si="138"/>
        <v>20</v>
      </c>
      <c r="CO120" s="151">
        <f t="shared" si="138"/>
        <v>21</v>
      </c>
      <c r="CP120" s="151">
        <f t="shared" si="138"/>
        <v>21</v>
      </c>
      <c r="CQ120" s="151">
        <f t="shared" si="138"/>
        <v>21</v>
      </c>
      <c r="CR120" s="151">
        <f t="shared" si="138"/>
        <v>21</v>
      </c>
      <c r="CS120" s="151">
        <f t="shared" si="138"/>
        <v>22</v>
      </c>
      <c r="CT120" s="151">
        <f t="shared" si="138"/>
        <v>22</v>
      </c>
      <c r="CU120" s="151">
        <f t="shared" si="138"/>
        <v>22</v>
      </c>
      <c r="CV120" s="151">
        <f t="shared" si="138"/>
        <v>22</v>
      </c>
      <c r="CW120" s="151">
        <f t="shared" si="138"/>
        <v>23</v>
      </c>
      <c r="CX120" s="151">
        <f t="shared" si="138"/>
        <v>23</v>
      </c>
      <c r="CY120" s="151">
        <f t="shared" si="138"/>
        <v>23</v>
      </c>
      <c r="CZ120" s="151">
        <f t="shared" si="138"/>
        <v>23</v>
      </c>
      <c r="DA120" s="151">
        <f t="shared" si="138"/>
        <v>24</v>
      </c>
      <c r="DB120" s="151">
        <f t="shared" ref="DB120:EA120" si="139" xml:space="preserve"> (DA120 + DA118) * DB119</f>
        <v>24</v>
      </c>
      <c r="DC120" s="151">
        <f t="shared" si="139"/>
        <v>24</v>
      </c>
      <c r="DD120" s="151">
        <f t="shared" si="139"/>
        <v>24</v>
      </c>
      <c r="DE120" s="151">
        <f t="shared" si="139"/>
        <v>25</v>
      </c>
      <c r="DF120" s="151">
        <f t="shared" si="139"/>
        <v>25</v>
      </c>
      <c r="DG120" s="151">
        <f t="shared" si="139"/>
        <v>25</v>
      </c>
      <c r="DH120" s="151">
        <f t="shared" si="139"/>
        <v>25</v>
      </c>
      <c r="DI120" s="151">
        <f t="shared" si="139"/>
        <v>0</v>
      </c>
      <c r="DJ120" s="151">
        <f t="shared" si="139"/>
        <v>0</v>
      </c>
      <c r="DK120" s="151">
        <f t="shared" si="139"/>
        <v>0</v>
      </c>
      <c r="DL120" s="151">
        <f t="shared" si="139"/>
        <v>0</v>
      </c>
      <c r="DM120" s="151">
        <f t="shared" si="139"/>
        <v>0</v>
      </c>
      <c r="DN120" s="151">
        <f t="shared" si="139"/>
        <v>0</v>
      </c>
      <c r="DO120" s="151">
        <f t="shared" si="139"/>
        <v>0</v>
      </c>
      <c r="DP120" s="151">
        <f t="shared" si="139"/>
        <v>0</v>
      </c>
      <c r="DQ120" s="151">
        <f t="shared" si="139"/>
        <v>0</v>
      </c>
      <c r="DR120" s="151">
        <f t="shared" si="139"/>
        <v>0</v>
      </c>
      <c r="DS120" s="151">
        <f t="shared" si="139"/>
        <v>0</v>
      </c>
      <c r="DT120" s="151">
        <f t="shared" si="139"/>
        <v>0</v>
      </c>
      <c r="DU120" s="151">
        <f t="shared" si="139"/>
        <v>0</v>
      </c>
      <c r="DV120" s="151">
        <f t="shared" si="139"/>
        <v>0</v>
      </c>
      <c r="DW120" s="151">
        <f t="shared" si="139"/>
        <v>0</v>
      </c>
      <c r="DX120" s="151">
        <f t="shared" si="139"/>
        <v>0</v>
      </c>
      <c r="DY120" s="151">
        <f t="shared" si="139"/>
        <v>0</v>
      </c>
      <c r="DZ120" s="151">
        <f t="shared" si="139"/>
        <v>0</v>
      </c>
      <c r="EA120" s="151">
        <f t="shared" si="139"/>
        <v>0</v>
      </c>
    </row>
    <row r="121" spans="1:131" outlineLevel="2" x14ac:dyDescent="0.35">
      <c r="A121" s="243"/>
      <c r="B121" s="192"/>
      <c r="C121" s="244"/>
      <c r="D121" s="245"/>
      <c r="E121" s="153"/>
      <c r="F121" s="153"/>
      <c r="G121" s="153"/>
      <c r="H121" s="153"/>
      <c r="I121" s="402"/>
      <c r="J121" s="190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3"/>
    </row>
    <row r="122" spans="1:131" outlineLevel="2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outlineLevel="2" x14ac:dyDescent="0.35">
      <c r="A123" s="192"/>
      <c r="B123" s="192"/>
      <c r="C123" s="193"/>
      <c r="D123" s="194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  <c r="CT123" s="191"/>
      <c r="CU123" s="191"/>
      <c r="CV123" s="191"/>
      <c r="CW123" s="191"/>
      <c r="CX123" s="191"/>
      <c r="CY123" s="191"/>
      <c r="CZ123" s="191"/>
      <c r="DA123" s="191"/>
      <c r="DB123" s="191"/>
      <c r="DC123" s="191"/>
      <c r="DD123" s="191"/>
      <c r="DE123" s="191"/>
      <c r="DF123" s="191"/>
      <c r="DG123" s="191"/>
      <c r="DH123" s="191"/>
      <c r="DI123" s="191"/>
      <c r="DJ123" s="191"/>
      <c r="DK123" s="191"/>
      <c r="DL123" s="191"/>
      <c r="DM123" s="191"/>
      <c r="DN123" s="191"/>
      <c r="DO123" s="191"/>
      <c r="DP123" s="191"/>
      <c r="DQ123" s="191"/>
      <c r="DR123" s="191"/>
      <c r="DS123" s="191"/>
      <c r="DT123" s="191"/>
      <c r="DU123" s="191"/>
      <c r="DV123" s="191"/>
      <c r="DW123" s="191"/>
      <c r="DX123" s="191"/>
      <c r="DY123" s="191"/>
      <c r="DZ123" s="191"/>
      <c r="EA123" s="191"/>
    </row>
    <row r="124" spans="1:131" outlineLevel="2" x14ac:dyDescent="0.35">
      <c r="A124" s="192"/>
      <c r="B124" s="192"/>
      <c r="C124" s="193"/>
      <c r="D124" s="194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191"/>
      <c r="AG124" s="191"/>
      <c r="AH124" s="191"/>
      <c r="AI124" s="191"/>
      <c r="AJ124" s="191"/>
      <c r="AK124" s="191"/>
      <c r="AL124" s="191"/>
      <c r="AM124" s="191"/>
      <c r="AN124" s="191"/>
      <c r="AO124" s="191"/>
      <c r="AP124" s="191"/>
      <c r="AQ124" s="191"/>
      <c r="AR124" s="191"/>
      <c r="AS124" s="191"/>
      <c r="AT124" s="191"/>
      <c r="AU124" s="191"/>
      <c r="AV124" s="191"/>
      <c r="AW124" s="191"/>
      <c r="AX124" s="191"/>
      <c r="AY124" s="191"/>
      <c r="AZ124" s="191"/>
      <c r="BA124" s="191"/>
      <c r="BB124" s="191"/>
      <c r="BC124" s="191"/>
      <c r="BD124" s="191"/>
      <c r="BE124" s="191"/>
      <c r="BF124" s="191"/>
      <c r="BG124" s="191"/>
      <c r="BH124" s="191"/>
      <c r="BI124" s="191"/>
      <c r="BJ124" s="191"/>
      <c r="BK124" s="191"/>
      <c r="BL124" s="191"/>
      <c r="BM124" s="191"/>
      <c r="BN124" s="191"/>
      <c r="BO124" s="191"/>
      <c r="BP124" s="191"/>
      <c r="BQ124" s="191"/>
      <c r="BR124" s="191"/>
      <c r="BS124" s="191"/>
      <c r="BT124" s="191"/>
      <c r="BU124" s="191"/>
      <c r="BV124" s="191"/>
      <c r="BW124" s="191"/>
      <c r="BX124" s="191"/>
      <c r="BY124" s="191"/>
      <c r="BZ124" s="191"/>
      <c r="CA124" s="191"/>
      <c r="CB124" s="191"/>
      <c r="CC124" s="191"/>
      <c r="CD124" s="191"/>
      <c r="CE124" s="191"/>
      <c r="CF124" s="191"/>
      <c r="CG124" s="191"/>
      <c r="CH124" s="191"/>
      <c r="CI124" s="191"/>
      <c r="CJ124" s="191"/>
      <c r="CK124" s="191"/>
      <c r="CL124" s="191"/>
      <c r="CM124" s="191"/>
      <c r="CN124" s="191"/>
      <c r="CO124" s="191"/>
      <c r="CP124" s="191"/>
      <c r="CQ124" s="191"/>
      <c r="CR124" s="191"/>
      <c r="CS124" s="191"/>
      <c r="CT124" s="191"/>
      <c r="CU124" s="191"/>
      <c r="CV124" s="191"/>
      <c r="CW124" s="191"/>
      <c r="CX124" s="191"/>
      <c r="CY124" s="191"/>
      <c r="CZ124" s="191"/>
      <c r="DA124" s="191"/>
      <c r="DB124" s="191"/>
      <c r="DC124" s="191"/>
      <c r="DD124" s="191"/>
      <c r="DE124" s="191"/>
      <c r="DF124" s="191"/>
      <c r="DG124" s="191"/>
      <c r="DH124" s="191"/>
      <c r="DI124" s="191"/>
      <c r="DJ124" s="191"/>
      <c r="DK124" s="191"/>
      <c r="DL124" s="191"/>
      <c r="DM124" s="191"/>
      <c r="DN124" s="191"/>
      <c r="DO124" s="191"/>
      <c r="DP124" s="191"/>
      <c r="DQ124" s="191"/>
      <c r="DR124" s="191"/>
      <c r="DS124" s="191"/>
      <c r="DT124" s="191"/>
      <c r="DU124" s="191"/>
      <c r="DV124" s="191"/>
      <c r="DW124" s="191"/>
      <c r="DX124" s="191"/>
      <c r="DY124" s="191"/>
      <c r="DZ124" s="191"/>
      <c r="EA124" s="191"/>
    </row>
    <row r="125" spans="1:131" outlineLevel="2" x14ac:dyDescent="0.35">
      <c r="A125" s="192"/>
      <c r="B125" s="192"/>
      <c r="C125" s="193"/>
      <c r="D125" s="194"/>
      <c r="E125" s="190"/>
      <c r="F125" s="190"/>
      <c r="G125" s="190"/>
      <c r="H125" s="190"/>
      <c r="I125" s="191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190"/>
      <c r="W125" s="190"/>
      <c r="X125" s="190"/>
      <c r="Y125" s="190"/>
      <c r="Z125" s="190"/>
      <c r="AA125" s="190"/>
      <c r="AB125" s="190"/>
      <c r="AC125" s="190"/>
      <c r="AD125" s="190"/>
      <c r="AE125" s="190"/>
      <c r="AF125" s="190"/>
      <c r="AG125" s="190"/>
      <c r="AH125" s="190"/>
      <c r="AI125" s="190"/>
      <c r="AJ125" s="190"/>
      <c r="AK125" s="190"/>
      <c r="AL125" s="190"/>
      <c r="AM125" s="190"/>
      <c r="AN125" s="190"/>
      <c r="AO125" s="190"/>
      <c r="AP125" s="190"/>
      <c r="AQ125" s="190"/>
      <c r="AR125" s="190"/>
      <c r="AS125" s="190"/>
      <c r="AT125" s="190"/>
      <c r="AU125" s="190"/>
      <c r="AV125" s="190"/>
      <c r="AW125" s="190"/>
      <c r="AX125" s="190"/>
      <c r="AY125" s="190"/>
      <c r="AZ125" s="190"/>
      <c r="BA125" s="190"/>
      <c r="BB125" s="190"/>
      <c r="BC125" s="190"/>
      <c r="BD125" s="190"/>
      <c r="BE125" s="190"/>
      <c r="BF125" s="190"/>
      <c r="BG125" s="190"/>
      <c r="BH125" s="190"/>
      <c r="BI125" s="190"/>
      <c r="BJ125" s="190"/>
      <c r="BK125" s="190"/>
      <c r="BL125" s="190"/>
      <c r="BM125" s="190"/>
      <c r="BN125" s="190"/>
      <c r="BO125" s="190"/>
      <c r="BP125" s="190"/>
      <c r="BQ125" s="190"/>
      <c r="BR125" s="190"/>
      <c r="BS125" s="190"/>
      <c r="BT125" s="190"/>
      <c r="BU125" s="190"/>
      <c r="BV125" s="190"/>
      <c r="BW125" s="190"/>
      <c r="BX125" s="190"/>
      <c r="BY125" s="190"/>
      <c r="BZ125" s="190"/>
      <c r="CA125" s="190"/>
      <c r="CB125" s="190"/>
      <c r="CC125" s="190"/>
      <c r="CD125" s="190"/>
      <c r="CE125" s="190"/>
      <c r="CF125" s="190"/>
      <c r="CG125" s="190"/>
      <c r="CH125" s="190"/>
      <c r="CI125" s="190"/>
      <c r="CJ125" s="190"/>
      <c r="CK125" s="190"/>
      <c r="CL125" s="190"/>
      <c r="CM125" s="190"/>
      <c r="CN125" s="190"/>
      <c r="CO125" s="190"/>
      <c r="CP125" s="190"/>
      <c r="CQ125" s="190"/>
      <c r="CR125" s="190"/>
      <c r="CS125" s="190"/>
      <c r="CT125" s="190"/>
      <c r="CU125" s="190"/>
      <c r="CV125" s="190"/>
      <c r="CW125" s="190"/>
      <c r="CX125" s="190"/>
      <c r="CY125" s="190"/>
      <c r="CZ125" s="190"/>
      <c r="DA125" s="190"/>
      <c r="DB125" s="190"/>
      <c r="DC125" s="190"/>
      <c r="DD125" s="190"/>
      <c r="DE125" s="190"/>
      <c r="DF125" s="190"/>
      <c r="DG125" s="190"/>
      <c r="DH125" s="190"/>
      <c r="DI125" s="190"/>
      <c r="DJ125" s="190"/>
      <c r="DK125" s="190"/>
      <c r="DL125" s="190"/>
      <c r="DM125" s="190"/>
      <c r="DN125" s="190"/>
      <c r="DO125" s="190"/>
      <c r="DP125" s="190"/>
      <c r="DQ125" s="190"/>
      <c r="DR125" s="190"/>
      <c r="DS125" s="190"/>
      <c r="DT125" s="190"/>
      <c r="DU125" s="190"/>
      <c r="DV125" s="190"/>
      <c r="DW125" s="190"/>
      <c r="DX125" s="190"/>
      <c r="DY125" s="190"/>
      <c r="DZ125" s="190"/>
      <c r="EA125" s="190"/>
    </row>
    <row r="126" spans="1:131" outlineLevel="2" x14ac:dyDescent="0.35">
      <c r="A126" s="192"/>
      <c r="B126" s="192"/>
      <c r="C126" s="193"/>
      <c r="D126" s="194"/>
      <c r="E126" s="190"/>
      <c r="F126" s="190"/>
      <c r="G126" s="190"/>
      <c r="H126" s="190"/>
      <c r="I126" s="191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190"/>
      <c r="W126" s="190"/>
      <c r="X126" s="190"/>
      <c r="Y126" s="190"/>
      <c r="Z126" s="190"/>
      <c r="AA126" s="190"/>
      <c r="AB126" s="190"/>
      <c r="AC126" s="190"/>
      <c r="AD126" s="190"/>
      <c r="AE126" s="190"/>
      <c r="AF126" s="190"/>
      <c r="AG126" s="190"/>
      <c r="AH126" s="190"/>
      <c r="AI126" s="190"/>
      <c r="AJ126" s="190"/>
      <c r="AK126" s="190"/>
      <c r="AL126" s="190"/>
      <c r="AM126" s="190"/>
      <c r="AN126" s="190"/>
      <c r="AO126" s="190"/>
      <c r="AP126" s="190"/>
      <c r="AQ126" s="190"/>
      <c r="AR126" s="190"/>
      <c r="AS126" s="190"/>
      <c r="AT126" s="190"/>
      <c r="AU126" s="190"/>
      <c r="AV126" s="190"/>
      <c r="AW126" s="190"/>
      <c r="AX126" s="190"/>
      <c r="AY126" s="190"/>
      <c r="AZ126" s="190"/>
      <c r="BA126" s="190"/>
      <c r="BB126" s="190"/>
      <c r="BC126" s="190"/>
      <c r="BD126" s="190"/>
      <c r="BE126" s="190"/>
      <c r="BF126" s="190"/>
      <c r="BG126" s="190"/>
      <c r="BH126" s="190"/>
      <c r="BI126" s="190"/>
      <c r="BJ126" s="190"/>
      <c r="BK126" s="190"/>
      <c r="BL126" s="190"/>
      <c r="BM126" s="190"/>
      <c r="BN126" s="190"/>
      <c r="BO126" s="190"/>
      <c r="BP126" s="190"/>
      <c r="BQ126" s="190"/>
      <c r="BR126" s="190"/>
      <c r="BS126" s="190"/>
      <c r="BT126" s="190"/>
      <c r="BU126" s="190"/>
      <c r="BV126" s="190"/>
      <c r="BW126" s="190"/>
      <c r="BX126" s="190"/>
      <c r="BY126" s="190"/>
      <c r="BZ126" s="190"/>
      <c r="CA126" s="190"/>
      <c r="CB126" s="190"/>
      <c r="CC126" s="190"/>
      <c r="CD126" s="190"/>
      <c r="CE126" s="190"/>
      <c r="CF126" s="190"/>
      <c r="CG126" s="190"/>
      <c r="CH126" s="190"/>
      <c r="CI126" s="190"/>
      <c r="CJ126" s="190"/>
      <c r="CK126" s="190"/>
      <c r="CL126" s="190"/>
      <c r="CM126" s="190"/>
      <c r="CN126" s="190"/>
      <c r="CO126" s="190"/>
      <c r="CP126" s="190"/>
      <c r="CQ126" s="190"/>
      <c r="CR126" s="190"/>
      <c r="CS126" s="190"/>
      <c r="CT126" s="190"/>
      <c r="CU126" s="190"/>
      <c r="CV126" s="190"/>
      <c r="CW126" s="190"/>
      <c r="CX126" s="190"/>
      <c r="CY126" s="190"/>
      <c r="CZ126" s="190"/>
      <c r="DA126" s="190"/>
      <c r="DB126" s="190"/>
      <c r="DC126" s="190"/>
      <c r="DD126" s="190"/>
      <c r="DE126" s="190"/>
      <c r="DF126" s="190"/>
      <c r="DG126" s="190"/>
      <c r="DH126" s="190"/>
      <c r="DI126" s="190"/>
      <c r="DJ126" s="190"/>
      <c r="DK126" s="190"/>
      <c r="DL126" s="190"/>
      <c r="DM126" s="190"/>
      <c r="DN126" s="190"/>
      <c r="DO126" s="190"/>
      <c r="DP126" s="190"/>
      <c r="DQ126" s="190"/>
      <c r="DR126" s="190"/>
      <c r="DS126" s="190"/>
      <c r="DT126" s="190"/>
      <c r="DU126" s="190"/>
      <c r="DV126" s="190"/>
      <c r="DW126" s="190"/>
      <c r="DX126" s="190"/>
      <c r="DY126" s="190"/>
      <c r="DZ126" s="190"/>
      <c r="EA126" s="190"/>
    </row>
    <row r="127" spans="1:131" outlineLevel="2" x14ac:dyDescent="0.35">
      <c r="A127" s="192"/>
      <c r="B127" s="192"/>
      <c r="C127" s="193"/>
      <c r="D127" s="194"/>
      <c r="E127" s="190"/>
      <c r="F127" s="190"/>
      <c r="G127" s="190"/>
      <c r="H127" s="190"/>
      <c r="I127" s="191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AW127" s="190"/>
      <c r="AX127" s="190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0"/>
      <c r="BM127" s="190"/>
      <c r="BN127" s="190"/>
      <c r="BO127" s="190"/>
      <c r="BP127" s="190"/>
      <c r="BQ127" s="190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  <c r="CH127" s="190"/>
      <c r="CI127" s="190"/>
      <c r="CJ127" s="190"/>
      <c r="CK127" s="190"/>
      <c r="CL127" s="190"/>
      <c r="CM127" s="190"/>
      <c r="CN127" s="190"/>
      <c r="CO127" s="190"/>
      <c r="CP127" s="190"/>
      <c r="CQ127" s="190"/>
      <c r="CR127" s="190"/>
      <c r="CS127" s="190"/>
      <c r="CT127" s="190"/>
      <c r="CU127" s="190"/>
      <c r="CV127" s="190"/>
      <c r="CW127" s="190"/>
      <c r="CX127" s="190"/>
      <c r="CY127" s="190"/>
      <c r="CZ127" s="190"/>
      <c r="DA127" s="190"/>
      <c r="DB127" s="190"/>
      <c r="DC127" s="190"/>
      <c r="DD127" s="190"/>
      <c r="DE127" s="190"/>
      <c r="DF127" s="190"/>
      <c r="DG127" s="190"/>
      <c r="DH127" s="190"/>
      <c r="DI127" s="190"/>
      <c r="DJ127" s="190"/>
      <c r="DK127" s="190"/>
      <c r="DL127" s="190"/>
      <c r="DM127" s="190"/>
      <c r="DN127" s="190"/>
      <c r="DO127" s="190"/>
      <c r="DP127" s="190"/>
      <c r="DQ127" s="190"/>
      <c r="DR127" s="190"/>
      <c r="DS127" s="190"/>
      <c r="DT127" s="190"/>
      <c r="DU127" s="190"/>
      <c r="DV127" s="190"/>
      <c r="DW127" s="190"/>
      <c r="DX127" s="190"/>
      <c r="DY127" s="190"/>
      <c r="DZ127" s="190"/>
      <c r="EA127" s="190"/>
    </row>
    <row r="128" spans="1:131" x14ac:dyDescent="0.35">
      <c r="A128" s="192"/>
      <c r="B128" s="192"/>
      <c r="C128" s="193"/>
      <c r="D128" s="194"/>
      <c r="E128" s="190"/>
      <c r="F128" s="190"/>
      <c r="G128" s="190"/>
      <c r="H128" s="190"/>
      <c r="I128" s="191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/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  <c r="BM128" s="190"/>
      <c r="BN128" s="190"/>
      <c r="BO128" s="190"/>
      <c r="BP128" s="190"/>
      <c r="BQ128" s="190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  <c r="CH128" s="190"/>
      <c r="CI128" s="190"/>
      <c r="CJ128" s="190"/>
      <c r="CK128" s="190"/>
      <c r="CL128" s="190"/>
      <c r="CM128" s="190"/>
      <c r="CN128" s="190"/>
      <c r="CO128" s="190"/>
      <c r="CP128" s="190"/>
      <c r="CQ128" s="190"/>
      <c r="CR128" s="190"/>
      <c r="CS128" s="190"/>
      <c r="CT128" s="190"/>
      <c r="CU128" s="190"/>
      <c r="CV128" s="190"/>
      <c r="CW128" s="190"/>
      <c r="CX128" s="190"/>
      <c r="CY128" s="190"/>
      <c r="CZ128" s="190"/>
      <c r="DA128" s="190"/>
      <c r="DB128" s="190"/>
      <c r="DC128" s="190"/>
      <c r="DD128" s="190"/>
      <c r="DE128" s="190"/>
      <c r="DF128" s="190"/>
      <c r="DG128" s="190"/>
      <c r="DH128" s="190"/>
      <c r="DI128" s="190"/>
      <c r="DJ128" s="190"/>
      <c r="DK128" s="190"/>
      <c r="DL128" s="190"/>
      <c r="DM128" s="190"/>
      <c r="DN128" s="190"/>
      <c r="DO128" s="190"/>
      <c r="DP128" s="190"/>
      <c r="DQ128" s="190"/>
      <c r="DR128" s="190"/>
      <c r="DS128" s="190"/>
      <c r="DT128" s="190"/>
      <c r="DU128" s="190"/>
      <c r="DV128" s="190"/>
      <c r="DW128" s="190"/>
      <c r="DX128" s="190"/>
      <c r="DY128" s="190"/>
      <c r="DZ128" s="190"/>
      <c r="EA128" s="190"/>
    </row>
    <row r="129" spans="1:131" x14ac:dyDescent="0.35">
      <c r="A129" s="192" t="s">
        <v>63</v>
      </c>
      <c r="B129" s="192"/>
      <c r="C129" s="193"/>
      <c r="D129" s="194"/>
      <c r="E129" s="190"/>
      <c r="F129" s="190"/>
      <c r="G129" s="190"/>
      <c r="H129" s="190"/>
      <c r="I129" s="191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  <c r="BM129" s="190"/>
      <c r="BN129" s="190"/>
      <c r="BO129" s="190"/>
      <c r="BP129" s="190"/>
      <c r="BQ129" s="190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  <c r="CH129" s="190"/>
      <c r="CI129" s="190"/>
      <c r="CJ129" s="190"/>
      <c r="CK129" s="190"/>
      <c r="CL129" s="190"/>
      <c r="CM129" s="190"/>
      <c r="CN129" s="190"/>
      <c r="CO129" s="190"/>
      <c r="CP129" s="190"/>
      <c r="CQ129" s="190"/>
      <c r="CR129" s="190"/>
      <c r="CS129" s="190"/>
      <c r="CT129" s="190"/>
      <c r="CU129" s="190"/>
      <c r="CV129" s="190"/>
      <c r="CW129" s="190"/>
      <c r="CX129" s="190"/>
      <c r="CY129" s="190"/>
      <c r="CZ129" s="190"/>
      <c r="DA129" s="190"/>
      <c r="DB129" s="190"/>
      <c r="DC129" s="190"/>
      <c r="DD129" s="190"/>
      <c r="DE129" s="190"/>
      <c r="DF129" s="190"/>
      <c r="DG129" s="190"/>
      <c r="DH129" s="190"/>
      <c r="DI129" s="190"/>
      <c r="DJ129" s="190"/>
      <c r="DK129" s="190"/>
      <c r="DL129" s="190"/>
      <c r="DM129" s="190"/>
      <c r="DN129" s="190"/>
      <c r="DO129" s="190"/>
      <c r="DP129" s="190"/>
      <c r="DQ129" s="190"/>
      <c r="DR129" s="190"/>
      <c r="DS129" s="190"/>
      <c r="DT129" s="190"/>
      <c r="DU129" s="190"/>
      <c r="DV129" s="190"/>
      <c r="DW129" s="190"/>
      <c r="DX129" s="190"/>
      <c r="DY129" s="190"/>
      <c r="DZ129" s="190"/>
      <c r="EA129" s="190"/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13" operator="equal">
      <formula>"Fin Close"</formula>
    </cfRule>
    <cfRule type="cellIs" dxfId="39" priority="15" stopIfTrue="1" operator="equal">
      <formula>"Operations"</formula>
    </cfRule>
  </conditionalFormatting>
  <dataValidations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>
    <outlinePr summaryBelow="0" summaryRight="0"/>
  </sheetPr>
  <dimension ref="A1:EA27"/>
  <sheetViews>
    <sheetView defaultGridColor="0" colorId="8" zoomScaleNormal="100" workbookViewId="0">
      <pane xSplit="9" ySplit="5" topLeftCell="L6" activePane="bottomRight" state="frozen"/>
      <selection activeCell="E45" sqref="E45"/>
      <selection pane="topRight" activeCell="E45" sqref="E45"/>
      <selection pane="bottomLeft" activeCell="E45" sqref="E45"/>
      <selection pane="bottomRight" activeCell="L9" sqref="L9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8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168</v>
      </c>
    </row>
    <row r="10" spans="1:131" x14ac:dyDescent="0.35">
      <c r="A10" s="171"/>
      <c r="B10" s="171"/>
      <c r="C10" s="172"/>
      <c r="D10" s="173"/>
      <c r="E10" s="174" t="s">
        <v>165</v>
      </c>
      <c r="F10" s="156"/>
      <c r="G10" s="174" t="str">
        <f xml:space="preserve"> SMU</f>
        <v>$ 000s</v>
      </c>
      <c r="H10" s="174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</row>
    <row r="11" spans="1:131" x14ac:dyDescent="0.35">
      <c r="E11" s="182" t="str">
        <f xml:space="preserve"> Time!E$76</f>
        <v>Financial close date flag</v>
      </c>
      <c r="F11" s="182">
        <f xml:space="preserve"> Time!F$76</f>
        <v>0</v>
      </c>
      <c r="G11" s="182" t="str">
        <f xml:space="preserve"> Time!G$76</f>
        <v>flag</v>
      </c>
      <c r="H11" s="182">
        <f xml:space="preserve"> Time!H$76</f>
        <v>1</v>
      </c>
      <c r="I11" s="182">
        <f xml:space="preserve"> Time!I$76</f>
        <v>0</v>
      </c>
      <c r="J11" s="182">
        <f xml:space="preserve"> Time!J$76</f>
        <v>0</v>
      </c>
      <c r="K11" s="182">
        <f xml:space="preserve"> Time!K$76</f>
        <v>0</v>
      </c>
      <c r="L11" s="182">
        <f xml:space="preserve"> Time!L$76</f>
        <v>1</v>
      </c>
      <c r="M11" s="182">
        <f xml:space="preserve"> Time!M$76</f>
        <v>0</v>
      </c>
      <c r="N11" s="182">
        <f xml:space="preserve"> Time!N$76</f>
        <v>0</v>
      </c>
      <c r="O11" s="182">
        <f xml:space="preserve"> Time!O$76</f>
        <v>0</v>
      </c>
      <c r="P11" s="182">
        <f xml:space="preserve"> Time!P$76</f>
        <v>0</v>
      </c>
      <c r="Q11" s="182">
        <f xml:space="preserve"> Time!Q$76</f>
        <v>0</v>
      </c>
      <c r="R11" s="182">
        <f xml:space="preserve"> Time!R$76</f>
        <v>0</v>
      </c>
      <c r="S11" s="182">
        <f xml:space="preserve"> Time!S$76</f>
        <v>0</v>
      </c>
      <c r="T11" s="182">
        <f xml:space="preserve"> Time!T$76</f>
        <v>0</v>
      </c>
      <c r="U11" s="182">
        <f xml:space="preserve"> Time!U$76</f>
        <v>0</v>
      </c>
      <c r="V11" s="182">
        <f xml:space="preserve"> Time!V$76</f>
        <v>0</v>
      </c>
      <c r="W11" s="182">
        <f xml:space="preserve"> Time!W$76</f>
        <v>0</v>
      </c>
      <c r="X11" s="182">
        <f xml:space="preserve"> Time!X$76</f>
        <v>0</v>
      </c>
      <c r="Y11" s="182">
        <f xml:space="preserve"> Time!Y$76</f>
        <v>0</v>
      </c>
      <c r="Z11" s="182">
        <f xml:space="preserve"> Time!Z$76</f>
        <v>0</v>
      </c>
      <c r="AA11" s="182">
        <f xml:space="preserve"> Time!AA$76</f>
        <v>0</v>
      </c>
      <c r="AB11" s="182">
        <f xml:space="preserve"> Time!AB$76</f>
        <v>0</v>
      </c>
      <c r="AC11" s="182">
        <f xml:space="preserve"> Time!AC$76</f>
        <v>0</v>
      </c>
      <c r="AD11" s="182">
        <f xml:space="preserve"> Time!AD$76</f>
        <v>0</v>
      </c>
      <c r="AE11" s="182">
        <f xml:space="preserve"> Time!AE$76</f>
        <v>0</v>
      </c>
      <c r="AF11" s="182">
        <f xml:space="preserve"> Time!AF$76</f>
        <v>0</v>
      </c>
      <c r="AG11" s="182">
        <f xml:space="preserve"> Time!AG$76</f>
        <v>0</v>
      </c>
      <c r="AH11" s="182">
        <f xml:space="preserve"> Time!AH$76</f>
        <v>0</v>
      </c>
      <c r="AI11" s="182">
        <f xml:space="preserve"> Time!AI$76</f>
        <v>0</v>
      </c>
      <c r="AJ11" s="182">
        <f xml:space="preserve"> Time!AJ$76</f>
        <v>0</v>
      </c>
      <c r="AK11" s="182">
        <f xml:space="preserve"> Time!AK$76</f>
        <v>0</v>
      </c>
      <c r="AL11" s="182">
        <f xml:space="preserve"> Time!AL$76</f>
        <v>0</v>
      </c>
      <c r="AM11" s="182">
        <f xml:space="preserve"> Time!AM$76</f>
        <v>0</v>
      </c>
      <c r="AN11" s="182">
        <f xml:space="preserve"> Time!AN$76</f>
        <v>0</v>
      </c>
      <c r="AO11" s="182">
        <f xml:space="preserve"> Time!AO$76</f>
        <v>0</v>
      </c>
      <c r="AP11" s="182">
        <f xml:space="preserve"> Time!AP$76</f>
        <v>0</v>
      </c>
      <c r="AQ11" s="182">
        <f xml:space="preserve"> Time!AQ$76</f>
        <v>0</v>
      </c>
      <c r="AR11" s="182">
        <f xml:space="preserve"> Time!AR$76</f>
        <v>0</v>
      </c>
      <c r="AS11" s="182">
        <f xml:space="preserve"> Time!AS$76</f>
        <v>0</v>
      </c>
      <c r="AT11" s="182">
        <f xml:space="preserve"> Time!AT$76</f>
        <v>0</v>
      </c>
      <c r="AU11" s="182">
        <f xml:space="preserve"> Time!AU$76</f>
        <v>0</v>
      </c>
      <c r="AV11" s="182">
        <f xml:space="preserve"> Time!AV$76</f>
        <v>0</v>
      </c>
      <c r="AW11" s="182">
        <f xml:space="preserve"> Time!AW$76</f>
        <v>0</v>
      </c>
      <c r="AX11" s="182">
        <f xml:space="preserve"> Time!AX$76</f>
        <v>0</v>
      </c>
      <c r="AY11" s="182">
        <f xml:space="preserve"> Time!AY$76</f>
        <v>0</v>
      </c>
      <c r="AZ11" s="182">
        <f xml:space="preserve"> Time!AZ$76</f>
        <v>0</v>
      </c>
      <c r="BA11" s="182">
        <f xml:space="preserve"> Time!BA$76</f>
        <v>0</v>
      </c>
      <c r="BB11" s="182">
        <f xml:space="preserve"> Time!BB$76</f>
        <v>0</v>
      </c>
      <c r="BC11" s="182">
        <f xml:space="preserve"> Time!BC$76</f>
        <v>0</v>
      </c>
      <c r="BD11" s="182">
        <f xml:space="preserve"> Time!BD$76</f>
        <v>0</v>
      </c>
      <c r="BE11" s="182">
        <f xml:space="preserve"> Time!BE$76</f>
        <v>0</v>
      </c>
      <c r="BF11" s="182">
        <f xml:space="preserve"> Time!BF$76</f>
        <v>0</v>
      </c>
      <c r="BG11" s="182">
        <f xml:space="preserve"> Time!BG$76</f>
        <v>0</v>
      </c>
      <c r="BH11" s="182">
        <f xml:space="preserve"> Time!BH$76</f>
        <v>0</v>
      </c>
      <c r="BI11" s="182">
        <f xml:space="preserve"> Time!BI$76</f>
        <v>0</v>
      </c>
      <c r="BJ11" s="182">
        <f xml:space="preserve"> Time!BJ$76</f>
        <v>0</v>
      </c>
      <c r="BK11" s="182">
        <f xml:space="preserve"> Time!BK$76</f>
        <v>0</v>
      </c>
      <c r="BL11" s="182">
        <f xml:space="preserve"> Time!BL$76</f>
        <v>0</v>
      </c>
      <c r="BM11" s="182">
        <f xml:space="preserve"> Time!BM$76</f>
        <v>0</v>
      </c>
      <c r="BN11" s="182">
        <f xml:space="preserve"> Time!BN$76</f>
        <v>0</v>
      </c>
      <c r="BO11" s="182">
        <f xml:space="preserve"> Time!BO$76</f>
        <v>0</v>
      </c>
      <c r="BP11" s="182">
        <f xml:space="preserve"> Time!BP$76</f>
        <v>0</v>
      </c>
      <c r="BQ11" s="182">
        <f xml:space="preserve"> Time!BQ$76</f>
        <v>0</v>
      </c>
      <c r="BR11" s="182">
        <f xml:space="preserve"> Time!BR$76</f>
        <v>0</v>
      </c>
      <c r="BS11" s="182">
        <f xml:space="preserve"> Time!BS$76</f>
        <v>0</v>
      </c>
      <c r="BT11" s="182">
        <f xml:space="preserve"> Time!BT$76</f>
        <v>0</v>
      </c>
      <c r="BU11" s="182">
        <f xml:space="preserve"> Time!BU$76</f>
        <v>0</v>
      </c>
      <c r="BV11" s="182">
        <f xml:space="preserve"> Time!BV$76</f>
        <v>0</v>
      </c>
      <c r="BW11" s="182">
        <f xml:space="preserve"> Time!BW$76</f>
        <v>0</v>
      </c>
      <c r="BX11" s="182">
        <f xml:space="preserve"> Time!BX$76</f>
        <v>0</v>
      </c>
      <c r="BY11" s="182">
        <f xml:space="preserve"> Time!BY$76</f>
        <v>0</v>
      </c>
      <c r="BZ11" s="182">
        <f xml:space="preserve"> Time!BZ$76</f>
        <v>0</v>
      </c>
      <c r="CA11" s="182">
        <f xml:space="preserve"> Time!CA$76</f>
        <v>0</v>
      </c>
      <c r="CB11" s="182">
        <f xml:space="preserve"> Time!CB$76</f>
        <v>0</v>
      </c>
      <c r="CC11" s="182">
        <f xml:space="preserve"> Time!CC$76</f>
        <v>0</v>
      </c>
      <c r="CD11" s="182">
        <f xml:space="preserve"> Time!CD$76</f>
        <v>0</v>
      </c>
      <c r="CE11" s="182">
        <f xml:space="preserve"> Time!CE$76</f>
        <v>0</v>
      </c>
      <c r="CF11" s="182">
        <f xml:space="preserve"> Time!CF$76</f>
        <v>0</v>
      </c>
      <c r="CG11" s="182">
        <f xml:space="preserve"> Time!CG$76</f>
        <v>0</v>
      </c>
      <c r="CH11" s="182">
        <f xml:space="preserve"> Time!CH$76</f>
        <v>0</v>
      </c>
      <c r="CI11" s="182">
        <f xml:space="preserve"> Time!CI$76</f>
        <v>0</v>
      </c>
      <c r="CJ11" s="182">
        <f xml:space="preserve"> Time!CJ$76</f>
        <v>0</v>
      </c>
      <c r="CK11" s="182">
        <f xml:space="preserve"> Time!CK$76</f>
        <v>0</v>
      </c>
      <c r="CL11" s="182">
        <f xml:space="preserve"> Time!CL$76</f>
        <v>0</v>
      </c>
      <c r="CM11" s="182">
        <f xml:space="preserve"> Time!CM$76</f>
        <v>0</v>
      </c>
      <c r="CN11" s="182">
        <f xml:space="preserve"> Time!CN$76</f>
        <v>0</v>
      </c>
      <c r="CO11" s="182">
        <f xml:space="preserve"> Time!CO$76</f>
        <v>0</v>
      </c>
      <c r="CP11" s="182">
        <f xml:space="preserve"> Time!CP$76</f>
        <v>0</v>
      </c>
      <c r="CQ11" s="182">
        <f xml:space="preserve"> Time!CQ$76</f>
        <v>0</v>
      </c>
      <c r="CR11" s="182">
        <f xml:space="preserve"> Time!CR$76</f>
        <v>0</v>
      </c>
      <c r="CS11" s="182">
        <f xml:space="preserve"> Time!CS$76</f>
        <v>0</v>
      </c>
      <c r="CT11" s="182">
        <f xml:space="preserve"> Time!CT$76</f>
        <v>0</v>
      </c>
      <c r="CU11" s="182">
        <f xml:space="preserve"> Time!CU$76</f>
        <v>0</v>
      </c>
      <c r="CV11" s="182">
        <f xml:space="preserve"> Time!CV$76</f>
        <v>0</v>
      </c>
      <c r="CW11" s="182">
        <f xml:space="preserve"> Time!CW$76</f>
        <v>0</v>
      </c>
      <c r="CX11" s="182">
        <f xml:space="preserve"> Time!CX$76</f>
        <v>0</v>
      </c>
      <c r="CY11" s="182">
        <f xml:space="preserve"> Time!CY$76</f>
        <v>0</v>
      </c>
      <c r="CZ11" s="182">
        <f xml:space="preserve"> Time!CZ$76</f>
        <v>0</v>
      </c>
      <c r="DA11" s="182">
        <f xml:space="preserve"> Time!DA$76</f>
        <v>0</v>
      </c>
      <c r="DB11" s="182">
        <f xml:space="preserve"> Time!DB$76</f>
        <v>0</v>
      </c>
      <c r="DC11" s="182">
        <f xml:space="preserve"> Time!DC$76</f>
        <v>0</v>
      </c>
      <c r="DD11" s="182">
        <f xml:space="preserve"> Time!DD$76</f>
        <v>0</v>
      </c>
      <c r="DE11" s="182">
        <f xml:space="preserve"> Time!DE$76</f>
        <v>0</v>
      </c>
      <c r="DF11" s="182">
        <f xml:space="preserve"> Time!DF$76</f>
        <v>0</v>
      </c>
      <c r="DG11" s="182">
        <f xml:space="preserve"> Time!DG$76</f>
        <v>0</v>
      </c>
      <c r="DH11" s="182">
        <f xml:space="preserve"> Time!DH$76</f>
        <v>0</v>
      </c>
      <c r="DI11" s="182">
        <f xml:space="preserve"> Time!DI$76</f>
        <v>0</v>
      </c>
      <c r="DJ11" s="182">
        <f xml:space="preserve"> Time!DJ$76</f>
        <v>0</v>
      </c>
      <c r="DK11" s="182">
        <f xml:space="preserve"> Time!DK$76</f>
        <v>0</v>
      </c>
      <c r="DL11" s="182">
        <f xml:space="preserve"> Time!DL$76</f>
        <v>0</v>
      </c>
      <c r="DM11" s="182">
        <f xml:space="preserve"> Time!DM$76</f>
        <v>0</v>
      </c>
      <c r="DN11" s="182">
        <f xml:space="preserve"> Time!DN$76</f>
        <v>0</v>
      </c>
      <c r="DO11" s="182">
        <f xml:space="preserve"> Time!DO$76</f>
        <v>0</v>
      </c>
      <c r="DP11" s="182">
        <f xml:space="preserve"> Time!DP$76</f>
        <v>0</v>
      </c>
      <c r="DQ11" s="182">
        <f xml:space="preserve"> Time!DQ$76</f>
        <v>0</v>
      </c>
      <c r="DR11" s="182">
        <f xml:space="preserve"> Time!DR$76</f>
        <v>0</v>
      </c>
      <c r="DS11" s="182">
        <f xml:space="preserve"> Time!DS$76</f>
        <v>0</v>
      </c>
      <c r="DT11" s="182">
        <f xml:space="preserve"> Time!DT$76</f>
        <v>0</v>
      </c>
      <c r="DU11" s="182">
        <f xml:space="preserve"> Time!DU$76</f>
        <v>0</v>
      </c>
      <c r="DV11" s="182">
        <f xml:space="preserve"> Time!DV$76</f>
        <v>0</v>
      </c>
      <c r="DW11" s="182">
        <f xml:space="preserve"> Time!DW$76</f>
        <v>0</v>
      </c>
      <c r="DX11" s="182">
        <f xml:space="preserve"> Time!DX$76</f>
        <v>0</v>
      </c>
      <c r="DY11" s="182">
        <f xml:space="preserve"> Time!DY$76</f>
        <v>0</v>
      </c>
      <c r="DZ11" s="182">
        <f xml:space="preserve"> Time!DZ$76</f>
        <v>0</v>
      </c>
      <c r="EA11" s="182">
        <f xml:space="preserve"> Time!EA$76</f>
        <v>0</v>
      </c>
    </row>
    <row r="12" spans="1:131" x14ac:dyDescent="0.35">
      <c r="E12" s="169"/>
      <c r="F12" s="169"/>
      <c r="G12" s="169"/>
      <c r="H12" s="169"/>
      <c r="I12" s="26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</row>
    <row r="13" spans="1:131" x14ac:dyDescent="0.35">
      <c r="E13" s="169" t="s">
        <v>166</v>
      </c>
      <c r="F13" s="169"/>
      <c r="G13" s="169" t="str">
        <f xml:space="preserve"> SMU</f>
        <v>$ 000s</v>
      </c>
      <c r="H13" s="169"/>
      <c r="I13" s="26"/>
      <c r="J13" s="169">
        <f t="shared" ref="J13:BU13" si="0">I16</f>
        <v>0</v>
      </c>
      <c r="K13" s="169">
        <f t="shared" si="0"/>
        <v>0</v>
      </c>
      <c r="L13" s="169">
        <f t="shared" si="0"/>
        <v>0</v>
      </c>
      <c r="M13" s="169">
        <f t="shared" si="0"/>
        <v>0</v>
      </c>
      <c r="N13" s="169">
        <f t="shared" si="0"/>
        <v>100</v>
      </c>
      <c r="O13" s="169">
        <f t="shared" si="0"/>
        <v>200</v>
      </c>
      <c r="P13" s="169">
        <f t="shared" si="0"/>
        <v>300</v>
      </c>
      <c r="Q13" s="169">
        <f t="shared" si="0"/>
        <v>400</v>
      </c>
      <c r="R13" s="169">
        <f t="shared" si="0"/>
        <v>500</v>
      </c>
      <c r="S13" s="169">
        <f t="shared" si="0"/>
        <v>600</v>
      </c>
      <c r="T13" s="169">
        <f t="shared" si="0"/>
        <v>700</v>
      </c>
      <c r="U13" s="169">
        <f t="shared" si="0"/>
        <v>800</v>
      </c>
      <c r="V13" s="169">
        <f t="shared" si="0"/>
        <v>900</v>
      </c>
      <c r="W13" s="169">
        <f t="shared" si="0"/>
        <v>1000</v>
      </c>
      <c r="X13" s="169">
        <f t="shared" si="0"/>
        <v>1100</v>
      </c>
      <c r="Y13" s="169">
        <f t="shared" si="0"/>
        <v>1200</v>
      </c>
      <c r="Z13" s="169">
        <f t="shared" si="0"/>
        <v>1300</v>
      </c>
      <c r="AA13" s="169">
        <f t="shared" si="0"/>
        <v>1400</v>
      </c>
      <c r="AB13" s="169">
        <f t="shared" si="0"/>
        <v>1500</v>
      </c>
      <c r="AC13" s="169">
        <f t="shared" si="0"/>
        <v>1600</v>
      </c>
      <c r="AD13" s="169">
        <f t="shared" si="0"/>
        <v>1700</v>
      </c>
      <c r="AE13" s="169">
        <f t="shared" si="0"/>
        <v>1800</v>
      </c>
      <c r="AF13" s="169">
        <f t="shared" si="0"/>
        <v>1900</v>
      </c>
      <c r="AG13" s="169">
        <f t="shared" si="0"/>
        <v>2000</v>
      </c>
      <c r="AH13" s="169">
        <f t="shared" si="0"/>
        <v>2100</v>
      </c>
      <c r="AI13" s="169">
        <f t="shared" si="0"/>
        <v>2200</v>
      </c>
      <c r="AJ13" s="169">
        <f t="shared" si="0"/>
        <v>2300</v>
      </c>
      <c r="AK13" s="169">
        <f t="shared" si="0"/>
        <v>2400</v>
      </c>
      <c r="AL13" s="169">
        <f t="shared" si="0"/>
        <v>2500</v>
      </c>
      <c r="AM13" s="169">
        <f t="shared" si="0"/>
        <v>2600</v>
      </c>
      <c r="AN13" s="169">
        <f t="shared" si="0"/>
        <v>2700</v>
      </c>
      <c r="AO13" s="169">
        <f t="shared" si="0"/>
        <v>2800</v>
      </c>
      <c r="AP13" s="169">
        <f t="shared" si="0"/>
        <v>2900</v>
      </c>
      <c r="AQ13" s="169">
        <f t="shared" si="0"/>
        <v>3000</v>
      </c>
      <c r="AR13" s="169">
        <f t="shared" si="0"/>
        <v>3100</v>
      </c>
      <c r="AS13" s="169">
        <f t="shared" si="0"/>
        <v>3200</v>
      </c>
      <c r="AT13" s="169">
        <f t="shared" si="0"/>
        <v>3300</v>
      </c>
      <c r="AU13" s="169">
        <f t="shared" si="0"/>
        <v>3400</v>
      </c>
      <c r="AV13" s="169">
        <f t="shared" si="0"/>
        <v>3500</v>
      </c>
      <c r="AW13" s="169">
        <f t="shared" si="0"/>
        <v>3600</v>
      </c>
      <c r="AX13" s="169">
        <f t="shared" si="0"/>
        <v>3700</v>
      </c>
      <c r="AY13" s="169">
        <f t="shared" si="0"/>
        <v>3800</v>
      </c>
      <c r="AZ13" s="169">
        <f t="shared" si="0"/>
        <v>3900</v>
      </c>
      <c r="BA13" s="169">
        <f t="shared" si="0"/>
        <v>4000</v>
      </c>
      <c r="BB13" s="169">
        <f t="shared" si="0"/>
        <v>4100</v>
      </c>
      <c r="BC13" s="169">
        <f t="shared" si="0"/>
        <v>4200</v>
      </c>
      <c r="BD13" s="169">
        <f t="shared" si="0"/>
        <v>4300</v>
      </c>
      <c r="BE13" s="169">
        <f t="shared" si="0"/>
        <v>4400</v>
      </c>
      <c r="BF13" s="169">
        <f t="shared" si="0"/>
        <v>4500</v>
      </c>
      <c r="BG13" s="169">
        <f t="shared" si="0"/>
        <v>4600</v>
      </c>
      <c r="BH13" s="169">
        <f t="shared" si="0"/>
        <v>4700</v>
      </c>
      <c r="BI13" s="169">
        <f t="shared" si="0"/>
        <v>4800</v>
      </c>
      <c r="BJ13" s="169">
        <f t="shared" si="0"/>
        <v>4900</v>
      </c>
      <c r="BK13" s="169">
        <f t="shared" si="0"/>
        <v>5000</v>
      </c>
      <c r="BL13" s="169">
        <f t="shared" si="0"/>
        <v>5100</v>
      </c>
      <c r="BM13" s="169">
        <f t="shared" si="0"/>
        <v>5200</v>
      </c>
      <c r="BN13" s="169">
        <f t="shared" si="0"/>
        <v>5300</v>
      </c>
      <c r="BO13" s="169">
        <f t="shared" si="0"/>
        <v>5400</v>
      </c>
      <c r="BP13" s="169">
        <f t="shared" si="0"/>
        <v>5500</v>
      </c>
      <c r="BQ13" s="169">
        <f t="shared" si="0"/>
        <v>5600</v>
      </c>
      <c r="BR13" s="169">
        <f t="shared" si="0"/>
        <v>5700</v>
      </c>
      <c r="BS13" s="169">
        <f t="shared" si="0"/>
        <v>5800</v>
      </c>
      <c r="BT13" s="169">
        <f t="shared" si="0"/>
        <v>5900</v>
      </c>
      <c r="BU13" s="169">
        <f t="shared" si="0"/>
        <v>6000</v>
      </c>
      <c r="BV13" s="169">
        <f t="shared" ref="BV13:EA13" si="1">BU16</f>
        <v>6100</v>
      </c>
      <c r="BW13" s="169">
        <f t="shared" si="1"/>
        <v>6200</v>
      </c>
      <c r="BX13" s="169">
        <f t="shared" si="1"/>
        <v>6300</v>
      </c>
      <c r="BY13" s="169">
        <f t="shared" si="1"/>
        <v>6400</v>
      </c>
      <c r="BZ13" s="169">
        <f t="shared" si="1"/>
        <v>6500</v>
      </c>
      <c r="CA13" s="169">
        <f t="shared" si="1"/>
        <v>6600</v>
      </c>
      <c r="CB13" s="169">
        <f t="shared" si="1"/>
        <v>6700</v>
      </c>
      <c r="CC13" s="169">
        <f t="shared" si="1"/>
        <v>6800</v>
      </c>
      <c r="CD13" s="169">
        <f t="shared" si="1"/>
        <v>6900</v>
      </c>
      <c r="CE13" s="169">
        <f t="shared" si="1"/>
        <v>7000</v>
      </c>
      <c r="CF13" s="169">
        <f t="shared" si="1"/>
        <v>7100</v>
      </c>
      <c r="CG13" s="169">
        <f t="shared" si="1"/>
        <v>7200</v>
      </c>
      <c r="CH13" s="169">
        <f t="shared" si="1"/>
        <v>7300</v>
      </c>
      <c r="CI13" s="169">
        <f t="shared" si="1"/>
        <v>7400</v>
      </c>
      <c r="CJ13" s="169">
        <f t="shared" si="1"/>
        <v>7500</v>
      </c>
      <c r="CK13" s="169">
        <f t="shared" si="1"/>
        <v>7600</v>
      </c>
      <c r="CL13" s="169">
        <f t="shared" si="1"/>
        <v>7700</v>
      </c>
      <c r="CM13" s="169">
        <f t="shared" si="1"/>
        <v>7800</v>
      </c>
      <c r="CN13" s="169">
        <f t="shared" si="1"/>
        <v>7900</v>
      </c>
      <c r="CO13" s="169">
        <f t="shared" si="1"/>
        <v>8000</v>
      </c>
      <c r="CP13" s="169">
        <f t="shared" si="1"/>
        <v>8100</v>
      </c>
      <c r="CQ13" s="169">
        <f t="shared" si="1"/>
        <v>8200</v>
      </c>
      <c r="CR13" s="169">
        <f t="shared" si="1"/>
        <v>8300</v>
      </c>
      <c r="CS13" s="169">
        <f t="shared" si="1"/>
        <v>8400</v>
      </c>
      <c r="CT13" s="169">
        <f t="shared" si="1"/>
        <v>8500</v>
      </c>
      <c r="CU13" s="169">
        <f t="shared" si="1"/>
        <v>8600</v>
      </c>
      <c r="CV13" s="169">
        <f t="shared" si="1"/>
        <v>8700</v>
      </c>
      <c r="CW13" s="169">
        <f t="shared" si="1"/>
        <v>8800</v>
      </c>
      <c r="CX13" s="169">
        <f t="shared" si="1"/>
        <v>8900</v>
      </c>
      <c r="CY13" s="169">
        <f t="shared" si="1"/>
        <v>9000</v>
      </c>
      <c r="CZ13" s="169">
        <f t="shared" si="1"/>
        <v>9100</v>
      </c>
      <c r="DA13" s="169">
        <f t="shared" si="1"/>
        <v>9200</v>
      </c>
      <c r="DB13" s="169">
        <f t="shared" si="1"/>
        <v>9300</v>
      </c>
      <c r="DC13" s="169">
        <f t="shared" si="1"/>
        <v>9400</v>
      </c>
      <c r="DD13" s="169">
        <f t="shared" si="1"/>
        <v>9500</v>
      </c>
      <c r="DE13" s="169">
        <f t="shared" si="1"/>
        <v>9600</v>
      </c>
      <c r="DF13" s="169">
        <f t="shared" si="1"/>
        <v>9700</v>
      </c>
      <c r="DG13" s="169">
        <f t="shared" si="1"/>
        <v>9800</v>
      </c>
      <c r="DH13" s="169">
        <f t="shared" si="1"/>
        <v>9900</v>
      </c>
      <c r="DI13" s="169">
        <f t="shared" si="1"/>
        <v>10000</v>
      </c>
      <c r="DJ13" s="169">
        <f t="shared" si="1"/>
        <v>10000</v>
      </c>
      <c r="DK13" s="169">
        <f t="shared" si="1"/>
        <v>10000</v>
      </c>
      <c r="DL13" s="169">
        <f t="shared" si="1"/>
        <v>10000</v>
      </c>
      <c r="DM13" s="169">
        <f t="shared" si="1"/>
        <v>10000</v>
      </c>
      <c r="DN13" s="169">
        <f t="shared" si="1"/>
        <v>10000</v>
      </c>
      <c r="DO13" s="169">
        <f t="shared" si="1"/>
        <v>10000</v>
      </c>
      <c r="DP13" s="169">
        <f t="shared" si="1"/>
        <v>10000</v>
      </c>
      <c r="DQ13" s="169">
        <f t="shared" si="1"/>
        <v>10000</v>
      </c>
      <c r="DR13" s="169">
        <f t="shared" si="1"/>
        <v>10000</v>
      </c>
      <c r="DS13" s="169">
        <f t="shared" si="1"/>
        <v>10000</v>
      </c>
      <c r="DT13" s="169">
        <f t="shared" si="1"/>
        <v>10000</v>
      </c>
      <c r="DU13" s="169">
        <f t="shared" si="1"/>
        <v>10000</v>
      </c>
      <c r="DV13" s="169">
        <f t="shared" si="1"/>
        <v>10000</v>
      </c>
      <c r="DW13" s="169">
        <f t="shared" si="1"/>
        <v>10000</v>
      </c>
      <c r="DX13" s="169">
        <f t="shared" si="1"/>
        <v>10000</v>
      </c>
      <c r="DY13" s="169">
        <f t="shared" si="1"/>
        <v>10000</v>
      </c>
      <c r="DZ13" s="169">
        <f t="shared" si="1"/>
        <v>10000</v>
      </c>
      <c r="EA13" s="169">
        <f t="shared" si="1"/>
        <v>10000</v>
      </c>
    </row>
    <row r="14" spans="1:131" s="112" customFormat="1" x14ac:dyDescent="0.35">
      <c r="A14" s="8"/>
      <c r="B14" s="8"/>
      <c r="C14" s="13"/>
      <c r="D14" s="34"/>
      <c r="E14" s="430" t="str">
        <f xml:space="preserve"> 'FS Qtr'!E$22</f>
        <v>Profit after tax</v>
      </c>
      <c r="F14" s="430">
        <f xml:space="preserve"> 'FS Qtr'!F$22</f>
        <v>0</v>
      </c>
      <c r="G14" s="430" t="str">
        <f xml:space="preserve"> 'FS Qtr'!G$22</f>
        <v>$ 000s</v>
      </c>
      <c r="H14" s="430">
        <f xml:space="preserve"> 'FS Qtr'!H$22</f>
        <v>10000</v>
      </c>
      <c r="I14" s="430">
        <f xml:space="preserve"> 'FS Qtr'!I$22</f>
        <v>0</v>
      </c>
      <c r="J14" s="430">
        <f xml:space="preserve"> 'FS Qtr'!J$22</f>
        <v>0</v>
      </c>
      <c r="K14" s="430">
        <f xml:space="preserve"> 'FS Qtr'!K$22</f>
        <v>0</v>
      </c>
      <c r="L14" s="430">
        <f xml:space="preserve"> 'FS Qtr'!L$22</f>
        <v>0</v>
      </c>
      <c r="M14" s="430">
        <f xml:space="preserve"> 'FS Qtr'!M$22</f>
        <v>100</v>
      </c>
      <c r="N14" s="430">
        <f xml:space="preserve"> 'FS Qtr'!N$22</f>
        <v>100</v>
      </c>
      <c r="O14" s="430">
        <f xml:space="preserve"> 'FS Qtr'!O$22</f>
        <v>100</v>
      </c>
      <c r="P14" s="430">
        <f xml:space="preserve"> 'FS Qtr'!P$22</f>
        <v>100</v>
      </c>
      <c r="Q14" s="430">
        <f xml:space="preserve"> 'FS Qtr'!Q$22</f>
        <v>100</v>
      </c>
      <c r="R14" s="430">
        <f xml:space="preserve"> 'FS Qtr'!R$22</f>
        <v>100</v>
      </c>
      <c r="S14" s="430">
        <f xml:space="preserve"> 'FS Qtr'!S$22</f>
        <v>100</v>
      </c>
      <c r="T14" s="430">
        <f xml:space="preserve"> 'FS Qtr'!T$22</f>
        <v>100</v>
      </c>
      <c r="U14" s="430">
        <f xml:space="preserve"> 'FS Qtr'!U$22</f>
        <v>100</v>
      </c>
      <c r="V14" s="430">
        <f xml:space="preserve"> 'FS Qtr'!V$22</f>
        <v>100</v>
      </c>
      <c r="W14" s="430">
        <f xml:space="preserve"> 'FS Qtr'!W$22</f>
        <v>100</v>
      </c>
      <c r="X14" s="430">
        <f xml:space="preserve"> 'FS Qtr'!X$22</f>
        <v>100</v>
      </c>
      <c r="Y14" s="430">
        <f xml:space="preserve"> 'FS Qtr'!Y$22</f>
        <v>100</v>
      </c>
      <c r="Z14" s="430">
        <f xml:space="preserve"> 'FS Qtr'!Z$22</f>
        <v>100</v>
      </c>
      <c r="AA14" s="430">
        <f xml:space="preserve"> 'FS Qtr'!AA$22</f>
        <v>100</v>
      </c>
      <c r="AB14" s="430">
        <f xml:space="preserve"> 'FS Qtr'!AB$22</f>
        <v>100</v>
      </c>
      <c r="AC14" s="430">
        <f xml:space="preserve"> 'FS Qtr'!AC$22</f>
        <v>100</v>
      </c>
      <c r="AD14" s="430">
        <f xml:space="preserve"> 'FS Qtr'!AD$22</f>
        <v>100</v>
      </c>
      <c r="AE14" s="430">
        <f xml:space="preserve"> 'FS Qtr'!AE$22</f>
        <v>100</v>
      </c>
      <c r="AF14" s="430">
        <f xml:space="preserve"> 'FS Qtr'!AF$22</f>
        <v>100</v>
      </c>
      <c r="AG14" s="430">
        <f xml:space="preserve"> 'FS Qtr'!AG$22</f>
        <v>100</v>
      </c>
      <c r="AH14" s="430">
        <f xml:space="preserve"> 'FS Qtr'!AH$22</f>
        <v>100</v>
      </c>
      <c r="AI14" s="430">
        <f xml:space="preserve"> 'FS Qtr'!AI$22</f>
        <v>100</v>
      </c>
      <c r="AJ14" s="430">
        <f xml:space="preserve"> 'FS Qtr'!AJ$22</f>
        <v>100</v>
      </c>
      <c r="AK14" s="430">
        <f xml:space="preserve"> 'FS Qtr'!AK$22</f>
        <v>100</v>
      </c>
      <c r="AL14" s="430">
        <f xml:space="preserve"> 'FS Qtr'!AL$22</f>
        <v>100</v>
      </c>
      <c r="AM14" s="430">
        <f xml:space="preserve"> 'FS Qtr'!AM$22</f>
        <v>100</v>
      </c>
      <c r="AN14" s="430">
        <f xml:space="preserve"> 'FS Qtr'!AN$22</f>
        <v>100</v>
      </c>
      <c r="AO14" s="430">
        <f xml:space="preserve"> 'FS Qtr'!AO$22</f>
        <v>100</v>
      </c>
      <c r="AP14" s="430">
        <f xml:space="preserve"> 'FS Qtr'!AP$22</f>
        <v>100</v>
      </c>
      <c r="AQ14" s="430">
        <f xml:space="preserve"> 'FS Qtr'!AQ$22</f>
        <v>100</v>
      </c>
      <c r="AR14" s="430">
        <f xml:space="preserve"> 'FS Qtr'!AR$22</f>
        <v>100</v>
      </c>
      <c r="AS14" s="430">
        <f xml:space="preserve"> 'FS Qtr'!AS$22</f>
        <v>100</v>
      </c>
      <c r="AT14" s="430">
        <f xml:space="preserve"> 'FS Qtr'!AT$22</f>
        <v>100</v>
      </c>
      <c r="AU14" s="430">
        <f xml:space="preserve"> 'FS Qtr'!AU$22</f>
        <v>100</v>
      </c>
      <c r="AV14" s="430">
        <f xml:space="preserve"> 'FS Qtr'!AV$22</f>
        <v>100</v>
      </c>
      <c r="AW14" s="430">
        <f xml:space="preserve"> 'FS Qtr'!AW$22</f>
        <v>100</v>
      </c>
      <c r="AX14" s="430">
        <f xml:space="preserve"> 'FS Qtr'!AX$22</f>
        <v>100</v>
      </c>
      <c r="AY14" s="430">
        <f xml:space="preserve"> 'FS Qtr'!AY$22</f>
        <v>100</v>
      </c>
      <c r="AZ14" s="430">
        <f xml:space="preserve"> 'FS Qtr'!AZ$22</f>
        <v>100</v>
      </c>
      <c r="BA14" s="430">
        <f xml:space="preserve"> 'FS Qtr'!BA$22</f>
        <v>100</v>
      </c>
      <c r="BB14" s="430">
        <f xml:space="preserve"> 'FS Qtr'!BB$22</f>
        <v>100</v>
      </c>
      <c r="BC14" s="430">
        <f xml:space="preserve"> 'FS Qtr'!BC$22</f>
        <v>100</v>
      </c>
      <c r="BD14" s="430">
        <f xml:space="preserve"> 'FS Qtr'!BD$22</f>
        <v>100</v>
      </c>
      <c r="BE14" s="430">
        <f xml:space="preserve"> 'FS Qtr'!BE$22</f>
        <v>100</v>
      </c>
      <c r="BF14" s="430">
        <f xml:space="preserve"> 'FS Qtr'!BF$22</f>
        <v>100</v>
      </c>
      <c r="BG14" s="430">
        <f xml:space="preserve"> 'FS Qtr'!BG$22</f>
        <v>100</v>
      </c>
      <c r="BH14" s="430">
        <f xml:space="preserve"> 'FS Qtr'!BH$22</f>
        <v>100</v>
      </c>
      <c r="BI14" s="430">
        <f xml:space="preserve"> 'FS Qtr'!BI$22</f>
        <v>100</v>
      </c>
      <c r="BJ14" s="430">
        <f xml:space="preserve"> 'FS Qtr'!BJ$22</f>
        <v>100</v>
      </c>
      <c r="BK14" s="430">
        <f xml:space="preserve"> 'FS Qtr'!BK$22</f>
        <v>100</v>
      </c>
      <c r="BL14" s="430">
        <f xml:space="preserve"> 'FS Qtr'!BL$22</f>
        <v>100</v>
      </c>
      <c r="BM14" s="430">
        <f xml:space="preserve"> 'FS Qtr'!BM$22</f>
        <v>100</v>
      </c>
      <c r="BN14" s="430">
        <f xml:space="preserve"> 'FS Qtr'!BN$22</f>
        <v>100</v>
      </c>
      <c r="BO14" s="430">
        <f xml:space="preserve"> 'FS Qtr'!BO$22</f>
        <v>100</v>
      </c>
      <c r="BP14" s="430">
        <f xml:space="preserve"> 'FS Qtr'!BP$22</f>
        <v>100</v>
      </c>
      <c r="BQ14" s="430">
        <f xml:space="preserve"> 'FS Qtr'!BQ$22</f>
        <v>100</v>
      </c>
      <c r="BR14" s="430">
        <f xml:space="preserve"> 'FS Qtr'!BR$22</f>
        <v>100</v>
      </c>
      <c r="BS14" s="430">
        <f xml:space="preserve"> 'FS Qtr'!BS$22</f>
        <v>100</v>
      </c>
      <c r="BT14" s="430">
        <f xml:space="preserve"> 'FS Qtr'!BT$22</f>
        <v>100</v>
      </c>
      <c r="BU14" s="430">
        <f xml:space="preserve"> 'FS Qtr'!BU$22</f>
        <v>100</v>
      </c>
      <c r="BV14" s="430">
        <f xml:space="preserve"> 'FS Qtr'!BV$22</f>
        <v>100</v>
      </c>
      <c r="BW14" s="430">
        <f xml:space="preserve"> 'FS Qtr'!BW$22</f>
        <v>100</v>
      </c>
      <c r="BX14" s="430">
        <f xml:space="preserve"> 'FS Qtr'!BX$22</f>
        <v>100</v>
      </c>
      <c r="BY14" s="430">
        <f xml:space="preserve"> 'FS Qtr'!BY$22</f>
        <v>100</v>
      </c>
      <c r="BZ14" s="430">
        <f xml:space="preserve"> 'FS Qtr'!BZ$22</f>
        <v>100</v>
      </c>
      <c r="CA14" s="430">
        <f xml:space="preserve"> 'FS Qtr'!CA$22</f>
        <v>100</v>
      </c>
      <c r="CB14" s="430">
        <f xml:space="preserve"> 'FS Qtr'!CB$22</f>
        <v>100</v>
      </c>
      <c r="CC14" s="430">
        <f xml:space="preserve"> 'FS Qtr'!CC$22</f>
        <v>100</v>
      </c>
      <c r="CD14" s="430">
        <f xml:space="preserve"> 'FS Qtr'!CD$22</f>
        <v>100</v>
      </c>
      <c r="CE14" s="430">
        <f xml:space="preserve"> 'FS Qtr'!CE$22</f>
        <v>100</v>
      </c>
      <c r="CF14" s="430">
        <f xml:space="preserve"> 'FS Qtr'!CF$22</f>
        <v>100</v>
      </c>
      <c r="CG14" s="430">
        <f xml:space="preserve"> 'FS Qtr'!CG$22</f>
        <v>100</v>
      </c>
      <c r="CH14" s="430">
        <f xml:space="preserve"> 'FS Qtr'!CH$22</f>
        <v>100</v>
      </c>
      <c r="CI14" s="430">
        <f xml:space="preserve"> 'FS Qtr'!CI$22</f>
        <v>100</v>
      </c>
      <c r="CJ14" s="430">
        <f xml:space="preserve"> 'FS Qtr'!CJ$22</f>
        <v>100</v>
      </c>
      <c r="CK14" s="430">
        <f xml:space="preserve"> 'FS Qtr'!CK$22</f>
        <v>100</v>
      </c>
      <c r="CL14" s="430">
        <f xml:space="preserve"> 'FS Qtr'!CL$22</f>
        <v>100</v>
      </c>
      <c r="CM14" s="430">
        <f xml:space="preserve"> 'FS Qtr'!CM$22</f>
        <v>100</v>
      </c>
      <c r="CN14" s="430">
        <f xml:space="preserve"> 'FS Qtr'!CN$22</f>
        <v>100</v>
      </c>
      <c r="CO14" s="430">
        <f xml:space="preserve"> 'FS Qtr'!CO$22</f>
        <v>100</v>
      </c>
      <c r="CP14" s="430">
        <f xml:space="preserve"> 'FS Qtr'!CP$22</f>
        <v>100</v>
      </c>
      <c r="CQ14" s="430">
        <f xml:space="preserve"> 'FS Qtr'!CQ$22</f>
        <v>100</v>
      </c>
      <c r="CR14" s="430">
        <f xml:space="preserve"> 'FS Qtr'!CR$22</f>
        <v>100</v>
      </c>
      <c r="CS14" s="430">
        <f xml:space="preserve"> 'FS Qtr'!CS$22</f>
        <v>100</v>
      </c>
      <c r="CT14" s="430">
        <f xml:space="preserve"> 'FS Qtr'!CT$22</f>
        <v>100</v>
      </c>
      <c r="CU14" s="430">
        <f xml:space="preserve"> 'FS Qtr'!CU$22</f>
        <v>100</v>
      </c>
      <c r="CV14" s="430">
        <f xml:space="preserve"> 'FS Qtr'!CV$22</f>
        <v>100</v>
      </c>
      <c r="CW14" s="430">
        <f xml:space="preserve"> 'FS Qtr'!CW$22</f>
        <v>100</v>
      </c>
      <c r="CX14" s="430">
        <f xml:space="preserve"> 'FS Qtr'!CX$22</f>
        <v>100</v>
      </c>
      <c r="CY14" s="430">
        <f xml:space="preserve"> 'FS Qtr'!CY$22</f>
        <v>100</v>
      </c>
      <c r="CZ14" s="430">
        <f xml:space="preserve"> 'FS Qtr'!CZ$22</f>
        <v>100</v>
      </c>
      <c r="DA14" s="430">
        <f xml:space="preserve"> 'FS Qtr'!DA$22</f>
        <v>100</v>
      </c>
      <c r="DB14" s="430">
        <f xml:space="preserve"> 'FS Qtr'!DB$22</f>
        <v>100</v>
      </c>
      <c r="DC14" s="430">
        <f xml:space="preserve"> 'FS Qtr'!DC$22</f>
        <v>100</v>
      </c>
      <c r="DD14" s="430">
        <f xml:space="preserve"> 'FS Qtr'!DD$22</f>
        <v>100</v>
      </c>
      <c r="DE14" s="430">
        <f xml:space="preserve"> 'FS Qtr'!DE$22</f>
        <v>100</v>
      </c>
      <c r="DF14" s="430">
        <f xml:space="preserve"> 'FS Qtr'!DF$22</f>
        <v>100</v>
      </c>
      <c r="DG14" s="430">
        <f xml:space="preserve"> 'FS Qtr'!DG$22</f>
        <v>100</v>
      </c>
      <c r="DH14" s="430">
        <f xml:space="preserve"> 'FS Qtr'!DH$22</f>
        <v>100</v>
      </c>
      <c r="DI14" s="430">
        <f xml:space="preserve"> 'FS Qtr'!DI$22</f>
        <v>0</v>
      </c>
      <c r="DJ14" s="430">
        <f xml:space="preserve"> 'FS Qtr'!DJ$22</f>
        <v>0</v>
      </c>
      <c r="DK14" s="430">
        <f xml:space="preserve"> 'FS Qtr'!DK$22</f>
        <v>0</v>
      </c>
      <c r="DL14" s="430">
        <f xml:space="preserve"> 'FS Qtr'!DL$22</f>
        <v>0</v>
      </c>
      <c r="DM14" s="430">
        <f xml:space="preserve"> 'FS Qtr'!DM$22</f>
        <v>0</v>
      </c>
      <c r="DN14" s="430">
        <f xml:space="preserve"> 'FS Qtr'!DN$22</f>
        <v>0</v>
      </c>
      <c r="DO14" s="430">
        <f xml:space="preserve"> 'FS Qtr'!DO$22</f>
        <v>0</v>
      </c>
      <c r="DP14" s="430">
        <f xml:space="preserve"> 'FS Qtr'!DP$22</f>
        <v>0</v>
      </c>
      <c r="DQ14" s="430">
        <f xml:space="preserve"> 'FS Qtr'!DQ$22</f>
        <v>0</v>
      </c>
      <c r="DR14" s="430">
        <f xml:space="preserve"> 'FS Qtr'!DR$22</f>
        <v>0</v>
      </c>
      <c r="DS14" s="430">
        <f xml:space="preserve"> 'FS Qtr'!DS$22</f>
        <v>0</v>
      </c>
      <c r="DT14" s="430">
        <f xml:space="preserve"> 'FS Qtr'!DT$22</f>
        <v>0</v>
      </c>
      <c r="DU14" s="430">
        <f xml:space="preserve"> 'FS Qtr'!DU$22</f>
        <v>0</v>
      </c>
      <c r="DV14" s="430">
        <f xml:space="preserve"> 'FS Qtr'!DV$22</f>
        <v>0</v>
      </c>
      <c r="DW14" s="430">
        <f xml:space="preserve"> 'FS Qtr'!DW$22</f>
        <v>0</v>
      </c>
      <c r="DX14" s="430">
        <f xml:space="preserve"> 'FS Qtr'!DX$22</f>
        <v>0</v>
      </c>
      <c r="DY14" s="430">
        <f xml:space="preserve"> 'FS Qtr'!DY$22</f>
        <v>0</v>
      </c>
      <c r="DZ14" s="430">
        <f xml:space="preserve"> 'FS Qtr'!DZ$22</f>
        <v>0</v>
      </c>
      <c r="EA14" s="430">
        <f xml:space="preserve"> 'FS Qtr'!EA$22</f>
        <v>0</v>
      </c>
    </row>
    <row r="15" spans="1:131" x14ac:dyDescent="0.35">
      <c r="E15" s="170" t="s">
        <v>171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</row>
    <row r="16" spans="1:131" s="429" customFormat="1" x14ac:dyDescent="0.35">
      <c r="A16" s="431"/>
      <c r="B16" s="431"/>
      <c r="C16" s="432"/>
      <c r="D16" s="433"/>
      <c r="E16" s="434" t="s">
        <v>167</v>
      </c>
      <c r="F16" s="434"/>
      <c r="G16" s="434" t="str">
        <f xml:space="preserve"> SMU</f>
        <v>$ 000s</v>
      </c>
      <c r="H16" s="434"/>
      <c r="I16" s="435"/>
      <c r="J16" s="434">
        <f t="shared" ref="J16:BU16" si="2" xml:space="preserve"> IF( J11 = 1, $F10, J13 + J14 - J15)</f>
        <v>0</v>
      </c>
      <c r="K16" s="434">
        <f t="shared" si="2"/>
        <v>0</v>
      </c>
      <c r="L16" s="434">
        <f t="shared" si="2"/>
        <v>0</v>
      </c>
      <c r="M16" s="434">
        <f t="shared" si="2"/>
        <v>100</v>
      </c>
      <c r="N16" s="434">
        <f t="shared" si="2"/>
        <v>200</v>
      </c>
      <c r="O16" s="434">
        <f t="shared" si="2"/>
        <v>300</v>
      </c>
      <c r="P16" s="434">
        <f t="shared" si="2"/>
        <v>400</v>
      </c>
      <c r="Q16" s="434">
        <f t="shared" si="2"/>
        <v>500</v>
      </c>
      <c r="R16" s="434">
        <f t="shared" si="2"/>
        <v>600</v>
      </c>
      <c r="S16" s="434">
        <f t="shared" si="2"/>
        <v>700</v>
      </c>
      <c r="T16" s="434">
        <f t="shared" si="2"/>
        <v>800</v>
      </c>
      <c r="U16" s="434">
        <f t="shared" si="2"/>
        <v>900</v>
      </c>
      <c r="V16" s="434">
        <f t="shared" si="2"/>
        <v>1000</v>
      </c>
      <c r="W16" s="434">
        <f t="shared" si="2"/>
        <v>1100</v>
      </c>
      <c r="X16" s="434">
        <f t="shared" si="2"/>
        <v>1200</v>
      </c>
      <c r="Y16" s="434">
        <f t="shared" si="2"/>
        <v>1300</v>
      </c>
      <c r="Z16" s="434">
        <f t="shared" si="2"/>
        <v>1400</v>
      </c>
      <c r="AA16" s="434">
        <f t="shared" si="2"/>
        <v>1500</v>
      </c>
      <c r="AB16" s="434">
        <f t="shared" si="2"/>
        <v>1600</v>
      </c>
      <c r="AC16" s="434">
        <f t="shared" si="2"/>
        <v>1700</v>
      </c>
      <c r="AD16" s="434">
        <f t="shared" si="2"/>
        <v>1800</v>
      </c>
      <c r="AE16" s="434">
        <f t="shared" si="2"/>
        <v>1900</v>
      </c>
      <c r="AF16" s="434">
        <f t="shared" si="2"/>
        <v>2000</v>
      </c>
      <c r="AG16" s="434">
        <f t="shared" si="2"/>
        <v>2100</v>
      </c>
      <c r="AH16" s="434">
        <f t="shared" si="2"/>
        <v>2200</v>
      </c>
      <c r="AI16" s="434">
        <f t="shared" si="2"/>
        <v>2300</v>
      </c>
      <c r="AJ16" s="434">
        <f t="shared" si="2"/>
        <v>2400</v>
      </c>
      <c r="AK16" s="434">
        <f t="shared" si="2"/>
        <v>2500</v>
      </c>
      <c r="AL16" s="434">
        <f t="shared" si="2"/>
        <v>2600</v>
      </c>
      <c r="AM16" s="434">
        <f t="shared" si="2"/>
        <v>2700</v>
      </c>
      <c r="AN16" s="434">
        <f t="shared" si="2"/>
        <v>2800</v>
      </c>
      <c r="AO16" s="434">
        <f t="shared" si="2"/>
        <v>2900</v>
      </c>
      <c r="AP16" s="434">
        <f t="shared" si="2"/>
        <v>3000</v>
      </c>
      <c r="AQ16" s="434">
        <f t="shared" si="2"/>
        <v>3100</v>
      </c>
      <c r="AR16" s="434">
        <f t="shared" si="2"/>
        <v>3200</v>
      </c>
      <c r="AS16" s="434">
        <f t="shared" si="2"/>
        <v>3300</v>
      </c>
      <c r="AT16" s="434">
        <f t="shared" si="2"/>
        <v>3400</v>
      </c>
      <c r="AU16" s="434">
        <f t="shared" si="2"/>
        <v>3500</v>
      </c>
      <c r="AV16" s="434">
        <f t="shared" si="2"/>
        <v>3600</v>
      </c>
      <c r="AW16" s="434">
        <f t="shared" si="2"/>
        <v>3700</v>
      </c>
      <c r="AX16" s="434">
        <f t="shared" si="2"/>
        <v>3800</v>
      </c>
      <c r="AY16" s="434">
        <f t="shared" si="2"/>
        <v>3900</v>
      </c>
      <c r="AZ16" s="434">
        <f t="shared" si="2"/>
        <v>4000</v>
      </c>
      <c r="BA16" s="434">
        <f t="shared" si="2"/>
        <v>4100</v>
      </c>
      <c r="BB16" s="434">
        <f t="shared" si="2"/>
        <v>4200</v>
      </c>
      <c r="BC16" s="434">
        <f t="shared" si="2"/>
        <v>4300</v>
      </c>
      <c r="BD16" s="434">
        <f t="shared" si="2"/>
        <v>4400</v>
      </c>
      <c r="BE16" s="434">
        <f t="shared" si="2"/>
        <v>4500</v>
      </c>
      <c r="BF16" s="434">
        <f t="shared" si="2"/>
        <v>4600</v>
      </c>
      <c r="BG16" s="434">
        <f t="shared" si="2"/>
        <v>4700</v>
      </c>
      <c r="BH16" s="434">
        <f t="shared" si="2"/>
        <v>4800</v>
      </c>
      <c r="BI16" s="434">
        <f t="shared" si="2"/>
        <v>4900</v>
      </c>
      <c r="BJ16" s="434">
        <f t="shared" si="2"/>
        <v>5000</v>
      </c>
      <c r="BK16" s="434">
        <f t="shared" si="2"/>
        <v>5100</v>
      </c>
      <c r="BL16" s="434">
        <f t="shared" si="2"/>
        <v>5200</v>
      </c>
      <c r="BM16" s="434">
        <f t="shared" si="2"/>
        <v>5300</v>
      </c>
      <c r="BN16" s="434">
        <f t="shared" si="2"/>
        <v>5400</v>
      </c>
      <c r="BO16" s="434">
        <f t="shared" si="2"/>
        <v>5500</v>
      </c>
      <c r="BP16" s="434">
        <f t="shared" si="2"/>
        <v>5600</v>
      </c>
      <c r="BQ16" s="434">
        <f t="shared" si="2"/>
        <v>5700</v>
      </c>
      <c r="BR16" s="434">
        <f t="shared" si="2"/>
        <v>5800</v>
      </c>
      <c r="BS16" s="434">
        <f t="shared" si="2"/>
        <v>5900</v>
      </c>
      <c r="BT16" s="434">
        <f t="shared" si="2"/>
        <v>6000</v>
      </c>
      <c r="BU16" s="434">
        <f t="shared" si="2"/>
        <v>6100</v>
      </c>
      <c r="BV16" s="434">
        <f t="shared" ref="BV16:EA16" si="3" xml:space="preserve"> IF( BV11 = 1, $F10, BV13 + BV14 - BV15)</f>
        <v>6200</v>
      </c>
      <c r="BW16" s="434">
        <f t="shared" si="3"/>
        <v>6300</v>
      </c>
      <c r="BX16" s="434">
        <f t="shared" si="3"/>
        <v>6400</v>
      </c>
      <c r="BY16" s="434">
        <f t="shared" si="3"/>
        <v>6500</v>
      </c>
      <c r="BZ16" s="434">
        <f t="shared" si="3"/>
        <v>6600</v>
      </c>
      <c r="CA16" s="434">
        <f t="shared" si="3"/>
        <v>6700</v>
      </c>
      <c r="CB16" s="434">
        <f t="shared" si="3"/>
        <v>6800</v>
      </c>
      <c r="CC16" s="434">
        <f t="shared" si="3"/>
        <v>6900</v>
      </c>
      <c r="CD16" s="434">
        <f t="shared" si="3"/>
        <v>7000</v>
      </c>
      <c r="CE16" s="434">
        <f t="shared" si="3"/>
        <v>7100</v>
      </c>
      <c r="CF16" s="434">
        <f t="shared" si="3"/>
        <v>7200</v>
      </c>
      <c r="CG16" s="434">
        <f t="shared" si="3"/>
        <v>7300</v>
      </c>
      <c r="CH16" s="434">
        <f t="shared" si="3"/>
        <v>7400</v>
      </c>
      <c r="CI16" s="434">
        <f t="shared" si="3"/>
        <v>7500</v>
      </c>
      <c r="CJ16" s="434">
        <f t="shared" si="3"/>
        <v>7600</v>
      </c>
      <c r="CK16" s="434">
        <f t="shared" si="3"/>
        <v>7700</v>
      </c>
      <c r="CL16" s="434">
        <f t="shared" si="3"/>
        <v>7800</v>
      </c>
      <c r="CM16" s="434">
        <f t="shared" si="3"/>
        <v>7900</v>
      </c>
      <c r="CN16" s="434">
        <f t="shared" si="3"/>
        <v>8000</v>
      </c>
      <c r="CO16" s="434">
        <f t="shared" si="3"/>
        <v>8100</v>
      </c>
      <c r="CP16" s="434">
        <f t="shared" si="3"/>
        <v>8200</v>
      </c>
      <c r="CQ16" s="434">
        <f t="shared" si="3"/>
        <v>8300</v>
      </c>
      <c r="CR16" s="434">
        <f t="shared" si="3"/>
        <v>8400</v>
      </c>
      <c r="CS16" s="434">
        <f t="shared" si="3"/>
        <v>8500</v>
      </c>
      <c r="CT16" s="434">
        <f t="shared" si="3"/>
        <v>8600</v>
      </c>
      <c r="CU16" s="434">
        <f t="shared" si="3"/>
        <v>8700</v>
      </c>
      <c r="CV16" s="434">
        <f t="shared" si="3"/>
        <v>8800</v>
      </c>
      <c r="CW16" s="434">
        <f t="shared" si="3"/>
        <v>8900</v>
      </c>
      <c r="CX16" s="434">
        <f t="shared" si="3"/>
        <v>9000</v>
      </c>
      <c r="CY16" s="434">
        <f t="shared" si="3"/>
        <v>9100</v>
      </c>
      <c r="CZ16" s="434">
        <f t="shared" si="3"/>
        <v>9200</v>
      </c>
      <c r="DA16" s="434">
        <f t="shared" si="3"/>
        <v>9300</v>
      </c>
      <c r="DB16" s="434">
        <f t="shared" si="3"/>
        <v>9400</v>
      </c>
      <c r="DC16" s="434">
        <f t="shared" si="3"/>
        <v>9500</v>
      </c>
      <c r="DD16" s="434">
        <f t="shared" si="3"/>
        <v>9600</v>
      </c>
      <c r="DE16" s="434">
        <f t="shared" si="3"/>
        <v>9700</v>
      </c>
      <c r="DF16" s="434">
        <f t="shared" si="3"/>
        <v>9800</v>
      </c>
      <c r="DG16" s="434">
        <f t="shared" si="3"/>
        <v>9900</v>
      </c>
      <c r="DH16" s="434">
        <f t="shared" si="3"/>
        <v>10000</v>
      </c>
      <c r="DI16" s="434">
        <f t="shared" si="3"/>
        <v>10000</v>
      </c>
      <c r="DJ16" s="434">
        <f t="shared" si="3"/>
        <v>10000</v>
      </c>
      <c r="DK16" s="434">
        <f t="shared" si="3"/>
        <v>10000</v>
      </c>
      <c r="DL16" s="434">
        <f t="shared" si="3"/>
        <v>10000</v>
      </c>
      <c r="DM16" s="434">
        <f t="shared" si="3"/>
        <v>10000</v>
      </c>
      <c r="DN16" s="434">
        <f t="shared" si="3"/>
        <v>10000</v>
      </c>
      <c r="DO16" s="434">
        <f t="shared" si="3"/>
        <v>10000</v>
      </c>
      <c r="DP16" s="434">
        <f t="shared" si="3"/>
        <v>10000</v>
      </c>
      <c r="DQ16" s="434">
        <f t="shared" si="3"/>
        <v>10000</v>
      </c>
      <c r="DR16" s="434">
        <f t="shared" si="3"/>
        <v>10000</v>
      </c>
      <c r="DS16" s="434">
        <f t="shared" si="3"/>
        <v>10000</v>
      </c>
      <c r="DT16" s="434">
        <f t="shared" si="3"/>
        <v>10000</v>
      </c>
      <c r="DU16" s="434">
        <f t="shared" si="3"/>
        <v>10000</v>
      </c>
      <c r="DV16" s="434">
        <f t="shared" si="3"/>
        <v>10000</v>
      </c>
      <c r="DW16" s="434">
        <f t="shared" si="3"/>
        <v>10000</v>
      </c>
      <c r="DX16" s="434">
        <f t="shared" si="3"/>
        <v>10000</v>
      </c>
      <c r="DY16" s="434">
        <f t="shared" si="3"/>
        <v>10000</v>
      </c>
      <c r="DZ16" s="434">
        <f t="shared" si="3"/>
        <v>10000</v>
      </c>
      <c r="EA16" s="434">
        <f t="shared" si="3"/>
        <v>10000</v>
      </c>
    </row>
    <row r="19" spans="1:131" x14ac:dyDescent="0.35">
      <c r="A19" s="8" t="s">
        <v>170</v>
      </c>
    </row>
    <row r="21" spans="1:131" x14ac:dyDescent="0.35">
      <c r="A21" s="171"/>
      <c r="B21" s="171"/>
      <c r="C21" s="172"/>
      <c r="D21" s="173"/>
      <c r="E21" s="174" t="s">
        <v>169</v>
      </c>
      <c r="F21" s="428"/>
      <c r="G21" s="174" t="str">
        <f xml:space="preserve"> SMU</f>
        <v>$ 000s</v>
      </c>
      <c r="H21" s="174"/>
      <c r="I21" s="175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  <c r="BO21" s="174"/>
      <c r="BP21" s="174"/>
      <c r="BQ21" s="174"/>
      <c r="BR21" s="174"/>
      <c r="BS21" s="174"/>
      <c r="BT21" s="174"/>
      <c r="BU21" s="174"/>
      <c r="BV21" s="174"/>
      <c r="BW21" s="174"/>
      <c r="BX21" s="174"/>
      <c r="BY21" s="174"/>
      <c r="BZ21" s="174"/>
      <c r="CA21" s="174"/>
      <c r="CB21" s="174"/>
      <c r="CC21" s="174"/>
      <c r="CD21" s="174"/>
      <c r="CE21" s="174"/>
      <c r="CF21" s="174"/>
      <c r="CG21" s="174"/>
      <c r="CH21" s="174"/>
      <c r="CI21" s="174"/>
      <c r="CJ21" s="174"/>
      <c r="CK21" s="174"/>
      <c r="CL21" s="174"/>
      <c r="CM21" s="174"/>
      <c r="CN21" s="174"/>
      <c r="CO21" s="174"/>
      <c r="CP21" s="174"/>
      <c r="CQ21" s="174"/>
      <c r="CR21" s="174"/>
      <c r="CS21" s="174"/>
      <c r="CT21" s="174"/>
      <c r="CU21" s="174"/>
      <c r="CV21" s="174"/>
      <c r="CW21" s="174"/>
      <c r="CX21" s="174"/>
      <c r="CY21" s="174"/>
      <c r="CZ21" s="174"/>
      <c r="DA21" s="174"/>
      <c r="DB21" s="174"/>
      <c r="DC21" s="174"/>
      <c r="DD21" s="174"/>
      <c r="DE21" s="174"/>
      <c r="DF21" s="174"/>
      <c r="DG21" s="174"/>
      <c r="DH21" s="174"/>
      <c r="DI21" s="174"/>
      <c r="DJ21" s="174"/>
      <c r="DK21" s="174"/>
      <c r="DL21" s="174"/>
      <c r="DM21" s="174"/>
      <c r="DN21" s="174"/>
      <c r="DO21" s="174"/>
      <c r="DP21" s="174"/>
      <c r="DQ21" s="174"/>
      <c r="DR21" s="174"/>
      <c r="DS21" s="174"/>
      <c r="DT21" s="174"/>
      <c r="DU21" s="174"/>
      <c r="DV21" s="174"/>
      <c r="DW21" s="174"/>
      <c r="DX21" s="174"/>
      <c r="DY21" s="174"/>
      <c r="DZ21" s="174"/>
      <c r="EA21" s="174"/>
    </row>
    <row r="22" spans="1:131" x14ac:dyDescent="0.35">
      <c r="E22" s="182" t="str">
        <f xml:space="preserve"> Time!E$76</f>
        <v>Financial close date flag</v>
      </c>
      <c r="F22" s="182">
        <f xml:space="preserve"> Time!F$76</f>
        <v>0</v>
      </c>
      <c r="G22" s="182" t="str">
        <f xml:space="preserve"> Time!G$76</f>
        <v>flag</v>
      </c>
      <c r="H22" s="182">
        <f xml:space="preserve"> Time!H$76</f>
        <v>1</v>
      </c>
      <c r="I22" s="182">
        <f xml:space="preserve"> Time!I$76</f>
        <v>0</v>
      </c>
      <c r="J22" s="182">
        <f xml:space="preserve"> Time!J$76</f>
        <v>0</v>
      </c>
      <c r="K22" s="182">
        <f xml:space="preserve"> Time!K$76</f>
        <v>0</v>
      </c>
      <c r="L22" s="182">
        <f xml:space="preserve"> Time!L$76</f>
        <v>1</v>
      </c>
      <c r="M22" s="182">
        <f xml:space="preserve"> Time!M$76</f>
        <v>0</v>
      </c>
      <c r="N22" s="182">
        <f xml:space="preserve"> Time!N$76</f>
        <v>0</v>
      </c>
      <c r="O22" s="182">
        <f xml:space="preserve"> Time!O$76</f>
        <v>0</v>
      </c>
      <c r="P22" s="182">
        <f xml:space="preserve"> Time!P$76</f>
        <v>0</v>
      </c>
      <c r="Q22" s="182">
        <f xml:space="preserve"> Time!Q$76</f>
        <v>0</v>
      </c>
      <c r="R22" s="182">
        <f xml:space="preserve"> Time!R$76</f>
        <v>0</v>
      </c>
      <c r="S22" s="182">
        <f xml:space="preserve"> Time!S$76</f>
        <v>0</v>
      </c>
      <c r="T22" s="182">
        <f xml:space="preserve"> Time!T$76</f>
        <v>0</v>
      </c>
      <c r="U22" s="182">
        <f xml:space="preserve"> Time!U$76</f>
        <v>0</v>
      </c>
      <c r="V22" s="182">
        <f xml:space="preserve"> Time!V$76</f>
        <v>0</v>
      </c>
      <c r="W22" s="182">
        <f xml:space="preserve"> Time!W$76</f>
        <v>0</v>
      </c>
      <c r="X22" s="182">
        <f xml:space="preserve"> Time!X$76</f>
        <v>0</v>
      </c>
      <c r="Y22" s="182">
        <f xml:space="preserve"> Time!Y$76</f>
        <v>0</v>
      </c>
      <c r="Z22" s="182">
        <f xml:space="preserve"> Time!Z$76</f>
        <v>0</v>
      </c>
      <c r="AA22" s="182">
        <f xml:space="preserve"> Time!AA$76</f>
        <v>0</v>
      </c>
      <c r="AB22" s="182">
        <f xml:space="preserve"> Time!AB$76</f>
        <v>0</v>
      </c>
      <c r="AC22" s="182">
        <f xml:space="preserve"> Time!AC$76</f>
        <v>0</v>
      </c>
      <c r="AD22" s="182">
        <f xml:space="preserve"> Time!AD$76</f>
        <v>0</v>
      </c>
      <c r="AE22" s="182">
        <f xml:space="preserve"> Time!AE$76</f>
        <v>0</v>
      </c>
      <c r="AF22" s="182">
        <f xml:space="preserve"> Time!AF$76</f>
        <v>0</v>
      </c>
      <c r="AG22" s="182">
        <f xml:space="preserve"> Time!AG$76</f>
        <v>0</v>
      </c>
      <c r="AH22" s="182">
        <f xml:space="preserve"> Time!AH$76</f>
        <v>0</v>
      </c>
      <c r="AI22" s="182">
        <f xml:space="preserve"> Time!AI$76</f>
        <v>0</v>
      </c>
      <c r="AJ22" s="182">
        <f xml:space="preserve"> Time!AJ$76</f>
        <v>0</v>
      </c>
      <c r="AK22" s="182">
        <f xml:space="preserve"> Time!AK$76</f>
        <v>0</v>
      </c>
      <c r="AL22" s="182">
        <f xml:space="preserve"> Time!AL$76</f>
        <v>0</v>
      </c>
      <c r="AM22" s="182">
        <f xml:space="preserve"> Time!AM$76</f>
        <v>0</v>
      </c>
      <c r="AN22" s="182">
        <f xml:space="preserve"> Time!AN$76</f>
        <v>0</v>
      </c>
      <c r="AO22" s="182">
        <f xml:space="preserve"> Time!AO$76</f>
        <v>0</v>
      </c>
      <c r="AP22" s="182">
        <f xml:space="preserve"> Time!AP$76</f>
        <v>0</v>
      </c>
      <c r="AQ22" s="182">
        <f xml:space="preserve"> Time!AQ$76</f>
        <v>0</v>
      </c>
      <c r="AR22" s="182">
        <f xml:space="preserve"> Time!AR$76</f>
        <v>0</v>
      </c>
      <c r="AS22" s="182">
        <f xml:space="preserve"> Time!AS$76</f>
        <v>0</v>
      </c>
      <c r="AT22" s="182">
        <f xml:space="preserve"> Time!AT$76</f>
        <v>0</v>
      </c>
      <c r="AU22" s="182">
        <f xml:space="preserve"> Time!AU$76</f>
        <v>0</v>
      </c>
      <c r="AV22" s="182">
        <f xml:space="preserve"> Time!AV$76</f>
        <v>0</v>
      </c>
      <c r="AW22" s="182">
        <f xml:space="preserve"> Time!AW$76</f>
        <v>0</v>
      </c>
      <c r="AX22" s="182">
        <f xml:space="preserve"> Time!AX$76</f>
        <v>0</v>
      </c>
      <c r="AY22" s="182">
        <f xml:space="preserve"> Time!AY$76</f>
        <v>0</v>
      </c>
      <c r="AZ22" s="182">
        <f xml:space="preserve"> Time!AZ$76</f>
        <v>0</v>
      </c>
      <c r="BA22" s="182">
        <f xml:space="preserve"> Time!BA$76</f>
        <v>0</v>
      </c>
      <c r="BB22" s="182">
        <f xml:space="preserve"> Time!BB$76</f>
        <v>0</v>
      </c>
      <c r="BC22" s="182">
        <f xml:space="preserve"> Time!BC$76</f>
        <v>0</v>
      </c>
      <c r="BD22" s="182">
        <f xml:space="preserve"> Time!BD$76</f>
        <v>0</v>
      </c>
      <c r="BE22" s="182">
        <f xml:space="preserve"> Time!BE$76</f>
        <v>0</v>
      </c>
      <c r="BF22" s="182">
        <f xml:space="preserve"> Time!BF$76</f>
        <v>0</v>
      </c>
      <c r="BG22" s="182">
        <f xml:space="preserve"> Time!BG$76</f>
        <v>0</v>
      </c>
      <c r="BH22" s="182">
        <f xml:space="preserve"> Time!BH$76</f>
        <v>0</v>
      </c>
      <c r="BI22" s="182">
        <f xml:space="preserve"> Time!BI$76</f>
        <v>0</v>
      </c>
      <c r="BJ22" s="182">
        <f xml:space="preserve"> Time!BJ$76</f>
        <v>0</v>
      </c>
      <c r="BK22" s="182">
        <f xml:space="preserve"> Time!BK$76</f>
        <v>0</v>
      </c>
      <c r="BL22" s="182">
        <f xml:space="preserve"> Time!BL$76</f>
        <v>0</v>
      </c>
      <c r="BM22" s="182">
        <f xml:space="preserve"> Time!BM$76</f>
        <v>0</v>
      </c>
      <c r="BN22" s="182">
        <f xml:space="preserve"> Time!BN$76</f>
        <v>0</v>
      </c>
      <c r="BO22" s="182">
        <f xml:space="preserve"> Time!BO$76</f>
        <v>0</v>
      </c>
      <c r="BP22" s="182">
        <f xml:space="preserve"> Time!BP$76</f>
        <v>0</v>
      </c>
      <c r="BQ22" s="182">
        <f xml:space="preserve"> Time!BQ$76</f>
        <v>0</v>
      </c>
      <c r="BR22" s="182">
        <f xml:space="preserve"> Time!BR$76</f>
        <v>0</v>
      </c>
      <c r="BS22" s="182">
        <f xml:space="preserve"> Time!BS$76</f>
        <v>0</v>
      </c>
      <c r="BT22" s="182">
        <f xml:space="preserve"> Time!BT$76</f>
        <v>0</v>
      </c>
      <c r="BU22" s="182">
        <f xml:space="preserve"> Time!BU$76</f>
        <v>0</v>
      </c>
      <c r="BV22" s="182">
        <f xml:space="preserve"> Time!BV$76</f>
        <v>0</v>
      </c>
      <c r="BW22" s="182">
        <f xml:space="preserve"> Time!BW$76</f>
        <v>0</v>
      </c>
      <c r="BX22" s="182">
        <f xml:space="preserve"> Time!BX$76</f>
        <v>0</v>
      </c>
      <c r="BY22" s="182">
        <f xml:space="preserve"> Time!BY$76</f>
        <v>0</v>
      </c>
      <c r="BZ22" s="182">
        <f xml:space="preserve"> Time!BZ$76</f>
        <v>0</v>
      </c>
      <c r="CA22" s="182">
        <f xml:space="preserve"> Time!CA$76</f>
        <v>0</v>
      </c>
      <c r="CB22" s="182">
        <f xml:space="preserve"> Time!CB$76</f>
        <v>0</v>
      </c>
      <c r="CC22" s="182">
        <f xml:space="preserve"> Time!CC$76</f>
        <v>0</v>
      </c>
      <c r="CD22" s="182">
        <f xml:space="preserve"> Time!CD$76</f>
        <v>0</v>
      </c>
      <c r="CE22" s="182">
        <f xml:space="preserve"> Time!CE$76</f>
        <v>0</v>
      </c>
      <c r="CF22" s="182">
        <f xml:space="preserve"> Time!CF$76</f>
        <v>0</v>
      </c>
      <c r="CG22" s="182">
        <f xml:space="preserve"> Time!CG$76</f>
        <v>0</v>
      </c>
      <c r="CH22" s="182">
        <f xml:space="preserve"> Time!CH$76</f>
        <v>0</v>
      </c>
      <c r="CI22" s="182">
        <f xml:space="preserve"> Time!CI$76</f>
        <v>0</v>
      </c>
      <c r="CJ22" s="182">
        <f xml:space="preserve"> Time!CJ$76</f>
        <v>0</v>
      </c>
      <c r="CK22" s="182">
        <f xml:space="preserve"> Time!CK$76</f>
        <v>0</v>
      </c>
      <c r="CL22" s="182">
        <f xml:space="preserve"> Time!CL$76</f>
        <v>0</v>
      </c>
      <c r="CM22" s="182">
        <f xml:space="preserve"> Time!CM$76</f>
        <v>0</v>
      </c>
      <c r="CN22" s="182">
        <f xml:space="preserve"> Time!CN$76</f>
        <v>0</v>
      </c>
      <c r="CO22" s="182">
        <f xml:space="preserve"> Time!CO$76</f>
        <v>0</v>
      </c>
      <c r="CP22" s="182">
        <f xml:space="preserve"> Time!CP$76</f>
        <v>0</v>
      </c>
      <c r="CQ22" s="182">
        <f xml:space="preserve"> Time!CQ$76</f>
        <v>0</v>
      </c>
      <c r="CR22" s="182">
        <f xml:space="preserve"> Time!CR$76</f>
        <v>0</v>
      </c>
      <c r="CS22" s="182">
        <f xml:space="preserve"> Time!CS$76</f>
        <v>0</v>
      </c>
      <c r="CT22" s="182">
        <f xml:space="preserve"> Time!CT$76</f>
        <v>0</v>
      </c>
      <c r="CU22" s="182">
        <f xml:space="preserve"> Time!CU$76</f>
        <v>0</v>
      </c>
      <c r="CV22" s="182">
        <f xml:space="preserve"> Time!CV$76</f>
        <v>0</v>
      </c>
      <c r="CW22" s="182">
        <f xml:space="preserve"> Time!CW$76</f>
        <v>0</v>
      </c>
      <c r="CX22" s="182">
        <f xml:space="preserve"> Time!CX$76</f>
        <v>0</v>
      </c>
      <c r="CY22" s="182">
        <f xml:space="preserve"> Time!CY$76</f>
        <v>0</v>
      </c>
      <c r="CZ22" s="182">
        <f xml:space="preserve"> Time!CZ$76</f>
        <v>0</v>
      </c>
      <c r="DA22" s="182">
        <f xml:space="preserve"> Time!DA$76</f>
        <v>0</v>
      </c>
      <c r="DB22" s="182">
        <f xml:space="preserve"> Time!DB$76</f>
        <v>0</v>
      </c>
      <c r="DC22" s="182">
        <f xml:space="preserve"> Time!DC$76</f>
        <v>0</v>
      </c>
      <c r="DD22" s="182">
        <f xml:space="preserve"> Time!DD$76</f>
        <v>0</v>
      </c>
      <c r="DE22" s="182">
        <f xml:space="preserve"> Time!DE$76</f>
        <v>0</v>
      </c>
      <c r="DF22" s="182">
        <f xml:space="preserve"> Time!DF$76</f>
        <v>0</v>
      </c>
      <c r="DG22" s="182">
        <f xml:space="preserve"> Time!DG$76</f>
        <v>0</v>
      </c>
      <c r="DH22" s="182">
        <f xml:space="preserve"> Time!DH$76</f>
        <v>0</v>
      </c>
      <c r="DI22" s="182">
        <f xml:space="preserve"> Time!DI$76</f>
        <v>0</v>
      </c>
      <c r="DJ22" s="182">
        <f xml:space="preserve"> Time!DJ$76</f>
        <v>0</v>
      </c>
      <c r="DK22" s="182">
        <f xml:space="preserve"> Time!DK$76</f>
        <v>0</v>
      </c>
      <c r="DL22" s="182">
        <f xml:space="preserve"> Time!DL$76</f>
        <v>0</v>
      </c>
      <c r="DM22" s="182">
        <f xml:space="preserve"> Time!DM$76</f>
        <v>0</v>
      </c>
      <c r="DN22" s="182">
        <f xml:space="preserve"> Time!DN$76</f>
        <v>0</v>
      </c>
      <c r="DO22" s="182">
        <f xml:space="preserve"> Time!DO$76</f>
        <v>0</v>
      </c>
      <c r="DP22" s="182">
        <f xml:space="preserve"> Time!DP$76</f>
        <v>0</v>
      </c>
      <c r="DQ22" s="182">
        <f xml:space="preserve"> Time!DQ$76</f>
        <v>0</v>
      </c>
      <c r="DR22" s="182">
        <f xml:space="preserve"> Time!DR$76</f>
        <v>0</v>
      </c>
      <c r="DS22" s="182">
        <f xml:space="preserve"> Time!DS$76</f>
        <v>0</v>
      </c>
      <c r="DT22" s="182">
        <f xml:space="preserve"> Time!DT$76</f>
        <v>0</v>
      </c>
      <c r="DU22" s="182">
        <f xml:space="preserve"> Time!DU$76</f>
        <v>0</v>
      </c>
      <c r="DV22" s="182">
        <f xml:space="preserve"> Time!DV$76</f>
        <v>0</v>
      </c>
      <c r="DW22" s="182">
        <f xml:space="preserve"> Time!DW$76</f>
        <v>0</v>
      </c>
      <c r="DX22" s="182">
        <f xml:space="preserve"> Time!DX$76</f>
        <v>0</v>
      </c>
      <c r="DY22" s="182">
        <f xml:space="preserve"> Time!DY$76</f>
        <v>0</v>
      </c>
      <c r="DZ22" s="182">
        <f xml:space="preserve"> Time!DZ$76</f>
        <v>0</v>
      </c>
      <c r="EA22" s="182">
        <f xml:space="preserve"> Time!EA$76</f>
        <v>0</v>
      </c>
    </row>
    <row r="23" spans="1:131" x14ac:dyDescent="0.35">
      <c r="E23" s="169"/>
      <c r="F23" s="169"/>
      <c r="G23" s="169"/>
      <c r="H23" s="169"/>
      <c r="I23" s="26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  <c r="DG23" s="169"/>
      <c r="DH23" s="169"/>
      <c r="DI23" s="169"/>
      <c r="DJ23" s="169"/>
      <c r="DK23" s="169"/>
      <c r="DL23" s="169"/>
      <c r="DM23" s="169"/>
      <c r="DN23" s="169"/>
      <c r="DO23" s="169"/>
      <c r="DP23" s="169"/>
      <c r="DQ23" s="169"/>
      <c r="DR23" s="169"/>
      <c r="DS23" s="169"/>
      <c r="DT23" s="169"/>
      <c r="DU23" s="169"/>
      <c r="DV23" s="169"/>
      <c r="DW23" s="169"/>
      <c r="DX23" s="169"/>
      <c r="DY23" s="169"/>
      <c r="DZ23" s="169"/>
      <c r="EA23" s="169"/>
    </row>
    <row r="24" spans="1:131" x14ac:dyDescent="0.35">
      <c r="E24" s="169" t="s">
        <v>173</v>
      </c>
      <c r="F24" s="169"/>
      <c r="G24" s="169" t="str">
        <f xml:space="preserve"> SMU</f>
        <v>$ 000s</v>
      </c>
      <c r="H24" s="169"/>
      <c r="I24" s="26"/>
      <c r="J24" s="169">
        <f t="shared" ref="J24:AO24" si="4">I27</f>
        <v>0</v>
      </c>
      <c r="K24" s="169">
        <f t="shared" si="4"/>
        <v>0</v>
      </c>
      <c r="L24" s="169">
        <f t="shared" si="4"/>
        <v>0</v>
      </c>
      <c r="M24" s="169">
        <f t="shared" si="4"/>
        <v>0</v>
      </c>
      <c r="N24" s="169">
        <f t="shared" si="4"/>
        <v>100</v>
      </c>
      <c r="O24" s="169">
        <f t="shared" si="4"/>
        <v>200</v>
      </c>
      <c r="P24" s="169">
        <f t="shared" si="4"/>
        <v>300</v>
      </c>
      <c r="Q24" s="169">
        <f t="shared" si="4"/>
        <v>400</v>
      </c>
      <c r="R24" s="169">
        <f t="shared" si="4"/>
        <v>500</v>
      </c>
      <c r="S24" s="169">
        <f t="shared" si="4"/>
        <v>600</v>
      </c>
      <c r="T24" s="169">
        <f t="shared" si="4"/>
        <v>700</v>
      </c>
      <c r="U24" s="169">
        <f t="shared" si="4"/>
        <v>800</v>
      </c>
      <c r="V24" s="169">
        <f t="shared" si="4"/>
        <v>900</v>
      </c>
      <c r="W24" s="169">
        <f t="shared" si="4"/>
        <v>1000</v>
      </c>
      <c r="X24" s="169">
        <f t="shared" si="4"/>
        <v>1100</v>
      </c>
      <c r="Y24" s="169">
        <f t="shared" si="4"/>
        <v>1200</v>
      </c>
      <c r="Z24" s="169">
        <f t="shared" si="4"/>
        <v>1300</v>
      </c>
      <c r="AA24" s="169">
        <f t="shared" si="4"/>
        <v>1400</v>
      </c>
      <c r="AB24" s="169">
        <f t="shared" si="4"/>
        <v>1500</v>
      </c>
      <c r="AC24" s="169">
        <f t="shared" si="4"/>
        <v>1600</v>
      </c>
      <c r="AD24" s="169">
        <f t="shared" si="4"/>
        <v>1700</v>
      </c>
      <c r="AE24" s="169">
        <f t="shared" si="4"/>
        <v>1800</v>
      </c>
      <c r="AF24" s="169">
        <f t="shared" si="4"/>
        <v>1900</v>
      </c>
      <c r="AG24" s="169">
        <f t="shared" si="4"/>
        <v>2000</v>
      </c>
      <c r="AH24" s="169">
        <f t="shared" si="4"/>
        <v>2100</v>
      </c>
      <c r="AI24" s="169">
        <f t="shared" si="4"/>
        <v>2200</v>
      </c>
      <c r="AJ24" s="169">
        <f t="shared" si="4"/>
        <v>2300</v>
      </c>
      <c r="AK24" s="169">
        <f t="shared" si="4"/>
        <v>2400</v>
      </c>
      <c r="AL24" s="169">
        <f t="shared" si="4"/>
        <v>2500</v>
      </c>
      <c r="AM24" s="169">
        <f t="shared" si="4"/>
        <v>2600</v>
      </c>
      <c r="AN24" s="169">
        <f t="shared" si="4"/>
        <v>2700</v>
      </c>
      <c r="AO24" s="169">
        <f t="shared" si="4"/>
        <v>2800</v>
      </c>
      <c r="AP24" s="169">
        <f t="shared" ref="AP24:BU24" si="5">AO27</f>
        <v>2900</v>
      </c>
      <c r="AQ24" s="169">
        <f t="shared" si="5"/>
        <v>3000</v>
      </c>
      <c r="AR24" s="169">
        <f t="shared" si="5"/>
        <v>3100</v>
      </c>
      <c r="AS24" s="169">
        <f t="shared" si="5"/>
        <v>3200</v>
      </c>
      <c r="AT24" s="169">
        <f t="shared" si="5"/>
        <v>3300</v>
      </c>
      <c r="AU24" s="169">
        <f t="shared" si="5"/>
        <v>3400</v>
      </c>
      <c r="AV24" s="169">
        <f t="shared" si="5"/>
        <v>3500</v>
      </c>
      <c r="AW24" s="169">
        <f t="shared" si="5"/>
        <v>3600</v>
      </c>
      <c r="AX24" s="169">
        <f t="shared" si="5"/>
        <v>3700</v>
      </c>
      <c r="AY24" s="169">
        <f t="shared" si="5"/>
        <v>3800</v>
      </c>
      <c r="AZ24" s="169">
        <f t="shared" si="5"/>
        <v>3900</v>
      </c>
      <c r="BA24" s="169">
        <f t="shared" si="5"/>
        <v>4000</v>
      </c>
      <c r="BB24" s="169">
        <f t="shared" si="5"/>
        <v>4100</v>
      </c>
      <c r="BC24" s="169">
        <f t="shared" si="5"/>
        <v>4200</v>
      </c>
      <c r="BD24" s="169">
        <f t="shared" si="5"/>
        <v>4300</v>
      </c>
      <c r="BE24" s="169">
        <f t="shared" si="5"/>
        <v>4400</v>
      </c>
      <c r="BF24" s="169">
        <f t="shared" si="5"/>
        <v>4500</v>
      </c>
      <c r="BG24" s="169">
        <f t="shared" si="5"/>
        <v>4600</v>
      </c>
      <c r="BH24" s="169">
        <f t="shared" si="5"/>
        <v>4700</v>
      </c>
      <c r="BI24" s="169">
        <f t="shared" si="5"/>
        <v>4800</v>
      </c>
      <c r="BJ24" s="169">
        <f t="shared" si="5"/>
        <v>4900</v>
      </c>
      <c r="BK24" s="169">
        <f t="shared" si="5"/>
        <v>5000</v>
      </c>
      <c r="BL24" s="169">
        <f t="shared" si="5"/>
        <v>5100</v>
      </c>
      <c r="BM24" s="169">
        <f t="shared" si="5"/>
        <v>5200</v>
      </c>
      <c r="BN24" s="169">
        <f t="shared" si="5"/>
        <v>5300</v>
      </c>
      <c r="BO24" s="169">
        <f t="shared" si="5"/>
        <v>5400</v>
      </c>
      <c r="BP24" s="169">
        <f t="shared" si="5"/>
        <v>5500</v>
      </c>
      <c r="BQ24" s="169">
        <f t="shared" si="5"/>
        <v>5600</v>
      </c>
      <c r="BR24" s="169">
        <f t="shared" si="5"/>
        <v>5700</v>
      </c>
      <c r="BS24" s="169">
        <f t="shared" si="5"/>
        <v>5800</v>
      </c>
      <c r="BT24" s="169">
        <f t="shared" si="5"/>
        <v>5900</v>
      </c>
      <c r="BU24" s="169">
        <f t="shared" si="5"/>
        <v>6000</v>
      </c>
      <c r="BV24" s="169">
        <f t="shared" ref="BV24:DA24" si="6">BU27</f>
        <v>6100</v>
      </c>
      <c r="BW24" s="169">
        <f t="shared" si="6"/>
        <v>6200</v>
      </c>
      <c r="BX24" s="169">
        <f t="shared" si="6"/>
        <v>6300</v>
      </c>
      <c r="BY24" s="169">
        <f t="shared" si="6"/>
        <v>6400</v>
      </c>
      <c r="BZ24" s="169">
        <f t="shared" si="6"/>
        <v>6500</v>
      </c>
      <c r="CA24" s="169">
        <f t="shared" si="6"/>
        <v>6600</v>
      </c>
      <c r="CB24" s="169">
        <f t="shared" si="6"/>
        <v>6700</v>
      </c>
      <c r="CC24" s="169">
        <f t="shared" si="6"/>
        <v>6800</v>
      </c>
      <c r="CD24" s="169">
        <f t="shared" si="6"/>
        <v>6900</v>
      </c>
      <c r="CE24" s="169">
        <f t="shared" si="6"/>
        <v>7000</v>
      </c>
      <c r="CF24" s="169">
        <f t="shared" si="6"/>
        <v>7100</v>
      </c>
      <c r="CG24" s="169">
        <f t="shared" si="6"/>
        <v>7200</v>
      </c>
      <c r="CH24" s="169">
        <f t="shared" si="6"/>
        <v>7300</v>
      </c>
      <c r="CI24" s="169">
        <f t="shared" si="6"/>
        <v>7400</v>
      </c>
      <c r="CJ24" s="169">
        <f t="shared" si="6"/>
        <v>7500</v>
      </c>
      <c r="CK24" s="169">
        <f t="shared" si="6"/>
        <v>7600</v>
      </c>
      <c r="CL24" s="169">
        <f t="shared" si="6"/>
        <v>7700</v>
      </c>
      <c r="CM24" s="169">
        <f t="shared" si="6"/>
        <v>7800</v>
      </c>
      <c r="CN24" s="169">
        <f t="shared" si="6"/>
        <v>7900</v>
      </c>
      <c r="CO24" s="169">
        <f t="shared" si="6"/>
        <v>8000</v>
      </c>
      <c r="CP24" s="169">
        <f t="shared" si="6"/>
        <v>8100</v>
      </c>
      <c r="CQ24" s="169">
        <f t="shared" si="6"/>
        <v>8200</v>
      </c>
      <c r="CR24" s="169">
        <f t="shared" si="6"/>
        <v>8300</v>
      </c>
      <c r="CS24" s="169">
        <f t="shared" si="6"/>
        <v>8400</v>
      </c>
      <c r="CT24" s="169">
        <f t="shared" si="6"/>
        <v>8500</v>
      </c>
      <c r="CU24" s="169">
        <f t="shared" si="6"/>
        <v>8600</v>
      </c>
      <c r="CV24" s="169">
        <f t="shared" si="6"/>
        <v>8700</v>
      </c>
      <c r="CW24" s="169">
        <f t="shared" si="6"/>
        <v>8800</v>
      </c>
      <c r="CX24" s="169">
        <f t="shared" si="6"/>
        <v>8900</v>
      </c>
      <c r="CY24" s="169">
        <f t="shared" si="6"/>
        <v>9000</v>
      </c>
      <c r="CZ24" s="169">
        <f t="shared" si="6"/>
        <v>9100</v>
      </c>
      <c r="DA24" s="169">
        <f t="shared" si="6"/>
        <v>9200</v>
      </c>
      <c r="DB24" s="169">
        <f t="shared" ref="DB24:EA24" si="7">DA27</f>
        <v>9300</v>
      </c>
      <c r="DC24" s="169">
        <f t="shared" si="7"/>
        <v>9400</v>
      </c>
      <c r="DD24" s="169">
        <f t="shared" si="7"/>
        <v>9500</v>
      </c>
      <c r="DE24" s="169">
        <f t="shared" si="7"/>
        <v>9600</v>
      </c>
      <c r="DF24" s="169">
        <f t="shared" si="7"/>
        <v>9700</v>
      </c>
      <c r="DG24" s="169">
        <f t="shared" si="7"/>
        <v>9800</v>
      </c>
      <c r="DH24" s="169">
        <f t="shared" si="7"/>
        <v>9900</v>
      </c>
      <c r="DI24" s="169">
        <f t="shared" si="7"/>
        <v>10000</v>
      </c>
      <c r="DJ24" s="169">
        <f t="shared" si="7"/>
        <v>10000</v>
      </c>
      <c r="DK24" s="169">
        <f t="shared" si="7"/>
        <v>10000</v>
      </c>
      <c r="DL24" s="169">
        <f t="shared" si="7"/>
        <v>10000</v>
      </c>
      <c r="DM24" s="169">
        <f t="shared" si="7"/>
        <v>10000</v>
      </c>
      <c r="DN24" s="169">
        <f t="shared" si="7"/>
        <v>10000</v>
      </c>
      <c r="DO24" s="169">
        <f t="shared" si="7"/>
        <v>10000</v>
      </c>
      <c r="DP24" s="169">
        <f t="shared" si="7"/>
        <v>10000</v>
      </c>
      <c r="DQ24" s="169">
        <f t="shared" si="7"/>
        <v>10000</v>
      </c>
      <c r="DR24" s="169">
        <f t="shared" si="7"/>
        <v>10000</v>
      </c>
      <c r="DS24" s="169">
        <f t="shared" si="7"/>
        <v>10000</v>
      </c>
      <c r="DT24" s="169">
        <f t="shared" si="7"/>
        <v>10000</v>
      </c>
      <c r="DU24" s="169">
        <f t="shared" si="7"/>
        <v>10000</v>
      </c>
      <c r="DV24" s="169">
        <f t="shared" si="7"/>
        <v>10000</v>
      </c>
      <c r="DW24" s="169">
        <f t="shared" si="7"/>
        <v>10000</v>
      </c>
      <c r="DX24" s="169">
        <f t="shared" si="7"/>
        <v>10000</v>
      </c>
      <c r="DY24" s="169">
        <f t="shared" si="7"/>
        <v>10000</v>
      </c>
      <c r="DZ24" s="169">
        <f t="shared" si="7"/>
        <v>10000</v>
      </c>
      <c r="EA24" s="169">
        <f t="shared" si="7"/>
        <v>10000</v>
      </c>
    </row>
    <row r="25" spans="1:131" s="112" customFormat="1" x14ac:dyDescent="0.35">
      <c r="A25" s="8"/>
      <c r="B25" s="8"/>
      <c r="C25" s="13"/>
      <c r="D25" s="34"/>
      <c r="E25" s="430" t="str">
        <f xml:space="preserve"> 'FS Qtr'!E$50</f>
        <v>Cash flow available for dividends</v>
      </c>
      <c r="F25" s="430">
        <f xml:space="preserve"> 'FS Qtr'!F$50</f>
        <v>0</v>
      </c>
      <c r="G25" s="430" t="str">
        <f xml:space="preserve"> 'FS Qtr'!G$50</f>
        <v>$ 000s</v>
      </c>
      <c r="H25" s="430">
        <f xml:space="preserve"> 'FS Qtr'!H$50</f>
        <v>10000</v>
      </c>
      <c r="I25" s="430">
        <f xml:space="preserve"> 'FS Qtr'!I$50</f>
        <v>0</v>
      </c>
      <c r="J25" s="430">
        <f xml:space="preserve"> 'FS Qtr'!J$50</f>
        <v>0</v>
      </c>
      <c r="K25" s="430">
        <f xml:space="preserve"> 'FS Qtr'!K$50</f>
        <v>0</v>
      </c>
      <c r="L25" s="430">
        <f xml:space="preserve"> 'FS Qtr'!L$50</f>
        <v>0</v>
      </c>
      <c r="M25" s="430">
        <f xml:space="preserve"> 'FS Qtr'!M$50</f>
        <v>100</v>
      </c>
      <c r="N25" s="430">
        <f xml:space="preserve"> 'FS Qtr'!N$50</f>
        <v>100</v>
      </c>
      <c r="O25" s="430">
        <f xml:space="preserve"> 'FS Qtr'!O$50</f>
        <v>100</v>
      </c>
      <c r="P25" s="430">
        <f xml:space="preserve"> 'FS Qtr'!P$50</f>
        <v>100</v>
      </c>
      <c r="Q25" s="430">
        <f xml:space="preserve"> 'FS Qtr'!Q$50</f>
        <v>100</v>
      </c>
      <c r="R25" s="430">
        <f xml:space="preserve"> 'FS Qtr'!R$50</f>
        <v>100</v>
      </c>
      <c r="S25" s="430">
        <f xml:space="preserve"> 'FS Qtr'!S$50</f>
        <v>100</v>
      </c>
      <c r="T25" s="430">
        <f xml:space="preserve"> 'FS Qtr'!T$50</f>
        <v>100</v>
      </c>
      <c r="U25" s="430">
        <f xml:space="preserve"> 'FS Qtr'!U$50</f>
        <v>100</v>
      </c>
      <c r="V25" s="430">
        <f xml:space="preserve"> 'FS Qtr'!V$50</f>
        <v>100</v>
      </c>
      <c r="W25" s="430">
        <f xml:space="preserve"> 'FS Qtr'!W$50</f>
        <v>100</v>
      </c>
      <c r="X25" s="430">
        <f xml:space="preserve"> 'FS Qtr'!X$50</f>
        <v>100</v>
      </c>
      <c r="Y25" s="430">
        <f xml:space="preserve"> 'FS Qtr'!Y$50</f>
        <v>100</v>
      </c>
      <c r="Z25" s="430">
        <f xml:space="preserve"> 'FS Qtr'!Z$50</f>
        <v>100</v>
      </c>
      <c r="AA25" s="430">
        <f xml:space="preserve"> 'FS Qtr'!AA$50</f>
        <v>100</v>
      </c>
      <c r="AB25" s="430">
        <f xml:space="preserve"> 'FS Qtr'!AB$50</f>
        <v>100</v>
      </c>
      <c r="AC25" s="430">
        <f xml:space="preserve"> 'FS Qtr'!AC$50</f>
        <v>100</v>
      </c>
      <c r="AD25" s="430">
        <f xml:space="preserve"> 'FS Qtr'!AD$50</f>
        <v>100</v>
      </c>
      <c r="AE25" s="430">
        <f xml:space="preserve"> 'FS Qtr'!AE$50</f>
        <v>100</v>
      </c>
      <c r="AF25" s="430">
        <f xml:space="preserve"> 'FS Qtr'!AF$50</f>
        <v>100</v>
      </c>
      <c r="AG25" s="430">
        <f xml:space="preserve"> 'FS Qtr'!AG$50</f>
        <v>100</v>
      </c>
      <c r="AH25" s="430">
        <f xml:space="preserve"> 'FS Qtr'!AH$50</f>
        <v>100</v>
      </c>
      <c r="AI25" s="430">
        <f xml:space="preserve"> 'FS Qtr'!AI$50</f>
        <v>100</v>
      </c>
      <c r="AJ25" s="430">
        <f xml:space="preserve"> 'FS Qtr'!AJ$50</f>
        <v>100</v>
      </c>
      <c r="AK25" s="430">
        <f xml:space="preserve"> 'FS Qtr'!AK$50</f>
        <v>100</v>
      </c>
      <c r="AL25" s="430">
        <f xml:space="preserve"> 'FS Qtr'!AL$50</f>
        <v>100</v>
      </c>
      <c r="AM25" s="430">
        <f xml:space="preserve"> 'FS Qtr'!AM$50</f>
        <v>100</v>
      </c>
      <c r="AN25" s="430">
        <f xml:space="preserve"> 'FS Qtr'!AN$50</f>
        <v>100</v>
      </c>
      <c r="AO25" s="430">
        <f xml:space="preserve"> 'FS Qtr'!AO$50</f>
        <v>100</v>
      </c>
      <c r="AP25" s="430">
        <f xml:space="preserve"> 'FS Qtr'!AP$50</f>
        <v>100</v>
      </c>
      <c r="AQ25" s="430">
        <f xml:space="preserve"> 'FS Qtr'!AQ$50</f>
        <v>100</v>
      </c>
      <c r="AR25" s="430">
        <f xml:space="preserve"> 'FS Qtr'!AR$50</f>
        <v>100</v>
      </c>
      <c r="AS25" s="430">
        <f xml:space="preserve"> 'FS Qtr'!AS$50</f>
        <v>100</v>
      </c>
      <c r="AT25" s="430">
        <f xml:space="preserve"> 'FS Qtr'!AT$50</f>
        <v>100</v>
      </c>
      <c r="AU25" s="430">
        <f xml:space="preserve"> 'FS Qtr'!AU$50</f>
        <v>100</v>
      </c>
      <c r="AV25" s="430">
        <f xml:space="preserve"> 'FS Qtr'!AV$50</f>
        <v>100</v>
      </c>
      <c r="AW25" s="430">
        <f xml:space="preserve"> 'FS Qtr'!AW$50</f>
        <v>100</v>
      </c>
      <c r="AX25" s="430">
        <f xml:space="preserve"> 'FS Qtr'!AX$50</f>
        <v>100</v>
      </c>
      <c r="AY25" s="430">
        <f xml:space="preserve"> 'FS Qtr'!AY$50</f>
        <v>100</v>
      </c>
      <c r="AZ25" s="430">
        <f xml:space="preserve"> 'FS Qtr'!AZ$50</f>
        <v>100</v>
      </c>
      <c r="BA25" s="430">
        <f xml:space="preserve"> 'FS Qtr'!BA$50</f>
        <v>100</v>
      </c>
      <c r="BB25" s="430">
        <f xml:space="preserve"> 'FS Qtr'!BB$50</f>
        <v>100</v>
      </c>
      <c r="BC25" s="430">
        <f xml:space="preserve"> 'FS Qtr'!BC$50</f>
        <v>100</v>
      </c>
      <c r="BD25" s="430">
        <f xml:space="preserve"> 'FS Qtr'!BD$50</f>
        <v>100</v>
      </c>
      <c r="BE25" s="430">
        <f xml:space="preserve"> 'FS Qtr'!BE$50</f>
        <v>100</v>
      </c>
      <c r="BF25" s="430">
        <f xml:space="preserve"> 'FS Qtr'!BF$50</f>
        <v>100</v>
      </c>
      <c r="BG25" s="430">
        <f xml:space="preserve"> 'FS Qtr'!BG$50</f>
        <v>100</v>
      </c>
      <c r="BH25" s="430">
        <f xml:space="preserve"> 'FS Qtr'!BH$50</f>
        <v>100</v>
      </c>
      <c r="BI25" s="430">
        <f xml:space="preserve"> 'FS Qtr'!BI$50</f>
        <v>100</v>
      </c>
      <c r="BJ25" s="430">
        <f xml:space="preserve"> 'FS Qtr'!BJ$50</f>
        <v>100</v>
      </c>
      <c r="BK25" s="430">
        <f xml:space="preserve"> 'FS Qtr'!BK$50</f>
        <v>100</v>
      </c>
      <c r="BL25" s="430">
        <f xml:space="preserve"> 'FS Qtr'!BL$50</f>
        <v>100</v>
      </c>
      <c r="BM25" s="430">
        <f xml:space="preserve"> 'FS Qtr'!BM$50</f>
        <v>100</v>
      </c>
      <c r="BN25" s="430">
        <f xml:space="preserve"> 'FS Qtr'!BN$50</f>
        <v>100</v>
      </c>
      <c r="BO25" s="430">
        <f xml:space="preserve"> 'FS Qtr'!BO$50</f>
        <v>100</v>
      </c>
      <c r="BP25" s="430">
        <f xml:space="preserve"> 'FS Qtr'!BP$50</f>
        <v>100</v>
      </c>
      <c r="BQ25" s="430">
        <f xml:space="preserve"> 'FS Qtr'!BQ$50</f>
        <v>100</v>
      </c>
      <c r="BR25" s="430">
        <f xml:space="preserve"> 'FS Qtr'!BR$50</f>
        <v>100</v>
      </c>
      <c r="BS25" s="430">
        <f xml:space="preserve"> 'FS Qtr'!BS$50</f>
        <v>100</v>
      </c>
      <c r="BT25" s="430">
        <f xml:space="preserve"> 'FS Qtr'!BT$50</f>
        <v>100</v>
      </c>
      <c r="BU25" s="430">
        <f xml:space="preserve"> 'FS Qtr'!BU$50</f>
        <v>100</v>
      </c>
      <c r="BV25" s="430">
        <f xml:space="preserve"> 'FS Qtr'!BV$50</f>
        <v>100</v>
      </c>
      <c r="BW25" s="430">
        <f xml:space="preserve"> 'FS Qtr'!BW$50</f>
        <v>100</v>
      </c>
      <c r="BX25" s="430">
        <f xml:space="preserve"> 'FS Qtr'!BX$50</f>
        <v>100</v>
      </c>
      <c r="BY25" s="430">
        <f xml:space="preserve"> 'FS Qtr'!BY$50</f>
        <v>100</v>
      </c>
      <c r="BZ25" s="430">
        <f xml:space="preserve"> 'FS Qtr'!BZ$50</f>
        <v>100</v>
      </c>
      <c r="CA25" s="430">
        <f xml:space="preserve"> 'FS Qtr'!CA$50</f>
        <v>100</v>
      </c>
      <c r="CB25" s="430">
        <f xml:space="preserve"> 'FS Qtr'!CB$50</f>
        <v>100</v>
      </c>
      <c r="CC25" s="430">
        <f xml:space="preserve"> 'FS Qtr'!CC$50</f>
        <v>100</v>
      </c>
      <c r="CD25" s="430">
        <f xml:space="preserve"> 'FS Qtr'!CD$50</f>
        <v>100</v>
      </c>
      <c r="CE25" s="430">
        <f xml:space="preserve"> 'FS Qtr'!CE$50</f>
        <v>100</v>
      </c>
      <c r="CF25" s="430">
        <f xml:space="preserve"> 'FS Qtr'!CF$50</f>
        <v>100</v>
      </c>
      <c r="CG25" s="430">
        <f xml:space="preserve"> 'FS Qtr'!CG$50</f>
        <v>100</v>
      </c>
      <c r="CH25" s="430">
        <f xml:space="preserve"> 'FS Qtr'!CH$50</f>
        <v>100</v>
      </c>
      <c r="CI25" s="430">
        <f xml:space="preserve"> 'FS Qtr'!CI$50</f>
        <v>100</v>
      </c>
      <c r="CJ25" s="430">
        <f xml:space="preserve"> 'FS Qtr'!CJ$50</f>
        <v>100</v>
      </c>
      <c r="CK25" s="430">
        <f xml:space="preserve"> 'FS Qtr'!CK$50</f>
        <v>100</v>
      </c>
      <c r="CL25" s="430">
        <f xml:space="preserve"> 'FS Qtr'!CL$50</f>
        <v>100</v>
      </c>
      <c r="CM25" s="430">
        <f xml:space="preserve"> 'FS Qtr'!CM$50</f>
        <v>100</v>
      </c>
      <c r="CN25" s="430">
        <f xml:space="preserve"> 'FS Qtr'!CN$50</f>
        <v>100</v>
      </c>
      <c r="CO25" s="430">
        <f xml:space="preserve"> 'FS Qtr'!CO$50</f>
        <v>100</v>
      </c>
      <c r="CP25" s="430">
        <f xml:space="preserve"> 'FS Qtr'!CP$50</f>
        <v>100</v>
      </c>
      <c r="CQ25" s="430">
        <f xml:space="preserve"> 'FS Qtr'!CQ$50</f>
        <v>100</v>
      </c>
      <c r="CR25" s="430">
        <f xml:space="preserve"> 'FS Qtr'!CR$50</f>
        <v>100</v>
      </c>
      <c r="CS25" s="430">
        <f xml:space="preserve"> 'FS Qtr'!CS$50</f>
        <v>100</v>
      </c>
      <c r="CT25" s="430">
        <f xml:space="preserve"> 'FS Qtr'!CT$50</f>
        <v>100</v>
      </c>
      <c r="CU25" s="430">
        <f xml:space="preserve"> 'FS Qtr'!CU$50</f>
        <v>100</v>
      </c>
      <c r="CV25" s="430">
        <f xml:space="preserve"> 'FS Qtr'!CV$50</f>
        <v>100</v>
      </c>
      <c r="CW25" s="430">
        <f xml:space="preserve"> 'FS Qtr'!CW$50</f>
        <v>100</v>
      </c>
      <c r="CX25" s="430">
        <f xml:space="preserve"> 'FS Qtr'!CX$50</f>
        <v>100</v>
      </c>
      <c r="CY25" s="430">
        <f xml:space="preserve"> 'FS Qtr'!CY$50</f>
        <v>100</v>
      </c>
      <c r="CZ25" s="430">
        <f xml:space="preserve"> 'FS Qtr'!CZ$50</f>
        <v>100</v>
      </c>
      <c r="DA25" s="430">
        <f xml:space="preserve"> 'FS Qtr'!DA$50</f>
        <v>100</v>
      </c>
      <c r="DB25" s="430">
        <f xml:space="preserve"> 'FS Qtr'!DB$50</f>
        <v>100</v>
      </c>
      <c r="DC25" s="430">
        <f xml:space="preserve"> 'FS Qtr'!DC$50</f>
        <v>100</v>
      </c>
      <c r="DD25" s="430">
        <f xml:space="preserve"> 'FS Qtr'!DD$50</f>
        <v>100</v>
      </c>
      <c r="DE25" s="430">
        <f xml:space="preserve"> 'FS Qtr'!DE$50</f>
        <v>100</v>
      </c>
      <c r="DF25" s="430">
        <f xml:space="preserve"> 'FS Qtr'!DF$50</f>
        <v>100</v>
      </c>
      <c r="DG25" s="430">
        <f xml:space="preserve"> 'FS Qtr'!DG$50</f>
        <v>100</v>
      </c>
      <c r="DH25" s="430">
        <f xml:space="preserve"> 'FS Qtr'!DH$50</f>
        <v>100</v>
      </c>
      <c r="DI25" s="430">
        <f xml:space="preserve"> 'FS Qtr'!DI$50</f>
        <v>0</v>
      </c>
      <c r="DJ25" s="430">
        <f xml:space="preserve"> 'FS Qtr'!DJ$50</f>
        <v>0</v>
      </c>
      <c r="DK25" s="430">
        <f xml:space="preserve"> 'FS Qtr'!DK$50</f>
        <v>0</v>
      </c>
      <c r="DL25" s="430">
        <f xml:space="preserve"> 'FS Qtr'!DL$50</f>
        <v>0</v>
      </c>
      <c r="DM25" s="430">
        <f xml:space="preserve"> 'FS Qtr'!DM$50</f>
        <v>0</v>
      </c>
      <c r="DN25" s="430">
        <f xml:space="preserve"> 'FS Qtr'!DN$50</f>
        <v>0</v>
      </c>
      <c r="DO25" s="430">
        <f xml:space="preserve"> 'FS Qtr'!DO$50</f>
        <v>0</v>
      </c>
      <c r="DP25" s="430">
        <f xml:space="preserve"> 'FS Qtr'!DP$50</f>
        <v>0</v>
      </c>
      <c r="DQ25" s="430">
        <f xml:space="preserve"> 'FS Qtr'!DQ$50</f>
        <v>0</v>
      </c>
      <c r="DR25" s="430">
        <f xml:space="preserve"> 'FS Qtr'!DR$50</f>
        <v>0</v>
      </c>
      <c r="DS25" s="430">
        <f xml:space="preserve"> 'FS Qtr'!DS$50</f>
        <v>0</v>
      </c>
      <c r="DT25" s="430">
        <f xml:space="preserve"> 'FS Qtr'!DT$50</f>
        <v>0</v>
      </c>
      <c r="DU25" s="430">
        <f xml:space="preserve"> 'FS Qtr'!DU$50</f>
        <v>0</v>
      </c>
      <c r="DV25" s="430">
        <f xml:space="preserve"> 'FS Qtr'!DV$50</f>
        <v>0</v>
      </c>
      <c r="DW25" s="430">
        <f xml:space="preserve"> 'FS Qtr'!DW$50</f>
        <v>0</v>
      </c>
      <c r="DX25" s="430">
        <f xml:space="preserve"> 'FS Qtr'!DX$50</f>
        <v>0</v>
      </c>
      <c r="DY25" s="430">
        <f xml:space="preserve"> 'FS Qtr'!DY$50</f>
        <v>0</v>
      </c>
      <c r="DZ25" s="430">
        <f xml:space="preserve"> 'FS Qtr'!DZ$50</f>
        <v>0</v>
      </c>
      <c r="EA25" s="430">
        <f xml:space="preserve"> 'FS Qtr'!EA$50</f>
        <v>0</v>
      </c>
    </row>
    <row r="26" spans="1:131" x14ac:dyDescent="0.35">
      <c r="A26" s="425"/>
      <c r="B26" s="425"/>
      <c r="C26" s="426"/>
      <c r="D26" s="427"/>
      <c r="E26" s="170" t="s">
        <v>171</v>
      </c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0"/>
      <c r="BU26" s="170"/>
      <c r="BV26" s="170"/>
      <c r="BW26" s="170"/>
      <c r="BX26" s="170"/>
      <c r="BY26" s="170"/>
      <c r="BZ26" s="170"/>
      <c r="CA26" s="170"/>
      <c r="CB26" s="170"/>
      <c r="CC26" s="170"/>
      <c r="CD26" s="170"/>
      <c r="CE26" s="170"/>
      <c r="CF26" s="170"/>
      <c r="CG26" s="170"/>
      <c r="CH26" s="170"/>
      <c r="CI26" s="170"/>
      <c r="CJ26" s="170"/>
      <c r="CK26" s="170"/>
      <c r="CL26" s="170"/>
      <c r="CM26" s="170"/>
      <c r="CN26" s="170"/>
      <c r="CO26" s="170"/>
      <c r="CP26" s="170"/>
      <c r="CQ26" s="170"/>
      <c r="CR26" s="170"/>
      <c r="CS26" s="170"/>
      <c r="CT26" s="170"/>
      <c r="CU26" s="170"/>
      <c r="CV26" s="170"/>
      <c r="CW26" s="170"/>
      <c r="CX26" s="170"/>
      <c r="CY26" s="170"/>
      <c r="CZ26" s="170"/>
      <c r="DA26" s="170"/>
      <c r="DB26" s="170"/>
      <c r="DC26" s="170"/>
      <c r="DD26" s="170"/>
      <c r="DE26" s="170"/>
      <c r="DF26" s="170"/>
      <c r="DG26" s="170"/>
      <c r="DH26" s="170"/>
      <c r="DI26" s="170"/>
      <c r="DJ26" s="170"/>
      <c r="DK26" s="170"/>
      <c r="DL26" s="170"/>
      <c r="DM26" s="170"/>
      <c r="DN26" s="170"/>
      <c r="DO26" s="170"/>
      <c r="DP26" s="170"/>
      <c r="DQ26" s="170"/>
      <c r="DR26" s="170"/>
      <c r="DS26" s="170"/>
      <c r="DT26" s="170"/>
      <c r="DU26" s="170"/>
      <c r="DV26" s="170"/>
      <c r="DW26" s="170"/>
      <c r="DX26" s="170"/>
      <c r="DY26" s="170"/>
      <c r="DZ26" s="170"/>
      <c r="EA26" s="170"/>
    </row>
    <row r="27" spans="1:131" s="429" customFormat="1" x14ac:dyDescent="0.35">
      <c r="A27" s="431"/>
      <c r="B27" s="431"/>
      <c r="C27" s="432"/>
      <c r="D27" s="433"/>
      <c r="E27" s="434" t="s">
        <v>172</v>
      </c>
      <c r="F27" s="434"/>
      <c r="G27" s="434" t="str">
        <f xml:space="preserve"> SMU</f>
        <v>$ 000s</v>
      </c>
      <c r="H27" s="434"/>
      <c r="I27" s="435"/>
      <c r="J27" s="434">
        <f t="shared" ref="J27:AO27" si="8" xml:space="preserve"> IF( J22 = 1, $F21, J24 + J25 - J26)</f>
        <v>0</v>
      </c>
      <c r="K27" s="434">
        <f t="shared" si="8"/>
        <v>0</v>
      </c>
      <c r="L27" s="434">
        <f t="shared" si="8"/>
        <v>0</v>
      </c>
      <c r="M27" s="434">
        <f t="shared" si="8"/>
        <v>100</v>
      </c>
      <c r="N27" s="434">
        <f t="shared" si="8"/>
        <v>200</v>
      </c>
      <c r="O27" s="434">
        <f t="shared" si="8"/>
        <v>300</v>
      </c>
      <c r="P27" s="434">
        <f t="shared" si="8"/>
        <v>400</v>
      </c>
      <c r="Q27" s="434">
        <f t="shared" si="8"/>
        <v>500</v>
      </c>
      <c r="R27" s="434">
        <f t="shared" si="8"/>
        <v>600</v>
      </c>
      <c r="S27" s="434">
        <f t="shared" si="8"/>
        <v>700</v>
      </c>
      <c r="T27" s="434">
        <f t="shared" si="8"/>
        <v>800</v>
      </c>
      <c r="U27" s="434">
        <f t="shared" si="8"/>
        <v>900</v>
      </c>
      <c r="V27" s="434">
        <f t="shared" si="8"/>
        <v>1000</v>
      </c>
      <c r="W27" s="434">
        <f t="shared" si="8"/>
        <v>1100</v>
      </c>
      <c r="X27" s="434">
        <f t="shared" si="8"/>
        <v>1200</v>
      </c>
      <c r="Y27" s="434">
        <f t="shared" si="8"/>
        <v>1300</v>
      </c>
      <c r="Z27" s="434">
        <f t="shared" si="8"/>
        <v>1400</v>
      </c>
      <c r="AA27" s="434">
        <f t="shared" si="8"/>
        <v>1500</v>
      </c>
      <c r="AB27" s="434">
        <f t="shared" si="8"/>
        <v>1600</v>
      </c>
      <c r="AC27" s="434">
        <f t="shared" si="8"/>
        <v>1700</v>
      </c>
      <c r="AD27" s="434">
        <f t="shared" si="8"/>
        <v>1800</v>
      </c>
      <c r="AE27" s="434">
        <f t="shared" si="8"/>
        <v>1900</v>
      </c>
      <c r="AF27" s="434">
        <f t="shared" si="8"/>
        <v>2000</v>
      </c>
      <c r="AG27" s="434">
        <f t="shared" si="8"/>
        <v>2100</v>
      </c>
      <c r="AH27" s="434">
        <f t="shared" si="8"/>
        <v>2200</v>
      </c>
      <c r="AI27" s="434">
        <f t="shared" si="8"/>
        <v>2300</v>
      </c>
      <c r="AJ27" s="434">
        <f t="shared" si="8"/>
        <v>2400</v>
      </c>
      <c r="AK27" s="434">
        <f t="shared" si="8"/>
        <v>2500</v>
      </c>
      <c r="AL27" s="434">
        <f t="shared" si="8"/>
        <v>2600</v>
      </c>
      <c r="AM27" s="434">
        <f t="shared" si="8"/>
        <v>2700</v>
      </c>
      <c r="AN27" s="434">
        <f t="shared" si="8"/>
        <v>2800</v>
      </c>
      <c r="AO27" s="434">
        <f t="shared" si="8"/>
        <v>2900</v>
      </c>
      <c r="AP27" s="434">
        <f t="shared" ref="AP27:BU27" si="9" xml:space="preserve"> IF( AP22 = 1, $F21, AP24 + AP25 - AP26)</f>
        <v>3000</v>
      </c>
      <c r="AQ27" s="434">
        <f t="shared" si="9"/>
        <v>3100</v>
      </c>
      <c r="AR27" s="434">
        <f t="shared" si="9"/>
        <v>3200</v>
      </c>
      <c r="AS27" s="434">
        <f t="shared" si="9"/>
        <v>3300</v>
      </c>
      <c r="AT27" s="434">
        <f t="shared" si="9"/>
        <v>3400</v>
      </c>
      <c r="AU27" s="434">
        <f t="shared" si="9"/>
        <v>3500</v>
      </c>
      <c r="AV27" s="434">
        <f t="shared" si="9"/>
        <v>3600</v>
      </c>
      <c r="AW27" s="434">
        <f t="shared" si="9"/>
        <v>3700</v>
      </c>
      <c r="AX27" s="434">
        <f t="shared" si="9"/>
        <v>3800</v>
      </c>
      <c r="AY27" s="434">
        <f t="shared" si="9"/>
        <v>3900</v>
      </c>
      <c r="AZ27" s="434">
        <f t="shared" si="9"/>
        <v>4000</v>
      </c>
      <c r="BA27" s="434">
        <f t="shared" si="9"/>
        <v>4100</v>
      </c>
      <c r="BB27" s="434">
        <f t="shared" si="9"/>
        <v>4200</v>
      </c>
      <c r="BC27" s="434">
        <f t="shared" si="9"/>
        <v>4300</v>
      </c>
      <c r="BD27" s="434">
        <f t="shared" si="9"/>
        <v>4400</v>
      </c>
      <c r="BE27" s="434">
        <f t="shared" si="9"/>
        <v>4500</v>
      </c>
      <c r="BF27" s="434">
        <f t="shared" si="9"/>
        <v>4600</v>
      </c>
      <c r="BG27" s="434">
        <f t="shared" si="9"/>
        <v>4700</v>
      </c>
      <c r="BH27" s="434">
        <f t="shared" si="9"/>
        <v>4800</v>
      </c>
      <c r="BI27" s="434">
        <f t="shared" si="9"/>
        <v>4900</v>
      </c>
      <c r="BJ27" s="434">
        <f t="shared" si="9"/>
        <v>5000</v>
      </c>
      <c r="BK27" s="434">
        <f t="shared" si="9"/>
        <v>5100</v>
      </c>
      <c r="BL27" s="434">
        <f t="shared" si="9"/>
        <v>5200</v>
      </c>
      <c r="BM27" s="434">
        <f t="shared" si="9"/>
        <v>5300</v>
      </c>
      <c r="BN27" s="434">
        <f t="shared" si="9"/>
        <v>5400</v>
      </c>
      <c r="BO27" s="434">
        <f t="shared" si="9"/>
        <v>5500</v>
      </c>
      <c r="BP27" s="434">
        <f t="shared" si="9"/>
        <v>5600</v>
      </c>
      <c r="BQ27" s="434">
        <f t="shared" si="9"/>
        <v>5700</v>
      </c>
      <c r="BR27" s="434">
        <f t="shared" si="9"/>
        <v>5800</v>
      </c>
      <c r="BS27" s="434">
        <f t="shared" si="9"/>
        <v>5900</v>
      </c>
      <c r="BT27" s="434">
        <f t="shared" si="9"/>
        <v>6000</v>
      </c>
      <c r="BU27" s="434">
        <f t="shared" si="9"/>
        <v>6100</v>
      </c>
      <c r="BV27" s="434">
        <f t="shared" ref="BV27:DA27" si="10" xml:space="preserve"> IF( BV22 = 1, $F21, BV24 + BV25 - BV26)</f>
        <v>6200</v>
      </c>
      <c r="BW27" s="434">
        <f t="shared" si="10"/>
        <v>6300</v>
      </c>
      <c r="BX27" s="434">
        <f t="shared" si="10"/>
        <v>6400</v>
      </c>
      <c r="BY27" s="434">
        <f t="shared" si="10"/>
        <v>6500</v>
      </c>
      <c r="BZ27" s="434">
        <f t="shared" si="10"/>
        <v>6600</v>
      </c>
      <c r="CA27" s="434">
        <f t="shared" si="10"/>
        <v>6700</v>
      </c>
      <c r="CB27" s="434">
        <f t="shared" si="10"/>
        <v>6800</v>
      </c>
      <c r="CC27" s="434">
        <f t="shared" si="10"/>
        <v>6900</v>
      </c>
      <c r="CD27" s="434">
        <f t="shared" si="10"/>
        <v>7000</v>
      </c>
      <c r="CE27" s="434">
        <f t="shared" si="10"/>
        <v>7100</v>
      </c>
      <c r="CF27" s="434">
        <f t="shared" si="10"/>
        <v>7200</v>
      </c>
      <c r="CG27" s="434">
        <f t="shared" si="10"/>
        <v>7300</v>
      </c>
      <c r="CH27" s="434">
        <f t="shared" si="10"/>
        <v>7400</v>
      </c>
      <c r="CI27" s="434">
        <f t="shared" si="10"/>
        <v>7500</v>
      </c>
      <c r="CJ27" s="434">
        <f t="shared" si="10"/>
        <v>7600</v>
      </c>
      <c r="CK27" s="434">
        <f t="shared" si="10"/>
        <v>7700</v>
      </c>
      <c r="CL27" s="434">
        <f t="shared" si="10"/>
        <v>7800</v>
      </c>
      <c r="CM27" s="434">
        <f t="shared" si="10"/>
        <v>7900</v>
      </c>
      <c r="CN27" s="434">
        <f t="shared" si="10"/>
        <v>8000</v>
      </c>
      <c r="CO27" s="434">
        <f t="shared" si="10"/>
        <v>8100</v>
      </c>
      <c r="CP27" s="434">
        <f t="shared" si="10"/>
        <v>8200</v>
      </c>
      <c r="CQ27" s="434">
        <f t="shared" si="10"/>
        <v>8300</v>
      </c>
      <c r="CR27" s="434">
        <f t="shared" si="10"/>
        <v>8400</v>
      </c>
      <c r="CS27" s="434">
        <f t="shared" si="10"/>
        <v>8500</v>
      </c>
      <c r="CT27" s="434">
        <f t="shared" si="10"/>
        <v>8600</v>
      </c>
      <c r="CU27" s="434">
        <f t="shared" si="10"/>
        <v>8700</v>
      </c>
      <c r="CV27" s="434">
        <f t="shared" si="10"/>
        <v>8800</v>
      </c>
      <c r="CW27" s="434">
        <f t="shared" si="10"/>
        <v>8900</v>
      </c>
      <c r="CX27" s="434">
        <f t="shared" si="10"/>
        <v>9000</v>
      </c>
      <c r="CY27" s="434">
        <f t="shared" si="10"/>
        <v>9100</v>
      </c>
      <c r="CZ27" s="434">
        <f t="shared" si="10"/>
        <v>9200</v>
      </c>
      <c r="DA27" s="434">
        <f t="shared" si="10"/>
        <v>9300</v>
      </c>
      <c r="DB27" s="434">
        <f t="shared" ref="DB27:EA27" si="11" xml:space="preserve"> IF( DB22 = 1, $F21, DB24 + DB25 - DB26)</f>
        <v>9400</v>
      </c>
      <c r="DC27" s="434">
        <f t="shared" si="11"/>
        <v>9500</v>
      </c>
      <c r="DD27" s="434">
        <f t="shared" si="11"/>
        <v>9600</v>
      </c>
      <c r="DE27" s="434">
        <f t="shared" si="11"/>
        <v>9700</v>
      </c>
      <c r="DF27" s="434">
        <f t="shared" si="11"/>
        <v>9800</v>
      </c>
      <c r="DG27" s="434">
        <f t="shared" si="11"/>
        <v>9900</v>
      </c>
      <c r="DH27" s="434">
        <f t="shared" si="11"/>
        <v>10000</v>
      </c>
      <c r="DI27" s="434">
        <f t="shared" si="11"/>
        <v>10000</v>
      </c>
      <c r="DJ27" s="434">
        <f t="shared" si="11"/>
        <v>10000</v>
      </c>
      <c r="DK27" s="434">
        <f t="shared" si="11"/>
        <v>10000</v>
      </c>
      <c r="DL27" s="434">
        <f t="shared" si="11"/>
        <v>10000</v>
      </c>
      <c r="DM27" s="434">
        <f t="shared" si="11"/>
        <v>10000</v>
      </c>
      <c r="DN27" s="434">
        <f t="shared" si="11"/>
        <v>10000</v>
      </c>
      <c r="DO27" s="434">
        <f t="shared" si="11"/>
        <v>10000</v>
      </c>
      <c r="DP27" s="434">
        <f t="shared" si="11"/>
        <v>10000</v>
      </c>
      <c r="DQ27" s="434">
        <f t="shared" si="11"/>
        <v>10000</v>
      </c>
      <c r="DR27" s="434">
        <f t="shared" si="11"/>
        <v>10000</v>
      </c>
      <c r="DS27" s="434">
        <f t="shared" si="11"/>
        <v>10000</v>
      </c>
      <c r="DT27" s="434">
        <f t="shared" si="11"/>
        <v>10000</v>
      </c>
      <c r="DU27" s="434">
        <f t="shared" si="11"/>
        <v>10000</v>
      </c>
      <c r="DV27" s="434">
        <f t="shared" si="11"/>
        <v>10000</v>
      </c>
      <c r="DW27" s="434">
        <f t="shared" si="11"/>
        <v>10000</v>
      </c>
      <c r="DX27" s="434">
        <f t="shared" si="11"/>
        <v>10000</v>
      </c>
      <c r="DY27" s="434">
        <f t="shared" si="11"/>
        <v>10000</v>
      </c>
      <c r="DZ27" s="434">
        <f t="shared" si="11"/>
        <v>10000</v>
      </c>
      <c r="EA27" s="434">
        <f t="shared" si="11"/>
        <v>10000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L71" sqref="L71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8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outlineLevel="1" x14ac:dyDescent="0.35">
      <c r="A9" s="160"/>
      <c r="D9" s="164"/>
      <c r="E9" s="341" t="s">
        <v>129</v>
      </c>
      <c r="F9" s="341"/>
      <c r="G9" s="341"/>
      <c r="H9" s="341"/>
      <c r="I9" s="341"/>
      <c r="J9" s="341"/>
      <c r="K9" s="341"/>
      <c r="L9" s="341"/>
      <c r="M9" s="341">
        <v>100</v>
      </c>
      <c r="N9" s="341">
        <v>100</v>
      </c>
      <c r="O9" s="341">
        <v>100</v>
      </c>
      <c r="P9" s="341">
        <v>100</v>
      </c>
      <c r="Q9" s="341">
        <v>100</v>
      </c>
      <c r="R9" s="341">
        <v>100</v>
      </c>
      <c r="S9" s="341">
        <v>100</v>
      </c>
      <c r="T9" s="341">
        <v>100</v>
      </c>
      <c r="U9" s="341">
        <v>100</v>
      </c>
      <c r="V9" s="341">
        <v>100</v>
      </c>
      <c r="W9" s="341">
        <v>100</v>
      </c>
      <c r="X9" s="341">
        <v>100</v>
      </c>
      <c r="Y9" s="341">
        <v>100</v>
      </c>
      <c r="Z9" s="341">
        <v>100</v>
      </c>
      <c r="AA9" s="341">
        <v>100</v>
      </c>
      <c r="AB9" s="341">
        <v>100</v>
      </c>
      <c r="AC9" s="341">
        <v>100</v>
      </c>
      <c r="AD9" s="341">
        <v>100</v>
      </c>
      <c r="AE9" s="341">
        <v>100</v>
      </c>
      <c r="AF9" s="341">
        <v>100</v>
      </c>
      <c r="AG9" s="341">
        <v>100</v>
      </c>
      <c r="AH9" s="341">
        <v>100</v>
      </c>
      <c r="AI9" s="341">
        <v>100</v>
      </c>
      <c r="AJ9" s="341">
        <v>100</v>
      </c>
      <c r="AK9" s="341">
        <v>100</v>
      </c>
      <c r="AL9" s="341">
        <v>100</v>
      </c>
      <c r="AM9" s="341">
        <v>100</v>
      </c>
      <c r="AN9" s="341">
        <v>100</v>
      </c>
      <c r="AO9" s="341">
        <v>100</v>
      </c>
      <c r="AP9" s="341">
        <v>100</v>
      </c>
      <c r="AQ9" s="341">
        <v>100</v>
      </c>
      <c r="AR9" s="341">
        <v>100</v>
      </c>
      <c r="AS9" s="341">
        <v>100</v>
      </c>
      <c r="AT9" s="341">
        <v>100</v>
      </c>
      <c r="AU9" s="341">
        <v>100</v>
      </c>
      <c r="AV9" s="341">
        <v>100</v>
      </c>
      <c r="AW9" s="341">
        <v>100</v>
      </c>
      <c r="AX9" s="341">
        <v>100</v>
      </c>
      <c r="AY9" s="341">
        <v>100</v>
      </c>
      <c r="AZ9" s="341">
        <v>100</v>
      </c>
      <c r="BA9" s="341">
        <v>100</v>
      </c>
      <c r="BB9" s="341">
        <v>100</v>
      </c>
      <c r="BC9" s="341">
        <v>100</v>
      </c>
      <c r="BD9" s="341">
        <v>100</v>
      </c>
      <c r="BE9" s="341">
        <v>100</v>
      </c>
      <c r="BF9" s="341">
        <v>100</v>
      </c>
      <c r="BG9" s="341">
        <v>100</v>
      </c>
      <c r="BH9" s="341">
        <v>100</v>
      </c>
      <c r="BI9" s="341">
        <v>100</v>
      </c>
      <c r="BJ9" s="341">
        <v>100</v>
      </c>
      <c r="BK9" s="341">
        <v>100</v>
      </c>
      <c r="BL9" s="341">
        <v>100</v>
      </c>
      <c r="BM9" s="341">
        <v>100</v>
      </c>
      <c r="BN9" s="341">
        <v>100</v>
      </c>
      <c r="BO9" s="341">
        <v>100</v>
      </c>
      <c r="BP9" s="341">
        <v>100</v>
      </c>
      <c r="BQ9" s="341">
        <v>100</v>
      </c>
      <c r="BR9" s="341">
        <v>100</v>
      </c>
      <c r="BS9" s="341">
        <v>100</v>
      </c>
      <c r="BT9" s="341">
        <v>100</v>
      </c>
      <c r="BU9" s="341">
        <v>100</v>
      </c>
      <c r="BV9" s="341">
        <v>100</v>
      </c>
      <c r="BW9" s="341">
        <v>100</v>
      </c>
      <c r="BX9" s="341">
        <v>100</v>
      </c>
      <c r="BY9" s="341">
        <v>100</v>
      </c>
      <c r="BZ9" s="341">
        <v>100</v>
      </c>
      <c r="CA9" s="341">
        <v>100</v>
      </c>
      <c r="CB9" s="341">
        <v>100</v>
      </c>
      <c r="CC9" s="341">
        <v>100</v>
      </c>
      <c r="CD9" s="341">
        <v>100</v>
      </c>
      <c r="CE9" s="341">
        <v>100</v>
      </c>
      <c r="CF9" s="341">
        <v>100</v>
      </c>
      <c r="CG9" s="341">
        <v>100</v>
      </c>
      <c r="CH9" s="341">
        <v>100</v>
      </c>
      <c r="CI9" s="341">
        <v>100</v>
      </c>
      <c r="CJ9" s="341">
        <v>100</v>
      </c>
      <c r="CK9" s="341">
        <v>100</v>
      </c>
      <c r="CL9" s="341">
        <v>100</v>
      </c>
      <c r="CM9" s="341">
        <v>100</v>
      </c>
      <c r="CN9" s="341">
        <v>100</v>
      </c>
      <c r="CO9" s="341">
        <v>100</v>
      </c>
      <c r="CP9" s="341">
        <v>100</v>
      </c>
      <c r="CQ9" s="341">
        <v>100</v>
      </c>
      <c r="CR9" s="341">
        <v>100</v>
      </c>
      <c r="CS9" s="341">
        <v>100</v>
      </c>
      <c r="CT9" s="341">
        <v>100</v>
      </c>
      <c r="CU9" s="341">
        <v>100</v>
      </c>
      <c r="CV9" s="341">
        <v>100</v>
      </c>
      <c r="CW9" s="341">
        <v>100</v>
      </c>
      <c r="CX9" s="341">
        <v>100</v>
      </c>
      <c r="CY9" s="341">
        <v>100</v>
      </c>
      <c r="CZ9" s="341">
        <v>100</v>
      </c>
      <c r="DA9" s="341">
        <v>100</v>
      </c>
      <c r="DB9" s="341">
        <v>100</v>
      </c>
      <c r="DC9" s="341">
        <v>100</v>
      </c>
      <c r="DD9" s="341">
        <v>100</v>
      </c>
      <c r="DE9" s="341">
        <v>100</v>
      </c>
      <c r="DF9" s="341">
        <v>100</v>
      </c>
      <c r="DG9" s="341">
        <v>100</v>
      </c>
      <c r="DH9" s="341">
        <v>100</v>
      </c>
      <c r="DI9" s="341"/>
      <c r="DJ9" s="341"/>
      <c r="DK9" s="341"/>
      <c r="DL9" s="341"/>
      <c r="DM9" s="341"/>
      <c r="DN9" s="341"/>
      <c r="DO9" s="341"/>
      <c r="DP9" s="341"/>
      <c r="DQ9" s="341"/>
      <c r="DR9" s="341"/>
      <c r="DS9" s="341"/>
      <c r="DT9" s="341"/>
      <c r="DU9" s="341"/>
      <c r="DV9" s="341"/>
      <c r="DW9" s="341"/>
      <c r="DX9" s="341"/>
      <c r="DY9" s="341"/>
      <c r="DZ9" s="341"/>
      <c r="EA9" s="341"/>
    </row>
    <row r="10" spans="1:131" outlineLevel="1" x14ac:dyDescent="0.35">
      <c r="A10" s="160"/>
      <c r="D10" s="164"/>
      <c r="E10" s="341" t="s">
        <v>130</v>
      </c>
      <c r="F10" s="341"/>
      <c r="G10" s="341"/>
      <c r="H10" s="341"/>
      <c r="I10" s="341"/>
      <c r="J10" s="341"/>
      <c r="K10" s="341"/>
      <c r="L10" s="341"/>
      <c r="M10" s="341"/>
      <c r="N10" s="341"/>
      <c r="O10" s="341"/>
      <c r="P10" s="341"/>
      <c r="Q10" s="341"/>
      <c r="R10" s="341"/>
      <c r="S10" s="341"/>
      <c r="T10" s="341"/>
      <c r="U10" s="341"/>
      <c r="V10" s="341"/>
      <c r="W10" s="341"/>
      <c r="X10" s="341"/>
      <c r="Y10" s="341"/>
      <c r="Z10" s="341"/>
      <c r="AA10" s="341"/>
      <c r="AB10" s="341"/>
      <c r="AC10" s="341"/>
      <c r="AD10" s="341"/>
      <c r="AE10" s="341"/>
      <c r="AF10" s="341"/>
      <c r="AG10" s="341"/>
      <c r="AH10" s="341"/>
      <c r="AI10" s="341"/>
      <c r="AJ10" s="341"/>
      <c r="AK10" s="341"/>
      <c r="AL10" s="341"/>
      <c r="AM10" s="341"/>
      <c r="AN10" s="341"/>
      <c r="AO10" s="341"/>
      <c r="AP10" s="341"/>
      <c r="AQ10" s="341"/>
      <c r="AR10" s="341"/>
      <c r="AS10" s="341"/>
      <c r="AT10" s="341"/>
      <c r="AU10" s="341"/>
      <c r="AV10" s="341"/>
      <c r="AW10" s="341"/>
      <c r="AX10" s="341"/>
      <c r="AY10" s="341"/>
      <c r="AZ10" s="341"/>
      <c r="BA10" s="341"/>
      <c r="BB10" s="341"/>
      <c r="BC10" s="341"/>
      <c r="BD10" s="341"/>
      <c r="BE10" s="341"/>
      <c r="BF10" s="341"/>
      <c r="BG10" s="341"/>
      <c r="BH10" s="341"/>
      <c r="BI10" s="341"/>
      <c r="BJ10" s="341"/>
      <c r="BK10" s="341"/>
      <c r="BL10" s="341"/>
      <c r="BM10" s="341"/>
      <c r="BN10" s="341"/>
      <c r="BO10" s="341"/>
      <c r="BP10" s="341"/>
      <c r="BQ10" s="341"/>
      <c r="BR10" s="341"/>
      <c r="BS10" s="341"/>
      <c r="BT10" s="341"/>
      <c r="BU10" s="341"/>
      <c r="BV10" s="341"/>
      <c r="BW10" s="341"/>
      <c r="BX10" s="341"/>
      <c r="BY10" s="341"/>
      <c r="BZ10" s="341"/>
      <c r="CA10" s="341"/>
      <c r="CB10" s="341"/>
      <c r="CC10" s="341"/>
      <c r="CD10" s="341"/>
      <c r="CE10" s="341"/>
      <c r="CF10" s="341"/>
      <c r="CG10" s="341"/>
      <c r="CH10" s="341"/>
      <c r="CI10" s="341"/>
      <c r="CJ10" s="341"/>
      <c r="CK10" s="341"/>
      <c r="CL10" s="341"/>
      <c r="CM10" s="341"/>
      <c r="CN10" s="341"/>
      <c r="CO10" s="341"/>
      <c r="CP10" s="341"/>
      <c r="CQ10" s="341"/>
      <c r="CR10" s="341"/>
      <c r="CS10" s="341"/>
      <c r="CT10" s="341"/>
      <c r="CU10" s="341"/>
      <c r="CV10" s="341"/>
      <c r="CW10" s="341"/>
      <c r="CX10" s="341"/>
      <c r="CY10" s="341"/>
      <c r="CZ10" s="341"/>
      <c r="DA10" s="341"/>
      <c r="DB10" s="341"/>
      <c r="DC10" s="341"/>
      <c r="DD10" s="341"/>
      <c r="DE10" s="341"/>
      <c r="DF10" s="341"/>
      <c r="DG10" s="341"/>
      <c r="DH10" s="341"/>
      <c r="DI10" s="341"/>
      <c r="DJ10" s="341"/>
      <c r="DK10" s="341"/>
      <c r="DL10" s="341"/>
      <c r="DM10" s="341"/>
      <c r="DN10" s="341"/>
      <c r="DO10" s="341"/>
      <c r="DP10" s="341"/>
      <c r="DQ10" s="341"/>
      <c r="DR10" s="341"/>
      <c r="DS10" s="341"/>
      <c r="DT10" s="341"/>
      <c r="DU10" s="341"/>
      <c r="DV10" s="341"/>
      <c r="DW10" s="341"/>
      <c r="DX10" s="341"/>
      <c r="DY10" s="341"/>
      <c r="DZ10" s="341"/>
      <c r="EA10" s="341"/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10000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100</v>
      </c>
      <c r="N11" s="188">
        <f t="shared" si="0"/>
        <v>100</v>
      </c>
      <c r="O11" s="188">
        <f t="shared" si="0"/>
        <v>100</v>
      </c>
      <c r="P11" s="188">
        <f t="shared" si="0"/>
        <v>100</v>
      </c>
      <c r="Q11" s="188">
        <f t="shared" si="0"/>
        <v>100</v>
      </c>
      <c r="R11" s="188">
        <f t="shared" si="0"/>
        <v>100</v>
      </c>
      <c r="S11" s="188">
        <f t="shared" si="0"/>
        <v>100</v>
      </c>
      <c r="T11" s="188">
        <f t="shared" si="0"/>
        <v>100</v>
      </c>
      <c r="U11" s="188">
        <f t="shared" si="0"/>
        <v>100</v>
      </c>
      <c r="V11" s="188">
        <f t="shared" si="0"/>
        <v>100</v>
      </c>
      <c r="W11" s="188">
        <f t="shared" si="0"/>
        <v>100</v>
      </c>
      <c r="X11" s="188">
        <f t="shared" si="0"/>
        <v>100</v>
      </c>
      <c r="Y11" s="188">
        <f t="shared" si="0"/>
        <v>100</v>
      </c>
      <c r="Z11" s="188">
        <f t="shared" si="0"/>
        <v>100</v>
      </c>
      <c r="AA11" s="188">
        <f t="shared" si="0"/>
        <v>100</v>
      </c>
      <c r="AB11" s="188">
        <f t="shared" si="0"/>
        <v>100</v>
      </c>
      <c r="AC11" s="188">
        <f t="shared" si="0"/>
        <v>100</v>
      </c>
      <c r="AD11" s="188">
        <f t="shared" si="0"/>
        <v>100</v>
      </c>
      <c r="AE11" s="188">
        <f t="shared" si="0"/>
        <v>100</v>
      </c>
      <c r="AF11" s="188">
        <f t="shared" si="0"/>
        <v>100</v>
      </c>
      <c r="AG11" s="188">
        <f t="shared" si="0"/>
        <v>100</v>
      </c>
      <c r="AH11" s="188">
        <f t="shared" si="0"/>
        <v>100</v>
      </c>
      <c r="AI11" s="188">
        <f t="shared" si="0"/>
        <v>100</v>
      </c>
      <c r="AJ11" s="188">
        <f t="shared" si="0"/>
        <v>100</v>
      </c>
      <c r="AK11" s="188">
        <f t="shared" si="0"/>
        <v>100</v>
      </c>
      <c r="AL11" s="188">
        <f t="shared" si="0"/>
        <v>100</v>
      </c>
      <c r="AM11" s="188">
        <f t="shared" si="0"/>
        <v>100</v>
      </c>
      <c r="AN11" s="188">
        <f t="shared" si="0"/>
        <v>100</v>
      </c>
      <c r="AO11" s="188">
        <f t="shared" si="0"/>
        <v>100</v>
      </c>
      <c r="AP11" s="188">
        <f t="shared" ref="AP11:BU11" si="1">SUM(AP9:AP10)</f>
        <v>100</v>
      </c>
      <c r="AQ11" s="188">
        <f t="shared" si="1"/>
        <v>100</v>
      </c>
      <c r="AR11" s="188">
        <f t="shared" si="1"/>
        <v>100</v>
      </c>
      <c r="AS11" s="188">
        <f t="shared" si="1"/>
        <v>100</v>
      </c>
      <c r="AT11" s="188">
        <f t="shared" si="1"/>
        <v>100</v>
      </c>
      <c r="AU11" s="188">
        <f t="shared" si="1"/>
        <v>100</v>
      </c>
      <c r="AV11" s="188">
        <f t="shared" si="1"/>
        <v>100</v>
      </c>
      <c r="AW11" s="188">
        <f t="shared" si="1"/>
        <v>100</v>
      </c>
      <c r="AX11" s="188">
        <f t="shared" si="1"/>
        <v>100</v>
      </c>
      <c r="AY11" s="188">
        <f t="shared" si="1"/>
        <v>100</v>
      </c>
      <c r="AZ11" s="188">
        <f t="shared" si="1"/>
        <v>100</v>
      </c>
      <c r="BA11" s="188">
        <f t="shared" si="1"/>
        <v>100</v>
      </c>
      <c r="BB11" s="188">
        <f t="shared" si="1"/>
        <v>100</v>
      </c>
      <c r="BC11" s="188">
        <f t="shared" si="1"/>
        <v>100</v>
      </c>
      <c r="BD11" s="188">
        <f t="shared" si="1"/>
        <v>100</v>
      </c>
      <c r="BE11" s="188">
        <f t="shared" si="1"/>
        <v>100</v>
      </c>
      <c r="BF11" s="188">
        <f t="shared" si="1"/>
        <v>100</v>
      </c>
      <c r="BG11" s="188">
        <f t="shared" si="1"/>
        <v>100</v>
      </c>
      <c r="BH11" s="188">
        <f t="shared" si="1"/>
        <v>100</v>
      </c>
      <c r="BI11" s="188">
        <f t="shared" si="1"/>
        <v>100</v>
      </c>
      <c r="BJ11" s="188">
        <f t="shared" si="1"/>
        <v>100</v>
      </c>
      <c r="BK11" s="188">
        <f t="shared" si="1"/>
        <v>100</v>
      </c>
      <c r="BL11" s="188">
        <f t="shared" si="1"/>
        <v>100</v>
      </c>
      <c r="BM11" s="188">
        <f t="shared" si="1"/>
        <v>100</v>
      </c>
      <c r="BN11" s="188">
        <f t="shared" si="1"/>
        <v>100</v>
      </c>
      <c r="BO11" s="188">
        <f t="shared" si="1"/>
        <v>100</v>
      </c>
      <c r="BP11" s="188">
        <f t="shared" si="1"/>
        <v>100</v>
      </c>
      <c r="BQ11" s="188">
        <f t="shared" si="1"/>
        <v>100</v>
      </c>
      <c r="BR11" s="188">
        <f t="shared" si="1"/>
        <v>100</v>
      </c>
      <c r="BS11" s="188">
        <f t="shared" si="1"/>
        <v>100</v>
      </c>
      <c r="BT11" s="188">
        <f t="shared" si="1"/>
        <v>100</v>
      </c>
      <c r="BU11" s="188">
        <f t="shared" si="1"/>
        <v>100</v>
      </c>
      <c r="BV11" s="188">
        <f t="shared" ref="BV11:DA11" si="2">SUM(BV9:BV10)</f>
        <v>100</v>
      </c>
      <c r="BW11" s="188">
        <f t="shared" si="2"/>
        <v>100</v>
      </c>
      <c r="BX11" s="188">
        <f t="shared" si="2"/>
        <v>100</v>
      </c>
      <c r="BY11" s="188">
        <f t="shared" si="2"/>
        <v>100</v>
      </c>
      <c r="BZ11" s="188">
        <f t="shared" si="2"/>
        <v>100</v>
      </c>
      <c r="CA11" s="188">
        <f t="shared" si="2"/>
        <v>100</v>
      </c>
      <c r="CB11" s="188">
        <f t="shared" si="2"/>
        <v>100</v>
      </c>
      <c r="CC11" s="188">
        <f t="shared" si="2"/>
        <v>100</v>
      </c>
      <c r="CD11" s="188">
        <f t="shared" si="2"/>
        <v>100</v>
      </c>
      <c r="CE11" s="188">
        <f t="shared" si="2"/>
        <v>100</v>
      </c>
      <c r="CF11" s="188">
        <f t="shared" si="2"/>
        <v>100</v>
      </c>
      <c r="CG11" s="188">
        <f t="shared" si="2"/>
        <v>100</v>
      </c>
      <c r="CH11" s="188">
        <f t="shared" si="2"/>
        <v>100</v>
      </c>
      <c r="CI11" s="188">
        <f t="shared" si="2"/>
        <v>100</v>
      </c>
      <c r="CJ11" s="188">
        <f t="shared" si="2"/>
        <v>100</v>
      </c>
      <c r="CK11" s="188">
        <f t="shared" si="2"/>
        <v>100</v>
      </c>
      <c r="CL11" s="188">
        <f t="shared" si="2"/>
        <v>100</v>
      </c>
      <c r="CM11" s="188">
        <f t="shared" si="2"/>
        <v>100</v>
      </c>
      <c r="CN11" s="188">
        <f t="shared" si="2"/>
        <v>100</v>
      </c>
      <c r="CO11" s="188">
        <f t="shared" si="2"/>
        <v>100</v>
      </c>
      <c r="CP11" s="188">
        <f t="shared" si="2"/>
        <v>100</v>
      </c>
      <c r="CQ11" s="188">
        <f t="shared" si="2"/>
        <v>100</v>
      </c>
      <c r="CR11" s="188">
        <f t="shared" si="2"/>
        <v>100</v>
      </c>
      <c r="CS11" s="188">
        <f t="shared" si="2"/>
        <v>100</v>
      </c>
      <c r="CT11" s="188">
        <f t="shared" si="2"/>
        <v>100</v>
      </c>
      <c r="CU11" s="188">
        <f t="shared" si="2"/>
        <v>100</v>
      </c>
      <c r="CV11" s="188">
        <f t="shared" si="2"/>
        <v>100</v>
      </c>
      <c r="CW11" s="188">
        <f t="shared" si="2"/>
        <v>100</v>
      </c>
      <c r="CX11" s="188">
        <f t="shared" si="2"/>
        <v>100</v>
      </c>
      <c r="CY11" s="188">
        <f t="shared" si="2"/>
        <v>100</v>
      </c>
      <c r="CZ11" s="188">
        <f t="shared" si="2"/>
        <v>100</v>
      </c>
      <c r="DA11" s="188">
        <f t="shared" si="2"/>
        <v>100</v>
      </c>
      <c r="DB11" s="188">
        <f t="shared" ref="DB11:EA11" si="3">SUM(DB9:DB10)</f>
        <v>100</v>
      </c>
      <c r="DC11" s="188">
        <f t="shared" si="3"/>
        <v>100</v>
      </c>
      <c r="DD11" s="188">
        <f t="shared" si="3"/>
        <v>100</v>
      </c>
      <c r="DE11" s="188">
        <f t="shared" si="3"/>
        <v>100</v>
      </c>
      <c r="DF11" s="188">
        <f t="shared" si="3"/>
        <v>100</v>
      </c>
      <c r="DG11" s="188">
        <f t="shared" si="3"/>
        <v>100</v>
      </c>
      <c r="DH11" s="188">
        <f t="shared" si="3"/>
        <v>100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341" t="s">
        <v>128</v>
      </c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1"/>
      <c r="BP13" s="341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  <c r="CN13" s="341"/>
      <c r="CO13" s="341"/>
      <c r="CP13" s="341"/>
      <c r="CQ13" s="341"/>
      <c r="CR13" s="341"/>
      <c r="CS13" s="341"/>
      <c r="CT13" s="341"/>
      <c r="CU13" s="341"/>
      <c r="CV13" s="341"/>
      <c r="CW13" s="341"/>
      <c r="CX13" s="341"/>
      <c r="CY13" s="341"/>
      <c r="CZ13" s="341"/>
      <c r="DA13" s="341"/>
      <c r="DB13" s="341"/>
      <c r="DC13" s="341"/>
      <c r="DD13" s="341"/>
      <c r="DE13" s="341"/>
      <c r="DF13" s="341"/>
      <c r="DG13" s="341"/>
      <c r="DH13" s="341"/>
      <c r="DI13" s="341"/>
      <c r="DJ13" s="341"/>
      <c r="DK13" s="341"/>
      <c r="DL13" s="341"/>
      <c r="DM13" s="341"/>
      <c r="DN13" s="341"/>
      <c r="DO13" s="341"/>
      <c r="DP13" s="341"/>
      <c r="DQ13" s="341"/>
      <c r="DR13" s="341"/>
      <c r="DS13" s="341"/>
      <c r="DT13" s="341"/>
      <c r="DU13" s="341"/>
      <c r="DV13" s="341"/>
      <c r="DW13" s="341"/>
      <c r="DX13" s="341"/>
      <c r="DY13" s="341"/>
      <c r="DZ13" s="341"/>
      <c r="EA13" s="341"/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10000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100</v>
      </c>
      <c r="N14" s="163">
        <f t="shared" si="4"/>
        <v>100</v>
      </c>
      <c r="O14" s="163">
        <f t="shared" si="4"/>
        <v>100</v>
      </c>
      <c r="P14" s="163">
        <f t="shared" si="4"/>
        <v>100</v>
      </c>
      <c r="Q14" s="163">
        <f t="shared" si="4"/>
        <v>100</v>
      </c>
      <c r="R14" s="163">
        <f t="shared" si="4"/>
        <v>100</v>
      </c>
      <c r="S14" s="163">
        <f t="shared" si="4"/>
        <v>100</v>
      </c>
      <c r="T14" s="163">
        <f t="shared" si="4"/>
        <v>100</v>
      </c>
      <c r="U14" s="163">
        <f t="shared" si="4"/>
        <v>100</v>
      </c>
      <c r="V14" s="163">
        <f t="shared" si="4"/>
        <v>100</v>
      </c>
      <c r="W14" s="163">
        <f t="shared" si="4"/>
        <v>100</v>
      </c>
      <c r="X14" s="163">
        <f t="shared" si="4"/>
        <v>100</v>
      </c>
      <c r="Y14" s="163">
        <f t="shared" si="4"/>
        <v>100</v>
      </c>
      <c r="Z14" s="163">
        <f t="shared" si="4"/>
        <v>100</v>
      </c>
      <c r="AA14" s="163">
        <f t="shared" si="4"/>
        <v>100</v>
      </c>
      <c r="AB14" s="163">
        <f t="shared" si="4"/>
        <v>100</v>
      </c>
      <c r="AC14" s="163">
        <f t="shared" si="4"/>
        <v>100</v>
      </c>
      <c r="AD14" s="163">
        <f t="shared" si="4"/>
        <v>100</v>
      </c>
      <c r="AE14" s="163">
        <f t="shared" si="4"/>
        <v>100</v>
      </c>
      <c r="AF14" s="163">
        <f t="shared" si="4"/>
        <v>100</v>
      </c>
      <c r="AG14" s="163">
        <f t="shared" si="4"/>
        <v>100</v>
      </c>
      <c r="AH14" s="163">
        <f t="shared" si="4"/>
        <v>100</v>
      </c>
      <c r="AI14" s="163">
        <f t="shared" si="4"/>
        <v>100</v>
      </c>
      <c r="AJ14" s="163">
        <f t="shared" si="4"/>
        <v>100</v>
      </c>
      <c r="AK14" s="163">
        <f t="shared" si="4"/>
        <v>100</v>
      </c>
      <c r="AL14" s="163">
        <f t="shared" si="4"/>
        <v>100</v>
      </c>
      <c r="AM14" s="163">
        <f t="shared" si="4"/>
        <v>100</v>
      </c>
      <c r="AN14" s="163">
        <f t="shared" si="4"/>
        <v>100</v>
      </c>
      <c r="AO14" s="163">
        <f t="shared" si="4"/>
        <v>100</v>
      </c>
      <c r="AP14" s="163">
        <f t="shared" ref="AP14:BU14" si="5" xml:space="preserve"> AP11 + SUM(AP13:AP13)</f>
        <v>100</v>
      </c>
      <c r="AQ14" s="163">
        <f t="shared" si="5"/>
        <v>100</v>
      </c>
      <c r="AR14" s="163">
        <f t="shared" si="5"/>
        <v>100</v>
      </c>
      <c r="AS14" s="163">
        <f t="shared" si="5"/>
        <v>100</v>
      </c>
      <c r="AT14" s="163">
        <f t="shared" si="5"/>
        <v>100</v>
      </c>
      <c r="AU14" s="163">
        <f t="shared" si="5"/>
        <v>100</v>
      </c>
      <c r="AV14" s="163">
        <f t="shared" si="5"/>
        <v>100</v>
      </c>
      <c r="AW14" s="163">
        <f t="shared" si="5"/>
        <v>100</v>
      </c>
      <c r="AX14" s="163">
        <f t="shared" si="5"/>
        <v>100</v>
      </c>
      <c r="AY14" s="163">
        <f t="shared" si="5"/>
        <v>100</v>
      </c>
      <c r="AZ14" s="163">
        <f t="shared" si="5"/>
        <v>100</v>
      </c>
      <c r="BA14" s="163">
        <f t="shared" si="5"/>
        <v>100</v>
      </c>
      <c r="BB14" s="163">
        <f t="shared" si="5"/>
        <v>100</v>
      </c>
      <c r="BC14" s="163">
        <f t="shared" si="5"/>
        <v>100</v>
      </c>
      <c r="BD14" s="163">
        <f t="shared" si="5"/>
        <v>100</v>
      </c>
      <c r="BE14" s="163">
        <f t="shared" si="5"/>
        <v>100</v>
      </c>
      <c r="BF14" s="163">
        <f t="shared" si="5"/>
        <v>100</v>
      </c>
      <c r="BG14" s="163">
        <f t="shared" si="5"/>
        <v>100</v>
      </c>
      <c r="BH14" s="163">
        <f t="shared" si="5"/>
        <v>100</v>
      </c>
      <c r="BI14" s="163">
        <f t="shared" si="5"/>
        <v>100</v>
      </c>
      <c r="BJ14" s="163">
        <f t="shared" si="5"/>
        <v>100</v>
      </c>
      <c r="BK14" s="163">
        <f t="shared" si="5"/>
        <v>100</v>
      </c>
      <c r="BL14" s="163">
        <f t="shared" si="5"/>
        <v>100</v>
      </c>
      <c r="BM14" s="163">
        <f t="shared" si="5"/>
        <v>100</v>
      </c>
      <c r="BN14" s="163">
        <f t="shared" si="5"/>
        <v>100</v>
      </c>
      <c r="BO14" s="163">
        <f t="shared" si="5"/>
        <v>100</v>
      </c>
      <c r="BP14" s="163">
        <f t="shared" si="5"/>
        <v>100</v>
      </c>
      <c r="BQ14" s="163">
        <f t="shared" si="5"/>
        <v>100</v>
      </c>
      <c r="BR14" s="163">
        <f t="shared" si="5"/>
        <v>100</v>
      </c>
      <c r="BS14" s="163">
        <f t="shared" si="5"/>
        <v>100</v>
      </c>
      <c r="BT14" s="163">
        <f t="shared" si="5"/>
        <v>100</v>
      </c>
      <c r="BU14" s="163">
        <f t="shared" si="5"/>
        <v>100</v>
      </c>
      <c r="BV14" s="163">
        <f t="shared" ref="BV14:DA14" si="6" xml:space="preserve"> BV11 + SUM(BV13:BV13)</f>
        <v>100</v>
      </c>
      <c r="BW14" s="163">
        <f t="shared" si="6"/>
        <v>100</v>
      </c>
      <c r="BX14" s="163">
        <f t="shared" si="6"/>
        <v>100</v>
      </c>
      <c r="BY14" s="163">
        <f t="shared" si="6"/>
        <v>100</v>
      </c>
      <c r="BZ14" s="163">
        <f t="shared" si="6"/>
        <v>100</v>
      </c>
      <c r="CA14" s="163">
        <f t="shared" si="6"/>
        <v>100</v>
      </c>
      <c r="CB14" s="163">
        <f t="shared" si="6"/>
        <v>100</v>
      </c>
      <c r="CC14" s="163">
        <f t="shared" si="6"/>
        <v>100</v>
      </c>
      <c r="CD14" s="163">
        <f t="shared" si="6"/>
        <v>100</v>
      </c>
      <c r="CE14" s="163">
        <f t="shared" si="6"/>
        <v>100</v>
      </c>
      <c r="CF14" s="163">
        <f t="shared" si="6"/>
        <v>100</v>
      </c>
      <c r="CG14" s="163">
        <f t="shared" si="6"/>
        <v>100</v>
      </c>
      <c r="CH14" s="163">
        <f t="shared" si="6"/>
        <v>100</v>
      </c>
      <c r="CI14" s="163">
        <f t="shared" si="6"/>
        <v>100</v>
      </c>
      <c r="CJ14" s="163">
        <f t="shared" si="6"/>
        <v>100</v>
      </c>
      <c r="CK14" s="163">
        <f t="shared" si="6"/>
        <v>100</v>
      </c>
      <c r="CL14" s="163">
        <f t="shared" si="6"/>
        <v>100</v>
      </c>
      <c r="CM14" s="163">
        <f t="shared" si="6"/>
        <v>100</v>
      </c>
      <c r="CN14" s="163">
        <f t="shared" si="6"/>
        <v>100</v>
      </c>
      <c r="CO14" s="163">
        <f t="shared" si="6"/>
        <v>100</v>
      </c>
      <c r="CP14" s="163">
        <f t="shared" si="6"/>
        <v>100</v>
      </c>
      <c r="CQ14" s="163">
        <f t="shared" si="6"/>
        <v>100</v>
      </c>
      <c r="CR14" s="163">
        <f t="shared" si="6"/>
        <v>100</v>
      </c>
      <c r="CS14" s="163">
        <f t="shared" si="6"/>
        <v>100</v>
      </c>
      <c r="CT14" s="163">
        <f t="shared" si="6"/>
        <v>100</v>
      </c>
      <c r="CU14" s="163">
        <f t="shared" si="6"/>
        <v>100</v>
      </c>
      <c r="CV14" s="163">
        <f t="shared" si="6"/>
        <v>100</v>
      </c>
      <c r="CW14" s="163">
        <f t="shared" si="6"/>
        <v>100</v>
      </c>
      <c r="CX14" s="163">
        <f t="shared" si="6"/>
        <v>100</v>
      </c>
      <c r="CY14" s="163">
        <f t="shared" si="6"/>
        <v>100</v>
      </c>
      <c r="CZ14" s="163">
        <f t="shared" si="6"/>
        <v>100</v>
      </c>
      <c r="DA14" s="163">
        <f t="shared" si="6"/>
        <v>100</v>
      </c>
      <c r="DB14" s="163">
        <f t="shared" ref="DB14:EA14" si="7" xml:space="preserve"> DB11 + SUM(DB13:DB13)</f>
        <v>100</v>
      </c>
      <c r="DC14" s="163">
        <f t="shared" si="7"/>
        <v>100</v>
      </c>
      <c r="DD14" s="163">
        <f t="shared" si="7"/>
        <v>100</v>
      </c>
      <c r="DE14" s="163">
        <f t="shared" si="7"/>
        <v>100</v>
      </c>
      <c r="DF14" s="163">
        <f t="shared" si="7"/>
        <v>100</v>
      </c>
      <c r="DG14" s="163">
        <f t="shared" si="7"/>
        <v>100</v>
      </c>
      <c r="DH14" s="163">
        <f t="shared" si="7"/>
        <v>100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131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132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133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10000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100</v>
      </c>
      <c r="N19" s="163">
        <f t="shared" si="8"/>
        <v>100</v>
      </c>
      <c r="O19" s="163">
        <f t="shared" si="8"/>
        <v>100</v>
      </c>
      <c r="P19" s="163">
        <f t="shared" si="8"/>
        <v>100</v>
      </c>
      <c r="Q19" s="163">
        <f t="shared" si="8"/>
        <v>100</v>
      </c>
      <c r="R19" s="163">
        <f t="shared" si="8"/>
        <v>100</v>
      </c>
      <c r="S19" s="163">
        <f t="shared" si="8"/>
        <v>100</v>
      </c>
      <c r="T19" s="163">
        <f t="shared" si="8"/>
        <v>100</v>
      </c>
      <c r="U19" s="163">
        <f t="shared" si="8"/>
        <v>100</v>
      </c>
      <c r="V19" s="163">
        <f t="shared" si="8"/>
        <v>100</v>
      </c>
      <c r="W19" s="163">
        <f t="shared" si="8"/>
        <v>100</v>
      </c>
      <c r="X19" s="163">
        <f t="shared" si="8"/>
        <v>100</v>
      </c>
      <c r="Y19" s="163">
        <f t="shared" si="8"/>
        <v>100</v>
      </c>
      <c r="Z19" s="163">
        <f t="shared" si="8"/>
        <v>100</v>
      </c>
      <c r="AA19" s="163">
        <f t="shared" si="8"/>
        <v>100</v>
      </c>
      <c r="AB19" s="163">
        <f t="shared" si="8"/>
        <v>100</v>
      </c>
      <c r="AC19" s="163">
        <f t="shared" si="8"/>
        <v>100</v>
      </c>
      <c r="AD19" s="163">
        <f t="shared" si="8"/>
        <v>100</v>
      </c>
      <c r="AE19" s="163">
        <f t="shared" si="8"/>
        <v>100</v>
      </c>
      <c r="AF19" s="163">
        <f t="shared" si="8"/>
        <v>100</v>
      </c>
      <c r="AG19" s="163">
        <f t="shared" si="8"/>
        <v>100</v>
      </c>
      <c r="AH19" s="163">
        <f t="shared" si="8"/>
        <v>100</v>
      </c>
      <c r="AI19" s="163">
        <f t="shared" si="8"/>
        <v>100</v>
      </c>
      <c r="AJ19" s="163">
        <f t="shared" si="8"/>
        <v>100</v>
      </c>
      <c r="AK19" s="163">
        <f t="shared" si="8"/>
        <v>100</v>
      </c>
      <c r="AL19" s="163">
        <f t="shared" si="8"/>
        <v>100</v>
      </c>
      <c r="AM19" s="163">
        <f t="shared" si="8"/>
        <v>100</v>
      </c>
      <c r="AN19" s="163">
        <f t="shared" si="8"/>
        <v>100</v>
      </c>
      <c r="AO19" s="163">
        <f t="shared" si="8"/>
        <v>100</v>
      </c>
      <c r="AP19" s="163">
        <f t="shared" ref="AP19:BU19" si="9" xml:space="preserve"> AP14 + SUM(AP16:AP18)</f>
        <v>100</v>
      </c>
      <c r="AQ19" s="163">
        <f t="shared" si="9"/>
        <v>100</v>
      </c>
      <c r="AR19" s="163">
        <f t="shared" si="9"/>
        <v>100</v>
      </c>
      <c r="AS19" s="163">
        <f t="shared" si="9"/>
        <v>100</v>
      </c>
      <c r="AT19" s="163">
        <f t="shared" si="9"/>
        <v>100</v>
      </c>
      <c r="AU19" s="163">
        <f t="shared" si="9"/>
        <v>100</v>
      </c>
      <c r="AV19" s="163">
        <f t="shared" si="9"/>
        <v>100</v>
      </c>
      <c r="AW19" s="163">
        <f t="shared" si="9"/>
        <v>100</v>
      </c>
      <c r="AX19" s="163">
        <f t="shared" si="9"/>
        <v>100</v>
      </c>
      <c r="AY19" s="163">
        <f t="shared" si="9"/>
        <v>100</v>
      </c>
      <c r="AZ19" s="163">
        <f t="shared" si="9"/>
        <v>100</v>
      </c>
      <c r="BA19" s="163">
        <f t="shared" si="9"/>
        <v>100</v>
      </c>
      <c r="BB19" s="163">
        <f t="shared" si="9"/>
        <v>100</v>
      </c>
      <c r="BC19" s="163">
        <f t="shared" si="9"/>
        <v>100</v>
      </c>
      <c r="BD19" s="163">
        <f t="shared" si="9"/>
        <v>100</v>
      </c>
      <c r="BE19" s="163">
        <f t="shared" si="9"/>
        <v>100</v>
      </c>
      <c r="BF19" s="163">
        <f t="shared" si="9"/>
        <v>100</v>
      </c>
      <c r="BG19" s="163">
        <f t="shared" si="9"/>
        <v>100</v>
      </c>
      <c r="BH19" s="163">
        <f t="shared" si="9"/>
        <v>100</v>
      </c>
      <c r="BI19" s="163">
        <f t="shared" si="9"/>
        <v>100</v>
      </c>
      <c r="BJ19" s="163">
        <f t="shared" si="9"/>
        <v>100</v>
      </c>
      <c r="BK19" s="163">
        <f t="shared" si="9"/>
        <v>100</v>
      </c>
      <c r="BL19" s="163">
        <f t="shared" si="9"/>
        <v>100</v>
      </c>
      <c r="BM19" s="163">
        <f t="shared" si="9"/>
        <v>100</v>
      </c>
      <c r="BN19" s="163">
        <f t="shared" si="9"/>
        <v>100</v>
      </c>
      <c r="BO19" s="163">
        <f t="shared" si="9"/>
        <v>100</v>
      </c>
      <c r="BP19" s="163">
        <f t="shared" si="9"/>
        <v>100</v>
      </c>
      <c r="BQ19" s="163">
        <f t="shared" si="9"/>
        <v>100</v>
      </c>
      <c r="BR19" s="163">
        <f t="shared" si="9"/>
        <v>100</v>
      </c>
      <c r="BS19" s="163">
        <f t="shared" si="9"/>
        <v>100</v>
      </c>
      <c r="BT19" s="163">
        <f t="shared" si="9"/>
        <v>100</v>
      </c>
      <c r="BU19" s="163">
        <f t="shared" si="9"/>
        <v>100</v>
      </c>
      <c r="BV19" s="163">
        <f t="shared" ref="BV19:DA19" si="10" xml:space="preserve"> BV14 + SUM(BV16:BV18)</f>
        <v>100</v>
      </c>
      <c r="BW19" s="163">
        <f t="shared" si="10"/>
        <v>100</v>
      </c>
      <c r="BX19" s="163">
        <f t="shared" si="10"/>
        <v>100</v>
      </c>
      <c r="BY19" s="163">
        <f t="shared" si="10"/>
        <v>100</v>
      </c>
      <c r="BZ19" s="163">
        <f t="shared" si="10"/>
        <v>100</v>
      </c>
      <c r="CA19" s="163">
        <f t="shared" si="10"/>
        <v>100</v>
      </c>
      <c r="CB19" s="163">
        <f t="shared" si="10"/>
        <v>100</v>
      </c>
      <c r="CC19" s="163">
        <f t="shared" si="10"/>
        <v>100</v>
      </c>
      <c r="CD19" s="163">
        <f t="shared" si="10"/>
        <v>100</v>
      </c>
      <c r="CE19" s="163">
        <f t="shared" si="10"/>
        <v>100</v>
      </c>
      <c r="CF19" s="163">
        <f t="shared" si="10"/>
        <v>100</v>
      </c>
      <c r="CG19" s="163">
        <f t="shared" si="10"/>
        <v>100</v>
      </c>
      <c r="CH19" s="163">
        <f t="shared" si="10"/>
        <v>100</v>
      </c>
      <c r="CI19" s="163">
        <f t="shared" si="10"/>
        <v>100</v>
      </c>
      <c r="CJ19" s="163">
        <f t="shared" si="10"/>
        <v>100</v>
      </c>
      <c r="CK19" s="163">
        <f t="shared" si="10"/>
        <v>100</v>
      </c>
      <c r="CL19" s="163">
        <f t="shared" si="10"/>
        <v>100</v>
      </c>
      <c r="CM19" s="163">
        <f t="shared" si="10"/>
        <v>100</v>
      </c>
      <c r="CN19" s="163">
        <f t="shared" si="10"/>
        <v>100</v>
      </c>
      <c r="CO19" s="163">
        <f t="shared" si="10"/>
        <v>100</v>
      </c>
      <c r="CP19" s="163">
        <f t="shared" si="10"/>
        <v>100</v>
      </c>
      <c r="CQ19" s="163">
        <f t="shared" si="10"/>
        <v>100</v>
      </c>
      <c r="CR19" s="163">
        <f t="shared" si="10"/>
        <v>100</v>
      </c>
      <c r="CS19" s="163">
        <f t="shared" si="10"/>
        <v>100</v>
      </c>
      <c r="CT19" s="163">
        <f t="shared" si="10"/>
        <v>100</v>
      </c>
      <c r="CU19" s="163">
        <f t="shared" si="10"/>
        <v>100</v>
      </c>
      <c r="CV19" s="163">
        <f t="shared" si="10"/>
        <v>100</v>
      </c>
      <c r="CW19" s="163">
        <f t="shared" si="10"/>
        <v>100</v>
      </c>
      <c r="CX19" s="163">
        <f t="shared" si="10"/>
        <v>100</v>
      </c>
      <c r="CY19" s="163">
        <f t="shared" si="10"/>
        <v>100</v>
      </c>
      <c r="CZ19" s="163">
        <f t="shared" si="10"/>
        <v>100</v>
      </c>
      <c r="DA19" s="163">
        <f t="shared" si="10"/>
        <v>100</v>
      </c>
      <c r="DB19" s="163">
        <f t="shared" ref="DB19:EA19" si="11" xml:space="preserve"> DB14 + SUM(DB16:DB18)</f>
        <v>100</v>
      </c>
      <c r="DC19" s="163">
        <f t="shared" si="11"/>
        <v>100</v>
      </c>
      <c r="DD19" s="163">
        <f t="shared" si="11"/>
        <v>100</v>
      </c>
      <c r="DE19" s="163">
        <f t="shared" si="11"/>
        <v>100</v>
      </c>
      <c r="DF19" s="163">
        <f t="shared" si="11"/>
        <v>100</v>
      </c>
      <c r="DG19" s="163">
        <f t="shared" si="11"/>
        <v>100</v>
      </c>
      <c r="DH19" s="163">
        <f t="shared" si="11"/>
        <v>100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134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4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10000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100</v>
      </c>
      <c r="N22" s="163">
        <f t="shared" si="12"/>
        <v>100</v>
      </c>
      <c r="O22" s="163">
        <f t="shared" si="12"/>
        <v>100</v>
      </c>
      <c r="P22" s="163">
        <f t="shared" si="12"/>
        <v>100</v>
      </c>
      <c r="Q22" s="163">
        <f t="shared" si="12"/>
        <v>100</v>
      </c>
      <c r="R22" s="163">
        <f t="shared" si="12"/>
        <v>100</v>
      </c>
      <c r="S22" s="163">
        <f t="shared" si="12"/>
        <v>100</v>
      </c>
      <c r="T22" s="163">
        <f t="shared" si="12"/>
        <v>100</v>
      </c>
      <c r="U22" s="163">
        <f t="shared" si="12"/>
        <v>100</v>
      </c>
      <c r="V22" s="163">
        <f t="shared" si="12"/>
        <v>100</v>
      </c>
      <c r="W22" s="163">
        <f t="shared" si="12"/>
        <v>100</v>
      </c>
      <c r="X22" s="163">
        <f t="shared" si="12"/>
        <v>100</v>
      </c>
      <c r="Y22" s="163">
        <f t="shared" si="12"/>
        <v>100</v>
      </c>
      <c r="Z22" s="163">
        <f t="shared" si="12"/>
        <v>100</v>
      </c>
      <c r="AA22" s="163">
        <f t="shared" si="12"/>
        <v>100</v>
      </c>
      <c r="AB22" s="163">
        <f t="shared" si="12"/>
        <v>100</v>
      </c>
      <c r="AC22" s="163">
        <f t="shared" si="12"/>
        <v>100</v>
      </c>
      <c r="AD22" s="163">
        <f t="shared" si="12"/>
        <v>100</v>
      </c>
      <c r="AE22" s="163">
        <f t="shared" si="12"/>
        <v>100</v>
      </c>
      <c r="AF22" s="163">
        <f t="shared" si="12"/>
        <v>100</v>
      </c>
      <c r="AG22" s="163">
        <f t="shared" si="12"/>
        <v>100</v>
      </c>
      <c r="AH22" s="163">
        <f t="shared" si="12"/>
        <v>100</v>
      </c>
      <c r="AI22" s="163">
        <f t="shared" si="12"/>
        <v>100</v>
      </c>
      <c r="AJ22" s="163">
        <f t="shared" si="12"/>
        <v>100</v>
      </c>
      <c r="AK22" s="163">
        <f t="shared" si="12"/>
        <v>100</v>
      </c>
      <c r="AL22" s="163">
        <f t="shared" si="12"/>
        <v>100</v>
      </c>
      <c r="AM22" s="163">
        <f t="shared" si="12"/>
        <v>100</v>
      </c>
      <c r="AN22" s="163">
        <f t="shared" si="12"/>
        <v>100</v>
      </c>
      <c r="AO22" s="163">
        <f t="shared" si="12"/>
        <v>100</v>
      </c>
      <c r="AP22" s="163">
        <f t="shared" si="12"/>
        <v>100</v>
      </c>
      <c r="AQ22" s="163">
        <f t="shared" si="12"/>
        <v>100</v>
      </c>
      <c r="AR22" s="163">
        <f t="shared" si="12"/>
        <v>100</v>
      </c>
      <c r="AS22" s="163">
        <f t="shared" si="12"/>
        <v>100</v>
      </c>
      <c r="AT22" s="163">
        <f t="shared" si="12"/>
        <v>100</v>
      </c>
      <c r="AU22" s="163">
        <f t="shared" si="12"/>
        <v>100</v>
      </c>
      <c r="AV22" s="163">
        <f t="shared" si="12"/>
        <v>100</v>
      </c>
      <c r="AW22" s="163">
        <f t="shared" si="12"/>
        <v>100</v>
      </c>
      <c r="AX22" s="163">
        <f t="shared" si="12"/>
        <v>100</v>
      </c>
      <c r="AY22" s="163">
        <f t="shared" si="12"/>
        <v>100</v>
      </c>
      <c r="AZ22" s="163">
        <f t="shared" si="12"/>
        <v>100</v>
      </c>
      <c r="BA22" s="163">
        <f t="shared" si="12"/>
        <v>100</v>
      </c>
      <c r="BB22" s="163">
        <f t="shared" si="12"/>
        <v>100</v>
      </c>
      <c r="BC22" s="163">
        <f t="shared" si="12"/>
        <v>100</v>
      </c>
      <c r="BD22" s="163">
        <f t="shared" si="12"/>
        <v>100</v>
      </c>
      <c r="BE22" s="163">
        <f t="shared" si="12"/>
        <v>100</v>
      </c>
      <c r="BF22" s="163">
        <f t="shared" si="12"/>
        <v>100</v>
      </c>
      <c r="BG22" s="163">
        <f t="shared" si="12"/>
        <v>100</v>
      </c>
      <c r="BH22" s="163">
        <f t="shared" si="12"/>
        <v>100</v>
      </c>
      <c r="BI22" s="163">
        <f t="shared" si="12"/>
        <v>100</v>
      </c>
      <c r="BJ22" s="163">
        <f t="shared" si="12"/>
        <v>100</v>
      </c>
      <c r="BK22" s="163">
        <f t="shared" si="12"/>
        <v>100</v>
      </c>
      <c r="BL22" s="163">
        <f t="shared" si="12"/>
        <v>100</v>
      </c>
      <c r="BM22" s="163">
        <f t="shared" si="12"/>
        <v>100</v>
      </c>
      <c r="BN22" s="163">
        <f t="shared" si="12"/>
        <v>100</v>
      </c>
      <c r="BO22" s="163">
        <f t="shared" si="12"/>
        <v>100</v>
      </c>
      <c r="BP22" s="163">
        <f t="shared" si="12"/>
        <v>100</v>
      </c>
      <c r="BQ22" s="163">
        <f t="shared" si="12"/>
        <v>100</v>
      </c>
      <c r="BR22" s="163">
        <f t="shared" si="12"/>
        <v>100</v>
      </c>
      <c r="BS22" s="163">
        <f t="shared" si="12"/>
        <v>100</v>
      </c>
      <c r="BT22" s="163">
        <f t="shared" si="12"/>
        <v>100</v>
      </c>
      <c r="BU22" s="163">
        <f t="shared" si="12"/>
        <v>100</v>
      </c>
      <c r="BV22" s="163">
        <f t="shared" si="12"/>
        <v>100</v>
      </c>
      <c r="BW22" s="163">
        <f t="shared" ref="BW22:EA22" si="13" xml:space="preserve"> BW19 + BW21</f>
        <v>100</v>
      </c>
      <c r="BX22" s="163">
        <f t="shared" si="13"/>
        <v>100</v>
      </c>
      <c r="BY22" s="163">
        <f t="shared" si="13"/>
        <v>100</v>
      </c>
      <c r="BZ22" s="163">
        <f t="shared" si="13"/>
        <v>100</v>
      </c>
      <c r="CA22" s="163">
        <f t="shared" si="13"/>
        <v>100</v>
      </c>
      <c r="CB22" s="163">
        <f t="shared" si="13"/>
        <v>100</v>
      </c>
      <c r="CC22" s="163">
        <f t="shared" si="13"/>
        <v>100</v>
      </c>
      <c r="CD22" s="163">
        <f t="shared" si="13"/>
        <v>100</v>
      </c>
      <c r="CE22" s="163">
        <f t="shared" si="13"/>
        <v>100</v>
      </c>
      <c r="CF22" s="163">
        <f t="shared" si="13"/>
        <v>100</v>
      </c>
      <c r="CG22" s="163">
        <f t="shared" si="13"/>
        <v>100</v>
      </c>
      <c r="CH22" s="163">
        <f t="shared" si="13"/>
        <v>100</v>
      </c>
      <c r="CI22" s="163">
        <f t="shared" si="13"/>
        <v>100</v>
      </c>
      <c r="CJ22" s="163">
        <f t="shared" si="13"/>
        <v>100</v>
      </c>
      <c r="CK22" s="163">
        <f t="shared" si="13"/>
        <v>100</v>
      </c>
      <c r="CL22" s="163">
        <f t="shared" si="13"/>
        <v>100</v>
      </c>
      <c r="CM22" s="163">
        <f t="shared" si="13"/>
        <v>100</v>
      </c>
      <c r="CN22" s="163">
        <f t="shared" si="13"/>
        <v>100</v>
      </c>
      <c r="CO22" s="163">
        <f t="shared" si="13"/>
        <v>100</v>
      </c>
      <c r="CP22" s="163">
        <f t="shared" si="13"/>
        <v>100</v>
      </c>
      <c r="CQ22" s="163">
        <f t="shared" si="13"/>
        <v>100</v>
      </c>
      <c r="CR22" s="163">
        <f t="shared" si="13"/>
        <v>100</v>
      </c>
      <c r="CS22" s="163">
        <f t="shared" si="13"/>
        <v>100</v>
      </c>
      <c r="CT22" s="163">
        <f t="shared" si="13"/>
        <v>100</v>
      </c>
      <c r="CU22" s="163">
        <f t="shared" si="13"/>
        <v>100</v>
      </c>
      <c r="CV22" s="163">
        <f t="shared" si="13"/>
        <v>100</v>
      </c>
      <c r="CW22" s="163">
        <f t="shared" si="13"/>
        <v>100</v>
      </c>
      <c r="CX22" s="163">
        <f t="shared" si="13"/>
        <v>100</v>
      </c>
      <c r="CY22" s="163">
        <f t="shared" si="13"/>
        <v>100</v>
      </c>
      <c r="CZ22" s="163">
        <f t="shared" si="13"/>
        <v>100</v>
      </c>
      <c r="DA22" s="163">
        <f t="shared" si="13"/>
        <v>100</v>
      </c>
      <c r="DB22" s="163">
        <f t="shared" si="13"/>
        <v>100</v>
      </c>
      <c r="DC22" s="163">
        <f t="shared" si="13"/>
        <v>100</v>
      </c>
      <c r="DD22" s="163">
        <f t="shared" si="13"/>
        <v>100</v>
      </c>
      <c r="DE22" s="163">
        <f t="shared" si="13"/>
        <v>100</v>
      </c>
      <c r="DF22" s="163">
        <f t="shared" si="13"/>
        <v>100</v>
      </c>
      <c r="DG22" s="163">
        <f t="shared" si="13"/>
        <v>100</v>
      </c>
      <c r="DH22" s="163">
        <f t="shared" si="13"/>
        <v>100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outlineLevel="1" x14ac:dyDescent="0.35">
      <c r="A24" s="160"/>
      <c r="D24" s="164"/>
      <c r="E24" s="341" t="s">
        <v>135</v>
      </c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341"/>
      <c r="AV24" s="341"/>
      <c r="AW24" s="341"/>
      <c r="AX24" s="341"/>
      <c r="AY24" s="341"/>
      <c r="AZ24" s="341"/>
      <c r="BA24" s="341"/>
      <c r="BB24" s="341"/>
      <c r="BC24" s="341"/>
      <c r="BD24" s="341"/>
      <c r="BE24" s="341"/>
      <c r="BF24" s="341"/>
      <c r="BG24" s="341"/>
      <c r="BH24" s="341"/>
      <c r="BI24" s="341"/>
      <c r="BJ24" s="341"/>
      <c r="BK24" s="341"/>
      <c r="BL24" s="341"/>
      <c r="BM24" s="341"/>
      <c r="BN24" s="341"/>
      <c r="BO24" s="341"/>
      <c r="BP24" s="341"/>
      <c r="BQ24" s="341"/>
      <c r="BR24" s="341"/>
      <c r="BS24" s="341"/>
      <c r="BT24" s="341"/>
      <c r="BU24" s="341"/>
      <c r="BV24" s="341"/>
      <c r="BW24" s="341"/>
      <c r="BX24" s="341"/>
      <c r="BY24" s="341"/>
      <c r="BZ24" s="341"/>
      <c r="CA24" s="341"/>
      <c r="CB24" s="341"/>
      <c r="CC24" s="341"/>
      <c r="CD24" s="341"/>
      <c r="CE24" s="341"/>
      <c r="CF24" s="341"/>
      <c r="CG24" s="341"/>
      <c r="CH24" s="341"/>
      <c r="CI24" s="341"/>
      <c r="CJ24" s="341"/>
      <c r="CK24" s="341"/>
      <c r="CL24" s="341"/>
      <c r="CM24" s="341"/>
      <c r="CN24" s="341"/>
      <c r="CO24" s="341"/>
      <c r="CP24" s="341"/>
      <c r="CQ24" s="341"/>
      <c r="CR24" s="341"/>
      <c r="CS24" s="341"/>
      <c r="CT24" s="341"/>
      <c r="CU24" s="341"/>
      <c r="CV24" s="341"/>
      <c r="CW24" s="341"/>
      <c r="CX24" s="341"/>
      <c r="CY24" s="341"/>
      <c r="CZ24" s="341"/>
      <c r="DA24" s="341"/>
      <c r="DB24" s="341"/>
      <c r="DC24" s="341"/>
      <c r="DD24" s="341"/>
      <c r="DE24" s="341"/>
      <c r="DF24" s="341"/>
      <c r="DG24" s="341"/>
      <c r="DH24" s="341"/>
      <c r="DI24" s="341"/>
      <c r="DJ24" s="341"/>
      <c r="DK24" s="341"/>
      <c r="DL24" s="341"/>
      <c r="DM24" s="341"/>
      <c r="DN24" s="341"/>
      <c r="DO24" s="341"/>
      <c r="DP24" s="341"/>
      <c r="DQ24" s="341"/>
      <c r="DR24" s="341"/>
      <c r="DS24" s="341"/>
      <c r="DT24" s="341"/>
      <c r="DU24" s="341"/>
      <c r="DV24" s="341"/>
      <c r="DW24" s="341"/>
      <c r="DX24" s="341"/>
      <c r="DY24" s="341"/>
      <c r="DZ24" s="341"/>
      <c r="EA24" s="341"/>
    </row>
    <row r="25" spans="1:131" outlineLevel="1" x14ac:dyDescent="0.35">
      <c r="E25" s="163" t="s">
        <v>54</v>
      </c>
      <c r="F25" s="163"/>
      <c r="G25" s="163" t="str">
        <f>SMU</f>
        <v>$ 000s</v>
      </c>
      <c r="H25" s="163">
        <f xml:space="preserve"> SUM(J25:EA25)</f>
        <v>10000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100</v>
      </c>
      <c r="N25" s="163">
        <f t="shared" si="14"/>
        <v>100</v>
      </c>
      <c r="O25" s="163">
        <f t="shared" si="14"/>
        <v>100</v>
      </c>
      <c r="P25" s="163">
        <f t="shared" si="14"/>
        <v>100</v>
      </c>
      <c r="Q25" s="163">
        <f t="shared" si="14"/>
        <v>100</v>
      </c>
      <c r="R25" s="163">
        <f t="shared" si="14"/>
        <v>100</v>
      </c>
      <c r="S25" s="163">
        <f t="shared" si="14"/>
        <v>100</v>
      </c>
      <c r="T25" s="163">
        <f t="shared" si="14"/>
        <v>100</v>
      </c>
      <c r="U25" s="163">
        <f t="shared" si="14"/>
        <v>100</v>
      </c>
      <c r="V25" s="163">
        <f t="shared" si="14"/>
        <v>100</v>
      </c>
      <c r="W25" s="163">
        <f t="shared" si="14"/>
        <v>100</v>
      </c>
      <c r="X25" s="163">
        <f t="shared" si="14"/>
        <v>100</v>
      </c>
      <c r="Y25" s="163">
        <f t="shared" si="14"/>
        <v>100</v>
      </c>
      <c r="Z25" s="163">
        <f t="shared" si="14"/>
        <v>100</v>
      </c>
      <c r="AA25" s="163">
        <f t="shared" si="14"/>
        <v>100</v>
      </c>
      <c r="AB25" s="163">
        <f t="shared" si="14"/>
        <v>100</v>
      </c>
      <c r="AC25" s="163">
        <f t="shared" si="14"/>
        <v>100</v>
      </c>
      <c r="AD25" s="163">
        <f t="shared" si="14"/>
        <v>100</v>
      </c>
      <c r="AE25" s="163">
        <f t="shared" si="14"/>
        <v>100</v>
      </c>
      <c r="AF25" s="163">
        <f t="shared" si="14"/>
        <v>100</v>
      </c>
      <c r="AG25" s="163">
        <f t="shared" si="14"/>
        <v>100</v>
      </c>
      <c r="AH25" s="163">
        <f t="shared" si="14"/>
        <v>100</v>
      </c>
      <c r="AI25" s="163">
        <f t="shared" si="14"/>
        <v>100</v>
      </c>
      <c r="AJ25" s="163">
        <f t="shared" si="14"/>
        <v>100</v>
      </c>
      <c r="AK25" s="163">
        <f t="shared" si="14"/>
        <v>100</v>
      </c>
      <c r="AL25" s="163">
        <f t="shared" si="14"/>
        <v>100</v>
      </c>
      <c r="AM25" s="163">
        <f t="shared" si="14"/>
        <v>100</v>
      </c>
      <c r="AN25" s="163">
        <f t="shared" si="14"/>
        <v>100</v>
      </c>
      <c r="AO25" s="163">
        <f t="shared" si="14"/>
        <v>100</v>
      </c>
      <c r="AP25" s="163">
        <f t="shared" si="14"/>
        <v>100</v>
      </c>
      <c r="AQ25" s="163">
        <f t="shared" si="14"/>
        <v>100</v>
      </c>
      <c r="AR25" s="163">
        <f t="shared" si="14"/>
        <v>100</v>
      </c>
      <c r="AS25" s="163">
        <f t="shared" si="14"/>
        <v>100</v>
      </c>
      <c r="AT25" s="163">
        <f t="shared" si="14"/>
        <v>100</v>
      </c>
      <c r="AU25" s="163">
        <f t="shared" si="14"/>
        <v>100</v>
      </c>
      <c r="AV25" s="163">
        <f t="shared" si="14"/>
        <v>100</v>
      </c>
      <c r="AW25" s="163">
        <f t="shared" si="14"/>
        <v>100</v>
      </c>
      <c r="AX25" s="163">
        <f t="shared" si="14"/>
        <v>100</v>
      </c>
      <c r="AY25" s="163">
        <f t="shared" si="14"/>
        <v>100</v>
      </c>
      <c r="AZ25" s="163">
        <f t="shared" si="14"/>
        <v>100</v>
      </c>
      <c r="BA25" s="163">
        <f t="shared" si="14"/>
        <v>100</v>
      </c>
      <c r="BB25" s="163">
        <f t="shared" si="14"/>
        <v>100</v>
      </c>
      <c r="BC25" s="163">
        <f t="shared" si="14"/>
        <v>100</v>
      </c>
      <c r="BD25" s="163">
        <f t="shared" si="14"/>
        <v>100</v>
      </c>
      <c r="BE25" s="163">
        <f t="shared" si="14"/>
        <v>100</v>
      </c>
      <c r="BF25" s="163">
        <f t="shared" si="14"/>
        <v>100</v>
      </c>
      <c r="BG25" s="163">
        <f t="shared" si="14"/>
        <v>100</v>
      </c>
      <c r="BH25" s="163">
        <f t="shared" si="14"/>
        <v>100</v>
      </c>
      <c r="BI25" s="163">
        <f t="shared" si="14"/>
        <v>100</v>
      </c>
      <c r="BJ25" s="163">
        <f t="shared" si="14"/>
        <v>100</v>
      </c>
      <c r="BK25" s="163">
        <f t="shared" si="14"/>
        <v>100</v>
      </c>
      <c r="BL25" s="163">
        <f t="shared" si="14"/>
        <v>100</v>
      </c>
      <c r="BM25" s="163">
        <f t="shared" si="14"/>
        <v>100</v>
      </c>
      <c r="BN25" s="163">
        <f t="shared" si="14"/>
        <v>100</v>
      </c>
      <c r="BO25" s="163">
        <f t="shared" si="14"/>
        <v>100</v>
      </c>
      <c r="BP25" s="163">
        <f t="shared" si="14"/>
        <v>100</v>
      </c>
      <c r="BQ25" s="163">
        <f t="shared" si="14"/>
        <v>100</v>
      </c>
      <c r="BR25" s="163">
        <f t="shared" si="14"/>
        <v>100</v>
      </c>
      <c r="BS25" s="163">
        <f t="shared" si="14"/>
        <v>100</v>
      </c>
      <c r="BT25" s="163">
        <f t="shared" si="14"/>
        <v>100</v>
      </c>
      <c r="BU25" s="163">
        <f t="shared" si="14"/>
        <v>100</v>
      </c>
      <c r="BV25" s="163">
        <f t="shared" si="14"/>
        <v>100</v>
      </c>
      <c r="BW25" s="163">
        <f t="shared" ref="BW25:EA25" si="15" xml:space="preserve"> BW22 + BW24</f>
        <v>100</v>
      </c>
      <c r="BX25" s="163">
        <f t="shared" si="15"/>
        <v>100</v>
      </c>
      <c r="BY25" s="163">
        <f t="shared" si="15"/>
        <v>100</v>
      </c>
      <c r="BZ25" s="163">
        <f t="shared" si="15"/>
        <v>100</v>
      </c>
      <c r="CA25" s="163">
        <f t="shared" si="15"/>
        <v>100</v>
      </c>
      <c r="CB25" s="163">
        <f t="shared" si="15"/>
        <v>100</v>
      </c>
      <c r="CC25" s="163">
        <f t="shared" si="15"/>
        <v>100</v>
      </c>
      <c r="CD25" s="163">
        <f t="shared" si="15"/>
        <v>100</v>
      </c>
      <c r="CE25" s="163">
        <f t="shared" si="15"/>
        <v>100</v>
      </c>
      <c r="CF25" s="163">
        <f t="shared" si="15"/>
        <v>100</v>
      </c>
      <c r="CG25" s="163">
        <f t="shared" si="15"/>
        <v>100</v>
      </c>
      <c r="CH25" s="163">
        <f t="shared" si="15"/>
        <v>100</v>
      </c>
      <c r="CI25" s="163">
        <f t="shared" si="15"/>
        <v>100</v>
      </c>
      <c r="CJ25" s="163">
        <f t="shared" si="15"/>
        <v>100</v>
      </c>
      <c r="CK25" s="163">
        <f t="shared" si="15"/>
        <v>100</v>
      </c>
      <c r="CL25" s="163">
        <f t="shared" si="15"/>
        <v>100</v>
      </c>
      <c r="CM25" s="163">
        <f t="shared" si="15"/>
        <v>100</v>
      </c>
      <c r="CN25" s="163">
        <f t="shared" si="15"/>
        <v>100</v>
      </c>
      <c r="CO25" s="163">
        <f t="shared" si="15"/>
        <v>100</v>
      </c>
      <c r="CP25" s="163">
        <f t="shared" si="15"/>
        <v>100</v>
      </c>
      <c r="CQ25" s="163">
        <f t="shared" si="15"/>
        <v>100</v>
      </c>
      <c r="CR25" s="163">
        <f t="shared" si="15"/>
        <v>100</v>
      </c>
      <c r="CS25" s="163">
        <f t="shared" si="15"/>
        <v>100</v>
      </c>
      <c r="CT25" s="163">
        <f t="shared" si="15"/>
        <v>100</v>
      </c>
      <c r="CU25" s="163">
        <f t="shared" si="15"/>
        <v>100</v>
      </c>
      <c r="CV25" s="163">
        <f t="shared" si="15"/>
        <v>100</v>
      </c>
      <c r="CW25" s="163">
        <f t="shared" si="15"/>
        <v>100</v>
      </c>
      <c r="CX25" s="163">
        <f t="shared" si="15"/>
        <v>100</v>
      </c>
      <c r="CY25" s="163">
        <f t="shared" si="15"/>
        <v>100</v>
      </c>
      <c r="CZ25" s="163">
        <f t="shared" si="15"/>
        <v>100</v>
      </c>
      <c r="DA25" s="163">
        <f t="shared" si="15"/>
        <v>100</v>
      </c>
      <c r="DB25" s="163">
        <f t="shared" si="15"/>
        <v>100</v>
      </c>
      <c r="DC25" s="163">
        <f t="shared" si="15"/>
        <v>100</v>
      </c>
      <c r="DD25" s="163">
        <f t="shared" si="15"/>
        <v>100</v>
      </c>
      <c r="DE25" s="163">
        <f t="shared" si="15"/>
        <v>100</v>
      </c>
      <c r="DF25" s="163">
        <f t="shared" si="15"/>
        <v>100</v>
      </c>
      <c r="DG25" s="163">
        <f t="shared" si="15"/>
        <v>100</v>
      </c>
      <c r="DH25" s="163">
        <f t="shared" si="15"/>
        <v>100</v>
      </c>
      <c r="DI25" s="163">
        <f t="shared" si="15"/>
        <v>0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outlineLevel="1" x14ac:dyDescent="0.35">
      <c r="E30" s="341" t="s">
        <v>136</v>
      </c>
      <c r="F30" s="341"/>
      <c r="G30" s="341"/>
      <c r="H30" s="341"/>
      <c r="I30" s="341"/>
      <c r="J30" s="341"/>
      <c r="K30" s="341"/>
      <c r="L30" s="341"/>
      <c r="M30" s="341">
        <v>100</v>
      </c>
      <c r="N30" s="341">
        <v>100</v>
      </c>
      <c r="O30" s="341">
        <v>100</v>
      </c>
      <c r="P30" s="341">
        <v>100</v>
      </c>
      <c r="Q30" s="341">
        <v>100</v>
      </c>
      <c r="R30" s="341">
        <v>100</v>
      </c>
      <c r="S30" s="341">
        <v>100</v>
      </c>
      <c r="T30" s="341">
        <v>100</v>
      </c>
      <c r="U30" s="341">
        <v>100</v>
      </c>
      <c r="V30" s="341">
        <v>100</v>
      </c>
      <c r="W30" s="341">
        <v>100</v>
      </c>
      <c r="X30" s="341">
        <v>100</v>
      </c>
      <c r="Y30" s="341">
        <v>100</v>
      </c>
      <c r="Z30" s="341">
        <v>100</v>
      </c>
      <c r="AA30" s="341">
        <v>100</v>
      </c>
      <c r="AB30" s="341">
        <v>100</v>
      </c>
      <c r="AC30" s="341">
        <v>100</v>
      </c>
      <c r="AD30" s="341">
        <v>100</v>
      </c>
      <c r="AE30" s="341">
        <v>100</v>
      </c>
      <c r="AF30" s="341">
        <v>100</v>
      </c>
      <c r="AG30" s="341">
        <v>100</v>
      </c>
      <c r="AH30" s="341">
        <v>100</v>
      </c>
      <c r="AI30" s="341">
        <v>100</v>
      </c>
      <c r="AJ30" s="341">
        <v>100</v>
      </c>
      <c r="AK30" s="341">
        <v>100</v>
      </c>
      <c r="AL30" s="341">
        <v>100</v>
      </c>
      <c r="AM30" s="341">
        <v>100</v>
      </c>
      <c r="AN30" s="341">
        <v>100</v>
      </c>
      <c r="AO30" s="341">
        <v>100</v>
      </c>
      <c r="AP30" s="341">
        <v>100</v>
      </c>
      <c r="AQ30" s="341">
        <v>100</v>
      </c>
      <c r="AR30" s="341">
        <v>100</v>
      </c>
      <c r="AS30" s="341">
        <v>100</v>
      </c>
      <c r="AT30" s="341">
        <v>100</v>
      </c>
      <c r="AU30" s="341">
        <v>100</v>
      </c>
      <c r="AV30" s="341">
        <v>100</v>
      </c>
      <c r="AW30" s="341">
        <v>100</v>
      </c>
      <c r="AX30" s="341">
        <v>100</v>
      </c>
      <c r="AY30" s="341">
        <v>100</v>
      </c>
      <c r="AZ30" s="341">
        <v>100</v>
      </c>
      <c r="BA30" s="341">
        <v>100</v>
      </c>
      <c r="BB30" s="341">
        <v>100</v>
      </c>
      <c r="BC30" s="341">
        <v>100</v>
      </c>
      <c r="BD30" s="341">
        <v>100</v>
      </c>
      <c r="BE30" s="341">
        <v>100</v>
      </c>
      <c r="BF30" s="341">
        <v>100</v>
      </c>
      <c r="BG30" s="341">
        <v>100</v>
      </c>
      <c r="BH30" s="341">
        <v>100</v>
      </c>
      <c r="BI30" s="341">
        <v>100</v>
      </c>
      <c r="BJ30" s="341">
        <v>100</v>
      </c>
      <c r="BK30" s="341">
        <v>100</v>
      </c>
      <c r="BL30" s="341">
        <v>100</v>
      </c>
      <c r="BM30" s="341">
        <v>100</v>
      </c>
      <c r="BN30" s="341">
        <v>100</v>
      </c>
      <c r="BO30" s="341">
        <v>100</v>
      </c>
      <c r="BP30" s="341">
        <v>100</v>
      </c>
      <c r="BQ30" s="341">
        <v>100</v>
      </c>
      <c r="BR30" s="341">
        <v>100</v>
      </c>
      <c r="BS30" s="341">
        <v>100</v>
      </c>
      <c r="BT30" s="341">
        <v>100</v>
      </c>
      <c r="BU30" s="341">
        <v>100</v>
      </c>
      <c r="BV30" s="341">
        <v>100</v>
      </c>
      <c r="BW30" s="341">
        <v>100</v>
      </c>
      <c r="BX30" s="341">
        <v>100</v>
      </c>
      <c r="BY30" s="341">
        <v>100</v>
      </c>
      <c r="BZ30" s="341">
        <v>100</v>
      </c>
      <c r="CA30" s="341">
        <v>100</v>
      </c>
      <c r="CB30" s="341">
        <v>100</v>
      </c>
      <c r="CC30" s="341">
        <v>100</v>
      </c>
      <c r="CD30" s="341">
        <v>100</v>
      </c>
      <c r="CE30" s="341">
        <v>100</v>
      </c>
      <c r="CF30" s="341">
        <v>100</v>
      </c>
      <c r="CG30" s="341">
        <v>100</v>
      </c>
      <c r="CH30" s="341">
        <v>100</v>
      </c>
      <c r="CI30" s="341">
        <v>100</v>
      </c>
      <c r="CJ30" s="341">
        <v>100</v>
      </c>
      <c r="CK30" s="341">
        <v>100</v>
      </c>
      <c r="CL30" s="341">
        <v>100</v>
      </c>
      <c r="CM30" s="341">
        <v>100</v>
      </c>
      <c r="CN30" s="341">
        <v>100</v>
      </c>
      <c r="CO30" s="341">
        <v>100</v>
      </c>
      <c r="CP30" s="341">
        <v>100</v>
      </c>
      <c r="CQ30" s="341">
        <v>100</v>
      </c>
      <c r="CR30" s="341">
        <v>100</v>
      </c>
      <c r="CS30" s="341">
        <v>100</v>
      </c>
      <c r="CT30" s="341">
        <v>100</v>
      </c>
      <c r="CU30" s="341">
        <v>100</v>
      </c>
      <c r="CV30" s="341">
        <v>100</v>
      </c>
      <c r="CW30" s="341">
        <v>100</v>
      </c>
      <c r="CX30" s="341">
        <v>100</v>
      </c>
      <c r="CY30" s="341">
        <v>100</v>
      </c>
      <c r="CZ30" s="341">
        <v>100</v>
      </c>
      <c r="DA30" s="341">
        <v>100</v>
      </c>
      <c r="DB30" s="341">
        <v>100</v>
      </c>
      <c r="DC30" s="341">
        <v>100</v>
      </c>
      <c r="DD30" s="341">
        <v>100</v>
      </c>
      <c r="DE30" s="341">
        <v>100</v>
      </c>
      <c r="DF30" s="341">
        <v>100</v>
      </c>
      <c r="DG30" s="341">
        <v>100</v>
      </c>
      <c r="DH30" s="341">
        <v>100</v>
      </c>
      <c r="DI30" s="341"/>
      <c r="DJ30" s="341"/>
      <c r="DK30" s="341"/>
      <c r="DL30" s="341"/>
      <c r="DM30" s="341"/>
      <c r="DN30" s="341"/>
      <c r="DO30" s="341"/>
      <c r="DP30" s="341"/>
      <c r="DQ30" s="341"/>
      <c r="DR30" s="341"/>
      <c r="DS30" s="341"/>
      <c r="DT30" s="341"/>
      <c r="DU30" s="341"/>
      <c r="DV30" s="341"/>
      <c r="DW30" s="341"/>
      <c r="DX30" s="341"/>
      <c r="DY30" s="341"/>
      <c r="DZ30" s="341"/>
      <c r="EA30" s="341"/>
    </row>
    <row r="31" spans="1:131" outlineLevel="1" x14ac:dyDescent="0.35">
      <c r="A31" s="160"/>
      <c r="D31" s="164"/>
      <c r="E31" s="341" t="s">
        <v>137</v>
      </c>
      <c r="F31" s="341"/>
      <c r="G31" s="341"/>
      <c r="H31" s="341"/>
      <c r="I31" s="341"/>
      <c r="J31" s="341"/>
      <c r="K31" s="341"/>
      <c r="L31" s="341"/>
      <c r="M31" s="341"/>
      <c r="N31" s="341"/>
      <c r="O31" s="341"/>
      <c r="P31" s="341"/>
      <c r="Q31" s="341"/>
      <c r="R31" s="341"/>
      <c r="S31" s="341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1"/>
      <c r="AE31" s="341"/>
      <c r="AF31" s="341"/>
      <c r="AG31" s="341"/>
      <c r="AH31" s="341"/>
      <c r="AI31" s="341"/>
      <c r="AJ31" s="341"/>
      <c r="AK31" s="341"/>
      <c r="AL31" s="341"/>
      <c r="AM31" s="341"/>
      <c r="AN31" s="341"/>
      <c r="AO31" s="341"/>
      <c r="AP31" s="341"/>
      <c r="AQ31" s="341"/>
      <c r="AR31" s="341"/>
      <c r="AS31" s="341"/>
      <c r="AT31" s="341"/>
      <c r="AU31" s="341"/>
      <c r="AV31" s="341"/>
      <c r="AW31" s="341"/>
      <c r="AX31" s="341"/>
      <c r="AY31" s="341"/>
      <c r="AZ31" s="341"/>
      <c r="BA31" s="341"/>
      <c r="BB31" s="341"/>
      <c r="BC31" s="341"/>
      <c r="BD31" s="341"/>
      <c r="BE31" s="341"/>
      <c r="BF31" s="341"/>
      <c r="BG31" s="341"/>
      <c r="BH31" s="341"/>
      <c r="BI31" s="341"/>
      <c r="BJ31" s="341"/>
      <c r="BK31" s="341"/>
      <c r="BL31" s="341"/>
      <c r="BM31" s="341"/>
      <c r="BN31" s="341"/>
      <c r="BO31" s="341"/>
      <c r="BP31" s="341"/>
      <c r="BQ31" s="341"/>
      <c r="BR31" s="341"/>
      <c r="BS31" s="341"/>
      <c r="BT31" s="341"/>
      <c r="BU31" s="341"/>
      <c r="BV31" s="341"/>
      <c r="BW31" s="341"/>
      <c r="BX31" s="341"/>
      <c r="BY31" s="341"/>
      <c r="BZ31" s="341"/>
      <c r="CA31" s="341"/>
      <c r="CB31" s="341"/>
      <c r="CC31" s="341"/>
      <c r="CD31" s="341"/>
      <c r="CE31" s="341"/>
      <c r="CF31" s="341"/>
      <c r="CG31" s="341"/>
      <c r="CH31" s="341"/>
      <c r="CI31" s="341"/>
      <c r="CJ31" s="341"/>
      <c r="CK31" s="341"/>
      <c r="CL31" s="341"/>
      <c r="CM31" s="341"/>
      <c r="CN31" s="341"/>
      <c r="CO31" s="341"/>
      <c r="CP31" s="341"/>
      <c r="CQ31" s="341"/>
      <c r="CR31" s="341"/>
      <c r="CS31" s="341"/>
      <c r="CT31" s="341"/>
      <c r="CU31" s="341"/>
      <c r="CV31" s="341"/>
      <c r="CW31" s="341"/>
      <c r="CX31" s="341"/>
      <c r="CY31" s="341"/>
      <c r="CZ31" s="341"/>
      <c r="DA31" s="341"/>
      <c r="DB31" s="341"/>
      <c r="DC31" s="341"/>
      <c r="DD31" s="341"/>
      <c r="DE31" s="341"/>
      <c r="DF31" s="341"/>
      <c r="DG31" s="341"/>
      <c r="DH31" s="341"/>
      <c r="DI31" s="341"/>
      <c r="DJ31" s="341"/>
      <c r="DK31" s="341"/>
      <c r="DL31" s="341"/>
      <c r="DM31" s="341"/>
      <c r="DN31" s="341"/>
      <c r="DO31" s="341"/>
      <c r="DP31" s="341"/>
      <c r="DQ31" s="341"/>
      <c r="DR31" s="341"/>
      <c r="DS31" s="341"/>
      <c r="DT31" s="341"/>
      <c r="DU31" s="341"/>
      <c r="DV31" s="341"/>
      <c r="DW31" s="341"/>
      <c r="DX31" s="341"/>
      <c r="DY31" s="341"/>
      <c r="DZ31" s="341"/>
      <c r="EA31" s="341"/>
    </row>
    <row r="32" spans="1:131" outlineLevel="1" x14ac:dyDescent="0.35">
      <c r="A32" s="160"/>
      <c r="D32" s="164"/>
      <c r="E32" s="341" t="s">
        <v>134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164</v>
      </c>
      <c r="F33" s="163"/>
      <c r="G33" s="163" t="str">
        <f>SMU</f>
        <v>$ 000s</v>
      </c>
      <c r="H33" s="163">
        <f xml:space="preserve"> SUM(J33:EA33)</f>
        <v>10000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100</v>
      </c>
      <c r="N33" s="163">
        <f t="shared" si="16"/>
        <v>100</v>
      </c>
      <c r="O33" s="163">
        <f t="shared" si="16"/>
        <v>100</v>
      </c>
      <c r="P33" s="163">
        <f t="shared" si="16"/>
        <v>100</v>
      </c>
      <c r="Q33" s="163">
        <f t="shared" si="16"/>
        <v>100</v>
      </c>
      <c r="R33" s="163">
        <f t="shared" si="16"/>
        <v>100</v>
      </c>
      <c r="S33" s="163">
        <f t="shared" si="16"/>
        <v>100</v>
      </c>
      <c r="T33" s="163">
        <f t="shared" si="16"/>
        <v>100</v>
      </c>
      <c r="U33" s="163">
        <f t="shared" si="16"/>
        <v>100</v>
      </c>
      <c r="V33" s="163">
        <f t="shared" si="16"/>
        <v>100</v>
      </c>
      <c r="W33" s="163">
        <f t="shared" si="16"/>
        <v>100</v>
      </c>
      <c r="X33" s="163">
        <f t="shared" si="16"/>
        <v>100</v>
      </c>
      <c r="Y33" s="163">
        <f t="shared" si="16"/>
        <v>100</v>
      </c>
      <c r="Z33" s="163">
        <f t="shared" si="16"/>
        <v>100</v>
      </c>
      <c r="AA33" s="163">
        <f t="shared" si="16"/>
        <v>100</v>
      </c>
      <c r="AB33" s="163">
        <f t="shared" si="16"/>
        <v>100</v>
      </c>
      <c r="AC33" s="163">
        <f t="shared" si="16"/>
        <v>100</v>
      </c>
      <c r="AD33" s="163">
        <f t="shared" si="16"/>
        <v>100</v>
      </c>
      <c r="AE33" s="163">
        <f t="shared" si="16"/>
        <v>100</v>
      </c>
      <c r="AF33" s="163">
        <f t="shared" si="16"/>
        <v>100</v>
      </c>
      <c r="AG33" s="163">
        <f t="shared" si="16"/>
        <v>100</v>
      </c>
      <c r="AH33" s="163">
        <f t="shared" si="16"/>
        <v>100</v>
      </c>
      <c r="AI33" s="163">
        <f t="shared" si="16"/>
        <v>100</v>
      </c>
      <c r="AJ33" s="163">
        <f t="shared" si="16"/>
        <v>100</v>
      </c>
      <c r="AK33" s="163">
        <f t="shared" si="16"/>
        <v>100</v>
      </c>
      <c r="AL33" s="163">
        <f t="shared" si="16"/>
        <v>100</v>
      </c>
      <c r="AM33" s="163">
        <f t="shared" si="16"/>
        <v>100</v>
      </c>
      <c r="AN33" s="163">
        <f t="shared" si="16"/>
        <v>100</v>
      </c>
      <c r="AO33" s="163">
        <f t="shared" si="16"/>
        <v>100</v>
      </c>
      <c r="AP33" s="163">
        <f t="shared" ref="AP33:BU33" si="17">SUM(AP30:AP32)</f>
        <v>100</v>
      </c>
      <c r="AQ33" s="163">
        <f t="shared" si="17"/>
        <v>100</v>
      </c>
      <c r="AR33" s="163">
        <f t="shared" si="17"/>
        <v>100</v>
      </c>
      <c r="AS33" s="163">
        <f t="shared" si="17"/>
        <v>100</v>
      </c>
      <c r="AT33" s="163">
        <f t="shared" si="17"/>
        <v>100</v>
      </c>
      <c r="AU33" s="163">
        <f t="shared" si="17"/>
        <v>100</v>
      </c>
      <c r="AV33" s="163">
        <f t="shared" si="17"/>
        <v>100</v>
      </c>
      <c r="AW33" s="163">
        <f t="shared" si="17"/>
        <v>100</v>
      </c>
      <c r="AX33" s="163">
        <f t="shared" si="17"/>
        <v>100</v>
      </c>
      <c r="AY33" s="163">
        <f t="shared" si="17"/>
        <v>100</v>
      </c>
      <c r="AZ33" s="163">
        <f t="shared" si="17"/>
        <v>100</v>
      </c>
      <c r="BA33" s="163">
        <f t="shared" si="17"/>
        <v>100</v>
      </c>
      <c r="BB33" s="163">
        <f t="shared" si="17"/>
        <v>100</v>
      </c>
      <c r="BC33" s="163">
        <f t="shared" si="17"/>
        <v>100</v>
      </c>
      <c r="BD33" s="163">
        <f t="shared" si="17"/>
        <v>100</v>
      </c>
      <c r="BE33" s="163">
        <f t="shared" si="17"/>
        <v>100</v>
      </c>
      <c r="BF33" s="163">
        <f t="shared" si="17"/>
        <v>100</v>
      </c>
      <c r="BG33" s="163">
        <f t="shared" si="17"/>
        <v>100</v>
      </c>
      <c r="BH33" s="163">
        <f t="shared" si="17"/>
        <v>100</v>
      </c>
      <c r="BI33" s="163">
        <f t="shared" si="17"/>
        <v>100</v>
      </c>
      <c r="BJ33" s="163">
        <f t="shared" si="17"/>
        <v>100</v>
      </c>
      <c r="BK33" s="163">
        <f t="shared" si="17"/>
        <v>100</v>
      </c>
      <c r="BL33" s="163">
        <f t="shared" si="17"/>
        <v>100</v>
      </c>
      <c r="BM33" s="163">
        <f t="shared" si="17"/>
        <v>100</v>
      </c>
      <c r="BN33" s="163">
        <f t="shared" si="17"/>
        <v>100</v>
      </c>
      <c r="BO33" s="163">
        <f t="shared" si="17"/>
        <v>100</v>
      </c>
      <c r="BP33" s="163">
        <f t="shared" si="17"/>
        <v>100</v>
      </c>
      <c r="BQ33" s="163">
        <f t="shared" si="17"/>
        <v>100</v>
      </c>
      <c r="BR33" s="163">
        <f t="shared" si="17"/>
        <v>100</v>
      </c>
      <c r="BS33" s="163">
        <f t="shared" si="17"/>
        <v>100</v>
      </c>
      <c r="BT33" s="163">
        <f t="shared" si="17"/>
        <v>100</v>
      </c>
      <c r="BU33" s="163">
        <f t="shared" si="17"/>
        <v>100</v>
      </c>
      <c r="BV33" s="163">
        <f t="shared" ref="BV33:DA33" si="18">SUM(BV30:BV32)</f>
        <v>100</v>
      </c>
      <c r="BW33" s="163">
        <f t="shared" si="18"/>
        <v>100</v>
      </c>
      <c r="BX33" s="163">
        <f t="shared" si="18"/>
        <v>100</v>
      </c>
      <c r="BY33" s="163">
        <f t="shared" si="18"/>
        <v>100</v>
      </c>
      <c r="BZ33" s="163">
        <f t="shared" si="18"/>
        <v>100</v>
      </c>
      <c r="CA33" s="163">
        <f t="shared" si="18"/>
        <v>100</v>
      </c>
      <c r="CB33" s="163">
        <f t="shared" si="18"/>
        <v>100</v>
      </c>
      <c r="CC33" s="163">
        <f t="shared" si="18"/>
        <v>100</v>
      </c>
      <c r="CD33" s="163">
        <f t="shared" si="18"/>
        <v>100</v>
      </c>
      <c r="CE33" s="163">
        <f t="shared" si="18"/>
        <v>100</v>
      </c>
      <c r="CF33" s="163">
        <f t="shared" si="18"/>
        <v>100</v>
      </c>
      <c r="CG33" s="163">
        <f t="shared" si="18"/>
        <v>100</v>
      </c>
      <c r="CH33" s="163">
        <f t="shared" si="18"/>
        <v>100</v>
      </c>
      <c r="CI33" s="163">
        <f t="shared" si="18"/>
        <v>100</v>
      </c>
      <c r="CJ33" s="163">
        <f t="shared" si="18"/>
        <v>100</v>
      </c>
      <c r="CK33" s="163">
        <f t="shared" si="18"/>
        <v>100</v>
      </c>
      <c r="CL33" s="163">
        <f t="shared" si="18"/>
        <v>100</v>
      </c>
      <c r="CM33" s="163">
        <f t="shared" si="18"/>
        <v>100</v>
      </c>
      <c r="CN33" s="163">
        <f t="shared" si="18"/>
        <v>100</v>
      </c>
      <c r="CO33" s="163">
        <f t="shared" si="18"/>
        <v>100</v>
      </c>
      <c r="CP33" s="163">
        <f t="shared" si="18"/>
        <v>100</v>
      </c>
      <c r="CQ33" s="163">
        <f t="shared" si="18"/>
        <v>100</v>
      </c>
      <c r="CR33" s="163">
        <f t="shared" si="18"/>
        <v>100</v>
      </c>
      <c r="CS33" s="163">
        <f t="shared" si="18"/>
        <v>100</v>
      </c>
      <c r="CT33" s="163">
        <f t="shared" si="18"/>
        <v>100</v>
      </c>
      <c r="CU33" s="163">
        <f t="shared" si="18"/>
        <v>100</v>
      </c>
      <c r="CV33" s="163">
        <f t="shared" si="18"/>
        <v>100</v>
      </c>
      <c r="CW33" s="163">
        <f t="shared" si="18"/>
        <v>100</v>
      </c>
      <c r="CX33" s="163">
        <f t="shared" si="18"/>
        <v>100</v>
      </c>
      <c r="CY33" s="163">
        <f t="shared" si="18"/>
        <v>100</v>
      </c>
      <c r="CZ33" s="163">
        <f t="shared" si="18"/>
        <v>100</v>
      </c>
      <c r="DA33" s="163">
        <f t="shared" si="18"/>
        <v>100</v>
      </c>
      <c r="DB33" s="163">
        <f t="shared" ref="DB33:EA33" si="19">SUM(DB30:DB32)</f>
        <v>100</v>
      </c>
      <c r="DC33" s="163">
        <f t="shared" si="19"/>
        <v>100</v>
      </c>
      <c r="DD33" s="163">
        <f t="shared" si="19"/>
        <v>100</v>
      </c>
      <c r="DE33" s="163">
        <f t="shared" si="19"/>
        <v>100</v>
      </c>
      <c r="DF33" s="163">
        <f t="shared" si="19"/>
        <v>100</v>
      </c>
      <c r="DG33" s="163">
        <f t="shared" si="19"/>
        <v>100</v>
      </c>
      <c r="DH33" s="163">
        <f t="shared" si="19"/>
        <v>100</v>
      </c>
      <c r="DI33" s="163">
        <f t="shared" si="19"/>
        <v>0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131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138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10000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100</v>
      </c>
      <c r="N37" s="163">
        <f t="shared" si="20"/>
        <v>100</v>
      </c>
      <c r="O37" s="163">
        <f t="shared" si="20"/>
        <v>100</v>
      </c>
      <c r="P37" s="163">
        <f t="shared" si="20"/>
        <v>100</v>
      </c>
      <c r="Q37" s="163">
        <f t="shared" si="20"/>
        <v>100</v>
      </c>
      <c r="R37" s="163">
        <f t="shared" si="20"/>
        <v>100</v>
      </c>
      <c r="S37" s="163">
        <f t="shared" si="20"/>
        <v>100</v>
      </c>
      <c r="T37" s="163">
        <f t="shared" si="20"/>
        <v>100</v>
      </c>
      <c r="U37" s="163">
        <f t="shared" si="20"/>
        <v>100</v>
      </c>
      <c r="V37" s="163">
        <f t="shared" si="20"/>
        <v>100</v>
      </c>
      <c r="W37" s="163">
        <f t="shared" si="20"/>
        <v>100</v>
      </c>
      <c r="X37" s="163">
        <f t="shared" si="20"/>
        <v>100</v>
      </c>
      <c r="Y37" s="163">
        <f t="shared" si="20"/>
        <v>100</v>
      </c>
      <c r="Z37" s="163">
        <f t="shared" si="20"/>
        <v>100</v>
      </c>
      <c r="AA37" s="163">
        <f t="shared" si="20"/>
        <v>100</v>
      </c>
      <c r="AB37" s="163">
        <f t="shared" si="20"/>
        <v>100</v>
      </c>
      <c r="AC37" s="163">
        <f t="shared" si="20"/>
        <v>100</v>
      </c>
      <c r="AD37" s="163">
        <f t="shared" si="20"/>
        <v>100</v>
      </c>
      <c r="AE37" s="163">
        <f t="shared" si="20"/>
        <v>100</v>
      </c>
      <c r="AF37" s="163">
        <f t="shared" si="20"/>
        <v>100</v>
      </c>
      <c r="AG37" s="163">
        <f t="shared" si="20"/>
        <v>100</v>
      </c>
      <c r="AH37" s="163">
        <f t="shared" si="20"/>
        <v>100</v>
      </c>
      <c r="AI37" s="163">
        <f t="shared" si="20"/>
        <v>100</v>
      </c>
      <c r="AJ37" s="163">
        <f t="shared" si="20"/>
        <v>100</v>
      </c>
      <c r="AK37" s="163">
        <f t="shared" si="20"/>
        <v>100</v>
      </c>
      <c r="AL37" s="163">
        <f t="shared" si="20"/>
        <v>100</v>
      </c>
      <c r="AM37" s="163">
        <f t="shared" si="20"/>
        <v>100</v>
      </c>
      <c r="AN37" s="163">
        <f t="shared" si="20"/>
        <v>100</v>
      </c>
      <c r="AO37" s="163">
        <f t="shared" si="20"/>
        <v>100</v>
      </c>
      <c r="AP37" s="163">
        <f t="shared" ref="AP37:BU37" si="21" xml:space="preserve"> AP33 + SUM(AP35:AP36)</f>
        <v>100</v>
      </c>
      <c r="AQ37" s="163">
        <f t="shared" si="21"/>
        <v>100</v>
      </c>
      <c r="AR37" s="163">
        <f t="shared" si="21"/>
        <v>100</v>
      </c>
      <c r="AS37" s="163">
        <f t="shared" si="21"/>
        <v>100</v>
      </c>
      <c r="AT37" s="163">
        <f t="shared" si="21"/>
        <v>100</v>
      </c>
      <c r="AU37" s="163">
        <f t="shared" si="21"/>
        <v>100</v>
      </c>
      <c r="AV37" s="163">
        <f t="shared" si="21"/>
        <v>100</v>
      </c>
      <c r="AW37" s="163">
        <f t="shared" si="21"/>
        <v>100</v>
      </c>
      <c r="AX37" s="163">
        <f t="shared" si="21"/>
        <v>100</v>
      </c>
      <c r="AY37" s="163">
        <f t="shared" si="21"/>
        <v>100</v>
      </c>
      <c r="AZ37" s="163">
        <f t="shared" si="21"/>
        <v>100</v>
      </c>
      <c r="BA37" s="163">
        <f t="shared" si="21"/>
        <v>100</v>
      </c>
      <c r="BB37" s="163">
        <f t="shared" si="21"/>
        <v>100</v>
      </c>
      <c r="BC37" s="163">
        <f t="shared" si="21"/>
        <v>100</v>
      </c>
      <c r="BD37" s="163">
        <f t="shared" si="21"/>
        <v>100</v>
      </c>
      <c r="BE37" s="163">
        <f t="shared" si="21"/>
        <v>100</v>
      </c>
      <c r="BF37" s="163">
        <f t="shared" si="21"/>
        <v>100</v>
      </c>
      <c r="BG37" s="163">
        <f t="shared" si="21"/>
        <v>100</v>
      </c>
      <c r="BH37" s="163">
        <f t="shared" si="21"/>
        <v>100</v>
      </c>
      <c r="BI37" s="163">
        <f t="shared" si="21"/>
        <v>100</v>
      </c>
      <c r="BJ37" s="163">
        <f t="shared" si="21"/>
        <v>100</v>
      </c>
      <c r="BK37" s="163">
        <f t="shared" si="21"/>
        <v>100</v>
      </c>
      <c r="BL37" s="163">
        <f t="shared" si="21"/>
        <v>100</v>
      </c>
      <c r="BM37" s="163">
        <f t="shared" si="21"/>
        <v>100</v>
      </c>
      <c r="BN37" s="163">
        <f t="shared" si="21"/>
        <v>100</v>
      </c>
      <c r="BO37" s="163">
        <f t="shared" si="21"/>
        <v>100</v>
      </c>
      <c r="BP37" s="163">
        <f t="shared" si="21"/>
        <v>100</v>
      </c>
      <c r="BQ37" s="163">
        <f t="shared" si="21"/>
        <v>100</v>
      </c>
      <c r="BR37" s="163">
        <f t="shared" si="21"/>
        <v>100</v>
      </c>
      <c r="BS37" s="163">
        <f t="shared" si="21"/>
        <v>100</v>
      </c>
      <c r="BT37" s="163">
        <f t="shared" si="21"/>
        <v>100</v>
      </c>
      <c r="BU37" s="163">
        <f t="shared" si="21"/>
        <v>100</v>
      </c>
      <c r="BV37" s="163">
        <f t="shared" ref="BV37:DA37" si="22" xml:space="preserve"> BV33 + SUM(BV35:BV36)</f>
        <v>100</v>
      </c>
      <c r="BW37" s="163">
        <f t="shared" si="22"/>
        <v>100</v>
      </c>
      <c r="BX37" s="163">
        <f t="shared" si="22"/>
        <v>100</v>
      </c>
      <c r="BY37" s="163">
        <f t="shared" si="22"/>
        <v>100</v>
      </c>
      <c r="BZ37" s="163">
        <f t="shared" si="22"/>
        <v>100</v>
      </c>
      <c r="CA37" s="163">
        <f t="shared" si="22"/>
        <v>100</v>
      </c>
      <c r="CB37" s="163">
        <f t="shared" si="22"/>
        <v>100</v>
      </c>
      <c r="CC37" s="163">
        <f t="shared" si="22"/>
        <v>100</v>
      </c>
      <c r="CD37" s="163">
        <f t="shared" si="22"/>
        <v>100</v>
      </c>
      <c r="CE37" s="163">
        <f t="shared" si="22"/>
        <v>100</v>
      </c>
      <c r="CF37" s="163">
        <f t="shared" si="22"/>
        <v>100</v>
      </c>
      <c r="CG37" s="163">
        <f t="shared" si="22"/>
        <v>100</v>
      </c>
      <c r="CH37" s="163">
        <f t="shared" si="22"/>
        <v>100</v>
      </c>
      <c r="CI37" s="163">
        <f t="shared" si="22"/>
        <v>100</v>
      </c>
      <c r="CJ37" s="163">
        <f t="shared" si="22"/>
        <v>100</v>
      </c>
      <c r="CK37" s="163">
        <f t="shared" si="22"/>
        <v>100</v>
      </c>
      <c r="CL37" s="163">
        <f t="shared" si="22"/>
        <v>100</v>
      </c>
      <c r="CM37" s="163">
        <f t="shared" si="22"/>
        <v>100</v>
      </c>
      <c r="CN37" s="163">
        <f t="shared" si="22"/>
        <v>100</v>
      </c>
      <c r="CO37" s="163">
        <f t="shared" si="22"/>
        <v>100</v>
      </c>
      <c r="CP37" s="163">
        <f t="shared" si="22"/>
        <v>100</v>
      </c>
      <c r="CQ37" s="163">
        <f t="shared" si="22"/>
        <v>100</v>
      </c>
      <c r="CR37" s="163">
        <f t="shared" si="22"/>
        <v>100</v>
      </c>
      <c r="CS37" s="163">
        <f t="shared" si="22"/>
        <v>100</v>
      </c>
      <c r="CT37" s="163">
        <f t="shared" si="22"/>
        <v>100</v>
      </c>
      <c r="CU37" s="163">
        <f t="shared" si="22"/>
        <v>100</v>
      </c>
      <c r="CV37" s="163">
        <f t="shared" si="22"/>
        <v>100</v>
      </c>
      <c r="CW37" s="163">
        <f t="shared" si="22"/>
        <v>100</v>
      </c>
      <c r="CX37" s="163">
        <f t="shared" si="22"/>
        <v>100</v>
      </c>
      <c r="CY37" s="163">
        <f t="shared" si="22"/>
        <v>100</v>
      </c>
      <c r="CZ37" s="163">
        <f t="shared" si="22"/>
        <v>100</v>
      </c>
      <c r="DA37" s="163">
        <f t="shared" si="22"/>
        <v>100</v>
      </c>
      <c r="DB37" s="163">
        <f t="shared" ref="DB37:EA37" si="23" xml:space="preserve"> DB33 + SUM(DB35:DB36)</f>
        <v>100</v>
      </c>
      <c r="DC37" s="163">
        <f t="shared" si="23"/>
        <v>100</v>
      </c>
      <c r="DD37" s="163">
        <f t="shared" si="23"/>
        <v>100</v>
      </c>
      <c r="DE37" s="163">
        <f t="shared" si="23"/>
        <v>100</v>
      </c>
      <c r="DF37" s="163">
        <f t="shared" si="23"/>
        <v>100</v>
      </c>
      <c r="DG37" s="163">
        <f t="shared" si="23"/>
        <v>100</v>
      </c>
      <c r="DH37" s="163">
        <f t="shared" si="23"/>
        <v>100</v>
      </c>
      <c r="DI37" s="163">
        <f t="shared" si="23"/>
        <v>0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139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140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132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10000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100</v>
      </c>
      <c r="N42" s="163">
        <f t="shared" si="24"/>
        <v>100</v>
      </c>
      <c r="O42" s="163">
        <f t="shared" si="24"/>
        <v>100</v>
      </c>
      <c r="P42" s="163">
        <f t="shared" si="24"/>
        <v>100</v>
      </c>
      <c r="Q42" s="163">
        <f t="shared" si="24"/>
        <v>100</v>
      </c>
      <c r="R42" s="163">
        <f t="shared" si="24"/>
        <v>100</v>
      </c>
      <c r="S42" s="163">
        <f t="shared" si="24"/>
        <v>100</v>
      </c>
      <c r="T42" s="163">
        <f t="shared" si="24"/>
        <v>100</v>
      </c>
      <c r="U42" s="163">
        <f t="shared" si="24"/>
        <v>100</v>
      </c>
      <c r="V42" s="163">
        <f t="shared" si="24"/>
        <v>100</v>
      </c>
      <c r="W42" s="163">
        <f t="shared" si="24"/>
        <v>100</v>
      </c>
      <c r="X42" s="163">
        <f t="shared" si="24"/>
        <v>100</v>
      </c>
      <c r="Y42" s="163">
        <f t="shared" si="24"/>
        <v>100</v>
      </c>
      <c r="Z42" s="163">
        <f t="shared" si="24"/>
        <v>100</v>
      </c>
      <c r="AA42" s="163">
        <f t="shared" si="24"/>
        <v>100</v>
      </c>
      <c r="AB42" s="163">
        <f t="shared" si="24"/>
        <v>100</v>
      </c>
      <c r="AC42" s="163">
        <f t="shared" si="24"/>
        <v>100</v>
      </c>
      <c r="AD42" s="163">
        <f t="shared" si="24"/>
        <v>100</v>
      </c>
      <c r="AE42" s="163">
        <f t="shared" si="24"/>
        <v>100</v>
      </c>
      <c r="AF42" s="163">
        <f t="shared" si="24"/>
        <v>100</v>
      </c>
      <c r="AG42" s="163">
        <f t="shared" si="24"/>
        <v>100</v>
      </c>
      <c r="AH42" s="163">
        <f t="shared" si="24"/>
        <v>100</v>
      </c>
      <c r="AI42" s="163">
        <f t="shared" si="24"/>
        <v>100</v>
      </c>
      <c r="AJ42" s="163">
        <f t="shared" si="24"/>
        <v>100</v>
      </c>
      <c r="AK42" s="163">
        <f t="shared" si="24"/>
        <v>100</v>
      </c>
      <c r="AL42" s="163">
        <f t="shared" si="24"/>
        <v>100</v>
      </c>
      <c r="AM42" s="163">
        <f t="shared" si="24"/>
        <v>100</v>
      </c>
      <c r="AN42" s="163">
        <f t="shared" si="24"/>
        <v>100</v>
      </c>
      <c r="AO42" s="163">
        <f t="shared" si="24"/>
        <v>100</v>
      </c>
      <c r="AP42" s="163">
        <f t="shared" ref="AP42:BU42" si="25" xml:space="preserve"> AP37 + SUM(AP39:AP41)</f>
        <v>100</v>
      </c>
      <c r="AQ42" s="163">
        <f t="shared" si="25"/>
        <v>100</v>
      </c>
      <c r="AR42" s="163">
        <f t="shared" si="25"/>
        <v>100</v>
      </c>
      <c r="AS42" s="163">
        <f t="shared" si="25"/>
        <v>100</v>
      </c>
      <c r="AT42" s="163">
        <f t="shared" si="25"/>
        <v>100</v>
      </c>
      <c r="AU42" s="163">
        <f t="shared" si="25"/>
        <v>100</v>
      </c>
      <c r="AV42" s="163">
        <f t="shared" si="25"/>
        <v>100</v>
      </c>
      <c r="AW42" s="163">
        <f t="shared" si="25"/>
        <v>100</v>
      </c>
      <c r="AX42" s="163">
        <f t="shared" si="25"/>
        <v>100</v>
      </c>
      <c r="AY42" s="163">
        <f t="shared" si="25"/>
        <v>100</v>
      </c>
      <c r="AZ42" s="163">
        <f t="shared" si="25"/>
        <v>100</v>
      </c>
      <c r="BA42" s="163">
        <f t="shared" si="25"/>
        <v>100</v>
      </c>
      <c r="BB42" s="163">
        <f t="shared" si="25"/>
        <v>100</v>
      </c>
      <c r="BC42" s="163">
        <f t="shared" si="25"/>
        <v>100</v>
      </c>
      <c r="BD42" s="163">
        <f t="shared" si="25"/>
        <v>100</v>
      </c>
      <c r="BE42" s="163">
        <f t="shared" si="25"/>
        <v>100</v>
      </c>
      <c r="BF42" s="163">
        <f t="shared" si="25"/>
        <v>100</v>
      </c>
      <c r="BG42" s="163">
        <f t="shared" si="25"/>
        <v>100</v>
      </c>
      <c r="BH42" s="163">
        <f t="shared" si="25"/>
        <v>100</v>
      </c>
      <c r="BI42" s="163">
        <f t="shared" si="25"/>
        <v>100</v>
      </c>
      <c r="BJ42" s="163">
        <f t="shared" si="25"/>
        <v>100</v>
      </c>
      <c r="BK42" s="163">
        <f t="shared" si="25"/>
        <v>100</v>
      </c>
      <c r="BL42" s="163">
        <f t="shared" si="25"/>
        <v>100</v>
      </c>
      <c r="BM42" s="163">
        <f t="shared" si="25"/>
        <v>100</v>
      </c>
      <c r="BN42" s="163">
        <f t="shared" si="25"/>
        <v>100</v>
      </c>
      <c r="BO42" s="163">
        <f t="shared" si="25"/>
        <v>100</v>
      </c>
      <c r="BP42" s="163">
        <f t="shared" si="25"/>
        <v>100</v>
      </c>
      <c r="BQ42" s="163">
        <f t="shared" si="25"/>
        <v>100</v>
      </c>
      <c r="BR42" s="163">
        <f t="shared" si="25"/>
        <v>100</v>
      </c>
      <c r="BS42" s="163">
        <f t="shared" si="25"/>
        <v>100</v>
      </c>
      <c r="BT42" s="163">
        <f t="shared" si="25"/>
        <v>100</v>
      </c>
      <c r="BU42" s="163">
        <f t="shared" si="25"/>
        <v>100</v>
      </c>
      <c r="BV42" s="163">
        <f t="shared" ref="BV42:DB42" si="26" xml:space="preserve"> BV37 + SUM(BV39:BV41)</f>
        <v>100</v>
      </c>
      <c r="BW42" s="163">
        <f t="shared" si="26"/>
        <v>100</v>
      </c>
      <c r="BX42" s="163">
        <f t="shared" si="26"/>
        <v>100</v>
      </c>
      <c r="BY42" s="163">
        <f t="shared" si="26"/>
        <v>100</v>
      </c>
      <c r="BZ42" s="163">
        <f t="shared" si="26"/>
        <v>100</v>
      </c>
      <c r="CA42" s="163">
        <f t="shared" si="26"/>
        <v>100</v>
      </c>
      <c r="CB42" s="163">
        <f t="shared" si="26"/>
        <v>100</v>
      </c>
      <c r="CC42" s="163">
        <f t="shared" si="26"/>
        <v>100</v>
      </c>
      <c r="CD42" s="163">
        <f t="shared" si="26"/>
        <v>100</v>
      </c>
      <c r="CE42" s="163">
        <f t="shared" si="26"/>
        <v>100</v>
      </c>
      <c r="CF42" s="163">
        <f t="shared" si="26"/>
        <v>100</v>
      </c>
      <c r="CG42" s="163">
        <f t="shared" si="26"/>
        <v>100</v>
      </c>
      <c r="CH42" s="163">
        <f t="shared" si="26"/>
        <v>100</v>
      </c>
      <c r="CI42" s="163">
        <f t="shared" si="26"/>
        <v>100</v>
      </c>
      <c r="CJ42" s="163">
        <f t="shared" si="26"/>
        <v>100</v>
      </c>
      <c r="CK42" s="163">
        <f t="shared" si="26"/>
        <v>100</v>
      </c>
      <c r="CL42" s="163">
        <f t="shared" si="26"/>
        <v>100</v>
      </c>
      <c r="CM42" s="163">
        <f t="shared" si="26"/>
        <v>100</v>
      </c>
      <c r="CN42" s="163">
        <f t="shared" si="26"/>
        <v>100</v>
      </c>
      <c r="CO42" s="163">
        <f t="shared" si="26"/>
        <v>100</v>
      </c>
      <c r="CP42" s="163">
        <f t="shared" si="26"/>
        <v>100</v>
      </c>
      <c r="CQ42" s="163">
        <f t="shared" si="26"/>
        <v>100</v>
      </c>
      <c r="CR42" s="163">
        <f t="shared" si="26"/>
        <v>100</v>
      </c>
      <c r="CS42" s="163">
        <f t="shared" si="26"/>
        <v>100</v>
      </c>
      <c r="CT42" s="163">
        <f t="shared" si="26"/>
        <v>100</v>
      </c>
      <c r="CU42" s="163">
        <f t="shared" si="26"/>
        <v>100</v>
      </c>
      <c r="CV42" s="163">
        <f t="shared" si="26"/>
        <v>100</v>
      </c>
      <c r="CW42" s="163">
        <f t="shared" si="26"/>
        <v>100</v>
      </c>
      <c r="CX42" s="163">
        <f t="shared" si="26"/>
        <v>100</v>
      </c>
      <c r="CY42" s="163">
        <f t="shared" si="26"/>
        <v>100</v>
      </c>
      <c r="CZ42" s="163">
        <f t="shared" si="26"/>
        <v>100</v>
      </c>
      <c r="DA42" s="163">
        <f t="shared" si="26"/>
        <v>100</v>
      </c>
      <c r="DB42" s="163">
        <f t="shared" si="26"/>
        <v>100</v>
      </c>
      <c r="DC42" s="163">
        <f t="shared" ref="DC42:EA42" si="27" xml:space="preserve"> DC37 + SUM(DC39:DC41)</f>
        <v>100</v>
      </c>
      <c r="DD42" s="163">
        <f t="shared" si="27"/>
        <v>100</v>
      </c>
      <c r="DE42" s="163">
        <f t="shared" si="27"/>
        <v>100</v>
      </c>
      <c r="DF42" s="163">
        <f t="shared" si="27"/>
        <v>100</v>
      </c>
      <c r="DG42" s="163">
        <f t="shared" si="27"/>
        <v>100</v>
      </c>
      <c r="DH42" s="163">
        <f t="shared" si="27"/>
        <v>100</v>
      </c>
      <c r="DI42" s="163">
        <f t="shared" si="27"/>
        <v>0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141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142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143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xml:space="preserve"> SUM(J47:EA47)</f>
        <v>10000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100</v>
      </c>
      <c r="N47" s="163">
        <f t="shared" si="28"/>
        <v>100</v>
      </c>
      <c r="O47" s="163">
        <f t="shared" si="28"/>
        <v>100</v>
      </c>
      <c r="P47" s="163">
        <f t="shared" si="28"/>
        <v>100</v>
      </c>
      <c r="Q47" s="163">
        <f t="shared" si="28"/>
        <v>100</v>
      </c>
      <c r="R47" s="163">
        <f t="shared" si="28"/>
        <v>100</v>
      </c>
      <c r="S47" s="163">
        <f t="shared" si="28"/>
        <v>100</v>
      </c>
      <c r="T47" s="163">
        <f t="shared" si="28"/>
        <v>100</v>
      </c>
      <c r="U47" s="163">
        <f t="shared" si="28"/>
        <v>100</v>
      </c>
      <c r="V47" s="163">
        <f t="shared" si="28"/>
        <v>100</v>
      </c>
      <c r="W47" s="163">
        <f t="shared" si="28"/>
        <v>100</v>
      </c>
      <c r="X47" s="163">
        <f t="shared" si="28"/>
        <v>100</v>
      </c>
      <c r="Y47" s="163">
        <f t="shared" si="28"/>
        <v>100</v>
      </c>
      <c r="Z47" s="163">
        <f t="shared" si="28"/>
        <v>100</v>
      </c>
      <c r="AA47" s="163">
        <f t="shared" si="28"/>
        <v>100</v>
      </c>
      <c r="AB47" s="163">
        <f t="shared" si="28"/>
        <v>100</v>
      </c>
      <c r="AC47" s="163">
        <f t="shared" si="28"/>
        <v>100</v>
      </c>
      <c r="AD47" s="163">
        <f t="shared" si="28"/>
        <v>100</v>
      </c>
      <c r="AE47" s="163">
        <f t="shared" si="28"/>
        <v>100</v>
      </c>
      <c r="AF47" s="163">
        <f t="shared" si="28"/>
        <v>100</v>
      </c>
      <c r="AG47" s="163">
        <f t="shared" si="28"/>
        <v>100</v>
      </c>
      <c r="AH47" s="163">
        <f t="shared" si="28"/>
        <v>100</v>
      </c>
      <c r="AI47" s="163">
        <f t="shared" si="28"/>
        <v>100</v>
      </c>
      <c r="AJ47" s="163">
        <f t="shared" si="28"/>
        <v>100</v>
      </c>
      <c r="AK47" s="163">
        <f t="shared" si="28"/>
        <v>100</v>
      </c>
      <c r="AL47" s="163">
        <f t="shared" si="28"/>
        <v>100</v>
      </c>
      <c r="AM47" s="163">
        <f t="shared" si="28"/>
        <v>100</v>
      </c>
      <c r="AN47" s="163">
        <f t="shared" si="28"/>
        <v>100</v>
      </c>
      <c r="AO47" s="163">
        <f t="shared" si="28"/>
        <v>100</v>
      </c>
      <c r="AP47" s="163">
        <f t="shared" ref="AP47:BU47" si="29" xml:space="preserve"> AP42 + SUM(AP44:AP46)</f>
        <v>100</v>
      </c>
      <c r="AQ47" s="163">
        <f t="shared" si="29"/>
        <v>100</v>
      </c>
      <c r="AR47" s="163">
        <f t="shared" si="29"/>
        <v>100</v>
      </c>
      <c r="AS47" s="163">
        <f t="shared" si="29"/>
        <v>100</v>
      </c>
      <c r="AT47" s="163">
        <f t="shared" si="29"/>
        <v>100</v>
      </c>
      <c r="AU47" s="163">
        <f t="shared" si="29"/>
        <v>100</v>
      </c>
      <c r="AV47" s="163">
        <f t="shared" si="29"/>
        <v>100</v>
      </c>
      <c r="AW47" s="163">
        <f t="shared" si="29"/>
        <v>100</v>
      </c>
      <c r="AX47" s="163">
        <f t="shared" si="29"/>
        <v>100</v>
      </c>
      <c r="AY47" s="163">
        <f t="shared" si="29"/>
        <v>100</v>
      </c>
      <c r="AZ47" s="163">
        <f t="shared" si="29"/>
        <v>100</v>
      </c>
      <c r="BA47" s="163">
        <f t="shared" si="29"/>
        <v>100</v>
      </c>
      <c r="BB47" s="163">
        <f t="shared" si="29"/>
        <v>100</v>
      </c>
      <c r="BC47" s="163">
        <f t="shared" si="29"/>
        <v>100</v>
      </c>
      <c r="BD47" s="163">
        <f t="shared" si="29"/>
        <v>100</v>
      </c>
      <c r="BE47" s="163">
        <f t="shared" si="29"/>
        <v>100</v>
      </c>
      <c r="BF47" s="163">
        <f t="shared" si="29"/>
        <v>100</v>
      </c>
      <c r="BG47" s="163">
        <f t="shared" si="29"/>
        <v>100</v>
      </c>
      <c r="BH47" s="163">
        <f t="shared" si="29"/>
        <v>100</v>
      </c>
      <c r="BI47" s="163">
        <f t="shared" si="29"/>
        <v>100</v>
      </c>
      <c r="BJ47" s="163">
        <f t="shared" si="29"/>
        <v>100</v>
      </c>
      <c r="BK47" s="163">
        <f t="shared" si="29"/>
        <v>100</v>
      </c>
      <c r="BL47" s="163">
        <f t="shared" si="29"/>
        <v>100</v>
      </c>
      <c r="BM47" s="163">
        <f t="shared" si="29"/>
        <v>100</v>
      </c>
      <c r="BN47" s="163">
        <f t="shared" si="29"/>
        <v>100</v>
      </c>
      <c r="BO47" s="163">
        <f t="shared" si="29"/>
        <v>100</v>
      </c>
      <c r="BP47" s="163">
        <f t="shared" si="29"/>
        <v>100</v>
      </c>
      <c r="BQ47" s="163">
        <f t="shared" si="29"/>
        <v>100</v>
      </c>
      <c r="BR47" s="163">
        <f t="shared" si="29"/>
        <v>100</v>
      </c>
      <c r="BS47" s="163">
        <f t="shared" si="29"/>
        <v>100</v>
      </c>
      <c r="BT47" s="163">
        <f t="shared" si="29"/>
        <v>100</v>
      </c>
      <c r="BU47" s="163">
        <f t="shared" si="29"/>
        <v>100</v>
      </c>
      <c r="BV47" s="163">
        <f t="shared" ref="BV47:DA47" si="30" xml:space="preserve"> BV42 + SUM(BV44:BV46)</f>
        <v>100</v>
      </c>
      <c r="BW47" s="163">
        <f t="shared" si="30"/>
        <v>100</v>
      </c>
      <c r="BX47" s="163">
        <f t="shared" si="30"/>
        <v>100</v>
      </c>
      <c r="BY47" s="163">
        <f t="shared" si="30"/>
        <v>100</v>
      </c>
      <c r="BZ47" s="163">
        <f t="shared" si="30"/>
        <v>100</v>
      </c>
      <c r="CA47" s="163">
        <f t="shared" si="30"/>
        <v>100</v>
      </c>
      <c r="CB47" s="163">
        <f t="shared" si="30"/>
        <v>100</v>
      </c>
      <c r="CC47" s="163">
        <f t="shared" si="30"/>
        <v>100</v>
      </c>
      <c r="CD47" s="163">
        <f t="shared" si="30"/>
        <v>100</v>
      </c>
      <c r="CE47" s="163">
        <f t="shared" si="30"/>
        <v>100</v>
      </c>
      <c r="CF47" s="163">
        <f t="shared" si="30"/>
        <v>100</v>
      </c>
      <c r="CG47" s="163">
        <f t="shared" si="30"/>
        <v>100</v>
      </c>
      <c r="CH47" s="163">
        <f t="shared" si="30"/>
        <v>100</v>
      </c>
      <c r="CI47" s="163">
        <f t="shared" si="30"/>
        <v>100</v>
      </c>
      <c r="CJ47" s="163">
        <f t="shared" si="30"/>
        <v>100</v>
      </c>
      <c r="CK47" s="163">
        <f t="shared" si="30"/>
        <v>100</v>
      </c>
      <c r="CL47" s="163">
        <f t="shared" si="30"/>
        <v>100</v>
      </c>
      <c r="CM47" s="163">
        <f t="shared" si="30"/>
        <v>100</v>
      </c>
      <c r="CN47" s="163">
        <f t="shared" si="30"/>
        <v>100</v>
      </c>
      <c r="CO47" s="163">
        <f t="shared" si="30"/>
        <v>100</v>
      </c>
      <c r="CP47" s="163">
        <f t="shared" si="30"/>
        <v>100</v>
      </c>
      <c r="CQ47" s="163">
        <f t="shared" si="30"/>
        <v>100</v>
      </c>
      <c r="CR47" s="163">
        <f t="shared" si="30"/>
        <v>100</v>
      </c>
      <c r="CS47" s="163">
        <f t="shared" si="30"/>
        <v>100</v>
      </c>
      <c r="CT47" s="163">
        <f t="shared" si="30"/>
        <v>100</v>
      </c>
      <c r="CU47" s="163">
        <f t="shared" si="30"/>
        <v>100</v>
      </c>
      <c r="CV47" s="163">
        <f t="shared" si="30"/>
        <v>100</v>
      </c>
      <c r="CW47" s="163">
        <f t="shared" si="30"/>
        <v>100</v>
      </c>
      <c r="CX47" s="163">
        <f t="shared" si="30"/>
        <v>100</v>
      </c>
      <c r="CY47" s="163">
        <f t="shared" si="30"/>
        <v>100</v>
      </c>
      <c r="CZ47" s="163">
        <f t="shared" si="30"/>
        <v>100</v>
      </c>
      <c r="DA47" s="163">
        <f t="shared" si="30"/>
        <v>100</v>
      </c>
      <c r="DB47" s="163">
        <f t="shared" ref="DB47:EA47" si="31" xml:space="preserve"> DB42 + SUM(DB44:DB46)</f>
        <v>100</v>
      </c>
      <c r="DC47" s="163">
        <f t="shared" si="31"/>
        <v>100</v>
      </c>
      <c r="DD47" s="163">
        <f t="shared" si="31"/>
        <v>100</v>
      </c>
      <c r="DE47" s="163">
        <f t="shared" si="31"/>
        <v>100</v>
      </c>
      <c r="DF47" s="163">
        <f t="shared" si="31"/>
        <v>100</v>
      </c>
      <c r="DG47" s="163">
        <f t="shared" si="31"/>
        <v>100</v>
      </c>
      <c r="DH47" s="163">
        <f t="shared" si="31"/>
        <v>100</v>
      </c>
      <c r="DI47" s="163">
        <f t="shared" si="31"/>
        <v>0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144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4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10000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100</v>
      </c>
      <c r="N50" s="163">
        <f t="shared" si="32"/>
        <v>100</v>
      </c>
      <c r="O50" s="163">
        <f t="shared" si="32"/>
        <v>100</v>
      </c>
      <c r="P50" s="163">
        <f t="shared" si="32"/>
        <v>100</v>
      </c>
      <c r="Q50" s="163">
        <f t="shared" si="32"/>
        <v>100</v>
      </c>
      <c r="R50" s="163">
        <f t="shared" si="32"/>
        <v>100</v>
      </c>
      <c r="S50" s="163">
        <f t="shared" si="32"/>
        <v>100</v>
      </c>
      <c r="T50" s="163">
        <f t="shared" si="32"/>
        <v>100</v>
      </c>
      <c r="U50" s="163">
        <f t="shared" si="32"/>
        <v>100</v>
      </c>
      <c r="V50" s="163">
        <f t="shared" si="32"/>
        <v>100</v>
      </c>
      <c r="W50" s="163">
        <f t="shared" si="32"/>
        <v>100</v>
      </c>
      <c r="X50" s="163">
        <f t="shared" si="32"/>
        <v>100</v>
      </c>
      <c r="Y50" s="163">
        <f t="shared" si="32"/>
        <v>100</v>
      </c>
      <c r="Z50" s="163">
        <f t="shared" si="32"/>
        <v>100</v>
      </c>
      <c r="AA50" s="163">
        <f t="shared" si="32"/>
        <v>100</v>
      </c>
      <c r="AB50" s="163">
        <f t="shared" si="32"/>
        <v>100</v>
      </c>
      <c r="AC50" s="163">
        <f t="shared" si="32"/>
        <v>100</v>
      </c>
      <c r="AD50" s="163">
        <f t="shared" si="32"/>
        <v>100</v>
      </c>
      <c r="AE50" s="163">
        <f t="shared" si="32"/>
        <v>100</v>
      </c>
      <c r="AF50" s="163">
        <f t="shared" si="32"/>
        <v>100</v>
      </c>
      <c r="AG50" s="163">
        <f t="shared" si="32"/>
        <v>100</v>
      </c>
      <c r="AH50" s="163">
        <f t="shared" si="32"/>
        <v>100</v>
      </c>
      <c r="AI50" s="163">
        <f t="shared" si="32"/>
        <v>100</v>
      </c>
      <c r="AJ50" s="163">
        <f t="shared" si="32"/>
        <v>100</v>
      </c>
      <c r="AK50" s="163">
        <f t="shared" si="32"/>
        <v>100</v>
      </c>
      <c r="AL50" s="163">
        <f t="shared" si="32"/>
        <v>100</v>
      </c>
      <c r="AM50" s="163">
        <f t="shared" si="32"/>
        <v>100</v>
      </c>
      <c r="AN50" s="163">
        <f t="shared" si="32"/>
        <v>100</v>
      </c>
      <c r="AO50" s="163">
        <f t="shared" si="32"/>
        <v>100</v>
      </c>
      <c r="AP50" s="163">
        <f t="shared" ref="AP50:BU50" si="33" xml:space="preserve"> AP47 + AP49</f>
        <v>100</v>
      </c>
      <c r="AQ50" s="163">
        <f t="shared" si="33"/>
        <v>100</v>
      </c>
      <c r="AR50" s="163">
        <f t="shared" si="33"/>
        <v>100</v>
      </c>
      <c r="AS50" s="163">
        <f t="shared" si="33"/>
        <v>100</v>
      </c>
      <c r="AT50" s="163">
        <f t="shared" si="33"/>
        <v>100</v>
      </c>
      <c r="AU50" s="163">
        <f t="shared" si="33"/>
        <v>100</v>
      </c>
      <c r="AV50" s="163">
        <f t="shared" si="33"/>
        <v>100</v>
      </c>
      <c r="AW50" s="163">
        <f t="shared" si="33"/>
        <v>100</v>
      </c>
      <c r="AX50" s="163">
        <f t="shared" si="33"/>
        <v>100</v>
      </c>
      <c r="AY50" s="163">
        <f t="shared" si="33"/>
        <v>100</v>
      </c>
      <c r="AZ50" s="163">
        <f t="shared" si="33"/>
        <v>100</v>
      </c>
      <c r="BA50" s="163">
        <f t="shared" si="33"/>
        <v>100</v>
      </c>
      <c r="BB50" s="163">
        <f t="shared" si="33"/>
        <v>100</v>
      </c>
      <c r="BC50" s="163">
        <f t="shared" si="33"/>
        <v>100</v>
      </c>
      <c r="BD50" s="163">
        <f t="shared" si="33"/>
        <v>100</v>
      </c>
      <c r="BE50" s="163">
        <f t="shared" si="33"/>
        <v>100</v>
      </c>
      <c r="BF50" s="163">
        <f t="shared" si="33"/>
        <v>100</v>
      </c>
      <c r="BG50" s="163">
        <f t="shared" si="33"/>
        <v>100</v>
      </c>
      <c r="BH50" s="163">
        <f t="shared" si="33"/>
        <v>100</v>
      </c>
      <c r="BI50" s="163">
        <f t="shared" si="33"/>
        <v>100</v>
      </c>
      <c r="BJ50" s="163">
        <f t="shared" si="33"/>
        <v>100</v>
      </c>
      <c r="BK50" s="163">
        <f t="shared" si="33"/>
        <v>100</v>
      </c>
      <c r="BL50" s="163">
        <f t="shared" si="33"/>
        <v>100</v>
      </c>
      <c r="BM50" s="163">
        <f t="shared" si="33"/>
        <v>100</v>
      </c>
      <c r="BN50" s="163">
        <f t="shared" si="33"/>
        <v>100</v>
      </c>
      <c r="BO50" s="163">
        <f t="shared" si="33"/>
        <v>100</v>
      </c>
      <c r="BP50" s="163">
        <f t="shared" si="33"/>
        <v>100</v>
      </c>
      <c r="BQ50" s="163">
        <f t="shared" si="33"/>
        <v>100</v>
      </c>
      <c r="BR50" s="163">
        <f t="shared" si="33"/>
        <v>100</v>
      </c>
      <c r="BS50" s="163">
        <f t="shared" si="33"/>
        <v>100</v>
      </c>
      <c r="BT50" s="163">
        <f t="shared" si="33"/>
        <v>100</v>
      </c>
      <c r="BU50" s="163">
        <f t="shared" si="33"/>
        <v>100</v>
      </c>
      <c r="BV50" s="163">
        <f t="shared" ref="BV50:DA50" si="34" xml:space="preserve"> BV47 + BV49</f>
        <v>100</v>
      </c>
      <c r="BW50" s="163">
        <f t="shared" si="34"/>
        <v>100</v>
      </c>
      <c r="BX50" s="163">
        <f t="shared" si="34"/>
        <v>100</v>
      </c>
      <c r="BY50" s="163">
        <f t="shared" si="34"/>
        <v>100</v>
      </c>
      <c r="BZ50" s="163">
        <f t="shared" si="34"/>
        <v>100</v>
      </c>
      <c r="CA50" s="163">
        <f t="shared" si="34"/>
        <v>100</v>
      </c>
      <c r="CB50" s="163">
        <f t="shared" si="34"/>
        <v>100</v>
      </c>
      <c r="CC50" s="163">
        <f t="shared" si="34"/>
        <v>100</v>
      </c>
      <c r="CD50" s="163">
        <f t="shared" si="34"/>
        <v>100</v>
      </c>
      <c r="CE50" s="163">
        <f t="shared" si="34"/>
        <v>100</v>
      </c>
      <c r="CF50" s="163">
        <f t="shared" si="34"/>
        <v>100</v>
      </c>
      <c r="CG50" s="163">
        <f t="shared" si="34"/>
        <v>100</v>
      </c>
      <c r="CH50" s="163">
        <f t="shared" si="34"/>
        <v>100</v>
      </c>
      <c r="CI50" s="163">
        <f t="shared" si="34"/>
        <v>100</v>
      </c>
      <c r="CJ50" s="163">
        <f t="shared" si="34"/>
        <v>100</v>
      </c>
      <c r="CK50" s="163">
        <f t="shared" si="34"/>
        <v>100</v>
      </c>
      <c r="CL50" s="163">
        <f t="shared" si="34"/>
        <v>100</v>
      </c>
      <c r="CM50" s="163">
        <f t="shared" si="34"/>
        <v>100</v>
      </c>
      <c r="CN50" s="163">
        <f t="shared" si="34"/>
        <v>100</v>
      </c>
      <c r="CO50" s="163">
        <f t="shared" si="34"/>
        <v>100</v>
      </c>
      <c r="CP50" s="163">
        <f t="shared" si="34"/>
        <v>100</v>
      </c>
      <c r="CQ50" s="163">
        <f t="shared" si="34"/>
        <v>100</v>
      </c>
      <c r="CR50" s="163">
        <f t="shared" si="34"/>
        <v>100</v>
      </c>
      <c r="CS50" s="163">
        <f t="shared" si="34"/>
        <v>100</v>
      </c>
      <c r="CT50" s="163">
        <f t="shared" si="34"/>
        <v>100</v>
      </c>
      <c r="CU50" s="163">
        <f t="shared" si="34"/>
        <v>100</v>
      </c>
      <c r="CV50" s="163">
        <f t="shared" si="34"/>
        <v>100</v>
      </c>
      <c r="CW50" s="163">
        <f t="shared" si="34"/>
        <v>100</v>
      </c>
      <c r="CX50" s="163">
        <f t="shared" si="34"/>
        <v>100</v>
      </c>
      <c r="CY50" s="163">
        <f t="shared" si="34"/>
        <v>100</v>
      </c>
      <c r="CZ50" s="163">
        <f t="shared" si="34"/>
        <v>100</v>
      </c>
      <c r="DA50" s="163">
        <f t="shared" si="34"/>
        <v>100</v>
      </c>
      <c r="DB50" s="163">
        <f t="shared" ref="DB50:EA50" si="35" xml:space="preserve"> DB47 + DB49</f>
        <v>100</v>
      </c>
      <c r="DC50" s="163">
        <f t="shared" si="35"/>
        <v>100</v>
      </c>
      <c r="DD50" s="163">
        <f t="shared" si="35"/>
        <v>100</v>
      </c>
      <c r="DE50" s="163">
        <f t="shared" si="35"/>
        <v>100</v>
      </c>
      <c r="DF50" s="163">
        <f t="shared" si="35"/>
        <v>100</v>
      </c>
      <c r="DG50" s="163">
        <f t="shared" si="35"/>
        <v>100</v>
      </c>
      <c r="DH50" s="163">
        <f t="shared" si="35"/>
        <v>100</v>
      </c>
      <c r="DI50" s="163">
        <f t="shared" si="35"/>
        <v>0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outlineLevel="1" x14ac:dyDescent="0.35">
      <c r="A52" s="160"/>
      <c r="D52" s="164"/>
      <c r="E52" s="341" t="s">
        <v>135</v>
      </c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1"/>
      <c r="AR52" s="341"/>
      <c r="AS52" s="341"/>
      <c r="AT52" s="341"/>
      <c r="AU52" s="341"/>
      <c r="AV52" s="341"/>
      <c r="AW52" s="341"/>
      <c r="AX52" s="341"/>
      <c r="AY52" s="341"/>
      <c r="AZ52" s="341"/>
      <c r="BA52" s="341"/>
      <c r="BB52" s="341"/>
      <c r="BC52" s="341"/>
      <c r="BD52" s="341"/>
      <c r="BE52" s="341"/>
      <c r="BF52" s="341"/>
      <c r="BG52" s="341"/>
      <c r="BH52" s="341"/>
      <c r="BI52" s="341"/>
      <c r="BJ52" s="341"/>
      <c r="BK52" s="341"/>
      <c r="BL52" s="341"/>
      <c r="BM52" s="341"/>
      <c r="BN52" s="341"/>
      <c r="BO52" s="341"/>
      <c r="BP52" s="341"/>
      <c r="BQ52" s="341"/>
      <c r="BR52" s="341"/>
      <c r="BS52" s="341"/>
      <c r="BT52" s="341"/>
      <c r="BU52" s="341"/>
      <c r="BV52" s="341"/>
      <c r="BW52" s="341"/>
      <c r="BX52" s="341"/>
      <c r="BY52" s="341"/>
      <c r="BZ52" s="341"/>
      <c r="CA52" s="341"/>
      <c r="CB52" s="341"/>
      <c r="CC52" s="341"/>
      <c r="CD52" s="341"/>
      <c r="CE52" s="341"/>
      <c r="CF52" s="341"/>
      <c r="CG52" s="341"/>
      <c r="CH52" s="341"/>
      <c r="CI52" s="341"/>
      <c r="CJ52" s="341"/>
      <c r="CK52" s="341"/>
      <c r="CL52" s="341"/>
      <c r="CM52" s="341"/>
      <c r="CN52" s="341"/>
      <c r="CO52" s="341"/>
      <c r="CP52" s="341"/>
      <c r="CQ52" s="341"/>
      <c r="CR52" s="341"/>
      <c r="CS52" s="341"/>
      <c r="CT52" s="341"/>
      <c r="CU52" s="341"/>
      <c r="CV52" s="341"/>
      <c r="CW52" s="341"/>
      <c r="CX52" s="341"/>
      <c r="CY52" s="341"/>
      <c r="CZ52" s="341"/>
      <c r="DA52" s="341"/>
      <c r="DB52" s="341"/>
      <c r="DC52" s="341"/>
      <c r="DD52" s="341"/>
      <c r="DE52" s="341"/>
      <c r="DF52" s="341"/>
      <c r="DG52" s="341"/>
      <c r="DH52" s="341"/>
      <c r="DI52" s="341"/>
      <c r="DJ52" s="341"/>
      <c r="DK52" s="341"/>
      <c r="DL52" s="341"/>
      <c r="DM52" s="341"/>
      <c r="DN52" s="341"/>
      <c r="DO52" s="341"/>
      <c r="DP52" s="341"/>
      <c r="DQ52" s="341"/>
      <c r="DR52" s="341"/>
      <c r="DS52" s="341"/>
      <c r="DT52" s="341"/>
      <c r="DU52" s="341"/>
      <c r="DV52" s="341"/>
      <c r="DW52" s="341"/>
      <c r="DX52" s="341"/>
      <c r="DY52" s="341"/>
      <c r="DZ52" s="341"/>
      <c r="EA52" s="341"/>
    </row>
    <row r="53" spans="1:131" outlineLevel="1" x14ac:dyDescent="0.35">
      <c r="E53" s="163" t="s">
        <v>57</v>
      </c>
      <c r="F53" s="163"/>
      <c r="G53" s="163" t="str">
        <f>SMU</f>
        <v>$ 000s</v>
      </c>
      <c r="H53" s="163">
        <f xml:space="preserve"> SUM(J53:EA53)</f>
        <v>10000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100</v>
      </c>
      <c r="N53" s="163">
        <f t="shared" si="36"/>
        <v>100</v>
      </c>
      <c r="O53" s="163">
        <f t="shared" si="36"/>
        <v>100</v>
      </c>
      <c r="P53" s="163">
        <f t="shared" si="36"/>
        <v>100</v>
      </c>
      <c r="Q53" s="163">
        <f t="shared" si="36"/>
        <v>100</v>
      </c>
      <c r="R53" s="163">
        <f t="shared" si="36"/>
        <v>100</v>
      </c>
      <c r="S53" s="163">
        <f t="shared" si="36"/>
        <v>100</v>
      </c>
      <c r="T53" s="163">
        <f t="shared" si="36"/>
        <v>100</v>
      </c>
      <c r="U53" s="163">
        <f t="shared" si="36"/>
        <v>100</v>
      </c>
      <c r="V53" s="163">
        <f t="shared" si="36"/>
        <v>100</v>
      </c>
      <c r="W53" s="163">
        <f t="shared" si="36"/>
        <v>100</v>
      </c>
      <c r="X53" s="163">
        <f t="shared" si="36"/>
        <v>100</v>
      </c>
      <c r="Y53" s="163">
        <f t="shared" si="36"/>
        <v>100</v>
      </c>
      <c r="Z53" s="163">
        <f t="shared" si="36"/>
        <v>100</v>
      </c>
      <c r="AA53" s="163">
        <f t="shared" si="36"/>
        <v>100</v>
      </c>
      <c r="AB53" s="163">
        <f t="shared" si="36"/>
        <v>100</v>
      </c>
      <c r="AC53" s="163">
        <f t="shared" si="36"/>
        <v>100</v>
      </c>
      <c r="AD53" s="163">
        <f t="shared" si="36"/>
        <v>100</v>
      </c>
      <c r="AE53" s="163">
        <f t="shared" si="36"/>
        <v>100</v>
      </c>
      <c r="AF53" s="163">
        <f t="shared" si="36"/>
        <v>100</v>
      </c>
      <c r="AG53" s="163">
        <f t="shared" si="36"/>
        <v>100</v>
      </c>
      <c r="AH53" s="163">
        <f t="shared" si="36"/>
        <v>100</v>
      </c>
      <c r="AI53" s="163">
        <f t="shared" si="36"/>
        <v>100</v>
      </c>
      <c r="AJ53" s="163">
        <f t="shared" si="36"/>
        <v>100</v>
      </c>
      <c r="AK53" s="163">
        <f t="shared" si="36"/>
        <v>100</v>
      </c>
      <c r="AL53" s="163">
        <f t="shared" si="36"/>
        <v>100</v>
      </c>
      <c r="AM53" s="163">
        <f t="shared" si="36"/>
        <v>100</v>
      </c>
      <c r="AN53" s="163">
        <f t="shared" si="36"/>
        <v>100</v>
      </c>
      <c r="AO53" s="163">
        <f t="shared" si="36"/>
        <v>100</v>
      </c>
      <c r="AP53" s="163">
        <f t="shared" si="36"/>
        <v>100</v>
      </c>
      <c r="AQ53" s="163">
        <f t="shared" si="36"/>
        <v>100</v>
      </c>
      <c r="AR53" s="163">
        <f t="shared" si="36"/>
        <v>100</v>
      </c>
      <c r="AS53" s="163">
        <f t="shared" si="36"/>
        <v>100</v>
      </c>
      <c r="AT53" s="163">
        <f t="shared" si="36"/>
        <v>100</v>
      </c>
      <c r="AU53" s="163">
        <f t="shared" si="36"/>
        <v>100</v>
      </c>
      <c r="AV53" s="163">
        <f t="shared" si="36"/>
        <v>100</v>
      </c>
      <c r="AW53" s="163">
        <f t="shared" si="36"/>
        <v>100</v>
      </c>
      <c r="AX53" s="163">
        <f t="shared" si="36"/>
        <v>100</v>
      </c>
      <c r="AY53" s="163">
        <f t="shared" si="36"/>
        <v>100</v>
      </c>
      <c r="AZ53" s="163">
        <f t="shared" si="36"/>
        <v>100</v>
      </c>
      <c r="BA53" s="163">
        <f t="shared" si="36"/>
        <v>100</v>
      </c>
      <c r="BB53" s="163">
        <f t="shared" si="36"/>
        <v>100</v>
      </c>
      <c r="BC53" s="163">
        <f t="shared" si="36"/>
        <v>100</v>
      </c>
      <c r="BD53" s="163">
        <f t="shared" si="36"/>
        <v>100</v>
      </c>
      <c r="BE53" s="163">
        <f t="shared" si="36"/>
        <v>100</v>
      </c>
      <c r="BF53" s="163">
        <f t="shared" si="36"/>
        <v>100</v>
      </c>
      <c r="BG53" s="163">
        <f t="shared" si="36"/>
        <v>100</v>
      </c>
      <c r="BH53" s="163">
        <f t="shared" si="36"/>
        <v>100</v>
      </c>
      <c r="BI53" s="163">
        <f t="shared" si="36"/>
        <v>100</v>
      </c>
      <c r="BJ53" s="163">
        <f t="shared" si="36"/>
        <v>100</v>
      </c>
      <c r="BK53" s="163">
        <f t="shared" si="36"/>
        <v>100</v>
      </c>
      <c r="BL53" s="163">
        <f t="shared" si="36"/>
        <v>100</v>
      </c>
      <c r="BM53" s="163">
        <f t="shared" si="36"/>
        <v>100</v>
      </c>
      <c r="BN53" s="163">
        <f t="shared" si="36"/>
        <v>100</v>
      </c>
      <c r="BO53" s="163">
        <f t="shared" si="36"/>
        <v>100</v>
      </c>
      <c r="BP53" s="163">
        <f t="shared" si="36"/>
        <v>100</v>
      </c>
      <c r="BQ53" s="163">
        <f t="shared" si="36"/>
        <v>100</v>
      </c>
      <c r="BR53" s="163">
        <f t="shared" si="36"/>
        <v>100</v>
      </c>
      <c r="BS53" s="163">
        <f t="shared" si="36"/>
        <v>100</v>
      </c>
      <c r="BT53" s="163">
        <f t="shared" si="36"/>
        <v>100</v>
      </c>
      <c r="BU53" s="163">
        <f t="shared" si="36"/>
        <v>100</v>
      </c>
      <c r="BV53" s="163">
        <f t="shared" si="36"/>
        <v>100</v>
      </c>
      <c r="BW53" s="163">
        <f t="shared" ref="BW53:EA53" si="37" xml:space="preserve"> BW50 + BW52</f>
        <v>100</v>
      </c>
      <c r="BX53" s="163">
        <f t="shared" si="37"/>
        <v>100</v>
      </c>
      <c r="BY53" s="163">
        <f t="shared" si="37"/>
        <v>100</v>
      </c>
      <c r="BZ53" s="163">
        <f t="shared" si="37"/>
        <v>100</v>
      </c>
      <c r="CA53" s="163">
        <f t="shared" si="37"/>
        <v>100</v>
      </c>
      <c r="CB53" s="163">
        <f t="shared" si="37"/>
        <v>100</v>
      </c>
      <c r="CC53" s="163">
        <f t="shared" si="37"/>
        <v>100</v>
      </c>
      <c r="CD53" s="163">
        <f t="shared" si="37"/>
        <v>100</v>
      </c>
      <c r="CE53" s="163">
        <f t="shared" si="37"/>
        <v>100</v>
      </c>
      <c r="CF53" s="163">
        <f t="shared" si="37"/>
        <v>100</v>
      </c>
      <c r="CG53" s="163">
        <f t="shared" si="37"/>
        <v>100</v>
      </c>
      <c r="CH53" s="163">
        <f t="shared" si="37"/>
        <v>100</v>
      </c>
      <c r="CI53" s="163">
        <f t="shared" si="37"/>
        <v>100</v>
      </c>
      <c r="CJ53" s="163">
        <f t="shared" si="37"/>
        <v>100</v>
      </c>
      <c r="CK53" s="163">
        <f t="shared" si="37"/>
        <v>100</v>
      </c>
      <c r="CL53" s="163">
        <f t="shared" si="37"/>
        <v>100</v>
      </c>
      <c r="CM53" s="163">
        <f t="shared" si="37"/>
        <v>100</v>
      </c>
      <c r="CN53" s="163">
        <f t="shared" si="37"/>
        <v>100</v>
      </c>
      <c r="CO53" s="163">
        <f t="shared" si="37"/>
        <v>100</v>
      </c>
      <c r="CP53" s="163">
        <f t="shared" si="37"/>
        <v>100</v>
      </c>
      <c r="CQ53" s="163">
        <f t="shared" si="37"/>
        <v>100</v>
      </c>
      <c r="CR53" s="163">
        <f t="shared" si="37"/>
        <v>100</v>
      </c>
      <c r="CS53" s="163">
        <f t="shared" si="37"/>
        <v>100</v>
      </c>
      <c r="CT53" s="163">
        <f t="shared" si="37"/>
        <v>100</v>
      </c>
      <c r="CU53" s="163">
        <f t="shared" si="37"/>
        <v>100</v>
      </c>
      <c r="CV53" s="163">
        <f t="shared" si="37"/>
        <v>100</v>
      </c>
      <c r="CW53" s="163">
        <f t="shared" si="37"/>
        <v>100</v>
      </c>
      <c r="CX53" s="163">
        <f t="shared" si="37"/>
        <v>100</v>
      </c>
      <c r="CY53" s="163">
        <f t="shared" si="37"/>
        <v>100</v>
      </c>
      <c r="CZ53" s="163">
        <f t="shared" si="37"/>
        <v>100</v>
      </c>
      <c r="DA53" s="163">
        <f t="shared" si="37"/>
        <v>100</v>
      </c>
      <c r="DB53" s="163">
        <f t="shared" si="37"/>
        <v>100</v>
      </c>
      <c r="DC53" s="163">
        <f t="shared" si="37"/>
        <v>100</v>
      </c>
      <c r="DD53" s="163">
        <f t="shared" si="37"/>
        <v>100</v>
      </c>
      <c r="DE53" s="163">
        <f t="shared" si="37"/>
        <v>100</v>
      </c>
      <c r="DF53" s="163">
        <f t="shared" si="37"/>
        <v>100</v>
      </c>
      <c r="DG53" s="163">
        <f t="shared" si="37"/>
        <v>100</v>
      </c>
      <c r="DH53" s="163">
        <f t="shared" si="37"/>
        <v>100</v>
      </c>
      <c r="DI53" s="163">
        <f t="shared" si="37"/>
        <v>0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outlineLevel="1" x14ac:dyDescent="0.35">
      <c r="A59" s="160"/>
      <c r="D59" s="164"/>
      <c r="E59" s="341" t="s">
        <v>145</v>
      </c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  <c r="AZ59" s="341"/>
      <c r="BA59" s="341"/>
      <c r="BB59" s="341"/>
      <c r="BC59" s="341"/>
      <c r="BD59" s="341"/>
      <c r="BE59" s="341"/>
      <c r="BF59" s="341"/>
      <c r="BG59" s="341"/>
      <c r="BH59" s="341"/>
      <c r="BI59" s="341"/>
      <c r="BJ59" s="341"/>
      <c r="BK59" s="341"/>
      <c r="BL59" s="341"/>
      <c r="BM59" s="341"/>
      <c r="BN59" s="341"/>
      <c r="BO59" s="341"/>
      <c r="BP59" s="341"/>
      <c r="BQ59" s="341"/>
      <c r="BR59" s="341"/>
      <c r="BS59" s="341"/>
      <c r="BT59" s="341"/>
      <c r="BU59" s="341"/>
      <c r="BV59" s="341"/>
      <c r="BW59" s="341"/>
      <c r="BX59" s="341"/>
      <c r="BY59" s="341"/>
      <c r="BZ59" s="341"/>
      <c r="CA59" s="341"/>
      <c r="CB59" s="341"/>
      <c r="CC59" s="341"/>
      <c r="CD59" s="341"/>
      <c r="CE59" s="341"/>
      <c r="CF59" s="341"/>
      <c r="CG59" s="341"/>
      <c r="CH59" s="341"/>
      <c r="CI59" s="341"/>
      <c r="CJ59" s="341"/>
      <c r="CK59" s="341"/>
      <c r="CL59" s="341"/>
      <c r="CM59" s="341"/>
      <c r="CN59" s="341"/>
      <c r="CO59" s="341"/>
      <c r="CP59" s="341"/>
      <c r="CQ59" s="341"/>
      <c r="CR59" s="341"/>
      <c r="CS59" s="341"/>
      <c r="CT59" s="341"/>
      <c r="CU59" s="341"/>
      <c r="CV59" s="341"/>
      <c r="CW59" s="341"/>
      <c r="CX59" s="341"/>
      <c r="CY59" s="341"/>
      <c r="CZ59" s="341"/>
      <c r="DA59" s="341"/>
      <c r="DB59" s="341"/>
      <c r="DC59" s="341"/>
      <c r="DD59" s="341"/>
      <c r="DE59" s="341"/>
      <c r="DF59" s="341"/>
      <c r="DG59" s="341"/>
      <c r="DH59" s="341"/>
      <c r="DI59" s="341"/>
      <c r="DJ59" s="341"/>
      <c r="DK59" s="341"/>
      <c r="DL59" s="341"/>
      <c r="DM59" s="341"/>
      <c r="DN59" s="341"/>
      <c r="DO59" s="341"/>
      <c r="DP59" s="341"/>
      <c r="DQ59" s="341"/>
      <c r="DR59" s="341"/>
      <c r="DS59" s="341"/>
      <c r="DT59" s="341"/>
      <c r="DU59" s="341"/>
      <c r="DV59" s="341"/>
      <c r="DW59" s="341"/>
      <c r="DX59" s="341"/>
      <c r="DY59" s="341"/>
      <c r="DZ59" s="341"/>
      <c r="EA59" s="341"/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0</v>
      </c>
      <c r="M60" s="163">
        <f t="shared" si="38"/>
        <v>0</v>
      </c>
      <c r="N60" s="163">
        <f t="shared" si="38"/>
        <v>0</v>
      </c>
      <c r="O60" s="163">
        <f t="shared" si="38"/>
        <v>0</v>
      </c>
      <c r="P60" s="163">
        <f t="shared" si="38"/>
        <v>0</v>
      </c>
      <c r="Q60" s="163">
        <f t="shared" si="38"/>
        <v>0</v>
      </c>
      <c r="R60" s="163">
        <f t="shared" si="38"/>
        <v>0</v>
      </c>
      <c r="S60" s="163">
        <f t="shared" si="38"/>
        <v>0</v>
      </c>
      <c r="T60" s="163">
        <f t="shared" si="38"/>
        <v>0</v>
      </c>
      <c r="U60" s="163">
        <f t="shared" si="38"/>
        <v>0</v>
      </c>
      <c r="V60" s="163">
        <f t="shared" si="38"/>
        <v>0</v>
      </c>
      <c r="W60" s="163">
        <f t="shared" si="38"/>
        <v>0</v>
      </c>
      <c r="X60" s="163">
        <f t="shared" si="38"/>
        <v>0</v>
      </c>
      <c r="Y60" s="163">
        <f t="shared" si="38"/>
        <v>0</v>
      </c>
      <c r="Z60" s="163">
        <f t="shared" si="38"/>
        <v>0</v>
      </c>
      <c r="AA60" s="163">
        <f t="shared" si="38"/>
        <v>0</v>
      </c>
      <c r="AB60" s="163">
        <f t="shared" si="38"/>
        <v>0</v>
      </c>
      <c r="AC60" s="163">
        <f t="shared" si="38"/>
        <v>0</v>
      </c>
      <c r="AD60" s="163">
        <f t="shared" si="38"/>
        <v>0</v>
      </c>
      <c r="AE60" s="163">
        <f t="shared" si="38"/>
        <v>0</v>
      </c>
      <c r="AF60" s="163">
        <f t="shared" si="38"/>
        <v>0</v>
      </c>
      <c r="AG60" s="163">
        <f t="shared" si="38"/>
        <v>0</v>
      </c>
      <c r="AH60" s="163">
        <f t="shared" si="38"/>
        <v>0</v>
      </c>
      <c r="AI60" s="163">
        <f t="shared" si="38"/>
        <v>0</v>
      </c>
      <c r="AJ60" s="163">
        <f t="shared" si="38"/>
        <v>0</v>
      </c>
      <c r="AK60" s="163">
        <f t="shared" si="38"/>
        <v>0</v>
      </c>
      <c r="AL60" s="163">
        <f t="shared" si="38"/>
        <v>0</v>
      </c>
      <c r="AM60" s="163">
        <f t="shared" si="38"/>
        <v>0</v>
      </c>
      <c r="AN60" s="163">
        <f t="shared" si="38"/>
        <v>0</v>
      </c>
      <c r="AO60" s="163">
        <f t="shared" si="38"/>
        <v>0</v>
      </c>
      <c r="AP60" s="163">
        <f t="shared" ref="AP60:BU60" si="39">SUM(AP59)</f>
        <v>0</v>
      </c>
      <c r="AQ60" s="163">
        <f t="shared" si="39"/>
        <v>0</v>
      </c>
      <c r="AR60" s="163">
        <f t="shared" si="39"/>
        <v>0</v>
      </c>
      <c r="AS60" s="163">
        <f t="shared" si="39"/>
        <v>0</v>
      </c>
      <c r="AT60" s="163">
        <f t="shared" si="39"/>
        <v>0</v>
      </c>
      <c r="AU60" s="163">
        <f t="shared" si="39"/>
        <v>0</v>
      </c>
      <c r="AV60" s="163">
        <f t="shared" si="39"/>
        <v>0</v>
      </c>
      <c r="AW60" s="163">
        <f t="shared" si="39"/>
        <v>0</v>
      </c>
      <c r="AX60" s="163">
        <f t="shared" si="39"/>
        <v>0</v>
      </c>
      <c r="AY60" s="163">
        <f t="shared" si="39"/>
        <v>0</v>
      </c>
      <c r="AZ60" s="163">
        <f t="shared" si="39"/>
        <v>0</v>
      </c>
      <c r="BA60" s="163">
        <f t="shared" si="39"/>
        <v>0</v>
      </c>
      <c r="BB60" s="163">
        <f t="shared" si="39"/>
        <v>0</v>
      </c>
      <c r="BC60" s="163">
        <f t="shared" si="39"/>
        <v>0</v>
      </c>
      <c r="BD60" s="163">
        <f t="shared" si="39"/>
        <v>0</v>
      </c>
      <c r="BE60" s="163">
        <f t="shared" si="39"/>
        <v>0</v>
      </c>
      <c r="BF60" s="163">
        <f t="shared" si="39"/>
        <v>0</v>
      </c>
      <c r="BG60" s="163">
        <f t="shared" si="39"/>
        <v>0</v>
      </c>
      <c r="BH60" s="163">
        <f t="shared" si="39"/>
        <v>0</v>
      </c>
      <c r="BI60" s="163">
        <f t="shared" si="39"/>
        <v>0</v>
      </c>
      <c r="BJ60" s="163">
        <f t="shared" si="39"/>
        <v>0</v>
      </c>
      <c r="BK60" s="163">
        <f t="shared" si="39"/>
        <v>0</v>
      </c>
      <c r="BL60" s="163">
        <f t="shared" si="39"/>
        <v>0</v>
      </c>
      <c r="BM60" s="163">
        <f t="shared" si="39"/>
        <v>0</v>
      </c>
      <c r="BN60" s="163">
        <f t="shared" si="39"/>
        <v>0</v>
      </c>
      <c r="BO60" s="163">
        <f t="shared" si="39"/>
        <v>0</v>
      </c>
      <c r="BP60" s="163">
        <f t="shared" si="39"/>
        <v>0</v>
      </c>
      <c r="BQ60" s="163">
        <f t="shared" si="39"/>
        <v>0</v>
      </c>
      <c r="BR60" s="163">
        <f t="shared" si="39"/>
        <v>0</v>
      </c>
      <c r="BS60" s="163">
        <f t="shared" si="39"/>
        <v>0</v>
      </c>
      <c r="BT60" s="163">
        <f t="shared" si="39"/>
        <v>0</v>
      </c>
      <c r="BU60" s="163">
        <f t="shared" si="39"/>
        <v>0</v>
      </c>
      <c r="BV60" s="163">
        <f t="shared" ref="BV60:DA60" si="40">SUM(BV59)</f>
        <v>0</v>
      </c>
      <c r="BW60" s="163">
        <f t="shared" si="40"/>
        <v>0</v>
      </c>
      <c r="BX60" s="163">
        <f t="shared" si="40"/>
        <v>0</v>
      </c>
      <c r="BY60" s="163">
        <f t="shared" si="40"/>
        <v>0</v>
      </c>
      <c r="BZ60" s="163">
        <f t="shared" si="40"/>
        <v>0</v>
      </c>
      <c r="CA60" s="163">
        <f t="shared" si="40"/>
        <v>0</v>
      </c>
      <c r="CB60" s="163">
        <f t="shared" si="40"/>
        <v>0</v>
      </c>
      <c r="CC60" s="163">
        <f t="shared" si="40"/>
        <v>0</v>
      </c>
      <c r="CD60" s="163">
        <f t="shared" si="40"/>
        <v>0</v>
      </c>
      <c r="CE60" s="163">
        <f t="shared" si="40"/>
        <v>0</v>
      </c>
      <c r="CF60" s="163">
        <f t="shared" si="40"/>
        <v>0</v>
      </c>
      <c r="CG60" s="163">
        <f t="shared" si="40"/>
        <v>0</v>
      </c>
      <c r="CH60" s="163">
        <f t="shared" si="40"/>
        <v>0</v>
      </c>
      <c r="CI60" s="163">
        <f t="shared" si="40"/>
        <v>0</v>
      </c>
      <c r="CJ60" s="163">
        <f t="shared" si="40"/>
        <v>0</v>
      </c>
      <c r="CK60" s="163">
        <f t="shared" si="40"/>
        <v>0</v>
      </c>
      <c r="CL60" s="163">
        <f t="shared" si="40"/>
        <v>0</v>
      </c>
      <c r="CM60" s="163">
        <f t="shared" si="40"/>
        <v>0</v>
      </c>
      <c r="CN60" s="163">
        <f t="shared" si="40"/>
        <v>0</v>
      </c>
      <c r="CO60" s="163">
        <f t="shared" si="40"/>
        <v>0</v>
      </c>
      <c r="CP60" s="163">
        <f t="shared" si="40"/>
        <v>0</v>
      </c>
      <c r="CQ60" s="163">
        <f t="shared" si="40"/>
        <v>0</v>
      </c>
      <c r="CR60" s="163">
        <f t="shared" si="40"/>
        <v>0</v>
      </c>
      <c r="CS60" s="163">
        <f t="shared" si="40"/>
        <v>0</v>
      </c>
      <c r="CT60" s="163">
        <f t="shared" si="40"/>
        <v>0</v>
      </c>
      <c r="CU60" s="163">
        <f t="shared" si="40"/>
        <v>0</v>
      </c>
      <c r="CV60" s="163">
        <f t="shared" si="40"/>
        <v>0</v>
      </c>
      <c r="CW60" s="163">
        <f t="shared" si="40"/>
        <v>0</v>
      </c>
      <c r="CX60" s="163">
        <f t="shared" si="40"/>
        <v>0</v>
      </c>
      <c r="CY60" s="163">
        <f t="shared" si="40"/>
        <v>0</v>
      </c>
      <c r="CZ60" s="163">
        <f t="shared" si="40"/>
        <v>0</v>
      </c>
      <c r="DA60" s="163">
        <f t="shared" si="40"/>
        <v>0</v>
      </c>
      <c r="DB60" s="163">
        <f t="shared" ref="DB60:EA60" si="41">SUM(DB59)</f>
        <v>0</v>
      </c>
      <c r="DC60" s="163">
        <f t="shared" si="41"/>
        <v>0</v>
      </c>
      <c r="DD60" s="163">
        <f t="shared" si="41"/>
        <v>0</v>
      </c>
      <c r="DE60" s="163">
        <f t="shared" si="41"/>
        <v>0</v>
      </c>
      <c r="DF60" s="163">
        <f t="shared" si="41"/>
        <v>0</v>
      </c>
      <c r="DG60" s="163">
        <f t="shared" si="41"/>
        <v>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4" customFormat="1" outlineLevel="1" x14ac:dyDescent="0.35">
      <c r="A63" s="160"/>
      <c r="B63" s="160"/>
      <c r="C63" s="161"/>
      <c r="D63" s="164"/>
      <c r="E63" s="191" t="str">
        <f xml:space="preserve"> Equity!E$27</f>
        <v>Retained cash balance</v>
      </c>
      <c r="F63" s="191">
        <f xml:space="preserve"> Equity!F$27</f>
        <v>0</v>
      </c>
      <c r="G63" s="191" t="str">
        <f xml:space="preserve"> Equity!G$27</f>
        <v>$ 000s</v>
      </c>
      <c r="H63" s="191">
        <f xml:space="preserve"> Equity!H$27</f>
        <v>0</v>
      </c>
      <c r="I63" s="191">
        <f xml:space="preserve"> Equity!I$27</f>
        <v>0</v>
      </c>
      <c r="J63" s="191">
        <f xml:space="preserve"> Equity!J$27</f>
        <v>0</v>
      </c>
      <c r="K63" s="191">
        <f xml:space="preserve"> Equity!K$27</f>
        <v>0</v>
      </c>
      <c r="L63" s="191">
        <f xml:space="preserve"> Equity!L$27</f>
        <v>0</v>
      </c>
      <c r="M63" s="191">
        <f xml:space="preserve"> Equity!M$27</f>
        <v>100</v>
      </c>
      <c r="N63" s="191">
        <f xml:space="preserve"> Equity!N$27</f>
        <v>200</v>
      </c>
      <c r="O63" s="191">
        <f xml:space="preserve"> Equity!O$27</f>
        <v>300</v>
      </c>
      <c r="P63" s="191">
        <f xml:space="preserve"> Equity!P$27</f>
        <v>400</v>
      </c>
      <c r="Q63" s="191">
        <f xml:space="preserve"> Equity!Q$27</f>
        <v>500</v>
      </c>
      <c r="R63" s="191">
        <f xml:space="preserve"> Equity!R$27</f>
        <v>600</v>
      </c>
      <c r="S63" s="191">
        <f xml:space="preserve"> Equity!S$27</f>
        <v>700</v>
      </c>
      <c r="T63" s="191">
        <f xml:space="preserve"> Equity!T$27</f>
        <v>800</v>
      </c>
      <c r="U63" s="191">
        <f xml:space="preserve"> Equity!U$27</f>
        <v>900</v>
      </c>
      <c r="V63" s="191">
        <f xml:space="preserve"> Equity!V$27</f>
        <v>1000</v>
      </c>
      <c r="W63" s="191">
        <f xml:space="preserve"> Equity!W$27</f>
        <v>1100</v>
      </c>
      <c r="X63" s="191">
        <f xml:space="preserve"> Equity!X$27</f>
        <v>1200</v>
      </c>
      <c r="Y63" s="191">
        <f xml:space="preserve"> Equity!Y$27</f>
        <v>1300</v>
      </c>
      <c r="Z63" s="191">
        <f xml:space="preserve"> Equity!Z$27</f>
        <v>1400</v>
      </c>
      <c r="AA63" s="191">
        <f xml:space="preserve"> Equity!AA$27</f>
        <v>1500</v>
      </c>
      <c r="AB63" s="191">
        <f xml:space="preserve"> Equity!AB$27</f>
        <v>1600</v>
      </c>
      <c r="AC63" s="191">
        <f xml:space="preserve"> Equity!AC$27</f>
        <v>1700</v>
      </c>
      <c r="AD63" s="191">
        <f xml:space="preserve"> Equity!AD$27</f>
        <v>1800</v>
      </c>
      <c r="AE63" s="191">
        <f xml:space="preserve"> Equity!AE$27</f>
        <v>1900</v>
      </c>
      <c r="AF63" s="191">
        <f xml:space="preserve"> Equity!AF$27</f>
        <v>2000</v>
      </c>
      <c r="AG63" s="191">
        <f xml:space="preserve"> Equity!AG$27</f>
        <v>2100</v>
      </c>
      <c r="AH63" s="191">
        <f xml:space="preserve"> Equity!AH$27</f>
        <v>2200</v>
      </c>
      <c r="AI63" s="191">
        <f xml:space="preserve"> Equity!AI$27</f>
        <v>2300</v>
      </c>
      <c r="AJ63" s="191">
        <f xml:space="preserve"> Equity!AJ$27</f>
        <v>2400</v>
      </c>
      <c r="AK63" s="191">
        <f xml:space="preserve"> Equity!AK$27</f>
        <v>2500</v>
      </c>
      <c r="AL63" s="191">
        <f xml:space="preserve"> Equity!AL$27</f>
        <v>2600</v>
      </c>
      <c r="AM63" s="191">
        <f xml:space="preserve"> Equity!AM$27</f>
        <v>2700</v>
      </c>
      <c r="AN63" s="191">
        <f xml:space="preserve"> Equity!AN$27</f>
        <v>2800</v>
      </c>
      <c r="AO63" s="191">
        <f xml:space="preserve"> Equity!AO$27</f>
        <v>2900</v>
      </c>
      <c r="AP63" s="191">
        <f xml:space="preserve"> Equity!AP$27</f>
        <v>3000</v>
      </c>
      <c r="AQ63" s="191">
        <f xml:space="preserve"> Equity!AQ$27</f>
        <v>3100</v>
      </c>
      <c r="AR63" s="191">
        <f xml:space="preserve"> Equity!AR$27</f>
        <v>3200</v>
      </c>
      <c r="AS63" s="191">
        <f xml:space="preserve"> Equity!AS$27</f>
        <v>3300</v>
      </c>
      <c r="AT63" s="191">
        <f xml:space="preserve"> Equity!AT$27</f>
        <v>3400</v>
      </c>
      <c r="AU63" s="191">
        <f xml:space="preserve"> Equity!AU$27</f>
        <v>3500</v>
      </c>
      <c r="AV63" s="191">
        <f xml:space="preserve"> Equity!AV$27</f>
        <v>3600</v>
      </c>
      <c r="AW63" s="191">
        <f xml:space="preserve"> Equity!AW$27</f>
        <v>3700</v>
      </c>
      <c r="AX63" s="191">
        <f xml:space="preserve"> Equity!AX$27</f>
        <v>3800</v>
      </c>
      <c r="AY63" s="191">
        <f xml:space="preserve"> Equity!AY$27</f>
        <v>3900</v>
      </c>
      <c r="AZ63" s="191">
        <f xml:space="preserve"> Equity!AZ$27</f>
        <v>4000</v>
      </c>
      <c r="BA63" s="191">
        <f xml:space="preserve"> Equity!BA$27</f>
        <v>4100</v>
      </c>
      <c r="BB63" s="191">
        <f xml:space="preserve"> Equity!BB$27</f>
        <v>4200</v>
      </c>
      <c r="BC63" s="191">
        <f xml:space="preserve"> Equity!BC$27</f>
        <v>4300</v>
      </c>
      <c r="BD63" s="191">
        <f xml:space="preserve"> Equity!BD$27</f>
        <v>4400</v>
      </c>
      <c r="BE63" s="191">
        <f xml:space="preserve"> Equity!BE$27</f>
        <v>4500</v>
      </c>
      <c r="BF63" s="191">
        <f xml:space="preserve"> Equity!BF$27</f>
        <v>4600</v>
      </c>
      <c r="BG63" s="191">
        <f xml:space="preserve"> Equity!BG$27</f>
        <v>4700</v>
      </c>
      <c r="BH63" s="191">
        <f xml:space="preserve"> Equity!BH$27</f>
        <v>4800</v>
      </c>
      <c r="BI63" s="191">
        <f xml:space="preserve"> Equity!BI$27</f>
        <v>4900</v>
      </c>
      <c r="BJ63" s="191">
        <f xml:space="preserve"> Equity!BJ$27</f>
        <v>5000</v>
      </c>
      <c r="BK63" s="191">
        <f xml:space="preserve"> Equity!BK$27</f>
        <v>5100</v>
      </c>
      <c r="BL63" s="191">
        <f xml:space="preserve"> Equity!BL$27</f>
        <v>5200</v>
      </c>
      <c r="BM63" s="191">
        <f xml:space="preserve"> Equity!BM$27</f>
        <v>5300</v>
      </c>
      <c r="BN63" s="191">
        <f xml:space="preserve"> Equity!BN$27</f>
        <v>5400</v>
      </c>
      <c r="BO63" s="191">
        <f xml:space="preserve"> Equity!BO$27</f>
        <v>5500</v>
      </c>
      <c r="BP63" s="191">
        <f xml:space="preserve"> Equity!BP$27</f>
        <v>5600</v>
      </c>
      <c r="BQ63" s="191">
        <f xml:space="preserve"> Equity!BQ$27</f>
        <v>5700</v>
      </c>
      <c r="BR63" s="191">
        <f xml:space="preserve"> Equity!BR$27</f>
        <v>5800</v>
      </c>
      <c r="BS63" s="191">
        <f xml:space="preserve"> Equity!BS$27</f>
        <v>5900</v>
      </c>
      <c r="BT63" s="191">
        <f xml:space="preserve"> Equity!BT$27</f>
        <v>6000</v>
      </c>
      <c r="BU63" s="191">
        <f xml:space="preserve"> Equity!BU$27</f>
        <v>6100</v>
      </c>
      <c r="BV63" s="191">
        <f xml:space="preserve"> Equity!BV$27</f>
        <v>6200</v>
      </c>
      <c r="BW63" s="191">
        <f xml:space="preserve"> Equity!BW$27</f>
        <v>6300</v>
      </c>
      <c r="BX63" s="191">
        <f xml:space="preserve"> Equity!BX$27</f>
        <v>6400</v>
      </c>
      <c r="BY63" s="191">
        <f xml:space="preserve"> Equity!BY$27</f>
        <v>6500</v>
      </c>
      <c r="BZ63" s="191">
        <f xml:space="preserve"> Equity!BZ$27</f>
        <v>6600</v>
      </c>
      <c r="CA63" s="191">
        <f xml:space="preserve"> Equity!CA$27</f>
        <v>6700</v>
      </c>
      <c r="CB63" s="191">
        <f xml:space="preserve"> Equity!CB$27</f>
        <v>6800</v>
      </c>
      <c r="CC63" s="191">
        <f xml:space="preserve"> Equity!CC$27</f>
        <v>6900</v>
      </c>
      <c r="CD63" s="191">
        <f xml:space="preserve"> Equity!CD$27</f>
        <v>7000</v>
      </c>
      <c r="CE63" s="191">
        <f xml:space="preserve"> Equity!CE$27</f>
        <v>7100</v>
      </c>
      <c r="CF63" s="191">
        <f xml:space="preserve"> Equity!CF$27</f>
        <v>7200</v>
      </c>
      <c r="CG63" s="191">
        <f xml:space="preserve"> Equity!CG$27</f>
        <v>7300</v>
      </c>
      <c r="CH63" s="191">
        <f xml:space="preserve"> Equity!CH$27</f>
        <v>7400</v>
      </c>
      <c r="CI63" s="191">
        <f xml:space="preserve"> Equity!CI$27</f>
        <v>7500</v>
      </c>
      <c r="CJ63" s="191">
        <f xml:space="preserve"> Equity!CJ$27</f>
        <v>7600</v>
      </c>
      <c r="CK63" s="191">
        <f xml:space="preserve"> Equity!CK$27</f>
        <v>7700</v>
      </c>
      <c r="CL63" s="191">
        <f xml:space="preserve"> Equity!CL$27</f>
        <v>7800</v>
      </c>
      <c r="CM63" s="191">
        <f xml:space="preserve"> Equity!CM$27</f>
        <v>7900</v>
      </c>
      <c r="CN63" s="191">
        <f xml:space="preserve"> Equity!CN$27</f>
        <v>8000</v>
      </c>
      <c r="CO63" s="191">
        <f xml:space="preserve"> Equity!CO$27</f>
        <v>8100</v>
      </c>
      <c r="CP63" s="191">
        <f xml:space="preserve"> Equity!CP$27</f>
        <v>8200</v>
      </c>
      <c r="CQ63" s="191">
        <f xml:space="preserve"> Equity!CQ$27</f>
        <v>8300</v>
      </c>
      <c r="CR63" s="191">
        <f xml:space="preserve"> Equity!CR$27</f>
        <v>8400</v>
      </c>
      <c r="CS63" s="191">
        <f xml:space="preserve"> Equity!CS$27</f>
        <v>8500</v>
      </c>
      <c r="CT63" s="191">
        <f xml:space="preserve"> Equity!CT$27</f>
        <v>8600</v>
      </c>
      <c r="CU63" s="191">
        <f xml:space="preserve"> Equity!CU$27</f>
        <v>8700</v>
      </c>
      <c r="CV63" s="191">
        <f xml:space="preserve"> Equity!CV$27</f>
        <v>8800</v>
      </c>
      <c r="CW63" s="191">
        <f xml:space="preserve"> Equity!CW$27</f>
        <v>8900</v>
      </c>
      <c r="CX63" s="191">
        <f xml:space="preserve"> Equity!CX$27</f>
        <v>9000</v>
      </c>
      <c r="CY63" s="191">
        <f xml:space="preserve"> Equity!CY$27</f>
        <v>9100</v>
      </c>
      <c r="CZ63" s="191">
        <f xml:space="preserve"> Equity!CZ$27</f>
        <v>9200</v>
      </c>
      <c r="DA63" s="191">
        <f xml:space="preserve"> Equity!DA$27</f>
        <v>9300</v>
      </c>
      <c r="DB63" s="191">
        <f xml:space="preserve"> Equity!DB$27</f>
        <v>9400</v>
      </c>
      <c r="DC63" s="191">
        <f xml:space="preserve"> Equity!DC$27</f>
        <v>9500</v>
      </c>
      <c r="DD63" s="191">
        <f xml:space="preserve"> Equity!DD$27</f>
        <v>9600</v>
      </c>
      <c r="DE63" s="191">
        <f xml:space="preserve"> Equity!DE$27</f>
        <v>9700</v>
      </c>
      <c r="DF63" s="191">
        <f xml:space="preserve"> Equity!DF$27</f>
        <v>9800</v>
      </c>
      <c r="DG63" s="191">
        <f xml:space="preserve"> Equity!DG$27</f>
        <v>9900</v>
      </c>
      <c r="DH63" s="191">
        <f xml:space="preserve"> Equity!DH$27</f>
        <v>10000</v>
      </c>
      <c r="DI63" s="191">
        <f xml:space="preserve"> Equity!DI$27</f>
        <v>10000</v>
      </c>
      <c r="DJ63" s="191">
        <f xml:space="preserve"> Equity!DJ$27</f>
        <v>10000</v>
      </c>
      <c r="DK63" s="191">
        <f xml:space="preserve"> Equity!DK$27</f>
        <v>10000</v>
      </c>
      <c r="DL63" s="191">
        <f xml:space="preserve"> Equity!DL$27</f>
        <v>10000</v>
      </c>
      <c r="DM63" s="191">
        <f xml:space="preserve"> Equity!DM$27</f>
        <v>10000</v>
      </c>
      <c r="DN63" s="191">
        <f xml:space="preserve"> Equity!DN$27</f>
        <v>10000</v>
      </c>
      <c r="DO63" s="191">
        <f xml:space="preserve"> Equity!DO$27</f>
        <v>10000</v>
      </c>
      <c r="DP63" s="191">
        <f xml:space="preserve"> Equity!DP$27</f>
        <v>10000</v>
      </c>
      <c r="DQ63" s="191">
        <f xml:space="preserve"> Equity!DQ$27</f>
        <v>10000</v>
      </c>
      <c r="DR63" s="191">
        <f xml:space="preserve"> Equity!DR$27</f>
        <v>10000</v>
      </c>
      <c r="DS63" s="191">
        <f xml:space="preserve"> Equity!DS$27</f>
        <v>10000</v>
      </c>
      <c r="DT63" s="191">
        <f xml:space="preserve"> Equity!DT$27</f>
        <v>10000</v>
      </c>
      <c r="DU63" s="191">
        <f xml:space="preserve"> Equity!DU$27</f>
        <v>10000</v>
      </c>
      <c r="DV63" s="191">
        <f xml:space="preserve"> Equity!DV$27</f>
        <v>10000</v>
      </c>
      <c r="DW63" s="191">
        <f xml:space="preserve"> Equity!DW$27</f>
        <v>10000</v>
      </c>
      <c r="DX63" s="191">
        <f xml:space="preserve"> Equity!DX$27</f>
        <v>10000</v>
      </c>
      <c r="DY63" s="191">
        <f xml:space="preserve"> Equity!DY$27</f>
        <v>10000</v>
      </c>
      <c r="DZ63" s="191">
        <f xml:space="preserve"> Equity!DZ$27</f>
        <v>10000</v>
      </c>
      <c r="EA63" s="191">
        <f xml:space="preserve"> Equity!EA$27</f>
        <v>10000</v>
      </c>
    </row>
    <row r="64" spans="1:131" outlineLevel="1" x14ac:dyDescent="0.35">
      <c r="A64" s="160"/>
      <c r="D64" s="164"/>
      <c r="E64" s="341" t="s">
        <v>146</v>
      </c>
      <c r="F64" s="341"/>
      <c r="G64" s="341"/>
      <c r="H64" s="341"/>
      <c r="I64" s="341"/>
      <c r="J64" s="341"/>
      <c r="K64" s="341"/>
      <c r="L64" s="341"/>
      <c r="M64" s="341"/>
      <c r="N64" s="341"/>
      <c r="O64" s="341"/>
      <c r="P64" s="341"/>
      <c r="Q64" s="341"/>
      <c r="R64" s="341"/>
      <c r="S64" s="341"/>
      <c r="T64" s="341"/>
      <c r="U64" s="341"/>
      <c r="V64" s="341"/>
      <c r="W64" s="341"/>
      <c r="X64" s="341"/>
      <c r="Y64" s="341"/>
      <c r="Z64" s="341"/>
      <c r="AA64" s="341"/>
      <c r="AB64" s="341"/>
      <c r="AC64" s="341"/>
      <c r="AD64" s="341"/>
      <c r="AE64" s="341"/>
      <c r="AF64" s="341"/>
      <c r="AG64" s="341"/>
      <c r="AH64" s="341"/>
      <c r="AI64" s="341"/>
      <c r="AJ64" s="341"/>
      <c r="AK64" s="341"/>
      <c r="AL64" s="341"/>
      <c r="AM64" s="341"/>
      <c r="AN64" s="341"/>
      <c r="AO64" s="341"/>
      <c r="AP64" s="341"/>
      <c r="AQ64" s="341"/>
      <c r="AR64" s="341"/>
      <c r="AS64" s="341"/>
      <c r="AT64" s="341"/>
      <c r="AU64" s="341"/>
      <c r="AV64" s="341"/>
      <c r="AW64" s="341"/>
      <c r="AX64" s="341"/>
      <c r="AY64" s="341"/>
      <c r="AZ64" s="341"/>
      <c r="BA64" s="341"/>
      <c r="BB64" s="341"/>
      <c r="BC64" s="341"/>
      <c r="BD64" s="341"/>
      <c r="BE64" s="341"/>
      <c r="BF64" s="341"/>
      <c r="BG64" s="341"/>
      <c r="BH64" s="341"/>
      <c r="BI64" s="341"/>
      <c r="BJ64" s="341"/>
      <c r="BK64" s="341"/>
      <c r="BL64" s="341"/>
      <c r="BM64" s="341"/>
      <c r="BN64" s="341"/>
      <c r="BO64" s="341"/>
      <c r="BP64" s="341"/>
      <c r="BQ64" s="341"/>
      <c r="BR64" s="341"/>
      <c r="BS64" s="341"/>
      <c r="BT64" s="341"/>
      <c r="BU64" s="341"/>
      <c r="BV64" s="341"/>
      <c r="BW64" s="341"/>
      <c r="BX64" s="341"/>
      <c r="BY64" s="341"/>
      <c r="BZ64" s="341"/>
      <c r="CA64" s="341"/>
      <c r="CB64" s="341"/>
      <c r="CC64" s="341"/>
      <c r="CD64" s="341"/>
      <c r="CE64" s="341"/>
      <c r="CF64" s="341"/>
      <c r="CG64" s="341"/>
      <c r="CH64" s="341"/>
      <c r="CI64" s="341"/>
      <c r="CJ64" s="341"/>
      <c r="CK64" s="341"/>
      <c r="CL64" s="341"/>
      <c r="CM64" s="341"/>
      <c r="CN64" s="341"/>
      <c r="CO64" s="341"/>
      <c r="CP64" s="341"/>
      <c r="CQ64" s="341"/>
      <c r="CR64" s="341"/>
      <c r="CS64" s="341"/>
      <c r="CT64" s="341"/>
      <c r="CU64" s="341"/>
      <c r="CV64" s="341"/>
      <c r="CW64" s="341"/>
      <c r="CX64" s="341"/>
      <c r="CY64" s="341"/>
      <c r="CZ64" s="341"/>
      <c r="DA64" s="341"/>
      <c r="DB64" s="341"/>
      <c r="DC64" s="341"/>
      <c r="DD64" s="341"/>
      <c r="DE64" s="341"/>
      <c r="DF64" s="341"/>
      <c r="DG64" s="341"/>
      <c r="DH64" s="341"/>
      <c r="DI64" s="341"/>
      <c r="DJ64" s="341"/>
      <c r="DK64" s="341"/>
      <c r="DL64" s="341"/>
      <c r="DM64" s="341"/>
      <c r="DN64" s="341"/>
      <c r="DO64" s="341"/>
      <c r="DP64" s="341"/>
      <c r="DQ64" s="341"/>
      <c r="DR64" s="341"/>
      <c r="DS64" s="341"/>
      <c r="DT64" s="341"/>
      <c r="DU64" s="341"/>
      <c r="DV64" s="341"/>
      <c r="DW64" s="341"/>
      <c r="DX64" s="341"/>
      <c r="DY64" s="341"/>
      <c r="DZ64" s="341"/>
      <c r="EA64" s="341"/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100</v>
      </c>
      <c r="N65" s="188">
        <f t="shared" si="42"/>
        <v>200</v>
      </c>
      <c r="O65" s="188">
        <f t="shared" si="42"/>
        <v>300</v>
      </c>
      <c r="P65" s="188">
        <f t="shared" si="42"/>
        <v>400</v>
      </c>
      <c r="Q65" s="188">
        <f t="shared" si="42"/>
        <v>500</v>
      </c>
      <c r="R65" s="188">
        <f t="shared" si="42"/>
        <v>600</v>
      </c>
      <c r="S65" s="188">
        <f t="shared" si="42"/>
        <v>700</v>
      </c>
      <c r="T65" s="188">
        <f t="shared" si="42"/>
        <v>800</v>
      </c>
      <c r="U65" s="188">
        <f t="shared" si="42"/>
        <v>900</v>
      </c>
      <c r="V65" s="188">
        <f t="shared" si="42"/>
        <v>1000</v>
      </c>
      <c r="W65" s="188">
        <f t="shared" si="42"/>
        <v>1100</v>
      </c>
      <c r="X65" s="188">
        <f t="shared" si="42"/>
        <v>1200</v>
      </c>
      <c r="Y65" s="188">
        <f t="shared" si="42"/>
        <v>1300</v>
      </c>
      <c r="Z65" s="188">
        <f t="shared" si="42"/>
        <v>1400</v>
      </c>
      <c r="AA65" s="188">
        <f t="shared" si="42"/>
        <v>1500</v>
      </c>
      <c r="AB65" s="188">
        <f t="shared" si="42"/>
        <v>1600</v>
      </c>
      <c r="AC65" s="188">
        <f t="shared" si="42"/>
        <v>1700</v>
      </c>
      <c r="AD65" s="188">
        <f t="shared" si="42"/>
        <v>1800</v>
      </c>
      <c r="AE65" s="188">
        <f t="shared" si="42"/>
        <v>1900</v>
      </c>
      <c r="AF65" s="188">
        <f t="shared" si="42"/>
        <v>2000</v>
      </c>
      <c r="AG65" s="188">
        <f t="shared" si="42"/>
        <v>2100</v>
      </c>
      <c r="AH65" s="188">
        <f t="shared" si="42"/>
        <v>2200</v>
      </c>
      <c r="AI65" s="188">
        <f t="shared" si="42"/>
        <v>2300</v>
      </c>
      <c r="AJ65" s="188">
        <f t="shared" si="42"/>
        <v>2400</v>
      </c>
      <c r="AK65" s="188">
        <f t="shared" si="42"/>
        <v>2500</v>
      </c>
      <c r="AL65" s="188">
        <f t="shared" si="42"/>
        <v>2600</v>
      </c>
      <c r="AM65" s="188">
        <f t="shared" si="42"/>
        <v>2700</v>
      </c>
      <c r="AN65" s="188">
        <f t="shared" si="42"/>
        <v>2800</v>
      </c>
      <c r="AO65" s="188">
        <f t="shared" si="42"/>
        <v>2900</v>
      </c>
      <c r="AP65" s="188">
        <f t="shared" ref="AP65:BU65" si="43">SUM(AP63:AP64)</f>
        <v>3000</v>
      </c>
      <c r="AQ65" s="188">
        <f t="shared" si="43"/>
        <v>3100</v>
      </c>
      <c r="AR65" s="188">
        <f t="shared" si="43"/>
        <v>3200</v>
      </c>
      <c r="AS65" s="188">
        <f t="shared" si="43"/>
        <v>3300</v>
      </c>
      <c r="AT65" s="188">
        <f t="shared" si="43"/>
        <v>3400</v>
      </c>
      <c r="AU65" s="188">
        <f t="shared" si="43"/>
        <v>3500</v>
      </c>
      <c r="AV65" s="188">
        <f t="shared" si="43"/>
        <v>3600</v>
      </c>
      <c r="AW65" s="188">
        <f t="shared" si="43"/>
        <v>3700</v>
      </c>
      <c r="AX65" s="188">
        <f t="shared" si="43"/>
        <v>3800</v>
      </c>
      <c r="AY65" s="188">
        <f t="shared" si="43"/>
        <v>3900</v>
      </c>
      <c r="AZ65" s="188">
        <f t="shared" si="43"/>
        <v>4000</v>
      </c>
      <c r="BA65" s="188">
        <f t="shared" si="43"/>
        <v>4100</v>
      </c>
      <c r="BB65" s="188">
        <f t="shared" si="43"/>
        <v>4200</v>
      </c>
      <c r="BC65" s="188">
        <f t="shared" si="43"/>
        <v>4300</v>
      </c>
      <c r="BD65" s="188">
        <f t="shared" si="43"/>
        <v>4400</v>
      </c>
      <c r="BE65" s="188">
        <f t="shared" si="43"/>
        <v>4500</v>
      </c>
      <c r="BF65" s="188">
        <f t="shared" si="43"/>
        <v>4600</v>
      </c>
      <c r="BG65" s="188">
        <f t="shared" si="43"/>
        <v>4700</v>
      </c>
      <c r="BH65" s="188">
        <f t="shared" si="43"/>
        <v>4800</v>
      </c>
      <c r="BI65" s="188">
        <f t="shared" si="43"/>
        <v>4900</v>
      </c>
      <c r="BJ65" s="188">
        <f t="shared" si="43"/>
        <v>5000</v>
      </c>
      <c r="BK65" s="188">
        <f t="shared" si="43"/>
        <v>5100</v>
      </c>
      <c r="BL65" s="188">
        <f t="shared" si="43"/>
        <v>5200</v>
      </c>
      <c r="BM65" s="188">
        <f t="shared" si="43"/>
        <v>5300</v>
      </c>
      <c r="BN65" s="188">
        <f t="shared" si="43"/>
        <v>5400</v>
      </c>
      <c r="BO65" s="188">
        <f t="shared" si="43"/>
        <v>5500</v>
      </c>
      <c r="BP65" s="188">
        <f t="shared" si="43"/>
        <v>5600</v>
      </c>
      <c r="BQ65" s="188">
        <f t="shared" si="43"/>
        <v>5700</v>
      </c>
      <c r="BR65" s="188">
        <f t="shared" si="43"/>
        <v>5800</v>
      </c>
      <c r="BS65" s="188">
        <f t="shared" si="43"/>
        <v>5900</v>
      </c>
      <c r="BT65" s="188">
        <f t="shared" si="43"/>
        <v>6000</v>
      </c>
      <c r="BU65" s="188">
        <f t="shared" si="43"/>
        <v>6100</v>
      </c>
      <c r="BV65" s="188">
        <f t="shared" ref="BV65:DA65" si="44">SUM(BV63:BV64)</f>
        <v>6200</v>
      </c>
      <c r="BW65" s="188">
        <f t="shared" si="44"/>
        <v>6300</v>
      </c>
      <c r="BX65" s="188">
        <f t="shared" si="44"/>
        <v>6400</v>
      </c>
      <c r="BY65" s="188">
        <f t="shared" si="44"/>
        <v>6500</v>
      </c>
      <c r="BZ65" s="188">
        <f t="shared" si="44"/>
        <v>6600</v>
      </c>
      <c r="CA65" s="188">
        <f t="shared" si="44"/>
        <v>6700</v>
      </c>
      <c r="CB65" s="188">
        <f t="shared" si="44"/>
        <v>6800</v>
      </c>
      <c r="CC65" s="188">
        <f t="shared" si="44"/>
        <v>6900</v>
      </c>
      <c r="CD65" s="188">
        <f t="shared" si="44"/>
        <v>7000</v>
      </c>
      <c r="CE65" s="188">
        <f t="shared" si="44"/>
        <v>7100</v>
      </c>
      <c r="CF65" s="188">
        <f t="shared" si="44"/>
        <v>7200</v>
      </c>
      <c r="CG65" s="188">
        <f t="shared" si="44"/>
        <v>7300</v>
      </c>
      <c r="CH65" s="188">
        <f t="shared" si="44"/>
        <v>7400</v>
      </c>
      <c r="CI65" s="188">
        <f t="shared" si="44"/>
        <v>7500</v>
      </c>
      <c r="CJ65" s="188">
        <f t="shared" si="44"/>
        <v>7600</v>
      </c>
      <c r="CK65" s="188">
        <f t="shared" si="44"/>
        <v>7700</v>
      </c>
      <c r="CL65" s="188">
        <f t="shared" si="44"/>
        <v>7800</v>
      </c>
      <c r="CM65" s="188">
        <f t="shared" si="44"/>
        <v>7900</v>
      </c>
      <c r="CN65" s="188">
        <f t="shared" si="44"/>
        <v>8000</v>
      </c>
      <c r="CO65" s="188">
        <f t="shared" si="44"/>
        <v>8100</v>
      </c>
      <c r="CP65" s="188">
        <f t="shared" si="44"/>
        <v>8200</v>
      </c>
      <c r="CQ65" s="188">
        <f t="shared" si="44"/>
        <v>8300</v>
      </c>
      <c r="CR65" s="188">
        <f t="shared" si="44"/>
        <v>8400</v>
      </c>
      <c r="CS65" s="188">
        <f t="shared" si="44"/>
        <v>8500</v>
      </c>
      <c r="CT65" s="188">
        <f t="shared" si="44"/>
        <v>8600</v>
      </c>
      <c r="CU65" s="188">
        <f t="shared" si="44"/>
        <v>8700</v>
      </c>
      <c r="CV65" s="188">
        <f t="shared" si="44"/>
        <v>8800</v>
      </c>
      <c r="CW65" s="188">
        <f t="shared" si="44"/>
        <v>8900</v>
      </c>
      <c r="CX65" s="188">
        <f t="shared" si="44"/>
        <v>9000</v>
      </c>
      <c r="CY65" s="188">
        <f t="shared" si="44"/>
        <v>9100</v>
      </c>
      <c r="CZ65" s="188">
        <f t="shared" si="44"/>
        <v>9200</v>
      </c>
      <c r="DA65" s="188">
        <f t="shared" si="44"/>
        <v>9300</v>
      </c>
      <c r="DB65" s="188">
        <f t="shared" ref="DB65:EA65" si="45">SUM(DB63:DB64)</f>
        <v>9400</v>
      </c>
      <c r="DC65" s="188">
        <f t="shared" si="45"/>
        <v>9500</v>
      </c>
      <c r="DD65" s="188">
        <f t="shared" si="45"/>
        <v>9600</v>
      </c>
      <c r="DE65" s="188">
        <f t="shared" si="45"/>
        <v>9700</v>
      </c>
      <c r="DF65" s="188">
        <f t="shared" si="45"/>
        <v>9800</v>
      </c>
      <c r="DG65" s="188">
        <f t="shared" si="45"/>
        <v>9900</v>
      </c>
      <c r="DH65" s="188">
        <f t="shared" si="45"/>
        <v>10000</v>
      </c>
      <c r="DI65" s="188">
        <f t="shared" si="45"/>
        <v>10000</v>
      </c>
      <c r="DJ65" s="188">
        <f t="shared" si="45"/>
        <v>10000</v>
      </c>
      <c r="DK65" s="188">
        <f t="shared" si="45"/>
        <v>10000</v>
      </c>
      <c r="DL65" s="188">
        <f t="shared" si="45"/>
        <v>10000</v>
      </c>
      <c r="DM65" s="188">
        <f t="shared" si="45"/>
        <v>10000</v>
      </c>
      <c r="DN65" s="188">
        <f t="shared" si="45"/>
        <v>10000</v>
      </c>
      <c r="DO65" s="188">
        <f t="shared" si="45"/>
        <v>10000</v>
      </c>
      <c r="DP65" s="188">
        <f t="shared" si="45"/>
        <v>10000</v>
      </c>
      <c r="DQ65" s="188">
        <f t="shared" si="45"/>
        <v>10000</v>
      </c>
      <c r="DR65" s="188">
        <f t="shared" si="45"/>
        <v>10000</v>
      </c>
      <c r="DS65" s="188">
        <f t="shared" si="45"/>
        <v>10000</v>
      </c>
      <c r="DT65" s="188">
        <f t="shared" si="45"/>
        <v>10000</v>
      </c>
      <c r="DU65" s="188">
        <f t="shared" si="45"/>
        <v>10000</v>
      </c>
      <c r="DV65" s="188">
        <f t="shared" si="45"/>
        <v>10000</v>
      </c>
      <c r="DW65" s="188">
        <f t="shared" si="45"/>
        <v>10000</v>
      </c>
      <c r="DX65" s="188">
        <f t="shared" si="45"/>
        <v>10000</v>
      </c>
      <c r="DY65" s="188">
        <f t="shared" si="45"/>
        <v>10000</v>
      </c>
      <c r="DZ65" s="188">
        <f t="shared" si="45"/>
        <v>10000</v>
      </c>
      <c r="EA65" s="188">
        <f t="shared" si="45"/>
        <v>10000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0</v>
      </c>
      <c r="M67" s="163">
        <f t="shared" si="46"/>
        <v>100</v>
      </c>
      <c r="N67" s="163">
        <f t="shared" si="46"/>
        <v>200</v>
      </c>
      <c r="O67" s="163">
        <f t="shared" si="46"/>
        <v>300</v>
      </c>
      <c r="P67" s="163">
        <f t="shared" si="46"/>
        <v>400</v>
      </c>
      <c r="Q67" s="163">
        <f t="shared" si="46"/>
        <v>500</v>
      </c>
      <c r="R67" s="163">
        <f t="shared" si="46"/>
        <v>600</v>
      </c>
      <c r="S67" s="163">
        <f t="shared" si="46"/>
        <v>700</v>
      </c>
      <c r="T67" s="163">
        <f t="shared" si="46"/>
        <v>800</v>
      </c>
      <c r="U67" s="163">
        <f t="shared" si="46"/>
        <v>900</v>
      </c>
      <c r="V67" s="163">
        <f t="shared" si="46"/>
        <v>1000</v>
      </c>
      <c r="W67" s="163">
        <f t="shared" si="46"/>
        <v>1100</v>
      </c>
      <c r="X67" s="163">
        <f t="shared" si="46"/>
        <v>1200</v>
      </c>
      <c r="Y67" s="163">
        <f t="shared" si="46"/>
        <v>1300</v>
      </c>
      <c r="Z67" s="163">
        <f t="shared" si="46"/>
        <v>1400</v>
      </c>
      <c r="AA67" s="163">
        <f t="shared" si="46"/>
        <v>1500</v>
      </c>
      <c r="AB67" s="163">
        <f t="shared" si="46"/>
        <v>1600</v>
      </c>
      <c r="AC67" s="163">
        <f t="shared" si="46"/>
        <v>1700</v>
      </c>
      <c r="AD67" s="163">
        <f t="shared" si="46"/>
        <v>1800</v>
      </c>
      <c r="AE67" s="163">
        <f t="shared" si="46"/>
        <v>1900</v>
      </c>
      <c r="AF67" s="163">
        <f t="shared" si="46"/>
        <v>2000</v>
      </c>
      <c r="AG67" s="163">
        <f t="shared" si="46"/>
        <v>2100</v>
      </c>
      <c r="AH67" s="163">
        <f t="shared" si="46"/>
        <v>2200</v>
      </c>
      <c r="AI67" s="163">
        <f t="shared" si="46"/>
        <v>2300</v>
      </c>
      <c r="AJ67" s="163">
        <f t="shared" si="46"/>
        <v>2400</v>
      </c>
      <c r="AK67" s="163">
        <f t="shared" si="46"/>
        <v>2500</v>
      </c>
      <c r="AL67" s="163">
        <f t="shared" si="46"/>
        <v>2600</v>
      </c>
      <c r="AM67" s="163">
        <f t="shared" si="46"/>
        <v>2700</v>
      </c>
      <c r="AN67" s="163">
        <f t="shared" si="46"/>
        <v>2800</v>
      </c>
      <c r="AO67" s="163">
        <f t="shared" si="46"/>
        <v>2900</v>
      </c>
      <c r="AP67" s="163">
        <f t="shared" ref="AP67:BU67" si="47" xml:space="preserve"> AP65 + AP60</f>
        <v>3000</v>
      </c>
      <c r="AQ67" s="163">
        <f t="shared" si="47"/>
        <v>3100</v>
      </c>
      <c r="AR67" s="163">
        <f t="shared" si="47"/>
        <v>3200</v>
      </c>
      <c r="AS67" s="163">
        <f t="shared" si="47"/>
        <v>3300</v>
      </c>
      <c r="AT67" s="163">
        <f t="shared" si="47"/>
        <v>3400</v>
      </c>
      <c r="AU67" s="163">
        <f t="shared" si="47"/>
        <v>3500</v>
      </c>
      <c r="AV67" s="163">
        <f t="shared" si="47"/>
        <v>3600</v>
      </c>
      <c r="AW67" s="163">
        <f t="shared" si="47"/>
        <v>3700</v>
      </c>
      <c r="AX67" s="163">
        <f t="shared" si="47"/>
        <v>3800</v>
      </c>
      <c r="AY67" s="163">
        <f t="shared" si="47"/>
        <v>3900</v>
      </c>
      <c r="AZ67" s="163">
        <f t="shared" si="47"/>
        <v>4000</v>
      </c>
      <c r="BA67" s="163">
        <f t="shared" si="47"/>
        <v>4100</v>
      </c>
      <c r="BB67" s="163">
        <f t="shared" si="47"/>
        <v>4200</v>
      </c>
      <c r="BC67" s="163">
        <f t="shared" si="47"/>
        <v>4300</v>
      </c>
      <c r="BD67" s="163">
        <f t="shared" si="47"/>
        <v>4400</v>
      </c>
      <c r="BE67" s="163">
        <f t="shared" si="47"/>
        <v>4500</v>
      </c>
      <c r="BF67" s="163">
        <f t="shared" si="47"/>
        <v>4600</v>
      </c>
      <c r="BG67" s="163">
        <f t="shared" si="47"/>
        <v>4700</v>
      </c>
      <c r="BH67" s="163">
        <f t="shared" si="47"/>
        <v>4800</v>
      </c>
      <c r="BI67" s="163">
        <f t="shared" si="47"/>
        <v>4900</v>
      </c>
      <c r="BJ67" s="163">
        <f t="shared" si="47"/>
        <v>5000</v>
      </c>
      <c r="BK67" s="163">
        <f t="shared" si="47"/>
        <v>5100</v>
      </c>
      <c r="BL67" s="163">
        <f t="shared" si="47"/>
        <v>5200</v>
      </c>
      <c r="BM67" s="163">
        <f t="shared" si="47"/>
        <v>5300</v>
      </c>
      <c r="BN67" s="163">
        <f t="shared" si="47"/>
        <v>5400</v>
      </c>
      <c r="BO67" s="163">
        <f t="shared" si="47"/>
        <v>5500</v>
      </c>
      <c r="BP67" s="163">
        <f t="shared" si="47"/>
        <v>5600</v>
      </c>
      <c r="BQ67" s="163">
        <f t="shared" si="47"/>
        <v>5700</v>
      </c>
      <c r="BR67" s="163">
        <f t="shared" si="47"/>
        <v>5800</v>
      </c>
      <c r="BS67" s="163">
        <f t="shared" si="47"/>
        <v>5900</v>
      </c>
      <c r="BT67" s="163">
        <f t="shared" si="47"/>
        <v>6000</v>
      </c>
      <c r="BU67" s="163">
        <f t="shared" si="47"/>
        <v>6100</v>
      </c>
      <c r="BV67" s="163">
        <f t="shared" ref="BV67:DA67" si="48" xml:space="preserve"> BV65 + BV60</f>
        <v>6200</v>
      </c>
      <c r="BW67" s="163">
        <f t="shared" si="48"/>
        <v>6300</v>
      </c>
      <c r="BX67" s="163">
        <f t="shared" si="48"/>
        <v>6400</v>
      </c>
      <c r="BY67" s="163">
        <f t="shared" si="48"/>
        <v>6500</v>
      </c>
      <c r="BZ67" s="163">
        <f t="shared" si="48"/>
        <v>6600</v>
      </c>
      <c r="CA67" s="163">
        <f t="shared" si="48"/>
        <v>6700</v>
      </c>
      <c r="CB67" s="163">
        <f t="shared" si="48"/>
        <v>6800</v>
      </c>
      <c r="CC67" s="163">
        <f t="shared" si="48"/>
        <v>6900</v>
      </c>
      <c r="CD67" s="163">
        <f t="shared" si="48"/>
        <v>7000</v>
      </c>
      <c r="CE67" s="163">
        <f t="shared" si="48"/>
        <v>7100</v>
      </c>
      <c r="CF67" s="163">
        <f t="shared" si="48"/>
        <v>7200</v>
      </c>
      <c r="CG67" s="163">
        <f t="shared" si="48"/>
        <v>7300</v>
      </c>
      <c r="CH67" s="163">
        <f t="shared" si="48"/>
        <v>7400</v>
      </c>
      <c r="CI67" s="163">
        <f t="shared" si="48"/>
        <v>7500</v>
      </c>
      <c r="CJ67" s="163">
        <f t="shared" si="48"/>
        <v>7600</v>
      </c>
      <c r="CK67" s="163">
        <f t="shared" si="48"/>
        <v>7700</v>
      </c>
      <c r="CL67" s="163">
        <f t="shared" si="48"/>
        <v>7800</v>
      </c>
      <c r="CM67" s="163">
        <f t="shared" si="48"/>
        <v>7900</v>
      </c>
      <c r="CN67" s="163">
        <f t="shared" si="48"/>
        <v>8000</v>
      </c>
      <c r="CO67" s="163">
        <f t="shared" si="48"/>
        <v>8100</v>
      </c>
      <c r="CP67" s="163">
        <f t="shared" si="48"/>
        <v>8200</v>
      </c>
      <c r="CQ67" s="163">
        <f t="shared" si="48"/>
        <v>8300</v>
      </c>
      <c r="CR67" s="163">
        <f t="shared" si="48"/>
        <v>8400</v>
      </c>
      <c r="CS67" s="163">
        <f t="shared" si="48"/>
        <v>8500</v>
      </c>
      <c r="CT67" s="163">
        <f t="shared" si="48"/>
        <v>8600</v>
      </c>
      <c r="CU67" s="163">
        <f t="shared" si="48"/>
        <v>8700</v>
      </c>
      <c r="CV67" s="163">
        <f t="shared" si="48"/>
        <v>8800</v>
      </c>
      <c r="CW67" s="163">
        <f t="shared" si="48"/>
        <v>8900</v>
      </c>
      <c r="CX67" s="163">
        <f t="shared" si="48"/>
        <v>9000</v>
      </c>
      <c r="CY67" s="163">
        <f t="shared" si="48"/>
        <v>9100</v>
      </c>
      <c r="CZ67" s="163">
        <f t="shared" si="48"/>
        <v>9200</v>
      </c>
      <c r="DA67" s="163">
        <f t="shared" si="48"/>
        <v>9300</v>
      </c>
      <c r="DB67" s="163">
        <f t="shared" ref="DB67:EA67" si="49" xml:space="preserve"> DB65 + DB60</f>
        <v>9400</v>
      </c>
      <c r="DC67" s="163">
        <f t="shared" si="49"/>
        <v>9500</v>
      </c>
      <c r="DD67" s="163">
        <f t="shared" si="49"/>
        <v>9600</v>
      </c>
      <c r="DE67" s="163">
        <f t="shared" si="49"/>
        <v>9700</v>
      </c>
      <c r="DF67" s="163">
        <f t="shared" si="49"/>
        <v>9800</v>
      </c>
      <c r="DG67" s="163">
        <f t="shared" si="49"/>
        <v>9900</v>
      </c>
      <c r="DH67" s="163">
        <f t="shared" si="49"/>
        <v>10000</v>
      </c>
      <c r="DI67" s="163">
        <f t="shared" si="49"/>
        <v>10000</v>
      </c>
      <c r="DJ67" s="163">
        <f t="shared" si="49"/>
        <v>10000</v>
      </c>
      <c r="DK67" s="163">
        <f t="shared" si="49"/>
        <v>10000</v>
      </c>
      <c r="DL67" s="163">
        <f t="shared" si="49"/>
        <v>10000</v>
      </c>
      <c r="DM67" s="163">
        <f t="shared" si="49"/>
        <v>10000</v>
      </c>
      <c r="DN67" s="163">
        <f t="shared" si="49"/>
        <v>10000</v>
      </c>
      <c r="DO67" s="163">
        <f t="shared" si="49"/>
        <v>10000</v>
      </c>
      <c r="DP67" s="163">
        <f t="shared" si="49"/>
        <v>10000</v>
      </c>
      <c r="DQ67" s="163">
        <f t="shared" si="49"/>
        <v>10000</v>
      </c>
      <c r="DR67" s="163">
        <f t="shared" si="49"/>
        <v>10000</v>
      </c>
      <c r="DS67" s="163">
        <f t="shared" si="49"/>
        <v>10000</v>
      </c>
      <c r="DT67" s="163">
        <f t="shared" si="49"/>
        <v>10000</v>
      </c>
      <c r="DU67" s="163">
        <f t="shared" si="49"/>
        <v>10000</v>
      </c>
      <c r="DV67" s="163">
        <f t="shared" si="49"/>
        <v>10000</v>
      </c>
      <c r="DW67" s="163">
        <f t="shared" si="49"/>
        <v>10000</v>
      </c>
      <c r="DX67" s="163">
        <f t="shared" si="49"/>
        <v>10000</v>
      </c>
      <c r="DY67" s="163">
        <f t="shared" si="49"/>
        <v>10000</v>
      </c>
      <c r="DZ67" s="163">
        <f t="shared" si="49"/>
        <v>10000</v>
      </c>
      <c r="EA67" s="163">
        <f t="shared" si="49"/>
        <v>10000</v>
      </c>
    </row>
    <row r="68" spans="1:131" outlineLevel="1" x14ac:dyDescent="0.35">
      <c r="A68" s="160"/>
      <c r="D68" s="164"/>
    </row>
    <row r="69" spans="1:131" outlineLevel="1" x14ac:dyDescent="0.35">
      <c r="A69" s="160"/>
      <c r="D69" s="164"/>
      <c r="E69" s="341" t="s">
        <v>147</v>
      </c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  <c r="AZ69" s="341"/>
      <c r="BA69" s="341"/>
      <c r="BB69" s="341"/>
      <c r="BC69" s="341"/>
      <c r="BD69" s="341"/>
      <c r="BE69" s="341"/>
      <c r="BF69" s="341"/>
      <c r="BG69" s="341"/>
      <c r="BH69" s="341"/>
      <c r="BI69" s="341"/>
      <c r="BJ69" s="341"/>
      <c r="BK69" s="341"/>
      <c r="BL69" s="341"/>
      <c r="BM69" s="341"/>
      <c r="BN69" s="341"/>
      <c r="BO69" s="341"/>
      <c r="BP69" s="341"/>
      <c r="BQ69" s="341"/>
      <c r="BR69" s="341"/>
      <c r="BS69" s="341"/>
      <c r="BT69" s="341"/>
      <c r="BU69" s="341"/>
      <c r="BV69" s="341"/>
      <c r="BW69" s="341"/>
      <c r="BX69" s="341"/>
      <c r="BY69" s="341"/>
      <c r="BZ69" s="341"/>
      <c r="CA69" s="341"/>
      <c r="CB69" s="341"/>
      <c r="CC69" s="341"/>
      <c r="CD69" s="341"/>
      <c r="CE69" s="341"/>
      <c r="CF69" s="341"/>
      <c r="CG69" s="341"/>
      <c r="CH69" s="341"/>
      <c r="CI69" s="341"/>
      <c r="CJ69" s="341"/>
      <c r="CK69" s="341"/>
      <c r="CL69" s="341"/>
      <c r="CM69" s="341"/>
      <c r="CN69" s="341"/>
      <c r="CO69" s="341"/>
      <c r="CP69" s="341"/>
      <c r="CQ69" s="341"/>
      <c r="CR69" s="341"/>
      <c r="CS69" s="341"/>
      <c r="CT69" s="341"/>
      <c r="CU69" s="341"/>
      <c r="CV69" s="341"/>
      <c r="CW69" s="341"/>
      <c r="CX69" s="341"/>
      <c r="CY69" s="341"/>
      <c r="CZ69" s="341"/>
      <c r="DA69" s="341"/>
      <c r="DB69" s="341"/>
      <c r="DC69" s="341"/>
      <c r="DD69" s="341"/>
      <c r="DE69" s="341"/>
      <c r="DF69" s="341"/>
      <c r="DG69" s="341"/>
      <c r="DH69" s="341"/>
      <c r="DI69" s="341"/>
      <c r="DJ69" s="341"/>
      <c r="DK69" s="341"/>
      <c r="DL69" s="341"/>
      <c r="DM69" s="341"/>
      <c r="DN69" s="341"/>
      <c r="DO69" s="341"/>
      <c r="DP69" s="341"/>
      <c r="DQ69" s="341"/>
      <c r="DR69" s="341"/>
      <c r="DS69" s="341"/>
      <c r="DT69" s="341"/>
      <c r="DU69" s="341"/>
      <c r="DV69" s="341"/>
      <c r="DW69" s="341"/>
      <c r="DX69" s="341"/>
      <c r="DY69" s="341"/>
      <c r="DZ69" s="341"/>
      <c r="EA69" s="341"/>
    </row>
    <row r="70" spans="1:131" outlineLevel="1" x14ac:dyDescent="0.35">
      <c r="A70" s="160"/>
      <c r="D70" s="164"/>
      <c r="E70" s="341" t="s">
        <v>148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149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150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outlineLevel="1" x14ac:dyDescent="0.35">
      <c r="A73" s="160"/>
      <c r="D73" s="164"/>
      <c r="E73" s="341" t="s">
        <v>151</v>
      </c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  <c r="AZ73" s="341"/>
      <c r="BA73" s="341"/>
      <c r="BB73" s="341"/>
      <c r="BC73" s="341"/>
      <c r="BD73" s="341"/>
      <c r="BE73" s="341"/>
      <c r="BF73" s="341"/>
      <c r="BG73" s="341"/>
      <c r="BH73" s="341"/>
      <c r="BI73" s="341"/>
      <c r="BJ73" s="341"/>
      <c r="BK73" s="341"/>
      <c r="BL73" s="341"/>
      <c r="BM73" s="341"/>
      <c r="BN73" s="341"/>
      <c r="BO73" s="341"/>
      <c r="BP73" s="341"/>
      <c r="BQ73" s="341"/>
      <c r="BR73" s="341"/>
      <c r="BS73" s="341"/>
      <c r="BT73" s="341"/>
      <c r="BU73" s="341"/>
      <c r="BV73" s="341"/>
      <c r="BW73" s="341"/>
      <c r="BX73" s="341"/>
      <c r="BY73" s="341"/>
      <c r="BZ73" s="341"/>
      <c r="CA73" s="341"/>
      <c r="CB73" s="341"/>
      <c r="CC73" s="341"/>
      <c r="CD73" s="341"/>
      <c r="CE73" s="341"/>
      <c r="CF73" s="341"/>
      <c r="CG73" s="341"/>
      <c r="CH73" s="341"/>
      <c r="CI73" s="341"/>
      <c r="CJ73" s="341"/>
      <c r="CK73" s="341"/>
      <c r="CL73" s="341"/>
      <c r="CM73" s="341"/>
      <c r="CN73" s="341"/>
      <c r="CO73" s="341"/>
      <c r="CP73" s="341"/>
      <c r="CQ73" s="341"/>
      <c r="CR73" s="341"/>
      <c r="CS73" s="341"/>
      <c r="CT73" s="341"/>
      <c r="CU73" s="341"/>
      <c r="CV73" s="341"/>
      <c r="CW73" s="341"/>
      <c r="CX73" s="341"/>
      <c r="CY73" s="341"/>
      <c r="CZ73" s="341"/>
      <c r="DA73" s="341"/>
      <c r="DB73" s="341"/>
      <c r="DC73" s="341"/>
      <c r="DD73" s="341"/>
      <c r="DE73" s="341"/>
      <c r="DF73" s="341"/>
      <c r="DG73" s="341"/>
      <c r="DH73" s="341"/>
      <c r="DI73" s="341"/>
      <c r="DJ73" s="341"/>
      <c r="DK73" s="341"/>
      <c r="DL73" s="341"/>
      <c r="DM73" s="341"/>
      <c r="DN73" s="341"/>
      <c r="DO73" s="341"/>
      <c r="DP73" s="341"/>
      <c r="DQ73" s="341"/>
      <c r="DR73" s="341"/>
      <c r="DS73" s="341"/>
      <c r="DT73" s="341"/>
      <c r="DU73" s="341"/>
      <c r="DV73" s="341"/>
      <c r="DW73" s="341"/>
      <c r="DX73" s="341"/>
      <c r="DY73" s="341"/>
      <c r="DZ73" s="341"/>
      <c r="EA73" s="341"/>
    </row>
    <row r="74" spans="1:131" s="404" customFormat="1" outlineLevel="1" x14ac:dyDescent="0.35">
      <c r="A74" s="160"/>
      <c r="B74" s="160"/>
      <c r="C74" s="161"/>
      <c r="D74" s="164"/>
      <c r="E74" s="191" t="str">
        <f xml:space="preserve"> Equity!E$16</f>
        <v>Retained earnings balance</v>
      </c>
      <c r="F74" s="191">
        <f xml:space="preserve"> Equity!F$16</f>
        <v>0</v>
      </c>
      <c r="G74" s="191" t="str">
        <f xml:space="preserve"> Equity!G$16</f>
        <v>$ 000s</v>
      </c>
      <c r="H74" s="191">
        <f xml:space="preserve"> Equity!H$16</f>
        <v>0</v>
      </c>
      <c r="I74" s="191">
        <f xml:space="preserve"> Equity!I$16</f>
        <v>0</v>
      </c>
      <c r="J74" s="191">
        <f xml:space="preserve"> Equity!J$16</f>
        <v>0</v>
      </c>
      <c r="K74" s="191">
        <f xml:space="preserve"> Equity!K$16</f>
        <v>0</v>
      </c>
      <c r="L74" s="191">
        <f xml:space="preserve"> Equity!L$16</f>
        <v>0</v>
      </c>
      <c r="M74" s="191">
        <f xml:space="preserve"> Equity!M$16</f>
        <v>100</v>
      </c>
      <c r="N74" s="191">
        <f xml:space="preserve"> Equity!N$16</f>
        <v>200</v>
      </c>
      <c r="O74" s="191">
        <f xml:space="preserve"> Equity!O$16</f>
        <v>300</v>
      </c>
      <c r="P74" s="191">
        <f xml:space="preserve"> Equity!P$16</f>
        <v>400</v>
      </c>
      <c r="Q74" s="191">
        <f xml:space="preserve"> Equity!Q$16</f>
        <v>500</v>
      </c>
      <c r="R74" s="191">
        <f xml:space="preserve"> Equity!R$16</f>
        <v>600</v>
      </c>
      <c r="S74" s="191">
        <f xml:space="preserve"> Equity!S$16</f>
        <v>700</v>
      </c>
      <c r="T74" s="191">
        <f xml:space="preserve"> Equity!T$16</f>
        <v>800</v>
      </c>
      <c r="U74" s="191">
        <f xml:space="preserve"> Equity!U$16</f>
        <v>900</v>
      </c>
      <c r="V74" s="191">
        <f xml:space="preserve"> Equity!V$16</f>
        <v>1000</v>
      </c>
      <c r="W74" s="191">
        <f xml:space="preserve"> Equity!W$16</f>
        <v>1100</v>
      </c>
      <c r="X74" s="191">
        <f xml:space="preserve"> Equity!X$16</f>
        <v>1200</v>
      </c>
      <c r="Y74" s="191">
        <f xml:space="preserve"> Equity!Y$16</f>
        <v>1300</v>
      </c>
      <c r="Z74" s="191">
        <f xml:space="preserve"> Equity!Z$16</f>
        <v>1400</v>
      </c>
      <c r="AA74" s="191">
        <f xml:space="preserve"> Equity!AA$16</f>
        <v>1500</v>
      </c>
      <c r="AB74" s="191">
        <f xml:space="preserve"> Equity!AB$16</f>
        <v>1600</v>
      </c>
      <c r="AC74" s="191">
        <f xml:space="preserve"> Equity!AC$16</f>
        <v>1700</v>
      </c>
      <c r="AD74" s="191">
        <f xml:space="preserve"> Equity!AD$16</f>
        <v>1800</v>
      </c>
      <c r="AE74" s="191">
        <f xml:space="preserve"> Equity!AE$16</f>
        <v>1900</v>
      </c>
      <c r="AF74" s="191">
        <f xml:space="preserve"> Equity!AF$16</f>
        <v>2000</v>
      </c>
      <c r="AG74" s="191">
        <f xml:space="preserve"> Equity!AG$16</f>
        <v>2100</v>
      </c>
      <c r="AH74" s="191">
        <f xml:space="preserve"> Equity!AH$16</f>
        <v>2200</v>
      </c>
      <c r="AI74" s="191">
        <f xml:space="preserve"> Equity!AI$16</f>
        <v>2300</v>
      </c>
      <c r="AJ74" s="191">
        <f xml:space="preserve"> Equity!AJ$16</f>
        <v>2400</v>
      </c>
      <c r="AK74" s="191">
        <f xml:space="preserve"> Equity!AK$16</f>
        <v>2500</v>
      </c>
      <c r="AL74" s="191">
        <f xml:space="preserve"> Equity!AL$16</f>
        <v>2600</v>
      </c>
      <c r="AM74" s="191">
        <f xml:space="preserve"> Equity!AM$16</f>
        <v>2700</v>
      </c>
      <c r="AN74" s="191">
        <f xml:space="preserve"> Equity!AN$16</f>
        <v>2800</v>
      </c>
      <c r="AO74" s="191">
        <f xml:space="preserve"> Equity!AO$16</f>
        <v>2900</v>
      </c>
      <c r="AP74" s="191">
        <f xml:space="preserve"> Equity!AP$16</f>
        <v>3000</v>
      </c>
      <c r="AQ74" s="191">
        <f xml:space="preserve"> Equity!AQ$16</f>
        <v>3100</v>
      </c>
      <c r="AR74" s="191">
        <f xml:space="preserve"> Equity!AR$16</f>
        <v>3200</v>
      </c>
      <c r="AS74" s="191">
        <f xml:space="preserve"> Equity!AS$16</f>
        <v>3300</v>
      </c>
      <c r="AT74" s="191">
        <f xml:space="preserve"> Equity!AT$16</f>
        <v>3400</v>
      </c>
      <c r="AU74" s="191">
        <f xml:space="preserve"> Equity!AU$16</f>
        <v>3500</v>
      </c>
      <c r="AV74" s="191">
        <f xml:space="preserve"> Equity!AV$16</f>
        <v>3600</v>
      </c>
      <c r="AW74" s="191">
        <f xml:space="preserve"> Equity!AW$16</f>
        <v>3700</v>
      </c>
      <c r="AX74" s="191">
        <f xml:space="preserve"> Equity!AX$16</f>
        <v>3800</v>
      </c>
      <c r="AY74" s="191">
        <f xml:space="preserve"> Equity!AY$16</f>
        <v>3900</v>
      </c>
      <c r="AZ74" s="191">
        <f xml:space="preserve"> Equity!AZ$16</f>
        <v>4000</v>
      </c>
      <c r="BA74" s="191">
        <f xml:space="preserve"> Equity!BA$16</f>
        <v>4100</v>
      </c>
      <c r="BB74" s="191">
        <f xml:space="preserve"> Equity!BB$16</f>
        <v>4200</v>
      </c>
      <c r="BC74" s="191">
        <f xml:space="preserve"> Equity!BC$16</f>
        <v>4300</v>
      </c>
      <c r="BD74" s="191">
        <f xml:space="preserve"> Equity!BD$16</f>
        <v>4400</v>
      </c>
      <c r="BE74" s="191">
        <f xml:space="preserve"> Equity!BE$16</f>
        <v>4500</v>
      </c>
      <c r="BF74" s="191">
        <f xml:space="preserve"> Equity!BF$16</f>
        <v>4600</v>
      </c>
      <c r="BG74" s="191">
        <f xml:space="preserve"> Equity!BG$16</f>
        <v>4700</v>
      </c>
      <c r="BH74" s="191">
        <f xml:space="preserve"> Equity!BH$16</f>
        <v>4800</v>
      </c>
      <c r="BI74" s="191">
        <f xml:space="preserve"> Equity!BI$16</f>
        <v>4900</v>
      </c>
      <c r="BJ74" s="191">
        <f xml:space="preserve"> Equity!BJ$16</f>
        <v>5000</v>
      </c>
      <c r="BK74" s="191">
        <f xml:space="preserve"> Equity!BK$16</f>
        <v>5100</v>
      </c>
      <c r="BL74" s="191">
        <f xml:space="preserve"> Equity!BL$16</f>
        <v>5200</v>
      </c>
      <c r="BM74" s="191">
        <f xml:space="preserve"> Equity!BM$16</f>
        <v>5300</v>
      </c>
      <c r="BN74" s="191">
        <f xml:space="preserve"> Equity!BN$16</f>
        <v>5400</v>
      </c>
      <c r="BO74" s="191">
        <f xml:space="preserve"> Equity!BO$16</f>
        <v>5500</v>
      </c>
      <c r="BP74" s="191">
        <f xml:space="preserve"> Equity!BP$16</f>
        <v>5600</v>
      </c>
      <c r="BQ74" s="191">
        <f xml:space="preserve"> Equity!BQ$16</f>
        <v>5700</v>
      </c>
      <c r="BR74" s="191">
        <f xml:space="preserve"> Equity!BR$16</f>
        <v>5800</v>
      </c>
      <c r="BS74" s="191">
        <f xml:space="preserve"> Equity!BS$16</f>
        <v>5900</v>
      </c>
      <c r="BT74" s="191">
        <f xml:space="preserve"> Equity!BT$16</f>
        <v>6000</v>
      </c>
      <c r="BU74" s="191">
        <f xml:space="preserve"> Equity!BU$16</f>
        <v>6100</v>
      </c>
      <c r="BV74" s="191">
        <f xml:space="preserve"> Equity!BV$16</f>
        <v>6200</v>
      </c>
      <c r="BW74" s="191">
        <f xml:space="preserve"> Equity!BW$16</f>
        <v>6300</v>
      </c>
      <c r="BX74" s="191">
        <f xml:space="preserve"> Equity!BX$16</f>
        <v>6400</v>
      </c>
      <c r="BY74" s="191">
        <f xml:space="preserve"> Equity!BY$16</f>
        <v>6500</v>
      </c>
      <c r="BZ74" s="191">
        <f xml:space="preserve"> Equity!BZ$16</f>
        <v>6600</v>
      </c>
      <c r="CA74" s="191">
        <f xml:space="preserve"> Equity!CA$16</f>
        <v>6700</v>
      </c>
      <c r="CB74" s="191">
        <f xml:space="preserve"> Equity!CB$16</f>
        <v>6800</v>
      </c>
      <c r="CC74" s="191">
        <f xml:space="preserve"> Equity!CC$16</f>
        <v>6900</v>
      </c>
      <c r="CD74" s="191">
        <f xml:space="preserve"> Equity!CD$16</f>
        <v>7000</v>
      </c>
      <c r="CE74" s="191">
        <f xml:space="preserve"> Equity!CE$16</f>
        <v>7100</v>
      </c>
      <c r="CF74" s="191">
        <f xml:space="preserve"> Equity!CF$16</f>
        <v>7200</v>
      </c>
      <c r="CG74" s="191">
        <f xml:space="preserve"> Equity!CG$16</f>
        <v>7300</v>
      </c>
      <c r="CH74" s="191">
        <f xml:space="preserve"> Equity!CH$16</f>
        <v>7400</v>
      </c>
      <c r="CI74" s="191">
        <f xml:space="preserve"> Equity!CI$16</f>
        <v>7500</v>
      </c>
      <c r="CJ74" s="191">
        <f xml:space="preserve"> Equity!CJ$16</f>
        <v>7600</v>
      </c>
      <c r="CK74" s="191">
        <f xml:space="preserve"> Equity!CK$16</f>
        <v>7700</v>
      </c>
      <c r="CL74" s="191">
        <f xml:space="preserve"> Equity!CL$16</f>
        <v>7800</v>
      </c>
      <c r="CM74" s="191">
        <f xml:space="preserve"> Equity!CM$16</f>
        <v>7900</v>
      </c>
      <c r="CN74" s="191">
        <f xml:space="preserve"> Equity!CN$16</f>
        <v>8000</v>
      </c>
      <c r="CO74" s="191">
        <f xml:space="preserve"> Equity!CO$16</f>
        <v>8100</v>
      </c>
      <c r="CP74" s="191">
        <f xml:space="preserve"> Equity!CP$16</f>
        <v>8200</v>
      </c>
      <c r="CQ74" s="191">
        <f xml:space="preserve"> Equity!CQ$16</f>
        <v>8300</v>
      </c>
      <c r="CR74" s="191">
        <f xml:space="preserve"> Equity!CR$16</f>
        <v>8400</v>
      </c>
      <c r="CS74" s="191">
        <f xml:space="preserve"> Equity!CS$16</f>
        <v>8500</v>
      </c>
      <c r="CT74" s="191">
        <f xml:space="preserve"> Equity!CT$16</f>
        <v>8600</v>
      </c>
      <c r="CU74" s="191">
        <f xml:space="preserve"> Equity!CU$16</f>
        <v>8700</v>
      </c>
      <c r="CV74" s="191">
        <f xml:space="preserve"> Equity!CV$16</f>
        <v>8800</v>
      </c>
      <c r="CW74" s="191">
        <f xml:space="preserve"> Equity!CW$16</f>
        <v>8900</v>
      </c>
      <c r="CX74" s="191">
        <f xml:space="preserve"> Equity!CX$16</f>
        <v>9000</v>
      </c>
      <c r="CY74" s="191">
        <f xml:space="preserve"> Equity!CY$16</f>
        <v>9100</v>
      </c>
      <c r="CZ74" s="191">
        <f xml:space="preserve"> Equity!CZ$16</f>
        <v>9200</v>
      </c>
      <c r="DA74" s="191">
        <f xml:space="preserve"> Equity!DA$16</f>
        <v>9300</v>
      </c>
      <c r="DB74" s="191">
        <f xml:space="preserve"> Equity!DB$16</f>
        <v>9400</v>
      </c>
      <c r="DC74" s="191">
        <f xml:space="preserve"> Equity!DC$16</f>
        <v>9500</v>
      </c>
      <c r="DD74" s="191">
        <f xml:space="preserve"> Equity!DD$16</f>
        <v>9600</v>
      </c>
      <c r="DE74" s="191">
        <f xml:space="preserve"> Equity!DE$16</f>
        <v>9700</v>
      </c>
      <c r="DF74" s="191">
        <f xml:space="preserve"> Equity!DF$16</f>
        <v>9800</v>
      </c>
      <c r="DG74" s="191">
        <f xml:space="preserve"> Equity!DG$16</f>
        <v>9900</v>
      </c>
      <c r="DH74" s="191">
        <f xml:space="preserve"> Equity!DH$16</f>
        <v>10000</v>
      </c>
      <c r="DI74" s="191">
        <f xml:space="preserve"> Equity!DI$16</f>
        <v>10000</v>
      </c>
      <c r="DJ74" s="191">
        <f xml:space="preserve"> Equity!DJ$16</f>
        <v>10000</v>
      </c>
      <c r="DK74" s="191">
        <f xml:space="preserve"> Equity!DK$16</f>
        <v>10000</v>
      </c>
      <c r="DL74" s="191">
        <f xml:space="preserve"> Equity!DL$16</f>
        <v>10000</v>
      </c>
      <c r="DM74" s="191">
        <f xml:space="preserve"> Equity!DM$16</f>
        <v>10000</v>
      </c>
      <c r="DN74" s="191">
        <f xml:space="preserve"> Equity!DN$16</f>
        <v>10000</v>
      </c>
      <c r="DO74" s="191">
        <f xml:space="preserve"> Equity!DO$16</f>
        <v>10000</v>
      </c>
      <c r="DP74" s="191">
        <f xml:space="preserve"> Equity!DP$16</f>
        <v>10000</v>
      </c>
      <c r="DQ74" s="191">
        <f xml:space="preserve"> Equity!DQ$16</f>
        <v>10000</v>
      </c>
      <c r="DR74" s="191">
        <f xml:space="preserve"> Equity!DR$16</f>
        <v>10000</v>
      </c>
      <c r="DS74" s="191">
        <f xml:space="preserve"> Equity!DS$16</f>
        <v>10000</v>
      </c>
      <c r="DT74" s="191">
        <f xml:space="preserve"> Equity!DT$16</f>
        <v>10000</v>
      </c>
      <c r="DU74" s="191">
        <f xml:space="preserve"> Equity!DU$16</f>
        <v>10000</v>
      </c>
      <c r="DV74" s="191">
        <f xml:space="preserve"> Equity!DV$16</f>
        <v>10000</v>
      </c>
      <c r="DW74" s="191">
        <f xml:space="preserve"> Equity!DW$16</f>
        <v>10000</v>
      </c>
      <c r="DX74" s="191">
        <f xml:space="preserve"> Equity!DX$16</f>
        <v>10000</v>
      </c>
      <c r="DY74" s="191">
        <f xml:space="preserve"> Equity!DY$16</f>
        <v>10000</v>
      </c>
      <c r="DZ74" s="191">
        <f xml:space="preserve"> Equity!DZ$16</f>
        <v>10000</v>
      </c>
      <c r="EA74" s="191">
        <f xml:space="preserve"> Equity!EA$16</f>
        <v>10000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0</v>
      </c>
      <c r="M75" s="163">
        <f t="shared" si="50"/>
        <v>100</v>
      </c>
      <c r="N75" s="163">
        <f t="shared" si="50"/>
        <v>200</v>
      </c>
      <c r="O75" s="163">
        <f t="shared" si="50"/>
        <v>300</v>
      </c>
      <c r="P75" s="163">
        <f t="shared" si="50"/>
        <v>400</v>
      </c>
      <c r="Q75" s="163">
        <f t="shared" si="50"/>
        <v>500</v>
      </c>
      <c r="R75" s="163">
        <f t="shared" si="50"/>
        <v>600</v>
      </c>
      <c r="S75" s="163">
        <f t="shared" si="50"/>
        <v>700</v>
      </c>
      <c r="T75" s="163">
        <f t="shared" si="50"/>
        <v>800</v>
      </c>
      <c r="U75" s="163">
        <f t="shared" si="50"/>
        <v>900</v>
      </c>
      <c r="V75" s="163">
        <f t="shared" si="50"/>
        <v>1000</v>
      </c>
      <c r="W75" s="163">
        <f t="shared" si="50"/>
        <v>1100</v>
      </c>
      <c r="X75" s="163">
        <f t="shared" si="50"/>
        <v>1200</v>
      </c>
      <c r="Y75" s="163">
        <f t="shared" si="50"/>
        <v>1300</v>
      </c>
      <c r="Z75" s="163">
        <f t="shared" si="50"/>
        <v>1400</v>
      </c>
      <c r="AA75" s="163">
        <f t="shared" si="50"/>
        <v>1500</v>
      </c>
      <c r="AB75" s="163">
        <f t="shared" si="50"/>
        <v>1600</v>
      </c>
      <c r="AC75" s="163">
        <f t="shared" si="50"/>
        <v>1700</v>
      </c>
      <c r="AD75" s="163">
        <f t="shared" si="50"/>
        <v>1800</v>
      </c>
      <c r="AE75" s="163">
        <f t="shared" si="50"/>
        <v>1900</v>
      </c>
      <c r="AF75" s="163">
        <f t="shared" si="50"/>
        <v>2000</v>
      </c>
      <c r="AG75" s="163">
        <f t="shared" si="50"/>
        <v>2100</v>
      </c>
      <c r="AH75" s="163">
        <f t="shared" si="50"/>
        <v>2200</v>
      </c>
      <c r="AI75" s="163">
        <f t="shared" si="50"/>
        <v>2300</v>
      </c>
      <c r="AJ75" s="163">
        <f t="shared" si="50"/>
        <v>2400</v>
      </c>
      <c r="AK75" s="163">
        <f t="shared" si="50"/>
        <v>2500</v>
      </c>
      <c r="AL75" s="163">
        <f t="shared" si="50"/>
        <v>2600</v>
      </c>
      <c r="AM75" s="163">
        <f t="shared" si="50"/>
        <v>2700</v>
      </c>
      <c r="AN75" s="163">
        <f t="shared" si="50"/>
        <v>2800</v>
      </c>
      <c r="AO75" s="163">
        <f t="shared" si="50"/>
        <v>2900</v>
      </c>
      <c r="AP75" s="163">
        <f t="shared" ref="AP75:BU75" si="51" xml:space="preserve"> SUM(AP69:AP74)</f>
        <v>3000</v>
      </c>
      <c r="AQ75" s="163">
        <f t="shared" si="51"/>
        <v>3100</v>
      </c>
      <c r="AR75" s="163">
        <f t="shared" si="51"/>
        <v>3200</v>
      </c>
      <c r="AS75" s="163">
        <f t="shared" si="51"/>
        <v>3300</v>
      </c>
      <c r="AT75" s="163">
        <f t="shared" si="51"/>
        <v>3400</v>
      </c>
      <c r="AU75" s="163">
        <f t="shared" si="51"/>
        <v>3500</v>
      </c>
      <c r="AV75" s="163">
        <f t="shared" si="51"/>
        <v>3600</v>
      </c>
      <c r="AW75" s="163">
        <f t="shared" si="51"/>
        <v>3700</v>
      </c>
      <c r="AX75" s="163">
        <f t="shared" si="51"/>
        <v>3800</v>
      </c>
      <c r="AY75" s="163">
        <f t="shared" si="51"/>
        <v>3900</v>
      </c>
      <c r="AZ75" s="163">
        <f t="shared" si="51"/>
        <v>4000</v>
      </c>
      <c r="BA75" s="163">
        <f t="shared" si="51"/>
        <v>4100</v>
      </c>
      <c r="BB75" s="163">
        <f t="shared" si="51"/>
        <v>4200</v>
      </c>
      <c r="BC75" s="163">
        <f t="shared" si="51"/>
        <v>4300</v>
      </c>
      <c r="BD75" s="163">
        <f t="shared" si="51"/>
        <v>4400</v>
      </c>
      <c r="BE75" s="163">
        <f t="shared" si="51"/>
        <v>4500</v>
      </c>
      <c r="BF75" s="163">
        <f t="shared" si="51"/>
        <v>4600</v>
      </c>
      <c r="BG75" s="163">
        <f t="shared" si="51"/>
        <v>4700</v>
      </c>
      <c r="BH75" s="163">
        <f t="shared" si="51"/>
        <v>4800</v>
      </c>
      <c r="BI75" s="163">
        <f t="shared" si="51"/>
        <v>4900</v>
      </c>
      <c r="BJ75" s="163">
        <f t="shared" si="51"/>
        <v>5000</v>
      </c>
      <c r="BK75" s="163">
        <f t="shared" si="51"/>
        <v>5100</v>
      </c>
      <c r="BL75" s="163">
        <f t="shared" si="51"/>
        <v>5200</v>
      </c>
      <c r="BM75" s="163">
        <f t="shared" si="51"/>
        <v>5300</v>
      </c>
      <c r="BN75" s="163">
        <f t="shared" si="51"/>
        <v>5400</v>
      </c>
      <c r="BO75" s="163">
        <f t="shared" si="51"/>
        <v>5500</v>
      </c>
      <c r="BP75" s="163">
        <f t="shared" si="51"/>
        <v>5600</v>
      </c>
      <c r="BQ75" s="163">
        <f t="shared" si="51"/>
        <v>5700</v>
      </c>
      <c r="BR75" s="163">
        <f t="shared" si="51"/>
        <v>5800</v>
      </c>
      <c r="BS75" s="163">
        <f t="shared" si="51"/>
        <v>5900</v>
      </c>
      <c r="BT75" s="163">
        <f t="shared" si="51"/>
        <v>6000</v>
      </c>
      <c r="BU75" s="163">
        <f t="shared" si="51"/>
        <v>6100</v>
      </c>
      <c r="BV75" s="163">
        <f t="shared" ref="BV75:DA75" si="52" xml:space="preserve"> SUM(BV69:BV74)</f>
        <v>6200</v>
      </c>
      <c r="BW75" s="163">
        <f t="shared" si="52"/>
        <v>6300</v>
      </c>
      <c r="BX75" s="163">
        <f t="shared" si="52"/>
        <v>6400</v>
      </c>
      <c r="BY75" s="163">
        <f t="shared" si="52"/>
        <v>6500</v>
      </c>
      <c r="BZ75" s="163">
        <f t="shared" si="52"/>
        <v>6600</v>
      </c>
      <c r="CA75" s="163">
        <f t="shared" si="52"/>
        <v>6700</v>
      </c>
      <c r="CB75" s="163">
        <f t="shared" si="52"/>
        <v>6800</v>
      </c>
      <c r="CC75" s="163">
        <f t="shared" si="52"/>
        <v>6900</v>
      </c>
      <c r="CD75" s="163">
        <f t="shared" si="52"/>
        <v>7000</v>
      </c>
      <c r="CE75" s="163">
        <f t="shared" si="52"/>
        <v>7100</v>
      </c>
      <c r="CF75" s="163">
        <f t="shared" si="52"/>
        <v>7200</v>
      </c>
      <c r="CG75" s="163">
        <f t="shared" si="52"/>
        <v>7300</v>
      </c>
      <c r="CH75" s="163">
        <f t="shared" si="52"/>
        <v>7400</v>
      </c>
      <c r="CI75" s="163">
        <f t="shared" si="52"/>
        <v>7500</v>
      </c>
      <c r="CJ75" s="163">
        <f t="shared" si="52"/>
        <v>7600</v>
      </c>
      <c r="CK75" s="163">
        <f t="shared" si="52"/>
        <v>7700</v>
      </c>
      <c r="CL75" s="163">
        <f t="shared" si="52"/>
        <v>7800</v>
      </c>
      <c r="CM75" s="163">
        <f t="shared" si="52"/>
        <v>7900</v>
      </c>
      <c r="CN75" s="163">
        <f t="shared" si="52"/>
        <v>8000</v>
      </c>
      <c r="CO75" s="163">
        <f t="shared" si="52"/>
        <v>8100</v>
      </c>
      <c r="CP75" s="163">
        <f t="shared" si="52"/>
        <v>8200</v>
      </c>
      <c r="CQ75" s="163">
        <f t="shared" si="52"/>
        <v>8300</v>
      </c>
      <c r="CR75" s="163">
        <f t="shared" si="52"/>
        <v>8400</v>
      </c>
      <c r="CS75" s="163">
        <f t="shared" si="52"/>
        <v>8500</v>
      </c>
      <c r="CT75" s="163">
        <f t="shared" si="52"/>
        <v>8600</v>
      </c>
      <c r="CU75" s="163">
        <f t="shared" si="52"/>
        <v>8700</v>
      </c>
      <c r="CV75" s="163">
        <f t="shared" si="52"/>
        <v>8800</v>
      </c>
      <c r="CW75" s="163">
        <f t="shared" si="52"/>
        <v>8900</v>
      </c>
      <c r="CX75" s="163">
        <f t="shared" si="52"/>
        <v>9000</v>
      </c>
      <c r="CY75" s="163">
        <f t="shared" si="52"/>
        <v>9100</v>
      </c>
      <c r="CZ75" s="163">
        <f t="shared" si="52"/>
        <v>9200</v>
      </c>
      <c r="DA75" s="163">
        <f t="shared" si="52"/>
        <v>9300</v>
      </c>
      <c r="DB75" s="163">
        <f t="shared" ref="DB75:EA75" si="53" xml:space="preserve"> SUM(DB69:DB74)</f>
        <v>9400</v>
      </c>
      <c r="DC75" s="163">
        <f t="shared" si="53"/>
        <v>9500</v>
      </c>
      <c r="DD75" s="163">
        <f t="shared" si="53"/>
        <v>9600</v>
      </c>
      <c r="DE75" s="163">
        <f t="shared" si="53"/>
        <v>9700</v>
      </c>
      <c r="DF75" s="163">
        <f t="shared" si="53"/>
        <v>9800</v>
      </c>
      <c r="DG75" s="163">
        <f t="shared" si="53"/>
        <v>9900</v>
      </c>
      <c r="DH75" s="163">
        <f t="shared" si="53"/>
        <v>10000</v>
      </c>
      <c r="DI75" s="163">
        <f t="shared" si="53"/>
        <v>10000</v>
      </c>
      <c r="DJ75" s="163">
        <f t="shared" si="53"/>
        <v>10000</v>
      </c>
      <c r="DK75" s="163">
        <f t="shared" si="53"/>
        <v>10000</v>
      </c>
      <c r="DL75" s="163">
        <f t="shared" si="53"/>
        <v>10000</v>
      </c>
      <c r="DM75" s="163">
        <f t="shared" si="53"/>
        <v>10000</v>
      </c>
      <c r="DN75" s="163">
        <f t="shared" si="53"/>
        <v>10000</v>
      </c>
      <c r="DO75" s="163">
        <f t="shared" si="53"/>
        <v>10000</v>
      </c>
      <c r="DP75" s="163">
        <f t="shared" si="53"/>
        <v>10000</v>
      </c>
      <c r="DQ75" s="163">
        <f t="shared" si="53"/>
        <v>10000</v>
      </c>
      <c r="DR75" s="163">
        <f t="shared" si="53"/>
        <v>10000</v>
      </c>
      <c r="DS75" s="163">
        <f t="shared" si="53"/>
        <v>10000</v>
      </c>
      <c r="DT75" s="163">
        <f t="shared" si="53"/>
        <v>10000</v>
      </c>
      <c r="DU75" s="163">
        <f t="shared" si="53"/>
        <v>10000</v>
      </c>
      <c r="DV75" s="163">
        <f t="shared" si="53"/>
        <v>10000</v>
      </c>
      <c r="DW75" s="163">
        <f t="shared" si="53"/>
        <v>10000</v>
      </c>
      <c r="DX75" s="163">
        <f t="shared" si="53"/>
        <v>10000</v>
      </c>
      <c r="DY75" s="163">
        <f t="shared" si="53"/>
        <v>10000</v>
      </c>
      <c r="DZ75" s="163">
        <f t="shared" si="53"/>
        <v>10000</v>
      </c>
      <c r="EA75" s="163">
        <f t="shared" si="53"/>
        <v>10000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0</v>
      </c>
      <c r="M80" s="190">
        <f t="shared" si="54"/>
        <v>100</v>
      </c>
      <c r="N80" s="190">
        <f t="shared" si="54"/>
        <v>200</v>
      </c>
      <c r="O80" s="190">
        <f t="shared" si="54"/>
        <v>300</v>
      </c>
      <c r="P80" s="190">
        <f t="shared" si="54"/>
        <v>400</v>
      </c>
      <c r="Q80" s="190">
        <f t="shared" si="54"/>
        <v>500</v>
      </c>
      <c r="R80" s="190">
        <f t="shared" si="54"/>
        <v>600</v>
      </c>
      <c r="S80" s="190">
        <f t="shared" si="54"/>
        <v>700</v>
      </c>
      <c r="T80" s="190">
        <f t="shared" si="54"/>
        <v>800</v>
      </c>
      <c r="U80" s="190">
        <f t="shared" si="54"/>
        <v>900</v>
      </c>
      <c r="V80" s="190">
        <f t="shared" si="54"/>
        <v>1000</v>
      </c>
      <c r="W80" s="190">
        <f t="shared" si="54"/>
        <v>1100</v>
      </c>
      <c r="X80" s="190">
        <f t="shared" si="54"/>
        <v>1200</v>
      </c>
      <c r="Y80" s="190">
        <f t="shared" si="54"/>
        <v>1300</v>
      </c>
      <c r="Z80" s="190">
        <f t="shared" si="54"/>
        <v>1400</v>
      </c>
      <c r="AA80" s="190">
        <f t="shared" si="54"/>
        <v>1500</v>
      </c>
      <c r="AB80" s="190">
        <f t="shared" si="54"/>
        <v>1600</v>
      </c>
      <c r="AC80" s="190">
        <f t="shared" si="54"/>
        <v>1700</v>
      </c>
      <c r="AD80" s="190">
        <f t="shared" si="54"/>
        <v>1800</v>
      </c>
      <c r="AE80" s="190">
        <f t="shared" si="54"/>
        <v>1900</v>
      </c>
      <c r="AF80" s="190">
        <f t="shared" si="54"/>
        <v>2000</v>
      </c>
      <c r="AG80" s="190">
        <f t="shared" si="54"/>
        <v>2100</v>
      </c>
      <c r="AH80" s="190">
        <f t="shared" si="54"/>
        <v>2200</v>
      </c>
      <c r="AI80" s="190">
        <f t="shared" si="54"/>
        <v>2300</v>
      </c>
      <c r="AJ80" s="190">
        <f t="shared" si="54"/>
        <v>2400</v>
      </c>
      <c r="AK80" s="190">
        <f t="shared" si="54"/>
        <v>2500</v>
      </c>
      <c r="AL80" s="190">
        <f t="shared" si="54"/>
        <v>2600</v>
      </c>
      <c r="AM80" s="190">
        <f t="shared" si="54"/>
        <v>2700</v>
      </c>
      <c r="AN80" s="190">
        <f t="shared" si="54"/>
        <v>2800</v>
      </c>
      <c r="AO80" s="190">
        <f t="shared" si="54"/>
        <v>2900</v>
      </c>
      <c r="AP80" s="190">
        <f t="shared" si="54"/>
        <v>3000</v>
      </c>
      <c r="AQ80" s="190">
        <f t="shared" si="54"/>
        <v>3100</v>
      </c>
      <c r="AR80" s="190">
        <f t="shared" si="54"/>
        <v>3200</v>
      </c>
      <c r="AS80" s="190">
        <f t="shared" si="54"/>
        <v>3300</v>
      </c>
      <c r="AT80" s="190">
        <f t="shared" si="54"/>
        <v>3400</v>
      </c>
      <c r="AU80" s="190">
        <f t="shared" si="54"/>
        <v>3500</v>
      </c>
      <c r="AV80" s="190">
        <f t="shared" si="54"/>
        <v>3600</v>
      </c>
      <c r="AW80" s="190">
        <f t="shared" si="54"/>
        <v>3700</v>
      </c>
      <c r="AX80" s="190">
        <f t="shared" si="54"/>
        <v>3800</v>
      </c>
      <c r="AY80" s="190">
        <f t="shared" si="54"/>
        <v>3900</v>
      </c>
      <c r="AZ80" s="190">
        <f t="shared" si="54"/>
        <v>4000</v>
      </c>
      <c r="BA80" s="190">
        <f t="shared" si="54"/>
        <v>4100</v>
      </c>
      <c r="BB80" s="190">
        <f t="shared" si="54"/>
        <v>4200</v>
      </c>
      <c r="BC80" s="190">
        <f t="shared" si="54"/>
        <v>4300</v>
      </c>
      <c r="BD80" s="190">
        <f t="shared" si="54"/>
        <v>4400</v>
      </c>
      <c r="BE80" s="190">
        <f t="shared" si="54"/>
        <v>4500</v>
      </c>
      <c r="BF80" s="190">
        <f t="shared" si="54"/>
        <v>4600</v>
      </c>
      <c r="BG80" s="190">
        <f t="shared" si="54"/>
        <v>4700</v>
      </c>
      <c r="BH80" s="190">
        <f t="shared" si="54"/>
        <v>4800</v>
      </c>
      <c r="BI80" s="190">
        <f t="shared" si="54"/>
        <v>4900</v>
      </c>
      <c r="BJ80" s="190">
        <f t="shared" si="54"/>
        <v>5000</v>
      </c>
      <c r="BK80" s="190">
        <f t="shared" si="54"/>
        <v>5100</v>
      </c>
      <c r="BL80" s="190">
        <f t="shared" si="54"/>
        <v>5200</v>
      </c>
      <c r="BM80" s="190">
        <f t="shared" si="54"/>
        <v>5300</v>
      </c>
      <c r="BN80" s="190">
        <f t="shared" si="54"/>
        <v>5400</v>
      </c>
      <c r="BO80" s="190">
        <f t="shared" si="54"/>
        <v>5500</v>
      </c>
      <c r="BP80" s="190">
        <f t="shared" si="54"/>
        <v>5600</v>
      </c>
      <c r="BQ80" s="190">
        <f t="shared" si="54"/>
        <v>5700</v>
      </c>
      <c r="BR80" s="190">
        <f t="shared" ref="BR80:EA80" si="55" xml:space="preserve"> BR$67</f>
        <v>5800</v>
      </c>
      <c r="BS80" s="190">
        <f t="shared" si="55"/>
        <v>5900</v>
      </c>
      <c r="BT80" s="190">
        <f t="shared" si="55"/>
        <v>6000</v>
      </c>
      <c r="BU80" s="190">
        <f t="shared" si="55"/>
        <v>6100</v>
      </c>
      <c r="BV80" s="190">
        <f t="shared" si="55"/>
        <v>6200</v>
      </c>
      <c r="BW80" s="190">
        <f t="shared" si="55"/>
        <v>6300</v>
      </c>
      <c r="BX80" s="190">
        <f t="shared" si="55"/>
        <v>6400</v>
      </c>
      <c r="BY80" s="190">
        <f t="shared" si="55"/>
        <v>6500</v>
      </c>
      <c r="BZ80" s="190">
        <f t="shared" si="55"/>
        <v>6600</v>
      </c>
      <c r="CA80" s="190">
        <f t="shared" si="55"/>
        <v>6700</v>
      </c>
      <c r="CB80" s="190">
        <f t="shared" si="55"/>
        <v>6800</v>
      </c>
      <c r="CC80" s="190">
        <f t="shared" si="55"/>
        <v>6900</v>
      </c>
      <c r="CD80" s="190">
        <f t="shared" si="55"/>
        <v>7000</v>
      </c>
      <c r="CE80" s="190">
        <f t="shared" si="55"/>
        <v>7100</v>
      </c>
      <c r="CF80" s="190">
        <f t="shared" si="55"/>
        <v>7200</v>
      </c>
      <c r="CG80" s="190">
        <f t="shared" si="55"/>
        <v>7300</v>
      </c>
      <c r="CH80" s="190">
        <f t="shared" si="55"/>
        <v>7400</v>
      </c>
      <c r="CI80" s="190">
        <f t="shared" si="55"/>
        <v>7500</v>
      </c>
      <c r="CJ80" s="190">
        <f t="shared" si="55"/>
        <v>7600</v>
      </c>
      <c r="CK80" s="190">
        <f t="shared" si="55"/>
        <v>7700</v>
      </c>
      <c r="CL80" s="190">
        <f t="shared" si="55"/>
        <v>7800</v>
      </c>
      <c r="CM80" s="190">
        <f t="shared" si="55"/>
        <v>7900</v>
      </c>
      <c r="CN80" s="190">
        <f t="shared" si="55"/>
        <v>8000</v>
      </c>
      <c r="CO80" s="190">
        <f t="shared" si="55"/>
        <v>8100</v>
      </c>
      <c r="CP80" s="190">
        <f t="shared" si="55"/>
        <v>8200</v>
      </c>
      <c r="CQ80" s="190">
        <f t="shared" si="55"/>
        <v>8300</v>
      </c>
      <c r="CR80" s="190">
        <f t="shared" si="55"/>
        <v>8400</v>
      </c>
      <c r="CS80" s="190">
        <f t="shared" si="55"/>
        <v>8500</v>
      </c>
      <c r="CT80" s="190">
        <f t="shared" si="55"/>
        <v>8600</v>
      </c>
      <c r="CU80" s="190">
        <f t="shared" si="55"/>
        <v>8700</v>
      </c>
      <c r="CV80" s="190">
        <f t="shared" si="55"/>
        <v>8800</v>
      </c>
      <c r="CW80" s="190">
        <f t="shared" si="55"/>
        <v>8900</v>
      </c>
      <c r="CX80" s="190">
        <f t="shared" si="55"/>
        <v>9000</v>
      </c>
      <c r="CY80" s="190">
        <f t="shared" si="55"/>
        <v>9100</v>
      </c>
      <c r="CZ80" s="190">
        <f t="shared" si="55"/>
        <v>9200</v>
      </c>
      <c r="DA80" s="190">
        <f t="shared" si="55"/>
        <v>9300</v>
      </c>
      <c r="DB80" s="190">
        <f t="shared" si="55"/>
        <v>9400</v>
      </c>
      <c r="DC80" s="190">
        <f t="shared" si="55"/>
        <v>9500</v>
      </c>
      <c r="DD80" s="190">
        <f t="shared" si="55"/>
        <v>9600</v>
      </c>
      <c r="DE80" s="190">
        <f t="shared" si="55"/>
        <v>9700</v>
      </c>
      <c r="DF80" s="190">
        <f t="shared" si="55"/>
        <v>9800</v>
      </c>
      <c r="DG80" s="190">
        <f t="shared" si="55"/>
        <v>9900</v>
      </c>
      <c r="DH80" s="190">
        <f t="shared" si="55"/>
        <v>10000</v>
      </c>
      <c r="DI80" s="190">
        <f t="shared" si="55"/>
        <v>10000</v>
      </c>
      <c r="DJ80" s="190">
        <f t="shared" si="55"/>
        <v>10000</v>
      </c>
      <c r="DK80" s="190">
        <f t="shared" si="55"/>
        <v>10000</v>
      </c>
      <c r="DL80" s="190">
        <f t="shared" si="55"/>
        <v>10000</v>
      </c>
      <c r="DM80" s="190">
        <f t="shared" si="55"/>
        <v>10000</v>
      </c>
      <c r="DN80" s="190">
        <f t="shared" si="55"/>
        <v>10000</v>
      </c>
      <c r="DO80" s="190">
        <f t="shared" si="55"/>
        <v>10000</v>
      </c>
      <c r="DP80" s="190">
        <f t="shared" si="55"/>
        <v>10000</v>
      </c>
      <c r="DQ80" s="190">
        <f t="shared" si="55"/>
        <v>10000</v>
      </c>
      <c r="DR80" s="190">
        <f t="shared" si="55"/>
        <v>10000</v>
      </c>
      <c r="DS80" s="190">
        <f t="shared" si="55"/>
        <v>10000</v>
      </c>
      <c r="DT80" s="190">
        <f t="shared" si="55"/>
        <v>10000</v>
      </c>
      <c r="DU80" s="190">
        <f t="shared" si="55"/>
        <v>10000</v>
      </c>
      <c r="DV80" s="190">
        <f t="shared" si="55"/>
        <v>10000</v>
      </c>
      <c r="DW80" s="190">
        <f t="shared" si="55"/>
        <v>10000</v>
      </c>
      <c r="DX80" s="190">
        <f t="shared" si="55"/>
        <v>10000</v>
      </c>
      <c r="DY80" s="190">
        <f t="shared" si="55"/>
        <v>10000</v>
      </c>
      <c r="DZ80" s="190">
        <f t="shared" si="55"/>
        <v>10000</v>
      </c>
      <c r="EA80" s="190">
        <f t="shared" si="55"/>
        <v>10000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0</v>
      </c>
      <c r="M81" s="190">
        <f t="shared" si="56"/>
        <v>100</v>
      </c>
      <c r="N81" s="190">
        <f t="shared" ref="N81:AS81" si="57" xml:space="preserve"> N$75</f>
        <v>200</v>
      </c>
      <c r="O81" s="190">
        <f t="shared" si="57"/>
        <v>300</v>
      </c>
      <c r="P81" s="190">
        <f t="shared" si="57"/>
        <v>400</v>
      </c>
      <c r="Q81" s="190">
        <f t="shared" si="57"/>
        <v>500</v>
      </c>
      <c r="R81" s="190">
        <f t="shared" si="57"/>
        <v>600</v>
      </c>
      <c r="S81" s="190">
        <f t="shared" si="57"/>
        <v>700</v>
      </c>
      <c r="T81" s="190">
        <f t="shared" si="57"/>
        <v>800</v>
      </c>
      <c r="U81" s="190">
        <f t="shared" si="57"/>
        <v>900</v>
      </c>
      <c r="V81" s="190">
        <f t="shared" si="57"/>
        <v>1000</v>
      </c>
      <c r="W81" s="190">
        <f t="shared" si="57"/>
        <v>1100</v>
      </c>
      <c r="X81" s="190">
        <f t="shared" si="57"/>
        <v>1200</v>
      </c>
      <c r="Y81" s="190">
        <f t="shared" si="57"/>
        <v>1300</v>
      </c>
      <c r="Z81" s="190">
        <f t="shared" si="57"/>
        <v>1400</v>
      </c>
      <c r="AA81" s="190">
        <f t="shared" si="57"/>
        <v>1500</v>
      </c>
      <c r="AB81" s="190">
        <f t="shared" si="57"/>
        <v>1600</v>
      </c>
      <c r="AC81" s="190">
        <f t="shared" si="57"/>
        <v>1700</v>
      </c>
      <c r="AD81" s="190">
        <f t="shared" si="57"/>
        <v>1800</v>
      </c>
      <c r="AE81" s="190">
        <f t="shared" si="57"/>
        <v>1900</v>
      </c>
      <c r="AF81" s="190">
        <f t="shared" si="57"/>
        <v>2000</v>
      </c>
      <c r="AG81" s="190">
        <f t="shared" si="57"/>
        <v>2100</v>
      </c>
      <c r="AH81" s="190">
        <f t="shared" si="57"/>
        <v>2200</v>
      </c>
      <c r="AI81" s="190">
        <f t="shared" si="57"/>
        <v>2300</v>
      </c>
      <c r="AJ81" s="190">
        <f t="shared" si="57"/>
        <v>2400</v>
      </c>
      <c r="AK81" s="190">
        <f t="shared" si="57"/>
        <v>2500</v>
      </c>
      <c r="AL81" s="190">
        <f t="shared" si="57"/>
        <v>2600</v>
      </c>
      <c r="AM81" s="190">
        <f t="shared" si="57"/>
        <v>2700</v>
      </c>
      <c r="AN81" s="190">
        <f t="shared" si="57"/>
        <v>2800</v>
      </c>
      <c r="AO81" s="190">
        <f t="shared" si="57"/>
        <v>2900</v>
      </c>
      <c r="AP81" s="190">
        <f t="shared" si="57"/>
        <v>3000</v>
      </c>
      <c r="AQ81" s="190">
        <f t="shared" si="57"/>
        <v>3100</v>
      </c>
      <c r="AR81" s="190">
        <f t="shared" si="57"/>
        <v>3200</v>
      </c>
      <c r="AS81" s="190">
        <f t="shared" si="57"/>
        <v>3300</v>
      </c>
      <c r="AT81" s="190">
        <f t="shared" ref="AT81:BY81" si="58" xml:space="preserve"> AT$75</f>
        <v>3400</v>
      </c>
      <c r="AU81" s="190">
        <f t="shared" si="58"/>
        <v>3500</v>
      </c>
      <c r="AV81" s="190">
        <f t="shared" si="58"/>
        <v>3600</v>
      </c>
      <c r="AW81" s="190">
        <f t="shared" si="58"/>
        <v>3700</v>
      </c>
      <c r="AX81" s="190">
        <f t="shared" si="58"/>
        <v>3800</v>
      </c>
      <c r="AY81" s="190">
        <f t="shared" si="58"/>
        <v>3900</v>
      </c>
      <c r="AZ81" s="190">
        <f t="shared" si="58"/>
        <v>4000</v>
      </c>
      <c r="BA81" s="190">
        <f t="shared" si="58"/>
        <v>4100</v>
      </c>
      <c r="BB81" s="190">
        <f t="shared" si="58"/>
        <v>4200</v>
      </c>
      <c r="BC81" s="190">
        <f t="shared" si="58"/>
        <v>4300</v>
      </c>
      <c r="BD81" s="190">
        <f t="shared" si="58"/>
        <v>4400</v>
      </c>
      <c r="BE81" s="190">
        <f t="shared" si="58"/>
        <v>4500</v>
      </c>
      <c r="BF81" s="190">
        <f t="shared" si="58"/>
        <v>4600</v>
      </c>
      <c r="BG81" s="190">
        <f t="shared" si="58"/>
        <v>4700</v>
      </c>
      <c r="BH81" s="190">
        <f t="shared" si="58"/>
        <v>4800</v>
      </c>
      <c r="BI81" s="190">
        <f t="shared" si="58"/>
        <v>4900</v>
      </c>
      <c r="BJ81" s="190">
        <f t="shared" si="58"/>
        <v>5000</v>
      </c>
      <c r="BK81" s="190">
        <f t="shared" si="58"/>
        <v>5100</v>
      </c>
      <c r="BL81" s="190">
        <f t="shared" si="58"/>
        <v>5200</v>
      </c>
      <c r="BM81" s="190">
        <f t="shared" si="58"/>
        <v>5300</v>
      </c>
      <c r="BN81" s="190">
        <f t="shared" si="58"/>
        <v>5400</v>
      </c>
      <c r="BO81" s="190">
        <f t="shared" si="58"/>
        <v>5500</v>
      </c>
      <c r="BP81" s="190">
        <f t="shared" si="58"/>
        <v>5600</v>
      </c>
      <c r="BQ81" s="190">
        <f t="shared" si="58"/>
        <v>5700</v>
      </c>
      <c r="BR81" s="190">
        <f t="shared" si="58"/>
        <v>5800</v>
      </c>
      <c r="BS81" s="190">
        <f t="shared" si="58"/>
        <v>5900</v>
      </c>
      <c r="BT81" s="190">
        <f t="shared" si="58"/>
        <v>6000</v>
      </c>
      <c r="BU81" s="190">
        <f t="shared" si="58"/>
        <v>6100</v>
      </c>
      <c r="BV81" s="190">
        <f t="shared" si="58"/>
        <v>6200</v>
      </c>
      <c r="BW81" s="190">
        <f t="shared" si="58"/>
        <v>6300</v>
      </c>
      <c r="BX81" s="190">
        <f t="shared" si="58"/>
        <v>6400</v>
      </c>
      <c r="BY81" s="190">
        <f t="shared" si="58"/>
        <v>6500</v>
      </c>
      <c r="BZ81" s="190">
        <f t="shared" ref="BZ81:DE81" si="59" xml:space="preserve"> BZ$75</f>
        <v>6600</v>
      </c>
      <c r="CA81" s="190">
        <f t="shared" si="59"/>
        <v>6700</v>
      </c>
      <c r="CB81" s="190">
        <f t="shared" si="59"/>
        <v>6800</v>
      </c>
      <c r="CC81" s="190">
        <f t="shared" si="59"/>
        <v>6900</v>
      </c>
      <c r="CD81" s="190">
        <f t="shared" si="59"/>
        <v>7000</v>
      </c>
      <c r="CE81" s="190">
        <f t="shared" si="59"/>
        <v>7100</v>
      </c>
      <c r="CF81" s="190">
        <f t="shared" si="59"/>
        <v>7200</v>
      </c>
      <c r="CG81" s="190">
        <f t="shared" si="59"/>
        <v>7300</v>
      </c>
      <c r="CH81" s="190">
        <f t="shared" si="59"/>
        <v>7400</v>
      </c>
      <c r="CI81" s="190">
        <f t="shared" si="59"/>
        <v>7500</v>
      </c>
      <c r="CJ81" s="190">
        <f t="shared" si="59"/>
        <v>7600</v>
      </c>
      <c r="CK81" s="190">
        <f t="shared" si="59"/>
        <v>7700</v>
      </c>
      <c r="CL81" s="190">
        <f t="shared" si="59"/>
        <v>7800</v>
      </c>
      <c r="CM81" s="190">
        <f t="shared" si="59"/>
        <v>7900</v>
      </c>
      <c r="CN81" s="190">
        <f t="shared" si="59"/>
        <v>8000</v>
      </c>
      <c r="CO81" s="190">
        <f t="shared" si="59"/>
        <v>8100</v>
      </c>
      <c r="CP81" s="190">
        <f t="shared" si="59"/>
        <v>8200</v>
      </c>
      <c r="CQ81" s="190">
        <f t="shared" si="59"/>
        <v>8300</v>
      </c>
      <c r="CR81" s="190">
        <f t="shared" si="59"/>
        <v>8400</v>
      </c>
      <c r="CS81" s="190">
        <f t="shared" si="59"/>
        <v>8500</v>
      </c>
      <c r="CT81" s="190">
        <f t="shared" si="59"/>
        <v>8600</v>
      </c>
      <c r="CU81" s="190">
        <f t="shared" si="59"/>
        <v>8700</v>
      </c>
      <c r="CV81" s="190">
        <f t="shared" si="59"/>
        <v>8800</v>
      </c>
      <c r="CW81" s="190">
        <f t="shared" si="59"/>
        <v>8900</v>
      </c>
      <c r="CX81" s="190">
        <f t="shared" si="59"/>
        <v>9000</v>
      </c>
      <c r="CY81" s="190">
        <f t="shared" si="59"/>
        <v>9100</v>
      </c>
      <c r="CZ81" s="190">
        <f t="shared" si="59"/>
        <v>9200</v>
      </c>
      <c r="DA81" s="190">
        <f t="shared" si="59"/>
        <v>9300</v>
      </c>
      <c r="DB81" s="190">
        <f t="shared" si="59"/>
        <v>9400</v>
      </c>
      <c r="DC81" s="190">
        <f t="shared" si="59"/>
        <v>9500</v>
      </c>
      <c r="DD81" s="190">
        <f t="shared" si="59"/>
        <v>9600</v>
      </c>
      <c r="DE81" s="190">
        <f t="shared" si="59"/>
        <v>9700</v>
      </c>
      <c r="DF81" s="190">
        <f t="shared" ref="DF81:EA81" si="60" xml:space="preserve"> DF$75</f>
        <v>9800</v>
      </c>
      <c r="DG81" s="190">
        <f t="shared" si="60"/>
        <v>9900</v>
      </c>
      <c r="DH81" s="190">
        <f t="shared" si="60"/>
        <v>10000</v>
      </c>
      <c r="DI81" s="190">
        <f t="shared" si="60"/>
        <v>10000</v>
      </c>
      <c r="DJ81" s="190">
        <f t="shared" si="60"/>
        <v>10000</v>
      </c>
      <c r="DK81" s="190">
        <f t="shared" si="60"/>
        <v>10000</v>
      </c>
      <c r="DL81" s="190">
        <f t="shared" si="60"/>
        <v>10000</v>
      </c>
      <c r="DM81" s="190">
        <f t="shared" si="60"/>
        <v>10000</v>
      </c>
      <c r="DN81" s="190">
        <f t="shared" si="60"/>
        <v>10000</v>
      </c>
      <c r="DO81" s="190">
        <f t="shared" si="60"/>
        <v>10000</v>
      </c>
      <c r="DP81" s="190">
        <f t="shared" si="60"/>
        <v>10000</v>
      </c>
      <c r="DQ81" s="190">
        <f t="shared" si="60"/>
        <v>10000</v>
      </c>
      <c r="DR81" s="190">
        <f t="shared" si="60"/>
        <v>10000</v>
      </c>
      <c r="DS81" s="190">
        <f t="shared" si="60"/>
        <v>10000</v>
      </c>
      <c r="DT81" s="190">
        <f t="shared" si="60"/>
        <v>10000</v>
      </c>
      <c r="DU81" s="190">
        <f t="shared" si="60"/>
        <v>10000</v>
      </c>
      <c r="DV81" s="190">
        <f t="shared" si="60"/>
        <v>10000</v>
      </c>
      <c r="DW81" s="190">
        <f t="shared" si="60"/>
        <v>10000</v>
      </c>
      <c r="DX81" s="190">
        <f t="shared" si="60"/>
        <v>10000</v>
      </c>
      <c r="DY81" s="190">
        <f t="shared" si="60"/>
        <v>10000</v>
      </c>
      <c r="DZ81" s="190">
        <f t="shared" si="60"/>
        <v>10000</v>
      </c>
      <c r="EA81" s="190">
        <f t="shared" si="60"/>
        <v>10000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0</v>
      </c>
      <c r="DI83" s="150">
        <f t="shared" si="66"/>
        <v>0</v>
      </c>
      <c r="DJ83" s="150">
        <f t="shared" si="66"/>
        <v>0</v>
      </c>
      <c r="DK83" s="150">
        <f t="shared" si="66"/>
        <v>0</v>
      </c>
      <c r="DL83" s="150">
        <f t="shared" si="66"/>
        <v>0</v>
      </c>
      <c r="DM83" s="150">
        <f t="shared" si="66"/>
        <v>0</v>
      </c>
      <c r="DN83" s="150">
        <f t="shared" si="66"/>
        <v>0</v>
      </c>
      <c r="DO83" s="150">
        <f t="shared" si="66"/>
        <v>0</v>
      </c>
      <c r="DP83" s="150">
        <f t="shared" si="66"/>
        <v>0</v>
      </c>
      <c r="DQ83" s="150">
        <f t="shared" si="66"/>
        <v>0</v>
      </c>
      <c r="DR83" s="150">
        <f t="shared" si="66"/>
        <v>0</v>
      </c>
      <c r="DS83" s="150">
        <f t="shared" si="66"/>
        <v>0</v>
      </c>
      <c r="DT83" s="150">
        <f t="shared" si="66"/>
        <v>0</v>
      </c>
      <c r="DU83" s="150">
        <f t="shared" si="66"/>
        <v>0</v>
      </c>
      <c r="DV83" s="150">
        <f t="shared" si="66"/>
        <v>0</v>
      </c>
      <c r="DW83" s="150">
        <f t="shared" si="66"/>
        <v>0</v>
      </c>
      <c r="DX83" s="150">
        <f t="shared" si="66"/>
        <v>0</v>
      </c>
      <c r="DY83" s="150">
        <f t="shared" si="66"/>
        <v>0</v>
      </c>
      <c r="DZ83" s="150">
        <f t="shared" si="66"/>
        <v>0</v>
      </c>
      <c r="EA83" s="150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51" activePane="bottomRight" state="frozen"/>
      <selection activeCell="E45" sqref="E45"/>
      <selection pane="topRight" activeCell="E45" sqref="E45"/>
      <selection pane="bottomLeft" activeCell="E45" sqref="E45"/>
      <selection pane="bottomRight" activeCell="G64" sqref="G64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8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[Electricity generation revenue]</v>
      </c>
      <c r="F9" s="9">
        <f xml:space="preserve"> 'FS Qtr'!F9</f>
        <v>0</v>
      </c>
      <c r="G9" s="342">
        <f xml:space="preserve"> 'FS Qtr'!G9</f>
        <v>0</v>
      </c>
      <c r="H9" s="9">
        <f xml:space="preserve"> SUM(J9:AN9)</f>
        <v>10000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400</v>
      </c>
      <c r="L9" s="9">
        <f xml:space="preserve"> SUMIFS('FS Qtr'!$J9:$EA9, 'FS Qtr'!$J$4:$EA$4, 'FS Ann'!L$4)</f>
        <v>400</v>
      </c>
      <c r="M9" s="9">
        <f xml:space="preserve"> SUMIFS('FS Qtr'!$J9:$EA9, 'FS Qtr'!$J$4:$EA$4, 'FS Ann'!M$4)</f>
        <v>400</v>
      </c>
      <c r="N9" s="9">
        <f xml:space="preserve"> SUMIFS('FS Qtr'!$J9:$EA9, 'FS Qtr'!$J$4:$EA$4, 'FS Ann'!N$4)</f>
        <v>400</v>
      </c>
      <c r="O9" s="9">
        <f xml:space="preserve"> SUMIFS('FS Qtr'!$J9:$EA9, 'FS Qtr'!$J$4:$EA$4, 'FS Ann'!O$4)</f>
        <v>400</v>
      </c>
      <c r="P9" s="9">
        <f xml:space="preserve"> SUMIFS('FS Qtr'!$J9:$EA9, 'FS Qtr'!$J$4:$EA$4, 'FS Ann'!P$4)</f>
        <v>400</v>
      </c>
      <c r="Q9" s="9">
        <f xml:space="preserve"> SUMIFS('FS Qtr'!$J9:$EA9, 'FS Qtr'!$J$4:$EA$4, 'FS Ann'!Q$4)</f>
        <v>400</v>
      </c>
      <c r="R9" s="9">
        <f xml:space="preserve"> SUMIFS('FS Qtr'!$J9:$EA9, 'FS Qtr'!$J$4:$EA$4, 'FS Ann'!R$4)</f>
        <v>400</v>
      </c>
      <c r="S9" s="9">
        <f xml:space="preserve"> SUMIFS('FS Qtr'!$J9:$EA9, 'FS Qtr'!$J$4:$EA$4, 'FS Ann'!S$4)</f>
        <v>400</v>
      </c>
      <c r="T9" s="9">
        <f xml:space="preserve"> SUMIFS('FS Qtr'!$J9:$EA9, 'FS Qtr'!$J$4:$EA$4, 'FS Ann'!T$4)</f>
        <v>400</v>
      </c>
      <c r="U9" s="9">
        <f xml:space="preserve"> SUMIFS('FS Qtr'!$J9:$EA9, 'FS Qtr'!$J$4:$EA$4, 'FS Ann'!U$4)</f>
        <v>400</v>
      </c>
      <c r="V9" s="9">
        <f xml:space="preserve"> SUMIFS('FS Qtr'!$J9:$EA9, 'FS Qtr'!$J$4:$EA$4, 'FS Ann'!V$4)</f>
        <v>400</v>
      </c>
      <c r="W9" s="9">
        <f xml:space="preserve"> SUMIFS('FS Qtr'!$J9:$EA9, 'FS Qtr'!$J$4:$EA$4, 'FS Ann'!W$4)</f>
        <v>400</v>
      </c>
      <c r="X9" s="9">
        <f xml:space="preserve"> SUMIFS('FS Qtr'!$J9:$EA9, 'FS Qtr'!$J$4:$EA$4, 'FS Ann'!X$4)</f>
        <v>400</v>
      </c>
      <c r="Y9" s="9">
        <f xml:space="preserve"> SUMIFS('FS Qtr'!$J9:$EA9, 'FS Qtr'!$J$4:$EA$4, 'FS Ann'!Y$4)</f>
        <v>400</v>
      </c>
      <c r="Z9" s="9">
        <f xml:space="preserve"> SUMIFS('FS Qtr'!$J9:$EA9, 'FS Qtr'!$J$4:$EA$4, 'FS Ann'!Z$4)</f>
        <v>400</v>
      </c>
      <c r="AA9" s="9">
        <f xml:space="preserve"> SUMIFS('FS Qtr'!$J9:$EA9, 'FS Qtr'!$J$4:$EA$4, 'FS Ann'!AA$4)</f>
        <v>400</v>
      </c>
      <c r="AB9" s="9">
        <f xml:space="preserve"> SUMIFS('FS Qtr'!$J9:$EA9, 'FS Qtr'!$J$4:$EA$4, 'FS Ann'!AB$4)</f>
        <v>400</v>
      </c>
      <c r="AC9" s="9">
        <f xml:space="preserve"> SUMIFS('FS Qtr'!$J9:$EA9, 'FS Qtr'!$J$4:$EA$4, 'FS Ann'!AC$4)</f>
        <v>400</v>
      </c>
      <c r="AD9" s="9">
        <f xml:space="preserve"> SUMIFS('FS Qtr'!$J9:$EA9, 'FS Qtr'!$J$4:$EA$4, 'FS Ann'!AD$4)</f>
        <v>400</v>
      </c>
      <c r="AE9" s="9">
        <f xml:space="preserve"> SUMIFS('FS Qtr'!$J9:$EA9, 'FS Qtr'!$J$4:$EA$4, 'FS Ann'!AE$4)</f>
        <v>400</v>
      </c>
      <c r="AF9" s="9">
        <f xml:space="preserve"> SUMIFS('FS Qtr'!$J9:$EA9, 'FS Qtr'!$J$4:$EA$4, 'FS Ann'!AF$4)</f>
        <v>400</v>
      </c>
      <c r="AG9" s="9">
        <f xml:space="preserve"> SUMIFS('FS Qtr'!$J9:$EA9, 'FS Qtr'!$J$4:$EA$4, 'FS Ann'!AG$4)</f>
        <v>400</v>
      </c>
      <c r="AH9" s="9">
        <f xml:space="preserve"> SUMIFS('FS Qtr'!$J9:$EA9, 'FS Qtr'!$J$4:$EA$4, 'FS Ann'!AH$4)</f>
        <v>400</v>
      </c>
      <c r="AI9" s="9">
        <f xml:space="preserve"> SUMIFS('FS Qtr'!$J9:$EA9, 'FS Qtr'!$J$4:$EA$4, 'FS Ann'!AI$4)</f>
        <v>400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[O&amp;M]</v>
      </c>
      <c r="F10" s="9">
        <f xml:space="preserve"> 'FS Qtr'!F10</f>
        <v>0</v>
      </c>
      <c r="G10" s="342">
        <f xml:space="preserve"> 'FS Qtr'!G10</f>
        <v>0</v>
      </c>
      <c r="H10" s="9">
        <f xml:space="preserve"> SUM(J10:AN10)</f>
        <v>0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0</v>
      </c>
      <c r="L10" s="9">
        <f xml:space="preserve"> SUMIFS('FS Qtr'!$J10:$EA10, 'FS Qtr'!$J$4:$EA$4, 'FS Ann'!L$4)</f>
        <v>0</v>
      </c>
      <c r="M10" s="9">
        <f xml:space="preserve"> SUMIFS('FS Qtr'!$J10:$EA10, 'FS Qtr'!$J$4:$EA$4, 'FS Ann'!M$4)</f>
        <v>0</v>
      </c>
      <c r="N10" s="9">
        <f xml:space="preserve"> SUMIFS('FS Qtr'!$J10:$EA10, 'FS Qtr'!$J$4:$EA$4, 'FS Ann'!N$4)</f>
        <v>0</v>
      </c>
      <c r="O10" s="9">
        <f xml:space="preserve"> SUMIFS('FS Qtr'!$J10:$EA10, 'FS Qtr'!$J$4:$EA$4, 'FS Ann'!O$4)</f>
        <v>0</v>
      </c>
      <c r="P10" s="9">
        <f xml:space="preserve"> SUMIFS('FS Qtr'!$J10:$EA10, 'FS Qtr'!$J$4:$EA$4, 'FS Ann'!P$4)</f>
        <v>0</v>
      </c>
      <c r="Q10" s="9">
        <f xml:space="preserve"> SUMIFS('FS Qtr'!$J10:$EA10, 'FS Qtr'!$J$4:$EA$4, 'FS Ann'!Q$4)</f>
        <v>0</v>
      </c>
      <c r="R10" s="9">
        <f xml:space="preserve"> SUMIFS('FS Qtr'!$J10:$EA10, 'FS Qtr'!$J$4:$EA$4, 'FS Ann'!R$4)</f>
        <v>0</v>
      </c>
      <c r="S10" s="9">
        <f xml:space="preserve"> SUMIFS('FS Qtr'!$J10:$EA10, 'FS Qtr'!$J$4:$EA$4, 'FS Ann'!S$4)</f>
        <v>0</v>
      </c>
      <c r="T10" s="9">
        <f xml:space="preserve"> SUMIFS('FS Qtr'!$J10:$EA10, 'FS Qtr'!$J$4:$EA$4, 'FS Ann'!T$4)</f>
        <v>0</v>
      </c>
      <c r="U10" s="9">
        <f xml:space="preserve"> SUMIFS('FS Qtr'!$J10:$EA10, 'FS Qtr'!$J$4:$EA$4, 'FS Ann'!U$4)</f>
        <v>0</v>
      </c>
      <c r="V10" s="9">
        <f xml:space="preserve"> SUMIFS('FS Qtr'!$J10:$EA10, 'FS Qtr'!$J$4:$EA$4, 'FS Ann'!V$4)</f>
        <v>0</v>
      </c>
      <c r="W10" s="9">
        <f xml:space="preserve"> SUMIFS('FS Qtr'!$J10:$EA10, 'FS Qtr'!$J$4:$EA$4, 'FS Ann'!W$4)</f>
        <v>0</v>
      </c>
      <c r="X10" s="9">
        <f xml:space="preserve"> SUMIFS('FS Qtr'!$J10:$EA10, 'FS Qtr'!$J$4:$EA$4, 'FS Ann'!X$4)</f>
        <v>0</v>
      </c>
      <c r="Y10" s="9">
        <f xml:space="preserve"> SUMIFS('FS Qtr'!$J10:$EA10, 'FS Qtr'!$J$4:$EA$4, 'FS Ann'!Y$4)</f>
        <v>0</v>
      </c>
      <c r="Z10" s="9">
        <f xml:space="preserve"> SUMIFS('FS Qtr'!$J10:$EA10, 'FS Qtr'!$J$4:$EA$4, 'FS Ann'!Z$4)</f>
        <v>0</v>
      </c>
      <c r="AA10" s="9">
        <f xml:space="preserve"> SUMIFS('FS Qtr'!$J10:$EA10, 'FS Qtr'!$J$4:$EA$4, 'FS Ann'!AA$4)</f>
        <v>0</v>
      </c>
      <c r="AB10" s="9">
        <f xml:space="preserve"> SUMIFS('FS Qtr'!$J10:$EA10, 'FS Qtr'!$J$4:$EA$4, 'FS Ann'!AB$4)</f>
        <v>0</v>
      </c>
      <c r="AC10" s="9">
        <f xml:space="preserve"> SUMIFS('FS Qtr'!$J10:$EA10, 'FS Qtr'!$J$4:$EA$4, 'FS Ann'!AC$4)</f>
        <v>0</v>
      </c>
      <c r="AD10" s="9">
        <f xml:space="preserve"> SUMIFS('FS Qtr'!$J10:$EA10, 'FS Qtr'!$J$4:$EA$4, 'FS Ann'!AD$4)</f>
        <v>0</v>
      </c>
      <c r="AE10" s="9">
        <f xml:space="preserve"> SUMIFS('FS Qtr'!$J10:$EA10, 'FS Qtr'!$J$4:$EA$4, 'FS Ann'!AE$4)</f>
        <v>0</v>
      </c>
      <c r="AF10" s="9">
        <f xml:space="preserve"> SUMIFS('FS Qtr'!$J10:$EA10, 'FS Qtr'!$J$4:$EA$4, 'FS Ann'!AF$4)</f>
        <v>0</v>
      </c>
      <c r="AG10" s="9">
        <f xml:space="preserve"> SUMIFS('FS Qtr'!$J10:$EA10, 'FS Qtr'!$J$4:$EA$4, 'FS Ann'!AG$4)</f>
        <v>0</v>
      </c>
      <c r="AH10" s="9">
        <f xml:space="preserve"> SUMIFS('FS Qtr'!$J10:$EA10, 'FS Qtr'!$J$4:$EA$4, 'FS Ann'!AH$4)</f>
        <v>0</v>
      </c>
      <c r="AI10" s="9">
        <f xml:space="preserve"> SUMIFS('FS Qtr'!$J10:$EA10, 'FS Qtr'!$J$4:$EA$4, 'FS Ann'!AI$4)</f>
        <v>0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10000</v>
      </c>
      <c r="I11" s="50"/>
      <c r="J11" s="50">
        <f t="shared" ref="J11:AN11" si="1">SUM(J9:J10)</f>
        <v>0</v>
      </c>
      <c r="K11" s="50">
        <f t="shared" si="1"/>
        <v>400</v>
      </c>
      <c r="L11" s="50">
        <f t="shared" si="1"/>
        <v>400</v>
      </c>
      <c r="M11" s="50">
        <f t="shared" si="1"/>
        <v>400</v>
      </c>
      <c r="N11" s="50">
        <f t="shared" si="1"/>
        <v>400</v>
      </c>
      <c r="O11" s="50">
        <f t="shared" si="1"/>
        <v>400</v>
      </c>
      <c r="P11" s="50">
        <f t="shared" si="1"/>
        <v>400</v>
      </c>
      <c r="Q11" s="50">
        <f t="shared" si="1"/>
        <v>400</v>
      </c>
      <c r="R11" s="50">
        <f t="shared" si="1"/>
        <v>400</v>
      </c>
      <c r="S11" s="50">
        <f t="shared" si="1"/>
        <v>400</v>
      </c>
      <c r="T11" s="50">
        <f t="shared" si="1"/>
        <v>400</v>
      </c>
      <c r="U11" s="50">
        <f t="shared" si="1"/>
        <v>400</v>
      </c>
      <c r="V11" s="50">
        <f t="shared" si="1"/>
        <v>400</v>
      </c>
      <c r="W11" s="50">
        <f t="shared" si="1"/>
        <v>400</v>
      </c>
      <c r="X11" s="50">
        <f t="shared" si="1"/>
        <v>400</v>
      </c>
      <c r="Y11" s="50">
        <f t="shared" si="1"/>
        <v>400</v>
      </c>
      <c r="Z11" s="50">
        <f t="shared" si="1"/>
        <v>400</v>
      </c>
      <c r="AA11" s="50">
        <f t="shared" si="1"/>
        <v>400</v>
      </c>
      <c r="AB11" s="50">
        <f t="shared" si="1"/>
        <v>400</v>
      </c>
      <c r="AC11" s="50">
        <f t="shared" si="1"/>
        <v>400</v>
      </c>
      <c r="AD11" s="50">
        <f t="shared" si="1"/>
        <v>400</v>
      </c>
      <c r="AE11" s="50">
        <f t="shared" si="1"/>
        <v>400</v>
      </c>
      <c r="AF11" s="50">
        <f t="shared" si="1"/>
        <v>400</v>
      </c>
      <c r="AG11" s="50">
        <f t="shared" si="1"/>
        <v>400</v>
      </c>
      <c r="AH11" s="50">
        <f t="shared" si="1"/>
        <v>400</v>
      </c>
      <c r="AI11" s="50">
        <f t="shared" si="1"/>
        <v>400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2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10000</v>
      </c>
      <c r="I14" s="50"/>
      <c r="J14" s="50">
        <f t="shared" ref="J14:AN14" si="2" xml:space="preserve"> J11 + J13</f>
        <v>0</v>
      </c>
      <c r="K14" s="50">
        <f t="shared" si="2"/>
        <v>400</v>
      </c>
      <c r="L14" s="50">
        <f t="shared" si="2"/>
        <v>400</v>
      </c>
      <c r="M14" s="50">
        <f t="shared" si="2"/>
        <v>400</v>
      </c>
      <c r="N14" s="50">
        <f t="shared" si="2"/>
        <v>400</v>
      </c>
      <c r="O14" s="50">
        <f t="shared" si="2"/>
        <v>400</v>
      </c>
      <c r="P14" s="50">
        <f t="shared" si="2"/>
        <v>400</v>
      </c>
      <c r="Q14" s="50">
        <f t="shared" si="2"/>
        <v>400</v>
      </c>
      <c r="R14" s="50">
        <f t="shared" si="2"/>
        <v>400</v>
      </c>
      <c r="S14" s="50">
        <f t="shared" si="2"/>
        <v>400</v>
      </c>
      <c r="T14" s="50">
        <f t="shared" si="2"/>
        <v>400</v>
      </c>
      <c r="U14" s="50">
        <f t="shared" si="2"/>
        <v>400</v>
      </c>
      <c r="V14" s="50">
        <f t="shared" si="2"/>
        <v>400</v>
      </c>
      <c r="W14" s="50">
        <f t="shared" si="2"/>
        <v>400</v>
      </c>
      <c r="X14" s="50">
        <f t="shared" si="2"/>
        <v>400</v>
      </c>
      <c r="Y14" s="50">
        <f t="shared" si="2"/>
        <v>400</v>
      </c>
      <c r="Z14" s="50">
        <f t="shared" si="2"/>
        <v>400</v>
      </c>
      <c r="AA14" s="50">
        <f t="shared" si="2"/>
        <v>400</v>
      </c>
      <c r="AB14" s="50">
        <f t="shared" si="2"/>
        <v>400</v>
      </c>
      <c r="AC14" s="50">
        <f t="shared" si="2"/>
        <v>400</v>
      </c>
      <c r="AD14" s="50">
        <f t="shared" si="2"/>
        <v>400</v>
      </c>
      <c r="AE14" s="50">
        <f t="shared" si="2"/>
        <v>400</v>
      </c>
      <c r="AF14" s="50">
        <f t="shared" si="2"/>
        <v>400</v>
      </c>
      <c r="AG14" s="50">
        <f t="shared" si="2"/>
        <v>400</v>
      </c>
      <c r="AH14" s="50">
        <f t="shared" si="2"/>
        <v>400</v>
      </c>
      <c r="AI14" s="50">
        <f t="shared" si="2"/>
        <v>400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10000</v>
      </c>
      <c r="I19" s="50"/>
      <c r="J19" s="50">
        <f t="shared" ref="J19:AN19" si="3" xml:space="preserve"> J14 + SUM(J16:J18)</f>
        <v>0</v>
      </c>
      <c r="K19" s="50">
        <f t="shared" si="3"/>
        <v>400</v>
      </c>
      <c r="L19" s="50">
        <f t="shared" si="3"/>
        <v>400</v>
      </c>
      <c r="M19" s="50">
        <f t="shared" si="3"/>
        <v>400</v>
      </c>
      <c r="N19" s="50">
        <f t="shared" si="3"/>
        <v>400</v>
      </c>
      <c r="O19" s="50">
        <f t="shared" si="3"/>
        <v>400</v>
      </c>
      <c r="P19" s="50">
        <f t="shared" si="3"/>
        <v>400</v>
      </c>
      <c r="Q19" s="50">
        <f t="shared" si="3"/>
        <v>400</v>
      </c>
      <c r="R19" s="50">
        <f t="shared" si="3"/>
        <v>400</v>
      </c>
      <c r="S19" s="50">
        <f t="shared" si="3"/>
        <v>400</v>
      </c>
      <c r="T19" s="50">
        <f t="shared" si="3"/>
        <v>400</v>
      </c>
      <c r="U19" s="50">
        <f t="shared" si="3"/>
        <v>400</v>
      </c>
      <c r="V19" s="50">
        <f t="shared" si="3"/>
        <v>400</v>
      </c>
      <c r="W19" s="50">
        <f t="shared" si="3"/>
        <v>400</v>
      </c>
      <c r="X19" s="50">
        <f t="shared" si="3"/>
        <v>400</v>
      </c>
      <c r="Y19" s="50">
        <f t="shared" si="3"/>
        <v>400</v>
      </c>
      <c r="Z19" s="50">
        <f t="shared" si="3"/>
        <v>400</v>
      </c>
      <c r="AA19" s="50">
        <f t="shared" si="3"/>
        <v>400</v>
      </c>
      <c r="AB19" s="50">
        <f t="shared" si="3"/>
        <v>400</v>
      </c>
      <c r="AC19" s="50">
        <f t="shared" si="3"/>
        <v>400</v>
      </c>
      <c r="AD19" s="50">
        <f t="shared" si="3"/>
        <v>400</v>
      </c>
      <c r="AE19" s="50">
        <f t="shared" si="3"/>
        <v>400</v>
      </c>
      <c r="AF19" s="50">
        <f t="shared" si="3"/>
        <v>400</v>
      </c>
      <c r="AG19" s="50">
        <f t="shared" si="3"/>
        <v>400</v>
      </c>
      <c r="AH19" s="50">
        <f t="shared" si="3"/>
        <v>400</v>
      </c>
      <c r="AI19" s="50">
        <f t="shared" si="3"/>
        <v>400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10000</v>
      </c>
      <c r="I22" s="188"/>
      <c r="J22" s="188">
        <f t="shared" ref="J22:AN22" si="4" xml:space="preserve"> J19 + J21</f>
        <v>0</v>
      </c>
      <c r="K22" s="188">
        <f t="shared" si="4"/>
        <v>400</v>
      </c>
      <c r="L22" s="188">
        <f t="shared" si="4"/>
        <v>400</v>
      </c>
      <c r="M22" s="188">
        <f t="shared" si="4"/>
        <v>400</v>
      </c>
      <c r="N22" s="188">
        <f t="shared" si="4"/>
        <v>400</v>
      </c>
      <c r="O22" s="188">
        <f t="shared" si="4"/>
        <v>400</v>
      </c>
      <c r="P22" s="188">
        <f t="shared" si="4"/>
        <v>400</v>
      </c>
      <c r="Q22" s="188">
        <f t="shared" si="4"/>
        <v>400</v>
      </c>
      <c r="R22" s="188">
        <f t="shared" si="4"/>
        <v>400</v>
      </c>
      <c r="S22" s="188">
        <f t="shared" si="4"/>
        <v>400</v>
      </c>
      <c r="T22" s="188">
        <f t="shared" si="4"/>
        <v>400</v>
      </c>
      <c r="U22" s="188">
        <f t="shared" si="4"/>
        <v>400</v>
      </c>
      <c r="V22" s="188">
        <f t="shared" si="4"/>
        <v>400</v>
      </c>
      <c r="W22" s="188">
        <f t="shared" si="4"/>
        <v>400</v>
      </c>
      <c r="X22" s="188">
        <f t="shared" si="4"/>
        <v>400</v>
      </c>
      <c r="Y22" s="188">
        <f t="shared" si="4"/>
        <v>400</v>
      </c>
      <c r="Z22" s="188">
        <f t="shared" si="4"/>
        <v>400</v>
      </c>
      <c r="AA22" s="188">
        <f t="shared" si="4"/>
        <v>400</v>
      </c>
      <c r="AB22" s="188">
        <f t="shared" si="4"/>
        <v>400</v>
      </c>
      <c r="AC22" s="188">
        <f t="shared" si="4"/>
        <v>400</v>
      </c>
      <c r="AD22" s="188">
        <f t="shared" si="4"/>
        <v>400</v>
      </c>
      <c r="AE22" s="188">
        <f t="shared" si="4"/>
        <v>400</v>
      </c>
      <c r="AF22" s="188">
        <f t="shared" si="4"/>
        <v>400</v>
      </c>
      <c r="AG22" s="188">
        <f t="shared" si="4"/>
        <v>400</v>
      </c>
      <c r="AH22" s="188">
        <f t="shared" si="4"/>
        <v>400</v>
      </c>
      <c r="AI22" s="188">
        <f t="shared" si="4"/>
        <v>400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[Dividends paid]</v>
      </c>
      <c r="F24" s="9">
        <f xml:space="preserve"> 'FS Qtr'!F24</f>
        <v>0</v>
      </c>
      <c r="G24" s="342">
        <f xml:space="preserve"> 'FS Qtr'!G24</f>
        <v>0</v>
      </c>
      <c r="H24" s="9">
        <f xml:space="preserve"> SUM(J24:AN24)</f>
        <v>0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0</v>
      </c>
      <c r="L24" s="9">
        <f xml:space="preserve"> SUMIFS('FS Qtr'!$J24:$EA24, 'FS Qtr'!$J$4:$EA$4, 'FS Ann'!L$4)</f>
        <v>0</v>
      </c>
      <c r="M24" s="9">
        <f xml:space="preserve"> SUMIFS('FS Qtr'!$J24:$EA24, 'FS Qtr'!$J$4:$EA$4, 'FS Ann'!M$4)</f>
        <v>0</v>
      </c>
      <c r="N24" s="9">
        <f xml:space="preserve"> SUMIFS('FS Qtr'!$J24:$EA24, 'FS Qtr'!$J$4:$EA$4, 'FS Ann'!N$4)</f>
        <v>0</v>
      </c>
      <c r="O24" s="9">
        <f xml:space="preserve"> SUMIFS('FS Qtr'!$J24:$EA24, 'FS Qtr'!$J$4:$EA$4, 'FS Ann'!O$4)</f>
        <v>0</v>
      </c>
      <c r="P24" s="9">
        <f xml:space="preserve"> SUMIFS('FS Qtr'!$J24:$EA24, 'FS Qtr'!$J$4:$EA$4, 'FS Ann'!P$4)</f>
        <v>0</v>
      </c>
      <c r="Q24" s="9">
        <f xml:space="preserve"> SUMIFS('FS Qtr'!$J24:$EA24, 'FS Qtr'!$J$4:$EA$4, 'FS Ann'!Q$4)</f>
        <v>0</v>
      </c>
      <c r="R24" s="9">
        <f xml:space="preserve"> SUMIFS('FS Qtr'!$J24:$EA24, 'FS Qtr'!$J$4:$EA$4, 'FS Ann'!R$4)</f>
        <v>0</v>
      </c>
      <c r="S24" s="9">
        <f xml:space="preserve"> SUMIFS('FS Qtr'!$J24:$EA24, 'FS Qtr'!$J$4:$EA$4, 'FS Ann'!S$4)</f>
        <v>0</v>
      </c>
      <c r="T24" s="9">
        <f xml:space="preserve"> SUMIFS('FS Qtr'!$J24:$EA24, 'FS Qtr'!$J$4:$EA$4, 'FS Ann'!T$4)</f>
        <v>0</v>
      </c>
      <c r="U24" s="9">
        <f xml:space="preserve"> SUMIFS('FS Qtr'!$J24:$EA24, 'FS Qtr'!$J$4:$EA$4, 'FS Ann'!U$4)</f>
        <v>0</v>
      </c>
      <c r="V24" s="9">
        <f xml:space="preserve"> SUMIFS('FS Qtr'!$J24:$EA24, 'FS Qtr'!$J$4:$EA$4, 'FS Ann'!V$4)</f>
        <v>0</v>
      </c>
      <c r="W24" s="9">
        <f xml:space="preserve"> SUMIFS('FS Qtr'!$J24:$EA24, 'FS Qtr'!$J$4:$EA$4, 'FS Ann'!W$4)</f>
        <v>0</v>
      </c>
      <c r="X24" s="9">
        <f xml:space="preserve"> SUMIFS('FS Qtr'!$J24:$EA24, 'FS Qtr'!$J$4:$EA$4, 'FS Ann'!X$4)</f>
        <v>0</v>
      </c>
      <c r="Y24" s="9">
        <f xml:space="preserve"> SUMIFS('FS Qtr'!$J24:$EA24, 'FS Qtr'!$J$4:$EA$4, 'FS Ann'!Y$4)</f>
        <v>0</v>
      </c>
      <c r="Z24" s="9">
        <f xml:space="preserve"> SUMIFS('FS Qtr'!$J24:$EA24, 'FS Qtr'!$J$4:$EA$4, 'FS Ann'!Z$4)</f>
        <v>0</v>
      </c>
      <c r="AA24" s="9">
        <f xml:space="preserve"> SUMIFS('FS Qtr'!$J24:$EA24, 'FS Qtr'!$J$4:$EA$4, 'FS Ann'!AA$4)</f>
        <v>0</v>
      </c>
      <c r="AB24" s="9">
        <f xml:space="preserve"> SUMIFS('FS Qtr'!$J24:$EA24, 'FS Qtr'!$J$4:$EA$4, 'FS Ann'!AB$4)</f>
        <v>0</v>
      </c>
      <c r="AC24" s="9">
        <f xml:space="preserve"> SUMIFS('FS Qtr'!$J24:$EA24, 'FS Qtr'!$J$4:$EA$4, 'FS Ann'!AC$4)</f>
        <v>0</v>
      </c>
      <c r="AD24" s="9">
        <f xml:space="preserve"> SUMIFS('FS Qtr'!$J24:$EA24, 'FS Qtr'!$J$4:$EA$4, 'FS Ann'!AD$4)</f>
        <v>0</v>
      </c>
      <c r="AE24" s="9">
        <f xml:space="preserve"> SUMIFS('FS Qtr'!$J24:$EA24, 'FS Qtr'!$J$4:$EA$4, 'FS Ann'!AE$4)</f>
        <v>0</v>
      </c>
      <c r="AF24" s="9">
        <f xml:space="preserve"> SUMIFS('FS Qtr'!$J24:$EA24, 'FS Qtr'!$J$4:$EA$4, 'FS Ann'!AF$4)</f>
        <v>0</v>
      </c>
      <c r="AG24" s="9">
        <f xml:space="preserve"> SUMIFS('FS Qtr'!$J24:$EA24, 'FS Qtr'!$J$4:$EA$4, 'FS Ann'!AG$4)</f>
        <v>0</v>
      </c>
      <c r="AH24" s="9">
        <f xml:space="preserve"> SUMIFS('FS Qtr'!$J24:$EA24, 'FS Qtr'!$J$4:$EA$4, 'FS Ann'!AH$4)</f>
        <v>0</v>
      </c>
      <c r="AI24" s="9">
        <f xml:space="preserve"> SUMIFS('FS Qtr'!$J24:$EA24, 'FS Qtr'!$J$4:$EA$4, 'FS Ann'!AI$4)</f>
        <v>0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10000</v>
      </c>
      <c r="I25" s="50"/>
      <c r="J25" s="50">
        <f t="shared" ref="J25:AN25" si="5" xml:space="preserve"> J22 + J24</f>
        <v>0</v>
      </c>
      <c r="K25" s="50">
        <f t="shared" si="5"/>
        <v>400</v>
      </c>
      <c r="L25" s="50">
        <f t="shared" si="5"/>
        <v>400</v>
      </c>
      <c r="M25" s="50">
        <f t="shared" si="5"/>
        <v>400</v>
      </c>
      <c r="N25" s="50">
        <f t="shared" si="5"/>
        <v>400</v>
      </c>
      <c r="O25" s="50">
        <f t="shared" si="5"/>
        <v>400</v>
      </c>
      <c r="P25" s="50">
        <f t="shared" si="5"/>
        <v>400</v>
      </c>
      <c r="Q25" s="50">
        <f t="shared" si="5"/>
        <v>400</v>
      </c>
      <c r="R25" s="50">
        <f t="shared" si="5"/>
        <v>400</v>
      </c>
      <c r="S25" s="50">
        <f t="shared" si="5"/>
        <v>400</v>
      </c>
      <c r="T25" s="50">
        <f t="shared" si="5"/>
        <v>400</v>
      </c>
      <c r="U25" s="50">
        <f t="shared" si="5"/>
        <v>400</v>
      </c>
      <c r="V25" s="50">
        <f t="shared" si="5"/>
        <v>400</v>
      </c>
      <c r="W25" s="50">
        <f t="shared" si="5"/>
        <v>400</v>
      </c>
      <c r="X25" s="50">
        <f t="shared" si="5"/>
        <v>400</v>
      </c>
      <c r="Y25" s="50">
        <f t="shared" si="5"/>
        <v>400</v>
      </c>
      <c r="Z25" s="50">
        <f t="shared" si="5"/>
        <v>400</v>
      </c>
      <c r="AA25" s="50">
        <f t="shared" si="5"/>
        <v>400</v>
      </c>
      <c r="AB25" s="50">
        <f t="shared" si="5"/>
        <v>400</v>
      </c>
      <c r="AC25" s="50">
        <f t="shared" si="5"/>
        <v>400</v>
      </c>
      <c r="AD25" s="50">
        <f t="shared" si="5"/>
        <v>400</v>
      </c>
      <c r="AE25" s="50">
        <f t="shared" si="5"/>
        <v>400</v>
      </c>
      <c r="AF25" s="50">
        <f t="shared" si="5"/>
        <v>400</v>
      </c>
      <c r="AG25" s="50">
        <f t="shared" si="5"/>
        <v>400</v>
      </c>
      <c r="AH25" s="50">
        <f t="shared" si="5"/>
        <v>400</v>
      </c>
      <c r="AI25" s="50">
        <f t="shared" si="5"/>
        <v>400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[Cash received from invoices]</v>
      </c>
      <c r="F30" s="9">
        <f xml:space="preserve"> 'FS Qtr'!F30</f>
        <v>0</v>
      </c>
      <c r="G30" s="342">
        <f xml:space="preserve"> 'FS Qtr'!G30</f>
        <v>0</v>
      </c>
      <c r="H30" s="9">
        <f xml:space="preserve"> SUM(J30:AN30)</f>
        <v>10000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400</v>
      </c>
      <c r="L30" s="9">
        <f xml:space="preserve"> SUMIFS('FS Qtr'!$J30:$EA30, 'FS Qtr'!$J$4:$EA$4, 'FS Ann'!L$4)</f>
        <v>400</v>
      </c>
      <c r="M30" s="9">
        <f xml:space="preserve"> SUMIFS('FS Qtr'!$J30:$EA30, 'FS Qtr'!$J$4:$EA$4, 'FS Ann'!M$4)</f>
        <v>400</v>
      </c>
      <c r="N30" s="9">
        <f xml:space="preserve"> SUMIFS('FS Qtr'!$J30:$EA30, 'FS Qtr'!$J$4:$EA$4, 'FS Ann'!N$4)</f>
        <v>400</v>
      </c>
      <c r="O30" s="9">
        <f xml:space="preserve"> SUMIFS('FS Qtr'!$J30:$EA30, 'FS Qtr'!$J$4:$EA$4, 'FS Ann'!O$4)</f>
        <v>400</v>
      </c>
      <c r="P30" s="9">
        <f xml:space="preserve"> SUMIFS('FS Qtr'!$J30:$EA30, 'FS Qtr'!$J$4:$EA$4, 'FS Ann'!P$4)</f>
        <v>400</v>
      </c>
      <c r="Q30" s="9">
        <f xml:space="preserve"> SUMIFS('FS Qtr'!$J30:$EA30, 'FS Qtr'!$J$4:$EA$4, 'FS Ann'!Q$4)</f>
        <v>400</v>
      </c>
      <c r="R30" s="9">
        <f xml:space="preserve"> SUMIFS('FS Qtr'!$J30:$EA30, 'FS Qtr'!$J$4:$EA$4, 'FS Ann'!R$4)</f>
        <v>400</v>
      </c>
      <c r="S30" s="9">
        <f xml:space="preserve"> SUMIFS('FS Qtr'!$J30:$EA30, 'FS Qtr'!$J$4:$EA$4, 'FS Ann'!S$4)</f>
        <v>400</v>
      </c>
      <c r="T30" s="9">
        <f xml:space="preserve"> SUMIFS('FS Qtr'!$J30:$EA30, 'FS Qtr'!$J$4:$EA$4, 'FS Ann'!T$4)</f>
        <v>400</v>
      </c>
      <c r="U30" s="9">
        <f xml:space="preserve"> SUMIFS('FS Qtr'!$J30:$EA30, 'FS Qtr'!$J$4:$EA$4, 'FS Ann'!U$4)</f>
        <v>400</v>
      </c>
      <c r="V30" s="9">
        <f xml:space="preserve"> SUMIFS('FS Qtr'!$J30:$EA30, 'FS Qtr'!$J$4:$EA$4, 'FS Ann'!V$4)</f>
        <v>400</v>
      </c>
      <c r="W30" s="9">
        <f xml:space="preserve"> SUMIFS('FS Qtr'!$J30:$EA30, 'FS Qtr'!$J$4:$EA$4, 'FS Ann'!W$4)</f>
        <v>400</v>
      </c>
      <c r="X30" s="9">
        <f xml:space="preserve"> SUMIFS('FS Qtr'!$J30:$EA30, 'FS Qtr'!$J$4:$EA$4, 'FS Ann'!X$4)</f>
        <v>400</v>
      </c>
      <c r="Y30" s="9">
        <f xml:space="preserve"> SUMIFS('FS Qtr'!$J30:$EA30, 'FS Qtr'!$J$4:$EA$4, 'FS Ann'!Y$4)</f>
        <v>400</v>
      </c>
      <c r="Z30" s="9">
        <f xml:space="preserve"> SUMIFS('FS Qtr'!$J30:$EA30, 'FS Qtr'!$J$4:$EA$4, 'FS Ann'!Z$4)</f>
        <v>400</v>
      </c>
      <c r="AA30" s="9">
        <f xml:space="preserve"> SUMIFS('FS Qtr'!$J30:$EA30, 'FS Qtr'!$J$4:$EA$4, 'FS Ann'!AA$4)</f>
        <v>400</v>
      </c>
      <c r="AB30" s="9">
        <f xml:space="preserve"> SUMIFS('FS Qtr'!$J30:$EA30, 'FS Qtr'!$J$4:$EA$4, 'FS Ann'!AB$4)</f>
        <v>400</v>
      </c>
      <c r="AC30" s="9">
        <f xml:space="preserve"> SUMIFS('FS Qtr'!$J30:$EA30, 'FS Qtr'!$J$4:$EA$4, 'FS Ann'!AC$4)</f>
        <v>400</v>
      </c>
      <c r="AD30" s="9">
        <f xml:space="preserve"> SUMIFS('FS Qtr'!$J30:$EA30, 'FS Qtr'!$J$4:$EA$4, 'FS Ann'!AD$4)</f>
        <v>400</v>
      </c>
      <c r="AE30" s="9">
        <f xml:space="preserve"> SUMIFS('FS Qtr'!$J30:$EA30, 'FS Qtr'!$J$4:$EA$4, 'FS Ann'!AE$4)</f>
        <v>400</v>
      </c>
      <c r="AF30" s="9">
        <f xml:space="preserve"> SUMIFS('FS Qtr'!$J30:$EA30, 'FS Qtr'!$J$4:$EA$4, 'FS Ann'!AF$4)</f>
        <v>400</v>
      </c>
      <c r="AG30" s="9">
        <f xml:space="preserve"> SUMIFS('FS Qtr'!$J30:$EA30, 'FS Qtr'!$J$4:$EA$4, 'FS Ann'!AG$4)</f>
        <v>400</v>
      </c>
      <c r="AH30" s="9">
        <f xml:space="preserve"> SUMIFS('FS Qtr'!$J30:$EA30, 'FS Qtr'!$J$4:$EA$4, 'FS Ann'!AH$4)</f>
        <v>400</v>
      </c>
      <c r="AI30" s="9">
        <f xml:space="preserve"> SUMIFS('FS Qtr'!$J30:$EA30, 'FS Qtr'!$J$4:$EA$4, 'FS Ann'!AI$4)</f>
        <v>400</v>
      </c>
      <c r="AJ30" s="9">
        <f xml:space="preserve"> SUMIFS('FS Qtr'!$J30:$EA30, 'FS Qtr'!$J$4:$EA$4, 'FS Ann'!AJ$4)</f>
        <v>0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[Cash paid for operating costs]</v>
      </c>
      <c r="F31" s="9">
        <f xml:space="preserve"> 'FS Qtr'!F31</f>
        <v>0</v>
      </c>
      <c r="G31" s="342">
        <f xml:space="preserve"> 'FS Qtr'!G31</f>
        <v>0</v>
      </c>
      <c r="H31" s="9">
        <f xml:space="preserve"> SUM(J31:AN31)</f>
        <v>0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0</v>
      </c>
      <c r="L31" s="9">
        <f xml:space="preserve"> SUMIFS('FS Qtr'!$J31:$EA31, 'FS Qtr'!$J$4:$EA$4, 'FS Ann'!L$4)</f>
        <v>0</v>
      </c>
      <c r="M31" s="9">
        <f xml:space="preserve"> SUMIFS('FS Qtr'!$J31:$EA31, 'FS Qtr'!$J$4:$EA$4, 'FS Ann'!M$4)</f>
        <v>0</v>
      </c>
      <c r="N31" s="9">
        <f xml:space="preserve"> SUMIFS('FS Qtr'!$J31:$EA31, 'FS Qtr'!$J$4:$EA$4, 'FS Ann'!N$4)</f>
        <v>0</v>
      </c>
      <c r="O31" s="9">
        <f xml:space="preserve"> SUMIFS('FS Qtr'!$J31:$EA31, 'FS Qtr'!$J$4:$EA$4, 'FS Ann'!O$4)</f>
        <v>0</v>
      </c>
      <c r="P31" s="9">
        <f xml:space="preserve"> SUMIFS('FS Qtr'!$J31:$EA31, 'FS Qtr'!$J$4:$EA$4, 'FS Ann'!P$4)</f>
        <v>0</v>
      </c>
      <c r="Q31" s="9">
        <f xml:space="preserve"> SUMIFS('FS Qtr'!$J31:$EA31, 'FS Qtr'!$J$4:$EA$4, 'FS Ann'!Q$4)</f>
        <v>0</v>
      </c>
      <c r="R31" s="9">
        <f xml:space="preserve"> SUMIFS('FS Qtr'!$J31:$EA31, 'FS Qtr'!$J$4:$EA$4, 'FS Ann'!R$4)</f>
        <v>0</v>
      </c>
      <c r="S31" s="9">
        <f xml:space="preserve"> SUMIFS('FS Qtr'!$J31:$EA31, 'FS Qtr'!$J$4:$EA$4, 'FS Ann'!S$4)</f>
        <v>0</v>
      </c>
      <c r="T31" s="9">
        <f xml:space="preserve"> SUMIFS('FS Qtr'!$J31:$EA31, 'FS Qtr'!$J$4:$EA$4, 'FS Ann'!T$4)</f>
        <v>0</v>
      </c>
      <c r="U31" s="9">
        <f xml:space="preserve"> SUMIFS('FS Qtr'!$J31:$EA31, 'FS Qtr'!$J$4:$EA$4, 'FS Ann'!U$4)</f>
        <v>0</v>
      </c>
      <c r="V31" s="9">
        <f xml:space="preserve"> SUMIFS('FS Qtr'!$J31:$EA31, 'FS Qtr'!$J$4:$EA$4, 'FS Ann'!V$4)</f>
        <v>0</v>
      </c>
      <c r="W31" s="9">
        <f xml:space="preserve"> SUMIFS('FS Qtr'!$J31:$EA31, 'FS Qtr'!$J$4:$EA$4, 'FS Ann'!W$4)</f>
        <v>0</v>
      </c>
      <c r="X31" s="9">
        <f xml:space="preserve"> SUMIFS('FS Qtr'!$J31:$EA31, 'FS Qtr'!$J$4:$EA$4, 'FS Ann'!X$4)</f>
        <v>0</v>
      </c>
      <c r="Y31" s="9">
        <f xml:space="preserve"> SUMIFS('FS Qtr'!$J31:$EA31, 'FS Qtr'!$J$4:$EA$4, 'FS Ann'!Y$4)</f>
        <v>0</v>
      </c>
      <c r="Z31" s="9">
        <f xml:space="preserve"> SUMIFS('FS Qtr'!$J31:$EA31, 'FS Qtr'!$J$4:$EA$4, 'FS Ann'!Z$4)</f>
        <v>0</v>
      </c>
      <c r="AA31" s="9">
        <f xml:space="preserve"> SUMIFS('FS Qtr'!$J31:$EA31, 'FS Qtr'!$J$4:$EA$4, 'FS Ann'!AA$4)</f>
        <v>0</v>
      </c>
      <c r="AB31" s="9">
        <f xml:space="preserve"> SUMIFS('FS Qtr'!$J31:$EA31, 'FS Qtr'!$J$4:$EA$4, 'FS Ann'!AB$4)</f>
        <v>0</v>
      </c>
      <c r="AC31" s="9">
        <f xml:space="preserve"> SUMIFS('FS Qtr'!$J31:$EA31, 'FS Qtr'!$J$4:$EA$4, 'FS Ann'!AC$4)</f>
        <v>0</v>
      </c>
      <c r="AD31" s="9">
        <f xml:space="preserve"> SUMIFS('FS Qtr'!$J31:$EA31, 'FS Qtr'!$J$4:$EA$4, 'FS Ann'!AD$4)</f>
        <v>0</v>
      </c>
      <c r="AE31" s="9">
        <f xml:space="preserve"> SUMIFS('FS Qtr'!$J31:$EA31, 'FS Qtr'!$J$4:$EA$4, 'FS Ann'!AE$4)</f>
        <v>0</v>
      </c>
      <c r="AF31" s="9">
        <f xml:space="preserve"> SUMIFS('FS Qtr'!$J31:$EA31, 'FS Qtr'!$J$4:$EA$4, 'FS Ann'!AF$4)</f>
        <v>0</v>
      </c>
      <c r="AG31" s="9">
        <f xml:space="preserve"> SUMIFS('FS Qtr'!$J31:$EA31, 'FS Qtr'!$J$4:$EA$4, 'FS Ann'!AG$4)</f>
        <v>0</v>
      </c>
      <c r="AH31" s="9">
        <f xml:space="preserve"> SUMIFS('FS Qtr'!$J31:$EA31, 'FS Qtr'!$J$4:$EA$4, 'FS Ann'!AH$4)</f>
        <v>0</v>
      </c>
      <c r="AI31" s="9">
        <f xml:space="preserve"> SUMIFS('FS Qtr'!$J31:$EA31, 'FS Qtr'!$J$4:$EA$4, 'FS Ann'!AI$4)</f>
        <v>0</v>
      </c>
      <c r="AJ31" s="9">
        <f xml:space="preserve"> SUMIFS('FS Qtr'!$J31:$EA31, 'FS Qtr'!$J$4:$EA$4, 'FS Ann'!AJ$4)</f>
        <v>0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10000</v>
      </c>
      <c r="I33" s="50"/>
      <c r="J33" s="50">
        <f t="shared" ref="J33:AN33" si="6">SUM(J30:J32)</f>
        <v>0</v>
      </c>
      <c r="K33" s="50">
        <f t="shared" si="6"/>
        <v>400</v>
      </c>
      <c r="L33" s="50">
        <f t="shared" si="6"/>
        <v>400</v>
      </c>
      <c r="M33" s="50">
        <f t="shared" si="6"/>
        <v>400</v>
      </c>
      <c r="N33" s="50">
        <f t="shared" si="6"/>
        <v>400</v>
      </c>
      <c r="O33" s="50">
        <f t="shared" si="6"/>
        <v>400</v>
      </c>
      <c r="P33" s="50">
        <f t="shared" si="6"/>
        <v>400</v>
      </c>
      <c r="Q33" s="50">
        <f t="shared" si="6"/>
        <v>400</v>
      </c>
      <c r="R33" s="50">
        <f t="shared" si="6"/>
        <v>400</v>
      </c>
      <c r="S33" s="50">
        <f t="shared" si="6"/>
        <v>400</v>
      </c>
      <c r="T33" s="50">
        <f t="shared" si="6"/>
        <v>400</v>
      </c>
      <c r="U33" s="50">
        <f t="shared" si="6"/>
        <v>400</v>
      </c>
      <c r="V33" s="50">
        <f t="shared" si="6"/>
        <v>400</v>
      </c>
      <c r="W33" s="50">
        <f t="shared" si="6"/>
        <v>400</v>
      </c>
      <c r="X33" s="50">
        <f t="shared" si="6"/>
        <v>400</v>
      </c>
      <c r="Y33" s="50">
        <f t="shared" si="6"/>
        <v>400</v>
      </c>
      <c r="Z33" s="50">
        <f t="shared" si="6"/>
        <v>400</v>
      </c>
      <c r="AA33" s="50">
        <f t="shared" si="6"/>
        <v>400</v>
      </c>
      <c r="AB33" s="50">
        <f t="shared" si="6"/>
        <v>400</v>
      </c>
      <c r="AC33" s="50">
        <f t="shared" si="6"/>
        <v>400</v>
      </c>
      <c r="AD33" s="50">
        <f t="shared" si="6"/>
        <v>400</v>
      </c>
      <c r="AE33" s="50">
        <f t="shared" si="6"/>
        <v>400</v>
      </c>
      <c r="AF33" s="50">
        <f t="shared" si="6"/>
        <v>400</v>
      </c>
      <c r="AG33" s="50">
        <f t="shared" si="6"/>
        <v>400</v>
      </c>
      <c r="AH33" s="50">
        <f t="shared" si="6"/>
        <v>400</v>
      </c>
      <c r="AI33" s="50">
        <f t="shared" si="6"/>
        <v>400</v>
      </c>
      <c r="AJ33" s="50">
        <f t="shared" si="6"/>
        <v>0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10000</v>
      </c>
      <c r="I37" s="50"/>
      <c r="J37" s="50">
        <f t="shared" ref="J37:AN37" si="7" xml:space="preserve"> J33 + SUM(J35:J36)</f>
        <v>0</v>
      </c>
      <c r="K37" s="50">
        <f t="shared" si="7"/>
        <v>400</v>
      </c>
      <c r="L37" s="50">
        <f t="shared" si="7"/>
        <v>400</v>
      </c>
      <c r="M37" s="50">
        <f t="shared" si="7"/>
        <v>400</v>
      </c>
      <c r="N37" s="50">
        <f t="shared" si="7"/>
        <v>400</v>
      </c>
      <c r="O37" s="50">
        <f t="shared" si="7"/>
        <v>400</v>
      </c>
      <c r="P37" s="50">
        <f t="shared" si="7"/>
        <v>400</v>
      </c>
      <c r="Q37" s="50">
        <f t="shared" si="7"/>
        <v>400</v>
      </c>
      <c r="R37" s="50">
        <f t="shared" si="7"/>
        <v>400</v>
      </c>
      <c r="S37" s="50">
        <f t="shared" si="7"/>
        <v>400</v>
      </c>
      <c r="T37" s="50">
        <f t="shared" si="7"/>
        <v>400</v>
      </c>
      <c r="U37" s="50">
        <f t="shared" si="7"/>
        <v>400</v>
      </c>
      <c r="V37" s="50">
        <f t="shared" si="7"/>
        <v>400</v>
      </c>
      <c r="W37" s="50">
        <f t="shared" si="7"/>
        <v>400</v>
      </c>
      <c r="X37" s="50">
        <f t="shared" si="7"/>
        <v>400</v>
      </c>
      <c r="Y37" s="50">
        <f t="shared" si="7"/>
        <v>400</v>
      </c>
      <c r="Z37" s="50">
        <f t="shared" si="7"/>
        <v>400</v>
      </c>
      <c r="AA37" s="50">
        <f t="shared" si="7"/>
        <v>400</v>
      </c>
      <c r="AB37" s="50">
        <f t="shared" si="7"/>
        <v>400</v>
      </c>
      <c r="AC37" s="50">
        <f t="shared" si="7"/>
        <v>400</v>
      </c>
      <c r="AD37" s="50">
        <f t="shared" si="7"/>
        <v>400</v>
      </c>
      <c r="AE37" s="50">
        <f t="shared" si="7"/>
        <v>400</v>
      </c>
      <c r="AF37" s="50">
        <f t="shared" si="7"/>
        <v>400</v>
      </c>
      <c r="AG37" s="50">
        <f t="shared" si="7"/>
        <v>400</v>
      </c>
      <c r="AH37" s="50">
        <f t="shared" si="7"/>
        <v>400</v>
      </c>
      <c r="AI37" s="50">
        <f t="shared" si="7"/>
        <v>400</v>
      </c>
      <c r="AJ37" s="50">
        <f t="shared" si="7"/>
        <v>0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10000</v>
      </c>
      <c r="I41" s="50"/>
      <c r="J41" s="50">
        <f t="shared" ref="J41:AN41" si="8" xml:space="preserve"> J37 + SUM(J39:J40)</f>
        <v>0</v>
      </c>
      <c r="K41" s="50">
        <f t="shared" si="8"/>
        <v>400</v>
      </c>
      <c r="L41" s="50">
        <f t="shared" si="8"/>
        <v>400</v>
      </c>
      <c r="M41" s="50">
        <f t="shared" si="8"/>
        <v>400</v>
      </c>
      <c r="N41" s="50">
        <f t="shared" si="8"/>
        <v>400</v>
      </c>
      <c r="O41" s="50">
        <f t="shared" si="8"/>
        <v>400</v>
      </c>
      <c r="P41" s="50">
        <f t="shared" si="8"/>
        <v>400</v>
      </c>
      <c r="Q41" s="50">
        <f t="shared" si="8"/>
        <v>400</v>
      </c>
      <c r="R41" s="50">
        <f t="shared" si="8"/>
        <v>400</v>
      </c>
      <c r="S41" s="50">
        <f t="shared" si="8"/>
        <v>400</v>
      </c>
      <c r="T41" s="50">
        <f t="shared" si="8"/>
        <v>400</v>
      </c>
      <c r="U41" s="50">
        <f t="shared" si="8"/>
        <v>400</v>
      </c>
      <c r="V41" s="50">
        <f t="shared" si="8"/>
        <v>400</v>
      </c>
      <c r="W41" s="50">
        <f t="shared" si="8"/>
        <v>400</v>
      </c>
      <c r="X41" s="50">
        <f t="shared" si="8"/>
        <v>400</v>
      </c>
      <c r="Y41" s="50">
        <f t="shared" si="8"/>
        <v>400</v>
      </c>
      <c r="Z41" s="50">
        <f t="shared" si="8"/>
        <v>400</v>
      </c>
      <c r="AA41" s="50">
        <f t="shared" si="8"/>
        <v>400</v>
      </c>
      <c r="AB41" s="50">
        <f t="shared" si="8"/>
        <v>400</v>
      </c>
      <c r="AC41" s="50">
        <f t="shared" si="8"/>
        <v>400</v>
      </c>
      <c r="AD41" s="50">
        <f t="shared" si="8"/>
        <v>400</v>
      </c>
      <c r="AE41" s="50">
        <f t="shared" si="8"/>
        <v>400</v>
      </c>
      <c r="AF41" s="50">
        <f t="shared" si="8"/>
        <v>400</v>
      </c>
      <c r="AG41" s="50">
        <f t="shared" si="8"/>
        <v>400</v>
      </c>
      <c r="AH41" s="50">
        <f t="shared" si="8"/>
        <v>400</v>
      </c>
      <c r="AI41" s="50">
        <f t="shared" si="8"/>
        <v>400</v>
      </c>
      <c r="AJ41" s="50">
        <f t="shared" si="8"/>
        <v>0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10000</v>
      </c>
      <c r="I46" s="50"/>
      <c r="J46" s="50">
        <f t="shared" ref="J46:AN46" si="9" xml:space="preserve"> J41 + SUM(J43:J45)</f>
        <v>0</v>
      </c>
      <c r="K46" s="50">
        <f t="shared" si="9"/>
        <v>400</v>
      </c>
      <c r="L46" s="50">
        <f t="shared" si="9"/>
        <v>400</v>
      </c>
      <c r="M46" s="50">
        <f t="shared" si="9"/>
        <v>400</v>
      </c>
      <c r="N46" s="50">
        <f t="shared" si="9"/>
        <v>400</v>
      </c>
      <c r="O46" s="50">
        <f t="shared" si="9"/>
        <v>400</v>
      </c>
      <c r="P46" s="50">
        <f t="shared" si="9"/>
        <v>400</v>
      </c>
      <c r="Q46" s="50">
        <f t="shared" si="9"/>
        <v>400</v>
      </c>
      <c r="R46" s="50">
        <f t="shared" si="9"/>
        <v>400</v>
      </c>
      <c r="S46" s="50">
        <f t="shared" si="9"/>
        <v>400</v>
      </c>
      <c r="T46" s="50">
        <f t="shared" si="9"/>
        <v>400</v>
      </c>
      <c r="U46" s="50">
        <f t="shared" si="9"/>
        <v>400</v>
      </c>
      <c r="V46" s="50">
        <f t="shared" si="9"/>
        <v>400</v>
      </c>
      <c r="W46" s="50">
        <f t="shared" si="9"/>
        <v>400</v>
      </c>
      <c r="X46" s="50">
        <f t="shared" si="9"/>
        <v>400</v>
      </c>
      <c r="Y46" s="50">
        <f t="shared" si="9"/>
        <v>400</v>
      </c>
      <c r="Z46" s="50">
        <f t="shared" si="9"/>
        <v>400</v>
      </c>
      <c r="AA46" s="50">
        <f t="shared" si="9"/>
        <v>400</v>
      </c>
      <c r="AB46" s="50">
        <f t="shared" si="9"/>
        <v>400</v>
      </c>
      <c r="AC46" s="50">
        <f t="shared" si="9"/>
        <v>400</v>
      </c>
      <c r="AD46" s="50">
        <f t="shared" si="9"/>
        <v>400</v>
      </c>
      <c r="AE46" s="50">
        <f t="shared" si="9"/>
        <v>400</v>
      </c>
      <c r="AF46" s="50">
        <f t="shared" si="9"/>
        <v>400</v>
      </c>
      <c r="AG46" s="50">
        <f t="shared" si="9"/>
        <v>400</v>
      </c>
      <c r="AH46" s="50">
        <f t="shared" si="9"/>
        <v>400</v>
      </c>
      <c r="AI46" s="50">
        <f t="shared" si="9"/>
        <v>400</v>
      </c>
      <c r="AJ46" s="50">
        <f t="shared" si="9"/>
        <v>0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10000</v>
      </c>
      <c r="I49" s="50"/>
      <c r="J49" s="50">
        <f t="shared" ref="J49:AN49" si="10" xml:space="preserve"> J46 + J48</f>
        <v>0</v>
      </c>
      <c r="K49" s="50">
        <f t="shared" si="10"/>
        <v>400</v>
      </c>
      <c r="L49" s="50">
        <f t="shared" si="10"/>
        <v>400</v>
      </c>
      <c r="M49" s="50">
        <f t="shared" si="10"/>
        <v>400</v>
      </c>
      <c r="N49" s="50">
        <f t="shared" si="10"/>
        <v>400</v>
      </c>
      <c r="O49" s="50">
        <f t="shared" si="10"/>
        <v>400</v>
      </c>
      <c r="P49" s="50">
        <f t="shared" si="10"/>
        <v>400</v>
      </c>
      <c r="Q49" s="50">
        <f t="shared" si="10"/>
        <v>400</v>
      </c>
      <c r="R49" s="50">
        <f t="shared" si="10"/>
        <v>400</v>
      </c>
      <c r="S49" s="50">
        <f t="shared" si="10"/>
        <v>400</v>
      </c>
      <c r="T49" s="50">
        <f t="shared" si="10"/>
        <v>400</v>
      </c>
      <c r="U49" s="50">
        <f t="shared" si="10"/>
        <v>400</v>
      </c>
      <c r="V49" s="50">
        <f t="shared" si="10"/>
        <v>400</v>
      </c>
      <c r="W49" s="50">
        <f t="shared" si="10"/>
        <v>400</v>
      </c>
      <c r="X49" s="50">
        <f t="shared" si="10"/>
        <v>400</v>
      </c>
      <c r="Y49" s="50">
        <f t="shared" si="10"/>
        <v>400</v>
      </c>
      <c r="Z49" s="50">
        <f t="shared" si="10"/>
        <v>400</v>
      </c>
      <c r="AA49" s="50">
        <f t="shared" si="10"/>
        <v>400</v>
      </c>
      <c r="AB49" s="50">
        <f t="shared" si="10"/>
        <v>400</v>
      </c>
      <c r="AC49" s="50">
        <f t="shared" si="10"/>
        <v>400</v>
      </c>
      <c r="AD49" s="50">
        <f t="shared" si="10"/>
        <v>400</v>
      </c>
      <c r="AE49" s="50">
        <f t="shared" si="10"/>
        <v>400</v>
      </c>
      <c r="AF49" s="50">
        <f t="shared" si="10"/>
        <v>400</v>
      </c>
      <c r="AG49" s="50">
        <f t="shared" si="10"/>
        <v>400</v>
      </c>
      <c r="AH49" s="50">
        <f t="shared" si="10"/>
        <v>400</v>
      </c>
      <c r="AI49" s="50">
        <f t="shared" si="10"/>
        <v>400</v>
      </c>
      <c r="AJ49" s="50">
        <f t="shared" si="10"/>
        <v>0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[Dividends paid]</v>
      </c>
      <c r="F51" s="9">
        <f xml:space="preserve"> 'FS Qtr'!F52</f>
        <v>0</v>
      </c>
      <c r="G51" s="342">
        <f xml:space="preserve"> 'FS Qtr'!G52</f>
        <v>0</v>
      </c>
      <c r="H51" s="9">
        <f xml:space="preserve"> SUM(J51:AN51)</f>
        <v>0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0</v>
      </c>
      <c r="L51" s="9">
        <f xml:space="preserve"> SUMIFS('FS Qtr'!$J52:$EA52, 'FS Qtr'!$J$4:$EA$4, 'FS Ann'!L$4)</f>
        <v>0</v>
      </c>
      <c r="M51" s="9">
        <f xml:space="preserve"> SUMIFS('FS Qtr'!$J52:$EA52, 'FS Qtr'!$J$4:$EA$4, 'FS Ann'!M$4)</f>
        <v>0</v>
      </c>
      <c r="N51" s="9">
        <f xml:space="preserve"> SUMIFS('FS Qtr'!$J52:$EA52, 'FS Qtr'!$J$4:$EA$4, 'FS Ann'!N$4)</f>
        <v>0</v>
      </c>
      <c r="O51" s="9">
        <f xml:space="preserve"> SUMIFS('FS Qtr'!$J52:$EA52, 'FS Qtr'!$J$4:$EA$4, 'FS Ann'!O$4)</f>
        <v>0</v>
      </c>
      <c r="P51" s="9">
        <f xml:space="preserve"> SUMIFS('FS Qtr'!$J52:$EA52, 'FS Qtr'!$J$4:$EA$4, 'FS Ann'!P$4)</f>
        <v>0</v>
      </c>
      <c r="Q51" s="9">
        <f xml:space="preserve"> SUMIFS('FS Qtr'!$J52:$EA52, 'FS Qtr'!$J$4:$EA$4, 'FS Ann'!Q$4)</f>
        <v>0</v>
      </c>
      <c r="R51" s="9">
        <f xml:space="preserve"> SUMIFS('FS Qtr'!$J52:$EA52, 'FS Qtr'!$J$4:$EA$4, 'FS Ann'!R$4)</f>
        <v>0</v>
      </c>
      <c r="S51" s="9">
        <f xml:space="preserve"> SUMIFS('FS Qtr'!$J52:$EA52, 'FS Qtr'!$J$4:$EA$4, 'FS Ann'!S$4)</f>
        <v>0</v>
      </c>
      <c r="T51" s="9">
        <f xml:space="preserve"> SUMIFS('FS Qtr'!$J52:$EA52, 'FS Qtr'!$J$4:$EA$4, 'FS Ann'!T$4)</f>
        <v>0</v>
      </c>
      <c r="U51" s="9">
        <f xml:space="preserve"> SUMIFS('FS Qtr'!$J52:$EA52, 'FS Qtr'!$J$4:$EA$4, 'FS Ann'!U$4)</f>
        <v>0</v>
      </c>
      <c r="V51" s="9">
        <f xml:space="preserve"> SUMIFS('FS Qtr'!$J52:$EA52, 'FS Qtr'!$J$4:$EA$4, 'FS Ann'!V$4)</f>
        <v>0</v>
      </c>
      <c r="W51" s="9">
        <f xml:space="preserve"> SUMIFS('FS Qtr'!$J52:$EA52, 'FS Qtr'!$J$4:$EA$4, 'FS Ann'!W$4)</f>
        <v>0</v>
      </c>
      <c r="X51" s="9">
        <f xml:space="preserve"> SUMIFS('FS Qtr'!$J52:$EA52, 'FS Qtr'!$J$4:$EA$4, 'FS Ann'!X$4)</f>
        <v>0</v>
      </c>
      <c r="Y51" s="9">
        <f xml:space="preserve"> SUMIFS('FS Qtr'!$J52:$EA52, 'FS Qtr'!$J$4:$EA$4, 'FS Ann'!Y$4)</f>
        <v>0</v>
      </c>
      <c r="Z51" s="9">
        <f xml:space="preserve"> SUMIFS('FS Qtr'!$J52:$EA52, 'FS Qtr'!$J$4:$EA$4, 'FS Ann'!Z$4)</f>
        <v>0</v>
      </c>
      <c r="AA51" s="9">
        <f xml:space="preserve"> SUMIFS('FS Qtr'!$J52:$EA52, 'FS Qtr'!$J$4:$EA$4, 'FS Ann'!AA$4)</f>
        <v>0</v>
      </c>
      <c r="AB51" s="9">
        <f xml:space="preserve"> SUMIFS('FS Qtr'!$J52:$EA52, 'FS Qtr'!$J$4:$EA$4, 'FS Ann'!AB$4)</f>
        <v>0</v>
      </c>
      <c r="AC51" s="9">
        <f xml:space="preserve"> SUMIFS('FS Qtr'!$J52:$EA52, 'FS Qtr'!$J$4:$EA$4, 'FS Ann'!AC$4)</f>
        <v>0</v>
      </c>
      <c r="AD51" s="9">
        <f xml:space="preserve"> SUMIFS('FS Qtr'!$J52:$EA52, 'FS Qtr'!$J$4:$EA$4, 'FS Ann'!AD$4)</f>
        <v>0</v>
      </c>
      <c r="AE51" s="9">
        <f xml:space="preserve"> SUMIFS('FS Qtr'!$J52:$EA52, 'FS Qtr'!$J$4:$EA$4, 'FS Ann'!AE$4)</f>
        <v>0</v>
      </c>
      <c r="AF51" s="9">
        <f xml:space="preserve"> SUMIFS('FS Qtr'!$J52:$EA52, 'FS Qtr'!$J$4:$EA$4, 'FS Ann'!AF$4)</f>
        <v>0</v>
      </c>
      <c r="AG51" s="9">
        <f xml:space="preserve"> SUMIFS('FS Qtr'!$J52:$EA52, 'FS Qtr'!$J$4:$EA$4, 'FS Ann'!AG$4)</f>
        <v>0</v>
      </c>
      <c r="AH51" s="9">
        <f xml:space="preserve"> SUMIFS('FS Qtr'!$J52:$EA52, 'FS Qtr'!$J$4:$EA$4, 'FS Ann'!AH$4)</f>
        <v>0</v>
      </c>
      <c r="AI51" s="9">
        <f xml:space="preserve"> SUMIFS('FS Qtr'!$J52:$EA52, 'FS Qtr'!$J$4:$EA$4, 'FS Ann'!AI$4)</f>
        <v>0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10000</v>
      </c>
      <c r="I52" s="50"/>
      <c r="J52" s="50">
        <f xml:space="preserve"> J49 + J51</f>
        <v>0</v>
      </c>
      <c r="K52" s="50">
        <f t="shared" ref="K52:AN52" si="11" xml:space="preserve"> K49 + K51</f>
        <v>400</v>
      </c>
      <c r="L52" s="50">
        <f t="shared" si="11"/>
        <v>400</v>
      </c>
      <c r="M52" s="50">
        <f t="shared" si="11"/>
        <v>400</v>
      </c>
      <c r="N52" s="50">
        <f t="shared" si="11"/>
        <v>400</v>
      </c>
      <c r="O52" s="50">
        <f t="shared" si="11"/>
        <v>400</v>
      </c>
      <c r="P52" s="50">
        <f t="shared" si="11"/>
        <v>400</v>
      </c>
      <c r="Q52" s="50">
        <f t="shared" si="11"/>
        <v>400</v>
      </c>
      <c r="R52" s="50">
        <f t="shared" si="11"/>
        <v>400</v>
      </c>
      <c r="S52" s="50">
        <f t="shared" si="11"/>
        <v>400</v>
      </c>
      <c r="T52" s="50">
        <f t="shared" si="11"/>
        <v>400</v>
      </c>
      <c r="U52" s="50">
        <f t="shared" si="11"/>
        <v>400</v>
      </c>
      <c r="V52" s="50">
        <f t="shared" si="11"/>
        <v>400</v>
      </c>
      <c r="W52" s="50">
        <f t="shared" si="11"/>
        <v>400</v>
      </c>
      <c r="X52" s="50">
        <f t="shared" si="11"/>
        <v>400</v>
      </c>
      <c r="Y52" s="50">
        <f t="shared" si="11"/>
        <v>400</v>
      </c>
      <c r="Z52" s="50">
        <f t="shared" si="11"/>
        <v>400</v>
      </c>
      <c r="AA52" s="50">
        <f t="shared" si="11"/>
        <v>400</v>
      </c>
      <c r="AB52" s="50">
        <f t="shared" si="11"/>
        <v>400</v>
      </c>
      <c r="AC52" s="50">
        <f t="shared" si="11"/>
        <v>400</v>
      </c>
      <c r="AD52" s="50">
        <f t="shared" si="11"/>
        <v>400</v>
      </c>
      <c r="AE52" s="50">
        <f t="shared" si="11"/>
        <v>400</v>
      </c>
      <c r="AF52" s="50">
        <f t="shared" si="11"/>
        <v>400</v>
      </c>
      <c r="AG52" s="50">
        <f t="shared" si="11"/>
        <v>400</v>
      </c>
      <c r="AH52" s="50">
        <f t="shared" si="11"/>
        <v>400</v>
      </c>
      <c r="AI52" s="50">
        <f t="shared" si="11"/>
        <v>400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[Non current assets balance]</v>
      </c>
      <c r="F59" s="9">
        <f xml:space="preserve"> 'FS Qtr'!F59</f>
        <v>0</v>
      </c>
      <c r="G59" s="342">
        <f xml:space="preserve"> 'FS Qtr'!G59</f>
        <v>0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0</v>
      </c>
      <c r="L59" s="9">
        <f xml:space="preserve"> SUMIFS( 'FS Qtr'!$J59:$EA59, 'FS Qtr'!$J$2:$EA$2, 'FS Ann'!L$2)</f>
        <v>0</v>
      </c>
      <c r="M59" s="9">
        <f xml:space="preserve"> SUMIFS( 'FS Qtr'!$J59:$EA59, 'FS Qtr'!$J$2:$EA$2, 'FS Ann'!M$2)</f>
        <v>0</v>
      </c>
      <c r="N59" s="9">
        <f xml:space="preserve"> SUMIFS( 'FS Qtr'!$J59:$EA59, 'FS Qtr'!$J$2:$EA$2, 'FS Ann'!N$2)</f>
        <v>0</v>
      </c>
      <c r="O59" s="9">
        <f xml:space="preserve"> SUMIFS( 'FS Qtr'!$J59:$EA59, 'FS Qtr'!$J$2:$EA$2, 'FS Ann'!O$2)</f>
        <v>0</v>
      </c>
      <c r="P59" s="9">
        <f xml:space="preserve"> SUMIFS( 'FS Qtr'!$J59:$EA59, 'FS Qtr'!$J$2:$EA$2, 'FS Ann'!P$2)</f>
        <v>0</v>
      </c>
      <c r="Q59" s="9">
        <f xml:space="preserve"> SUMIFS( 'FS Qtr'!$J59:$EA59, 'FS Qtr'!$J$2:$EA$2, 'FS Ann'!Q$2)</f>
        <v>0</v>
      </c>
      <c r="R59" s="9">
        <f xml:space="preserve"> SUMIFS( 'FS Qtr'!$J59:$EA59, 'FS Qtr'!$J$2:$EA$2, 'FS Ann'!R$2)</f>
        <v>0</v>
      </c>
      <c r="S59" s="9">
        <f xml:space="preserve"> SUMIFS( 'FS Qtr'!$J59:$EA59, 'FS Qtr'!$J$2:$EA$2, 'FS Ann'!S$2)</f>
        <v>0</v>
      </c>
      <c r="T59" s="9">
        <f xml:space="preserve"> SUMIFS( 'FS Qtr'!$J59:$EA59, 'FS Qtr'!$J$2:$EA$2, 'FS Ann'!T$2)</f>
        <v>0</v>
      </c>
      <c r="U59" s="9">
        <f xml:space="preserve"> SUMIFS( 'FS Qtr'!$J59:$EA59, 'FS Qtr'!$J$2:$EA$2, 'FS Ann'!U$2)</f>
        <v>0</v>
      </c>
      <c r="V59" s="9">
        <f xml:space="preserve"> SUMIFS( 'FS Qtr'!$J59:$EA59, 'FS Qtr'!$J$2:$EA$2, 'FS Ann'!V$2)</f>
        <v>0</v>
      </c>
      <c r="W59" s="9">
        <f xml:space="preserve"> SUMIFS( 'FS Qtr'!$J59:$EA59, 'FS Qtr'!$J$2:$EA$2, 'FS Ann'!W$2)</f>
        <v>0</v>
      </c>
      <c r="X59" s="9">
        <f xml:space="preserve"> SUMIFS( 'FS Qtr'!$J59:$EA59, 'FS Qtr'!$J$2:$EA$2, 'FS Ann'!X$2)</f>
        <v>0</v>
      </c>
      <c r="Y59" s="9">
        <f xml:space="preserve"> SUMIFS( 'FS Qtr'!$J59:$EA59, 'FS Qtr'!$J$2:$EA$2, 'FS Ann'!Y$2)</f>
        <v>0</v>
      </c>
      <c r="Z59" s="9">
        <f xml:space="preserve"> SUMIFS( 'FS Qtr'!$J59:$EA59, 'FS Qtr'!$J$2:$EA$2, 'FS Ann'!Z$2)</f>
        <v>0</v>
      </c>
      <c r="AA59" s="9">
        <f xml:space="preserve"> SUMIFS( 'FS Qtr'!$J59:$EA59, 'FS Qtr'!$J$2:$EA$2, 'FS Ann'!AA$2)</f>
        <v>0</v>
      </c>
      <c r="AB59" s="9">
        <f xml:space="preserve"> SUMIFS( 'FS Qtr'!$J59:$EA59, 'FS Qtr'!$J$2:$EA$2, 'FS Ann'!AB$2)</f>
        <v>0</v>
      </c>
      <c r="AC59" s="9">
        <f xml:space="preserve"> SUMIFS( 'FS Qtr'!$J59:$EA59, 'FS Qtr'!$J$2:$EA$2, 'FS Ann'!AC$2)</f>
        <v>0</v>
      </c>
      <c r="AD59" s="9">
        <f xml:space="preserve"> SUMIFS( 'FS Qtr'!$J59:$EA59, 'FS Qtr'!$J$2:$EA$2, 'FS Ann'!AD$2)</f>
        <v>0</v>
      </c>
      <c r="AE59" s="9">
        <f xml:space="preserve"> SUMIFS( 'FS Qtr'!$J59:$EA59, 'FS Qtr'!$J$2:$EA$2, 'FS Ann'!AE$2)</f>
        <v>0</v>
      </c>
      <c r="AF59" s="9">
        <f xml:space="preserve"> SUMIFS( 'FS Qtr'!$J59:$EA59, 'FS Qtr'!$J$2:$EA$2, 'FS Ann'!AF$2)</f>
        <v>0</v>
      </c>
      <c r="AG59" s="9">
        <f xml:space="preserve"> SUMIFS( 'FS Qtr'!$J59:$EA59, 'FS Qtr'!$J$2:$EA$2, 'FS Ann'!AG$2)</f>
        <v>0</v>
      </c>
      <c r="AH59" s="9">
        <f xml:space="preserve"> SUMIFS( 'FS Qtr'!$J59:$EA59, 'FS Qtr'!$J$2:$EA$2, 'FS Ann'!AH$2)</f>
        <v>0</v>
      </c>
      <c r="AI59" s="9">
        <f xml:space="preserve"> SUMIFS( 'FS Qtr'!$J59:$EA59, 'FS Qtr'!$J$2:$EA$2, 'FS Ann'!AI$2)</f>
        <v>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0</v>
      </c>
      <c r="L60" s="50">
        <f t="shared" si="12"/>
        <v>0</v>
      </c>
      <c r="M60" s="50">
        <f t="shared" si="12"/>
        <v>0</v>
      </c>
      <c r="N60" s="50">
        <f t="shared" si="12"/>
        <v>0</v>
      </c>
      <c r="O60" s="50">
        <f t="shared" si="12"/>
        <v>0</v>
      </c>
      <c r="P60" s="50">
        <f t="shared" si="12"/>
        <v>0</v>
      </c>
      <c r="Q60" s="50">
        <f t="shared" si="12"/>
        <v>0</v>
      </c>
      <c r="R60" s="50">
        <f t="shared" si="12"/>
        <v>0</v>
      </c>
      <c r="S60" s="50">
        <f t="shared" si="12"/>
        <v>0</v>
      </c>
      <c r="T60" s="50">
        <f t="shared" si="12"/>
        <v>0</v>
      </c>
      <c r="U60" s="50">
        <f t="shared" si="12"/>
        <v>0</v>
      </c>
      <c r="V60" s="50">
        <f t="shared" si="12"/>
        <v>0</v>
      </c>
      <c r="W60" s="50">
        <f t="shared" si="12"/>
        <v>0</v>
      </c>
      <c r="X60" s="50">
        <f t="shared" si="12"/>
        <v>0</v>
      </c>
      <c r="Y60" s="50">
        <f t="shared" si="12"/>
        <v>0</v>
      </c>
      <c r="Z60" s="50">
        <f t="shared" si="12"/>
        <v>0</v>
      </c>
      <c r="AA60" s="50">
        <f t="shared" si="12"/>
        <v>0</v>
      </c>
      <c r="AB60" s="50">
        <f t="shared" si="12"/>
        <v>0</v>
      </c>
      <c r="AC60" s="50">
        <f t="shared" si="12"/>
        <v>0</v>
      </c>
      <c r="AD60" s="50">
        <f t="shared" si="12"/>
        <v>0</v>
      </c>
      <c r="AE60" s="50">
        <f t="shared" si="12"/>
        <v>0</v>
      </c>
      <c r="AF60" s="50">
        <f t="shared" si="12"/>
        <v>0</v>
      </c>
      <c r="AG60" s="50">
        <f t="shared" si="12"/>
        <v>0</v>
      </c>
      <c r="AH60" s="50">
        <f t="shared" si="12"/>
        <v>0</v>
      </c>
      <c r="AI60" s="50">
        <f t="shared" si="12"/>
        <v>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400</v>
      </c>
      <c r="M63" s="9">
        <f xml:space="preserve"> SUMIFS( 'FS Qtr'!$J63:$EA63, 'FS Qtr'!$J$2:$EA$2, 'FS Ann'!M$2)</f>
        <v>800</v>
      </c>
      <c r="N63" s="9">
        <f xml:space="preserve"> SUMIFS( 'FS Qtr'!$J63:$EA63, 'FS Qtr'!$J$2:$EA$2, 'FS Ann'!N$2)</f>
        <v>1200</v>
      </c>
      <c r="O63" s="9">
        <f xml:space="preserve"> SUMIFS( 'FS Qtr'!$J63:$EA63, 'FS Qtr'!$J$2:$EA$2, 'FS Ann'!O$2)</f>
        <v>1600</v>
      </c>
      <c r="P63" s="9">
        <f xml:space="preserve"> SUMIFS( 'FS Qtr'!$J63:$EA63, 'FS Qtr'!$J$2:$EA$2, 'FS Ann'!P$2)</f>
        <v>2000</v>
      </c>
      <c r="Q63" s="9">
        <f xml:space="preserve"> SUMIFS( 'FS Qtr'!$J63:$EA63, 'FS Qtr'!$J$2:$EA$2, 'FS Ann'!Q$2)</f>
        <v>2400</v>
      </c>
      <c r="R63" s="9">
        <f xml:space="preserve"> SUMIFS( 'FS Qtr'!$J63:$EA63, 'FS Qtr'!$J$2:$EA$2, 'FS Ann'!R$2)</f>
        <v>2800</v>
      </c>
      <c r="S63" s="9">
        <f xml:space="preserve"> SUMIFS( 'FS Qtr'!$J63:$EA63, 'FS Qtr'!$J$2:$EA$2, 'FS Ann'!S$2)</f>
        <v>3200</v>
      </c>
      <c r="T63" s="9">
        <f xml:space="preserve"> SUMIFS( 'FS Qtr'!$J63:$EA63, 'FS Qtr'!$J$2:$EA$2, 'FS Ann'!T$2)</f>
        <v>3600</v>
      </c>
      <c r="U63" s="9">
        <f xml:space="preserve"> SUMIFS( 'FS Qtr'!$J63:$EA63, 'FS Qtr'!$J$2:$EA$2, 'FS Ann'!U$2)</f>
        <v>4000</v>
      </c>
      <c r="V63" s="9">
        <f xml:space="preserve"> SUMIFS( 'FS Qtr'!$J63:$EA63, 'FS Qtr'!$J$2:$EA$2, 'FS Ann'!V$2)</f>
        <v>4400</v>
      </c>
      <c r="W63" s="9">
        <f xml:space="preserve"> SUMIFS( 'FS Qtr'!$J63:$EA63, 'FS Qtr'!$J$2:$EA$2, 'FS Ann'!W$2)</f>
        <v>4800</v>
      </c>
      <c r="X63" s="9">
        <f xml:space="preserve"> SUMIFS( 'FS Qtr'!$J63:$EA63, 'FS Qtr'!$J$2:$EA$2, 'FS Ann'!X$2)</f>
        <v>5200</v>
      </c>
      <c r="Y63" s="9">
        <f xml:space="preserve"> SUMIFS( 'FS Qtr'!$J63:$EA63, 'FS Qtr'!$J$2:$EA$2, 'FS Ann'!Y$2)</f>
        <v>5600</v>
      </c>
      <c r="Z63" s="9">
        <f xml:space="preserve"> SUMIFS( 'FS Qtr'!$J63:$EA63, 'FS Qtr'!$J$2:$EA$2, 'FS Ann'!Z$2)</f>
        <v>6000</v>
      </c>
      <c r="AA63" s="9">
        <f xml:space="preserve"> SUMIFS( 'FS Qtr'!$J63:$EA63, 'FS Qtr'!$J$2:$EA$2, 'FS Ann'!AA$2)</f>
        <v>6400</v>
      </c>
      <c r="AB63" s="9">
        <f xml:space="preserve"> SUMIFS( 'FS Qtr'!$J63:$EA63, 'FS Qtr'!$J$2:$EA$2, 'FS Ann'!AB$2)</f>
        <v>6800</v>
      </c>
      <c r="AC63" s="9">
        <f xml:space="preserve"> SUMIFS( 'FS Qtr'!$J63:$EA63, 'FS Qtr'!$J$2:$EA$2, 'FS Ann'!AC$2)</f>
        <v>7200</v>
      </c>
      <c r="AD63" s="9">
        <f xml:space="preserve"> SUMIFS( 'FS Qtr'!$J63:$EA63, 'FS Qtr'!$J$2:$EA$2, 'FS Ann'!AD$2)</f>
        <v>7600</v>
      </c>
      <c r="AE63" s="9">
        <f xml:space="preserve"> SUMIFS( 'FS Qtr'!$J63:$EA63, 'FS Qtr'!$J$2:$EA$2, 'FS Ann'!AE$2)</f>
        <v>8000</v>
      </c>
      <c r="AF63" s="9">
        <f xml:space="preserve"> SUMIFS( 'FS Qtr'!$J63:$EA63, 'FS Qtr'!$J$2:$EA$2, 'FS Ann'!AF$2)</f>
        <v>8400</v>
      </c>
      <c r="AG63" s="9">
        <f xml:space="preserve"> SUMIFS( 'FS Qtr'!$J63:$EA63, 'FS Qtr'!$J$2:$EA$2, 'FS Ann'!AG$2)</f>
        <v>8800</v>
      </c>
      <c r="AH63" s="9">
        <f xml:space="preserve"> SUMIFS( 'FS Qtr'!$J63:$EA63, 'FS Qtr'!$J$2:$EA$2, 'FS Ann'!AH$2)</f>
        <v>9200</v>
      </c>
      <c r="AI63" s="9">
        <f xml:space="preserve"> SUMIFS( 'FS Qtr'!$J63:$EA63, 'FS Qtr'!$J$2:$EA$2, 'FS Ann'!AI$2)</f>
        <v>9600</v>
      </c>
      <c r="AJ63" s="9">
        <f xml:space="preserve"> SUMIFS( 'FS Qtr'!$J63:$EA63, 'FS Qtr'!$J$2:$EA$2, 'FS Ann'!AJ$2)</f>
        <v>10000</v>
      </c>
      <c r="AK63" s="9">
        <f xml:space="preserve"> SUMIFS( 'FS Qtr'!$J63:$EA63, 'FS Qtr'!$J$2:$EA$2, 'FS Ann'!AK$2)</f>
        <v>10000</v>
      </c>
      <c r="AL63" s="9">
        <f xml:space="preserve"> SUMIFS( 'FS Qtr'!$J63:$EA63, 'FS Qtr'!$J$2:$EA$2, 'FS Ann'!AL$2)</f>
        <v>10000</v>
      </c>
      <c r="AM63" s="9">
        <f xml:space="preserve"> SUMIFS( 'FS Qtr'!$J63:$EA63, 'FS Qtr'!$J$2:$EA$2, 'FS Ann'!AM$2)</f>
        <v>10000</v>
      </c>
      <c r="AN63" s="9">
        <f xml:space="preserve"> SUMIFS( 'FS Qtr'!$J63:$EA63, 'FS Qtr'!$J$2:$EA$2, 'FS Ann'!AN$2)</f>
        <v>10000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[Accounts receivable balance]</v>
      </c>
      <c r="F64" s="9">
        <f xml:space="preserve"> 'FS Qtr'!F64</f>
        <v>0</v>
      </c>
      <c r="G64" s="342">
        <f xml:space="preserve"> 'FS Qtr'!G64</f>
        <v>0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0</v>
      </c>
      <c r="M64" s="9">
        <f xml:space="preserve"> SUMIFS( 'FS Qtr'!$J64:$EA64, 'FS Qtr'!$J$2:$EA$2, 'FS Ann'!M$2)</f>
        <v>0</v>
      </c>
      <c r="N64" s="9">
        <f xml:space="preserve"> SUMIFS( 'FS Qtr'!$J64:$EA64, 'FS Qtr'!$J$2:$EA$2, 'FS Ann'!N$2)</f>
        <v>0</v>
      </c>
      <c r="O64" s="9">
        <f xml:space="preserve"> SUMIFS( 'FS Qtr'!$J64:$EA64, 'FS Qtr'!$J$2:$EA$2, 'FS Ann'!O$2)</f>
        <v>0</v>
      </c>
      <c r="P64" s="9">
        <f xml:space="preserve"> SUMIFS( 'FS Qtr'!$J64:$EA64, 'FS Qtr'!$J$2:$EA$2, 'FS Ann'!P$2)</f>
        <v>0</v>
      </c>
      <c r="Q64" s="9">
        <f xml:space="preserve"> SUMIFS( 'FS Qtr'!$J64:$EA64, 'FS Qtr'!$J$2:$EA$2, 'FS Ann'!Q$2)</f>
        <v>0</v>
      </c>
      <c r="R64" s="9">
        <f xml:space="preserve"> SUMIFS( 'FS Qtr'!$J64:$EA64, 'FS Qtr'!$J$2:$EA$2, 'FS Ann'!R$2)</f>
        <v>0</v>
      </c>
      <c r="S64" s="9">
        <f xml:space="preserve"> SUMIFS( 'FS Qtr'!$J64:$EA64, 'FS Qtr'!$J$2:$EA$2, 'FS Ann'!S$2)</f>
        <v>0</v>
      </c>
      <c r="T64" s="9">
        <f xml:space="preserve"> SUMIFS( 'FS Qtr'!$J64:$EA64, 'FS Qtr'!$J$2:$EA$2, 'FS Ann'!T$2)</f>
        <v>0</v>
      </c>
      <c r="U64" s="9">
        <f xml:space="preserve"> SUMIFS( 'FS Qtr'!$J64:$EA64, 'FS Qtr'!$J$2:$EA$2, 'FS Ann'!U$2)</f>
        <v>0</v>
      </c>
      <c r="V64" s="9">
        <f xml:space="preserve"> SUMIFS( 'FS Qtr'!$J64:$EA64, 'FS Qtr'!$J$2:$EA$2, 'FS Ann'!V$2)</f>
        <v>0</v>
      </c>
      <c r="W64" s="9">
        <f xml:space="preserve"> SUMIFS( 'FS Qtr'!$J64:$EA64, 'FS Qtr'!$J$2:$EA$2, 'FS Ann'!W$2)</f>
        <v>0</v>
      </c>
      <c r="X64" s="9">
        <f xml:space="preserve"> SUMIFS( 'FS Qtr'!$J64:$EA64, 'FS Qtr'!$J$2:$EA$2, 'FS Ann'!X$2)</f>
        <v>0</v>
      </c>
      <c r="Y64" s="9">
        <f xml:space="preserve"> SUMIFS( 'FS Qtr'!$J64:$EA64, 'FS Qtr'!$J$2:$EA$2, 'FS Ann'!Y$2)</f>
        <v>0</v>
      </c>
      <c r="Z64" s="9">
        <f xml:space="preserve"> SUMIFS( 'FS Qtr'!$J64:$EA64, 'FS Qtr'!$J$2:$EA$2, 'FS Ann'!Z$2)</f>
        <v>0</v>
      </c>
      <c r="AA64" s="9">
        <f xml:space="preserve"> SUMIFS( 'FS Qtr'!$J64:$EA64, 'FS Qtr'!$J$2:$EA$2, 'FS Ann'!AA$2)</f>
        <v>0</v>
      </c>
      <c r="AB64" s="9">
        <f xml:space="preserve"> SUMIFS( 'FS Qtr'!$J64:$EA64, 'FS Qtr'!$J$2:$EA$2, 'FS Ann'!AB$2)</f>
        <v>0</v>
      </c>
      <c r="AC64" s="9">
        <f xml:space="preserve"> SUMIFS( 'FS Qtr'!$J64:$EA64, 'FS Qtr'!$J$2:$EA$2, 'FS Ann'!AC$2)</f>
        <v>0</v>
      </c>
      <c r="AD64" s="9">
        <f xml:space="preserve"> SUMIFS( 'FS Qtr'!$J64:$EA64, 'FS Qtr'!$J$2:$EA$2, 'FS Ann'!AD$2)</f>
        <v>0</v>
      </c>
      <c r="AE64" s="9">
        <f xml:space="preserve"> SUMIFS( 'FS Qtr'!$J64:$EA64, 'FS Qtr'!$J$2:$EA$2, 'FS Ann'!AE$2)</f>
        <v>0</v>
      </c>
      <c r="AF64" s="9">
        <f xml:space="preserve"> SUMIFS( 'FS Qtr'!$J64:$EA64, 'FS Qtr'!$J$2:$EA$2, 'FS Ann'!AF$2)</f>
        <v>0</v>
      </c>
      <c r="AG64" s="9">
        <f xml:space="preserve"> SUMIFS( 'FS Qtr'!$J64:$EA64, 'FS Qtr'!$J$2:$EA$2, 'FS Ann'!AG$2)</f>
        <v>0</v>
      </c>
      <c r="AH64" s="9">
        <f xml:space="preserve"> SUMIFS( 'FS Qtr'!$J64:$EA64, 'FS Qtr'!$J$2:$EA$2, 'FS Ann'!AH$2)</f>
        <v>0</v>
      </c>
      <c r="AI64" s="9">
        <f xml:space="preserve"> SUMIFS( 'FS Qtr'!$J64:$EA64, 'FS Qtr'!$J$2:$EA$2, 'FS Ann'!AI$2)</f>
        <v>0</v>
      </c>
      <c r="AJ64" s="9">
        <f xml:space="preserve"> SUMIFS( 'FS Qtr'!$J64:$EA64, 'FS Qtr'!$J$2:$EA$2, 'FS Ann'!AJ$2)</f>
        <v>0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400</v>
      </c>
      <c r="M65" s="50">
        <f t="shared" si="13"/>
        <v>800</v>
      </c>
      <c r="N65" s="50">
        <f t="shared" si="13"/>
        <v>1200</v>
      </c>
      <c r="O65" s="50">
        <f t="shared" si="13"/>
        <v>1600</v>
      </c>
      <c r="P65" s="50">
        <f t="shared" si="13"/>
        <v>2000</v>
      </c>
      <c r="Q65" s="50">
        <f t="shared" si="13"/>
        <v>2400</v>
      </c>
      <c r="R65" s="50">
        <f t="shared" si="13"/>
        <v>2800</v>
      </c>
      <c r="S65" s="50">
        <f t="shared" si="13"/>
        <v>3200</v>
      </c>
      <c r="T65" s="50">
        <f t="shared" si="13"/>
        <v>3600</v>
      </c>
      <c r="U65" s="50">
        <f t="shared" si="13"/>
        <v>4000</v>
      </c>
      <c r="V65" s="50">
        <f t="shared" si="13"/>
        <v>4400</v>
      </c>
      <c r="W65" s="50">
        <f t="shared" si="13"/>
        <v>4800</v>
      </c>
      <c r="X65" s="50">
        <f t="shared" si="13"/>
        <v>5200</v>
      </c>
      <c r="Y65" s="50">
        <f t="shared" si="13"/>
        <v>5600</v>
      </c>
      <c r="Z65" s="50">
        <f t="shared" si="13"/>
        <v>6000</v>
      </c>
      <c r="AA65" s="50">
        <f t="shared" si="13"/>
        <v>6400</v>
      </c>
      <c r="AB65" s="50">
        <f t="shared" si="13"/>
        <v>6800</v>
      </c>
      <c r="AC65" s="50">
        <f t="shared" si="13"/>
        <v>7200</v>
      </c>
      <c r="AD65" s="50">
        <f t="shared" si="13"/>
        <v>7600</v>
      </c>
      <c r="AE65" s="50">
        <f t="shared" si="13"/>
        <v>8000</v>
      </c>
      <c r="AF65" s="50">
        <f t="shared" si="13"/>
        <v>8400</v>
      </c>
      <c r="AG65" s="50">
        <f t="shared" si="13"/>
        <v>8800</v>
      </c>
      <c r="AH65" s="50">
        <f t="shared" si="13"/>
        <v>9200</v>
      </c>
      <c r="AI65" s="50">
        <f t="shared" si="13"/>
        <v>9600</v>
      </c>
      <c r="AJ65" s="50">
        <f t="shared" si="13"/>
        <v>10000</v>
      </c>
      <c r="AK65" s="50">
        <f t="shared" si="13"/>
        <v>10000</v>
      </c>
      <c r="AL65" s="50">
        <f t="shared" si="13"/>
        <v>10000</v>
      </c>
      <c r="AM65" s="50">
        <f t="shared" si="13"/>
        <v>10000</v>
      </c>
      <c r="AN65" s="50">
        <f t="shared" si="13"/>
        <v>10000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0</v>
      </c>
      <c r="L67" s="50">
        <f t="shared" si="14"/>
        <v>400</v>
      </c>
      <c r="M67" s="50">
        <f t="shared" si="14"/>
        <v>800</v>
      </c>
      <c r="N67" s="50">
        <f t="shared" si="14"/>
        <v>1200</v>
      </c>
      <c r="O67" s="50">
        <f t="shared" si="14"/>
        <v>1600</v>
      </c>
      <c r="P67" s="50">
        <f t="shared" si="14"/>
        <v>2000</v>
      </c>
      <c r="Q67" s="50">
        <f t="shared" si="14"/>
        <v>2400</v>
      </c>
      <c r="R67" s="50">
        <f t="shared" si="14"/>
        <v>2800</v>
      </c>
      <c r="S67" s="50">
        <f t="shared" si="14"/>
        <v>3200</v>
      </c>
      <c r="T67" s="50">
        <f t="shared" si="14"/>
        <v>3600</v>
      </c>
      <c r="U67" s="50">
        <f t="shared" si="14"/>
        <v>4000</v>
      </c>
      <c r="V67" s="50">
        <f t="shared" si="14"/>
        <v>4400</v>
      </c>
      <c r="W67" s="50">
        <f t="shared" si="14"/>
        <v>4800</v>
      </c>
      <c r="X67" s="50">
        <f t="shared" si="14"/>
        <v>5200</v>
      </c>
      <c r="Y67" s="50">
        <f t="shared" si="14"/>
        <v>5600</v>
      </c>
      <c r="Z67" s="50">
        <f t="shared" si="14"/>
        <v>6000</v>
      </c>
      <c r="AA67" s="50">
        <f t="shared" si="14"/>
        <v>6400</v>
      </c>
      <c r="AB67" s="50">
        <f t="shared" si="14"/>
        <v>6800</v>
      </c>
      <c r="AC67" s="50">
        <f t="shared" si="14"/>
        <v>7200</v>
      </c>
      <c r="AD67" s="50">
        <f t="shared" si="14"/>
        <v>7600</v>
      </c>
      <c r="AE67" s="50">
        <f t="shared" si="14"/>
        <v>8000</v>
      </c>
      <c r="AF67" s="50">
        <f t="shared" si="14"/>
        <v>8400</v>
      </c>
      <c r="AG67" s="50">
        <f t="shared" si="14"/>
        <v>8800</v>
      </c>
      <c r="AH67" s="50">
        <f t="shared" si="14"/>
        <v>9200</v>
      </c>
      <c r="AI67" s="50">
        <f t="shared" si="14"/>
        <v>9600</v>
      </c>
      <c r="AJ67" s="50">
        <f t="shared" si="14"/>
        <v>10000</v>
      </c>
      <c r="AK67" s="50">
        <f t="shared" si="14"/>
        <v>10000</v>
      </c>
      <c r="AL67" s="50">
        <f t="shared" si="14"/>
        <v>10000</v>
      </c>
      <c r="AM67" s="50">
        <f t="shared" si="14"/>
        <v>10000</v>
      </c>
      <c r="AN67" s="50">
        <f t="shared" si="14"/>
        <v>10000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[Accounts payable balance]</v>
      </c>
      <c r="F69" s="9">
        <f xml:space="preserve"> 'FS Qtr'!F69</f>
        <v>0</v>
      </c>
      <c r="G69" s="342">
        <f xml:space="preserve"> 'FS Qtr'!G69</f>
        <v>0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0</v>
      </c>
      <c r="M69" s="9">
        <f xml:space="preserve"> SUMIFS( 'FS Qtr'!$J69:$EA69, 'FS Qtr'!$J$2:$EA$2, 'FS Ann'!M$2)</f>
        <v>0</v>
      </c>
      <c r="N69" s="9">
        <f xml:space="preserve"> SUMIFS( 'FS Qtr'!$J69:$EA69, 'FS Qtr'!$J$2:$EA$2, 'FS Ann'!N$2)</f>
        <v>0</v>
      </c>
      <c r="O69" s="9">
        <f xml:space="preserve"> SUMIFS( 'FS Qtr'!$J69:$EA69, 'FS Qtr'!$J$2:$EA$2, 'FS Ann'!O$2)</f>
        <v>0</v>
      </c>
      <c r="P69" s="9">
        <f xml:space="preserve"> SUMIFS( 'FS Qtr'!$J69:$EA69, 'FS Qtr'!$J$2:$EA$2, 'FS Ann'!P$2)</f>
        <v>0</v>
      </c>
      <c r="Q69" s="9">
        <f xml:space="preserve"> SUMIFS( 'FS Qtr'!$J69:$EA69, 'FS Qtr'!$J$2:$EA$2, 'FS Ann'!Q$2)</f>
        <v>0</v>
      </c>
      <c r="R69" s="9">
        <f xml:space="preserve"> SUMIFS( 'FS Qtr'!$J69:$EA69, 'FS Qtr'!$J$2:$EA$2, 'FS Ann'!R$2)</f>
        <v>0</v>
      </c>
      <c r="S69" s="9">
        <f xml:space="preserve"> SUMIFS( 'FS Qtr'!$J69:$EA69, 'FS Qtr'!$J$2:$EA$2, 'FS Ann'!S$2)</f>
        <v>0</v>
      </c>
      <c r="T69" s="9">
        <f xml:space="preserve"> SUMIFS( 'FS Qtr'!$J69:$EA69, 'FS Qtr'!$J$2:$EA$2, 'FS Ann'!T$2)</f>
        <v>0</v>
      </c>
      <c r="U69" s="9">
        <f xml:space="preserve"> SUMIFS( 'FS Qtr'!$J69:$EA69, 'FS Qtr'!$J$2:$EA$2, 'FS Ann'!U$2)</f>
        <v>0</v>
      </c>
      <c r="V69" s="9">
        <f xml:space="preserve"> SUMIFS( 'FS Qtr'!$J69:$EA69, 'FS Qtr'!$J$2:$EA$2, 'FS Ann'!V$2)</f>
        <v>0</v>
      </c>
      <c r="W69" s="9">
        <f xml:space="preserve"> SUMIFS( 'FS Qtr'!$J69:$EA69, 'FS Qtr'!$J$2:$EA$2, 'FS Ann'!W$2)</f>
        <v>0</v>
      </c>
      <c r="X69" s="9">
        <f xml:space="preserve"> SUMIFS( 'FS Qtr'!$J69:$EA69, 'FS Qtr'!$J$2:$EA$2, 'FS Ann'!X$2)</f>
        <v>0</v>
      </c>
      <c r="Y69" s="9">
        <f xml:space="preserve"> SUMIFS( 'FS Qtr'!$J69:$EA69, 'FS Qtr'!$J$2:$EA$2, 'FS Ann'!Y$2)</f>
        <v>0</v>
      </c>
      <c r="Z69" s="9">
        <f xml:space="preserve"> SUMIFS( 'FS Qtr'!$J69:$EA69, 'FS Qtr'!$J$2:$EA$2, 'FS Ann'!Z$2)</f>
        <v>0</v>
      </c>
      <c r="AA69" s="9">
        <f xml:space="preserve"> SUMIFS( 'FS Qtr'!$J69:$EA69, 'FS Qtr'!$J$2:$EA$2, 'FS Ann'!AA$2)</f>
        <v>0</v>
      </c>
      <c r="AB69" s="9">
        <f xml:space="preserve"> SUMIFS( 'FS Qtr'!$J69:$EA69, 'FS Qtr'!$J$2:$EA$2, 'FS Ann'!AB$2)</f>
        <v>0</v>
      </c>
      <c r="AC69" s="9">
        <f xml:space="preserve"> SUMIFS( 'FS Qtr'!$J69:$EA69, 'FS Qtr'!$J$2:$EA$2, 'FS Ann'!AC$2)</f>
        <v>0</v>
      </c>
      <c r="AD69" s="9">
        <f xml:space="preserve"> SUMIFS( 'FS Qtr'!$J69:$EA69, 'FS Qtr'!$J$2:$EA$2, 'FS Ann'!AD$2)</f>
        <v>0</v>
      </c>
      <c r="AE69" s="9">
        <f xml:space="preserve"> SUMIFS( 'FS Qtr'!$J69:$EA69, 'FS Qtr'!$J$2:$EA$2, 'FS Ann'!AE$2)</f>
        <v>0</v>
      </c>
      <c r="AF69" s="9">
        <f xml:space="preserve"> SUMIFS( 'FS Qtr'!$J69:$EA69, 'FS Qtr'!$J$2:$EA$2, 'FS Ann'!AF$2)</f>
        <v>0</v>
      </c>
      <c r="AG69" s="9">
        <f xml:space="preserve"> SUMIFS( 'FS Qtr'!$J69:$EA69, 'FS Qtr'!$J$2:$EA$2, 'FS Ann'!AG$2)</f>
        <v>0</v>
      </c>
      <c r="AH69" s="9">
        <f xml:space="preserve"> SUMIFS( 'FS Qtr'!$J69:$EA69, 'FS Qtr'!$J$2:$EA$2, 'FS Ann'!AH$2)</f>
        <v>0</v>
      </c>
      <c r="AI69" s="9">
        <f xml:space="preserve"> SUMIFS( 'FS Qtr'!$J69:$EA69, 'FS Qtr'!$J$2:$EA$2, 'FS Ann'!AI$2)</f>
        <v>0</v>
      </c>
      <c r="AJ69" s="9">
        <f xml:space="preserve"> SUMIFS( 'FS Qtr'!$J69:$EA69, 'FS Qtr'!$J$2:$EA$2, 'FS Ann'!AJ$2)</f>
        <v>0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[Share capital balance]</v>
      </c>
      <c r="F73" s="9">
        <f xml:space="preserve"> 'FS Qtr'!F73</f>
        <v>0</v>
      </c>
      <c r="G73" s="342">
        <f xml:space="preserve"> 'FS Qtr'!G73</f>
        <v>0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0</v>
      </c>
      <c r="L73" s="9">
        <f xml:space="preserve"> SUMIFS( 'FS Qtr'!$J73:$EA73, 'FS Qtr'!$J$2:$EA$2, 'FS Ann'!L$2)</f>
        <v>0</v>
      </c>
      <c r="M73" s="9">
        <f xml:space="preserve"> SUMIFS( 'FS Qtr'!$J73:$EA73, 'FS Qtr'!$J$2:$EA$2, 'FS Ann'!M$2)</f>
        <v>0</v>
      </c>
      <c r="N73" s="9">
        <f xml:space="preserve"> SUMIFS( 'FS Qtr'!$J73:$EA73, 'FS Qtr'!$J$2:$EA$2, 'FS Ann'!N$2)</f>
        <v>0</v>
      </c>
      <c r="O73" s="9">
        <f xml:space="preserve"> SUMIFS( 'FS Qtr'!$J73:$EA73, 'FS Qtr'!$J$2:$EA$2, 'FS Ann'!O$2)</f>
        <v>0</v>
      </c>
      <c r="P73" s="9">
        <f xml:space="preserve"> SUMIFS( 'FS Qtr'!$J73:$EA73, 'FS Qtr'!$J$2:$EA$2, 'FS Ann'!P$2)</f>
        <v>0</v>
      </c>
      <c r="Q73" s="9">
        <f xml:space="preserve"> SUMIFS( 'FS Qtr'!$J73:$EA73, 'FS Qtr'!$J$2:$EA$2, 'FS Ann'!Q$2)</f>
        <v>0</v>
      </c>
      <c r="R73" s="9">
        <f xml:space="preserve"> SUMIFS( 'FS Qtr'!$J73:$EA73, 'FS Qtr'!$J$2:$EA$2, 'FS Ann'!R$2)</f>
        <v>0</v>
      </c>
      <c r="S73" s="9">
        <f xml:space="preserve"> SUMIFS( 'FS Qtr'!$J73:$EA73, 'FS Qtr'!$J$2:$EA$2, 'FS Ann'!S$2)</f>
        <v>0</v>
      </c>
      <c r="T73" s="9">
        <f xml:space="preserve"> SUMIFS( 'FS Qtr'!$J73:$EA73, 'FS Qtr'!$J$2:$EA$2, 'FS Ann'!T$2)</f>
        <v>0</v>
      </c>
      <c r="U73" s="9">
        <f xml:space="preserve"> SUMIFS( 'FS Qtr'!$J73:$EA73, 'FS Qtr'!$J$2:$EA$2, 'FS Ann'!U$2)</f>
        <v>0</v>
      </c>
      <c r="V73" s="9">
        <f xml:space="preserve"> SUMIFS( 'FS Qtr'!$J73:$EA73, 'FS Qtr'!$J$2:$EA$2, 'FS Ann'!V$2)</f>
        <v>0</v>
      </c>
      <c r="W73" s="9">
        <f xml:space="preserve"> SUMIFS( 'FS Qtr'!$J73:$EA73, 'FS Qtr'!$J$2:$EA$2, 'FS Ann'!W$2)</f>
        <v>0</v>
      </c>
      <c r="X73" s="9">
        <f xml:space="preserve"> SUMIFS( 'FS Qtr'!$J73:$EA73, 'FS Qtr'!$J$2:$EA$2, 'FS Ann'!X$2)</f>
        <v>0</v>
      </c>
      <c r="Y73" s="9">
        <f xml:space="preserve"> SUMIFS( 'FS Qtr'!$J73:$EA73, 'FS Qtr'!$J$2:$EA$2, 'FS Ann'!Y$2)</f>
        <v>0</v>
      </c>
      <c r="Z73" s="9">
        <f xml:space="preserve"> SUMIFS( 'FS Qtr'!$J73:$EA73, 'FS Qtr'!$J$2:$EA$2, 'FS Ann'!Z$2)</f>
        <v>0</v>
      </c>
      <c r="AA73" s="9">
        <f xml:space="preserve"> SUMIFS( 'FS Qtr'!$J73:$EA73, 'FS Qtr'!$J$2:$EA$2, 'FS Ann'!AA$2)</f>
        <v>0</v>
      </c>
      <c r="AB73" s="9">
        <f xml:space="preserve"> SUMIFS( 'FS Qtr'!$J73:$EA73, 'FS Qtr'!$J$2:$EA$2, 'FS Ann'!AB$2)</f>
        <v>0</v>
      </c>
      <c r="AC73" s="9">
        <f xml:space="preserve"> SUMIFS( 'FS Qtr'!$J73:$EA73, 'FS Qtr'!$J$2:$EA$2, 'FS Ann'!AC$2)</f>
        <v>0</v>
      </c>
      <c r="AD73" s="9">
        <f xml:space="preserve"> SUMIFS( 'FS Qtr'!$J73:$EA73, 'FS Qtr'!$J$2:$EA$2, 'FS Ann'!AD$2)</f>
        <v>0</v>
      </c>
      <c r="AE73" s="9">
        <f xml:space="preserve"> SUMIFS( 'FS Qtr'!$J73:$EA73, 'FS Qtr'!$J$2:$EA$2, 'FS Ann'!AE$2)</f>
        <v>0</v>
      </c>
      <c r="AF73" s="9">
        <f xml:space="preserve"> SUMIFS( 'FS Qtr'!$J73:$EA73, 'FS Qtr'!$J$2:$EA$2, 'FS Ann'!AF$2)</f>
        <v>0</v>
      </c>
      <c r="AG73" s="9">
        <f xml:space="preserve"> SUMIFS( 'FS Qtr'!$J73:$EA73, 'FS Qtr'!$J$2:$EA$2, 'FS Ann'!AG$2)</f>
        <v>0</v>
      </c>
      <c r="AH73" s="9">
        <f xml:space="preserve"> SUMIFS( 'FS Qtr'!$J73:$EA73, 'FS Qtr'!$J$2:$EA$2, 'FS Ann'!AH$2)</f>
        <v>0</v>
      </c>
      <c r="AI73" s="9">
        <f xml:space="preserve"> SUMIFS( 'FS Qtr'!$J73:$EA73, 'FS Qtr'!$J$2:$EA$2, 'FS Ann'!AI$2)</f>
        <v>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400</v>
      </c>
      <c r="M74" s="9">
        <f xml:space="preserve"> SUMIFS( 'FS Qtr'!$J74:$EA74, 'FS Qtr'!$J$2:$EA$2, 'FS Ann'!M$2)</f>
        <v>800</v>
      </c>
      <c r="N74" s="9">
        <f xml:space="preserve"> SUMIFS( 'FS Qtr'!$J74:$EA74, 'FS Qtr'!$J$2:$EA$2, 'FS Ann'!N$2)</f>
        <v>1200</v>
      </c>
      <c r="O74" s="9">
        <f xml:space="preserve"> SUMIFS( 'FS Qtr'!$J74:$EA74, 'FS Qtr'!$J$2:$EA$2, 'FS Ann'!O$2)</f>
        <v>1600</v>
      </c>
      <c r="P74" s="9">
        <f xml:space="preserve"> SUMIFS( 'FS Qtr'!$J74:$EA74, 'FS Qtr'!$J$2:$EA$2, 'FS Ann'!P$2)</f>
        <v>2000</v>
      </c>
      <c r="Q74" s="9">
        <f xml:space="preserve"> SUMIFS( 'FS Qtr'!$J74:$EA74, 'FS Qtr'!$J$2:$EA$2, 'FS Ann'!Q$2)</f>
        <v>2400</v>
      </c>
      <c r="R74" s="9">
        <f xml:space="preserve"> SUMIFS( 'FS Qtr'!$J74:$EA74, 'FS Qtr'!$J$2:$EA$2, 'FS Ann'!R$2)</f>
        <v>2800</v>
      </c>
      <c r="S74" s="9">
        <f xml:space="preserve"> SUMIFS( 'FS Qtr'!$J74:$EA74, 'FS Qtr'!$J$2:$EA$2, 'FS Ann'!S$2)</f>
        <v>3200</v>
      </c>
      <c r="T74" s="9">
        <f xml:space="preserve"> SUMIFS( 'FS Qtr'!$J74:$EA74, 'FS Qtr'!$J$2:$EA$2, 'FS Ann'!T$2)</f>
        <v>3600</v>
      </c>
      <c r="U74" s="9">
        <f xml:space="preserve"> SUMIFS( 'FS Qtr'!$J74:$EA74, 'FS Qtr'!$J$2:$EA$2, 'FS Ann'!U$2)</f>
        <v>4000</v>
      </c>
      <c r="V74" s="9">
        <f xml:space="preserve"> SUMIFS( 'FS Qtr'!$J74:$EA74, 'FS Qtr'!$J$2:$EA$2, 'FS Ann'!V$2)</f>
        <v>4400</v>
      </c>
      <c r="W74" s="9">
        <f xml:space="preserve"> SUMIFS( 'FS Qtr'!$J74:$EA74, 'FS Qtr'!$J$2:$EA$2, 'FS Ann'!W$2)</f>
        <v>4800</v>
      </c>
      <c r="X74" s="9">
        <f xml:space="preserve"> SUMIFS( 'FS Qtr'!$J74:$EA74, 'FS Qtr'!$J$2:$EA$2, 'FS Ann'!X$2)</f>
        <v>5200</v>
      </c>
      <c r="Y74" s="9">
        <f xml:space="preserve"> SUMIFS( 'FS Qtr'!$J74:$EA74, 'FS Qtr'!$J$2:$EA$2, 'FS Ann'!Y$2)</f>
        <v>5600</v>
      </c>
      <c r="Z74" s="9">
        <f xml:space="preserve"> SUMIFS( 'FS Qtr'!$J74:$EA74, 'FS Qtr'!$J$2:$EA$2, 'FS Ann'!Z$2)</f>
        <v>6000</v>
      </c>
      <c r="AA74" s="9">
        <f xml:space="preserve"> SUMIFS( 'FS Qtr'!$J74:$EA74, 'FS Qtr'!$J$2:$EA$2, 'FS Ann'!AA$2)</f>
        <v>6400</v>
      </c>
      <c r="AB74" s="9">
        <f xml:space="preserve"> SUMIFS( 'FS Qtr'!$J74:$EA74, 'FS Qtr'!$J$2:$EA$2, 'FS Ann'!AB$2)</f>
        <v>6800</v>
      </c>
      <c r="AC74" s="9">
        <f xml:space="preserve"> SUMIFS( 'FS Qtr'!$J74:$EA74, 'FS Qtr'!$J$2:$EA$2, 'FS Ann'!AC$2)</f>
        <v>7200</v>
      </c>
      <c r="AD74" s="9">
        <f xml:space="preserve"> SUMIFS( 'FS Qtr'!$J74:$EA74, 'FS Qtr'!$J$2:$EA$2, 'FS Ann'!AD$2)</f>
        <v>7600</v>
      </c>
      <c r="AE74" s="9">
        <f xml:space="preserve"> SUMIFS( 'FS Qtr'!$J74:$EA74, 'FS Qtr'!$J$2:$EA$2, 'FS Ann'!AE$2)</f>
        <v>8000</v>
      </c>
      <c r="AF74" s="9">
        <f xml:space="preserve"> SUMIFS( 'FS Qtr'!$J74:$EA74, 'FS Qtr'!$J$2:$EA$2, 'FS Ann'!AF$2)</f>
        <v>8400</v>
      </c>
      <c r="AG74" s="9">
        <f xml:space="preserve"> SUMIFS( 'FS Qtr'!$J74:$EA74, 'FS Qtr'!$J$2:$EA$2, 'FS Ann'!AG$2)</f>
        <v>8800</v>
      </c>
      <c r="AH74" s="9">
        <f xml:space="preserve"> SUMIFS( 'FS Qtr'!$J74:$EA74, 'FS Qtr'!$J$2:$EA$2, 'FS Ann'!AH$2)</f>
        <v>9200</v>
      </c>
      <c r="AI74" s="9">
        <f xml:space="preserve"> SUMIFS( 'FS Qtr'!$J74:$EA74, 'FS Qtr'!$J$2:$EA$2, 'FS Ann'!AI$2)</f>
        <v>9600</v>
      </c>
      <c r="AJ74" s="9">
        <f xml:space="preserve"> SUMIFS( 'FS Qtr'!$J74:$EA74, 'FS Qtr'!$J$2:$EA$2, 'FS Ann'!AJ$2)</f>
        <v>10000</v>
      </c>
      <c r="AK74" s="9">
        <f xml:space="preserve"> SUMIFS( 'FS Qtr'!$J74:$EA74, 'FS Qtr'!$J$2:$EA$2, 'FS Ann'!AK$2)</f>
        <v>10000</v>
      </c>
      <c r="AL74" s="9">
        <f xml:space="preserve"> SUMIFS( 'FS Qtr'!$J74:$EA74, 'FS Qtr'!$J$2:$EA$2, 'FS Ann'!AL$2)</f>
        <v>10000</v>
      </c>
      <c r="AM74" s="9">
        <f xml:space="preserve"> SUMIFS( 'FS Qtr'!$J74:$EA74, 'FS Qtr'!$J$2:$EA$2, 'FS Ann'!AM$2)</f>
        <v>10000</v>
      </c>
      <c r="AN74" s="9">
        <f xml:space="preserve"> SUMIFS( 'FS Qtr'!$J74:$EA74, 'FS Qtr'!$J$2:$EA$2, 'FS Ann'!AN$2)</f>
        <v>10000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0</v>
      </c>
      <c r="L75" s="50">
        <f t="shared" si="15"/>
        <v>400</v>
      </c>
      <c r="M75" s="50">
        <f t="shared" si="15"/>
        <v>800</v>
      </c>
      <c r="N75" s="50">
        <f t="shared" si="15"/>
        <v>1200</v>
      </c>
      <c r="O75" s="50">
        <f t="shared" si="15"/>
        <v>1600</v>
      </c>
      <c r="P75" s="50">
        <f t="shared" si="15"/>
        <v>2000</v>
      </c>
      <c r="Q75" s="50">
        <f t="shared" si="15"/>
        <v>2400</v>
      </c>
      <c r="R75" s="50">
        <f t="shared" si="15"/>
        <v>2800</v>
      </c>
      <c r="S75" s="50">
        <f t="shared" si="15"/>
        <v>3200</v>
      </c>
      <c r="T75" s="50">
        <f t="shared" si="15"/>
        <v>3600</v>
      </c>
      <c r="U75" s="50">
        <f t="shared" si="15"/>
        <v>4000</v>
      </c>
      <c r="V75" s="50">
        <f t="shared" si="15"/>
        <v>4400</v>
      </c>
      <c r="W75" s="50">
        <f t="shared" si="15"/>
        <v>4800</v>
      </c>
      <c r="X75" s="50">
        <f t="shared" si="15"/>
        <v>5200</v>
      </c>
      <c r="Y75" s="50">
        <f t="shared" si="15"/>
        <v>5600</v>
      </c>
      <c r="Z75" s="50">
        <f t="shared" si="15"/>
        <v>6000</v>
      </c>
      <c r="AA75" s="50">
        <f t="shared" si="15"/>
        <v>6400</v>
      </c>
      <c r="AB75" s="50">
        <f t="shared" si="15"/>
        <v>6800</v>
      </c>
      <c r="AC75" s="50">
        <f t="shared" si="15"/>
        <v>7200</v>
      </c>
      <c r="AD75" s="50">
        <f t="shared" si="15"/>
        <v>7600</v>
      </c>
      <c r="AE75" s="50">
        <f t="shared" si="15"/>
        <v>8000</v>
      </c>
      <c r="AF75" s="50">
        <f t="shared" si="15"/>
        <v>8400</v>
      </c>
      <c r="AG75" s="50">
        <f t="shared" si="15"/>
        <v>8800</v>
      </c>
      <c r="AH75" s="50">
        <f t="shared" si="15"/>
        <v>9200</v>
      </c>
      <c r="AI75" s="50">
        <f t="shared" si="15"/>
        <v>9600</v>
      </c>
      <c r="AJ75" s="50">
        <f t="shared" si="15"/>
        <v>10000</v>
      </c>
      <c r="AK75" s="50">
        <f t="shared" si="15"/>
        <v>10000</v>
      </c>
      <c r="AL75" s="50">
        <f t="shared" si="15"/>
        <v>10000</v>
      </c>
      <c r="AM75" s="50">
        <f t="shared" si="15"/>
        <v>10000</v>
      </c>
      <c r="AN75" s="50">
        <f t="shared" si="15"/>
        <v>10000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0</v>
      </c>
      <c r="L80" s="113">
        <f t="shared" si="16"/>
        <v>400</v>
      </c>
      <c r="M80" s="113">
        <f t="shared" si="16"/>
        <v>800</v>
      </c>
      <c r="N80" s="113">
        <f t="shared" si="16"/>
        <v>1200</v>
      </c>
      <c r="O80" s="113">
        <f t="shared" si="16"/>
        <v>1600</v>
      </c>
      <c r="P80" s="113">
        <f t="shared" si="16"/>
        <v>2000</v>
      </c>
      <c r="Q80" s="113">
        <f t="shared" si="16"/>
        <v>2400</v>
      </c>
      <c r="R80" s="113">
        <f t="shared" si="16"/>
        <v>2800</v>
      </c>
      <c r="S80" s="113">
        <f t="shared" si="16"/>
        <v>3200</v>
      </c>
      <c r="T80" s="113">
        <f t="shared" si="16"/>
        <v>3600</v>
      </c>
      <c r="U80" s="113">
        <f t="shared" si="16"/>
        <v>4000</v>
      </c>
      <c r="V80" s="113">
        <f t="shared" si="16"/>
        <v>4400</v>
      </c>
      <c r="W80" s="113">
        <f t="shared" si="16"/>
        <v>4800</v>
      </c>
      <c r="X80" s="113">
        <f t="shared" si="16"/>
        <v>5200</v>
      </c>
      <c r="Y80" s="113">
        <f t="shared" si="16"/>
        <v>5600</v>
      </c>
      <c r="Z80" s="113">
        <f t="shared" si="16"/>
        <v>6000</v>
      </c>
      <c r="AA80" s="113">
        <f t="shared" si="16"/>
        <v>6400</v>
      </c>
      <c r="AB80" s="113">
        <f t="shared" si="16"/>
        <v>6800</v>
      </c>
      <c r="AC80" s="113">
        <f t="shared" si="16"/>
        <v>7200</v>
      </c>
      <c r="AD80" s="113">
        <f t="shared" si="16"/>
        <v>7600</v>
      </c>
      <c r="AE80" s="113">
        <f t="shared" si="16"/>
        <v>8000</v>
      </c>
      <c r="AF80" s="113">
        <f t="shared" si="16"/>
        <v>8400</v>
      </c>
      <c r="AG80" s="113">
        <f t="shared" si="16"/>
        <v>8800</v>
      </c>
      <c r="AH80" s="113">
        <f t="shared" si="16"/>
        <v>9200</v>
      </c>
      <c r="AI80" s="113">
        <f t="shared" si="16"/>
        <v>9600</v>
      </c>
      <c r="AJ80" s="113">
        <f t="shared" si="16"/>
        <v>10000</v>
      </c>
      <c r="AK80" s="113">
        <f t="shared" ref="AK80:AN80" si="17" xml:space="preserve"> AK$67</f>
        <v>10000</v>
      </c>
      <c r="AL80" s="113">
        <f t="shared" si="17"/>
        <v>10000</v>
      </c>
      <c r="AM80" s="113">
        <f t="shared" si="17"/>
        <v>10000</v>
      </c>
      <c r="AN80" s="113">
        <f t="shared" si="17"/>
        <v>10000</v>
      </c>
    </row>
    <row r="81" spans="1:40" outlineLevel="1" x14ac:dyDescent="0.35">
      <c r="A81" s="1"/>
      <c r="B81" s="1"/>
      <c r="C81" s="11"/>
      <c r="D81" s="49"/>
      <c r="E81" s="113" t="str">
        <f t="shared" ref="E81:AJ81" si="18" xml:space="preserve"> E$75</f>
        <v>Total liabilities</v>
      </c>
      <c r="F81" s="113">
        <f t="shared" si="18"/>
        <v>0</v>
      </c>
      <c r="G81" s="20" t="str">
        <f t="shared" si="18"/>
        <v>$ 000s</v>
      </c>
      <c r="H81" s="113">
        <f t="shared" si="18"/>
        <v>0</v>
      </c>
      <c r="I81" s="113">
        <f t="shared" si="18"/>
        <v>0</v>
      </c>
      <c r="J81" s="113">
        <f t="shared" si="18"/>
        <v>0</v>
      </c>
      <c r="K81" s="113">
        <f t="shared" si="18"/>
        <v>0</v>
      </c>
      <c r="L81" s="113">
        <f t="shared" si="18"/>
        <v>400</v>
      </c>
      <c r="M81" s="113">
        <f t="shared" si="18"/>
        <v>800</v>
      </c>
      <c r="N81" s="113">
        <f t="shared" si="18"/>
        <v>1200</v>
      </c>
      <c r="O81" s="113">
        <f t="shared" si="18"/>
        <v>1600</v>
      </c>
      <c r="P81" s="113">
        <f t="shared" si="18"/>
        <v>2000</v>
      </c>
      <c r="Q81" s="113">
        <f t="shared" si="18"/>
        <v>2400</v>
      </c>
      <c r="R81" s="113">
        <f t="shared" si="18"/>
        <v>2800</v>
      </c>
      <c r="S81" s="113">
        <f t="shared" si="18"/>
        <v>3200</v>
      </c>
      <c r="T81" s="113">
        <f t="shared" si="18"/>
        <v>3600</v>
      </c>
      <c r="U81" s="113">
        <f t="shared" si="18"/>
        <v>4000</v>
      </c>
      <c r="V81" s="113">
        <f t="shared" si="18"/>
        <v>4400</v>
      </c>
      <c r="W81" s="113">
        <f t="shared" si="18"/>
        <v>4800</v>
      </c>
      <c r="X81" s="113">
        <f t="shared" si="18"/>
        <v>5200</v>
      </c>
      <c r="Y81" s="113">
        <f t="shared" si="18"/>
        <v>5600</v>
      </c>
      <c r="Z81" s="113">
        <f t="shared" si="18"/>
        <v>6000</v>
      </c>
      <c r="AA81" s="113">
        <f t="shared" si="18"/>
        <v>6400</v>
      </c>
      <c r="AB81" s="113">
        <f t="shared" si="18"/>
        <v>6800</v>
      </c>
      <c r="AC81" s="113">
        <f t="shared" si="18"/>
        <v>7200</v>
      </c>
      <c r="AD81" s="113">
        <f t="shared" si="18"/>
        <v>7600</v>
      </c>
      <c r="AE81" s="113">
        <f t="shared" si="18"/>
        <v>8000</v>
      </c>
      <c r="AF81" s="113">
        <f t="shared" si="18"/>
        <v>8400</v>
      </c>
      <c r="AG81" s="113">
        <f t="shared" si="18"/>
        <v>8800</v>
      </c>
      <c r="AH81" s="113">
        <f t="shared" si="18"/>
        <v>9200</v>
      </c>
      <c r="AI81" s="113">
        <f t="shared" si="18"/>
        <v>9600</v>
      </c>
      <c r="AJ81" s="113">
        <f t="shared" si="18"/>
        <v>10000</v>
      </c>
      <c r="AK81" s="113">
        <f t="shared" ref="AK81:AN81" si="19" xml:space="preserve"> AK$75</f>
        <v>10000</v>
      </c>
      <c r="AL81" s="113">
        <f t="shared" si="19"/>
        <v>10000</v>
      </c>
      <c r="AM81" s="113">
        <f t="shared" si="19"/>
        <v>10000</v>
      </c>
      <c r="AN81" s="113">
        <f t="shared" si="19"/>
        <v>10000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20" xml:space="preserve"> IF(ABS(J80 - J81) &gt; CHK_TOL, 1, 0)</f>
        <v>0</v>
      </c>
      <c r="K82" s="226">
        <f t="shared" si="20"/>
        <v>0</v>
      </c>
      <c r="L82" s="226">
        <f t="shared" si="20"/>
        <v>0</v>
      </c>
      <c r="M82" s="226">
        <f t="shared" si="20"/>
        <v>0</v>
      </c>
      <c r="N82" s="226">
        <f t="shared" si="20"/>
        <v>0</v>
      </c>
      <c r="O82" s="226">
        <f t="shared" si="20"/>
        <v>0</v>
      </c>
      <c r="P82" s="226">
        <f t="shared" si="20"/>
        <v>0</v>
      </c>
      <c r="Q82" s="226">
        <f t="shared" si="20"/>
        <v>0</v>
      </c>
      <c r="R82" s="226">
        <f t="shared" si="20"/>
        <v>0</v>
      </c>
      <c r="S82" s="226">
        <f t="shared" si="20"/>
        <v>0</v>
      </c>
      <c r="T82" s="226">
        <f t="shared" si="20"/>
        <v>0</v>
      </c>
      <c r="U82" s="226">
        <f t="shared" si="20"/>
        <v>0</v>
      </c>
      <c r="V82" s="226">
        <f t="shared" si="20"/>
        <v>0</v>
      </c>
      <c r="W82" s="226">
        <f t="shared" si="20"/>
        <v>0</v>
      </c>
      <c r="X82" s="226">
        <f t="shared" si="20"/>
        <v>0</v>
      </c>
      <c r="Y82" s="226">
        <f t="shared" si="20"/>
        <v>0</v>
      </c>
      <c r="Z82" s="226">
        <f t="shared" si="20"/>
        <v>0</v>
      </c>
      <c r="AA82" s="226">
        <f t="shared" si="20"/>
        <v>0</v>
      </c>
      <c r="AB82" s="226">
        <f t="shared" si="20"/>
        <v>0</v>
      </c>
      <c r="AC82" s="226">
        <f t="shared" si="20"/>
        <v>0</v>
      </c>
      <c r="AD82" s="226">
        <f t="shared" si="20"/>
        <v>0</v>
      </c>
      <c r="AE82" s="226">
        <f t="shared" si="20"/>
        <v>0</v>
      </c>
      <c r="AF82" s="226">
        <f t="shared" si="20"/>
        <v>0</v>
      </c>
      <c r="AG82" s="226">
        <f t="shared" si="20"/>
        <v>0</v>
      </c>
      <c r="AH82" s="226">
        <f t="shared" si="20"/>
        <v>0</v>
      </c>
      <c r="AI82" s="226">
        <f t="shared" si="20"/>
        <v>0</v>
      </c>
      <c r="AJ82" s="226">
        <f t="shared" si="20"/>
        <v>0</v>
      </c>
      <c r="AK82" s="226">
        <f t="shared" si="20"/>
        <v>0</v>
      </c>
      <c r="AL82" s="226">
        <f t="shared" si="20"/>
        <v>0</v>
      </c>
      <c r="AM82" s="226">
        <f t="shared" si="20"/>
        <v>0</v>
      </c>
      <c r="AN82" s="226">
        <f t="shared" si="20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21" xml:space="preserve"> J80 - J81</f>
        <v>0</v>
      </c>
      <c r="K83" s="20">
        <f t="shared" si="21"/>
        <v>0</v>
      </c>
      <c r="L83" s="20">
        <f t="shared" si="21"/>
        <v>0</v>
      </c>
      <c r="M83" s="20">
        <f t="shared" si="21"/>
        <v>0</v>
      </c>
      <c r="N83" s="20">
        <f t="shared" si="21"/>
        <v>0</v>
      </c>
      <c r="O83" s="20">
        <f t="shared" si="21"/>
        <v>0</v>
      </c>
      <c r="P83" s="20">
        <f t="shared" si="21"/>
        <v>0</v>
      </c>
      <c r="Q83" s="20">
        <f t="shared" si="21"/>
        <v>0</v>
      </c>
      <c r="R83" s="20">
        <f t="shared" si="21"/>
        <v>0</v>
      </c>
      <c r="S83" s="20">
        <f t="shared" si="21"/>
        <v>0</v>
      </c>
      <c r="T83" s="20">
        <f t="shared" si="21"/>
        <v>0</v>
      </c>
      <c r="U83" s="20">
        <f t="shared" si="21"/>
        <v>0</v>
      </c>
      <c r="V83" s="20">
        <f t="shared" si="21"/>
        <v>0</v>
      </c>
      <c r="W83" s="20">
        <f t="shared" si="21"/>
        <v>0</v>
      </c>
      <c r="X83" s="20">
        <f t="shared" si="21"/>
        <v>0</v>
      </c>
      <c r="Y83" s="20">
        <f t="shared" si="21"/>
        <v>0</v>
      </c>
      <c r="Z83" s="20">
        <f t="shared" si="21"/>
        <v>0</v>
      </c>
      <c r="AA83" s="20">
        <f t="shared" si="21"/>
        <v>0</v>
      </c>
      <c r="AB83" s="20">
        <f t="shared" si="21"/>
        <v>0</v>
      </c>
      <c r="AC83" s="20">
        <f t="shared" si="21"/>
        <v>0</v>
      </c>
      <c r="AD83" s="20">
        <f t="shared" si="21"/>
        <v>0</v>
      </c>
      <c r="AE83" s="20">
        <f t="shared" si="21"/>
        <v>0</v>
      </c>
      <c r="AF83" s="20">
        <f t="shared" si="21"/>
        <v>0</v>
      </c>
      <c r="AG83" s="20">
        <f t="shared" si="21"/>
        <v>0</v>
      </c>
      <c r="AH83" s="20">
        <f t="shared" si="21"/>
        <v>0</v>
      </c>
      <c r="AI83" s="20">
        <f t="shared" si="21"/>
        <v>0</v>
      </c>
      <c r="AJ83" s="20">
        <f t="shared" si="21"/>
        <v>0</v>
      </c>
      <c r="AK83" s="20">
        <f t="shared" si="21"/>
        <v>0</v>
      </c>
      <c r="AL83" s="20">
        <f t="shared" si="21"/>
        <v>0</v>
      </c>
      <c r="AM83" s="20">
        <f t="shared" si="21"/>
        <v>0</v>
      </c>
      <c r="AN83" s="20">
        <f t="shared" si="21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Q72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13" sqref="F13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16" width="12.53125" style="67" customWidth="1"/>
    <col min="17" max="17" width="0.46484375" style="114" customWidth="1"/>
    <col min="18" max="16384" width="9.1328125" hidden="1"/>
  </cols>
  <sheetData>
    <row r="1" spans="1:17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</row>
    <row r="2" spans="1:17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44565</v>
      </c>
      <c r="J2" s="312">
        <f xml:space="preserve"> COUNTIF(J6:J71, "tu")</f>
        <v>8</v>
      </c>
      <c r="N2" s="219"/>
      <c r="O2" s="219"/>
      <c r="P2" s="219"/>
    </row>
    <row r="3" spans="1:17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/>
      <c r="O3" s="218"/>
      <c r="P3" s="218"/>
      <c r="Q3" s="139"/>
    </row>
    <row r="4" spans="1:17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115"/>
    </row>
    <row r="5" spans="1:17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3</v>
      </c>
      <c r="I5" s="72"/>
      <c r="J5" s="314">
        <f xml:space="preserve"> MATCH($H$5, M5:Q5, 0)</f>
        <v>4</v>
      </c>
      <c r="K5" s="261" t="s">
        <v>65</v>
      </c>
      <c r="L5" s="259" t="s">
        <v>66</v>
      </c>
      <c r="M5" s="116"/>
      <c r="N5" s="220">
        <v>1</v>
      </c>
      <c r="O5" s="220">
        <v>2</v>
      </c>
      <c r="P5" s="220">
        <v>3</v>
      </c>
      <c r="Q5" s="116"/>
    </row>
    <row r="6" spans="1:17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16"/>
    </row>
    <row r="7" spans="1:17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116"/>
    </row>
    <row r="8" spans="1:17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116"/>
    </row>
    <row r="9" spans="1:17" outlineLevel="1" x14ac:dyDescent="0.35">
      <c r="A9" s="62"/>
      <c r="B9" s="62"/>
      <c r="C9" s="63"/>
      <c r="D9" s="73"/>
      <c r="K9" s="32"/>
      <c r="L9" s="238"/>
      <c r="N9" s="79"/>
      <c r="O9" s="79"/>
      <c r="P9" s="79"/>
    </row>
    <row r="10" spans="1:17" outlineLevel="1" x14ac:dyDescent="0.35">
      <c r="A10" s="237"/>
      <c r="B10" s="237"/>
      <c r="C10" s="81"/>
      <c r="D10" s="81"/>
      <c r="E10" s="254"/>
      <c r="F10" s="255"/>
      <c r="G10" s="254"/>
      <c r="H10" s="254"/>
      <c r="I10" s="256"/>
      <c r="J10" s="316" t="str">
        <f xml:space="preserve"> IF(ABS(K10) &gt; TRK_TOL, "tu", "vw")</f>
        <v>vw</v>
      </c>
      <c r="K10" s="81">
        <f xml:space="preserve"> H10 - INDEX(M10:Q10, $J$5)</f>
        <v>0</v>
      </c>
      <c r="L10" s="81">
        <f xml:space="preserve"> IF(ABS(K10) &gt; TRK_TOL, IF(INDEX(M10:Q10, $J$5) = 0, 0, H10 / INDEX(M10:Q10, $J$5) - 1), 0)</f>
        <v>0</v>
      </c>
      <c r="M10" s="239"/>
      <c r="N10" s="257"/>
      <c r="O10" s="257"/>
      <c r="P10" s="257"/>
      <c r="Q10" s="239"/>
    </row>
    <row r="11" spans="1:17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str">
        <f xml:space="preserve"> IF(ABS(K11) &gt; TRK_TOL, "tu", "vw")</f>
        <v>vw</v>
      </c>
      <c r="K11" s="234">
        <f xml:space="preserve"> H11 - INDEX(M11:Q11, $J$5)</f>
        <v>0</v>
      </c>
      <c r="L11" s="81">
        <f xml:space="preserve"> IF(ABS(K11) &gt; TRK_TOL, IF(INDEX(M11:Q11, $J$5) = 0, 0, H11 / INDEX(M11:Q11, $J$5) - 1), 0)</f>
        <v>0</v>
      </c>
      <c r="M11" s="271"/>
      <c r="N11" s="267"/>
      <c r="O11" s="267"/>
      <c r="P11" s="267"/>
      <c r="Q11" s="271"/>
    </row>
    <row r="12" spans="1:17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str">
        <f xml:space="preserve"> IF(ABS(K12) &gt; TRK_TOL, "tu", "vw")</f>
        <v>vw</v>
      </c>
      <c r="K12" s="234">
        <f xml:space="preserve"> H12 - INDEX(M12:Q12, $J$5)</f>
        <v>0</v>
      </c>
      <c r="L12" s="81">
        <f xml:space="preserve"> IF(ABS(K12) &gt; TRK_TOL, IF(INDEX(M12:Q12, $J$5) = 0, 0, H12 / INDEX(M12:Q12, $J$5) - 1), 0)</f>
        <v>0</v>
      </c>
      <c r="M12" s="271"/>
      <c r="N12" s="267"/>
      <c r="O12" s="267"/>
      <c r="P12" s="267"/>
      <c r="Q12" s="271"/>
    </row>
    <row r="13" spans="1:17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str">
        <f xml:space="preserve"> IF(ABS(K13) &gt; TRK_TOL, "tu", "vw")</f>
        <v>vw</v>
      </c>
      <c r="K13" s="81">
        <f xml:space="preserve"> H13 - INDEX(M13:Q13, $J$5)</f>
        <v>0</v>
      </c>
      <c r="L13" s="81">
        <f xml:space="preserve"> IF(ABS(K13) &gt; TRK_TOL, IF(INDEX(M13:Q13, $J$5) = 0, 0, H13 / INDEX(M13:Q13, $J$5) - 1), 0)</f>
        <v>0</v>
      </c>
      <c r="M13" s="239"/>
      <c r="N13" s="257"/>
      <c r="O13" s="257"/>
      <c r="P13" s="257"/>
      <c r="Q13" s="239"/>
    </row>
    <row r="14" spans="1:17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136"/>
    </row>
    <row r="15" spans="1:17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131"/>
    </row>
    <row r="16" spans="1:17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131"/>
    </row>
    <row r="17" spans="1:17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131"/>
    </row>
    <row r="18" spans="1:17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</row>
    <row r="19" spans="1:17" outlineLevel="1" x14ac:dyDescent="0.35">
      <c r="A19" s="323"/>
      <c r="B19" s="324"/>
      <c r="C19" s="325"/>
      <c r="D19" s="279"/>
      <c r="E19" s="279" t="str">
        <f xml:space="preserve"> 'FS Qtr'!E9</f>
        <v>[Electricity generation revenue]</v>
      </c>
      <c r="F19" s="279">
        <f xml:space="preserve"> 'FS Qtr'!F9</f>
        <v>0</v>
      </c>
      <c r="G19" s="279">
        <f xml:space="preserve"> 'FS Qtr'!G$9</f>
        <v>0</v>
      </c>
      <c r="H19" s="279">
        <f xml:space="preserve"> 'FS Qtr'!H9</f>
        <v>0</v>
      </c>
      <c r="I19" s="279"/>
      <c r="J19" s="316" t="str">
        <f xml:space="preserve"> IF(ABS(K19) &gt; TRK_TOL, "tu", "vw")</f>
        <v>vw</v>
      </c>
      <c r="K19" s="149">
        <f xml:space="preserve"> H19 - INDEX(M19:Q19, $J$5)</f>
        <v>0</v>
      </c>
      <c r="L19" s="274">
        <f xml:space="preserve"> IF(ABS(K19) &gt; TRK_TOL, IF(INDEX(M19:Q19, $J$5) = 0, 0, H19 / INDEX(M19:Q19, $J$5) - 1), 0)</f>
        <v>0</v>
      </c>
      <c r="M19" s="280"/>
      <c r="N19" s="281"/>
      <c r="O19" s="281"/>
      <c r="P19" s="281"/>
      <c r="Q19" s="280"/>
    </row>
    <row r="20" spans="1:17" outlineLevel="1" x14ac:dyDescent="0.35">
      <c r="A20" s="323"/>
      <c r="B20" s="324"/>
      <c r="C20" s="325"/>
      <c r="D20" s="279"/>
      <c r="E20" s="279" t="str">
        <f xml:space="preserve"> 'FS Qtr'!E10</f>
        <v>[O&amp;M]</v>
      </c>
      <c r="F20" s="279">
        <f xml:space="preserve"> 'FS Qtr'!F10</f>
        <v>0</v>
      </c>
      <c r="G20" s="279">
        <f xml:space="preserve"> 'FS Qtr'!G$9</f>
        <v>0</v>
      </c>
      <c r="H20" s="279">
        <f xml:space="preserve"> 'FS Qtr'!H10</f>
        <v>0</v>
      </c>
      <c r="I20" s="279"/>
      <c r="J20" s="316" t="str">
        <f xml:space="preserve"> IF(ABS(K20) &gt; TRK_TOL, "tu", "vw")</f>
        <v>vw</v>
      </c>
      <c r="K20" s="149">
        <f xml:space="preserve"> H20 - INDEX(M20:Q20, $J$5)</f>
        <v>0</v>
      </c>
      <c r="L20" s="274">
        <f xml:space="preserve"> IF(ABS(K20) &gt; TRK_TOL, IF(INDEX(M20:Q20, $J$5) = 0, 0, H20 / INDEX(M20:Q20, $J$5) - 1), 0)</f>
        <v>0</v>
      </c>
      <c r="M20" s="282"/>
      <c r="N20" s="281"/>
      <c r="O20" s="281"/>
      <c r="P20" s="281"/>
      <c r="Q20" s="282"/>
    </row>
    <row r="21" spans="1:17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>
        <f xml:space="preserve"> 'FS Qtr'!G$9</f>
        <v>0</v>
      </c>
      <c r="H21" s="283">
        <f xml:space="preserve"> 'FS Qtr'!H11</f>
        <v>10000</v>
      </c>
      <c r="I21" s="283"/>
      <c r="J21" s="318" t="str">
        <f xml:space="preserve"> IF(ABS(K21) &gt; TRK_TOL, "tu", "vw")</f>
        <v>tu</v>
      </c>
      <c r="K21" s="284">
        <f xml:space="preserve"> H21 - INDEX(M21:Q21, $J$5)</f>
        <v>10000</v>
      </c>
      <c r="L21" s="285">
        <f xml:space="preserve"> IF(ABS(K21) &gt; TRK_TOL, IF(INDEX(M21:Q21, $J$5) = 0, 0, H21 / INDEX(M21:Q21, $J$5) - 1), 0)</f>
        <v>0</v>
      </c>
      <c r="M21" s="286"/>
      <c r="N21" s="287"/>
      <c r="O21" s="287"/>
      <c r="P21" s="287"/>
      <c r="Q21" s="286"/>
    </row>
    <row r="22" spans="1:17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316"/>
      <c r="K22" s="150"/>
      <c r="L22" s="275"/>
      <c r="M22" s="280"/>
      <c r="N22" s="281"/>
      <c r="O22" s="281"/>
      <c r="P22" s="281"/>
      <c r="Q22" s="280"/>
    </row>
    <row r="23" spans="1:17" outlineLevel="1" x14ac:dyDescent="0.35">
      <c r="A23" s="323"/>
      <c r="B23" s="324"/>
      <c r="C23" s="279"/>
      <c r="D23" s="279"/>
      <c r="E23" s="279" t="str">
        <f xml:space="preserve"> 'FS Qtr'!E13</f>
        <v>[Depreciation of non current assets]</v>
      </c>
      <c r="F23" s="279">
        <f xml:space="preserve"> 'FS Qtr'!F13</f>
        <v>0</v>
      </c>
      <c r="G23" s="279">
        <f xml:space="preserve"> 'FS Qtr'!G$9</f>
        <v>0</v>
      </c>
      <c r="H23" s="279">
        <f xml:space="preserve"> 'FS Qtr'!H13</f>
        <v>0</v>
      </c>
      <c r="I23" s="279"/>
      <c r="J23" s="316" t="str">
        <f xml:space="preserve"> IF(ABS(K23) &gt; TRK_TOL, "tu", "vw")</f>
        <v>vw</v>
      </c>
      <c r="K23" s="149">
        <f xml:space="preserve"> H23 - INDEX(M23:Q23, $J$5)</f>
        <v>0</v>
      </c>
      <c r="L23" s="274">
        <f xml:space="preserve"> IF(ABS(K23) &gt; TRK_TOL, IF(INDEX(M23:Q23, $J$5) = 0, 0, H23 / INDEX(M23:Q23, $J$5) - 1), 0)</f>
        <v>0</v>
      </c>
      <c r="M23" s="280"/>
      <c r="N23" s="281"/>
      <c r="O23" s="281"/>
      <c r="P23" s="281"/>
      <c r="Q23" s="280"/>
    </row>
    <row r="24" spans="1:17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>
        <f xml:space="preserve"> 'FS Qtr'!G$9</f>
        <v>0</v>
      </c>
      <c r="H24" s="283">
        <f xml:space="preserve"> 'FS Qtr'!H14</f>
        <v>10000</v>
      </c>
      <c r="I24" s="283"/>
      <c r="J24" s="318" t="str">
        <f xml:space="preserve"> IF(ABS(K24) &gt; TRK_TOL, "tu", "vw")</f>
        <v>tu</v>
      </c>
      <c r="K24" s="284">
        <f xml:space="preserve"> H24 - INDEX(M24:Q24, $J$5)</f>
        <v>10000</v>
      </c>
      <c r="L24" s="285">
        <f xml:space="preserve"> IF(ABS(K24) &gt; TRK_TOL, IF(INDEX(M24:Q24, $J$5) = 0, 0, H24 / INDEX(M24:Q24, $J$5) - 1), 0)</f>
        <v>0</v>
      </c>
      <c r="M24" s="288"/>
      <c r="N24" s="287"/>
      <c r="O24" s="287"/>
      <c r="P24" s="287"/>
      <c r="Q24" s="288"/>
    </row>
    <row r="25" spans="1:17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0"/>
    </row>
    <row r="26" spans="1:17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>
        <f xml:space="preserve"> 'FS Qtr'!G$9</f>
        <v>0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INDEX(M26:Q26, $J$5)</f>
        <v>0</v>
      </c>
      <c r="L26" s="274">
        <f xml:space="preserve"> IF(ABS(K26) &gt; TRK_TOL, IF(INDEX(M26:Q26, $J$5) = 0, 0, H26 / INDEX(M26:Q26, $J$5) - 1), 0)</f>
        <v>0</v>
      </c>
      <c r="M26" s="289"/>
      <c r="N26" s="281"/>
      <c r="O26" s="281"/>
      <c r="P26" s="281"/>
      <c r="Q26" s="289"/>
    </row>
    <row r="27" spans="1:17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>
        <f xml:space="preserve"> 'FS Qtr'!G$9</f>
        <v>0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INDEX(M27:Q27, $J$5)</f>
        <v>0</v>
      </c>
      <c r="L27" s="274">
        <f xml:space="preserve"> IF(ABS(K27) &gt; TRK_TOL, IF(INDEX(M27:Q27, $J$5) = 0, 0, H27 / INDEX(M27:Q27, $J$5) - 1), 0)</f>
        <v>0</v>
      </c>
      <c r="M27" s="289"/>
      <c r="N27" s="281"/>
      <c r="O27" s="281"/>
      <c r="P27" s="281"/>
      <c r="Q27" s="289"/>
    </row>
    <row r="28" spans="1:17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>
        <f xml:space="preserve"> 'FS Qtr'!G$9</f>
        <v>0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INDEX(M28:Q28, $J$5)</f>
        <v>0</v>
      </c>
      <c r="L28" s="274">
        <f xml:space="preserve"> IF(ABS(K28) &gt; TRK_TOL, IF(INDEX(M28:Q28, $J$5) = 0, 0, H28 / INDEX(M28:Q28, $J$5) - 1), 0)</f>
        <v>0</v>
      </c>
      <c r="M28" s="291"/>
      <c r="N28" s="281"/>
      <c r="O28" s="281"/>
      <c r="P28" s="281"/>
      <c r="Q28" s="291"/>
    </row>
    <row r="29" spans="1:17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>
        <f xml:space="preserve"> 'FS Qtr'!G$9</f>
        <v>0</v>
      </c>
      <c r="H29" s="283">
        <f xml:space="preserve"> 'FS Qtr'!H19</f>
        <v>10000</v>
      </c>
      <c r="I29" s="321"/>
      <c r="J29" s="318" t="str">
        <f xml:space="preserve"> IF(ABS(K29) &gt; TRK_TOL, "tu", "vw")</f>
        <v>tu</v>
      </c>
      <c r="K29" s="284">
        <f xml:space="preserve"> H29 - INDEX(M29:Q29, $J$5)</f>
        <v>10000</v>
      </c>
      <c r="L29" s="285">
        <f xml:space="preserve"> IF(ABS(K29) &gt; TRK_TOL, IF(INDEX(M29:Q29, $J$5) = 0, 0, H29 / INDEX(M29:Q29, $J$5) - 1), 0)</f>
        <v>0</v>
      </c>
      <c r="M29" s="286"/>
      <c r="N29" s="287"/>
      <c r="O29" s="287"/>
      <c r="P29" s="287"/>
      <c r="Q29" s="286"/>
    </row>
    <row r="30" spans="1:17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91"/>
    </row>
    <row r="31" spans="1:17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>
        <f xml:space="preserve"> 'FS Qtr'!G$9</f>
        <v>0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INDEX(M31:Q31, $J$5)</f>
        <v>0</v>
      </c>
      <c r="L31" s="274">
        <f xml:space="preserve"> IF(ABS(K31) &gt; TRK_TOL, IF(INDEX(M31:Q31, $J$5) = 0, 0, H31 / INDEX(M31:Q31, $J$5) - 1), 0)</f>
        <v>0</v>
      </c>
      <c r="M31" s="291"/>
      <c r="N31" s="281"/>
      <c r="O31" s="281"/>
      <c r="P31" s="281"/>
      <c r="Q31" s="291"/>
    </row>
    <row r="32" spans="1:17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>
        <f xml:space="preserve"> 'FS Qtr'!G$9</f>
        <v>0</v>
      </c>
      <c r="H32" s="283">
        <f xml:space="preserve"> 'FS Qtr'!H22</f>
        <v>10000</v>
      </c>
      <c r="I32" s="321"/>
      <c r="J32" s="318" t="str">
        <f xml:space="preserve"> IF(ABS(K32) &gt; TRK_TOL, "tu", "vw")</f>
        <v>tu</v>
      </c>
      <c r="K32" s="284">
        <f xml:space="preserve"> H32 - INDEX(M32:Q32, $J$5)</f>
        <v>10000</v>
      </c>
      <c r="L32" s="285">
        <f xml:space="preserve"> IF(ABS(K32) &gt; TRK_TOL, IF(INDEX(M32:Q32, $J$5) = 0, 0, H32 / INDEX(M32:Q32, $J$5) - 1), 0)</f>
        <v>0</v>
      </c>
      <c r="M32" s="286"/>
      <c r="N32" s="287"/>
      <c r="O32" s="287"/>
      <c r="P32" s="287"/>
      <c r="Q32" s="286"/>
    </row>
    <row r="33" spans="1:17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91"/>
    </row>
    <row r="34" spans="1:17" outlineLevel="1" x14ac:dyDescent="0.35">
      <c r="A34" s="323"/>
      <c r="B34" s="324"/>
      <c r="C34" s="329"/>
      <c r="D34" s="279"/>
      <c r="E34" s="279" t="str">
        <f xml:space="preserve"> 'FS Qtr'!E24</f>
        <v>[Dividends paid]</v>
      </c>
      <c r="F34" s="279">
        <f xml:space="preserve"> 'FS Qtr'!F24</f>
        <v>0</v>
      </c>
      <c r="G34" s="279">
        <f xml:space="preserve"> 'FS Qtr'!G$9</f>
        <v>0</v>
      </c>
      <c r="H34" s="279">
        <f xml:space="preserve"> 'FS Qtr'!H24</f>
        <v>0</v>
      </c>
      <c r="I34" s="279"/>
      <c r="J34" s="319" t="str">
        <f xml:space="preserve"> IF(ABS(K34) &gt; TRK_TOL, "tu", "vw")</f>
        <v>vw</v>
      </c>
      <c r="K34" s="149">
        <f xml:space="preserve"> H34 - INDEX(M34:Q34, $J$5)</f>
        <v>0</v>
      </c>
      <c r="L34" s="274">
        <f xml:space="preserve"> IF(ABS(K34) &gt; TRK_TOL, IF(INDEX(M34:Q34, $J$5) = 0, 0, H34 / INDEX(M34:Q34, $J$5) - 1), 0)</f>
        <v>0</v>
      </c>
      <c r="M34" s="291"/>
      <c r="N34" s="281"/>
      <c r="O34" s="281"/>
      <c r="P34" s="281"/>
      <c r="Q34" s="291"/>
    </row>
    <row r="35" spans="1:17" outlineLevel="1" x14ac:dyDescent="0.35">
      <c r="A35" s="73"/>
      <c r="B35" s="75"/>
      <c r="C35" s="82"/>
      <c r="D35" s="72"/>
      <c r="E35" s="283" t="str">
        <f xml:space="preserve"> 'FS Qtr'!E25</f>
        <v>Net income</v>
      </c>
      <c r="F35" s="283">
        <f xml:space="preserve"> 'FS Qtr'!F25</f>
        <v>0</v>
      </c>
      <c r="G35" s="283">
        <f xml:space="preserve"> 'FS Qtr'!G$9</f>
        <v>0</v>
      </c>
      <c r="H35" s="283">
        <f xml:space="preserve"> 'FS Qtr'!H25</f>
        <v>10000</v>
      </c>
      <c r="I35" s="283"/>
      <c r="J35" s="318" t="str">
        <f xml:space="preserve"> IF(ABS(K35) &gt; TRK_TOL, "tu", "vw")</f>
        <v>tu</v>
      </c>
      <c r="K35" s="284">
        <f xml:space="preserve"> H35 - INDEX(M35:Q35, $J$5)</f>
        <v>10000</v>
      </c>
      <c r="L35" s="285">
        <f xml:space="preserve"> IF(ABS(K35) &gt; TRK_TOL, IF(INDEX(M35:Q35, $J$5) = 0, 0, H35 / INDEX(M35:Q35, $J$5) - 1), 0)</f>
        <v>0</v>
      </c>
      <c r="M35" s="288"/>
      <c r="N35" s="344"/>
      <c r="O35" s="344"/>
      <c r="P35" s="344"/>
      <c r="Q35" s="288"/>
    </row>
    <row r="36" spans="1:17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80"/>
    </row>
    <row r="37" spans="1:17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80"/>
    </row>
    <row r="38" spans="1:17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80"/>
    </row>
    <row r="39" spans="1:17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80"/>
    </row>
    <row r="40" spans="1:17" outlineLevel="1" x14ac:dyDescent="0.35">
      <c r="A40" s="73"/>
      <c r="B40" s="75"/>
      <c r="C40" s="63"/>
      <c r="D40" s="72"/>
      <c r="E40" s="279" t="str">
        <f xml:space="preserve"> 'FS Qtr'!E30</f>
        <v>[Cash received from invoices]</v>
      </c>
      <c r="F40" s="279">
        <f xml:space="preserve"> 'FS Qtr'!F30</f>
        <v>0</v>
      </c>
      <c r="G40" s="279">
        <f xml:space="preserve"> 'FS Qtr'!G$9</f>
        <v>0</v>
      </c>
      <c r="H40" s="279">
        <f xml:space="preserve"> 'FS Qtr'!H30</f>
        <v>0</v>
      </c>
      <c r="I40" s="279"/>
      <c r="J40" s="316" t="str">
        <f xml:space="preserve"> IF(ABS(K40) &gt; TRK_TOL, "tu", "vw")</f>
        <v>vw</v>
      </c>
      <c r="K40" s="149">
        <f xml:space="preserve"> H40 - INDEX(M40:Q40, $J$5)</f>
        <v>0</v>
      </c>
      <c r="L40" s="274">
        <f xml:space="preserve"> IF(ABS(K40) &gt; TRK_TOL, IF(INDEX(M40:Q40, $J$5) = 0, 0, H40 / INDEX(M40:Q40, $J$5) - 1), 0)</f>
        <v>0</v>
      </c>
      <c r="M40" s="289"/>
      <c r="N40" s="281"/>
      <c r="O40" s="281"/>
      <c r="P40" s="281"/>
      <c r="Q40" s="289"/>
    </row>
    <row r="41" spans="1:17" outlineLevel="1" x14ac:dyDescent="0.35">
      <c r="A41" s="73"/>
      <c r="B41" s="75"/>
      <c r="C41" s="63"/>
      <c r="D41" s="72"/>
      <c r="E41" s="279" t="str">
        <f xml:space="preserve"> 'FS Qtr'!E31</f>
        <v>[Cash paid for operating costs]</v>
      </c>
      <c r="F41" s="279">
        <f xml:space="preserve"> 'FS Qtr'!F31</f>
        <v>0</v>
      </c>
      <c r="G41" s="279">
        <f xml:space="preserve"> 'FS Qtr'!G$9</f>
        <v>0</v>
      </c>
      <c r="H41" s="279">
        <f xml:space="preserve"> 'FS Qtr'!H31</f>
        <v>0</v>
      </c>
      <c r="I41" s="279"/>
      <c r="J41" s="316" t="str">
        <f xml:space="preserve"> IF(ABS(K41) &gt; TRK_TOL, "tu", "vw")</f>
        <v>vw</v>
      </c>
      <c r="K41" s="149">
        <f xml:space="preserve"> H41 - INDEX(M41:Q41, $J$5)</f>
        <v>0</v>
      </c>
      <c r="L41" s="274">
        <f xml:space="preserve"> IF(ABS(K41) &gt; TRK_TOL, IF(INDEX(M41:Q41, $J$5) = 0, 0, H41 / INDEX(M41:Q41, $J$5) - 1), 0)</f>
        <v>0</v>
      </c>
      <c r="M41" s="289"/>
      <c r="N41" s="281"/>
      <c r="O41" s="281"/>
      <c r="P41" s="281"/>
      <c r="Q41" s="289"/>
    </row>
    <row r="42" spans="1:17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>
        <f xml:space="preserve"> 'FS Qtr'!G$9</f>
        <v>0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INDEX(M42:Q42, $J$5)</f>
        <v>0</v>
      </c>
      <c r="L42" s="274">
        <f xml:space="preserve"> IF(ABS(K42) &gt; TRK_TOL, IF(INDEX(M42:Q42, $J$5) = 0, 0, H42 / INDEX(M42:Q42, $J$5) - 1), 0)</f>
        <v>0</v>
      </c>
      <c r="M42" s="289"/>
      <c r="N42" s="281"/>
      <c r="O42" s="281"/>
      <c r="P42" s="281"/>
      <c r="Q42" s="289"/>
    </row>
    <row r="43" spans="1:17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>
        <f xml:space="preserve"> 'FS Qtr'!G$9</f>
        <v>0</v>
      </c>
      <c r="H43" s="283">
        <f xml:space="preserve"> 'FS Qtr'!H33</f>
        <v>10000</v>
      </c>
      <c r="I43" s="283"/>
      <c r="J43" s="318" t="str">
        <f xml:space="preserve"> IF(ABS(K43) &gt; TRK_TOL, "tu", "vw")</f>
        <v>tu</v>
      </c>
      <c r="K43" s="284">
        <f xml:space="preserve"> H43 - INDEX(M43:Q43, $J$5)</f>
        <v>10000</v>
      </c>
      <c r="L43" s="285">
        <f xml:space="preserve"> IF(ABS(K43) &gt; TRK_TOL, IF(INDEX(M43:Q43, $J$5) = 0, 0, H43 / INDEX(M43:Q43, $J$5) - 1), 0)</f>
        <v>0</v>
      </c>
      <c r="M43" s="286"/>
      <c r="N43" s="287"/>
      <c r="O43" s="287"/>
      <c r="P43" s="287"/>
      <c r="Q43" s="286"/>
    </row>
    <row r="44" spans="1:17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9"/>
    </row>
    <row r="45" spans="1:17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>
        <f xml:space="preserve"> 'FS Qtr'!G$9</f>
        <v>0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INDEX(M45:Q45, $J$5)</f>
        <v>0</v>
      </c>
      <c r="L45" s="274">
        <f xml:space="preserve"> IF(ABS(K45) &gt; TRK_TOL, IF(INDEX(M45:Q45, $J$5) = 0, 0, H45 / INDEX(M45:Q45, $J$5) - 1), 0)</f>
        <v>0</v>
      </c>
      <c r="M45" s="289"/>
      <c r="N45" s="281"/>
      <c r="O45" s="281"/>
      <c r="P45" s="281"/>
      <c r="Q45" s="289"/>
    </row>
    <row r="46" spans="1:17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>
        <f xml:space="preserve"> 'FS Qtr'!G$9</f>
        <v>0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INDEX(M46:Q46, $J$5)</f>
        <v>0</v>
      </c>
      <c r="L46" s="274">
        <f xml:space="preserve"> IF(ABS(K46) &gt; TRK_TOL, IF(INDEX(M46:Q46, $J$5) = 0, 0, H46 / INDEX(M46:Q46, $J$5) - 1), 0)</f>
        <v>0</v>
      </c>
      <c r="M46" s="289"/>
      <c r="N46" s="281"/>
      <c r="O46" s="281"/>
      <c r="P46" s="281"/>
      <c r="Q46" s="289"/>
    </row>
    <row r="47" spans="1:17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>
        <f xml:space="preserve"> 'FS Qtr'!G$9</f>
        <v>0</v>
      </c>
      <c r="H47" s="283">
        <f xml:space="preserve"> 'FS Qtr'!H37</f>
        <v>10000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/>
      <c r="O47" s="287"/>
      <c r="P47" s="287"/>
      <c r="Q47" s="286"/>
    </row>
    <row r="48" spans="1:17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9"/>
    </row>
    <row r="49" spans="1:17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>
        <f xml:space="preserve"> 'FS Qtr'!G$9</f>
        <v>0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INDEX(M49:Q49, $J$5)</f>
        <v>0</v>
      </c>
      <c r="L49" s="274">
        <f xml:space="preserve"> IF(ABS(K49) &gt; TRK_TOL, IF(INDEX(M49:Q49, $J$5) = 0, 0, H49 / INDEX(M49:Q49, $J$5) - 1), 0)</f>
        <v>0</v>
      </c>
      <c r="M49" s="291"/>
      <c r="N49" s="281"/>
      <c r="O49" s="281"/>
      <c r="P49" s="281"/>
      <c r="Q49" s="291"/>
    </row>
    <row r="50" spans="1:17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>
        <f xml:space="preserve"> 'FS Qtr'!G$9</f>
        <v>0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INDEX(M50:Q50, $J$5)</f>
        <v>0</v>
      </c>
      <c r="L50" s="274">
        <f xml:space="preserve"> IF(ABS(K50) &gt; TRK_TOL, IF(INDEX(M50:Q50, $J$5) = 0, 0, H50 / INDEX(M50:Q50, $J$5) - 1), 0)</f>
        <v>0</v>
      </c>
      <c r="M50" s="291"/>
      <c r="N50" s="281"/>
      <c r="O50" s="281"/>
      <c r="P50" s="281"/>
      <c r="Q50" s="291"/>
    </row>
    <row r="51" spans="1:17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>
        <f xml:space="preserve"> 'FS Qtr'!G$9</f>
        <v>0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INDEX(M51:Q51, $J$5)</f>
        <v>0</v>
      </c>
      <c r="L51" s="274">
        <f xml:space="preserve"> IF(ABS(K51) &gt; TRK_TOL, IF(INDEX(M51:Q51, $J$5) = 0, 0, H51 / INDEX(M51:Q51, $J$5) - 1), 0)</f>
        <v>0</v>
      </c>
      <c r="M51" s="291"/>
      <c r="N51" s="281"/>
      <c r="O51" s="281"/>
      <c r="P51" s="281"/>
      <c r="Q51" s="291"/>
    </row>
    <row r="52" spans="1:17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>
        <f xml:space="preserve"> 'FS Qtr'!G$9</f>
        <v>0</v>
      </c>
      <c r="H52" s="283">
        <f xml:space="preserve"> 'FS Qtr'!H42</f>
        <v>10000</v>
      </c>
      <c r="I52" s="283"/>
      <c r="J52" s="318" t="str">
        <f xml:space="preserve"> IF(ABS(K52) &gt; TRK_TOL, "tu", "vw")</f>
        <v>tu</v>
      </c>
      <c r="K52" s="284">
        <f xml:space="preserve"> H52 - INDEX(M52:Q52, $J$5)</f>
        <v>10000</v>
      </c>
      <c r="L52" s="285">
        <f xml:space="preserve"> IF(ABS(K52) &gt; TRK_TOL, IF(INDEX(M52:Q52, $J$5) = 0, 0, H52 / INDEX(M52:Q52, $J$5) - 1), 0)</f>
        <v>0</v>
      </c>
      <c r="M52" s="286"/>
      <c r="N52" s="287"/>
      <c r="O52" s="287"/>
      <c r="P52" s="287"/>
      <c r="Q52" s="286"/>
    </row>
    <row r="53" spans="1:17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91"/>
    </row>
    <row r="54" spans="1:17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>
        <f xml:space="preserve"> 'FS Qtr'!G$9</f>
        <v>0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INDEX(M54:Q54, $J$5)</f>
        <v>0</v>
      </c>
      <c r="L54" s="274">
        <f xml:space="preserve"> IF(ABS(K54) &gt; TRK_TOL, IF(INDEX(M54:Q54, $J$5) = 0, 0, H54 / INDEX(M54:Q54, $J$5) - 1), 0)</f>
        <v>0</v>
      </c>
      <c r="M54" s="291"/>
      <c r="N54" s="281"/>
      <c r="O54" s="281"/>
      <c r="P54" s="281"/>
      <c r="Q54" s="291"/>
    </row>
    <row r="55" spans="1:17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>
        <f xml:space="preserve"> 'FS Qtr'!G$9</f>
        <v>0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INDEX(M55:Q55, $J$5)</f>
        <v>0</v>
      </c>
      <c r="L55" s="274">
        <f xml:space="preserve"> IF(ABS(K55) &gt; TRK_TOL, IF(INDEX(M55:Q55, $J$5) = 0, 0, H55 / INDEX(M55:Q55, $J$5) - 1), 0)</f>
        <v>0</v>
      </c>
      <c r="M55" s="291"/>
      <c r="N55" s="281"/>
      <c r="O55" s="281"/>
      <c r="P55" s="281"/>
      <c r="Q55" s="291"/>
    </row>
    <row r="56" spans="1:17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>
        <f xml:space="preserve"> 'FS Qtr'!G$9</f>
        <v>0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INDEX(M56:Q56, $J$5)</f>
        <v>0</v>
      </c>
      <c r="L56" s="274">
        <f xml:space="preserve"> IF(ABS(K56) &gt; TRK_TOL, IF(INDEX(M56:Q56, $J$5) = 0, 0, H56 / INDEX(M56:Q56, $J$5) - 1), 0)</f>
        <v>0</v>
      </c>
      <c r="M56" s="291"/>
      <c r="N56" s="281"/>
      <c r="O56" s="281"/>
      <c r="P56" s="281"/>
      <c r="Q56" s="291"/>
    </row>
    <row r="57" spans="1:17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>
        <f xml:space="preserve"> 'FS Qtr'!G$9</f>
        <v>0</v>
      </c>
      <c r="H57" s="283">
        <f xml:space="preserve"> 'FS Qtr'!H47</f>
        <v>10000</v>
      </c>
      <c r="I57" s="283"/>
      <c r="J57" s="318" t="str">
        <f xml:space="preserve"> IF(ABS(K57) &gt; TRK_TOL, "tu", "vw")</f>
        <v>tu</v>
      </c>
      <c r="K57" s="284">
        <f xml:space="preserve"> H57 - INDEX(M57:Q57, $J$5)</f>
        <v>10000</v>
      </c>
      <c r="L57" s="285">
        <f xml:space="preserve"> IF(ABS(K57) &gt; TRK_TOL, IF(INDEX(M57:Q57, $J$5) = 0, 0, H57 / INDEX(M57:Q57, $J$5) - 1), 0)</f>
        <v>0</v>
      </c>
      <c r="M57" s="286"/>
      <c r="N57" s="287"/>
      <c r="O57" s="287"/>
      <c r="P57" s="287"/>
      <c r="Q57" s="286"/>
    </row>
    <row r="58" spans="1:17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91"/>
    </row>
    <row r="59" spans="1:17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>
        <f xml:space="preserve"> 'FS Qtr'!G$9</f>
        <v>0</v>
      </c>
      <c r="H59" s="279">
        <f xml:space="preserve"> 'FS Qtr'!H49</f>
        <v>0</v>
      </c>
      <c r="I59" s="279"/>
      <c r="J59" s="319" t="str">
        <f xml:space="preserve"> IF(ABS(K59) &gt; TRK_TOL, "tu", "vw")</f>
        <v>vw</v>
      </c>
      <c r="K59" s="149">
        <f xml:space="preserve"> H59 - INDEX(M59:Q59, $J$5)</f>
        <v>0</v>
      </c>
      <c r="L59" s="274">
        <f xml:space="preserve"> IF(ABS(K59) &gt; TRK_TOL, IF(INDEX(M59:Q59, $J$5) = 0, 0, H59 / INDEX(M59:Q59, $J$5) - 1), 0)</f>
        <v>0</v>
      </c>
      <c r="M59" s="291"/>
      <c r="N59" s="281"/>
      <c r="O59" s="281"/>
      <c r="P59" s="281"/>
      <c r="Q59" s="291"/>
    </row>
    <row r="60" spans="1:17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>
        <f xml:space="preserve"> 'FS Qtr'!G$9</f>
        <v>0</v>
      </c>
      <c r="H60" s="283">
        <f xml:space="preserve"> 'FS Qtr'!H50</f>
        <v>10000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/>
      <c r="O60" s="287"/>
      <c r="P60" s="287"/>
      <c r="Q60" s="286"/>
    </row>
    <row r="61" spans="1:17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91"/>
    </row>
    <row r="62" spans="1:17" outlineLevel="1" x14ac:dyDescent="0.35">
      <c r="A62" s="73"/>
      <c r="B62" s="75"/>
      <c r="C62" s="82"/>
      <c r="D62" s="72"/>
      <c r="E62" s="279" t="str">
        <f xml:space="preserve"> 'FS Qtr'!E52</f>
        <v>[Dividends paid]</v>
      </c>
      <c r="F62" s="279">
        <f xml:space="preserve"> 'FS Qtr'!F52</f>
        <v>0</v>
      </c>
      <c r="G62" s="279">
        <f xml:space="preserve"> 'FS Qtr'!G$9</f>
        <v>0</v>
      </c>
      <c r="H62" s="279">
        <f xml:space="preserve"> 'FS Qtr'!H52</f>
        <v>0</v>
      </c>
      <c r="I62" s="279"/>
      <c r="J62" s="319" t="str">
        <f xml:space="preserve"> IF(ABS(K62) &gt; TRK_TOL, "tu", "vw")</f>
        <v>vw</v>
      </c>
      <c r="K62" s="149">
        <f xml:space="preserve"> H62 - INDEX(M62:Q62, $J$5)</f>
        <v>0</v>
      </c>
      <c r="L62" s="274">
        <f xml:space="preserve"> IF(ABS(K62) &gt; TRK_TOL, IF(INDEX(M62:Q62, $J$5) = 0, 0, H62 / INDEX(M62:Q62, $J$5) - 1), 0)</f>
        <v>0</v>
      </c>
      <c r="M62" s="291"/>
      <c r="N62" s="281"/>
      <c r="O62" s="281"/>
      <c r="P62" s="281"/>
      <c r="Q62" s="291"/>
    </row>
    <row r="63" spans="1:17" outlineLevel="1" x14ac:dyDescent="0.35">
      <c r="A63" s="73"/>
      <c r="B63" s="75"/>
      <c r="C63" s="82"/>
      <c r="D63" s="72"/>
      <c r="E63" s="283" t="str">
        <f xml:space="preserve"> 'FS Qtr'!E53</f>
        <v>Net cash flow</v>
      </c>
      <c r="F63" s="283">
        <f xml:space="preserve"> 'FS Qtr'!F53</f>
        <v>0</v>
      </c>
      <c r="G63" s="283">
        <f xml:space="preserve"> 'FS Qtr'!G$9</f>
        <v>0</v>
      </c>
      <c r="H63" s="283">
        <f xml:space="preserve"> 'FS Qtr'!H53</f>
        <v>10000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/>
      <c r="O63" s="287"/>
      <c r="P63" s="287"/>
      <c r="Q63" s="286"/>
    </row>
    <row r="64" spans="1:17" outlineLevel="1" x14ac:dyDescent="0.35">
      <c r="A64" s="73"/>
      <c r="B64" s="75"/>
      <c r="C64" s="72"/>
      <c r="D64" s="72"/>
      <c r="E64" s="279"/>
      <c r="F64" s="279"/>
      <c r="G64" s="279"/>
      <c r="H64" s="279"/>
      <c r="I64" s="279"/>
      <c r="J64" s="320"/>
      <c r="K64" s="293"/>
      <c r="L64" s="294"/>
      <c r="M64" s="291"/>
      <c r="N64" s="281"/>
      <c r="O64" s="281"/>
      <c r="P64" s="281"/>
      <c r="Q64" s="291"/>
    </row>
    <row r="65" spans="1:17" x14ac:dyDescent="0.35">
      <c r="A65" s="73"/>
      <c r="B65" s="75"/>
      <c r="C65" s="72"/>
      <c r="D65" s="72"/>
      <c r="E65" s="279"/>
      <c r="F65" s="279"/>
      <c r="G65" s="279"/>
      <c r="H65" s="279"/>
      <c r="I65" s="279"/>
      <c r="K65" s="150"/>
      <c r="L65" s="275"/>
      <c r="M65" s="289"/>
      <c r="N65" s="281"/>
      <c r="O65" s="281"/>
      <c r="P65" s="281"/>
      <c r="Q65" s="289"/>
    </row>
    <row r="66" spans="1:17" x14ac:dyDescent="0.35">
      <c r="A66" s="62" t="s">
        <v>103</v>
      </c>
      <c r="B66" s="72"/>
      <c r="C66" s="72"/>
      <c r="D66" s="72"/>
      <c r="E66" s="292"/>
      <c r="F66" s="295"/>
      <c r="G66" s="292"/>
      <c r="H66" s="292"/>
      <c r="I66" s="292"/>
      <c r="J66" s="314"/>
      <c r="K66" s="151"/>
      <c r="L66" s="276"/>
      <c r="M66" s="289"/>
      <c r="N66" s="296"/>
      <c r="O66" s="296"/>
      <c r="P66" s="296"/>
      <c r="Q66" s="289"/>
    </row>
    <row r="67" spans="1:17" outlineLevel="1" x14ac:dyDescent="0.35">
      <c r="A67" s="87"/>
      <c r="B67" s="87"/>
      <c r="C67" s="88"/>
      <c r="D67" s="89"/>
      <c r="E67" s="153" t="s">
        <v>71</v>
      </c>
      <c r="F67" s="297"/>
      <c r="G67" s="298"/>
      <c r="H67" s="299">
        <f ca="1" xml:space="preserve"> NOW()</f>
        <v>44565.57772361111</v>
      </c>
      <c r="I67" s="292"/>
      <c r="K67" s="151"/>
      <c r="L67" s="276"/>
      <c r="M67" s="289"/>
      <c r="N67" s="300">
        <v>43909.144523958334</v>
      </c>
      <c r="O67" s="300"/>
      <c r="P67" s="300"/>
      <c r="Q67" s="289"/>
    </row>
    <row r="68" spans="1:17" outlineLevel="1" x14ac:dyDescent="0.35">
      <c r="A68" s="62"/>
      <c r="B68" s="62"/>
      <c r="C68" s="63"/>
      <c r="D68" s="72"/>
      <c r="E68" s="301" t="s">
        <v>104</v>
      </c>
      <c r="F68" s="297"/>
      <c r="G68" s="301"/>
      <c r="H68" s="302" t="str">
        <f ca="1" xml:space="preserve"> MID(CELL("filename",$A$1), SEARCH("[", CELL("filename",$A$1)) + 1, SEARCH("]", CELL("filename",$A$1)) - SEARCH("[", CELL("filename",$A$1)) - 1)</f>
        <v>FMH FinStats END 01.xlsx</v>
      </c>
      <c r="I68" s="292"/>
      <c r="K68" s="151"/>
      <c r="L68" s="276"/>
      <c r="M68" s="289"/>
      <c r="N68" s="303" t="s">
        <v>119</v>
      </c>
      <c r="O68" s="303"/>
      <c r="P68" s="303"/>
      <c r="Q68" s="289"/>
    </row>
    <row r="69" spans="1:17" outlineLevel="1" x14ac:dyDescent="0.35">
      <c r="A69" s="62"/>
      <c r="B69" s="62"/>
      <c r="C69" s="63"/>
      <c r="D69" s="73"/>
      <c r="E69" s="304"/>
      <c r="F69" s="295"/>
      <c r="G69" s="292"/>
      <c r="H69" s="292"/>
      <c r="I69" s="292"/>
      <c r="J69" s="314"/>
      <c r="K69" s="151"/>
      <c r="L69" s="276"/>
      <c r="M69" s="289"/>
      <c r="N69" s="292"/>
      <c r="O69" s="292"/>
      <c r="P69" s="292"/>
      <c r="Q69" s="289"/>
    </row>
    <row r="70" spans="1:17" x14ac:dyDescent="0.35">
      <c r="A70" s="62"/>
      <c r="B70" s="62"/>
      <c r="C70" s="63"/>
      <c r="D70" s="73"/>
      <c r="E70" s="304"/>
      <c r="F70" s="295"/>
      <c r="G70" s="292"/>
      <c r="H70" s="292"/>
      <c r="I70" s="292"/>
      <c r="J70" s="314"/>
      <c r="K70" s="151"/>
      <c r="L70" s="276"/>
      <c r="M70" s="289"/>
      <c r="N70" s="292"/>
      <c r="O70" s="292"/>
      <c r="P70" s="292"/>
      <c r="Q70" s="289"/>
    </row>
    <row r="71" spans="1:17" x14ac:dyDescent="0.35">
      <c r="A71" s="215"/>
      <c r="B71" s="215"/>
      <c r="C71" s="216"/>
      <c r="D71" s="217"/>
      <c r="E71" s="305" t="s">
        <v>67</v>
      </c>
      <c r="F71" s="306"/>
      <c r="G71" s="307"/>
      <c r="H71" s="307"/>
      <c r="I71" s="308"/>
      <c r="J71" s="315" t="s">
        <v>72</v>
      </c>
      <c r="K71" s="280"/>
      <c r="L71" s="309"/>
      <c r="M71" s="289"/>
      <c r="N71" s="310"/>
      <c r="O71" s="310"/>
      <c r="P71" s="310"/>
      <c r="Q71" s="289"/>
    </row>
    <row r="72" spans="1:17" x14ac:dyDescent="0.35">
      <c r="E72" s="301"/>
      <c r="F72" s="301"/>
      <c r="G72" s="301"/>
      <c r="H72" s="301"/>
      <c r="I72" s="292"/>
      <c r="K72" s="150"/>
      <c r="L72" s="275"/>
      <c r="M72" s="289"/>
      <c r="N72" s="301"/>
      <c r="O72" s="301"/>
      <c r="P72" s="301"/>
      <c r="Q72" s="289"/>
    </row>
  </sheetData>
  <conditionalFormatting sqref="J8">
    <cfRule type="cellIs" dxfId="15" priority="18" operator="equal">
      <formula>"tu"</formula>
    </cfRule>
  </conditionalFormatting>
  <conditionalFormatting sqref="J10:J13">
    <cfRule type="cellIs" dxfId="14" priority="17" operator="equal">
      <formula>"tu"</formula>
    </cfRule>
  </conditionalFormatting>
  <conditionalFormatting sqref="J19:J35">
    <cfRule type="cellIs" dxfId="13" priority="1" operator="equal">
      <formula>"tu"</formula>
    </cfRule>
  </conditionalFormatting>
  <conditionalFormatting sqref="J40:J63">
    <cfRule type="cellIs" dxfId="12" priority="4" operator="equal">
      <formula>"tu"</formula>
    </cfRule>
  </conditionalFormatting>
  <dataValidations disablePrompts="1"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8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4"/>
  <sheetViews>
    <sheetView defaultGridColor="0" colorId="8" zoomScale="80" zoomScaleNormal="8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14" sqref="A1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8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InpC</vt:lpstr>
      <vt:lpstr>Time</vt:lpstr>
      <vt:lpstr>Equity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2023-09-21T09:36:13Z</dcterms:modified>
</cp:coreProperties>
</file>