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ThisWorkbook" autoCompressPictures="0" defaultThemeVersion="124226"/>
  <mc:AlternateContent xmlns:mc="http://schemas.openxmlformats.org/markup-compatibility/2006">
    <mc:Choice Requires="x15">
      <x15ac:absPath xmlns:x15ac="http://schemas.microsoft.com/office/spreadsheetml/2010/11/ac" url="https://ukunltd-my.sharepoint.com/personal/timothylages_unltd_org_uk/Documents/41 - Info, Learnings &amp; Resources/Financial Modelling/"/>
    </mc:Choice>
  </mc:AlternateContent>
  <xr:revisionPtr revIDLastSave="14" documentId="11_7638E20151641FD83CF9F59DBC4AE90C7A5C1BBF" xr6:coauthVersionLast="47" xr6:coauthVersionMax="47" xr10:uidLastSave="{0161836D-21F3-4F20-A595-9C5ED1BA0267}"/>
  <bookViews>
    <workbookView minimized="1" xWindow="2340" yWindow="4884" windowWidth="9372" windowHeight="7500" tabRatio="942" firstSheet="1" activeTab="1" xr2:uid="{00000000-000D-0000-FFFF-FFFF00000000}"/>
  </bookViews>
  <sheets>
    <sheet name="Key Inputs" sheetId="35" state="hidden" r:id="rId1"/>
    <sheet name="Disclaimer" sheetId="58" r:id="rId2"/>
    <sheet name="Outputs - Summary" sheetId="53" r:id="rId3"/>
    <sheet name="Outputs - P&amp;L" sheetId="13" r:id="rId4"/>
    <sheet name="Outputs - BalanceSheet" sheetId="50" r:id="rId5"/>
    <sheet name="Outputs - Cashflow" sheetId="49" r:id="rId6"/>
    <sheet name="Outputs - Sensitivities" sheetId="54" r:id="rId7"/>
    <sheet name="Key Ratios" sheetId="59" r:id="rId8"/>
    <sheet name="KeyInputs" sheetId="2" r:id="rId9"/>
    <sheet name="Inputs - Sensitivities" sheetId="42" r:id="rId10"/>
    <sheet name="Worksheet" sheetId="29" state="hidden" r:id="rId11"/>
    <sheet name="Prod Sales" sheetId="33" state="hidden" r:id="rId12"/>
    <sheet name="Sales Assumptions" sheetId="39" state="hidden" r:id="rId13"/>
    <sheet name="Sales (UK)" sheetId="36" state="hidden" r:id="rId14"/>
    <sheet name="Sales (OS)" sheetId="37" state="hidden" r:id="rId15"/>
    <sheet name="Revenue" sheetId="1" r:id="rId16"/>
    <sheet name="Work 1" sheetId="20" state="hidden" r:id="rId17"/>
    <sheet name="Work 2" sheetId="21" state="hidden" r:id="rId18"/>
    <sheet name="Work 3" sheetId="22" state="hidden" r:id="rId19"/>
    <sheet name="Work 4" sheetId="23" state="hidden" r:id="rId20"/>
    <sheet name="Work 5" sheetId="24" state="hidden" r:id="rId21"/>
    <sheet name="Work 6" sheetId="25" state="hidden" r:id="rId22"/>
    <sheet name="Work 7" sheetId="26" state="hidden" r:id="rId23"/>
    <sheet name="Work 8" sheetId="27" state="hidden" r:id="rId24"/>
    <sheet name="Work 9" sheetId="28" state="hidden" r:id="rId25"/>
    <sheet name="Other income" sheetId="57" r:id="rId26"/>
    <sheet name="VariableCosts" sheetId="5" r:id="rId27"/>
    <sheet name="WorkingCapital" sheetId="44" r:id="rId28"/>
    <sheet name="StaffCosts" sheetId="6" r:id="rId29"/>
    <sheet name="CentralCosts" sheetId="7" r:id="rId30"/>
    <sheet name="Capex" sheetId="9" r:id="rId31"/>
    <sheet name="GrantIncome" sheetId="56" r:id="rId32"/>
    <sheet name="Existing Debt" sheetId="34" state="hidden" r:id="rId33"/>
    <sheet name="EquityFinancing" sheetId="55" r:id="rId34"/>
    <sheet name="DebtFinancing" sheetId="11" r:id="rId35"/>
    <sheet name="Ratios" sheetId="32" state="hidden" r:id="rId36"/>
    <sheet name="TAX" sheetId="48" r:id="rId37"/>
    <sheet name="Dividends" sheetId="51" r:id="rId38"/>
    <sheet name="Check" sheetId="47" r:id="rId39"/>
  </sheets>
  <externalReferences>
    <externalReference r:id="rId40"/>
    <externalReference r:id="rId41"/>
  </externalReferences>
  <definedNames>
    <definedName name="BSCheck" localSheetId="37">#REF!</definedName>
    <definedName name="BSCheck" localSheetId="33">#REF!</definedName>
    <definedName name="BSCheck" localSheetId="31">#REF!</definedName>
    <definedName name="BSCheck" localSheetId="25">#REF!</definedName>
    <definedName name="BSCheck" localSheetId="4">#REF!</definedName>
    <definedName name="BSCheck" localSheetId="5">#REF!</definedName>
    <definedName name="BSCheck" localSheetId="6">#REF!</definedName>
    <definedName name="BSCheck" localSheetId="2">#REF!</definedName>
    <definedName name="BSCheck">#REF!</definedName>
    <definedName name="CentralCosts" localSheetId="25">'Other income'!$K$32:$BS$32</definedName>
    <definedName name="CentralCosts">CentralCosts!$K$32:$BS$32</definedName>
    <definedName name="CentralStaff">StaffCosts!$K$15:$BS$15</definedName>
    <definedName name="Creditors" localSheetId="37">#REF!</definedName>
    <definedName name="Creditors" localSheetId="33">#REF!</definedName>
    <definedName name="Creditors" localSheetId="31">#REF!</definedName>
    <definedName name="Creditors" localSheetId="25">#REF!</definedName>
    <definedName name="Creditors" localSheetId="4">#REF!</definedName>
    <definedName name="Creditors" localSheetId="5">#REF!</definedName>
    <definedName name="Creditors" localSheetId="6">#REF!</definedName>
    <definedName name="Creditors" localSheetId="2">#REF!</definedName>
    <definedName name="Creditors">#REF!</definedName>
    <definedName name="DebtIssued">[1]Input!$E$33</definedName>
    <definedName name="Debtors" localSheetId="37">#REF!</definedName>
    <definedName name="Debtors" localSheetId="33">#REF!</definedName>
    <definedName name="Debtors" localSheetId="31">#REF!</definedName>
    <definedName name="Debtors" localSheetId="25">#REF!</definedName>
    <definedName name="Debtors" localSheetId="4">#REF!</definedName>
    <definedName name="Debtors" localSheetId="5">#REF!</definedName>
    <definedName name="Debtors" localSheetId="6">#REF!</definedName>
    <definedName name="Debtors" localSheetId="2">#REF!</definedName>
    <definedName name="Debtors">#REF!</definedName>
    <definedName name="DebtRec" localSheetId="37">DebtFinancing!#REF!</definedName>
    <definedName name="DebtRec" localSheetId="33">DebtFinancing!#REF!</definedName>
    <definedName name="DebtRec" localSheetId="31">GrantIncome!#REF!</definedName>
    <definedName name="DebtRec" localSheetId="25">DebtFinancing!#REF!</definedName>
    <definedName name="DebtRec" localSheetId="4">DebtFinancing!#REF!</definedName>
    <definedName name="DebtRec" localSheetId="5">DebtFinancing!#REF!</definedName>
    <definedName name="DebtRec" localSheetId="6">DebtFinancing!#REF!</definedName>
    <definedName name="DebtRec" localSheetId="2">DebtFinancing!#REF!</definedName>
    <definedName name="DebtRec">DebtFinancing!#REF!</definedName>
    <definedName name="DebtTerm">[1]Input!$E$36</definedName>
    <definedName name="Depreciation" localSheetId="37">Capex!#REF!</definedName>
    <definedName name="Depreciation" localSheetId="33">Capex!#REF!</definedName>
    <definedName name="Depreciation" localSheetId="31">Capex!#REF!</definedName>
    <definedName name="Depreciation" localSheetId="25">Capex!#REF!</definedName>
    <definedName name="Depreciation" localSheetId="4">Capex!#REF!</definedName>
    <definedName name="Depreciation" localSheetId="5">Capex!#REF!</definedName>
    <definedName name="Depreciation" localSheetId="6">Capex!#REF!</definedName>
    <definedName name="Depreciation" localSheetId="2">Capex!#REF!</definedName>
    <definedName name="Depreciation">Capex!#REF!</definedName>
    <definedName name="EquityVal">[2]DCF!$E$20</definedName>
    <definedName name="GrantRec" localSheetId="33">EquityFinancing!$K$22:$BS$22</definedName>
    <definedName name="GrantRec" localSheetId="25">#REF!</definedName>
    <definedName name="GrantRec">#REF!</definedName>
    <definedName name="Header1" localSheetId="30" hidden="1">IF(COUNTA(Capex!$A$9:$A1048576)=0,0,INDEX(Capex!$A$9:$A1048576,MATCH(ROW(Capex!$A1048576),Capex!$A$9:$A1048576,TRUE)))+1</definedName>
    <definedName name="Header1" localSheetId="29" hidden="1">IF(COUNTA(CentralCosts!$A$9:$A1048576)=0,0,INDEX(CentralCosts!$A$9:$A1048576,MATCH(ROW(CentralCosts!$A1048576),CentralCosts!$A$9:$A1048576,TRUE)))+1</definedName>
    <definedName name="Header1" localSheetId="38" hidden="1">IF(COUNTA(Check!$A$9:$A1048576)=0,0,INDEX(Check!$A$9:$A1048576,MATCH(ROW(Check!$A1048576),Check!$A$9:$A1048576,TRUE)))+1</definedName>
    <definedName name="Header1" localSheetId="34" hidden="1">IF(COUNTA(DebtFinancing!$A$9:$A1048576)=0,0,INDEX(DebtFinancing!$A$9:$A1048576,MATCH(ROW(DebtFinancing!$A1048576),DebtFinancing!$A$9:$A1048576,TRUE)))+1</definedName>
    <definedName name="Header1" localSheetId="37" hidden="1">IF(COUNTA(Dividends!$A$9:$A1048576)=0,0,INDEX(Dividends!$A$9:$A1048576,MATCH(ROW(Dividends!$A1048576),Dividends!$A$9:$A1048576,TRUE)))+1</definedName>
    <definedName name="Header1" localSheetId="33" hidden="1">IF(COUNTA(EquityFinancing!$A$9:$A1048576)=0,0,INDEX(EquityFinancing!$A$9:$A1048576,MATCH(ROW(EquityFinancing!$A1048576),EquityFinancing!$A$9:$A1048576,TRUE)))+1</definedName>
    <definedName name="Header1" localSheetId="31" hidden="1">IF(COUNTA(GrantIncome!$A$9:$A1048576)=0,0,INDEX(GrantIncome!$A$9:$A1048576,MATCH(ROW(GrantIncome!$A1048576),GrantIncome!$A$9:$A1048576,TRUE)))+1</definedName>
    <definedName name="Header1" localSheetId="8" hidden="1">IF(COUNTA(KeyInputs!$A$9:$A1048576)=0,0,INDEX(KeyInputs!$A$9:$A1048576,MATCH(ROW(KeyInputs!$A1048576),KeyInputs!$A$9:$A1048576,TRUE)))+1</definedName>
    <definedName name="Header1" localSheetId="25" hidden="1">IF(COUNTA('Other income'!$A$9:$A1048576)=0,0,INDEX('Other income'!$A$9:$A1048576,MATCH(ROW('Other income'!$A1048576),'Other income'!$A$9:$A1048576,TRUE)))+1</definedName>
    <definedName name="Header1" localSheetId="4" hidden="1">IF(COUNTA('Outputs - BalanceSheet'!$A$9:$A1048576)=0,0,INDEX('Outputs - BalanceSheet'!$A$9:$A1048576,MATCH(ROW('Outputs - BalanceSheet'!$A1048576),'Outputs - BalanceSheet'!$A$9:$A1048576,TRUE)))+1</definedName>
    <definedName name="Header1" localSheetId="5" hidden="1">IF(COUNTA('Outputs - Cashflow'!$A$9:$A1048576)=0,0,INDEX('Outputs - Cashflow'!$A$9:$A1048576,MATCH(ROW('Outputs - Cashflow'!$A1048576),'Outputs - Cashflow'!$A$9:$A1048576,TRUE)))+1</definedName>
    <definedName name="Header1" localSheetId="3" hidden="1">IF(COUNTA('Outputs - P&amp;L'!$A$9:$A1048576)=0,0,INDEX('Outputs - P&amp;L'!$A$9:$A1048576,MATCH(ROW('Outputs - P&amp;L'!$A1048576),'Outputs - P&amp;L'!$A$9:$A1048576,TRUE)))+1</definedName>
    <definedName name="Header1" localSheetId="6" hidden="1">IF(COUNTA('Outputs - Sensitivities'!$A$9:$A1048576)=0,0,INDEX('Outputs - Sensitivities'!$A$9:$A1048576,MATCH(ROW('Outputs - Sensitivities'!$A1048576),'Outputs - Sensitivities'!$A$9:$A1048576,TRUE)))+1</definedName>
    <definedName name="Header1" localSheetId="2" hidden="1">IF(COUNTA('Outputs - Summary'!$A$9:$A1048576)=0,0,INDEX('Outputs - Summary'!$A$9:$A1048576,MATCH(ROW('Outputs - Summary'!$A1048576),'Outputs - Summary'!$A$9:$A1048576,TRUE)))+1</definedName>
    <definedName name="Header1" localSheetId="15" hidden="1">IF(COUNTA(Revenue!$A$9:$A1048576)=0,0,INDEX(Revenue!$A$9:$A1048576,MATCH(ROW(Revenue!$A1048576),Revenue!$A$9:$A1048576,TRUE)))+1</definedName>
    <definedName name="Header1" localSheetId="28" hidden="1">IF(COUNTA(StaffCosts!$A$9:$A1048576)=0,0,INDEX(StaffCosts!$A$9:$A1048576,MATCH(ROW(StaffCosts!$A1048576),StaffCosts!$A$9:$A1048576,TRUE)))+1</definedName>
    <definedName name="Header1" localSheetId="36" hidden="1">IF(COUNTA(TAX!$A$9:$A1048576)=0,0,INDEX(TAX!$A$9:$A1048576,MATCH(ROW(TAX!$A1048576),TAX!$A$9:$A1048576,TRUE)))+1</definedName>
    <definedName name="Header1" localSheetId="26" hidden="1">IF(COUNTA(VariableCosts!$A$9:$A1048576)=0,0,INDEX(VariableCosts!$A$9:$A1048576,MATCH(ROW(VariableCosts!$A1048576),VariableCosts!$A$9:$A1048576,TRUE)))+1</definedName>
    <definedName name="Header1" localSheetId="27" hidden="1">IF(COUNTA(WorkingCapital!$A$9:$A1048576)=0,0,INDEX(WorkingCapital!$A$9:$A1048576,MATCH(ROW(WorkingCapital!$A1048576),WorkingCapital!$A$9:$A1048576,TRUE)))+1</definedName>
    <definedName name="Header1" hidden="1">IF(COUNTA(#REF!)=0,0,INDEX(#REF!,MATCH(ROW(#REF!),#REF!,TRUE)))+1</definedName>
    <definedName name="Header2" localSheetId="30" hidden="1">Capex!Header1-1 &amp; "." &amp; MAX(1,COUNTA(INDEX(Capex!$B$9:$B1048576,MATCH(Capex!Header1-1,Capex!$A$9:$A1048576,FALSE)):'Capex'!$B1048576))</definedName>
    <definedName name="Header2" localSheetId="29" hidden="1">CentralCosts!Header1-1 &amp; "." &amp; MAX(1,COUNTA(INDEX(CentralCosts!$B$9:$B1048576,MATCH(CentralCosts!Header1-1,CentralCosts!$A$9:$A1048576,FALSE)):'CentralCosts'!$B1048576))</definedName>
    <definedName name="Header2" localSheetId="38" hidden="1">Check!Header1-1 &amp; "." &amp; MAX(1,COUNTA(INDEX(Check!$B$9:$B1048576,MATCH(Check!Header1-1,Check!$A$9:$A1048576,FALSE)):'Check'!$B1048576))</definedName>
    <definedName name="Header2" localSheetId="34" hidden="1">DebtFinancing!Header1-1 &amp; "." &amp; MAX(1,COUNTA(INDEX(DebtFinancing!$B$9:$B1048576,MATCH(DebtFinancing!Header1-1,DebtFinancing!$A$9:$A1048576,FALSE)):'DebtFinancing'!$B1048576))</definedName>
    <definedName name="Header2" localSheetId="37" hidden="1">Dividends!Header1-1 &amp; "." &amp; MAX(1,COUNTA(INDEX(Dividends!$B$9:$B1048576,MATCH(Dividends!Header1-1,Dividends!$A$9:$A1048576,FALSE)):'Dividends'!$B1048576))</definedName>
    <definedName name="Header2" localSheetId="33" hidden="1">EquityFinancing!Header1-1 &amp; "." &amp; MAX(1,COUNTA(INDEX(EquityFinancing!$B$9:$B1048576,MATCH(EquityFinancing!Header1-1,EquityFinancing!$A$9:$A1048576,FALSE)):'EquityFinancing'!$B1048576))</definedName>
    <definedName name="Header2" localSheetId="31" hidden="1">GrantIncome!Header1-1 &amp; "." &amp; MAX(1,COUNTA(INDEX(GrantIncome!$B$9:$B1048576,MATCH(GrantIncome!Header1-1,GrantIncome!$A$9:$A1048576,FALSE)):'GrantIncome'!$B1048576))</definedName>
    <definedName name="Header2" localSheetId="8" hidden="1">KeyInputs!Header1-1 &amp; "." &amp; MAX(1,COUNTA(INDEX(KeyInputs!$B$9:$B1048576,MATCH(KeyInputs!Header1-1,KeyInputs!$A$9:$A1048576,FALSE)):'KeyInputs'!$B1048576))</definedName>
    <definedName name="Header2" localSheetId="25" hidden="1">'Other income'!Header1-1 &amp; "." &amp; MAX(1,COUNTA(INDEX('Other income'!$B$9:$B1048576,MATCH('Other income'!Header1-1,'Other income'!$A$9:$A1048576,FALSE)):'Other income'!$B1048576))</definedName>
    <definedName name="Header2" localSheetId="4" hidden="1">'Outputs - BalanceSheet'!Header1-1 &amp; "." &amp; MAX(1,COUNTA(INDEX('Outputs - BalanceSheet'!$B$9:$B1048576,MATCH('Outputs - BalanceSheet'!Header1-1,'Outputs - BalanceSheet'!$A$9:$A1048576,FALSE)):'Outputs - BalanceSheet'!$B1048576))</definedName>
    <definedName name="Header2" localSheetId="5" hidden="1">'Outputs - Cashflow'!Header1-1 &amp; "." &amp; MAX(1,COUNTA(INDEX('Outputs - Cashflow'!$B$9:$B1048576,MATCH('Outputs - Cashflow'!Header1-1,'Outputs - Cashflow'!$A$9:$A1048576,FALSE)):'Outputs - Cashflow'!$B1048576))</definedName>
    <definedName name="Header2" localSheetId="3" hidden="1">'Outputs - P&amp;L'!Header1-1 &amp; "." &amp; MAX(1,COUNTA(INDEX('Outputs - P&amp;L'!$B$9:$B1048576,MATCH('Outputs - P&amp;L'!Header1-1,'Outputs - P&amp;L'!$A$9:$A1048576,FALSE)):'Outputs - P&amp;L'!$B1048576))</definedName>
    <definedName name="Header2" localSheetId="6" hidden="1">'Outputs - Sensitivities'!Header1-1 &amp; "." &amp; MAX(1,COUNTA(INDEX('Outputs - Sensitivities'!$B$9:$B1048576,MATCH('Outputs - Sensitivities'!Header1-1,'Outputs - Sensitivities'!$A$9:$A1048576,FALSE)):'Outputs - Sensitivities'!$B1048576))</definedName>
    <definedName name="Header2" localSheetId="2" hidden="1">'Outputs - Summary'!Header1-1 &amp; "." &amp; MAX(1,COUNTA(INDEX('Outputs - Summary'!$B$9:$B1048576,MATCH('Outputs - Summary'!Header1-1,'Outputs - Summary'!$A$9:$A1048576,FALSE)):'Outputs - Summary'!$B1048576))</definedName>
    <definedName name="Header2" localSheetId="15" hidden="1">Revenue!Header1-1 &amp; "." &amp; MAX(1,COUNTA(INDEX(Revenue!$B$9:$B1048576,MATCH(Revenue!Header1-1,Revenue!$A$9:$A1048576,FALSE)):'Revenue'!$B1048576))</definedName>
    <definedName name="Header2" localSheetId="28" hidden="1">StaffCosts!Header1-1 &amp; "." &amp; MAX(1,COUNTA(INDEX(StaffCosts!$B$9:$B1048576,MATCH(StaffCosts!Header1-1,StaffCosts!$A$9:$A1048576,FALSE)):'StaffCosts'!$B1048576))</definedName>
    <definedName name="Header2" localSheetId="36" hidden="1">TAX!Header1-1 &amp; "." &amp; MAX(1,COUNTA(INDEX(TAX!$B$9:$B1048576,MATCH(TAX!Header1-1,TAX!$A$9:$A1048576,FALSE)):'TAX'!$B1048576))</definedName>
    <definedName name="Header2" localSheetId="26" hidden="1">VariableCosts!Header1-1 &amp; "." &amp; MAX(1,COUNTA(INDEX(VariableCosts!$B$9:$B1048576,MATCH(VariableCosts!Header1-1,VariableCosts!$A$9:$A1048576,FALSE)):'VariableCosts'!$B1048576))</definedName>
    <definedName name="Header2" localSheetId="27" hidden="1">WorkingCapital!Header1-1 &amp; "." &amp; MAX(1,COUNTA(INDEX(WorkingCapital!$B$9:$B1048576,MATCH(WorkingCapital!Header1-1,WorkingCapital!$A$9:$A1048576,FALSE)):'WorkingCapital'!$B1048576))</definedName>
    <definedName name="Header2" hidden="1">[0]!Header1-1 &amp; "." &amp; MAX(1,COUNTA(INDEX(#REF!,MATCH([0]!Header1-1,#REF!,FALSE)):#REF!))</definedName>
    <definedName name="Header3" localSheetId="30" hidden="1">INDEX(Capex!$B$9:$B1048576,MATCH(Capex!Header3Find,Capex!$B$9:$B1048576,FALSE))&amp; "." &amp; MAX(1,COUNTA(INDEX(Capex!$C$9:$C1048576,MATCH(Capex!Header3Find,Capex!$B$9:$B1048576,FALSE)):'Capex'!$C1048576))</definedName>
    <definedName name="Header3" localSheetId="29" hidden="1">INDEX(CentralCosts!$B$9:$B1048576,MATCH(CentralCosts!Header3Find,CentralCosts!$B$9:$B1048576,FALSE))&amp; "." &amp; MAX(1,COUNTA(INDEX(CentralCosts!$C$9:$C1048576,MATCH(CentralCosts!Header3Find,CentralCosts!$B$9:$B1048576,FALSE)):'CentralCosts'!$C1048576))</definedName>
    <definedName name="Header3" localSheetId="38" hidden="1">INDEX(Check!$B$9:$B1048576,MATCH(Check!Header3Find,Check!$B$9:$B1048576,FALSE))&amp; "." &amp; MAX(1,COUNTA(INDEX(Check!$C$9:$C1048576,MATCH(Check!Header3Find,Check!$B$9:$B1048576,FALSE)):'Check'!$C1048576))</definedName>
    <definedName name="Header3" localSheetId="34" hidden="1">INDEX(DebtFinancing!$B$9:$B1048576,MATCH(DebtFinancing!Header3Find,DebtFinancing!$B$9:$B1048576,FALSE))&amp; "." &amp; MAX(1,COUNTA(INDEX(DebtFinancing!$C$9:$C1048576,MATCH(DebtFinancing!Header3Find,DebtFinancing!$B$9:$B1048576,FALSE)):'DebtFinancing'!$C1048576))</definedName>
    <definedName name="Header3" localSheetId="37" hidden="1">INDEX(Dividends!$B$9:$B1048576,MATCH(Dividends!Header3Find,Dividends!$B$9:$B1048576,FALSE))&amp; "." &amp; MAX(1,COUNTA(INDEX(Dividends!$C$9:$C1048576,MATCH(Dividends!Header3Find,Dividends!$B$9:$B1048576,FALSE)):'Dividends'!$C1048576))</definedName>
    <definedName name="Header3" localSheetId="33" hidden="1">INDEX(EquityFinancing!$B$9:$B1048576,MATCH(EquityFinancing!Header3Find,EquityFinancing!$B$9:$B1048576,FALSE))&amp; "." &amp; MAX(1,COUNTA(INDEX(EquityFinancing!$C$9:$C1048576,MATCH(EquityFinancing!Header3Find,EquityFinancing!$B$9:$B1048576,FALSE)):'EquityFinancing'!$C1048576))</definedName>
    <definedName name="Header3" localSheetId="31" hidden="1">INDEX(GrantIncome!$B$9:$B1048576,MATCH(GrantIncome!Header3Find,GrantIncome!$B$9:$B1048576,FALSE))&amp; "." &amp; MAX(1,COUNTA(INDEX(GrantIncome!$C$9:$C1048576,MATCH(GrantIncome!Header3Find,GrantIncome!$B$9:$B1048576,FALSE)):'GrantIncome'!$C1048576))</definedName>
    <definedName name="Header3" localSheetId="8" hidden="1">INDEX(KeyInputs!$B$9:$B1048576,MATCH(KeyInputs!Header3Find,KeyInputs!$B$9:$B1048576,FALSE))&amp; "." &amp; MAX(1,COUNTA(INDEX(KeyInputs!$C$9:$C1048576,MATCH(KeyInputs!Header3Find,KeyInputs!$B$9:$B1048576,FALSE)):'KeyInputs'!$C1048576))</definedName>
    <definedName name="Header3" localSheetId="25" hidden="1">INDEX('Other income'!$B$9:$B1048576,MATCH('Other income'!Header3Find,'Other income'!$B$9:$B1048576,FALSE))&amp; "." &amp; MAX(1,COUNTA(INDEX('Other income'!$C$9:$C1048576,MATCH('Other income'!Header3Find,'Other income'!$B$9:$B1048576,FALSE)):'Other income'!$C1048576))</definedName>
    <definedName name="Header3" localSheetId="4" hidden="1">INDEX('Outputs - BalanceSheet'!$B$9:$B1048576,MATCH('Outputs - BalanceSheet'!Header3Find,'Outputs - BalanceSheet'!$B$9:$B1048576,FALSE))&amp; "." &amp; MAX(1,COUNTA(INDEX('Outputs - BalanceSheet'!$C$9:$C1048576,MATCH('Outputs - BalanceSheet'!Header3Find,'Outputs - BalanceSheet'!$B$9:$B1048576,FALSE)):'Outputs - BalanceSheet'!$C1048576))</definedName>
    <definedName name="Header3" localSheetId="5" hidden="1">INDEX('Outputs - Cashflow'!$B$9:$B1048576,MATCH('Outputs - Cashflow'!Header3Find,'Outputs - Cashflow'!$B$9:$B1048576,FALSE))&amp; "." &amp; MAX(1,COUNTA(INDEX('Outputs - Cashflow'!$C$9:$C1048576,MATCH('Outputs - Cashflow'!Header3Find,'Outputs - Cashflow'!$B$9:$B1048576,FALSE)):'Outputs - Cashflow'!$C1048576))</definedName>
    <definedName name="Header3" localSheetId="3" hidden="1">INDEX('Outputs - P&amp;L'!$B$9:$B1048576,MATCH('Outputs - P&amp;L'!Header3Find,'Outputs - P&amp;L'!$B$9:$B1048576,FALSE))&amp; "." &amp; MAX(1,COUNTA(INDEX('Outputs - P&amp;L'!$C$9:$C1048576,MATCH('Outputs - P&amp;L'!Header3Find,'Outputs - P&amp;L'!$B$9:$B1048576,FALSE)):'Outputs - P&amp;L'!$C1048576))</definedName>
    <definedName name="Header3" localSheetId="6" hidden="1">INDEX('Outputs - Sensitivities'!$B$9:$B1048576,MATCH('Outputs - Sensitivities'!Header3Find,'Outputs - Sensitivities'!$B$9:$B1048576,FALSE))&amp; "." &amp; MAX(1,COUNTA(INDEX('Outputs - Sensitivities'!$C$9:$C1048576,MATCH('Outputs - Sensitivities'!Header3Find,'Outputs - Sensitivities'!$B$9:$B1048576,FALSE)):'Outputs - Sensitivities'!$C1048576))</definedName>
    <definedName name="Header3" localSheetId="2" hidden="1">INDEX('Outputs - Summary'!$B$9:$B1048576,MATCH('Outputs - Summary'!Header3Find,'Outputs - Summary'!$B$9:$B1048576,FALSE))&amp; "." &amp; MAX(1,COUNTA(INDEX('Outputs - Summary'!$C$9:$C1048576,MATCH('Outputs - Summary'!Header3Find,'Outputs - Summary'!$B$9:$B1048576,FALSE)):'Outputs - Summary'!$C1048576))</definedName>
    <definedName name="Header3" localSheetId="15" hidden="1">INDEX(Revenue!$B$9:$B1048576,MATCH(Revenue!Header3Find,Revenue!$B$9:$B1048576,FALSE))&amp; "." &amp; MAX(1,COUNTA(INDEX(Revenue!$C$9:$C1048576,MATCH(Revenue!Header3Find,Revenue!$B$9:$B1048576,FALSE)):'Revenue'!$C1048576))</definedName>
    <definedName name="Header3" localSheetId="28" hidden="1">INDEX(StaffCosts!$B$9:$B1048576,MATCH(StaffCosts!Header3Find,StaffCosts!$B$9:$B1048576,FALSE))&amp; "." &amp; MAX(1,COUNTA(INDEX(StaffCosts!$C$9:$C1048576,MATCH(StaffCosts!Header3Find,StaffCosts!$B$9:$B1048576,FALSE)):'StaffCosts'!$C1048576))</definedName>
    <definedName name="Header3" localSheetId="36" hidden="1">INDEX(TAX!$B$9:$B1048576,MATCH(TAX!Header3Find,TAX!$B$9:$B1048576,FALSE))&amp; "." &amp; MAX(1,COUNTA(INDEX(TAX!$C$9:$C1048576,MATCH(TAX!Header3Find,TAX!$B$9:$B1048576,FALSE)):'TAX'!$C1048576))</definedName>
    <definedName name="Header3" localSheetId="26" hidden="1">INDEX(VariableCosts!$B$9:$B1048576,MATCH(VariableCosts!Header3Find,VariableCosts!$B$9:$B1048576,FALSE))&amp; "." &amp; MAX(1,COUNTA(INDEX(VariableCosts!$C$9:$C1048576,MATCH(VariableCosts!Header3Find,VariableCosts!$B$9:$B1048576,FALSE)):'VariableCosts'!$C1048576))</definedName>
    <definedName name="Header3" localSheetId="27" hidden="1">INDEX(WorkingCapital!$B$9:$B1048576,MATCH(WorkingCapital!Header3Find,WorkingCapital!$B$9:$B1048576,FALSE))&amp; "." &amp; MAX(1,COUNTA(INDEX(WorkingCapital!$C$9:$C1048576,MATCH(WorkingCapital!Header3Find,WorkingCapital!$B$9:$B1048576,FALSE)):'WorkingCapital'!$C1048576))</definedName>
    <definedName name="Header3Find" localSheetId="30" hidden="1">MID(Capex!Header2,1,FIND(".",Capex!Header2,1))&amp;MID(Capex!Header2,FIND(".",Capex!Header2,1)+1,LEN(Capex!Header2))-1</definedName>
    <definedName name="Header3Find" localSheetId="29" hidden="1">MID(CentralCosts!Header2,1,FIND(".",CentralCosts!Header2,1))&amp;MID(CentralCosts!Header2,FIND(".",CentralCosts!Header2,1)+1,LEN(CentralCosts!Header2))-1</definedName>
    <definedName name="Header3Find" localSheetId="38" hidden="1">MID(Check!Header2,1,FIND(".",Check!Header2,1))&amp;MID(Check!Header2,FIND(".",Check!Header2,1)+1,LEN(Check!Header2))-1</definedName>
    <definedName name="Header3Find" localSheetId="34" hidden="1">MID(DebtFinancing!Header2,1,FIND(".",DebtFinancing!Header2,1))&amp;MID(DebtFinancing!Header2,FIND(".",DebtFinancing!Header2,1)+1,LEN(DebtFinancing!Header2))-1</definedName>
    <definedName name="Header3Find" localSheetId="37" hidden="1">MID(Dividends!Header2,1,FIND(".",Dividends!Header2,1))&amp;MID(Dividends!Header2,FIND(".",Dividends!Header2,1)+1,LEN(Dividends!Header2))-1</definedName>
    <definedName name="Header3Find" localSheetId="33" hidden="1">MID(EquityFinancing!Header2,1,FIND(".",EquityFinancing!Header2,1))&amp;MID(EquityFinancing!Header2,FIND(".",EquityFinancing!Header2,1)+1,LEN(EquityFinancing!Header2))-1</definedName>
    <definedName name="Header3Find" localSheetId="31" hidden="1">MID(GrantIncome!Header2,1,FIND(".",GrantIncome!Header2,1))&amp;MID(GrantIncome!Header2,FIND(".",GrantIncome!Header2,1)+1,LEN(GrantIncome!Header2))-1</definedName>
    <definedName name="Header3Find" localSheetId="8" hidden="1">MID(KeyInputs!Header2,1,FIND(".",KeyInputs!Header2,1))&amp;MID(KeyInputs!Header2,FIND(".",KeyInputs!Header2,1)+1,LEN(KeyInputs!Header2))-1</definedName>
    <definedName name="Header3Find" localSheetId="25" hidden="1">MID('Other income'!Header2,1,FIND(".",'Other income'!Header2,1))&amp;MID('Other income'!Header2,FIND(".",'Other income'!Header2,1)+1,LEN('Other income'!Header2))-1</definedName>
    <definedName name="Header3Find" localSheetId="4" hidden="1">MID('Outputs - BalanceSheet'!Header2,1,FIND(".",'Outputs - BalanceSheet'!Header2,1))&amp;MID('Outputs - BalanceSheet'!Header2,FIND(".",'Outputs - BalanceSheet'!Header2,1)+1,LEN('Outputs - BalanceSheet'!Header2))-1</definedName>
    <definedName name="Header3Find" localSheetId="5" hidden="1">MID('Outputs - Cashflow'!Header2,1,FIND(".",'Outputs - Cashflow'!Header2,1))&amp;MID('Outputs - Cashflow'!Header2,FIND(".",'Outputs - Cashflow'!Header2,1)+1,LEN('Outputs - Cashflow'!Header2))-1</definedName>
    <definedName name="Header3Find" localSheetId="3" hidden="1">MID('Outputs - P&amp;L'!Header2,1,FIND(".",'Outputs - P&amp;L'!Header2,1))&amp;MID('Outputs - P&amp;L'!Header2,FIND(".",'Outputs - P&amp;L'!Header2,1)+1,LEN('Outputs - P&amp;L'!Header2))-1</definedName>
    <definedName name="Header3Find" localSheetId="6" hidden="1">MID('Outputs - Sensitivities'!Header2,1,FIND(".",'Outputs - Sensitivities'!Header2,1))&amp;MID('Outputs - Sensitivities'!Header2,FIND(".",'Outputs - Sensitivities'!Header2,1)+1,LEN('Outputs - Sensitivities'!Header2))-1</definedName>
    <definedName name="Header3Find" localSheetId="2" hidden="1">MID('Outputs - Summary'!Header2,1,FIND(".",'Outputs - Summary'!Header2,1))&amp;MID('Outputs - Summary'!Header2,FIND(".",'Outputs - Summary'!Header2,1)+1,LEN('Outputs - Summary'!Header2))-1</definedName>
    <definedName name="Header3Find" localSheetId="15" hidden="1">MID(Revenue!Header2,1,FIND(".",Revenue!Header2,1))&amp;MID(Revenue!Header2,FIND(".",Revenue!Header2,1)+1,LEN(Revenue!Header2))-1</definedName>
    <definedName name="Header3Find" localSheetId="28" hidden="1">MID(StaffCosts!Header2,1,FIND(".",StaffCosts!Header2,1))&amp;MID(StaffCosts!Header2,FIND(".",StaffCosts!Header2,1)+1,LEN(StaffCosts!Header2))-1</definedName>
    <definedName name="Header3Find" localSheetId="36" hidden="1">MID(TAX!Header2,1,FIND(".",TAX!Header2,1))&amp;MID(TAX!Header2,FIND(".",TAX!Header2,1)+1,LEN(TAX!Header2))-1</definedName>
    <definedName name="Header3Find" localSheetId="26" hidden="1">MID(VariableCosts!Header2,1,FIND(".",VariableCosts!Header2,1))&amp;MID(VariableCosts!Header2,FIND(".",VariableCosts!Header2,1)+1,LEN(VariableCosts!Header2))-1</definedName>
    <definedName name="Header3Find" localSheetId="27" hidden="1">MID(WorkingCapital!Header2,1,FIND(".",WorkingCapital!Header2,1))&amp;MID(WorkingCapital!Header2,FIND(".",WorkingCapital!Header2,1)+1,LEN(WorkingCapital!Header2))-1</definedName>
    <definedName name="IntRate">[1]Input!$E$35</definedName>
    <definedName name="Months1">Worksheet!$A$1:$A$12</definedName>
    <definedName name="_xlnm.Print_Area" localSheetId="4">'Outputs - BalanceSheet'!$A$3:$AT$9</definedName>
    <definedName name="_xlnm.Print_Area" localSheetId="5">'Outputs - Cashflow'!$A$3:$AT$27</definedName>
    <definedName name="_xlnm.Print_Area" localSheetId="3">'Outputs - P&amp;L'!$A$3:$AT$49</definedName>
    <definedName name="_xlnm.Print_Area" localSheetId="6">'Outputs - Sensitivities'!$A$3:$M$58</definedName>
    <definedName name="_xlnm.Print_Area" localSheetId="2">'Outputs - Summary'!$A$3:$M$59</definedName>
    <definedName name="RevBusLine1">Revenue!$K$16:$BS$16</definedName>
    <definedName name="RevBusLine2">Revenue!$K$22:$BS$22</definedName>
    <definedName name="RevBusLine3">Revenue!$K$28:$BS$28</definedName>
    <definedName name="StaffCosts">StaffCosts!$K$116:$BS$116</definedName>
    <definedName name="Stock" localSheetId="37">#REF!</definedName>
    <definedName name="Stock" localSheetId="33">#REF!</definedName>
    <definedName name="Stock" localSheetId="31">#REF!</definedName>
    <definedName name="Stock" localSheetId="25">#REF!</definedName>
    <definedName name="Stock" localSheetId="4">#REF!</definedName>
    <definedName name="Stock" localSheetId="5">#REF!</definedName>
    <definedName name="Stock" localSheetId="6">#REF!</definedName>
    <definedName name="Stock" localSheetId="2">#REF!</definedName>
    <definedName name="Stock">#REF!</definedName>
    <definedName name="TaxPaid" localSheetId="37">#REF!</definedName>
    <definedName name="TaxPaid" localSheetId="33">#REF!</definedName>
    <definedName name="TaxPaid" localSheetId="31">#REF!</definedName>
    <definedName name="TaxPaid" localSheetId="25">#REF!</definedName>
    <definedName name="TaxPaid" localSheetId="4">#REF!</definedName>
    <definedName name="TaxPaid" localSheetId="5">#REF!</definedName>
    <definedName name="TaxPaid" localSheetId="6">#REF!</definedName>
    <definedName name="TaxPaid" localSheetId="2">#REF!</definedName>
    <definedName name="TaxPaid">#REF!</definedName>
    <definedName name="TaxRate">[2]Input!$E$42</definedName>
    <definedName name="Tolerance">KeyInputs!$F$40</definedName>
    <definedName name="unit">KeyInputs!$F$38</definedName>
    <definedName name="VAT" localSheetId="37">#REF!</definedName>
    <definedName name="VAT" localSheetId="33">#REF!</definedName>
    <definedName name="VAT" localSheetId="31">#REF!</definedName>
    <definedName name="VAT" localSheetId="25">#REF!</definedName>
    <definedName name="VAT" localSheetId="4">#REF!</definedName>
    <definedName name="VAT" localSheetId="5">#REF!</definedName>
    <definedName name="VAT" localSheetId="6">#REF!</definedName>
    <definedName name="VAT" localSheetId="2">#REF!</definedName>
    <definedName name="VAT">#REF!</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39" i="56" l="1"/>
  <c r="E38" i="56"/>
  <c r="M39" i="48"/>
  <c r="E38" i="49"/>
  <c r="E21" i="49" l="1"/>
  <c r="K32" i="7"/>
  <c r="K38" i="5"/>
  <c r="K13" i="5" s="1"/>
  <c r="K43" i="5"/>
  <c r="K14" i="5" s="1"/>
  <c r="K48" i="5"/>
  <c r="K15" i="5" s="1"/>
  <c r="K59" i="5"/>
  <c r="K19" i="5"/>
  <c r="K64" i="5"/>
  <c r="K20" i="5" s="1"/>
  <c r="K69" i="5"/>
  <c r="K21" i="5" s="1"/>
  <c r="K80" i="5"/>
  <c r="K24" i="5" s="1"/>
  <c r="K85" i="5"/>
  <c r="K25" i="5" s="1"/>
  <c r="K90" i="5"/>
  <c r="K26" i="5"/>
  <c r="D84" i="44"/>
  <c r="D99" i="44"/>
  <c r="K6" i="44"/>
  <c r="D100" i="44"/>
  <c r="K102" i="44"/>
  <c r="K107" i="44" s="1"/>
  <c r="D108" i="44"/>
  <c r="K104" i="44"/>
  <c r="K13" i="1"/>
  <c r="K14" i="1"/>
  <c r="K15" i="1"/>
  <c r="D12" i="44"/>
  <c r="K19" i="1"/>
  <c r="K20" i="1"/>
  <c r="K22" i="1" s="1"/>
  <c r="K30" i="44" s="1"/>
  <c r="K21" i="1"/>
  <c r="K25" i="1"/>
  <c r="K28" i="1" s="1"/>
  <c r="K41" i="44" s="1"/>
  <c r="K26" i="1"/>
  <c r="K27" i="1"/>
  <c r="L32" i="7"/>
  <c r="L38" i="5"/>
  <c r="L13" i="5" s="1"/>
  <c r="L43" i="5"/>
  <c r="L14" i="5"/>
  <c r="L48" i="5"/>
  <c r="L15" i="5"/>
  <c r="L59" i="5"/>
  <c r="L19" i="5"/>
  <c r="L64" i="5"/>
  <c r="L20" i="5" s="1"/>
  <c r="L22" i="5" s="1"/>
  <c r="L69" i="5"/>
  <c r="L21" i="5" s="1"/>
  <c r="L80" i="5"/>
  <c r="L24" i="5"/>
  <c r="L85" i="5"/>
  <c r="L25" i="5" s="1"/>
  <c r="L27" i="5" s="1"/>
  <c r="L90" i="5"/>
  <c r="L26" i="5"/>
  <c r="L6" i="44"/>
  <c r="L102" i="44"/>
  <c r="L107" i="44" s="1"/>
  <c r="L13" i="1"/>
  <c r="L14" i="1"/>
  <c r="L16" i="1" s="1"/>
  <c r="L19" i="44" s="1"/>
  <c r="L15" i="1"/>
  <c r="L19" i="1"/>
  <c r="L22" i="1" s="1"/>
  <c r="L30" i="44" s="1"/>
  <c r="L20" i="1"/>
  <c r="L21" i="1"/>
  <c r="L25" i="1"/>
  <c r="L28" i="1" s="1"/>
  <c r="L41" i="44" s="1"/>
  <c r="L26" i="1"/>
  <c r="L27" i="1"/>
  <c r="M32" i="7"/>
  <c r="M38" i="5"/>
  <c r="M13" i="5" s="1"/>
  <c r="M43" i="5"/>
  <c r="M14" i="5"/>
  <c r="M48" i="5"/>
  <c r="M15" i="5" s="1"/>
  <c r="M16" i="5"/>
  <c r="M59" i="5"/>
  <c r="M19" i="5"/>
  <c r="M64" i="5"/>
  <c r="M20" i="5"/>
  <c r="M69" i="5"/>
  <c r="M21" i="5" s="1"/>
  <c r="M80" i="5"/>
  <c r="M24" i="5" s="1"/>
  <c r="M85" i="5"/>
  <c r="M25" i="5" s="1"/>
  <c r="M90" i="5"/>
  <c r="M26" i="5"/>
  <c r="M6" i="44"/>
  <c r="M102" i="44"/>
  <c r="M13" i="1"/>
  <c r="M16" i="1" s="1"/>
  <c r="M19" i="44" s="1"/>
  <c r="M14" i="1"/>
  <c r="M15" i="1"/>
  <c r="M19" i="1"/>
  <c r="M22" i="1" s="1"/>
  <c r="M30" i="44" s="1"/>
  <c r="M105" i="44" s="1"/>
  <c r="M20" i="1"/>
  <c r="M21" i="1"/>
  <c r="M25" i="1"/>
  <c r="M26" i="1"/>
  <c r="M27" i="1"/>
  <c r="M28" i="1"/>
  <c r="M41" i="44" s="1"/>
  <c r="N32" i="7"/>
  <c r="N38" i="5"/>
  <c r="N13" i="5"/>
  <c r="N43" i="5"/>
  <c r="N14" i="5"/>
  <c r="N48" i="5"/>
  <c r="N15" i="5"/>
  <c r="N59" i="5"/>
  <c r="N19" i="5" s="1"/>
  <c r="N64" i="5"/>
  <c r="N20" i="5" s="1"/>
  <c r="N69" i="5"/>
  <c r="N21" i="5" s="1"/>
  <c r="N80" i="5"/>
  <c r="N24" i="5" s="1"/>
  <c r="N85" i="5"/>
  <c r="N25" i="5"/>
  <c r="N90" i="5"/>
  <c r="N26" i="5"/>
  <c r="N6" i="44"/>
  <c r="N102" i="44" s="1"/>
  <c r="N107" i="44"/>
  <c r="N13" i="1"/>
  <c r="N16" i="1" s="1"/>
  <c r="N19" i="44" s="1"/>
  <c r="N105" i="44" s="1"/>
  <c r="N14" i="1"/>
  <c r="N15" i="1"/>
  <c r="N19" i="1"/>
  <c r="N20" i="1"/>
  <c r="N21" i="1"/>
  <c r="N22" i="1" s="1"/>
  <c r="N30" i="44"/>
  <c r="N25" i="1"/>
  <c r="N28" i="1" s="1"/>
  <c r="N41" i="44" s="1"/>
  <c r="N26" i="1"/>
  <c r="N27" i="1"/>
  <c r="O32" i="7"/>
  <c r="O38" i="5"/>
  <c r="O13" i="5"/>
  <c r="O43" i="5"/>
  <c r="O14" i="5" s="1"/>
  <c r="O48" i="5"/>
  <c r="O15" i="5" s="1"/>
  <c r="O59" i="5"/>
  <c r="O19" i="5"/>
  <c r="O64" i="5"/>
  <c r="O20" i="5" s="1"/>
  <c r="O69" i="5"/>
  <c r="O21" i="5"/>
  <c r="O80" i="5"/>
  <c r="O24" i="5" s="1"/>
  <c r="O27" i="5" s="1"/>
  <c r="O85" i="5"/>
  <c r="O25" i="5"/>
  <c r="O90" i="5"/>
  <c r="O26" i="5" s="1"/>
  <c r="O6" i="44"/>
  <c r="O102" i="44"/>
  <c r="O107" i="44" s="1"/>
  <c r="O13" i="1"/>
  <c r="O14" i="1"/>
  <c r="O15" i="1"/>
  <c r="O16" i="1" s="1"/>
  <c r="O19" i="44"/>
  <c r="O19" i="1"/>
  <c r="O20" i="1"/>
  <c r="O22" i="1" s="1"/>
  <c r="O30" i="44" s="1"/>
  <c r="O21" i="1"/>
  <c r="O25" i="1"/>
  <c r="O28" i="1" s="1"/>
  <c r="O41" i="44" s="1"/>
  <c r="O26" i="1"/>
  <c r="O27" i="1"/>
  <c r="P32" i="7"/>
  <c r="P38" i="5"/>
  <c r="P13" i="5"/>
  <c r="P43" i="5"/>
  <c r="P14" i="5"/>
  <c r="P48" i="5"/>
  <c r="P15" i="5" s="1"/>
  <c r="P59" i="5"/>
  <c r="P19" i="5" s="1"/>
  <c r="P22" i="5" s="1"/>
  <c r="P64" i="5"/>
  <c r="P20" i="5" s="1"/>
  <c r="P69" i="5"/>
  <c r="P21" i="5" s="1"/>
  <c r="P80" i="5"/>
  <c r="P24" i="5"/>
  <c r="P85" i="5"/>
  <c r="P25" i="5"/>
  <c r="P90" i="5"/>
  <c r="P26" i="5"/>
  <c r="P6" i="44"/>
  <c r="P102" i="44" s="1"/>
  <c r="P13" i="1"/>
  <c r="P16" i="1" s="1"/>
  <c r="P19" i="44" s="1"/>
  <c r="P14" i="1"/>
  <c r="P15" i="1"/>
  <c r="P19" i="1"/>
  <c r="P20" i="1"/>
  <c r="P22" i="1" s="1"/>
  <c r="P30" i="44" s="1"/>
  <c r="P21" i="1"/>
  <c r="P25" i="1"/>
  <c r="P28" i="1" s="1"/>
  <c r="P41" i="44" s="1"/>
  <c r="P26" i="1"/>
  <c r="P27" i="1"/>
  <c r="Q32" i="7"/>
  <c r="Q38" i="5"/>
  <c r="Q13" i="5" s="1"/>
  <c r="Q16" i="5" s="1"/>
  <c r="Q43" i="5"/>
  <c r="Q14" i="5" s="1"/>
  <c r="Q48" i="5"/>
  <c r="Q15" i="5" s="1"/>
  <c r="Q59" i="5"/>
  <c r="Q19" i="5" s="1"/>
  <c r="Q64" i="5"/>
  <c r="Q20" i="5"/>
  <c r="Q69" i="5"/>
  <c r="Q21" i="5"/>
  <c r="Q80" i="5"/>
  <c r="Q24" i="5" s="1"/>
  <c r="Q27" i="5" s="1"/>
  <c r="Q85" i="5"/>
  <c r="Q25" i="5" s="1"/>
  <c r="Q90" i="5"/>
  <c r="Q26" i="5" s="1"/>
  <c r="Q6" i="44"/>
  <c r="Q102" i="44" s="1"/>
  <c r="Q107" i="44" s="1"/>
  <c r="Q13" i="1"/>
  <c r="Q16" i="1" s="1"/>
  <c r="Q19" i="44" s="1"/>
  <c r="Q105" i="44" s="1"/>
  <c r="Q14" i="1"/>
  <c r="Q15" i="1"/>
  <c r="Q19" i="1"/>
  <c r="Q20" i="1"/>
  <c r="Q21" i="1"/>
  <c r="Q22" i="1"/>
  <c r="Q30" i="44" s="1"/>
  <c r="Q25" i="1"/>
  <c r="Q28" i="1" s="1"/>
  <c r="Q41" i="44" s="1"/>
  <c r="Q26" i="1"/>
  <c r="Q27" i="1"/>
  <c r="R32" i="7"/>
  <c r="R38" i="5"/>
  <c r="R13" i="5"/>
  <c r="R43" i="5"/>
  <c r="R14" i="5" s="1"/>
  <c r="R48" i="5"/>
  <c r="R15" i="5"/>
  <c r="R59" i="5"/>
  <c r="R19" i="5" s="1"/>
  <c r="R22" i="5" s="1"/>
  <c r="R64" i="5"/>
  <c r="R20" i="5" s="1"/>
  <c r="R69" i="5"/>
  <c r="R21" i="5" s="1"/>
  <c r="R80" i="5"/>
  <c r="R24" i="5"/>
  <c r="R27" i="5" s="1"/>
  <c r="R85" i="5"/>
  <c r="R25" i="5"/>
  <c r="R90" i="5"/>
  <c r="R26" i="5" s="1"/>
  <c r="R6" i="44"/>
  <c r="R102" i="44" s="1"/>
  <c r="R107" i="44" s="1"/>
  <c r="R13" i="1"/>
  <c r="R14" i="1"/>
  <c r="R15" i="1"/>
  <c r="R16" i="1"/>
  <c r="R19" i="44" s="1"/>
  <c r="R19" i="1"/>
  <c r="R20" i="1"/>
  <c r="R21" i="1"/>
  <c r="R25" i="1"/>
  <c r="R26" i="1"/>
  <c r="R27" i="1"/>
  <c r="R28" i="1"/>
  <c r="R41" i="44" s="1"/>
  <c r="S32" i="7"/>
  <c r="S38" i="5"/>
  <c r="S13" i="5" s="1"/>
  <c r="S43" i="5"/>
  <c r="S14" i="5" s="1"/>
  <c r="S48" i="5"/>
  <c r="S15" i="5" s="1"/>
  <c r="S59" i="5"/>
  <c r="S19" i="5"/>
  <c r="S64" i="5"/>
  <c r="S20" i="5"/>
  <c r="S69" i="5"/>
  <c r="S21" i="5"/>
  <c r="S80" i="5"/>
  <c r="S24" i="5"/>
  <c r="S85" i="5"/>
  <c r="S25" i="5" s="1"/>
  <c r="S90" i="5"/>
  <c r="S26" i="5" s="1"/>
  <c r="S27" i="5"/>
  <c r="S6" i="44"/>
  <c r="S102" i="44"/>
  <c r="S13" i="1"/>
  <c r="S14" i="1"/>
  <c r="S16" i="1" s="1"/>
  <c r="S19" i="44" s="1"/>
  <c r="S15" i="1"/>
  <c r="S19" i="1"/>
  <c r="S20" i="1"/>
  <c r="S21" i="1"/>
  <c r="S22" i="1" s="1"/>
  <c r="S30" i="44" s="1"/>
  <c r="S25" i="1"/>
  <c r="S26" i="1"/>
  <c r="S28" i="1" s="1"/>
  <c r="S41" i="44" s="1"/>
  <c r="S27" i="1"/>
  <c r="T32" i="7"/>
  <c r="T38" i="5"/>
  <c r="T13" i="5" s="1"/>
  <c r="T16" i="5" s="1"/>
  <c r="T43" i="5"/>
  <c r="T14" i="5"/>
  <c r="T48" i="5"/>
  <c r="T15" i="5"/>
  <c r="T59" i="5"/>
  <c r="T19" i="5" s="1"/>
  <c r="T64" i="5"/>
  <c r="T20" i="5"/>
  <c r="T69" i="5"/>
  <c r="T21" i="5" s="1"/>
  <c r="T22" i="5" s="1"/>
  <c r="T80" i="5"/>
  <c r="T24" i="5"/>
  <c r="T85" i="5"/>
  <c r="T25" i="5" s="1"/>
  <c r="T90" i="5"/>
  <c r="T26" i="5"/>
  <c r="T6" i="44"/>
  <c r="T102" i="44" s="1"/>
  <c r="T107" i="44" s="1"/>
  <c r="T13" i="1"/>
  <c r="T14" i="1"/>
  <c r="T16" i="1" s="1"/>
  <c r="T19" i="44" s="1"/>
  <c r="T105" i="44" s="1"/>
  <c r="T15" i="1"/>
  <c r="T19" i="1"/>
  <c r="T22" i="1" s="1"/>
  <c r="T20" i="1"/>
  <c r="T21" i="1"/>
  <c r="T30" i="44"/>
  <c r="T25" i="1"/>
  <c r="T26" i="1"/>
  <c r="T28" i="1" s="1"/>
  <c r="T41" i="44" s="1"/>
  <c r="T27" i="1"/>
  <c r="U32" i="7"/>
  <c r="U38" i="5"/>
  <c r="U13" i="5" s="1"/>
  <c r="U43" i="5"/>
  <c r="U14" i="5" s="1"/>
  <c r="U48" i="5"/>
  <c r="U15" i="5" s="1"/>
  <c r="U59" i="5"/>
  <c r="U19" i="5"/>
  <c r="U64" i="5"/>
  <c r="U20" i="5"/>
  <c r="U69" i="5"/>
  <c r="U21" i="5" s="1"/>
  <c r="U80" i="5"/>
  <c r="U24" i="5" s="1"/>
  <c r="U27" i="5" s="1"/>
  <c r="U85" i="5"/>
  <c r="U25" i="5" s="1"/>
  <c r="U90" i="5"/>
  <c r="U26" i="5" s="1"/>
  <c r="U6" i="44"/>
  <c r="U102" i="44"/>
  <c r="U107" i="44" s="1"/>
  <c r="U13" i="1"/>
  <c r="U16" i="1" s="1"/>
  <c r="U19" i="44" s="1"/>
  <c r="U14" i="1"/>
  <c r="U15" i="1"/>
  <c r="U19" i="1"/>
  <c r="U20" i="1"/>
  <c r="U22" i="1" s="1"/>
  <c r="U30" i="44" s="1"/>
  <c r="U21" i="1"/>
  <c r="U25" i="1"/>
  <c r="U26" i="1"/>
  <c r="U27" i="1"/>
  <c r="U28" i="1" s="1"/>
  <c r="U41" i="44" s="1"/>
  <c r="V32" i="7"/>
  <c r="V38" i="5"/>
  <c r="V13" i="5"/>
  <c r="V43" i="5"/>
  <c r="V14" i="5"/>
  <c r="V48" i="5"/>
  <c r="V15" i="5"/>
  <c r="V59" i="5"/>
  <c r="V19" i="5" s="1"/>
  <c r="V22" i="5" s="1"/>
  <c r="V64" i="5"/>
  <c r="V20" i="5" s="1"/>
  <c r="V69" i="5"/>
  <c r="V21" i="5" s="1"/>
  <c r="V80" i="5"/>
  <c r="V24" i="5" s="1"/>
  <c r="V27" i="5" s="1"/>
  <c r="V85" i="5"/>
  <c r="V25" i="5"/>
  <c r="V90" i="5"/>
  <c r="V26" i="5"/>
  <c r="V6" i="44"/>
  <c r="V102" i="44" s="1"/>
  <c r="V13" i="1"/>
  <c r="V14" i="1"/>
  <c r="V15" i="1"/>
  <c r="V19" i="1"/>
  <c r="V20" i="1"/>
  <c r="V21" i="1"/>
  <c r="V22" i="1"/>
  <c r="V30" i="44" s="1"/>
  <c r="V25" i="1"/>
  <c r="V26" i="1"/>
  <c r="V27" i="1"/>
  <c r="W32" i="7"/>
  <c r="W38" i="5"/>
  <c r="W13" i="5" s="1"/>
  <c r="W43" i="5"/>
  <c r="W14" i="5" s="1"/>
  <c r="W48" i="5"/>
  <c r="W15" i="5" s="1"/>
  <c r="W16" i="5"/>
  <c r="W59" i="5"/>
  <c r="W19" i="5"/>
  <c r="W22" i="5" s="1"/>
  <c r="W64" i="5"/>
  <c r="W20" i="5" s="1"/>
  <c r="W69" i="5"/>
  <c r="W21" i="5"/>
  <c r="W80" i="5"/>
  <c r="W24" i="5" s="1"/>
  <c r="W85" i="5"/>
  <c r="W25" i="5"/>
  <c r="W90" i="5"/>
  <c r="W26" i="5" s="1"/>
  <c r="W27" i="5"/>
  <c r="W6" i="44"/>
  <c r="W102" i="44"/>
  <c r="W107" i="44" s="1"/>
  <c r="W13" i="1"/>
  <c r="W14" i="1"/>
  <c r="W15" i="1"/>
  <c r="W16" i="1" s="1"/>
  <c r="W19" i="44"/>
  <c r="W19" i="1"/>
  <c r="W20" i="1"/>
  <c r="W21" i="1"/>
  <c r="W25" i="1"/>
  <c r="W26" i="1"/>
  <c r="W27" i="1"/>
  <c r="X6" i="44"/>
  <c r="X102" i="44" s="1"/>
  <c r="X107" i="44" s="1"/>
  <c r="X13" i="1"/>
  <c r="X14" i="1"/>
  <c r="X16" i="1" s="1"/>
  <c r="X19" i="44" s="1"/>
  <c r="X15" i="1"/>
  <c r="X19" i="1"/>
  <c r="X22" i="1" s="1"/>
  <c r="X30" i="44" s="1"/>
  <c r="X105" i="44" s="1"/>
  <c r="X20" i="1"/>
  <c r="X21" i="1"/>
  <c r="X25" i="1"/>
  <c r="X26" i="1"/>
  <c r="X27" i="1"/>
  <c r="X28" i="1"/>
  <c r="X41" i="44" s="1"/>
  <c r="X38" i="5"/>
  <c r="X13" i="5"/>
  <c r="X16" i="5" s="1"/>
  <c r="X43" i="5"/>
  <c r="X14" i="5" s="1"/>
  <c r="X48" i="5"/>
  <c r="X15" i="5"/>
  <c r="X59" i="5"/>
  <c r="X19" i="5" s="1"/>
  <c r="X64" i="5"/>
  <c r="X20" i="5"/>
  <c r="X69" i="5"/>
  <c r="X21" i="5" s="1"/>
  <c r="X22" i="5"/>
  <c r="X80" i="5"/>
  <c r="X24" i="5"/>
  <c r="X85" i="5"/>
  <c r="X25" i="5"/>
  <c r="X90" i="5"/>
  <c r="X26" i="5" s="1"/>
  <c r="X32" i="7"/>
  <c r="Y6" i="44"/>
  <c r="Y102" i="44" s="1"/>
  <c r="Y13" i="1"/>
  <c r="Y14" i="1"/>
  <c r="Y16" i="1" s="1"/>
  <c r="Y19" i="44" s="1"/>
  <c r="Y15" i="1"/>
  <c r="Y19" i="1"/>
  <c r="Y22" i="1" s="1"/>
  <c r="Y30" i="44" s="1"/>
  <c r="Y20" i="1"/>
  <c r="Y21" i="1"/>
  <c r="Y25" i="1"/>
  <c r="Y26" i="1"/>
  <c r="Y28" i="1" s="1"/>
  <c r="Y27" i="1"/>
  <c r="Y41" i="44"/>
  <c r="Y38" i="5"/>
  <c r="Y13" i="5"/>
  <c r="Y16" i="5" s="1"/>
  <c r="Y43" i="5"/>
  <c r="Y14" i="5"/>
  <c r="Y48" i="5"/>
  <c r="Y15" i="5"/>
  <c r="Y59" i="5"/>
  <c r="Y19" i="5" s="1"/>
  <c r="Y64" i="5"/>
  <c r="Y20" i="5" s="1"/>
  <c r="Y69" i="5"/>
  <c r="Y21" i="5" s="1"/>
  <c r="Y80" i="5"/>
  <c r="Y24" i="5" s="1"/>
  <c r="Y85" i="5"/>
  <c r="Y25" i="5"/>
  <c r="Y90" i="5"/>
  <c r="Y26" i="5"/>
  <c r="Y32" i="7"/>
  <c r="Z6" i="44"/>
  <c r="Z102" i="44" s="1"/>
  <c r="Z107" i="44"/>
  <c r="Z13" i="1"/>
  <c r="Z14" i="1"/>
  <c r="Z15" i="1"/>
  <c r="Z16" i="1"/>
  <c r="Z19" i="44" s="1"/>
  <c r="Z19" i="1"/>
  <c r="Z22" i="1" s="1"/>
  <c r="Z30" i="44" s="1"/>
  <c r="Z105" i="44" s="1"/>
  <c r="Z20" i="1"/>
  <c r="Z21" i="1"/>
  <c r="Z25" i="1"/>
  <c r="Z26" i="1"/>
  <c r="Z27" i="1"/>
  <c r="Z28" i="1"/>
  <c r="Z41" i="44" s="1"/>
  <c r="Z38" i="5"/>
  <c r="Z13" i="5" s="1"/>
  <c r="Z43" i="5"/>
  <c r="Z14" i="5"/>
  <c r="Z48" i="5"/>
  <c r="Z15" i="5"/>
  <c r="Z59" i="5"/>
  <c r="Z19" i="5"/>
  <c r="Z22" i="5" s="1"/>
  <c r="Z64" i="5"/>
  <c r="Z20" i="5" s="1"/>
  <c r="Z69" i="5"/>
  <c r="Z21" i="5" s="1"/>
  <c r="Z80" i="5"/>
  <c r="Z24" i="5"/>
  <c r="Z85" i="5"/>
  <c r="Z25" i="5" s="1"/>
  <c r="Z90" i="5"/>
  <c r="Z26" i="5"/>
  <c r="Z32" i="7"/>
  <c r="AA6" i="44"/>
  <c r="AA102" i="44"/>
  <c r="AA107" i="44" s="1"/>
  <c r="AA13" i="1"/>
  <c r="AA14" i="1"/>
  <c r="AA15" i="1"/>
  <c r="AA16" i="1" s="1"/>
  <c r="AA19" i="44" s="1"/>
  <c r="AA19" i="1"/>
  <c r="AA20" i="1"/>
  <c r="AA21" i="1"/>
  <c r="AA22" i="1"/>
  <c r="AA30" i="44" s="1"/>
  <c r="AA25" i="1"/>
  <c r="AA26" i="1"/>
  <c r="AA27" i="1"/>
  <c r="AA38" i="5"/>
  <c r="AA13" i="5" s="1"/>
  <c r="AA16" i="5" s="1"/>
  <c r="AA43" i="5"/>
  <c r="AA14" i="5"/>
  <c r="AA48" i="5"/>
  <c r="AA15" i="5" s="1"/>
  <c r="AA59" i="5"/>
  <c r="AA19" i="5"/>
  <c r="AA22" i="5" s="1"/>
  <c r="AA64" i="5"/>
  <c r="AA20" i="5"/>
  <c r="AA69" i="5"/>
  <c r="AA21" i="5" s="1"/>
  <c r="AA80" i="5"/>
  <c r="AA24" i="5" s="1"/>
  <c r="AA85" i="5"/>
  <c r="AA25" i="5" s="1"/>
  <c r="AA90" i="5"/>
  <c r="AA26" i="5"/>
  <c r="AA32" i="7"/>
  <c r="AB6" i="44"/>
  <c r="AB102" i="44"/>
  <c r="AB13" i="1"/>
  <c r="AB14" i="1"/>
  <c r="AB15" i="1"/>
  <c r="AB16" i="1" s="1"/>
  <c r="AB19" i="44"/>
  <c r="AB19" i="1"/>
  <c r="AB20" i="1"/>
  <c r="AB22" i="1" s="1"/>
  <c r="AB30" i="44" s="1"/>
  <c r="AB21" i="1"/>
  <c r="AB25" i="1"/>
  <c r="AB28" i="1" s="1"/>
  <c r="AB26" i="1"/>
  <c r="AB27" i="1"/>
  <c r="AB41" i="44"/>
  <c r="AB105" i="44"/>
  <c r="AB38" i="5"/>
  <c r="AB13" i="5" s="1"/>
  <c r="AB16" i="5" s="1"/>
  <c r="AB43" i="5"/>
  <c r="AB14" i="5" s="1"/>
  <c r="AB48" i="5"/>
  <c r="AB15" i="5" s="1"/>
  <c r="AB59" i="5"/>
  <c r="AB19" i="5" s="1"/>
  <c r="AB64" i="5"/>
  <c r="AB20" i="5"/>
  <c r="AB69" i="5"/>
  <c r="AB21" i="5"/>
  <c r="AB80" i="5"/>
  <c r="AB24" i="5" s="1"/>
  <c r="AB27" i="5" s="1"/>
  <c r="AB85" i="5"/>
  <c r="AB25" i="5" s="1"/>
  <c r="AB90" i="5"/>
  <c r="AB26" i="5" s="1"/>
  <c r="AB32" i="7"/>
  <c r="AC6" i="44"/>
  <c r="AC102" i="44"/>
  <c r="AC107" i="44" s="1"/>
  <c r="AC13" i="1"/>
  <c r="AC16" i="1" s="1"/>
  <c r="AC14" i="1"/>
  <c r="AC15" i="1"/>
  <c r="AC19" i="44"/>
  <c r="AC19" i="1"/>
  <c r="AC20" i="1"/>
  <c r="AC21" i="1"/>
  <c r="AC22" i="1"/>
  <c r="AC30" i="44" s="1"/>
  <c r="AC25" i="1"/>
  <c r="AC26" i="1"/>
  <c r="AC27" i="1"/>
  <c r="AC28" i="1" s="1"/>
  <c r="AC41" i="44"/>
  <c r="AC38" i="5"/>
  <c r="AC13" i="5" s="1"/>
  <c r="AC16" i="5" s="1"/>
  <c r="AC43" i="5"/>
  <c r="AC14" i="5" s="1"/>
  <c r="AC48" i="5"/>
  <c r="AC15" i="5" s="1"/>
  <c r="AC59" i="5"/>
  <c r="AC19" i="5"/>
  <c r="AC22" i="5" s="1"/>
  <c r="AC64" i="5"/>
  <c r="AC20" i="5" s="1"/>
  <c r="AC69" i="5"/>
  <c r="AC21" i="5"/>
  <c r="AC80" i="5"/>
  <c r="AC24" i="5" s="1"/>
  <c r="AC85" i="5"/>
  <c r="AC25" i="5" s="1"/>
  <c r="AC90" i="5"/>
  <c r="AC26" i="5"/>
  <c r="AC27" i="5"/>
  <c r="AC32" i="7"/>
  <c r="AD6" i="44"/>
  <c r="AD102" i="44"/>
  <c r="AD107" i="44"/>
  <c r="AD13" i="1"/>
  <c r="AD14" i="1"/>
  <c r="AD15" i="1"/>
  <c r="AD16" i="1"/>
  <c r="AD19" i="44" s="1"/>
  <c r="AD19" i="1"/>
  <c r="AD20" i="1"/>
  <c r="AD21" i="1"/>
  <c r="AD25" i="1"/>
  <c r="AD26" i="1"/>
  <c r="AD27" i="1"/>
  <c r="AD38" i="5"/>
  <c r="AD13" i="5"/>
  <c r="AD16" i="5" s="1"/>
  <c r="AD43" i="5"/>
  <c r="AD14" i="5"/>
  <c r="AD48" i="5"/>
  <c r="AD15" i="5" s="1"/>
  <c r="AD59" i="5"/>
  <c r="AD19" i="5" s="1"/>
  <c r="AD64" i="5"/>
  <c r="AD20" i="5" s="1"/>
  <c r="AD69" i="5"/>
  <c r="AD21" i="5" s="1"/>
  <c r="AD80" i="5"/>
  <c r="AD24" i="5" s="1"/>
  <c r="AD27" i="5" s="1"/>
  <c r="AD85" i="5"/>
  <c r="AD25" i="5"/>
  <c r="AD90" i="5"/>
  <c r="AD26" i="5"/>
  <c r="AD32" i="7"/>
  <c r="AE6" i="44"/>
  <c r="AE102" i="44"/>
  <c r="AE13" i="1"/>
  <c r="AE14" i="1"/>
  <c r="AE15" i="1"/>
  <c r="AE16" i="1"/>
  <c r="AE19" i="44" s="1"/>
  <c r="AE19" i="1"/>
  <c r="AE20" i="1"/>
  <c r="AE21" i="1"/>
  <c r="AE22" i="1" s="1"/>
  <c r="AE30" i="44" s="1"/>
  <c r="AE25" i="1"/>
  <c r="AE26" i="1"/>
  <c r="AE28" i="1" s="1"/>
  <c r="AE41" i="44" s="1"/>
  <c r="AE27" i="1"/>
  <c r="AE38" i="5"/>
  <c r="AE13" i="5" s="1"/>
  <c r="AE43" i="5"/>
  <c r="AE14" i="5" s="1"/>
  <c r="AE48" i="5"/>
  <c r="AE15" i="5"/>
  <c r="AE59" i="5"/>
  <c r="AE19" i="5"/>
  <c r="AE22" i="5" s="1"/>
  <c r="AE64" i="5"/>
  <c r="AE20" i="5"/>
  <c r="AE69" i="5"/>
  <c r="AE21" i="5" s="1"/>
  <c r="AE80" i="5"/>
  <c r="AE24" i="5"/>
  <c r="AE85" i="5"/>
  <c r="AE25" i="5" s="1"/>
  <c r="AE90" i="5"/>
  <c r="AE26" i="5" s="1"/>
  <c r="AE32" i="7"/>
  <c r="AF6" i="44"/>
  <c r="AF102" i="44"/>
  <c r="AF107" i="44" s="1"/>
  <c r="AF13" i="1"/>
  <c r="AF14" i="1"/>
  <c r="AF15" i="1"/>
  <c r="AF19" i="1"/>
  <c r="AF20" i="1"/>
  <c r="AF21" i="1"/>
  <c r="AF25" i="1"/>
  <c r="AF26" i="1"/>
  <c r="AF27" i="1"/>
  <c r="AF28" i="1" s="1"/>
  <c r="AF41" i="44" s="1"/>
  <c r="AF38" i="5"/>
  <c r="AF13" i="5"/>
  <c r="AF16" i="5" s="1"/>
  <c r="AF43" i="5"/>
  <c r="AF14" i="5" s="1"/>
  <c r="AF48" i="5"/>
  <c r="AF15" i="5" s="1"/>
  <c r="AF59" i="5"/>
  <c r="AF19" i="5" s="1"/>
  <c r="AF64" i="5"/>
  <c r="AF20" i="5" s="1"/>
  <c r="AF69" i="5"/>
  <c r="AF21" i="5"/>
  <c r="AF80" i="5"/>
  <c r="AF24" i="5" s="1"/>
  <c r="AF85" i="5"/>
  <c r="AF25" i="5"/>
  <c r="AF90" i="5"/>
  <c r="AF26" i="5" s="1"/>
  <c r="AF32" i="7"/>
  <c r="AG6" i="44"/>
  <c r="AG102" i="44" s="1"/>
  <c r="AG107" i="44" s="1"/>
  <c r="AG13" i="1"/>
  <c r="AG16" i="1" s="1"/>
  <c r="AG19" i="44" s="1"/>
  <c r="AG14" i="1"/>
  <c r="AG15" i="1"/>
  <c r="AG19" i="1"/>
  <c r="AG20" i="1"/>
  <c r="AG21" i="1"/>
  <c r="AG22" i="1"/>
  <c r="AG30" i="44" s="1"/>
  <c r="AG25" i="1"/>
  <c r="AG26" i="1"/>
  <c r="AG27" i="1"/>
  <c r="AG28" i="1" s="1"/>
  <c r="AG41" i="44" s="1"/>
  <c r="AG38" i="5"/>
  <c r="AG13" i="5"/>
  <c r="AG43" i="5"/>
  <c r="AG14" i="5" s="1"/>
  <c r="AG48" i="5"/>
  <c r="AG15" i="5" s="1"/>
  <c r="AG59" i="5"/>
  <c r="AG19" i="5" s="1"/>
  <c r="AG22" i="5" s="1"/>
  <c r="AG64" i="5"/>
  <c r="AG20" i="5"/>
  <c r="AG69" i="5"/>
  <c r="AG21" i="5"/>
  <c r="AG80" i="5"/>
  <c r="AG24" i="5"/>
  <c r="AG85" i="5"/>
  <c r="AG25" i="5" s="1"/>
  <c r="AG27" i="5" s="1"/>
  <c r="AG90" i="5"/>
  <c r="AG26" i="5" s="1"/>
  <c r="AG32" i="7"/>
  <c r="AH6" i="44"/>
  <c r="AH102" i="44" s="1"/>
  <c r="AH13" i="1"/>
  <c r="AH14" i="1"/>
  <c r="AH15" i="1"/>
  <c r="AH16" i="1"/>
  <c r="AH19" i="44" s="1"/>
  <c r="AH105" i="44" s="1"/>
  <c r="AH19" i="1"/>
  <c r="AH20" i="1"/>
  <c r="AH22" i="1" s="1"/>
  <c r="AH21" i="1"/>
  <c r="AH30" i="44"/>
  <c r="AH25" i="1"/>
  <c r="AH26" i="1"/>
  <c r="AH28" i="1" s="1"/>
  <c r="AH41" i="44" s="1"/>
  <c r="AH27" i="1"/>
  <c r="AH38" i="5"/>
  <c r="AH13" i="5" s="1"/>
  <c r="AH16" i="5" s="1"/>
  <c r="AH43" i="5"/>
  <c r="AH14" i="5"/>
  <c r="AH48" i="5"/>
  <c r="AH15" i="5" s="1"/>
  <c r="AH59" i="5"/>
  <c r="AH19" i="5"/>
  <c r="AH64" i="5"/>
  <c r="AH20" i="5" s="1"/>
  <c r="AH69" i="5"/>
  <c r="AH21" i="5"/>
  <c r="AH22" i="5" s="1"/>
  <c r="AH80" i="5"/>
  <c r="AH24" i="5" s="1"/>
  <c r="AH85" i="5"/>
  <c r="AH25" i="5"/>
  <c r="AH90" i="5"/>
  <c r="AH26" i="5"/>
  <c r="AH27" i="5"/>
  <c r="AH32" i="7"/>
  <c r="AI6" i="44"/>
  <c r="AI102" i="44" s="1"/>
  <c r="AI107" i="44" s="1"/>
  <c r="AI13" i="1"/>
  <c r="AI16" i="1" s="1"/>
  <c r="AI19" i="44" s="1"/>
  <c r="AI14" i="1"/>
  <c r="AI15" i="1"/>
  <c r="AI19" i="1"/>
  <c r="AI20" i="1"/>
  <c r="AI22" i="1" s="1"/>
  <c r="AI30" i="44" s="1"/>
  <c r="AI21" i="1"/>
  <c r="AI25" i="1"/>
  <c r="AI28" i="1" s="1"/>
  <c r="AI41" i="44" s="1"/>
  <c r="AI26" i="1"/>
  <c r="AI27" i="1"/>
  <c r="AI38" i="5"/>
  <c r="AI13" i="5" s="1"/>
  <c r="AI43" i="5"/>
  <c r="AI14" i="5"/>
  <c r="AI48" i="5"/>
  <c r="AI15" i="5"/>
  <c r="AI59" i="5"/>
  <c r="AI19" i="5"/>
  <c r="AI64" i="5"/>
  <c r="AI20" i="5"/>
  <c r="AI69" i="5"/>
  <c r="AI21" i="5" s="1"/>
  <c r="AI22" i="5"/>
  <c r="AI80" i="5"/>
  <c r="AI24" i="5" s="1"/>
  <c r="AI85" i="5"/>
  <c r="AI25" i="5" s="1"/>
  <c r="AI90" i="5"/>
  <c r="AI26" i="5" s="1"/>
  <c r="AI32" i="7"/>
  <c r="AJ6" i="44"/>
  <c r="AJ102" i="44" s="1"/>
  <c r="AJ107" i="44" s="1"/>
  <c r="AJ13" i="1"/>
  <c r="AJ14" i="1"/>
  <c r="AJ15" i="1"/>
  <c r="AJ16" i="1"/>
  <c r="AJ19" i="44" s="1"/>
  <c r="AJ19" i="1"/>
  <c r="AJ22" i="1" s="1"/>
  <c r="AJ30" i="44" s="1"/>
  <c r="AJ20" i="1"/>
  <c r="AJ21" i="1"/>
  <c r="AJ25" i="1"/>
  <c r="AJ26" i="1"/>
  <c r="AJ27" i="1"/>
  <c r="AJ28" i="1"/>
  <c r="AJ41" i="44" s="1"/>
  <c r="AJ38" i="5"/>
  <c r="AJ13" i="5" s="1"/>
  <c r="AJ43" i="5"/>
  <c r="AJ14" i="5" s="1"/>
  <c r="AJ48" i="5"/>
  <c r="AJ15" i="5"/>
  <c r="AJ16" i="5"/>
  <c r="AJ59" i="5"/>
  <c r="AJ19" i="5"/>
  <c r="AJ22" i="5" s="1"/>
  <c r="AJ64" i="5"/>
  <c r="AJ20" i="5"/>
  <c r="AJ69" i="5"/>
  <c r="AJ21" i="5" s="1"/>
  <c r="AJ80" i="5"/>
  <c r="AJ24" i="5" s="1"/>
  <c r="AJ85" i="5"/>
  <c r="AJ25" i="5"/>
  <c r="AJ90" i="5"/>
  <c r="AJ26" i="5" s="1"/>
  <c r="AJ32" i="7"/>
  <c r="AK6" i="44"/>
  <c r="AK102" i="44" s="1"/>
  <c r="AK13" i="1"/>
  <c r="AK14" i="1"/>
  <c r="AK15" i="1"/>
  <c r="AK19" i="1"/>
  <c r="AK20" i="1"/>
  <c r="AK21" i="1"/>
  <c r="AK25" i="1"/>
  <c r="AK26" i="1"/>
  <c r="AK27" i="1"/>
  <c r="AK28" i="1" s="1"/>
  <c r="AK41" i="44" s="1"/>
  <c r="AK38" i="5"/>
  <c r="AK13" i="5"/>
  <c r="AK16" i="5" s="1"/>
  <c r="AK43" i="5"/>
  <c r="AK14" i="5" s="1"/>
  <c r="AK48" i="5"/>
  <c r="AK15" i="5"/>
  <c r="AK59" i="5"/>
  <c r="AK19" i="5" s="1"/>
  <c r="AK64" i="5"/>
  <c r="AK20" i="5"/>
  <c r="AK69" i="5"/>
  <c r="AK21" i="5"/>
  <c r="AK80" i="5"/>
  <c r="AK24" i="5" s="1"/>
  <c r="AK85" i="5"/>
  <c r="AK25" i="5"/>
  <c r="AK90" i="5"/>
  <c r="AK26" i="5" s="1"/>
  <c r="AK27" i="5"/>
  <c r="AK32" i="7"/>
  <c r="AL6" i="44"/>
  <c r="AL102" i="44" s="1"/>
  <c r="AL107" i="44" s="1"/>
  <c r="AL13" i="1"/>
  <c r="AL14" i="1"/>
  <c r="AL15" i="1"/>
  <c r="AL16" i="1" s="1"/>
  <c r="AL19" i="44" s="1"/>
  <c r="AL19" i="1"/>
  <c r="AL20" i="1"/>
  <c r="AL21" i="1"/>
  <c r="AL25" i="1"/>
  <c r="AL26" i="1"/>
  <c r="AL27" i="1"/>
  <c r="AL28" i="1"/>
  <c r="AL41" i="44" s="1"/>
  <c r="AL38" i="5"/>
  <c r="AL13" i="5" s="1"/>
  <c r="AL43" i="5"/>
  <c r="AL14" i="5" s="1"/>
  <c r="AL48" i="5"/>
  <c r="AL15" i="5"/>
  <c r="AL59" i="5"/>
  <c r="AL19" i="5" s="1"/>
  <c r="AL64" i="5"/>
  <c r="AL20" i="5"/>
  <c r="AL69" i="5"/>
  <c r="AL21" i="5" s="1"/>
  <c r="AL22" i="5" s="1"/>
  <c r="AL80" i="5"/>
  <c r="AL24" i="5" s="1"/>
  <c r="AL27" i="5" s="1"/>
  <c r="AL85" i="5"/>
  <c r="AL25" i="5" s="1"/>
  <c r="AL90" i="5"/>
  <c r="AL26" i="5" s="1"/>
  <c r="AL32" i="7"/>
  <c r="AM6" i="44"/>
  <c r="AM102" i="44" s="1"/>
  <c r="AM107" i="44" s="1"/>
  <c r="AM13" i="1"/>
  <c r="AM16" i="1" s="1"/>
  <c r="AM19" i="44" s="1"/>
  <c r="AM14" i="1"/>
  <c r="AM15" i="1"/>
  <c r="AM19" i="1"/>
  <c r="AM20" i="1"/>
  <c r="AM21" i="1"/>
  <c r="AM22" i="1"/>
  <c r="AM30" i="44" s="1"/>
  <c r="AM25" i="1"/>
  <c r="AM28" i="1" s="1"/>
  <c r="AM41" i="44" s="1"/>
  <c r="AM26" i="1"/>
  <c r="AM27" i="1"/>
  <c r="AM38" i="5"/>
  <c r="AM13" i="5" s="1"/>
  <c r="AM16" i="5" s="1"/>
  <c r="AM43" i="5"/>
  <c r="AM14" i="5" s="1"/>
  <c r="AM48" i="5"/>
  <c r="AM15" i="5"/>
  <c r="AM59" i="5"/>
  <c r="AM19" i="5"/>
  <c r="AM64" i="5"/>
  <c r="AM20" i="5" s="1"/>
  <c r="AM69" i="5"/>
  <c r="AM21" i="5" s="1"/>
  <c r="AM80" i="5"/>
  <c r="AM24" i="5" s="1"/>
  <c r="AM85" i="5"/>
  <c r="AM25" i="5"/>
  <c r="AM90" i="5"/>
  <c r="AM26" i="5" s="1"/>
  <c r="AM32" i="7"/>
  <c r="AN6" i="44"/>
  <c r="AN102" i="44" s="1"/>
  <c r="AN13" i="1"/>
  <c r="AN14" i="1"/>
  <c r="AN16" i="1" s="1"/>
  <c r="AN19" i="44" s="1"/>
  <c r="AN15" i="1"/>
  <c r="AN19" i="1"/>
  <c r="AN20" i="1"/>
  <c r="AN21" i="1"/>
  <c r="AN25" i="1"/>
  <c r="AN26" i="1"/>
  <c r="AN27" i="1"/>
  <c r="AN28" i="1"/>
  <c r="AN41" i="44" s="1"/>
  <c r="AN38" i="5"/>
  <c r="AN13" i="5"/>
  <c r="AN43" i="5"/>
  <c r="AN14" i="5" s="1"/>
  <c r="AN48" i="5"/>
  <c r="AN15" i="5"/>
  <c r="AN16" i="5"/>
  <c r="AN59" i="5"/>
  <c r="AN19" i="5" s="1"/>
  <c r="AN22" i="5" s="1"/>
  <c r="AN64" i="5"/>
  <c r="AN20" i="5" s="1"/>
  <c r="AN69" i="5"/>
  <c r="AN21" i="5"/>
  <c r="AN80" i="5"/>
  <c r="AN24" i="5" s="1"/>
  <c r="AN85" i="5"/>
  <c r="AN25" i="5"/>
  <c r="AN90" i="5"/>
  <c r="AN26" i="5" s="1"/>
  <c r="AN27" i="5" s="1"/>
  <c r="AN32" i="7"/>
  <c r="AO6" i="44"/>
  <c r="AO102" i="44"/>
  <c r="AO107" i="44"/>
  <c r="AO13" i="1"/>
  <c r="AO16" i="1" s="1"/>
  <c r="AO19" i="44" s="1"/>
  <c r="AO14" i="1"/>
  <c r="AO15" i="1"/>
  <c r="AO19" i="1"/>
  <c r="AO20" i="1"/>
  <c r="AO22" i="1" s="1"/>
  <c r="AO30" i="44" s="1"/>
  <c r="AO21" i="1"/>
  <c r="AO25" i="1"/>
  <c r="AO26" i="1"/>
  <c r="AO28" i="1" s="1"/>
  <c r="AO41" i="44" s="1"/>
  <c r="AO27" i="1"/>
  <c r="AO38" i="5"/>
  <c r="AO13" i="5" s="1"/>
  <c r="AO43" i="5"/>
  <c r="AO14" i="5"/>
  <c r="AO48" i="5"/>
  <c r="AO15" i="5" s="1"/>
  <c r="AO16" i="5"/>
  <c r="AO59" i="5"/>
  <c r="AO19" i="5" s="1"/>
  <c r="AO22" i="5" s="1"/>
  <c r="AO64" i="5"/>
  <c r="AO20" i="5" s="1"/>
  <c r="AO69" i="5"/>
  <c r="AO21" i="5" s="1"/>
  <c r="AO80" i="5"/>
  <c r="AO24" i="5" s="1"/>
  <c r="AO27" i="5" s="1"/>
  <c r="AO85" i="5"/>
  <c r="AO25" i="5" s="1"/>
  <c r="AO90" i="5"/>
  <c r="AO26" i="5"/>
  <c r="AO32" i="7"/>
  <c r="AP6" i="44"/>
  <c r="AP102" i="44"/>
  <c r="AP107" i="44" s="1"/>
  <c r="AP13" i="1"/>
  <c r="AP14" i="1"/>
  <c r="AP16" i="1" s="1"/>
  <c r="AP19" i="44" s="1"/>
  <c r="AP15" i="1"/>
  <c r="AP19" i="1"/>
  <c r="AP20" i="1"/>
  <c r="AP22" i="1" s="1"/>
  <c r="AP21" i="1"/>
  <c r="AP30" i="44"/>
  <c r="AP25" i="1"/>
  <c r="AP26" i="1"/>
  <c r="AP27" i="1"/>
  <c r="AP38" i="5"/>
  <c r="AP13" i="5"/>
  <c r="AP43" i="5"/>
  <c r="AP14" i="5" s="1"/>
  <c r="AP48" i="5"/>
  <c r="AP15" i="5" s="1"/>
  <c r="AP59" i="5"/>
  <c r="AP19" i="5" s="1"/>
  <c r="AP64" i="5"/>
  <c r="AP20" i="5"/>
  <c r="AP69" i="5"/>
  <c r="AP21" i="5" s="1"/>
  <c r="AP80" i="5"/>
  <c r="AP24" i="5" s="1"/>
  <c r="AP85" i="5"/>
  <c r="AP25" i="5"/>
  <c r="AP90" i="5"/>
  <c r="AP26" i="5" s="1"/>
  <c r="AP32" i="7"/>
  <c r="AQ6" i="44"/>
  <c r="AQ102" i="44"/>
  <c r="AQ13" i="1"/>
  <c r="AQ14" i="1"/>
  <c r="AQ15" i="1"/>
  <c r="AQ16" i="1" s="1"/>
  <c r="AQ19" i="44" s="1"/>
  <c r="AQ19" i="1"/>
  <c r="AQ20" i="1"/>
  <c r="AQ21" i="1"/>
  <c r="AQ25" i="1"/>
  <c r="AQ26" i="1"/>
  <c r="AQ27" i="1"/>
  <c r="AQ28" i="1"/>
  <c r="AQ41" i="44"/>
  <c r="AQ38" i="5"/>
  <c r="AQ13" i="5" s="1"/>
  <c r="AQ43" i="5"/>
  <c r="AQ14" i="5" s="1"/>
  <c r="AQ48" i="5"/>
  <c r="AQ15" i="5"/>
  <c r="AQ59" i="5"/>
  <c r="AQ19" i="5" s="1"/>
  <c r="AQ64" i="5"/>
  <c r="AQ20" i="5"/>
  <c r="AQ69" i="5"/>
  <c r="AQ21" i="5" s="1"/>
  <c r="AQ22" i="5"/>
  <c r="AQ80" i="5"/>
  <c r="AQ24" i="5"/>
  <c r="AQ27" i="5" s="1"/>
  <c r="AQ85" i="5"/>
  <c r="AQ25" i="5" s="1"/>
  <c r="AQ90" i="5"/>
  <c r="AQ26" i="5" s="1"/>
  <c r="AQ32" i="7"/>
  <c r="AR6" i="44"/>
  <c r="AR102" i="44" s="1"/>
  <c r="AR107" i="44" s="1"/>
  <c r="AR13" i="1"/>
  <c r="AR16" i="1" s="1"/>
  <c r="AR19" i="44" s="1"/>
  <c r="AR14" i="1"/>
  <c r="AR15" i="1"/>
  <c r="AR19" i="1"/>
  <c r="AR20" i="1"/>
  <c r="AR21" i="1"/>
  <c r="AR22" i="1" s="1"/>
  <c r="AR30" i="44" s="1"/>
  <c r="AR105" i="44" s="1"/>
  <c r="AR25" i="1"/>
  <c r="AR26" i="1"/>
  <c r="AR27" i="1"/>
  <c r="AR28" i="1" s="1"/>
  <c r="AR41" i="44" s="1"/>
  <c r="AR38" i="5"/>
  <c r="AR13" i="5"/>
  <c r="AR16" i="5" s="1"/>
  <c r="AR43" i="5"/>
  <c r="AR14" i="5" s="1"/>
  <c r="AR48" i="5"/>
  <c r="AR15" i="5" s="1"/>
  <c r="AR59" i="5"/>
  <c r="AR19" i="5" s="1"/>
  <c r="AR22" i="5" s="1"/>
  <c r="AR64" i="5"/>
  <c r="AR20" i="5" s="1"/>
  <c r="AR69" i="5"/>
  <c r="AR21" i="5"/>
  <c r="AR80" i="5"/>
  <c r="AR24" i="5"/>
  <c r="AR27" i="5" s="1"/>
  <c r="AR85" i="5"/>
  <c r="AR25" i="5"/>
  <c r="AR90" i="5"/>
  <c r="AR26" i="5" s="1"/>
  <c r="AR32" i="7"/>
  <c r="AS6" i="44"/>
  <c r="AS102" i="44" s="1"/>
  <c r="AS107" i="44"/>
  <c r="AS13" i="1"/>
  <c r="AS14" i="1"/>
  <c r="AS15" i="1"/>
  <c r="AS16" i="1"/>
  <c r="AS19" i="44" s="1"/>
  <c r="AS19" i="1"/>
  <c r="AS20" i="1"/>
  <c r="AS21" i="1"/>
  <c r="AS22" i="1" s="1"/>
  <c r="AS30" i="44" s="1"/>
  <c r="AS25" i="1"/>
  <c r="AS26" i="1"/>
  <c r="AS27" i="1"/>
  <c r="AS38" i="5"/>
  <c r="AS13" i="5" s="1"/>
  <c r="AS43" i="5"/>
  <c r="AS14" i="5" s="1"/>
  <c r="AS48" i="5"/>
  <c r="AS15" i="5" s="1"/>
  <c r="AS59" i="5"/>
  <c r="AS19" i="5" s="1"/>
  <c r="AS64" i="5"/>
  <c r="AS20" i="5"/>
  <c r="AS69" i="5"/>
  <c r="AS21" i="5" s="1"/>
  <c r="AS80" i="5"/>
  <c r="AS24" i="5"/>
  <c r="AS85" i="5"/>
  <c r="AS25" i="5" s="1"/>
  <c r="AS90" i="5"/>
  <c r="AS26" i="5" s="1"/>
  <c r="AS27" i="5" s="1"/>
  <c r="AS32" i="7"/>
  <c r="AT6" i="44"/>
  <c r="AT102" i="44"/>
  <c r="AT13" i="1"/>
  <c r="AT14" i="1"/>
  <c r="AT15" i="1"/>
  <c r="AT16" i="1"/>
  <c r="AT19" i="44"/>
  <c r="AT19" i="1"/>
  <c r="AT20" i="1"/>
  <c r="AT21" i="1"/>
  <c r="AT22" i="1" s="1"/>
  <c r="AT30" i="44" s="1"/>
  <c r="AT25" i="1"/>
  <c r="AT26" i="1"/>
  <c r="AT28" i="1" s="1"/>
  <c r="AT41" i="44" s="1"/>
  <c r="AT27" i="1"/>
  <c r="AT38" i="5"/>
  <c r="AT13" i="5" s="1"/>
  <c r="AT43" i="5"/>
  <c r="AT14" i="5"/>
  <c r="AT48" i="5"/>
  <c r="AT15" i="5" s="1"/>
  <c r="AT16" i="5"/>
  <c r="AT59" i="5"/>
  <c r="AT19" i="5"/>
  <c r="AT64" i="5"/>
  <c r="AT20" i="5" s="1"/>
  <c r="AT69" i="5"/>
  <c r="AT21" i="5"/>
  <c r="AT80" i="5"/>
  <c r="AT24" i="5" s="1"/>
  <c r="AT27" i="5" s="1"/>
  <c r="AT85" i="5"/>
  <c r="AT25" i="5" s="1"/>
  <c r="AT90" i="5"/>
  <c r="AT26" i="5"/>
  <c r="AT32" i="7"/>
  <c r="AU6" i="44"/>
  <c r="AU102" i="44" s="1"/>
  <c r="AU107" i="44" s="1"/>
  <c r="AU13" i="1"/>
  <c r="AU14" i="1"/>
  <c r="AU15" i="1"/>
  <c r="AU19" i="1"/>
  <c r="AU20" i="1"/>
  <c r="AU21" i="1"/>
  <c r="AU22" i="1"/>
  <c r="AU30" i="44" s="1"/>
  <c r="AU25" i="1"/>
  <c r="AU28" i="1" s="1"/>
  <c r="AU41" i="44" s="1"/>
  <c r="AU26" i="1"/>
  <c r="AU27" i="1"/>
  <c r="AU38" i="5"/>
  <c r="AU13" i="5"/>
  <c r="AU43" i="5"/>
  <c r="AU14" i="5" s="1"/>
  <c r="AU48" i="5"/>
  <c r="AU15" i="5"/>
  <c r="AU59" i="5"/>
  <c r="AU19" i="5"/>
  <c r="AU64" i="5"/>
  <c r="AU20" i="5"/>
  <c r="AU69" i="5"/>
  <c r="AU21" i="5" s="1"/>
  <c r="AU22" i="5"/>
  <c r="AU80" i="5"/>
  <c r="AU24" i="5" s="1"/>
  <c r="AU27" i="5" s="1"/>
  <c r="AU85" i="5"/>
  <c r="AU25" i="5"/>
  <c r="AU90" i="5"/>
  <c r="AU26" i="5" s="1"/>
  <c r="AU32" i="7"/>
  <c r="AV6" i="44"/>
  <c r="AV102" i="44" s="1"/>
  <c r="AV107" i="44" s="1"/>
  <c r="AV13" i="1"/>
  <c r="AV14" i="1"/>
  <c r="AV16" i="1" s="1"/>
  <c r="AV19" i="44" s="1"/>
  <c r="AV105" i="44" s="1"/>
  <c r="AV15" i="1"/>
  <c r="AV19" i="1"/>
  <c r="AV22" i="1" s="1"/>
  <c r="AV30" i="44" s="1"/>
  <c r="AV20" i="1"/>
  <c r="AV21" i="1"/>
  <c r="AV25" i="1"/>
  <c r="AV26" i="1"/>
  <c r="AV27" i="1"/>
  <c r="AV28" i="1"/>
  <c r="AV41" i="44" s="1"/>
  <c r="AV38" i="5"/>
  <c r="AV13" i="5" s="1"/>
  <c r="AV16" i="5" s="1"/>
  <c r="AV43" i="5"/>
  <c r="AV14" i="5"/>
  <c r="AV48" i="5"/>
  <c r="AV15" i="5" s="1"/>
  <c r="AV59" i="5"/>
  <c r="AV19" i="5"/>
  <c r="AV64" i="5"/>
  <c r="AV20" i="5" s="1"/>
  <c r="AV69" i="5"/>
  <c r="AV21" i="5" s="1"/>
  <c r="AV80" i="5"/>
  <c r="AV24" i="5" s="1"/>
  <c r="AV85" i="5"/>
  <c r="AV25" i="5"/>
  <c r="AV90" i="5"/>
  <c r="AV26" i="5"/>
  <c r="AV27" i="5"/>
  <c r="AV32" i="7"/>
  <c r="AW6" i="44"/>
  <c r="AW102" i="44"/>
  <c r="AW13" i="1"/>
  <c r="AW14" i="1"/>
  <c r="AW15" i="1"/>
  <c r="AW19" i="1"/>
  <c r="AW20" i="1"/>
  <c r="AW21" i="1"/>
  <c r="AW22" i="1"/>
  <c r="AW30" i="44" s="1"/>
  <c r="AW25" i="1"/>
  <c r="AW26" i="1"/>
  <c r="AW27" i="1"/>
  <c r="AW28" i="1"/>
  <c r="AW41" i="44" s="1"/>
  <c r="AW38" i="5"/>
  <c r="AW13" i="5"/>
  <c r="AW16" i="5" s="1"/>
  <c r="AW43" i="5"/>
  <c r="AW14" i="5" s="1"/>
  <c r="AW48" i="5"/>
  <c r="AW15" i="5"/>
  <c r="AW59" i="5"/>
  <c r="AW19" i="5"/>
  <c r="AW64" i="5"/>
  <c r="AW20" i="5" s="1"/>
  <c r="AW69" i="5"/>
  <c r="AW21" i="5"/>
  <c r="AW22" i="5" s="1"/>
  <c r="AW80" i="5"/>
  <c r="AW24" i="5"/>
  <c r="AW85" i="5"/>
  <c r="AW25" i="5" s="1"/>
  <c r="AW27" i="5" s="1"/>
  <c r="AW90" i="5"/>
  <c r="AW26" i="5" s="1"/>
  <c r="AW32" i="7"/>
  <c r="AX6" i="44"/>
  <c r="AX102" i="44"/>
  <c r="AX107" i="44"/>
  <c r="AX13" i="1"/>
  <c r="AX14" i="1"/>
  <c r="AX15" i="1"/>
  <c r="AX19" i="1"/>
  <c r="AX20" i="1"/>
  <c r="AX21" i="1"/>
  <c r="AX25" i="1"/>
  <c r="AX28" i="1" s="1"/>
  <c r="AX41" i="44" s="1"/>
  <c r="AX26" i="1"/>
  <c r="AX27" i="1"/>
  <c r="AX38" i="5"/>
  <c r="AX13" i="5"/>
  <c r="AX43" i="5"/>
  <c r="AX14" i="5" s="1"/>
  <c r="AX48" i="5"/>
  <c r="AX15" i="5" s="1"/>
  <c r="AX59" i="5"/>
  <c r="AX19" i="5" s="1"/>
  <c r="AX64" i="5"/>
  <c r="AX20" i="5"/>
  <c r="AX69" i="5"/>
  <c r="AX21" i="5"/>
  <c r="AX80" i="5"/>
  <c r="AX24" i="5" s="1"/>
  <c r="AX27" i="5" s="1"/>
  <c r="AX85" i="5"/>
  <c r="AX25" i="5" s="1"/>
  <c r="AX90" i="5"/>
  <c r="AX26" i="5"/>
  <c r="AX32" i="7"/>
  <c r="AY6" i="44"/>
  <c r="AY102" i="44"/>
  <c r="AY107" i="44" s="1"/>
  <c r="AY13" i="1"/>
  <c r="AY14" i="1"/>
  <c r="AY16" i="1" s="1"/>
  <c r="AY19" i="44" s="1"/>
  <c r="AY15" i="1"/>
  <c r="AY19" i="1"/>
  <c r="AY20" i="1"/>
  <c r="AY21" i="1"/>
  <c r="AY25" i="1"/>
  <c r="AY28" i="1" s="1"/>
  <c r="AY41" i="44" s="1"/>
  <c r="AY26" i="1"/>
  <c r="AY27" i="1"/>
  <c r="AY38" i="5"/>
  <c r="AY13" i="5"/>
  <c r="AY43" i="5"/>
  <c r="AY14" i="5" s="1"/>
  <c r="AY48" i="5"/>
  <c r="AY15" i="5" s="1"/>
  <c r="AY59" i="5"/>
  <c r="AY19" i="5" s="1"/>
  <c r="AY64" i="5"/>
  <c r="AY20" i="5"/>
  <c r="AY69" i="5"/>
  <c r="AY21" i="5" s="1"/>
  <c r="AY80" i="5"/>
  <c r="AY24" i="5"/>
  <c r="AY85" i="5"/>
  <c r="AY25" i="5"/>
  <c r="AY90" i="5"/>
  <c r="AY26" i="5" s="1"/>
  <c r="AY32" i="7"/>
  <c r="AZ6" i="44"/>
  <c r="AZ102" i="44"/>
  <c r="AZ13" i="1"/>
  <c r="AZ16" i="1" s="1"/>
  <c r="AZ19" i="44" s="1"/>
  <c r="AZ14" i="1"/>
  <c r="AZ15" i="1"/>
  <c r="AZ19" i="1"/>
  <c r="AZ20" i="1"/>
  <c r="AZ22" i="1" s="1"/>
  <c r="AZ30" i="44" s="1"/>
  <c r="AZ21" i="1"/>
  <c r="AZ25" i="1"/>
  <c r="AZ26" i="1"/>
  <c r="AZ28" i="1" s="1"/>
  <c r="AZ41" i="44" s="1"/>
  <c r="AZ27" i="1"/>
  <c r="AZ38" i="5"/>
  <c r="AZ13" i="5" s="1"/>
  <c r="AZ16" i="5" s="1"/>
  <c r="AZ43" i="5"/>
  <c r="AZ14" i="5"/>
  <c r="AZ48" i="5"/>
  <c r="AZ15" i="5"/>
  <c r="AZ59" i="5"/>
  <c r="AZ19" i="5" s="1"/>
  <c r="AZ22" i="5" s="1"/>
  <c r="AZ64" i="5"/>
  <c r="AZ20" i="5" s="1"/>
  <c r="AZ69" i="5"/>
  <c r="AZ21" i="5" s="1"/>
  <c r="AZ80" i="5"/>
  <c r="AZ24" i="5"/>
  <c r="AZ85" i="5"/>
  <c r="AZ25" i="5" s="1"/>
  <c r="AZ90" i="5"/>
  <c r="AZ26" i="5" s="1"/>
  <c r="AZ32" i="7"/>
  <c r="BA6" i="44"/>
  <c r="BA102" i="44" s="1"/>
  <c r="BA107" i="44" s="1"/>
  <c r="BA13" i="1"/>
  <c r="BA14" i="1"/>
  <c r="BA15" i="1"/>
  <c r="BA16" i="1"/>
  <c r="BA19" i="44" s="1"/>
  <c r="BA19" i="1"/>
  <c r="BA20" i="1"/>
  <c r="BA21" i="1"/>
  <c r="BA25" i="1"/>
  <c r="BA26" i="1"/>
  <c r="BA27" i="1"/>
  <c r="BA28" i="1" s="1"/>
  <c r="BA41" i="44" s="1"/>
  <c r="BA38" i="5"/>
  <c r="BA13" i="5" s="1"/>
  <c r="BA43" i="5"/>
  <c r="BA14" i="5"/>
  <c r="BA48" i="5"/>
  <c r="BA15" i="5" s="1"/>
  <c r="BA59" i="5"/>
  <c r="BA19" i="5"/>
  <c r="BA64" i="5"/>
  <c r="BA20" i="5"/>
  <c r="BA69" i="5"/>
  <c r="BA21" i="5" s="1"/>
  <c r="BA22" i="5" s="1"/>
  <c r="BA80" i="5"/>
  <c r="BA24" i="5" s="1"/>
  <c r="BA85" i="5"/>
  <c r="BA25" i="5" s="1"/>
  <c r="BA90" i="5"/>
  <c r="BA26" i="5"/>
  <c r="BA27" i="5"/>
  <c r="BA32" i="7"/>
  <c r="BB6" i="44"/>
  <c r="BB102" i="44"/>
  <c r="BB107" i="44" s="1"/>
  <c r="BB13" i="1"/>
  <c r="BB14" i="1"/>
  <c r="BB15" i="1"/>
  <c r="BB19" i="1"/>
  <c r="BB20" i="1"/>
  <c r="BB21" i="1"/>
  <c r="BB22" i="1"/>
  <c r="BB30" i="44" s="1"/>
  <c r="BB25" i="1"/>
  <c r="BB26" i="1"/>
  <c r="BB27" i="1"/>
  <c r="BB28" i="1"/>
  <c r="BB41" i="44"/>
  <c r="BB38" i="5"/>
  <c r="BB13" i="5" s="1"/>
  <c r="BB16" i="5" s="1"/>
  <c r="BB43" i="5"/>
  <c r="BB14" i="5"/>
  <c r="BB48" i="5"/>
  <c r="BB15" i="5"/>
  <c r="BB59" i="5"/>
  <c r="BB19" i="5"/>
  <c r="BB22" i="5" s="1"/>
  <c r="BB64" i="5"/>
  <c r="BB20" i="5" s="1"/>
  <c r="BB69" i="5"/>
  <c r="BB21" i="5" s="1"/>
  <c r="BB80" i="5"/>
  <c r="BB24" i="5"/>
  <c r="BB85" i="5"/>
  <c r="BB25" i="5" s="1"/>
  <c r="BB90" i="5"/>
  <c r="BB26" i="5"/>
  <c r="BB32" i="7"/>
  <c r="BC6" i="44"/>
  <c r="BC102" i="44"/>
  <c r="BC13" i="1"/>
  <c r="BC14" i="1"/>
  <c r="BC15" i="1"/>
  <c r="BC16" i="1"/>
  <c r="BC19" i="44"/>
  <c r="BC105" i="44" s="1"/>
  <c r="BC19" i="1"/>
  <c r="BC22" i="1" s="1"/>
  <c r="BC30" i="44" s="1"/>
  <c r="BC20" i="1"/>
  <c r="BC21" i="1"/>
  <c r="BC25" i="1"/>
  <c r="BC26" i="1"/>
  <c r="BC27" i="1"/>
  <c r="BC28" i="1"/>
  <c r="BC41" i="44" s="1"/>
  <c r="BC38" i="5"/>
  <c r="BC13" i="5"/>
  <c r="BC43" i="5"/>
  <c r="BC14" i="5" s="1"/>
  <c r="BC48" i="5"/>
  <c r="BC15" i="5" s="1"/>
  <c r="BC59" i="5"/>
  <c r="BC19" i="5" s="1"/>
  <c r="BC64" i="5"/>
  <c r="BC20" i="5"/>
  <c r="BC69" i="5"/>
  <c r="BC21" i="5" s="1"/>
  <c r="BC80" i="5"/>
  <c r="BC24" i="5"/>
  <c r="BC85" i="5"/>
  <c r="BC25" i="5"/>
  <c r="BC90" i="5"/>
  <c r="BC26" i="5" s="1"/>
  <c r="BC27" i="5" s="1"/>
  <c r="BC32" i="7"/>
  <c r="BD6" i="44"/>
  <c r="BD102" i="44" s="1"/>
  <c r="BD107" i="44" s="1"/>
  <c r="BD13" i="1"/>
  <c r="BD14" i="1"/>
  <c r="BD15" i="1"/>
  <c r="BD16" i="1"/>
  <c r="BD19" i="44"/>
  <c r="BD19" i="1"/>
  <c r="BD20" i="1"/>
  <c r="BD21" i="1"/>
  <c r="BD25" i="1"/>
  <c r="BD26" i="1"/>
  <c r="BD27" i="1"/>
  <c r="BD28" i="1" s="1"/>
  <c r="BD41" i="44" s="1"/>
  <c r="BD38" i="5"/>
  <c r="BD13" i="5"/>
  <c r="BD43" i="5"/>
  <c r="BD14" i="5"/>
  <c r="BD48" i="5"/>
  <c r="BD15" i="5" s="1"/>
  <c r="BD16" i="5" s="1"/>
  <c r="BD59" i="5"/>
  <c r="BD19" i="5" s="1"/>
  <c r="BD64" i="5"/>
  <c r="BD20" i="5" s="1"/>
  <c r="BD69" i="5"/>
  <c r="BD21" i="5"/>
  <c r="BD22" i="5" s="1"/>
  <c r="BD80" i="5"/>
  <c r="BD24" i="5" s="1"/>
  <c r="BD27" i="5" s="1"/>
  <c r="BD85" i="5"/>
  <c r="BD25" i="5"/>
  <c r="BD90" i="5"/>
  <c r="BD26" i="5"/>
  <c r="BD32" i="7"/>
  <c r="BE6" i="44"/>
  <c r="BE102" i="44"/>
  <c r="BE107" i="44"/>
  <c r="BE13" i="1"/>
  <c r="BE14" i="1"/>
  <c r="BE15" i="1"/>
  <c r="BE19" i="1"/>
  <c r="BE20" i="1"/>
  <c r="BE21" i="1"/>
  <c r="BE22" i="1" s="1"/>
  <c r="BE30" i="44" s="1"/>
  <c r="BE25" i="1"/>
  <c r="BE28" i="1" s="1"/>
  <c r="BE41" i="44" s="1"/>
  <c r="BE26" i="1"/>
  <c r="BE27" i="1"/>
  <c r="BE38" i="5"/>
  <c r="BE13" i="5"/>
  <c r="BE16" i="5" s="1"/>
  <c r="BE43" i="5"/>
  <c r="BE14" i="5" s="1"/>
  <c r="BE48" i="5"/>
  <c r="BE15" i="5" s="1"/>
  <c r="BE59" i="5"/>
  <c r="BE19" i="5"/>
  <c r="BE64" i="5"/>
  <c r="BE20" i="5" s="1"/>
  <c r="BE69" i="5"/>
  <c r="BE21" i="5"/>
  <c r="BE80" i="5"/>
  <c r="BE24" i="5"/>
  <c r="BE85" i="5"/>
  <c r="BE25" i="5"/>
  <c r="BE90" i="5"/>
  <c r="BE26" i="5" s="1"/>
  <c r="BE32" i="7"/>
  <c r="BF6" i="44"/>
  <c r="BF102" i="44" s="1"/>
  <c r="BF13" i="1"/>
  <c r="BF14" i="1"/>
  <c r="BF15" i="1"/>
  <c r="BF16" i="1"/>
  <c r="BF19" i="44" s="1"/>
  <c r="BF105" i="44" s="1"/>
  <c r="BF19" i="1"/>
  <c r="BF22" i="1" s="1"/>
  <c r="BF30" i="44" s="1"/>
  <c r="BF20" i="1"/>
  <c r="BF21" i="1"/>
  <c r="BF25" i="1"/>
  <c r="BF26" i="1"/>
  <c r="BF28" i="1" s="1"/>
  <c r="BF41" i="44" s="1"/>
  <c r="BF27" i="1"/>
  <c r="BF38" i="5"/>
  <c r="BF13" i="5" s="1"/>
  <c r="BF43" i="5"/>
  <c r="BF14" i="5"/>
  <c r="BF48" i="5"/>
  <c r="BF15" i="5"/>
  <c r="BF16" i="5" s="1"/>
  <c r="BF59" i="5"/>
  <c r="BF19" i="5"/>
  <c r="BF64" i="5"/>
  <c r="BF20" i="5"/>
  <c r="BF69" i="5"/>
  <c r="BF21" i="5"/>
  <c r="BF22" i="5"/>
  <c r="BF80" i="5"/>
  <c r="BF24" i="5" s="1"/>
  <c r="BF27" i="5" s="1"/>
  <c r="BF85" i="5"/>
  <c r="BF25" i="5" s="1"/>
  <c r="BF90" i="5"/>
  <c r="BF26" i="5"/>
  <c r="BF32" i="7"/>
  <c r="BG6" i="44"/>
  <c r="BG102" i="44" s="1"/>
  <c r="BG107" i="44" s="1"/>
  <c r="BG13" i="1"/>
  <c r="BG16" i="1" s="1"/>
  <c r="BG19" i="44" s="1"/>
  <c r="BG14" i="1"/>
  <c r="BG15" i="1"/>
  <c r="BG19" i="1"/>
  <c r="BG20" i="1"/>
  <c r="BG22" i="1" s="1"/>
  <c r="BG30" i="44" s="1"/>
  <c r="BG105" i="44" s="1"/>
  <c r="BG21" i="1"/>
  <c r="BG25" i="1"/>
  <c r="BG26" i="1"/>
  <c r="BG27" i="1"/>
  <c r="BG28" i="1"/>
  <c r="BG41" i="44"/>
  <c r="BG38" i="5"/>
  <c r="BG13" i="5" s="1"/>
  <c r="BG16" i="5" s="1"/>
  <c r="BG43" i="5"/>
  <c r="BG14" i="5" s="1"/>
  <c r="BG48" i="5"/>
  <c r="BG15" i="5"/>
  <c r="BG59" i="5"/>
  <c r="BG19" i="5"/>
  <c r="BG22" i="5" s="1"/>
  <c r="BG64" i="5"/>
  <c r="BG20" i="5"/>
  <c r="BG69" i="5"/>
  <c r="BG21" i="5"/>
  <c r="BG80" i="5"/>
  <c r="BG24" i="5" s="1"/>
  <c r="BG27" i="5" s="1"/>
  <c r="BG85" i="5"/>
  <c r="BG25" i="5" s="1"/>
  <c r="BG90" i="5"/>
  <c r="BG26" i="5" s="1"/>
  <c r="BG32" i="7"/>
  <c r="BH6" i="44"/>
  <c r="BH102" i="44" s="1"/>
  <c r="BH107" i="44" s="1"/>
  <c r="BH13" i="1"/>
  <c r="BH14" i="1"/>
  <c r="BH15" i="1"/>
  <c r="BH16" i="1"/>
  <c r="BH19" i="44" s="1"/>
  <c r="BH19" i="1"/>
  <c r="BH20" i="1"/>
  <c r="BH21" i="1"/>
  <c r="BH22" i="1"/>
  <c r="BH30" i="44" s="1"/>
  <c r="BH25" i="1"/>
  <c r="BH26" i="1"/>
  <c r="BH27" i="1"/>
  <c r="BH38" i="5"/>
  <c r="BH13" i="5" s="1"/>
  <c r="BH16" i="5" s="1"/>
  <c r="BH43" i="5"/>
  <c r="BH14" i="5"/>
  <c r="BH48" i="5"/>
  <c r="BH15" i="5"/>
  <c r="BH59" i="5"/>
  <c r="BH19" i="5"/>
  <c r="BH64" i="5"/>
  <c r="BH20" i="5" s="1"/>
  <c r="BH69" i="5"/>
  <c r="BH21" i="5" s="1"/>
  <c r="BH80" i="5"/>
  <c r="BH24" i="5"/>
  <c r="BH85" i="5"/>
  <c r="BH25" i="5"/>
  <c r="BH90" i="5"/>
  <c r="BH26" i="5" s="1"/>
  <c r="BH32" i="7"/>
  <c r="BI6" i="44"/>
  <c r="BI102" i="44"/>
  <c r="BI13" i="1"/>
  <c r="BI14" i="1"/>
  <c r="BI15" i="1"/>
  <c r="BI16" i="1"/>
  <c r="BI19" i="44"/>
  <c r="BI19" i="1"/>
  <c r="BI22" i="1" s="1"/>
  <c r="BI30" i="44" s="1"/>
  <c r="BI20" i="1"/>
  <c r="BI21" i="1"/>
  <c r="BI25" i="1"/>
  <c r="BI26" i="1"/>
  <c r="BI27" i="1"/>
  <c r="BI28" i="1" s="1"/>
  <c r="BI41" i="44" s="1"/>
  <c r="BI105" i="44" s="1"/>
  <c r="BI38" i="5"/>
  <c r="BI13" i="5"/>
  <c r="BI43" i="5"/>
  <c r="BI14" i="5"/>
  <c r="BI48" i="5"/>
  <c r="BI15" i="5" s="1"/>
  <c r="BI16" i="5" s="1"/>
  <c r="BI89" i="44" s="1"/>
  <c r="BI106" i="44" s="1"/>
  <c r="BI59" i="5"/>
  <c r="BI19" i="5" s="1"/>
  <c r="BI64" i="5"/>
  <c r="BI20" i="5" s="1"/>
  <c r="BI69" i="5"/>
  <c r="BI21" i="5"/>
  <c r="BI22" i="5"/>
  <c r="BI80" i="5"/>
  <c r="BI24" i="5" s="1"/>
  <c r="BI27" i="5" s="1"/>
  <c r="BI85" i="5"/>
  <c r="BI25" i="5"/>
  <c r="BI90" i="5"/>
  <c r="BI26" i="5"/>
  <c r="BI32" i="7"/>
  <c r="BJ6" i="44"/>
  <c r="BJ102" i="44"/>
  <c r="BJ107" i="44" s="1"/>
  <c r="BJ13" i="1"/>
  <c r="BJ14" i="1"/>
  <c r="BJ15" i="1"/>
  <c r="BJ19" i="1"/>
  <c r="BJ20" i="1"/>
  <c r="BJ21" i="1"/>
  <c r="BJ22" i="1"/>
  <c r="BJ30" i="44" s="1"/>
  <c r="BJ25" i="1"/>
  <c r="BJ26" i="1"/>
  <c r="BJ27" i="1"/>
  <c r="BJ28" i="1"/>
  <c r="BJ41" i="44"/>
  <c r="BJ38" i="5"/>
  <c r="BJ13" i="5" s="1"/>
  <c r="BJ16" i="5" s="1"/>
  <c r="BJ43" i="5"/>
  <c r="BJ14" i="5"/>
  <c r="BJ48" i="5"/>
  <c r="BJ15" i="5"/>
  <c r="BJ59" i="5"/>
  <c r="BJ19" i="5"/>
  <c r="BJ22" i="5" s="1"/>
  <c r="BJ64" i="5"/>
  <c r="BJ20" i="5" s="1"/>
  <c r="BJ69" i="5"/>
  <c r="BJ21" i="5" s="1"/>
  <c r="BJ80" i="5"/>
  <c r="BJ24" i="5"/>
  <c r="BJ85" i="5"/>
  <c r="BJ25" i="5" s="1"/>
  <c r="BJ90" i="5"/>
  <c r="BJ26" i="5"/>
  <c r="BJ32" i="7"/>
  <c r="BK6" i="44"/>
  <c r="BK102" i="44"/>
  <c r="BK107" i="44" s="1"/>
  <c r="BK13" i="1"/>
  <c r="BK14" i="1"/>
  <c r="BK15" i="1"/>
  <c r="BK16" i="1"/>
  <c r="BK19" i="44"/>
  <c r="BK19" i="1"/>
  <c r="BK20" i="1"/>
  <c r="BK21" i="1"/>
  <c r="BK22" i="1"/>
  <c r="BK30" i="44"/>
  <c r="BK25" i="1"/>
  <c r="BK26" i="1"/>
  <c r="BK27" i="1"/>
  <c r="BK38" i="5"/>
  <c r="BK13" i="5"/>
  <c r="BK43" i="5"/>
  <c r="BK14" i="5"/>
  <c r="BK48" i="5"/>
  <c r="BK15" i="5" s="1"/>
  <c r="BK59" i="5"/>
  <c r="BK19" i="5"/>
  <c r="BK64" i="5"/>
  <c r="BK20" i="5" s="1"/>
  <c r="BK69" i="5"/>
  <c r="BK21" i="5"/>
  <c r="BK80" i="5"/>
  <c r="BK24" i="5" s="1"/>
  <c r="BK85" i="5"/>
  <c r="BK25" i="5"/>
  <c r="BK90" i="5"/>
  <c r="BK26" i="5"/>
  <c r="BK27" i="5" s="1"/>
  <c r="BK32" i="7"/>
  <c r="BL6" i="44"/>
  <c r="BL102" i="44" s="1"/>
  <c r="BL13" i="1"/>
  <c r="BL16" i="1" s="1"/>
  <c r="BL19" i="44" s="1"/>
  <c r="BL14" i="1"/>
  <c r="BL15" i="1"/>
  <c r="BL19" i="1"/>
  <c r="BL22" i="1" s="1"/>
  <c r="BL30" i="44" s="1"/>
  <c r="BL20" i="1"/>
  <c r="BL21" i="1"/>
  <c r="BL25" i="1"/>
  <c r="BL26" i="1"/>
  <c r="BL27" i="1"/>
  <c r="BL28" i="1"/>
  <c r="BL41" i="44" s="1"/>
  <c r="BL38" i="5"/>
  <c r="BL13" i="5" s="1"/>
  <c r="BL43" i="5"/>
  <c r="BL14" i="5" s="1"/>
  <c r="BL48" i="5"/>
  <c r="BL15" i="5"/>
  <c r="BL16" i="5"/>
  <c r="BL59" i="5"/>
  <c r="BL19" i="5" s="1"/>
  <c r="BL22" i="5" s="1"/>
  <c r="BL64" i="5"/>
  <c r="BL20" i="5"/>
  <c r="BL69" i="5"/>
  <c r="BL21" i="5"/>
  <c r="BL80" i="5"/>
  <c r="BL24" i="5"/>
  <c r="BL27" i="5" s="1"/>
  <c r="BL85" i="5"/>
  <c r="BL25" i="5" s="1"/>
  <c r="BL90" i="5"/>
  <c r="BL26" i="5" s="1"/>
  <c r="BL32" i="7"/>
  <c r="BM6" i="44"/>
  <c r="BM102" i="44"/>
  <c r="BM107" i="44"/>
  <c r="BM13" i="1"/>
  <c r="BM14" i="1"/>
  <c r="BM15" i="1"/>
  <c r="BM19" i="1"/>
  <c r="BM20" i="1"/>
  <c r="BM21" i="1"/>
  <c r="BM22" i="1"/>
  <c r="BM30" i="44" s="1"/>
  <c r="BM25" i="1"/>
  <c r="BM28" i="1" s="1"/>
  <c r="BM41" i="44" s="1"/>
  <c r="BM26" i="1"/>
  <c r="BM27" i="1"/>
  <c r="BM38" i="5"/>
  <c r="BM13" i="5"/>
  <c r="BM43" i="5"/>
  <c r="BM14" i="5" s="1"/>
  <c r="BM48" i="5"/>
  <c r="BM15" i="5" s="1"/>
  <c r="BM59" i="5"/>
  <c r="BM19" i="5" s="1"/>
  <c r="BM22" i="5" s="1"/>
  <c r="BM64" i="5"/>
  <c r="BM20" i="5" s="1"/>
  <c r="BM69" i="5"/>
  <c r="BM21" i="5"/>
  <c r="BM80" i="5"/>
  <c r="BM24" i="5"/>
  <c r="BM85" i="5"/>
  <c r="BM25" i="5" s="1"/>
  <c r="BM90" i="5"/>
  <c r="BM26" i="5" s="1"/>
  <c r="BM32" i="7"/>
  <c r="BN6" i="44"/>
  <c r="BN102" i="44" s="1"/>
  <c r="BN107" i="44" s="1"/>
  <c r="BN13" i="1"/>
  <c r="BN14" i="1"/>
  <c r="BN15" i="1"/>
  <c r="BN16" i="1" s="1"/>
  <c r="BN19" i="44" s="1"/>
  <c r="BN105" i="44" s="1"/>
  <c r="BN19" i="1"/>
  <c r="BN22" i="1" s="1"/>
  <c r="BN30" i="44" s="1"/>
  <c r="BN20" i="1"/>
  <c r="BN21" i="1"/>
  <c r="BN25" i="1"/>
  <c r="BN26" i="1"/>
  <c r="BN27" i="1"/>
  <c r="BN28" i="1" s="1"/>
  <c r="BN41" i="44" s="1"/>
  <c r="BN38" i="5"/>
  <c r="BN13" i="5"/>
  <c r="BN43" i="5"/>
  <c r="BN14" i="5" s="1"/>
  <c r="BN48" i="5"/>
  <c r="BN15" i="5" s="1"/>
  <c r="BN59" i="5"/>
  <c r="BN19" i="5" s="1"/>
  <c r="BN64" i="5"/>
  <c r="BN20" i="5"/>
  <c r="BN69" i="5"/>
  <c r="BN21" i="5"/>
  <c r="BN22" i="5" s="1"/>
  <c r="BN80" i="5"/>
  <c r="BN24" i="5"/>
  <c r="BN85" i="5"/>
  <c r="BN25" i="5"/>
  <c r="BN90" i="5"/>
  <c r="BN26" i="5"/>
  <c r="BN27" i="5"/>
  <c r="BN32" i="7"/>
  <c r="BO6" i="44"/>
  <c r="BO102" i="44"/>
  <c r="BO13" i="1"/>
  <c r="BO14" i="1"/>
  <c r="BO15" i="1"/>
  <c r="BO19" i="1"/>
  <c r="BO22" i="1" s="1"/>
  <c r="BO30" i="44" s="1"/>
  <c r="BO20" i="1"/>
  <c r="BO21" i="1"/>
  <c r="BO25" i="1"/>
  <c r="BO26" i="1"/>
  <c r="BO27" i="1"/>
  <c r="BO28" i="1"/>
  <c r="BO41" i="44" s="1"/>
  <c r="BO38" i="5"/>
  <c r="BO13" i="5"/>
  <c r="BO43" i="5"/>
  <c r="BO14" i="5"/>
  <c r="BO48" i="5"/>
  <c r="BO15" i="5"/>
  <c r="BO16" i="5" s="1"/>
  <c r="BO59" i="5"/>
  <c r="BO19" i="5" s="1"/>
  <c r="BO22" i="5" s="1"/>
  <c r="BO64" i="5"/>
  <c r="BO20" i="5" s="1"/>
  <c r="BO69" i="5"/>
  <c r="BO21" i="5" s="1"/>
  <c r="BO80" i="5"/>
  <c r="BO24" i="5"/>
  <c r="BO85" i="5"/>
  <c r="BO25" i="5" s="1"/>
  <c r="BO90" i="5"/>
  <c r="BO26" i="5"/>
  <c r="BO32" i="7"/>
  <c r="BP6" i="44"/>
  <c r="BP102" i="44" s="1"/>
  <c r="BP107" i="44" s="1"/>
  <c r="BP13" i="1"/>
  <c r="BP14" i="1"/>
  <c r="BP15" i="1"/>
  <c r="BP16" i="1"/>
  <c r="BP19" i="44" s="1"/>
  <c r="BP19" i="1"/>
  <c r="BP22" i="1" s="1"/>
  <c r="BP30" i="44" s="1"/>
  <c r="BP20" i="1"/>
  <c r="BP21" i="1"/>
  <c r="BP25" i="1"/>
  <c r="BP26" i="1"/>
  <c r="BP27" i="1"/>
  <c r="BP28" i="1"/>
  <c r="BP41" i="44" s="1"/>
  <c r="BP38" i="5"/>
  <c r="BP13" i="5"/>
  <c r="BP43" i="5"/>
  <c r="BP14" i="5"/>
  <c r="BP48" i="5"/>
  <c r="BP15" i="5"/>
  <c r="BP16" i="5" s="1"/>
  <c r="BP59" i="5"/>
  <c r="BP19" i="5" s="1"/>
  <c r="BP22" i="5" s="1"/>
  <c r="BP64" i="5"/>
  <c r="BP20" i="5" s="1"/>
  <c r="BP69" i="5"/>
  <c r="BP21" i="5" s="1"/>
  <c r="BP80" i="5"/>
  <c r="BP24" i="5" s="1"/>
  <c r="BP85" i="5"/>
  <c r="BP25" i="5" s="1"/>
  <c r="BP90" i="5"/>
  <c r="BP26" i="5" s="1"/>
  <c r="BP32" i="7"/>
  <c r="BQ6" i="44"/>
  <c r="BQ102" i="44"/>
  <c r="BQ107" i="44" s="1"/>
  <c r="BQ13" i="1"/>
  <c r="BQ14" i="1"/>
  <c r="BQ15" i="1"/>
  <c r="BQ16" i="1"/>
  <c r="BQ19" i="44" s="1"/>
  <c r="BQ19" i="1"/>
  <c r="BQ20" i="1"/>
  <c r="BQ21" i="1"/>
  <c r="BQ22" i="1" s="1"/>
  <c r="BQ30" i="44" s="1"/>
  <c r="BQ25" i="1"/>
  <c r="BQ28" i="1" s="1"/>
  <c r="BQ41" i="44" s="1"/>
  <c r="BQ26" i="1"/>
  <c r="BQ27" i="1"/>
  <c r="BQ38" i="5"/>
  <c r="BQ13" i="5"/>
  <c r="BQ43" i="5"/>
  <c r="BQ14" i="5"/>
  <c r="BQ48" i="5"/>
  <c r="BQ15" i="5" s="1"/>
  <c r="BQ59" i="5"/>
  <c r="BQ19" i="5" s="1"/>
  <c r="BQ22" i="5" s="1"/>
  <c r="BQ64" i="5"/>
  <c r="BQ20" i="5"/>
  <c r="BQ69" i="5"/>
  <c r="BQ21" i="5" s="1"/>
  <c r="BQ80" i="5"/>
  <c r="BQ24" i="5"/>
  <c r="BQ85" i="5"/>
  <c r="BQ25" i="5"/>
  <c r="BQ90" i="5"/>
  <c r="BQ26" i="5"/>
  <c r="BQ27" i="5" s="1"/>
  <c r="BQ32" i="7"/>
  <c r="BR6" i="44"/>
  <c r="BR102" i="44"/>
  <c r="BR13" i="1"/>
  <c r="BR16" i="1" s="1"/>
  <c r="BR19" i="44" s="1"/>
  <c r="BR14" i="1"/>
  <c r="BR15" i="1"/>
  <c r="BR19" i="1"/>
  <c r="BR20" i="1"/>
  <c r="BR21" i="1"/>
  <c r="BR22" i="1" s="1"/>
  <c r="BR30" i="44" s="1"/>
  <c r="BR25" i="1"/>
  <c r="BR26" i="1"/>
  <c r="BR28" i="1" s="1"/>
  <c r="BR41" i="44" s="1"/>
  <c r="BR27" i="1"/>
  <c r="BR38" i="5"/>
  <c r="BR13" i="5" s="1"/>
  <c r="BR16" i="5" s="1"/>
  <c r="BR43" i="5"/>
  <c r="BR14" i="5"/>
  <c r="BR48" i="5"/>
  <c r="BR15" i="5"/>
  <c r="BR59" i="5"/>
  <c r="BR19" i="5" s="1"/>
  <c r="BR64" i="5"/>
  <c r="BR20" i="5" s="1"/>
  <c r="BR69" i="5"/>
  <c r="BR21" i="5" s="1"/>
  <c r="BR80" i="5"/>
  <c r="BR24" i="5"/>
  <c r="BR27" i="5" s="1"/>
  <c r="BR85" i="5"/>
  <c r="BR25" i="5" s="1"/>
  <c r="BR90" i="5"/>
  <c r="BR26" i="5"/>
  <c r="BR32" i="7"/>
  <c r="J108" i="44"/>
  <c r="BQ6" i="48"/>
  <c r="BQ25" i="48" s="1"/>
  <c r="BQ51" i="48" s="1"/>
  <c r="BP6" i="48"/>
  <c r="BP28" i="48" s="1"/>
  <c r="BP30" i="48" s="1"/>
  <c r="BP42" i="48" s="1"/>
  <c r="BO6" i="48"/>
  <c r="BO28" i="48" s="1"/>
  <c r="BO30" i="48" s="1"/>
  <c r="BN6" i="48"/>
  <c r="BN28" i="48"/>
  <c r="BN30" i="48" s="1"/>
  <c r="BM6" i="48"/>
  <c r="BM25" i="48" s="1"/>
  <c r="BM51" i="48" s="1"/>
  <c r="BL6" i="48"/>
  <c r="BL28" i="48" s="1"/>
  <c r="BL30" i="48" s="1"/>
  <c r="BL40" i="13" s="1"/>
  <c r="BK6" i="48"/>
  <c r="BK26" i="48" s="1"/>
  <c r="BK52" i="48" s="1"/>
  <c r="BJ6" i="48"/>
  <c r="BJ28" i="48"/>
  <c r="BJ30" i="48" s="1"/>
  <c r="BJ40" i="13" s="1"/>
  <c r="BI6" i="48"/>
  <c r="BI25" i="48" s="1"/>
  <c r="BI51" i="48" s="1"/>
  <c r="BH6" i="48"/>
  <c r="BH28" i="48" s="1"/>
  <c r="BH30" i="48" s="1"/>
  <c r="BH40" i="13" s="1"/>
  <c r="BG6" i="48"/>
  <c r="BG28" i="48" s="1"/>
  <c r="BG30" i="48" s="1"/>
  <c r="BE6" i="48"/>
  <c r="BE28" i="48"/>
  <c r="BE30" i="48" s="1"/>
  <c r="BE40" i="13" s="1"/>
  <c r="BD6" i="48"/>
  <c r="BD25" i="48" s="1"/>
  <c r="BD51" i="48" s="1"/>
  <c r="BC6" i="48"/>
  <c r="BC28" i="48" s="1"/>
  <c r="BC30" i="48" s="1"/>
  <c r="BC40" i="13" s="1"/>
  <c r="BB6" i="48"/>
  <c r="BB26" i="48" s="1"/>
  <c r="BB52" i="48" s="1"/>
  <c r="BA6" i="48"/>
  <c r="BA28" i="48"/>
  <c r="BA30" i="48" s="1"/>
  <c r="BA42" i="48" s="1"/>
  <c r="AZ6" i="48"/>
  <c r="AZ25" i="48" s="1"/>
  <c r="AZ51" i="48" s="1"/>
  <c r="AY6" i="48"/>
  <c r="AY28" i="48" s="1"/>
  <c r="AY30" i="48" s="1"/>
  <c r="AX6" i="48"/>
  <c r="AX28" i="48" s="1"/>
  <c r="AX30" i="48" s="1"/>
  <c r="AX40" i="13" s="1"/>
  <c r="AW6" i="48"/>
  <c r="AW28" i="48"/>
  <c r="AW30" i="48" s="1"/>
  <c r="AW40" i="13" s="1"/>
  <c r="AV6" i="48"/>
  <c r="AV25" i="48" s="1"/>
  <c r="AV51" i="48" s="1"/>
  <c r="AU6" i="48"/>
  <c r="AU28" i="48" s="1"/>
  <c r="AU30" i="48" s="1"/>
  <c r="AU42" i="48" s="1"/>
  <c r="AS6" i="48"/>
  <c r="AS26" i="48" s="1"/>
  <c r="AS52" i="48" s="1"/>
  <c r="AR6" i="48"/>
  <c r="AR28" i="48"/>
  <c r="AR30" i="48" s="1"/>
  <c r="AQ6" i="48"/>
  <c r="AQ25" i="48" s="1"/>
  <c r="AQ51" i="48" s="1"/>
  <c r="AP6" i="48"/>
  <c r="AP28" i="48" s="1"/>
  <c r="AP30" i="48" s="1"/>
  <c r="AP40" i="13" s="1"/>
  <c r="AO6" i="48"/>
  <c r="AO28" i="48" s="1"/>
  <c r="AO30" i="48" s="1"/>
  <c r="AO40" i="13" s="1"/>
  <c r="AN6" i="48"/>
  <c r="AN28" i="48"/>
  <c r="AN30" i="48" s="1"/>
  <c r="AM6" i="48"/>
  <c r="AL6" i="48"/>
  <c r="AL28" i="48" s="1"/>
  <c r="AL30" i="48" s="1"/>
  <c r="AK6" i="48"/>
  <c r="AK26" i="48" s="1"/>
  <c r="AK52" i="48" s="1"/>
  <c r="AJ6" i="48"/>
  <c r="AJ28" i="48"/>
  <c r="AJ30" i="48" s="1"/>
  <c r="AJ40" i="13" s="1"/>
  <c r="AI6" i="48"/>
  <c r="AG6" i="48"/>
  <c r="AG28" i="48" s="1"/>
  <c r="AG30" i="48" s="1"/>
  <c r="AG42" i="48" s="1"/>
  <c r="AF6" i="48"/>
  <c r="AF28" i="48" s="1"/>
  <c r="AF30" i="48" s="1"/>
  <c r="AE6" i="48"/>
  <c r="AE28" i="48"/>
  <c r="AE30" i="48" s="1"/>
  <c r="AD6" i="48"/>
  <c r="AC6" i="48"/>
  <c r="AC28" i="48" s="1"/>
  <c r="AC30" i="48" s="1"/>
  <c r="AC42" i="48" s="1"/>
  <c r="AB6" i="48"/>
  <c r="AB26" i="48" s="1"/>
  <c r="AB52" i="48" s="1"/>
  <c r="AA6" i="48"/>
  <c r="AA28" i="48"/>
  <c r="AA30" i="48" s="1"/>
  <c r="Z6" i="48"/>
  <c r="Y6" i="48"/>
  <c r="Y28" i="48" s="1"/>
  <c r="Y30" i="48" s="1"/>
  <c r="Y42" i="48" s="1"/>
  <c r="X6" i="48"/>
  <c r="X28" i="48" s="1"/>
  <c r="X30" i="48" s="1"/>
  <c r="W6" i="48"/>
  <c r="W28" i="48"/>
  <c r="W30" i="48" s="1"/>
  <c r="W40" i="13" s="1"/>
  <c r="U6" i="48"/>
  <c r="T6" i="48"/>
  <c r="T28" i="48" s="1"/>
  <c r="T30" i="48" s="1"/>
  <c r="T40" i="13" s="1"/>
  <c r="S6" i="48"/>
  <c r="S26" i="48" s="1"/>
  <c r="S52" i="48" s="1"/>
  <c r="R6" i="48"/>
  <c r="R28" i="48"/>
  <c r="R30" i="48" s="1"/>
  <c r="R40" i="13" s="1"/>
  <c r="Q6" i="48"/>
  <c r="P6" i="48"/>
  <c r="P28" i="48" s="1"/>
  <c r="P30" i="48" s="1"/>
  <c r="P42" i="48" s="1"/>
  <c r="O6" i="48"/>
  <c r="O28" i="48" s="1"/>
  <c r="O30" i="48" s="1"/>
  <c r="O40" i="13" s="1"/>
  <c r="N6" i="48"/>
  <c r="N28" i="48"/>
  <c r="N30" i="48" s="1"/>
  <c r="N40" i="13" s="1"/>
  <c r="M6" i="48"/>
  <c r="M26" i="48" s="1"/>
  <c r="M52" i="48" s="1"/>
  <c r="L6" i="48"/>
  <c r="L28" i="48" s="1"/>
  <c r="L30" i="48" s="1"/>
  <c r="L40" i="13" s="1"/>
  <c r="BP26" i="48"/>
  <c r="BP52" i="48" s="1"/>
  <c r="BN26" i="48"/>
  <c r="BN52" i="48" s="1"/>
  <c r="BM26" i="48"/>
  <c r="BM52" i="48" s="1"/>
  <c r="BL26" i="48"/>
  <c r="BL52" i="48" s="1"/>
  <c r="BJ26" i="48"/>
  <c r="BJ52" i="48" s="1"/>
  <c r="BH26" i="48"/>
  <c r="BH52" i="48" s="1"/>
  <c r="BE26" i="48"/>
  <c r="BE52" i="48" s="1"/>
  <c r="BD26" i="48"/>
  <c r="BD52" i="48" s="1"/>
  <c r="BC26" i="48"/>
  <c r="BC52" i="48" s="1"/>
  <c r="BA26" i="48"/>
  <c r="BA52" i="48" s="1"/>
  <c r="AY26" i="48"/>
  <c r="AY52" i="48" s="1"/>
  <c r="AW26" i="48"/>
  <c r="AW52" i="48" s="1"/>
  <c r="AV26" i="48"/>
  <c r="AV52" i="48" s="1"/>
  <c r="AU26" i="48"/>
  <c r="AU52" i="48" s="1"/>
  <c r="AR26" i="48"/>
  <c r="AR52" i="48" s="1"/>
  <c r="AP26" i="48"/>
  <c r="AP52" i="48" s="1"/>
  <c r="AN26" i="48"/>
  <c r="AN52" i="48" s="1"/>
  <c r="AL26" i="48"/>
  <c r="AL52" i="48" s="1"/>
  <c r="AJ26" i="48"/>
  <c r="AJ52" i="48" s="1"/>
  <c r="AG26" i="48"/>
  <c r="AG52" i="48" s="1"/>
  <c r="AE26" i="48"/>
  <c r="AE52" i="48" s="1"/>
  <c r="AD26" i="48"/>
  <c r="AD52" i="48" s="1"/>
  <c r="AC26" i="48"/>
  <c r="AC52" i="48" s="1"/>
  <c r="AA26" i="48"/>
  <c r="AA52" i="48" s="1"/>
  <c r="Y26" i="48"/>
  <c r="Y52" i="48" s="1"/>
  <c r="W26" i="48"/>
  <c r="W52" i="48" s="1"/>
  <c r="T26" i="48"/>
  <c r="T52" i="48" s="1"/>
  <c r="R26" i="48"/>
  <c r="R52" i="48" s="1"/>
  <c r="P26" i="48"/>
  <c r="P52" i="48" s="1"/>
  <c r="N26" i="48"/>
  <c r="N52" i="48" s="1"/>
  <c r="L26" i="48"/>
  <c r="L52" i="48" s="1"/>
  <c r="BP25" i="48"/>
  <c r="BP51" i="48" s="1"/>
  <c r="BO25" i="48"/>
  <c r="BO51" i="48" s="1"/>
  <c r="BN25" i="48"/>
  <c r="BN51" i="48" s="1"/>
  <c r="BL25" i="48"/>
  <c r="BL51" i="48" s="1"/>
  <c r="BK25" i="48"/>
  <c r="BK51" i="48" s="1"/>
  <c r="BJ25" i="48"/>
  <c r="BJ51" i="48" s="1"/>
  <c r="BH25" i="48"/>
  <c r="BH51" i="48" s="1"/>
  <c r="BG25" i="48"/>
  <c r="BG51" i="48" s="1"/>
  <c r="BE25" i="48"/>
  <c r="BE51" i="48" s="1"/>
  <c r="BC25" i="48"/>
  <c r="BC51" i="48" s="1"/>
  <c r="BB25" i="48"/>
  <c r="BB51" i="48" s="1"/>
  <c r="BA25" i="48"/>
  <c r="BA51" i="48" s="1"/>
  <c r="AY25" i="48"/>
  <c r="AY51" i="48" s="1"/>
  <c r="AX25" i="48"/>
  <c r="AX51" i="48" s="1"/>
  <c r="AW25" i="48"/>
  <c r="AW51" i="48" s="1"/>
  <c r="AU25" i="48"/>
  <c r="AU51" i="48" s="1"/>
  <c r="AS25" i="48"/>
  <c r="AS51" i="48" s="1"/>
  <c r="AR25" i="48"/>
  <c r="AR51" i="48" s="1"/>
  <c r="AP25" i="48"/>
  <c r="AP51" i="48" s="1"/>
  <c r="AO25" i="48"/>
  <c r="AO51" i="48" s="1"/>
  <c r="AN25" i="48"/>
  <c r="AN51" i="48" s="1"/>
  <c r="AL25" i="48"/>
  <c r="AL51" i="48" s="1"/>
  <c r="AK25" i="48"/>
  <c r="AK51" i="48" s="1"/>
  <c r="AJ25" i="48"/>
  <c r="AJ51" i="48" s="1"/>
  <c r="AG25" i="48"/>
  <c r="AG51" i="48" s="1"/>
  <c r="AF25" i="48"/>
  <c r="AF51" i="48" s="1"/>
  <c r="AE25" i="48"/>
  <c r="AE51" i="48" s="1"/>
  <c r="AC25" i="48"/>
  <c r="AC51" i="48" s="1"/>
  <c r="AB25" i="48"/>
  <c r="AB51" i="48" s="1"/>
  <c r="AA25" i="48"/>
  <c r="AA51" i="48" s="1"/>
  <c r="Y25" i="48"/>
  <c r="Y51" i="48" s="1"/>
  <c r="X25" i="48"/>
  <c r="X51" i="48" s="1"/>
  <c r="W25" i="48"/>
  <c r="W51" i="48" s="1"/>
  <c r="T25" i="48"/>
  <c r="T51" i="48" s="1"/>
  <c r="S25" i="48"/>
  <c r="S51" i="48" s="1"/>
  <c r="R25" i="48"/>
  <c r="R51" i="48" s="1"/>
  <c r="P25" i="48"/>
  <c r="P51" i="48" s="1"/>
  <c r="O25" i="48"/>
  <c r="O51" i="48" s="1"/>
  <c r="N25" i="48"/>
  <c r="N51" i="48" s="1"/>
  <c r="L25" i="48"/>
  <c r="L51" i="48" s="1"/>
  <c r="K6" i="48"/>
  <c r="K28" i="48"/>
  <c r="K30" i="48" s="1"/>
  <c r="K40" i="13" s="1"/>
  <c r="F35" i="53"/>
  <c r="G35" i="53"/>
  <c r="E35" i="53"/>
  <c r="D178" i="2"/>
  <c r="D35" i="53"/>
  <c r="A3" i="59"/>
  <c r="A5" i="53"/>
  <c r="K225" i="11"/>
  <c r="K81" i="11"/>
  <c r="D212" i="11"/>
  <c r="K189" i="11"/>
  <c r="D176" i="11"/>
  <c r="K153" i="11"/>
  <c r="D140" i="11"/>
  <c r="K117" i="11"/>
  <c r="D104" i="11"/>
  <c r="D33" i="11"/>
  <c r="D68" i="11"/>
  <c r="D27" i="44"/>
  <c r="F47" i="6"/>
  <c r="G47" i="6" s="1"/>
  <c r="H47" i="6" s="1"/>
  <c r="I47" i="6" s="1"/>
  <c r="F48" i="6"/>
  <c r="G48" i="6"/>
  <c r="H48" i="6" s="1"/>
  <c r="I48" i="6" s="1"/>
  <c r="F49" i="6"/>
  <c r="G49" i="6" s="1"/>
  <c r="H49" i="6" s="1"/>
  <c r="I49" i="6" s="1"/>
  <c r="F50" i="6"/>
  <c r="G50" i="6"/>
  <c r="H50" i="6" s="1"/>
  <c r="I50" i="6" s="1"/>
  <c r="F51" i="6"/>
  <c r="G51" i="6" s="1"/>
  <c r="H51" i="6" s="1"/>
  <c r="I51" i="6" s="1"/>
  <c r="F52" i="6"/>
  <c r="G52" i="6"/>
  <c r="H52" i="6" s="1"/>
  <c r="I52" i="6" s="1"/>
  <c r="F53" i="6"/>
  <c r="G53" i="6"/>
  <c r="H53" i="6" s="1"/>
  <c r="I53" i="6" s="1"/>
  <c r="F54" i="6"/>
  <c r="G54" i="6"/>
  <c r="H54" i="6" s="1"/>
  <c r="I54" i="6" s="1"/>
  <c r="F55" i="6"/>
  <c r="G55" i="6"/>
  <c r="H55" i="6" s="1"/>
  <c r="I55" i="6" s="1"/>
  <c r="F56" i="6"/>
  <c r="G56" i="6"/>
  <c r="H56" i="6" s="1"/>
  <c r="I56" i="6" s="1"/>
  <c r="F57" i="6"/>
  <c r="G57" i="6" s="1"/>
  <c r="H57" i="6" s="1"/>
  <c r="I57" i="6" s="1"/>
  <c r="F58" i="6"/>
  <c r="G58" i="6"/>
  <c r="H58" i="6" s="1"/>
  <c r="I58" i="6" s="1"/>
  <c r="F59" i="6"/>
  <c r="G59" i="6"/>
  <c r="H59" i="6"/>
  <c r="I59" i="6" s="1"/>
  <c r="F60" i="6"/>
  <c r="G60" i="6"/>
  <c r="H60" i="6" s="1"/>
  <c r="I60" i="6" s="1"/>
  <c r="F61" i="6"/>
  <c r="G61" i="6"/>
  <c r="H61" i="6"/>
  <c r="I61" i="6" s="1"/>
  <c r="F62" i="6"/>
  <c r="G62" i="6"/>
  <c r="H62" i="6" s="1"/>
  <c r="I62" i="6" s="1"/>
  <c r="F63" i="6"/>
  <c r="G63" i="6" s="1"/>
  <c r="H63" i="6" s="1"/>
  <c r="I63" i="6" s="1"/>
  <c r="F64" i="6"/>
  <c r="G64" i="6"/>
  <c r="H64" i="6" s="1"/>
  <c r="I64" i="6" s="1"/>
  <c r="F65" i="6"/>
  <c r="G65" i="6" s="1"/>
  <c r="H65" i="6" s="1"/>
  <c r="I65" i="6" s="1"/>
  <c r="F46" i="6"/>
  <c r="G46" i="6"/>
  <c r="H46" i="6" s="1"/>
  <c r="I46" i="6" s="1"/>
  <c r="G165" i="2"/>
  <c r="G160" i="2"/>
  <c r="G155" i="2"/>
  <c r="G123" i="2"/>
  <c r="G118" i="2"/>
  <c r="G111" i="2"/>
  <c r="H5" i="2"/>
  <c r="E5" i="7" s="1"/>
  <c r="F72" i="2"/>
  <c r="D31" i="11" s="1"/>
  <c r="D37" i="11" s="1"/>
  <c r="N110" i="54"/>
  <c r="W110" i="54" s="1"/>
  <c r="D114" i="53"/>
  <c r="D113" i="53"/>
  <c r="F87" i="53"/>
  <c r="G87" i="53"/>
  <c r="E87" i="53"/>
  <c r="D87" i="53"/>
  <c r="D36" i="50"/>
  <c r="D94" i="6"/>
  <c r="C23" i="56"/>
  <c r="G103" i="54"/>
  <c r="F103" i="54"/>
  <c r="E103" i="54"/>
  <c r="D103" i="54"/>
  <c r="G83" i="54"/>
  <c r="F83" i="54"/>
  <c r="E83" i="54"/>
  <c r="D83" i="54"/>
  <c r="G105" i="53"/>
  <c r="P103" i="54" s="1"/>
  <c r="Y103" i="54"/>
  <c r="F105" i="53"/>
  <c r="O103" i="54" s="1"/>
  <c r="E105" i="53"/>
  <c r="N103" i="54" s="1"/>
  <c r="D105" i="53"/>
  <c r="G84" i="53"/>
  <c r="P83" i="54" s="1"/>
  <c r="F84" i="53"/>
  <c r="O83" i="54" s="1"/>
  <c r="E84" i="53"/>
  <c r="N83" i="54" s="1"/>
  <c r="W83" i="54" s="1"/>
  <c r="D84" i="53"/>
  <c r="D33" i="50"/>
  <c r="D18" i="49"/>
  <c r="D202" i="2"/>
  <c r="D132" i="2"/>
  <c r="D107" i="44"/>
  <c r="D106" i="44"/>
  <c r="D105" i="44"/>
  <c r="D104" i="44"/>
  <c r="D25" i="49"/>
  <c r="D35" i="13"/>
  <c r="BR32" i="57"/>
  <c r="BR25" i="49"/>
  <c r="BQ32" i="57"/>
  <c r="BP32" i="57"/>
  <c r="BP35" i="13"/>
  <c r="BO32" i="57"/>
  <c r="BO25" i="49" s="1"/>
  <c r="BN32" i="57"/>
  <c r="BM32" i="57"/>
  <c r="BL32" i="57"/>
  <c r="BK32" i="57"/>
  <c r="BK25" i="49" s="1"/>
  <c r="BJ32" i="57"/>
  <c r="BI32" i="57"/>
  <c r="BI25" i="49" s="1"/>
  <c r="BH32" i="57"/>
  <c r="BH35" i="13"/>
  <c r="BG32" i="57"/>
  <c r="BG35" i="13" s="1"/>
  <c r="BF32" i="57"/>
  <c r="BF25" i="49"/>
  <c r="BE32" i="57"/>
  <c r="BD32" i="57"/>
  <c r="BC32" i="57"/>
  <c r="BC35" i="13" s="1"/>
  <c r="BC25" i="49"/>
  <c r="BB32" i="57"/>
  <c r="BB35" i="13" s="1"/>
  <c r="BA32" i="57"/>
  <c r="BA35" i="13"/>
  <c r="AZ32" i="57"/>
  <c r="AZ35" i="13" s="1"/>
  <c r="AY32" i="57"/>
  <c r="AX32" i="57"/>
  <c r="AW32" i="57"/>
  <c r="AV32" i="57"/>
  <c r="AU32" i="57"/>
  <c r="AU25" i="49"/>
  <c r="AT32" i="57"/>
  <c r="AS32" i="57"/>
  <c r="AR32" i="57"/>
  <c r="AR35" i="13"/>
  <c r="AQ32" i="57"/>
  <c r="AQ35" i="13" s="1"/>
  <c r="AP32" i="57"/>
  <c r="AP25" i="49" s="1"/>
  <c r="AO32" i="57"/>
  <c r="AO25" i="49" s="1"/>
  <c r="AN32" i="57"/>
  <c r="AM32" i="57"/>
  <c r="AM25" i="49" s="1"/>
  <c r="AL32" i="57"/>
  <c r="AK32" i="57"/>
  <c r="AJ32" i="57"/>
  <c r="AJ35" i="13"/>
  <c r="AI32" i="57"/>
  <c r="AI35" i="13"/>
  <c r="AH32" i="57"/>
  <c r="AG32" i="57"/>
  <c r="AF32" i="57"/>
  <c r="AE32" i="57"/>
  <c r="AE35" i="13" s="1"/>
  <c r="AD32" i="57"/>
  <c r="AC32" i="57"/>
  <c r="AC25" i="49"/>
  <c r="AB32" i="57"/>
  <c r="AB25" i="49" s="1"/>
  <c r="AA32" i="57"/>
  <c r="AA25" i="49"/>
  <c r="Z32" i="57"/>
  <c r="Z35" i="13" s="1"/>
  <c r="Y32" i="57"/>
  <c r="X32" i="57"/>
  <c r="W32" i="57"/>
  <c r="W25" i="49" s="1"/>
  <c r="V32" i="57"/>
  <c r="U32" i="57"/>
  <c r="T32" i="57"/>
  <c r="T35" i="13" s="1"/>
  <c r="S32" i="57"/>
  <c r="S25" i="49" s="1"/>
  <c r="R32" i="57"/>
  <c r="R35" i="13"/>
  <c r="Q32" i="57"/>
  <c r="Q35" i="13"/>
  <c r="P32" i="57"/>
  <c r="O32" i="57"/>
  <c r="O25" i="49" s="1"/>
  <c r="N32" i="57"/>
  <c r="N25" i="49" s="1"/>
  <c r="M32" i="57"/>
  <c r="L32" i="57"/>
  <c r="L25" i="49" s="1"/>
  <c r="K32" i="57"/>
  <c r="K25" i="49"/>
  <c r="D32" i="57"/>
  <c r="D31" i="57"/>
  <c r="D30" i="57"/>
  <c r="D29" i="57"/>
  <c r="D28" i="57"/>
  <c r="D27" i="57"/>
  <c r="D26" i="57"/>
  <c r="D25" i="57"/>
  <c r="D24" i="57"/>
  <c r="D23" i="57"/>
  <c r="D22" i="57"/>
  <c r="D21" i="57"/>
  <c r="D20" i="57"/>
  <c r="D19" i="57"/>
  <c r="D18" i="57"/>
  <c r="D17" i="57"/>
  <c r="D16" i="57"/>
  <c r="D15" i="57"/>
  <c r="D14" i="57"/>
  <c r="D13" i="57"/>
  <c r="D12" i="57"/>
  <c r="A10" i="57"/>
  <c r="D8" i="57"/>
  <c r="D7" i="57"/>
  <c r="BR6" i="57"/>
  <c r="BQ6" i="57"/>
  <c r="BP6" i="57"/>
  <c r="BO6" i="57"/>
  <c r="BN6" i="57"/>
  <c r="BM6" i="57"/>
  <c r="BL6" i="57"/>
  <c r="BK6" i="57"/>
  <c r="BJ6" i="57"/>
  <c r="BI6" i="57"/>
  <c r="BH6" i="57"/>
  <c r="BG6" i="57"/>
  <c r="BF6" i="57"/>
  <c r="BE6" i="57"/>
  <c r="BD6" i="57"/>
  <c r="BC6" i="57"/>
  <c r="BB6" i="57"/>
  <c r="BA6" i="57"/>
  <c r="AZ6" i="57"/>
  <c r="AY6" i="57"/>
  <c r="AX6" i="57"/>
  <c r="AW6" i="57"/>
  <c r="AV6" i="57"/>
  <c r="AU6" i="57"/>
  <c r="AT6" i="57"/>
  <c r="AS6" i="57"/>
  <c r="AR6" i="57"/>
  <c r="AQ6" i="57"/>
  <c r="AP6" i="57"/>
  <c r="AO6" i="57"/>
  <c r="AN6" i="57"/>
  <c r="AM6" i="57"/>
  <c r="AL6" i="57"/>
  <c r="AK6" i="57"/>
  <c r="AJ6" i="57"/>
  <c r="AI6" i="57"/>
  <c r="AH6" i="57"/>
  <c r="AG6" i="57"/>
  <c r="AF6" i="57"/>
  <c r="AE6" i="57"/>
  <c r="AD6" i="57"/>
  <c r="AC6" i="57"/>
  <c r="AB6" i="57"/>
  <c r="AA6" i="57"/>
  <c r="Z6" i="57"/>
  <c r="Y6" i="57"/>
  <c r="X6" i="57"/>
  <c r="W6" i="57"/>
  <c r="V6" i="57"/>
  <c r="U6" i="57"/>
  <c r="T6" i="57"/>
  <c r="S6" i="57"/>
  <c r="R6" i="57"/>
  <c r="Q6" i="57"/>
  <c r="P6" i="57"/>
  <c r="O6" i="57"/>
  <c r="N6" i="57"/>
  <c r="M6" i="57"/>
  <c r="L6" i="57"/>
  <c r="K6" i="57"/>
  <c r="I6" i="57"/>
  <c r="H6" i="57"/>
  <c r="G6" i="57"/>
  <c r="F6" i="57"/>
  <c r="E6" i="57"/>
  <c r="D6" i="57"/>
  <c r="D5" i="57"/>
  <c r="A3" i="57"/>
  <c r="D41" i="49"/>
  <c r="C52" i="1"/>
  <c r="F87" i="2"/>
  <c r="D23" i="56"/>
  <c r="D26" i="56"/>
  <c r="D137" i="11"/>
  <c r="G38" i="54"/>
  <c r="F38" i="54"/>
  <c r="E38" i="54"/>
  <c r="G128" i="53"/>
  <c r="G124" i="54" s="1"/>
  <c r="F128" i="53"/>
  <c r="F124" i="54"/>
  <c r="E128" i="53"/>
  <c r="E124" i="54"/>
  <c r="F126" i="53"/>
  <c r="E126" i="53"/>
  <c r="N122" i="54"/>
  <c r="G37" i="53"/>
  <c r="P38" i="54"/>
  <c r="F37" i="53"/>
  <c r="O38" i="54" s="1"/>
  <c r="E37" i="53"/>
  <c r="N38" i="54"/>
  <c r="AM35" i="13"/>
  <c r="AQ25" i="49"/>
  <c r="AY35" i="13"/>
  <c r="AY25" i="49"/>
  <c r="BK35" i="13"/>
  <c r="BO35" i="13"/>
  <c r="AJ25" i="49"/>
  <c r="AR25" i="49"/>
  <c r="BH25" i="49"/>
  <c r="BP25" i="49"/>
  <c r="AI25" i="49"/>
  <c r="AC35" i="13"/>
  <c r="BF35" i="13"/>
  <c r="AB35" i="13"/>
  <c r="K35" i="13"/>
  <c r="W35" i="13"/>
  <c r="AA35" i="13"/>
  <c r="D150" i="56"/>
  <c r="D149" i="56"/>
  <c r="D152" i="56"/>
  <c r="D148" i="56"/>
  <c r="C24" i="56"/>
  <c r="C123" i="56"/>
  <c r="C122" i="56"/>
  <c r="D124" i="56"/>
  <c r="D123" i="56"/>
  <c r="D126" i="56"/>
  <c r="D122" i="56"/>
  <c r="D99" i="56"/>
  <c r="D97" i="56"/>
  <c r="D105" i="56"/>
  <c r="D98" i="56"/>
  <c r="D101" i="56" s="1"/>
  <c r="D73" i="56"/>
  <c r="D78" i="56" s="1"/>
  <c r="D72" i="56"/>
  <c r="D75" i="56" s="1"/>
  <c r="D71" i="56"/>
  <c r="B146" i="56"/>
  <c r="B120" i="56"/>
  <c r="B95" i="56"/>
  <c r="B69" i="56"/>
  <c r="B43" i="56"/>
  <c r="D24" i="56"/>
  <c r="D40" i="56"/>
  <c r="J40" i="56"/>
  <c r="D22" i="56"/>
  <c r="C46" i="56"/>
  <c r="C72" i="56"/>
  <c r="C98" i="56" s="1"/>
  <c r="C45" i="56"/>
  <c r="C71" i="56"/>
  <c r="C97" i="56" s="1"/>
  <c r="C47" i="56"/>
  <c r="C73" i="56"/>
  <c r="C99" i="56"/>
  <c r="D47" i="56"/>
  <c r="D46" i="56"/>
  <c r="D49" i="56"/>
  <c r="D45" i="56"/>
  <c r="D17" i="56"/>
  <c r="J17" i="56"/>
  <c r="D135" i="2"/>
  <c r="D169" i="56"/>
  <c r="D168" i="56"/>
  <c r="D167" i="56"/>
  <c r="D166" i="56"/>
  <c r="D143" i="56"/>
  <c r="D142" i="56"/>
  <c r="D141" i="56"/>
  <c r="D140" i="56"/>
  <c r="D118" i="56"/>
  <c r="D117" i="56"/>
  <c r="D116" i="56"/>
  <c r="D115" i="56"/>
  <c r="D92" i="56"/>
  <c r="D91" i="56"/>
  <c r="D90" i="56"/>
  <c r="D89" i="56"/>
  <c r="D66" i="56"/>
  <c r="D65" i="56"/>
  <c r="D64" i="56"/>
  <c r="D63" i="56"/>
  <c r="D39" i="56"/>
  <c r="D38" i="56"/>
  <c r="D16" i="56"/>
  <c r="D15" i="56"/>
  <c r="D14" i="56"/>
  <c r="A10" i="56"/>
  <c r="B12" i="56" s="1"/>
  <c r="D8" i="56"/>
  <c r="D7" i="56"/>
  <c r="BR6" i="56"/>
  <c r="BQ6" i="56"/>
  <c r="BP6" i="56"/>
  <c r="BO6" i="56"/>
  <c r="BN6" i="56"/>
  <c r="BM6" i="56"/>
  <c r="BL6" i="56"/>
  <c r="BK6" i="56"/>
  <c r="BJ6" i="56"/>
  <c r="BI6" i="56"/>
  <c r="BH6" i="56"/>
  <c r="BG6" i="56"/>
  <c r="BF6" i="56"/>
  <c r="BE6" i="56"/>
  <c r="BD6" i="56"/>
  <c r="BC6" i="56"/>
  <c r="BB6" i="56"/>
  <c r="BA6" i="56"/>
  <c r="AZ6" i="56"/>
  <c r="AY6" i="56"/>
  <c r="AX6" i="56"/>
  <c r="AW6" i="56"/>
  <c r="AV6" i="56"/>
  <c r="AU6" i="56"/>
  <c r="AT6" i="56"/>
  <c r="AS6" i="56"/>
  <c r="AR6" i="56"/>
  <c r="AQ6" i="56"/>
  <c r="AP6" i="56"/>
  <c r="AO6" i="56"/>
  <c r="AN6" i="56"/>
  <c r="AM6" i="56"/>
  <c r="AL6" i="56"/>
  <c r="AK6" i="56"/>
  <c r="AJ6" i="56"/>
  <c r="AI6" i="56"/>
  <c r="AH6" i="56"/>
  <c r="AG6" i="56"/>
  <c r="AF6" i="56"/>
  <c r="AE6" i="56"/>
  <c r="AD6" i="56"/>
  <c r="AC6" i="56"/>
  <c r="AB6" i="56"/>
  <c r="AA6" i="56"/>
  <c r="Z6" i="56"/>
  <c r="Y6" i="56"/>
  <c r="X6" i="56"/>
  <c r="W6" i="56"/>
  <c r="V6" i="56"/>
  <c r="U6" i="56"/>
  <c r="T6" i="56"/>
  <c r="S6" i="56"/>
  <c r="R6" i="56"/>
  <c r="Q6" i="56"/>
  <c r="P6" i="56"/>
  <c r="O6" i="56"/>
  <c r="N6" i="56"/>
  <c r="M6" i="56"/>
  <c r="L6" i="56"/>
  <c r="K6" i="56"/>
  <c r="I6" i="56"/>
  <c r="H6" i="56"/>
  <c r="G6" i="56"/>
  <c r="F6" i="56"/>
  <c r="E6" i="56"/>
  <c r="D6" i="56"/>
  <c r="D5" i="56"/>
  <c r="A3" i="56"/>
  <c r="BR22" i="55"/>
  <c r="BR26" i="49"/>
  <c r="BN22" i="55"/>
  <c r="BN26" i="49"/>
  <c r="BJ22" i="55"/>
  <c r="BJ26" i="49" s="1"/>
  <c r="BF22" i="55"/>
  <c r="BF26" i="49"/>
  <c r="BB22" i="55"/>
  <c r="BB26" i="49"/>
  <c r="AX22" i="55"/>
  <c r="AX26" i="49"/>
  <c r="AT22" i="55"/>
  <c r="AT26" i="49" s="1"/>
  <c r="AP22" i="55"/>
  <c r="AP26" i="49"/>
  <c r="AL22" i="55"/>
  <c r="AL26" i="49" s="1"/>
  <c r="AH22" i="55"/>
  <c r="AH26" i="49"/>
  <c r="AD22" i="55"/>
  <c r="AD26" i="49" s="1"/>
  <c r="Z22" i="55"/>
  <c r="Z26" i="49"/>
  <c r="V22" i="55"/>
  <c r="V26" i="49"/>
  <c r="R22" i="55"/>
  <c r="R26" i="49"/>
  <c r="D26" i="49"/>
  <c r="BQ22" i="55"/>
  <c r="BQ26" i="49"/>
  <c r="BP22" i="55"/>
  <c r="BP26" i="49"/>
  <c r="BO22" i="55"/>
  <c r="BO26" i="49" s="1"/>
  <c r="BM22" i="55"/>
  <c r="BM26" i="49"/>
  <c r="BL22" i="55"/>
  <c r="BL26" i="49"/>
  <c r="BK22" i="55"/>
  <c r="BK26" i="49"/>
  <c r="BI22" i="55"/>
  <c r="BI26" i="49" s="1"/>
  <c r="BH22" i="55"/>
  <c r="BH26" i="49" s="1"/>
  <c r="BG22" i="55"/>
  <c r="BG26" i="49"/>
  <c r="BE22" i="55"/>
  <c r="BE26" i="49"/>
  <c r="BD22" i="55"/>
  <c r="BD26" i="49" s="1"/>
  <c r="BC22" i="55"/>
  <c r="BC26" i="49"/>
  <c r="BA22" i="55"/>
  <c r="BA26" i="49"/>
  <c r="AZ22" i="55"/>
  <c r="AZ26" i="49"/>
  <c r="AY22" i="55"/>
  <c r="AY26" i="49" s="1"/>
  <c r="AW22" i="55"/>
  <c r="AW26" i="49" s="1"/>
  <c r="AV22" i="55"/>
  <c r="AV26" i="49"/>
  <c r="AU22" i="55"/>
  <c r="AU26" i="49"/>
  <c r="AS22" i="55"/>
  <c r="AS26" i="49" s="1"/>
  <c r="AR22" i="55"/>
  <c r="AR26" i="49" s="1"/>
  <c r="AQ22" i="55"/>
  <c r="AQ26" i="49"/>
  <c r="AO22" i="55"/>
  <c r="AO26" i="49"/>
  <c r="AN22" i="55"/>
  <c r="AN26" i="49" s="1"/>
  <c r="AM22" i="55"/>
  <c r="AM26" i="49"/>
  <c r="AK22" i="55"/>
  <c r="AK26" i="49"/>
  <c r="AJ22" i="55"/>
  <c r="AJ26" i="49"/>
  <c r="AI22" i="55"/>
  <c r="AI26" i="49" s="1"/>
  <c r="AG22" i="55"/>
  <c r="AG26" i="49" s="1"/>
  <c r="AF22" i="55"/>
  <c r="AF26" i="49"/>
  <c r="AE22" i="55"/>
  <c r="AE26" i="49"/>
  <c r="AC22" i="55"/>
  <c r="AC26" i="49" s="1"/>
  <c r="AB22" i="55"/>
  <c r="AB26" i="49"/>
  <c r="AA22" i="55"/>
  <c r="AA26" i="49"/>
  <c r="Y22" i="55"/>
  <c r="Y26" i="49"/>
  <c r="X22" i="55"/>
  <c r="X26" i="49" s="1"/>
  <c r="W22" i="55"/>
  <c r="W26" i="49"/>
  <c r="U22" i="55"/>
  <c r="U26" i="49"/>
  <c r="T22" i="55"/>
  <c r="T26" i="49"/>
  <c r="S22" i="55"/>
  <c r="S26" i="49" s="1"/>
  <c r="Q22" i="55"/>
  <c r="Q26" i="49" s="1"/>
  <c r="P22" i="55"/>
  <c r="P26" i="49"/>
  <c r="O22" i="55"/>
  <c r="O26" i="49"/>
  <c r="N22" i="55"/>
  <c r="N26" i="49" s="1"/>
  <c r="M22" i="55"/>
  <c r="M26" i="49"/>
  <c r="L22" i="55"/>
  <c r="L26" i="49"/>
  <c r="K22" i="55"/>
  <c r="K41" i="50"/>
  <c r="D22" i="55"/>
  <c r="D21" i="55"/>
  <c r="D20" i="55"/>
  <c r="D19" i="55"/>
  <c r="D18" i="55"/>
  <c r="D17" i="55"/>
  <c r="D16" i="55"/>
  <c r="D15" i="55"/>
  <c r="D14" i="55"/>
  <c r="D13" i="55"/>
  <c r="D12" i="55"/>
  <c r="A10" i="55"/>
  <c r="D8" i="55"/>
  <c r="D7" i="55"/>
  <c r="BR6" i="55"/>
  <c r="BQ6" i="55"/>
  <c r="BP6" i="55"/>
  <c r="BO6" i="55"/>
  <c r="BN6" i="55"/>
  <c r="BM6" i="55"/>
  <c r="BL6" i="55"/>
  <c r="BK6" i="55"/>
  <c r="BJ6" i="55"/>
  <c r="BI6" i="55"/>
  <c r="BH6" i="55"/>
  <c r="BG6" i="55"/>
  <c r="BF6" i="55"/>
  <c r="BE6" i="55"/>
  <c r="BD6" i="55"/>
  <c r="BC6" i="55"/>
  <c r="BB6" i="55"/>
  <c r="BA6" i="55"/>
  <c r="AZ6" i="55"/>
  <c r="AY6" i="55"/>
  <c r="AX6" i="55"/>
  <c r="AW6" i="55"/>
  <c r="AV6" i="55"/>
  <c r="AU6" i="55"/>
  <c r="AT6" i="55"/>
  <c r="AS6" i="55"/>
  <c r="AR6" i="55"/>
  <c r="AQ6" i="55"/>
  <c r="AP6" i="55"/>
  <c r="AO6" i="55"/>
  <c r="AN6" i="55"/>
  <c r="AM6" i="55"/>
  <c r="AL6" i="55"/>
  <c r="AK6" i="55"/>
  <c r="AJ6" i="55"/>
  <c r="AI6" i="55"/>
  <c r="AH6" i="55"/>
  <c r="AG6" i="55"/>
  <c r="AF6" i="55"/>
  <c r="AE6" i="55"/>
  <c r="AD6" i="55"/>
  <c r="AC6" i="55"/>
  <c r="AB6" i="55"/>
  <c r="AA6" i="55"/>
  <c r="Z6" i="55"/>
  <c r="Y6" i="55"/>
  <c r="X6" i="55"/>
  <c r="W6" i="55"/>
  <c r="V6" i="55"/>
  <c r="U6" i="55"/>
  <c r="T6" i="55"/>
  <c r="S6" i="55"/>
  <c r="R6" i="55"/>
  <c r="Q6" i="55"/>
  <c r="P6" i="55"/>
  <c r="O6" i="55"/>
  <c r="N6" i="55"/>
  <c r="M6" i="55"/>
  <c r="L6" i="55"/>
  <c r="K6" i="55"/>
  <c r="I6" i="55"/>
  <c r="H6" i="55"/>
  <c r="G6" i="55"/>
  <c r="F6" i="55"/>
  <c r="E6" i="55"/>
  <c r="D6" i="55"/>
  <c r="D5" i="55"/>
  <c r="A3" i="55"/>
  <c r="N121" i="54"/>
  <c r="N119" i="54"/>
  <c r="W119" i="54" s="1"/>
  <c r="N117" i="54"/>
  <c r="W117" i="54"/>
  <c r="N115" i="54"/>
  <c r="W115" i="54" s="1"/>
  <c r="N113" i="54"/>
  <c r="W113" i="54"/>
  <c r="N108" i="54"/>
  <c r="W108" i="54" s="1"/>
  <c r="N87" i="54"/>
  <c r="W87" i="54"/>
  <c r="N77" i="54"/>
  <c r="W77" i="54"/>
  <c r="N72" i="54"/>
  <c r="W72" i="54"/>
  <c r="N67" i="54"/>
  <c r="W67" i="54" s="1"/>
  <c r="N56" i="54"/>
  <c r="W56" i="54"/>
  <c r="N55" i="54"/>
  <c r="W55" i="54"/>
  <c r="N54" i="54"/>
  <c r="W54" i="54"/>
  <c r="N53" i="54"/>
  <c r="W53" i="54" s="1"/>
  <c r="N51" i="54"/>
  <c r="N49" i="54"/>
  <c r="E118" i="54"/>
  <c r="E116" i="54"/>
  <c r="E114" i="54"/>
  <c r="E112" i="54"/>
  <c r="E111" i="54"/>
  <c r="E109" i="54"/>
  <c r="E107" i="54"/>
  <c r="E106" i="54"/>
  <c r="E102" i="54"/>
  <c r="E104" i="53"/>
  <c r="N102" i="54" s="1"/>
  <c r="W102" i="54" s="1"/>
  <c r="E101" i="54"/>
  <c r="E100" i="54"/>
  <c r="E99" i="54"/>
  <c r="E91" i="54"/>
  <c r="E90" i="54"/>
  <c r="E86" i="54"/>
  <c r="E85" i="54"/>
  <c r="E84" i="54"/>
  <c r="E82" i="54"/>
  <c r="E81" i="54"/>
  <c r="E78" i="54"/>
  <c r="E76" i="54"/>
  <c r="E75" i="54"/>
  <c r="E74" i="54"/>
  <c r="E71" i="54"/>
  <c r="E70" i="54"/>
  <c r="E69" i="54"/>
  <c r="E66" i="54"/>
  <c r="E65" i="54"/>
  <c r="E64" i="54"/>
  <c r="E63" i="54"/>
  <c r="E62" i="54"/>
  <c r="E44" i="54"/>
  <c r="E41" i="54"/>
  <c r="E37" i="54"/>
  <c r="E36" i="54"/>
  <c r="E33" i="54"/>
  <c r="E32" i="54"/>
  <c r="E31" i="54"/>
  <c r="E27" i="54"/>
  <c r="W27" i="54" s="1"/>
  <c r="E26" i="54"/>
  <c r="E25" i="54"/>
  <c r="E22" i="54"/>
  <c r="E21" i="54"/>
  <c r="E20" i="54"/>
  <c r="E17" i="54"/>
  <c r="E16" i="54"/>
  <c r="E15" i="54"/>
  <c r="E122" i="53"/>
  <c r="N118" i="54"/>
  <c r="E120" i="53"/>
  <c r="N116" i="54" s="1"/>
  <c r="E118" i="53"/>
  <c r="N114" i="54" s="1"/>
  <c r="E116" i="53"/>
  <c r="N112" i="54" s="1"/>
  <c r="W112" i="54" s="1"/>
  <c r="E115" i="53"/>
  <c r="N111" i="54"/>
  <c r="E111" i="53"/>
  <c r="N109" i="54"/>
  <c r="E109" i="53"/>
  <c r="N107" i="54"/>
  <c r="E108" i="53"/>
  <c r="N106" i="54" s="1"/>
  <c r="E103" i="53"/>
  <c r="N101" i="54"/>
  <c r="E102" i="53"/>
  <c r="N100" i="54"/>
  <c r="E101" i="53"/>
  <c r="N99" i="54"/>
  <c r="E63" i="53"/>
  <c r="N62" i="54" s="1"/>
  <c r="E64" i="53"/>
  <c r="N63" i="54" s="1"/>
  <c r="E65" i="53"/>
  <c r="N64" i="54"/>
  <c r="E66" i="53"/>
  <c r="N65" i="54"/>
  <c r="E67" i="53"/>
  <c r="N66" i="54" s="1"/>
  <c r="E70" i="53"/>
  <c r="E71" i="53"/>
  <c r="N70" i="54" s="1"/>
  <c r="E72" i="53"/>
  <c r="N71" i="54" s="1"/>
  <c r="W71" i="54" s="1"/>
  <c r="E75" i="53"/>
  <c r="E76" i="53"/>
  <c r="N75" i="54"/>
  <c r="E77" i="53"/>
  <c r="N76" i="54" s="1"/>
  <c r="E79" i="53"/>
  <c r="N78" i="54" s="1"/>
  <c r="E82" i="53"/>
  <c r="N81" i="54" s="1"/>
  <c r="E83" i="53"/>
  <c r="N82" i="54"/>
  <c r="E85" i="53"/>
  <c r="N84" i="54" s="1"/>
  <c r="E86" i="53"/>
  <c r="N85" i="54"/>
  <c r="W85" i="54"/>
  <c r="E88" i="53"/>
  <c r="N86" i="54" s="1"/>
  <c r="E92" i="53"/>
  <c r="N90" i="54" s="1"/>
  <c r="E93" i="53"/>
  <c r="N91" i="54"/>
  <c r="E13" i="53"/>
  <c r="E14" i="53"/>
  <c r="N16" i="54" s="1"/>
  <c r="W16" i="54" s="1"/>
  <c r="E15" i="53"/>
  <c r="N17" i="54"/>
  <c r="E18" i="53"/>
  <c r="E19" i="53"/>
  <c r="N21" i="54"/>
  <c r="E20" i="53"/>
  <c r="N22" i="54"/>
  <c r="W22" i="54" s="1"/>
  <c r="E23" i="53"/>
  <c r="N25" i="54" s="1"/>
  <c r="W25" i="54"/>
  <c r="E24" i="53"/>
  <c r="N26" i="54" s="1"/>
  <c r="E25" i="53"/>
  <c r="N27" i="54"/>
  <c r="E29" i="53"/>
  <c r="E30" i="53"/>
  <c r="E31" i="53"/>
  <c r="N33" i="54"/>
  <c r="W33" i="54" s="1"/>
  <c r="E34" i="53"/>
  <c r="N36" i="54"/>
  <c r="W36" i="54"/>
  <c r="E36" i="53"/>
  <c r="N37" i="54" s="1"/>
  <c r="E40" i="53"/>
  <c r="N41" i="54"/>
  <c r="E43" i="53"/>
  <c r="N44" i="54" s="1"/>
  <c r="E165" i="2"/>
  <c r="E160" i="2"/>
  <c r="E170" i="2" s="1"/>
  <c r="E155" i="2"/>
  <c r="E175" i="2"/>
  <c r="E181" i="2" s="1"/>
  <c r="E143" i="2"/>
  <c r="E123" i="2"/>
  <c r="E118" i="2"/>
  <c r="E111" i="2"/>
  <c r="E138" i="2" s="1"/>
  <c r="E145" i="2" s="1"/>
  <c r="D35" i="1"/>
  <c r="K26" i="49"/>
  <c r="C149" i="56"/>
  <c r="C148" i="56"/>
  <c r="A20" i="56"/>
  <c r="D67" i="11"/>
  <c r="D127" i="53"/>
  <c r="D126" i="53"/>
  <c r="D124" i="53"/>
  <c r="D122" i="53"/>
  <c r="D120" i="53"/>
  <c r="D118" i="53"/>
  <c r="D116" i="53"/>
  <c r="D115" i="53"/>
  <c r="D111" i="53"/>
  <c r="D109" i="53"/>
  <c r="D108" i="53"/>
  <c r="D106" i="53"/>
  <c r="D104" i="53"/>
  <c r="D103" i="53"/>
  <c r="D102" i="53"/>
  <c r="D101" i="53"/>
  <c r="D99" i="53"/>
  <c r="D123" i="54"/>
  <c r="D122" i="54"/>
  <c r="D120" i="54"/>
  <c r="D118" i="54"/>
  <c r="D116" i="54"/>
  <c r="D114" i="54"/>
  <c r="D112" i="54"/>
  <c r="D111" i="54"/>
  <c r="D109" i="54"/>
  <c r="D107" i="54"/>
  <c r="D106" i="54"/>
  <c r="D104" i="54"/>
  <c r="D102" i="54"/>
  <c r="D101" i="54"/>
  <c r="D100" i="54"/>
  <c r="D99" i="54"/>
  <c r="D97" i="54"/>
  <c r="U121" i="54"/>
  <c r="T121" i="54"/>
  <c r="S121" i="54"/>
  <c r="R121" i="54"/>
  <c r="Q121" i="54"/>
  <c r="P121" i="54"/>
  <c r="O121" i="54"/>
  <c r="U119" i="54"/>
  <c r="AD119" i="54" s="1"/>
  <c r="T119" i="54"/>
  <c r="AC119" i="54"/>
  <c r="S119" i="54"/>
  <c r="AB119" i="54"/>
  <c r="R119" i="54"/>
  <c r="AA119" i="54" s="1"/>
  <c r="Q119" i="54"/>
  <c r="Z119" i="54" s="1"/>
  <c r="P119" i="54"/>
  <c r="Y119" i="54"/>
  <c r="O119" i="54"/>
  <c r="X119" i="54" s="1"/>
  <c r="U117" i="54"/>
  <c r="AD117" i="54" s="1"/>
  <c r="T117" i="54"/>
  <c r="AC117" i="54"/>
  <c r="S117" i="54"/>
  <c r="AB117" i="54"/>
  <c r="R117" i="54"/>
  <c r="AA117" i="54" s="1"/>
  <c r="Q117" i="54"/>
  <c r="Z117" i="54" s="1"/>
  <c r="P117" i="54"/>
  <c r="Y117" i="54" s="1"/>
  <c r="O117" i="54"/>
  <c r="X117" i="54"/>
  <c r="U115" i="54"/>
  <c r="AD115" i="54"/>
  <c r="T115" i="54"/>
  <c r="AC115" i="54" s="1"/>
  <c r="S115" i="54"/>
  <c r="AB115" i="54"/>
  <c r="R115" i="54"/>
  <c r="AA115" i="54"/>
  <c r="Q115" i="54"/>
  <c r="Z115" i="54" s="1"/>
  <c r="P115" i="54"/>
  <c r="Y115" i="54" s="1"/>
  <c r="O115" i="54"/>
  <c r="X115" i="54" s="1"/>
  <c r="U113" i="54"/>
  <c r="AD113" i="54"/>
  <c r="T113" i="54"/>
  <c r="AC113" i="54" s="1"/>
  <c r="S113" i="54"/>
  <c r="AB113" i="54" s="1"/>
  <c r="R113" i="54"/>
  <c r="AA113" i="54" s="1"/>
  <c r="Q113" i="54"/>
  <c r="Z113" i="54"/>
  <c r="P113" i="54"/>
  <c r="Y113" i="54"/>
  <c r="O113" i="54"/>
  <c r="X113" i="54" s="1"/>
  <c r="P110" i="54"/>
  <c r="Y110" i="54"/>
  <c r="O110" i="54"/>
  <c r="X110" i="54"/>
  <c r="U108" i="54"/>
  <c r="AD108" i="54" s="1"/>
  <c r="T108" i="54"/>
  <c r="AC108" i="54" s="1"/>
  <c r="S108" i="54"/>
  <c r="AB108" i="54" s="1"/>
  <c r="R108" i="54"/>
  <c r="AA108" i="54"/>
  <c r="Q108" i="54"/>
  <c r="Z108" i="54"/>
  <c r="P108" i="54"/>
  <c r="Y108" i="54" s="1"/>
  <c r="O108" i="54"/>
  <c r="X108" i="54" s="1"/>
  <c r="U87" i="54"/>
  <c r="AD87" i="54"/>
  <c r="T87" i="54"/>
  <c r="AC87" i="54"/>
  <c r="S87" i="54"/>
  <c r="AB87" i="54" s="1"/>
  <c r="R87" i="54"/>
  <c r="AA87" i="54"/>
  <c r="Q87" i="54"/>
  <c r="Z87" i="54"/>
  <c r="P87" i="54"/>
  <c r="Y87" i="54" s="1"/>
  <c r="O87" i="54"/>
  <c r="X87" i="54" s="1"/>
  <c r="U77" i="54"/>
  <c r="AD77" i="54" s="1"/>
  <c r="T77" i="54"/>
  <c r="AC77" i="54"/>
  <c r="S77" i="54"/>
  <c r="AB77" i="54"/>
  <c r="R77" i="54"/>
  <c r="AA77" i="54" s="1"/>
  <c r="Q77" i="54"/>
  <c r="Z77" i="54"/>
  <c r="P77" i="54"/>
  <c r="Y77" i="54"/>
  <c r="O77" i="54"/>
  <c r="X77" i="54" s="1"/>
  <c r="U72" i="54"/>
  <c r="AD72" i="54" s="1"/>
  <c r="T72" i="54"/>
  <c r="AC72" i="54" s="1"/>
  <c r="S72" i="54"/>
  <c r="AB72" i="54"/>
  <c r="R72" i="54"/>
  <c r="AA72" i="54" s="1"/>
  <c r="Q72" i="54"/>
  <c r="Z72" i="54" s="1"/>
  <c r="P72" i="54"/>
  <c r="Y72" i="54" s="1"/>
  <c r="O72" i="54"/>
  <c r="X72" i="54"/>
  <c r="U67" i="54"/>
  <c r="AD67" i="54"/>
  <c r="T67" i="54"/>
  <c r="AC67" i="54" s="1"/>
  <c r="S67" i="54"/>
  <c r="AB67" i="54"/>
  <c r="R67" i="54"/>
  <c r="AA67" i="54" s="1"/>
  <c r="Q67" i="54"/>
  <c r="Z67" i="54"/>
  <c r="P67" i="54"/>
  <c r="Y67" i="54" s="1"/>
  <c r="O67" i="54"/>
  <c r="X67" i="54" s="1"/>
  <c r="P56" i="54"/>
  <c r="Y56" i="54" s="1"/>
  <c r="O56" i="54"/>
  <c r="X56" i="54" s="1"/>
  <c r="P55" i="54"/>
  <c r="Y55" i="54" s="1"/>
  <c r="O55" i="54"/>
  <c r="X55" i="54" s="1"/>
  <c r="P54" i="54"/>
  <c r="Y54" i="54" s="1"/>
  <c r="O54" i="54"/>
  <c r="X54" i="54" s="1"/>
  <c r="U53" i="54"/>
  <c r="AD53" i="54" s="1"/>
  <c r="T53" i="54"/>
  <c r="AC53" i="54"/>
  <c r="S53" i="54"/>
  <c r="AB53" i="54" s="1"/>
  <c r="R53" i="54"/>
  <c r="AA53" i="54"/>
  <c r="Q53" i="54"/>
  <c r="Z53" i="54" s="1"/>
  <c r="P53" i="54"/>
  <c r="Y53" i="54"/>
  <c r="O53" i="54"/>
  <c r="X53" i="54" s="1"/>
  <c r="G118" i="54"/>
  <c r="F118" i="54"/>
  <c r="G116" i="54"/>
  <c r="F116" i="54"/>
  <c r="G114" i="54"/>
  <c r="F114" i="54"/>
  <c r="G112" i="54"/>
  <c r="F112" i="54"/>
  <c r="G111" i="54"/>
  <c r="F111" i="54"/>
  <c r="G109" i="54"/>
  <c r="F109" i="54"/>
  <c r="G107" i="54"/>
  <c r="F107" i="54"/>
  <c r="G106" i="54"/>
  <c r="F106" i="54"/>
  <c r="G102" i="54"/>
  <c r="F102" i="54"/>
  <c r="G101" i="54"/>
  <c r="F101" i="54"/>
  <c r="G100" i="54"/>
  <c r="F100" i="54"/>
  <c r="G99" i="54"/>
  <c r="F99" i="54"/>
  <c r="D93" i="54"/>
  <c r="CF91" i="54"/>
  <c r="CE91" i="54"/>
  <c r="CD91" i="54"/>
  <c r="CC91" i="54"/>
  <c r="CB91" i="54"/>
  <c r="CA91" i="54"/>
  <c r="BZ91" i="54"/>
  <c r="BY91" i="54"/>
  <c r="BX91" i="54"/>
  <c r="BW91" i="54"/>
  <c r="BV91" i="54"/>
  <c r="BU91" i="54"/>
  <c r="BT91" i="54"/>
  <c r="BS91" i="54"/>
  <c r="BR91" i="54"/>
  <c r="BQ91" i="54"/>
  <c r="BP91" i="54"/>
  <c r="BO91" i="54"/>
  <c r="BN91" i="54"/>
  <c r="BM91" i="54"/>
  <c r="BL91" i="54"/>
  <c r="BK91" i="54"/>
  <c r="BJ91" i="54"/>
  <c r="BI91" i="54"/>
  <c r="BH91" i="54"/>
  <c r="BG91" i="54"/>
  <c r="BF91" i="54"/>
  <c r="BE91" i="54"/>
  <c r="BD91" i="54"/>
  <c r="BC91" i="54"/>
  <c r="BB91" i="54"/>
  <c r="BA91" i="54"/>
  <c r="AZ91" i="54"/>
  <c r="AY91" i="54"/>
  <c r="AX91" i="54"/>
  <c r="AW91" i="54"/>
  <c r="AV91" i="54"/>
  <c r="AU91" i="54"/>
  <c r="AT91" i="54"/>
  <c r="AS91" i="54"/>
  <c r="AR91" i="54"/>
  <c r="AQ91" i="54"/>
  <c r="AP91" i="54"/>
  <c r="AO91" i="54"/>
  <c r="AN91" i="54"/>
  <c r="AM91" i="54"/>
  <c r="AL91" i="54"/>
  <c r="AK91" i="54"/>
  <c r="AJ91" i="54"/>
  <c r="AI91" i="54"/>
  <c r="AH91" i="54"/>
  <c r="AG91" i="54"/>
  <c r="G91" i="54"/>
  <c r="F91" i="54"/>
  <c r="D91" i="54"/>
  <c r="AG90" i="54"/>
  <c r="G90" i="54"/>
  <c r="G93" i="54" s="1"/>
  <c r="F90" i="54"/>
  <c r="D90" i="54"/>
  <c r="D88" i="54"/>
  <c r="G86" i="54"/>
  <c r="F86" i="54"/>
  <c r="D86" i="54"/>
  <c r="G85" i="54"/>
  <c r="F85" i="54"/>
  <c r="D85" i="54"/>
  <c r="G84" i="54"/>
  <c r="F84" i="54"/>
  <c r="D84" i="54"/>
  <c r="G82" i="54"/>
  <c r="F82" i="54"/>
  <c r="D82" i="54"/>
  <c r="G81" i="54"/>
  <c r="F81" i="54"/>
  <c r="D81" i="54"/>
  <c r="G78" i="54"/>
  <c r="F78" i="54"/>
  <c r="D78" i="54"/>
  <c r="CF76" i="54"/>
  <c r="CE76" i="54"/>
  <c r="CD76" i="54"/>
  <c r="CC76" i="54"/>
  <c r="CB76" i="54"/>
  <c r="CA76" i="54"/>
  <c r="BZ76" i="54"/>
  <c r="BY76" i="54"/>
  <c r="BX76" i="54"/>
  <c r="BW76" i="54"/>
  <c r="BV76" i="54"/>
  <c r="BU76" i="54"/>
  <c r="BT76" i="54"/>
  <c r="BS76" i="54"/>
  <c r="BR76" i="54"/>
  <c r="BQ76" i="54"/>
  <c r="BP76" i="54"/>
  <c r="BO76" i="54"/>
  <c r="BN76" i="54"/>
  <c r="BM76" i="54"/>
  <c r="BL76" i="54"/>
  <c r="BK76" i="54"/>
  <c r="BJ76" i="54"/>
  <c r="BI76" i="54"/>
  <c r="BH76" i="54"/>
  <c r="BG76" i="54"/>
  <c r="BG73" i="54" s="1"/>
  <c r="BF76" i="54"/>
  <c r="BE76" i="54"/>
  <c r="BD76" i="54"/>
  <c r="BC76" i="54"/>
  <c r="BB76" i="54"/>
  <c r="BA76" i="54"/>
  <c r="AZ76" i="54"/>
  <c r="AY76" i="54"/>
  <c r="AX76" i="54"/>
  <c r="AW76" i="54"/>
  <c r="AV76" i="54"/>
  <c r="AU76" i="54"/>
  <c r="AT76" i="54"/>
  <c r="AS76" i="54"/>
  <c r="AR76" i="54"/>
  <c r="AQ76" i="54"/>
  <c r="AP76" i="54"/>
  <c r="AO76" i="54"/>
  <c r="AN76" i="54"/>
  <c r="AM76" i="54"/>
  <c r="AL76" i="54"/>
  <c r="AK76" i="54"/>
  <c r="AJ76" i="54"/>
  <c r="AI76" i="54"/>
  <c r="AH76" i="54"/>
  <c r="AG76" i="54"/>
  <c r="G76" i="54"/>
  <c r="F76" i="54"/>
  <c r="D76" i="54"/>
  <c r="CF75" i="54"/>
  <c r="CE75" i="54"/>
  <c r="CD75" i="54"/>
  <c r="CC75" i="54"/>
  <c r="CC74" i="54"/>
  <c r="CC73" i="54"/>
  <c r="CB75" i="54"/>
  <c r="CA75" i="54"/>
  <c r="BZ75" i="54"/>
  <c r="BY75" i="54"/>
  <c r="BX75" i="54"/>
  <c r="BX73" i="54" s="1"/>
  <c r="BW75" i="54"/>
  <c r="BV75" i="54"/>
  <c r="BU75" i="54"/>
  <c r="BT75" i="54"/>
  <c r="BS75" i="54"/>
  <c r="BR75" i="54"/>
  <c r="BQ75" i="54"/>
  <c r="BP75" i="54"/>
  <c r="BO75" i="54"/>
  <c r="BN75" i="54"/>
  <c r="BM75" i="54"/>
  <c r="BL75" i="54"/>
  <c r="BK75" i="54"/>
  <c r="BJ75" i="54"/>
  <c r="BI75" i="54"/>
  <c r="BH75" i="54"/>
  <c r="BG75" i="54"/>
  <c r="BG74" i="54"/>
  <c r="BF75" i="54"/>
  <c r="BE75" i="54"/>
  <c r="BE74" i="54"/>
  <c r="BE73" i="54"/>
  <c r="BD75" i="54"/>
  <c r="BC75" i="54"/>
  <c r="BB75" i="54"/>
  <c r="BA75" i="54"/>
  <c r="AZ75" i="54"/>
  <c r="AY75" i="54"/>
  <c r="AX75" i="54"/>
  <c r="AW75" i="54"/>
  <c r="AV75" i="54"/>
  <c r="AU75" i="54"/>
  <c r="AT75" i="54"/>
  <c r="AS75" i="54"/>
  <c r="AR75" i="54"/>
  <c r="AQ75" i="54"/>
  <c r="AP75" i="54"/>
  <c r="AO75" i="54"/>
  <c r="AN75" i="54"/>
  <c r="AM75" i="54"/>
  <c r="AL75" i="54"/>
  <c r="AK75" i="54"/>
  <c r="AK74" i="54"/>
  <c r="AJ75" i="54"/>
  <c r="AI75" i="54"/>
  <c r="AH75" i="54"/>
  <c r="AG75" i="54"/>
  <c r="G75" i="54"/>
  <c r="F75" i="54"/>
  <c r="D75" i="54"/>
  <c r="CF74" i="54"/>
  <c r="CE74" i="54"/>
  <c r="CD74" i="54"/>
  <c r="CB74" i="54"/>
  <c r="CA74" i="54"/>
  <c r="BZ74" i="54"/>
  <c r="BY74" i="54"/>
  <c r="BX74" i="54"/>
  <c r="BW74" i="54"/>
  <c r="BV74" i="54"/>
  <c r="BU74" i="54"/>
  <c r="BT74" i="54"/>
  <c r="BS74" i="54"/>
  <c r="BR74" i="54"/>
  <c r="BQ74" i="54"/>
  <c r="BP74" i="54"/>
  <c r="BO74" i="54"/>
  <c r="BN74" i="54"/>
  <c r="BM74" i="54"/>
  <c r="BL74" i="54"/>
  <c r="BK74" i="54"/>
  <c r="BJ74" i="54"/>
  <c r="BI74" i="54"/>
  <c r="BH74" i="54"/>
  <c r="BF74" i="54"/>
  <c r="BD74" i="54"/>
  <c r="BC74" i="54"/>
  <c r="BB74" i="54"/>
  <c r="BA74" i="54"/>
  <c r="AZ74" i="54"/>
  <c r="AZ73" i="54"/>
  <c r="AY74" i="54"/>
  <c r="AX74" i="54"/>
  <c r="AW74" i="54"/>
  <c r="AV74" i="54"/>
  <c r="AU74" i="54"/>
  <c r="AT74" i="54"/>
  <c r="AS74" i="54"/>
  <c r="AR74" i="54"/>
  <c r="AQ74" i="54"/>
  <c r="AP74" i="54"/>
  <c r="AO74" i="54"/>
  <c r="AN74" i="54"/>
  <c r="AM74" i="54"/>
  <c r="AM73" i="54" s="1"/>
  <c r="AL74" i="54"/>
  <c r="AJ74" i="54"/>
  <c r="AJ73" i="54"/>
  <c r="AI74" i="54"/>
  <c r="AH74" i="54"/>
  <c r="AG74" i="54"/>
  <c r="G74" i="54"/>
  <c r="F74" i="54"/>
  <c r="D74" i="54"/>
  <c r="D73" i="54"/>
  <c r="CF71" i="54"/>
  <c r="CE71" i="54"/>
  <c r="CD71" i="54"/>
  <c r="CC71" i="54"/>
  <c r="CB71" i="54"/>
  <c r="CA71" i="54"/>
  <c r="BZ71" i="54"/>
  <c r="BY71" i="54"/>
  <c r="BX71" i="54"/>
  <c r="BW71" i="54"/>
  <c r="BV71" i="54"/>
  <c r="BU71" i="54"/>
  <c r="BT71" i="54"/>
  <c r="BS71" i="54"/>
  <c r="BR71" i="54"/>
  <c r="BQ71" i="54"/>
  <c r="BP71" i="54"/>
  <c r="BO71" i="54"/>
  <c r="BN71" i="54"/>
  <c r="BM71" i="54"/>
  <c r="BL71" i="54"/>
  <c r="BK71" i="54"/>
  <c r="BJ71" i="54"/>
  <c r="BI71" i="54"/>
  <c r="BH71" i="54"/>
  <c r="BH68" i="54" s="1"/>
  <c r="BG71" i="54"/>
  <c r="BF71" i="54"/>
  <c r="BE71" i="54"/>
  <c r="BD71" i="54"/>
  <c r="BC71" i="54"/>
  <c r="BB71" i="54"/>
  <c r="BA71" i="54"/>
  <c r="AZ71" i="54"/>
  <c r="AY71" i="54"/>
  <c r="AX71" i="54"/>
  <c r="AW71" i="54"/>
  <c r="AV71" i="54"/>
  <c r="AU71" i="54"/>
  <c r="AT71" i="54"/>
  <c r="AS71" i="54"/>
  <c r="AR71" i="54"/>
  <c r="AQ71" i="54"/>
  <c r="AP71" i="54"/>
  <c r="AO71" i="54"/>
  <c r="AN71" i="54"/>
  <c r="AM71" i="54"/>
  <c r="AL71" i="54"/>
  <c r="AK71" i="54"/>
  <c r="AJ71" i="54"/>
  <c r="AI71" i="54"/>
  <c r="AH71" i="54"/>
  <c r="AG71" i="54"/>
  <c r="G71" i="54"/>
  <c r="F71" i="54"/>
  <c r="D71" i="54"/>
  <c r="CF70" i="54"/>
  <c r="CE70" i="54"/>
  <c r="CD70" i="54"/>
  <c r="CC70" i="54"/>
  <c r="CC69" i="54"/>
  <c r="CC68" i="54" s="1"/>
  <c r="CB70" i="54"/>
  <c r="CA70" i="54"/>
  <c r="BZ70" i="54"/>
  <c r="BY70" i="54"/>
  <c r="BX70" i="54"/>
  <c r="BW70" i="54"/>
  <c r="BV70" i="54"/>
  <c r="BU70" i="54"/>
  <c r="BT70" i="54"/>
  <c r="BS70" i="54"/>
  <c r="BS69" i="54"/>
  <c r="BS68" i="54"/>
  <c r="BR70" i="54"/>
  <c r="BQ70" i="54"/>
  <c r="BP70" i="54"/>
  <c r="BO70" i="54"/>
  <c r="BN70" i="54"/>
  <c r="BM70" i="54"/>
  <c r="BL70" i="54"/>
  <c r="BK70" i="54"/>
  <c r="BJ70" i="54"/>
  <c r="BI70" i="54"/>
  <c r="BH70" i="54"/>
  <c r="BG70" i="54"/>
  <c r="BF70" i="54"/>
  <c r="BE70" i="54"/>
  <c r="BD70" i="54"/>
  <c r="BC70" i="54"/>
  <c r="BB70" i="54"/>
  <c r="BA70" i="54"/>
  <c r="AZ70" i="54"/>
  <c r="AY70" i="54"/>
  <c r="AX70" i="54"/>
  <c r="AW70" i="54"/>
  <c r="AV70" i="54"/>
  <c r="AU70" i="54"/>
  <c r="AT70" i="54"/>
  <c r="AS70" i="54"/>
  <c r="AR70" i="54"/>
  <c r="AQ70" i="54"/>
  <c r="AQ69" i="54"/>
  <c r="AQ68" i="54" s="1"/>
  <c r="AP70" i="54"/>
  <c r="AO70" i="54"/>
  <c r="AN70" i="54"/>
  <c r="AM70" i="54"/>
  <c r="AL70" i="54"/>
  <c r="AK70" i="54"/>
  <c r="AK69" i="54"/>
  <c r="AJ70" i="54"/>
  <c r="AI70" i="54"/>
  <c r="AH70" i="54"/>
  <c r="AG70" i="54"/>
  <c r="G70" i="54"/>
  <c r="F70" i="54"/>
  <c r="D70" i="54"/>
  <c r="CF69" i="54"/>
  <c r="CE69" i="54"/>
  <c r="CD69" i="54"/>
  <c r="CB69" i="54"/>
  <c r="CA69" i="54"/>
  <c r="BZ69" i="54"/>
  <c r="BY69" i="54"/>
  <c r="BX69" i="54"/>
  <c r="BW69" i="54"/>
  <c r="BV69" i="54"/>
  <c r="BU69" i="54"/>
  <c r="BT69" i="54"/>
  <c r="BR69" i="54"/>
  <c r="BR68" i="54"/>
  <c r="BQ69" i="54"/>
  <c r="BQ68" i="54" s="1"/>
  <c r="BP69" i="54"/>
  <c r="BO69" i="54"/>
  <c r="BN69" i="54"/>
  <c r="BM69" i="54"/>
  <c r="BL69" i="54"/>
  <c r="BK69" i="54"/>
  <c r="BJ69" i="54"/>
  <c r="BI69" i="54"/>
  <c r="BH69" i="54"/>
  <c r="BG69" i="54"/>
  <c r="BF69" i="54"/>
  <c r="BE69" i="54"/>
  <c r="BD69" i="54"/>
  <c r="BC69" i="54"/>
  <c r="BB69" i="54"/>
  <c r="BB68" i="54" s="1"/>
  <c r="BA69" i="54"/>
  <c r="AZ69" i="54"/>
  <c r="AY69" i="54"/>
  <c r="AX69" i="54"/>
  <c r="AW69" i="54"/>
  <c r="AV69" i="54"/>
  <c r="AU69" i="54"/>
  <c r="AT69" i="54"/>
  <c r="AS69" i="54"/>
  <c r="AR69" i="54"/>
  <c r="AP69" i="54"/>
  <c r="AO69" i="54"/>
  <c r="AN69" i="54"/>
  <c r="AM69" i="54"/>
  <c r="AL69" i="54"/>
  <c r="AL68" i="54" s="1"/>
  <c r="AJ69" i="54"/>
  <c r="AI69" i="54"/>
  <c r="AH69" i="54"/>
  <c r="AG69" i="54"/>
  <c r="G69" i="54"/>
  <c r="G70" i="53"/>
  <c r="P69" i="54"/>
  <c r="Y69" i="54" s="1"/>
  <c r="F69" i="54"/>
  <c r="D69" i="54"/>
  <c r="D68" i="54"/>
  <c r="CF66" i="54"/>
  <c r="CE66" i="54"/>
  <c r="CD66" i="54"/>
  <c r="CC66" i="54"/>
  <c r="CB66" i="54"/>
  <c r="CA66" i="54"/>
  <c r="BZ66" i="54"/>
  <c r="BY66" i="54"/>
  <c r="BX66" i="54"/>
  <c r="BW66" i="54"/>
  <c r="BV66" i="54"/>
  <c r="BU66" i="54"/>
  <c r="BT66" i="54"/>
  <c r="BS66" i="54"/>
  <c r="BR66" i="54"/>
  <c r="BQ66" i="54"/>
  <c r="BP66" i="54"/>
  <c r="BO66" i="54"/>
  <c r="BN66" i="54"/>
  <c r="BM66" i="54"/>
  <c r="BL66" i="54"/>
  <c r="BK66" i="54"/>
  <c r="BJ66" i="54"/>
  <c r="BI66" i="54"/>
  <c r="BH66" i="54"/>
  <c r="BG66" i="54"/>
  <c r="BF66" i="54"/>
  <c r="BE66" i="54"/>
  <c r="BD66" i="54"/>
  <c r="BC66" i="54"/>
  <c r="BB66" i="54"/>
  <c r="BA66" i="54"/>
  <c r="AZ66" i="54"/>
  <c r="AY66" i="54"/>
  <c r="AX66" i="54"/>
  <c r="AW66" i="54"/>
  <c r="AV66" i="54"/>
  <c r="AU66" i="54"/>
  <c r="AT66" i="54"/>
  <c r="AS66" i="54"/>
  <c r="AR66" i="54"/>
  <c r="AQ66" i="54"/>
  <c r="AP66" i="54"/>
  <c r="AO66" i="54"/>
  <c r="AN66" i="54"/>
  <c r="AM66" i="54"/>
  <c r="AL66" i="54"/>
  <c r="AK66" i="54"/>
  <c r="AJ66" i="54"/>
  <c r="AI66" i="54"/>
  <c r="AH66" i="54"/>
  <c r="AG66" i="54"/>
  <c r="G66" i="54"/>
  <c r="F66" i="54"/>
  <c r="D66" i="54"/>
  <c r="CF65" i="54"/>
  <c r="CE65" i="54"/>
  <c r="CD65" i="54"/>
  <c r="CC65" i="54"/>
  <c r="CB65" i="54"/>
  <c r="CA65" i="54"/>
  <c r="BZ65" i="54"/>
  <c r="BY65" i="54"/>
  <c r="BX65" i="54"/>
  <c r="BW65" i="54"/>
  <c r="BV65" i="54"/>
  <c r="BU65" i="54"/>
  <c r="BT65" i="54"/>
  <c r="BS65" i="54"/>
  <c r="BR65" i="54"/>
  <c r="BQ65" i="54"/>
  <c r="BP65" i="54"/>
  <c r="BO65" i="54"/>
  <c r="BN65" i="54"/>
  <c r="BM65" i="54"/>
  <c r="BL65" i="54"/>
  <c r="BK65" i="54"/>
  <c r="BJ65" i="54"/>
  <c r="BI65" i="54"/>
  <c r="BH65" i="54"/>
  <c r="BG65" i="54"/>
  <c r="BF65" i="54"/>
  <c r="BE65" i="54"/>
  <c r="BD65" i="54"/>
  <c r="BC65" i="54"/>
  <c r="BB65" i="54"/>
  <c r="BA65" i="54"/>
  <c r="AZ65" i="54"/>
  <c r="AY65" i="54"/>
  <c r="AX65" i="54"/>
  <c r="AW65" i="54"/>
  <c r="AV65" i="54"/>
  <c r="AU65" i="54"/>
  <c r="AT65" i="54"/>
  <c r="AS65" i="54"/>
  <c r="AR65" i="54"/>
  <c r="AQ65" i="54"/>
  <c r="AP65" i="54"/>
  <c r="AO65" i="54"/>
  <c r="AN65" i="54"/>
  <c r="AM65" i="54"/>
  <c r="AL65" i="54"/>
  <c r="AK65" i="54"/>
  <c r="AJ65" i="54"/>
  <c r="AI65" i="54"/>
  <c r="AH65" i="54"/>
  <c r="AG65" i="54"/>
  <c r="G65" i="54"/>
  <c r="F65" i="54"/>
  <c r="D65" i="54"/>
  <c r="CF64" i="54"/>
  <c r="CE64" i="54"/>
  <c r="CD64" i="54"/>
  <c r="CC64" i="54"/>
  <c r="CB64" i="54"/>
  <c r="CA64" i="54"/>
  <c r="BZ64" i="54"/>
  <c r="BY64" i="54"/>
  <c r="BX64" i="54"/>
  <c r="BW64" i="54"/>
  <c r="BV64" i="54"/>
  <c r="BU64" i="54"/>
  <c r="BT64" i="54"/>
  <c r="BS64" i="54"/>
  <c r="BR64" i="54"/>
  <c r="BQ64" i="54"/>
  <c r="BP64" i="54"/>
  <c r="BO64" i="54"/>
  <c r="BN64" i="54"/>
  <c r="BM64" i="54"/>
  <c r="BL64" i="54"/>
  <c r="BK64" i="54"/>
  <c r="BJ64" i="54"/>
  <c r="BI64" i="54"/>
  <c r="BH64" i="54"/>
  <c r="BG64" i="54"/>
  <c r="BF64" i="54"/>
  <c r="BE64" i="54"/>
  <c r="BD64" i="54"/>
  <c r="BC64" i="54"/>
  <c r="BB64" i="54"/>
  <c r="BA64" i="54"/>
  <c r="AZ64" i="54"/>
  <c r="AY64" i="54"/>
  <c r="AX64" i="54"/>
  <c r="AW64" i="54"/>
  <c r="AV64" i="54"/>
  <c r="AU64" i="54"/>
  <c r="AT64" i="54"/>
  <c r="AS64" i="54"/>
  <c r="AR64" i="54"/>
  <c r="AQ64" i="54"/>
  <c r="AP64" i="54"/>
  <c r="AO64" i="54"/>
  <c r="AN64" i="54"/>
  <c r="AM64" i="54"/>
  <c r="AL64" i="54"/>
  <c r="AK64" i="54"/>
  <c r="AJ64" i="54"/>
  <c r="AI64" i="54"/>
  <c r="AH64" i="54"/>
  <c r="AG64" i="54"/>
  <c r="G64" i="54"/>
  <c r="F64" i="54"/>
  <c r="D64" i="54"/>
  <c r="CF63" i="54"/>
  <c r="CE63" i="54"/>
  <c r="CD63" i="54"/>
  <c r="CC63" i="54"/>
  <c r="CB63" i="54"/>
  <c r="CA63" i="54"/>
  <c r="BZ63" i="54"/>
  <c r="BY63" i="54"/>
  <c r="BX63" i="54"/>
  <c r="BW63" i="54"/>
  <c r="BV63" i="54"/>
  <c r="BU63" i="54"/>
  <c r="BT63" i="54"/>
  <c r="BS63" i="54"/>
  <c r="BR63" i="54"/>
  <c r="BQ63" i="54"/>
  <c r="BP63" i="54"/>
  <c r="BO63" i="54"/>
  <c r="BN63" i="54"/>
  <c r="BM63" i="54"/>
  <c r="BL63" i="54"/>
  <c r="BK63" i="54"/>
  <c r="BJ63" i="54"/>
  <c r="BI63" i="54"/>
  <c r="BH63" i="54"/>
  <c r="BG63" i="54"/>
  <c r="BF63" i="54"/>
  <c r="BE63" i="54"/>
  <c r="BD63" i="54"/>
  <c r="BC63" i="54"/>
  <c r="BB63" i="54"/>
  <c r="BA63" i="54"/>
  <c r="AZ63" i="54"/>
  <c r="AY63" i="54"/>
  <c r="AX63" i="54"/>
  <c r="AW63" i="54"/>
  <c r="AV63" i="54"/>
  <c r="AU63" i="54"/>
  <c r="AT63" i="54"/>
  <c r="AS63" i="54"/>
  <c r="AR63" i="54"/>
  <c r="AQ63" i="54"/>
  <c r="AP63" i="54"/>
  <c r="AO63" i="54"/>
  <c r="AN63" i="54"/>
  <c r="AM63" i="54"/>
  <c r="AL63" i="54"/>
  <c r="AK63" i="54"/>
  <c r="AJ63" i="54"/>
  <c r="AI63" i="54"/>
  <c r="AH63" i="54"/>
  <c r="AG63" i="54"/>
  <c r="G63" i="54"/>
  <c r="F63" i="54"/>
  <c r="D63" i="54"/>
  <c r="G62" i="54"/>
  <c r="F62" i="54"/>
  <c r="D62" i="54"/>
  <c r="D61" i="54"/>
  <c r="B56" i="54"/>
  <c r="B55" i="54"/>
  <c r="B54" i="54"/>
  <c r="D46" i="54"/>
  <c r="G44" i="54"/>
  <c r="F44" i="54"/>
  <c r="D44" i="54"/>
  <c r="D42" i="54"/>
  <c r="G41" i="54"/>
  <c r="F41" i="54"/>
  <c r="D41" i="54"/>
  <c r="D39" i="54"/>
  <c r="G37" i="54"/>
  <c r="F37" i="54"/>
  <c r="D37" i="54"/>
  <c r="G36" i="54"/>
  <c r="F36" i="54"/>
  <c r="X36" i="54" s="1"/>
  <c r="D36" i="54"/>
  <c r="D34" i="54"/>
  <c r="G33" i="54"/>
  <c r="F33" i="54"/>
  <c r="D33" i="54"/>
  <c r="G32" i="54"/>
  <c r="F32" i="54"/>
  <c r="D32" i="54"/>
  <c r="G31" i="54"/>
  <c r="F31" i="54"/>
  <c r="D31" i="54"/>
  <c r="D29" i="54"/>
  <c r="G27" i="54"/>
  <c r="F27" i="54"/>
  <c r="D27" i="54"/>
  <c r="G26" i="54"/>
  <c r="Y26" i="54" s="1"/>
  <c r="F26" i="54"/>
  <c r="D26" i="54"/>
  <c r="G25" i="54"/>
  <c r="F25" i="54"/>
  <c r="D25" i="54"/>
  <c r="D24" i="54"/>
  <c r="G22" i="54"/>
  <c r="F22" i="54"/>
  <c r="D22" i="54"/>
  <c r="G21" i="54"/>
  <c r="F21" i="54"/>
  <c r="D21" i="54"/>
  <c r="G20" i="54"/>
  <c r="F20" i="54"/>
  <c r="D20" i="54"/>
  <c r="D19" i="54"/>
  <c r="G17" i="54"/>
  <c r="F17" i="54"/>
  <c r="F15" i="54"/>
  <c r="F16" i="54"/>
  <c r="D17" i="54"/>
  <c r="B17" i="54"/>
  <c r="G16" i="54"/>
  <c r="D16" i="54"/>
  <c r="B16" i="54"/>
  <c r="B26" i="54" s="1"/>
  <c r="G15" i="54"/>
  <c r="D15" i="54"/>
  <c r="B15" i="54"/>
  <c r="B20" i="54" s="1"/>
  <c r="D14" i="54"/>
  <c r="A12" i="54"/>
  <c r="D8" i="54"/>
  <c r="D7" i="54"/>
  <c r="L6" i="54"/>
  <c r="U6" i="54"/>
  <c r="AD6" i="54"/>
  <c r="K6" i="54"/>
  <c r="T6" i="54"/>
  <c r="AC6" i="54"/>
  <c r="J6" i="54"/>
  <c r="S6" i="54"/>
  <c r="AB6" i="54" s="1"/>
  <c r="I6" i="54"/>
  <c r="R6" i="54" s="1"/>
  <c r="AA6" i="54" s="1"/>
  <c r="H6" i="54"/>
  <c r="Q6" i="54"/>
  <c r="Z6" i="54"/>
  <c r="D6" i="54"/>
  <c r="D5" i="54"/>
  <c r="A3" i="54"/>
  <c r="B57" i="53"/>
  <c r="B56" i="53"/>
  <c r="B55" i="53"/>
  <c r="G122" i="53"/>
  <c r="P118" i="54"/>
  <c r="F122" i="53"/>
  <c r="O118" i="54" s="1"/>
  <c r="G120" i="53"/>
  <c r="P116" i="54"/>
  <c r="F120" i="53"/>
  <c r="O116" i="54"/>
  <c r="G118" i="53"/>
  <c r="P114" i="54" s="1"/>
  <c r="F118" i="53"/>
  <c r="O114" i="54" s="1"/>
  <c r="G116" i="53"/>
  <c r="P112" i="54" s="1"/>
  <c r="F116" i="53"/>
  <c r="O112" i="54"/>
  <c r="G115" i="53"/>
  <c r="P111" i="54"/>
  <c r="F115" i="53"/>
  <c r="O111" i="54" s="1"/>
  <c r="G111" i="53"/>
  <c r="P109" i="54"/>
  <c r="F111" i="53"/>
  <c r="O109" i="54"/>
  <c r="G109" i="53"/>
  <c r="P107" i="54" s="1"/>
  <c r="F109" i="53"/>
  <c r="O107" i="54" s="1"/>
  <c r="G108" i="53"/>
  <c r="P106" i="54"/>
  <c r="F108" i="53"/>
  <c r="O106" i="54"/>
  <c r="G104" i="53"/>
  <c r="P102" i="54" s="1"/>
  <c r="F104" i="53"/>
  <c r="O102" i="54" s="1"/>
  <c r="G103" i="53"/>
  <c r="P101" i="54" s="1"/>
  <c r="F103" i="53"/>
  <c r="O101" i="54"/>
  <c r="G102" i="53"/>
  <c r="P100" i="54"/>
  <c r="F102" i="53"/>
  <c r="O100" i="54" s="1"/>
  <c r="G101" i="53"/>
  <c r="P99" i="54"/>
  <c r="Y99" i="54" s="1"/>
  <c r="F101" i="53"/>
  <c r="O99" i="54"/>
  <c r="G43" i="53"/>
  <c r="P44" i="54" s="1"/>
  <c r="Y44" i="54" s="1"/>
  <c r="F43" i="53"/>
  <c r="O44" i="54"/>
  <c r="G40" i="53"/>
  <c r="P41" i="54" s="1"/>
  <c r="F40" i="53"/>
  <c r="O41" i="54"/>
  <c r="X41" i="54"/>
  <c r="G36" i="53"/>
  <c r="P37" i="54" s="1"/>
  <c r="Y37" i="54" s="1"/>
  <c r="F36" i="53"/>
  <c r="O37" i="54"/>
  <c r="G34" i="53"/>
  <c r="P36" i="54" s="1"/>
  <c r="Y36" i="54" s="1"/>
  <c r="F34" i="53"/>
  <c r="O36" i="54" s="1"/>
  <c r="G31" i="53"/>
  <c r="P33" i="54"/>
  <c r="Y33" i="54" s="1"/>
  <c r="F31" i="53"/>
  <c r="O33" i="54"/>
  <c r="G30" i="53"/>
  <c r="P32" i="54"/>
  <c r="F30" i="53"/>
  <c r="G29" i="53"/>
  <c r="F29" i="53"/>
  <c r="G25" i="53"/>
  <c r="P27" i="54" s="1"/>
  <c r="F25" i="53"/>
  <c r="O27" i="54"/>
  <c r="G24" i="53"/>
  <c r="P26" i="54"/>
  <c r="F24" i="53"/>
  <c r="G23" i="53"/>
  <c r="P25" i="54"/>
  <c r="Y25" i="54" s="1"/>
  <c r="F23" i="53"/>
  <c r="O25" i="54"/>
  <c r="G20" i="53"/>
  <c r="P22" i="54" s="1"/>
  <c r="Y22" i="54" s="1"/>
  <c r="F20" i="53"/>
  <c r="O22" i="54" s="1"/>
  <c r="X22" i="54" s="1"/>
  <c r="G19" i="53"/>
  <c r="P21" i="54" s="1"/>
  <c r="F19" i="53"/>
  <c r="O21" i="54" s="1"/>
  <c r="X21" i="54" s="1"/>
  <c r="G18" i="53"/>
  <c r="F18" i="53"/>
  <c r="G15" i="53"/>
  <c r="P17" i="54" s="1"/>
  <c r="F15" i="53"/>
  <c r="O17" i="54"/>
  <c r="G14" i="53"/>
  <c r="G12" i="53" s="1"/>
  <c r="F14" i="53"/>
  <c r="O16" i="54" s="1"/>
  <c r="X16" i="54"/>
  <c r="G13" i="53"/>
  <c r="P15" i="54" s="1"/>
  <c r="F13" i="53"/>
  <c r="G93" i="53"/>
  <c r="P91" i="54" s="1"/>
  <c r="F93" i="53"/>
  <c r="O91" i="54" s="1"/>
  <c r="G92" i="53"/>
  <c r="F92" i="53"/>
  <c r="G88" i="53"/>
  <c r="P86" i="54"/>
  <c r="F88" i="53"/>
  <c r="O86" i="54" s="1"/>
  <c r="G86" i="53"/>
  <c r="P85" i="54"/>
  <c r="F86" i="53"/>
  <c r="O85" i="54" s="1"/>
  <c r="G85" i="53"/>
  <c r="P84" i="54"/>
  <c r="F85" i="53"/>
  <c r="O84" i="54"/>
  <c r="G83" i="53"/>
  <c r="P82" i="54"/>
  <c r="F83" i="53"/>
  <c r="O82" i="54" s="1"/>
  <c r="G82" i="53"/>
  <c r="P81" i="54"/>
  <c r="F82" i="53"/>
  <c r="O81" i="54" s="1"/>
  <c r="X81" i="54" s="1"/>
  <c r="G79" i="53"/>
  <c r="F79" i="53"/>
  <c r="G77" i="53"/>
  <c r="F77" i="53"/>
  <c r="O76" i="54" s="1"/>
  <c r="X76" i="54" s="1"/>
  <c r="G76" i="53"/>
  <c r="P75" i="54" s="1"/>
  <c r="Y75" i="54" s="1"/>
  <c r="F76" i="53"/>
  <c r="O75" i="54"/>
  <c r="G75" i="53"/>
  <c r="P74" i="54" s="1"/>
  <c r="F75" i="53"/>
  <c r="G72" i="53"/>
  <c r="P71" i="54" s="1"/>
  <c r="F72" i="53"/>
  <c r="O71" i="54"/>
  <c r="G71" i="53"/>
  <c r="P70" i="54" s="1"/>
  <c r="F71" i="53"/>
  <c r="O70" i="54"/>
  <c r="F70" i="53"/>
  <c r="G67" i="53"/>
  <c r="P66" i="54" s="1"/>
  <c r="F67" i="53"/>
  <c r="O66" i="54"/>
  <c r="X66" i="54" s="1"/>
  <c r="G66" i="53"/>
  <c r="P65" i="54"/>
  <c r="F66" i="53"/>
  <c r="G65" i="53"/>
  <c r="P64" i="54" s="1"/>
  <c r="F65" i="53"/>
  <c r="O64" i="54"/>
  <c r="G64" i="53"/>
  <c r="P63" i="54"/>
  <c r="F64" i="53"/>
  <c r="O63" i="54" s="1"/>
  <c r="G63" i="53"/>
  <c r="P62" i="54" s="1"/>
  <c r="F63" i="53"/>
  <c r="O62" i="54"/>
  <c r="D222" i="2"/>
  <c r="D221" i="2"/>
  <c r="D219" i="2"/>
  <c r="D217" i="2"/>
  <c r="D215" i="2"/>
  <c r="D213" i="2"/>
  <c r="D211" i="2"/>
  <c r="D210" i="2"/>
  <c r="D208" i="2"/>
  <c r="D206" i="2"/>
  <c r="D205" i="2"/>
  <c r="D203" i="2"/>
  <c r="D201" i="2"/>
  <c r="D200" i="2"/>
  <c r="D199" i="2"/>
  <c r="D198" i="2"/>
  <c r="D196" i="2"/>
  <c r="D188" i="2"/>
  <c r="D186" i="2"/>
  <c r="D184" i="2"/>
  <c r="D183" i="2"/>
  <c r="D181" i="2"/>
  <c r="D179" i="2"/>
  <c r="D177" i="2"/>
  <c r="D175" i="2"/>
  <c r="D174" i="2"/>
  <c r="D173" i="2"/>
  <c r="D172" i="2"/>
  <c r="D170" i="2"/>
  <c r="D168" i="2"/>
  <c r="D167" i="2"/>
  <c r="D166" i="2"/>
  <c r="D165" i="2"/>
  <c r="D163" i="2"/>
  <c r="D162" i="2"/>
  <c r="D161" i="2"/>
  <c r="D160" i="2"/>
  <c r="D158" i="2"/>
  <c r="D157" i="2"/>
  <c r="D156" i="2"/>
  <c r="D155" i="2"/>
  <c r="F165" i="2"/>
  <c r="F160" i="2"/>
  <c r="F170" i="2" s="1"/>
  <c r="F175" i="2" s="1"/>
  <c r="F155" i="2"/>
  <c r="C158" i="2"/>
  <c r="C157" i="2"/>
  <c r="C167" i="2" s="1"/>
  <c r="C156" i="2"/>
  <c r="C166" i="2" s="1"/>
  <c r="D95" i="53"/>
  <c r="BW93" i="53"/>
  <c r="BV93" i="53"/>
  <c r="BU93" i="53"/>
  <c r="BT93" i="53"/>
  <c r="BS93" i="53"/>
  <c r="BR93" i="53"/>
  <c r="BQ93" i="53"/>
  <c r="BP93" i="53"/>
  <c r="BO93" i="53"/>
  <c r="BN93" i="53"/>
  <c r="BM93" i="53"/>
  <c r="BL93" i="53"/>
  <c r="BK93" i="53"/>
  <c r="BJ93" i="53"/>
  <c r="BI93" i="53"/>
  <c r="BH93" i="53"/>
  <c r="BG93" i="53"/>
  <c r="BF93" i="53"/>
  <c r="BE93" i="53"/>
  <c r="BD93" i="53"/>
  <c r="BC93" i="53"/>
  <c r="BB93" i="53"/>
  <c r="BA93" i="53"/>
  <c r="AZ93" i="53"/>
  <c r="AY93" i="53"/>
  <c r="AX93" i="53"/>
  <c r="AW93" i="53"/>
  <c r="AV93" i="53"/>
  <c r="AU93" i="53"/>
  <c r="AT93" i="53"/>
  <c r="AS93" i="53"/>
  <c r="AR93" i="53"/>
  <c r="AQ93" i="53"/>
  <c r="AP93" i="53"/>
  <c r="AO93" i="53"/>
  <c r="AN93" i="53"/>
  <c r="AM93" i="53"/>
  <c r="AL93" i="53"/>
  <c r="AK93" i="53"/>
  <c r="AJ93" i="53"/>
  <c r="AI93" i="53"/>
  <c r="AH93" i="53"/>
  <c r="AG93" i="53"/>
  <c r="AF93" i="53"/>
  <c r="AE93" i="53"/>
  <c r="AD93" i="53"/>
  <c r="AC93" i="53"/>
  <c r="AB93" i="53"/>
  <c r="AA93" i="53"/>
  <c r="Z93" i="53"/>
  <c r="Y93" i="53"/>
  <c r="X93" i="53"/>
  <c r="D93" i="53"/>
  <c r="D92" i="53"/>
  <c r="D90" i="53"/>
  <c r="D88" i="53"/>
  <c r="D86" i="53"/>
  <c r="D85" i="53"/>
  <c r="D83" i="53"/>
  <c r="D82" i="53"/>
  <c r="D79" i="53"/>
  <c r="BW77" i="53"/>
  <c r="BV77" i="53"/>
  <c r="BU77" i="53"/>
  <c r="BU74" i="53" s="1"/>
  <c r="BT77" i="53"/>
  <c r="BS77" i="53"/>
  <c r="BR77" i="53"/>
  <c r="BQ77" i="53"/>
  <c r="BP77" i="53"/>
  <c r="BO77" i="53"/>
  <c r="BN77" i="53"/>
  <c r="BM77" i="53"/>
  <c r="BM74" i="53" s="1"/>
  <c r="BL77" i="53"/>
  <c r="BK77" i="53"/>
  <c r="BJ77" i="53"/>
  <c r="BI77" i="53"/>
  <c r="BH77" i="53"/>
  <c r="BG77" i="53"/>
  <c r="BF77" i="53"/>
  <c r="BE77" i="53"/>
  <c r="BE74" i="53" s="1"/>
  <c r="BD77" i="53"/>
  <c r="BC77" i="53"/>
  <c r="BB77" i="53"/>
  <c r="BA77" i="53"/>
  <c r="BA75" i="53"/>
  <c r="BA74" i="53" s="1"/>
  <c r="BA76" i="53"/>
  <c r="AZ77" i="53"/>
  <c r="AY77" i="53"/>
  <c r="AX77" i="53"/>
  <c r="AW77" i="53"/>
  <c r="AV77" i="53"/>
  <c r="AU77" i="53"/>
  <c r="AT77" i="53"/>
  <c r="AS77" i="53"/>
  <c r="AR77" i="53"/>
  <c r="AQ77" i="53"/>
  <c r="AP77" i="53"/>
  <c r="AO77" i="53"/>
  <c r="AN77" i="53"/>
  <c r="AM77" i="53"/>
  <c r="AL77" i="53"/>
  <c r="AK77" i="53"/>
  <c r="AJ77" i="53"/>
  <c r="AI77" i="53"/>
  <c r="AH77" i="53"/>
  <c r="AG77" i="53"/>
  <c r="AF77" i="53"/>
  <c r="AE77" i="53"/>
  <c r="AD77" i="53"/>
  <c r="AC77" i="53"/>
  <c r="AB77" i="53"/>
  <c r="AA77" i="53"/>
  <c r="Z77" i="53"/>
  <c r="Y77" i="53"/>
  <c r="X77" i="53"/>
  <c r="D77" i="53"/>
  <c r="BW76" i="53"/>
  <c r="BV76" i="53"/>
  <c r="BU76" i="53"/>
  <c r="BT76" i="53"/>
  <c r="BT74" i="53" s="1"/>
  <c r="BS76" i="53"/>
  <c r="BR76" i="53"/>
  <c r="BQ76" i="53"/>
  <c r="BP76" i="53"/>
  <c r="BO76" i="53"/>
  <c r="BN76" i="53"/>
  <c r="BM76" i="53"/>
  <c r="BL76" i="53"/>
  <c r="BL74" i="53" s="1"/>
  <c r="BK76" i="53"/>
  <c r="BJ76" i="53"/>
  <c r="BI76" i="53"/>
  <c r="BH76" i="53"/>
  <c r="BG76" i="53"/>
  <c r="BF76" i="53"/>
  <c r="BE76" i="53"/>
  <c r="BD76" i="53"/>
  <c r="BD74" i="53" s="1"/>
  <c r="BC76" i="53"/>
  <c r="BB76" i="53"/>
  <c r="AZ76" i="53"/>
  <c r="AY76" i="53"/>
  <c r="AX76" i="53"/>
  <c r="AW76" i="53"/>
  <c r="AV76" i="53"/>
  <c r="AU76" i="53"/>
  <c r="AU74" i="53" s="1"/>
  <c r="AT76" i="53"/>
  <c r="AS76" i="53"/>
  <c r="AR76" i="53"/>
  <c r="AQ76" i="53"/>
  <c r="AP76" i="53"/>
  <c r="AO76" i="53"/>
  <c r="AN76" i="53"/>
  <c r="AM76" i="53"/>
  <c r="AM74" i="53" s="1"/>
  <c r="AL76" i="53"/>
  <c r="AK76" i="53"/>
  <c r="AJ76" i="53"/>
  <c r="AI76" i="53"/>
  <c r="AH76" i="53"/>
  <c r="AG76" i="53"/>
  <c r="AF76" i="53"/>
  <c r="AE76" i="53"/>
  <c r="AE74" i="53" s="1"/>
  <c r="AD76" i="53"/>
  <c r="AC76" i="53"/>
  <c r="AB76" i="53"/>
  <c r="AA76" i="53"/>
  <c r="Z76" i="53"/>
  <c r="Y76" i="53"/>
  <c r="X76" i="53"/>
  <c r="D76" i="53"/>
  <c r="BW75" i="53"/>
  <c r="BV75" i="53"/>
  <c r="BU75" i="53"/>
  <c r="BT75" i="53"/>
  <c r="BS75" i="53"/>
  <c r="BR75" i="53"/>
  <c r="BQ75" i="53"/>
  <c r="BP75" i="53"/>
  <c r="BP74" i="53" s="1"/>
  <c r="BO75" i="53"/>
  <c r="BN75" i="53"/>
  <c r="BM75" i="53"/>
  <c r="BL75" i="53"/>
  <c r="BK75" i="53"/>
  <c r="BJ75" i="53"/>
  <c r="BI75" i="53"/>
  <c r="BH75" i="53"/>
  <c r="BH74" i="53" s="1"/>
  <c r="BG75" i="53"/>
  <c r="BF75" i="53"/>
  <c r="BE75" i="53"/>
  <c r="BD75" i="53"/>
  <c r="BC75" i="53"/>
  <c r="BB75" i="53"/>
  <c r="AZ75" i="53"/>
  <c r="AY75" i="53"/>
  <c r="AY74" i="53" s="1"/>
  <c r="AX75" i="53"/>
  <c r="AW75" i="53"/>
  <c r="AV75" i="53"/>
  <c r="AU75" i="53"/>
  <c r="AT75" i="53"/>
  <c r="AS75" i="53"/>
  <c r="AR75" i="53"/>
  <c r="AQ75" i="53"/>
  <c r="AQ74" i="53" s="1"/>
  <c r="AP75" i="53"/>
  <c r="AO75" i="53"/>
  <c r="AN75" i="53"/>
  <c r="AM75" i="53"/>
  <c r="AL75" i="53"/>
  <c r="AK75" i="53"/>
  <c r="AJ75" i="53"/>
  <c r="AI75" i="53"/>
  <c r="AI74" i="53" s="1"/>
  <c r="AH75" i="53"/>
  <c r="AG75" i="53"/>
  <c r="AF75" i="53"/>
  <c r="AE75" i="53"/>
  <c r="AD75" i="53"/>
  <c r="AC75" i="53"/>
  <c r="AB75" i="53"/>
  <c r="AA75" i="53"/>
  <c r="AA74" i="53" s="1"/>
  <c r="Z75" i="53"/>
  <c r="Y75" i="53"/>
  <c r="X75" i="53"/>
  <c r="D75" i="53"/>
  <c r="D74" i="53"/>
  <c r="BW72" i="53"/>
  <c r="BV72" i="53"/>
  <c r="BU72" i="53"/>
  <c r="BU69" i="53" s="1"/>
  <c r="BT72" i="53"/>
  <c r="BS72" i="53"/>
  <c r="BR72" i="53"/>
  <c r="BQ72" i="53"/>
  <c r="BQ69" i="53" s="1"/>
  <c r="BQ70" i="53"/>
  <c r="BQ71" i="53"/>
  <c r="BP72" i="53"/>
  <c r="BO72" i="53"/>
  <c r="BN72" i="53"/>
  <c r="BM72" i="53"/>
  <c r="BL72" i="53"/>
  <c r="BK72" i="53"/>
  <c r="BJ72" i="53"/>
  <c r="BI72" i="53"/>
  <c r="BH72" i="53"/>
  <c r="BG72" i="53"/>
  <c r="BF72" i="53"/>
  <c r="BE72" i="53"/>
  <c r="BD72" i="53"/>
  <c r="BC72" i="53"/>
  <c r="BB72" i="53"/>
  <c r="BA72" i="53"/>
  <c r="AZ72" i="53"/>
  <c r="AY72" i="53"/>
  <c r="AX72" i="53"/>
  <c r="AW72" i="53"/>
  <c r="AV72" i="53"/>
  <c r="AU72" i="53"/>
  <c r="AT72" i="53"/>
  <c r="AS72" i="53"/>
  <c r="AR72" i="53"/>
  <c r="AQ72" i="53"/>
  <c r="AP72" i="53"/>
  <c r="AO72" i="53"/>
  <c r="AN72" i="53"/>
  <c r="AM72" i="53"/>
  <c r="AL72" i="53"/>
  <c r="AK72" i="53"/>
  <c r="AJ72" i="53"/>
  <c r="AI72" i="53"/>
  <c r="AH72" i="53"/>
  <c r="AG72" i="53"/>
  <c r="AF72" i="53"/>
  <c r="AE72" i="53"/>
  <c r="AD72" i="53"/>
  <c r="AC72" i="53"/>
  <c r="AB72" i="53"/>
  <c r="AA72" i="53"/>
  <c r="Z72" i="53"/>
  <c r="Y72" i="53"/>
  <c r="X72" i="53"/>
  <c r="D72" i="53"/>
  <c r="BW71" i="53"/>
  <c r="BV71" i="53"/>
  <c r="BU71" i="53"/>
  <c r="BT71" i="53"/>
  <c r="BS71" i="53"/>
  <c r="BR71" i="53"/>
  <c r="BP71" i="53"/>
  <c r="BO71" i="53"/>
  <c r="BN71" i="53"/>
  <c r="BM71" i="53"/>
  <c r="BL71" i="53"/>
  <c r="BK71" i="53"/>
  <c r="BJ71" i="53"/>
  <c r="BI71" i="53"/>
  <c r="BH71" i="53"/>
  <c r="BG71" i="53"/>
  <c r="BF71" i="53"/>
  <c r="BE71" i="53"/>
  <c r="BD71" i="53"/>
  <c r="BC71" i="53"/>
  <c r="BB71" i="53"/>
  <c r="BA71" i="53"/>
  <c r="AZ71" i="53"/>
  <c r="AY71" i="53"/>
  <c r="AX71" i="53"/>
  <c r="AW71" i="53"/>
  <c r="AV71" i="53"/>
  <c r="AU71" i="53"/>
  <c r="AT71" i="53"/>
  <c r="AS71" i="53"/>
  <c r="AR71" i="53"/>
  <c r="AQ71" i="53"/>
  <c r="AP71" i="53"/>
  <c r="AO71" i="53"/>
  <c r="AN71" i="53"/>
  <c r="AM71" i="53"/>
  <c r="AL71" i="53"/>
  <c r="AK71" i="53"/>
  <c r="AJ71" i="53"/>
  <c r="AI71" i="53"/>
  <c r="AH71" i="53"/>
  <c r="AG71" i="53"/>
  <c r="AF71" i="53"/>
  <c r="AE71" i="53"/>
  <c r="AE69" i="53" s="1"/>
  <c r="AD71" i="53"/>
  <c r="AC71" i="53"/>
  <c r="AB71" i="53"/>
  <c r="AA71" i="53"/>
  <c r="Z71" i="53"/>
  <c r="Y71" i="53"/>
  <c r="X71" i="53"/>
  <c r="D71" i="53"/>
  <c r="BW70" i="53"/>
  <c r="BV70" i="53"/>
  <c r="BU70" i="53"/>
  <c r="BT70" i="53"/>
  <c r="BS70" i="53"/>
  <c r="BR70" i="53"/>
  <c r="BP70" i="53"/>
  <c r="BO70" i="53"/>
  <c r="BN70" i="53"/>
  <c r="BM70" i="53"/>
  <c r="BL70" i="53"/>
  <c r="BK70" i="53"/>
  <c r="BJ70" i="53"/>
  <c r="BI70" i="53"/>
  <c r="BH70" i="53"/>
  <c r="BG70" i="53"/>
  <c r="BF70" i="53"/>
  <c r="BE70" i="53"/>
  <c r="BD70" i="53"/>
  <c r="BC70" i="53"/>
  <c r="BB70" i="53"/>
  <c r="BA70" i="53"/>
  <c r="AZ70" i="53"/>
  <c r="AY70" i="53"/>
  <c r="AX70" i="53"/>
  <c r="AW70" i="53"/>
  <c r="AV70" i="53"/>
  <c r="AU70" i="53"/>
  <c r="AT70" i="53"/>
  <c r="AS70" i="53"/>
  <c r="AR70" i="53"/>
  <c r="AQ70" i="53"/>
  <c r="AP70" i="53"/>
  <c r="AO70" i="53"/>
  <c r="AN70" i="53"/>
  <c r="AM70" i="53"/>
  <c r="AL70" i="53"/>
  <c r="AK70" i="53"/>
  <c r="AJ70" i="53"/>
  <c r="AI70" i="53"/>
  <c r="AH70" i="53"/>
  <c r="AG70" i="53"/>
  <c r="AF70" i="53"/>
  <c r="AE70" i="53"/>
  <c r="AD70" i="53"/>
  <c r="AC70" i="53"/>
  <c r="AB70" i="53"/>
  <c r="AA70" i="53"/>
  <c r="Z70" i="53"/>
  <c r="Y70" i="53"/>
  <c r="X70" i="53"/>
  <c r="D70" i="53"/>
  <c r="D69" i="53"/>
  <c r="BW67" i="53"/>
  <c r="BV67" i="53"/>
  <c r="BU67" i="53"/>
  <c r="BT67" i="53"/>
  <c r="BS67" i="53"/>
  <c r="BR67" i="53"/>
  <c r="BQ67" i="53"/>
  <c r="BP67" i="53"/>
  <c r="BO67" i="53"/>
  <c r="BN67" i="53"/>
  <c r="BM67" i="53"/>
  <c r="BL67" i="53"/>
  <c r="BK67" i="53"/>
  <c r="BJ67" i="53"/>
  <c r="BI67" i="53"/>
  <c r="BH67" i="53"/>
  <c r="BG67" i="53"/>
  <c r="BF67" i="53"/>
  <c r="BE67" i="53"/>
  <c r="BD67" i="53"/>
  <c r="BC67" i="53"/>
  <c r="BB67" i="53"/>
  <c r="BA67" i="53"/>
  <c r="AZ67" i="53"/>
  <c r="AY67" i="53"/>
  <c r="AX67" i="53"/>
  <c r="AW67" i="53"/>
  <c r="AV67" i="53"/>
  <c r="AU67" i="53"/>
  <c r="AT67" i="53"/>
  <c r="AS67" i="53"/>
  <c r="AR67" i="53"/>
  <c r="AQ67" i="53"/>
  <c r="AP67" i="53"/>
  <c r="AO67" i="53"/>
  <c r="AN67" i="53"/>
  <c r="AM67" i="53"/>
  <c r="AL67" i="53"/>
  <c r="AK67" i="53"/>
  <c r="AJ67" i="53"/>
  <c r="AI67" i="53"/>
  <c r="AH67" i="53"/>
  <c r="AG67" i="53"/>
  <c r="AF67" i="53"/>
  <c r="AE67" i="53"/>
  <c r="AD67" i="53"/>
  <c r="AC67" i="53"/>
  <c r="AB67" i="53"/>
  <c r="AA67" i="53"/>
  <c r="Z67" i="53"/>
  <c r="Y67" i="53"/>
  <c r="X67" i="53"/>
  <c r="D67" i="53"/>
  <c r="BW66" i="53"/>
  <c r="BV66" i="53"/>
  <c r="BU66" i="53"/>
  <c r="BT66" i="53"/>
  <c r="BS66" i="53"/>
  <c r="BR66" i="53"/>
  <c r="BQ66" i="53"/>
  <c r="BP66" i="53"/>
  <c r="BO66" i="53"/>
  <c r="BN66" i="53"/>
  <c r="BM66" i="53"/>
  <c r="BL66" i="53"/>
  <c r="BK66" i="53"/>
  <c r="BJ66" i="53"/>
  <c r="BI66" i="53"/>
  <c r="BH66" i="53"/>
  <c r="BG66" i="53"/>
  <c r="BF66" i="53"/>
  <c r="BE66" i="53"/>
  <c r="BD66" i="53"/>
  <c r="BC66" i="53"/>
  <c r="BB66" i="53"/>
  <c r="BA66" i="53"/>
  <c r="AZ66" i="53"/>
  <c r="AY66" i="53"/>
  <c r="AX66" i="53"/>
  <c r="AW66" i="53"/>
  <c r="AV66" i="53"/>
  <c r="AU66" i="53"/>
  <c r="AT66" i="53"/>
  <c r="AS66" i="53"/>
  <c r="AR66" i="53"/>
  <c r="AQ66" i="53"/>
  <c r="AP66" i="53"/>
  <c r="AO66" i="53"/>
  <c r="AN66" i="53"/>
  <c r="AM66" i="53"/>
  <c r="AL66" i="53"/>
  <c r="AK66" i="53"/>
  <c r="AJ66" i="53"/>
  <c r="AI66" i="53"/>
  <c r="AH66" i="53"/>
  <c r="AG66" i="53"/>
  <c r="AF66" i="53"/>
  <c r="AE66" i="53"/>
  <c r="AD66" i="53"/>
  <c r="AC66" i="53"/>
  <c r="AB66" i="53"/>
  <c r="AA66" i="53"/>
  <c r="Z66" i="53"/>
  <c r="Y66" i="53"/>
  <c r="X66" i="53"/>
  <c r="D66" i="53"/>
  <c r="BW65" i="53"/>
  <c r="BV65" i="53"/>
  <c r="BU65" i="53"/>
  <c r="BT65" i="53"/>
  <c r="BS65" i="53"/>
  <c r="BR65" i="53"/>
  <c r="BQ65" i="53"/>
  <c r="BP65" i="53"/>
  <c r="BO65" i="53"/>
  <c r="BN65" i="53"/>
  <c r="BM65" i="53"/>
  <c r="BL65" i="53"/>
  <c r="BK65" i="53"/>
  <c r="BJ65" i="53"/>
  <c r="BI65" i="53"/>
  <c r="BH65" i="53"/>
  <c r="BG65" i="53"/>
  <c r="BF65" i="53"/>
  <c r="BE65" i="53"/>
  <c r="BD65" i="53"/>
  <c r="BC65" i="53"/>
  <c r="BB65" i="53"/>
  <c r="BA65" i="53"/>
  <c r="AZ65" i="53"/>
  <c r="AY65" i="53"/>
  <c r="AX65" i="53"/>
  <c r="AW65" i="53"/>
  <c r="AV65" i="53"/>
  <c r="AU65" i="53"/>
  <c r="AT65" i="53"/>
  <c r="AS65" i="53"/>
  <c r="AR65" i="53"/>
  <c r="AQ65" i="53"/>
  <c r="AP65" i="53"/>
  <c r="AO65" i="53"/>
  <c r="AN65" i="53"/>
  <c r="AM65" i="53"/>
  <c r="AL65" i="53"/>
  <c r="AK65" i="53"/>
  <c r="AJ65" i="53"/>
  <c r="AI65" i="53"/>
  <c r="AH65" i="53"/>
  <c r="AG65" i="53"/>
  <c r="AF65" i="53"/>
  <c r="AE65" i="53"/>
  <c r="AD65" i="53"/>
  <c r="AC65" i="53"/>
  <c r="AB65" i="53"/>
  <c r="AA65" i="53"/>
  <c r="Z65" i="53"/>
  <c r="Y65" i="53"/>
  <c r="X65" i="53"/>
  <c r="D65" i="53"/>
  <c r="BW64" i="53"/>
  <c r="BV64" i="53"/>
  <c r="BU64" i="53"/>
  <c r="BT64" i="53"/>
  <c r="BS64" i="53"/>
  <c r="BR64" i="53"/>
  <c r="BQ64" i="53"/>
  <c r="BP64" i="53"/>
  <c r="BO64" i="53"/>
  <c r="BN64" i="53"/>
  <c r="BM64" i="53"/>
  <c r="BL64" i="53"/>
  <c r="BK64" i="53"/>
  <c r="BJ64" i="53"/>
  <c r="BI64" i="53"/>
  <c r="BH64" i="53"/>
  <c r="BG64" i="53"/>
  <c r="BF64" i="53"/>
  <c r="BE64" i="53"/>
  <c r="BD64" i="53"/>
  <c r="BC64" i="53"/>
  <c r="BB64" i="53"/>
  <c r="BA64" i="53"/>
  <c r="AZ64" i="53"/>
  <c r="AY64" i="53"/>
  <c r="AX64" i="53"/>
  <c r="AW64" i="53"/>
  <c r="AV64" i="53"/>
  <c r="AU64" i="53"/>
  <c r="AT64" i="53"/>
  <c r="AS64" i="53"/>
  <c r="AR64" i="53"/>
  <c r="AQ64" i="53"/>
  <c r="AP64" i="53"/>
  <c r="AO64" i="53"/>
  <c r="AN64" i="53"/>
  <c r="AM64" i="53"/>
  <c r="AL64" i="53"/>
  <c r="AK64" i="53"/>
  <c r="AJ64" i="53"/>
  <c r="AI64" i="53"/>
  <c r="AH64" i="53"/>
  <c r="AG64" i="53"/>
  <c r="AF64" i="53"/>
  <c r="AE64" i="53"/>
  <c r="AD64" i="53"/>
  <c r="AC64" i="53"/>
  <c r="AB64" i="53"/>
  <c r="AA64" i="53"/>
  <c r="Z64" i="53"/>
  <c r="Y64" i="53"/>
  <c r="X64" i="53"/>
  <c r="D64" i="53"/>
  <c r="D63" i="53"/>
  <c r="D62" i="53"/>
  <c r="D45" i="53"/>
  <c r="D43" i="53"/>
  <c r="D41" i="53"/>
  <c r="D40" i="53"/>
  <c r="D38" i="53"/>
  <c r="D36" i="53"/>
  <c r="D34" i="53"/>
  <c r="D32" i="53"/>
  <c r="D31" i="53"/>
  <c r="D30" i="53"/>
  <c r="D29" i="53"/>
  <c r="D27" i="53"/>
  <c r="D25" i="53"/>
  <c r="D24" i="53"/>
  <c r="D23" i="53"/>
  <c r="D22" i="53"/>
  <c r="D20" i="53"/>
  <c r="D19" i="53"/>
  <c r="D18" i="53"/>
  <c r="D17" i="53"/>
  <c r="D15" i="53"/>
  <c r="B15" i="53"/>
  <c r="D14" i="53"/>
  <c r="B14" i="53"/>
  <c r="D13" i="53"/>
  <c r="B13" i="53"/>
  <c r="B23" i="53"/>
  <c r="D12" i="53"/>
  <c r="A10" i="53"/>
  <c r="A60" i="53" s="1"/>
  <c r="A97" i="53" s="1"/>
  <c r="D8" i="53"/>
  <c r="D8" i="59" s="1"/>
  <c r="D7" i="53"/>
  <c r="D7" i="59"/>
  <c r="L6" i="53"/>
  <c r="L6" i="59"/>
  <c r="K6" i="53"/>
  <c r="K6" i="59"/>
  <c r="J6" i="53"/>
  <c r="J6" i="59" s="1"/>
  <c r="I6" i="53"/>
  <c r="I6" i="59"/>
  <c r="H6" i="53"/>
  <c r="H6" i="59" s="1"/>
  <c r="D6" i="53"/>
  <c r="D6" i="59"/>
  <c r="D5" i="53"/>
  <c r="D5" i="59" s="1"/>
  <c r="A3" i="53"/>
  <c r="BR43" i="13"/>
  <c r="BR34" i="49" s="1"/>
  <c r="BQ43" i="13"/>
  <c r="BQ34" i="49" s="1"/>
  <c r="BP43" i="13"/>
  <c r="BP34" i="49"/>
  <c r="BO43" i="13"/>
  <c r="BO34" i="49"/>
  <c r="BN43" i="13"/>
  <c r="BN34" i="49" s="1"/>
  <c r="BM43" i="13"/>
  <c r="BM34" i="49" s="1"/>
  <c r="BL43" i="13"/>
  <c r="BL34" i="49" s="1"/>
  <c r="BK43" i="13"/>
  <c r="BK34" i="49"/>
  <c r="BJ43" i="13"/>
  <c r="BJ34" i="49" s="1"/>
  <c r="BI43" i="13"/>
  <c r="BI34" i="49" s="1"/>
  <c r="BH43" i="13"/>
  <c r="BH34" i="49"/>
  <c r="BG43" i="13"/>
  <c r="BG34" i="49"/>
  <c r="BF43" i="13"/>
  <c r="BF34" i="49" s="1"/>
  <c r="BE43" i="13"/>
  <c r="BE34" i="49" s="1"/>
  <c r="BD43" i="13"/>
  <c r="BD34" i="49" s="1"/>
  <c r="BC43" i="13"/>
  <c r="BC34" i="49"/>
  <c r="BB43" i="13"/>
  <c r="BB34" i="49"/>
  <c r="BA43" i="13"/>
  <c r="BA34" i="49" s="1"/>
  <c r="AZ43" i="13"/>
  <c r="AZ34" i="49" s="1"/>
  <c r="AY43" i="13"/>
  <c r="AY34" i="49"/>
  <c r="AX43" i="13"/>
  <c r="AX34" i="49"/>
  <c r="AW43" i="13"/>
  <c r="AW34" i="49" s="1"/>
  <c r="AV43" i="13"/>
  <c r="AV34" i="49" s="1"/>
  <c r="AU43" i="13"/>
  <c r="AU34" i="49"/>
  <c r="AT43" i="13"/>
  <c r="AT34" i="49" s="1"/>
  <c r="AS43" i="13"/>
  <c r="AS34" i="49" s="1"/>
  <c r="AR43" i="13"/>
  <c r="AR34" i="49"/>
  <c r="AQ43" i="13"/>
  <c r="AQ34" i="49"/>
  <c r="AP43" i="13"/>
  <c r="AP34" i="49"/>
  <c r="AO43" i="13"/>
  <c r="AO34" i="49" s="1"/>
  <c r="AN43" i="13"/>
  <c r="AN34" i="49"/>
  <c r="AM43" i="13"/>
  <c r="AM34" i="49"/>
  <c r="AL43" i="13"/>
  <c r="AL34" i="49" s="1"/>
  <c r="AK43" i="13"/>
  <c r="AK34" i="49" s="1"/>
  <c r="AJ43" i="13"/>
  <c r="AJ34" i="49"/>
  <c r="AI43" i="13"/>
  <c r="AI34" i="49"/>
  <c r="AH43" i="13"/>
  <c r="AH34" i="49" s="1"/>
  <c r="AG43" i="13"/>
  <c r="AG34" i="49" s="1"/>
  <c r="AF43" i="13"/>
  <c r="AF34" i="49" s="1"/>
  <c r="AE43" i="13"/>
  <c r="AE34" i="49"/>
  <c r="AD43" i="13"/>
  <c r="AD34" i="49" s="1"/>
  <c r="AC43" i="13"/>
  <c r="AC34" i="49" s="1"/>
  <c r="AB43" i="13"/>
  <c r="AB34" i="49"/>
  <c r="AA43" i="13"/>
  <c r="AA34" i="49"/>
  <c r="Z43" i="13"/>
  <c r="Z34" i="49" s="1"/>
  <c r="Y43" i="13"/>
  <c r="Y34" i="49" s="1"/>
  <c r="X43" i="13"/>
  <c r="X34" i="49" s="1"/>
  <c r="W43" i="13"/>
  <c r="W34" i="49"/>
  <c r="V43" i="13"/>
  <c r="V34" i="49"/>
  <c r="U43" i="13"/>
  <c r="U34" i="49" s="1"/>
  <c r="T43" i="13"/>
  <c r="T34" i="49" s="1"/>
  <c r="S43" i="13"/>
  <c r="S34" i="49"/>
  <c r="R43" i="13"/>
  <c r="R34" i="49"/>
  <c r="Q43" i="13"/>
  <c r="Q34" i="49" s="1"/>
  <c r="P43" i="13"/>
  <c r="P34" i="49" s="1"/>
  <c r="O43" i="13"/>
  <c r="O34" i="49"/>
  <c r="N43" i="13"/>
  <c r="N34" i="49" s="1"/>
  <c r="M43" i="13"/>
  <c r="M34" i="49" s="1"/>
  <c r="L43" i="13"/>
  <c r="L34" i="49"/>
  <c r="K43" i="13"/>
  <c r="K34" i="49"/>
  <c r="A10" i="51"/>
  <c r="D8" i="51"/>
  <c r="D7" i="51"/>
  <c r="BR6" i="51"/>
  <c r="BQ6" i="51"/>
  <c r="BP6" i="51"/>
  <c r="BO6" i="51"/>
  <c r="BN6" i="51"/>
  <c r="BM6" i="51"/>
  <c r="BL6" i="51"/>
  <c r="BK6" i="51"/>
  <c r="BJ6" i="51"/>
  <c r="BI6" i="51"/>
  <c r="BH6" i="51"/>
  <c r="BG6" i="51"/>
  <c r="BF6" i="51"/>
  <c r="BE6" i="51"/>
  <c r="BD6" i="51"/>
  <c r="BC6" i="51"/>
  <c r="BB6" i="51"/>
  <c r="BA6" i="51"/>
  <c r="AZ6" i="51"/>
  <c r="AY6" i="51"/>
  <c r="AX6" i="51"/>
  <c r="AW6" i="51"/>
  <c r="AV6" i="51"/>
  <c r="AU6" i="51"/>
  <c r="AT6" i="51"/>
  <c r="AS6" i="51"/>
  <c r="AR6" i="51"/>
  <c r="AQ6" i="51"/>
  <c r="AP6" i="51"/>
  <c r="AO6" i="51"/>
  <c r="AN6" i="51"/>
  <c r="AM6" i="51"/>
  <c r="AL6" i="51"/>
  <c r="AK6" i="51"/>
  <c r="AJ6" i="51"/>
  <c r="AI6" i="51"/>
  <c r="AH6" i="51"/>
  <c r="AG6" i="51"/>
  <c r="AF6" i="51"/>
  <c r="AE6" i="51"/>
  <c r="AD6" i="51"/>
  <c r="AC6" i="51"/>
  <c r="AB6" i="51"/>
  <c r="AA6" i="51"/>
  <c r="Z6" i="51"/>
  <c r="Y6" i="51"/>
  <c r="X6" i="51"/>
  <c r="W6" i="51"/>
  <c r="V6" i="51"/>
  <c r="U6" i="51"/>
  <c r="T6" i="51"/>
  <c r="S6" i="51"/>
  <c r="R6" i="51"/>
  <c r="Q6" i="51"/>
  <c r="P6" i="51"/>
  <c r="O6" i="51"/>
  <c r="N6" i="51"/>
  <c r="M6" i="51"/>
  <c r="L6" i="51"/>
  <c r="K6" i="51"/>
  <c r="I6" i="51"/>
  <c r="H6" i="51"/>
  <c r="G6" i="51"/>
  <c r="F6" i="51"/>
  <c r="E6" i="51"/>
  <c r="D6" i="51"/>
  <c r="D5" i="51"/>
  <c r="A3" i="51"/>
  <c r="D34" i="49"/>
  <c r="D43" i="13"/>
  <c r="F143" i="2"/>
  <c r="F123" i="2"/>
  <c r="F118" i="2"/>
  <c r="F111" i="2"/>
  <c r="F138" i="2"/>
  <c r="G6" i="2"/>
  <c r="K78" i="2"/>
  <c r="D214" i="11"/>
  <c r="K239" i="11"/>
  <c r="K226" i="11" s="1"/>
  <c r="J78" i="2"/>
  <c r="I78" i="2"/>
  <c r="D142" i="11" s="1"/>
  <c r="K167" i="11" s="1"/>
  <c r="K154" i="11" s="1"/>
  <c r="H78" i="2"/>
  <c r="G78" i="2"/>
  <c r="D70" i="11" s="1"/>
  <c r="K95" i="11" s="1"/>
  <c r="K82" i="11" s="1"/>
  <c r="F78" i="2"/>
  <c r="D35" i="11" s="1"/>
  <c r="BF73" i="54"/>
  <c r="CA73" i="54"/>
  <c r="F93" i="54"/>
  <c r="AG93" i="54"/>
  <c r="AH90" i="54"/>
  <c r="F181" i="2"/>
  <c r="C162" i="2"/>
  <c r="B18" i="53"/>
  <c r="AH93" i="54"/>
  <c r="AI90" i="54"/>
  <c r="AI93" i="54" s="1"/>
  <c r="AJ90" i="54"/>
  <c r="AK90" i="54" s="1"/>
  <c r="G126" i="53"/>
  <c r="P122" i="54"/>
  <c r="O122" i="54"/>
  <c r="X92" i="53"/>
  <c r="X95" i="53" s="1"/>
  <c r="D39" i="49"/>
  <c r="J39" i="49" s="1"/>
  <c r="K38" i="49" s="1"/>
  <c r="D23" i="13"/>
  <c r="D24" i="13"/>
  <c r="D25" i="13"/>
  <c r="D48" i="13"/>
  <c r="D53" i="48"/>
  <c r="D103" i="2"/>
  <c r="D52" i="48"/>
  <c r="D51" i="48"/>
  <c r="D50" i="48"/>
  <c r="D44" i="48"/>
  <c r="D42" i="48"/>
  <c r="D43" i="48"/>
  <c r="D41" i="48"/>
  <c r="D24" i="11"/>
  <c r="D17" i="11"/>
  <c r="D61" i="11"/>
  <c r="J61" i="11" s="1"/>
  <c r="J24" i="11"/>
  <c r="D30" i="11"/>
  <c r="D54" i="11"/>
  <c r="J54" i="11"/>
  <c r="J17" i="11"/>
  <c r="D77" i="9"/>
  <c r="J77" i="9" s="1"/>
  <c r="K73" i="9" s="1"/>
  <c r="D67" i="9"/>
  <c r="J67" i="9"/>
  <c r="K63" i="9" s="1"/>
  <c r="D57" i="9"/>
  <c r="D47" i="9"/>
  <c r="D37" i="9"/>
  <c r="J37" i="9" s="1"/>
  <c r="K33" i="9" s="1"/>
  <c r="D91" i="44"/>
  <c r="E88" i="44" s="1"/>
  <c r="D78" i="44"/>
  <c r="D67" i="44"/>
  <c r="E64" i="44"/>
  <c r="D56" i="44"/>
  <c r="D43" i="44"/>
  <c r="J43" i="44" s="1"/>
  <c r="K40" i="44" s="1"/>
  <c r="D32" i="44"/>
  <c r="D21" i="44"/>
  <c r="D111" i="2"/>
  <c r="C112" i="2"/>
  <c r="D112" i="2"/>
  <c r="C113" i="2"/>
  <c r="D113" i="2"/>
  <c r="C114" i="2"/>
  <c r="B65" i="53"/>
  <c r="D114" i="2"/>
  <c r="C115" i="2"/>
  <c r="D115" i="2"/>
  <c r="C116" i="2"/>
  <c r="D116" i="2"/>
  <c r="D118" i="2"/>
  <c r="D119" i="2"/>
  <c r="D120" i="2"/>
  <c r="D121" i="2"/>
  <c r="D123" i="2"/>
  <c r="D124" i="2"/>
  <c r="D125" i="2"/>
  <c r="D126" i="2"/>
  <c r="D128" i="2"/>
  <c r="D130" i="2"/>
  <c r="D131" i="2"/>
  <c r="D133" i="2"/>
  <c r="D134" i="2"/>
  <c r="D136" i="2"/>
  <c r="D138" i="2"/>
  <c r="D140" i="2"/>
  <c r="D141" i="2"/>
  <c r="D143" i="2"/>
  <c r="G143" i="2"/>
  <c r="B15" i="13"/>
  <c r="B14" i="13"/>
  <c r="B13" i="13"/>
  <c r="B23" i="13" s="1"/>
  <c r="B22" i="50"/>
  <c r="B27" i="50" s="1"/>
  <c r="B21" i="50"/>
  <c r="B26" i="50" s="1"/>
  <c r="B20" i="50"/>
  <c r="B25" i="50"/>
  <c r="B14" i="50"/>
  <c r="B15" i="50"/>
  <c r="B16" i="50"/>
  <c r="B17" i="50"/>
  <c r="B13" i="50"/>
  <c r="A10" i="47"/>
  <c r="A15" i="47"/>
  <c r="B66" i="53"/>
  <c r="B65" i="54"/>
  <c r="B64" i="53"/>
  <c r="B63" i="54"/>
  <c r="D20" i="50"/>
  <c r="D21" i="50"/>
  <c r="D22" i="50"/>
  <c r="D25" i="50"/>
  <c r="D26" i="50"/>
  <c r="D27" i="50"/>
  <c r="D13" i="50"/>
  <c r="D14" i="50"/>
  <c r="D15" i="50"/>
  <c r="D16" i="50"/>
  <c r="D17" i="50"/>
  <c r="D44" i="50"/>
  <c r="D42" i="50"/>
  <c r="D41" i="50"/>
  <c r="D39" i="50"/>
  <c r="D37" i="50"/>
  <c r="D35" i="50"/>
  <c r="D34" i="50"/>
  <c r="D32" i="50"/>
  <c r="D31" i="50"/>
  <c r="D29" i="50"/>
  <c r="D19" i="50"/>
  <c r="D24" i="50"/>
  <c r="D12" i="50"/>
  <c r="D8" i="50"/>
  <c r="D7" i="50"/>
  <c r="BR6" i="50"/>
  <c r="BQ6" i="50"/>
  <c r="BP6" i="50"/>
  <c r="BO6" i="50"/>
  <c r="BN6" i="50"/>
  <c r="BM6" i="50"/>
  <c r="BL6" i="50"/>
  <c r="BK6" i="50"/>
  <c r="BJ6" i="50"/>
  <c r="BI6" i="50"/>
  <c r="BH6" i="50"/>
  <c r="BG6" i="50"/>
  <c r="BF6" i="50"/>
  <c r="BE6" i="50"/>
  <c r="BD6" i="50"/>
  <c r="BC6" i="50"/>
  <c r="BB6" i="50"/>
  <c r="BA6" i="50"/>
  <c r="AZ6" i="50"/>
  <c r="AY6" i="50"/>
  <c r="AX6" i="50"/>
  <c r="AW6" i="50"/>
  <c r="AV6" i="50"/>
  <c r="AU6" i="50"/>
  <c r="AT6" i="50"/>
  <c r="AS6" i="50"/>
  <c r="AR6" i="50"/>
  <c r="AQ6" i="50"/>
  <c r="AP6" i="50"/>
  <c r="AO6" i="50"/>
  <c r="AN6" i="50"/>
  <c r="AM6" i="50"/>
  <c r="AL6" i="50"/>
  <c r="AK6" i="50"/>
  <c r="AJ6" i="50"/>
  <c r="AI6" i="50"/>
  <c r="AH6" i="50"/>
  <c r="AG6" i="50"/>
  <c r="AF6" i="50"/>
  <c r="AE6" i="50"/>
  <c r="AD6" i="50"/>
  <c r="AC6" i="50"/>
  <c r="AB6" i="50"/>
  <c r="AA6" i="50"/>
  <c r="Z6" i="50"/>
  <c r="Y6" i="50"/>
  <c r="X6" i="50"/>
  <c r="W6" i="50"/>
  <c r="V6" i="50"/>
  <c r="U6" i="50"/>
  <c r="T6" i="50"/>
  <c r="S6" i="50"/>
  <c r="R6" i="50"/>
  <c r="Q6" i="50"/>
  <c r="P6" i="50"/>
  <c r="O6" i="50"/>
  <c r="N6" i="50"/>
  <c r="M6" i="50"/>
  <c r="L6" i="50"/>
  <c r="K6" i="50"/>
  <c r="I6" i="50"/>
  <c r="H6" i="50"/>
  <c r="G6" i="50"/>
  <c r="F6" i="50"/>
  <c r="E6" i="50"/>
  <c r="D6" i="50"/>
  <c r="D5" i="50"/>
  <c r="A3" i="50"/>
  <c r="D18" i="13"/>
  <c r="D19" i="13"/>
  <c r="D20" i="13"/>
  <c r="D13" i="13"/>
  <c r="D14" i="13"/>
  <c r="D15" i="13"/>
  <c r="D38" i="49"/>
  <c r="D36" i="49"/>
  <c r="D32" i="49"/>
  <c r="D30" i="49"/>
  <c r="D28" i="49"/>
  <c r="D27" i="49"/>
  <c r="D24" i="49"/>
  <c r="BR22" i="49"/>
  <c r="BQ22" i="49"/>
  <c r="BP22" i="49"/>
  <c r="BO22" i="49"/>
  <c r="BN22" i="49"/>
  <c r="BM22" i="49"/>
  <c r="BL22" i="49"/>
  <c r="BK22" i="49"/>
  <c r="BJ22" i="49"/>
  <c r="BI22" i="49"/>
  <c r="BH22" i="49"/>
  <c r="BG22" i="49"/>
  <c r="BF22" i="49"/>
  <c r="BE22" i="49"/>
  <c r="BD22" i="49"/>
  <c r="BC22" i="49"/>
  <c r="BB22" i="49"/>
  <c r="BA22" i="49"/>
  <c r="AZ22" i="49"/>
  <c r="AY22" i="49"/>
  <c r="AX22" i="49"/>
  <c r="AW22" i="49"/>
  <c r="AV22" i="49"/>
  <c r="AU22" i="49"/>
  <c r="AT22" i="49"/>
  <c r="AS22" i="49"/>
  <c r="AR22" i="49"/>
  <c r="AQ22" i="49"/>
  <c r="AP22" i="49"/>
  <c r="AO22" i="49"/>
  <c r="AN22" i="49"/>
  <c r="AM22" i="49"/>
  <c r="AL22" i="49"/>
  <c r="AK22" i="49"/>
  <c r="AJ22" i="49"/>
  <c r="AI22" i="49"/>
  <c r="AH22" i="49"/>
  <c r="AG22" i="49"/>
  <c r="AF22" i="49"/>
  <c r="AE22" i="49"/>
  <c r="AD22" i="49"/>
  <c r="AC22" i="49"/>
  <c r="AB22" i="49"/>
  <c r="AA22" i="49"/>
  <c r="Z22" i="49"/>
  <c r="Y22" i="49"/>
  <c r="X22" i="49"/>
  <c r="W22" i="49"/>
  <c r="V22" i="49"/>
  <c r="U22" i="49"/>
  <c r="T22" i="49"/>
  <c r="S22" i="49"/>
  <c r="R22" i="49"/>
  <c r="Q22" i="49"/>
  <c r="P22" i="49"/>
  <c r="O22" i="49"/>
  <c r="N22" i="49"/>
  <c r="M22" i="49"/>
  <c r="L22" i="49"/>
  <c r="K22" i="49"/>
  <c r="D22" i="49"/>
  <c r="BR21" i="49"/>
  <c r="BQ21" i="49"/>
  <c r="BP21" i="49"/>
  <c r="BO21" i="49"/>
  <c r="BN21" i="49"/>
  <c r="BM21" i="49"/>
  <c r="BL21" i="49"/>
  <c r="BK21" i="49"/>
  <c r="BJ21" i="49"/>
  <c r="BI21" i="49"/>
  <c r="BH21" i="49"/>
  <c r="BG21" i="49"/>
  <c r="BF21" i="49"/>
  <c r="BE21" i="49"/>
  <c r="BD21" i="49"/>
  <c r="BC21" i="49"/>
  <c r="BB21" i="49"/>
  <c r="BA21" i="49"/>
  <c r="AZ21" i="49"/>
  <c r="AY21" i="49"/>
  <c r="AX21" i="49"/>
  <c r="AW21" i="49"/>
  <c r="AV21" i="49"/>
  <c r="AU21" i="49"/>
  <c r="AT21" i="49"/>
  <c r="AS21" i="49"/>
  <c r="AR21" i="49"/>
  <c r="AQ21" i="49"/>
  <c r="AP21" i="49"/>
  <c r="AO21" i="49"/>
  <c r="AN21" i="49"/>
  <c r="AM21" i="49"/>
  <c r="AL21" i="49"/>
  <c r="AK21" i="49"/>
  <c r="AJ21" i="49"/>
  <c r="AI21" i="49"/>
  <c r="AH21" i="49"/>
  <c r="AG21" i="49"/>
  <c r="AF21" i="49"/>
  <c r="AE21" i="49"/>
  <c r="AD21" i="49"/>
  <c r="AC21" i="49"/>
  <c r="AB21" i="49"/>
  <c r="AA21" i="49"/>
  <c r="Z21" i="49"/>
  <c r="Y21" i="49"/>
  <c r="X21" i="49"/>
  <c r="W21" i="49"/>
  <c r="V21" i="49"/>
  <c r="U21" i="49"/>
  <c r="T21" i="49"/>
  <c r="S21" i="49"/>
  <c r="R21" i="49"/>
  <c r="Q21" i="49"/>
  <c r="P21" i="49"/>
  <c r="O21" i="49"/>
  <c r="N21" i="49"/>
  <c r="M21" i="49"/>
  <c r="L21" i="49"/>
  <c r="K21" i="49"/>
  <c r="D21" i="49"/>
  <c r="D19" i="49"/>
  <c r="D17" i="49"/>
  <c r="D16" i="49"/>
  <c r="D15" i="49"/>
  <c r="D14" i="49"/>
  <c r="D12" i="49"/>
  <c r="A10" i="49"/>
  <c r="D8" i="49"/>
  <c r="D7" i="49"/>
  <c r="BR6" i="49"/>
  <c r="BQ6" i="49"/>
  <c r="BP6" i="49"/>
  <c r="BO6" i="49"/>
  <c r="BN6" i="49"/>
  <c r="BM6" i="49"/>
  <c r="BL6" i="49"/>
  <c r="BK6" i="49"/>
  <c r="BJ6" i="49"/>
  <c r="BI6" i="49"/>
  <c r="BH6" i="49"/>
  <c r="BG6" i="49"/>
  <c r="BF6" i="49"/>
  <c r="BE6" i="49"/>
  <c r="BD6" i="49"/>
  <c r="BC6" i="49"/>
  <c r="BB6" i="49"/>
  <c r="BA6" i="49"/>
  <c r="AZ6" i="49"/>
  <c r="AY6" i="49"/>
  <c r="AX6" i="49"/>
  <c r="AW6" i="49"/>
  <c r="AV6" i="49"/>
  <c r="AU6" i="49"/>
  <c r="AT6" i="49"/>
  <c r="AS6" i="49"/>
  <c r="AR6" i="49"/>
  <c r="AQ6" i="49"/>
  <c r="AP6" i="49"/>
  <c r="AO6" i="49"/>
  <c r="AN6" i="49"/>
  <c r="AM6" i="49"/>
  <c r="AL6" i="49"/>
  <c r="AK6" i="49"/>
  <c r="AJ6" i="49"/>
  <c r="AI6" i="49"/>
  <c r="AH6" i="49"/>
  <c r="AG6" i="49"/>
  <c r="AF6" i="49"/>
  <c r="AE6" i="49"/>
  <c r="AD6" i="49"/>
  <c r="AC6" i="49"/>
  <c r="AB6" i="49"/>
  <c r="AA6" i="49"/>
  <c r="Z6" i="49"/>
  <c r="Y6" i="49"/>
  <c r="X6" i="49"/>
  <c r="W6" i="49"/>
  <c r="V6" i="49"/>
  <c r="U6" i="49"/>
  <c r="T6" i="49"/>
  <c r="S6" i="49"/>
  <c r="R6" i="49"/>
  <c r="Q6" i="49"/>
  <c r="P6" i="49"/>
  <c r="O6" i="49"/>
  <c r="N6" i="49"/>
  <c r="M6" i="49"/>
  <c r="L6" i="49"/>
  <c r="K6" i="49"/>
  <c r="I6" i="49"/>
  <c r="H6" i="49"/>
  <c r="G6" i="49"/>
  <c r="F6" i="49"/>
  <c r="E6" i="49"/>
  <c r="D6" i="49"/>
  <c r="D5" i="49"/>
  <c r="A3" i="49"/>
  <c r="A10" i="50"/>
  <c r="B36" i="48"/>
  <c r="C36" i="48"/>
  <c r="C13" i="48"/>
  <c r="A10" i="48"/>
  <c r="A46" i="48" s="1"/>
  <c r="D8" i="48"/>
  <c r="D7" i="48"/>
  <c r="BR6" i="48"/>
  <c r="BF6" i="48"/>
  <c r="AT6" i="48"/>
  <c r="AH6" i="48"/>
  <c r="V6" i="48"/>
  <c r="I6" i="48"/>
  <c r="H6" i="48"/>
  <c r="G6" i="48"/>
  <c r="F6" i="48"/>
  <c r="E6" i="48"/>
  <c r="D6" i="48"/>
  <c r="D5" i="48"/>
  <c r="A3" i="48"/>
  <c r="D8" i="47"/>
  <c r="D7" i="47"/>
  <c r="BR6" i="47"/>
  <c r="BQ6" i="47"/>
  <c r="BP6" i="47"/>
  <c r="BO6" i="47"/>
  <c r="BN6" i="47"/>
  <c r="BM6" i="47"/>
  <c r="BL6" i="47"/>
  <c r="BK6" i="47"/>
  <c r="BJ6" i="47"/>
  <c r="BI6" i="47"/>
  <c r="BH6" i="47"/>
  <c r="BG6" i="47"/>
  <c r="BF6" i="47"/>
  <c r="BE6" i="47"/>
  <c r="BD6" i="47"/>
  <c r="BC6" i="47"/>
  <c r="BB6" i="47"/>
  <c r="BA6" i="47"/>
  <c r="AZ6" i="47"/>
  <c r="AY6" i="47"/>
  <c r="AX6" i="47"/>
  <c r="AW6" i="47"/>
  <c r="AV6" i="47"/>
  <c r="AU6" i="47"/>
  <c r="AT6" i="47"/>
  <c r="AS6" i="47"/>
  <c r="AR6" i="47"/>
  <c r="AQ6" i="47"/>
  <c r="AP6" i="47"/>
  <c r="AO6" i="47"/>
  <c r="AN6" i="47"/>
  <c r="AM6" i="47"/>
  <c r="AL6" i="47"/>
  <c r="AK6" i="47"/>
  <c r="AJ6" i="47"/>
  <c r="AI6" i="47"/>
  <c r="AH6" i="47"/>
  <c r="AG6" i="47"/>
  <c r="AF6" i="47"/>
  <c r="AE6" i="47"/>
  <c r="AD6" i="47"/>
  <c r="AC6" i="47"/>
  <c r="AB6" i="47"/>
  <c r="AA6" i="47"/>
  <c r="Z6" i="47"/>
  <c r="Y6" i="47"/>
  <c r="X6" i="47"/>
  <c r="W6" i="47"/>
  <c r="V6" i="47"/>
  <c r="U6" i="47"/>
  <c r="T6" i="47"/>
  <c r="S6" i="47"/>
  <c r="R6" i="47"/>
  <c r="Q6" i="47"/>
  <c r="P6" i="47"/>
  <c r="O6" i="47"/>
  <c r="N6" i="47"/>
  <c r="M6" i="47"/>
  <c r="L6" i="47"/>
  <c r="K6" i="47"/>
  <c r="I6" i="47"/>
  <c r="H6" i="47"/>
  <c r="G6" i="47"/>
  <c r="F6" i="47"/>
  <c r="E6" i="47"/>
  <c r="D6" i="47"/>
  <c r="D5" i="47"/>
  <c r="A3" i="47"/>
  <c r="J48" i="13"/>
  <c r="K47" i="13" s="1"/>
  <c r="E47" i="13"/>
  <c r="D47" i="13"/>
  <c r="D45" i="13"/>
  <c r="D41" i="13"/>
  <c r="D40" i="13"/>
  <c r="D38" i="13"/>
  <c r="D36" i="13"/>
  <c r="D34" i="13"/>
  <c r="D32" i="13"/>
  <c r="D31" i="13"/>
  <c r="D30" i="13"/>
  <c r="D29" i="13"/>
  <c r="D17" i="13"/>
  <c r="D22" i="13"/>
  <c r="D27" i="13"/>
  <c r="D12" i="13"/>
  <c r="D29" i="5"/>
  <c r="D30" i="1"/>
  <c r="A10" i="13"/>
  <c r="L6" i="13"/>
  <c r="M6" i="13"/>
  <c r="N6" i="13"/>
  <c r="O6" i="13"/>
  <c r="P6" i="13"/>
  <c r="Q6" i="13"/>
  <c r="R6" i="13"/>
  <c r="S6" i="13"/>
  <c r="T6" i="13"/>
  <c r="U6" i="13"/>
  <c r="V6" i="13"/>
  <c r="W6" i="13"/>
  <c r="X6" i="13"/>
  <c r="Y6" i="13"/>
  <c r="Z6" i="13"/>
  <c r="AA6" i="13"/>
  <c r="AB6" i="13"/>
  <c r="AC6" i="13"/>
  <c r="AD6" i="13"/>
  <c r="AE6" i="13"/>
  <c r="AF6" i="13"/>
  <c r="AG6" i="13"/>
  <c r="AH6" i="13"/>
  <c r="AI6" i="13"/>
  <c r="AJ6" i="13"/>
  <c r="AK6" i="13"/>
  <c r="AL6" i="13"/>
  <c r="AM6" i="13"/>
  <c r="AN6" i="13"/>
  <c r="AO6" i="13"/>
  <c r="AP6" i="13"/>
  <c r="AQ6" i="13"/>
  <c r="AR6" i="13"/>
  <c r="AS6" i="13"/>
  <c r="AT6" i="13"/>
  <c r="AU6" i="13"/>
  <c r="AV6" i="13"/>
  <c r="AW6" i="13"/>
  <c r="AX6" i="13"/>
  <c r="AY6" i="13"/>
  <c r="AZ6" i="13"/>
  <c r="BA6" i="13"/>
  <c r="BB6" i="13"/>
  <c r="BC6" i="13"/>
  <c r="BD6" i="13"/>
  <c r="BE6" i="13"/>
  <c r="BF6" i="13"/>
  <c r="BG6" i="13"/>
  <c r="BH6" i="13"/>
  <c r="BI6" i="13"/>
  <c r="BJ6" i="13"/>
  <c r="BK6" i="13"/>
  <c r="BL6" i="13"/>
  <c r="BM6" i="13"/>
  <c r="BN6" i="13"/>
  <c r="BO6" i="13"/>
  <c r="BP6" i="13"/>
  <c r="BQ6" i="13"/>
  <c r="BR6" i="13"/>
  <c r="K6" i="13"/>
  <c r="E6" i="13"/>
  <c r="F6" i="13"/>
  <c r="G6" i="13"/>
  <c r="H6" i="13"/>
  <c r="I6" i="13"/>
  <c r="D6" i="13"/>
  <c r="D7" i="13"/>
  <c r="D8" i="13"/>
  <c r="D5" i="13"/>
  <c r="D241" i="11"/>
  <c r="D240" i="11"/>
  <c r="D239" i="11"/>
  <c r="D238" i="11"/>
  <c r="D234" i="11"/>
  <c r="D233" i="11"/>
  <c r="D232" i="11"/>
  <c r="D231" i="11"/>
  <c r="D205" i="11"/>
  <c r="D204" i="11"/>
  <c r="D203" i="11"/>
  <c r="D202" i="11"/>
  <c r="D198" i="11"/>
  <c r="D197" i="11"/>
  <c r="D196" i="11"/>
  <c r="D195" i="11"/>
  <c r="D169" i="11"/>
  <c r="D168" i="11"/>
  <c r="D167" i="11"/>
  <c r="D166" i="11"/>
  <c r="D162" i="11"/>
  <c r="D161" i="11"/>
  <c r="D160" i="11"/>
  <c r="D159" i="11"/>
  <c r="D133" i="11"/>
  <c r="D132" i="11"/>
  <c r="D131" i="11"/>
  <c r="D130" i="11"/>
  <c r="D126" i="11"/>
  <c r="D125" i="11"/>
  <c r="D124" i="11"/>
  <c r="D123" i="11"/>
  <c r="D97" i="11"/>
  <c r="D96" i="11"/>
  <c r="D95" i="11"/>
  <c r="D94" i="11"/>
  <c r="D90" i="11"/>
  <c r="D89" i="11"/>
  <c r="D88" i="11"/>
  <c r="D87" i="11"/>
  <c r="D60" i="11"/>
  <c r="D59" i="11"/>
  <c r="D58" i="11"/>
  <c r="D53" i="11"/>
  <c r="D52" i="11"/>
  <c r="D23" i="11"/>
  <c r="D22" i="11"/>
  <c r="D21" i="11"/>
  <c r="D15" i="11"/>
  <c r="D16" i="11"/>
  <c r="D14" i="11"/>
  <c r="D210" i="11"/>
  <c r="D211" i="11"/>
  <c r="D213" i="11"/>
  <c r="D209" i="11"/>
  <c r="C210" i="11"/>
  <c r="C211" i="11"/>
  <c r="C213" i="11"/>
  <c r="C214" i="11"/>
  <c r="C209" i="11"/>
  <c r="B207" i="11"/>
  <c r="K238" i="11"/>
  <c r="D174" i="11"/>
  <c r="D180" i="11" s="1"/>
  <c r="D175" i="11"/>
  <c r="D177" i="11"/>
  <c r="D178" i="11"/>
  <c r="K203" i="11" s="1"/>
  <c r="K190" i="11" s="1"/>
  <c r="D173" i="11"/>
  <c r="C174" i="11"/>
  <c r="C175" i="11"/>
  <c r="C177" i="11"/>
  <c r="C178" i="11"/>
  <c r="C173" i="11"/>
  <c r="B171" i="11"/>
  <c r="K202" i="11"/>
  <c r="B135" i="11"/>
  <c r="D138" i="11"/>
  <c r="D139" i="11"/>
  <c r="D141" i="11"/>
  <c r="K166" i="11"/>
  <c r="D102" i="11"/>
  <c r="D103" i="11"/>
  <c r="D105" i="11"/>
  <c r="D106" i="11"/>
  <c r="K131" i="11" s="1"/>
  <c r="K118" i="11" s="1"/>
  <c r="D101" i="11"/>
  <c r="C102" i="11"/>
  <c r="C103" i="11"/>
  <c r="C105" i="11"/>
  <c r="C106" i="11"/>
  <c r="C101" i="11"/>
  <c r="K130" i="11"/>
  <c r="B99" i="11"/>
  <c r="K94" i="11"/>
  <c r="C66" i="11"/>
  <c r="C138" i="11"/>
  <c r="D66" i="11"/>
  <c r="D72" i="11"/>
  <c r="C67" i="11"/>
  <c r="C139" i="11" s="1"/>
  <c r="C69" i="11"/>
  <c r="C141" i="11" s="1"/>
  <c r="D69" i="11"/>
  <c r="C70" i="11"/>
  <c r="C142" i="11" s="1"/>
  <c r="D65" i="11"/>
  <c r="C65" i="11"/>
  <c r="C137" i="11" s="1"/>
  <c r="B63" i="11"/>
  <c r="D32" i="11"/>
  <c r="D34" i="11"/>
  <c r="C31" i="11"/>
  <c r="C32" i="11"/>
  <c r="C34" i="11"/>
  <c r="C35" i="11"/>
  <c r="A32" i="48"/>
  <c r="A10" i="11"/>
  <c r="B12" i="11"/>
  <c r="B19" i="11" s="1"/>
  <c r="D97" i="6"/>
  <c r="D98" i="6"/>
  <c r="D99" i="6"/>
  <c r="D100" i="6"/>
  <c r="D101" i="6"/>
  <c r="D102" i="6"/>
  <c r="D103" i="6"/>
  <c r="D104" i="6"/>
  <c r="D105" i="6"/>
  <c r="D106" i="6"/>
  <c r="D107" i="6"/>
  <c r="D108" i="6"/>
  <c r="D109" i="6"/>
  <c r="D110" i="6"/>
  <c r="D111" i="6"/>
  <c r="D112" i="6"/>
  <c r="D113" i="6"/>
  <c r="D114" i="6"/>
  <c r="D115" i="6"/>
  <c r="D116" i="6"/>
  <c r="D96" i="6"/>
  <c r="D28" i="1"/>
  <c r="D27" i="1"/>
  <c r="D22" i="1"/>
  <c r="D21" i="1"/>
  <c r="D16" i="1"/>
  <c r="D76" i="9"/>
  <c r="D75" i="9"/>
  <c r="D74" i="9"/>
  <c r="D73" i="9"/>
  <c r="D66" i="9"/>
  <c r="D65" i="9"/>
  <c r="D64" i="9"/>
  <c r="D63" i="9"/>
  <c r="D56" i="9"/>
  <c r="D55" i="9"/>
  <c r="D54" i="9"/>
  <c r="D53" i="9"/>
  <c r="D46" i="9"/>
  <c r="D45" i="9"/>
  <c r="D44" i="9"/>
  <c r="D43" i="9"/>
  <c r="D36" i="9"/>
  <c r="D35" i="9"/>
  <c r="D34" i="9"/>
  <c r="D33" i="9"/>
  <c r="D25" i="9"/>
  <c r="D24" i="9"/>
  <c r="D23" i="9"/>
  <c r="D22" i="9"/>
  <c r="D21" i="9"/>
  <c r="D14" i="9"/>
  <c r="D15" i="9"/>
  <c r="D16" i="9"/>
  <c r="D17" i="9"/>
  <c r="D13" i="9"/>
  <c r="D13" i="7"/>
  <c r="D14" i="7"/>
  <c r="D15" i="7"/>
  <c r="D16" i="7"/>
  <c r="D17" i="7"/>
  <c r="D18" i="7"/>
  <c r="D19" i="7"/>
  <c r="D20" i="7"/>
  <c r="D21" i="7"/>
  <c r="D22" i="7"/>
  <c r="D23" i="7"/>
  <c r="D24" i="7"/>
  <c r="D25" i="7"/>
  <c r="D26" i="7"/>
  <c r="D27" i="7"/>
  <c r="D28" i="7"/>
  <c r="D29" i="7"/>
  <c r="D30" i="7"/>
  <c r="D31" i="7"/>
  <c r="D32" i="7"/>
  <c r="D12" i="7"/>
  <c r="A10" i="7"/>
  <c r="D13" i="6"/>
  <c r="D14" i="6"/>
  <c r="D15" i="6"/>
  <c r="D16" i="6"/>
  <c r="D12" i="6"/>
  <c r="A10" i="6"/>
  <c r="A18" i="6" s="1"/>
  <c r="D90" i="44"/>
  <c r="D89" i="44"/>
  <c r="D88" i="44"/>
  <c r="D77" i="44"/>
  <c r="D76" i="44"/>
  <c r="D75" i="44"/>
  <c r="D66" i="44"/>
  <c r="D65" i="44"/>
  <c r="D64" i="44"/>
  <c r="D55" i="44"/>
  <c r="D54" i="44"/>
  <c r="D53" i="44"/>
  <c r="D42" i="44"/>
  <c r="D41" i="44"/>
  <c r="D40" i="44"/>
  <c r="D31" i="44"/>
  <c r="D30" i="44"/>
  <c r="D29" i="44"/>
  <c r="D19" i="44"/>
  <c r="D20" i="44"/>
  <c r="D18" i="44"/>
  <c r="D92" i="5"/>
  <c r="D90" i="5"/>
  <c r="D85" i="5"/>
  <c r="D80" i="5"/>
  <c r="D71" i="5"/>
  <c r="D69" i="5"/>
  <c r="D64" i="5"/>
  <c r="D59" i="5"/>
  <c r="D50" i="5"/>
  <c r="D48" i="5"/>
  <c r="D43" i="5"/>
  <c r="D38" i="5"/>
  <c r="D27" i="5"/>
  <c r="D26" i="5"/>
  <c r="D25" i="5"/>
  <c r="D24" i="5"/>
  <c r="D22" i="5"/>
  <c r="D21" i="5"/>
  <c r="D20" i="5"/>
  <c r="D19" i="5"/>
  <c r="D16" i="5"/>
  <c r="D14" i="5"/>
  <c r="D15" i="5"/>
  <c r="D13" i="5"/>
  <c r="C87" i="5"/>
  <c r="C82" i="5"/>
  <c r="C77" i="5"/>
  <c r="C66" i="5"/>
  <c r="C61" i="5"/>
  <c r="C56" i="5"/>
  <c r="C35" i="5"/>
  <c r="C45" i="5"/>
  <c r="C40" i="5"/>
  <c r="C25" i="5"/>
  <c r="C26" i="5"/>
  <c r="C24" i="5"/>
  <c r="C23" i="5"/>
  <c r="C20" i="5"/>
  <c r="C21" i="5"/>
  <c r="C19" i="5"/>
  <c r="C18" i="5"/>
  <c r="C14" i="5"/>
  <c r="C15" i="5"/>
  <c r="C13" i="5"/>
  <c r="C12" i="5"/>
  <c r="D13" i="1"/>
  <c r="C24" i="1"/>
  <c r="C18" i="1"/>
  <c r="C39" i="1"/>
  <c r="C56" i="1"/>
  <c r="C12" i="1"/>
  <c r="C34" i="1" s="1"/>
  <c r="C51" i="1" s="1"/>
  <c r="A10" i="5"/>
  <c r="B73" i="5"/>
  <c r="B52" i="5"/>
  <c r="B31" i="5"/>
  <c r="C71" i="44"/>
  <c r="C126" i="2"/>
  <c r="C60" i="44"/>
  <c r="C125" i="2"/>
  <c r="C49" i="44"/>
  <c r="C124" i="2"/>
  <c r="C36" i="44"/>
  <c r="C121" i="2"/>
  <c r="C25" i="44"/>
  <c r="C120" i="2"/>
  <c r="B71" i="53" s="1"/>
  <c r="C14" i="44"/>
  <c r="C119" i="2"/>
  <c r="A10" i="44"/>
  <c r="D26" i="1"/>
  <c r="D25" i="1"/>
  <c r="D20" i="1"/>
  <c r="D19" i="1"/>
  <c r="D15" i="1"/>
  <c r="D14" i="1"/>
  <c r="D64" i="1"/>
  <c r="D63" i="1"/>
  <c r="D62" i="1"/>
  <c r="D59" i="1"/>
  <c r="D58" i="1"/>
  <c r="D57" i="1"/>
  <c r="D53" i="1"/>
  <c r="D54" i="1"/>
  <c r="D52" i="1"/>
  <c r="U15" i="13"/>
  <c r="S15" i="13"/>
  <c r="S12" i="13" s="1"/>
  <c r="Q15" i="13"/>
  <c r="U14" i="13"/>
  <c r="Q14" i="13"/>
  <c r="C53" i="1"/>
  <c r="C54" i="1"/>
  <c r="C57" i="1"/>
  <c r="C58" i="1"/>
  <c r="C59" i="1"/>
  <c r="C62" i="1"/>
  <c r="C63" i="1"/>
  <c r="C64" i="1"/>
  <c r="A10" i="2"/>
  <c r="D70" i="9"/>
  <c r="D71" i="9"/>
  <c r="D60" i="9"/>
  <c r="D61" i="9"/>
  <c r="D50" i="9"/>
  <c r="D51" i="9"/>
  <c r="D40" i="9"/>
  <c r="D41" i="9"/>
  <c r="D30" i="9"/>
  <c r="D31" i="9"/>
  <c r="C14" i="9"/>
  <c r="C22" i="9" s="1"/>
  <c r="C39" i="9"/>
  <c r="C15" i="9"/>
  <c r="C23" i="9"/>
  <c r="C16" i="9"/>
  <c r="C59" i="9"/>
  <c r="C17" i="9"/>
  <c r="C25" i="9"/>
  <c r="C13" i="9"/>
  <c r="C29" i="9" s="1"/>
  <c r="C21" i="9"/>
  <c r="BR76" i="9"/>
  <c r="BQ76" i="9"/>
  <c r="BP76" i="9"/>
  <c r="BO76" i="9"/>
  <c r="BN76" i="9"/>
  <c r="BM76" i="9"/>
  <c r="BL76" i="9"/>
  <c r="BK76" i="9"/>
  <c r="BJ76" i="9"/>
  <c r="BI76" i="9"/>
  <c r="BH76" i="9"/>
  <c r="BG76" i="9"/>
  <c r="BF76" i="9"/>
  <c r="BE76" i="9"/>
  <c r="BD76" i="9"/>
  <c r="BC76" i="9"/>
  <c r="BB76" i="9"/>
  <c r="BA76" i="9"/>
  <c r="AZ76" i="9"/>
  <c r="AY76" i="9"/>
  <c r="AX76" i="9"/>
  <c r="AW76" i="9"/>
  <c r="AV76" i="9"/>
  <c r="AU76" i="9"/>
  <c r="AT76" i="9"/>
  <c r="AS76" i="9"/>
  <c r="AR76" i="9"/>
  <c r="AQ76" i="9"/>
  <c r="AP76" i="9"/>
  <c r="AO76" i="9"/>
  <c r="AN76" i="9"/>
  <c r="AM76" i="9"/>
  <c r="AL76" i="9"/>
  <c r="AK76" i="9"/>
  <c r="AJ76" i="9"/>
  <c r="AI76" i="9"/>
  <c r="AH76" i="9"/>
  <c r="AG76" i="9"/>
  <c r="AF76" i="9"/>
  <c r="AE76" i="9"/>
  <c r="AD76" i="9"/>
  <c r="AC76" i="9"/>
  <c r="AB76" i="9"/>
  <c r="AA76" i="9"/>
  <c r="Z76" i="9"/>
  <c r="Y76" i="9"/>
  <c r="X76" i="9"/>
  <c r="W76" i="9"/>
  <c r="V76" i="9"/>
  <c r="U76" i="9"/>
  <c r="T76" i="9"/>
  <c r="S76" i="9"/>
  <c r="R76" i="9"/>
  <c r="Q76" i="9"/>
  <c r="P76" i="9"/>
  <c r="O76" i="9"/>
  <c r="N76" i="9"/>
  <c r="M76" i="9"/>
  <c r="L76" i="9"/>
  <c r="BR74" i="9"/>
  <c r="BQ74" i="9"/>
  <c r="BP74" i="9"/>
  <c r="BO74" i="9"/>
  <c r="BN74" i="9"/>
  <c r="BM74" i="9"/>
  <c r="BL74" i="9"/>
  <c r="BK74" i="9"/>
  <c r="BJ74" i="9"/>
  <c r="BI74" i="9"/>
  <c r="BH74" i="9"/>
  <c r="BG74" i="9"/>
  <c r="BF74" i="9"/>
  <c r="BE74" i="9"/>
  <c r="BD74" i="9"/>
  <c r="BC74" i="9"/>
  <c r="BB74" i="9"/>
  <c r="BA74" i="9"/>
  <c r="AZ74" i="9"/>
  <c r="AY74" i="9"/>
  <c r="AX74" i="9"/>
  <c r="AW74" i="9"/>
  <c r="AV74" i="9"/>
  <c r="AU74" i="9"/>
  <c r="AT74" i="9"/>
  <c r="AS74" i="9"/>
  <c r="AR74" i="9"/>
  <c r="AQ74" i="9"/>
  <c r="AP74" i="9"/>
  <c r="AO74" i="9"/>
  <c r="AN74" i="9"/>
  <c r="AM74" i="9"/>
  <c r="AL74" i="9"/>
  <c r="AK74" i="9"/>
  <c r="AJ74" i="9"/>
  <c r="AI74" i="9"/>
  <c r="AH74" i="9"/>
  <c r="AG74" i="9"/>
  <c r="AF74" i="9"/>
  <c r="AE74" i="9"/>
  <c r="AD74" i="9"/>
  <c r="AC74" i="9"/>
  <c r="AB74" i="9"/>
  <c r="AA74" i="9"/>
  <c r="Z74" i="9"/>
  <c r="Y74" i="9"/>
  <c r="X74" i="9"/>
  <c r="W74" i="9"/>
  <c r="V74" i="9"/>
  <c r="U74" i="9"/>
  <c r="T74" i="9"/>
  <c r="S74" i="9"/>
  <c r="R74" i="9"/>
  <c r="Q74" i="9"/>
  <c r="P74" i="9"/>
  <c r="O74" i="9"/>
  <c r="N74" i="9"/>
  <c r="M74" i="9"/>
  <c r="L74" i="9"/>
  <c r="K76" i="9"/>
  <c r="K74" i="9"/>
  <c r="BR66" i="9"/>
  <c r="BQ66" i="9"/>
  <c r="BP66" i="9"/>
  <c r="BO66" i="9"/>
  <c r="BN66" i="9"/>
  <c r="BM66" i="9"/>
  <c r="BL66" i="9"/>
  <c r="BK66" i="9"/>
  <c r="BJ66" i="9"/>
  <c r="BI66" i="9"/>
  <c r="BH66" i="9"/>
  <c r="BG66" i="9"/>
  <c r="BF66" i="9"/>
  <c r="BE66" i="9"/>
  <c r="BD66" i="9"/>
  <c r="BC66" i="9"/>
  <c r="BB66" i="9"/>
  <c r="BA66" i="9"/>
  <c r="AZ66" i="9"/>
  <c r="AY66" i="9"/>
  <c r="AX66" i="9"/>
  <c r="AW66" i="9"/>
  <c r="AV66" i="9"/>
  <c r="AU66" i="9"/>
  <c r="AT66" i="9"/>
  <c r="AS66" i="9"/>
  <c r="AR66" i="9"/>
  <c r="AQ66" i="9"/>
  <c r="AP66" i="9"/>
  <c r="AO66" i="9"/>
  <c r="AN66" i="9"/>
  <c r="AM66" i="9"/>
  <c r="AL66" i="9"/>
  <c r="AK66" i="9"/>
  <c r="AJ66" i="9"/>
  <c r="AI66" i="9"/>
  <c r="AH66" i="9"/>
  <c r="AG66" i="9"/>
  <c r="AF66" i="9"/>
  <c r="AE66" i="9"/>
  <c r="AD66" i="9"/>
  <c r="AC66" i="9"/>
  <c r="AB66" i="9"/>
  <c r="AA66" i="9"/>
  <c r="Z66" i="9"/>
  <c r="Y66" i="9"/>
  <c r="X66" i="9"/>
  <c r="W66" i="9"/>
  <c r="V66" i="9"/>
  <c r="U66" i="9"/>
  <c r="T66" i="9"/>
  <c r="S66" i="9"/>
  <c r="R66" i="9"/>
  <c r="Q66" i="9"/>
  <c r="P66" i="9"/>
  <c r="O66" i="9"/>
  <c r="N66" i="9"/>
  <c r="M66" i="9"/>
  <c r="L66" i="9"/>
  <c r="BR64" i="9"/>
  <c r="BQ64" i="9"/>
  <c r="BP64" i="9"/>
  <c r="BO64" i="9"/>
  <c r="BN64" i="9"/>
  <c r="BM64" i="9"/>
  <c r="BL64" i="9"/>
  <c r="BK64" i="9"/>
  <c r="BJ64" i="9"/>
  <c r="BI64" i="9"/>
  <c r="BH64" i="9"/>
  <c r="BG64" i="9"/>
  <c r="BF64" i="9"/>
  <c r="BE64" i="9"/>
  <c r="BD64" i="9"/>
  <c r="BC64" i="9"/>
  <c r="BB64" i="9"/>
  <c r="BA64" i="9"/>
  <c r="AZ64" i="9"/>
  <c r="AY64" i="9"/>
  <c r="AX64" i="9"/>
  <c r="AW64" i="9"/>
  <c r="AV64" i="9"/>
  <c r="AU64" i="9"/>
  <c r="AT64" i="9"/>
  <c r="AS64" i="9"/>
  <c r="AR64" i="9"/>
  <c r="AQ64" i="9"/>
  <c r="AP64" i="9"/>
  <c r="AO64" i="9"/>
  <c r="AN64" i="9"/>
  <c r="AM64" i="9"/>
  <c r="AL64" i="9"/>
  <c r="AK64" i="9"/>
  <c r="AJ64" i="9"/>
  <c r="AI64" i="9"/>
  <c r="AH64" i="9"/>
  <c r="AG64" i="9"/>
  <c r="AF64" i="9"/>
  <c r="AE64" i="9"/>
  <c r="AD64" i="9"/>
  <c r="AC64" i="9"/>
  <c r="AB64" i="9"/>
  <c r="AA64" i="9"/>
  <c r="Z64" i="9"/>
  <c r="Y64" i="9"/>
  <c r="X64" i="9"/>
  <c r="W64" i="9"/>
  <c r="V64" i="9"/>
  <c r="U64" i="9"/>
  <c r="T64" i="9"/>
  <c r="S64" i="9"/>
  <c r="R64" i="9"/>
  <c r="Q64" i="9"/>
  <c r="P64" i="9"/>
  <c r="O64" i="9"/>
  <c r="N64" i="9"/>
  <c r="M64" i="9"/>
  <c r="L64" i="9"/>
  <c r="K66" i="9"/>
  <c r="K64" i="9"/>
  <c r="BR56" i="9"/>
  <c r="BQ56" i="9"/>
  <c r="BP56" i="9"/>
  <c r="BO56" i="9"/>
  <c r="BN56" i="9"/>
  <c r="BM56" i="9"/>
  <c r="BL56" i="9"/>
  <c r="BK56" i="9"/>
  <c r="BJ56" i="9"/>
  <c r="BI56" i="9"/>
  <c r="BH56" i="9"/>
  <c r="BG56" i="9"/>
  <c r="BF56" i="9"/>
  <c r="BE56" i="9"/>
  <c r="BD56" i="9"/>
  <c r="BC56" i="9"/>
  <c r="BB56" i="9"/>
  <c r="BA56" i="9"/>
  <c r="AZ56" i="9"/>
  <c r="AY56" i="9"/>
  <c r="AX56" i="9"/>
  <c r="AW56" i="9"/>
  <c r="AV56" i="9"/>
  <c r="AU56" i="9"/>
  <c r="AT56" i="9"/>
  <c r="AS56" i="9"/>
  <c r="AR56" i="9"/>
  <c r="AQ56" i="9"/>
  <c r="AP56" i="9"/>
  <c r="AO56" i="9"/>
  <c r="AN56" i="9"/>
  <c r="AM56" i="9"/>
  <c r="AL56" i="9"/>
  <c r="AK56" i="9"/>
  <c r="AJ56" i="9"/>
  <c r="AI56" i="9"/>
  <c r="AH56" i="9"/>
  <c r="AG56" i="9"/>
  <c r="AF56" i="9"/>
  <c r="AE56" i="9"/>
  <c r="AD56" i="9"/>
  <c r="AC56" i="9"/>
  <c r="AB56" i="9"/>
  <c r="AA56" i="9"/>
  <c r="Z56" i="9"/>
  <c r="Y56" i="9"/>
  <c r="X56" i="9"/>
  <c r="W56" i="9"/>
  <c r="V56" i="9"/>
  <c r="U56" i="9"/>
  <c r="T56" i="9"/>
  <c r="S56" i="9"/>
  <c r="R56" i="9"/>
  <c r="Q56" i="9"/>
  <c r="P56" i="9"/>
  <c r="O56" i="9"/>
  <c r="N56" i="9"/>
  <c r="M56" i="9"/>
  <c r="L56" i="9"/>
  <c r="K56" i="9"/>
  <c r="BR54" i="9"/>
  <c r="BQ54" i="9"/>
  <c r="BP54" i="9"/>
  <c r="BO54" i="9"/>
  <c r="BN54" i="9"/>
  <c r="BM54" i="9"/>
  <c r="BL54" i="9"/>
  <c r="BK54" i="9"/>
  <c r="BJ54" i="9"/>
  <c r="BI54" i="9"/>
  <c r="BH54" i="9"/>
  <c r="BG54" i="9"/>
  <c r="BF54" i="9"/>
  <c r="BE54" i="9"/>
  <c r="BD54" i="9"/>
  <c r="BC54" i="9"/>
  <c r="BB54" i="9"/>
  <c r="BA54" i="9"/>
  <c r="AZ54" i="9"/>
  <c r="AY54" i="9"/>
  <c r="AX54" i="9"/>
  <c r="AW54" i="9"/>
  <c r="AV54" i="9"/>
  <c r="AU54" i="9"/>
  <c r="AT54" i="9"/>
  <c r="AS54" i="9"/>
  <c r="AR54" i="9"/>
  <c r="AQ54" i="9"/>
  <c r="AP54" i="9"/>
  <c r="AO54" i="9"/>
  <c r="AN54" i="9"/>
  <c r="AM54" i="9"/>
  <c r="AL54" i="9"/>
  <c r="AK54" i="9"/>
  <c r="AJ54" i="9"/>
  <c r="AI54" i="9"/>
  <c r="AH54" i="9"/>
  <c r="AG54" i="9"/>
  <c r="AF54" i="9"/>
  <c r="AE54" i="9"/>
  <c r="AD54" i="9"/>
  <c r="AC54" i="9"/>
  <c r="AB54" i="9"/>
  <c r="AA54" i="9"/>
  <c r="Z54" i="9"/>
  <c r="Y54" i="9"/>
  <c r="X54" i="9"/>
  <c r="W54" i="9"/>
  <c r="V54" i="9"/>
  <c r="U54" i="9"/>
  <c r="T54" i="9"/>
  <c r="S54" i="9"/>
  <c r="R54" i="9"/>
  <c r="Q54" i="9"/>
  <c r="P54" i="9"/>
  <c r="O54" i="9"/>
  <c r="N54" i="9"/>
  <c r="M54" i="9"/>
  <c r="L54" i="9"/>
  <c r="K54" i="9"/>
  <c r="K57" i="9" s="1"/>
  <c r="J57" i="9"/>
  <c r="K53" i="9"/>
  <c r="L46" i="9"/>
  <c r="BR44" i="9"/>
  <c r="BQ44" i="9"/>
  <c r="BP44" i="9"/>
  <c r="BO44" i="9"/>
  <c r="BN44" i="9"/>
  <c r="BM44" i="9"/>
  <c r="BL44" i="9"/>
  <c r="BK44" i="9"/>
  <c r="BJ44" i="9"/>
  <c r="BI44" i="9"/>
  <c r="BH44" i="9"/>
  <c r="BG44" i="9"/>
  <c r="BF44" i="9"/>
  <c r="BE44" i="9"/>
  <c r="BD44" i="9"/>
  <c r="BC44" i="9"/>
  <c r="BB44" i="9"/>
  <c r="BA44" i="9"/>
  <c r="AZ44" i="9"/>
  <c r="AY44" i="9"/>
  <c r="AX44" i="9"/>
  <c r="AW44" i="9"/>
  <c r="AV44" i="9"/>
  <c r="AU44" i="9"/>
  <c r="AT44" i="9"/>
  <c r="AS44" i="9"/>
  <c r="AR44" i="9"/>
  <c r="AQ44" i="9"/>
  <c r="AP44" i="9"/>
  <c r="AO44" i="9"/>
  <c r="AN44" i="9"/>
  <c r="AM44" i="9"/>
  <c r="AL44" i="9"/>
  <c r="AK44" i="9"/>
  <c r="AJ44" i="9"/>
  <c r="AI44" i="9"/>
  <c r="AH44" i="9"/>
  <c r="AG44" i="9"/>
  <c r="AF44" i="9"/>
  <c r="AE44" i="9"/>
  <c r="AD44" i="9"/>
  <c r="AC44" i="9"/>
  <c r="AB44" i="9"/>
  <c r="AA44" i="9"/>
  <c r="Z44" i="9"/>
  <c r="Y44" i="9"/>
  <c r="X44" i="9"/>
  <c r="W44" i="9"/>
  <c r="V44" i="9"/>
  <c r="U44" i="9"/>
  <c r="T44" i="9"/>
  <c r="S44" i="9"/>
  <c r="R44" i="9"/>
  <c r="Q44" i="9"/>
  <c r="P44" i="9"/>
  <c r="O44" i="9"/>
  <c r="N44" i="9"/>
  <c r="M44" i="9"/>
  <c r="L44" i="9"/>
  <c r="BR46" i="9"/>
  <c r="BQ46" i="9"/>
  <c r="BP46" i="9"/>
  <c r="BO46" i="9"/>
  <c r="BN46" i="9"/>
  <c r="BM46" i="9"/>
  <c r="BL46" i="9"/>
  <c r="BK46" i="9"/>
  <c r="BJ46" i="9"/>
  <c r="BI46" i="9"/>
  <c r="BH46" i="9"/>
  <c r="BG46" i="9"/>
  <c r="BF46" i="9"/>
  <c r="BE46" i="9"/>
  <c r="BD46" i="9"/>
  <c r="BC46" i="9"/>
  <c r="BB46" i="9"/>
  <c r="BA46" i="9"/>
  <c r="AZ46" i="9"/>
  <c r="AY46" i="9"/>
  <c r="AX46" i="9"/>
  <c r="AW46" i="9"/>
  <c r="AV46" i="9"/>
  <c r="AU46" i="9"/>
  <c r="AT46" i="9"/>
  <c r="AS46" i="9"/>
  <c r="AR46" i="9"/>
  <c r="AQ46" i="9"/>
  <c r="AP46" i="9"/>
  <c r="AO46" i="9"/>
  <c r="AN46" i="9"/>
  <c r="AM46" i="9"/>
  <c r="AL46" i="9"/>
  <c r="AK46" i="9"/>
  <c r="AJ46" i="9"/>
  <c r="AI46" i="9"/>
  <c r="AH46" i="9"/>
  <c r="AG46" i="9"/>
  <c r="AF46" i="9"/>
  <c r="AE46" i="9"/>
  <c r="AD46" i="9"/>
  <c r="AC46" i="9"/>
  <c r="AB46" i="9"/>
  <c r="AA46" i="9"/>
  <c r="Z46" i="9"/>
  <c r="Y46" i="9"/>
  <c r="X46" i="9"/>
  <c r="W46" i="9"/>
  <c r="V46" i="9"/>
  <c r="U46" i="9"/>
  <c r="T46" i="9"/>
  <c r="S46" i="9"/>
  <c r="R46" i="9"/>
  <c r="Q46" i="9"/>
  <c r="P46" i="9"/>
  <c r="O46" i="9"/>
  <c r="N46" i="9"/>
  <c r="M46" i="9"/>
  <c r="K46" i="9"/>
  <c r="K44" i="9"/>
  <c r="J47" i="9"/>
  <c r="K43" i="9"/>
  <c r="M34" i="9"/>
  <c r="N34" i="9"/>
  <c r="O34" i="9"/>
  <c r="P34" i="9"/>
  <c r="Q34" i="9"/>
  <c r="R34" i="9"/>
  <c r="S34" i="9"/>
  <c r="T34" i="9"/>
  <c r="U34" i="9"/>
  <c r="V34" i="9"/>
  <c r="W34" i="9"/>
  <c r="X34" i="9"/>
  <c r="Y34" i="9"/>
  <c r="Z34" i="9"/>
  <c r="AA34" i="9"/>
  <c r="AB34" i="9"/>
  <c r="AC34" i="9"/>
  <c r="AD34" i="9"/>
  <c r="AE34" i="9"/>
  <c r="AF34" i="9"/>
  <c r="AG34" i="9"/>
  <c r="AH34" i="9"/>
  <c r="AI34" i="9"/>
  <c r="AJ34" i="9"/>
  <c r="AK34" i="9"/>
  <c r="AL34" i="9"/>
  <c r="AM34" i="9"/>
  <c r="AN34" i="9"/>
  <c r="AO34" i="9"/>
  <c r="AP34" i="9"/>
  <c r="AQ34" i="9"/>
  <c r="AR34" i="9"/>
  <c r="AS34" i="9"/>
  <c r="AT34" i="9"/>
  <c r="AU34" i="9"/>
  <c r="AV34" i="9"/>
  <c r="AW34" i="9"/>
  <c r="AX34" i="9"/>
  <c r="AY34" i="9"/>
  <c r="AZ34" i="9"/>
  <c r="BA34" i="9"/>
  <c r="BB34" i="9"/>
  <c r="BC34" i="9"/>
  <c r="BD34" i="9"/>
  <c r="BE34" i="9"/>
  <c r="BF34" i="9"/>
  <c r="BG34" i="9"/>
  <c r="BH34" i="9"/>
  <c r="BI34" i="9"/>
  <c r="BJ34" i="9"/>
  <c r="BK34" i="9"/>
  <c r="BL34" i="9"/>
  <c r="BM34" i="9"/>
  <c r="BN34" i="9"/>
  <c r="BO34" i="9"/>
  <c r="BP34" i="9"/>
  <c r="BQ34" i="9"/>
  <c r="BR34" i="9"/>
  <c r="M36" i="9"/>
  <c r="N36" i="9"/>
  <c r="O36" i="9"/>
  <c r="P36" i="9"/>
  <c r="Q36" i="9"/>
  <c r="R36" i="9"/>
  <c r="S36" i="9"/>
  <c r="T36" i="9"/>
  <c r="U36" i="9"/>
  <c r="V36" i="9"/>
  <c r="W36" i="9"/>
  <c r="X36" i="9"/>
  <c r="Y36" i="9"/>
  <c r="Z36" i="9"/>
  <c r="AA36" i="9"/>
  <c r="AB36" i="9"/>
  <c r="AC36" i="9"/>
  <c r="AD36" i="9"/>
  <c r="AE36" i="9"/>
  <c r="AF36" i="9"/>
  <c r="AG36" i="9"/>
  <c r="AH36" i="9"/>
  <c r="AI36" i="9"/>
  <c r="AJ36" i="9"/>
  <c r="AK36" i="9"/>
  <c r="AL36" i="9"/>
  <c r="AM36" i="9"/>
  <c r="AN36" i="9"/>
  <c r="AO36" i="9"/>
  <c r="AP36" i="9"/>
  <c r="AQ36" i="9"/>
  <c r="AR36" i="9"/>
  <c r="AS36" i="9"/>
  <c r="AT36" i="9"/>
  <c r="AU36" i="9"/>
  <c r="AV36" i="9"/>
  <c r="AW36" i="9"/>
  <c r="AX36" i="9"/>
  <c r="AY36" i="9"/>
  <c r="AZ36" i="9"/>
  <c r="BA36" i="9"/>
  <c r="BB36" i="9"/>
  <c r="BC36" i="9"/>
  <c r="BD36" i="9"/>
  <c r="BE36" i="9"/>
  <c r="BF36" i="9"/>
  <c r="BG36" i="9"/>
  <c r="BH36" i="9"/>
  <c r="BI36" i="9"/>
  <c r="BJ36" i="9"/>
  <c r="BK36" i="9"/>
  <c r="BL36" i="9"/>
  <c r="BM36" i="9"/>
  <c r="BN36" i="9"/>
  <c r="BO36" i="9"/>
  <c r="BP36" i="9"/>
  <c r="BQ36" i="9"/>
  <c r="BR36" i="9"/>
  <c r="L36" i="9"/>
  <c r="L34" i="9"/>
  <c r="K36" i="9"/>
  <c r="K34" i="9"/>
  <c r="B76" i="53"/>
  <c r="B70" i="54"/>
  <c r="B75" i="54" s="1"/>
  <c r="C44" i="1"/>
  <c r="C61" i="1"/>
  <c r="A10" i="1"/>
  <c r="A32" i="1" s="1"/>
  <c r="A10" i="9"/>
  <c r="B12" i="9" s="1"/>
  <c r="B20" i="9" s="1"/>
  <c r="BM6" i="9"/>
  <c r="BN6" i="9"/>
  <c r="BO6" i="9"/>
  <c r="BP6" i="9"/>
  <c r="BQ6" i="9"/>
  <c r="BR6" i="9"/>
  <c r="BH6" i="9"/>
  <c r="BI6" i="9"/>
  <c r="BJ6" i="9"/>
  <c r="BK6" i="9"/>
  <c r="BL6" i="9"/>
  <c r="L6" i="9"/>
  <c r="M6" i="9"/>
  <c r="N6" i="9"/>
  <c r="O6" i="9"/>
  <c r="P6" i="9"/>
  <c r="Q6" i="9"/>
  <c r="R6" i="9"/>
  <c r="S6" i="9"/>
  <c r="T6" i="9"/>
  <c r="U6" i="9"/>
  <c r="V6" i="9"/>
  <c r="W6" i="9"/>
  <c r="X6" i="9"/>
  <c r="Y6" i="9"/>
  <c r="Z6" i="9"/>
  <c r="AA6" i="9"/>
  <c r="AB6" i="9"/>
  <c r="AC6" i="9"/>
  <c r="AD6" i="9"/>
  <c r="AE6" i="9"/>
  <c r="AF6" i="9"/>
  <c r="AG6" i="9"/>
  <c r="AH6" i="9"/>
  <c r="AI6" i="9"/>
  <c r="AJ6" i="9"/>
  <c r="AK6" i="9"/>
  <c r="AL6" i="9"/>
  <c r="AM6" i="9"/>
  <c r="AN6" i="9"/>
  <c r="AO6" i="9"/>
  <c r="AP6" i="9"/>
  <c r="AQ6" i="9"/>
  <c r="AR6" i="9"/>
  <c r="AS6" i="9"/>
  <c r="AT6" i="9"/>
  <c r="AU6" i="9"/>
  <c r="AV6" i="9"/>
  <c r="AW6" i="9"/>
  <c r="AX6" i="9"/>
  <c r="AY6" i="9"/>
  <c r="AZ6" i="9"/>
  <c r="BA6" i="9"/>
  <c r="BB6" i="9"/>
  <c r="BC6" i="9"/>
  <c r="BD6" i="9"/>
  <c r="BE6" i="9"/>
  <c r="BF6" i="9"/>
  <c r="BG6" i="9"/>
  <c r="K6" i="9"/>
  <c r="E6" i="9"/>
  <c r="F6" i="9"/>
  <c r="G6" i="9"/>
  <c r="H6" i="9"/>
  <c r="I6" i="9"/>
  <c r="D6" i="9"/>
  <c r="D7" i="9"/>
  <c r="D8" i="9"/>
  <c r="D5" i="9"/>
  <c r="B12" i="2"/>
  <c r="B36" i="2" s="1"/>
  <c r="B42" i="2" s="1"/>
  <c r="BR6" i="11"/>
  <c r="BQ6" i="11"/>
  <c r="BP6" i="11"/>
  <c r="BO6" i="11"/>
  <c r="BN6" i="11"/>
  <c r="BM6" i="11"/>
  <c r="BL6" i="11"/>
  <c r="BK6" i="11"/>
  <c r="BJ6" i="11"/>
  <c r="BI6" i="11"/>
  <c r="BH6" i="11"/>
  <c r="BG6" i="11"/>
  <c r="BF6" i="11"/>
  <c r="BE6" i="11"/>
  <c r="BD6" i="11"/>
  <c r="BC6" i="11"/>
  <c r="BB6" i="11"/>
  <c r="BA6" i="11"/>
  <c r="AZ6" i="11"/>
  <c r="AY6" i="11"/>
  <c r="AX6" i="11"/>
  <c r="AW6" i="11"/>
  <c r="AV6" i="11"/>
  <c r="AU6" i="11"/>
  <c r="AT6" i="11"/>
  <c r="AS6" i="11"/>
  <c r="AR6" i="11"/>
  <c r="AQ6" i="11"/>
  <c r="AP6" i="11"/>
  <c r="AO6" i="11"/>
  <c r="AN6" i="11"/>
  <c r="AM6" i="11"/>
  <c r="AL6" i="11"/>
  <c r="AK6" i="11"/>
  <c r="AJ6" i="11"/>
  <c r="AI6" i="11"/>
  <c r="AH6" i="11"/>
  <c r="AG6" i="11"/>
  <c r="AF6" i="11"/>
  <c r="AE6" i="11"/>
  <c r="AD6" i="11"/>
  <c r="AC6" i="11"/>
  <c r="AB6" i="11"/>
  <c r="AA6" i="11"/>
  <c r="Z6" i="11"/>
  <c r="Y6" i="11"/>
  <c r="X6" i="11"/>
  <c r="W6" i="11"/>
  <c r="V6" i="11"/>
  <c r="U6" i="11"/>
  <c r="T6" i="11"/>
  <c r="S6" i="11"/>
  <c r="R6" i="11"/>
  <c r="Q6" i="11"/>
  <c r="P6" i="11"/>
  <c r="O6" i="11"/>
  <c r="N6" i="11"/>
  <c r="M6" i="11"/>
  <c r="L6" i="11"/>
  <c r="K6" i="11"/>
  <c r="E6" i="11"/>
  <c r="F6" i="11"/>
  <c r="G6" i="11"/>
  <c r="H6" i="11"/>
  <c r="I6" i="11"/>
  <c r="D6" i="11"/>
  <c r="D7" i="11"/>
  <c r="D8" i="11"/>
  <c r="D5" i="11"/>
  <c r="L6" i="7"/>
  <c r="M6" i="7"/>
  <c r="N6" i="7"/>
  <c r="O6" i="7"/>
  <c r="P6" i="7"/>
  <c r="Q6" i="7"/>
  <c r="R6" i="7"/>
  <c r="S6" i="7"/>
  <c r="T6" i="7"/>
  <c r="U6" i="7"/>
  <c r="V6" i="7"/>
  <c r="W6" i="7"/>
  <c r="X6" i="7"/>
  <c r="Y6" i="7"/>
  <c r="Z6" i="7"/>
  <c r="AA6" i="7"/>
  <c r="AB6" i="7"/>
  <c r="AC6" i="7"/>
  <c r="AD6" i="7"/>
  <c r="AE6" i="7"/>
  <c r="AF6" i="7"/>
  <c r="AG6" i="7"/>
  <c r="AH6" i="7"/>
  <c r="AI6" i="7"/>
  <c r="AJ6" i="7"/>
  <c r="AK6" i="7"/>
  <c r="AL6" i="7"/>
  <c r="AM6" i="7"/>
  <c r="AN6" i="7"/>
  <c r="AO6" i="7"/>
  <c r="AP6" i="7"/>
  <c r="AQ6" i="7"/>
  <c r="AR6" i="7"/>
  <c r="AS6" i="7"/>
  <c r="AT6" i="7"/>
  <c r="AU6" i="7"/>
  <c r="AV6" i="7"/>
  <c r="AW6" i="7"/>
  <c r="AX6" i="7"/>
  <c r="AY6" i="7"/>
  <c r="AZ6" i="7"/>
  <c r="BA6" i="7"/>
  <c r="BB6" i="7"/>
  <c r="BC6" i="7"/>
  <c r="BD6" i="7"/>
  <c r="BE6" i="7"/>
  <c r="BF6" i="7"/>
  <c r="BG6" i="7"/>
  <c r="BH6" i="7"/>
  <c r="BI6" i="7"/>
  <c r="BJ6" i="7"/>
  <c r="BK6" i="7"/>
  <c r="BL6" i="7"/>
  <c r="BM6" i="7"/>
  <c r="BN6" i="7"/>
  <c r="BO6" i="7"/>
  <c r="BP6" i="7"/>
  <c r="BQ6" i="7"/>
  <c r="BR6" i="7"/>
  <c r="K6" i="7"/>
  <c r="E6" i="7"/>
  <c r="F6" i="7"/>
  <c r="G6" i="7"/>
  <c r="H6" i="7"/>
  <c r="I6" i="7"/>
  <c r="D6" i="7"/>
  <c r="D7" i="7"/>
  <c r="D8" i="7"/>
  <c r="D5" i="7"/>
  <c r="B93" i="6"/>
  <c r="D93" i="6"/>
  <c r="E20" i="6"/>
  <c r="BQ6" i="6"/>
  <c r="BR6" i="6"/>
  <c r="BK6" i="6"/>
  <c r="BL6" i="6"/>
  <c r="BM6" i="6"/>
  <c r="BN6" i="6"/>
  <c r="BO6" i="6"/>
  <c r="BP6" i="6"/>
  <c r="L6" i="6"/>
  <c r="M6" i="6"/>
  <c r="N6" i="6"/>
  <c r="O6" i="6"/>
  <c r="P6" i="6"/>
  <c r="Q6" i="6"/>
  <c r="R6" i="6"/>
  <c r="S6" i="6"/>
  <c r="T6" i="6"/>
  <c r="U6" i="6"/>
  <c r="V6" i="6"/>
  <c r="W6" i="6"/>
  <c r="X6" i="6"/>
  <c r="Y6" i="6"/>
  <c r="Z6" i="6"/>
  <c r="AA6" i="6"/>
  <c r="AB6" i="6"/>
  <c r="AC6" i="6"/>
  <c r="AD6" i="6"/>
  <c r="AE6" i="6"/>
  <c r="AF6" i="6"/>
  <c r="AG6" i="6"/>
  <c r="AH6" i="6"/>
  <c r="AI6" i="6"/>
  <c r="AJ6" i="6"/>
  <c r="AK6" i="6"/>
  <c r="AL6" i="6"/>
  <c r="AM6" i="6"/>
  <c r="AN6" i="6"/>
  <c r="AO6" i="6"/>
  <c r="AP6" i="6"/>
  <c r="AQ6" i="6"/>
  <c r="AR6" i="6"/>
  <c r="AS6" i="6"/>
  <c r="AT6" i="6"/>
  <c r="AU6" i="6"/>
  <c r="AV6" i="6"/>
  <c r="AW6" i="6"/>
  <c r="AX6" i="6"/>
  <c r="AY6" i="6"/>
  <c r="AZ6" i="6"/>
  <c r="BA6" i="6"/>
  <c r="BB6" i="6"/>
  <c r="BC6" i="6"/>
  <c r="BD6" i="6"/>
  <c r="BE6" i="6"/>
  <c r="BF6" i="6"/>
  <c r="BG6" i="6"/>
  <c r="BH6" i="6"/>
  <c r="BI6" i="6"/>
  <c r="BJ6" i="6"/>
  <c r="K6" i="6"/>
  <c r="E6" i="6"/>
  <c r="F6" i="6"/>
  <c r="G6" i="6"/>
  <c r="H6" i="6"/>
  <c r="I6" i="6"/>
  <c r="D6" i="6"/>
  <c r="D7" i="6"/>
  <c r="D8" i="6"/>
  <c r="D5" i="6"/>
  <c r="J91" i="44"/>
  <c r="K88" i="44"/>
  <c r="D86" i="44"/>
  <c r="D73" i="44"/>
  <c r="D62" i="44"/>
  <c r="J67" i="44"/>
  <c r="K64" i="44" s="1"/>
  <c r="D51" i="44"/>
  <c r="E40" i="44"/>
  <c r="J21" i="44"/>
  <c r="K18" i="44" s="1"/>
  <c r="E18" i="44"/>
  <c r="E6" i="44"/>
  <c r="F6" i="44"/>
  <c r="G6" i="44"/>
  <c r="H6" i="44"/>
  <c r="I6" i="44"/>
  <c r="D6" i="44"/>
  <c r="D7" i="44"/>
  <c r="D8" i="44"/>
  <c r="D5" i="44"/>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BF6" i="5"/>
  <c r="BG6" i="5"/>
  <c r="BH6" i="5"/>
  <c r="BI6" i="5"/>
  <c r="BJ6" i="5"/>
  <c r="BK6" i="5"/>
  <c r="BL6" i="5"/>
  <c r="BM6" i="5"/>
  <c r="BN6" i="5"/>
  <c r="BO6" i="5"/>
  <c r="BP6" i="5"/>
  <c r="BQ6" i="5"/>
  <c r="BR6" i="5"/>
  <c r="K6" i="5"/>
  <c r="E6" i="5"/>
  <c r="F6" i="5"/>
  <c r="G6" i="5"/>
  <c r="H6" i="5"/>
  <c r="I6" i="5"/>
  <c r="D6" i="5"/>
  <c r="D7" i="5"/>
  <c r="D8" i="5"/>
  <c r="D5" i="5"/>
  <c r="BR6" i="1"/>
  <c r="BQ6" i="1"/>
  <c r="BP6" i="1"/>
  <c r="BO6" i="1"/>
  <c r="BN6" i="1"/>
  <c r="BM6" i="1"/>
  <c r="BL6" i="1"/>
  <c r="BK6" i="1"/>
  <c r="BJ6" i="1"/>
  <c r="BI6" i="1"/>
  <c r="BH6" i="1"/>
  <c r="BG6" i="1"/>
  <c r="BF6" i="1"/>
  <c r="BE6" i="1"/>
  <c r="BD6" i="1"/>
  <c r="BC6" i="1"/>
  <c r="BB6" i="1"/>
  <c r="BA6" i="1"/>
  <c r="AZ6" i="1"/>
  <c r="AY6" i="1"/>
  <c r="AX6" i="1"/>
  <c r="AW6" i="1"/>
  <c r="AV6" i="1"/>
  <c r="AU6" i="1"/>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E6" i="1"/>
  <c r="F6" i="1"/>
  <c r="G6" i="1"/>
  <c r="H6" i="1"/>
  <c r="I6" i="1"/>
  <c r="D6" i="1"/>
  <c r="D7" i="1"/>
  <c r="D8" i="1"/>
  <c r="D5" i="1"/>
  <c r="D6" i="42"/>
  <c r="D7" i="42"/>
  <c r="D8" i="42"/>
  <c r="D5" i="42"/>
  <c r="F6" i="42"/>
  <c r="G6" i="42"/>
  <c r="H6" i="42"/>
  <c r="I6" i="42"/>
  <c r="E6" i="42"/>
  <c r="L6" i="42"/>
  <c r="M6" i="42"/>
  <c r="N6" i="42"/>
  <c r="O6" i="42"/>
  <c r="P6" i="42"/>
  <c r="Q6" i="42"/>
  <c r="R6" i="42"/>
  <c r="S6" i="42"/>
  <c r="T6" i="42"/>
  <c r="U6" i="42"/>
  <c r="V6" i="42"/>
  <c r="W6" i="42"/>
  <c r="X6" i="42"/>
  <c r="Y6" i="42"/>
  <c r="Z6" i="42"/>
  <c r="AA6" i="42"/>
  <c r="AB6" i="42"/>
  <c r="AC6" i="42"/>
  <c r="AD6" i="42"/>
  <c r="AE6" i="42"/>
  <c r="AF6" i="42"/>
  <c r="AG6" i="42"/>
  <c r="AH6" i="42"/>
  <c r="AI6" i="42"/>
  <c r="AJ6" i="42"/>
  <c r="AK6" i="42"/>
  <c r="AL6" i="42"/>
  <c r="AM6" i="42"/>
  <c r="AN6" i="42"/>
  <c r="AO6" i="42"/>
  <c r="AP6" i="42"/>
  <c r="AQ6" i="42"/>
  <c r="AR6" i="42"/>
  <c r="AS6" i="42"/>
  <c r="AT6" i="42"/>
  <c r="AU6" i="42"/>
  <c r="AV6" i="42"/>
  <c r="AW6" i="42"/>
  <c r="AX6" i="42"/>
  <c r="AY6" i="42"/>
  <c r="AZ6" i="42"/>
  <c r="BA6" i="42"/>
  <c r="BB6" i="42"/>
  <c r="BC6" i="42"/>
  <c r="BD6" i="42"/>
  <c r="BE6" i="42"/>
  <c r="BF6" i="42"/>
  <c r="BG6" i="42"/>
  <c r="BH6" i="42"/>
  <c r="BI6" i="42"/>
  <c r="BJ6" i="42"/>
  <c r="BK6" i="42"/>
  <c r="BL6" i="42"/>
  <c r="BM6" i="42"/>
  <c r="BN6" i="42"/>
  <c r="BO6" i="42"/>
  <c r="BP6" i="42"/>
  <c r="BQ6" i="42"/>
  <c r="BR6" i="42"/>
  <c r="H7" i="2"/>
  <c r="E7" i="55" s="1"/>
  <c r="K6" i="42"/>
  <c r="N7" i="2"/>
  <c r="D38" i="44"/>
  <c r="D16" i="44"/>
  <c r="A3" i="44"/>
  <c r="E5" i="55"/>
  <c r="E5" i="50"/>
  <c r="E5" i="47"/>
  <c r="E5" i="5"/>
  <c r="BR53" i="42"/>
  <c r="BQ53" i="42"/>
  <c r="BP53" i="42"/>
  <c r="BO53" i="42"/>
  <c r="BN53" i="42"/>
  <c r="BM53" i="42"/>
  <c r="BL53" i="42"/>
  <c r="BK53" i="42"/>
  <c r="BJ53" i="42"/>
  <c r="BI53" i="42"/>
  <c r="BH53" i="42"/>
  <c r="BG53" i="42"/>
  <c r="BF53" i="42"/>
  <c r="BE53" i="42"/>
  <c r="BD53" i="42"/>
  <c r="BC53" i="42"/>
  <c r="BB53" i="42"/>
  <c r="BA53" i="42"/>
  <c r="AZ53" i="42"/>
  <c r="AY53" i="42"/>
  <c r="AX53" i="42"/>
  <c r="AW53" i="42"/>
  <c r="AV53" i="42"/>
  <c r="AU53" i="42"/>
  <c r="AT53" i="42"/>
  <c r="AS53" i="42"/>
  <c r="AR53" i="42"/>
  <c r="AQ53" i="42"/>
  <c r="AP53" i="42"/>
  <c r="AO53" i="42"/>
  <c r="AN53" i="42"/>
  <c r="AM53" i="42"/>
  <c r="AL53" i="42"/>
  <c r="AK53" i="42"/>
  <c r="AJ53" i="42"/>
  <c r="AI53" i="42"/>
  <c r="AH53" i="42"/>
  <c r="AG53" i="42"/>
  <c r="AF53" i="42"/>
  <c r="AE53" i="42"/>
  <c r="AD53" i="42"/>
  <c r="AC53" i="42"/>
  <c r="AB53" i="42"/>
  <c r="AA53" i="42"/>
  <c r="Z53" i="42"/>
  <c r="Y53" i="42"/>
  <c r="X53" i="42"/>
  <c r="W53" i="42"/>
  <c r="V53" i="42"/>
  <c r="U53" i="42"/>
  <c r="T53" i="42"/>
  <c r="S53" i="42"/>
  <c r="R53" i="42"/>
  <c r="Q53" i="42"/>
  <c r="P53" i="42"/>
  <c r="O53" i="42"/>
  <c r="N53" i="42"/>
  <c r="M53" i="42"/>
  <c r="L53" i="42"/>
  <c r="K53" i="42"/>
  <c r="BR43" i="42"/>
  <c r="BQ43" i="42"/>
  <c r="BP43" i="42"/>
  <c r="BO43" i="42"/>
  <c r="BN43" i="42"/>
  <c r="BM43" i="42"/>
  <c r="BL43" i="42"/>
  <c r="BK43" i="42"/>
  <c r="BJ43" i="42"/>
  <c r="BI43" i="42"/>
  <c r="BH43" i="42"/>
  <c r="BG43" i="42"/>
  <c r="BF43" i="42"/>
  <c r="BE43" i="42"/>
  <c r="BD43" i="42"/>
  <c r="BC43" i="42"/>
  <c r="BB43" i="42"/>
  <c r="BA43" i="42"/>
  <c r="AZ43" i="42"/>
  <c r="AY43" i="42"/>
  <c r="AX43" i="42"/>
  <c r="AW43" i="42"/>
  <c r="AV43" i="42"/>
  <c r="AU43" i="42"/>
  <c r="AT43" i="42"/>
  <c r="AS43" i="42"/>
  <c r="AR43" i="42"/>
  <c r="AQ43" i="42"/>
  <c r="AP43" i="42"/>
  <c r="AO43" i="42"/>
  <c r="AN43" i="42"/>
  <c r="AM43" i="42"/>
  <c r="AL43" i="42"/>
  <c r="AK43" i="42"/>
  <c r="AJ43" i="42"/>
  <c r="AI43" i="42"/>
  <c r="AH43" i="42"/>
  <c r="AG43" i="42"/>
  <c r="AF43" i="42"/>
  <c r="AE43" i="42"/>
  <c r="AD43" i="42"/>
  <c r="AC43" i="42"/>
  <c r="AB43" i="42"/>
  <c r="AA43" i="42"/>
  <c r="Z43" i="42"/>
  <c r="Y43" i="42"/>
  <c r="X43" i="42"/>
  <c r="W43" i="42"/>
  <c r="V43" i="42"/>
  <c r="U43" i="42"/>
  <c r="T43" i="42"/>
  <c r="S43" i="42"/>
  <c r="R43" i="42"/>
  <c r="Q43" i="42"/>
  <c r="P43" i="42"/>
  <c r="O43" i="42"/>
  <c r="N43" i="42"/>
  <c r="M43" i="42"/>
  <c r="L43" i="42"/>
  <c r="K43" i="42"/>
  <c r="BR33" i="42"/>
  <c r="BQ33" i="42"/>
  <c r="BP33" i="42"/>
  <c r="BO33" i="42"/>
  <c r="BN33" i="42"/>
  <c r="BM33" i="42"/>
  <c r="BL33" i="42"/>
  <c r="BK33" i="42"/>
  <c r="BJ33" i="42"/>
  <c r="BI33" i="42"/>
  <c r="BH33" i="42"/>
  <c r="BG33" i="42"/>
  <c r="BF33" i="42"/>
  <c r="BE33" i="42"/>
  <c r="BD33" i="42"/>
  <c r="BC33" i="42"/>
  <c r="BB33" i="42"/>
  <c r="BA33" i="42"/>
  <c r="AZ33" i="42"/>
  <c r="AY33" i="42"/>
  <c r="AX33" i="42"/>
  <c r="AW33" i="42"/>
  <c r="AV33" i="42"/>
  <c r="AU33" i="42"/>
  <c r="AT33" i="42"/>
  <c r="AS33" i="42"/>
  <c r="AR33" i="42"/>
  <c r="AQ33" i="42"/>
  <c r="AP33" i="42"/>
  <c r="AO33" i="42"/>
  <c r="AN33" i="42"/>
  <c r="AM33" i="42"/>
  <c r="AL33" i="42"/>
  <c r="AK33" i="42"/>
  <c r="AJ33" i="42"/>
  <c r="AI33" i="42"/>
  <c r="AH33" i="42"/>
  <c r="AG33" i="42"/>
  <c r="AF33" i="42"/>
  <c r="AE33" i="42"/>
  <c r="AD33" i="42"/>
  <c r="AC33" i="42"/>
  <c r="AB33" i="42"/>
  <c r="AA33" i="42"/>
  <c r="Z33" i="42"/>
  <c r="Y33" i="42"/>
  <c r="X33" i="42"/>
  <c r="W33" i="42"/>
  <c r="V33" i="42"/>
  <c r="U33" i="42"/>
  <c r="T33" i="42"/>
  <c r="S33" i="42"/>
  <c r="R33" i="42"/>
  <c r="Q33" i="42"/>
  <c r="P33" i="42"/>
  <c r="O33" i="42"/>
  <c r="N33" i="42"/>
  <c r="M33" i="42"/>
  <c r="L33" i="42"/>
  <c r="K33" i="42"/>
  <c r="BR23" i="42"/>
  <c r="BQ23" i="42"/>
  <c r="BP23" i="42"/>
  <c r="BO23" i="42"/>
  <c r="BN23" i="42"/>
  <c r="BM23" i="42"/>
  <c r="BL23" i="42"/>
  <c r="BK23" i="42"/>
  <c r="BJ23" i="42"/>
  <c r="BI23" i="42"/>
  <c r="BH23" i="42"/>
  <c r="BG23" i="42"/>
  <c r="BF23" i="42"/>
  <c r="BE23" i="42"/>
  <c r="BD23" i="42"/>
  <c r="BC23" i="42"/>
  <c r="BB23" i="42"/>
  <c r="BA23" i="42"/>
  <c r="AZ23" i="42"/>
  <c r="AY23" i="42"/>
  <c r="AX23" i="42"/>
  <c r="AW23" i="42"/>
  <c r="AV23" i="42"/>
  <c r="AU23" i="42"/>
  <c r="AT23" i="42"/>
  <c r="AS23" i="42"/>
  <c r="AR23" i="42"/>
  <c r="AQ23" i="42"/>
  <c r="AP23" i="42"/>
  <c r="AO23" i="42"/>
  <c r="AN23" i="42"/>
  <c r="AM23" i="42"/>
  <c r="AL23" i="42"/>
  <c r="AK23" i="42"/>
  <c r="AJ23" i="42"/>
  <c r="AI23" i="42"/>
  <c r="AH23" i="42"/>
  <c r="AG23" i="42"/>
  <c r="AF23" i="42"/>
  <c r="AE23" i="42"/>
  <c r="AD23" i="42"/>
  <c r="AC23" i="42"/>
  <c r="AB23" i="42"/>
  <c r="AA23" i="42"/>
  <c r="Z23" i="42"/>
  <c r="Y23" i="42"/>
  <c r="X23" i="42"/>
  <c r="W23" i="42"/>
  <c r="V23" i="42"/>
  <c r="U23" i="42"/>
  <c r="T23" i="42"/>
  <c r="S23" i="42"/>
  <c r="R23" i="42"/>
  <c r="Q23" i="42"/>
  <c r="P23" i="42"/>
  <c r="O23" i="42"/>
  <c r="N23" i="42"/>
  <c r="M23" i="42"/>
  <c r="L23" i="42"/>
  <c r="K23" i="42"/>
  <c r="C20" i="42"/>
  <c r="T15" i="13"/>
  <c r="R15" i="13"/>
  <c r="N15" i="13"/>
  <c r="O14" i="13"/>
  <c r="R71" i="5"/>
  <c r="R65" i="44" s="1"/>
  <c r="R66" i="44" s="1"/>
  <c r="S14" i="13"/>
  <c r="L15" i="13"/>
  <c r="P15" i="13"/>
  <c r="N14" i="13"/>
  <c r="V14" i="13"/>
  <c r="O15" i="13"/>
  <c r="Y15" i="13"/>
  <c r="L14" i="13"/>
  <c r="P14" i="13"/>
  <c r="T14" i="13"/>
  <c r="K15" i="13"/>
  <c r="V57" i="42"/>
  <c r="U57" i="42"/>
  <c r="T57" i="42"/>
  <c r="S57" i="42"/>
  <c r="R57" i="42"/>
  <c r="Q57" i="42"/>
  <c r="P57" i="42"/>
  <c r="O57" i="42"/>
  <c r="N57" i="42"/>
  <c r="M57" i="42"/>
  <c r="L57" i="42"/>
  <c r="K57" i="42"/>
  <c r="W57" i="42"/>
  <c r="W55" i="42"/>
  <c r="V55" i="42"/>
  <c r="U55" i="42"/>
  <c r="T55" i="42"/>
  <c r="S55" i="42"/>
  <c r="R55" i="42"/>
  <c r="Q55" i="42"/>
  <c r="P55" i="42"/>
  <c r="O55" i="42"/>
  <c r="N55" i="42"/>
  <c r="M55" i="42"/>
  <c r="L55" i="42"/>
  <c r="K55" i="42"/>
  <c r="V47" i="42"/>
  <c r="U47" i="42"/>
  <c r="T47" i="42"/>
  <c r="S47" i="42"/>
  <c r="R47" i="42"/>
  <c r="Q47" i="42"/>
  <c r="P47" i="42"/>
  <c r="O47" i="42"/>
  <c r="N47" i="42"/>
  <c r="M47" i="42"/>
  <c r="L47" i="42"/>
  <c r="K47" i="42"/>
  <c r="W47" i="42"/>
  <c r="W45" i="42"/>
  <c r="V45" i="42"/>
  <c r="U45" i="42"/>
  <c r="T45" i="42"/>
  <c r="S45" i="42"/>
  <c r="R45" i="42"/>
  <c r="Q45" i="42"/>
  <c r="P45" i="42"/>
  <c r="O45" i="42"/>
  <c r="N45" i="42"/>
  <c r="M45" i="42"/>
  <c r="L45" i="42"/>
  <c r="K45" i="42"/>
  <c r="V37" i="42"/>
  <c r="U37" i="42"/>
  <c r="T37" i="42"/>
  <c r="S37" i="42"/>
  <c r="R37" i="42"/>
  <c r="Q37" i="42"/>
  <c r="P37" i="42"/>
  <c r="O37" i="42"/>
  <c r="N37" i="42"/>
  <c r="M37" i="42"/>
  <c r="L37" i="42"/>
  <c r="K37" i="42"/>
  <c r="W37" i="42"/>
  <c r="W35" i="42"/>
  <c r="V35" i="42"/>
  <c r="U35" i="42"/>
  <c r="T35" i="42"/>
  <c r="S35" i="42"/>
  <c r="R35" i="42"/>
  <c r="Q35" i="42"/>
  <c r="P35" i="42"/>
  <c r="O35" i="42"/>
  <c r="N35" i="42"/>
  <c r="M35" i="42"/>
  <c r="L35" i="42"/>
  <c r="K35" i="42"/>
  <c r="V27" i="42"/>
  <c r="U27" i="42"/>
  <c r="T27" i="42"/>
  <c r="S27" i="42"/>
  <c r="R27" i="42"/>
  <c r="Q27" i="42"/>
  <c r="P27" i="42"/>
  <c r="O27" i="42"/>
  <c r="N27" i="42"/>
  <c r="M27" i="42"/>
  <c r="L27" i="42"/>
  <c r="K27" i="42"/>
  <c r="X27" i="42"/>
  <c r="W27" i="42"/>
  <c r="X25" i="42"/>
  <c r="W25" i="42"/>
  <c r="V25" i="42"/>
  <c r="U25" i="42"/>
  <c r="T25" i="42"/>
  <c r="S25" i="42"/>
  <c r="R25" i="42"/>
  <c r="Q25" i="42"/>
  <c r="P25" i="42"/>
  <c r="O25" i="42"/>
  <c r="N25" i="42"/>
  <c r="M25" i="42"/>
  <c r="L25" i="42"/>
  <c r="K25" i="42"/>
  <c r="V17" i="42"/>
  <c r="U17" i="42"/>
  <c r="T17" i="42"/>
  <c r="S17" i="42"/>
  <c r="R17" i="42"/>
  <c r="Q17" i="42"/>
  <c r="P17" i="42"/>
  <c r="O17" i="42"/>
  <c r="N17" i="42"/>
  <c r="M17" i="42"/>
  <c r="L17" i="42"/>
  <c r="V15" i="42"/>
  <c r="V13" i="42"/>
  <c r="U15" i="42"/>
  <c r="U13" i="42"/>
  <c r="T15" i="42"/>
  <c r="T13" i="42"/>
  <c r="S15" i="42"/>
  <c r="S13" i="42"/>
  <c r="R15" i="42"/>
  <c r="R13" i="42"/>
  <c r="Q15" i="42"/>
  <c r="Q13" i="42"/>
  <c r="P15" i="42"/>
  <c r="P13" i="42"/>
  <c r="O15" i="42"/>
  <c r="O13" i="42"/>
  <c r="N15" i="42"/>
  <c r="N13" i="42"/>
  <c r="M15" i="42"/>
  <c r="M13" i="42"/>
  <c r="L15" i="42"/>
  <c r="L13" i="42"/>
  <c r="K17" i="42"/>
  <c r="K15" i="42"/>
  <c r="K13" i="42"/>
  <c r="BR17" i="42"/>
  <c r="A3" i="42"/>
  <c r="BR30" i="13"/>
  <c r="BQ30" i="13"/>
  <c r="BP30" i="13"/>
  <c r="BO30" i="13"/>
  <c r="BN30" i="13"/>
  <c r="BM30" i="13"/>
  <c r="BL30" i="13"/>
  <c r="BK30" i="13"/>
  <c r="BJ30" i="13"/>
  <c r="BI30" i="13"/>
  <c r="BH30" i="13"/>
  <c r="BG30" i="13"/>
  <c r="BF30" i="13"/>
  <c r="BE30" i="13"/>
  <c r="BD30" i="13"/>
  <c r="BC30" i="13"/>
  <c r="BB30" i="13"/>
  <c r="BA30" i="13"/>
  <c r="AZ30" i="13"/>
  <c r="AY30" i="13"/>
  <c r="AX30" i="13"/>
  <c r="AW30" i="13"/>
  <c r="AV30" i="13"/>
  <c r="AU30" i="13"/>
  <c r="X14" i="13"/>
  <c r="X15" i="42"/>
  <c r="X13" i="42"/>
  <c r="AB15" i="42"/>
  <c r="AB13" i="42"/>
  <c r="W15" i="42"/>
  <c r="AA15" i="42"/>
  <c r="AA13" i="42"/>
  <c r="AE15" i="42"/>
  <c r="AE13" i="42"/>
  <c r="AI15" i="42"/>
  <c r="AM15" i="42"/>
  <c r="AM13" i="42"/>
  <c r="AQ15" i="42"/>
  <c r="AQ13" i="42"/>
  <c r="AU15" i="42"/>
  <c r="AY15" i="42"/>
  <c r="AY13" i="42"/>
  <c r="BC15" i="42"/>
  <c r="BC13" i="42"/>
  <c r="BG15" i="42"/>
  <c r="BK15" i="42"/>
  <c r="BK13" i="42"/>
  <c r="BO15" i="42"/>
  <c r="BO13" i="42"/>
  <c r="X17" i="42"/>
  <c r="AB17" i="42"/>
  <c r="AF17" i="42"/>
  <c r="AJ17" i="42"/>
  <c r="AN17" i="42"/>
  <c r="AR17" i="42"/>
  <c r="AV17" i="42"/>
  <c r="AZ17" i="42"/>
  <c r="BD17" i="42"/>
  <c r="BH17" i="42"/>
  <c r="BL17" i="42"/>
  <c r="BP17" i="42"/>
  <c r="Z15" i="42"/>
  <c r="Z13" i="42"/>
  <c r="AD15" i="42"/>
  <c r="AD13" i="42"/>
  <c r="AH15" i="42"/>
  <c r="AH13" i="42"/>
  <c r="AL15" i="42"/>
  <c r="AL13" i="42"/>
  <c r="AP15" i="42"/>
  <c r="AP13" i="42"/>
  <c r="AT15" i="42"/>
  <c r="AT13" i="42"/>
  <c r="AX15" i="42"/>
  <c r="AX13" i="42"/>
  <c r="BB15" i="42"/>
  <c r="BB13" i="42"/>
  <c r="BF15" i="42"/>
  <c r="BF13" i="42"/>
  <c r="BJ15" i="42"/>
  <c r="BJ13" i="42"/>
  <c r="BN15" i="42"/>
  <c r="BN13" i="42"/>
  <c r="BR15" i="42"/>
  <c r="BR13" i="42"/>
  <c r="W17" i="42"/>
  <c r="AA17" i="42"/>
  <c r="AE17" i="42"/>
  <c r="AI17" i="42"/>
  <c r="AM17" i="42"/>
  <c r="AQ17" i="42"/>
  <c r="AU17" i="42"/>
  <c r="AY17" i="42"/>
  <c r="BC17" i="42"/>
  <c r="BG17" i="42"/>
  <c r="BK17" i="42"/>
  <c r="BO17" i="42"/>
  <c r="Y15" i="42"/>
  <c r="Y13" i="42"/>
  <c r="AC15" i="42"/>
  <c r="AC13" i="42"/>
  <c r="AG15" i="42"/>
  <c r="AG13" i="42"/>
  <c r="AK15" i="42"/>
  <c r="AK13" i="42"/>
  <c r="AO15" i="42"/>
  <c r="AO13" i="42"/>
  <c r="AS15" i="42"/>
  <c r="AS13" i="42"/>
  <c r="AW15" i="42"/>
  <c r="AW13" i="42"/>
  <c r="BA15" i="42"/>
  <c r="BA13" i="42"/>
  <c r="BE15" i="42"/>
  <c r="BE13" i="42"/>
  <c r="BI15" i="42"/>
  <c r="BI13" i="42"/>
  <c r="BM15" i="42"/>
  <c r="BM13" i="42"/>
  <c r="BQ15" i="42"/>
  <c r="BQ13" i="42"/>
  <c r="Z17" i="42"/>
  <c r="AD17" i="42"/>
  <c r="AH17" i="42"/>
  <c r="AL17" i="42"/>
  <c r="AP17" i="42"/>
  <c r="AT17" i="42"/>
  <c r="AX17" i="42"/>
  <c r="BB17" i="42"/>
  <c r="BF17" i="42"/>
  <c r="BJ17" i="42"/>
  <c r="BN17" i="42"/>
  <c r="AF15" i="42"/>
  <c r="AF13" i="42"/>
  <c r="AJ15" i="42"/>
  <c r="AJ13" i="42"/>
  <c r="AN15" i="42"/>
  <c r="AN13" i="42"/>
  <c r="AR15" i="42"/>
  <c r="AR13" i="42"/>
  <c r="AV15" i="42"/>
  <c r="AV13" i="42"/>
  <c r="AZ15" i="42"/>
  <c r="AZ13" i="42"/>
  <c r="BD15" i="42"/>
  <c r="BD13" i="42"/>
  <c r="BH15" i="42"/>
  <c r="BH13" i="42"/>
  <c r="BL15" i="42"/>
  <c r="BL13" i="42"/>
  <c r="BP15" i="42"/>
  <c r="BP13" i="42"/>
  <c r="Y17" i="42"/>
  <c r="AC17" i="42"/>
  <c r="AG17" i="42"/>
  <c r="AK17" i="42"/>
  <c r="AO17" i="42"/>
  <c r="AS17" i="42"/>
  <c r="AW17" i="42"/>
  <c r="BA17" i="42"/>
  <c r="BE17" i="42"/>
  <c r="BI17" i="42"/>
  <c r="BM17" i="42"/>
  <c r="BQ17" i="42"/>
  <c r="O71" i="5"/>
  <c r="O65" i="44" s="1"/>
  <c r="N71" i="5"/>
  <c r="N65" i="44"/>
  <c r="BG13" i="42"/>
  <c r="AI13" i="42"/>
  <c r="AU13" i="42"/>
  <c r="W13" i="42"/>
  <c r="X71" i="5"/>
  <c r="X65" i="44" s="1"/>
  <c r="X57" i="42"/>
  <c r="X55" i="42"/>
  <c r="X47" i="42"/>
  <c r="X45" i="42"/>
  <c r="X37" i="42"/>
  <c r="X35" i="42"/>
  <c r="Y27" i="42"/>
  <c r="Y25" i="42"/>
  <c r="AJ30" i="13"/>
  <c r="AK30" i="13"/>
  <c r="AL30" i="13"/>
  <c r="AM30" i="13"/>
  <c r="AN30" i="13"/>
  <c r="AO30" i="13"/>
  <c r="AP30" i="13"/>
  <c r="AQ30" i="13"/>
  <c r="AR30" i="13"/>
  <c r="AS30" i="13"/>
  <c r="AT30" i="13"/>
  <c r="AI30" i="13"/>
  <c r="X30" i="13"/>
  <c r="Y30" i="13"/>
  <c r="Z30" i="13"/>
  <c r="AA30" i="13"/>
  <c r="AB30" i="13"/>
  <c r="AC30" i="13"/>
  <c r="AD30" i="13"/>
  <c r="AE30" i="13"/>
  <c r="AF30" i="13"/>
  <c r="AG30" i="13"/>
  <c r="AH30" i="13"/>
  <c r="W30" i="13"/>
  <c r="A3" i="13"/>
  <c r="A3" i="11"/>
  <c r="A3" i="9"/>
  <c r="A3" i="7"/>
  <c r="A3" i="6"/>
  <c r="A3" i="5"/>
  <c r="A3" i="1"/>
  <c r="A3" i="2"/>
  <c r="C36" i="1"/>
  <c r="C14" i="1"/>
  <c r="C37" i="1"/>
  <c r="C15" i="1"/>
  <c r="C35" i="1"/>
  <c r="C10" i="42" s="1"/>
  <c r="C13" i="1"/>
  <c r="C46" i="1"/>
  <c r="C26" i="1" s="1"/>
  <c r="C47" i="1"/>
  <c r="C27" i="1" s="1"/>
  <c r="C45" i="1"/>
  <c r="C25" i="1"/>
  <c r="C42" i="1"/>
  <c r="C21" i="1"/>
  <c r="C40" i="1"/>
  <c r="C19" i="1" s="1"/>
  <c r="C41" i="1"/>
  <c r="C20" i="1"/>
  <c r="A1" i="39"/>
  <c r="Y57" i="42"/>
  <c r="Y55" i="42"/>
  <c r="Y47" i="42"/>
  <c r="Y45" i="42"/>
  <c r="Y37" i="42"/>
  <c r="Y35" i="42"/>
  <c r="Z27" i="42"/>
  <c r="Z25" i="42"/>
  <c r="N13" i="13"/>
  <c r="AI12" i="20"/>
  <c r="AJ12" i="20"/>
  <c r="AK12" i="20"/>
  <c r="AL12" i="20"/>
  <c r="AM12" i="20"/>
  <c r="AM20" i="20"/>
  <c r="AN16" i="37"/>
  <c r="AM16" i="37"/>
  <c r="AL16" i="37"/>
  <c r="AK16" i="37"/>
  <c r="AJ16" i="37"/>
  <c r="AI16" i="37"/>
  <c r="AH16" i="37"/>
  <c r="AG16" i="37"/>
  <c r="AF16" i="37"/>
  <c r="AE16" i="37"/>
  <c r="AD16" i="37"/>
  <c r="AC16" i="37"/>
  <c r="AA16" i="37"/>
  <c r="Z16" i="37"/>
  <c r="Y16" i="37"/>
  <c r="X16" i="37"/>
  <c r="W16" i="37"/>
  <c r="V16" i="37"/>
  <c r="U16" i="37"/>
  <c r="T16" i="37"/>
  <c r="S16" i="37"/>
  <c r="R16" i="37"/>
  <c r="Q16" i="37"/>
  <c r="P16" i="37"/>
  <c r="N16" i="37"/>
  <c r="M16" i="37"/>
  <c r="L16" i="37"/>
  <c r="K16" i="37"/>
  <c r="J16" i="37"/>
  <c r="I16" i="37"/>
  <c r="H16" i="37"/>
  <c r="G16" i="37"/>
  <c r="F16" i="37"/>
  <c r="E16" i="37"/>
  <c r="D16" i="37"/>
  <c r="C16" i="37"/>
  <c r="AN15" i="37"/>
  <c r="AM15" i="37"/>
  <c r="AL15" i="37"/>
  <c r="AK15" i="37"/>
  <c r="AJ15" i="37"/>
  <c r="AI15" i="37"/>
  <c r="AH15" i="37"/>
  <c r="AG15" i="37"/>
  <c r="AF15" i="37"/>
  <c r="AE15" i="37"/>
  <c r="AD15" i="37"/>
  <c r="AC15" i="37"/>
  <c r="AA15" i="37"/>
  <c r="Z15" i="37"/>
  <c r="Y15" i="37"/>
  <c r="X15" i="37"/>
  <c r="W15" i="37"/>
  <c r="V15" i="37"/>
  <c r="U15" i="37"/>
  <c r="T15" i="37"/>
  <c r="S15" i="37"/>
  <c r="R15" i="37"/>
  <c r="Q15" i="37"/>
  <c r="P15" i="37"/>
  <c r="N15" i="37"/>
  <c r="M15" i="37"/>
  <c r="L15" i="37"/>
  <c r="K15" i="37"/>
  <c r="J15" i="37"/>
  <c r="I15" i="37"/>
  <c r="H15" i="37"/>
  <c r="G15" i="37"/>
  <c r="F15" i="37"/>
  <c r="E15" i="37"/>
  <c r="D15" i="37"/>
  <c r="C15" i="37"/>
  <c r="AN14" i="37"/>
  <c r="AM14" i="37"/>
  <c r="AL14" i="37"/>
  <c r="AK14" i="37"/>
  <c r="AJ14" i="37"/>
  <c r="AI14" i="37"/>
  <c r="AH14" i="37"/>
  <c r="AG14" i="37"/>
  <c r="AF14" i="37"/>
  <c r="AE14" i="37"/>
  <c r="AD14" i="37"/>
  <c r="AC14" i="37"/>
  <c r="AA14" i="37"/>
  <c r="Z14" i="37"/>
  <c r="Y14" i="37"/>
  <c r="X14" i="37"/>
  <c r="W14" i="37"/>
  <c r="V14" i="37"/>
  <c r="U14" i="37"/>
  <c r="T14" i="37"/>
  <c r="S14" i="37"/>
  <c r="R14" i="37"/>
  <c r="Q14" i="37"/>
  <c r="P14" i="37"/>
  <c r="N14" i="37"/>
  <c r="M14" i="37"/>
  <c r="L14" i="37"/>
  <c r="K14" i="37"/>
  <c r="J14" i="37"/>
  <c r="I14" i="37"/>
  <c r="H14" i="37"/>
  <c r="G14" i="37"/>
  <c r="F14" i="37"/>
  <c r="E14" i="37"/>
  <c r="D14" i="37"/>
  <c r="C14" i="37"/>
  <c r="AN12" i="37"/>
  <c r="AM12" i="37"/>
  <c r="AL12" i="37"/>
  <c r="AK12" i="37"/>
  <c r="AJ12" i="37"/>
  <c r="AI12" i="37"/>
  <c r="AH12" i="37"/>
  <c r="AG12" i="37"/>
  <c r="AF12" i="37"/>
  <c r="AE12" i="37"/>
  <c r="AD12" i="37"/>
  <c r="AC12" i="37"/>
  <c r="AA12" i="37"/>
  <c r="Z12" i="37"/>
  <c r="Y12" i="37"/>
  <c r="X12" i="37"/>
  <c r="W12" i="37"/>
  <c r="V12" i="37"/>
  <c r="U12" i="37"/>
  <c r="T12" i="37"/>
  <c r="S12" i="37"/>
  <c r="R12" i="37"/>
  <c r="Q12" i="37"/>
  <c r="P12" i="37"/>
  <c r="N12" i="37"/>
  <c r="M12" i="37"/>
  <c r="L12" i="37"/>
  <c r="K12" i="37"/>
  <c r="J12" i="37"/>
  <c r="I12" i="37"/>
  <c r="H12" i="37"/>
  <c r="G12" i="37"/>
  <c r="F12" i="37"/>
  <c r="E12" i="37"/>
  <c r="D12" i="37"/>
  <c r="C12" i="37"/>
  <c r="AN11" i="37"/>
  <c r="AM11" i="37"/>
  <c r="AL11" i="37"/>
  <c r="AK11" i="37"/>
  <c r="AJ11" i="37"/>
  <c r="AI11" i="37"/>
  <c r="AH11" i="37"/>
  <c r="AG11" i="37"/>
  <c r="AF11" i="37"/>
  <c r="AE11" i="37"/>
  <c r="AD11" i="37"/>
  <c r="AC11" i="37"/>
  <c r="AA11" i="37"/>
  <c r="Z11" i="37"/>
  <c r="Y11" i="37"/>
  <c r="X11" i="37"/>
  <c r="W11" i="37"/>
  <c r="V11" i="37"/>
  <c r="U11" i="37"/>
  <c r="T11" i="37"/>
  <c r="S11" i="37"/>
  <c r="R11" i="37"/>
  <c r="Q11" i="37"/>
  <c r="P11" i="37"/>
  <c r="N11" i="37"/>
  <c r="M11" i="37"/>
  <c r="L11" i="37"/>
  <c r="K11" i="37"/>
  <c r="J11" i="37"/>
  <c r="I11" i="37"/>
  <c r="H11" i="37"/>
  <c r="G11" i="37"/>
  <c r="F11" i="37"/>
  <c r="E11" i="37"/>
  <c r="D11" i="37"/>
  <c r="C11" i="37"/>
  <c r="AN10" i="37"/>
  <c r="AM10" i="37"/>
  <c r="AL10" i="37"/>
  <c r="AK10" i="37"/>
  <c r="AJ10" i="37"/>
  <c r="AI10" i="37"/>
  <c r="AH10" i="37"/>
  <c r="AG10" i="37"/>
  <c r="AF10" i="37"/>
  <c r="AE10" i="37"/>
  <c r="AD10" i="37"/>
  <c r="AC10" i="37"/>
  <c r="AA10" i="37"/>
  <c r="Z10" i="37"/>
  <c r="Y10" i="37"/>
  <c r="X10" i="37"/>
  <c r="W10" i="37"/>
  <c r="V10" i="37"/>
  <c r="U10" i="37"/>
  <c r="T10" i="37"/>
  <c r="S10" i="37"/>
  <c r="R10" i="37"/>
  <c r="Q10" i="37"/>
  <c r="P10" i="37"/>
  <c r="N10" i="37"/>
  <c r="M10" i="37"/>
  <c r="L10" i="37"/>
  <c r="K10" i="37"/>
  <c r="J10" i="37"/>
  <c r="I10" i="37"/>
  <c r="H10" i="37"/>
  <c r="G10" i="37"/>
  <c r="F10" i="37"/>
  <c r="E10" i="37"/>
  <c r="D10" i="37"/>
  <c r="C10" i="37"/>
  <c r="AN9" i="37"/>
  <c r="AM9" i="37"/>
  <c r="AL9" i="37"/>
  <c r="AK9" i="37"/>
  <c r="AJ9" i="37"/>
  <c r="AI9" i="37"/>
  <c r="AH9" i="37"/>
  <c r="AG9" i="37"/>
  <c r="AF9" i="37"/>
  <c r="AE9" i="37"/>
  <c r="AD9" i="37"/>
  <c r="AC9" i="37"/>
  <c r="AC17" i="37" s="1"/>
  <c r="AA9" i="37"/>
  <c r="Z9" i="37"/>
  <c r="Y9" i="37"/>
  <c r="X9" i="37"/>
  <c r="W9" i="37"/>
  <c r="V9" i="37"/>
  <c r="U9" i="37"/>
  <c r="T9" i="37"/>
  <c r="S9" i="37"/>
  <c r="R9" i="37"/>
  <c r="Q9" i="37"/>
  <c r="P9" i="37"/>
  <c r="P17" i="37" s="1"/>
  <c r="N9" i="37"/>
  <c r="M9" i="37"/>
  <c r="L9" i="37"/>
  <c r="K9" i="37"/>
  <c r="J9" i="37"/>
  <c r="I9" i="37"/>
  <c r="H9" i="37"/>
  <c r="G9" i="37"/>
  <c r="F9" i="37"/>
  <c r="E9" i="37"/>
  <c r="D9" i="37"/>
  <c r="C9" i="37"/>
  <c r="C17" i="37" s="1"/>
  <c r="AN8" i="37"/>
  <c r="AM8" i="37"/>
  <c r="AL8" i="37"/>
  <c r="AK8" i="37"/>
  <c r="AJ8" i="37"/>
  <c r="AJ17" i="37" s="1"/>
  <c r="AI8" i="37"/>
  <c r="AH8" i="37"/>
  <c r="AG8" i="37"/>
  <c r="AG17" i="37" s="1"/>
  <c r="AF8" i="37"/>
  <c r="AE8" i="37"/>
  <c r="AD8" i="37"/>
  <c r="AC8" i="37"/>
  <c r="AA8" i="37"/>
  <c r="Z8" i="37"/>
  <c r="Z7" i="37"/>
  <c r="Z17" i="37"/>
  <c r="Y8" i="37"/>
  <c r="X8" i="37"/>
  <c r="W8" i="37"/>
  <c r="V8" i="37"/>
  <c r="U8" i="37"/>
  <c r="T8" i="37"/>
  <c r="T7" i="37"/>
  <c r="T17" i="37"/>
  <c r="S8" i="37"/>
  <c r="S17" i="37" s="1"/>
  <c r="R8" i="37"/>
  <c r="R7" i="37"/>
  <c r="R17" i="37"/>
  <c r="Q8" i="37"/>
  <c r="P8" i="37"/>
  <c r="N8" i="37"/>
  <c r="M8" i="37"/>
  <c r="L8" i="37"/>
  <c r="K8" i="37"/>
  <c r="J8" i="37"/>
  <c r="I8" i="37"/>
  <c r="I7" i="37"/>
  <c r="I17" i="37" s="1"/>
  <c r="H8" i="37"/>
  <c r="G8" i="37"/>
  <c r="F8" i="37"/>
  <c r="E8" i="37"/>
  <c r="D8" i="37"/>
  <c r="C8" i="37"/>
  <c r="AN7" i="37"/>
  <c r="AM7" i="37"/>
  <c r="AM17" i="37"/>
  <c r="AL7" i="37"/>
  <c r="AL17" i="37" s="1"/>
  <c r="AK7" i="37"/>
  <c r="AJ7" i="37"/>
  <c r="AI7" i="37"/>
  <c r="AI17" i="37" s="1"/>
  <c r="AH7" i="37"/>
  <c r="AG7" i="37"/>
  <c r="AF7" i="37"/>
  <c r="AE7" i="37"/>
  <c r="AE17" i="37" s="1"/>
  <c r="AD7" i="37"/>
  <c r="AD17" i="37" s="1"/>
  <c r="AC7" i="37"/>
  <c r="AA7" i="37"/>
  <c r="Y7" i="37"/>
  <c r="X7" i="37"/>
  <c r="W7" i="37"/>
  <c r="W17" i="37"/>
  <c r="V7" i="37"/>
  <c r="V17" i="37" s="1"/>
  <c r="U7" i="37"/>
  <c r="S7" i="37"/>
  <c r="Q7" i="37"/>
  <c r="P7" i="37"/>
  <c r="N7" i="37"/>
  <c r="N17" i="37" s="1"/>
  <c r="M7" i="37"/>
  <c r="L7" i="37"/>
  <c r="L17" i="37" s="1"/>
  <c r="K7" i="37"/>
  <c r="K17" i="37" s="1"/>
  <c r="J7" i="37"/>
  <c r="H7" i="37"/>
  <c r="H17" i="37" s="1"/>
  <c r="G7" i="37"/>
  <c r="F7" i="37"/>
  <c r="E7" i="37"/>
  <c r="D7" i="37"/>
  <c r="D17" i="37" s="1"/>
  <c r="C7" i="37"/>
  <c r="AC5" i="37"/>
  <c r="P5" i="37"/>
  <c r="C5" i="37"/>
  <c r="AC4" i="37"/>
  <c r="P4" i="37"/>
  <c r="C4" i="37"/>
  <c r="A1" i="37"/>
  <c r="AG10" i="20"/>
  <c r="AH10" i="20"/>
  <c r="AI10" i="20"/>
  <c r="AJ10" i="20"/>
  <c r="AK10" i="20"/>
  <c r="AK20" i="20" s="1"/>
  <c r="AD14" i="36"/>
  <c r="AE14" i="36"/>
  <c r="AF14" i="36"/>
  <c r="AG14" i="36"/>
  <c r="AH14" i="36"/>
  <c r="AI14" i="36"/>
  <c r="AJ14" i="36"/>
  <c r="AK14" i="36"/>
  <c r="AL14" i="36"/>
  <c r="AM14" i="36"/>
  <c r="AN14" i="36"/>
  <c r="AD15" i="36"/>
  <c r="AE15" i="36"/>
  <c r="AF15" i="36"/>
  <c r="AG15" i="36"/>
  <c r="AH15" i="36"/>
  <c r="AI15" i="36"/>
  <c r="AJ15" i="36"/>
  <c r="AK15" i="36"/>
  <c r="AL15" i="36"/>
  <c r="AM15" i="36"/>
  <c r="AN15" i="36"/>
  <c r="AD16" i="36"/>
  <c r="AE16" i="36"/>
  <c r="AF16" i="36"/>
  <c r="AG16" i="36"/>
  <c r="AH16" i="36"/>
  <c r="AI16" i="36"/>
  <c r="AJ16" i="36"/>
  <c r="AK16" i="36"/>
  <c r="AL16" i="36"/>
  <c r="AM16" i="36"/>
  <c r="AN16" i="36"/>
  <c r="AD7" i="36"/>
  <c r="AE7" i="36"/>
  <c r="AF7" i="36"/>
  <c r="AG7" i="36"/>
  <c r="AH7" i="36"/>
  <c r="AI7" i="36"/>
  <c r="AI17" i="36" s="1"/>
  <c r="AJ7" i="36"/>
  <c r="AK7" i="36"/>
  <c r="AK8" i="36"/>
  <c r="AK9" i="36"/>
  <c r="AK10" i="36"/>
  <c r="AK11" i="36"/>
  <c r="AK12" i="36"/>
  <c r="AK17" i="36"/>
  <c r="AL7" i="36"/>
  <c r="AM7" i="36"/>
  <c r="AN7" i="36"/>
  <c r="AD8" i="36"/>
  <c r="AD17" i="36" s="1"/>
  <c r="AD9" i="36"/>
  <c r="AD10" i="36"/>
  <c r="AD11" i="36"/>
  <c r="AD12" i="36"/>
  <c r="AE8" i="36"/>
  <c r="AF8" i="36"/>
  <c r="AG8" i="36"/>
  <c r="AH8" i="36"/>
  <c r="AH9" i="36"/>
  <c r="AH10" i="36"/>
  <c r="AH11" i="36"/>
  <c r="AH12" i="36"/>
  <c r="AI8" i="36"/>
  <c r="AJ8" i="36"/>
  <c r="AL8" i="36"/>
  <c r="AM8" i="36"/>
  <c r="AN8" i="36"/>
  <c r="AE9" i="36"/>
  <c r="AF9" i="36"/>
  <c r="AG9" i="36"/>
  <c r="AI9" i="36"/>
  <c r="AJ9" i="36"/>
  <c r="AL9" i="36"/>
  <c r="AM9" i="36"/>
  <c r="AN9" i="36"/>
  <c r="AE10" i="36"/>
  <c r="AF10" i="36"/>
  <c r="AG10" i="36"/>
  <c r="AI10" i="36"/>
  <c r="AJ10" i="36"/>
  <c r="AL10" i="36"/>
  <c r="AM10" i="36"/>
  <c r="AN10" i="36"/>
  <c r="AE11" i="36"/>
  <c r="AF11" i="36"/>
  <c r="AG11" i="36"/>
  <c r="AI11" i="36"/>
  <c r="AJ11" i="36"/>
  <c r="AL11" i="36"/>
  <c r="AM11" i="36"/>
  <c r="AN11" i="36"/>
  <c r="AE12" i="36"/>
  <c r="AF12" i="36"/>
  <c r="AG12" i="36"/>
  <c r="AI12" i="36"/>
  <c r="AJ12" i="36"/>
  <c r="AL12" i="36"/>
  <c r="AM12" i="36"/>
  <c r="AN12" i="36"/>
  <c r="AC8" i="36"/>
  <c r="AC9" i="36"/>
  <c r="AC7" i="36"/>
  <c r="AC10" i="36"/>
  <c r="AC11" i="36"/>
  <c r="AC12" i="36"/>
  <c r="AC14" i="36"/>
  <c r="AC15" i="36"/>
  <c r="AC16" i="36"/>
  <c r="C11" i="36"/>
  <c r="D11" i="36"/>
  <c r="E11" i="36"/>
  <c r="F11" i="36"/>
  <c r="G11" i="36"/>
  <c r="H11" i="36"/>
  <c r="I11" i="36"/>
  <c r="I17" i="36" s="1"/>
  <c r="J11" i="36"/>
  <c r="K11" i="36"/>
  <c r="L11" i="36"/>
  <c r="M11" i="36"/>
  <c r="N11" i="36"/>
  <c r="P11" i="36"/>
  <c r="Q11" i="36"/>
  <c r="R11" i="36"/>
  <c r="S11" i="36"/>
  <c r="T11" i="36"/>
  <c r="U11" i="36"/>
  <c r="V11" i="36"/>
  <c r="W11" i="36"/>
  <c r="X11" i="36"/>
  <c r="Y11" i="36"/>
  <c r="Z11" i="36"/>
  <c r="AA11" i="36"/>
  <c r="Q8" i="36"/>
  <c r="R8" i="36"/>
  <c r="S8" i="36"/>
  <c r="T8" i="36"/>
  <c r="U8" i="36"/>
  <c r="V8" i="36"/>
  <c r="W8" i="36"/>
  <c r="W17" i="36" s="1"/>
  <c r="X8" i="36"/>
  <c r="Y8" i="36"/>
  <c r="Z8" i="36"/>
  <c r="AA8" i="36"/>
  <c r="Q9" i="36"/>
  <c r="R9" i="36"/>
  <c r="S9" i="36"/>
  <c r="T9" i="36"/>
  <c r="T17" i="36" s="1"/>
  <c r="U9" i="36"/>
  <c r="V9" i="36"/>
  <c r="W9" i="36"/>
  <c r="X9" i="36"/>
  <c r="Y9" i="36"/>
  <c r="Z9" i="36"/>
  <c r="AA9" i="36"/>
  <c r="Q10" i="36"/>
  <c r="Q17" i="36" s="1"/>
  <c r="R10" i="36"/>
  <c r="S10" i="36"/>
  <c r="T10" i="36"/>
  <c r="U10" i="36"/>
  <c r="V10" i="36"/>
  <c r="W10" i="36"/>
  <c r="X10" i="36"/>
  <c r="Y10" i="36"/>
  <c r="Z10" i="36"/>
  <c r="AA10" i="36"/>
  <c r="Q12" i="36"/>
  <c r="R12" i="36"/>
  <c r="S12" i="36"/>
  <c r="T12" i="36"/>
  <c r="U12" i="36"/>
  <c r="V12" i="36"/>
  <c r="V17" i="36" s="1"/>
  <c r="W12" i="36"/>
  <c r="X12" i="36"/>
  <c r="Y12" i="36"/>
  <c r="Z12" i="36"/>
  <c r="AA12" i="36"/>
  <c r="Q14" i="36"/>
  <c r="R14" i="36"/>
  <c r="S14" i="36"/>
  <c r="T14" i="36"/>
  <c r="U14" i="36"/>
  <c r="V14" i="36"/>
  <c r="W14" i="36"/>
  <c r="X14" i="36"/>
  <c r="Y14" i="36"/>
  <c r="Z14" i="36"/>
  <c r="AA14" i="36"/>
  <c r="AA17" i="36" s="1"/>
  <c r="Q15" i="36"/>
  <c r="R15" i="36"/>
  <c r="S15" i="36"/>
  <c r="T15" i="36"/>
  <c r="U15" i="36"/>
  <c r="V15" i="36"/>
  <c r="W15" i="36"/>
  <c r="X15" i="36"/>
  <c r="Y15" i="36"/>
  <c r="Z15" i="36"/>
  <c r="AA15" i="36"/>
  <c r="Q16" i="36"/>
  <c r="R16" i="36"/>
  <c r="S16" i="36"/>
  <c r="T16" i="36"/>
  <c r="U16" i="36"/>
  <c r="V16" i="36"/>
  <c r="W16" i="36"/>
  <c r="X16" i="36"/>
  <c r="Y16" i="36"/>
  <c r="Z16" i="36"/>
  <c r="AA16" i="36"/>
  <c r="Q7" i="36"/>
  <c r="R7" i="36"/>
  <c r="R17" i="36" s="1"/>
  <c r="S7" i="36"/>
  <c r="T7" i="36"/>
  <c r="U7" i="36"/>
  <c r="V7" i="36"/>
  <c r="W7" i="36"/>
  <c r="X7" i="36"/>
  <c r="Y7" i="36"/>
  <c r="Z7" i="36"/>
  <c r="Z17" i="36" s="1"/>
  <c r="AA7" i="36"/>
  <c r="P8" i="36"/>
  <c r="P7" i="36"/>
  <c r="P9" i="36"/>
  <c r="P10" i="36"/>
  <c r="P12" i="36"/>
  <c r="P14" i="36"/>
  <c r="P15" i="36"/>
  <c r="P16" i="36"/>
  <c r="D8" i="36"/>
  <c r="E8" i="36"/>
  <c r="F8" i="36"/>
  <c r="G8" i="36"/>
  <c r="H8" i="36"/>
  <c r="H17" i="36" s="1"/>
  <c r="I8" i="36"/>
  <c r="J8" i="36"/>
  <c r="K8" i="36"/>
  <c r="L8" i="36"/>
  <c r="L7" i="36"/>
  <c r="L9" i="36"/>
  <c r="L10" i="36"/>
  <c r="L12" i="36"/>
  <c r="L14" i="36"/>
  <c r="L15" i="36"/>
  <c r="L16" i="36"/>
  <c r="M8" i="36"/>
  <c r="N8" i="36"/>
  <c r="D9" i="36"/>
  <c r="E9" i="36"/>
  <c r="F9" i="36"/>
  <c r="G9" i="36"/>
  <c r="H9" i="36"/>
  <c r="I9" i="36"/>
  <c r="J9" i="36"/>
  <c r="K9" i="36"/>
  <c r="M9" i="36"/>
  <c r="N9" i="36"/>
  <c r="D10" i="36"/>
  <c r="E10" i="36"/>
  <c r="F10" i="36"/>
  <c r="F7" i="36"/>
  <c r="F12" i="36"/>
  <c r="F14" i="36"/>
  <c r="F15" i="36"/>
  <c r="F16" i="36"/>
  <c r="F17" i="36" s="1"/>
  <c r="G10" i="36"/>
  <c r="H10" i="36"/>
  <c r="I10" i="36"/>
  <c r="J10" i="36"/>
  <c r="K10" i="36"/>
  <c r="M10" i="36"/>
  <c r="N10" i="36"/>
  <c r="D12" i="36"/>
  <c r="E12" i="36"/>
  <c r="G12" i="36"/>
  <c r="H12" i="36"/>
  <c r="I12" i="36"/>
  <c r="J12" i="36"/>
  <c r="K12" i="36"/>
  <c r="M12" i="36"/>
  <c r="N12" i="36"/>
  <c r="D14" i="36"/>
  <c r="E14" i="36"/>
  <c r="G14" i="36"/>
  <c r="H14" i="36"/>
  <c r="I14" i="36"/>
  <c r="J14" i="36"/>
  <c r="K14" i="36"/>
  <c r="M14" i="36"/>
  <c r="N14" i="36"/>
  <c r="D15" i="36"/>
  <c r="E15" i="36"/>
  <c r="G15" i="36"/>
  <c r="H15" i="36"/>
  <c r="I15" i="36"/>
  <c r="J15" i="36"/>
  <c r="K15" i="36"/>
  <c r="M15" i="36"/>
  <c r="N15" i="36"/>
  <c r="D16" i="36"/>
  <c r="E16" i="36"/>
  <c r="G16" i="36"/>
  <c r="H16" i="36"/>
  <c r="I16" i="36"/>
  <c r="J16" i="36"/>
  <c r="K16" i="36"/>
  <c r="M16" i="36"/>
  <c r="N16" i="36"/>
  <c r="C8" i="36"/>
  <c r="C9" i="36"/>
  <c r="C10" i="36"/>
  <c r="C12" i="36"/>
  <c r="C14" i="36"/>
  <c r="C15" i="36"/>
  <c r="C16" i="36"/>
  <c r="C7" i="36"/>
  <c r="D7" i="36"/>
  <c r="E7" i="36"/>
  <c r="G7" i="36"/>
  <c r="G17" i="36"/>
  <c r="H7" i="36"/>
  <c r="I7" i="36"/>
  <c r="J7" i="36"/>
  <c r="K7" i="36"/>
  <c r="M7" i="36"/>
  <c r="N7" i="36"/>
  <c r="AC5" i="36"/>
  <c r="P5" i="36"/>
  <c r="C5" i="36"/>
  <c r="AC4" i="36"/>
  <c r="P4" i="36"/>
  <c r="C4" i="36"/>
  <c r="A1" i="36"/>
  <c r="B47" i="6"/>
  <c r="B70" i="6" s="1"/>
  <c r="B97" i="6" s="1"/>
  <c r="B48" i="6"/>
  <c r="B71" i="6"/>
  <c r="B98" i="6" s="1"/>
  <c r="B49" i="6"/>
  <c r="B72" i="6" s="1"/>
  <c r="B99" i="6" s="1"/>
  <c r="B50" i="6"/>
  <c r="B73" i="6" s="1"/>
  <c r="B100" i="6"/>
  <c r="B51" i="6"/>
  <c r="B74" i="6"/>
  <c r="B101" i="6" s="1"/>
  <c r="B52" i="6"/>
  <c r="B75" i="6"/>
  <c r="B102" i="6"/>
  <c r="B53" i="6"/>
  <c r="B76" i="6"/>
  <c r="B103" i="6"/>
  <c r="B54" i="6"/>
  <c r="B77" i="6" s="1"/>
  <c r="B104" i="6" s="1"/>
  <c r="B55" i="6"/>
  <c r="B78" i="6" s="1"/>
  <c r="B105" i="6" s="1"/>
  <c r="B56" i="6"/>
  <c r="B79" i="6"/>
  <c r="B106" i="6" s="1"/>
  <c r="B57" i="6"/>
  <c r="B80" i="6"/>
  <c r="B107" i="6"/>
  <c r="B58" i="6"/>
  <c r="B81" i="6" s="1"/>
  <c r="B108" i="6"/>
  <c r="B59" i="6"/>
  <c r="B82" i="6"/>
  <c r="B109" i="6" s="1"/>
  <c r="B60" i="6"/>
  <c r="B83" i="6"/>
  <c r="B110" i="6"/>
  <c r="B61" i="6"/>
  <c r="B84" i="6"/>
  <c r="B111" i="6"/>
  <c r="B62" i="6"/>
  <c r="B85" i="6" s="1"/>
  <c r="B112" i="6" s="1"/>
  <c r="B63" i="6"/>
  <c r="B86" i="6" s="1"/>
  <c r="B113" i="6" s="1"/>
  <c r="B64" i="6"/>
  <c r="B87" i="6"/>
  <c r="B114" i="6" s="1"/>
  <c r="B65" i="6"/>
  <c r="B88" i="6" s="1"/>
  <c r="B115" i="6"/>
  <c r="B46" i="6"/>
  <c r="B69" i="6" s="1"/>
  <c r="B96" i="6"/>
  <c r="I21" i="6"/>
  <c r="I22" i="6"/>
  <c r="I23" i="6"/>
  <c r="I24" i="6"/>
  <c r="I25" i="6"/>
  <c r="I26" i="6"/>
  <c r="I27" i="6"/>
  <c r="I28" i="6"/>
  <c r="I29" i="6"/>
  <c r="I30" i="6"/>
  <c r="M30" i="13"/>
  <c r="N30" i="13"/>
  <c r="O30" i="13"/>
  <c r="P30" i="13"/>
  <c r="Q30" i="13"/>
  <c r="R30" i="13"/>
  <c r="S30" i="13"/>
  <c r="T30" i="13"/>
  <c r="U30" i="13"/>
  <c r="V30" i="13"/>
  <c r="O14" i="20"/>
  <c r="O15" i="20"/>
  <c r="O16" i="20"/>
  <c r="O17" i="20"/>
  <c r="O18" i="20"/>
  <c r="O19" i="20"/>
  <c r="D8" i="26"/>
  <c r="D8" i="20"/>
  <c r="E8" i="26"/>
  <c r="E8" i="20"/>
  <c r="E9" i="20"/>
  <c r="F8" i="26"/>
  <c r="F8" i="20"/>
  <c r="F9" i="20"/>
  <c r="F10" i="20"/>
  <c r="G8" i="26"/>
  <c r="G8" i="20"/>
  <c r="G9" i="20"/>
  <c r="G10" i="20"/>
  <c r="H12" i="23"/>
  <c r="H8" i="26"/>
  <c r="H8" i="20"/>
  <c r="H9" i="20"/>
  <c r="H10" i="20"/>
  <c r="H12" i="20"/>
  <c r="I12" i="23"/>
  <c r="I8" i="26"/>
  <c r="I8" i="20"/>
  <c r="I20" i="20" s="1"/>
  <c r="I9" i="20"/>
  <c r="I10" i="20"/>
  <c r="I11" i="20"/>
  <c r="I12" i="20"/>
  <c r="I13" i="20"/>
  <c r="J12" i="23"/>
  <c r="J9" i="20"/>
  <c r="J20" i="20" s="1"/>
  <c r="J10" i="20"/>
  <c r="J11" i="20"/>
  <c r="J12" i="20"/>
  <c r="J13" i="20"/>
  <c r="J14" i="20"/>
  <c r="K12" i="23"/>
  <c r="K10" i="20"/>
  <c r="K20" i="20" s="1"/>
  <c r="K11" i="20"/>
  <c r="K12" i="20"/>
  <c r="K13" i="20"/>
  <c r="K14" i="20"/>
  <c r="K15" i="20"/>
  <c r="L12" i="23"/>
  <c r="L11" i="20"/>
  <c r="L12" i="20"/>
  <c r="L13" i="20"/>
  <c r="L14" i="20"/>
  <c r="L15" i="20"/>
  <c r="L16" i="20"/>
  <c r="M12" i="23"/>
  <c r="M20" i="23" s="1"/>
  <c r="M12" i="20"/>
  <c r="M20" i="20"/>
  <c r="M13" i="20"/>
  <c r="M14" i="20"/>
  <c r="M15" i="20"/>
  <c r="M16" i="20"/>
  <c r="M17" i="20"/>
  <c r="N13" i="20"/>
  <c r="N14" i="20"/>
  <c r="N15" i="20"/>
  <c r="N16" i="20"/>
  <c r="N17" i="20"/>
  <c r="N18" i="20"/>
  <c r="Q15" i="20"/>
  <c r="Q16" i="20"/>
  <c r="Q17" i="20"/>
  <c r="Q18" i="20"/>
  <c r="Q19" i="20"/>
  <c r="R16" i="20"/>
  <c r="R17" i="20"/>
  <c r="R18" i="20"/>
  <c r="R19" i="20"/>
  <c r="S17" i="20"/>
  <c r="S18" i="20"/>
  <c r="S19" i="20"/>
  <c r="T18" i="20"/>
  <c r="T19" i="20"/>
  <c r="U19" i="20"/>
  <c r="X10" i="20"/>
  <c r="H7" i="23"/>
  <c r="H20" i="23"/>
  <c r="H8" i="23"/>
  <c r="H9" i="23"/>
  <c r="H10" i="23"/>
  <c r="H11" i="23"/>
  <c r="C7" i="20"/>
  <c r="C20" i="20"/>
  <c r="C7" i="21"/>
  <c r="C20" i="21"/>
  <c r="C7" i="22"/>
  <c r="C20" i="22"/>
  <c r="C7" i="23"/>
  <c r="C20" i="23" s="1"/>
  <c r="C7" i="24"/>
  <c r="C20" i="24"/>
  <c r="C7" i="25"/>
  <c r="C20" i="25"/>
  <c r="C7" i="26"/>
  <c r="C20" i="26"/>
  <c r="C7" i="27"/>
  <c r="C20" i="27" s="1"/>
  <c r="C7" i="28"/>
  <c r="C20" i="28"/>
  <c r="D7" i="20"/>
  <c r="D20" i="20"/>
  <c r="D7" i="21"/>
  <c r="D20" i="21"/>
  <c r="D8" i="21"/>
  <c r="D7" i="22"/>
  <c r="D20" i="22" s="1"/>
  <c r="D8" i="22"/>
  <c r="D7" i="23"/>
  <c r="D20" i="23" s="1"/>
  <c r="D8" i="23"/>
  <c r="D7" i="24"/>
  <c r="D20" i="24" s="1"/>
  <c r="D8" i="24"/>
  <c r="D7" i="25"/>
  <c r="D20" i="25"/>
  <c r="D8" i="25"/>
  <c r="D7" i="26"/>
  <c r="D20" i="26" s="1"/>
  <c r="D7" i="27"/>
  <c r="D20" i="27" s="1"/>
  <c r="D8" i="27"/>
  <c r="D7" i="28"/>
  <c r="D8" i="28"/>
  <c r="E7" i="20"/>
  <c r="E7" i="21"/>
  <c r="E20" i="21" s="1"/>
  <c r="E8" i="21"/>
  <c r="E9" i="21"/>
  <c r="E7" i="22"/>
  <c r="E20" i="22" s="1"/>
  <c r="E8" i="22"/>
  <c r="E9" i="22"/>
  <c r="E7" i="23"/>
  <c r="E20" i="23" s="1"/>
  <c r="E8" i="23"/>
  <c r="E9" i="23"/>
  <c r="E7" i="24"/>
  <c r="E8" i="24"/>
  <c r="E9" i="24"/>
  <c r="E7" i="25"/>
  <c r="E20" i="25"/>
  <c r="E8" i="25"/>
  <c r="E9" i="25"/>
  <c r="E7" i="26"/>
  <c r="E20" i="26" s="1"/>
  <c r="E9" i="26"/>
  <c r="E7" i="27"/>
  <c r="E8" i="27"/>
  <c r="E9" i="27"/>
  <c r="E7" i="28"/>
  <c r="E20" i="28"/>
  <c r="E8" i="28"/>
  <c r="E9" i="28"/>
  <c r="F7" i="20"/>
  <c r="F7" i="21"/>
  <c r="F20" i="21"/>
  <c r="F8" i="21"/>
  <c r="F9" i="21"/>
  <c r="F10" i="21"/>
  <c r="F7" i="22"/>
  <c r="F20" i="22" s="1"/>
  <c r="F8" i="22"/>
  <c r="F9" i="22"/>
  <c r="F10" i="22"/>
  <c r="F7" i="23"/>
  <c r="F20" i="23" s="1"/>
  <c r="F8" i="23"/>
  <c r="F9" i="23"/>
  <c r="F10" i="23"/>
  <c r="F7" i="24"/>
  <c r="F20" i="24"/>
  <c r="F8" i="24"/>
  <c r="F9" i="24"/>
  <c r="F10" i="24"/>
  <c r="F7" i="25"/>
  <c r="F20" i="25"/>
  <c r="F8" i="25"/>
  <c r="F9" i="25"/>
  <c r="F10" i="25"/>
  <c r="F7" i="26"/>
  <c r="F20" i="26" s="1"/>
  <c r="F9" i="26"/>
  <c r="F10" i="26"/>
  <c r="F7" i="27"/>
  <c r="F20" i="27"/>
  <c r="F8" i="27"/>
  <c r="F9" i="27"/>
  <c r="F10" i="27"/>
  <c r="F7" i="28"/>
  <c r="F20" i="28" s="1"/>
  <c r="F8" i="28"/>
  <c r="F9" i="28"/>
  <c r="F10" i="28"/>
  <c r="G7" i="20"/>
  <c r="G7" i="21"/>
  <c r="G20" i="21"/>
  <c r="G8" i="21"/>
  <c r="G9" i="21"/>
  <c r="G10" i="21"/>
  <c r="G11" i="21"/>
  <c r="G7" i="22"/>
  <c r="G8" i="22"/>
  <c r="G9" i="22"/>
  <c r="G10" i="22"/>
  <c r="G11" i="22"/>
  <c r="G7" i="23"/>
  <c r="G20" i="23"/>
  <c r="G8" i="23"/>
  <c r="G9" i="23"/>
  <c r="G10" i="23"/>
  <c r="G11" i="23"/>
  <c r="G7" i="24"/>
  <c r="G20" i="24" s="1"/>
  <c r="G8" i="24"/>
  <c r="G9" i="24"/>
  <c r="G10" i="24"/>
  <c r="G11" i="24"/>
  <c r="G7" i="25"/>
  <c r="G20" i="25"/>
  <c r="G8" i="25"/>
  <c r="G9" i="25"/>
  <c r="G10" i="25"/>
  <c r="G11" i="25"/>
  <c r="G7" i="26"/>
  <c r="G9" i="26"/>
  <c r="G10" i="26"/>
  <c r="G11" i="26"/>
  <c r="G7" i="27"/>
  <c r="G20" i="27" s="1"/>
  <c r="G8" i="27"/>
  <c r="G9" i="27"/>
  <c r="G10" i="27"/>
  <c r="G11" i="27"/>
  <c r="G7" i="28"/>
  <c r="G20" i="28" s="1"/>
  <c r="G8" i="28"/>
  <c r="G9" i="28"/>
  <c r="G10" i="28"/>
  <c r="G11" i="28"/>
  <c r="H7" i="20"/>
  <c r="H20" i="20"/>
  <c r="H7" i="21"/>
  <c r="H20" i="21" s="1"/>
  <c r="H8" i="21"/>
  <c r="H9" i="21"/>
  <c r="H10" i="21"/>
  <c r="H11" i="21"/>
  <c r="H12" i="21"/>
  <c r="H7" i="22"/>
  <c r="H20" i="22"/>
  <c r="H8" i="22"/>
  <c r="H9" i="22"/>
  <c r="H10" i="22"/>
  <c r="H11" i="22"/>
  <c r="H12" i="22"/>
  <c r="H7" i="24"/>
  <c r="H20" i="24" s="1"/>
  <c r="H8" i="24"/>
  <c r="H9" i="24"/>
  <c r="H10" i="24"/>
  <c r="H11" i="24"/>
  <c r="H12" i="24"/>
  <c r="H7" i="25"/>
  <c r="H20" i="25"/>
  <c r="H8" i="25"/>
  <c r="H9" i="25"/>
  <c r="H10" i="25"/>
  <c r="H11" i="25"/>
  <c r="H12" i="25"/>
  <c r="H7" i="26"/>
  <c r="H9" i="26"/>
  <c r="H10" i="26"/>
  <c r="H11" i="26"/>
  <c r="H12" i="26"/>
  <c r="H7" i="27"/>
  <c r="H8" i="27"/>
  <c r="H9" i="27"/>
  <c r="H10" i="27"/>
  <c r="H11" i="27"/>
  <c r="H12" i="27"/>
  <c r="H7" i="28"/>
  <c r="H8" i="28"/>
  <c r="H9" i="28"/>
  <c r="H10" i="28"/>
  <c r="H11" i="28"/>
  <c r="H12" i="28"/>
  <c r="I8" i="23"/>
  <c r="I9" i="23"/>
  <c r="I10" i="23"/>
  <c r="I11" i="23"/>
  <c r="I13" i="23"/>
  <c r="I8" i="21"/>
  <c r="I20" i="21"/>
  <c r="I9" i="21"/>
  <c r="I10" i="21"/>
  <c r="I11" i="21"/>
  <c r="I12" i="21"/>
  <c r="I13" i="21"/>
  <c r="I8" i="22"/>
  <c r="I9" i="22"/>
  <c r="I10" i="22"/>
  <c r="I11" i="22"/>
  <c r="I12" i="22"/>
  <c r="I13" i="22"/>
  <c r="I8" i="24"/>
  <c r="I20" i="24"/>
  <c r="I9" i="24"/>
  <c r="I10" i="24"/>
  <c r="I11" i="24"/>
  <c r="I12" i="24"/>
  <c r="I13" i="24"/>
  <c r="I8" i="25"/>
  <c r="I20" i="25" s="1"/>
  <c r="I9" i="25"/>
  <c r="I10" i="25"/>
  <c r="I11" i="25"/>
  <c r="I12" i="25"/>
  <c r="I13" i="25"/>
  <c r="I9" i="26"/>
  <c r="I10" i="26"/>
  <c r="I11" i="26"/>
  <c r="I12" i="26"/>
  <c r="I13" i="26"/>
  <c r="I8" i="27"/>
  <c r="I20" i="27"/>
  <c r="I9" i="27"/>
  <c r="I10" i="27"/>
  <c r="I11" i="27"/>
  <c r="I12" i="27"/>
  <c r="I13" i="27"/>
  <c r="I8" i="28"/>
  <c r="I9" i="28"/>
  <c r="I10" i="28"/>
  <c r="I11" i="28"/>
  <c r="I12" i="28"/>
  <c r="I13" i="28"/>
  <c r="J9" i="23"/>
  <c r="J20" i="23"/>
  <c r="J10" i="23"/>
  <c r="J11" i="23"/>
  <c r="J13" i="23"/>
  <c r="J14" i="23"/>
  <c r="J9" i="21"/>
  <c r="J20" i="21"/>
  <c r="J10" i="21"/>
  <c r="J11" i="21"/>
  <c r="J12" i="21"/>
  <c r="J13" i="21"/>
  <c r="J14" i="21"/>
  <c r="J9" i="22"/>
  <c r="J20" i="22" s="1"/>
  <c r="J10" i="22"/>
  <c r="J11" i="22"/>
  <c r="J12" i="22"/>
  <c r="J13" i="22"/>
  <c r="J14" i="22"/>
  <c r="J9" i="24"/>
  <c r="J20" i="24"/>
  <c r="J10" i="24"/>
  <c r="J11" i="24"/>
  <c r="J12" i="24"/>
  <c r="J13" i="24"/>
  <c r="J14" i="24"/>
  <c r="J9" i="25"/>
  <c r="J20" i="25"/>
  <c r="J10" i="25"/>
  <c r="J11" i="25"/>
  <c r="J12" i="25"/>
  <c r="J13" i="25"/>
  <c r="J14" i="25"/>
  <c r="J9" i="26"/>
  <c r="J20" i="26"/>
  <c r="J10" i="26"/>
  <c r="J11" i="26"/>
  <c r="J12" i="26"/>
  <c r="J13" i="26"/>
  <c r="J14" i="26"/>
  <c r="J9" i="27"/>
  <c r="J20" i="27" s="1"/>
  <c r="J10" i="27"/>
  <c r="J11" i="27"/>
  <c r="J12" i="27"/>
  <c r="J13" i="27"/>
  <c r="J14" i="27"/>
  <c r="J9" i="28"/>
  <c r="J20" i="28"/>
  <c r="J10" i="28"/>
  <c r="J11" i="28"/>
  <c r="J12" i="28"/>
  <c r="J13" i="28"/>
  <c r="J14" i="28"/>
  <c r="K10" i="23"/>
  <c r="K20" i="23"/>
  <c r="K11" i="23"/>
  <c r="K13" i="23"/>
  <c r="K14" i="23"/>
  <c r="K15" i="23"/>
  <c r="K10" i="21"/>
  <c r="K20" i="21" s="1"/>
  <c r="K11" i="21"/>
  <c r="K12" i="21"/>
  <c r="K13" i="21"/>
  <c r="K14" i="21"/>
  <c r="K15" i="21"/>
  <c r="K10" i="22"/>
  <c r="K11" i="22"/>
  <c r="K12" i="22"/>
  <c r="K13" i="22"/>
  <c r="K14" i="22"/>
  <c r="K15" i="22"/>
  <c r="K10" i="24"/>
  <c r="K20" i="24"/>
  <c r="K11" i="24"/>
  <c r="K12" i="24"/>
  <c r="K13" i="24"/>
  <c r="K14" i="24"/>
  <c r="K15" i="24"/>
  <c r="K10" i="25"/>
  <c r="K11" i="25"/>
  <c r="K12" i="25"/>
  <c r="K13" i="25"/>
  <c r="K14" i="25"/>
  <c r="K15" i="25"/>
  <c r="K10" i="26"/>
  <c r="K20" i="26" s="1"/>
  <c r="K11" i="26"/>
  <c r="K12" i="26"/>
  <c r="K13" i="26"/>
  <c r="K14" i="26"/>
  <c r="K15" i="26"/>
  <c r="K10" i="27"/>
  <c r="K11" i="27"/>
  <c r="K12" i="27"/>
  <c r="K13" i="27"/>
  <c r="K14" i="27"/>
  <c r="K15" i="27"/>
  <c r="K10" i="28"/>
  <c r="K11" i="28"/>
  <c r="K12" i="28"/>
  <c r="K13" i="28"/>
  <c r="K14" i="28"/>
  <c r="K15" i="28"/>
  <c r="L11" i="23"/>
  <c r="L13" i="23"/>
  <c r="L14" i="23"/>
  <c r="L15" i="23"/>
  <c r="L16" i="23"/>
  <c r="L11" i="21"/>
  <c r="L20" i="21" s="1"/>
  <c r="L12" i="21"/>
  <c r="L13" i="21"/>
  <c r="L14" i="21"/>
  <c r="L15" i="21"/>
  <c r="L16" i="21"/>
  <c r="L11" i="22"/>
  <c r="L20" i="22"/>
  <c r="L12" i="22"/>
  <c r="L13" i="22"/>
  <c r="L14" i="22"/>
  <c r="L15" i="22"/>
  <c r="L16" i="22"/>
  <c r="L11" i="24"/>
  <c r="L20" i="24" s="1"/>
  <c r="L12" i="24"/>
  <c r="L13" i="24"/>
  <c r="L14" i="24"/>
  <c r="L15" i="24"/>
  <c r="L16" i="24"/>
  <c r="L11" i="25"/>
  <c r="L20" i="25"/>
  <c r="L12" i="25"/>
  <c r="L13" i="25"/>
  <c r="L14" i="25"/>
  <c r="L15" i="25"/>
  <c r="L16" i="25"/>
  <c r="L11" i="26"/>
  <c r="L20" i="26"/>
  <c r="L12" i="26"/>
  <c r="L13" i="26"/>
  <c r="L14" i="26"/>
  <c r="L15" i="26"/>
  <c r="L16" i="26"/>
  <c r="L11" i="27"/>
  <c r="L20" i="27"/>
  <c r="L12" i="27"/>
  <c r="L13" i="27"/>
  <c r="L14" i="27"/>
  <c r="L15" i="27"/>
  <c r="L16" i="27"/>
  <c r="L11" i="28"/>
  <c r="L20" i="28" s="1"/>
  <c r="L12" i="28"/>
  <c r="L13" i="28"/>
  <c r="L14" i="28"/>
  <c r="L15" i="28"/>
  <c r="L16" i="28"/>
  <c r="M13" i="23"/>
  <c r="M14" i="23"/>
  <c r="M15" i="23"/>
  <c r="M16" i="23"/>
  <c r="M17" i="23"/>
  <c r="M12" i="21"/>
  <c r="M13" i="21"/>
  <c r="M14" i="21"/>
  <c r="M15" i="21"/>
  <c r="M16" i="21"/>
  <c r="M17" i="21"/>
  <c r="M12" i="22"/>
  <c r="M20" i="22"/>
  <c r="M13" i="22"/>
  <c r="M14" i="22"/>
  <c r="M15" i="22"/>
  <c r="M16" i="22"/>
  <c r="M17" i="22"/>
  <c r="M12" i="24"/>
  <c r="M13" i="24"/>
  <c r="M14" i="24"/>
  <c r="M15" i="24"/>
  <c r="M16" i="24"/>
  <c r="M17" i="24"/>
  <c r="M12" i="25"/>
  <c r="M20" i="25"/>
  <c r="M13" i="25"/>
  <c r="M14" i="25"/>
  <c r="M15" i="25"/>
  <c r="M16" i="25"/>
  <c r="M17" i="25"/>
  <c r="M12" i="26"/>
  <c r="M13" i="26"/>
  <c r="M14" i="26"/>
  <c r="M15" i="26"/>
  <c r="M16" i="26"/>
  <c r="M17" i="26"/>
  <c r="M12" i="27"/>
  <c r="M20" i="27" s="1"/>
  <c r="M13" i="27"/>
  <c r="M14" i="27"/>
  <c r="M15" i="27"/>
  <c r="M16" i="27"/>
  <c r="M17" i="27"/>
  <c r="M12" i="28"/>
  <c r="M20" i="28" s="1"/>
  <c r="M13" i="28"/>
  <c r="M14" i="28"/>
  <c r="M15" i="28"/>
  <c r="M16" i="28"/>
  <c r="M17" i="28"/>
  <c r="N13" i="21"/>
  <c r="N20" i="21"/>
  <c r="N14" i="21"/>
  <c r="N15" i="21"/>
  <c r="N16" i="21"/>
  <c r="N17" i="21"/>
  <c r="N18" i="21"/>
  <c r="N13" i="22"/>
  <c r="N14" i="22"/>
  <c r="N15" i="22"/>
  <c r="N16" i="22"/>
  <c r="N17" i="22"/>
  <c r="N18" i="22"/>
  <c r="N13" i="23"/>
  <c r="N20" i="23" s="1"/>
  <c r="N14" i="23"/>
  <c r="N15" i="23"/>
  <c r="N16" i="23"/>
  <c r="N17" i="23"/>
  <c r="N18" i="23"/>
  <c r="N13" i="24"/>
  <c r="N14" i="24"/>
  <c r="N15" i="24"/>
  <c r="N16" i="24"/>
  <c r="N17" i="24"/>
  <c r="N18" i="24"/>
  <c r="N13" i="25"/>
  <c r="N20" i="25" s="1"/>
  <c r="N14" i="25"/>
  <c r="N15" i="25"/>
  <c r="N16" i="25"/>
  <c r="N17" i="25"/>
  <c r="N18" i="25"/>
  <c r="N13" i="26"/>
  <c r="N14" i="26"/>
  <c r="N15" i="26"/>
  <c r="N16" i="26"/>
  <c r="N17" i="26"/>
  <c r="N18" i="26"/>
  <c r="N13" i="27"/>
  <c r="N20" i="27" s="1"/>
  <c r="N14" i="27"/>
  <c r="N15" i="27"/>
  <c r="N16" i="27"/>
  <c r="N17" i="27"/>
  <c r="N18" i="27"/>
  <c r="N13" i="28"/>
  <c r="N14" i="28"/>
  <c r="N15" i="28"/>
  <c r="N16" i="28"/>
  <c r="N17" i="28"/>
  <c r="N18" i="28"/>
  <c r="O14" i="21"/>
  <c r="O20" i="21"/>
  <c r="O15" i="21"/>
  <c r="O16" i="21"/>
  <c r="O17" i="21"/>
  <c r="O18" i="21"/>
  <c r="O19" i="21"/>
  <c r="O14" i="22"/>
  <c r="O20" i="22" s="1"/>
  <c r="O15" i="22"/>
  <c r="O16" i="22"/>
  <c r="O17" i="22"/>
  <c r="O18" i="22"/>
  <c r="O19" i="22"/>
  <c r="O14" i="23"/>
  <c r="O20" i="23"/>
  <c r="O15" i="23"/>
  <c r="O16" i="23"/>
  <c r="O17" i="23"/>
  <c r="O18" i="23"/>
  <c r="O19" i="23"/>
  <c r="O14" i="24"/>
  <c r="O15" i="24"/>
  <c r="O16" i="24"/>
  <c r="O17" i="24"/>
  <c r="O18" i="24"/>
  <c r="O19" i="24"/>
  <c r="O14" i="25"/>
  <c r="O20" i="25" s="1"/>
  <c r="O15" i="25"/>
  <c r="O16" i="25"/>
  <c r="O17" i="25"/>
  <c r="O18" i="25"/>
  <c r="O19" i="25"/>
  <c r="O14" i="26"/>
  <c r="O15" i="26"/>
  <c r="O16" i="26"/>
  <c r="O17" i="26"/>
  <c r="O18" i="26"/>
  <c r="O19" i="26"/>
  <c r="O14" i="27"/>
  <c r="O20" i="27" s="1"/>
  <c r="O15" i="27"/>
  <c r="O16" i="27"/>
  <c r="O17" i="27"/>
  <c r="O18" i="27"/>
  <c r="O19" i="27"/>
  <c r="O14" i="28"/>
  <c r="O20" i="28" s="1"/>
  <c r="O15" i="28"/>
  <c r="O16" i="28"/>
  <c r="O17" i="28"/>
  <c r="O18" i="28"/>
  <c r="O19" i="28"/>
  <c r="Q8" i="20"/>
  <c r="Q8" i="21"/>
  <c r="Q20" i="21"/>
  <c r="Q15" i="21"/>
  <c r="Q16" i="21"/>
  <c r="Q17" i="21"/>
  <c r="Q18" i="21"/>
  <c r="Q19" i="21"/>
  <c r="Q8" i="22"/>
  <c r="Q20" i="22"/>
  <c r="Q15" i="22"/>
  <c r="Q16" i="22"/>
  <c r="Q17" i="22"/>
  <c r="Q18" i="22"/>
  <c r="Q19" i="22"/>
  <c r="Q8" i="23"/>
  <c r="Q20" i="23" s="1"/>
  <c r="Q15" i="23"/>
  <c r="Q16" i="23"/>
  <c r="Q17" i="23"/>
  <c r="Q18" i="23"/>
  <c r="Q19" i="23"/>
  <c r="Q8" i="24"/>
  <c r="Q20" i="24" s="1"/>
  <c r="Q15" i="24"/>
  <c r="Q16" i="24"/>
  <c r="Q17" i="24"/>
  <c r="Q18" i="24"/>
  <c r="Q19" i="24"/>
  <c r="Q8" i="25"/>
  <c r="Q20" i="25"/>
  <c r="Q15" i="25"/>
  <c r="Q16" i="25"/>
  <c r="Q17" i="25"/>
  <c r="Q18" i="25"/>
  <c r="Q19" i="25"/>
  <c r="Q8" i="26"/>
  <c r="Q20" i="26" s="1"/>
  <c r="Q15" i="26"/>
  <c r="Q16" i="26"/>
  <c r="Q17" i="26"/>
  <c r="Q18" i="26"/>
  <c r="Q19" i="26"/>
  <c r="Q8" i="27"/>
  <c r="Q20" i="27"/>
  <c r="Q15" i="27"/>
  <c r="Q16" i="27"/>
  <c r="Q17" i="27"/>
  <c r="Q18" i="27"/>
  <c r="Q19" i="27"/>
  <c r="Q8" i="28"/>
  <c r="Q20" i="28"/>
  <c r="Q15" i="28"/>
  <c r="Q16" i="28"/>
  <c r="Q17" i="28"/>
  <c r="Q18" i="28"/>
  <c r="Q19" i="28"/>
  <c r="R8" i="20"/>
  <c r="R20" i="20"/>
  <c r="R9" i="20"/>
  <c r="R8" i="21"/>
  <c r="R20" i="21" s="1"/>
  <c r="R9" i="21"/>
  <c r="R16" i="21"/>
  <c r="R17" i="21"/>
  <c r="R18" i="21"/>
  <c r="R19" i="21"/>
  <c r="R8" i="22"/>
  <c r="R20" i="22" s="1"/>
  <c r="R9" i="22"/>
  <c r="R16" i="22"/>
  <c r="R17" i="22"/>
  <c r="R18" i="22"/>
  <c r="R19" i="22"/>
  <c r="R8" i="23"/>
  <c r="R20" i="23"/>
  <c r="R9" i="23"/>
  <c r="R16" i="23"/>
  <c r="R17" i="23"/>
  <c r="R18" i="23"/>
  <c r="R19" i="23"/>
  <c r="R8" i="24"/>
  <c r="R20" i="24"/>
  <c r="R9" i="24"/>
  <c r="R16" i="24"/>
  <c r="R17" i="24"/>
  <c r="R18" i="24"/>
  <c r="R19" i="24"/>
  <c r="R8" i="25"/>
  <c r="R20" i="25" s="1"/>
  <c r="R9" i="25"/>
  <c r="R16" i="25"/>
  <c r="R17" i="25"/>
  <c r="R18" i="25"/>
  <c r="R19" i="25"/>
  <c r="R8" i="26"/>
  <c r="R20" i="26" s="1"/>
  <c r="R9" i="26"/>
  <c r="R16" i="26"/>
  <c r="R17" i="26"/>
  <c r="R18" i="26"/>
  <c r="R19" i="26"/>
  <c r="R8" i="27"/>
  <c r="R20" i="27"/>
  <c r="R9" i="27"/>
  <c r="R16" i="27"/>
  <c r="R17" i="27"/>
  <c r="R18" i="27"/>
  <c r="R19" i="27"/>
  <c r="R8" i="28"/>
  <c r="R20" i="28"/>
  <c r="R9" i="28"/>
  <c r="R16" i="28"/>
  <c r="R17" i="28"/>
  <c r="R18" i="28"/>
  <c r="R19" i="28"/>
  <c r="S8" i="20"/>
  <c r="S20" i="20" s="1"/>
  <c r="S9" i="20"/>
  <c r="S10" i="20"/>
  <c r="S8" i="21"/>
  <c r="S20" i="21" s="1"/>
  <c r="S9" i="21"/>
  <c r="S10" i="21"/>
  <c r="S17" i="21"/>
  <c r="S18" i="21"/>
  <c r="S19" i="21"/>
  <c r="S8" i="22"/>
  <c r="S9" i="22"/>
  <c r="S10" i="22"/>
  <c r="S17" i="22"/>
  <c r="S18" i="22"/>
  <c r="S19" i="22"/>
  <c r="S8" i="23"/>
  <c r="S9" i="23"/>
  <c r="S10" i="23"/>
  <c r="S17" i="23"/>
  <c r="S18" i="23"/>
  <c r="S19" i="23"/>
  <c r="S8" i="24"/>
  <c r="S20" i="24"/>
  <c r="S9" i="24"/>
  <c r="S10" i="24"/>
  <c r="S17" i="24"/>
  <c r="S18" i="24"/>
  <c r="S19" i="24"/>
  <c r="S8" i="25"/>
  <c r="S9" i="25"/>
  <c r="S10" i="25"/>
  <c r="S17" i="25"/>
  <c r="S18" i="25"/>
  <c r="S19" i="25"/>
  <c r="S8" i="26"/>
  <c r="S9" i="26"/>
  <c r="S10" i="26"/>
  <c r="S17" i="26"/>
  <c r="S18" i="26"/>
  <c r="S19" i="26"/>
  <c r="S8" i="27"/>
  <c r="S9" i="27"/>
  <c r="S10" i="27"/>
  <c r="S17" i="27"/>
  <c r="S18" i="27"/>
  <c r="S19" i="27"/>
  <c r="S8" i="28"/>
  <c r="S20" i="28" s="1"/>
  <c r="S9" i="28"/>
  <c r="S10" i="28"/>
  <c r="S17" i="28"/>
  <c r="S18" i="28"/>
  <c r="S19" i="28"/>
  <c r="T8" i="20"/>
  <c r="T9" i="20"/>
  <c r="T10" i="20"/>
  <c r="T11" i="20"/>
  <c r="T8" i="21"/>
  <c r="T9" i="21"/>
  <c r="T10" i="21"/>
  <c r="T11" i="21"/>
  <c r="T18" i="21"/>
  <c r="T19" i="21"/>
  <c r="T8" i="22"/>
  <c r="T9" i="22"/>
  <c r="T10" i="22"/>
  <c r="T11" i="22"/>
  <c r="T18" i="22"/>
  <c r="T19" i="22"/>
  <c r="T8" i="23"/>
  <c r="T9" i="23"/>
  <c r="T10" i="23"/>
  <c r="T11" i="23"/>
  <c r="T18" i="23"/>
  <c r="T19" i="23"/>
  <c r="T8" i="24"/>
  <c r="T20" i="24" s="1"/>
  <c r="T9" i="24"/>
  <c r="T10" i="24"/>
  <c r="T11" i="24"/>
  <c r="T18" i="24"/>
  <c r="T19" i="24"/>
  <c r="T8" i="25"/>
  <c r="T9" i="25"/>
  <c r="T10" i="25"/>
  <c r="T11" i="25"/>
  <c r="T18" i="25"/>
  <c r="T19" i="25"/>
  <c r="T8" i="26"/>
  <c r="T9" i="26"/>
  <c r="T10" i="26"/>
  <c r="T11" i="26"/>
  <c r="T18" i="26"/>
  <c r="T19" i="26"/>
  <c r="T8" i="27"/>
  <c r="T9" i="27"/>
  <c r="T10" i="27"/>
  <c r="T11" i="27"/>
  <c r="T18" i="27"/>
  <c r="T19" i="27"/>
  <c r="T8" i="28"/>
  <c r="T20" i="28"/>
  <c r="T9" i="28"/>
  <c r="T10" i="28"/>
  <c r="T11" i="28"/>
  <c r="T18" i="28"/>
  <c r="T19" i="28"/>
  <c r="U8" i="20"/>
  <c r="U9" i="20"/>
  <c r="U10" i="20"/>
  <c r="U11" i="20"/>
  <c r="U12" i="20"/>
  <c r="U8" i="21"/>
  <c r="U20" i="21"/>
  <c r="U9" i="21"/>
  <c r="U10" i="21"/>
  <c r="U11" i="21"/>
  <c r="U12" i="21"/>
  <c r="U19" i="21"/>
  <c r="U8" i="22"/>
  <c r="U20" i="22" s="1"/>
  <c r="U9" i="22"/>
  <c r="U10" i="22"/>
  <c r="U11" i="22"/>
  <c r="U12" i="22"/>
  <c r="U19" i="22"/>
  <c r="U8" i="23"/>
  <c r="U20" i="23"/>
  <c r="U9" i="23"/>
  <c r="U10" i="23"/>
  <c r="U11" i="23"/>
  <c r="U12" i="23"/>
  <c r="U19" i="23"/>
  <c r="U8" i="24"/>
  <c r="U20" i="24"/>
  <c r="U9" i="24"/>
  <c r="U10" i="24"/>
  <c r="U11" i="24"/>
  <c r="U12" i="24"/>
  <c r="U19" i="24"/>
  <c r="U8" i="25"/>
  <c r="U20" i="25"/>
  <c r="U9" i="25"/>
  <c r="U10" i="25"/>
  <c r="U11" i="25"/>
  <c r="U12" i="25"/>
  <c r="U19" i="25"/>
  <c r="U8" i="26"/>
  <c r="U9" i="26"/>
  <c r="U10" i="26"/>
  <c r="U11" i="26"/>
  <c r="U12" i="26"/>
  <c r="U19" i="26"/>
  <c r="U8" i="27"/>
  <c r="U20" i="27"/>
  <c r="U9" i="27"/>
  <c r="U10" i="27"/>
  <c r="U11" i="27"/>
  <c r="U12" i="27"/>
  <c r="U19" i="27"/>
  <c r="U8" i="28"/>
  <c r="U20" i="28"/>
  <c r="U9" i="28"/>
  <c r="U10" i="28"/>
  <c r="U11" i="28"/>
  <c r="U12" i="28"/>
  <c r="U19" i="28"/>
  <c r="V8" i="20"/>
  <c r="V20" i="20" s="1"/>
  <c r="V9" i="20"/>
  <c r="V10" i="20"/>
  <c r="V11" i="20"/>
  <c r="V12" i="20"/>
  <c r="V13" i="20"/>
  <c r="V8" i="21"/>
  <c r="V20" i="21" s="1"/>
  <c r="V9" i="21"/>
  <c r="V10" i="21"/>
  <c r="V11" i="21"/>
  <c r="V12" i="21"/>
  <c r="V13" i="21"/>
  <c r="V8" i="22"/>
  <c r="V20" i="22"/>
  <c r="V9" i="22"/>
  <c r="V10" i="22"/>
  <c r="V11" i="22"/>
  <c r="V12" i="22"/>
  <c r="V13" i="22"/>
  <c r="V8" i="23"/>
  <c r="V20" i="23"/>
  <c r="V9" i="23"/>
  <c r="V10" i="23"/>
  <c r="V11" i="23"/>
  <c r="V12" i="23"/>
  <c r="V13" i="23"/>
  <c r="V8" i="24"/>
  <c r="V20" i="24" s="1"/>
  <c r="V9" i="24"/>
  <c r="V10" i="24"/>
  <c r="V11" i="24"/>
  <c r="V12" i="24"/>
  <c r="V13" i="24"/>
  <c r="V8" i="25"/>
  <c r="V9" i="25"/>
  <c r="V10" i="25"/>
  <c r="V11" i="25"/>
  <c r="V12" i="25"/>
  <c r="V13" i="25"/>
  <c r="V8" i="26"/>
  <c r="V20" i="26"/>
  <c r="V9" i="26"/>
  <c r="V10" i="26"/>
  <c r="V11" i="26"/>
  <c r="V12" i="26"/>
  <c r="V13" i="26"/>
  <c r="V8" i="27"/>
  <c r="V20" i="27" s="1"/>
  <c r="V9" i="27"/>
  <c r="V10" i="27"/>
  <c r="V11" i="27"/>
  <c r="V12" i="27"/>
  <c r="V13" i="27"/>
  <c r="V8" i="28"/>
  <c r="V20" i="28"/>
  <c r="V9" i="28"/>
  <c r="V10" i="28"/>
  <c r="V11" i="28"/>
  <c r="V12" i="28"/>
  <c r="V13" i="28"/>
  <c r="W9" i="20"/>
  <c r="W20" i="20"/>
  <c r="W10" i="20"/>
  <c r="W11" i="20"/>
  <c r="W12" i="20"/>
  <c r="W13" i="20"/>
  <c r="W14" i="20"/>
  <c r="W9" i="21"/>
  <c r="W20" i="21"/>
  <c r="W10" i="21"/>
  <c r="W11" i="21"/>
  <c r="W12" i="21"/>
  <c r="W13" i="21"/>
  <c r="W14" i="21"/>
  <c r="W9" i="22"/>
  <c r="W20" i="22" s="1"/>
  <c r="W10" i="22"/>
  <c r="W11" i="22"/>
  <c r="W12" i="22"/>
  <c r="W13" i="22"/>
  <c r="W14" i="22"/>
  <c r="W9" i="23"/>
  <c r="W20" i="23"/>
  <c r="W10" i="23"/>
  <c r="W11" i="23"/>
  <c r="W12" i="23"/>
  <c r="W13" i="23"/>
  <c r="W14" i="23"/>
  <c r="W9" i="24"/>
  <c r="W20" i="24" s="1"/>
  <c r="W10" i="24"/>
  <c r="W11" i="24"/>
  <c r="W12" i="24"/>
  <c r="W13" i="24"/>
  <c r="W14" i="24"/>
  <c r="W9" i="25"/>
  <c r="W20" i="25"/>
  <c r="W10" i="25"/>
  <c r="W11" i="25"/>
  <c r="W12" i="25"/>
  <c r="W13" i="25"/>
  <c r="W14" i="25"/>
  <c r="W9" i="26"/>
  <c r="W20" i="26" s="1"/>
  <c r="W10" i="26"/>
  <c r="W11" i="26"/>
  <c r="W12" i="26"/>
  <c r="W13" i="26"/>
  <c r="W14" i="26"/>
  <c r="W9" i="27"/>
  <c r="W20" i="27"/>
  <c r="W10" i="27"/>
  <c r="W11" i="27"/>
  <c r="W12" i="27"/>
  <c r="W13" i="27"/>
  <c r="W14" i="27"/>
  <c r="W9" i="28"/>
  <c r="W20" i="28"/>
  <c r="W10" i="28"/>
  <c r="W11" i="28"/>
  <c r="W12" i="28"/>
  <c r="W13" i="28"/>
  <c r="W14" i="28"/>
  <c r="X11" i="20"/>
  <c r="X12" i="20"/>
  <c r="X13" i="20"/>
  <c r="X14" i="20"/>
  <c r="X15" i="20"/>
  <c r="X10" i="21"/>
  <c r="X20" i="21"/>
  <c r="X11" i="21"/>
  <c r="X12" i="21"/>
  <c r="X13" i="21"/>
  <c r="X14" i="21"/>
  <c r="X15" i="21"/>
  <c r="X10" i="22"/>
  <c r="X11" i="22"/>
  <c r="X12" i="22"/>
  <c r="X13" i="22"/>
  <c r="X14" i="22"/>
  <c r="X15" i="22"/>
  <c r="X10" i="23"/>
  <c r="X20" i="23"/>
  <c r="X11" i="23"/>
  <c r="X12" i="23"/>
  <c r="X13" i="23"/>
  <c r="X14" i="23"/>
  <c r="X15" i="23"/>
  <c r="X10" i="24"/>
  <c r="X11" i="24"/>
  <c r="X12" i="24"/>
  <c r="X13" i="24"/>
  <c r="X14" i="24"/>
  <c r="X15" i="24"/>
  <c r="X10" i="25"/>
  <c r="X20" i="25" s="1"/>
  <c r="X11" i="25"/>
  <c r="X12" i="25"/>
  <c r="X13" i="25"/>
  <c r="X14" i="25"/>
  <c r="X15" i="25"/>
  <c r="X10" i="26"/>
  <c r="X11" i="26"/>
  <c r="X12" i="26"/>
  <c r="X13" i="26"/>
  <c r="X14" i="26"/>
  <c r="X15" i="26"/>
  <c r="X10" i="27"/>
  <c r="X20" i="27"/>
  <c r="X11" i="27"/>
  <c r="X12" i="27"/>
  <c r="X13" i="27"/>
  <c r="X14" i="27"/>
  <c r="X15" i="27"/>
  <c r="X10" i="28"/>
  <c r="X11" i="28"/>
  <c r="X12" i="28"/>
  <c r="X13" i="28"/>
  <c r="X14" i="28"/>
  <c r="X15" i="28"/>
  <c r="Y11" i="20"/>
  <c r="Y20" i="20"/>
  <c r="Y12" i="20"/>
  <c r="Y13" i="20"/>
  <c r="Y14" i="20"/>
  <c r="Y15" i="20"/>
  <c r="Y16" i="20"/>
  <c r="Y11" i="21"/>
  <c r="Y12" i="21"/>
  <c r="Y13" i="21"/>
  <c r="Y14" i="21"/>
  <c r="Y15" i="21"/>
  <c r="Y16" i="21"/>
  <c r="Y11" i="22"/>
  <c r="Y20" i="22"/>
  <c r="Y12" i="22"/>
  <c r="Y13" i="22"/>
  <c r="Y14" i="22"/>
  <c r="Y15" i="22"/>
  <c r="Y16" i="22"/>
  <c r="Y11" i="23"/>
  <c r="Y12" i="23"/>
  <c r="Y13" i="23"/>
  <c r="Y14" i="23"/>
  <c r="Y15" i="23"/>
  <c r="Y16" i="23"/>
  <c r="Y11" i="24"/>
  <c r="Y20" i="24" s="1"/>
  <c r="Y12" i="24"/>
  <c r="Y13" i="24"/>
  <c r="Y14" i="24"/>
  <c r="Y15" i="24"/>
  <c r="Y16" i="24"/>
  <c r="Y11" i="25"/>
  <c r="Y20" i="25" s="1"/>
  <c r="Y12" i="25"/>
  <c r="Y13" i="25"/>
  <c r="Y14" i="25"/>
  <c r="Y15" i="25"/>
  <c r="Y16" i="25"/>
  <c r="Y11" i="26"/>
  <c r="Y12" i="26"/>
  <c r="Y13" i="26"/>
  <c r="Y14" i="26"/>
  <c r="Y15" i="26"/>
  <c r="Y16" i="26"/>
  <c r="Y11" i="27"/>
  <c r="Y12" i="27"/>
  <c r="Y13" i="27"/>
  <c r="Y14" i="27"/>
  <c r="Y15" i="27"/>
  <c r="Y16" i="27"/>
  <c r="Y11" i="28"/>
  <c r="Y20" i="28"/>
  <c r="Y12" i="28"/>
  <c r="Y13" i="28"/>
  <c r="Y14" i="28"/>
  <c r="Y15" i="28"/>
  <c r="Y16" i="28"/>
  <c r="Z12" i="20"/>
  <c r="Z20" i="20" s="1"/>
  <c r="Z13" i="20"/>
  <c r="Z14" i="20"/>
  <c r="Z15" i="20"/>
  <c r="Z16" i="20"/>
  <c r="Z17" i="20"/>
  <c r="Z12" i="21"/>
  <c r="Z20" i="21"/>
  <c r="Z13" i="21"/>
  <c r="Z14" i="21"/>
  <c r="Z15" i="21"/>
  <c r="Z16" i="21"/>
  <c r="Z17" i="21"/>
  <c r="Z12" i="22"/>
  <c r="Z13" i="22"/>
  <c r="Z14" i="22"/>
  <c r="Z15" i="22"/>
  <c r="Z16" i="22"/>
  <c r="Z17" i="22"/>
  <c r="Z12" i="23"/>
  <c r="Z20" i="23"/>
  <c r="Z13" i="23"/>
  <c r="Z14" i="23"/>
  <c r="Z15" i="23"/>
  <c r="Z16" i="23"/>
  <c r="Z17" i="23"/>
  <c r="Z12" i="24"/>
  <c r="Z13" i="24"/>
  <c r="Z14" i="24"/>
  <c r="Z15" i="24"/>
  <c r="Z16" i="24"/>
  <c r="Z17" i="24"/>
  <c r="Z12" i="25"/>
  <c r="Z20" i="25" s="1"/>
  <c r="Z13" i="25"/>
  <c r="Z14" i="25"/>
  <c r="Z15" i="25"/>
  <c r="Z16" i="25"/>
  <c r="Z17" i="25"/>
  <c r="Z12" i="26"/>
  <c r="Z13" i="26"/>
  <c r="Z14" i="26"/>
  <c r="Z15" i="26"/>
  <c r="Z16" i="26"/>
  <c r="Z17" i="26"/>
  <c r="Z12" i="27"/>
  <c r="Z13" i="27"/>
  <c r="Z14" i="27"/>
  <c r="Z15" i="27"/>
  <c r="Z16" i="27"/>
  <c r="Z17" i="27"/>
  <c r="Z12" i="28"/>
  <c r="Z13" i="28"/>
  <c r="Z14" i="28"/>
  <c r="Z15" i="28"/>
  <c r="Z16" i="28"/>
  <c r="Z17" i="28"/>
  <c r="AA13" i="20"/>
  <c r="AA20" i="20" s="1"/>
  <c r="AA14" i="20"/>
  <c r="AA15" i="20"/>
  <c r="AA16" i="20"/>
  <c r="AA17" i="20"/>
  <c r="AA18" i="20"/>
  <c r="AA13" i="21"/>
  <c r="AA14" i="21"/>
  <c r="AA15" i="21"/>
  <c r="AA16" i="21"/>
  <c r="AA17" i="21"/>
  <c r="AA18" i="21"/>
  <c r="AA13" i="22"/>
  <c r="AA20" i="22"/>
  <c r="AA14" i="22"/>
  <c r="AA15" i="22"/>
  <c r="AA16" i="22"/>
  <c r="AA17" i="22"/>
  <c r="AA18" i="22"/>
  <c r="AA13" i="23"/>
  <c r="AA14" i="23"/>
  <c r="AA15" i="23"/>
  <c r="AA16" i="23"/>
  <c r="AA17" i="23"/>
  <c r="AA18" i="23"/>
  <c r="AA13" i="24"/>
  <c r="AA20" i="24"/>
  <c r="AA14" i="24"/>
  <c r="AA15" i="24"/>
  <c r="AA16" i="24"/>
  <c r="AA17" i="24"/>
  <c r="AA18" i="24"/>
  <c r="AA13" i="25"/>
  <c r="AA14" i="25"/>
  <c r="AA15" i="25"/>
  <c r="AA16" i="25"/>
  <c r="AA17" i="25"/>
  <c r="AA18" i="25"/>
  <c r="AA13" i="26"/>
  <c r="AA20" i="26"/>
  <c r="AA14" i="26"/>
  <c r="AA15" i="26"/>
  <c r="AA16" i="26"/>
  <c r="AA17" i="26"/>
  <c r="AA18" i="26"/>
  <c r="AA13" i="27"/>
  <c r="AA14" i="27"/>
  <c r="AA15" i="27"/>
  <c r="AA16" i="27"/>
  <c r="AA17" i="27"/>
  <c r="AA18" i="27"/>
  <c r="AA13" i="28"/>
  <c r="AA20" i="28" s="1"/>
  <c r="AA14" i="28"/>
  <c r="AA15" i="28"/>
  <c r="AA16" i="28"/>
  <c r="AA17" i="28"/>
  <c r="AA18" i="28"/>
  <c r="AB14" i="20"/>
  <c r="AB15" i="20"/>
  <c r="AB16" i="20"/>
  <c r="AB17" i="20"/>
  <c r="AB18" i="20"/>
  <c r="AB19" i="20"/>
  <c r="AB14" i="21"/>
  <c r="AB15" i="21"/>
  <c r="AB16" i="21"/>
  <c r="AB17" i="21"/>
  <c r="AB18" i="21"/>
  <c r="AB19" i="21"/>
  <c r="AB14" i="22"/>
  <c r="AB20" i="22" s="1"/>
  <c r="AB15" i="22"/>
  <c r="AB16" i="22"/>
  <c r="AB17" i="22"/>
  <c r="AB18" i="22"/>
  <c r="AB19" i="22"/>
  <c r="AB14" i="23"/>
  <c r="AB20" i="23"/>
  <c r="AB15" i="23"/>
  <c r="AB16" i="23"/>
  <c r="AB17" i="23"/>
  <c r="AB18" i="23"/>
  <c r="AB19" i="23"/>
  <c r="AB14" i="24"/>
  <c r="AB15" i="24"/>
  <c r="AB16" i="24"/>
  <c r="AB17" i="24"/>
  <c r="AB18" i="24"/>
  <c r="AB19" i="24"/>
  <c r="AB14" i="25"/>
  <c r="AB20" i="25" s="1"/>
  <c r="AB15" i="25"/>
  <c r="AB16" i="25"/>
  <c r="AB17" i="25"/>
  <c r="AB18" i="25"/>
  <c r="AB19" i="25"/>
  <c r="AB14" i="26"/>
  <c r="AB15" i="26"/>
  <c r="AB16" i="26"/>
  <c r="AB17" i="26"/>
  <c r="AB18" i="26"/>
  <c r="AB19" i="26"/>
  <c r="AB14" i="27"/>
  <c r="AB20" i="27" s="1"/>
  <c r="AB15" i="27"/>
  <c r="AB16" i="27"/>
  <c r="AB17" i="27"/>
  <c r="AB18" i="27"/>
  <c r="AB19" i="27"/>
  <c r="AB14" i="28"/>
  <c r="AB15" i="28"/>
  <c r="AB16" i="28"/>
  <c r="AB17" i="28"/>
  <c r="AB18" i="28"/>
  <c r="AB19" i="28"/>
  <c r="AD8" i="20"/>
  <c r="AD20" i="20"/>
  <c r="AD15" i="20"/>
  <c r="AD16" i="20"/>
  <c r="AD17" i="20"/>
  <c r="AD18" i="20"/>
  <c r="AD19" i="20"/>
  <c r="AD8" i="21"/>
  <c r="AD15" i="21"/>
  <c r="AD16" i="21"/>
  <c r="AD17" i="21"/>
  <c r="AD18" i="21"/>
  <c r="AD19" i="21"/>
  <c r="AD8" i="22"/>
  <c r="AD15" i="22"/>
  <c r="AD16" i="22"/>
  <c r="AD17" i="22"/>
  <c r="AD18" i="22"/>
  <c r="AD19" i="22"/>
  <c r="AD8" i="23"/>
  <c r="AD15" i="23"/>
  <c r="AD16" i="23"/>
  <c r="AD17" i="23"/>
  <c r="AD18" i="23"/>
  <c r="AD19" i="23"/>
  <c r="AD8" i="24"/>
  <c r="AD20" i="24" s="1"/>
  <c r="AD15" i="24"/>
  <c r="AD16" i="24"/>
  <c r="AD17" i="24"/>
  <c r="AD18" i="24"/>
  <c r="AD19" i="24"/>
  <c r="AD8" i="25"/>
  <c r="AD15" i="25"/>
  <c r="AD16" i="25"/>
  <c r="AD17" i="25"/>
  <c r="AD18" i="25"/>
  <c r="AD19" i="25"/>
  <c r="AD8" i="26"/>
  <c r="AD15" i="26"/>
  <c r="AD16" i="26"/>
  <c r="AD17" i="26"/>
  <c r="AD18" i="26"/>
  <c r="AD19" i="26"/>
  <c r="AD8" i="27"/>
  <c r="AD15" i="27"/>
  <c r="AD16" i="27"/>
  <c r="AD17" i="27"/>
  <c r="AD18" i="27"/>
  <c r="AD19" i="27"/>
  <c r="AD8" i="28"/>
  <c r="AD20" i="28"/>
  <c r="AD15" i="28"/>
  <c r="AD16" i="28"/>
  <c r="AD17" i="28"/>
  <c r="AD18" i="28"/>
  <c r="AD19" i="28"/>
  <c r="AE8" i="20"/>
  <c r="AE9" i="20"/>
  <c r="AE16" i="20"/>
  <c r="AE17" i="20"/>
  <c r="AE18" i="20"/>
  <c r="AE19" i="20"/>
  <c r="AE8" i="21"/>
  <c r="AE20" i="21"/>
  <c r="AE9" i="21"/>
  <c r="AE16" i="21"/>
  <c r="AE17" i="21"/>
  <c r="AE18" i="21"/>
  <c r="AE19" i="21"/>
  <c r="AE8" i="22"/>
  <c r="AE9" i="22"/>
  <c r="AE16" i="22"/>
  <c r="AE17" i="22"/>
  <c r="AE18" i="22"/>
  <c r="AE19" i="22"/>
  <c r="AE8" i="23"/>
  <c r="AE20" i="23"/>
  <c r="AE9" i="23"/>
  <c r="AE16" i="23"/>
  <c r="AE17" i="23"/>
  <c r="AE18" i="23"/>
  <c r="AE19" i="23"/>
  <c r="AE8" i="24"/>
  <c r="AE9" i="24"/>
  <c r="AE16" i="24"/>
  <c r="AE17" i="24"/>
  <c r="AE18" i="24"/>
  <c r="AE19" i="24"/>
  <c r="AE8" i="25"/>
  <c r="AE20" i="25" s="1"/>
  <c r="AE9" i="25"/>
  <c r="AE16" i="25"/>
  <c r="AE17" i="25"/>
  <c r="AE18" i="25"/>
  <c r="AE19" i="25"/>
  <c r="AE8" i="26"/>
  <c r="AE9" i="26"/>
  <c r="AE16" i="26"/>
  <c r="AE17" i="26"/>
  <c r="AE18" i="26"/>
  <c r="AE19" i="26"/>
  <c r="AE8" i="27"/>
  <c r="AE20" i="27"/>
  <c r="AE9" i="27"/>
  <c r="AE16" i="27"/>
  <c r="AE17" i="27"/>
  <c r="AE18" i="27"/>
  <c r="AE19" i="27"/>
  <c r="AE8" i="28"/>
  <c r="AE9" i="28"/>
  <c r="AE16" i="28"/>
  <c r="AE17" i="28"/>
  <c r="AE18" i="28"/>
  <c r="AE19" i="28"/>
  <c r="AF8" i="20"/>
  <c r="AF20" i="20"/>
  <c r="AF9" i="20"/>
  <c r="AF10" i="20"/>
  <c r="AF17" i="20"/>
  <c r="AF18" i="20"/>
  <c r="AF19" i="20"/>
  <c r="AF8" i="21"/>
  <c r="AF9" i="21"/>
  <c r="AF10" i="21"/>
  <c r="AF17" i="21"/>
  <c r="AF18" i="21"/>
  <c r="AF19" i="21"/>
  <c r="AF8" i="22"/>
  <c r="AF20" i="22"/>
  <c r="AF9" i="22"/>
  <c r="AF10" i="22"/>
  <c r="AF17" i="22"/>
  <c r="AF18" i="22"/>
  <c r="AF19" i="22"/>
  <c r="AF8" i="23"/>
  <c r="AF9" i="23"/>
  <c r="AF10" i="23"/>
  <c r="AF17" i="23"/>
  <c r="AF18" i="23"/>
  <c r="AF19" i="23"/>
  <c r="AF8" i="24"/>
  <c r="AF20" i="24" s="1"/>
  <c r="AF9" i="24"/>
  <c r="AF10" i="24"/>
  <c r="AF17" i="24"/>
  <c r="AF18" i="24"/>
  <c r="AF19" i="24"/>
  <c r="AF8" i="25"/>
  <c r="AF9" i="25"/>
  <c r="AF10" i="25"/>
  <c r="AF17" i="25"/>
  <c r="AF18" i="25"/>
  <c r="AF19" i="25"/>
  <c r="AF8" i="26"/>
  <c r="AF20" i="26"/>
  <c r="AF9" i="26"/>
  <c r="AF10" i="26"/>
  <c r="AF17" i="26"/>
  <c r="AF18" i="26"/>
  <c r="AF19" i="26"/>
  <c r="AF8" i="27"/>
  <c r="AF9" i="27"/>
  <c r="AF10" i="27"/>
  <c r="AF17" i="27"/>
  <c r="AF18" i="27"/>
  <c r="AF19" i="27"/>
  <c r="AF8" i="28"/>
  <c r="AF20" i="28" s="1"/>
  <c r="AF9" i="28"/>
  <c r="AF10" i="28"/>
  <c r="AF17" i="28"/>
  <c r="AF18" i="28"/>
  <c r="AF19" i="28"/>
  <c r="AG8" i="20"/>
  <c r="AG9" i="20"/>
  <c r="AG11" i="20"/>
  <c r="AG18" i="20"/>
  <c r="AG19" i="20"/>
  <c r="AG8" i="21"/>
  <c r="AG9" i="21"/>
  <c r="AG10" i="21"/>
  <c r="AG11" i="21"/>
  <c r="AG18" i="21"/>
  <c r="AG19" i="21"/>
  <c r="AG8" i="22"/>
  <c r="AG20" i="22" s="1"/>
  <c r="AG9" i="22"/>
  <c r="AG10" i="22"/>
  <c r="AG11" i="22"/>
  <c r="AG18" i="22"/>
  <c r="AG19" i="22"/>
  <c r="AG8" i="23"/>
  <c r="AG20" i="23" s="1"/>
  <c r="AG9" i="23"/>
  <c r="AG10" i="23"/>
  <c r="AG11" i="23"/>
  <c r="AG18" i="23"/>
  <c r="AG19" i="23"/>
  <c r="AG8" i="24"/>
  <c r="AG20" i="24"/>
  <c r="AG9" i="24"/>
  <c r="AG10" i="24"/>
  <c r="AG11" i="24"/>
  <c r="AG18" i="24"/>
  <c r="AG19" i="24"/>
  <c r="AG8" i="25"/>
  <c r="AG20" i="25"/>
  <c r="AG9" i="25"/>
  <c r="AG10" i="25"/>
  <c r="AG11" i="25"/>
  <c r="AG18" i="25"/>
  <c r="AG19" i="25"/>
  <c r="AG8" i="26"/>
  <c r="AG20" i="26" s="1"/>
  <c r="AG9" i="26"/>
  <c r="AG10" i="26"/>
  <c r="AG11" i="26"/>
  <c r="AG18" i="26"/>
  <c r="AG19" i="26"/>
  <c r="AG8" i="27"/>
  <c r="AG20" i="27" s="1"/>
  <c r="AG9" i="27"/>
  <c r="AG10" i="27"/>
  <c r="AG11" i="27"/>
  <c r="AG18" i="27"/>
  <c r="AG19" i="27"/>
  <c r="AG8" i="28"/>
  <c r="AG9" i="28"/>
  <c r="AG10" i="28"/>
  <c r="AG11" i="28"/>
  <c r="AG18" i="28"/>
  <c r="AG19" i="28"/>
  <c r="AH8" i="20"/>
  <c r="AH20" i="20" s="1"/>
  <c r="AH9" i="20"/>
  <c r="AH11" i="20"/>
  <c r="AH12" i="20"/>
  <c r="AH19" i="20"/>
  <c r="AH8" i="21"/>
  <c r="AH20" i="21" s="1"/>
  <c r="AH9" i="21"/>
  <c r="AH10" i="21"/>
  <c r="AH11" i="21"/>
  <c r="AH12" i="21"/>
  <c r="AH19" i="21"/>
  <c r="AH8" i="22"/>
  <c r="AH9" i="22"/>
  <c r="AH10" i="22"/>
  <c r="AH11" i="22"/>
  <c r="AH12" i="22"/>
  <c r="AH19" i="22"/>
  <c r="AH8" i="23"/>
  <c r="AH20" i="23" s="1"/>
  <c r="AH9" i="23"/>
  <c r="AH10" i="23"/>
  <c r="AH11" i="23"/>
  <c r="AH12" i="23"/>
  <c r="AH19" i="23"/>
  <c r="AH8" i="24"/>
  <c r="AH9" i="24"/>
  <c r="AH10" i="24"/>
  <c r="AH11" i="24"/>
  <c r="AH12" i="24"/>
  <c r="AH19" i="24"/>
  <c r="AH8" i="25"/>
  <c r="AH20" i="25" s="1"/>
  <c r="AH9" i="25"/>
  <c r="AH10" i="25"/>
  <c r="AH11" i="25"/>
  <c r="AH12" i="25"/>
  <c r="AH19" i="25"/>
  <c r="AH8" i="26"/>
  <c r="AH20" i="26" s="1"/>
  <c r="AH9" i="26"/>
  <c r="AH10" i="26"/>
  <c r="AH11" i="26"/>
  <c r="AH12" i="26"/>
  <c r="AH19" i="26"/>
  <c r="AH8" i="27"/>
  <c r="AH20" i="27"/>
  <c r="AH9" i="27"/>
  <c r="AH10" i="27"/>
  <c r="AH11" i="27"/>
  <c r="AH12" i="27"/>
  <c r="AH19" i="27"/>
  <c r="AH8" i="28"/>
  <c r="AH9" i="28"/>
  <c r="AH10" i="28"/>
  <c r="AH11" i="28"/>
  <c r="AH12" i="28"/>
  <c r="AH19" i="28"/>
  <c r="AI8" i="20"/>
  <c r="AI9" i="20"/>
  <c r="AI11" i="20"/>
  <c r="AI13" i="20"/>
  <c r="AI8" i="21"/>
  <c r="AI20" i="21"/>
  <c r="AI9" i="21"/>
  <c r="AI10" i="21"/>
  <c r="AI11" i="21"/>
  <c r="AI12" i="21"/>
  <c r="AI13" i="21"/>
  <c r="AI8" i="22"/>
  <c r="AI9" i="22"/>
  <c r="AI10" i="22"/>
  <c r="AI11" i="22"/>
  <c r="AI12" i="22"/>
  <c r="AI13" i="22"/>
  <c r="AI8" i="23"/>
  <c r="AI20" i="23"/>
  <c r="AI9" i="23"/>
  <c r="AI10" i="23"/>
  <c r="AI11" i="23"/>
  <c r="AI12" i="23"/>
  <c r="AI13" i="23"/>
  <c r="AI8" i="24"/>
  <c r="AI9" i="24"/>
  <c r="AI10" i="24"/>
  <c r="AI11" i="24"/>
  <c r="AI12" i="24"/>
  <c r="AI13" i="24"/>
  <c r="AI8" i="25"/>
  <c r="AI20" i="25" s="1"/>
  <c r="AI9" i="25"/>
  <c r="AI10" i="25"/>
  <c r="AI11" i="25"/>
  <c r="AI12" i="25"/>
  <c r="AI13" i="25"/>
  <c r="AI8" i="26"/>
  <c r="AI9" i="26"/>
  <c r="AI10" i="26"/>
  <c r="AI11" i="26"/>
  <c r="AI12" i="26"/>
  <c r="AI13" i="26"/>
  <c r="AI8" i="27"/>
  <c r="AI9" i="27"/>
  <c r="AI10" i="27"/>
  <c r="AI11" i="27"/>
  <c r="AI12" i="27"/>
  <c r="AI13" i="27"/>
  <c r="AI8" i="28"/>
  <c r="AI20" i="28" s="1"/>
  <c r="AI9" i="28"/>
  <c r="AI10" i="28"/>
  <c r="AI11" i="28"/>
  <c r="AI12" i="28"/>
  <c r="AI13" i="28"/>
  <c r="AJ9" i="20"/>
  <c r="AJ20" i="20"/>
  <c r="AJ11" i="20"/>
  <c r="AJ13" i="20"/>
  <c r="AJ14" i="20"/>
  <c r="AJ9" i="21"/>
  <c r="AJ20" i="21" s="1"/>
  <c r="AJ10" i="21"/>
  <c r="AJ11" i="21"/>
  <c r="AJ12" i="21"/>
  <c r="AJ13" i="21"/>
  <c r="AJ14" i="21"/>
  <c r="AJ9" i="22"/>
  <c r="AJ10" i="22"/>
  <c r="AJ11" i="22"/>
  <c r="AJ12" i="22"/>
  <c r="AJ13" i="22"/>
  <c r="AJ14" i="22"/>
  <c r="AJ9" i="23"/>
  <c r="AJ20" i="23" s="1"/>
  <c r="AJ10" i="23"/>
  <c r="AJ11" i="23"/>
  <c r="AJ12" i="23"/>
  <c r="AJ13" i="23"/>
  <c r="AJ14" i="23"/>
  <c r="AJ9" i="24"/>
  <c r="AJ10" i="24"/>
  <c r="AJ11" i="24"/>
  <c r="AJ12" i="24"/>
  <c r="AJ13" i="24"/>
  <c r="AJ14" i="24"/>
  <c r="AJ9" i="25"/>
  <c r="AJ10" i="25"/>
  <c r="AJ11" i="25"/>
  <c r="AJ12" i="25"/>
  <c r="AJ13" i="25"/>
  <c r="AJ14" i="25"/>
  <c r="AJ9" i="26"/>
  <c r="AJ20" i="26" s="1"/>
  <c r="AJ10" i="26"/>
  <c r="AJ11" i="26"/>
  <c r="AJ12" i="26"/>
  <c r="AJ13" i="26"/>
  <c r="AJ14" i="26"/>
  <c r="AJ9" i="27"/>
  <c r="AJ20" i="27" s="1"/>
  <c r="AJ10" i="27"/>
  <c r="AJ11" i="27"/>
  <c r="AJ12" i="27"/>
  <c r="AJ13" i="27"/>
  <c r="AJ14" i="27"/>
  <c r="AJ9" i="28"/>
  <c r="AJ10" i="28"/>
  <c r="AJ11" i="28"/>
  <c r="AJ12" i="28"/>
  <c r="AJ13" i="28"/>
  <c r="AJ14" i="28"/>
  <c r="AK11" i="20"/>
  <c r="AK13" i="20"/>
  <c r="AK14" i="20"/>
  <c r="AK15" i="20"/>
  <c r="AK10" i="21"/>
  <c r="AK20" i="21"/>
  <c r="AK11" i="21"/>
  <c r="AK12" i="21"/>
  <c r="AK13" i="21"/>
  <c r="AK14" i="21"/>
  <c r="AK15" i="21"/>
  <c r="AK10" i="22"/>
  <c r="AK20" i="22" s="1"/>
  <c r="AK11" i="22"/>
  <c r="AK12" i="22"/>
  <c r="AK13" i="22"/>
  <c r="AK14" i="22"/>
  <c r="AK15" i="22"/>
  <c r="AK10" i="23"/>
  <c r="AK20" i="23"/>
  <c r="AK11" i="23"/>
  <c r="AK12" i="23"/>
  <c r="AK13" i="23"/>
  <c r="AK14" i="23"/>
  <c r="AK15" i="23"/>
  <c r="AK10" i="24"/>
  <c r="AK11" i="24"/>
  <c r="AK12" i="24"/>
  <c r="AK13" i="24"/>
  <c r="AK14" i="24"/>
  <c r="AK15" i="24"/>
  <c r="AK10" i="25"/>
  <c r="AK20" i="25" s="1"/>
  <c r="AK11" i="25"/>
  <c r="AK12" i="25"/>
  <c r="AK13" i="25"/>
  <c r="AK14" i="25"/>
  <c r="AK15" i="25"/>
  <c r="AK10" i="26"/>
  <c r="AK20" i="26" s="1"/>
  <c r="AK11" i="26"/>
  <c r="AK12" i="26"/>
  <c r="AK13" i="26"/>
  <c r="AK14" i="26"/>
  <c r="AK15" i="26"/>
  <c r="AK10" i="27"/>
  <c r="AK20" i="27" s="1"/>
  <c r="AK11" i="27"/>
  <c r="AK12" i="27"/>
  <c r="AK13" i="27"/>
  <c r="AK14" i="27"/>
  <c r="AK15" i="27"/>
  <c r="AK10" i="28"/>
  <c r="AK11" i="28"/>
  <c r="AK12" i="28"/>
  <c r="AK13" i="28"/>
  <c r="AK14" i="28"/>
  <c r="AK15" i="28"/>
  <c r="AL11" i="20"/>
  <c r="AL20" i="20"/>
  <c r="AL13" i="20"/>
  <c r="AL14" i="20"/>
  <c r="AL15" i="20"/>
  <c r="AL16" i="20"/>
  <c r="AL11" i="21"/>
  <c r="AL20" i="21" s="1"/>
  <c r="AL12" i="21"/>
  <c r="AL13" i="21"/>
  <c r="AL14" i="21"/>
  <c r="AL15" i="21"/>
  <c r="AL16" i="21"/>
  <c r="AL11" i="22"/>
  <c r="AL20" i="22"/>
  <c r="AL12" i="22"/>
  <c r="AL13" i="22"/>
  <c r="AL14" i="22"/>
  <c r="AL15" i="22"/>
  <c r="AL16" i="22"/>
  <c r="AL11" i="23"/>
  <c r="AL20" i="23"/>
  <c r="AL12" i="23"/>
  <c r="AL13" i="23"/>
  <c r="AL14" i="23"/>
  <c r="AL15" i="23"/>
  <c r="AL16" i="23"/>
  <c r="AL11" i="24"/>
  <c r="AL20" i="24" s="1"/>
  <c r="AL12" i="24"/>
  <c r="AL13" i="24"/>
  <c r="AL14" i="24"/>
  <c r="AL15" i="24"/>
  <c r="AL16" i="24"/>
  <c r="AL11" i="25"/>
  <c r="AL20" i="25" s="1"/>
  <c r="AL12" i="25"/>
  <c r="AL13" i="25"/>
  <c r="AL14" i="25"/>
  <c r="AL15" i="25"/>
  <c r="AL16" i="25"/>
  <c r="AL11" i="26"/>
  <c r="AL12" i="26"/>
  <c r="AL13" i="26"/>
  <c r="AL14" i="26"/>
  <c r="AL15" i="26"/>
  <c r="AL16" i="26"/>
  <c r="AL11" i="27"/>
  <c r="AL20" i="27" s="1"/>
  <c r="AL12" i="27"/>
  <c r="AL13" i="27"/>
  <c r="AL14" i="27"/>
  <c r="AL15" i="27"/>
  <c r="AL16" i="27"/>
  <c r="AL11" i="28"/>
  <c r="AL20" i="28" s="1"/>
  <c r="AL12" i="28"/>
  <c r="AL13" i="28"/>
  <c r="AL14" i="28"/>
  <c r="AL15" i="28"/>
  <c r="AL16" i="28"/>
  <c r="AM13" i="20"/>
  <c r="AM14" i="20"/>
  <c r="AM15" i="20"/>
  <c r="AM16" i="20"/>
  <c r="AM17" i="20"/>
  <c r="AM12" i="21"/>
  <c r="AM13" i="21"/>
  <c r="AM14" i="21"/>
  <c r="AM15" i="21"/>
  <c r="AM16" i="21"/>
  <c r="AM17" i="21"/>
  <c r="AM12" i="22"/>
  <c r="AM13" i="22"/>
  <c r="AM14" i="22"/>
  <c r="AM15" i="22"/>
  <c r="AM16" i="22"/>
  <c r="AM17" i="22"/>
  <c r="AM12" i="23"/>
  <c r="AM13" i="23"/>
  <c r="AM14" i="23"/>
  <c r="AM15" i="23"/>
  <c r="AM16" i="23"/>
  <c r="AM17" i="23"/>
  <c r="AM12" i="24"/>
  <c r="AM20" i="24"/>
  <c r="AM13" i="24"/>
  <c r="AM14" i="24"/>
  <c r="AM15" i="24"/>
  <c r="AM16" i="24"/>
  <c r="AM17" i="24"/>
  <c r="AM12" i="25"/>
  <c r="AM20" i="25" s="1"/>
  <c r="AM13" i="25"/>
  <c r="AM14" i="25"/>
  <c r="AM15" i="25"/>
  <c r="AM16" i="25"/>
  <c r="AM17" i="25"/>
  <c r="AM12" i="26"/>
  <c r="AM13" i="26"/>
  <c r="AM14" i="26"/>
  <c r="AM15" i="26"/>
  <c r="AM16" i="26"/>
  <c r="AM17" i="26"/>
  <c r="AM12" i="27"/>
  <c r="AM13" i="27"/>
  <c r="AM14" i="27"/>
  <c r="AM15" i="27"/>
  <c r="AM16" i="27"/>
  <c r="AM17" i="27"/>
  <c r="AM12" i="28"/>
  <c r="AM20" i="28"/>
  <c r="AM13" i="28"/>
  <c r="AM14" i="28"/>
  <c r="AM15" i="28"/>
  <c r="AM16" i="28"/>
  <c r="AM17" i="28"/>
  <c r="AN13" i="20"/>
  <c r="AN14" i="20"/>
  <c r="AN15" i="20"/>
  <c r="AN16" i="20"/>
  <c r="AN17" i="20"/>
  <c r="AN18" i="20"/>
  <c r="AN13" i="21"/>
  <c r="AN20" i="21"/>
  <c r="AN14" i="21"/>
  <c r="AN15" i="21"/>
  <c r="AN16" i="21"/>
  <c r="AN17" i="21"/>
  <c r="AN18" i="21"/>
  <c r="AN13" i="22"/>
  <c r="AN14" i="22"/>
  <c r="AN15" i="22"/>
  <c r="AN16" i="22"/>
  <c r="AN17" i="22"/>
  <c r="AN18" i="22"/>
  <c r="AN13" i="23"/>
  <c r="AN20" i="23" s="1"/>
  <c r="AN14" i="23"/>
  <c r="AN15" i="23"/>
  <c r="AN16" i="23"/>
  <c r="AN17" i="23"/>
  <c r="AN18" i="23"/>
  <c r="AN13" i="24"/>
  <c r="AN20" i="24" s="1"/>
  <c r="AN14" i="24"/>
  <c r="AN15" i="24"/>
  <c r="AN16" i="24"/>
  <c r="AN17" i="24"/>
  <c r="AN18" i="24"/>
  <c r="AN13" i="25"/>
  <c r="AN20" i="25"/>
  <c r="AN14" i="25"/>
  <c r="AN15" i="25"/>
  <c r="AN16" i="25"/>
  <c r="AN17" i="25"/>
  <c r="AN18" i="25"/>
  <c r="AN13" i="26"/>
  <c r="AN14" i="26"/>
  <c r="AN15" i="26"/>
  <c r="AN16" i="26"/>
  <c r="AN17" i="26"/>
  <c r="AN18" i="26"/>
  <c r="AN13" i="27"/>
  <c r="AN20" i="27"/>
  <c r="AN14" i="27"/>
  <c r="AN15" i="27"/>
  <c r="AN16" i="27"/>
  <c r="AN17" i="27"/>
  <c r="AN18" i="27"/>
  <c r="AN13" i="28"/>
  <c r="AN14" i="28"/>
  <c r="AN15" i="28"/>
  <c r="AN16" i="28"/>
  <c r="AN17" i="28"/>
  <c r="AN18" i="28"/>
  <c r="AO14" i="20"/>
  <c r="AO15" i="20"/>
  <c r="AO16" i="20"/>
  <c r="AO17" i="20"/>
  <c r="AO18" i="20"/>
  <c r="AO19" i="20"/>
  <c r="AO14" i="21"/>
  <c r="AO15" i="21"/>
  <c r="AO16" i="21"/>
  <c r="AO17" i="21"/>
  <c r="AO18" i="21"/>
  <c r="AO19" i="21"/>
  <c r="AO14" i="22"/>
  <c r="AO20" i="22" s="1"/>
  <c r="AO15" i="22"/>
  <c r="AO16" i="22"/>
  <c r="AO17" i="22"/>
  <c r="AO18" i="22"/>
  <c r="AO19" i="22"/>
  <c r="AO14" i="23"/>
  <c r="AO15" i="23"/>
  <c r="AO16" i="23"/>
  <c r="AO17" i="23"/>
  <c r="AO18" i="23"/>
  <c r="AO19" i="23"/>
  <c r="AO14" i="24"/>
  <c r="AO20" i="24" s="1"/>
  <c r="AO15" i="24"/>
  <c r="AO16" i="24"/>
  <c r="AO17" i="24"/>
  <c r="AO18" i="24"/>
  <c r="AO19" i="24"/>
  <c r="AO14" i="25"/>
  <c r="AO15" i="25"/>
  <c r="AO16" i="25"/>
  <c r="AO17" i="25"/>
  <c r="AO18" i="25"/>
  <c r="AO19" i="25"/>
  <c r="AO14" i="26"/>
  <c r="AO20" i="26"/>
  <c r="AO15" i="26"/>
  <c r="AO16" i="26"/>
  <c r="AO17" i="26"/>
  <c r="AO18" i="26"/>
  <c r="AO19" i="26"/>
  <c r="AO14" i="27"/>
  <c r="AO20" i="27" s="1"/>
  <c r="AO15" i="27"/>
  <c r="AO16" i="27"/>
  <c r="AO17" i="27"/>
  <c r="AO18" i="27"/>
  <c r="AO19" i="27"/>
  <c r="AO14" i="28"/>
  <c r="AO20" i="28"/>
  <c r="AO15" i="28"/>
  <c r="AO16" i="28"/>
  <c r="AO17" i="28"/>
  <c r="AO18" i="28"/>
  <c r="AO19" i="28"/>
  <c r="D5" i="28"/>
  <c r="B8" i="28"/>
  <c r="AD5" i="28"/>
  <c r="Q5" i="28"/>
  <c r="AD4" i="28"/>
  <c r="Q4" i="28"/>
  <c r="D4" i="28"/>
  <c r="A2" i="28"/>
  <c r="A1" i="28"/>
  <c r="D5" i="27"/>
  <c r="B8" i="27"/>
  <c r="AD5" i="27"/>
  <c r="Q5" i="27"/>
  <c r="AD4" i="27"/>
  <c r="Q4" i="27"/>
  <c r="D4" i="27"/>
  <c r="A2" i="27"/>
  <c r="A1" i="27"/>
  <c r="D5" i="26"/>
  <c r="B8" i="26"/>
  <c r="AD5" i="26"/>
  <c r="Q5" i="26"/>
  <c r="AD4" i="26"/>
  <c r="Q4" i="26"/>
  <c r="D4" i="26"/>
  <c r="A2" i="26"/>
  <c r="A1" i="26"/>
  <c r="AD4" i="25"/>
  <c r="Q4" i="25"/>
  <c r="D4" i="25"/>
  <c r="D5" i="25"/>
  <c r="B8" i="25"/>
  <c r="AD5" i="25"/>
  <c r="Q5" i="25"/>
  <c r="A2" i="25"/>
  <c r="A1" i="25"/>
  <c r="D5" i="24"/>
  <c r="B8" i="24"/>
  <c r="AD5" i="24"/>
  <c r="Q5" i="24"/>
  <c r="AD4" i="24"/>
  <c r="Q4" i="24"/>
  <c r="D4" i="24"/>
  <c r="A2" i="24"/>
  <c r="A1" i="24"/>
  <c r="D5" i="23"/>
  <c r="B8" i="23" s="1"/>
  <c r="AD5" i="23"/>
  <c r="Q5" i="23"/>
  <c r="AD4" i="23"/>
  <c r="Q4" i="23"/>
  <c r="D4" i="23"/>
  <c r="A2" i="23"/>
  <c r="A1" i="23"/>
  <c r="D5" i="22"/>
  <c r="B8" i="22"/>
  <c r="AD5" i="22"/>
  <c r="Q5" i="22"/>
  <c r="AD4" i="22"/>
  <c r="Q4" i="22"/>
  <c r="D4" i="22"/>
  <c r="A2" i="22"/>
  <c r="A1" i="22"/>
  <c r="D5" i="21"/>
  <c r="B8" i="21" s="1"/>
  <c r="AD5" i="21"/>
  <c r="Q5" i="21"/>
  <c r="AD4" i="21"/>
  <c r="Q4" i="21"/>
  <c r="D4" i="21"/>
  <c r="A2" i="21"/>
  <c r="A1" i="21"/>
  <c r="E19" i="34"/>
  <c r="E20" i="34"/>
  <c r="E21" i="34"/>
  <c r="E22" i="34"/>
  <c r="E23" i="34"/>
  <c r="F23" i="34"/>
  <c r="G23" i="34" s="1"/>
  <c r="E24" i="34"/>
  <c r="E42" i="34"/>
  <c r="E55" i="34"/>
  <c r="F24" i="34"/>
  <c r="E43" i="34"/>
  <c r="F43" i="34"/>
  <c r="E44" i="34"/>
  <c r="AE45" i="34"/>
  <c r="AF45" i="34"/>
  <c r="AE57" i="34"/>
  <c r="AE58" i="34"/>
  <c r="R45" i="34"/>
  <c r="R57" i="34"/>
  <c r="R58" i="34"/>
  <c r="E45" i="34"/>
  <c r="E57" i="34"/>
  <c r="E58" i="34"/>
  <c r="A45" i="34"/>
  <c r="A58" i="34"/>
  <c r="A44" i="34"/>
  <c r="A57" i="34"/>
  <c r="A43" i="34"/>
  <c r="A56" i="34" s="1"/>
  <c r="A42" i="34"/>
  <c r="A55" i="34"/>
  <c r="A41" i="34"/>
  <c r="A54" i="34"/>
  <c r="A40" i="34"/>
  <c r="A53" i="34"/>
  <c r="A39" i="34"/>
  <c r="A52" i="34" s="1"/>
  <c r="A38" i="34"/>
  <c r="A51" i="34"/>
  <c r="A37" i="34"/>
  <c r="A50" i="34"/>
  <c r="AE49" i="34"/>
  <c r="R49" i="34"/>
  <c r="E49" i="34"/>
  <c r="AE48" i="34"/>
  <c r="R48" i="34"/>
  <c r="E48" i="34"/>
  <c r="AE36" i="34"/>
  <c r="R36" i="34"/>
  <c r="E36" i="34"/>
  <c r="AE35" i="34"/>
  <c r="R35" i="34"/>
  <c r="E35" i="34"/>
  <c r="AF32" i="34"/>
  <c r="A32" i="34"/>
  <c r="A31" i="34"/>
  <c r="A30" i="34"/>
  <c r="AE29" i="34"/>
  <c r="AF29" i="34"/>
  <c r="AG29" i="34" s="1"/>
  <c r="AH29" i="34" s="1"/>
  <c r="AI29" i="34" s="1"/>
  <c r="AJ29" i="34" s="1"/>
  <c r="AK29" i="34" s="1"/>
  <c r="AL29" i="34" s="1"/>
  <c r="AM29" i="34" s="1"/>
  <c r="AN29" i="34" s="1"/>
  <c r="AO29" i="34" s="1"/>
  <c r="AP29" i="34" s="1"/>
  <c r="R29" i="34"/>
  <c r="S29" i="34"/>
  <c r="T29" i="34" s="1"/>
  <c r="U29" i="34" s="1"/>
  <c r="V29" i="34" s="1"/>
  <c r="W29" i="34" s="1"/>
  <c r="X29" i="34" s="1"/>
  <c r="Y29" i="34" s="1"/>
  <c r="Z29" i="34" s="1"/>
  <c r="AA29" i="34" s="1"/>
  <c r="AB29" i="34" s="1"/>
  <c r="AC29" i="34" s="1"/>
  <c r="E29" i="34"/>
  <c r="F29" i="34"/>
  <c r="G29" i="34" s="1"/>
  <c r="H29" i="34" s="1"/>
  <c r="I29" i="34" s="1"/>
  <c r="J29" i="34" s="1"/>
  <c r="K29" i="34" s="1"/>
  <c r="L29" i="34" s="1"/>
  <c r="M29" i="34" s="1"/>
  <c r="N29" i="34" s="1"/>
  <c r="O29" i="34" s="1"/>
  <c r="P29" i="34" s="1"/>
  <c r="A29" i="34"/>
  <c r="E27" i="34"/>
  <c r="F27" i="34" s="1"/>
  <c r="A28" i="34"/>
  <c r="A27" i="34"/>
  <c r="E25" i="34"/>
  <c r="A26" i="34"/>
  <c r="A25" i="34"/>
  <c r="A24" i="34"/>
  <c r="A23" i="34"/>
  <c r="A22" i="34"/>
  <c r="A21" i="34"/>
  <c r="A20" i="34"/>
  <c r="A19" i="34"/>
  <c r="AE18" i="34"/>
  <c r="R18" i="34"/>
  <c r="E18" i="34"/>
  <c r="AE17" i="34"/>
  <c r="R17" i="34"/>
  <c r="E17" i="34"/>
  <c r="AP15" i="34"/>
  <c r="AO15" i="34"/>
  <c r="AN15" i="34"/>
  <c r="AM15" i="34"/>
  <c r="AL15" i="34"/>
  <c r="AK15" i="34"/>
  <c r="AJ15" i="34"/>
  <c r="AI15" i="34"/>
  <c r="AH15" i="34"/>
  <c r="AG15" i="34"/>
  <c r="AF15" i="34"/>
  <c r="AE15" i="34"/>
  <c r="AC15" i="34"/>
  <c r="AB15" i="34"/>
  <c r="AA15" i="34"/>
  <c r="Z15" i="34"/>
  <c r="Y15" i="34"/>
  <c r="X15" i="34"/>
  <c r="W15" i="34"/>
  <c r="V15" i="34"/>
  <c r="U15" i="34"/>
  <c r="T15" i="34"/>
  <c r="S15" i="34"/>
  <c r="R15" i="34"/>
  <c r="P15" i="34"/>
  <c r="O15" i="34"/>
  <c r="N15" i="34"/>
  <c r="M15" i="34"/>
  <c r="L15" i="34"/>
  <c r="K15" i="34"/>
  <c r="J15" i="34"/>
  <c r="I15" i="34"/>
  <c r="H15" i="34"/>
  <c r="G15" i="34"/>
  <c r="F15" i="34"/>
  <c r="E15" i="34"/>
  <c r="AE5" i="34"/>
  <c r="R5" i="34"/>
  <c r="E5" i="34"/>
  <c r="AE4" i="34"/>
  <c r="R4" i="34"/>
  <c r="E4" i="34"/>
  <c r="A1" i="34"/>
  <c r="D21" i="33"/>
  <c r="E21" i="33"/>
  <c r="F21" i="33"/>
  <c r="G21" i="33"/>
  <c r="H21" i="33"/>
  <c r="I21" i="33"/>
  <c r="J21" i="33"/>
  <c r="K21" i="33"/>
  <c r="L21" i="33"/>
  <c r="M21" i="33"/>
  <c r="N21" i="33"/>
  <c r="P21" i="33"/>
  <c r="Q21" i="33"/>
  <c r="R21" i="33"/>
  <c r="S21" i="33"/>
  <c r="T21" i="33"/>
  <c r="U21" i="33"/>
  <c r="V21" i="33"/>
  <c r="W21" i="33"/>
  <c r="X21" i="33"/>
  <c r="Y21" i="33"/>
  <c r="Z21" i="33"/>
  <c r="AA21" i="33"/>
  <c r="AC21" i="33"/>
  <c r="AD21" i="33"/>
  <c r="AE21" i="33"/>
  <c r="AF21" i="33"/>
  <c r="AG21" i="33"/>
  <c r="AH21" i="33"/>
  <c r="AI21" i="33"/>
  <c r="AJ21" i="33"/>
  <c r="AK21" i="33"/>
  <c r="AL21" i="33"/>
  <c r="AM21" i="33"/>
  <c r="AN21" i="33"/>
  <c r="C21" i="33"/>
  <c r="B19" i="33"/>
  <c r="B18" i="33"/>
  <c r="B17" i="33"/>
  <c r="A16" i="33"/>
  <c r="B14" i="33"/>
  <c r="B13" i="33"/>
  <c r="B12" i="33"/>
  <c r="A11" i="33"/>
  <c r="B9" i="33"/>
  <c r="B8" i="33"/>
  <c r="B7" i="33"/>
  <c r="A6" i="33"/>
  <c r="AC5" i="33"/>
  <c r="P5" i="33"/>
  <c r="C5" i="33"/>
  <c r="AC4" i="33"/>
  <c r="P4" i="33"/>
  <c r="C4" i="33"/>
  <c r="A1" i="33"/>
  <c r="D5" i="20"/>
  <c r="B8" i="20"/>
  <c r="AD4" i="20"/>
  <c r="Q4" i="20"/>
  <c r="AD5" i="20"/>
  <c r="Q5" i="20"/>
  <c r="D4" i="20"/>
  <c r="AB5" i="32"/>
  <c r="O5" i="32"/>
  <c r="B5" i="32"/>
  <c r="AB4" i="32"/>
  <c r="O4" i="32"/>
  <c r="B4" i="32"/>
  <c r="N4" i="32" s="1"/>
  <c r="A1" i="32"/>
  <c r="I32" i="6"/>
  <c r="I33" i="6"/>
  <c r="I34" i="6"/>
  <c r="I35" i="6"/>
  <c r="I36" i="6"/>
  <c r="I37" i="6"/>
  <c r="I38" i="6"/>
  <c r="I39" i="6"/>
  <c r="I40" i="6"/>
  <c r="I31" i="6"/>
  <c r="A16" i="29"/>
  <c r="B15" i="29"/>
  <c r="A2" i="20"/>
  <c r="A1" i="20"/>
  <c r="D54" i="2"/>
  <c r="D53" i="2"/>
  <c r="D52" i="2"/>
  <c r="D47" i="2"/>
  <c r="D46" i="2"/>
  <c r="D45" i="2"/>
  <c r="B14" i="6"/>
  <c r="B13" i="6"/>
  <c r="B12" i="6"/>
  <c r="G20" i="6"/>
  <c r="F20" i="6"/>
  <c r="E56" i="34"/>
  <c r="E41" i="34"/>
  <c r="E54" i="34" s="1"/>
  <c r="Y14" i="13"/>
  <c r="F30" i="34"/>
  <c r="H23" i="34"/>
  <c r="I23" i="34" s="1"/>
  <c r="J23" i="34" s="1"/>
  <c r="K23" i="34" s="1"/>
  <c r="L23" i="34" s="1"/>
  <c r="M23" i="34" s="1"/>
  <c r="N23" i="34" s="1"/>
  <c r="O23" i="34" s="1"/>
  <c r="P23" i="34" s="1"/>
  <c r="R23" i="34" s="1"/>
  <c r="S23" i="34" s="1"/>
  <c r="T23" i="34" s="1"/>
  <c r="U23" i="34" s="1"/>
  <c r="V23" i="34" s="1"/>
  <c r="W23" i="34" s="1"/>
  <c r="X23" i="34" s="1"/>
  <c r="Y23" i="34" s="1"/>
  <c r="Z23" i="34" s="1"/>
  <c r="AA23" i="34" s="1"/>
  <c r="AB23" i="34" s="1"/>
  <c r="AC23" i="34" s="1"/>
  <c r="AE23" i="34" s="1"/>
  <c r="AF23" i="34" s="1"/>
  <c r="AG23" i="34" s="1"/>
  <c r="AH23" i="34" s="1"/>
  <c r="AI23" i="34" s="1"/>
  <c r="AJ23" i="34" s="1"/>
  <c r="AK23" i="34" s="1"/>
  <c r="AL23" i="34" s="1"/>
  <c r="AM23" i="34" s="1"/>
  <c r="AN23" i="34" s="1"/>
  <c r="AO23" i="34" s="1"/>
  <c r="AP23" i="34" s="1"/>
  <c r="Z14" i="13"/>
  <c r="Z57" i="42"/>
  <c r="Z55" i="42"/>
  <c r="Z47" i="42"/>
  <c r="Z45" i="42"/>
  <c r="Z37" i="42"/>
  <c r="Z35" i="42"/>
  <c r="AA27" i="42"/>
  <c r="AA25" i="42"/>
  <c r="AE5" i="37"/>
  <c r="R5" i="37"/>
  <c r="E5" i="37"/>
  <c r="E5" i="27"/>
  <c r="B9" i="27" s="1"/>
  <c r="AE5" i="27"/>
  <c r="R5" i="27"/>
  <c r="F5" i="26"/>
  <c r="B10" i="26" s="1"/>
  <c r="AF5" i="26"/>
  <c r="S5" i="26"/>
  <c r="F5" i="25"/>
  <c r="B10" i="25" s="1"/>
  <c r="AF5" i="25"/>
  <c r="S5" i="25"/>
  <c r="E5" i="23"/>
  <c r="B9" i="23" s="1"/>
  <c r="AE5" i="23"/>
  <c r="R5" i="23"/>
  <c r="F5" i="22"/>
  <c r="B10" i="22" s="1"/>
  <c r="AF5" i="22"/>
  <c r="S5" i="22"/>
  <c r="AG49" i="34"/>
  <c r="T49" i="34"/>
  <c r="G49" i="34"/>
  <c r="AF36" i="34"/>
  <c r="S36" i="34"/>
  <c r="F36" i="34"/>
  <c r="AH18" i="34"/>
  <c r="AG5" i="34"/>
  <c r="T5" i="34"/>
  <c r="G5" i="34"/>
  <c r="AF5" i="20"/>
  <c r="S5" i="20"/>
  <c r="AD5" i="32"/>
  <c r="Q5" i="32"/>
  <c r="D5" i="32"/>
  <c r="E5" i="28"/>
  <c r="B9" i="28" s="1"/>
  <c r="AE5" i="28"/>
  <c r="R5" i="28"/>
  <c r="F5" i="27"/>
  <c r="B10" i="27" s="1"/>
  <c r="AF5" i="27"/>
  <c r="S5" i="27"/>
  <c r="E5" i="24"/>
  <c r="B9" i="24" s="1"/>
  <c r="AE5" i="24"/>
  <c r="R5" i="24"/>
  <c r="F5" i="23"/>
  <c r="B10" i="23" s="1"/>
  <c r="AF5" i="23"/>
  <c r="S5" i="23"/>
  <c r="G5" i="22"/>
  <c r="B11" i="22" s="1"/>
  <c r="AG36" i="34"/>
  <c r="T36" i="34"/>
  <c r="G36" i="34"/>
  <c r="AD5" i="33"/>
  <c r="Q5" i="33"/>
  <c r="D5" i="33"/>
  <c r="E5" i="20"/>
  <c r="B9" i="20" s="1"/>
  <c r="AD5" i="36"/>
  <c r="Q5" i="36"/>
  <c r="D5" i="36"/>
  <c r="F5" i="28"/>
  <c r="B10" i="28" s="1"/>
  <c r="AF5" i="28"/>
  <c r="S5" i="28"/>
  <c r="F5" i="24"/>
  <c r="B10" i="24" s="1"/>
  <c r="AF5" i="24"/>
  <c r="S5" i="24"/>
  <c r="E5" i="21"/>
  <c r="B9" i="21" s="1"/>
  <c r="AE5" i="21"/>
  <c r="R5" i="21"/>
  <c r="AF18" i="34"/>
  <c r="S18" i="34"/>
  <c r="F18" i="34"/>
  <c r="AE5" i="33"/>
  <c r="R5" i="33"/>
  <c r="E5" i="33"/>
  <c r="F5" i="20"/>
  <c r="B10" i="20" s="1"/>
  <c r="AD5" i="37"/>
  <c r="Q5" i="37"/>
  <c r="D5" i="37"/>
  <c r="AE5" i="36"/>
  <c r="R5" i="36"/>
  <c r="E5" i="36"/>
  <c r="E5" i="26"/>
  <c r="B9" i="26" s="1"/>
  <c r="AE5" i="26"/>
  <c r="R5" i="26"/>
  <c r="E5" i="25"/>
  <c r="B9" i="25" s="1"/>
  <c r="AE5" i="25"/>
  <c r="R5" i="25"/>
  <c r="E5" i="22"/>
  <c r="B9" i="22" s="1"/>
  <c r="AE5" i="22"/>
  <c r="R5" i="22"/>
  <c r="F5" i="21"/>
  <c r="B10" i="21" s="1"/>
  <c r="AF5" i="21"/>
  <c r="S5" i="21"/>
  <c r="AF49" i="34"/>
  <c r="S49" i="34"/>
  <c r="F49" i="34"/>
  <c r="AG18" i="34"/>
  <c r="T18" i="34"/>
  <c r="G18" i="34"/>
  <c r="AF5" i="34"/>
  <c r="S5" i="34"/>
  <c r="F5" i="34"/>
  <c r="G5" i="20"/>
  <c r="B11" i="20" s="1"/>
  <c r="AE5" i="20"/>
  <c r="R5" i="20"/>
  <c r="AC5" i="32"/>
  <c r="P5" i="32"/>
  <c r="C5" i="32"/>
  <c r="A17" i="29"/>
  <c r="AK17" i="37"/>
  <c r="Q17" i="37"/>
  <c r="AH17" i="37"/>
  <c r="Y17" i="37"/>
  <c r="AN20" i="28"/>
  <c r="Z20" i="26"/>
  <c r="AG17" i="36"/>
  <c r="AN17" i="36"/>
  <c r="E20" i="20"/>
  <c r="H11" i="20"/>
  <c r="G11" i="20"/>
  <c r="G20" i="20"/>
  <c r="Z20" i="22"/>
  <c r="AB20" i="21"/>
  <c r="AN20" i="22"/>
  <c r="AG20" i="28"/>
  <c r="Z20" i="28"/>
  <c r="AN20" i="26"/>
  <c r="AI20" i="27"/>
  <c r="Z20" i="24"/>
  <c r="E20" i="24"/>
  <c r="AL20" i="26"/>
  <c r="AI20" i="26"/>
  <c r="AI20" i="22"/>
  <c r="AF20" i="27"/>
  <c r="AF20" i="23"/>
  <c r="AB20" i="26"/>
  <c r="Z20" i="27"/>
  <c r="X20" i="28"/>
  <c r="X20" i="24"/>
  <c r="I20" i="22"/>
  <c r="G20" i="22"/>
  <c r="AK20" i="28"/>
  <c r="AK20" i="24"/>
  <c r="AI20" i="24"/>
  <c r="AH20" i="28"/>
  <c r="AG20" i="21"/>
  <c r="AF20" i="25"/>
  <c r="AF20" i="21"/>
  <c r="AB20" i="28"/>
  <c r="AB20" i="24"/>
  <c r="X20" i="26"/>
  <c r="X20" i="22"/>
  <c r="U20" i="26"/>
  <c r="E20" i="27"/>
  <c r="AO20" i="20"/>
  <c r="AO20" i="25"/>
  <c r="AO20" i="23"/>
  <c r="AO20" i="21"/>
  <c r="AB20" i="20"/>
  <c r="AA20" i="27"/>
  <c r="AA20" i="25"/>
  <c r="AA20" i="23"/>
  <c r="AA20" i="21"/>
  <c r="K20" i="28"/>
  <c r="K20" i="27"/>
  <c r="K20" i="25"/>
  <c r="K20" i="22"/>
  <c r="I20" i="23"/>
  <c r="D20" i="28"/>
  <c r="N20" i="20"/>
  <c r="I20" i="26"/>
  <c r="AN20" i="20"/>
  <c r="AM20" i="27"/>
  <c r="AM20" i="26"/>
  <c r="AM20" i="23"/>
  <c r="AM20" i="22"/>
  <c r="AM20" i="21"/>
  <c r="AJ20" i="28"/>
  <c r="AJ20" i="25"/>
  <c r="AJ20" i="24"/>
  <c r="AJ20" i="22"/>
  <c r="AE20" i="28"/>
  <c r="AE20" i="26"/>
  <c r="AE20" i="24"/>
  <c r="AE20" i="22"/>
  <c r="AD20" i="27"/>
  <c r="AD20" i="26"/>
  <c r="AD20" i="25"/>
  <c r="AD20" i="23"/>
  <c r="AD20" i="22"/>
  <c r="AD20" i="21"/>
  <c r="Y20" i="27"/>
  <c r="Y20" i="26"/>
  <c r="Y20" i="23"/>
  <c r="Y20" i="21"/>
  <c r="V20" i="25"/>
  <c r="T20" i="27"/>
  <c r="T20" i="26"/>
  <c r="T20" i="25"/>
  <c r="T20" i="23"/>
  <c r="T20" i="22"/>
  <c r="T20" i="21"/>
  <c r="S20" i="27"/>
  <c r="S20" i="26"/>
  <c r="S20" i="25"/>
  <c r="S20" i="23"/>
  <c r="S20" i="22"/>
  <c r="O20" i="26"/>
  <c r="O20" i="24"/>
  <c r="N20" i="28"/>
  <c r="N20" i="26"/>
  <c r="N20" i="24"/>
  <c r="N20" i="22"/>
  <c r="M20" i="26"/>
  <c r="M20" i="24"/>
  <c r="M20" i="21"/>
  <c r="L20" i="23"/>
  <c r="I20" i="28"/>
  <c r="H20" i="28"/>
  <c r="H20" i="27"/>
  <c r="H20" i="26"/>
  <c r="G20" i="26"/>
  <c r="AI20" i="20"/>
  <c r="AH20" i="24"/>
  <c r="AH20" i="22"/>
  <c r="AG20" i="20"/>
  <c r="AE20" i="20"/>
  <c r="X20" i="20"/>
  <c r="U20" i="20"/>
  <c r="O20" i="20"/>
  <c r="Q20" i="20"/>
  <c r="F20" i="20"/>
  <c r="T20" i="20"/>
  <c r="L20" i="20"/>
  <c r="AA57" i="42"/>
  <c r="AA55" i="42"/>
  <c r="AA47" i="42"/>
  <c r="AA45" i="42"/>
  <c r="AA37" i="42"/>
  <c r="AA35" i="42"/>
  <c r="AB27" i="42"/>
  <c r="AB25" i="42"/>
  <c r="AB57" i="42"/>
  <c r="AB55" i="42"/>
  <c r="AB47" i="42"/>
  <c r="AB45" i="42"/>
  <c r="AB37" i="42"/>
  <c r="AB35" i="42"/>
  <c r="AC27" i="42"/>
  <c r="AC25" i="42"/>
  <c r="P50" i="5"/>
  <c r="P54" i="44" s="1"/>
  <c r="P55" i="44" s="1"/>
  <c r="AC57" i="42"/>
  <c r="AC55" i="42"/>
  <c r="AC47" i="42"/>
  <c r="AC45" i="42"/>
  <c r="AC37" i="42"/>
  <c r="AC35" i="42"/>
  <c r="AD27" i="42"/>
  <c r="AD25" i="42"/>
  <c r="AD57" i="42"/>
  <c r="AD55" i="42"/>
  <c r="AD47" i="42"/>
  <c r="AD45" i="42"/>
  <c r="AD37" i="42"/>
  <c r="AD35" i="42"/>
  <c r="AE27" i="42"/>
  <c r="AE25" i="42"/>
  <c r="AE57" i="42"/>
  <c r="AE55" i="42"/>
  <c r="AE47" i="42"/>
  <c r="AE45" i="42"/>
  <c r="AE37" i="42"/>
  <c r="AE35" i="42"/>
  <c r="AF27" i="42"/>
  <c r="AF25" i="42"/>
  <c r="AF57" i="42"/>
  <c r="AF55" i="42"/>
  <c r="AF47" i="42"/>
  <c r="AF45" i="42"/>
  <c r="AF37" i="42"/>
  <c r="AF35" i="42"/>
  <c r="AG27" i="42"/>
  <c r="AG25" i="42"/>
  <c r="AG57" i="42"/>
  <c r="AG55" i="42"/>
  <c r="AG47" i="42"/>
  <c r="AG45" i="42"/>
  <c r="AG37" i="42"/>
  <c r="AG35" i="42"/>
  <c r="AH27" i="42"/>
  <c r="AH25" i="42"/>
  <c r="AH57" i="42"/>
  <c r="AH55" i="42"/>
  <c r="AH47" i="42"/>
  <c r="AH45" i="42"/>
  <c r="AH37" i="42"/>
  <c r="AH35" i="42"/>
  <c r="AI27" i="42"/>
  <c r="AI25" i="42"/>
  <c r="AH71" i="5"/>
  <c r="AH65" i="44" s="1"/>
  <c r="AH66" i="44" s="1"/>
  <c r="X13" i="13"/>
  <c r="X12" i="13" s="1"/>
  <c r="AI57" i="42"/>
  <c r="AI55" i="42"/>
  <c r="AI47" i="42"/>
  <c r="AI45" i="42"/>
  <c r="AI37" i="42"/>
  <c r="AI35" i="42"/>
  <c r="AJ27" i="42"/>
  <c r="AJ25" i="42"/>
  <c r="AJ57" i="42"/>
  <c r="AJ55" i="42"/>
  <c r="AJ47" i="42"/>
  <c r="AJ45" i="42"/>
  <c r="AJ37" i="42"/>
  <c r="AJ35" i="42"/>
  <c r="AK27" i="42"/>
  <c r="AK25" i="42"/>
  <c r="Z30" i="1"/>
  <c r="AK57" i="42"/>
  <c r="AK55" i="42"/>
  <c r="AK47" i="42"/>
  <c r="AK45" i="42"/>
  <c r="AK37" i="42"/>
  <c r="AK35" i="42"/>
  <c r="AL27" i="42"/>
  <c r="AL25" i="42"/>
  <c r="AL57" i="42"/>
  <c r="AL55" i="42"/>
  <c r="AL47" i="42"/>
  <c r="AL45" i="42"/>
  <c r="AL37" i="42"/>
  <c r="AL35" i="42"/>
  <c r="AM27" i="42"/>
  <c r="AM25" i="42"/>
  <c r="AB13" i="13"/>
  <c r="AM57" i="42"/>
  <c r="AM55" i="42"/>
  <c r="AM47" i="42"/>
  <c r="AM45" i="42"/>
  <c r="AM37" i="42"/>
  <c r="AM35" i="42"/>
  <c r="AN27" i="42"/>
  <c r="AN25" i="42"/>
  <c r="AN57" i="42"/>
  <c r="AN55" i="42"/>
  <c r="AN47" i="42"/>
  <c r="AN45" i="42"/>
  <c r="AN37" i="42"/>
  <c r="AN35" i="42"/>
  <c r="AO27" i="42"/>
  <c r="AO25" i="42"/>
  <c r="AR13" i="13"/>
  <c r="AO57" i="42"/>
  <c r="AO55" i="42"/>
  <c r="AO47" i="42"/>
  <c r="AO45" i="42"/>
  <c r="AO37" i="42"/>
  <c r="AO35" i="42"/>
  <c r="AP27" i="42"/>
  <c r="AP25" i="42"/>
  <c r="AP57" i="42"/>
  <c r="AP55" i="42"/>
  <c r="AP47" i="42"/>
  <c r="AP45" i="42"/>
  <c r="AP37" i="42"/>
  <c r="AP35" i="42"/>
  <c r="AQ27" i="42"/>
  <c r="AQ25" i="42"/>
  <c r="AS71" i="5"/>
  <c r="AS65" i="44"/>
  <c r="AQ57" i="42"/>
  <c r="AQ55" i="42"/>
  <c r="AQ47" i="42"/>
  <c r="AQ45" i="42"/>
  <c r="AQ37" i="42"/>
  <c r="AQ35" i="42"/>
  <c r="AR27" i="42"/>
  <c r="AR25" i="42"/>
  <c r="AS14" i="13"/>
  <c r="AR57" i="42"/>
  <c r="AR55" i="42"/>
  <c r="AR47" i="42"/>
  <c r="AR45" i="42"/>
  <c r="AR37" i="42"/>
  <c r="AR35" i="42"/>
  <c r="AS27" i="42"/>
  <c r="AS25" i="42"/>
  <c r="AU14" i="13"/>
  <c r="AV13" i="13"/>
  <c r="AS57" i="42"/>
  <c r="AS55" i="42"/>
  <c r="AS47" i="42"/>
  <c r="AS45" i="42"/>
  <c r="AS37" i="42"/>
  <c r="AS35" i="42"/>
  <c r="AT27" i="42"/>
  <c r="AT25" i="42"/>
  <c r="AT57" i="42"/>
  <c r="AT55" i="42"/>
  <c r="AT47" i="42"/>
  <c r="AT45" i="42"/>
  <c r="AT37" i="42"/>
  <c r="AT35" i="42"/>
  <c r="AU27" i="42"/>
  <c r="AU25" i="42"/>
  <c r="AU57" i="42"/>
  <c r="AU55" i="42"/>
  <c r="AU47" i="42"/>
  <c r="AU45" i="42"/>
  <c r="AU37" i="42"/>
  <c r="AU35" i="42"/>
  <c r="AV27" i="42"/>
  <c r="AV25" i="42"/>
  <c r="AT15" i="13"/>
  <c r="AY13" i="13"/>
  <c r="AV57" i="42"/>
  <c r="AV55" i="42"/>
  <c r="AV47" i="42"/>
  <c r="AV45" i="42"/>
  <c r="AV37" i="42"/>
  <c r="AV35" i="42"/>
  <c r="AW27" i="42"/>
  <c r="AW25" i="42"/>
  <c r="AV71" i="5"/>
  <c r="AV65" i="44"/>
  <c r="AW57" i="42"/>
  <c r="AW55" i="42"/>
  <c r="AW47" i="42"/>
  <c r="AW45" i="42"/>
  <c r="AW37" i="42"/>
  <c r="AW35" i="42"/>
  <c r="AX27" i="42"/>
  <c r="AX25" i="42"/>
  <c r="AX57" i="42"/>
  <c r="AX55" i="42"/>
  <c r="AX47" i="42"/>
  <c r="AX45" i="42"/>
  <c r="AX37" i="42"/>
  <c r="AX35" i="42"/>
  <c r="AY27" i="42"/>
  <c r="AY25" i="42"/>
  <c r="AX71" i="5"/>
  <c r="AX65" i="44"/>
  <c r="AX66" i="44" s="1"/>
  <c r="AY57" i="42"/>
  <c r="AY55" i="42"/>
  <c r="AY47" i="42"/>
  <c r="AY45" i="42"/>
  <c r="AY37" i="42"/>
  <c r="AY35" i="42"/>
  <c r="AZ27" i="42"/>
  <c r="AZ25" i="42"/>
  <c r="AN50" i="5"/>
  <c r="AN54" i="44" s="1"/>
  <c r="AN55" i="44" s="1"/>
  <c r="AZ57" i="42"/>
  <c r="AZ55" i="42"/>
  <c r="AZ47" i="42"/>
  <c r="AZ45" i="42"/>
  <c r="AZ37" i="42"/>
  <c r="AZ35" i="42"/>
  <c r="BA27" i="42"/>
  <c r="BA25" i="42"/>
  <c r="BB15" i="13"/>
  <c r="BA57" i="42"/>
  <c r="BA55" i="42"/>
  <c r="BA47" i="42"/>
  <c r="BA45" i="42"/>
  <c r="BA37" i="42"/>
  <c r="BA35" i="42"/>
  <c r="BB27" i="42"/>
  <c r="BB25" i="42"/>
  <c r="BB57" i="42"/>
  <c r="BB55" i="42"/>
  <c r="BB47" i="42"/>
  <c r="BB45" i="42"/>
  <c r="BB37" i="42"/>
  <c r="BB35" i="42"/>
  <c r="BC27" i="42"/>
  <c r="BC25" i="42"/>
  <c r="BC57" i="42"/>
  <c r="BC55" i="42"/>
  <c r="BC47" i="42"/>
  <c r="BC45" i="42"/>
  <c r="BC37" i="42"/>
  <c r="BC35" i="42"/>
  <c r="BD27" i="42"/>
  <c r="BD25" i="42"/>
  <c r="BD57" i="42"/>
  <c r="BD55" i="42"/>
  <c r="BD47" i="42"/>
  <c r="BD45" i="42"/>
  <c r="BD37" i="42"/>
  <c r="BD35" i="42"/>
  <c r="BE27" i="42"/>
  <c r="BE25" i="42"/>
  <c r="BD71" i="5"/>
  <c r="BD65" i="44"/>
  <c r="BE57" i="42"/>
  <c r="BE55" i="42"/>
  <c r="BE47" i="42"/>
  <c r="BE45" i="42"/>
  <c r="BE37" i="42"/>
  <c r="BE35" i="42"/>
  <c r="BF27" i="42"/>
  <c r="BF25" i="42"/>
  <c r="BF57" i="42"/>
  <c r="BF55" i="42"/>
  <c r="BF47" i="42"/>
  <c r="BF45" i="42"/>
  <c r="BF37" i="42"/>
  <c r="BF35" i="42"/>
  <c r="BG27" i="42"/>
  <c r="BG25" i="42"/>
  <c r="BG57" i="42"/>
  <c r="BG55" i="42"/>
  <c r="BG47" i="42"/>
  <c r="BG45" i="42"/>
  <c r="BG37" i="42"/>
  <c r="BG35" i="42"/>
  <c r="BH27" i="42"/>
  <c r="BH25" i="42"/>
  <c r="BI15" i="13"/>
  <c r="BJ50" i="5"/>
  <c r="BJ54" i="44" s="1"/>
  <c r="BJ55" i="44" s="1"/>
  <c r="BH57" i="42"/>
  <c r="BH55" i="42"/>
  <c r="BH47" i="42"/>
  <c r="BH45" i="42"/>
  <c r="BH37" i="42"/>
  <c r="BH35" i="42"/>
  <c r="BI27" i="42"/>
  <c r="BI25" i="42"/>
  <c r="BI57" i="42"/>
  <c r="BI55" i="42"/>
  <c r="BI47" i="42"/>
  <c r="BI45" i="42"/>
  <c r="BI37" i="42"/>
  <c r="BI35" i="42"/>
  <c r="BJ27" i="42"/>
  <c r="BJ25" i="42"/>
  <c r="BL14" i="13"/>
  <c r="BI71" i="5"/>
  <c r="BI65" i="44" s="1"/>
  <c r="BI66" i="44" s="1"/>
  <c r="BJ57" i="42"/>
  <c r="BJ55" i="42"/>
  <c r="BJ47" i="42"/>
  <c r="BJ45" i="42"/>
  <c r="BJ37" i="42"/>
  <c r="BJ35" i="42"/>
  <c r="BK27" i="42"/>
  <c r="BK25" i="42"/>
  <c r="BK57" i="42"/>
  <c r="BK55" i="42"/>
  <c r="BK47" i="42"/>
  <c r="BK45" i="42"/>
  <c r="BK37" i="42"/>
  <c r="BK35" i="42"/>
  <c r="BL27" i="42"/>
  <c r="BL25" i="42"/>
  <c r="BL57" i="42"/>
  <c r="BL55" i="42"/>
  <c r="BL47" i="42"/>
  <c r="BL45" i="42"/>
  <c r="BL37" i="42"/>
  <c r="BL35" i="42"/>
  <c r="BM27" i="42"/>
  <c r="BM25" i="42"/>
  <c r="BM57" i="42"/>
  <c r="BM55" i="42"/>
  <c r="BM47" i="42"/>
  <c r="BM45" i="42"/>
  <c r="BM37" i="42"/>
  <c r="BM35" i="42"/>
  <c r="BN27" i="42"/>
  <c r="BN25" i="42"/>
  <c r="BM71" i="5"/>
  <c r="BM65" i="44"/>
  <c r="BM66" i="44" s="1"/>
  <c r="BN57" i="42"/>
  <c r="BN55" i="42"/>
  <c r="BN47" i="42"/>
  <c r="BN45" i="42"/>
  <c r="BN37" i="42"/>
  <c r="BN35" i="42"/>
  <c r="BO27" i="42"/>
  <c r="BO25" i="42"/>
  <c r="BO57" i="42"/>
  <c r="BO55" i="42"/>
  <c r="BO47" i="42"/>
  <c r="BO45" i="42"/>
  <c r="BO37" i="42"/>
  <c r="BO35" i="42"/>
  <c r="BP27" i="42"/>
  <c r="BP25" i="42"/>
  <c r="BP57" i="42"/>
  <c r="BP55" i="42"/>
  <c r="BP47" i="42"/>
  <c r="BP45" i="42"/>
  <c r="BP37" i="42"/>
  <c r="BP35" i="42"/>
  <c r="BQ27" i="42"/>
  <c r="BQ25" i="42"/>
  <c r="BQ57" i="42"/>
  <c r="BQ55" i="42"/>
  <c r="BQ47" i="42"/>
  <c r="BQ45" i="42"/>
  <c r="BQ37" i="42"/>
  <c r="BQ35" i="42"/>
  <c r="BR27" i="42"/>
  <c r="BR25" i="42"/>
  <c r="BR57" i="42"/>
  <c r="BR55" i="42"/>
  <c r="BR47" i="42"/>
  <c r="BR45" i="42"/>
  <c r="BR37" i="42"/>
  <c r="BR35" i="42"/>
  <c r="BF50" i="5"/>
  <c r="BF54" i="44"/>
  <c r="BF55" i="44" s="1"/>
  <c r="BR14" i="13"/>
  <c r="BO50" i="5"/>
  <c r="BO54" i="44"/>
  <c r="BQ13" i="13"/>
  <c r="BQ50" i="5"/>
  <c r="BQ54" i="44"/>
  <c r="BQ55" i="44" s="1"/>
  <c r="N9" i="32"/>
  <c r="N11" i="32"/>
  <c r="B7" i="32"/>
  <c r="B8" i="32"/>
  <c r="B6" i="32"/>
  <c r="C8" i="32"/>
  <c r="C7" i="32"/>
  <c r="C6" i="32"/>
  <c r="D6" i="32"/>
  <c r="D7" i="32"/>
  <c r="D8" i="32"/>
  <c r="E7" i="32"/>
  <c r="E8" i="32"/>
  <c r="E6" i="32"/>
  <c r="F7" i="32"/>
  <c r="F6" i="32"/>
  <c r="F8" i="32"/>
  <c r="G8" i="32"/>
  <c r="G7" i="32"/>
  <c r="G6" i="32"/>
  <c r="H6" i="32"/>
  <c r="H7" i="32"/>
  <c r="H8" i="32"/>
  <c r="N10" i="32"/>
  <c r="I8" i="32"/>
  <c r="I7" i="32"/>
  <c r="I6" i="32"/>
  <c r="J8" i="32"/>
  <c r="J7" i="32"/>
  <c r="J6" i="32"/>
  <c r="K6" i="32"/>
  <c r="K8" i="32"/>
  <c r="K7" i="32"/>
  <c r="L6" i="32"/>
  <c r="L8" i="32"/>
  <c r="L7" i="32"/>
  <c r="M8" i="32"/>
  <c r="M7" i="32"/>
  <c r="M6" i="32"/>
  <c r="O7" i="32"/>
  <c r="O8" i="32"/>
  <c r="O6" i="32"/>
  <c r="P8" i="32"/>
  <c r="P7" i="32"/>
  <c r="P6" i="32"/>
  <c r="Q8" i="32"/>
  <c r="Q7" i="32"/>
  <c r="Q6" i="32"/>
  <c r="R7" i="32"/>
  <c r="R8" i="32"/>
  <c r="R6" i="32"/>
  <c r="S6" i="32"/>
  <c r="S8" i="32"/>
  <c r="S7" i="32"/>
  <c r="T6" i="32"/>
  <c r="T7" i="32"/>
  <c r="T8" i="32"/>
  <c r="U7" i="32"/>
  <c r="U8" i="32"/>
  <c r="U6" i="32"/>
  <c r="V8" i="32"/>
  <c r="V6" i="32"/>
  <c r="V7" i="32"/>
  <c r="W6" i="32"/>
  <c r="W8" i="32"/>
  <c r="W7" i="32"/>
  <c r="X8" i="32"/>
  <c r="X7" i="32"/>
  <c r="X6" i="32"/>
  <c r="Y8" i="32"/>
  <c r="Y7" i="32"/>
  <c r="Y6" i="32"/>
  <c r="Z8" i="32"/>
  <c r="Z7" i="32"/>
  <c r="Z6" i="32"/>
  <c r="AB7" i="32"/>
  <c r="AB6" i="32"/>
  <c r="AB8" i="32"/>
  <c r="AC7" i="32"/>
  <c r="AC6" i="32"/>
  <c r="AC8" i="32"/>
  <c r="AD7" i="32"/>
  <c r="AD8" i="32"/>
  <c r="AD6" i="32"/>
  <c r="AE7" i="32"/>
  <c r="AE8" i="32"/>
  <c r="AE6" i="32"/>
  <c r="AF8" i="32"/>
  <c r="AF7" i="32"/>
  <c r="AF6" i="32"/>
  <c r="AG7" i="32"/>
  <c r="AG8" i="32"/>
  <c r="AG6" i="32"/>
  <c r="AH7" i="32"/>
  <c r="AH8" i="32"/>
  <c r="AH6" i="32"/>
  <c r="AI8" i="32"/>
  <c r="AI7" i="32"/>
  <c r="AI6" i="32"/>
  <c r="AJ8" i="32"/>
  <c r="AJ7" i="32"/>
  <c r="AJ6" i="32"/>
  <c r="AK7" i="32"/>
  <c r="AK8" i="32"/>
  <c r="AK6" i="32"/>
  <c r="AL8" i="32"/>
  <c r="AL7" i="32"/>
  <c r="AL6" i="32"/>
  <c r="AM6" i="32"/>
  <c r="AM8" i="32"/>
  <c r="AM7" i="32"/>
  <c r="BO14" i="13"/>
  <c r="BR30" i="1"/>
  <c r="BR13" i="13"/>
  <c r="BH13" i="13"/>
  <c r="J56" i="44"/>
  <c r="K53" i="44" s="1"/>
  <c r="E53" i="44"/>
  <c r="B31" i="56"/>
  <c r="B36" i="56" s="1"/>
  <c r="A43" i="56"/>
  <c r="BF13" i="13"/>
  <c r="BF30" i="1"/>
  <c r="M31" i="44"/>
  <c r="M14" i="13"/>
  <c r="AB31" i="44"/>
  <c r="AB14" i="13"/>
  <c r="AB12" i="13" s="1"/>
  <c r="BP13" i="13"/>
  <c r="BP42" i="44"/>
  <c r="AH13" i="13"/>
  <c r="AO15" i="13"/>
  <c r="AK42" i="44"/>
  <c r="G27" i="34"/>
  <c r="H27" i="34" s="1"/>
  <c r="E28" i="34"/>
  <c r="F20" i="34"/>
  <c r="G20" i="34"/>
  <c r="G38" i="34" s="1"/>
  <c r="H20" i="34"/>
  <c r="I20" i="34" s="1"/>
  <c r="J20" i="34" s="1"/>
  <c r="K20" i="34" s="1"/>
  <c r="L20" i="34" s="1"/>
  <c r="M20" i="34" s="1"/>
  <c r="N20" i="34" s="1"/>
  <c r="O20" i="34" s="1"/>
  <c r="P20" i="34" s="1"/>
  <c r="R20" i="34" s="1"/>
  <c r="S20" i="34" s="1"/>
  <c r="T20" i="34" s="1"/>
  <c r="U20" i="34" s="1"/>
  <c r="V20" i="34" s="1"/>
  <c r="W20" i="34" s="1"/>
  <c r="X20" i="34" s="1"/>
  <c r="Y20" i="34" s="1"/>
  <c r="Z20" i="34" s="1"/>
  <c r="AA20" i="34" s="1"/>
  <c r="AB20" i="34" s="1"/>
  <c r="AC20" i="34" s="1"/>
  <c r="AE20" i="34" s="1"/>
  <c r="AF20" i="34" s="1"/>
  <c r="AG20" i="34" s="1"/>
  <c r="AH20" i="34" s="1"/>
  <c r="AI20" i="34" s="1"/>
  <c r="AJ20" i="34" s="1"/>
  <c r="AK20" i="34" s="1"/>
  <c r="AL20" i="34" s="1"/>
  <c r="AM20" i="34" s="1"/>
  <c r="AN20" i="34" s="1"/>
  <c r="AO20" i="34" s="1"/>
  <c r="AP20" i="34" s="1"/>
  <c r="E38" i="34"/>
  <c r="F38" i="34"/>
  <c r="E17" i="37"/>
  <c r="AE15" i="13"/>
  <c r="E37" i="34"/>
  <c r="E50" i="34"/>
  <c r="F19" i="34"/>
  <c r="AL17" i="36"/>
  <c r="BI30" i="1"/>
  <c r="BM14" i="13"/>
  <c r="AQ13" i="13"/>
  <c r="AM15" i="13"/>
  <c r="AH15" i="13"/>
  <c r="AF15" i="13"/>
  <c r="F5" i="37"/>
  <c r="AG5" i="25"/>
  <c r="AH49" i="34"/>
  <c r="E39" i="34"/>
  <c r="F21" i="34"/>
  <c r="G21" i="34"/>
  <c r="H21" i="34"/>
  <c r="I21" i="34"/>
  <c r="J21" i="34" s="1"/>
  <c r="K21" i="34" s="1"/>
  <c r="L21" i="34" s="1"/>
  <c r="M21" i="34" s="1"/>
  <c r="N21" i="34" s="1"/>
  <c r="O21" i="34" s="1"/>
  <c r="P21" i="34" s="1"/>
  <c r="R21" i="34" s="1"/>
  <c r="S21" i="34" s="1"/>
  <c r="T21" i="34" s="1"/>
  <c r="U21" i="34" s="1"/>
  <c r="V21" i="34" s="1"/>
  <c r="W21" i="34" s="1"/>
  <c r="X21" i="34" s="1"/>
  <c r="Y21" i="34" s="1"/>
  <c r="Z21" i="34" s="1"/>
  <c r="AA21" i="34" s="1"/>
  <c r="AB21" i="34" s="1"/>
  <c r="AC21" i="34" s="1"/>
  <c r="AE21" i="34" s="1"/>
  <c r="AF21" i="34" s="1"/>
  <c r="AG21" i="34" s="1"/>
  <c r="AH21" i="34" s="1"/>
  <c r="AI21" i="34" s="1"/>
  <c r="AJ21" i="34" s="1"/>
  <c r="AK21" i="34" s="1"/>
  <c r="AL21" i="34" s="1"/>
  <c r="AM21" i="34" s="1"/>
  <c r="AN21" i="34" s="1"/>
  <c r="AO21" i="34" s="1"/>
  <c r="AP21" i="34" s="1"/>
  <c r="M17" i="36"/>
  <c r="J17" i="36"/>
  <c r="M17" i="37"/>
  <c r="F145" i="2"/>
  <c r="AN68" i="54"/>
  <c r="BN73" i="54"/>
  <c r="CD73" i="54"/>
  <c r="BR35" i="13"/>
  <c r="P25" i="49"/>
  <c r="P35" i="13"/>
  <c r="X25" i="49"/>
  <c r="X35" i="13"/>
  <c r="AF35" i="13"/>
  <c r="AF25" i="49"/>
  <c r="AN35" i="13"/>
  <c r="AN25" i="49"/>
  <c r="AV35" i="13"/>
  <c r="AV25" i="49"/>
  <c r="BD35" i="13"/>
  <c r="BD25" i="49"/>
  <c r="BL35" i="13"/>
  <c r="BL25" i="49"/>
  <c r="F6" i="2"/>
  <c r="F6" i="54"/>
  <c r="O6" i="54"/>
  <c r="X6" i="54"/>
  <c r="G6" i="53"/>
  <c r="G6" i="59" s="1"/>
  <c r="G6" i="54"/>
  <c r="P6" i="54" s="1"/>
  <c r="Y6" i="54" s="1"/>
  <c r="V35" i="13"/>
  <c r="V25" i="49"/>
  <c r="AD25" i="49"/>
  <c r="AD35" i="13"/>
  <c r="AH35" i="13"/>
  <c r="AH25" i="49"/>
  <c r="AL25" i="49"/>
  <c r="AL35" i="13"/>
  <c r="AT25" i="49"/>
  <c r="AT35" i="13"/>
  <c r="AX25" i="49"/>
  <c r="AX35" i="13"/>
  <c r="BJ35" i="13"/>
  <c r="BJ25" i="49"/>
  <c r="BN25" i="49"/>
  <c r="BN35" i="13"/>
  <c r="BG15" i="13"/>
  <c r="BG14" i="13"/>
  <c r="BB14" i="13"/>
  <c r="BA15" i="13"/>
  <c r="AN13" i="13"/>
  <c r="AN15" i="13"/>
  <c r="AO14" i="13"/>
  <c r="AH14" i="13"/>
  <c r="AH12" i="13" s="1"/>
  <c r="T30" i="1"/>
  <c r="G5" i="23"/>
  <c r="B11" i="23" s="1"/>
  <c r="G5" i="26"/>
  <c r="B11" i="26" s="1"/>
  <c r="B12" i="1"/>
  <c r="B18" i="1"/>
  <c r="A49" i="1"/>
  <c r="C124" i="56"/>
  <c r="C150" i="56"/>
  <c r="L35" i="13"/>
  <c r="AZ25" i="49"/>
  <c r="X17" i="37"/>
  <c r="AA17" i="37"/>
  <c r="B64" i="54"/>
  <c r="X33" i="54"/>
  <c r="X102" i="54"/>
  <c r="W64" i="54"/>
  <c r="L41" i="50"/>
  <c r="M41" i="50" s="1"/>
  <c r="N41" i="50" s="1"/>
  <c r="O41" i="50" s="1"/>
  <c r="P41" i="50" s="1"/>
  <c r="Q41" i="50" s="1"/>
  <c r="R41" i="50" s="1"/>
  <c r="S41" i="50" s="1"/>
  <c r="T41" i="50" s="1"/>
  <c r="U41" i="50" s="1"/>
  <c r="V41" i="50" s="1"/>
  <c r="W41" i="50" s="1"/>
  <c r="X41" i="50" s="1"/>
  <c r="Y41" i="50" s="1"/>
  <c r="Z41" i="50" s="1"/>
  <c r="AA41" i="50" s="1"/>
  <c r="AB41" i="50" s="1"/>
  <c r="AC41" i="50" s="1"/>
  <c r="AD41" i="50" s="1"/>
  <c r="AE41" i="50" s="1"/>
  <c r="AF41" i="50" s="1"/>
  <c r="AG41" i="50" s="1"/>
  <c r="AH41" i="50" s="1"/>
  <c r="AI41" i="50" s="1"/>
  <c r="AJ41" i="50" s="1"/>
  <c r="AK41" i="50" s="1"/>
  <c r="AL41" i="50" s="1"/>
  <c r="AM41" i="50" s="1"/>
  <c r="AN41" i="50" s="1"/>
  <c r="AO41" i="50" s="1"/>
  <c r="AP41" i="50" s="1"/>
  <c r="AQ41" i="50" s="1"/>
  <c r="AR41" i="50" s="1"/>
  <c r="AS41" i="50" s="1"/>
  <c r="AT41" i="50" s="1"/>
  <c r="AU41" i="50" s="1"/>
  <c r="AV41" i="50" s="1"/>
  <c r="AW41" i="50" s="1"/>
  <c r="AX41" i="50" s="1"/>
  <c r="AY41" i="50" s="1"/>
  <c r="AZ41" i="50" s="1"/>
  <c r="BA41" i="50" s="1"/>
  <c r="BB41" i="50" s="1"/>
  <c r="BC41" i="50" s="1"/>
  <c r="BD41" i="50" s="1"/>
  <c r="BE41" i="50" s="1"/>
  <c r="BF41" i="50" s="1"/>
  <c r="BG41" i="50" s="1"/>
  <c r="BH41" i="50" s="1"/>
  <c r="BI41" i="50" s="1"/>
  <c r="BJ41" i="50" s="1"/>
  <c r="BK41" i="50" s="1"/>
  <c r="BL41" i="50" s="1"/>
  <c r="BM41" i="50" s="1"/>
  <c r="BN41" i="50" s="1"/>
  <c r="BO41" i="50" s="1"/>
  <c r="BP41" i="50" s="1"/>
  <c r="BQ41" i="50" s="1"/>
  <c r="BR41" i="50" s="1"/>
  <c r="Q30" i="1"/>
  <c r="Y17" i="36"/>
  <c r="AJ17" i="36"/>
  <c r="F17" i="37"/>
  <c r="J17" i="37"/>
  <c r="X15" i="13"/>
  <c r="D112" i="11"/>
  <c r="X75" i="54"/>
  <c r="X82" i="54"/>
  <c r="X25" i="54"/>
  <c r="X99" i="54"/>
  <c r="X101" i="54"/>
  <c r="X106" i="54"/>
  <c r="W62" i="54"/>
  <c r="Y62" i="54"/>
  <c r="Y66" i="54"/>
  <c r="Y84" i="54"/>
  <c r="AI68" i="54"/>
  <c r="AM68" i="54"/>
  <c r="AU68" i="54"/>
  <c r="AY68" i="54"/>
  <c r="BC68" i="54"/>
  <c r="BG68" i="54"/>
  <c r="BK68" i="54"/>
  <c r="BO68" i="54"/>
  <c r="BW68" i="54"/>
  <c r="CA68" i="54"/>
  <c r="CE68" i="54"/>
  <c r="AJ68" i="54"/>
  <c r="AR68" i="54"/>
  <c r="AV68" i="54"/>
  <c r="AZ68" i="54"/>
  <c r="BD68" i="54"/>
  <c r="BL68" i="54"/>
  <c r="BP68" i="54"/>
  <c r="BT68" i="54"/>
  <c r="BX68" i="54"/>
  <c r="CB68" i="54"/>
  <c r="CF68" i="54"/>
  <c r="AG73" i="54"/>
  <c r="AO73" i="54"/>
  <c r="AS73" i="54"/>
  <c r="AW73" i="54"/>
  <c r="BA73" i="54"/>
  <c r="BI73" i="54"/>
  <c r="BM73" i="54"/>
  <c r="BQ73" i="54"/>
  <c r="BU73" i="54"/>
  <c r="BY73" i="54"/>
  <c r="AH73" i="54"/>
  <c r="AL73" i="54"/>
  <c r="AP73" i="54"/>
  <c r="AT73" i="54"/>
  <c r="AX73" i="54"/>
  <c r="BB73" i="54"/>
  <c r="BJ73" i="54"/>
  <c r="BR73" i="54"/>
  <c r="BV73" i="54"/>
  <c r="BZ73" i="54"/>
  <c r="Y85" i="54"/>
  <c r="W81" i="54"/>
  <c r="W66" i="54"/>
  <c r="W100" i="54"/>
  <c r="W107" i="54"/>
  <c r="D130" i="56"/>
  <c r="D156" i="56"/>
  <c r="W103" i="54"/>
  <c r="Y41" i="54"/>
  <c r="BA68" i="54"/>
  <c r="BE68" i="54"/>
  <c r="BM68" i="54"/>
  <c r="BY68" i="54"/>
  <c r="AH68" i="54"/>
  <c r="AP68" i="54"/>
  <c r="AT68" i="54"/>
  <c r="AX68" i="54"/>
  <c r="BF68" i="54"/>
  <c r="BJ68" i="54"/>
  <c r="BN68" i="54"/>
  <c r="BV68" i="54"/>
  <c r="BZ68" i="54"/>
  <c r="CD68" i="54"/>
  <c r="AQ73" i="54"/>
  <c r="AU73" i="54"/>
  <c r="BC73" i="54"/>
  <c r="BK73" i="54"/>
  <c r="BS73" i="54"/>
  <c r="BW73" i="54"/>
  <c r="AN73" i="54"/>
  <c r="AR73" i="54"/>
  <c r="AV73" i="54"/>
  <c r="BD73" i="54"/>
  <c r="BL73" i="54"/>
  <c r="BP73" i="54"/>
  <c r="BT73" i="54"/>
  <c r="CB73" i="54"/>
  <c r="CF73" i="54"/>
  <c r="W41" i="54"/>
  <c r="W84" i="54"/>
  <c r="W76" i="54"/>
  <c r="W111" i="54"/>
  <c r="W118" i="54"/>
  <c r="D79" i="56"/>
  <c r="X103" i="54"/>
  <c r="U5" i="2"/>
  <c r="E5" i="11"/>
  <c r="G5" i="2"/>
  <c r="G192" i="2"/>
  <c r="E5" i="57"/>
  <c r="T5" i="2"/>
  <c r="E5" i="6"/>
  <c r="E5" i="44"/>
  <c r="E5" i="49"/>
  <c r="H5" i="53"/>
  <c r="X5" i="2"/>
  <c r="P5" i="2"/>
  <c r="E5" i="42"/>
  <c r="E5" i="48"/>
  <c r="E5" i="56"/>
  <c r="E5" i="1"/>
  <c r="E5" i="9"/>
  <c r="E5" i="13"/>
  <c r="E5" i="51"/>
  <c r="H5" i="54"/>
  <c r="Q5" i="54" s="1"/>
  <c r="Z5" i="54" s="1"/>
  <c r="Y5" i="2"/>
  <c r="Q5" i="2"/>
  <c r="F6" i="53"/>
  <c r="F6" i="59"/>
  <c r="D216" i="11"/>
  <c r="D219" i="11"/>
  <c r="C49" i="9"/>
  <c r="D220" i="11"/>
  <c r="Y27" i="54"/>
  <c r="D129" i="56"/>
  <c r="W101" i="54"/>
  <c r="W109" i="54"/>
  <c r="W116" i="54"/>
  <c r="E73" i="54"/>
  <c r="W73" i="54" s="1"/>
  <c r="E93" i="54"/>
  <c r="D52" i="56"/>
  <c r="K75" i="9"/>
  <c r="B21" i="54"/>
  <c r="F22" i="53"/>
  <c r="O25" i="53"/>
  <c r="X44" i="54"/>
  <c r="F73" i="54"/>
  <c r="X73" i="54" s="1"/>
  <c r="D104" i="56"/>
  <c r="W37" i="54"/>
  <c r="W90" i="54"/>
  <c r="E61" i="54"/>
  <c r="D148" i="11"/>
  <c r="X62" i="54"/>
  <c r="Y63" i="54"/>
  <c r="Y100" i="54"/>
  <c r="Y102" i="54"/>
  <c r="Y107" i="54"/>
  <c r="Y114" i="54"/>
  <c r="Y118" i="54"/>
  <c r="B25" i="54"/>
  <c r="F24" i="54"/>
  <c r="G19" i="54"/>
  <c r="G61" i="54"/>
  <c r="G73" i="54"/>
  <c r="G79" i="54" s="1"/>
  <c r="W82" i="54"/>
  <c r="W75" i="54"/>
  <c r="D28" i="56"/>
  <c r="X71" i="54"/>
  <c r="X86" i="54"/>
  <c r="BA69" i="53"/>
  <c r="AG74" i="53"/>
  <c r="AO74" i="53"/>
  <c r="F17" i="53"/>
  <c r="O20" i="53"/>
  <c r="E17" i="53"/>
  <c r="Y71" i="54"/>
  <c r="Y81" i="54"/>
  <c r="BG69" i="53"/>
  <c r="AH69" i="53"/>
  <c r="BJ69" i="53"/>
  <c r="AJ74" i="53"/>
  <c r="BK74" i="53"/>
  <c r="AT74" i="53"/>
  <c r="BV74" i="53"/>
  <c r="G22" i="53"/>
  <c r="Y69" i="53"/>
  <c r="AC69" i="53"/>
  <c r="AG69" i="53"/>
  <c r="AK69" i="53"/>
  <c r="AO69" i="53"/>
  <c r="AS69" i="53"/>
  <c r="AW69" i="53"/>
  <c r="BE69" i="53"/>
  <c r="BI69" i="53"/>
  <c r="BM69" i="53"/>
  <c r="Y74" i="53"/>
  <c r="AC74" i="53"/>
  <c r="AK74" i="53"/>
  <c r="AS74" i="53"/>
  <c r="AW74" i="53"/>
  <c r="BI74" i="53"/>
  <c r="BQ74" i="53"/>
  <c r="O26" i="54"/>
  <c r="X26" i="54"/>
  <c r="E12" i="53"/>
  <c r="O24" i="54"/>
  <c r="X24" i="54"/>
  <c r="O23" i="53"/>
  <c r="O24" i="53"/>
  <c r="G28" i="59"/>
  <c r="O32" i="54"/>
  <c r="X32" i="54"/>
  <c r="N19" i="54"/>
  <c r="BH69" i="53"/>
  <c r="X74" i="53"/>
  <c r="AN74" i="53"/>
  <c r="E69" i="53"/>
  <c r="E27" i="59"/>
  <c r="O31" i="54"/>
  <c r="X31" i="54" s="1"/>
  <c r="Y17" i="54"/>
  <c r="E22" i="53"/>
  <c r="N69" i="54"/>
  <c r="W69" i="54" s="1"/>
  <c r="N32" i="54"/>
  <c r="W32" i="54"/>
  <c r="W44" i="54"/>
  <c r="AR74" i="53"/>
  <c r="Y86" i="54"/>
  <c r="E28" i="59"/>
  <c r="W70" i="54"/>
  <c r="AU69" i="53"/>
  <c r="BW69" i="53"/>
  <c r="AD69" i="53"/>
  <c r="AP69" i="53"/>
  <c r="AX69" i="53"/>
  <c r="BF69" i="53"/>
  <c r="BV69" i="53"/>
  <c r="BS74" i="53"/>
  <c r="Z74" i="53"/>
  <c r="AH74" i="53"/>
  <c r="AP74" i="53"/>
  <c r="BF74" i="53"/>
  <c r="BJ74" i="53"/>
  <c r="BN74" i="53"/>
  <c r="F28" i="59"/>
  <c r="P31" i="54"/>
  <c r="Y31" i="54"/>
  <c r="E62" i="53"/>
  <c r="N61" i="54"/>
  <c r="W61" i="54"/>
  <c r="N31" i="54"/>
  <c r="W31" i="54"/>
  <c r="N20" i="54"/>
  <c r="W20" i="54" s="1"/>
  <c r="N15" i="54"/>
  <c r="W15" i="54"/>
  <c r="E95" i="53"/>
  <c r="N93" i="54"/>
  <c r="W93" i="54" s="1"/>
  <c r="W114" i="54"/>
  <c r="R25" i="49"/>
  <c r="Q25" i="49"/>
  <c r="N35" i="13"/>
  <c r="AV18" i="13"/>
  <c r="V92" i="5"/>
  <c r="V76" i="44"/>
  <c r="V77" i="44" s="1"/>
  <c r="V19" i="13"/>
  <c r="BA19" i="13"/>
  <c r="BA71" i="5"/>
  <c r="BA65" i="44"/>
  <c r="BC71" i="5"/>
  <c r="BC65" i="44"/>
  <c r="BC66" i="44" s="1"/>
  <c r="V50" i="5"/>
  <c r="V54" i="44"/>
  <c r="V55" i="44" s="1"/>
  <c r="BK20" i="13"/>
  <c r="AZ71" i="5"/>
  <c r="AZ65" i="44"/>
  <c r="AZ66" i="44" s="1"/>
  <c r="AZ19" i="13"/>
  <c r="AY71" i="5"/>
  <c r="AY65" i="44"/>
  <c r="AY66" i="44" s="1"/>
  <c r="AG50" i="5"/>
  <c r="AG54" i="44"/>
  <c r="AG55" i="44"/>
  <c r="AQ71" i="5"/>
  <c r="AQ65" i="44"/>
  <c r="AQ66" i="44" s="1"/>
  <c r="AS66" i="44"/>
  <c r="AM71" i="5"/>
  <c r="AM65" i="44"/>
  <c r="AM66" i="44" s="1"/>
  <c r="AO71" i="5"/>
  <c r="AO65" i="44"/>
  <c r="AO66" i="44"/>
  <c r="AF71" i="5"/>
  <c r="AF65" i="44"/>
  <c r="AF66" i="44" s="1"/>
  <c r="AE92" i="5"/>
  <c r="AE76" i="44" s="1"/>
  <c r="AE77" i="44" s="1"/>
  <c r="AG92" i="5"/>
  <c r="AG76" i="44"/>
  <c r="AG77" i="44"/>
  <c r="V71" i="5"/>
  <c r="V65" i="44"/>
  <c r="V66" i="44" s="1"/>
  <c r="X66" i="44"/>
  <c r="K71" i="5"/>
  <c r="K65" i="44" s="1"/>
  <c r="K66" i="44" s="1"/>
  <c r="K67" i="44" s="1"/>
  <c r="K26" i="50" s="1"/>
  <c r="BI19" i="13"/>
  <c r="AZ18" i="13"/>
  <c r="AU71" i="5"/>
  <c r="AU65" i="44"/>
  <c r="AU66" i="44" s="1"/>
  <c r="AB71" i="5"/>
  <c r="AB65" i="44"/>
  <c r="AB66" i="44" s="1"/>
  <c r="BH50" i="5"/>
  <c r="BH54" i="44"/>
  <c r="BH55" i="44"/>
  <c r="AV50" i="5"/>
  <c r="AV54" i="44"/>
  <c r="AV55" i="44"/>
  <c r="BJ19" i="13"/>
  <c r="BF19" i="13"/>
  <c r="AW19" i="13"/>
  <c r="AE71" i="5"/>
  <c r="AE65" i="44"/>
  <c r="AE66" i="44" s="1"/>
  <c r="AG71" i="5"/>
  <c r="AG65" i="44"/>
  <c r="AG66" i="44"/>
  <c r="X92" i="5"/>
  <c r="X76" i="44"/>
  <c r="AL19" i="13"/>
  <c r="BP18" i="13"/>
  <c r="BB50" i="5"/>
  <c r="BB54" i="44" s="1"/>
  <c r="BB55" i="44" s="1"/>
  <c r="AH20" i="13"/>
  <c r="AH92" i="5"/>
  <c r="AH76" i="44"/>
  <c r="BR50" i="5"/>
  <c r="BR54" i="44" s="1"/>
  <c r="BR55" i="44"/>
  <c r="AZ50" i="5"/>
  <c r="AZ54" i="44"/>
  <c r="AZ55" i="44" s="1"/>
  <c r="BK71" i="5"/>
  <c r="BK65" i="44"/>
  <c r="BK66" i="44" s="1"/>
  <c r="BJ18" i="13"/>
  <c r="BG71" i="5"/>
  <c r="BG65" i="44"/>
  <c r="BF71" i="5"/>
  <c r="BF65" i="44"/>
  <c r="BF66" i="44" s="1"/>
  <c r="BH71" i="5"/>
  <c r="BH65" i="44"/>
  <c r="BH66" i="44" s="1"/>
  <c r="BE18" i="13"/>
  <c r="BE50" i="5"/>
  <c r="BE54" i="44" s="1"/>
  <c r="BE55" i="44" s="1"/>
  <c r="AR71" i="5"/>
  <c r="AR65" i="44" s="1"/>
  <c r="AR66" i="44" s="1"/>
  <c r="AK71" i="5"/>
  <c r="AK65" i="44" s="1"/>
  <c r="AK66" i="44" s="1"/>
  <c r="AJ71" i="5"/>
  <c r="AJ65" i="44" s="1"/>
  <c r="AJ66" i="44" s="1"/>
  <c r="AD71" i="5"/>
  <c r="AD65" i="44"/>
  <c r="AD66" i="44" s="1"/>
  <c r="R19" i="13"/>
  <c r="L19" i="13"/>
  <c r="P19" i="13"/>
  <c r="P71" i="5"/>
  <c r="P65" i="44"/>
  <c r="S71" i="5"/>
  <c r="S65" i="44" s="1"/>
  <c r="S66" i="44" s="1"/>
  <c r="BP50" i="5"/>
  <c r="BP54" i="44"/>
  <c r="BP55" i="44" s="1"/>
  <c r="BD50" i="5"/>
  <c r="BD54" i="44"/>
  <c r="BD55" i="44" s="1"/>
  <c r="BR18" i="13"/>
  <c r="BO18" i="13"/>
  <c r="BN50" i="5"/>
  <c r="BN54" i="44"/>
  <c r="BN55" i="44" s="1"/>
  <c r="BL50" i="5"/>
  <c r="BL54" i="44"/>
  <c r="BL55" i="44" s="1"/>
  <c r="BO19" i="13"/>
  <c r="BO71" i="5"/>
  <c r="BO65" i="44" s="1"/>
  <c r="BM19" i="13"/>
  <c r="BJ71" i="5"/>
  <c r="BJ65" i="44" s="1"/>
  <c r="BJ66" i="44" s="1"/>
  <c r="AW71" i="5"/>
  <c r="AW65" i="44"/>
  <c r="AW66" i="44" s="1"/>
  <c r="AP71" i="5"/>
  <c r="AP65" i="44" s="1"/>
  <c r="AP66" i="44" s="1"/>
  <c r="AC50" i="5"/>
  <c r="AC54" i="44" s="1"/>
  <c r="AC55" i="44" s="1"/>
  <c r="AL71" i="5"/>
  <c r="AL65" i="44"/>
  <c r="AL66" i="44" s="1"/>
  <c r="AG19" i="13"/>
  <c r="M71" i="5"/>
  <c r="M65" i="44"/>
  <c r="O66" i="44"/>
  <c r="Q71" i="5"/>
  <c r="Q65" i="44" s="1"/>
  <c r="Q66" i="44" s="1"/>
  <c r="U71" i="5"/>
  <c r="U65" i="44" s="1"/>
  <c r="U66" i="44" s="1"/>
  <c r="BH18" i="13"/>
  <c r="BF18" i="13"/>
  <c r="BR71" i="5"/>
  <c r="BR65" i="44"/>
  <c r="BR66" i="44" s="1"/>
  <c r="AX50" i="5"/>
  <c r="AX54" i="44"/>
  <c r="AX55" i="44" s="1"/>
  <c r="BG19" i="13"/>
  <c r="AH19" i="13"/>
  <c r="AA19" i="13"/>
  <c r="AA71" i="5"/>
  <c r="AA65" i="44" s="1"/>
  <c r="T19" i="13"/>
  <c r="M92" i="5"/>
  <c r="M76" i="44" s="1"/>
  <c r="M77" i="44" s="1"/>
  <c r="X19" i="13"/>
  <c r="AM18" i="13"/>
  <c r="AU92" i="5"/>
  <c r="AU76" i="44" s="1"/>
  <c r="AU77" i="44" s="1"/>
  <c r="AW92" i="5"/>
  <c r="AW76" i="44"/>
  <c r="AW77" i="44" s="1"/>
  <c r="U50" i="5"/>
  <c r="U54" i="44" s="1"/>
  <c r="U55" i="44" s="1"/>
  <c r="AC71" i="5"/>
  <c r="AC65" i="44"/>
  <c r="L71" i="5"/>
  <c r="L65" i="44"/>
  <c r="N66" i="44"/>
  <c r="T71" i="5"/>
  <c r="T65" i="44" s="1"/>
  <c r="T66" i="44" s="1"/>
  <c r="S92" i="5"/>
  <c r="S76" i="44" s="1"/>
  <c r="S77" i="44" s="1"/>
  <c r="N92" i="5"/>
  <c r="N76" i="44"/>
  <c r="N77" i="44" s="1"/>
  <c r="L92" i="5"/>
  <c r="L76" i="44"/>
  <c r="AC20" i="13"/>
  <c r="BN92" i="5"/>
  <c r="BN76" i="44"/>
  <c r="BN77" i="44" s="1"/>
  <c r="AY92" i="5"/>
  <c r="AY76" i="44" s="1"/>
  <c r="AW20" i="13"/>
  <c r="AU20" i="13"/>
  <c r="AN92" i="5"/>
  <c r="AN76" i="44" s="1"/>
  <c r="AN77" i="44" s="1"/>
  <c r="T92" i="5"/>
  <c r="T76" i="44" s="1"/>
  <c r="T77" i="44" s="1"/>
  <c r="R20" i="13"/>
  <c r="L20" i="13"/>
  <c r="BN20" i="13"/>
  <c r="BI92" i="5"/>
  <c r="BI76" i="44" s="1"/>
  <c r="BI77" i="44" s="1"/>
  <c r="K92" i="5"/>
  <c r="K76" i="44" s="1"/>
  <c r="K77" i="44" s="1"/>
  <c r="P92" i="5"/>
  <c r="P76" i="44" s="1"/>
  <c r="P77" i="44" s="1"/>
  <c r="AG20" i="13"/>
  <c r="BI20" i="13"/>
  <c r="AI92" i="5"/>
  <c r="AI76" i="44" s="1"/>
  <c r="AI77" i="44" s="1"/>
  <c r="BG20" i="13"/>
  <c r="AT20" i="13"/>
  <c r="AQ92" i="5"/>
  <c r="AQ76" i="44"/>
  <c r="S20" i="13"/>
  <c r="BR92" i="5"/>
  <c r="BR76" i="44"/>
  <c r="BR77" i="44" s="1"/>
  <c r="BH92" i="5"/>
  <c r="BH76" i="44" s="1"/>
  <c r="BH77" i="44" s="1"/>
  <c r="BG92" i="5"/>
  <c r="BG76" i="44" s="1"/>
  <c r="BG77" i="44" s="1"/>
  <c r="AM92" i="5"/>
  <c r="AM76" i="44"/>
  <c r="U92" i="5"/>
  <c r="U76" i="44"/>
  <c r="R92" i="5"/>
  <c r="R76" i="44" s="1"/>
  <c r="R77" i="44" s="1"/>
  <c r="Q20" i="13"/>
  <c r="V20" i="13"/>
  <c r="AQ20" i="13"/>
  <c r="AN20" i="13"/>
  <c r="O92" i="5"/>
  <c r="O76" i="44" s="1"/>
  <c r="Q92" i="5"/>
  <c r="Q76" i="44"/>
  <c r="Q77" i="44"/>
  <c r="U20" i="13"/>
  <c r="BE92" i="5"/>
  <c r="BE76" i="44" s="1"/>
  <c r="BE77" i="44" s="1"/>
  <c r="AC92" i="5"/>
  <c r="AC76" i="44"/>
  <c r="O20" i="13"/>
  <c r="X109" i="54"/>
  <c r="Y106" i="54"/>
  <c r="Y109" i="54"/>
  <c r="X107" i="54"/>
  <c r="X118" i="54"/>
  <c r="X112" i="54"/>
  <c r="X116" i="54"/>
  <c r="Y111" i="54"/>
  <c r="D184" i="11"/>
  <c r="D183" i="11"/>
  <c r="D75" i="11"/>
  <c r="D144" i="11"/>
  <c r="D147" i="11" s="1"/>
  <c r="D108" i="11"/>
  <c r="D111" i="11"/>
  <c r="D40" i="11"/>
  <c r="A28" i="11"/>
  <c r="B43" i="11"/>
  <c r="B50" i="11" s="1"/>
  <c r="K52" i="11"/>
  <c r="K14" i="11" s="1"/>
  <c r="E14" i="11" s="1"/>
  <c r="D41" i="11"/>
  <c r="D76" i="11"/>
  <c r="B20" i="13"/>
  <c r="B25" i="13"/>
  <c r="J32" i="44"/>
  <c r="E29" i="44"/>
  <c r="K29" i="44"/>
  <c r="U42" i="44"/>
  <c r="P42" i="44"/>
  <c r="R42" i="44"/>
  <c r="O19" i="54"/>
  <c r="X27" i="54"/>
  <c r="X114" i="54"/>
  <c r="W26" i="54"/>
  <c r="E24" i="54"/>
  <c r="J78" i="44"/>
  <c r="K75" i="44" s="1"/>
  <c r="E75" i="44"/>
  <c r="J44" i="48"/>
  <c r="K41" i="48" s="1"/>
  <c r="E41" i="48"/>
  <c r="BB42" i="44"/>
  <c r="AU31" i="44"/>
  <c r="A105" i="2"/>
  <c r="G62" i="53"/>
  <c r="B24" i="53"/>
  <c r="B19" i="53"/>
  <c r="O20" i="54"/>
  <c r="X20" i="54"/>
  <c r="Y21" i="54"/>
  <c r="X100" i="54"/>
  <c r="W106" i="54"/>
  <c r="D29" i="56"/>
  <c r="K38" i="56"/>
  <c r="K14" i="56"/>
  <c r="B63" i="53"/>
  <c r="B62" i="54"/>
  <c r="Y64" i="54"/>
  <c r="X70" i="54"/>
  <c r="O74" i="54"/>
  <c r="X74" i="54" s="1"/>
  <c r="F74" i="53"/>
  <c r="O73" i="54"/>
  <c r="X85" i="54"/>
  <c r="P20" i="54"/>
  <c r="Y20" i="54"/>
  <c r="G17" i="53"/>
  <c r="Y32" i="54"/>
  <c r="W91" i="54"/>
  <c r="W65" i="54"/>
  <c r="X83" i="54"/>
  <c r="O65" i="54"/>
  <c r="X65" i="54"/>
  <c r="F62" i="53"/>
  <c r="Y74" i="54"/>
  <c r="O78" i="54"/>
  <c r="X78" i="54"/>
  <c r="X17" i="54"/>
  <c r="Y101" i="54"/>
  <c r="Y112" i="54"/>
  <c r="N74" i="54"/>
  <c r="W74" i="54"/>
  <c r="E74" i="53"/>
  <c r="N73" i="54"/>
  <c r="E68" i="54"/>
  <c r="E88" i="54" s="1"/>
  <c r="Y83" i="54"/>
  <c r="X63" i="54"/>
  <c r="X64" i="54"/>
  <c r="Y65" i="54"/>
  <c r="P78" i="54"/>
  <c r="Y78" i="54"/>
  <c r="X91" i="54"/>
  <c r="X37" i="54"/>
  <c r="X111" i="54"/>
  <c r="Y116" i="54"/>
  <c r="F68" i="54"/>
  <c r="F79" i="54" s="1"/>
  <c r="G68" i="54"/>
  <c r="X84" i="54"/>
  <c r="W17" i="54"/>
  <c r="W78" i="54"/>
  <c r="W99" i="54"/>
  <c r="W86" i="54"/>
  <c r="X42" i="44"/>
  <c r="M42" i="44"/>
  <c r="Y82" i="54"/>
  <c r="F61" i="54"/>
  <c r="K58" i="11"/>
  <c r="K21" i="11" s="1"/>
  <c r="L30" i="13"/>
  <c r="AO68" i="54"/>
  <c r="AW68" i="54"/>
  <c r="L66" i="44"/>
  <c r="BI68" i="54"/>
  <c r="AI73" i="54"/>
  <c r="AY73" i="54"/>
  <c r="BO73" i="54"/>
  <c r="CE73" i="54"/>
  <c r="E104" i="44"/>
  <c r="AL20" i="44"/>
  <c r="P66" i="44"/>
  <c r="X77" i="44"/>
  <c r="T42" i="44"/>
  <c r="L42" i="44"/>
  <c r="AA69" i="53"/>
  <c r="AI69" i="53"/>
  <c r="AY69" i="53"/>
  <c r="BO69" i="53"/>
  <c r="BC74" i="53"/>
  <c r="BO74" i="53"/>
  <c r="AG68" i="54"/>
  <c r="AS68" i="54"/>
  <c r="BU68" i="54"/>
  <c r="N42" i="44"/>
  <c r="X69" i="53"/>
  <c r="AB69" i="53"/>
  <c r="AF69" i="53"/>
  <c r="AJ69" i="53"/>
  <c r="AN69" i="53"/>
  <c r="AR69" i="53"/>
  <c r="AV69" i="53"/>
  <c r="AZ69" i="53"/>
  <c r="BD69" i="53"/>
  <c r="BL69" i="53"/>
  <c r="BP69" i="53"/>
  <c r="BT69" i="53"/>
  <c r="AM69" i="53"/>
  <c r="AQ69" i="53"/>
  <c r="BC69" i="53"/>
  <c r="BK69" i="53"/>
  <c r="BS69" i="53"/>
  <c r="Z69" i="53"/>
  <c r="AL69" i="53"/>
  <c r="AT69" i="53"/>
  <c r="BB69" i="53"/>
  <c r="BN69" i="53"/>
  <c r="BR69" i="53"/>
  <c r="AB74" i="53"/>
  <c r="AF74" i="53"/>
  <c r="AV74" i="53"/>
  <c r="AZ74" i="53"/>
  <c r="BG74" i="53"/>
  <c r="BW74" i="53"/>
  <c r="AD74" i="53"/>
  <c r="AL74" i="53"/>
  <c r="AX74" i="53"/>
  <c r="BB74" i="53"/>
  <c r="BR74" i="53"/>
  <c r="BO55" i="44"/>
  <c r="K30" i="13"/>
  <c r="BQ20" i="44"/>
  <c r="BR31" i="44"/>
  <c r="BA42" i="44"/>
  <c r="AT42" i="44"/>
  <c r="AF42" i="44"/>
  <c r="X31" i="44"/>
  <c r="BO31" i="44"/>
  <c r="BF20" i="44"/>
  <c r="Y42" i="44"/>
  <c r="L31" i="44"/>
  <c r="Q31" i="44"/>
  <c r="S31" i="44"/>
  <c r="T31" i="44"/>
  <c r="O42" i="44"/>
  <c r="Q42" i="44"/>
  <c r="S42" i="44"/>
  <c r="K42" i="44"/>
  <c r="K43" i="44" s="1"/>
  <c r="K14" i="13"/>
  <c r="K50" i="5"/>
  <c r="K54" i="44" s="1"/>
  <c r="E7" i="11"/>
  <c r="E7" i="13"/>
  <c r="E7" i="50"/>
  <c r="E7" i="7"/>
  <c r="H7" i="53"/>
  <c r="H7" i="59" s="1"/>
  <c r="E7" i="5"/>
  <c r="AU50" i="5"/>
  <c r="AU54" i="44" s="1"/>
  <c r="AU55" i="44" s="1"/>
  <c r="BM50" i="5"/>
  <c r="BM54" i="44"/>
  <c r="BM55" i="44"/>
  <c r="AY50" i="5"/>
  <c r="AY54" i="44"/>
  <c r="AY55" i="44" s="1"/>
  <c r="O50" i="5"/>
  <c r="O54" i="44" s="1"/>
  <c r="O55" i="44" s="1"/>
  <c r="BI50" i="5"/>
  <c r="BI54" i="44"/>
  <c r="BI55" i="44" s="1"/>
  <c r="L30" i="1"/>
  <c r="L13" i="13"/>
  <c r="L12" i="13" s="1"/>
  <c r="L50" i="5"/>
  <c r="L54" i="44"/>
  <c r="L55" i="44"/>
  <c r="AR50" i="5"/>
  <c r="AR54" i="44" s="1"/>
  <c r="AR55" i="44" s="1"/>
  <c r="Q13" i="13"/>
  <c r="Q12" i="13" s="1"/>
  <c r="AD13" i="13"/>
  <c r="O30" i="1"/>
  <c r="O13" i="13"/>
  <c r="O12" i="13"/>
  <c r="AM13" i="13"/>
  <c r="Y13" i="13"/>
  <c r="Y12" i="13" s="1"/>
  <c r="Y30" i="1"/>
  <c r="W13" i="13"/>
  <c r="AI13" i="13"/>
  <c r="AE13" i="13"/>
  <c r="S13" i="13"/>
  <c r="S30" i="1"/>
  <c r="Q18" i="13"/>
  <c r="AB18" i="13"/>
  <c r="AR30" i="1"/>
  <c r="AR18" i="13"/>
  <c r="AK18" i="13"/>
  <c r="T18" i="13"/>
  <c r="R13" i="13"/>
  <c r="P30" i="1"/>
  <c r="AO18" i="13"/>
  <c r="AF18" i="13"/>
  <c r="AD18" i="13"/>
  <c r="X30" i="1"/>
  <c r="AM50" i="5"/>
  <c r="AM54" i="44"/>
  <c r="AM55" i="44" s="1"/>
  <c r="AL13" i="13"/>
  <c r="AL15" i="13"/>
  <c r="AJ13" i="13"/>
  <c r="AB50" i="5"/>
  <c r="AB54" i="44" s="1"/>
  <c r="AB55" i="44" s="1"/>
  <c r="U30" i="1"/>
  <c r="N50" i="5"/>
  <c r="N54" i="44"/>
  <c r="N55" i="44" s="1"/>
  <c r="G170" i="2"/>
  <c r="G175" i="2" s="1"/>
  <c r="Y91" i="54"/>
  <c r="G69" i="53"/>
  <c r="P68" i="54"/>
  <c r="Y68" i="54" s="1"/>
  <c r="Y70" i="54"/>
  <c r="C161" i="2"/>
  <c r="M18" i="13"/>
  <c r="M50" i="5"/>
  <c r="M54" i="44" s="1"/>
  <c r="M55" i="44" s="1"/>
  <c r="AS50" i="5"/>
  <c r="AS54" i="44"/>
  <c r="AS55" i="44" s="1"/>
  <c r="AQ50" i="5"/>
  <c r="AQ54" i="44" s="1"/>
  <c r="AQ55" i="44" s="1"/>
  <c r="AF50" i="5"/>
  <c r="AF54" i="44"/>
  <c r="AF55" i="44"/>
  <c r="AD50" i="5"/>
  <c r="AD54" i="44" s="1"/>
  <c r="AD55" i="44" s="1"/>
  <c r="AC18" i="13"/>
  <c r="Q50" i="5"/>
  <c r="Q54" i="44" s="1"/>
  <c r="Q55" i="44" s="1"/>
  <c r="AE50" i="5"/>
  <c r="AE54" i="44"/>
  <c r="AE55" i="44" s="1"/>
  <c r="X50" i="5"/>
  <c r="X54" i="44" s="1"/>
  <c r="X55" i="44" s="1"/>
  <c r="AK50" i="5"/>
  <c r="AK54" i="44"/>
  <c r="AK55" i="44"/>
  <c r="R50" i="5"/>
  <c r="R54" i="44" s="1"/>
  <c r="R55" i="44" s="1"/>
  <c r="BA20" i="44"/>
  <c r="BA13" i="13"/>
  <c r="BQ20" i="13"/>
  <c r="BQ92" i="5"/>
  <c r="BQ76" i="44"/>
  <c r="BQ77" i="44" s="1"/>
  <c r="BK13" i="13"/>
  <c r="BO92" i="5"/>
  <c r="BN13" i="13"/>
  <c r="BE42" i="44"/>
  <c r="BE15" i="13"/>
  <c r="BR42" i="44"/>
  <c r="BR15" i="13"/>
  <c r="BR12" i="13" s="1"/>
  <c r="BC42" i="44"/>
  <c r="BC15" i="13"/>
  <c r="BK50" i="5"/>
  <c r="BK54" i="44"/>
  <c r="BK55" i="44" s="1"/>
  <c r="BO15" i="13"/>
  <c r="BP19" i="13"/>
  <c r="BP71" i="5"/>
  <c r="BK92" i="5"/>
  <c r="BL19" i="13"/>
  <c r="BL71" i="5"/>
  <c r="BL65" i="44" s="1"/>
  <c r="BJ92" i="5"/>
  <c r="BL31" i="44"/>
  <c r="BI14" i="13"/>
  <c r="BI12" i="13" s="1"/>
  <c r="BG50" i="5"/>
  <c r="BG54" i="44" s="1"/>
  <c r="BG55" i="44" s="1"/>
  <c r="BA50" i="5"/>
  <c r="BA54" i="44"/>
  <c r="BA55" i="44" s="1"/>
  <c r="BR20" i="13"/>
  <c r="BD13" i="13"/>
  <c r="BC50" i="5"/>
  <c r="BC54" i="44"/>
  <c r="BC55" i="44"/>
  <c r="BQ71" i="5"/>
  <c r="BQ65" i="44"/>
  <c r="BP14" i="13"/>
  <c r="BM92" i="5"/>
  <c r="BL92" i="5"/>
  <c r="BL20" i="13"/>
  <c r="BN19" i="13"/>
  <c r="BN71" i="5"/>
  <c r="BN65" i="44" s="1"/>
  <c r="BJ14" i="13"/>
  <c r="AW14" i="13"/>
  <c r="AT71" i="5"/>
  <c r="AQ15" i="13"/>
  <c r="AQ42" i="44"/>
  <c r="BC13" i="13"/>
  <c r="BC30" i="1"/>
  <c r="BN14" i="13"/>
  <c r="BK31" i="44"/>
  <c r="BK14" i="13"/>
  <c r="BE14" i="13"/>
  <c r="AX20" i="13"/>
  <c r="AX92" i="5"/>
  <c r="Y50" i="5"/>
  <c r="Y54" i="44"/>
  <c r="Y55" i="44"/>
  <c r="S50" i="5"/>
  <c r="S54" i="44" s="1"/>
  <c r="S55" i="44"/>
  <c r="AB42" i="44"/>
  <c r="AB15" i="13"/>
  <c r="BP92" i="5"/>
  <c r="BF14" i="13"/>
  <c r="BF42" i="44"/>
  <c r="BF15" i="13"/>
  <c r="BC14" i="13"/>
  <c r="BC20" i="13"/>
  <c r="BC92" i="5"/>
  <c r="BD15" i="13"/>
  <c r="BD42" i="44"/>
  <c r="BB92" i="5"/>
  <c r="BB76" i="44" s="1"/>
  <c r="BA20" i="13"/>
  <c r="BA92" i="5"/>
  <c r="BB19" i="13"/>
  <c r="BB71" i="5"/>
  <c r="AY15" i="13"/>
  <c r="AY42" i="44"/>
  <c r="AV20" i="13"/>
  <c r="AV92" i="5"/>
  <c r="AH50" i="5"/>
  <c r="AH54" i="44" s="1"/>
  <c r="AH55" i="44" s="1"/>
  <c r="AS20" i="13"/>
  <c r="AS92" i="5"/>
  <c r="AS76" i="44" s="1"/>
  <c r="AP50" i="5"/>
  <c r="AP54" i="44"/>
  <c r="AP55" i="44" s="1"/>
  <c r="AN42" i="44"/>
  <c r="AC14" i="13"/>
  <c r="AG45" i="34"/>
  <c r="AF58" i="34"/>
  <c r="AG32" i="34"/>
  <c r="F56" i="34"/>
  <c r="G43" i="34"/>
  <c r="G30" i="34"/>
  <c r="BF92" i="5"/>
  <c r="BD20" i="13"/>
  <c r="BD92" i="5"/>
  <c r="AZ92" i="5"/>
  <c r="AZ76" i="44" s="1"/>
  <c r="AZ77" i="44" s="1"/>
  <c r="AW50" i="5"/>
  <c r="AW54" i="44"/>
  <c r="AW55" i="44" s="1"/>
  <c r="AT14" i="13"/>
  <c r="AT50" i="5"/>
  <c r="AT54" i="44"/>
  <c r="AT55" i="44"/>
  <c r="AA13" i="13"/>
  <c r="AL42" i="44"/>
  <c r="AJ92" i="5"/>
  <c r="AK15" i="13"/>
  <c r="AI14" i="13"/>
  <c r="AE42" i="44"/>
  <c r="AE30" i="1"/>
  <c r="BI42" i="44"/>
  <c r="BE71" i="5"/>
  <c r="BD19" i="13"/>
  <c r="AO50" i="5"/>
  <c r="AO54" i="44"/>
  <c r="AO55" i="44" s="1"/>
  <c r="AO13" i="13"/>
  <c r="AO12" i="13" s="1"/>
  <c r="AW42" i="44"/>
  <c r="AW15" i="13"/>
  <c r="AR42" i="44"/>
  <c r="AR15" i="13"/>
  <c r="AJ14" i="13"/>
  <c r="AJ15" i="13"/>
  <c r="AG14" i="13"/>
  <c r="AT92" i="5"/>
  <c r="AT76" i="44" s="1"/>
  <c r="AP14" i="13"/>
  <c r="AN19" i="13"/>
  <c r="AN71" i="5"/>
  <c r="AL20" i="13"/>
  <c r="AL92" i="5"/>
  <c r="AJ42" i="44"/>
  <c r="AJ50" i="5"/>
  <c r="AJ54" i="44" s="1"/>
  <c r="AJ55" i="44" s="1"/>
  <c r="AJ19" i="13"/>
  <c r="AF92" i="5"/>
  <c r="AF76" i="44" s="1"/>
  <c r="AG15" i="13"/>
  <c r="AG42" i="44"/>
  <c r="F25" i="34"/>
  <c r="E26" i="34"/>
  <c r="F51" i="34"/>
  <c r="Z42" i="44"/>
  <c r="Z15" i="13"/>
  <c r="Z12" i="13" s="1"/>
  <c r="AA50" i="5"/>
  <c r="AA54" i="44"/>
  <c r="AA55" i="44" s="1"/>
  <c r="AJ30" i="1"/>
  <c r="AR20" i="13"/>
  <c r="AR92" i="5"/>
  <c r="AP92" i="5"/>
  <c r="AP76" i="44" s="1"/>
  <c r="AP77" i="44" s="1"/>
  <c r="AQ19" i="13"/>
  <c r="AB30" i="1"/>
  <c r="Z50" i="5"/>
  <c r="Z54" i="44" s="1"/>
  <c r="Z55" i="44" s="1"/>
  <c r="W50" i="5"/>
  <c r="W54" i="44" s="1"/>
  <c r="W55" i="44" s="1"/>
  <c r="AL50" i="5"/>
  <c r="AL54" i="44" s="1"/>
  <c r="AL55" i="44" s="1"/>
  <c r="AI19" i="13"/>
  <c r="AI71" i="5"/>
  <c r="T50" i="5"/>
  <c r="T54" i="44" s="1"/>
  <c r="T55" i="44" s="1"/>
  <c r="AE14" i="13"/>
  <c r="AE12" i="13" s="1"/>
  <c r="Z19" i="13"/>
  <c r="Z71" i="5"/>
  <c r="AI50" i="5"/>
  <c r="AI54" i="44"/>
  <c r="AI55" i="44"/>
  <c r="AV30" i="1"/>
  <c r="AO20" i="13"/>
  <c r="AO92" i="5"/>
  <c r="AM14" i="13"/>
  <c r="Z13" i="13"/>
  <c r="AM42" i="44"/>
  <c r="AK20" i="13"/>
  <c r="AK92" i="5"/>
  <c r="AK76" i="44" s="1"/>
  <c r="AK77" i="44" s="1"/>
  <c r="T13" i="13"/>
  <c r="T12" i="13" s="1"/>
  <c r="AD92" i="5"/>
  <c r="AG31" i="44"/>
  <c r="AA92" i="5"/>
  <c r="AA76" i="44" s="1"/>
  <c r="M13" i="13"/>
  <c r="M30" i="1"/>
  <c r="AR19" i="13"/>
  <c r="AO19" i="13"/>
  <c r="Z92" i="5"/>
  <c r="AA14" i="13"/>
  <c r="F5" i="36"/>
  <c r="T5" i="21"/>
  <c r="U18" i="34"/>
  <c r="S5" i="37"/>
  <c r="U5" i="34"/>
  <c r="T5" i="20"/>
  <c r="G5" i="27"/>
  <c r="B11" i="27" s="1"/>
  <c r="H36" i="34"/>
  <c r="T5" i="28"/>
  <c r="S5" i="33"/>
  <c r="AF5" i="36"/>
  <c r="AG5" i="21"/>
  <c r="H18" i="34"/>
  <c r="AG5" i="26"/>
  <c r="T5" i="25"/>
  <c r="AG5" i="22"/>
  <c r="U49" i="34"/>
  <c r="AG5" i="20"/>
  <c r="AG5" i="27"/>
  <c r="AG5" i="23"/>
  <c r="AH36" i="34"/>
  <c r="G5" i="24"/>
  <c r="B11" i="24" s="1"/>
  <c r="C15" i="29"/>
  <c r="S5" i="36"/>
  <c r="T5" i="26"/>
  <c r="T5" i="22"/>
  <c r="H49" i="34"/>
  <c r="AH5" i="34"/>
  <c r="AE5" i="32"/>
  <c r="T5" i="27"/>
  <c r="T5" i="23"/>
  <c r="U36" i="34"/>
  <c r="G5" i="28"/>
  <c r="B11" i="28" s="1"/>
  <c r="AG5" i="24"/>
  <c r="AF5" i="33"/>
  <c r="G5" i="21"/>
  <c r="B11" i="21" s="1"/>
  <c r="AF5" i="37"/>
  <c r="G5" i="25"/>
  <c r="B11" i="25" s="1"/>
  <c r="H5" i="34"/>
  <c r="R5" i="32"/>
  <c r="T5" i="24"/>
  <c r="F5" i="33"/>
  <c r="F39" i="34"/>
  <c r="E52" i="34"/>
  <c r="AB20" i="13"/>
  <c r="AB92" i="5"/>
  <c r="U13" i="13"/>
  <c r="U12" i="13" s="1"/>
  <c r="AC42" i="44"/>
  <c r="AC15" i="13"/>
  <c r="AG5" i="28"/>
  <c r="E5" i="32"/>
  <c r="N30" i="1"/>
  <c r="F41" i="34"/>
  <c r="S45" i="34"/>
  <c r="S32" i="34"/>
  <c r="F42" i="34"/>
  <c r="G24" i="34"/>
  <c r="Y71" i="5"/>
  <c r="F45" i="34"/>
  <c r="F32" i="34"/>
  <c r="C17" i="36"/>
  <c r="AM17" i="36"/>
  <c r="Y92" i="5"/>
  <c r="Y76" i="44" s="1"/>
  <c r="Y77" i="44" s="1"/>
  <c r="W92" i="5"/>
  <c r="W19" i="13"/>
  <c r="W71" i="5"/>
  <c r="W65" i="44" s="1"/>
  <c r="W66" i="44" s="1"/>
  <c r="K7" i="55"/>
  <c r="K7" i="50"/>
  <c r="K7" i="57"/>
  <c r="K7" i="51"/>
  <c r="K7" i="13"/>
  <c r="K7" i="11"/>
  <c r="K7" i="7"/>
  <c r="K7" i="47"/>
  <c r="K7" i="1"/>
  <c r="K7" i="6"/>
  <c r="K7" i="44"/>
  <c r="K7" i="42"/>
  <c r="K7" i="48"/>
  <c r="N8" i="2"/>
  <c r="K7" i="5"/>
  <c r="K7" i="49"/>
  <c r="K31" i="44"/>
  <c r="K32" i="44" s="1"/>
  <c r="K7" i="9"/>
  <c r="K7" i="56"/>
  <c r="E7" i="57"/>
  <c r="E7" i="56"/>
  <c r="G8" i="2"/>
  <c r="E7" i="47"/>
  <c r="E7" i="51"/>
  <c r="E7" i="48"/>
  <c r="E7" i="9"/>
  <c r="E7" i="42"/>
  <c r="E7" i="44"/>
  <c r="H7" i="54"/>
  <c r="Q7" i="54" s="1"/>
  <c r="Z7" i="54"/>
  <c r="E7" i="49"/>
  <c r="E7" i="1"/>
  <c r="K45" i="9"/>
  <c r="K47" i="9"/>
  <c r="M15" i="13"/>
  <c r="E7" i="6"/>
  <c r="H8" i="2"/>
  <c r="O31" i="44"/>
  <c r="C24" i="9"/>
  <c r="B19" i="13"/>
  <c r="B24" i="13"/>
  <c r="AK93" i="54"/>
  <c r="AL90" i="54"/>
  <c r="A27" i="9"/>
  <c r="K55" i="9"/>
  <c r="B71" i="54"/>
  <c r="B76" i="54"/>
  <c r="B72" i="53"/>
  <c r="B77" i="53"/>
  <c r="F184" i="2"/>
  <c r="F188" i="2" s="1"/>
  <c r="F146" i="2" s="1"/>
  <c r="F196" i="2"/>
  <c r="F203" i="2"/>
  <c r="B69" i="54"/>
  <c r="B74" i="54"/>
  <c r="B70" i="53"/>
  <c r="B75" i="53" s="1"/>
  <c r="K35" i="9"/>
  <c r="K37" i="9" s="1"/>
  <c r="J53" i="48"/>
  <c r="K50" i="48" s="1"/>
  <c r="E50" i="48"/>
  <c r="O61" i="54"/>
  <c r="A42" i="6"/>
  <c r="A67" i="6" s="1"/>
  <c r="A91" i="6" s="1"/>
  <c r="C69" i="9"/>
  <c r="B18" i="13"/>
  <c r="O90" i="54"/>
  <c r="X90" i="54" s="1"/>
  <c r="F95" i="53"/>
  <c r="O93" i="54" s="1"/>
  <c r="X93" i="54" s="1"/>
  <c r="O15" i="54"/>
  <c r="X15" i="54"/>
  <c r="F12" i="53"/>
  <c r="F21" i="59"/>
  <c r="P16" i="54"/>
  <c r="Y16" i="54" s="1"/>
  <c r="B25" i="53"/>
  <c r="B20" i="53"/>
  <c r="G14" i="54"/>
  <c r="Y15" i="54"/>
  <c r="E184" i="2"/>
  <c r="E188" i="2" s="1"/>
  <c r="E196" i="2"/>
  <c r="E203" i="2"/>
  <c r="O69" i="54"/>
  <c r="X69" i="54" s="1"/>
  <c r="F69" i="53"/>
  <c r="P76" i="54"/>
  <c r="Y76" i="54"/>
  <c r="G74" i="53"/>
  <c r="P73" i="54"/>
  <c r="Y73" i="54" s="1"/>
  <c r="F88" i="54"/>
  <c r="A69" i="56"/>
  <c r="B55" i="56"/>
  <c r="B61" i="56" s="1"/>
  <c r="E14" i="54"/>
  <c r="E19" i="54"/>
  <c r="E29" i="54"/>
  <c r="W21" i="54"/>
  <c r="W19" i="54"/>
  <c r="W63" i="54"/>
  <c r="AO35" i="13"/>
  <c r="J41" i="49"/>
  <c r="M35" i="13"/>
  <c r="M25" i="49"/>
  <c r="U25" i="49"/>
  <c r="U35" i="13"/>
  <c r="Y35" i="13"/>
  <c r="Y25" i="49"/>
  <c r="AG35" i="13"/>
  <c r="AG25" i="49"/>
  <c r="AK25" i="49"/>
  <c r="AK35" i="13"/>
  <c r="AS25" i="49"/>
  <c r="AS35" i="13"/>
  <c r="AW25" i="49"/>
  <c r="AW35" i="13"/>
  <c r="BE25" i="49"/>
  <c r="BE35" i="13"/>
  <c r="BM25" i="49"/>
  <c r="BM35" i="13"/>
  <c r="BQ35" i="13"/>
  <c r="BQ25" i="49"/>
  <c r="B81" i="56"/>
  <c r="B87" i="56" s="1"/>
  <c r="BI35" i="13"/>
  <c r="BA25" i="49"/>
  <c r="G138" i="2"/>
  <c r="G145" i="2"/>
  <c r="C17" i="47" s="1"/>
  <c r="S35" i="13"/>
  <c r="Z25" i="49"/>
  <c r="BB25" i="49"/>
  <c r="AU35" i="13"/>
  <c r="I5" i="2"/>
  <c r="W5" i="2"/>
  <c r="R5" i="2"/>
  <c r="O5" i="2"/>
  <c r="V5" i="2"/>
  <c r="S5" i="2"/>
  <c r="N5" i="2"/>
  <c r="G88" i="54"/>
  <c r="AT13" i="13"/>
  <c r="AT30" i="1"/>
  <c r="BP30" i="1"/>
  <c r="L77" i="44"/>
  <c r="AG30" i="1"/>
  <c r="AO30" i="1"/>
  <c r="AT12" i="13"/>
  <c r="BG42" i="44"/>
  <c r="BI13" i="13"/>
  <c r="AR31" i="44"/>
  <c r="AG13" i="13"/>
  <c r="AG12" i="13"/>
  <c r="AS13" i="13"/>
  <c r="U77" i="44"/>
  <c r="AZ13" i="13"/>
  <c r="E51" i="34"/>
  <c r="AM30" i="1"/>
  <c r="BP15" i="13"/>
  <c r="BO42" i="44"/>
  <c r="AH30" i="1"/>
  <c r="AY77" i="44"/>
  <c r="BK76" i="44"/>
  <c r="BK77" i="44" s="1"/>
  <c r="AT65" i="44"/>
  <c r="AT66" i="44" s="1"/>
  <c r="E6" i="2"/>
  <c r="E6" i="53"/>
  <c r="E6" i="59" s="1"/>
  <c r="BG20" i="44"/>
  <c r="BG30" i="1"/>
  <c r="BG13" i="13"/>
  <c r="BG12" i="13" s="1"/>
  <c r="AZ14" i="13"/>
  <c r="AZ31" i="44"/>
  <c r="AO42" i="44"/>
  <c r="AH42" i="44"/>
  <c r="BP76" i="44"/>
  <c r="BP77" i="44"/>
  <c r="O77" i="44"/>
  <c r="AC66" i="44"/>
  <c r="BA66" i="44"/>
  <c r="P24" i="54"/>
  <c r="BL13" i="13"/>
  <c r="BL20" i="44"/>
  <c r="AV31" i="44"/>
  <c r="AV14" i="13"/>
  <c r="BH14" i="13"/>
  <c r="AR14" i="13"/>
  <c r="AR12" i="13" s="1"/>
  <c r="G107" i="2"/>
  <c r="G5" i="53"/>
  <c r="G5" i="59" s="1"/>
  <c r="U5" i="7"/>
  <c r="U5" i="56"/>
  <c r="U5" i="9"/>
  <c r="U5" i="42"/>
  <c r="U5" i="5"/>
  <c r="U5" i="48"/>
  <c r="U5" i="6"/>
  <c r="U5" i="57"/>
  <c r="U5" i="49"/>
  <c r="U5" i="47"/>
  <c r="U5" i="11"/>
  <c r="U5" i="1"/>
  <c r="U5" i="51"/>
  <c r="U5" i="50"/>
  <c r="U5" i="13"/>
  <c r="U5" i="44"/>
  <c r="U5" i="55"/>
  <c r="V5" i="7"/>
  <c r="V5" i="56"/>
  <c r="V5" i="50"/>
  <c r="V5" i="49"/>
  <c r="V5" i="42"/>
  <c r="V5" i="1"/>
  <c r="V5" i="5"/>
  <c r="M5" i="57"/>
  <c r="M5" i="55"/>
  <c r="M5" i="11"/>
  <c r="M5" i="51"/>
  <c r="M5" i="47"/>
  <c r="M5" i="5"/>
  <c r="F5" i="2"/>
  <c r="G5" i="54"/>
  <c r="P5" i="54" s="1"/>
  <c r="Y5" i="54" s="1"/>
  <c r="G151" i="2"/>
  <c r="N5" i="7"/>
  <c r="N5" i="51"/>
  <c r="N5" i="50"/>
  <c r="N5" i="9"/>
  <c r="N5" i="6"/>
  <c r="N5" i="49"/>
  <c r="N5" i="57"/>
  <c r="N5" i="55"/>
  <c r="N5" i="13"/>
  <c r="N5" i="5"/>
  <c r="N5" i="47"/>
  <c r="N5" i="42"/>
  <c r="N5" i="1"/>
  <c r="N5" i="56"/>
  <c r="N5" i="48"/>
  <c r="N5" i="11"/>
  <c r="N5" i="44"/>
  <c r="H5" i="59"/>
  <c r="Q5" i="55"/>
  <c r="Q5" i="9"/>
  <c r="Q5" i="49"/>
  <c r="Q5" i="6"/>
  <c r="Q5" i="57"/>
  <c r="Q5" i="1"/>
  <c r="R5" i="7"/>
  <c r="R5" i="9"/>
  <c r="R5" i="42"/>
  <c r="R5" i="1"/>
  <c r="R5" i="51"/>
  <c r="R5" i="56"/>
  <c r="R5" i="50"/>
  <c r="R5" i="13"/>
  <c r="R5" i="11"/>
  <c r="R5" i="44"/>
  <c r="R5" i="55"/>
  <c r="R5" i="49"/>
  <c r="R5" i="47"/>
  <c r="R5" i="5"/>
  <c r="R5" i="57"/>
  <c r="R5" i="48"/>
  <c r="R5" i="6"/>
  <c r="E6" i="54"/>
  <c r="N6" i="54" s="1"/>
  <c r="W6" i="54" s="1"/>
  <c r="Y31" i="44"/>
  <c r="X61" i="54"/>
  <c r="AS31" i="44"/>
  <c r="O19" i="53"/>
  <c r="O18" i="53"/>
  <c r="N68" i="54"/>
  <c r="W68" i="54" s="1"/>
  <c r="P24" i="53"/>
  <c r="G27" i="59"/>
  <c r="E17" i="59"/>
  <c r="F17" i="59"/>
  <c r="G15" i="59"/>
  <c r="F18" i="59"/>
  <c r="F16" i="59"/>
  <c r="F15" i="59"/>
  <c r="N24" i="54"/>
  <c r="W24" i="54"/>
  <c r="Y65" i="44"/>
  <c r="AA66" i="44"/>
  <c r="BP65" i="44"/>
  <c r="Z65" i="44"/>
  <c r="AN65" i="44"/>
  <c r="BB65" i="44"/>
  <c r="BD66" i="44"/>
  <c r="BI18" i="13"/>
  <c r="BI17" i="13" s="1"/>
  <c r="AI65" i="44"/>
  <c r="BE65" i="44"/>
  <c r="BG66" i="44"/>
  <c r="AV66" i="44"/>
  <c r="AN29" i="5"/>
  <c r="BI29" i="5"/>
  <c r="W20" i="13"/>
  <c r="Z76" i="44"/>
  <c r="AR76" i="44"/>
  <c r="AH77" i="44"/>
  <c r="BF76" i="44"/>
  <c r="AB76" i="44"/>
  <c r="AD76" i="44"/>
  <c r="AO76" i="44"/>
  <c r="AQ77" i="44"/>
  <c r="AV76" i="44"/>
  <c r="AV77" i="44" s="1"/>
  <c r="AJ76" i="44"/>
  <c r="BC76" i="44"/>
  <c r="BM76" i="44"/>
  <c r="AM77" i="44"/>
  <c r="AL76" i="44"/>
  <c r="BD76" i="44"/>
  <c r="BD77" i="44"/>
  <c r="W76" i="44"/>
  <c r="AX76" i="44"/>
  <c r="AX77" i="44" s="1"/>
  <c r="BA76" i="44"/>
  <c r="BC77" i="44"/>
  <c r="BL76" i="44"/>
  <c r="BL77" i="44" s="1"/>
  <c r="BJ76" i="44"/>
  <c r="BO76" i="44"/>
  <c r="AC77" i="44"/>
  <c r="A63" i="11"/>
  <c r="B78" i="11" s="1"/>
  <c r="A99" i="11"/>
  <c r="A135" i="11" s="1"/>
  <c r="B150" i="11" s="1"/>
  <c r="B157" i="11" s="1"/>
  <c r="B164" i="11" s="1"/>
  <c r="K59" i="11"/>
  <c r="E94" i="11"/>
  <c r="BN20" i="44"/>
  <c r="AT20" i="44"/>
  <c r="BC20" i="44"/>
  <c r="AO20" i="44"/>
  <c r="Z20" i="44"/>
  <c r="G80" i="53"/>
  <c r="G26" i="59" s="1"/>
  <c r="E79" i="54"/>
  <c r="E166" i="11"/>
  <c r="AZ20" i="44"/>
  <c r="E80" i="53"/>
  <c r="P20" i="53"/>
  <c r="AV20" i="44"/>
  <c r="AG20" i="44"/>
  <c r="X20" i="44"/>
  <c r="E90" i="53"/>
  <c r="N88" i="54" s="1"/>
  <c r="W88" i="54" s="1"/>
  <c r="U20" i="44"/>
  <c r="Y20" i="44"/>
  <c r="S20" i="44"/>
  <c r="T20" i="44"/>
  <c r="U31" i="44"/>
  <c r="E123" i="11"/>
  <c r="M20" i="44"/>
  <c r="BI31" i="44"/>
  <c r="AM31" i="44"/>
  <c r="V31" i="44"/>
  <c r="K55" i="44"/>
  <c r="Z31" i="44"/>
  <c r="BE31" i="44"/>
  <c r="BF31" i="44"/>
  <c r="AA31" i="44"/>
  <c r="AJ31" i="44"/>
  <c r="AC31" i="44"/>
  <c r="BN31" i="44"/>
  <c r="BP31" i="44"/>
  <c r="P31" i="44"/>
  <c r="AE31" i="44"/>
  <c r="AT31" i="44"/>
  <c r="AW31" i="44"/>
  <c r="BB31" i="44"/>
  <c r="BM31" i="44"/>
  <c r="BJ31" i="44"/>
  <c r="AP31" i="44"/>
  <c r="BC31" i="44"/>
  <c r="AN18" i="13"/>
  <c r="AN17" i="13"/>
  <c r="AP13" i="13"/>
  <c r="P13" i="13"/>
  <c r="P12" i="13" s="1"/>
  <c r="AP20" i="44"/>
  <c r="X18" i="13"/>
  <c r="AM12" i="13"/>
  <c r="P20" i="44"/>
  <c r="AT18" i="13"/>
  <c r="BM15" i="13"/>
  <c r="K15" i="50"/>
  <c r="L53" i="9"/>
  <c r="AJ18" i="13"/>
  <c r="BQ19" i="13"/>
  <c r="K14" i="50"/>
  <c r="L43" i="9"/>
  <c r="AD20" i="13"/>
  <c r="F97" i="54"/>
  <c r="F104" i="54"/>
  <c r="F120" i="54" s="1"/>
  <c r="F219" i="2"/>
  <c r="F99" i="53"/>
  <c r="AL93" i="54"/>
  <c r="AM90" i="54"/>
  <c r="E8" i="51"/>
  <c r="E8" i="55"/>
  <c r="E8" i="56"/>
  <c r="H8" i="54"/>
  <c r="Q8" i="54"/>
  <c r="Z8" i="54" s="1"/>
  <c r="E8" i="6"/>
  <c r="E8" i="48"/>
  <c r="E8" i="7"/>
  <c r="E8" i="49"/>
  <c r="E8" i="5"/>
  <c r="I7" i="2"/>
  <c r="E8" i="11"/>
  <c r="E8" i="13"/>
  <c r="E8" i="1"/>
  <c r="E8" i="44"/>
  <c r="E8" i="9"/>
  <c r="E8" i="50"/>
  <c r="E8" i="47"/>
  <c r="E8" i="42"/>
  <c r="E166" i="56"/>
  <c r="E63" i="56"/>
  <c r="E115" i="56"/>
  <c r="E89" i="56"/>
  <c r="E140" i="56"/>
  <c r="E14" i="56"/>
  <c r="K8" i="57"/>
  <c r="K8" i="50"/>
  <c r="K8" i="13"/>
  <c r="K8" i="1"/>
  <c r="K8" i="56"/>
  <c r="K83" i="56" s="1"/>
  <c r="K90" i="56" s="1"/>
  <c r="K8" i="49"/>
  <c r="K8" i="11"/>
  <c r="K152" i="11"/>
  <c r="K160" i="11" s="1"/>
  <c r="K8" i="44"/>
  <c r="K8" i="5"/>
  <c r="K8" i="9"/>
  <c r="K8" i="55"/>
  <c r="K8" i="48"/>
  <c r="K8" i="42"/>
  <c r="K8" i="7"/>
  <c r="K8" i="6"/>
  <c r="K8" i="47"/>
  <c r="K8" i="51"/>
  <c r="O7" i="2"/>
  <c r="K116" i="11"/>
  <c r="K124" i="11" s="1"/>
  <c r="D38" i="11"/>
  <c r="D39" i="11"/>
  <c r="E130" i="11"/>
  <c r="E238" i="11"/>
  <c r="K45" i="11"/>
  <c r="G41" i="34"/>
  <c r="F54" i="34"/>
  <c r="F52" i="34"/>
  <c r="G39" i="34"/>
  <c r="AG5" i="37"/>
  <c r="H5" i="26"/>
  <c r="B12" i="26" s="1"/>
  <c r="V5" i="34"/>
  <c r="AI36" i="34"/>
  <c r="H5" i="20"/>
  <c r="B12" i="20" s="1"/>
  <c r="U5" i="27"/>
  <c r="U5" i="22"/>
  <c r="U5" i="21"/>
  <c r="U5" i="28"/>
  <c r="AI5" i="34"/>
  <c r="I18" i="34"/>
  <c r="AG5" i="33"/>
  <c r="AG5" i="36"/>
  <c r="H5" i="27"/>
  <c r="B12" i="27" s="1"/>
  <c r="U5" i="23"/>
  <c r="U5" i="26"/>
  <c r="G5" i="33"/>
  <c r="U5" i="20"/>
  <c r="S5" i="32"/>
  <c r="AH5" i="26"/>
  <c r="T5" i="36"/>
  <c r="H5" i="24"/>
  <c r="B12" i="24" s="1"/>
  <c r="F5" i="32"/>
  <c r="G5" i="37"/>
  <c r="U5" i="24"/>
  <c r="V49" i="34"/>
  <c r="V36" i="34"/>
  <c r="I5" i="34"/>
  <c r="T5" i="37"/>
  <c r="T5" i="33"/>
  <c r="D15" i="29"/>
  <c r="AH5" i="28"/>
  <c r="H5" i="28"/>
  <c r="B12" i="28" s="1"/>
  <c r="H5" i="21"/>
  <c r="B12" i="21" s="1"/>
  <c r="H5" i="22"/>
  <c r="B12" i="22" s="1"/>
  <c r="AF5" i="32"/>
  <c r="AH5" i="20"/>
  <c r="V18" i="34"/>
  <c r="H5" i="25"/>
  <c r="B12" i="25" s="1"/>
  <c r="AH5" i="23"/>
  <c r="AH5" i="22"/>
  <c r="AI18" i="34"/>
  <c r="AH5" i="24"/>
  <c r="I36" i="34"/>
  <c r="AH5" i="25"/>
  <c r="I49" i="34"/>
  <c r="AI49" i="34"/>
  <c r="AH5" i="27"/>
  <c r="G5" i="36"/>
  <c r="U5" i="25"/>
  <c r="H5" i="23"/>
  <c r="B12" i="23" s="1"/>
  <c r="AH5" i="21"/>
  <c r="AX15" i="13"/>
  <c r="AX42" i="44"/>
  <c r="F26" i="34"/>
  <c r="G25" i="34"/>
  <c r="AO17" i="13"/>
  <c r="BG31" i="44"/>
  <c r="G50" i="53"/>
  <c r="P49" i="54" s="1"/>
  <c r="P14" i="54"/>
  <c r="Y14" i="54"/>
  <c r="G27" i="53"/>
  <c r="E58" i="11"/>
  <c r="E195" i="11"/>
  <c r="S58" i="34"/>
  <c r="T32" i="34"/>
  <c r="T45" i="34"/>
  <c r="AC19" i="13"/>
  <c r="AC17" i="13" s="1"/>
  <c r="AC29" i="5"/>
  <c r="M12" i="13"/>
  <c r="AV15" i="13"/>
  <c r="AV12" i="13"/>
  <c r="AV42" i="44"/>
  <c r="AI42" i="44"/>
  <c r="AI15" i="13"/>
  <c r="AI12" i="13"/>
  <c r="W18" i="13"/>
  <c r="W29" i="5"/>
  <c r="G51" i="34"/>
  <c r="H38" i="34"/>
  <c r="AE19" i="13"/>
  <c r="AI30" i="1"/>
  <c r="BC12" i="13"/>
  <c r="BN15" i="13"/>
  <c r="BN42" i="44"/>
  <c r="BL15" i="13"/>
  <c r="BL12" i="13" s="1"/>
  <c r="BL42" i="44"/>
  <c r="BL30" i="1"/>
  <c r="BB18" i="13"/>
  <c r="BN12" i="13"/>
  <c r="AI31" i="44"/>
  <c r="AU42" i="44"/>
  <c r="AU15" i="13"/>
  <c r="AW18" i="13"/>
  <c r="AW17" i="13" s="1"/>
  <c r="AW29" i="5"/>
  <c r="Y18" i="13"/>
  <c r="S5" i="7"/>
  <c r="S5" i="57"/>
  <c r="S5" i="50"/>
  <c r="S5" i="47"/>
  <c r="S5" i="6"/>
  <c r="S5" i="9"/>
  <c r="S5" i="42"/>
  <c r="S5" i="51"/>
  <c r="S5" i="49"/>
  <c r="S5" i="13"/>
  <c r="S5" i="56"/>
  <c r="S5" i="48"/>
  <c r="S5" i="11"/>
  <c r="S5" i="5"/>
  <c r="S5" i="44"/>
  <c r="S5" i="55"/>
  <c r="S5" i="1"/>
  <c r="AA5" i="2"/>
  <c r="AC5" i="2"/>
  <c r="AE5" i="2"/>
  <c r="AG5" i="2"/>
  <c r="AI5" i="2"/>
  <c r="AK5" i="2"/>
  <c r="Z5" i="2"/>
  <c r="AH5" i="2"/>
  <c r="AF5" i="2"/>
  <c r="AB5" i="2"/>
  <c r="AJ5" i="2"/>
  <c r="J5" i="2"/>
  <c r="AD5" i="2"/>
  <c r="F5" i="57"/>
  <c r="I5" i="54"/>
  <c r="R5" i="54" s="1"/>
  <c r="AA5" i="54"/>
  <c r="F5" i="55"/>
  <c r="I5" i="53"/>
  <c r="I5" i="59" s="1"/>
  <c r="F5" i="50"/>
  <c r="F5" i="9"/>
  <c r="F5" i="44"/>
  <c r="F5" i="48"/>
  <c r="F5" i="6"/>
  <c r="F5" i="56"/>
  <c r="F5" i="51"/>
  <c r="F5" i="13"/>
  <c r="F5" i="49"/>
  <c r="F5" i="1"/>
  <c r="F5" i="47"/>
  <c r="F5" i="11"/>
  <c r="F5" i="7"/>
  <c r="F5" i="5"/>
  <c r="F5" i="42"/>
  <c r="L5" i="7"/>
  <c r="L5" i="51"/>
  <c r="L5" i="13"/>
  <c r="L5" i="11"/>
  <c r="L5" i="42"/>
  <c r="L5" i="5"/>
  <c r="L5" i="49"/>
  <c r="L5" i="47"/>
  <c r="L5" i="6"/>
  <c r="L5" i="50"/>
  <c r="L5" i="48"/>
  <c r="L5" i="57"/>
  <c r="L5" i="55"/>
  <c r="L5" i="1"/>
  <c r="L5" i="56"/>
  <c r="L5" i="9"/>
  <c r="L5" i="44"/>
  <c r="E21" i="11"/>
  <c r="E159" i="11"/>
  <c r="E52" i="11"/>
  <c r="N31" i="44"/>
  <c r="H24" i="34"/>
  <c r="AA18" i="13"/>
  <c r="AU19" i="13"/>
  <c r="BF20" i="13"/>
  <c r="BF17" i="13" s="1"/>
  <c r="H30" i="34"/>
  <c r="G56" i="34"/>
  <c r="H43" i="34"/>
  <c r="AG58" i="34"/>
  <c r="AH32" i="34"/>
  <c r="AH45" i="34"/>
  <c r="AH29" i="5"/>
  <c r="AH18" i="13"/>
  <c r="AH17" i="13"/>
  <c r="AR17" i="13"/>
  <c r="BD18" i="13"/>
  <c r="BD17" i="13"/>
  <c r="BD29" i="5"/>
  <c r="P5" i="7"/>
  <c r="P5" i="57"/>
  <c r="P5" i="55"/>
  <c r="P5" i="13"/>
  <c r="P5" i="11"/>
  <c r="P5" i="1"/>
  <c r="P5" i="56"/>
  <c r="P5" i="47"/>
  <c r="P5" i="44"/>
  <c r="P5" i="49"/>
  <c r="P5" i="48"/>
  <c r="P5" i="50"/>
  <c r="P5" i="42"/>
  <c r="P5" i="9"/>
  <c r="P5" i="6"/>
  <c r="P5" i="51"/>
  <c r="P5" i="5"/>
  <c r="T5" i="7"/>
  <c r="T5" i="56"/>
  <c r="T5" i="13"/>
  <c r="T5" i="42"/>
  <c r="T5" i="5"/>
  <c r="T5" i="55"/>
  <c r="T5" i="50"/>
  <c r="T5" i="9"/>
  <c r="T5" i="57"/>
  <c r="T5" i="47"/>
  <c r="T5" i="48"/>
  <c r="T5" i="6"/>
  <c r="T5" i="49"/>
  <c r="T5" i="1"/>
  <c r="T5" i="44"/>
  <c r="T5" i="51"/>
  <c r="T5" i="11"/>
  <c r="E50" i="54"/>
  <c r="E34" i="54"/>
  <c r="B29" i="9"/>
  <c r="B39" i="9" s="1"/>
  <c r="G32" i="34"/>
  <c r="G45" i="34"/>
  <c r="F58" i="34"/>
  <c r="AZ15" i="13"/>
  <c r="AZ30" i="1"/>
  <c r="BQ14" i="13"/>
  <c r="BQ31" i="44"/>
  <c r="BQ30" i="1"/>
  <c r="AR29" i="5"/>
  <c r="H122" i="54"/>
  <c r="H126" i="53"/>
  <c r="Q122" i="54"/>
  <c r="A95" i="56"/>
  <c r="E219" i="2"/>
  <c r="E222" i="2" s="1"/>
  <c r="E224" i="2" s="1"/>
  <c r="E99" i="53"/>
  <c r="E97" i="54"/>
  <c r="E104" i="54"/>
  <c r="E120" i="54" s="1"/>
  <c r="L33" i="9"/>
  <c r="K13" i="50"/>
  <c r="K5" i="7"/>
  <c r="K5" i="47"/>
  <c r="K5" i="42"/>
  <c r="K5" i="6"/>
  <c r="K5" i="55"/>
  <c r="K5" i="50"/>
  <c r="K5" i="44"/>
  <c r="K5" i="9"/>
  <c r="K5" i="51"/>
  <c r="K5" i="13"/>
  <c r="K5" i="11"/>
  <c r="K5" i="1"/>
  <c r="K5" i="56"/>
  <c r="K5" i="48"/>
  <c r="K5" i="57"/>
  <c r="K5" i="49"/>
  <c r="K5" i="5"/>
  <c r="O5" i="7"/>
  <c r="O5" i="55"/>
  <c r="O5" i="50"/>
  <c r="O5" i="47"/>
  <c r="O5" i="42"/>
  <c r="O5" i="1"/>
  <c r="O5" i="57"/>
  <c r="O5" i="48"/>
  <c r="O5" i="6"/>
  <c r="O5" i="51"/>
  <c r="O5" i="56"/>
  <c r="O5" i="9"/>
  <c r="O5" i="44"/>
  <c r="O5" i="5"/>
  <c r="O5" i="13"/>
  <c r="O5" i="49"/>
  <c r="O5" i="11"/>
  <c r="O14" i="54"/>
  <c r="F50" i="53"/>
  <c r="O49" i="54" s="1"/>
  <c r="F27" i="53"/>
  <c r="G22" i="59" s="1"/>
  <c r="P79" i="54"/>
  <c r="Y79" i="54" s="1"/>
  <c r="E73" i="9"/>
  <c r="E43" i="9"/>
  <c r="E33" i="9"/>
  <c r="E63" i="9"/>
  <c r="E53" i="9"/>
  <c r="G194" i="2"/>
  <c r="G153" i="2"/>
  <c r="G109" i="2"/>
  <c r="G8" i="53"/>
  <c r="G7" i="2"/>
  <c r="G8" i="54"/>
  <c r="P8" i="54" s="1"/>
  <c r="Y8" i="54"/>
  <c r="E87" i="11"/>
  <c r="E231" i="11"/>
  <c r="E202" i="11"/>
  <c r="G42" i="34"/>
  <c r="F55" i="34"/>
  <c r="BQ42" i="44"/>
  <c r="BQ15" i="13"/>
  <c r="AO29" i="5"/>
  <c r="AC20" i="44"/>
  <c r="AC30" i="1"/>
  <c r="AC13" i="13"/>
  <c r="AC12" i="13"/>
  <c r="BJ42" i="44"/>
  <c r="BJ15" i="13"/>
  <c r="BL18" i="13"/>
  <c r="BL17" i="13"/>
  <c r="BL29" i="5"/>
  <c r="BG18" i="13"/>
  <c r="BG17" i="13"/>
  <c r="BG29" i="5"/>
  <c r="BM42" i="44"/>
  <c r="BF29" i="5"/>
  <c r="BN30" i="1"/>
  <c r="BO77" i="44"/>
  <c r="BF77" i="44"/>
  <c r="Z66" i="44"/>
  <c r="AN66" i="44"/>
  <c r="BB77" i="44"/>
  <c r="AF77" i="44"/>
  <c r="AT77" i="44"/>
  <c r="BN66" i="44"/>
  <c r="BL66" i="44"/>
  <c r="AS77" i="44"/>
  <c r="BJ77" i="44"/>
  <c r="BH31" i="44"/>
  <c r="AO77" i="44"/>
  <c r="AZ12" i="13"/>
  <c r="AH31" i="44"/>
  <c r="AA77" i="44"/>
  <c r="AR77" i="44"/>
  <c r="BM77" i="44"/>
  <c r="AL77" i="44"/>
  <c r="AJ77" i="44"/>
  <c r="AD77" i="44"/>
  <c r="AB77" i="44"/>
  <c r="Z77" i="44"/>
  <c r="BP66" i="44"/>
  <c r="BQ66" i="44"/>
  <c r="BO66" i="44"/>
  <c r="Y66" i="44"/>
  <c r="BE66" i="44"/>
  <c r="BB66" i="44"/>
  <c r="AI66" i="44"/>
  <c r="W77" i="44"/>
  <c r="AO31" i="44"/>
  <c r="BA77" i="44"/>
  <c r="G8" i="59"/>
  <c r="K160" i="56"/>
  <c r="K167" i="56"/>
  <c r="F151" i="2"/>
  <c r="F192" i="2"/>
  <c r="F5" i="53"/>
  <c r="F5" i="54"/>
  <c r="O5" i="54" s="1"/>
  <c r="X5" i="54" s="1"/>
  <c r="F107" i="2"/>
  <c r="E5" i="2"/>
  <c r="R60" i="6"/>
  <c r="R110" i="6" s="1"/>
  <c r="R65" i="6"/>
  <c r="R115" i="6"/>
  <c r="R55" i="6"/>
  <c r="R105" i="6"/>
  <c r="R52" i="6"/>
  <c r="R102" i="6" s="1"/>
  <c r="R53" i="6"/>
  <c r="R103" i="6" s="1"/>
  <c r="R59" i="6"/>
  <c r="R109" i="6"/>
  <c r="R58" i="6"/>
  <c r="R108" i="6"/>
  <c r="R50" i="6"/>
  <c r="R100" i="6" s="1"/>
  <c r="R62" i="6"/>
  <c r="R112" i="6" s="1"/>
  <c r="R57" i="6"/>
  <c r="R107" i="6"/>
  <c r="R48" i="6"/>
  <c r="R98" i="6"/>
  <c r="R46" i="6"/>
  <c r="R96" i="6" s="1"/>
  <c r="R51" i="6"/>
  <c r="R101" i="6" s="1"/>
  <c r="R49" i="6"/>
  <c r="R99" i="6"/>
  <c r="R12" i="6" s="1"/>
  <c r="R61" i="6"/>
  <c r="R111" i="6"/>
  <c r="R63" i="6"/>
  <c r="R113" i="6" s="1"/>
  <c r="R56" i="6"/>
  <c r="R106" i="6" s="1"/>
  <c r="R64" i="6"/>
  <c r="R114" i="6"/>
  <c r="R54" i="6"/>
  <c r="R104" i="6"/>
  <c r="R47" i="6"/>
  <c r="R97" i="6" s="1"/>
  <c r="Q51" i="6"/>
  <c r="Q101" i="6" s="1"/>
  <c r="Q46" i="6"/>
  <c r="Q96" i="6"/>
  <c r="Q56" i="6"/>
  <c r="Q106" i="6"/>
  <c r="Q60" i="6"/>
  <c r="Q110" i="6" s="1"/>
  <c r="Q47" i="6"/>
  <c r="Q97" i="6" s="1"/>
  <c r="Q49" i="6"/>
  <c r="Q99" i="6"/>
  <c r="Q63" i="6"/>
  <c r="Q113" i="6"/>
  <c r="Q62" i="6"/>
  <c r="Q112" i="6" s="1"/>
  <c r="Q65" i="6"/>
  <c r="Q115" i="6" s="1"/>
  <c r="Q53" i="6"/>
  <c r="Q103" i="6"/>
  <c r="Q57" i="6"/>
  <c r="Q107" i="6"/>
  <c r="Q58" i="6"/>
  <c r="Q108" i="6" s="1"/>
  <c r="Q64" i="6"/>
  <c r="Q114" i="6"/>
  <c r="Q48" i="6"/>
  <c r="Q98" i="6"/>
  <c r="Q54" i="6"/>
  <c r="Q104" i="6"/>
  <c r="Q55" i="6"/>
  <c r="Q105" i="6" s="1"/>
  <c r="Q61" i="6"/>
  <c r="Q111" i="6" s="1"/>
  <c r="Q52" i="6"/>
  <c r="Q102" i="6"/>
  <c r="Q59" i="6"/>
  <c r="Q109" i="6"/>
  <c r="Q50" i="6"/>
  <c r="Q100" i="6" s="1"/>
  <c r="N59" i="6"/>
  <c r="N109" i="6"/>
  <c r="N51" i="6"/>
  <c r="N101" i="6"/>
  <c r="N48" i="6"/>
  <c r="N98" i="6"/>
  <c r="N65" i="6"/>
  <c r="N115" i="6" s="1"/>
  <c r="N55" i="6"/>
  <c r="N105" i="6" s="1"/>
  <c r="N52" i="6"/>
  <c r="N102" i="6"/>
  <c r="N56" i="6"/>
  <c r="N106" i="6"/>
  <c r="N54" i="6"/>
  <c r="N104" i="6" s="1"/>
  <c r="N62" i="6"/>
  <c r="N112" i="6" s="1"/>
  <c r="N50" i="6"/>
  <c r="N100" i="6"/>
  <c r="N64" i="6"/>
  <c r="N114" i="6"/>
  <c r="N53" i="6"/>
  <c r="N103" i="6" s="1"/>
  <c r="N57" i="6"/>
  <c r="N107" i="6" s="1"/>
  <c r="N47" i="6"/>
  <c r="N97" i="6"/>
  <c r="N61" i="6"/>
  <c r="N111" i="6"/>
  <c r="N46" i="6"/>
  <c r="N96" i="6" s="1"/>
  <c r="N63" i="6"/>
  <c r="N113" i="6"/>
  <c r="N49" i="6"/>
  <c r="N99" i="6"/>
  <c r="N58" i="6"/>
  <c r="N108" i="6"/>
  <c r="N60" i="6"/>
  <c r="N110" i="6" s="1"/>
  <c r="U48" i="6"/>
  <c r="U98" i="6" s="1"/>
  <c r="U64" i="6"/>
  <c r="U114" i="6"/>
  <c r="U61" i="6"/>
  <c r="U111" i="6"/>
  <c r="U54" i="6"/>
  <c r="U104" i="6" s="1"/>
  <c r="U56" i="6"/>
  <c r="U106" i="6" s="1"/>
  <c r="U57" i="6"/>
  <c r="U107" i="6"/>
  <c r="U55" i="6"/>
  <c r="U105" i="6"/>
  <c r="U63" i="6"/>
  <c r="U113" i="6" s="1"/>
  <c r="U62" i="6"/>
  <c r="U112" i="6" s="1"/>
  <c r="U59" i="6"/>
  <c r="U109" i="6"/>
  <c r="U65" i="6"/>
  <c r="U115" i="6"/>
  <c r="U58" i="6"/>
  <c r="U108" i="6" s="1"/>
  <c r="U46" i="6"/>
  <c r="U96" i="6"/>
  <c r="U51" i="6"/>
  <c r="U101" i="6"/>
  <c r="U53" i="6"/>
  <c r="U103" i="6"/>
  <c r="U47" i="6"/>
  <c r="U97" i="6" s="1"/>
  <c r="U60" i="6"/>
  <c r="U110" i="6" s="1"/>
  <c r="U49" i="6"/>
  <c r="U99" i="6" s="1"/>
  <c r="U52" i="6"/>
  <c r="U102" i="6" s="1"/>
  <c r="U50" i="6"/>
  <c r="U100" i="6" s="1"/>
  <c r="K134" i="56"/>
  <c r="K141" i="56" s="1"/>
  <c r="F12" i="59"/>
  <c r="G12" i="59"/>
  <c r="N79" i="54"/>
  <c r="W79" i="54" s="1"/>
  <c r="E26" i="59"/>
  <c r="BI90" i="44"/>
  <c r="W17" i="13"/>
  <c r="B114" i="11"/>
  <c r="B121" i="11" s="1"/>
  <c r="A171" i="11"/>
  <c r="K22" i="11"/>
  <c r="K36" i="13" s="1"/>
  <c r="K47" i="11"/>
  <c r="K46" i="11"/>
  <c r="AZ42" i="44"/>
  <c r="Q20" i="44"/>
  <c r="AQ20" i="44"/>
  <c r="AD20" i="44"/>
  <c r="K57" i="56"/>
  <c r="K64" i="56"/>
  <c r="L45" i="9"/>
  <c r="L47" i="9"/>
  <c r="M43" i="9" s="1"/>
  <c r="L55" i="9"/>
  <c r="L57" i="9" s="1"/>
  <c r="O54" i="6"/>
  <c r="O104" i="6"/>
  <c r="O64" i="6"/>
  <c r="O114" i="6" s="1"/>
  <c r="O55" i="6"/>
  <c r="O105" i="6"/>
  <c r="O50" i="6"/>
  <c r="O100" i="6" s="1"/>
  <c r="O60" i="6"/>
  <c r="O110" i="6"/>
  <c r="O62" i="6"/>
  <c r="O112" i="6" s="1"/>
  <c r="O53" i="6"/>
  <c r="O103" i="6"/>
  <c r="O63" i="6"/>
  <c r="O113" i="6" s="1"/>
  <c r="O65" i="6"/>
  <c r="O115" i="6"/>
  <c r="O47" i="6"/>
  <c r="O97" i="6" s="1"/>
  <c r="O56" i="6"/>
  <c r="O106" i="6"/>
  <c r="O52" i="6"/>
  <c r="O102" i="6" s="1"/>
  <c r="O51" i="6"/>
  <c r="O101" i="6"/>
  <c r="O59" i="6"/>
  <c r="O109" i="6" s="1"/>
  <c r="O48" i="6"/>
  <c r="O98" i="6"/>
  <c r="O49" i="6"/>
  <c r="O99" i="6" s="1"/>
  <c r="O57" i="6"/>
  <c r="O107" i="6"/>
  <c r="O46" i="6"/>
  <c r="O96" i="6" s="1"/>
  <c r="O61" i="6"/>
  <c r="O111" i="6"/>
  <c r="O58" i="6"/>
  <c r="O108" i="6" s="1"/>
  <c r="E128" i="54"/>
  <c r="E122" i="54"/>
  <c r="E123" i="54" s="1"/>
  <c r="B107" i="56"/>
  <c r="B113" i="56" s="1"/>
  <c r="P51" i="6"/>
  <c r="P101" i="6" s="1"/>
  <c r="P61" i="6"/>
  <c r="P111" i="6"/>
  <c r="P63" i="6"/>
  <c r="P113" i="6" s="1"/>
  <c r="P54" i="6"/>
  <c r="P104" i="6" s="1"/>
  <c r="P64" i="6"/>
  <c r="P114" i="6" s="1"/>
  <c r="P50" i="6"/>
  <c r="P100" i="6"/>
  <c r="P60" i="6"/>
  <c r="P110" i="6" s="1"/>
  <c r="P55" i="6"/>
  <c r="P105" i="6" s="1"/>
  <c r="P46" i="6"/>
  <c r="P96" i="6" s="1"/>
  <c r="P49" i="6"/>
  <c r="P99" i="6"/>
  <c r="P47" i="6"/>
  <c r="P97" i="6" s="1"/>
  <c r="P48" i="6"/>
  <c r="P98" i="6" s="1"/>
  <c r="P12" i="6" s="1"/>
  <c r="P58" i="6"/>
  <c r="P108" i="6" s="1"/>
  <c r="P52" i="6"/>
  <c r="P102" i="6"/>
  <c r="P57" i="6"/>
  <c r="P107" i="6" s="1"/>
  <c r="P53" i="6"/>
  <c r="P103" i="6" s="1"/>
  <c r="P62" i="6"/>
  <c r="P112" i="6" s="1"/>
  <c r="P56" i="6"/>
  <c r="P106" i="6" s="1"/>
  <c r="P59" i="6"/>
  <c r="P109" i="6" s="1"/>
  <c r="P65" i="6"/>
  <c r="P115" i="6" s="1"/>
  <c r="AI32" i="34"/>
  <c r="AI45" i="34"/>
  <c r="AH58" i="34"/>
  <c r="AM5" i="2"/>
  <c r="AR5" i="2"/>
  <c r="AU5" i="2"/>
  <c r="AP5" i="2"/>
  <c r="AS5" i="2"/>
  <c r="K5" i="2"/>
  <c r="AL5" i="2"/>
  <c r="AO5" i="2"/>
  <c r="AT5" i="2"/>
  <c r="AW5" i="2"/>
  <c r="AV5" i="2"/>
  <c r="AN5" i="2"/>
  <c r="AQ5" i="2"/>
  <c r="J5" i="54"/>
  <c r="S5" i="54" s="1"/>
  <c r="AB5" i="54" s="1"/>
  <c r="G5" i="56"/>
  <c r="G5" i="51"/>
  <c r="G5" i="5"/>
  <c r="G5" i="1"/>
  <c r="G5" i="48"/>
  <c r="G5" i="6"/>
  <c r="J5" i="53"/>
  <c r="G5" i="49"/>
  <c r="G5" i="7"/>
  <c r="G5" i="57"/>
  <c r="G5" i="55"/>
  <c r="G5" i="47"/>
  <c r="G5" i="42"/>
  <c r="G5" i="50"/>
  <c r="G5" i="9"/>
  <c r="G5" i="44"/>
  <c r="G5" i="13"/>
  <c r="G5" i="11"/>
  <c r="AE5" i="7"/>
  <c r="AE5" i="56"/>
  <c r="AE5" i="50"/>
  <c r="AE5" i="47"/>
  <c r="AE5" i="11"/>
  <c r="AE5" i="55"/>
  <c r="AE5" i="49"/>
  <c r="AE5" i="13"/>
  <c r="AE5" i="1"/>
  <c r="AE5" i="48"/>
  <c r="AE5" i="6"/>
  <c r="AE5" i="5"/>
  <c r="AE5" i="57"/>
  <c r="AE5" i="42"/>
  <c r="AE5" i="51"/>
  <c r="AE5" i="9"/>
  <c r="AE5" i="44"/>
  <c r="AD5" i="7"/>
  <c r="AD5" i="57"/>
  <c r="AD5" i="48"/>
  <c r="AD5" i="6"/>
  <c r="AD5" i="51"/>
  <c r="AD5" i="50"/>
  <c r="AD5" i="47"/>
  <c r="AD5" i="11"/>
  <c r="AD5" i="1"/>
  <c r="AD5" i="56"/>
  <c r="AD5" i="49"/>
  <c r="AD5" i="55"/>
  <c r="AD5" i="9"/>
  <c r="AD5" i="44"/>
  <c r="AD5" i="42"/>
  <c r="AD5" i="13"/>
  <c r="AD5" i="5"/>
  <c r="S58" i="6"/>
  <c r="S108" i="6"/>
  <c r="S49" i="6"/>
  <c r="S99" i="6"/>
  <c r="S59" i="6"/>
  <c r="S109" i="6" s="1"/>
  <c r="S61" i="6"/>
  <c r="S111" i="6"/>
  <c r="S48" i="6"/>
  <c r="S98" i="6"/>
  <c r="S47" i="6"/>
  <c r="S97" i="6"/>
  <c r="S57" i="6"/>
  <c r="S107" i="6" s="1"/>
  <c r="S51" i="6"/>
  <c r="S101" i="6"/>
  <c r="S46" i="6"/>
  <c r="S96" i="6"/>
  <c r="S56" i="6"/>
  <c r="S106" i="6"/>
  <c r="S65" i="6"/>
  <c r="S115" i="6" s="1"/>
  <c r="S55" i="6"/>
  <c r="S105" i="6"/>
  <c r="S53" i="6"/>
  <c r="S103" i="6"/>
  <c r="S54" i="6"/>
  <c r="S104" i="6"/>
  <c r="S63" i="6"/>
  <c r="S113" i="6" s="1"/>
  <c r="S60" i="6"/>
  <c r="S110" i="6"/>
  <c r="S52" i="6"/>
  <c r="S102" i="6" s="1"/>
  <c r="S64" i="6"/>
  <c r="S114" i="6"/>
  <c r="S50" i="6"/>
  <c r="S100" i="6" s="1"/>
  <c r="S62" i="6"/>
  <c r="S112" i="6"/>
  <c r="G54" i="34"/>
  <c r="H41" i="34"/>
  <c r="G193" i="2"/>
  <c r="F8" i="2"/>
  <c r="G108" i="2"/>
  <c r="G7" i="54"/>
  <c r="P7" i="54"/>
  <c r="Y7" i="54" s="1"/>
  <c r="G152" i="2"/>
  <c r="G7" i="53"/>
  <c r="O29" i="54"/>
  <c r="F51" i="53"/>
  <c r="O50" i="54"/>
  <c r="F32" i="53"/>
  <c r="F13" i="59"/>
  <c r="E106" i="53"/>
  <c r="E124" i="53" s="1"/>
  <c r="N97" i="54"/>
  <c r="I24" i="34"/>
  <c r="AG5" i="7"/>
  <c r="AG5" i="50"/>
  <c r="AG5" i="48"/>
  <c r="AG5" i="1"/>
  <c r="AG5" i="42"/>
  <c r="AG5" i="6"/>
  <c r="AG5" i="57"/>
  <c r="AG5" i="51"/>
  <c r="AG5" i="44"/>
  <c r="AG5" i="55"/>
  <c r="AG5" i="47"/>
  <c r="AG5" i="5"/>
  <c r="AG5" i="13"/>
  <c r="AG5" i="56"/>
  <c r="AG5" i="11"/>
  <c r="AG5" i="49"/>
  <c r="AG5" i="9"/>
  <c r="W5" i="7"/>
  <c r="W5" i="57"/>
  <c r="W5" i="50"/>
  <c r="W5" i="47"/>
  <c r="W5" i="42"/>
  <c r="W5" i="44"/>
  <c r="W5" i="6"/>
  <c r="W5" i="55"/>
  <c r="W5" i="11"/>
  <c r="W5" i="49"/>
  <c r="W5" i="13"/>
  <c r="W5" i="5"/>
  <c r="W5" i="51"/>
  <c r="W5" i="56"/>
  <c r="W5" i="9"/>
  <c r="W5" i="1"/>
  <c r="W5" i="48"/>
  <c r="AB5" i="7"/>
  <c r="AB5" i="1"/>
  <c r="AB5" i="49"/>
  <c r="AB5" i="9"/>
  <c r="AB5" i="6"/>
  <c r="AB5" i="57"/>
  <c r="AB5" i="56"/>
  <c r="AB5" i="5"/>
  <c r="AB5" i="13"/>
  <c r="AB5" i="11"/>
  <c r="AB5" i="48"/>
  <c r="AB5" i="55"/>
  <c r="AB5" i="44"/>
  <c r="AB5" i="42"/>
  <c r="AB5" i="47"/>
  <c r="AB5" i="51"/>
  <c r="AB5" i="50"/>
  <c r="I38" i="34"/>
  <c r="H51" i="34"/>
  <c r="G52" i="53"/>
  <c r="P51" i="54" s="1"/>
  <c r="P29" i="54"/>
  <c r="G51" i="53"/>
  <c r="P50" i="54" s="1"/>
  <c r="G32" i="53"/>
  <c r="G13" i="59"/>
  <c r="H25" i="34"/>
  <c r="G26" i="34"/>
  <c r="G52" i="34"/>
  <c r="H39" i="34"/>
  <c r="K224" i="11"/>
  <c r="K232" i="11" s="1"/>
  <c r="L7" i="56"/>
  <c r="L7" i="47"/>
  <c r="L7" i="7"/>
  <c r="L7" i="11"/>
  <c r="L7" i="57"/>
  <c r="L7" i="55"/>
  <c r="L7" i="50"/>
  <c r="L7" i="48"/>
  <c r="O8" i="2"/>
  <c r="L7" i="1"/>
  <c r="L7" i="9"/>
  <c r="L7" i="6"/>
  <c r="L7" i="51"/>
  <c r="L7" i="44"/>
  <c r="L7" i="5"/>
  <c r="L7" i="49"/>
  <c r="L7" i="13"/>
  <c r="L7" i="42"/>
  <c r="F106" i="53"/>
  <c r="F124" i="53" s="1"/>
  <c r="O97" i="54"/>
  <c r="K49" i="6"/>
  <c r="K99" i="6" s="1"/>
  <c r="K59" i="6"/>
  <c r="K109" i="6" s="1"/>
  <c r="K61" i="6"/>
  <c r="K111" i="6"/>
  <c r="K50" i="6"/>
  <c r="K100" i="6"/>
  <c r="K47" i="6"/>
  <c r="K97" i="6" s="1"/>
  <c r="K48" i="6"/>
  <c r="K98" i="6" s="1"/>
  <c r="K54" i="6"/>
  <c r="K104" i="6"/>
  <c r="K52" i="6"/>
  <c r="K102" i="6"/>
  <c r="K58" i="6"/>
  <c r="K108" i="6" s="1"/>
  <c r="K56" i="6"/>
  <c r="K106" i="6" s="1"/>
  <c r="K46" i="6"/>
  <c r="K96" i="6"/>
  <c r="K51" i="6"/>
  <c r="K101" i="6" s="1"/>
  <c r="K60" i="6"/>
  <c r="K110" i="6" s="1"/>
  <c r="K55" i="6"/>
  <c r="K105" i="6" s="1"/>
  <c r="K63" i="6"/>
  <c r="K113" i="6" s="1"/>
  <c r="K65" i="6"/>
  <c r="K115" i="6" s="1"/>
  <c r="K62" i="6"/>
  <c r="K112" i="6" s="1"/>
  <c r="K53" i="6"/>
  <c r="K103" i="6" s="1"/>
  <c r="K57" i="6"/>
  <c r="K107" i="6" s="1"/>
  <c r="K64" i="6"/>
  <c r="K114" i="6" s="1"/>
  <c r="L35" i="9"/>
  <c r="BQ12" i="13"/>
  <c r="T48" i="6"/>
  <c r="T98" i="6"/>
  <c r="T62" i="6"/>
  <c r="T112" i="6" s="1"/>
  <c r="T65" i="6"/>
  <c r="T115" i="6"/>
  <c r="T56" i="6"/>
  <c r="T106" i="6" s="1"/>
  <c r="T58" i="6"/>
  <c r="T108" i="6"/>
  <c r="T52" i="6"/>
  <c r="T102" i="6" s="1"/>
  <c r="T47" i="6"/>
  <c r="T97" i="6"/>
  <c r="T57" i="6"/>
  <c r="T107" i="6" s="1"/>
  <c r="T59" i="6"/>
  <c r="T109" i="6"/>
  <c r="T53" i="6"/>
  <c r="T103" i="6" s="1"/>
  <c r="T55" i="6"/>
  <c r="T105" i="6"/>
  <c r="T61" i="6"/>
  <c r="T111" i="6" s="1"/>
  <c r="T50" i="6"/>
  <c r="T100" i="6"/>
  <c r="T49" i="6"/>
  <c r="T99" i="6" s="1"/>
  <c r="T54" i="6"/>
  <c r="T104" i="6"/>
  <c r="T51" i="6"/>
  <c r="T101" i="6" s="1"/>
  <c r="T15" i="6" s="1"/>
  <c r="T29" i="13" s="1"/>
  <c r="T46" i="6"/>
  <c r="T96" i="6"/>
  <c r="T60" i="6"/>
  <c r="T110" i="6" s="1"/>
  <c r="T64" i="6"/>
  <c r="T114" i="6"/>
  <c r="T63" i="6"/>
  <c r="T113" i="6" s="1"/>
  <c r="Y5" i="7"/>
  <c r="Y5" i="57"/>
  <c r="Y5" i="48"/>
  <c r="Y5" i="44"/>
  <c r="Y5" i="47"/>
  <c r="Y5" i="5"/>
  <c r="Y5" i="56"/>
  <c r="Y5" i="50"/>
  <c r="Y5" i="11"/>
  <c r="Y5" i="51"/>
  <c r="Y5" i="49"/>
  <c r="Y5" i="55"/>
  <c r="Y5" i="9"/>
  <c r="Y5" i="42"/>
  <c r="Y5" i="13"/>
  <c r="Y5" i="1"/>
  <c r="Y5" i="6"/>
  <c r="AH5" i="7"/>
  <c r="AH5" i="57"/>
  <c r="AH5" i="56"/>
  <c r="AH5" i="50"/>
  <c r="AH5" i="47"/>
  <c r="AH5" i="42"/>
  <c r="AH5" i="9"/>
  <c r="AH5" i="55"/>
  <c r="AH5" i="49"/>
  <c r="AH5" i="13"/>
  <c r="AH5" i="44"/>
  <c r="AH5" i="6"/>
  <c r="AH5" i="11"/>
  <c r="AH5" i="51"/>
  <c r="AH5" i="5"/>
  <c r="AH5" i="1"/>
  <c r="AH5" i="48"/>
  <c r="Z5" i="7"/>
  <c r="Z5" i="57"/>
  <c r="Z5" i="55"/>
  <c r="Z5" i="48"/>
  <c r="Z5" i="42"/>
  <c r="Z5" i="56"/>
  <c r="Z5" i="50"/>
  <c r="Z5" i="47"/>
  <c r="Z5" i="5"/>
  <c r="Z5" i="11"/>
  <c r="Z5" i="9"/>
  <c r="Z5" i="6"/>
  <c r="Z5" i="51"/>
  <c r="Z5" i="13"/>
  <c r="Z5" i="1"/>
  <c r="Z5" i="44"/>
  <c r="Z5" i="49"/>
  <c r="E15" i="29"/>
  <c r="AI5" i="26"/>
  <c r="AI5" i="22"/>
  <c r="V5" i="20"/>
  <c r="W36" i="34"/>
  <c r="I5" i="20"/>
  <c r="B13" i="20" s="1"/>
  <c r="AJ18" i="34"/>
  <c r="I5" i="26"/>
  <c r="B13" i="26" s="1"/>
  <c r="I5" i="22"/>
  <c r="B13" i="22" s="1"/>
  <c r="J49" i="34"/>
  <c r="G5" i="32"/>
  <c r="I5" i="23"/>
  <c r="B13" i="23" s="1"/>
  <c r="J36" i="34"/>
  <c r="I5" i="24"/>
  <c r="B13" i="24" s="1"/>
  <c r="H5" i="33"/>
  <c r="AH5" i="36"/>
  <c r="V5" i="21"/>
  <c r="I5" i="25"/>
  <c r="B13" i="25" s="1"/>
  <c r="W49" i="34"/>
  <c r="T5" i="32"/>
  <c r="AI5" i="28"/>
  <c r="J18" i="34"/>
  <c r="W5" i="34"/>
  <c r="I5" i="27"/>
  <c r="B13" i="27" s="1"/>
  <c r="I5" i="28"/>
  <c r="B13" i="28" s="1"/>
  <c r="H5" i="36"/>
  <c r="W18" i="34"/>
  <c r="AJ5" i="34"/>
  <c r="AI5" i="27"/>
  <c r="AI5" i="24"/>
  <c r="U5" i="36"/>
  <c r="AH5" i="37"/>
  <c r="V5" i="26"/>
  <c r="V5" i="22"/>
  <c r="AI5" i="20"/>
  <c r="V5" i="23"/>
  <c r="V5" i="24"/>
  <c r="V5" i="25"/>
  <c r="AI5" i="21"/>
  <c r="AG5" i="32"/>
  <c r="AH5" i="33"/>
  <c r="J5" i="34"/>
  <c r="H5" i="37"/>
  <c r="V5" i="27"/>
  <c r="I5" i="21"/>
  <c r="B13" i="21" s="1"/>
  <c r="AI5" i="23"/>
  <c r="AI5" i="25"/>
  <c r="AJ36" i="34"/>
  <c r="U5" i="37"/>
  <c r="U5" i="33"/>
  <c r="AJ49" i="34"/>
  <c r="V5" i="28"/>
  <c r="K188" i="11"/>
  <c r="K196" i="11" s="1"/>
  <c r="F222" i="2"/>
  <c r="F224" i="2"/>
  <c r="F147" i="2"/>
  <c r="G55" i="34"/>
  <c r="H42" i="34"/>
  <c r="A120" i="56"/>
  <c r="B132" i="56"/>
  <c r="B138" i="56" s="1"/>
  <c r="A146" i="56"/>
  <c r="H32" i="34"/>
  <c r="G58" i="34"/>
  <c r="H45" i="34"/>
  <c r="E52" i="54"/>
  <c r="E39" i="54"/>
  <c r="E42" i="54"/>
  <c r="E46" i="54" s="1"/>
  <c r="H56" i="34"/>
  <c r="I30" i="34"/>
  <c r="I43" i="34"/>
  <c r="L63" i="6"/>
  <c r="L113" i="6" s="1"/>
  <c r="L54" i="6"/>
  <c r="L104" i="6"/>
  <c r="L64" i="6"/>
  <c r="L114" i="6" s="1"/>
  <c r="L50" i="6"/>
  <c r="L100" i="6"/>
  <c r="L60" i="6"/>
  <c r="L110" i="6" s="1"/>
  <c r="L55" i="6"/>
  <c r="L105" i="6"/>
  <c r="L46" i="6"/>
  <c r="L96" i="6" s="1"/>
  <c r="L49" i="6"/>
  <c r="L99" i="6"/>
  <c r="L51" i="6"/>
  <c r="L101" i="6" s="1"/>
  <c r="L61" i="6"/>
  <c r="L111" i="6"/>
  <c r="L47" i="6"/>
  <c r="L97" i="6" s="1"/>
  <c r="L48" i="6"/>
  <c r="L98" i="6"/>
  <c r="L58" i="6"/>
  <c r="L108" i="6" s="1"/>
  <c r="L62" i="6"/>
  <c r="L112" i="6"/>
  <c r="L56" i="6"/>
  <c r="L106" i="6" s="1"/>
  <c r="L59" i="6"/>
  <c r="L109" i="6"/>
  <c r="L52" i="6"/>
  <c r="L102" i="6" s="1"/>
  <c r="L65" i="6"/>
  <c r="L115" i="6"/>
  <c r="L57" i="6"/>
  <c r="L107" i="6" s="1"/>
  <c r="L53" i="6"/>
  <c r="L103" i="6"/>
  <c r="AA5" i="7"/>
  <c r="AA5" i="51"/>
  <c r="AA5" i="42"/>
  <c r="AA5" i="47"/>
  <c r="AA5" i="1"/>
  <c r="AA5" i="55"/>
  <c r="AA5" i="9"/>
  <c r="AA5" i="57"/>
  <c r="AA5" i="49"/>
  <c r="AA5" i="48"/>
  <c r="AA5" i="11"/>
  <c r="AA5" i="50"/>
  <c r="AA5" i="5"/>
  <c r="AA5" i="44"/>
  <c r="AA5" i="13"/>
  <c r="AA5" i="56"/>
  <c r="AA5" i="6"/>
  <c r="AC5" i="7"/>
  <c r="AC5" i="6"/>
  <c r="AC5" i="55"/>
  <c r="AC5" i="13"/>
  <c r="AC5" i="1"/>
  <c r="AC5" i="50"/>
  <c r="AC5" i="57"/>
  <c r="AC5" i="5"/>
  <c r="AC5" i="51"/>
  <c r="AC5" i="48"/>
  <c r="AC5" i="44"/>
  <c r="AC5" i="56"/>
  <c r="AC5" i="49"/>
  <c r="AC5" i="47"/>
  <c r="AC5" i="11"/>
  <c r="AC5" i="42"/>
  <c r="AC5" i="9"/>
  <c r="AF5" i="7"/>
  <c r="AF5" i="1"/>
  <c r="AF5" i="48"/>
  <c r="AF5" i="56"/>
  <c r="AF5" i="49"/>
  <c r="AF5" i="13"/>
  <c r="AF5" i="57"/>
  <c r="AF5" i="51"/>
  <c r="AF5" i="44"/>
  <c r="AF5" i="42"/>
  <c r="AF5" i="6"/>
  <c r="AF5" i="9"/>
  <c r="AF5" i="47"/>
  <c r="AF5" i="55"/>
  <c r="AF5" i="11"/>
  <c r="AF5" i="5"/>
  <c r="AF5" i="50"/>
  <c r="X5" i="7"/>
  <c r="X5" i="55"/>
  <c r="X5" i="42"/>
  <c r="X5" i="49"/>
  <c r="X5" i="48"/>
  <c r="X5" i="11"/>
  <c r="X5" i="51"/>
  <c r="X5" i="47"/>
  <c r="X5" i="44"/>
  <c r="X5" i="6"/>
  <c r="X5" i="50"/>
  <c r="X5" i="9"/>
  <c r="X5" i="5"/>
  <c r="X5" i="57"/>
  <c r="X5" i="1"/>
  <c r="X5" i="13"/>
  <c r="X5" i="56"/>
  <c r="T58" i="34"/>
  <c r="U32" i="34"/>
  <c r="U45" i="34"/>
  <c r="K109" i="56"/>
  <c r="K116" i="56" s="1"/>
  <c r="K80" i="11"/>
  <c r="K88" i="11"/>
  <c r="I7" i="54"/>
  <c r="R7" i="54"/>
  <c r="AA7" i="54" s="1"/>
  <c r="F7" i="55"/>
  <c r="I7" i="53"/>
  <c r="F7" i="42"/>
  <c r="F7" i="11"/>
  <c r="F7" i="7"/>
  <c r="F7" i="1"/>
  <c r="F7" i="49"/>
  <c r="F7" i="50"/>
  <c r="F7" i="48"/>
  <c r="F7" i="13"/>
  <c r="F7" i="57"/>
  <c r="F7" i="51"/>
  <c r="F7" i="9"/>
  <c r="F7" i="47"/>
  <c r="I8" i="2"/>
  <c r="F7" i="5"/>
  <c r="F7" i="44"/>
  <c r="F7" i="6"/>
  <c r="F7" i="56"/>
  <c r="AM93" i="54"/>
  <c r="AN90" i="54"/>
  <c r="F122" i="54"/>
  <c r="F123" i="54"/>
  <c r="F128" i="54"/>
  <c r="G7" i="59"/>
  <c r="I7" i="59"/>
  <c r="R14" i="6"/>
  <c r="R25" i="13" s="1"/>
  <c r="E107" i="2"/>
  <c r="E192" i="2"/>
  <c r="E5" i="54"/>
  <c r="N5" i="54"/>
  <c r="W5" i="54" s="1"/>
  <c r="E151" i="2"/>
  <c r="E5" i="53"/>
  <c r="J5" i="59"/>
  <c r="Q12" i="6"/>
  <c r="F5" i="59"/>
  <c r="A207" i="11"/>
  <c r="B222" i="11"/>
  <c r="AD58" i="6"/>
  <c r="AD108" i="6" s="1"/>
  <c r="L14" i="50"/>
  <c r="AN93" i="54"/>
  <c r="AO90" i="54"/>
  <c r="I25" i="34"/>
  <c r="H26" i="34"/>
  <c r="W50" i="6"/>
  <c r="W100" i="6"/>
  <c r="W49" i="6"/>
  <c r="W99" i="6"/>
  <c r="W46" i="6"/>
  <c r="W96" i="6"/>
  <c r="W51" i="6"/>
  <c r="W101" i="6" s="1"/>
  <c r="W54" i="6"/>
  <c r="W104" i="6"/>
  <c r="W56" i="6"/>
  <c r="W106" i="6"/>
  <c r="W47" i="6"/>
  <c r="W97" i="6"/>
  <c r="W53" i="6"/>
  <c r="W103" i="6" s="1"/>
  <c r="W61" i="6"/>
  <c r="W111" i="6"/>
  <c r="W52" i="6"/>
  <c r="W102" i="6"/>
  <c r="W55" i="6"/>
  <c r="W105" i="6"/>
  <c r="W59" i="6"/>
  <c r="W109" i="6" s="1"/>
  <c r="W48" i="6"/>
  <c r="W98" i="6"/>
  <c r="W57" i="6"/>
  <c r="W107" i="6"/>
  <c r="AK5" i="7"/>
  <c r="AK5" i="42"/>
  <c r="AK5" i="57"/>
  <c r="AK5" i="51"/>
  <c r="AK5" i="13"/>
  <c r="AK5" i="44"/>
  <c r="AK5" i="55"/>
  <c r="AK5" i="49"/>
  <c r="AK5" i="48"/>
  <c r="AK5" i="11"/>
  <c r="AK5" i="6"/>
  <c r="AK5" i="50"/>
  <c r="AK5" i="47"/>
  <c r="AK5" i="5"/>
  <c r="AK5" i="9"/>
  <c r="AK5" i="1"/>
  <c r="AK5" i="56"/>
  <c r="AM5" i="7"/>
  <c r="AM5" i="11"/>
  <c r="AM5" i="57"/>
  <c r="AM5" i="56"/>
  <c r="AM5" i="49"/>
  <c r="AM5" i="13"/>
  <c r="AM5" i="6"/>
  <c r="AM5" i="1"/>
  <c r="AM5" i="44"/>
  <c r="AM5" i="9"/>
  <c r="AM5" i="42"/>
  <c r="AM5" i="5"/>
  <c r="AM5" i="51"/>
  <c r="AM5" i="47"/>
  <c r="AM5" i="50"/>
  <c r="AM5" i="55"/>
  <c r="AM5" i="48"/>
  <c r="AC54" i="6"/>
  <c r="AC104" i="6"/>
  <c r="AC46" i="6"/>
  <c r="AC96" i="6"/>
  <c r="AC51" i="6"/>
  <c r="AC101" i="6"/>
  <c r="AC48" i="6"/>
  <c r="AC98" i="6" s="1"/>
  <c r="AC56" i="6"/>
  <c r="AC106" i="6"/>
  <c r="AC50" i="6"/>
  <c r="AC100" i="6"/>
  <c r="AC53" i="6"/>
  <c r="AC103" i="6"/>
  <c r="AC55" i="6"/>
  <c r="AC105" i="6" s="1"/>
  <c r="AC59" i="6"/>
  <c r="AC109" i="6"/>
  <c r="AC49" i="6"/>
  <c r="AC99" i="6"/>
  <c r="AC52" i="6"/>
  <c r="AC102" i="6"/>
  <c r="AC57" i="6"/>
  <c r="AC107" i="6" s="1"/>
  <c r="AC47" i="6"/>
  <c r="AC97" i="6"/>
  <c r="L37" i="9"/>
  <c r="H52" i="34"/>
  <c r="I39" i="34"/>
  <c r="F38" i="53"/>
  <c r="F41" i="53"/>
  <c r="F47" i="53"/>
  <c r="F58" i="53"/>
  <c r="O34" i="54"/>
  <c r="F53" i="53"/>
  <c r="O52" i="54" s="1"/>
  <c r="AS5" i="7"/>
  <c r="AS5" i="57"/>
  <c r="AS5" i="6"/>
  <c r="AS5" i="5"/>
  <c r="AS5" i="1"/>
  <c r="AS5" i="51"/>
  <c r="AS5" i="13"/>
  <c r="AS5" i="42"/>
  <c r="AS5" i="55"/>
  <c r="AS5" i="11"/>
  <c r="AS5" i="49"/>
  <c r="AS5" i="48"/>
  <c r="AS5" i="44"/>
  <c r="AS5" i="50"/>
  <c r="AS5" i="47"/>
  <c r="AS5" i="56"/>
  <c r="AS5" i="9"/>
  <c r="AI5" i="7"/>
  <c r="AI5" i="5"/>
  <c r="AI5" i="56"/>
  <c r="AI5" i="11"/>
  <c r="AI5" i="48"/>
  <c r="AI5" i="57"/>
  <c r="AI5" i="6"/>
  <c r="AI5" i="42"/>
  <c r="AI5" i="50"/>
  <c r="AI5" i="47"/>
  <c r="AI5" i="51"/>
  <c r="AI5" i="13"/>
  <c r="AI5" i="49"/>
  <c r="AI5" i="44"/>
  <c r="AI5" i="1"/>
  <c r="AI5" i="9"/>
  <c r="AI5" i="55"/>
  <c r="AR5" i="7"/>
  <c r="AR5" i="1"/>
  <c r="AR5" i="42"/>
  <c r="AR5" i="57"/>
  <c r="AR5" i="51"/>
  <c r="AR5" i="50"/>
  <c r="AR5" i="48"/>
  <c r="AR5" i="5"/>
  <c r="AR5" i="6"/>
  <c r="AR5" i="56"/>
  <c r="AR5" i="13"/>
  <c r="AR5" i="44"/>
  <c r="AR5" i="49"/>
  <c r="AR5" i="47"/>
  <c r="AR5" i="11"/>
  <c r="AR5" i="55"/>
  <c r="AR5" i="9"/>
  <c r="AI58" i="34"/>
  <c r="AJ32" i="34"/>
  <c r="AJ45" i="34"/>
  <c r="V45" i="34"/>
  <c r="U58" i="34"/>
  <c r="V32" i="34"/>
  <c r="X54" i="6"/>
  <c r="X104" i="6" s="1"/>
  <c r="X51" i="6"/>
  <c r="X101" i="6" s="1"/>
  <c r="X49" i="6"/>
  <c r="X99" i="6" s="1"/>
  <c r="X53" i="6"/>
  <c r="X103" i="6" s="1"/>
  <c r="X52" i="6"/>
  <c r="X102" i="6" s="1"/>
  <c r="X56" i="6"/>
  <c r="X106" i="6" s="1"/>
  <c r="X47" i="6"/>
  <c r="X97" i="6" s="1"/>
  <c r="X50" i="6"/>
  <c r="X100" i="6" s="1"/>
  <c r="X48" i="6"/>
  <c r="X98" i="6" s="1"/>
  <c r="X57" i="6"/>
  <c r="X107" i="6" s="1"/>
  <c r="X46" i="6"/>
  <c r="X96" i="6" s="1"/>
  <c r="X55" i="6"/>
  <c r="X105" i="6" s="1"/>
  <c r="X59" i="6"/>
  <c r="X109" i="6" s="1"/>
  <c r="X61" i="6"/>
  <c r="X111" i="6" s="1"/>
  <c r="AF54" i="6"/>
  <c r="AF104" i="6" s="1"/>
  <c r="AF58" i="6"/>
  <c r="AF108" i="6" s="1"/>
  <c r="AF49" i="6"/>
  <c r="AF99" i="6" s="1"/>
  <c r="AF46" i="6"/>
  <c r="AF96" i="6" s="1"/>
  <c r="AF53" i="6"/>
  <c r="AF103" i="6" s="1"/>
  <c r="AF48" i="6"/>
  <c r="AF98" i="6" s="1"/>
  <c r="AF55" i="6"/>
  <c r="AF105" i="6" s="1"/>
  <c r="AF59" i="6"/>
  <c r="AF109" i="6" s="1"/>
  <c r="AF52" i="6"/>
  <c r="AF102" i="6" s="1"/>
  <c r="AF56" i="6"/>
  <c r="AF106" i="6" s="1"/>
  <c r="AF57" i="6"/>
  <c r="AF107" i="6" s="1"/>
  <c r="AF50" i="6"/>
  <c r="AF100" i="6" s="1"/>
  <c r="AF61" i="6"/>
  <c r="AF111" i="6" s="1"/>
  <c r="AF47" i="6"/>
  <c r="AF97" i="6" s="1"/>
  <c r="AF51" i="6"/>
  <c r="AF101" i="6" s="1"/>
  <c r="AA50" i="6"/>
  <c r="AA100" i="6" s="1"/>
  <c r="AA49" i="6"/>
  <c r="AA99" i="6" s="1"/>
  <c r="AA46" i="6"/>
  <c r="AA96" i="6" s="1"/>
  <c r="AA51" i="6"/>
  <c r="AA101" i="6" s="1"/>
  <c r="AA57" i="6"/>
  <c r="AA107" i="6" s="1"/>
  <c r="AA54" i="6"/>
  <c r="AA104" i="6" s="1"/>
  <c r="AA61" i="6"/>
  <c r="AA111" i="6" s="1"/>
  <c r="AA52" i="6"/>
  <c r="AA102" i="6" s="1"/>
  <c r="AA47" i="6"/>
  <c r="AA97" i="6" s="1"/>
  <c r="AA55" i="6"/>
  <c r="AA105" i="6" s="1"/>
  <c r="AA59" i="6"/>
  <c r="AA109" i="6" s="1"/>
  <c r="AA53" i="6"/>
  <c r="AA103" i="6" s="1"/>
  <c r="AA48" i="6"/>
  <c r="AA98" i="6" s="1"/>
  <c r="AA56" i="6"/>
  <c r="AA106" i="6" s="1"/>
  <c r="Z50" i="6"/>
  <c r="Z100" i="6" s="1"/>
  <c r="Z49" i="6"/>
  <c r="Z99" i="6" s="1"/>
  <c r="Z46" i="6"/>
  <c r="Z96" i="6" s="1"/>
  <c r="Z54" i="6"/>
  <c r="Z104" i="6" s="1"/>
  <c r="Z61" i="6"/>
  <c r="Z111" i="6" s="1"/>
  <c r="Z51" i="6"/>
  <c r="Z101" i="6" s="1"/>
  <c r="Z55" i="6"/>
  <c r="Z105" i="6" s="1"/>
  <c r="Z59" i="6"/>
  <c r="Z109" i="6" s="1"/>
  <c r="Z53" i="6"/>
  <c r="Z103" i="6" s="1"/>
  <c r="Z52" i="6"/>
  <c r="Z102" i="6" s="1"/>
  <c r="Z56" i="6"/>
  <c r="Z106" i="6" s="1"/>
  <c r="Z47" i="6"/>
  <c r="Z97" i="6" s="1"/>
  <c r="Z48" i="6"/>
  <c r="Z98" i="6" s="1"/>
  <c r="Z57" i="6"/>
  <c r="Z107" i="6" s="1"/>
  <c r="B158" i="56"/>
  <c r="B164" i="56" s="1"/>
  <c r="K12" i="6"/>
  <c r="L8" i="51"/>
  <c r="L8" i="13"/>
  <c r="L8" i="9"/>
  <c r="L8" i="42"/>
  <c r="L8" i="50"/>
  <c r="L8" i="47"/>
  <c r="P7" i="2"/>
  <c r="L8" i="7"/>
  <c r="L8" i="6"/>
  <c r="L8" i="57"/>
  <c r="L8" i="55"/>
  <c r="L8" i="49"/>
  <c r="L8" i="48"/>
  <c r="L8" i="11"/>
  <c r="L80" i="11" s="1"/>
  <c r="L88" i="11" s="1"/>
  <c r="L8" i="1"/>
  <c r="L8" i="5"/>
  <c r="L8" i="44"/>
  <c r="L8" i="56"/>
  <c r="L109" i="56" s="1"/>
  <c r="L116" i="56" s="1"/>
  <c r="E127" i="53"/>
  <c r="AD49" i="6"/>
  <c r="AD99" i="6" s="1"/>
  <c r="AD54" i="6"/>
  <c r="AD104" i="6" s="1"/>
  <c r="AD53" i="6"/>
  <c r="AD103" i="6" s="1"/>
  <c r="AD46" i="6"/>
  <c r="AD96" i="6" s="1"/>
  <c r="AD48" i="6"/>
  <c r="AD98" i="6" s="1"/>
  <c r="AD55" i="6"/>
  <c r="AD105" i="6" s="1"/>
  <c r="AD59" i="6"/>
  <c r="AD109" i="6" s="1"/>
  <c r="AD61" i="6"/>
  <c r="AD111" i="6" s="1"/>
  <c r="AD47" i="6"/>
  <c r="AD97" i="6" s="1"/>
  <c r="AD57" i="6"/>
  <c r="AD107" i="6" s="1"/>
  <c r="AD51" i="6"/>
  <c r="AD101" i="6" s="1"/>
  <c r="AD56" i="6"/>
  <c r="AD106" i="6" s="1"/>
  <c r="AD50" i="6"/>
  <c r="AD100" i="6" s="1"/>
  <c r="AD52" i="6"/>
  <c r="AD102" i="6" s="1"/>
  <c r="AN5" i="7"/>
  <c r="AN5" i="11"/>
  <c r="AN5" i="42"/>
  <c r="AN5" i="44"/>
  <c r="AN5" i="56"/>
  <c r="AN5" i="50"/>
  <c r="AN5" i="47"/>
  <c r="AN5" i="57"/>
  <c r="AN5" i="5"/>
  <c r="AN5" i="51"/>
  <c r="AN5" i="9"/>
  <c r="AN5" i="1"/>
  <c r="AN5" i="55"/>
  <c r="AN5" i="49"/>
  <c r="AN5" i="13"/>
  <c r="AN5" i="6"/>
  <c r="AN5" i="48"/>
  <c r="AQ5" i="7"/>
  <c r="AQ5" i="50"/>
  <c r="AQ5" i="42"/>
  <c r="AQ5" i="44"/>
  <c r="AQ5" i="6"/>
  <c r="AQ5" i="5"/>
  <c r="AQ5" i="56"/>
  <c r="AQ5" i="9"/>
  <c r="AQ5" i="1"/>
  <c r="AQ5" i="57"/>
  <c r="AQ5" i="51"/>
  <c r="AQ5" i="11"/>
  <c r="AQ5" i="47"/>
  <c r="AQ5" i="13"/>
  <c r="AQ5" i="48"/>
  <c r="AQ5" i="55"/>
  <c r="AQ5" i="49"/>
  <c r="AP5" i="7"/>
  <c r="AP5" i="6"/>
  <c r="AP5" i="42"/>
  <c r="AP5" i="44"/>
  <c r="AP5" i="11"/>
  <c r="AP5" i="1"/>
  <c r="AP5" i="13"/>
  <c r="AP5" i="57"/>
  <c r="AP5" i="56"/>
  <c r="AP5" i="49"/>
  <c r="AP5" i="9"/>
  <c r="AP5" i="5"/>
  <c r="AP5" i="55"/>
  <c r="AP5" i="48"/>
  <c r="AP5" i="47"/>
  <c r="AP5" i="50"/>
  <c r="AP5" i="51"/>
  <c r="AJ5" i="7"/>
  <c r="AJ5" i="57"/>
  <c r="AJ5" i="51"/>
  <c r="AJ5" i="49"/>
  <c r="AJ5" i="48"/>
  <c r="AJ5" i="1"/>
  <c r="AJ5" i="9"/>
  <c r="AJ5" i="5"/>
  <c r="AJ5" i="56"/>
  <c r="AJ5" i="11"/>
  <c r="AJ5" i="44"/>
  <c r="AJ5" i="42"/>
  <c r="AJ5" i="47"/>
  <c r="AJ5" i="6"/>
  <c r="AJ5" i="55"/>
  <c r="AJ5" i="13"/>
  <c r="AJ5" i="50"/>
  <c r="I56" i="34"/>
  <c r="J43" i="34"/>
  <c r="J30" i="34"/>
  <c r="I32" i="34"/>
  <c r="I45" i="34"/>
  <c r="J45" i="34" s="1"/>
  <c r="H58" i="34"/>
  <c r="AH54" i="6"/>
  <c r="AH104" i="6" s="1"/>
  <c r="AH53" i="6"/>
  <c r="AH103" i="6" s="1"/>
  <c r="AH46" i="6"/>
  <c r="AH96" i="6" s="1"/>
  <c r="AH51" i="6"/>
  <c r="AH101" i="6" s="1"/>
  <c r="AH50" i="6"/>
  <c r="AH100" i="6" s="1"/>
  <c r="AH56" i="6"/>
  <c r="AH106" i="6" s="1"/>
  <c r="AH47" i="6"/>
  <c r="AH97" i="6" s="1"/>
  <c r="AH49" i="6"/>
  <c r="AH99" i="6" s="1"/>
  <c r="AH48" i="6"/>
  <c r="AH98" i="6" s="1"/>
  <c r="AH57" i="6"/>
  <c r="AH107" i="6" s="1"/>
  <c r="AH55" i="6"/>
  <c r="AH105" i="6" s="1"/>
  <c r="AH59" i="6"/>
  <c r="AH109" i="6" s="1"/>
  <c r="AH52" i="6"/>
  <c r="AH102" i="6" s="1"/>
  <c r="AH61" i="6"/>
  <c r="AH111" i="6" s="1"/>
  <c r="Y49" i="6"/>
  <c r="Y99" i="6" s="1"/>
  <c r="Y46" i="6"/>
  <c r="Y96" i="6" s="1"/>
  <c r="Y50" i="6"/>
  <c r="Y100" i="6" s="1"/>
  <c r="Y51" i="6"/>
  <c r="Y101" i="6" s="1"/>
  <c r="Y52" i="6"/>
  <c r="Y102" i="6" s="1"/>
  <c r="Y58" i="6"/>
  <c r="Y108" i="6" s="1"/>
  <c r="Y53" i="6"/>
  <c r="Y103" i="6" s="1"/>
  <c r="Y61" i="6"/>
  <c r="Y111" i="6" s="1"/>
  <c r="Y48" i="6"/>
  <c r="Y98" i="6" s="1"/>
  <c r="Y54" i="6"/>
  <c r="Y104" i="6" s="1"/>
  <c r="Y55" i="6"/>
  <c r="Y105" i="6" s="1"/>
  <c r="Y59" i="6"/>
  <c r="Y109" i="6" s="1"/>
  <c r="Y57" i="6"/>
  <c r="Y107" i="6" s="1"/>
  <c r="Y47" i="6"/>
  <c r="Y97" i="6" s="1"/>
  <c r="Y56" i="6"/>
  <c r="Y106" i="6" s="1"/>
  <c r="J38" i="34"/>
  <c r="J51" i="34" s="1"/>
  <c r="I51" i="34"/>
  <c r="I41" i="34"/>
  <c r="H54" i="34"/>
  <c r="AL5" i="7"/>
  <c r="AL5" i="1"/>
  <c r="AL5" i="44"/>
  <c r="AL5" i="42"/>
  <c r="AL5" i="51"/>
  <c r="AL5" i="50"/>
  <c r="AL5" i="13"/>
  <c r="AL5" i="6"/>
  <c r="AL5" i="5"/>
  <c r="AL5" i="11"/>
  <c r="AL5" i="55"/>
  <c r="AL5" i="9"/>
  <c r="AL5" i="57"/>
  <c r="AL5" i="48"/>
  <c r="AL5" i="56"/>
  <c r="AL5" i="49"/>
  <c r="AL5" i="47"/>
  <c r="O13" i="6"/>
  <c r="O24" i="13" s="1"/>
  <c r="G47" i="53"/>
  <c r="G58" i="53" s="1"/>
  <c r="G53" i="53"/>
  <c r="P52" i="54" s="1"/>
  <c r="G38" i="53"/>
  <c r="G41" i="53" s="1"/>
  <c r="G45" i="53" s="1"/>
  <c r="P46" i="54" s="1"/>
  <c r="P34" i="54"/>
  <c r="AB50" i="6"/>
  <c r="AB100" i="6"/>
  <c r="AB53" i="6"/>
  <c r="AB103" i="6"/>
  <c r="AB49" i="6"/>
  <c r="AB99" i="6"/>
  <c r="AB46" i="6"/>
  <c r="AB96" i="6"/>
  <c r="AB55" i="6"/>
  <c r="AB105" i="6"/>
  <c r="AB59" i="6"/>
  <c r="AB109" i="6"/>
  <c r="AB48" i="6"/>
  <c r="AB98" i="6"/>
  <c r="AB57" i="6"/>
  <c r="AB107" i="6"/>
  <c r="AB51" i="6"/>
  <c r="AB101" i="6"/>
  <c r="AB58" i="6"/>
  <c r="AB108" i="6"/>
  <c r="AB52" i="6"/>
  <c r="AB102" i="6"/>
  <c r="AB56" i="6"/>
  <c r="AB106" i="6"/>
  <c r="AB47" i="6"/>
  <c r="AB97" i="6"/>
  <c r="AB54" i="6"/>
  <c r="AB104" i="6"/>
  <c r="F109" i="2"/>
  <c r="F153" i="2"/>
  <c r="F8" i="54"/>
  <c r="O8" i="54"/>
  <c r="X8" i="54" s="1"/>
  <c r="F7" i="2"/>
  <c r="F194" i="2"/>
  <c r="F8" i="53"/>
  <c r="AE54" i="6"/>
  <c r="AE104" i="6"/>
  <c r="AE46" i="6"/>
  <c r="AE96" i="6"/>
  <c r="AE49" i="6"/>
  <c r="AE99" i="6"/>
  <c r="AE50" i="6"/>
  <c r="AE100" i="6"/>
  <c r="AE61" i="6"/>
  <c r="AE111" i="6"/>
  <c r="AE52" i="6"/>
  <c r="AE102" i="6"/>
  <c r="AE57" i="6"/>
  <c r="AE107" i="6"/>
  <c r="AE55" i="6"/>
  <c r="AE105" i="6"/>
  <c r="AE59" i="6"/>
  <c r="AE109" i="6"/>
  <c r="AE48" i="6"/>
  <c r="AE98" i="6"/>
  <c r="AE56" i="6"/>
  <c r="AE106" i="6"/>
  <c r="AE51" i="6"/>
  <c r="AE101" i="6"/>
  <c r="AE53" i="6"/>
  <c r="AE103" i="6"/>
  <c r="AE47" i="6"/>
  <c r="AE97" i="6"/>
  <c r="F8" i="6"/>
  <c r="F8" i="47"/>
  <c r="F8" i="42"/>
  <c r="F8" i="11"/>
  <c r="F8" i="49"/>
  <c r="F8" i="9"/>
  <c r="J7" i="2"/>
  <c r="F8" i="55"/>
  <c r="F8" i="50"/>
  <c r="F8" i="7"/>
  <c r="F8" i="51"/>
  <c r="F8" i="13"/>
  <c r="F8" i="44"/>
  <c r="F8" i="48"/>
  <c r="F8" i="1"/>
  <c r="F8" i="56"/>
  <c r="I8" i="53"/>
  <c r="F8" i="57"/>
  <c r="F8" i="5"/>
  <c r="I8" i="54"/>
  <c r="R8" i="54" s="1"/>
  <c r="AA8" i="54" s="1"/>
  <c r="H55" i="34"/>
  <c r="I42" i="34"/>
  <c r="V5" i="33"/>
  <c r="I5" i="36"/>
  <c r="X18" i="34"/>
  <c r="X5" i="34"/>
  <c r="J5" i="27"/>
  <c r="B14" i="27" s="1"/>
  <c r="J5" i="28"/>
  <c r="B14" i="28" s="1"/>
  <c r="V5" i="36"/>
  <c r="V5" i="37"/>
  <c r="W5" i="25"/>
  <c r="K5" i="34"/>
  <c r="AJ5" i="23"/>
  <c r="AJ5" i="28"/>
  <c r="I5" i="37"/>
  <c r="AJ5" i="25"/>
  <c r="AK49" i="34"/>
  <c r="AH5" i="32"/>
  <c r="W5" i="27"/>
  <c r="AK36" i="34"/>
  <c r="W5" i="28"/>
  <c r="AI5" i="33"/>
  <c r="AK18" i="34"/>
  <c r="J5" i="25"/>
  <c r="B14" i="25" s="1"/>
  <c r="X49" i="34"/>
  <c r="U5" i="32"/>
  <c r="AI5" i="36"/>
  <c r="J5" i="26"/>
  <c r="B14" i="26" s="1"/>
  <c r="K49" i="34"/>
  <c r="J5" i="23"/>
  <c r="B14" i="23" s="1"/>
  <c r="J5" i="24"/>
  <c r="B14" i="24" s="1"/>
  <c r="K18" i="34"/>
  <c r="AK5" i="34"/>
  <c r="F15" i="29"/>
  <c r="L18" i="34" s="1"/>
  <c r="J5" i="21"/>
  <c r="B14" i="21" s="1"/>
  <c r="W5" i="26"/>
  <c r="AJ5" i="20"/>
  <c r="W5" i="23"/>
  <c r="W5" i="24"/>
  <c r="AJ5" i="26"/>
  <c r="W5" i="20"/>
  <c r="AJ5" i="24"/>
  <c r="W5" i="21"/>
  <c r="J5" i="22"/>
  <c r="B14" i="22" s="1"/>
  <c r="H5" i="32"/>
  <c r="K36" i="34"/>
  <c r="I5" i="33"/>
  <c r="AJ5" i="27"/>
  <c r="W5" i="22"/>
  <c r="AJ5" i="22"/>
  <c r="X36" i="34"/>
  <c r="J5" i="20"/>
  <c r="B14" i="20" s="1"/>
  <c r="AI5" i="37"/>
  <c r="AJ5" i="21"/>
  <c r="O104" i="54"/>
  <c r="X104" i="54" s="1"/>
  <c r="X97" i="54"/>
  <c r="AG50" i="6"/>
  <c r="AG100" i="6"/>
  <c r="AG46" i="6"/>
  <c r="AG96" i="6"/>
  <c r="AG58" i="6"/>
  <c r="AG108" i="6"/>
  <c r="AG57" i="6"/>
  <c r="AG107" i="6"/>
  <c r="AG47" i="6"/>
  <c r="AG97" i="6"/>
  <c r="AG55" i="6"/>
  <c r="AG105" i="6"/>
  <c r="AG59" i="6"/>
  <c r="AG109" i="6"/>
  <c r="AG52" i="6"/>
  <c r="AG102" i="6"/>
  <c r="AG48" i="6"/>
  <c r="AG98" i="6"/>
  <c r="AG56" i="6"/>
  <c r="AG106" i="6"/>
  <c r="AG53" i="6"/>
  <c r="AG103" i="6"/>
  <c r="AG51" i="6"/>
  <c r="AG101" i="6"/>
  <c r="AG61" i="6"/>
  <c r="AG111" i="6"/>
  <c r="AG49" i="6"/>
  <c r="AG99" i="6"/>
  <c r="AG54" i="6"/>
  <c r="AG104" i="6"/>
  <c r="J24" i="34"/>
  <c r="W97" i="54"/>
  <c r="N104" i="54"/>
  <c r="W104" i="54"/>
  <c r="AT5" i="7"/>
  <c r="AT5" i="57"/>
  <c r="AT5" i="11"/>
  <c r="AT5" i="5"/>
  <c r="AT5" i="1"/>
  <c r="AT5" i="56"/>
  <c r="AT5" i="42"/>
  <c r="AT5" i="47"/>
  <c r="AT5" i="51"/>
  <c r="AT5" i="49"/>
  <c r="AT5" i="6"/>
  <c r="AT5" i="44"/>
  <c r="AT5" i="13"/>
  <c r="AT5" i="48"/>
  <c r="AT5" i="55"/>
  <c r="AT5" i="50"/>
  <c r="AT5" i="9"/>
  <c r="AX5" i="2"/>
  <c r="AZ5" i="2"/>
  <c r="BB5" i="2"/>
  <c r="BD5" i="2"/>
  <c r="BA5" i="51" s="1"/>
  <c r="BF5" i="2"/>
  <c r="BH5" i="2"/>
  <c r="BE5" i="49" s="1"/>
  <c r="L5" i="2"/>
  <c r="BE5" i="2"/>
  <c r="BB5" i="47" s="1"/>
  <c r="BC5" i="2"/>
  <c r="AY5" i="2"/>
  <c r="BG5" i="2"/>
  <c r="BI5" i="2"/>
  <c r="BA5" i="2"/>
  <c r="H5" i="48"/>
  <c r="H5" i="7"/>
  <c r="H5" i="42"/>
  <c r="H5" i="57"/>
  <c r="H5" i="6"/>
  <c r="H5" i="13"/>
  <c r="H5" i="51"/>
  <c r="H5" i="47"/>
  <c r="H5" i="11"/>
  <c r="H5" i="56"/>
  <c r="K5" i="53"/>
  <c r="H5" i="49"/>
  <c r="H5" i="5"/>
  <c r="H5" i="44"/>
  <c r="K5" i="54"/>
  <c r="T5" i="54" s="1"/>
  <c r="AC5" i="54" s="1"/>
  <c r="H5" i="55"/>
  <c r="H5" i="50"/>
  <c r="H5" i="9"/>
  <c r="H5" i="1"/>
  <c r="AO5" i="7"/>
  <c r="AO5" i="1"/>
  <c r="AO5" i="57"/>
  <c r="AO5" i="6"/>
  <c r="AO50" i="6" s="1"/>
  <c r="AO100" i="6" s="1"/>
  <c r="AO5" i="49"/>
  <c r="AO5" i="13"/>
  <c r="AO5" i="44"/>
  <c r="AO5" i="5"/>
  <c r="AO5" i="56"/>
  <c r="AO5" i="48"/>
  <c r="AO5" i="42"/>
  <c r="AO5" i="55"/>
  <c r="AO5" i="11"/>
  <c r="AO5" i="47"/>
  <c r="AO5" i="51"/>
  <c r="AO5" i="9"/>
  <c r="AO5" i="50"/>
  <c r="L57" i="56"/>
  <c r="L64" i="56" s="1"/>
  <c r="F8" i="59"/>
  <c r="I8" i="59"/>
  <c r="K5" i="59"/>
  <c r="E5" i="59"/>
  <c r="L116" i="11"/>
  <c r="L124" i="11" s="1"/>
  <c r="L45" i="11"/>
  <c r="L188" i="11"/>
  <c r="L196" i="11"/>
  <c r="Z58" i="6"/>
  <c r="Z108" i="6"/>
  <c r="AC58" i="6"/>
  <c r="AC108" i="6"/>
  <c r="AH58" i="6"/>
  <c r="AH108" i="6"/>
  <c r="AA58" i="6"/>
  <c r="AA108" i="6"/>
  <c r="W58" i="6"/>
  <c r="W108" i="6"/>
  <c r="AE58" i="6"/>
  <c r="AE108" i="6"/>
  <c r="X58" i="6"/>
  <c r="X108" i="6"/>
  <c r="AC61" i="6"/>
  <c r="AC111" i="6"/>
  <c r="AB61" i="6"/>
  <c r="AB111" i="6"/>
  <c r="L152" i="11"/>
  <c r="L160" i="11"/>
  <c r="L134" i="56"/>
  <c r="L141" i="56"/>
  <c r="L15" i="56" s="1"/>
  <c r="L24" i="49" s="1"/>
  <c r="L224" i="11"/>
  <c r="L232" i="11"/>
  <c r="BF5" i="13"/>
  <c r="BF5" i="56"/>
  <c r="BB5" i="7"/>
  <c r="BB5" i="56"/>
  <c r="BB5" i="6"/>
  <c r="BB5" i="48"/>
  <c r="BB5" i="5"/>
  <c r="BB5" i="51"/>
  <c r="BB5" i="13"/>
  <c r="BB5" i="1"/>
  <c r="BB5" i="11"/>
  <c r="BB5" i="44"/>
  <c r="BB5" i="9"/>
  <c r="BD5" i="7"/>
  <c r="BD5" i="57"/>
  <c r="BD5" i="47"/>
  <c r="BD5" i="11"/>
  <c r="BD5" i="6"/>
  <c r="BD5" i="55"/>
  <c r="BD5" i="49"/>
  <c r="BD5" i="9"/>
  <c r="BD5" i="42"/>
  <c r="BD5" i="5"/>
  <c r="BD5" i="56"/>
  <c r="BD5" i="50"/>
  <c r="BD5" i="13"/>
  <c r="BD5" i="1"/>
  <c r="BD5" i="44"/>
  <c r="BD5" i="51"/>
  <c r="BD5" i="48"/>
  <c r="BE5" i="7"/>
  <c r="BE5" i="44"/>
  <c r="BE5" i="56"/>
  <c r="BE5" i="48"/>
  <c r="BE5" i="55"/>
  <c r="BE5" i="47"/>
  <c r="BE5" i="1"/>
  <c r="BE5" i="51"/>
  <c r="BE5" i="42"/>
  <c r="AX5" i="7"/>
  <c r="AX5" i="50"/>
  <c r="AX5" i="13"/>
  <c r="AX5" i="5"/>
  <c r="AX5" i="57"/>
  <c r="AX5" i="56"/>
  <c r="AX5" i="9"/>
  <c r="AX5" i="6"/>
  <c r="AX5" i="55"/>
  <c r="AX5" i="48"/>
  <c r="AX5" i="11"/>
  <c r="AX5" i="44"/>
  <c r="AX5" i="49"/>
  <c r="AX5" i="47"/>
  <c r="AX5" i="51"/>
  <c r="AX5" i="1"/>
  <c r="AX5" i="42"/>
  <c r="AZ5" i="7"/>
  <c r="AZ5" i="55"/>
  <c r="AZ5" i="47"/>
  <c r="AZ5" i="42"/>
  <c r="AZ5" i="5"/>
  <c r="AZ5" i="49"/>
  <c r="AZ5" i="9"/>
  <c r="AZ5" i="6"/>
  <c r="AZ5" i="57"/>
  <c r="AZ5" i="51"/>
  <c r="AZ5" i="50"/>
  <c r="AZ5" i="13"/>
  <c r="AZ5" i="44"/>
  <c r="AZ5" i="56"/>
  <c r="AZ5" i="48"/>
  <c r="AZ5" i="11"/>
  <c r="AZ5" i="1"/>
  <c r="BC5" i="7"/>
  <c r="BC5" i="57"/>
  <c r="BC5" i="55"/>
  <c r="BC5" i="13"/>
  <c r="BC5" i="6"/>
  <c r="BC5" i="51"/>
  <c r="BC5" i="49"/>
  <c r="BC5" i="9"/>
  <c r="BC5" i="44"/>
  <c r="BC5" i="56"/>
  <c r="BC5" i="50"/>
  <c r="BC5" i="47"/>
  <c r="BC5" i="5"/>
  <c r="BC5" i="48"/>
  <c r="BC5" i="1"/>
  <c r="BC5" i="42"/>
  <c r="BC5" i="11"/>
  <c r="AU5" i="7"/>
  <c r="AU5" i="57"/>
  <c r="AU5" i="51"/>
  <c r="AU5" i="13"/>
  <c r="AU5" i="11"/>
  <c r="AU5" i="44"/>
  <c r="AU5" i="55"/>
  <c r="AU5" i="50"/>
  <c r="AU5" i="9"/>
  <c r="AU5" i="6"/>
  <c r="AU5" i="47"/>
  <c r="AU5" i="42"/>
  <c r="AU5" i="1"/>
  <c r="AU5" i="48"/>
  <c r="AU5" i="56"/>
  <c r="AU5" i="49"/>
  <c r="AU5" i="5"/>
  <c r="E8" i="2"/>
  <c r="F108" i="2"/>
  <c r="F193" i="2"/>
  <c r="F7" i="54"/>
  <c r="O7" i="54" s="1"/>
  <c r="X7" i="54" s="1"/>
  <c r="F152" i="2"/>
  <c r="F7" i="53"/>
  <c r="AL55" i="6"/>
  <c r="AL105" i="6"/>
  <c r="AL54" i="6"/>
  <c r="AL104" i="6"/>
  <c r="AL59" i="6"/>
  <c r="AL109" i="6"/>
  <c r="AL49" i="6"/>
  <c r="AL99" i="6"/>
  <c r="AL56" i="6"/>
  <c r="AL106" i="6"/>
  <c r="AL53" i="6"/>
  <c r="AL103" i="6"/>
  <c r="AL51" i="6"/>
  <c r="AL101" i="6"/>
  <c r="AL46" i="6"/>
  <c r="AL96" i="6"/>
  <c r="AL48" i="6"/>
  <c r="AL98" i="6"/>
  <c r="AL52" i="6"/>
  <c r="AL102" i="6"/>
  <c r="AL57" i="6"/>
  <c r="AL107" i="6"/>
  <c r="AL47" i="6"/>
  <c r="AL97" i="6"/>
  <c r="AL50" i="6"/>
  <c r="AL100" i="6"/>
  <c r="K38" i="34"/>
  <c r="J32" i="34"/>
  <c r="K43" i="34"/>
  <c r="J56" i="34"/>
  <c r="K30" i="34"/>
  <c r="L160" i="56"/>
  <c r="L167" i="56" s="1"/>
  <c r="AK54" i="6"/>
  <c r="AK104" i="6"/>
  <c r="AK47" i="6"/>
  <c r="AK97" i="6"/>
  <c r="AK51" i="6"/>
  <c r="AK101" i="6"/>
  <c r="AK56" i="6"/>
  <c r="AK106" i="6"/>
  <c r="AK48" i="6"/>
  <c r="AK98" i="6"/>
  <c r="AK55" i="6"/>
  <c r="AK105" i="6"/>
  <c r="AK49" i="6"/>
  <c r="AK99" i="6"/>
  <c r="AK52" i="6"/>
  <c r="AK102" i="6"/>
  <c r="AK59" i="6"/>
  <c r="AK109" i="6"/>
  <c r="AK57" i="6"/>
  <c r="AK107" i="6"/>
  <c r="AK53" i="6"/>
  <c r="AK103" i="6"/>
  <c r="AK50" i="6"/>
  <c r="AK100" i="6"/>
  <c r="AK46" i="6"/>
  <c r="AK96" i="6"/>
  <c r="I26" i="34"/>
  <c r="J25" i="34"/>
  <c r="J41" i="34"/>
  <c r="I54" i="34"/>
  <c r="W45" i="34"/>
  <c r="V58" i="34"/>
  <c r="W32" i="34"/>
  <c r="AI54" i="6"/>
  <c r="AI104" i="6" s="1"/>
  <c r="AI49" i="6"/>
  <c r="AI99" i="6" s="1"/>
  <c r="AI47" i="6"/>
  <c r="AI97" i="6" s="1"/>
  <c r="AI51" i="6"/>
  <c r="AI101" i="6" s="1"/>
  <c r="AI53" i="6"/>
  <c r="AI103" i="6" s="1"/>
  <c r="AI55" i="6"/>
  <c r="AI105" i="6" s="1"/>
  <c r="AI61" i="6"/>
  <c r="AI111" i="6" s="1"/>
  <c r="AI58" i="6"/>
  <c r="AI108" i="6" s="1"/>
  <c r="AI57" i="6"/>
  <c r="AI107" i="6" s="1"/>
  <c r="AI46" i="6"/>
  <c r="AI96" i="6" s="1"/>
  <c r="AI52" i="6"/>
  <c r="AI102" i="6" s="1"/>
  <c r="AI56" i="6"/>
  <c r="AI106" i="6" s="1"/>
  <c r="AI48" i="6"/>
  <c r="AI98" i="6" s="1"/>
  <c r="AI50" i="6"/>
  <c r="AI100" i="6" s="1"/>
  <c r="AI59" i="6"/>
  <c r="AI109" i="6" s="1"/>
  <c r="AO93" i="54"/>
  <c r="AP90" i="54"/>
  <c r="M45" i="9"/>
  <c r="M47" i="9" s="1"/>
  <c r="M14" i="50" s="1"/>
  <c r="K5" i="27"/>
  <c r="B15" i="27" s="1"/>
  <c r="AK5" i="28"/>
  <c r="AL5" i="34"/>
  <c r="Y18" i="34"/>
  <c r="AL36" i="34"/>
  <c r="AK5" i="22"/>
  <c r="X5" i="28"/>
  <c r="X5" i="21"/>
  <c r="AL49" i="34"/>
  <c r="X5" i="27"/>
  <c r="W5" i="36"/>
  <c r="Y49" i="34"/>
  <c r="K5" i="24"/>
  <c r="B15" i="24" s="1"/>
  <c r="AJ5" i="36"/>
  <c r="AK5" i="25"/>
  <c r="K5" i="23"/>
  <c r="B15" i="23" s="1"/>
  <c r="AK5" i="24"/>
  <c r="K5" i="25"/>
  <c r="B15" i="25" s="1"/>
  <c r="L5" i="34"/>
  <c r="K5" i="21"/>
  <c r="B15" i="21" s="1"/>
  <c r="J5" i="37"/>
  <c r="AL18" i="34"/>
  <c r="AI5" i="32"/>
  <c r="X5" i="25"/>
  <c r="X5" i="20"/>
  <c r="W5" i="33"/>
  <c r="G7" i="51"/>
  <c r="G7" i="5"/>
  <c r="G7" i="7"/>
  <c r="G7" i="11"/>
  <c r="G7" i="6"/>
  <c r="G7" i="44"/>
  <c r="G7" i="13"/>
  <c r="J7" i="54"/>
  <c r="S7" i="54" s="1"/>
  <c r="AB7" i="54" s="1"/>
  <c r="G7" i="57"/>
  <c r="J7" i="53"/>
  <c r="G7" i="47"/>
  <c r="G7" i="42"/>
  <c r="J8" i="2"/>
  <c r="G7" i="55"/>
  <c r="G7" i="56"/>
  <c r="G7" i="48"/>
  <c r="G7" i="49"/>
  <c r="G7" i="9"/>
  <c r="G7" i="50"/>
  <c r="G7" i="1"/>
  <c r="AJ47" i="6"/>
  <c r="AJ97" i="6" s="1"/>
  <c r="AJ51" i="6"/>
  <c r="AJ101" i="6" s="1"/>
  <c r="AJ50" i="6"/>
  <c r="AJ100" i="6" s="1"/>
  <c r="AJ55" i="6"/>
  <c r="AJ105" i="6" s="1"/>
  <c r="AJ54" i="6"/>
  <c r="AJ104" i="6" s="1"/>
  <c r="AJ49" i="6"/>
  <c r="AJ99" i="6" s="1"/>
  <c r="AJ48" i="6"/>
  <c r="AJ98" i="6" s="1"/>
  <c r="AJ57" i="6"/>
  <c r="AJ107" i="6" s="1"/>
  <c r="AJ52" i="6"/>
  <c r="AJ102" i="6" s="1"/>
  <c r="AJ46" i="6"/>
  <c r="AJ96" i="6" s="1"/>
  <c r="AJ59" i="6"/>
  <c r="AJ109" i="6" s="1"/>
  <c r="AJ53" i="6"/>
  <c r="AJ103" i="6" s="1"/>
  <c r="AJ56" i="6"/>
  <c r="AJ106" i="6" s="1"/>
  <c r="L83" i="56"/>
  <c r="L90" i="56" s="1"/>
  <c r="M7" i="51"/>
  <c r="M7" i="44"/>
  <c r="M7" i="7"/>
  <c r="M7" i="55"/>
  <c r="M7" i="49"/>
  <c r="M7" i="13"/>
  <c r="M7" i="6"/>
  <c r="M7" i="5"/>
  <c r="M7" i="57"/>
  <c r="M7" i="50"/>
  <c r="M7" i="47"/>
  <c r="M7" i="9"/>
  <c r="M7" i="11"/>
  <c r="M7" i="42"/>
  <c r="M7" i="56"/>
  <c r="M7" i="1"/>
  <c r="P8" i="2"/>
  <c r="M8" i="48" s="1"/>
  <c r="M7" i="48"/>
  <c r="AR55" i="6"/>
  <c r="AR105" i="6"/>
  <c r="AR49" i="6"/>
  <c r="AR99" i="6"/>
  <c r="AR59" i="6"/>
  <c r="AR109" i="6"/>
  <c r="AR53" i="6"/>
  <c r="AR103" i="6"/>
  <c r="AR50" i="6"/>
  <c r="AR100" i="6"/>
  <c r="AR54" i="6"/>
  <c r="AR104" i="6"/>
  <c r="AR57" i="6"/>
  <c r="AR107" i="6"/>
  <c r="AR46" i="6"/>
  <c r="AR96" i="6"/>
  <c r="AR51" i="6"/>
  <c r="AR101" i="6"/>
  <c r="AR48" i="6"/>
  <c r="AR98" i="6"/>
  <c r="AR47" i="6"/>
  <c r="AR97" i="6"/>
  <c r="AR56" i="6"/>
  <c r="AR106" i="6"/>
  <c r="AR52" i="6"/>
  <c r="AR102" i="6"/>
  <c r="AS55" i="6"/>
  <c r="AS105" i="6"/>
  <c r="AS54" i="6"/>
  <c r="AS104" i="6"/>
  <c r="AS49" i="6"/>
  <c r="AS99" i="6"/>
  <c r="AS59" i="6"/>
  <c r="AS109" i="6"/>
  <c r="AS56" i="6"/>
  <c r="AS106" i="6"/>
  <c r="AS53" i="6"/>
  <c r="AS103" i="6"/>
  <c r="AS48" i="6"/>
  <c r="AS98" i="6"/>
  <c r="AS50" i="6"/>
  <c r="AS100" i="6"/>
  <c r="AS46" i="6"/>
  <c r="AS96" i="6"/>
  <c r="AS57" i="6"/>
  <c r="AS107" i="6"/>
  <c r="AS52" i="6"/>
  <c r="AS102" i="6"/>
  <c r="AS47" i="6"/>
  <c r="AS97" i="6"/>
  <c r="AS51" i="6"/>
  <c r="AS101" i="6"/>
  <c r="AS58" i="6"/>
  <c r="AS108" i="6"/>
  <c r="I52" i="34"/>
  <c r="J39" i="34"/>
  <c r="L13" i="50"/>
  <c r="M33" i="9"/>
  <c r="AQ55" i="6"/>
  <c r="AQ105" i="6"/>
  <c r="AQ61" i="6"/>
  <c r="AQ111" i="6"/>
  <c r="AQ59" i="6"/>
  <c r="AQ109" i="6"/>
  <c r="AQ56" i="6"/>
  <c r="AQ106" i="6"/>
  <c r="AQ50" i="6"/>
  <c r="AQ100" i="6"/>
  <c r="AQ48" i="6"/>
  <c r="AQ98" i="6"/>
  <c r="AQ58" i="6"/>
  <c r="AQ108" i="6"/>
  <c r="AQ54" i="6"/>
  <c r="AQ104" i="6"/>
  <c r="AQ49" i="6"/>
  <c r="AQ99" i="6"/>
  <c r="AQ52" i="6"/>
  <c r="AQ102" i="6"/>
  <c r="AQ47" i="6"/>
  <c r="AQ97" i="6"/>
  <c r="AQ51" i="6"/>
  <c r="AQ101" i="6"/>
  <c r="AQ53" i="6"/>
  <c r="AQ103" i="6"/>
  <c r="AQ46" i="6"/>
  <c r="AQ96" i="6"/>
  <c r="AQ57" i="6"/>
  <c r="AQ107" i="6"/>
  <c r="O39" i="54"/>
  <c r="BJ5" i="2"/>
  <c r="BO5" i="2"/>
  <c r="BR5" i="2"/>
  <c r="BM5" i="2"/>
  <c r="BP5" i="2"/>
  <c r="BU5" i="2"/>
  <c r="BL5" i="2"/>
  <c r="BQ5" i="2"/>
  <c r="BT5" i="2"/>
  <c r="BS5" i="2"/>
  <c r="BK5" i="2"/>
  <c r="BN5" i="2"/>
  <c r="L5" i="54"/>
  <c r="U5" i="54" s="1"/>
  <c r="AD5" i="54"/>
  <c r="I5" i="55"/>
  <c r="I5" i="48"/>
  <c r="I5" i="42"/>
  <c r="I5" i="5"/>
  <c r="I5" i="57"/>
  <c r="I5" i="50"/>
  <c r="I5" i="9"/>
  <c r="I5" i="6"/>
  <c r="I5" i="56"/>
  <c r="L5" i="53"/>
  <c r="L5" i="59" s="1"/>
  <c r="I5" i="49"/>
  <c r="I5" i="13"/>
  <c r="I5" i="11"/>
  <c r="I5" i="1"/>
  <c r="I5" i="44"/>
  <c r="I5" i="7"/>
  <c r="I5" i="47"/>
  <c r="I5" i="51"/>
  <c r="AY5" i="7"/>
  <c r="AY5" i="57"/>
  <c r="AY5" i="55"/>
  <c r="AY5" i="49"/>
  <c r="AY5" i="48"/>
  <c r="AY5" i="42"/>
  <c r="AY5" i="1"/>
  <c r="AY5" i="51"/>
  <c r="AY5" i="47"/>
  <c r="AY5" i="11"/>
  <c r="AY5" i="5"/>
  <c r="AY5" i="56"/>
  <c r="AY5" i="13"/>
  <c r="AY5" i="6"/>
  <c r="AY5" i="50"/>
  <c r="AY5" i="9"/>
  <c r="AY5" i="44"/>
  <c r="AV5" i="7"/>
  <c r="AV5" i="49"/>
  <c r="AV5" i="47"/>
  <c r="AV5" i="6"/>
  <c r="AV5" i="57"/>
  <c r="AV5" i="55"/>
  <c r="AV5" i="9"/>
  <c r="AV5" i="11"/>
  <c r="AV5" i="42"/>
  <c r="AV5" i="5"/>
  <c r="AV5" i="56"/>
  <c r="AV5" i="13"/>
  <c r="AV5" i="1"/>
  <c r="AV5" i="51"/>
  <c r="AV5" i="48"/>
  <c r="AV5" i="44"/>
  <c r="AV5" i="50"/>
  <c r="AW5" i="7"/>
  <c r="AW5" i="57"/>
  <c r="AW5" i="55"/>
  <c r="AW5" i="49"/>
  <c r="AW5" i="47"/>
  <c r="AW5" i="44"/>
  <c r="AW5" i="51"/>
  <c r="AW5" i="9"/>
  <c r="AW5" i="11"/>
  <c r="AW5" i="6"/>
  <c r="AW5" i="56"/>
  <c r="AW5" i="48"/>
  <c r="AW5" i="1"/>
  <c r="AW5" i="42"/>
  <c r="AW5" i="13"/>
  <c r="AW5" i="5"/>
  <c r="AW5" i="50"/>
  <c r="AT49" i="6"/>
  <c r="AT99" i="6" s="1"/>
  <c r="AT47" i="6"/>
  <c r="AT97" i="6" s="1"/>
  <c r="AT51" i="6"/>
  <c r="AT101" i="6" s="1"/>
  <c r="AT56" i="6"/>
  <c r="AT106" i="6" s="1"/>
  <c r="AT53" i="6"/>
  <c r="AT103" i="6" s="1"/>
  <c r="AT50" i="6"/>
  <c r="AT100" i="6" s="1"/>
  <c r="AT48" i="6"/>
  <c r="AT98" i="6" s="1"/>
  <c r="AT58" i="6"/>
  <c r="AT108" i="6" s="1"/>
  <c r="AT55" i="6"/>
  <c r="AT105" i="6" s="1"/>
  <c r="AT54" i="6"/>
  <c r="AT104" i="6" s="1"/>
  <c r="AT57" i="6"/>
  <c r="AT107" i="6" s="1"/>
  <c r="AT52" i="6"/>
  <c r="AT102" i="6" s="1"/>
  <c r="AT46" i="6"/>
  <c r="AT96" i="6" s="1"/>
  <c r="AT59" i="6"/>
  <c r="AT109" i="6" s="1"/>
  <c r="K24" i="34"/>
  <c r="P42" i="54"/>
  <c r="AP55" i="6"/>
  <c r="AP105" i="6"/>
  <c r="AP49" i="6"/>
  <c r="AP99" i="6"/>
  <c r="AP59" i="6"/>
  <c r="AP109" i="6"/>
  <c r="AP53" i="6"/>
  <c r="AP103" i="6"/>
  <c r="AP50" i="6"/>
  <c r="AP100" i="6"/>
  <c r="AP54" i="6"/>
  <c r="AP104" i="6"/>
  <c r="AP56" i="6"/>
  <c r="AP106" i="6"/>
  <c r="AP48" i="6"/>
  <c r="AP98" i="6"/>
  <c r="AP47" i="6"/>
  <c r="AP97" i="6"/>
  <c r="AP57" i="6"/>
  <c r="AP107" i="6"/>
  <c r="AP46" i="6"/>
  <c r="AP96" i="6"/>
  <c r="AP51" i="6"/>
  <c r="AP101" i="6"/>
  <c r="AP52" i="6"/>
  <c r="AP102" i="6"/>
  <c r="AN55" i="6"/>
  <c r="AN105" i="6"/>
  <c r="AN54" i="6"/>
  <c r="AN104" i="6"/>
  <c r="AN49" i="6"/>
  <c r="AN99" i="6"/>
  <c r="AN59" i="6"/>
  <c r="AN109" i="6"/>
  <c r="AN53" i="6"/>
  <c r="AN103" i="6"/>
  <c r="AN57" i="6"/>
  <c r="AN107" i="6"/>
  <c r="AN46" i="6"/>
  <c r="AN96" i="6"/>
  <c r="AN47" i="6"/>
  <c r="AN97" i="6"/>
  <c r="AN50" i="6"/>
  <c r="AN100" i="6"/>
  <c r="AN52" i="6"/>
  <c r="AN102" i="6"/>
  <c r="AN48" i="6"/>
  <c r="AN98" i="6"/>
  <c r="AN51" i="6"/>
  <c r="AN101" i="6"/>
  <c r="AN56" i="6"/>
  <c r="AN106" i="6"/>
  <c r="L33" i="56"/>
  <c r="L39" i="56"/>
  <c r="AK45" i="34"/>
  <c r="AK32" i="34"/>
  <c r="AJ58" i="34"/>
  <c r="O42" i="54"/>
  <c r="F45" i="53"/>
  <c r="O46" i="54"/>
  <c r="AM54" i="6"/>
  <c r="AM104" i="6" s="1"/>
  <c r="AM47" i="6"/>
  <c r="AM97" i="6" s="1"/>
  <c r="AM51" i="6"/>
  <c r="AM101" i="6" s="1"/>
  <c r="AM56" i="6"/>
  <c r="AM106" i="6" s="1"/>
  <c r="AM48" i="6"/>
  <c r="AM98" i="6" s="1"/>
  <c r="AM55" i="6"/>
  <c r="AM105" i="6" s="1"/>
  <c r="AM49" i="6"/>
  <c r="AM99" i="6" s="1"/>
  <c r="AM52" i="6"/>
  <c r="AM102" i="6" s="1"/>
  <c r="AM53" i="6"/>
  <c r="AM103" i="6" s="1"/>
  <c r="AM50" i="6"/>
  <c r="AM100" i="6" s="1"/>
  <c r="AM59" i="6"/>
  <c r="AM109" i="6" s="1"/>
  <c r="AM46" i="6"/>
  <c r="AM96" i="6" s="1"/>
  <c r="AM57" i="6"/>
  <c r="AM107" i="6" s="1"/>
  <c r="J7" i="59"/>
  <c r="F7" i="59"/>
  <c r="AN58" i="6"/>
  <c r="AN108" i="6" s="1"/>
  <c r="AO58" i="6"/>
  <c r="AO108" i="6" s="1"/>
  <c r="AM58" i="6"/>
  <c r="AM108" i="6" s="1"/>
  <c r="AR58" i="6"/>
  <c r="AR108" i="6" s="1"/>
  <c r="AK58" i="6"/>
  <c r="AK108" i="6" s="1"/>
  <c r="AP58" i="6"/>
  <c r="AP108" i="6" s="1"/>
  <c r="AJ58" i="6"/>
  <c r="AJ108" i="6" s="1"/>
  <c r="AL58" i="6"/>
  <c r="AL108" i="6" s="1"/>
  <c r="AH60" i="6"/>
  <c r="AH110" i="6" s="1"/>
  <c r="Y60" i="6"/>
  <c r="Y110" i="6" s="1"/>
  <c r="AG60" i="6"/>
  <c r="AG110" i="6" s="1"/>
  <c r="W60" i="6"/>
  <c r="W110" i="6" s="1"/>
  <c r="AC60" i="6"/>
  <c r="AC110" i="6" s="1"/>
  <c r="AD60" i="6"/>
  <c r="AD110" i="6" s="1"/>
  <c r="AB60" i="6"/>
  <c r="AB110" i="6" s="1"/>
  <c r="X60" i="6"/>
  <c r="X110" i="6" s="1"/>
  <c r="AF60" i="6"/>
  <c r="AF110" i="6" s="1"/>
  <c r="AA60" i="6"/>
  <c r="AA110" i="6" s="1"/>
  <c r="Z60" i="6"/>
  <c r="Z110" i="6" s="1"/>
  <c r="AE60" i="6"/>
  <c r="AE110" i="6" s="1"/>
  <c r="AM61" i="6"/>
  <c r="AM111" i="6" s="1"/>
  <c r="AO61" i="6"/>
  <c r="AO111" i="6" s="1"/>
  <c r="AP61" i="6"/>
  <c r="AP111" i="6" s="1"/>
  <c r="AT61" i="6"/>
  <c r="AT111" i="6" s="1"/>
  <c r="AS61" i="6"/>
  <c r="AS111" i="6" s="1"/>
  <c r="AR61" i="6"/>
  <c r="AR111" i="6" s="1"/>
  <c r="AJ61" i="6"/>
  <c r="AJ111" i="6" s="1"/>
  <c r="AN61" i="6"/>
  <c r="AN111" i="6" s="1"/>
  <c r="AK61" i="6"/>
  <c r="AK111" i="6" s="1"/>
  <c r="AL61" i="6"/>
  <c r="AL111" i="6" s="1"/>
  <c r="AF63" i="6"/>
  <c r="AF113" i="6" s="1"/>
  <c r="AD63" i="6"/>
  <c r="AD113" i="6" s="1"/>
  <c r="Y63" i="6"/>
  <c r="Y113" i="6" s="1"/>
  <c r="W63" i="6"/>
  <c r="W113" i="6" s="1"/>
  <c r="AA63" i="6"/>
  <c r="AA113" i="6" s="1"/>
  <c r="AH63" i="6"/>
  <c r="AH113" i="6" s="1"/>
  <c r="AE63" i="6"/>
  <c r="AE113" i="6" s="1"/>
  <c r="AG63" i="6"/>
  <c r="AG113" i="6" s="1"/>
  <c r="AC63" i="6"/>
  <c r="AC113" i="6" s="1"/>
  <c r="X63" i="6"/>
  <c r="X113" i="6" s="1"/>
  <c r="Z63" i="6"/>
  <c r="Z113" i="6" s="1"/>
  <c r="AB63" i="6"/>
  <c r="AB113" i="6" s="1"/>
  <c r="BK5" i="7"/>
  <c r="BK5" i="9"/>
  <c r="BK5" i="42"/>
  <c r="BK5" i="1"/>
  <c r="BK5" i="56"/>
  <c r="BK5" i="49"/>
  <c r="BK5" i="13"/>
  <c r="BK5" i="11"/>
  <c r="BK5" i="5"/>
  <c r="BK5" i="55"/>
  <c r="BK5" i="50"/>
  <c r="BK5" i="48"/>
  <c r="BK5" i="6"/>
  <c r="BK5" i="51"/>
  <c r="BK5" i="44"/>
  <c r="BK5" i="57"/>
  <c r="BK5" i="47"/>
  <c r="BN5" i="7"/>
  <c r="BN5" i="55"/>
  <c r="BN5" i="50"/>
  <c r="BN5" i="9"/>
  <c r="BN5" i="44"/>
  <c r="BN5" i="51"/>
  <c r="BN5" i="13"/>
  <c r="BN5" i="1"/>
  <c r="BN5" i="56"/>
  <c r="BN5" i="47"/>
  <c r="BN5" i="42"/>
  <c r="BN5" i="6"/>
  <c r="BN5" i="57"/>
  <c r="BN5" i="49"/>
  <c r="BN5" i="5"/>
  <c r="BN5" i="11"/>
  <c r="BN5" i="48"/>
  <c r="BJ5" i="7"/>
  <c r="BJ5" i="57"/>
  <c r="BJ5" i="56"/>
  <c r="BJ5" i="9"/>
  <c r="BJ5" i="5"/>
  <c r="BJ5" i="50"/>
  <c r="BJ5" i="13"/>
  <c r="BJ5" i="6"/>
  <c r="BJ5" i="51"/>
  <c r="BJ5" i="49"/>
  <c r="BJ5" i="47"/>
  <c r="BJ5" i="11"/>
  <c r="BJ5" i="44"/>
  <c r="BJ5" i="48"/>
  <c r="BJ5" i="42"/>
  <c r="BJ5" i="1"/>
  <c r="BJ5" i="55"/>
  <c r="AU54" i="6"/>
  <c r="AU104" i="6" s="1"/>
  <c r="AU61" i="6"/>
  <c r="AU111" i="6"/>
  <c r="AU50" i="6"/>
  <c r="AU100" i="6"/>
  <c r="AU46" i="6"/>
  <c r="AU96" i="6"/>
  <c r="AU59" i="6"/>
  <c r="AU109" i="6" s="1"/>
  <c r="AU48" i="6"/>
  <c r="AU98" i="6"/>
  <c r="AU58" i="6"/>
  <c r="AU108" i="6"/>
  <c r="AU53" i="6"/>
  <c r="AU103" i="6"/>
  <c r="AU47" i="6"/>
  <c r="AU97" i="6" s="1"/>
  <c r="AU52" i="6"/>
  <c r="AU102" i="6"/>
  <c r="AU49" i="6"/>
  <c r="AU99" i="6"/>
  <c r="AU55" i="6"/>
  <c r="AU105" i="6"/>
  <c r="AU51" i="6"/>
  <c r="AU101" i="6" s="1"/>
  <c r="AU57" i="6"/>
  <c r="AU107" i="6"/>
  <c r="AU56" i="6"/>
  <c r="AU106" i="6"/>
  <c r="AZ59" i="6"/>
  <c r="AZ109" i="6"/>
  <c r="AZ54" i="6"/>
  <c r="AZ104" i="6" s="1"/>
  <c r="AZ61" i="6"/>
  <c r="AZ111" i="6"/>
  <c r="AZ50" i="6"/>
  <c r="AZ100" i="6" s="1"/>
  <c r="AZ55" i="6"/>
  <c r="AZ105" i="6"/>
  <c r="AZ46" i="6"/>
  <c r="AZ96" i="6" s="1"/>
  <c r="AZ51" i="6"/>
  <c r="AZ101" i="6"/>
  <c r="AZ48" i="6"/>
  <c r="AZ98" i="6" s="1"/>
  <c r="AZ58" i="6"/>
  <c r="AZ108" i="6"/>
  <c r="AZ53" i="6"/>
  <c r="AZ103" i="6" s="1"/>
  <c r="AZ57" i="6"/>
  <c r="AZ107" i="6"/>
  <c r="AZ52" i="6"/>
  <c r="AZ102" i="6" s="1"/>
  <c r="AZ47" i="6"/>
  <c r="AZ97" i="6"/>
  <c r="AZ56" i="6"/>
  <c r="AZ106" i="6" s="1"/>
  <c r="AZ49" i="6"/>
  <c r="AZ99" i="6"/>
  <c r="AV58" i="6"/>
  <c r="AV108" i="6"/>
  <c r="AV49" i="6"/>
  <c r="AV99" i="6" s="1"/>
  <c r="AV57" i="6"/>
  <c r="AV107" i="6"/>
  <c r="AV59" i="6"/>
  <c r="AV109" i="6" s="1"/>
  <c r="AV48" i="6"/>
  <c r="AV98" i="6"/>
  <c r="AV54" i="6"/>
  <c r="AV104" i="6" s="1"/>
  <c r="AV61" i="6"/>
  <c r="AV111" i="6"/>
  <c r="AV50" i="6"/>
  <c r="AV100" i="6" s="1"/>
  <c r="AV47" i="6"/>
  <c r="AV97" i="6"/>
  <c r="AV52" i="6"/>
  <c r="AV102" i="6" s="1"/>
  <c r="AV53" i="6"/>
  <c r="AV103" i="6"/>
  <c r="AV56" i="6"/>
  <c r="AV106" i="6" s="1"/>
  <c r="AV46" i="6"/>
  <c r="AV96" i="6"/>
  <c r="AV51" i="6"/>
  <c r="AV101" i="6" s="1"/>
  <c r="AV55" i="6"/>
  <c r="AV105" i="6"/>
  <c r="BP5" i="7"/>
  <c r="BP5" i="57"/>
  <c r="BP5" i="56"/>
  <c r="BP5" i="49"/>
  <c r="BP5" i="9"/>
  <c r="BP5" i="11"/>
  <c r="BP5" i="6"/>
  <c r="BP5" i="51"/>
  <c r="BP5" i="47"/>
  <c r="BP5" i="42"/>
  <c r="BP5" i="5"/>
  <c r="BP5" i="55"/>
  <c r="BP5" i="48"/>
  <c r="BP5" i="1"/>
  <c r="BP5" i="13"/>
  <c r="BP5" i="50"/>
  <c r="BP5" i="44"/>
  <c r="BR5" i="7"/>
  <c r="BR5" i="56"/>
  <c r="BR5" i="9"/>
  <c r="BR5" i="11"/>
  <c r="BR5" i="44"/>
  <c r="BR5" i="57"/>
  <c r="BR5" i="50"/>
  <c r="BR5" i="13"/>
  <c r="BR5" i="42"/>
  <c r="BR5" i="1"/>
  <c r="BR5" i="51"/>
  <c r="BR5" i="49"/>
  <c r="BR5" i="47"/>
  <c r="BR5" i="6"/>
  <c r="BR5" i="5"/>
  <c r="BR5" i="55"/>
  <c r="BR5" i="48"/>
  <c r="BL5" i="7"/>
  <c r="BL5" i="56"/>
  <c r="BL5" i="9"/>
  <c r="BL5" i="44"/>
  <c r="BL5" i="51"/>
  <c r="BL5" i="49"/>
  <c r="BL5" i="47"/>
  <c r="BL5" i="11"/>
  <c r="BL5" i="1"/>
  <c r="BL5" i="57"/>
  <c r="BL5" i="55"/>
  <c r="BL5" i="50"/>
  <c r="BL5" i="48"/>
  <c r="BL5" i="6"/>
  <c r="BL5" i="42"/>
  <c r="BL5" i="13"/>
  <c r="BL5" i="5"/>
  <c r="AP93" i="54"/>
  <c r="AQ90" i="54"/>
  <c r="W58" i="34"/>
  <c r="X45" i="34"/>
  <c r="X32" i="34"/>
  <c r="J26" i="34"/>
  <c r="K25" i="34"/>
  <c r="J58" i="34"/>
  <c r="K45" i="34"/>
  <c r="K32" i="34"/>
  <c r="K51" i="34"/>
  <c r="L38" i="34"/>
  <c r="AX59" i="6"/>
  <c r="AX109" i="6" s="1"/>
  <c r="AX54" i="6"/>
  <c r="AX104" i="6"/>
  <c r="AX50" i="6"/>
  <c r="AX100" i="6" s="1"/>
  <c r="AX49" i="6"/>
  <c r="AX99" i="6"/>
  <c r="AX55" i="6"/>
  <c r="AX105" i="6" s="1"/>
  <c r="AX57" i="6"/>
  <c r="AX107" i="6"/>
  <c r="AX46" i="6"/>
  <c r="AX96" i="6" s="1"/>
  <c r="AX51" i="6"/>
  <c r="AX101" i="6"/>
  <c r="AX48" i="6"/>
  <c r="AX98" i="6" s="1"/>
  <c r="AX58" i="6"/>
  <c r="AX108" i="6" s="1"/>
  <c r="AX61" i="6"/>
  <c r="AX111" i="6" s="1"/>
  <c r="AX56" i="6"/>
  <c r="AX106" i="6"/>
  <c r="AX47" i="6"/>
  <c r="AX97" i="6" s="1"/>
  <c r="AX52" i="6"/>
  <c r="AX102" i="6" s="1"/>
  <c r="AX53" i="6"/>
  <c r="AX103" i="6" s="1"/>
  <c r="AL45" i="34"/>
  <c r="AL32" i="34"/>
  <c r="AK58" i="34"/>
  <c r="G8" i="56"/>
  <c r="G8" i="49"/>
  <c r="G8" i="42"/>
  <c r="K7" i="2"/>
  <c r="G8" i="57"/>
  <c r="G8" i="7"/>
  <c r="G8" i="11"/>
  <c r="G8" i="50"/>
  <c r="G8" i="44"/>
  <c r="G8" i="55"/>
  <c r="G8" i="51"/>
  <c r="G8" i="1"/>
  <c r="G8" i="9"/>
  <c r="J8" i="54"/>
  <c r="S8" i="54" s="1"/>
  <c r="AB8" i="54" s="1"/>
  <c r="G8" i="48"/>
  <c r="G8" i="13"/>
  <c r="G8" i="5"/>
  <c r="G8" i="6"/>
  <c r="G8" i="47"/>
  <c r="J8" i="53"/>
  <c r="K41" i="34"/>
  <c r="J54" i="34"/>
  <c r="E8" i="53"/>
  <c r="E8" i="59" s="1"/>
  <c r="E153" i="2"/>
  <c r="E8" i="54"/>
  <c r="N8" i="54" s="1"/>
  <c r="W8" i="54" s="1"/>
  <c r="E109" i="2"/>
  <c r="E7" i="2"/>
  <c r="E194" i="2"/>
  <c r="BH5" i="7"/>
  <c r="BH5" i="9"/>
  <c r="BH5" i="48"/>
  <c r="BH5" i="42"/>
  <c r="BH5" i="5"/>
  <c r="BH5" i="57"/>
  <c r="BH5" i="55"/>
  <c r="BH5" i="49"/>
  <c r="BH5" i="13"/>
  <c r="BH5" i="11"/>
  <c r="BH5" i="6"/>
  <c r="BH5" i="56"/>
  <c r="BH5" i="50"/>
  <c r="BH5" i="47"/>
  <c r="BH5" i="44"/>
  <c r="BH5" i="51"/>
  <c r="BH5" i="1"/>
  <c r="BI5" i="7"/>
  <c r="BI5" i="49"/>
  <c r="BI5" i="9"/>
  <c r="BI5" i="1"/>
  <c r="BI5" i="56"/>
  <c r="BI5" i="47"/>
  <c r="BI5" i="42"/>
  <c r="BI5" i="5"/>
  <c r="BI5" i="57"/>
  <c r="BI5" i="55"/>
  <c r="BI5" i="13"/>
  <c r="BI5" i="11"/>
  <c r="BI5" i="6"/>
  <c r="BI5" i="50"/>
  <c r="BI5" i="51"/>
  <c r="BI5" i="48"/>
  <c r="BI5" i="44"/>
  <c r="BO5" i="7"/>
  <c r="BO5" i="55"/>
  <c r="BO5" i="49"/>
  <c r="BO5" i="9"/>
  <c r="BO5" i="44"/>
  <c r="BO5" i="57"/>
  <c r="BO5" i="51"/>
  <c r="BO5" i="13"/>
  <c r="BO5" i="6"/>
  <c r="BO5" i="56"/>
  <c r="BO5" i="48"/>
  <c r="BO5" i="42"/>
  <c r="BO5" i="1"/>
  <c r="BO5" i="47"/>
  <c r="BO5" i="5"/>
  <c r="BO5" i="11"/>
  <c r="BO5" i="50"/>
  <c r="L24" i="34"/>
  <c r="M35" i="9"/>
  <c r="J52" i="34"/>
  <c r="K39" i="34"/>
  <c r="M8" i="7"/>
  <c r="M8" i="11"/>
  <c r="M80" i="11" s="1"/>
  <c r="M88" i="11" s="1"/>
  <c r="M8" i="47"/>
  <c r="AW48" i="6"/>
  <c r="AW98" i="6"/>
  <c r="AW54" i="6"/>
  <c r="AW104" i="6"/>
  <c r="AW50" i="6"/>
  <c r="AW100" i="6" s="1"/>
  <c r="AW49" i="6"/>
  <c r="AW99" i="6"/>
  <c r="AW56" i="6"/>
  <c r="AW106" i="6" s="1"/>
  <c r="AW57" i="6"/>
  <c r="AW107" i="6"/>
  <c r="AW46" i="6"/>
  <c r="AW96" i="6" s="1"/>
  <c r="AW59" i="6"/>
  <c r="AW109" i="6"/>
  <c r="AW58" i="6"/>
  <c r="AW108" i="6" s="1"/>
  <c r="AW61" i="6"/>
  <c r="AW111" i="6"/>
  <c r="AW52" i="6"/>
  <c r="AW102" i="6" s="1"/>
  <c r="AW51" i="6"/>
  <c r="AW101" i="6"/>
  <c r="AW53" i="6"/>
  <c r="AW103" i="6" s="1"/>
  <c r="AW55" i="6"/>
  <c r="AW105" i="6"/>
  <c r="AW47" i="6"/>
  <c r="AW97" i="6" s="1"/>
  <c r="AY48" i="6"/>
  <c r="AY98" i="6"/>
  <c r="AY54" i="6"/>
  <c r="AY104" i="6" s="1"/>
  <c r="AY50" i="6"/>
  <c r="AY100" i="6"/>
  <c r="AY49" i="6"/>
  <c r="AY99" i="6" s="1"/>
  <c r="AY56" i="6"/>
  <c r="AY106" i="6"/>
  <c r="AY57" i="6"/>
  <c r="AY107" i="6" s="1"/>
  <c r="AY46" i="6"/>
  <c r="AY96" i="6"/>
  <c r="AY59" i="6"/>
  <c r="AY109" i="6" s="1"/>
  <c r="AY58" i="6"/>
  <c r="AY108" i="6"/>
  <c r="AY61" i="6"/>
  <c r="AY111" i="6" s="1"/>
  <c r="AY51" i="6"/>
  <c r="AY101" i="6"/>
  <c r="AY52" i="6"/>
  <c r="AY102" i="6" s="1"/>
  <c r="AY47" i="6"/>
  <c r="AY97" i="6"/>
  <c r="AY55" i="6"/>
  <c r="AY105" i="6" s="1"/>
  <c r="AY53" i="6"/>
  <c r="AY103" i="6"/>
  <c r="BQ5" i="7"/>
  <c r="BQ5" i="51"/>
  <c r="BQ5" i="49"/>
  <c r="BQ5" i="9"/>
  <c r="BQ5" i="44"/>
  <c r="BQ5" i="55"/>
  <c r="BQ5" i="47"/>
  <c r="BQ5" i="1"/>
  <c r="BQ5" i="13"/>
  <c r="BQ5" i="11"/>
  <c r="BQ5" i="6"/>
  <c r="BQ5" i="48"/>
  <c r="BQ5" i="50"/>
  <c r="BQ5" i="5"/>
  <c r="BQ5" i="56"/>
  <c r="BQ5" i="42"/>
  <c r="BQ5" i="57"/>
  <c r="BM5" i="7"/>
  <c r="BM5" i="57"/>
  <c r="BM5" i="9"/>
  <c r="BM5" i="11"/>
  <c r="BM5" i="6"/>
  <c r="BM5" i="56"/>
  <c r="BM5" i="49"/>
  <c r="BM5" i="47"/>
  <c r="BM5" i="44"/>
  <c r="BM5" i="55"/>
  <c r="BM5" i="50"/>
  <c r="BM5" i="13"/>
  <c r="BM5" i="42"/>
  <c r="BM5" i="5"/>
  <c r="BM5" i="51"/>
  <c r="BM5" i="1"/>
  <c r="BM5" i="48"/>
  <c r="BG5" i="7"/>
  <c r="BG5" i="56"/>
  <c r="BG5" i="49"/>
  <c r="BG5" i="9"/>
  <c r="BG5" i="42"/>
  <c r="BG5" i="1"/>
  <c r="BG5" i="13"/>
  <c r="BG5" i="5"/>
  <c r="BG5" i="57"/>
  <c r="BG5" i="51"/>
  <c r="BG5" i="48"/>
  <c r="BG5" i="6"/>
  <c r="BG5" i="44"/>
  <c r="BG5" i="47"/>
  <c r="BG5" i="50"/>
  <c r="BG5" i="11"/>
  <c r="BG5" i="55"/>
  <c r="L43" i="34"/>
  <c r="L30" i="34"/>
  <c r="K56" i="34"/>
  <c r="BC59" i="6"/>
  <c r="BC109" i="6"/>
  <c r="BC48" i="6"/>
  <c r="BC98" i="6" s="1"/>
  <c r="BC58" i="6"/>
  <c r="BC108" i="6"/>
  <c r="BC49" i="6"/>
  <c r="BC99" i="6" s="1"/>
  <c r="BC55" i="6"/>
  <c r="BC105" i="6"/>
  <c r="BC56" i="6"/>
  <c r="BC106" i="6" s="1"/>
  <c r="BC57" i="6"/>
  <c r="BC107" i="6"/>
  <c r="BC51" i="6"/>
  <c r="BC101" i="6" s="1"/>
  <c r="BC54" i="6"/>
  <c r="BC104" i="6"/>
  <c r="BC61" i="6"/>
  <c r="BC111" i="6" s="1"/>
  <c r="BC50" i="6"/>
  <c r="BC100" i="6"/>
  <c r="BC52" i="6"/>
  <c r="BC102" i="6" s="1"/>
  <c r="BC46" i="6"/>
  <c r="BC96" i="6"/>
  <c r="BC47" i="6"/>
  <c r="BC97" i="6" s="1"/>
  <c r="BC53" i="6"/>
  <c r="BC103" i="6"/>
  <c r="BD59" i="6"/>
  <c r="BD109" i="6"/>
  <c r="BD58" i="6"/>
  <c r="BD108" i="6" s="1"/>
  <c r="BD61" i="6"/>
  <c r="BD111" i="6"/>
  <c r="BD55" i="6"/>
  <c r="BD105" i="6" s="1"/>
  <c r="BD51" i="6"/>
  <c r="BD101" i="6"/>
  <c r="BD48" i="6"/>
  <c r="BD98" i="6" s="1"/>
  <c r="BD54" i="6"/>
  <c r="BD104" i="6"/>
  <c r="BD50" i="6"/>
  <c r="BD100" i="6" s="1"/>
  <c r="BD53" i="6"/>
  <c r="BD103" i="6"/>
  <c r="BD56" i="6"/>
  <c r="BD106" i="6" s="1"/>
  <c r="BD46" i="6"/>
  <c r="BD96" i="6"/>
  <c r="BD47" i="6"/>
  <c r="BD97" i="6" s="1"/>
  <c r="BD57" i="6"/>
  <c r="BD107" i="6"/>
  <c r="BD52" i="6"/>
  <c r="BD102" i="6" s="1"/>
  <c r="BD49" i="6"/>
  <c r="BD99" i="6"/>
  <c r="BB59" i="6"/>
  <c r="BB109" i="6"/>
  <c r="BB58" i="6"/>
  <c r="BB108" i="6" s="1"/>
  <c r="BB61" i="6"/>
  <c r="BB111" i="6"/>
  <c r="BB55" i="6"/>
  <c r="BB105" i="6" s="1"/>
  <c r="BB51" i="6"/>
  <c r="BB101" i="6"/>
  <c r="BB48" i="6"/>
  <c r="BB98" i="6" s="1"/>
  <c r="BB54" i="6"/>
  <c r="BB104" i="6"/>
  <c r="BB50" i="6"/>
  <c r="BB100" i="6" s="1"/>
  <c r="BB49" i="6"/>
  <c r="BB99" i="6"/>
  <c r="BB56" i="6"/>
  <c r="BB106" i="6" s="1"/>
  <c r="BB57" i="6"/>
  <c r="BB107" i="6"/>
  <c r="BB53" i="6"/>
  <c r="BB103" i="6" s="1"/>
  <c r="BB52" i="6"/>
  <c r="BB102" i="6"/>
  <c r="BB46" i="6"/>
  <c r="BB96" i="6" s="1"/>
  <c r="BB47" i="6"/>
  <c r="BB97" i="6"/>
  <c r="J8" i="59"/>
  <c r="M116" i="11"/>
  <c r="M124" i="11"/>
  <c r="M188" i="11"/>
  <c r="M196" i="11" s="1"/>
  <c r="AF62" i="6"/>
  <c r="AF112" i="6"/>
  <c r="AA62" i="6"/>
  <c r="AA112" i="6" s="1"/>
  <c r="AB62" i="6"/>
  <c r="AB112" i="6"/>
  <c r="W62" i="6"/>
  <c r="W112" i="6" s="1"/>
  <c r="AC62" i="6"/>
  <c r="AC112" i="6"/>
  <c r="X62" i="6"/>
  <c r="X112" i="6" s="1"/>
  <c r="Y62" i="6"/>
  <c r="Y112" i="6"/>
  <c r="AE62" i="6"/>
  <c r="AE112" i="6" s="1"/>
  <c r="Z62" i="6"/>
  <c r="Z112" i="6"/>
  <c r="AG62" i="6"/>
  <c r="AG112" i="6" s="1"/>
  <c r="AD62" i="6"/>
  <c r="AD112" i="6"/>
  <c r="AH62" i="6"/>
  <c r="AH112" i="6" s="1"/>
  <c r="AO60" i="6"/>
  <c r="AO110" i="6"/>
  <c r="AL60" i="6"/>
  <c r="AL110" i="6" s="1"/>
  <c r="AJ60" i="6"/>
  <c r="AJ110" i="6"/>
  <c r="AN60" i="6"/>
  <c r="AN110" i="6" s="1"/>
  <c r="AK60" i="6"/>
  <c r="AK110" i="6"/>
  <c r="AS60" i="6"/>
  <c r="AS110" i="6" s="1"/>
  <c r="AP60" i="6"/>
  <c r="AP110" i="6"/>
  <c r="AI60" i="6"/>
  <c r="AI110" i="6" s="1"/>
  <c r="AR60" i="6"/>
  <c r="AR110" i="6"/>
  <c r="AQ60" i="6"/>
  <c r="AQ110" i="6" s="1"/>
  <c r="AT60" i="6"/>
  <c r="AT110" i="6"/>
  <c r="AM60" i="6"/>
  <c r="AM110" i="6" s="1"/>
  <c r="AO63" i="6"/>
  <c r="AO113" i="6"/>
  <c r="AQ63" i="6"/>
  <c r="AQ113" i="6" s="1"/>
  <c r="AN63" i="6"/>
  <c r="AN113" i="6"/>
  <c r="AS63" i="6"/>
  <c r="AS113" i="6" s="1"/>
  <c r="AT63" i="6"/>
  <c r="AT113" i="6"/>
  <c r="AM63" i="6"/>
  <c r="AM113" i="6" s="1"/>
  <c r="AK63" i="6"/>
  <c r="AK113" i="6"/>
  <c r="AJ63" i="6"/>
  <c r="AJ113" i="6" s="1"/>
  <c r="AL63" i="6"/>
  <c r="AL113" i="6"/>
  <c r="AR63" i="6"/>
  <c r="AR113" i="6" s="1"/>
  <c r="AI63" i="6"/>
  <c r="AI113" i="6"/>
  <c r="AP63" i="6"/>
  <c r="AP113" i="6" s="1"/>
  <c r="X65" i="6"/>
  <c r="X115" i="6"/>
  <c r="AF65" i="6"/>
  <c r="AF115" i="6" s="1"/>
  <c r="AB65" i="6"/>
  <c r="AB115" i="6"/>
  <c r="AD65" i="6"/>
  <c r="AD115" i="6" s="1"/>
  <c r="AH65" i="6"/>
  <c r="AH115" i="6"/>
  <c r="AG65" i="6"/>
  <c r="AG115" i="6" s="1"/>
  <c r="W65" i="6"/>
  <c r="W115" i="6"/>
  <c r="Z65" i="6"/>
  <c r="Z115" i="6" s="1"/>
  <c r="AC65" i="6"/>
  <c r="AC115" i="6" s="1"/>
  <c r="AA65" i="6"/>
  <c r="AA115" i="6" s="1"/>
  <c r="Y65" i="6"/>
  <c r="Y115" i="6"/>
  <c r="AE65" i="6"/>
  <c r="AE115" i="6" s="1"/>
  <c r="AL58" i="34"/>
  <c r="AM45" i="34"/>
  <c r="AM32" i="34"/>
  <c r="L45" i="34"/>
  <c r="L32" i="34"/>
  <c r="K58" i="34"/>
  <c r="Y45" i="34"/>
  <c r="Y32" i="34"/>
  <c r="X58" i="34"/>
  <c r="AR90" i="54"/>
  <c r="AQ93" i="54"/>
  <c r="BR46" i="6"/>
  <c r="BR96" i="6" s="1"/>
  <c r="BR47" i="6"/>
  <c r="BR97" i="6" s="1"/>
  <c r="BR51" i="6"/>
  <c r="BR101" i="6"/>
  <c r="BR53" i="6"/>
  <c r="BR103" i="6" s="1"/>
  <c r="BR55" i="6"/>
  <c r="BR105" i="6" s="1"/>
  <c r="BR49" i="6"/>
  <c r="BR99" i="6" s="1"/>
  <c r="BR50" i="6"/>
  <c r="BR100" i="6"/>
  <c r="BR48" i="6"/>
  <c r="BR98" i="6" s="1"/>
  <c r="BR56" i="6"/>
  <c r="BR106" i="6" s="1"/>
  <c r="BR52" i="6"/>
  <c r="BR102" i="6" s="1"/>
  <c r="BR58" i="6"/>
  <c r="BR108" i="6"/>
  <c r="BR54" i="6"/>
  <c r="BR104" i="6" s="1"/>
  <c r="BR61" i="6"/>
  <c r="BR111" i="6" s="1"/>
  <c r="BR57" i="6"/>
  <c r="BR107" i="6" s="1"/>
  <c r="BR59" i="6"/>
  <c r="BR109" i="6"/>
  <c r="BP46" i="6"/>
  <c r="BP96" i="6"/>
  <c r="BP48" i="6"/>
  <c r="BP98" i="6"/>
  <c r="BP56" i="6"/>
  <c r="BP106" i="6"/>
  <c r="BP52" i="6"/>
  <c r="BP102" i="6" s="1"/>
  <c r="BP53" i="6"/>
  <c r="BP103" i="6"/>
  <c r="BP59" i="6"/>
  <c r="BP109" i="6"/>
  <c r="BP49" i="6"/>
  <c r="BP99" i="6"/>
  <c r="BP50" i="6"/>
  <c r="BP100" i="6" s="1"/>
  <c r="BP58" i="6"/>
  <c r="BP108" i="6"/>
  <c r="BP54" i="6"/>
  <c r="BP104" i="6"/>
  <c r="BP55" i="6"/>
  <c r="BP105" i="6"/>
  <c r="BP51" i="6"/>
  <c r="BP101" i="6" s="1"/>
  <c r="BP61" i="6"/>
  <c r="BP111" i="6"/>
  <c r="BP57" i="6"/>
  <c r="BP107" i="6"/>
  <c r="BP47" i="6"/>
  <c r="BP97" i="6"/>
  <c r="BJ46" i="6"/>
  <c r="BJ96" i="6"/>
  <c r="BJ50" i="6"/>
  <c r="BJ100" i="6"/>
  <c r="BJ48" i="6"/>
  <c r="BJ98" i="6" s="1"/>
  <c r="BJ56" i="6"/>
  <c r="BJ106" i="6"/>
  <c r="BJ52" i="6"/>
  <c r="BJ102" i="6"/>
  <c r="BJ58" i="6"/>
  <c r="BJ108" i="6"/>
  <c r="BJ54" i="6"/>
  <c r="BJ104" i="6" s="1"/>
  <c r="BJ59" i="6"/>
  <c r="BJ109" i="6"/>
  <c r="BJ61" i="6"/>
  <c r="BJ111" i="6"/>
  <c r="BJ57" i="6"/>
  <c r="BJ107" i="6"/>
  <c r="BJ49" i="6"/>
  <c r="BJ99" i="6" s="1"/>
  <c r="BJ47" i="6"/>
  <c r="BJ97" i="6" s="1"/>
  <c r="BJ51" i="6"/>
  <c r="BJ101" i="6" s="1"/>
  <c r="BJ53" i="6"/>
  <c r="BJ103" i="6"/>
  <c r="BJ55" i="6"/>
  <c r="BJ105" i="6" s="1"/>
  <c r="E7" i="53"/>
  <c r="E152" i="2"/>
  <c r="E7" i="54"/>
  <c r="N7" i="54"/>
  <c r="W7" i="54" s="1"/>
  <c r="E108" i="2"/>
  <c r="E193" i="2"/>
  <c r="L56" i="34"/>
  <c r="M43" i="34"/>
  <c r="M30" i="34"/>
  <c r="H7" i="51"/>
  <c r="H7" i="49"/>
  <c r="H7" i="5"/>
  <c r="H7" i="48"/>
  <c r="H7" i="50"/>
  <c r="H7" i="55"/>
  <c r="K7" i="54"/>
  <c r="T7" i="54"/>
  <c r="AC7" i="54"/>
  <c r="K7" i="53"/>
  <c r="H7" i="7"/>
  <c r="H7" i="42"/>
  <c r="H7" i="13"/>
  <c r="H7" i="6"/>
  <c r="H7" i="9"/>
  <c r="H7" i="11"/>
  <c r="H7" i="47"/>
  <c r="H7" i="57"/>
  <c r="H7" i="1"/>
  <c r="H7" i="56"/>
  <c r="K8" i="2"/>
  <c r="H7" i="44"/>
  <c r="L51" i="34"/>
  <c r="M38" i="34"/>
  <c r="BN46" i="6"/>
  <c r="BN96" i="6"/>
  <c r="BN48" i="6"/>
  <c r="BN98" i="6" s="1"/>
  <c r="BN56" i="6"/>
  <c r="BN106" i="6"/>
  <c r="BN52" i="6"/>
  <c r="BN102" i="6" s="1"/>
  <c r="BN53" i="6"/>
  <c r="BN103" i="6" s="1"/>
  <c r="BN59" i="6"/>
  <c r="BN109" i="6" s="1"/>
  <c r="BN49" i="6"/>
  <c r="BN99" i="6"/>
  <c r="BN50" i="6"/>
  <c r="BN100" i="6" s="1"/>
  <c r="BN58" i="6"/>
  <c r="BN108" i="6" s="1"/>
  <c r="BN54" i="6"/>
  <c r="BN104" i="6" s="1"/>
  <c r="BN61" i="6"/>
  <c r="BN111" i="6"/>
  <c r="BN55" i="6"/>
  <c r="BN105" i="6" s="1"/>
  <c r="BN51" i="6"/>
  <c r="BN101" i="6" s="1"/>
  <c r="BN57" i="6"/>
  <c r="BN107" i="6" s="1"/>
  <c r="BN47" i="6"/>
  <c r="BN97" i="6"/>
  <c r="BK46" i="6"/>
  <c r="BK96" i="6" s="1"/>
  <c r="BK49" i="6"/>
  <c r="BK99" i="6" s="1"/>
  <c r="BK50" i="6"/>
  <c r="BK100" i="6" s="1"/>
  <c r="BK58" i="6"/>
  <c r="BK108" i="6" s="1"/>
  <c r="BK54" i="6"/>
  <c r="BK104" i="6" s="1"/>
  <c r="BK47" i="6"/>
  <c r="BK97" i="6" s="1"/>
  <c r="BK51" i="6"/>
  <c r="BK101" i="6" s="1"/>
  <c r="BK55" i="6"/>
  <c r="BK105" i="6" s="1"/>
  <c r="BK61" i="6"/>
  <c r="BK111" i="6" s="1"/>
  <c r="BK57" i="6"/>
  <c r="BK107" i="6" s="1"/>
  <c r="BK48" i="6"/>
  <c r="BK98" i="6" s="1"/>
  <c r="BK56" i="6"/>
  <c r="BK106" i="6" s="1"/>
  <c r="BK52" i="6"/>
  <c r="BK102" i="6" s="1"/>
  <c r="BK53" i="6"/>
  <c r="BK103" i="6" s="1"/>
  <c r="BK59" i="6"/>
  <c r="BK109" i="6" s="1"/>
  <c r="K54" i="34"/>
  <c r="L41" i="34"/>
  <c r="BL46" i="6"/>
  <c r="BL96" i="6" s="1"/>
  <c r="BL50" i="6"/>
  <c r="BL100" i="6" s="1"/>
  <c r="BL48" i="6"/>
  <c r="BL98" i="6" s="1"/>
  <c r="BL56" i="6"/>
  <c r="BL106" i="6" s="1"/>
  <c r="BL52" i="6"/>
  <c r="BL102" i="6" s="1"/>
  <c r="BL58" i="6"/>
  <c r="BL108" i="6" s="1"/>
  <c r="BL54" i="6"/>
  <c r="BL104" i="6" s="1"/>
  <c r="BL53" i="6"/>
  <c r="BL103" i="6" s="1"/>
  <c r="BL59" i="6"/>
  <c r="BL109" i="6" s="1"/>
  <c r="BL49" i="6"/>
  <c r="BL99" i="6" s="1"/>
  <c r="BL51" i="6"/>
  <c r="BL101" i="6" s="1"/>
  <c r="BL61" i="6"/>
  <c r="BL111" i="6" s="1"/>
  <c r="BL47" i="6"/>
  <c r="BL97" i="6" s="1"/>
  <c r="BL55" i="6"/>
  <c r="BL105" i="6" s="1"/>
  <c r="BL57" i="6"/>
  <c r="BL107" i="6" s="1"/>
  <c r="N43" i="9"/>
  <c r="BQ46" i="6"/>
  <c r="BQ96" i="6"/>
  <c r="BQ49" i="6"/>
  <c r="BQ99" i="6"/>
  <c r="BQ50" i="6"/>
  <c r="BQ100" i="6"/>
  <c r="BQ58" i="6"/>
  <c r="BQ108" i="6"/>
  <c r="BQ54" i="6"/>
  <c r="BQ104" i="6"/>
  <c r="BQ53" i="6"/>
  <c r="BQ103" i="6"/>
  <c r="BQ59" i="6"/>
  <c r="BQ109" i="6"/>
  <c r="BQ48" i="6"/>
  <c r="BQ98" i="6"/>
  <c r="BQ56" i="6"/>
  <c r="BQ106" i="6"/>
  <c r="BQ52" i="6"/>
  <c r="BQ102" i="6"/>
  <c r="BQ55" i="6"/>
  <c r="BQ105" i="6"/>
  <c r="BQ47" i="6"/>
  <c r="BQ97" i="6"/>
  <c r="BQ61" i="6"/>
  <c r="BQ111" i="6"/>
  <c r="BQ57" i="6"/>
  <c r="BQ107" i="6"/>
  <c r="BQ51" i="6"/>
  <c r="BQ101" i="6"/>
  <c r="BG46" i="6"/>
  <c r="BG96" i="6" s="1"/>
  <c r="BG49" i="6"/>
  <c r="BG99" i="6" s="1"/>
  <c r="BG50" i="6"/>
  <c r="BG100" i="6" s="1"/>
  <c r="BG48" i="6"/>
  <c r="BG98" i="6" s="1"/>
  <c r="BG56" i="6"/>
  <c r="BG106" i="6" s="1"/>
  <c r="BG52" i="6"/>
  <c r="BG102" i="6" s="1"/>
  <c r="BG58" i="6"/>
  <c r="BG108" i="6" s="1"/>
  <c r="BG54" i="6"/>
  <c r="BG104" i="6" s="1"/>
  <c r="BG47" i="6"/>
  <c r="BG97" i="6" s="1"/>
  <c r="BG51" i="6"/>
  <c r="BG101" i="6" s="1"/>
  <c r="BG53" i="6"/>
  <c r="BG103" i="6" s="1"/>
  <c r="BG55" i="6"/>
  <c r="BG105" i="6" s="1"/>
  <c r="BG59" i="6"/>
  <c r="BG109" i="6" s="1"/>
  <c r="BG61" i="6"/>
  <c r="BG111" i="6" s="1"/>
  <c r="BG57" i="6"/>
  <c r="BG107" i="6" s="1"/>
  <c r="BM46" i="6"/>
  <c r="BM96" i="6" s="1"/>
  <c r="BM49" i="6"/>
  <c r="BM99" i="6" s="1"/>
  <c r="BM47" i="6"/>
  <c r="BM97" i="6" s="1"/>
  <c r="BM51" i="6"/>
  <c r="BM101" i="6" s="1"/>
  <c r="BM55" i="6"/>
  <c r="BM105" i="6" s="1"/>
  <c r="BM61" i="6"/>
  <c r="BM111" i="6" s="1"/>
  <c r="BM57" i="6"/>
  <c r="BM107" i="6" s="1"/>
  <c r="BM50" i="6"/>
  <c r="BM100" i="6" s="1"/>
  <c r="BM48" i="6"/>
  <c r="BM98" i="6" s="1"/>
  <c r="BM56" i="6"/>
  <c r="BM106" i="6" s="1"/>
  <c r="BM52" i="6"/>
  <c r="BM102" i="6" s="1"/>
  <c r="BM58" i="6"/>
  <c r="BM108" i="6" s="1"/>
  <c r="BM54" i="6"/>
  <c r="BM104" i="6" s="1"/>
  <c r="BM59" i="6"/>
  <c r="BM109" i="6" s="1"/>
  <c r="BM53" i="6"/>
  <c r="BM103" i="6" s="1"/>
  <c r="M152" i="11"/>
  <c r="M160" i="11"/>
  <c r="M45" i="11"/>
  <c r="M37" i="9"/>
  <c r="M13" i="50" s="1"/>
  <c r="BO46" i="6"/>
  <c r="BO96" i="6"/>
  <c r="BO49" i="6"/>
  <c r="BO99" i="6" s="1"/>
  <c r="BO59" i="6"/>
  <c r="BO109" i="6"/>
  <c r="BO61" i="6"/>
  <c r="BO111" i="6"/>
  <c r="BO57" i="6"/>
  <c r="BO107" i="6"/>
  <c r="BO50" i="6"/>
  <c r="BO100" i="6" s="1"/>
  <c r="BO48" i="6"/>
  <c r="BO98" i="6"/>
  <c r="BO56" i="6"/>
  <c r="BO106" i="6" s="1"/>
  <c r="BO52" i="6"/>
  <c r="BO102" i="6"/>
  <c r="BO58" i="6"/>
  <c r="BO108" i="6" s="1"/>
  <c r="BO54" i="6"/>
  <c r="BO104" i="6"/>
  <c r="BO51" i="6"/>
  <c r="BO101" i="6" s="1"/>
  <c r="BO47" i="6"/>
  <c r="BO97" i="6"/>
  <c r="BO55" i="6"/>
  <c r="BO105" i="6" s="1"/>
  <c r="BO53" i="6"/>
  <c r="BO103" i="6"/>
  <c r="BH46" i="6"/>
  <c r="BH96" i="6" s="1"/>
  <c r="BH48" i="6"/>
  <c r="BH98" i="6"/>
  <c r="BH56" i="6"/>
  <c r="BH106" i="6" s="1"/>
  <c r="BH52" i="6"/>
  <c r="BH102" i="6"/>
  <c r="BH47" i="6"/>
  <c r="BH97" i="6" s="1"/>
  <c r="BH51" i="6"/>
  <c r="BH101" i="6"/>
  <c r="BH55" i="6"/>
  <c r="BH105" i="6" s="1"/>
  <c r="BH61" i="6"/>
  <c r="BH111" i="6"/>
  <c r="BH57" i="6"/>
  <c r="BH107" i="6" s="1"/>
  <c r="BH49" i="6"/>
  <c r="BH99" i="6" s="1"/>
  <c r="BH50" i="6"/>
  <c r="BH100" i="6" s="1"/>
  <c r="BH58" i="6"/>
  <c r="BH108" i="6"/>
  <c r="BH54" i="6"/>
  <c r="BH104" i="6" s="1"/>
  <c r="BH59" i="6"/>
  <c r="BH109" i="6" s="1"/>
  <c r="BH53" i="6"/>
  <c r="BH103" i="6" s="1"/>
  <c r="M224" i="11"/>
  <c r="M232" i="11" s="1"/>
  <c r="M15" i="11" s="1"/>
  <c r="L39" i="34"/>
  <c r="K52" i="34"/>
  <c r="M24" i="34"/>
  <c r="BI46" i="6"/>
  <c r="BI96" i="6" s="1"/>
  <c r="BI49" i="6"/>
  <c r="BI99" i="6" s="1"/>
  <c r="BI50" i="6"/>
  <c r="BI100" i="6" s="1"/>
  <c r="BI58" i="6"/>
  <c r="BI108" i="6"/>
  <c r="BI54" i="6"/>
  <c r="BI104" i="6" s="1"/>
  <c r="BI47" i="6"/>
  <c r="BI97" i="6" s="1"/>
  <c r="BI51" i="6"/>
  <c r="BI101" i="6" s="1"/>
  <c r="BI55" i="6"/>
  <c r="BI105" i="6"/>
  <c r="BI61" i="6"/>
  <c r="BI111" i="6" s="1"/>
  <c r="BI57" i="6"/>
  <c r="BI107" i="6" s="1"/>
  <c r="BI48" i="6"/>
  <c r="BI98" i="6" s="1"/>
  <c r="BI56" i="6"/>
  <c r="BI106" i="6"/>
  <c r="BI52" i="6"/>
  <c r="BI102" i="6" s="1"/>
  <c r="BI53" i="6"/>
  <c r="BI103" i="6" s="1"/>
  <c r="BI59" i="6"/>
  <c r="BI109" i="6" s="1"/>
  <c r="L25" i="34"/>
  <c r="K26" i="34"/>
  <c r="E7" i="59"/>
  <c r="K7" i="59"/>
  <c r="R110" i="54"/>
  <c r="AA110" i="54" s="1"/>
  <c r="T110" i="54"/>
  <c r="AC110" i="54"/>
  <c r="S110" i="54"/>
  <c r="AB110" i="54"/>
  <c r="Q110" i="54"/>
  <c r="Z110" i="54"/>
  <c r="U110" i="54"/>
  <c r="AD110" i="54" s="1"/>
  <c r="AC64" i="6"/>
  <c r="AC114" i="6"/>
  <c r="AD64" i="6"/>
  <c r="AD114" i="6" s="1"/>
  <c r="AA64" i="6"/>
  <c r="AA114" i="6"/>
  <c r="Z64" i="6"/>
  <c r="Z114" i="6"/>
  <c r="Z14" i="6"/>
  <c r="Z25" i="13" s="1"/>
  <c r="Y64" i="6"/>
  <c r="Y114" i="6"/>
  <c r="Y14" i="6"/>
  <c r="Y25" i="13"/>
  <c r="AE64" i="6"/>
  <c r="AE114" i="6"/>
  <c r="AE116" i="6"/>
  <c r="AH64" i="6"/>
  <c r="AH114" i="6" s="1"/>
  <c r="AB64" i="6"/>
  <c r="AB114" i="6"/>
  <c r="W64" i="6"/>
  <c r="W114" i="6"/>
  <c r="AG64" i="6"/>
  <c r="AG114" i="6"/>
  <c r="AG12" i="6"/>
  <c r="X64" i="6"/>
  <c r="X114" i="6" s="1"/>
  <c r="AF64" i="6"/>
  <c r="AF114" i="6"/>
  <c r="AW60" i="6"/>
  <c r="AW110" i="6"/>
  <c r="AY60" i="6"/>
  <c r="AY110" i="6"/>
  <c r="BC60" i="6"/>
  <c r="BC110" i="6" s="1"/>
  <c r="BD60" i="6"/>
  <c r="BD110" i="6" s="1"/>
  <c r="AU60" i="6"/>
  <c r="AU110" i="6"/>
  <c r="AX60" i="6"/>
  <c r="AX110" i="6" s="1"/>
  <c r="BB60" i="6"/>
  <c r="BB110" i="6"/>
  <c r="AZ60" i="6"/>
  <c r="AZ110" i="6"/>
  <c r="AV60" i="6"/>
  <c r="AV110" i="6" s="1"/>
  <c r="Y12" i="6"/>
  <c r="Y23" i="13"/>
  <c r="AT62" i="6"/>
  <c r="AT112" i="6" s="1"/>
  <c r="AP62" i="6"/>
  <c r="AP112" i="6"/>
  <c r="AM62" i="6"/>
  <c r="AM112" i="6" s="1"/>
  <c r="AL62" i="6"/>
  <c r="AL112" i="6" s="1"/>
  <c r="AI62" i="6"/>
  <c r="AI112" i="6" s="1"/>
  <c r="AJ62" i="6"/>
  <c r="AJ112" i="6"/>
  <c r="AR62" i="6"/>
  <c r="AR112" i="6" s="1"/>
  <c r="AO62" i="6"/>
  <c r="AO112" i="6" s="1"/>
  <c r="AK62" i="6"/>
  <c r="AK112" i="6" s="1"/>
  <c r="AS62" i="6"/>
  <c r="AS112" i="6"/>
  <c r="AQ62" i="6"/>
  <c r="AQ112" i="6" s="1"/>
  <c r="AN62" i="6"/>
  <c r="AN112" i="6" s="1"/>
  <c r="AL65" i="6"/>
  <c r="AL115" i="6" s="1"/>
  <c r="AR65" i="6"/>
  <c r="AR115" i="6"/>
  <c r="AS65" i="6"/>
  <c r="AS115" i="6" s="1"/>
  <c r="AP65" i="6"/>
  <c r="AP115" i="6" s="1"/>
  <c r="AN65" i="6"/>
  <c r="AN115" i="6" s="1"/>
  <c r="AM65" i="6"/>
  <c r="AM115" i="6"/>
  <c r="AO65" i="6"/>
  <c r="AO115" i="6" s="1"/>
  <c r="AQ65" i="6"/>
  <c r="AQ115" i="6" s="1"/>
  <c r="AK65" i="6"/>
  <c r="AK115" i="6" s="1"/>
  <c r="AI65" i="6"/>
  <c r="AI115" i="6"/>
  <c r="AT65" i="6"/>
  <c r="AT115" i="6" s="1"/>
  <c r="AJ65" i="6"/>
  <c r="AJ115" i="6" s="1"/>
  <c r="AU63" i="6"/>
  <c r="AU113" i="6" s="1"/>
  <c r="AX63" i="6"/>
  <c r="AX113" i="6"/>
  <c r="AW63" i="6"/>
  <c r="AW113" i="6" s="1"/>
  <c r="AZ63" i="6"/>
  <c r="AZ113" i="6" s="1"/>
  <c r="AV63" i="6"/>
  <c r="AV113" i="6"/>
  <c r="BC63" i="6"/>
  <c r="BC113" i="6" s="1"/>
  <c r="BD63" i="6"/>
  <c r="BD113" i="6" s="1"/>
  <c r="AY63" i="6"/>
  <c r="AY113" i="6"/>
  <c r="BB63" i="6"/>
  <c r="BB113" i="6" s="1"/>
  <c r="N45" i="9"/>
  <c r="M45" i="34"/>
  <c r="L58" i="34"/>
  <c r="M32" i="34"/>
  <c r="M25" i="34"/>
  <c r="L26" i="34"/>
  <c r="N24" i="34"/>
  <c r="L52" i="34"/>
  <c r="M39" i="34"/>
  <c r="M52" i="34" s="1"/>
  <c r="H8" i="56"/>
  <c r="K8" i="53"/>
  <c r="K8" i="59" s="1"/>
  <c r="H8" i="44"/>
  <c r="H8" i="49"/>
  <c r="L7" i="2"/>
  <c r="K8" i="54"/>
  <c r="T8" i="54" s="1"/>
  <c r="AC8" i="54" s="1"/>
  <c r="H8" i="5"/>
  <c r="H8" i="47"/>
  <c r="H8" i="9"/>
  <c r="H8" i="42"/>
  <c r="H8" i="50"/>
  <c r="H8" i="57"/>
  <c r="H8" i="55"/>
  <c r="H8" i="1"/>
  <c r="H8" i="13"/>
  <c r="H8" i="11"/>
  <c r="H8" i="6"/>
  <c r="H8" i="48"/>
  <c r="H8" i="51"/>
  <c r="H8" i="7"/>
  <c r="AR93" i="54"/>
  <c r="AS90" i="54"/>
  <c r="N33" i="9"/>
  <c r="M41" i="34"/>
  <c r="L54" i="34"/>
  <c r="M56" i="34"/>
  <c r="N43" i="34"/>
  <c r="N30" i="34"/>
  <c r="Z32" i="34"/>
  <c r="Z45" i="34"/>
  <c r="Y58" i="34"/>
  <c r="M51" i="34"/>
  <c r="N38" i="34"/>
  <c r="N51" i="34" s="1"/>
  <c r="AN32" i="34"/>
  <c r="AN45" i="34"/>
  <c r="AM58" i="34"/>
  <c r="W116" i="6"/>
  <c r="Y15" i="6"/>
  <c r="Y29" i="13"/>
  <c r="Y13" i="6"/>
  <c r="Y24" i="13" s="1"/>
  <c r="Y22" i="13"/>
  <c r="AE14" i="6"/>
  <c r="AE25" i="13"/>
  <c r="AG15" i="6"/>
  <c r="Y116" i="6"/>
  <c r="Z15" i="6"/>
  <c r="Z29" i="13"/>
  <c r="AD12" i="6"/>
  <c r="AD23" i="13" s="1"/>
  <c r="Z12" i="6"/>
  <c r="Z23" i="13"/>
  <c r="AE15" i="6"/>
  <c r="AE29" i="13"/>
  <c r="AE13" i="6"/>
  <c r="AB13" i="6"/>
  <c r="AB24" i="13" s="1"/>
  <c r="AB15" i="6"/>
  <c r="AB29" i="13" s="1"/>
  <c r="AC15" i="6"/>
  <c r="AC29" i="13"/>
  <c r="Z13" i="6"/>
  <c r="Z24" i="13" s="1"/>
  <c r="Z22" i="13" s="1"/>
  <c r="AE12" i="6"/>
  <c r="AE23" i="13" s="1"/>
  <c r="BC62" i="6"/>
  <c r="BC112" i="6"/>
  <c r="BD62" i="6"/>
  <c r="BD112" i="6" s="1"/>
  <c r="AU62" i="6"/>
  <c r="AU112" i="6" s="1"/>
  <c r="AV62" i="6"/>
  <c r="AV112" i="6"/>
  <c r="AX62" i="6"/>
  <c r="AX112" i="6" s="1"/>
  <c r="AW62" i="6"/>
  <c r="AW112" i="6" s="1"/>
  <c r="AZ62" i="6"/>
  <c r="AZ112" i="6" s="1"/>
  <c r="AY62" i="6"/>
  <c r="AY112" i="6" s="1"/>
  <c r="BB62" i="6"/>
  <c r="BB112" i="6" s="1"/>
  <c r="BN60" i="6"/>
  <c r="BN110" i="6"/>
  <c r="BM60" i="6"/>
  <c r="BM110" i="6" s="1"/>
  <c r="BH60" i="6"/>
  <c r="BH110" i="6" s="1"/>
  <c r="BP60" i="6"/>
  <c r="BP110" i="6" s="1"/>
  <c r="BG60" i="6"/>
  <c r="BG110" i="6"/>
  <c r="BO60" i="6"/>
  <c r="BO110" i="6" s="1"/>
  <c r="BI60" i="6"/>
  <c r="BI110" i="6" s="1"/>
  <c r="BR60" i="6"/>
  <c r="BR110" i="6" s="1"/>
  <c r="BJ60" i="6"/>
  <c r="BJ110" i="6"/>
  <c r="BK60" i="6"/>
  <c r="BK110" i="6" s="1"/>
  <c r="BL60" i="6"/>
  <c r="BL110" i="6" s="1"/>
  <c r="BQ60" i="6"/>
  <c r="BQ110" i="6" s="1"/>
  <c r="BQ15" i="6" s="1"/>
  <c r="AC13" i="6"/>
  <c r="AC24" i="13" s="1"/>
  <c r="X13" i="6"/>
  <c r="X24" i="13" s="1"/>
  <c r="X12" i="6"/>
  <c r="X116" i="6"/>
  <c r="X15" i="6"/>
  <c r="X29" i="13" s="1"/>
  <c r="X14" i="6"/>
  <c r="X25" i="13"/>
  <c r="AH12" i="6"/>
  <c r="AH23" i="13" s="1"/>
  <c r="AH14" i="6"/>
  <c r="AH25" i="13" s="1"/>
  <c r="AH13" i="6"/>
  <c r="AH24" i="13"/>
  <c r="AS64" i="6"/>
  <c r="AS114" i="6" s="1"/>
  <c r="AJ64" i="6"/>
  <c r="AJ114" i="6"/>
  <c r="AL64" i="6"/>
  <c r="AL114" i="6" s="1"/>
  <c r="AL13" i="6" s="1"/>
  <c r="AL24" i="13" s="1"/>
  <c r="AM64" i="6"/>
  <c r="AM114" i="6" s="1"/>
  <c r="AM13" i="6"/>
  <c r="AM24" i="13" s="1"/>
  <c r="AR64" i="6"/>
  <c r="AR114" i="6" s="1"/>
  <c r="AR116" i="6"/>
  <c r="AT64" i="6"/>
  <c r="AT114" i="6" s="1"/>
  <c r="AO64" i="6"/>
  <c r="AO114" i="6"/>
  <c r="AP64" i="6"/>
  <c r="AP114" i="6"/>
  <c r="AQ64" i="6"/>
  <c r="AQ114" i="6" s="1"/>
  <c r="AI64" i="6"/>
  <c r="AI114" i="6" s="1"/>
  <c r="AI116" i="6"/>
  <c r="AK64" i="6"/>
  <c r="AK114" i="6" s="1"/>
  <c r="AN64" i="6"/>
  <c r="AN114" i="6" s="1"/>
  <c r="AG14" i="6"/>
  <c r="AG25" i="13" s="1"/>
  <c r="AG13" i="6"/>
  <c r="AG24" i="13" s="1"/>
  <c r="AA13" i="6"/>
  <c r="AA24" i="13" s="1"/>
  <c r="AA14" i="6"/>
  <c r="AA25" i="13" s="1"/>
  <c r="AA116" i="6"/>
  <c r="AG116" i="6"/>
  <c r="AA15" i="6"/>
  <c r="AA29" i="13"/>
  <c r="AB12" i="6"/>
  <c r="Z116" i="6"/>
  <c r="AC116" i="6"/>
  <c r="W12" i="6"/>
  <c r="W23" i="13" s="1"/>
  <c r="AA12" i="6"/>
  <c r="AA23" i="13"/>
  <c r="AG23" i="13"/>
  <c r="BJ63" i="6"/>
  <c r="BJ113" i="6" s="1"/>
  <c r="BQ63" i="6"/>
  <c r="BQ113" i="6" s="1"/>
  <c r="BR63" i="6"/>
  <c r="BR113" i="6"/>
  <c r="BL63" i="6"/>
  <c r="BL113" i="6" s="1"/>
  <c r="BG63" i="6"/>
  <c r="BG113" i="6" s="1"/>
  <c r="BM63" i="6"/>
  <c r="BM113" i="6" s="1"/>
  <c r="BP63" i="6"/>
  <c r="BP113" i="6" s="1"/>
  <c r="BH63" i="6"/>
  <c r="BH113" i="6" s="1"/>
  <c r="BN63" i="6"/>
  <c r="BN113" i="6" s="1"/>
  <c r="BN116" i="6" s="1"/>
  <c r="BK63" i="6"/>
  <c r="BK113" i="6" s="1"/>
  <c r="BO63" i="6"/>
  <c r="BO113" i="6" s="1"/>
  <c r="BO13" i="6" s="1"/>
  <c r="BO24" i="13" s="1"/>
  <c r="BI63" i="6"/>
  <c r="BI113" i="6" s="1"/>
  <c r="AZ65" i="6"/>
  <c r="AZ115" i="6"/>
  <c r="AY65" i="6"/>
  <c r="AY115" i="6" s="1"/>
  <c r="BC65" i="6"/>
  <c r="BC115" i="6" s="1"/>
  <c r="BB65" i="6"/>
  <c r="BB115" i="6" s="1"/>
  <c r="AU65" i="6"/>
  <c r="AU115" i="6" s="1"/>
  <c r="AW65" i="6"/>
  <c r="AW115" i="6" s="1"/>
  <c r="BD65" i="6"/>
  <c r="BD115" i="6" s="1"/>
  <c r="AV65" i="6"/>
  <c r="AV115" i="6" s="1"/>
  <c r="AX65" i="6"/>
  <c r="AX115" i="6" s="1"/>
  <c r="O38" i="34"/>
  <c r="P38" i="34" s="1"/>
  <c r="AS93" i="54"/>
  <c r="AT90" i="54"/>
  <c r="I7" i="13"/>
  <c r="L7" i="54"/>
  <c r="U7" i="54" s="1"/>
  <c r="AD7" i="54" s="1"/>
  <c r="I7" i="57"/>
  <c r="I7" i="48"/>
  <c r="I7" i="7"/>
  <c r="I7" i="56"/>
  <c r="M26" i="34"/>
  <c r="N25" i="34"/>
  <c r="AO32" i="34"/>
  <c r="AN58" i="34"/>
  <c r="AO45" i="34"/>
  <c r="M54" i="34"/>
  <c r="N41" i="34"/>
  <c r="N32" i="34"/>
  <c r="N45" i="34"/>
  <c r="M58" i="34"/>
  <c r="O24" i="34"/>
  <c r="M27" i="49"/>
  <c r="Z58" i="34"/>
  <c r="AA32" i="34"/>
  <c r="AA45" i="34"/>
  <c r="O30" i="34"/>
  <c r="N56" i="34"/>
  <c r="O43" i="34"/>
  <c r="N35" i="9"/>
  <c r="N37" i="9" s="1"/>
  <c r="N39" i="34"/>
  <c r="N52" i="34" s="1"/>
  <c r="N47" i="9"/>
  <c r="N14" i="50" s="1"/>
  <c r="AM12" i="6"/>
  <c r="Y16" i="6"/>
  <c r="AK14" i="6"/>
  <c r="AK25" i="13" s="1"/>
  <c r="Z16" i="6"/>
  <c r="AM14" i="6"/>
  <c r="AM25" i="13" s="1"/>
  <c r="AI12" i="6"/>
  <c r="AM15" i="6"/>
  <c r="AM29" i="13" s="1"/>
  <c r="AA16" i="6"/>
  <c r="AL116" i="6"/>
  <c r="AM116" i="6"/>
  <c r="AN14" i="6"/>
  <c r="AN25" i="13" s="1"/>
  <c r="AP12" i="6"/>
  <c r="AP23" i="13" s="1"/>
  <c r="AS12" i="6"/>
  <c r="AS23" i="13" s="1"/>
  <c r="AS22" i="13" s="1"/>
  <c r="AS13" i="6"/>
  <c r="AS24" i="13"/>
  <c r="AS116" i="6"/>
  <c r="AS14" i="6"/>
  <c r="AS25" i="13"/>
  <c r="BP62" i="6"/>
  <c r="BP112" i="6" s="1"/>
  <c r="BM62" i="6"/>
  <c r="BM112" i="6"/>
  <c r="BI62" i="6"/>
  <c r="BI112" i="6"/>
  <c r="BK62" i="6"/>
  <c r="BK112" i="6" s="1"/>
  <c r="BR62" i="6"/>
  <c r="BR112" i="6"/>
  <c r="BL62" i="6"/>
  <c r="BL112" i="6" s="1"/>
  <c r="BQ62" i="6"/>
  <c r="BQ112" i="6"/>
  <c r="BG62" i="6"/>
  <c r="BG112" i="6" s="1"/>
  <c r="BJ62" i="6"/>
  <c r="BJ112" i="6" s="1"/>
  <c r="BN62" i="6"/>
  <c r="BN112" i="6" s="1"/>
  <c r="BO62" i="6"/>
  <c r="BO112" i="6"/>
  <c r="BH62" i="6"/>
  <c r="BH112" i="6" s="1"/>
  <c r="AI15" i="6"/>
  <c r="AI29" i="13" s="1"/>
  <c r="X23" i="13"/>
  <c r="X22" i="13" s="1"/>
  <c r="X16" i="6"/>
  <c r="AG22" i="13"/>
  <c r="AB23" i="13"/>
  <c r="AS15" i="6"/>
  <c r="AS29" i="13"/>
  <c r="AI14" i="6"/>
  <c r="AI25" i="13"/>
  <c r="AX64" i="6"/>
  <c r="AX114" i="6" s="1"/>
  <c r="AW64" i="6"/>
  <c r="AW114" i="6"/>
  <c r="BC64" i="6"/>
  <c r="BC114" i="6"/>
  <c r="AU64" i="6"/>
  <c r="AU114" i="6" s="1"/>
  <c r="BD64" i="6"/>
  <c r="BD114" i="6" s="1"/>
  <c r="AV64" i="6"/>
  <c r="AV114" i="6"/>
  <c r="AY64" i="6"/>
  <c r="AY114" i="6"/>
  <c r="AZ64" i="6"/>
  <c r="AZ114" i="6" s="1"/>
  <c r="BB64" i="6"/>
  <c r="BB114" i="6"/>
  <c r="AI13" i="6"/>
  <c r="AI24" i="13" s="1"/>
  <c r="AA22" i="13"/>
  <c r="AQ15" i="6"/>
  <c r="AQ29" i="13" s="1"/>
  <c r="AJ15" i="6"/>
  <c r="AJ29" i="13" s="1"/>
  <c r="AK13" i="6"/>
  <c r="AK24" i="13" s="1"/>
  <c r="AM23" i="13"/>
  <c r="BP65" i="6"/>
  <c r="BP115" i="6" s="1"/>
  <c r="BN65" i="6"/>
  <c r="BN115" i="6"/>
  <c r="BK65" i="6"/>
  <c r="BK115" i="6"/>
  <c r="BH65" i="6"/>
  <c r="BH115" i="6"/>
  <c r="BI65" i="6"/>
  <c r="BI115" i="6" s="1"/>
  <c r="BR65" i="6"/>
  <c r="BR115" i="6" s="1"/>
  <c r="BR15" i="6" s="1"/>
  <c r="BR29" i="13" s="1"/>
  <c r="BJ65" i="6"/>
  <c r="BJ115" i="6"/>
  <c r="BG65" i="6"/>
  <c r="BG115" i="6"/>
  <c r="BO65" i="6"/>
  <c r="BO115" i="6" s="1"/>
  <c r="BL65" i="6"/>
  <c r="BL115" i="6"/>
  <c r="BQ65" i="6"/>
  <c r="BQ115" i="6"/>
  <c r="BM65" i="6"/>
  <c r="BM115" i="6"/>
  <c r="O43" i="9"/>
  <c r="P24" i="34"/>
  <c r="R24" i="34" s="1"/>
  <c r="S24" i="34" s="1"/>
  <c r="T24" i="34" s="1"/>
  <c r="U24" i="34" s="1"/>
  <c r="O39" i="34"/>
  <c r="O45" i="34"/>
  <c r="N58" i="34"/>
  <c r="O32" i="34"/>
  <c r="AP32" i="34"/>
  <c r="AO58" i="34"/>
  <c r="AP45" i="34"/>
  <c r="AP58" i="34"/>
  <c r="O56" i="34"/>
  <c r="P43" i="34"/>
  <c r="R43" i="34" s="1"/>
  <c r="P30" i="34"/>
  <c r="O25" i="34"/>
  <c r="N26" i="34"/>
  <c r="O51" i="34"/>
  <c r="N54" i="34"/>
  <c r="O41" i="34"/>
  <c r="AM16" i="6"/>
  <c r="BK64" i="6"/>
  <c r="BK114" i="6" s="1"/>
  <c r="BP64" i="6"/>
  <c r="BP114" i="6"/>
  <c r="BO64" i="6"/>
  <c r="BO114" i="6" s="1"/>
  <c r="BG64" i="6"/>
  <c r="BG114" i="6"/>
  <c r="BI64" i="6"/>
  <c r="BI114" i="6" s="1"/>
  <c r="BQ64" i="6"/>
  <c r="BQ114" i="6"/>
  <c r="BQ29" i="13"/>
  <c r="BH64" i="6"/>
  <c r="BH114" i="6" s="1"/>
  <c r="BM64" i="6"/>
  <c r="BM114" i="6"/>
  <c r="BR64" i="6"/>
  <c r="BR114" i="6"/>
  <c r="BJ64" i="6"/>
  <c r="BJ114" i="6" s="1"/>
  <c r="BN64" i="6"/>
  <c r="BN114" i="6"/>
  <c r="BN12" i="6" s="1"/>
  <c r="BL64" i="6"/>
  <c r="BL114" i="6" s="1"/>
  <c r="AS16" i="6"/>
  <c r="R30" i="34"/>
  <c r="O58" i="34"/>
  <c r="P45" i="34"/>
  <c r="P32" i="34"/>
  <c r="BQ12" i="6"/>
  <c r="BQ23" i="13" s="1"/>
  <c r="BQ13" i="6"/>
  <c r="BQ24" i="13"/>
  <c r="BH12" i="6"/>
  <c r="BH23" i="13" s="1"/>
  <c r="BH116" i="6"/>
  <c r="BH15" i="6"/>
  <c r="BH29" i="13"/>
  <c r="BH13" i="6"/>
  <c r="BH24" i="13" s="1"/>
  <c r="BQ116" i="6"/>
  <c r="BQ14" i="6"/>
  <c r="BQ25" i="13"/>
  <c r="BK13" i="6"/>
  <c r="BK24" i="13" s="1"/>
  <c r="BK15" i="6"/>
  <c r="BK29" i="13"/>
  <c r="BK12" i="6"/>
  <c r="BK116" i="6"/>
  <c r="R32" i="34"/>
  <c r="P58" i="34"/>
  <c r="BQ16" i="6"/>
  <c r="BQ22" i="13"/>
  <c r="BK23" i="13"/>
  <c r="V24" i="34"/>
  <c r="W24" i="34" s="1"/>
  <c r="X24" i="34" s="1"/>
  <c r="Y24" i="34" s="1"/>
  <c r="Z24" i="34" s="1"/>
  <c r="AA24" i="34" s="1"/>
  <c r="AB24" i="34" s="1"/>
  <c r="AC24" i="34" s="1"/>
  <c r="AE24" i="34" s="1"/>
  <c r="AF24" i="34" s="1"/>
  <c r="AG24" i="34" s="1"/>
  <c r="AH24" i="34" s="1"/>
  <c r="AI24" i="34" s="1"/>
  <c r="AJ24" i="34" s="1"/>
  <c r="AK24" i="34" s="1"/>
  <c r="AL24" i="34"/>
  <c r="AM24" i="34" s="1"/>
  <c r="AN24" i="34"/>
  <c r="AO24" i="34"/>
  <c r="AP24" i="34" s="1"/>
  <c r="C38" i="48"/>
  <c r="K96" i="11"/>
  <c r="K97" i="11" s="1"/>
  <c r="L94" i="11" s="1"/>
  <c r="K132" i="11"/>
  <c r="K133" i="11" s="1"/>
  <c r="L130" i="11" s="1"/>
  <c r="AN39" i="48"/>
  <c r="AW39" i="48"/>
  <c r="AJ39" i="48"/>
  <c r="BI39" i="48"/>
  <c r="AV39" i="48"/>
  <c r="AY39" i="48"/>
  <c r="V39" i="48"/>
  <c r="BH39" i="48"/>
  <c r="AK39" i="48"/>
  <c r="K39" i="48"/>
  <c r="K43" i="48" s="1"/>
  <c r="K32" i="49" s="1"/>
  <c r="AD39" i="48"/>
  <c r="BP39" i="48"/>
  <c r="BN39" i="48"/>
  <c r="S39" i="48"/>
  <c r="N39" i="48"/>
  <c r="L39" i="48"/>
  <c r="AE39" i="48"/>
  <c r="BJ39" i="48"/>
  <c r="AL39" i="48"/>
  <c r="W39" i="48"/>
  <c r="P39" i="48"/>
  <c r="AI39" i="48"/>
  <c r="Y39" i="48"/>
  <c r="AU39" i="48"/>
  <c r="BA39" i="48"/>
  <c r="AQ39" i="48"/>
  <c r="Q39" i="48"/>
  <c r="T39" i="48"/>
  <c r="BC39" i="48"/>
  <c r="AF39" i="48"/>
  <c r="BO39" i="48"/>
  <c r="AR39" i="48"/>
  <c r="AP39" i="48"/>
  <c r="BQ39" i="48"/>
  <c r="BG39" i="48"/>
  <c r="O39" i="48"/>
  <c r="AG39" i="48"/>
  <c r="AX39" i="48"/>
  <c r="AZ39" i="48"/>
  <c r="BB39" i="48"/>
  <c r="BD39" i="48"/>
  <c r="BE39" i="48"/>
  <c r="K240" i="11"/>
  <c r="K204" i="11"/>
  <c r="K168" i="11"/>
  <c r="K169" i="11"/>
  <c r="L166" i="11" s="1"/>
  <c r="K233" i="11"/>
  <c r="K53" i="11"/>
  <c r="K125" i="11"/>
  <c r="K89" i="11"/>
  <c r="K197" i="11"/>
  <c r="K161" i="11"/>
  <c r="K205" i="11"/>
  <c r="L202" i="11" s="1"/>
  <c r="K241" i="11"/>
  <c r="L238" i="11" s="1"/>
  <c r="K90" i="11"/>
  <c r="L87" i="11" s="1"/>
  <c r="K126" i="11"/>
  <c r="L123" i="11" s="1"/>
  <c r="L117" i="11" s="1"/>
  <c r="L125" i="11" s="1"/>
  <c r="L126" i="11" s="1"/>
  <c r="M123" i="11" s="1"/>
  <c r="K234" i="11"/>
  <c r="L231" i="11" s="1"/>
  <c r="L239" i="11" s="1"/>
  <c r="L226" i="11" s="1"/>
  <c r="L240" i="11" s="1"/>
  <c r="L225" i="11"/>
  <c r="L233" i="11"/>
  <c r="K162" i="11"/>
  <c r="L159" i="11" s="1"/>
  <c r="K198" i="11"/>
  <c r="L195" i="11"/>
  <c r="L131" i="11"/>
  <c r="L118" i="11" s="1"/>
  <c r="L203" i="11"/>
  <c r="M66" i="44"/>
  <c r="K60" i="11"/>
  <c r="B49" i="9" l="1"/>
  <c r="B59" i="9" s="1"/>
  <c r="B69" i="9" s="1"/>
  <c r="B24" i="1"/>
  <c r="B30" i="1" s="1"/>
  <c r="B58" i="2"/>
  <c r="B68" i="2" s="1"/>
  <c r="B83" i="2" s="1"/>
  <c r="B229" i="11"/>
  <c r="B236" i="11" s="1"/>
  <c r="Y40" i="13"/>
  <c r="R42" i="48"/>
  <c r="AO42" i="48"/>
  <c r="O42" i="48"/>
  <c r="AF40" i="13"/>
  <c r="AF42" i="48"/>
  <c r="AN40" i="13"/>
  <c r="AN42" i="48"/>
  <c r="BO42" i="48"/>
  <c r="BO40" i="13"/>
  <c r="K34" i="44"/>
  <c r="K21" i="50"/>
  <c r="L29" i="44"/>
  <c r="L32" i="44" s="1"/>
  <c r="M29" i="44" s="1"/>
  <c r="M32" i="44" s="1"/>
  <c r="AX42" i="48"/>
  <c r="BJ42" i="48"/>
  <c r="AG40" i="13"/>
  <c r="K69" i="44"/>
  <c r="BP40" i="13"/>
  <c r="AW42" i="48"/>
  <c r="L64" i="44"/>
  <c r="L67" i="44" s="1"/>
  <c r="L26" i="50" s="1"/>
  <c r="AR42" i="48"/>
  <c r="AR40" i="13"/>
  <c r="AY42" i="48"/>
  <c r="AY40" i="13"/>
  <c r="X42" i="48"/>
  <c r="X40" i="13"/>
  <c r="AL40" i="13"/>
  <c r="AL42" i="48"/>
  <c r="BG42" i="48"/>
  <c r="BG40" i="13"/>
  <c r="BN40" i="13"/>
  <c r="BN42" i="48"/>
  <c r="T42" i="48"/>
  <c r="L42" i="48"/>
  <c r="AP42" i="48"/>
  <c r="P40" i="13"/>
  <c r="AC40" i="13"/>
  <c r="K42" i="48"/>
  <c r="K44" i="48" s="1"/>
  <c r="K37" i="50" s="1"/>
  <c r="BE42" i="48"/>
  <c r="BA40" i="13"/>
  <c r="K61" i="11"/>
  <c r="L58" i="11" s="1"/>
  <c r="K23" i="11"/>
  <c r="L190" i="11"/>
  <c r="L204" i="11" s="1"/>
  <c r="BC13" i="6"/>
  <c r="BC24" i="13" s="1"/>
  <c r="BC12" i="6"/>
  <c r="BC15" i="6"/>
  <c r="BC29" i="13" s="1"/>
  <c r="BC14" i="6"/>
  <c r="BC25" i="13" s="1"/>
  <c r="BC116" i="6"/>
  <c r="AU14" i="6"/>
  <c r="AU25" i="13" s="1"/>
  <c r="AU15" i="6"/>
  <c r="AU29" i="13" s="1"/>
  <c r="AU116" i="6"/>
  <c r="AU13" i="6"/>
  <c r="AU24" i="13" s="1"/>
  <c r="AU12" i="6"/>
  <c r="P23" i="13"/>
  <c r="AV15" i="6"/>
  <c r="AV29" i="13" s="1"/>
  <c r="AV116" i="6"/>
  <c r="AV12" i="6"/>
  <c r="AV13" i="6"/>
  <c r="AV24" i="13" s="1"/>
  <c r="AV14" i="6"/>
  <c r="AV25" i="13" s="1"/>
  <c r="BC42" i="48"/>
  <c r="AW116" i="6"/>
  <c r="AW15" i="6"/>
  <c r="AW29" i="13" s="1"/>
  <c r="AW14" i="6"/>
  <c r="AW25" i="13" s="1"/>
  <c r="AW12" i="6"/>
  <c r="AW13" i="6"/>
  <c r="AW24" i="13" s="1"/>
  <c r="AU40" i="13"/>
  <c r="AY12" i="6"/>
  <c r="AY116" i="6"/>
  <c r="AY14" i="6"/>
  <c r="AY25" i="13" s="1"/>
  <c r="AY15" i="6"/>
  <c r="AY29" i="13" s="1"/>
  <c r="AY13" i="6"/>
  <c r="AY24" i="13" s="1"/>
  <c r="AE40" i="13"/>
  <c r="AE42" i="48"/>
  <c r="AA42" i="48"/>
  <c r="AA40" i="13"/>
  <c r="L153" i="11"/>
  <c r="L161" i="11" s="1"/>
  <c r="L162" i="11" s="1"/>
  <c r="M159" i="11" s="1"/>
  <c r="L167" i="11"/>
  <c r="L133" i="11"/>
  <c r="M130" i="11" s="1"/>
  <c r="L132" i="11"/>
  <c r="AZ13" i="6"/>
  <c r="AZ24" i="13" s="1"/>
  <c r="AZ14" i="6"/>
  <c r="AZ25" i="13" s="1"/>
  <c r="AZ15" i="6"/>
  <c r="AZ29" i="13" s="1"/>
  <c r="AZ12" i="6"/>
  <c r="AZ116" i="6"/>
  <c r="BL42" i="48"/>
  <c r="BB12" i="6"/>
  <c r="BB116" i="6"/>
  <c r="BB15" i="6"/>
  <c r="BB29" i="13" s="1"/>
  <c r="BB13" i="6"/>
  <c r="BB24" i="13" s="1"/>
  <c r="BB14" i="6"/>
  <c r="BB25" i="13" s="1"/>
  <c r="BH42" i="48"/>
  <c r="AJ42" i="48"/>
  <c r="L234" i="11"/>
  <c r="M231" i="11" s="1"/>
  <c r="N42" i="48"/>
  <c r="W42" i="48"/>
  <c r="L241" i="11"/>
  <c r="M238" i="11" s="1"/>
  <c r="K54" i="11"/>
  <c r="L52" i="11" s="1"/>
  <c r="K16" i="11"/>
  <c r="M117" i="11"/>
  <c r="M125" i="11" s="1"/>
  <c r="M131" i="11"/>
  <c r="L205" i="11"/>
  <c r="M202" i="11" s="1"/>
  <c r="L81" i="11"/>
  <c r="L89" i="11" s="1"/>
  <c r="L95" i="11"/>
  <c r="L90" i="11"/>
  <c r="M87" i="11" s="1"/>
  <c r="L189" i="11"/>
  <c r="L197" i="11" s="1"/>
  <c r="L198" i="11" s="1"/>
  <c r="M195" i="11" s="1"/>
  <c r="R39" i="48"/>
  <c r="AS39" i="48"/>
  <c r="AC39" i="48"/>
  <c r="AB39" i="48"/>
  <c r="U39" i="48"/>
  <c r="BM39" i="48"/>
  <c r="BF39" i="48"/>
  <c r="BR39" i="48"/>
  <c r="AA39" i="48"/>
  <c r="Z39" i="48"/>
  <c r="BL39" i="48"/>
  <c r="AO39" i="48"/>
  <c r="X39" i="48"/>
  <c r="AT39" i="48"/>
  <c r="AH39" i="48"/>
  <c r="BK39" i="48"/>
  <c r="AM39" i="48"/>
  <c r="BP15" i="6"/>
  <c r="BP29" i="13" s="1"/>
  <c r="BP13" i="6"/>
  <c r="BP24" i="13" s="1"/>
  <c r="BP116" i="6"/>
  <c r="BP14" i="6"/>
  <c r="BP25" i="13" s="1"/>
  <c r="BP12" i="6"/>
  <c r="BL116" i="6"/>
  <c r="BL15" i="6"/>
  <c r="BL29" i="13" s="1"/>
  <c r="BL12" i="6"/>
  <c r="BM116" i="6"/>
  <c r="BM14" i="6"/>
  <c r="BM25" i="13" s="1"/>
  <c r="BM15" i="6"/>
  <c r="BM29" i="13" s="1"/>
  <c r="S30" i="34"/>
  <c r="R56" i="34"/>
  <c r="S43" i="34"/>
  <c r="BD14" i="6"/>
  <c r="BD25" i="13" s="1"/>
  <c r="BD116" i="6"/>
  <c r="BD12" i="6"/>
  <c r="BD15" i="6"/>
  <c r="BD29" i="13" s="1"/>
  <c r="BD13" i="6"/>
  <c r="BD24" i="13" s="1"/>
  <c r="R38" i="34"/>
  <c r="P51" i="34"/>
  <c r="BN23" i="13"/>
  <c r="BR12" i="6"/>
  <c r="BI14" i="6"/>
  <c r="BI25" i="13" s="1"/>
  <c r="BI12" i="6"/>
  <c r="BI13" i="6"/>
  <c r="BI24" i="13" s="1"/>
  <c r="BJ116" i="6"/>
  <c r="BJ13" i="6"/>
  <c r="BJ24" i="13" s="1"/>
  <c r="BJ12" i="6"/>
  <c r="BJ14" i="6"/>
  <c r="BJ25" i="13" s="1"/>
  <c r="BJ15" i="6"/>
  <c r="BJ29" i="13" s="1"/>
  <c r="BG12" i="6"/>
  <c r="BG13" i="6"/>
  <c r="BG24" i="13" s="1"/>
  <c r="BG15" i="6"/>
  <c r="BG29" i="13" s="1"/>
  <c r="BG14" i="6"/>
  <c r="BG25" i="13" s="1"/>
  <c r="AG29" i="13"/>
  <c r="AG16" i="6"/>
  <c r="N13" i="50"/>
  <c r="O33" i="9"/>
  <c r="BN15" i="6"/>
  <c r="BN29" i="13" s="1"/>
  <c r="O52" i="34"/>
  <c r="P39" i="34"/>
  <c r="AA58" i="34"/>
  <c r="AB45" i="34"/>
  <c r="AB32" i="34"/>
  <c r="AK116" i="6"/>
  <c r="AK15" i="6"/>
  <c r="AK29" i="13" s="1"/>
  <c r="P25" i="34"/>
  <c r="O26" i="34"/>
  <c r="AD16" i="6"/>
  <c r="BN13" i="6"/>
  <c r="BN24" i="13" s="1"/>
  <c r="AR12" i="6"/>
  <c r="AR15" i="6"/>
  <c r="AR29" i="13" s="1"/>
  <c r="AR13" i="6"/>
  <c r="AR24" i="13" s="1"/>
  <c r="AR14" i="6"/>
  <c r="AR25" i="13" s="1"/>
  <c r="AT13" i="6"/>
  <c r="AT24" i="13" s="1"/>
  <c r="AT15" i="6"/>
  <c r="AT29" i="13" s="1"/>
  <c r="AT12" i="6"/>
  <c r="AT14" i="6"/>
  <c r="AT25" i="13" s="1"/>
  <c r="AT116" i="6"/>
  <c r="AX13" i="6"/>
  <c r="AX24" i="13" s="1"/>
  <c r="AX14" i="6"/>
  <c r="AX25" i="13" s="1"/>
  <c r="AX116" i="6"/>
  <c r="AX15" i="6"/>
  <c r="AX29" i="13" s="1"/>
  <c r="AX12" i="6"/>
  <c r="AD116" i="6"/>
  <c r="AD14" i="6"/>
  <c r="AD25" i="13" s="1"/>
  <c r="AD15" i="6"/>
  <c r="AD29" i="13" s="1"/>
  <c r="AD13" i="6"/>
  <c r="AD24" i="13" s="1"/>
  <c r="AD22" i="13" s="1"/>
  <c r="AI16" i="6"/>
  <c r="AI23" i="13"/>
  <c r="AI22" i="13" s="1"/>
  <c r="AQ116" i="6"/>
  <c r="AQ13" i="6"/>
  <c r="AQ24" i="13" s="1"/>
  <c r="AQ12" i="6"/>
  <c r="AQ14" i="6"/>
  <c r="AQ25" i="13" s="1"/>
  <c r="AM22" i="13"/>
  <c r="AL15" i="6"/>
  <c r="AL29" i="13" s="1"/>
  <c r="AL12" i="6"/>
  <c r="AL14" i="6"/>
  <c r="AL25" i="13" s="1"/>
  <c r="AJ13" i="6"/>
  <c r="AJ24" i="13" s="1"/>
  <c r="AJ12" i="6"/>
  <c r="AJ14" i="6"/>
  <c r="AJ25" i="13" s="1"/>
  <c r="AJ116" i="6"/>
  <c r="AF15" i="6"/>
  <c r="AF29" i="13" s="1"/>
  <c r="AF12" i="6"/>
  <c r="AF116" i="6"/>
  <c r="AF14" i="6"/>
  <c r="AF25" i="13" s="1"/>
  <c r="AF13" i="6"/>
  <c r="AF24" i="13" s="1"/>
  <c r="AC14" i="6"/>
  <c r="AC25" i="13" s="1"/>
  <c r="AC12" i="6"/>
  <c r="BM13" i="6"/>
  <c r="BM24" i="13" s="1"/>
  <c r="BM12" i="6"/>
  <c r="BG116" i="6"/>
  <c r="O45" i="9"/>
  <c r="O47" i="9" s="1"/>
  <c r="AP15" i="6"/>
  <c r="AP29" i="13" s="1"/>
  <c r="AP14" i="6"/>
  <c r="AP25" i="13" s="1"/>
  <c r="AP13" i="6"/>
  <c r="AP116" i="6"/>
  <c r="AH22" i="13"/>
  <c r="AH27" i="13" s="1"/>
  <c r="BH14" i="6"/>
  <c r="BN14" i="6"/>
  <c r="BN25" i="13" s="1"/>
  <c r="BR14" i="6"/>
  <c r="BR25" i="13" s="1"/>
  <c r="BR13" i="6"/>
  <c r="BR24" i="13" s="1"/>
  <c r="BR116" i="6"/>
  <c r="AT93" i="54"/>
  <c r="AU90" i="54"/>
  <c r="BL14" i="6"/>
  <c r="BL25" i="13" s="1"/>
  <c r="BL13" i="6"/>
  <c r="BL24" i="13" s="1"/>
  <c r="BO14" i="6"/>
  <c r="BO25" i="13" s="1"/>
  <c r="BO12" i="6"/>
  <c r="BO15" i="6"/>
  <c r="BO29" i="13" s="1"/>
  <c r="BO116" i="6"/>
  <c r="P56" i="34"/>
  <c r="AN13" i="6"/>
  <c r="AN24" i="13" s="1"/>
  <c r="AN15" i="6"/>
  <c r="AN29" i="13" s="1"/>
  <c r="AN12" i="6"/>
  <c r="BI15" i="6"/>
  <c r="BI29" i="13" s="1"/>
  <c r="BI116" i="6"/>
  <c r="P41" i="34"/>
  <c r="O54" i="34"/>
  <c r="BK14" i="6"/>
  <c r="AE24" i="13"/>
  <c r="AE22" i="13" s="1"/>
  <c r="AE16" i="6"/>
  <c r="I7" i="6"/>
  <c r="L7" i="53"/>
  <c r="L7" i="59" s="1"/>
  <c r="I7" i="55"/>
  <c r="I7" i="51"/>
  <c r="I7" i="44"/>
  <c r="I7" i="1"/>
  <c r="I7" i="9"/>
  <c r="I7" i="50"/>
  <c r="I7" i="42"/>
  <c r="L8" i="2"/>
  <c r="I7" i="5"/>
  <c r="I7" i="49"/>
  <c r="I7" i="11"/>
  <c r="I7" i="47"/>
  <c r="W13" i="6"/>
  <c r="W15" i="6"/>
  <c r="W29" i="13" s="1"/>
  <c r="W14" i="6"/>
  <c r="W25" i="13" s="1"/>
  <c r="AN116" i="6"/>
  <c r="AH15" i="6"/>
  <c r="AH116" i="6"/>
  <c r="AK12" i="6"/>
  <c r="AB116" i="6"/>
  <c r="AB14" i="6"/>
  <c r="M8" i="51"/>
  <c r="L116" i="6"/>
  <c r="L12" i="6"/>
  <c r="L14" i="6"/>
  <c r="L25" i="13" s="1"/>
  <c r="L15" i="6"/>
  <c r="L29" i="13" s="1"/>
  <c r="S116" i="6"/>
  <c r="K23" i="13"/>
  <c r="K16" i="6"/>
  <c r="M53" i="9"/>
  <c r="L15" i="50"/>
  <c r="M8" i="49"/>
  <c r="M8" i="13"/>
  <c r="M8" i="5"/>
  <c r="L13" i="6"/>
  <c r="L24" i="13" s="1"/>
  <c r="E132" i="53"/>
  <c r="N128" i="54" s="1"/>
  <c r="W128" i="54" s="1"/>
  <c r="N120" i="54"/>
  <c r="W120" i="54" s="1"/>
  <c r="Q14" i="6"/>
  <c r="Q25" i="13" s="1"/>
  <c r="Q15" i="6"/>
  <c r="Q29" i="13" s="1"/>
  <c r="M8" i="55"/>
  <c r="M8" i="50"/>
  <c r="Q7" i="2"/>
  <c r="BA5" i="47"/>
  <c r="L15" i="11"/>
  <c r="L27" i="49" s="1"/>
  <c r="S15" i="6"/>
  <c r="S29" i="13" s="1"/>
  <c r="S12" i="6"/>
  <c r="S14" i="6"/>
  <c r="S25" i="13" s="1"/>
  <c r="S13" i="6"/>
  <c r="S24" i="13" s="1"/>
  <c r="M8" i="44"/>
  <c r="M8" i="6"/>
  <c r="M8" i="57"/>
  <c r="P39" i="54"/>
  <c r="K15" i="11"/>
  <c r="T14" i="6"/>
  <c r="T25" i="13" s="1"/>
  <c r="T12" i="6"/>
  <c r="T13" i="6"/>
  <c r="T24" i="13" s="1"/>
  <c r="T116" i="6"/>
  <c r="K15" i="56"/>
  <c r="U14" i="6"/>
  <c r="U25" i="13" s="1"/>
  <c r="U116" i="6"/>
  <c r="U12" i="6"/>
  <c r="U13" i="6"/>
  <c r="U24" i="13" s="1"/>
  <c r="U15" i="6"/>
  <c r="U29" i="13" s="1"/>
  <c r="M8" i="1"/>
  <c r="M8" i="9"/>
  <c r="BF5" i="11"/>
  <c r="BF5" i="48"/>
  <c r="BF5" i="44"/>
  <c r="BF5" i="6"/>
  <c r="BF5" i="57"/>
  <c r="BF5" i="5"/>
  <c r="BF5" i="51"/>
  <c r="BF5" i="49"/>
  <c r="BF5" i="7"/>
  <c r="BF5" i="9"/>
  <c r="BF5" i="47"/>
  <c r="BF5" i="55"/>
  <c r="BF5" i="42"/>
  <c r="BF5" i="50"/>
  <c r="BF5" i="1"/>
  <c r="BA5" i="49"/>
  <c r="BA5" i="42"/>
  <c r="BA5" i="13"/>
  <c r="BA5" i="5"/>
  <c r="BA5" i="6"/>
  <c r="BA5" i="11"/>
  <c r="BA5" i="55"/>
  <c r="BA5" i="9"/>
  <c r="BA5" i="48"/>
  <c r="BA5" i="1"/>
  <c r="BA5" i="44"/>
  <c r="BA5" i="56"/>
  <c r="BA5" i="7"/>
  <c r="BA5" i="57"/>
  <c r="BA5" i="50"/>
  <c r="Q23" i="13"/>
  <c r="K116" i="6"/>
  <c r="K13" i="6"/>
  <c r="K15" i="6"/>
  <c r="K14" i="6"/>
  <c r="F127" i="53"/>
  <c r="O120" i="54"/>
  <c r="X120" i="54" s="1"/>
  <c r="F132" i="53"/>
  <c r="O128" i="54" s="1"/>
  <c r="X128" i="54" s="1"/>
  <c r="P116" i="6"/>
  <c r="P15" i="6"/>
  <c r="P29" i="13" s="1"/>
  <c r="P13" i="6"/>
  <c r="P24" i="13" s="1"/>
  <c r="P14" i="6"/>
  <c r="P25" i="13" s="1"/>
  <c r="N12" i="6"/>
  <c r="N15" i="6"/>
  <c r="N29" i="13" s="1"/>
  <c r="N116" i="6"/>
  <c r="Q13" i="6"/>
  <c r="Q24" i="13" s="1"/>
  <c r="R23" i="13"/>
  <c r="M8" i="42"/>
  <c r="M8" i="56"/>
  <c r="N123" i="54"/>
  <c r="E129" i="53"/>
  <c r="E125" i="54" s="1"/>
  <c r="O15" i="6"/>
  <c r="O29" i="13" s="1"/>
  <c r="O116" i="6"/>
  <c r="O14" i="6"/>
  <c r="O25" i="13" s="1"/>
  <c r="O12" i="6"/>
  <c r="J42" i="34"/>
  <c r="I55" i="34"/>
  <c r="N14" i="6"/>
  <c r="N25" i="13" s="1"/>
  <c r="K5" i="28"/>
  <c r="B15" i="28" s="1"/>
  <c r="AJ5" i="33"/>
  <c r="Y36" i="34"/>
  <c r="L49" i="34"/>
  <c r="AK5" i="26"/>
  <c r="J5" i="33"/>
  <c r="Y5" i="34"/>
  <c r="BE5" i="11"/>
  <c r="BE5" i="57"/>
  <c r="BB5" i="49"/>
  <c r="BB5" i="57"/>
  <c r="AO46" i="6"/>
  <c r="AO96" i="6" s="1"/>
  <c r="AO54" i="6"/>
  <c r="AO104" i="6" s="1"/>
  <c r="AO56" i="6"/>
  <c r="AO106" i="6" s="1"/>
  <c r="N13" i="6"/>
  <c r="N24" i="13" s="1"/>
  <c r="B186" i="11"/>
  <c r="B193" i="11" s="1"/>
  <c r="F27" i="59"/>
  <c r="F80" i="53"/>
  <c r="F90" i="53"/>
  <c r="O88" i="54" s="1"/>
  <c r="X88" i="54" s="1"/>
  <c r="O68" i="54"/>
  <c r="X68" i="54" s="1"/>
  <c r="I27" i="34"/>
  <c r="K22" i="50"/>
  <c r="K45" i="44"/>
  <c r="L40" i="44"/>
  <c r="L43" i="44" s="1"/>
  <c r="AC17" i="36"/>
  <c r="M22" i="36" s="1"/>
  <c r="AE17" i="36"/>
  <c r="P90" i="54"/>
  <c r="Y90" i="54" s="1"/>
  <c r="G95" i="53"/>
  <c r="P93" i="54" s="1"/>
  <c r="Y93" i="54" s="1"/>
  <c r="K5" i="26"/>
  <c r="B15" i="26" s="1"/>
  <c r="AK5" i="20"/>
  <c r="AJ5" i="37"/>
  <c r="L36" i="34"/>
  <c r="V5" i="32"/>
  <c r="J5" i="36"/>
  <c r="BE5" i="50"/>
  <c r="BE5" i="13"/>
  <c r="AO57" i="6"/>
  <c r="AO107" i="6" s="1"/>
  <c r="AO55" i="6"/>
  <c r="AO105" i="6" s="1"/>
  <c r="AO51" i="6"/>
  <c r="AO101" i="6" s="1"/>
  <c r="B128" i="11"/>
  <c r="X5" i="24"/>
  <c r="R13" i="6"/>
  <c r="R24" i="13" s="1"/>
  <c r="B90" i="2"/>
  <c r="X5" i="23"/>
  <c r="K5" i="22"/>
  <c r="B15" i="22" s="1"/>
  <c r="AK5" i="21"/>
  <c r="I5" i="32"/>
  <c r="W5" i="37"/>
  <c r="AK5" i="27"/>
  <c r="I58" i="34"/>
  <c r="BE5" i="5"/>
  <c r="BE5" i="6"/>
  <c r="BB5" i="55"/>
  <c r="BB5" i="50"/>
  <c r="AO52" i="6"/>
  <c r="AO102" i="6" s="1"/>
  <c r="AO59" i="6"/>
  <c r="AO109" i="6" s="1"/>
  <c r="AO48" i="6"/>
  <c r="AO98" i="6" s="1"/>
  <c r="AO47" i="6"/>
  <c r="AO97" i="6" s="1"/>
  <c r="Q116" i="6"/>
  <c r="R15" i="6"/>
  <c r="R29" i="13" s="1"/>
  <c r="X5" i="22"/>
  <c r="G15" i="29"/>
  <c r="AK5" i="23"/>
  <c r="X5" i="26"/>
  <c r="K5" i="20"/>
  <c r="B15" i="20" s="1"/>
  <c r="BE5" i="9"/>
  <c r="BB5" i="42"/>
  <c r="AO53" i="6"/>
  <c r="AO103" i="6" s="1"/>
  <c r="AO49" i="6"/>
  <c r="AO99" i="6" s="1"/>
  <c r="R116" i="6"/>
  <c r="A149" i="2"/>
  <c r="A190" i="2"/>
  <c r="P23" i="53"/>
  <c r="P25" i="53"/>
  <c r="BF12" i="13"/>
  <c r="S17" i="36"/>
  <c r="U17" i="36"/>
  <c r="X17" i="36"/>
  <c r="AF17" i="36"/>
  <c r="G18" i="59"/>
  <c r="G17" i="59"/>
  <c r="G21" i="59"/>
  <c r="BP12" i="13"/>
  <c r="P18" i="53"/>
  <c r="G16" i="59"/>
  <c r="P19" i="53"/>
  <c r="P19" i="54"/>
  <c r="Y19" i="54" s="1"/>
  <c r="B56" i="11"/>
  <c r="E18" i="59"/>
  <c r="E27" i="53"/>
  <c r="E15" i="59"/>
  <c r="N14" i="54"/>
  <c r="W14" i="54" s="1"/>
  <c r="E16" i="59"/>
  <c r="G19" i="34"/>
  <c r="F37" i="34"/>
  <c r="N12" i="32"/>
  <c r="F28" i="34"/>
  <c r="G28" i="34" s="1"/>
  <c r="H28" i="34" s="1"/>
  <c r="E40" i="34"/>
  <c r="F22" i="34"/>
  <c r="G22" i="34" s="1"/>
  <c r="H22" i="34" s="1"/>
  <c r="I22" i="34" s="1"/>
  <c r="J22" i="34" s="1"/>
  <c r="K22" i="34" s="1"/>
  <c r="L22" i="34" s="1"/>
  <c r="M22" i="34" s="1"/>
  <c r="N22" i="34" s="1"/>
  <c r="O22" i="34" s="1"/>
  <c r="P22" i="34" s="1"/>
  <c r="R22" i="34" s="1"/>
  <c r="S22" i="34" s="1"/>
  <c r="T22" i="34" s="1"/>
  <c r="U22" i="34" s="1"/>
  <c r="V22" i="34" s="1"/>
  <c r="W22" i="34" s="1"/>
  <c r="X22" i="34" s="1"/>
  <c r="Y22" i="34" s="1"/>
  <c r="Z22" i="34" s="1"/>
  <c r="AA22" i="34" s="1"/>
  <c r="AB22" i="34" s="1"/>
  <c r="AC22" i="34" s="1"/>
  <c r="AE22" i="34" s="1"/>
  <c r="AF22" i="34" s="1"/>
  <c r="AG22" i="34" s="1"/>
  <c r="AH22" i="34" s="1"/>
  <c r="AI22" i="34" s="1"/>
  <c r="AJ22" i="34" s="1"/>
  <c r="AK22" i="34" s="1"/>
  <c r="AL22" i="34" s="1"/>
  <c r="AM22" i="34" s="1"/>
  <c r="AN22" i="34" s="1"/>
  <c r="AO22" i="34" s="1"/>
  <c r="AP22" i="34" s="1"/>
  <c r="E33" i="34"/>
  <c r="D17" i="36"/>
  <c r="B51" i="1"/>
  <c r="B56" i="1" s="1"/>
  <c r="B61" i="1" s="1"/>
  <c r="B34" i="1"/>
  <c r="B39" i="1" s="1"/>
  <c r="X19" i="54"/>
  <c r="K56" i="44"/>
  <c r="BP20" i="44"/>
  <c r="AY20" i="44"/>
  <c r="BI20" i="44"/>
  <c r="AB20" i="44"/>
  <c r="BR20" i="44"/>
  <c r="AH20" i="44"/>
  <c r="W20" i="44"/>
  <c r="L20" i="44"/>
  <c r="BH20" i="44"/>
  <c r="N20" i="44"/>
  <c r="AN20" i="44"/>
  <c r="BD20" i="44"/>
  <c r="AR20" i="44"/>
  <c r="R20" i="44"/>
  <c r="AI20" i="44"/>
  <c r="AM20" i="44"/>
  <c r="O20" i="44"/>
  <c r="BK20" i="44"/>
  <c r="AJ20" i="44"/>
  <c r="AA20" i="44"/>
  <c r="AE20" i="44"/>
  <c r="AS20" i="44"/>
  <c r="K77" i="9"/>
  <c r="K65" i="9"/>
  <c r="E8" i="57"/>
  <c r="H8" i="53"/>
  <c r="H8" i="59" s="1"/>
  <c r="AJ12" i="13"/>
  <c r="V5" i="9"/>
  <c r="V5" i="51"/>
  <c r="V5" i="11"/>
  <c r="V5" i="47"/>
  <c r="V5" i="44"/>
  <c r="V5" i="6"/>
  <c r="V5" i="55"/>
  <c r="V5" i="48"/>
  <c r="V5" i="57"/>
  <c r="V5" i="13"/>
  <c r="Q5" i="44"/>
  <c r="Q5" i="56"/>
  <c r="Q5" i="48"/>
  <c r="Q5" i="50"/>
  <c r="Q5" i="5"/>
  <c r="Q5" i="13"/>
  <c r="Q5" i="51"/>
  <c r="Q5" i="11"/>
  <c r="Q5" i="7"/>
  <c r="Q5" i="47"/>
  <c r="Q5" i="42"/>
  <c r="F44" i="34"/>
  <c r="F31" i="34"/>
  <c r="P17" i="36"/>
  <c r="A47" i="44"/>
  <c r="B14" i="44"/>
  <c r="B25" i="44" s="1"/>
  <c r="B49" i="44"/>
  <c r="B60" i="44" s="1"/>
  <c r="B12" i="5"/>
  <c r="B18" i="5" s="1"/>
  <c r="A31" i="5"/>
  <c r="G181" i="2"/>
  <c r="G184" i="2" s="1"/>
  <c r="G188" i="2" s="1"/>
  <c r="G146" i="2" s="1"/>
  <c r="G196" i="2"/>
  <c r="N17" i="36"/>
  <c r="L17" i="36"/>
  <c r="G17" i="37"/>
  <c r="K22" i="37" s="1"/>
  <c r="P61" i="54"/>
  <c r="Y61" i="54" s="1"/>
  <c r="G90" i="53"/>
  <c r="P88" i="54" s="1"/>
  <c r="Y88" i="54" s="1"/>
  <c r="K78" i="44"/>
  <c r="M5" i="49"/>
  <c r="M5" i="44"/>
  <c r="M5" i="9"/>
  <c r="M5" i="56"/>
  <c r="M5" i="6"/>
  <c r="M5" i="13"/>
  <c r="M5" i="48"/>
  <c r="M5" i="42"/>
  <c r="M5" i="7"/>
  <c r="M5" i="1"/>
  <c r="M5" i="50"/>
  <c r="N12" i="13"/>
  <c r="A59" i="54"/>
  <c r="A95" i="54" s="1"/>
  <c r="E17" i="36"/>
  <c r="AH17" i="36"/>
  <c r="B66" i="54"/>
  <c r="B67" i="53"/>
  <c r="AN17" i="37"/>
  <c r="B85" i="11"/>
  <c r="B92" i="11" s="1"/>
  <c r="K17" i="36"/>
  <c r="F19" i="54"/>
  <c r="G24" i="54"/>
  <c r="G29" i="54" s="1"/>
  <c r="U17" i="37"/>
  <c r="L22" i="37" s="1"/>
  <c r="AF17" i="37"/>
  <c r="M22" i="37" s="1"/>
  <c r="Y92" i="53"/>
  <c r="BH73" i="54"/>
  <c r="D53" i="56"/>
  <c r="B27" i="54"/>
  <c r="B22" i="54"/>
  <c r="AJ93" i="54"/>
  <c r="AK68" i="54"/>
  <c r="D155" i="56"/>
  <c r="C168" i="2"/>
  <c r="C163" i="2"/>
  <c r="F14" i="54"/>
  <c r="AK73" i="54"/>
  <c r="T25" i="49"/>
  <c r="AE25" i="49"/>
  <c r="AM25" i="48"/>
  <c r="AM51" i="48" s="1"/>
  <c r="AM28" i="48"/>
  <c r="AM30" i="48" s="1"/>
  <c r="Z25" i="48"/>
  <c r="Z51" i="48" s="1"/>
  <c r="Z26" i="48"/>
  <c r="Z52" i="48" s="1"/>
  <c r="Z28" i="48"/>
  <c r="Z30" i="48" s="1"/>
  <c r="M25" i="48"/>
  <c r="M51" i="48" s="1"/>
  <c r="M28" i="48"/>
  <c r="M30" i="48" s="1"/>
  <c r="BR89" i="44"/>
  <c r="AI25" i="48"/>
  <c r="AI51" i="48" s="1"/>
  <c r="AI26" i="48"/>
  <c r="AI52" i="48" s="1"/>
  <c r="AI28" i="48"/>
  <c r="AI30" i="48" s="1"/>
  <c r="BR105" i="44"/>
  <c r="BL105" i="44"/>
  <c r="AH89" i="44"/>
  <c r="AP35" i="13"/>
  <c r="U25" i="48"/>
  <c r="U51" i="48" s="1"/>
  <c r="U28" i="48"/>
  <c r="U30" i="48" s="1"/>
  <c r="BQ16" i="5"/>
  <c r="BQ105" i="44"/>
  <c r="BO89" i="44"/>
  <c r="BD89" i="44"/>
  <c r="BA16" i="5"/>
  <c r="AZ89" i="44"/>
  <c r="BG25" i="49"/>
  <c r="U26" i="48"/>
  <c r="U52" i="48" s="1"/>
  <c r="BR22" i="5"/>
  <c r="BP27" i="5"/>
  <c r="BP89" i="44" s="1"/>
  <c r="BL89" i="44"/>
  <c r="AZ105" i="44"/>
  <c r="O35" i="13"/>
  <c r="K26" i="48"/>
  <c r="K25" i="48"/>
  <c r="AD25" i="48"/>
  <c r="AD51" i="48" s="1"/>
  <c r="AD28" i="48"/>
  <c r="AD30" i="48" s="1"/>
  <c r="BP105" i="44"/>
  <c r="BG89" i="44"/>
  <c r="BC22" i="5"/>
  <c r="BC19" i="13" s="1"/>
  <c r="AT105" i="44"/>
  <c r="AM26" i="48"/>
  <c r="AM52" i="48" s="1"/>
  <c r="Q25" i="48"/>
  <c r="Q51" i="48" s="1"/>
  <c r="Q26" i="48"/>
  <c r="Q52" i="48" s="1"/>
  <c r="Q28" i="48"/>
  <c r="Q30" i="48" s="1"/>
  <c r="BF89" i="44"/>
  <c r="BB89" i="44"/>
  <c r="AQ28" i="48"/>
  <c r="AQ30" i="48" s="1"/>
  <c r="AV28" i="48"/>
  <c r="AV30" i="48" s="1"/>
  <c r="AZ28" i="48"/>
  <c r="AZ30" i="48" s="1"/>
  <c r="BD28" i="48"/>
  <c r="BD30" i="48" s="1"/>
  <c r="BI28" i="48"/>
  <c r="BI30" i="48" s="1"/>
  <c r="BM28" i="48"/>
  <c r="BM30" i="48" s="1"/>
  <c r="BQ28" i="48"/>
  <c r="BQ30" i="48" s="1"/>
  <c r="BM27" i="5"/>
  <c r="BM20" i="13" s="1"/>
  <c r="BC16" i="5"/>
  <c r="AZ27" i="5"/>
  <c r="BO27" i="5"/>
  <c r="BJ27" i="5"/>
  <c r="BJ89" i="44" s="1"/>
  <c r="BH22" i="5"/>
  <c r="BE22" i="5"/>
  <c r="BB27" i="5"/>
  <c r="AX16" i="5"/>
  <c r="AW89" i="44"/>
  <c r="AR89" i="44"/>
  <c r="AO89" i="44"/>
  <c r="M89" i="44"/>
  <c r="BN16" i="5"/>
  <c r="BM16" i="5"/>
  <c r="BK22" i="5"/>
  <c r="BK19" i="13" s="1"/>
  <c r="BE16" i="1"/>
  <c r="BA22" i="1"/>
  <c r="AY27" i="5"/>
  <c r="AY20" i="13" s="1"/>
  <c r="AY16" i="5"/>
  <c r="AV22" i="5"/>
  <c r="AU16" i="1"/>
  <c r="K16" i="1"/>
  <c r="K22" i="5"/>
  <c r="K19" i="13" s="1"/>
  <c r="O26" i="48"/>
  <c r="O52" i="48" s="1"/>
  <c r="X26" i="48"/>
  <c r="X52" i="48" s="1"/>
  <c r="AF26" i="48"/>
  <c r="AF52" i="48" s="1"/>
  <c r="AO26" i="48"/>
  <c r="AO52" i="48" s="1"/>
  <c r="AX26" i="48"/>
  <c r="AX52" i="48" s="1"/>
  <c r="BG26" i="48"/>
  <c r="BG52" i="48" s="1"/>
  <c r="BO26" i="48"/>
  <c r="BO52" i="48" s="1"/>
  <c r="BK28" i="1"/>
  <c r="BJ16" i="1"/>
  <c r="BH28" i="1"/>
  <c r="BE27" i="5"/>
  <c r="BE20" i="13" s="1"/>
  <c r="BB16" i="1"/>
  <c r="AX16" i="1"/>
  <c r="AS16" i="5"/>
  <c r="AK89" i="44"/>
  <c r="AE27" i="5"/>
  <c r="AE20" i="13" s="1"/>
  <c r="S28" i="48"/>
  <c r="S30" i="48" s="1"/>
  <c r="AB28" i="48"/>
  <c r="AB30" i="48" s="1"/>
  <c r="AK28" i="48"/>
  <c r="AK30" i="48" s="1"/>
  <c r="AS28" i="48"/>
  <c r="AS30" i="48" s="1"/>
  <c r="BB28" i="48"/>
  <c r="BB30" i="48" s="1"/>
  <c r="BK28" i="48"/>
  <c r="BK30" i="48" s="1"/>
  <c r="BO16" i="1"/>
  <c r="BH27" i="5"/>
  <c r="BH20" i="13" s="1"/>
  <c r="BD22" i="1"/>
  <c r="AM27" i="5"/>
  <c r="AM20" i="13" s="1"/>
  <c r="Y105" i="44"/>
  <c r="Q89" i="44"/>
  <c r="AQ26" i="48"/>
  <c r="AQ52" i="48" s="1"/>
  <c r="AZ26" i="48"/>
  <c r="AZ52" i="48" s="1"/>
  <c r="BI26" i="48"/>
  <c r="BI52" i="48" s="1"/>
  <c r="BQ26" i="48"/>
  <c r="BQ52" i="48" s="1"/>
  <c r="BE89" i="44"/>
  <c r="AX22" i="5"/>
  <c r="AX19" i="13" s="1"/>
  <c r="AN89" i="44"/>
  <c r="AW16" i="1"/>
  <c r="AU16" i="5"/>
  <c r="AT22" i="5"/>
  <c r="AT89" i="44" s="1"/>
  <c r="AQ16" i="5"/>
  <c r="AP28" i="1"/>
  <c r="AI27" i="5"/>
  <c r="AI20" i="13" s="1"/>
  <c r="U16" i="5"/>
  <c r="BM16" i="1"/>
  <c r="BK16" i="5"/>
  <c r="AY22" i="5"/>
  <c r="AY19" i="13" s="1"/>
  <c r="AQ22" i="1"/>
  <c r="AP22" i="5"/>
  <c r="AP19" i="13" s="1"/>
  <c r="AO105" i="44"/>
  <c r="AM105" i="44"/>
  <c r="AL16" i="5"/>
  <c r="AL22" i="1"/>
  <c r="AG16" i="5"/>
  <c r="AF22" i="5"/>
  <c r="AE105" i="44"/>
  <c r="Y22" i="5"/>
  <c r="W89" i="44"/>
  <c r="S22" i="5"/>
  <c r="S19" i="13" s="1"/>
  <c r="N22" i="5"/>
  <c r="N19" i="13" s="1"/>
  <c r="AY22" i="1"/>
  <c r="AX22" i="1"/>
  <c r="AK22" i="5"/>
  <c r="AJ27" i="5"/>
  <c r="U105" i="44"/>
  <c r="O16" i="5"/>
  <c r="AS22" i="5"/>
  <c r="AS19" i="13" s="1"/>
  <c r="AS28" i="1"/>
  <c r="AI16" i="5"/>
  <c r="AC89" i="44"/>
  <c r="AP27" i="5"/>
  <c r="AP20" i="13" s="1"/>
  <c r="AP16" i="5"/>
  <c r="AI105" i="44"/>
  <c r="AF27" i="5"/>
  <c r="AF20" i="13" s="1"/>
  <c r="AC105" i="44"/>
  <c r="S105" i="44"/>
  <c r="L105" i="44"/>
  <c r="AN22" i="1"/>
  <c r="AM22" i="5"/>
  <c r="AJ105" i="44"/>
  <c r="AG105" i="44"/>
  <c r="AF22" i="1"/>
  <c r="AD22" i="1"/>
  <c r="AK22" i="1"/>
  <c r="AA28" i="1"/>
  <c r="V28" i="1"/>
  <c r="V16" i="1"/>
  <c r="V16" i="5"/>
  <c r="R16" i="5"/>
  <c r="M27" i="5"/>
  <c r="M20" i="13" s="1"/>
  <c r="AD22" i="5"/>
  <c r="AB22" i="5"/>
  <c r="AB89" i="44" s="1"/>
  <c r="Z27" i="5"/>
  <c r="Z20" i="13" s="1"/>
  <c r="W28" i="1"/>
  <c r="U22" i="5"/>
  <c r="U19" i="13" s="1"/>
  <c r="Q22" i="5"/>
  <c r="P27" i="5"/>
  <c r="P20" i="13" s="1"/>
  <c r="P16" i="5"/>
  <c r="O22" i="5"/>
  <c r="O19" i="13" s="1"/>
  <c r="L16" i="5"/>
  <c r="AA27" i="5"/>
  <c r="T27" i="5"/>
  <c r="AK16" i="1"/>
  <c r="AF16" i="1"/>
  <c r="AE16" i="5"/>
  <c r="AD28" i="1"/>
  <c r="Y27" i="5"/>
  <c r="Y20" i="13" s="1"/>
  <c r="X27" i="5"/>
  <c r="W22" i="1"/>
  <c r="S16" i="5"/>
  <c r="P105" i="44"/>
  <c r="O105" i="44"/>
  <c r="K16" i="5"/>
  <c r="Z16" i="5"/>
  <c r="R22" i="1"/>
  <c r="N27" i="5"/>
  <c r="N20" i="13" s="1"/>
  <c r="N16" i="5"/>
  <c r="M22" i="5"/>
  <c r="K27" i="5"/>
  <c r="K20" i="13" s="1"/>
  <c r="B36" i="44" l="1"/>
  <c r="B23" i="5"/>
  <c r="L34" i="44"/>
  <c r="L41" i="48"/>
  <c r="L69" i="44"/>
  <c r="L21" i="50"/>
  <c r="M64" i="44"/>
  <c r="M67" i="44" s="1"/>
  <c r="N64" i="44" s="1"/>
  <c r="N67" i="44" s="1"/>
  <c r="L43" i="48"/>
  <c r="L32" i="49" s="1"/>
  <c r="AB106" i="44"/>
  <c r="AB90" i="44"/>
  <c r="BP106" i="44"/>
  <c r="BP90" i="44"/>
  <c r="AT106" i="44"/>
  <c r="AT90" i="44"/>
  <c r="BJ106" i="44"/>
  <c r="BJ90" i="44"/>
  <c r="Y29" i="54"/>
  <c r="G50" i="54"/>
  <c r="Y50" i="54" s="1"/>
  <c r="G34" i="54"/>
  <c r="P43" i="9"/>
  <c r="O14" i="50"/>
  <c r="M198" i="11"/>
  <c r="N195" i="11" s="1"/>
  <c r="M189" i="11"/>
  <c r="M197" i="11" s="1"/>
  <c r="M203" i="11"/>
  <c r="M153" i="11"/>
  <c r="M161" i="11" s="1"/>
  <c r="M162" i="11"/>
  <c r="N159" i="11" s="1"/>
  <c r="M167" i="11"/>
  <c r="M154" i="11" s="1"/>
  <c r="X29" i="5"/>
  <c r="X20" i="13"/>
  <c r="X17" i="13" s="1"/>
  <c r="X27" i="13" s="1"/>
  <c r="AA89" i="44"/>
  <c r="AA20" i="13"/>
  <c r="AA17" i="13" s="1"/>
  <c r="AA29" i="5"/>
  <c r="W41" i="44"/>
  <c r="W42" i="44" s="1"/>
  <c r="W15" i="13"/>
  <c r="V41" i="44"/>
  <c r="V42" i="44" s="1"/>
  <c r="E42" i="44" s="1"/>
  <c r="V15" i="13"/>
  <c r="AM19" i="13"/>
  <c r="AM17" i="13" s="1"/>
  <c r="AM27" i="13" s="1"/>
  <c r="AM29" i="5"/>
  <c r="AS41" i="44"/>
  <c r="AS15" i="13"/>
  <c r="AS12" i="13" s="1"/>
  <c r="AS30" i="1"/>
  <c r="AY30" i="44"/>
  <c r="AY30" i="1"/>
  <c r="AY14" i="13"/>
  <c r="AY12" i="13" s="1"/>
  <c r="BK89" i="44"/>
  <c r="BK29" i="5"/>
  <c r="BK18" i="13"/>
  <c r="BK17" i="13" s="1"/>
  <c r="AU89" i="44"/>
  <c r="AU29" i="5"/>
  <c r="AU18" i="13"/>
  <c r="AU17" i="13" s="1"/>
  <c r="BH41" i="44"/>
  <c r="BH15" i="13"/>
  <c r="BH12" i="13" s="1"/>
  <c r="BH30" i="1"/>
  <c r="AV19" i="13"/>
  <c r="AV17" i="13" s="1"/>
  <c r="AV29" i="5"/>
  <c r="M106" i="44"/>
  <c r="M90" i="44"/>
  <c r="BH29" i="5"/>
  <c r="BH19" i="13"/>
  <c r="BH17" i="13" s="1"/>
  <c r="Y89" i="44"/>
  <c r="K51" i="48"/>
  <c r="BR19" i="13"/>
  <c r="BR17" i="13" s="1"/>
  <c r="BR29" i="5"/>
  <c r="AH106" i="44"/>
  <c r="AH90" i="44"/>
  <c r="AM42" i="48"/>
  <c r="AM40" i="13"/>
  <c r="G41" i="1"/>
  <c r="E40" i="1"/>
  <c r="I41" i="1"/>
  <c r="E26" i="1"/>
  <c r="I13" i="1"/>
  <c r="F14" i="1"/>
  <c r="H22" i="1"/>
  <c r="G42" i="1"/>
  <c r="F36" i="1"/>
  <c r="I40" i="1"/>
  <c r="F37" i="1"/>
  <c r="I37" i="1"/>
  <c r="E28" i="1"/>
  <c r="E27" i="1"/>
  <c r="E19" i="1"/>
  <c r="F20" i="1"/>
  <c r="E37" i="1"/>
  <c r="I42" i="1"/>
  <c r="H40" i="1"/>
  <c r="F16" i="1"/>
  <c r="E46" i="1"/>
  <c r="G26" i="1"/>
  <c r="E41" i="1"/>
  <c r="E25" i="1"/>
  <c r="G27" i="1"/>
  <c r="G14" i="1"/>
  <c r="H20" i="1"/>
  <c r="H15" i="1"/>
  <c r="I15" i="1"/>
  <c r="H25" i="1"/>
  <c r="H45" i="1"/>
  <c r="F35" i="1"/>
  <c r="F21" i="1"/>
  <c r="F13" i="1"/>
  <c r="F22" i="1"/>
  <c r="H41" i="1"/>
  <c r="E47" i="1"/>
  <c r="E14" i="1"/>
  <c r="E15" i="1"/>
  <c r="H36" i="1"/>
  <c r="G15" i="1"/>
  <c r="H13" i="1"/>
  <c r="E35" i="1"/>
  <c r="F47" i="1"/>
  <c r="I27" i="1"/>
  <c r="E36" i="1"/>
  <c r="H46" i="1"/>
  <c r="E42" i="1"/>
  <c r="I20" i="1"/>
  <c r="H19" i="1"/>
  <c r="G45" i="1"/>
  <c r="F27" i="1"/>
  <c r="H26" i="1"/>
  <c r="G22" i="1"/>
  <c r="E45" i="1"/>
  <c r="I14" i="1"/>
  <c r="G35" i="1"/>
  <c r="H28" i="1"/>
  <c r="F25" i="1"/>
  <c r="G13" i="1"/>
  <c r="H16" i="1"/>
  <c r="I25" i="1"/>
  <c r="F45" i="1"/>
  <c r="G46" i="1"/>
  <c r="H21" i="1"/>
  <c r="F15" i="1"/>
  <c r="F28" i="1"/>
  <c r="H27" i="1"/>
  <c r="E22" i="1"/>
  <c r="F46" i="1"/>
  <c r="I46" i="1"/>
  <c r="I36" i="1"/>
  <c r="H47" i="1"/>
  <c r="G21" i="1"/>
  <c r="H14" i="1"/>
  <c r="F41" i="1"/>
  <c r="I16" i="1"/>
  <c r="E20" i="1"/>
  <c r="I19" i="1"/>
  <c r="G37" i="1"/>
  <c r="H35" i="1"/>
  <c r="F42" i="1"/>
  <c r="G25" i="1"/>
  <c r="I47" i="1"/>
  <c r="I45" i="1"/>
  <c r="H37" i="1"/>
  <c r="G20" i="1"/>
  <c r="F40" i="1"/>
  <c r="G16" i="1"/>
  <c r="G28" i="1"/>
  <c r="I28" i="1"/>
  <c r="I22" i="1"/>
  <c r="E13" i="1"/>
  <c r="F19" i="1"/>
  <c r="F26" i="1"/>
  <c r="I21" i="1"/>
  <c r="H42" i="1"/>
  <c r="G47" i="1"/>
  <c r="I35" i="1"/>
  <c r="G40" i="1"/>
  <c r="E21" i="1"/>
  <c r="I26" i="1"/>
  <c r="G36" i="1"/>
  <c r="G19" i="1"/>
  <c r="G66" i="44"/>
  <c r="H65" i="44"/>
  <c r="F76" i="44"/>
  <c r="G77" i="44"/>
  <c r="I30" i="44"/>
  <c r="E76" i="44"/>
  <c r="H77" i="44"/>
  <c r="E41" i="44"/>
  <c r="H54" i="44"/>
  <c r="I55" i="44"/>
  <c r="H41" i="44"/>
  <c r="H76" i="44"/>
  <c r="I31" i="44"/>
  <c r="G54" i="44"/>
  <c r="F77" i="44"/>
  <c r="I77" i="44"/>
  <c r="I66" i="44"/>
  <c r="I76" i="44"/>
  <c r="E54" i="44"/>
  <c r="I54" i="44"/>
  <c r="E55" i="44"/>
  <c r="H55" i="44"/>
  <c r="F54" i="44"/>
  <c r="F55" i="44"/>
  <c r="H66" i="44"/>
  <c r="H42" i="44"/>
  <c r="F66" i="44"/>
  <c r="G65" i="44"/>
  <c r="G55" i="44"/>
  <c r="G76" i="44"/>
  <c r="I65" i="44"/>
  <c r="F65" i="44"/>
  <c r="E77" i="44"/>
  <c r="G19" i="44"/>
  <c r="E66" i="44"/>
  <c r="E65" i="44"/>
  <c r="K31" i="13"/>
  <c r="K67" i="9"/>
  <c r="B44" i="1"/>
  <c r="E46" i="34"/>
  <c r="F40" i="34"/>
  <c r="F46" i="34" s="1"/>
  <c r="E53" i="34"/>
  <c r="E59" i="34" s="1"/>
  <c r="R16" i="6"/>
  <c r="K24" i="49"/>
  <c r="L16" i="6"/>
  <c r="L23" i="13"/>
  <c r="L22" i="13" s="1"/>
  <c r="AH29" i="13"/>
  <c r="AH16" i="6"/>
  <c r="AJ16" i="6"/>
  <c r="AJ23" i="13"/>
  <c r="AJ22" i="13" s="1"/>
  <c r="AX23" i="13"/>
  <c r="AX22" i="13" s="1"/>
  <c r="AX16" i="6"/>
  <c r="R39" i="34"/>
  <c r="P52" i="34"/>
  <c r="S56" i="34"/>
  <c r="T43" i="34"/>
  <c r="T30" i="34"/>
  <c r="M81" i="11"/>
  <c r="M89" i="11" s="1"/>
  <c r="M90" i="11" s="1"/>
  <c r="N87" i="11" s="1"/>
  <c r="M95" i="11"/>
  <c r="M82" i="11" s="1"/>
  <c r="AD41" i="44"/>
  <c r="AD42" i="44" s="1"/>
  <c r="AD15" i="13"/>
  <c r="K27" i="50"/>
  <c r="L75" i="44"/>
  <c r="L78" i="44" s="1"/>
  <c r="K80" i="44"/>
  <c r="AA41" i="44"/>
  <c r="AA30" i="1"/>
  <c r="AA15" i="13"/>
  <c r="AA12" i="13" s="1"/>
  <c r="AA27" i="13" s="1"/>
  <c r="AN30" i="44"/>
  <c r="AN30" i="1"/>
  <c r="AN14" i="13"/>
  <c r="AN12" i="13" s="1"/>
  <c r="AP89" i="44"/>
  <c r="AP18" i="13"/>
  <c r="AP17" i="13" s="1"/>
  <c r="AP29" i="5"/>
  <c r="AL30" i="44"/>
  <c r="AL30" i="1"/>
  <c r="AL14" i="13"/>
  <c r="AL12" i="13" s="1"/>
  <c r="AL27" i="13" s="1"/>
  <c r="BM19" i="44"/>
  <c r="BM30" i="1"/>
  <c r="BM13" i="13"/>
  <c r="BM12" i="13" s="1"/>
  <c r="AW19" i="44"/>
  <c r="AW13" i="13"/>
  <c r="AW12" i="13" s="1"/>
  <c r="AW30" i="1"/>
  <c r="BO19" i="44"/>
  <c r="BO30" i="1"/>
  <c r="BO13" i="13"/>
  <c r="BO12" i="13" s="1"/>
  <c r="AY89" i="44"/>
  <c r="AY29" i="5"/>
  <c r="AY18" i="13"/>
  <c r="AY17" i="13" s="1"/>
  <c r="AO106" i="44"/>
  <c r="AO90" i="44"/>
  <c r="BJ20" i="13"/>
  <c r="BJ17" i="13" s="1"/>
  <c r="BJ29" i="5"/>
  <c r="BQ42" i="48"/>
  <c r="BQ40" i="13"/>
  <c r="BB106" i="44"/>
  <c r="BB90" i="44"/>
  <c r="K52" i="48"/>
  <c r="BO106" i="44"/>
  <c r="BO90" i="44"/>
  <c r="BR106" i="44"/>
  <c r="BR90" i="44"/>
  <c r="I25" i="7"/>
  <c r="I14" i="7"/>
  <c r="H26" i="7"/>
  <c r="E28" i="7"/>
  <c r="E17" i="7"/>
  <c r="H28" i="7"/>
  <c r="H30" i="7"/>
  <c r="F28" i="7"/>
  <c r="H23" i="7"/>
  <c r="E25" i="7"/>
  <c r="G15" i="7"/>
  <c r="H17" i="7"/>
  <c r="I26" i="7"/>
  <c r="E15" i="7"/>
  <c r="G19" i="7"/>
  <c r="E16" i="7"/>
  <c r="F16" i="7"/>
  <c r="I13" i="7"/>
  <c r="G21" i="7"/>
  <c r="F25" i="7"/>
  <c r="F26" i="7"/>
  <c r="I19" i="7"/>
  <c r="H13" i="7"/>
  <c r="I22" i="7"/>
  <c r="F13" i="7"/>
  <c r="E26" i="7"/>
  <c r="G14" i="7"/>
  <c r="I30" i="7"/>
  <c r="F23" i="7"/>
  <c r="H27" i="7"/>
  <c r="F12" i="7"/>
  <c r="E29" i="7"/>
  <c r="G20" i="7"/>
  <c r="E24" i="7"/>
  <c r="F31" i="7"/>
  <c r="H29" i="7"/>
  <c r="G17" i="7"/>
  <c r="G12" i="7"/>
  <c r="F14" i="7"/>
  <c r="G24" i="7"/>
  <c r="F15" i="7"/>
  <c r="E20" i="7"/>
  <c r="F22" i="7"/>
  <c r="H12" i="7"/>
  <c r="H20" i="7"/>
  <c r="G13" i="7"/>
  <c r="G28" i="7"/>
  <c r="F21" i="7"/>
  <c r="F27" i="7"/>
  <c r="F18" i="7"/>
  <c r="I17" i="7"/>
  <c r="I16" i="7"/>
  <c r="E12" i="7"/>
  <c r="G26" i="7"/>
  <c r="E22" i="7"/>
  <c r="G18" i="7"/>
  <c r="E19" i="7"/>
  <c r="F29" i="7"/>
  <c r="G16" i="7"/>
  <c r="I28" i="7"/>
  <c r="G23" i="7"/>
  <c r="H16" i="7"/>
  <c r="I12" i="7"/>
  <c r="E31" i="7"/>
  <c r="H31" i="7"/>
  <c r="G29" i="7"/>
  <c r="F19" i="7"/>
  <c r="H24" i="7"/>
  <c r="E21" i="7"/>
  <c r="I24" i="7"/>
  <c r="H14" i="7"/>
  <c r="G25" i="7"/>
  <c r="I23" i="7"/>
  <c r="E30" i="7"/>
  <c r="G30" i="7"/>
  <c r="F24" i="7"/>
  <c r="F17" i="7"/>
  <c r="I21" i="7"/>
  <c r="H25" i="7"/>
  <c r="I29" i="7"/>
  <c r="E18" i="7"/>
  <c r="I27" i="7"/>
  <c r="I31" i="7"/>
  <c r="F20" i="7"/>
  <c r="I20" i="7"/>
  <c r="E13" i="7"/>
  <c r="E27" i="7"/>
  <c r="G27" i="7"/>
  <c r="I18" i="7"/>
  <c r="G31" i="7"/>
  <c r="E23" i="7"/>
  <c r="F30" i="7"/>
  <c r="H21" i="7"/>
  <c r="H18" i="7"/>
  <c r="G22" i="7"/>
  <c r="H15" i="7"/>
  <c r="I15" i="7"/>
  <c r="H19" i="7"/>
  <c r="H22" i="7"/>
  <c r="E14" i="7"/>
  <c r="F21" i="49"/>
  <c r="G26" i="49"/>
  <c r="J114" i="53" s="1"/>
  <c r="H22" i="49"/>
  <c r="F22" i="49"/>
  <c r="I22" i="49"/>
  <c r="F25" i="49"/>
  <c r="I113" i="53" s="1"/>
  <c r="H34" i="49"/>
  <c r="G25" i="49"/>
  <c r="J113" i="53" s="1"/>
  <c r="H21" i="49"/>
  <c r="H25" i="49"/>
  <c r="K113" i="53" s="1"/>
  <c r="G34" i="49"/>
  <c r="H26" i="49"/>
  <c r="K114" i="53" s="1"/>
  <c r="G21" i="49"/>
  <c r="E26" i="49"/>
  <c r="H114" i="53" s="1"/>
  <c r="E34" i="49"/>
  <c r="I21" i="49"/>
  <c r="G22" i="49"/>
  <c r="F26" i="49"/>
  <c r="I114" i="53" s="1"/>
  <c r="I25" i="49"/>
  <c r="L113" i="53" s="1"/>
  <c r="I34" i="49"/>
  <c r="F34" i="49"/>
  <c r="E25" i="49"/>
  <c r="H113" i="53" s="1"/>
  <c r="E22" i="49"/>
  <c r="I26" i="49"/>
  <c r="L114" i="53" s="1"/>
  <c r="K17" i="50"/>
  <c r="L73" i="9"/>
  <c r="Y5" i="20"/>
  <c r="Z5" i="34"/>
  <c r="K5" i="36"/>
  <c r="M5" i="34"/>
  <c r="X5" i="37"/>
  <c r="AM36" i="34"/>
  <c r="AL5" i="24"/>
  <c r="AL5" i="25"/>
  <c r="AK5" i="33"/>
  <c r="L5" i="25"/>
  <c r="B16" i="25" s="1"/>
  <c r="AL5" i="23"/>
  <c r="W5" i="32"/>
  <c r="AL5" i="21"/>
  <c r="Z49" i="34"/>
  <c r="AL5" i="26"/>
  <c r="AM5" i="34"/>
  <c r="K5" i="37"/>
  <c r="Y5" i="28"/>
  <c r="M49" i="34"/>
  <c r="AL5" i="20"/>
  <c r="AL5" i="28"/>
  <c r="J5" i="32"/>
  <c r="L5" i="21"/>
  <c r="B16" i="21" s="1"/>
  <c r="L5" i="20"/>
  <c r="B16" i="20" s="1"/>
  <c r="Z36" i="34"/>
  <c r="Y5" i="23"/>
  <c r="L5" i="27"/>
  <c r="B16" i="27" s="1"/>
  <c r="H15" i="29"/>
  <c r="M18" i="34"/>
  <c r="Y5" i="25"/>
  <c r="Y5" i="26"/>
  <c r="AL5" i="27"/>
  <c r="L5" i="23"/>
  <c r="B16" i="23" s="1"/>
  <c r="K5" i="33"/>
  <c r="AM18" i="34"/>
  <c r="Z18" i="34"/>
  <c r="X5" i="36"/>
  <c r="Y5" i="21"/>
  <c r="L5" i="24"/>
  <c r="B16" i="24" s="1"/>
  <c r="X5" i="33"/>
  <c r="L5" i="28"/>
  <c r="B16" i="28" s="1"/>
  <c r="L5" i="26"/>
  <c r="B16" i="26" s="1"/>
  <c r="AL5" i="22"/>
  <c r="M36" i="34"/>
  <c r="Y5" i="24"/>
  <c r="Y5" i="22"/>
  <c r="AM49" i="34"/>
  <c r="Y5" i="27"/>
  <c r="AK5" i="37"/>
  <c r="L5" i="22"/>
  <c r="B16" i="22" s="1"/>
  <c r="AJ5" i="32"/>
  <c r="AK5" i="36"/>
  <c r="Q16" i="6"/>
  <c r="N7" i="11"/>
  <c r="N7" i="9"/>
  <c r="N7" i="44"/>
  <c r="N7" i="7"/>
  <c r="N7" i="56"/>
  <c r="N7" i="42"/>
  <c r="N7" i="57"/>
  <c r="N7" i="49"/>
  <c r="N7" i="48"/>
  <c r="N7" i="51"/>
  <c r="N7" i="6"/>
  <c r="N7" i="5"/>
  <c r="N7" i="50"/>
  <c r="N7" i="1"/>
  <c r="Q8" i="2"/>
  <c r="N7" i="13"/>
  <c r="N7" i="47"/>
  <c r="N7" i="55"/>
  <c r="I8" i="7"/>
  <c r="I8" i="47"/>
  <c r="I8" i="50"/>
  <c r="I8" i="5"/>
  <c r="I8" i="6"/>
  <c r="I8" i="49"/>
  <c r="I8" i="1"/>
  <c r="I8" i="9"/>
  <c r="I8" i="48"/>
  <c r="L8" i="53"/>
  <c r="L8" i="59" s="1"/>
  <c r="I8" i="42"/>
  <c r="I8" i="57"/>
  <c r="I8" i="11"/>
  <c r="I8" i="13"/>
  <c r="I8" i="56"/>
  <c r="I8" i="55"/>
  <c r="I8" i="51"/>
  <c r="L8" i="54"/>
  <c r="U8" i="54" s="1"/>
  <c r="AD8" i="54" s="1"/>
  <c r="I8" i="44"/>
  <c r="BO23" i="13"/>
  <c r="BO22" i="13" s="1"/>
  <c r="BO16" i="6"/>
  <c r="R51" i="34"/>
  <c r="S38" i="34"/>
  <c r="BP16" i="6"/>
  <c r="BP23" i="13"/>
  <c r="BP22" i="13" s="1"/>
  <c r="L82" i="11"/>
  <c r="L96" i="11" s="1"/>
  <c r="L97" i="11"/>
  <c r="M94" i="11" s="1"/>
  <c r="AZ23" i="13"/>
  <c r="AZ22" i="13" s="1"/>
  <c r="AZ16" i="6"/>
  <c r="AV23" i="13"/>
  <c r="AV22" i="13" s="1"/>
  <c r="AV16" i="6"/>
  <c r="Q22" i="13"/>
  <c r="AN23" i="13"/>
  <c r="AN22" i="13" s="1"/>
  <c r="AN16" i="6"/>
  <c r="R25" i="34"/>
  <c r="P26" i="34"/>
  <c r="BG23" i="13"/>
  <c r="BG22" i="13" s="1"/>
  <c r="BG27" i="13" s="1"/>
  <c r="BG16" i="6"/>
  <c r="BI16" i="6"/>
  <c r="BI23" i="13"/>
  <c r="BI22" i="13" s="1"/>
  <c r="BI27" i="13" s="1"/>
  <c r="AY23" i="13"/>
  <c r="AY22" i="13" s="1"/>
  <c r="AY16" i="6"/>
  <c r="Z89" i="44"/>
  <c r="Z18" i="13"/>
  <c r="Z17" i="13" s="1"/>
  <c r="Z27" i="13" s="1"/>
  <c r="Z29" i="5"/>
  <c r="AL89" i="44"/>
  <c r="AL18" i="13"/>
  <c r="AL17" i="13" s="1"/>
  <c r="AL29" i="5"/>
  <c r="Q106" i="44"/>
  <c r="Q90" i="44"/>
  <c r="AR106" i="44"/>
  <c r="AR90" i="44"/>
  <c r="M42" i="48"/>
  <c r="M40" i="13"/>
  <c r="K89" i="44"/>
  <c r="K29" i="5"/>
  <c r="K18" i="13"/>
  <c r="AE89" i="44"/>
  <c r="AE18" i="13"/>
  <c r="AE17" i="13" s="1"/>
  <c r="AE27" i="13" s="1"/>
  <c r="AE29" i="5"/>
  <c r="AD89" i="44"/>
  <c r="AD19" i="13"/>
  <c r="AD17" i="13" s="1"/>
  <c r="AD29" i="5"/>
  <c r="AD30" i="44"/>
  <c r="AD14" i="13"/>
  <c r="AD12" i="13" s="1"/>
  <c r="AD27" i="13" s="1"/>
  <c r="AD30" i="1"/>
  <c r="W106" i="44"/>
  <c r="W90" i="44"/>
  <c r="AN106" i="44"/>
  <c r="AN90" i="44"/>
  <c r="BB40" i="13"/>
  <c r="BB42" i="48"/>
  <c r="AS89" i="44"/>
  <c r="AS18" i="13"/>
  <c r="AS17" i="13" s="1"/>
  <c r="AS29" i="5"/>
  <c r="BK41" i="44"/>
  <c r="I41" i="44" s="1"/>
  <c r="BK15" i="13"/>
  <c r="BK12" i="13" s="1"/>
  <c r="BK30" i="1"/>
  <c r="BA30" i="44"/>
  <c r="BA30" i="1"/>
  <c r="BA14" i="13"/>
  <c r="BA12" i="13" s="1"/>
  <c r="AW106" i="44"/>
  <c r="AW90" i="44"/>
  <c r="BO29" i="5"/>
  <c r="BO20" i="13"/>
  <c r="BO17" i="13" s="1"/>
  <c r="BI42" i="48"/>
  <c r="BI40" i="13"/>
  <c r="BF106" i="44"/>
  <c r="BF90" i="44"/>
  <c r="AV89" i="44"/>
  <c r="H89" i="44" s="1"/>
  <c r="BQ89" i="44"/>
  <c r="BQ18" i="13"/>
  <c r="BQ17" i="13" s="1"/>
  <c r="BQ27" i="13" s="1"/>
  <c r="BQ29" i="5"/>
  <c r="I18" i="48"/>
  <c r="G18" i="48"/>
  <c r="E18" i="48"/>
  <c r="H18" i="48"/>
  <c r="F18" i="48"/>
  <c r="G203" i="2"/>
  <c r="G219" i="2" s="1"/>
  <c r="G97" i="54"/>
  <c r="G104" i="54" s="1"/>
  <c r="G120" i="54" s="1"/>
  <c r="G99" i="53"/>
  <c r="A82" i="44"/>
  <c r="B97" i="44" s="1"/>
  <c r="B71" i="44"/>
  <c r="F14" i="51"/>
  <c r="G14" i="51"/>
  <c r="I14" i="51"/>
  <c r="E14" i="51"/>
  <c r="H14" i="51"/>
  <c r="I13" i="57"/>
  <c r="E30" i="57"/>
  <c r="G21" i="57"/>
  <c r="E18" i="57"/>
  <c r="I30" i="57"/>
  <c r="F18" i="57"/>
  <c r="F25" i="57"/>
  <c r="E28" i="57"/>
  <c r="I18" i="57"/>
  <c r="F19" i="57"/>
  <c r="F23" i="57"/>
  <c r="I12" i="57"/>
  <c r="G25" i="57"/>
  <c r="F22" i="57"/>
  <c r="E12" i="57"/>
  <c r="G16" i="57"/>
  <c r="F27" i="57"/>
  <c r="H29" i="57"/>
  <c r="I21" i="57"/>
  <c r="H19" i="57"/>
  <c r="F20" i="57"/>
  <c r="I31" i="57"/>
  <c r="G19" i="57"/>
  <c r="G24" i="57"/>
  <c r="I25" i="57"/>
  <c r="F12" i="57"/>
  <c r="G27" i="57"/>
  <c r="F17" i="57"/>
  <c r="E31" i="57"/>
  <c r="I22" i="57"/>
  <c r="E29" i="57"/>
  <c r="E20" i="57"/>
  <c r="E26" i="57"/>
  <c r="H30" i="57"/>
  <c r="I26" i="57"/>
  <c r="G15" i="57"/>
  <c r="G29" i="57"/>
  <c r="H20" i="57"/>
  <c r="H15" i="57"/>
  <c r="H25" i="57"/>
  <c r="I15" i="57"/>
  <c r="E17" i="57"/>
  <c r="G14" i="57"/>
  <c r="I20" i="57"/>
  <c r="H31" i="57"/>
  <c r="F14" i="57"/>
  <c r="F21" i="57"/>
  <c r="G26" i="57"/>
  <c r="E27" i="57"/>
  <c r="H16" i="57"/>
  <c r="G31" i="57"/>
  <c r="I16" i="57"/>
  <c r="H28" i="57"/>
  <c r="E24" i="57"/>
  <c r="H26" i="57"/>
  <c r="I27" i="57"/>
  <c r="H27" i="57"/>
  <c r="F15" i="57"/>
  <c r="E22" i="57"/>
  <c r="F28" i="57"/>
  <c r="G28" i="57"/>
  <c r="H21" i="57"/>
  <c r="F29" i="57"/>
  <c r="F16" i="57"/>
  <c r="E25" i="57"/>
  <c r="E21" i="57"/>
  <c r="G18" i="57"/>
  <c r="I28" i="57"/>
  <c r="E19" i="57"/>
  <c r="E15" i="57"/>
  <c r="H22" i="57"/>
  <c r="F13" i="57"/>
  <c r="H24" i="57"/>
  <c r="G30" i="57"/>
  <c r="H13" i="57"/>
  <c r="H12" i="57"/>
  <c r="F30" i="57"/>
  <c r="H17" i="57"/>
  <c r="E16" i="57"/>
  <c r="I24" i="57"/>
  <c r="G17" i="57"/>
  <c r="G13" i="57"/>
  <c r="F24" i="57"/>
  <c r="G23" i="57"/>
  <c r="G22" i="57"/>
  <c r="E14" i="57"/>
  <c r="I17" i="57"/>
  <c r="G20" i="57"/>
  <c r="I29" i="57"/>
  <c r="G12" i="57"/>
  <c r="E13" i="57"/>
  <c r="F26" i="57"/>
  <c r="F31" i="57"/>
  <c r="I19" i="57"/>
  <c r="H23" i="57"/>
  <c r="I23" i="57"/>
  <c r="E23" i="57"/>
  <c r="H14" i="57"/>
  <c r="H18" i="57"/>
  <c r="I14" i="57"/>
  <c r="L22" i="50"/>
  <c r="L45" i="44"/>
  <c r="M40" i="44"/>
  <c r="M43" i="44" s="1"/>
  <c r="AO116" i="6"/>
  <c r="AO14" i="6"/>
  <c r="AO25" i="13" s="1"/>
  <c r="AO13" i="6"/>
  <c r="AO24" i="13" s="1"/>
  <c r="G24" i="13" s="1"/>
  <c r="AO15" i="6"/>
  <c r="AO29" i="13" s="1"/>
  <c r="AO12" i="6"/>
  <c r="J55" i="34"/>
  <c r="K42" i="34"/>
  <c r="T23" i="13"/>
  <c r="T22" i="13" s="1"/>
  <c r="T16" i="6"/>
  <c r="BH25" i="13"/>
  <c r="BH22" i="13" s="1"/>
  <c r="BH16" i="6"/>
  <c r="AL16" i="6"/>
  <c r="AL23" i="13"/>
  <c r="AL22" i="13" s="1"/>
  <c r="O35" i="9"/>
  <c r="O37" i="9"/>
  <c r="BB23" i="13"/>
  <c r="BB22" i="13" s="1"/>
  <c r="BB16" i="6"/>
  <c r="K24" i="11"/>
  <c r="K34" i="50" s="1"/>
  <c r="K30" i="49"/>
  <c r="L89" i="44"/>
  <c r="L18" i="13"/>
  <c r="L17" i="13" s="1"/>
  <c r="L27" i="13" s="1"/>
  <c r="L29" i="5"/>
  <c r="AK106" i="44"/>
  <c r="AK90" i="44"/>
  <c r="E12" i="59"/>
  <c r="E51" i="53"/>
  <c r="N50" i="54" s="1"/>
  <c r="W50" i="54" s="1"/>
  <c r="N29" i="54"/>
  <c r="W29" i="54" s="1"/>
  <c r="E32" i="53"/>
  <c r="F22" i="59"/>
  <c r="F52" i="53"/>
  <c r="O51" i="54" s="1"/>
  <c r="M29" i="5"/>
  <c r="M19" i="13"/>
  <c r="M17" i="13" s="1"/>
  <c r="AF19" i="44"/>
  <c r="AF13" i="13"/>
  <c r="AF30" i="1"/>
  <c r="F30" i="1" s="1"/>
  <c r="P89" i="44"/>
  <c r="P18" i="13"/>
  <c r="P17" i="13" s="1"/>
  <c r="P29" i="5"/>
  <c r="X89" i="44"/>
  <c r="AJ20" i="13"/>
  <c r="AJ17" i="13" s="1"/>
  <c r="AJ29" i="5"/>
  <c r="Y19" i="13"/>
  <c r="Y17" i="13" s="1"/>
  <c r="Y27" i="13" s="1"/>
  <c r="Y29" i="5"/>
  <c r="F29" i="5" s="1"/>
  <c r="AM89" i="44"/>
  <c r="AS42" i="48"/>
  <c r="AS40" i="13"/>
  <c r="AX19" i="44"/>
  <c r="AX30" i="1"/>
  <c r="AX13" i="13"/>
  <c r="K19" i="44"/>
  <c r="K30" i="1"/>
  <c r="E30" i="1" s="1"/>
  <c r="K13" i="13"/>
  <c r="E16" i="1"/>
  <c r="BE19" i="44"/>
  <c r="BE13" i="13"/>
  <c r="BE12" i="13" s="1"/>
  <c r="BE30" i="1"/>
  <c r="AX89" i="44"/>
  <c r="AX29" i="5"/>
  <c r="AX18" i="13"/>
  <c r="AX17" i="13" s="1"/>
  <c r="BD40" i="13"/>
  <c r="BD42" i="48"/>
  <c r="Q40" i="13"/>
  <c r="Q42" i="48"/>
  <c r="BG106" i="44"/>
  <c r="BG90" i="44"/>
  <c r="AZ106" i="44"/>
  <c r="AZ90" i="44"/>
  <c r="AI40" i="13"/>
  <c r="AI42" i="48"/>
  <c r="I30" i="13"/>
  <c r="F13" i="13"/>
  <c r="F35" i="13"/>
  <c r="I35" i="53" s="1"/>
  <c r="G43" i="13"/>
  <c r="G30" i="13"/>
  <c r="E35" i="13"/>
  <c r="H35" i="53" s="1"/>
  <c r="F43" i="13"/>
  <c r="I14" i="13"/>
  <c r="I35" i="13"/>
  <c r="L35" i="53" s="1"/>
  <c r="G20" i="13"/>
  <c r="H43" i="13"/>
  <c r="I43" i="13"/>
  <c r="E15" i="13"/>
  <c r="I15" i="13"/>
  <c r="F20" i="13"/>
  <c r="E30" i="13"/>
  <c r="G13" i="13"/>
  <c r="H30" i="13"/>
  <c r="E43" i="13"/>
  <c r="I19" i="13"/>
  <c r="H35" i="13"/>
  <c r="K35" i="53" s="1"/>
  <c r="F15" i="13"/>
  <c r="F30" i="13"/>
  <c r="H15" i="13"/>
  <c r="F29" i="13"/>
  <c r="I24" i="13"/>
  <c r="I29" i="13"/>
  <c r="G35" i="13"/>
  <c r="J35" i="53" s="1"/>
  <c r="G25" i="13"/>
  <c r="G29" i="13"/>
  <c r="B29" i="5"/>
  <c r="L22" i="36"/>
  <c r="F33" i="34"/>
  <c r="N23" i="13"/>
  <c r="N22" i="13" s="1"/>
  <c r="N27" i="13" s="1"/>
  <c r="N16" i="6"/>
  <c r="O123" i="54"/>
  <c r="F129" i="53"/>
  <c r="F125" i="54" s="1"/>
  <c r="M34" i="44"/>
  <c r="M21" i="50"/>
  <c r="N29" i="44"/>
  <c r="N32" i="44" s="1"/>
  <c r="AB25" i="13"/>
  <c r="AB22" i="13" s="1"/>
  <c r="AB16" i="6"/>
  <c r="W24" i="13"/>
  <c r="W22" i="13" s="1"/>
  <c r="F22" i="13" s="1"/>
  <c r="W16" i="6"/>
  <c r="AF16" i="6"/>
  <c r="AF23" i="13"/>
  <c r="AF22" i="13" s="1"/>
  <c r="BD23" i="13"/>
  <c r="BD22" i="13" s="1"/>
  <c r="BD16" i="6"/>
  <c r="M118" i="11"/>
  <c r="M132" i="11" s="1"/>
  <c r="M234" i="11"/>
  <c r="N231" i="11" s="1"/>
  <c r="M225" i="11"/>
  <c r="M233" i="11" s="1"/>
  <c r="M239" i="11"/>
  <c r="BM42" i="48"/>
  <c r="BM40" i="13"/>
  <c r="N89" i="44"/>
  <c r="N18" i="13"/>
  <c r="N17" i="13" s="1"/>
  <c r="N29" i="5"/>
  <c r="AK19" i="44"/>
  <c r="AK13" i="13"/>
  <c r="AK30" i="1"/>
  <c r="G30" i="1" s="1"/>
  <c r="R89" i="44"/>
  <c r="R18" i="13"/>
  <c r="R17" i="13" s="1"/>
  <c r="R29" i="5"/>
  <c r="AF30" i="44"/>
  <c r="AF31" i="44" s="1"/>
  <c r="AF14" i="13"/>
  <c r="AC106" i="44"/>
  <c r="AC90" i="44"/>
  <c r="AK19" i="13"/>
  <c r="AK17" i="13" s="1"/>
  <c r="AK29" i="5"/>
  <c r="AP41" i="44"/>
  <c r="G41" i="44" s="1"/>
  <c r="AP15" i="13"/>
  <c r="AP12" i="13" s="1"/>
  <c r="AP30" i="1"/>
  <c r="BE106" i="44"/>
  <c r="BE90" i="44"/>
  <c r="AK40" i="13"/>
  <c r="AK42" i="48"/>
  <c r="BB19" i="44"/>
  <c r="BB30" i="1"/>
  <c r="BB13" i="13"/>
  <c r="BB12" i="13" s="1"/>
  <c r="AJ89" i="44"/>
  <c r="BB20" i="13"/>
  <c r="BB17" i="13" s="1"/>
  <c r="BB29" i="5"/>
  <c r="AZ42" i="48"/>
  <c r="AZ40" i="13"/>
  <c r="BA89" i="44"/>
  <c r="BA29" i="5"/>
  <c r="BA18" i="13"/>
  <c r="BA17" i="13" s="1"/>
  <c r="U42" i="48"/>
  <c r="U40" i="13"/>
  <c r="Z42" i="48"/>
  <c r="Z40" i="13"/>
  <c r="F29" i="54"/>
  <c r="X14" i="54"/>
  <c r="G49" i="54"/>
  <c r="Y49" i="54" s="1"/>
  <c r="M51" i="6"/>
  <c r="M101" i="6" s="1"/>
  <c r="M59" i="6"/>
  <c r="M109" i="6" s="1"/>
  <c r="E109" i="6" s="1"/>
  <c r="M46" i="6"/>
  <c r="M96" i="6" s="1"/>
  <c r="M64" i="6"/>
  <c r="M114" i="6" s="1"/>
  <c r="M60" i="6"/>
  <c r="M110" i="6" s="1"/>
  <c r="E110" i="6" s="1"/>
  <c r="M47" i="6"/>
  <c r="M97" i="6" s="1"/>
  <c r="M55" i="6"/>
  <c r="M105" i="6" s="1"/>
  <c r="E105" i="6" s="1"/>
  <c r="M56" i="6"/>
  <c r="M106" i="6" s="1"/>
  <c r="M54" i="6"/>
  <c r="M104" i="6" s="1"/>
  <c r="M61" i="6"/>
  <c r="M111" i="6" s="1"/>
  <c r="E111" i="6" s="1"/>
  <c r="M58" i="6"/>
  <c r="M108" i="6" s="1"/>
  <c r="M48" i="6"/>
  <c r="M98" i="6" s="1"/>
  <c r="M53" i="6"/>
  <c r="M103" i="6" s="1"/>
  <c r="M50" i="6"/>
  <c r="M100" i="6" s="1"/>
  <c r="M63" i="6"/>
  <c r="M113" i="6" s="1"/>
  <c r="E113" i="6" s="1"/>
  <c r="M57" i="6"/>
  <c r="M107" i="6" s="1"/>
  <c r="M65" i="6"/>
  <c r="M115" i="6" s="1"/>
  <c r="M52" i="6"/>
  <c r="M102" i="6" s="1"/>
  <c r="E102" i="6" s="1"/>
  <c r="M62" i="6"/>
  <c r="M112" i="6" s="1"/>
  <c r="M49" i="6"/>
  <c r="M99" i="6" s="1"/>
  <c r="F97" i="6"/>
  <c r="G109" i="6"/>
  <c r="F106" i="6"/>
  <c r="H97" i="6"/>
  <c r="G96" i="6"/>
  <c r="F105" i="6"/>
  <c r="G102" i="6"/>
  <c r="F110" i="6"/>
  <c r="F103" i="6"/>
  <c r="G101" i="6"/>
  <c r="F104" i="6"/>
  <c r="G100" i="6"/>
  <c r="F111" i="6"/>
  <c r="H109" i="6"/>
  <c r="F101" i="6"/>
  <c r="F99" i="6"/>
  <c r="G108" i="6"/>
  <c r="F113" i="6"/>
  <c r="G97" i="6"/>
  <c r="G106" i="6"/>
  <c r="G107" i="6"/>
  <c r="G98" i="6"/>
  <c r="F109" i="6"/>
  <c r="F100" i="6"/>
  <c r="F108" i="6"/>
  <c r="I104" i="6"/>
  <c r="G115" i="6"/>
  <c r="F114" i="6"/>
  <c r="F102" i="6"/>
  <c r="I97" i="6"/>
  <c r="I100" i="6"/>
  <c r="I103" i="6"/>
  <c r="F96" i="6"/>
  <c r="I106" i="6"/>
  <c r="G112" i="6"/>
  <c r="G110" i="6"/>
  <c r="G113" i="6"/>
  <c r="I107" i="6"/>
  <c r="I96" i="6"/>
  <c r="G104" i="6"/>
  <c r="G103" i="6"/>
  <c r="G105" i="6"/>
  <c r="F112" i="6"/>
  <c r="I109" i="6"/>
  <c r="I101" i="6"/>
  <c r="I99" i="6"/>
  <c r="F115" i="6"/>
  <c r="I111" i="6"/>
  <c r="I102" i="6"/>
  <c r="F98" i="6"/>
  <c r="G111" i="6"/>
  <c r="I108" i="6"/>
  <c r="I98" i="6"/>
  <c r="G13" i="6"/>
  <c r="G15" i="6"/>
  <c r="G12" i="6"/>
  <c r="F107" i="6"/>
  <c r="I110" i="6"/>
  <c r="I113" i="6"/>
  <c r="I112" i="6"/>
  <c r="I114" i="6"/>
  <c r="G99" i="6"/>
  <c r="G114" i="6"/>
  <c r="I115" i="6"/>
  <c r="I105" i="6"/>
  <c r="I12" i="6"/>
  <c r="F14" i="6"/>
  <c r="F12" i="6"/>
  <c r="G14" i="6"/>
  <c r="I15" i="6"/>
  <c r="I13" i="6"/>
  <c r="F13" i="6"/>
  <c r="I14" i="6"/>
  <c r="F15" i="6"/>
  <c r="Y24" i="54"/>
  <c r="B35" i="5"/>
  <c r="B40" i="5" s="1"/>
  <c r="B45" i="5" s="1"/>
  <c r="G14" i="5"/>
  <c r="E14" i="5"/>
  <c r="H24" i="5"/>
  <c r="H14" i="5"/>
  <c r="H13" i="5"/>
  <c r="F14" i="5"/>
  <c r="E26" i="5"/>
  <c r="F15" i="5"/>
  <c r="F20" i="5"/>
  <c r="H21" i="5"/>
  <c r="H26" i="5"/>
  <c r="E25" i="5"/>
  <c r="F19" i="5"/>
  <c r="E24" i="5"/>
  <c r="E27" i="5" s="1"/>
  <c r="F26" i="5"/>
  <c r="I29" i="5"/>
  <c r="G20" i="5"/>
  <c r="I14" i="5"/>
  <c r="E13" i="5"/>
  <c r="I19" i="5"/>
  <c r="I25" i="5"/>
  <c r="I20" i="5"/>
  <c r="G21" i="5"/>
  <c r="F21" i="5"/>
  <c r="G24" i="5"/>
  <c r="I13" i="5"/>
  <c r="E21" i="5"/>
  <c r="H20" i="5"/>
  <c r="F25" i="5"/>
  <c r="G26" i="5"/>
  <c r="I15" i="5"/>
  <c r="G19" i="5"/>
  <c r="G22" i="5" s="1"/>
  <c r="F13" i="5"/>
  <c r="I21" i="5"/>
  <c r="I26" i="5"/>
  <c r="G13" i="5"/>
  <c r="G16" i="5" s="1"/>
  <c r="E15" i="5"/>
  <c r="H25" i="5"/>
  <c r="F24" i="5"/>
  <c r="F27" i="5" s="1"/>
  <c r="G25" i="5"/>
  <c r="H19" i="5"/>
  <c r="H22" i="5" s="1"/>
  <c r="G15" i="5"/>
  <c r="E19" i="5"/>
  <c r="E22" i="5" s="1"/>
  <c r="H15" i="5"/>
  <c r="I24" i="5"/>
  <c r="I27" i="5" s="1"/>
  <c r="E20" i="5"/>
  <c r="F20" i="55"/>
  <c r="F21" i="55"/>
  <c r="E17" i="55"/>
  <c r="I20" i="55"/>
  <c r="G21" i="55"/>
  <c r="E21" i="55"/>
  <c r="I15" i="55"/>
  <c r="H15" i="55"/>
  <c r="G16" i="55"/>
  <c r="F19" i="55"/>
  <c r="H16" i="55"/>
  <c r="F16" i="55"/>
  <c r="E14" i="55"/>
  <c r="F14" i="55"/>
  <c r="G19" i="55"/>
  <c r="H19" i="55"/>
  <c r="H12" i="55"/>
  <c r="H21" i="55"/>
  <c r="E18" i="55"/>
  <c r="G15" i="55"/>
  <c r="H13" i="55"/>
  <c r="E16" i="55"/>
  <c r="F13" i="55"/>
  <c r="G20" i="55"/>
  <c r="G14" i="55"/>
  <c r="E12" i="55"/>
  <c r="I18" i="55"/>
  <c r="E20" i="55"/>
  <c r="E13" i="55"/>
  <c r="G17" i="55"/>
  <c r="I16" i="55"/>
  <c r="E15" i="55"/>
  <c r="I19" i="55"/>
  <c r="I12" i="55"/>
  <c r="I14" i="55"/>
  <c r="G13" i="55"/>
  <c r="E19" i="55"/>
  <c r="I21" i="55"/>
  <c r="H18" i="55"/>
  <c r="I13" i="55"/>
  <c r="I17" i="55"/>
  <c r="H17" i="55"/>
  <c r="G18" i="55"/>
  <c r="G12" i="55"/>
  <c r="H14" i="55"/>
  <c r="F17" i="55"/>
  <c r="F12" i="55"/>
  <c r="F22" i="55" s="1"/>
  <c r="F15" i="55"/>
  <c r="H20" i="55"/>
  <c r="F18" i="55"/>
  <c r="AJ27" i="13"/>
  <c r="K22" i="36"/>
  <c r="G37" i="34"/>
  <c r="F50" i="34"/>
  <c r="BE48" i="6"/>
  <c r="BE98" i="6" s="1"/>
  <c r="BE55" i="6"/>
  <c r="BE105" i="6" s="1"/>
  <c r="BE52" i="6"/>
  <c r="BE102" i="6" s="1"/>
  <c r="BE53" i="6"/>
  <c r="BE103" i="6" s="1"/>
  <c r="BE54" i="6"/>
  <c r="BE104" i="6" s="1"/>
  <c r="BE56" i="6"/>
  <c r="BE106" i="6" s="1"/>
  <c r="BE58" i="6"/>
  <c r="BE108" i="6" s="1"/>
  <c r="BE49" i="6"/>
  <c r="BE99" i="6" s="1"/>
  <c r="BE61" i="6"/>
  <c r="BE111" i="6" s="1"/>
  <c r="BE46" i="6"/>
  <c r="BE96" i="6" s="1"/>
  <c r="BE57" i="6"/>
  <c r="BE107" i="6" s="1"/>
  <c r="BE59" i="6"/>
  <c r="BE109" i="6" s="1"/>
  <c r="BE50" i="6"/>
  <c r="BE100" i="6" s="1"/>
  <c r="BE51" i="6"/>
  <c r="BE101" i="6" s="1"/>
  <c r="BE47" i="6"/>
  <c r="BE97" i="6" s="1"/>
  <c r="BE60" i="6"/>
  <c r="BE110" i="6" s="1"/>
  <c r="BE63" i="6"/>
  <c r="BE113" i="6" s="1"/>
  <c r="BE64" i="6"/>
  <c r="BE114" i="6" s="1"/>
  <c r="BE62" i="6"/>
  <c r="BE112" i="6" s="1"/>
  <c r="BE65" i="6"/>
  <c r="BE115" i="6" s="1"/>
  <c r="M160" i="56"/>
  <c r="M167" i="56" s="1"/>
  <c r="M134" i="56"/>
  <c r="M141" i="56" s="1"/>
  <c r="M57" i="56"/>
  <c r="M64" i="56" s="1"/>
  <c r="M83" i="56"/>
  <c r="M90" i="56" s="1"/>
  <c r="M109" i="56"/>
  <c r="M116" i="56" s="1"/>
  <c r="M33" i="56"/>
  <c r="M39" i="56" s="1"/>
  <c r="K25" i="13"/>
  <c r="BA49" i="6"/>
  <c r="BA99" i="6" s="1"/>
  <c r="H99" i="6" s="1"/>
  <c r="BA54" i="6"/>
  <c r="BA104" i="6" s="1"/>
  <c r="H104" i="6" s="1"/>
  <c r="BA52" i="6"/>
  <c r="BA102" i="6" s="1"/>
  <c r="H102" i="6" s="1"/>
  <c r="BA51" i="6"/>
  <c r="BA101" i="6" s="1"/>
  <c r="H101" i="6" s="1"/>
  <c r="BA56" i="6"/>
  <c r="BA106" i="6" s="1"/>
  <c r="H106" i="6" s="1"/>
  <c r="BA61" i="6"/>
  <c r="BA111" i="6" s="1"/>
  <c r="H111" i="6" s="1"/>
  <c r="BA55" i="6"/>
  <c r="BA105" i="6" s="1"/>
  <c r="H105" i="6" s="1"/>
  <c r="BA48" i="6"/>
  <c r="BA98" i="6" s="1"/>
  <c r="H98" i="6" s="1"/>
  <c r="BA57" i="6"/>
  <c r="BA107" i="6" s="1"/>
  <c r="H107" i="6" s="1"/>
  <c r="BA50" i="6"/>
  <c r="BA100" i="6" s="1"/>
  <c r="H100" i="6" s="1"/>
  <c r="BA47" i="6"/>
  <c r="BA97" i="6" s="1"/>
  <c r="BA58" i="6"/>
  <c r="BA108" i="6" s="1"/>
  <c r="H108" i="6" s="1"/>
  <c r="BA59" i="6"/>
  <c r="BA109" i="6" s="1"/>
  <c r="BA53" i="6"/>
  <c r="BA103" i="6" s="1"/>
  <c r="H103" i="6" s="1"/>
  <c r="BA46" i="6"/>
  <c r="BA96" i="6" s="1"/>
  <c r="H96" i="6" s="1"/>
  <c r="BA60" i="6"/>
  <c r="BA110" i="6" s="1"/>
  <c r="H110" i="6" s="1"/>
  <c r="BA63" i="6"/>
  <c r="BA113" i="6" s="1"/>
  <c r="H113" i="6" s="1"/>
  <c r="BA64" i="6"/>
  <c r="BA114" i="6" s="1"/>
  <c r="H114" i="6" s="1"/>
  <c r="BA65" i="6"/>
  <c r="BA115" i="6" s="1"/>
  <c r="H115" i="6" s="1"/>
  <c r="BA62" i="6"/>
  <c r="BA112" i="6" s="1"/>
  <c r="H112" i="6" s="1"/>
  <c r="BF56" i="6"/>
  <c r="BF106" i="6" s="1"/>
  <c r="BF49" i="6"/>
  <c r="BF99" i="6" s="1"/>
  <c r="BF53" i="6"/>
  <c r="BF103" i="6" s="1"/>
  <c r="BF48" i="6"/>
  <c r="BF98" i="6" s="1"/>
  <c r="BF59" i="6"/>
  <c r="BF109" i="6" s="1"/>
  <c r="BF55" i="6"/>
  <c r="BF105" i="6" s="1"/>
  <c r="BF46" i="6"/>
  <c r="BF96" i="6" s="1"/>
  <c r="BF58" i="6"/>
  <c r="BF108" i="6" s="1"/>
  <c r="BF54" i="6"/>
  <c r="BF104" i="6" s="1"/>
  <c r="BF51" i="6"/>
  <c r="BF101" i="6" s="1"/>
  <c r="BF47" i="6"/>
  <c r="BF97" i="6" s="1"/>
  <c r="BF61" i="6"/>
  <c r="BF111" i="6" s="1"/>
  <c r="BF50" i="6"/>
  <c r="BF100" i="6" s="1"/>
  <c r="BF52" i="6"/>
  <c r="BF102" i="6" s="1"/>
  <c r="BF57" i="6"/>
  <c r="BF107" i="6" s="1"/>
  <c r="BF63" i="6"/>
  <c r="BF113" i="6" s="1"/>
  <c r="BF60" i="6"/>
  <c r="BF110" i="6" s="1"/>
  <c r="BF64" i="6"/>
  <c r="BF114" i="6" s="1"/>
  <c r="BF65" i="6"/>
  <c r="BF115" i="6" s="1"/>
  <c r="BF62" i="6"/>
  <c r="BF112" i="6" s="1"/>
  <c r="U16" i="6"/>
  <c r="U23" i="13"/>
  <c r="U22" i="13" s="1"/>
  <c r="K27" i="49"/>
  <c r="K17" i="11"/>
  <c r="K35" i="50" s="1"/>
  <c r="S23" i="13"/>
  <c r="S22" i="13" s="1"/>
  <c r="S16" i="6"/>
  <c r="BK16" i="6"/>
  <c r="BK25" i="13"/>
  <c r="BK22" i="13" s="1"/>
  <c r="AU93" i="54"/>
  <c r="AV90" i="54"/>
  <c r="BM23" i="13"/>
  <c r="BM22" i="13" s="1"/>
  <c r="BM16" i="6"/>
  <c r="AR23" i="13"/>
  <c r="AR22" i="13" s="1"/>
  <c r="AR27" i="13" s="1"/>
  <c r="AR16" i="6"/>
  <c r="BR23" i="13"/>
  <c r="BR22" i="13" s="1"/>
  <c r="BR16" i="6"/>
  <c r="M126" i="11"/>
  <c r="N123" i="11" s="1"/>
  <c r="AW16" i="6"/>
  <c r="AW23" i="13"/>
  <c r="AW22" i="13" s="1"/>
  <c r="P16" i="6"/>
  <c r="L21" i="11"/>
  <c r="AK30" i="44"/>
  <c r="AK31" i="44" s="1"/>
  <c r="AK14" i="13"/>
  <c r="G14" i="13" s="1"/>
  <c r="O89" i="44"/>
  <c r="O29" i="5"/>
  <c r="O18" i="13"/>
  <c r="O17" i="13" s="1"/>
  <c r="O27" i="13" s="1"/>
  <c r="U89" i="44"/>
  <c r="U18" i="13"/>
  <c r="U17" i="13" s="1"/>
  <c r="U27" i="13" s="1"/>
  <c r="U29" i="5"/>
  <c r="BK42" i="48"/>
  <c r="BK40" i="13"/>
  <c r="BJ19" i="44"/>
  <c r="I19" i="44" s="1"/>
  <c r="BJ30" i="1"/>
  <c r="I30" i="1" s="1"/>
  <c r="BJ13" i="13"/>
  <c r="BJ12" i="13" s="1"/>
  <c r="I12" i="13" s="1"/>
  <c r="O79" i="54"/>
  <c r="X79" i="54" s="1"/>
  <c r="F26" i="59"/>
  <c r="S89" i="44"/>
  <c r="S18" i="13"/>
  <c r="S17" i="13" s="1"/>
  <c r="S29" i="5"/>
  <c r="Q19" i="13"/>
  <c r="Q17" i="13" s="1"/>
  <c r="Q27" i="13" s="1"/>
  <c r="Q29" i="5"/>
  <c r="V89" i="44"/>
  <c r="V18" i="13"/>
  <c r="V17" i="13" s="1"/>
  <c r="V29" i="5"/>
  <c r="AF89" i="44"/>
  <c r="AF19" i="13"/>
  <c r="AF17" i="13" s="1"/>
  <c r="AF29" i="5"/>
  <c r="AQ30" i="44"/>
  <c r="AQ30" i="1"/>
  <c r="AQ14" i="13"/>
  <c r="AQ12" i="13" s="1"/>
  <c r="AQ89" i="44"/>
  <c r="AQ18" i="13"/>
  <c r="AQ17" i="13" s="1"/>
  <c r="AQ29" i="5"/>
  <c r="AB42" i="48"/>
  <c r="AB40" i="13"/>
  <c r="BM89" i="44"/>
  <c r="BM18" i="13"/>
  <c r="BM17" i="13" s="1"/>
  <c r="I17" i="13" s="1"/>
  <c r="BM29" i="5"/>
  <c r="BE19" i="13"/>
  <c r="BE17" i="13" s="1"/>
  <c r="BE29" i="5"/>
  <c r="AZ20" i="13"/>
  <c r="AZ17" i="13" s="1"/>
  <c r="AZ27" i="13" s="1"/>
  <c r="AZ29" i="5"/>
  <c r="H29" i="5" s="1"/>
  <c r="AV40" i="13"/>
  <c r="AV42" i="48"/>
  <c r="AD40" i="13"/>
  <c r="AD42" i="48"/>
  <c r="BL106" i="44"/>
  <c r="BL90" i="44"/>
  <c r="BD106" i="44"/>
  <c r="BD90" i="44"/>
  <c r="A95" i="44"/>
  <c r="G31" i="34"/>
  <c r="G33" i="34" s="1"/>
  <c r="F57" i="34"/>
  <c r="G44" i="34"/>
  <c r="V57" i="6"/>
  <c r="V107" i="6" s="1"/>
  <c r="E107" i="6" s="1"/>
  <c r="V48" i="6"/>
  <c r="V98" i="6" s="1"/>
  <c r="E98" i="6" s="1"/>
  <c r="V51" i="6"/>
  <c r="V101" i="6" s="1"/>
  <c r="E101" i="6" s="1"/>
  <c r="V49" i="6"/>
  <c r="V99" i="6" s="1"/>
  <c r="E99" i="6" s="1"/>
  <c r="V52" i="6"/>
  <c r="V102" i="6" s="1"/>
  <c r="V65" i="6"/>
  <c r="V115" i="6" s="1"/>
  <c r="E115" i="6" s="1"/>
  <c r="V56" i="6"/>
  <c r="V106" i="6" s="1"/>
  <c r="E106" i="6" s="1"/>
  <c r="V64" i="6"/>
  <c r="V114" i="6" s="1"/>
  <c r="E114" i="6" s="1"/>
  <c r="V50" i="6"/>
  <c r="V100" i="6" s="1"/>
  <c r="E100" i="6" s="1"/>
  <c r="V63" i="6"/>
  <c r="V113" i="6" s="1"/>
  <c r="V55" i="6"/>
  <c r="V105" i="6" s="1"/>
  <c r="V47" i="6"/>
  <c r="V97" i="6" s="1"/>
  <c r="E97" i="6" s="1"/>
  <c r="V54" i="6"/>
  <c r="V104" i="6" s="1"/>
  <c r="E104" i="6" s="1"/>
  <c r="V58" i="6"/>
  <c r="V108" i="6" s="1"/>
  <c r="E108" i="6" s="1"/>
  <c r="V46" i="6"/>
  <c r="V96" i="6" s="1"/>
  <c r="V59" i="6"/>
  <c r="V109" i="6" s="1"/>
  <c r="V61" i="6"/>
  <c r="V111" i="6" s="1"/>
  <c r="V53" i="6"/>
  <c r="V103" i="6" s="1"/>
  <c r="E103" i="6" s="1"/>
  <c r="V60" i="6"/>
  <c r="V110" i="6" s="1"/>
  <c r="V62" i="6"/>
  <c r="V112" i="6" s="1"/>
  <c r="E112" i="6" s="1"/>
  <c r="K25" i="50"/>
  <c r="K58" i="44"/>
  <c r="L53" i="44"/>
  <c r="L56" i="44" s="1"/>
  <c r="H19" i="34"/>
  <c r="O23" i="13"/>
  <c r="O22" i="13" s="1"/>
  <c r="O16" i="6"/>
  <c r="K29" i="13"/>
  <c r="M55" i="9"/>
  <c r="M57" i="9" s="1"/>
  <c r="AK16" i="6"/>
  <c r="AK23" i="13"/>
  <c r="AK22" i="13" s="1"/>
  <c r="AP24" i="13"/>
  <c r="AP22" i="13" s="1"/>
  <c r="AP16" i="6"/>
  <c r="AC32" i="34"/>
  <c r="AB58" i="34"/>
  <c r="AC45" i="34"/>
  <c r="BJ16" i="6"/>
  <c r="BJ23" i="13"/>
  <c r="BJ22" i="13" s="1"/>
  <c r="BN16" i="6"/>
  <c r="BL23" i="13"/>
  <c r="BL22" i="13" s="1"/>
  <c r="BL27" i="13" s="1"/>
  <c r="BL16" i="6"/>
  <c r="K28" i="49"/>
  <c r="M133" i="11"/>
  <c r="N130" i="11" s="1"/>
  <c r="P22" i="13"/>
  <c r="AB19" i="13"/>
  <c r="AB17" i="13" s="1"/>
  <c r="AB27" i="13" s="1"/>
  <c r="AB29" i="5"/>
  <c r="F57" i="42"/>
  <c r="I35" i="42"/>
  <c r="I47" i="42"/>
  <c r="F55" i="42"/>
  <c r="I37" i="42"/>
  <c r="G57" i="42"/>
  <c r="G27" i="42"/>
  <c r="E27" i="42"/>
  <c r="H13" i="42"/>
  <c r="I45" i="42"/>
  <c r="I56" i="42"/>
  <c r="F15" i="42"/>
  <c r="I25" i="42"/>
  <c r="F35" i="42"/>
  <c r="G46" i="42"/>
  <c r="E16" i="42"/>
  <c r="E46" i="42"/>
  <c r="F37" i="42"/>
  <c r="H36" i="42"/>
  <c r="I36" i="42"/>
  <c r="I17" i="42"/>
  <c r="E53" i="42"/>
  <c r="F23" i="42"/>
  <c r="I23" i="42"/>
  <c r="I13" i="42"/>
  <c r="H25" i="42"/>
  <c r="I53" i="42"/>
  <c r="E17" i="42"/>
  <c r="H56" i="42"/>
  <c r="E25" i="42"/>
  <c r="I33" i="42"/>
  <c r="H55" i="42"/>
  <c r="F43" i="42"/>
  <c r="G55" i="42"/>
  <c r="G17" i="42"/>
  <c r="F33" i="42"/>
  <c r="H37" i="42"/>
  <c r="I43" i="42"/>
  <c r="E26" i="42"/>
  <c r="H35" i="42"/>
  <c r="F26" i="42"/>
  <c r="H27" i="42"/>
  <c r="H16" i="42"/>
  <c r="G36" i="42"/>
  <c r="G13" i="42"/>
  <c r="E56" i="42"/>
  <c r="F25" i="42"/>
  <c r="F46" i="42"/>
  <c r="G45" i="42"/>
  <c r="E57" i="42"/>
  <c r="E36" i="42"/>
  <c r="H43" i="42"/>
  <c r="F47" i="42"/>
  <c r="G15" i="42"/>
  <c r="H47" i="42"/>
  <c r="F56" i="42"/>
  <c r="G33" i="42"/>
  <c r="E45" i="42"/>
  <c r="G23" i="42"/>
  <c r="E35" i="42"/>
  <c r="H45" i="42"/>
  <c r="G26" i="42"/>
  <c r="G16" i="42"/>
  <c r="E37" i="42"/>
  <c r="F27" i="42"/>
  <c r="H33" i="42"/>
  <c r="E33" i="42"/>
  <c r="I26" i="42"/>
  <c r="E15" i="42"/>
  <c r="G47" i="42"/>
  <c r="F13" i="42"/>
  <c r="E43" i="42"/>
  <c r="H15" i="42"/>
  <c r="I27" i="42"/>
  <c r="F16" i="42"/>
  <c r="E47" i="42"/>
  <c r="I57" i="42"/>
  <c r="F45" i="42"/>
  <c r="I55" i="42"/>
  <c r="E55" i="42"/>
  <c r="G35" i="42"/>
  <c r="I16" i="42"/>
  <c r="H17" i="42"/>
  <c r="I15" i="42"/>
  <c r="G37" i="42"/>
  <c r="E13" i="42"/>
  <c r="H53" i="42"/>
  <c r="H46" i="42"/>
  <c r="I46" i="42"/>
  <c r="G43" i="42"/>
  <c r="G53" i="42"/>
  <c r="H57" i="42"/>
  <c r="E23" i="42"/>
  <c r="F17" i="42"/>
  <c r="F53" i="42"/>
  <c r="H23" i="42"/>
  <c r="G56" i="42"/>
  <c r="F36" i="42"/>
  <c r="G25" i="42"/>
  <c r="H26" i="42"/>
  <c r="R30" i="44"/>
  <c r="E30" i="44" s="1"/>
  <c r="R14" i="13"/>
  <c r="R12" i="13" s="1"/>
  <c r="R30" i="1"/>
  <c r="W30" i="44"/>
  <c r="F30" i="44" s="1"/>
  <c r="W30" i="1"/>
  <c r="W14" i="13"/>
  <c r="W12" i="13" s="1"/>
  <c r="W27" i="13" s="1"/>
  <c r="T89" i="44"/>
  <c r="T20" i="13"/>
  <c r="T17" i="13" s="1"/>
  <c r="T27" i="13" s="1"/>
  <c r="T29" i="5"/>
  <c r="V19" i="44"/>
  <c r="V30" i="1"/>
  <c r="V13" i="13"/>
  <c r="V12" i="13" s="1"/>
  <c r="AI89" i="44"/>
  <c r="G89" i="44" s="1"/>
  <c r="AI18" i="13"/>
  <c r="AI17" i="13" s="1"/>
  <c r="AI27" i="13" s="1"/>
  <c r="AI29" i="5"/>
  <c r="G29" i="5" s="1"/>
  <c r="AX30" i="44"/>
  <c r="AX31" i="44" s="1"/>
  <c r="AX14" i="13"/>
  <c r="H14" i="13" s="1"/>
  <c r="AG89" i="44"/>
  <c r="AG29" i="5"/>
  <c r="AG18" i="13"/>
  <c r="AG17" i="13" s="1"/>
  <c r="AG27" i="13" s="1"/>
  <c r="AT29" i="5"/>
  <c r="AT19" i="13"/>
  <c r="AT17" i="13" s="1"/>
  <c r="BD30" i="44"/>
  <c r="BD14" i="13"/>
  <c r="BD12" i="13" s="1"/>
  <c r="BD27" i="13" s="1"/>
  <c r="BD30" i="1"/>
  <c r="S40" i="13"/>
  <c r="S42" i="48"/>
  <c r="AU19" i="44"/>
  <c r="AU30" i="1"/>
  <c r="H30" i="1" s="1"/>
  <c r="AU13" i="13"/>
  <c r="AU12" i="13" s="1"/>
  <c r="BN89" i="44"/>
  <c r="BN18" i="13"/>
  <c r="BN17" i="13" s="1"/>
  <c r="BN29" i="5"/>
  <c r="BC89" i="44"/>
  <c r="BC18" i="13"/>
  <c r="BC17" i="13" s="1"/>
  <c r="BC29" i="5"/>
  <c r="AQ40" i="13"/>
  <c r="AQ42" i="48"/>
  <c r="BP20" i="13"/>
  <c r="BP17" i="13" s="1"/>
  <c r="BP27" i="13" s="1"/>
  <c r="BP29" i="5"/>
  <c r="BH89" i="44"/>
  <c r="Z92" i="53"/>
  <c r="Y95" i="53"/>
  <c r="F25" i="9"/>
  <c r="E22" i="9"/>
  <c r="H23" i="9"/>
  <c r="E21" i="9"/>
  <c r="I74" i="9"/>
  <c r="E76" i="9"/>
  <c r="F23" i="9"/>
  <c r="I66" i="9"/>
  <c r="E74" i="9"/>
  <c r="I21" i="9"/>
  <c r="H15" i="9"/>
  <c r="G74" i="9"/>
  <c r="H44" i="9"/>
  <c r="G56" i="9"/>
  <c r="G66" i="9"/>
  <c r="E16" i="9"/>
  <c r="G64" i="9"/>
  <c r="G24" i="9"/>
  <c r="F74" i="9"/>
  <c r="I46" i="9"/>
  <c r="E66" i="9"/>
  <c r="H34" i="9"/>
  <c r="F66" i="9"/>
  <c r="I25" i="9"/>
  <c r="E25" i="9"/>
  <c r="F44" i="9"/>
  <c r="H13" i="9"/>
  <c r="E46" i="9"/>
  <c r="E24" i="9"/>
  <c r="E44" i="9"/>
  <c r="G46" i="9"/>
  <c r="I23" i="9"/>
  <c r="G34" i="9"/>
  <c r="G14" i="9"/>
  <c r="I14" i="9"/>
  <c r="H64" i="9"/>
  <c r="F22" i="9"/>
  <c r="F17" i="9"/>
  <c r="F16" i="9"/>
  <c r="G13" i="9"/>
  <c r="H17" i="9"/>
  <c r="E15" i="9"/>
  <c r="I17" i="9"/>
  <c r="F54" i="9"/>
  <c r="H74" i="9"/>
  <c r="G22" i="9"/>
  <c r="I64" i="9"/>
  <c r="E64" i="9"/>
  <c r="H22" i="9"/>
  <c r="H76" i="9"/>
  <c r="G25" i="9"/>
  <c r="H16" i="9"/>
  <c r="E23" i="9"/>
  <c r="I13" i="9"/>
  <c r="H66" i="9"/>
  <c r="G54" i="9"/>
  <c r="F64" i="9"/>
  <c r="I54" i="9"/>
  <c r="G16" i="9"/>
  <c r="G15" i="9"/>
  <c r="I15" i="9"/>
  <c r="F15" i="9"/>
  <c r="F24" i="9"/>
  <c r="H46" i="9"/>
  <c r="I22" i="9"/>
  <c r="F14" i="9"/>
  <c r="I24" i="9"/>
  <c r="E34" i="9"/>
  <c r="I76" i="9"/>
  <c r="G44" i="9"/>
  <c r="E13" i="9"/>
  <c r="G36" i="9"/>
  <c r="I56" i="9"/>
  <c r="F21" i="9"/>
  <c r="G17" i="9"/>
  <c r="G21" i="9"/>
  <c r="H21" i="9"/>
  <c r="F34" i="9"/>
  <c r="H24" i="9"/>
  <c r="I36" i="9"/>
  <c r="H54" i="9"/>
  <c r="F13" i="9"/>
  <c r="G76" i="9"/>
  <c r="H56" i="9"/>
  <c r="F76" i="9"/>
  <c r="E14" i="9"/>
  <c r="E36" i="9"/>
  <c r="F56" i="9"/>
  <c r="F46" i="9"/>
  <c r="H36" i="9"/>
  <c r="E17" i="9"/>
  <c r="I16" i="9"/>
  <c r="H14" i="9"/>
  <c r="E54" i="9"/>
  <c r="H25" i="9"/>
  <c r="E56" i="9"/>
  <c r="I34" i="9"/>
  <c r="F36" i="9"/>
  <c r="G23" i="9"/>
  <c r="I44" i="9"/>
  <c r="A52" i="5"/>
  <c r="A73" i="5" s="1"/>
  <c r="B56" i="5"/>
  <c r="B61" i="5" s="1"/>
  <c r="B66" i="5" s="1"/>
  <c r="J27" i="34"/>
  <c r="I28" i="34"/>
  <c r="B200" i="11"/>
  <c r="R22" i="13"/>
  <c r="K24" i="13"/>
  <c r="K22" i="13" s="1"/>
  <c r="R41" i="34"/>
  <c r="P54" i="34"/>
  <c r="AC23" i="13"/>
  <c r="AC22" i="13" s="1"/>
  <c r="AC27" i="13" s="1"/>
  <c r="AC16" i="6"/>
  <c r="AQ23" i="13"/>
  <c r="AQ22" i="13" s="1"/>
  <c r="AQ16" i="6"/>
  <c r="AT16" i="6"/>
  <c r="AT23" i="13"/>
  <c r="AT22" i="13" s="1"/>
  <c r="BN22" i="13"/>
  <c r="I22" i="13" s="1"/>
  <c r="L46" i="11"/>
  <c r="L53" i="11" s="1"/>
  <c r="L14" i="11"/>
  <c r="L59" i="11"/>
  <c r="L54" i="11"/>
  <c r="M52" i="11" s="1"/>
  <c r="L154" i="11"/>
  <c r="L168" i="11" s="1"/>
  <c r="AU23" i="13"/>
  <c r="AU22" i="13" s="1"/>
  <c r="AU16" i="6"/>
  <c r="BC16" i="6"/>
  <c r="BC23" i="13"/>
  <c r="BC22" i="13" s="1"/>
  <c r="M69" i="44" l="1"/>
  <c r="M26" i="50"/>
  <c r="K24" i="50"/>
  <c r="L44" i="48"/>
  <c r="L37" i="50" s="1"/>
  <c r="K16" i="49"/>
  <c r="E56" i="44"/>
  <c r="F53" i="44" s="1"/>
  <c r="F56" i="44" s="1"/>
  <c r="G53" i="44" s="1"/>
  <c r="G56" i="44" s="1"/>
  <c r="H53" i="44" s="1"/>
  <c r="H56" i="44" s="1"/>
  <c r="I53" i="44" s="1"/>
  <c r="I56" i="44" s="1"/>
  <c r="J16" i="54"/>
  <c r="J14" i="53"/>
  <c r="S16" i="54" s="1"/>
  <c r="AB16" i="54" s="1"/>
  <c r="N81" i="11"/>
  <c r="N89" i="11" s="1"/>
  <c r="N95" i="11"/>
  <c r="K14" i="53"/>
  <c r="T16" i="54" s="1"/>
  <c r="AC16" i="54" s="1"/>
  <c r="K16" i="54"/>
  <c r="H116" i="6"/>
  <c r="J24" i="53"/>
  <c r="J26" i="54"/>
  <c r="I27" i="13"/>
  <c r="M15" i="50"/>
  <c r="N53" i="9"/>
  <c r="G57" i="34"/>
  <c r="H31" i="34"/>
  <c r="H44" i="34"/>
  <c r="N225" i="11"/>
  <c r="N233" i="11" s="1"/>
  <c r="N239" i="11"/>
  <c r="N226" i="11" s="1"/>
  <c r="L15" i="53"/>
  <c r="U17" i="54" s="1"/>
  <c r="AD17" i="54" s="1"/>
  <c r="L17" i="54"/>
  <c r="G32" i="7"/>
  <c r="I57" i="53"/>
  <c r="R56" i="54" s="1"/>
  <c r="AA56" i="54" s="1"/>
  <c r="I56" i="54"/>
  <c r="H57" i="53"/>
  <c r="Q56" i="54" s="1"/>
  <c r="H56" i="54"/>
  <c r="AV27" i="13"/>
  <c r="AA106" i="44"/>
  <c r="AA90" i="44"/>
  <c r="N189" i="11"/>
  <c r="N197" i="11" s="1"/>
  <c r="N203" i="11"/>
  <c r="N190" i="11" s="1"/>
  <c r="BC27" i="13"/>
  <c r="M53" i="44"/>
  <c r="M56" i="44" s="1"/>
  <c r="L25" i="50"/>
  <c r="L58" i="44"/>
  <c r="V15" i="6"/>
  <c r="V29" i="13" s="1"/>
  <c r="V12" i="6"/>
  <c r="V13" i="6"/>
  <c r="V24" i="13" s="1"/>
  <c r="V14" i="6"/>
  <c r="V25" i="13" s="1"/>
  <c r="V116" i="6"/>
  <c r="AQ27" i="13"/>
  <c r="V106" i="44"/>
  <c r="V90" i="44"/>
  <c r="M15" i="56"/>
  <c r="F16" i="6"/>
  <c r="E96" i="6"/>
  <c r="E116" i="6" s="1"/>
  <c r="AJ106" i="44"/>
  <c r="AJ90" i="44"/>
  <c r="I32" i="54"/>
  <c r="I30" i="53"/>
  <c r="H17" i="54"/>
  <c r="H15" i="53"/>
  <c r="Q17" i="54" s="1"/>
  <c r="Z17" i="54" s="1"/>
  <c r="F14" i="13"/>
  <c r="K105" i="44"/>
  <c r="E19" i="44"/>
  <c r="K20" i="44"/>
  <c r="AF12" i="13"/>
  <c r="AE106" i="44"/>
  <c r="AE90" i="44"/>
  <c r="Z106" i="44"/>
  <c r="Z90" i="44"/>
  <c r="S51" i="34"/>
  <c r="T38" i="34"/>
  <c r="Z5" i="27"/>
  <c r="AA18" i="34"/>
  <c r="AA5" i="34"/>
  <c r="AL5" i="33"/>
  <c r="AM5" i="20"/>
  <c r="M5" i="28"/>
  <c r="B17" i="28" s="1"/>
  <c r="AM5" i="27"/>
  <c r="AM5" i="24"/>
  <c r="N36" i="34"/>
  <c r="M5" i="24"/>
  <c r="B17" i="24" s="1"/>
  <c r="AA49" i="34"/>
  <c r="M5" i="21"/>
  <c r="B17" i="21" s="1"/>
  <c r="AM5" i="23"/>
  <c r="M5" i="26"/>
  <c r="B17" i="26" s="1"/>
  <c r="M5" i="22"/>
  <c r="B17" i="22" s="1"/>
  <c r="Z5" i="22"/>
  <c r="AM5" i="22"/>
  <c r="I15" i="29"/>
  <c r="AN5" i="34"/>
  <c r="L5" i="36"/>
  <c r="X5" i="32"/>
  <c r="K5" i="32"/>
  <c r="AM5" i="28"/>
  <c r="Z5" i="23"/>
  <c r="L5" i="37"/>
  <c r="M5" i="25"/>
  <c r="B17" i="25" s="1"/>
  <c r="Y5" i="36"/>
  <c r="AM5" i="26"/>
  <c r="Z5" i="26"/>
  <c r="AN36" i="34"/>
  <c r="N5" i="34"/>
  <c r="AN18" i="34"/>
  <c r="Z5" i="28"/>
  <c r="L5" i="33"/>
  <c r="Y5" i="33"/>
  <c r="Z5" i="24"/>
  <c r="Y5" i="37"/>
  <c r="M5" i="20"/>
  <c r="B17" i="20" s="1"/>
  <c r="AA36" i="34"/>
  <c r="AL5" i="37"/>
  <c r="AM5" i="21"/>
  <c r="Z5" i="20"/>
  <c r="M5" i="27"/>
  <c r="B17" i="27" s="1"/>
  <c r="N49" i="34"/>
  <c r="AM5" i="25"/>
  <c r="Z5" i="21"/>
  <c r="AL5" i="36"/>
  <c r="AN49" i="34"/>
  <c r="AK5" i="32"/>
  <c r="M5" i="23"/>
  <c r="B17" i="23" s="1"/>
  <c r="Z5" i="25"/>
  <c r="N18" i="34"/>
  <c r="J107" i="54"/>
  <c r="J109" i="53"/>
  <c r="S107" i="54" s="1"/>
  <c r="AB107" i="54" s="1"/>
  <c r="K106" i="54"/>
  <c r="K108" i="53"/>
  <c r="T106" i="54" s="1"/>
  <c r="AC106" i="54" s="1"/>
  <c r="I106" i="54"/>
  <c r="I108" i="53"/>
  <c r="R106" i="54" s="1"/>
  <c r="E32" i="7"/>
  <c r="BO105" i="44"/>
  <c r="BO20" i="44"/>
  <c r="R52" i="34"/>
  <c r="S39" i="34"/>
  <c r="E78" i="44"/>
  <c r="F75" i="44" s="1"/>
  <c r="F78" i="44" s="1"/>
  <c r="G75" i="44" s="1"/>
  <c r="G78" i="44" s="1"/>
  <c r="H75" i="44" s="1"/>
  <c r="H78" i="44" s="1"/>
  <c r="I75" i="44" s="1"/>
  <c r="I78" i="44" s="1"/>
  <c r="K53" i="48"/>
  <c r="L50" i="48" s="1"/>
  <c r="L53" i="48" s="1"/>
  <c r="M50" i="48" s="1"/>
  <c r="M53" i="48" s="1"/>
  <c r="N50" i="48" s="1"/>
  <c r="N53" i="48" s="1"/>
  <c r="O50" i="48" s="1"/>
  <c r="O53" i="48" s="1"/>
  <c r="P50" i="48" s="1"/>
  <c r="P53" i="48" s="1"/>
  <c r="Q50" i="48" s="1"/>
  <c r="Q53" i="48" s="1"/>
  <c r="R50" i="48" s="1"/>
  <c r="R53" i="48" s="1"/>
  <c r="S50" i="48" s="1"/>
  <c r="S53" i="48" s="1"/>
  <c r="T50" i="48" s="1"/>
  <c r="T53" i="48" s="1"/>
  <c r="U50" i="48" s="1"/>
  <c r="U53" i="48" s="1"/>
  <c r="V50" i="48" s="1"/>
  <c r="BK106" i="44"/>
  <c r="BK90" i="44"/>
  <c r="R54" i="34"/>
  <c r="S41" i="34"/>
  <c r="AQ106" i="44"/>
  <c r="AQ90" i="44"/>
  <c r="J20" i="53"/>
  <c r="J22" i="54"/>
  <c r="L169" i="11"/>
  <c r="M166" i="11" s="1"/>
  <c r="AA92" i="53"/>
  <c r="Z95" i="53"/>
  <c r="BC106" i="44"/>
  <c r="BC90" i="44"/>
  <c r="AG106" i="44"/>
  <c r="AG90" i="44"/>
  <c r="V105" i="44"/>
  <c r="V20" i="44"/>
  <c r="R27" i="13"/>
  <c r="O64" i="44"/>
  <c r="O67" i="44" s="1"/>
  <c r="N26" i="50"/>
  <c r="N69" i="44"/>
  <c r="H37" i="34"/>
  <c r="G50" i="34"/>
  <c r="G16" i="6"/>
  <c r="BB27" i="13"/>
  <c r="AP27" i="13"/>
  <c r="N106" i="44"/>
  <c r="N90" i="44"/>
  <c r="N21" i="50"/>
  <c r="O29" i="44"/>
  <c r="O32" i="44" s="1"/>
  <c r="N34" i="44"/>
  <c r="I23" i="13"/>
  <c r="I29" i="53"/>
  <c r="I31" i="54"/>
  <c r="I17" i="54"/>
  <c r="I15" i="53"/>
  <c r="R17" i="54" s="1"/>
  <c r="AA17" i="54" s="1"/>
  <c r="F18" i="13"/>
  <c r="L43" i="53"/>
  <c r="U44" i="54" s="1"/>
  <c r="AD44" i="54" s="1"/>
  <c r="L44" i="54"/>
  <c r="I18" i="13"/>
  <c r="G18" i="13"/>
  <c r="AX106" i="44"/>
  <c r="AX90" i="44"/>
  <c r="AX12" i="13"/>
  <c r="AX27" i="13" s="1"/>
  <c r="AF105" i="44"/>
  <c r="AF20" i="44"/>
  <c r="F20" i="44" s="1"/>
  <c r="AO16" i="6"/>
  <c r="AO23" i="13"/>
  <c r="AO22" i="13" s="1"/>
  <c r="AO27" i="13" s="1"/>
  <c r="H32" i="57"/>
  <c r="I32" i="57"/>
  <c r="AS106" i="44"/>
  <c r="AS90" i="44"/>
  <c r="K17" i="13"/>
  <c r="E17" i="13" s="1"/>
  <c r="E18" i="13"/>
  <c r="H109" i="53"/>
  <c r="Q107" i="54" s="1"/>
  <c r="Z107" i="54" s="1"/>
  <c r="H107" i="54"/>
  <c r="L106" i="54"/>
  <c r="L108" i="53"/>
  <c r="U106" i="54" s="1"/>
  <c r="H32" i="7"/>
  <c r="AL105" i="44"/>
  <c r="AL31" i="44"/>
  <c r="M96" i="11"/>
  <c r="L57" i="53"/>
  <c r="U56" i="54" s="1"/>
  <c r="AD56" i="54" s="1"/>
  <c r="L56" i="54"/>
  <c r="Y106" i="44"/>
  <c r="Y90" i="44"/>
  <c r="BH27" i="13"/>
  <c r="AY27" i="13"/>
  <c r="P45" i="9"/>
  <c r="P47" i="9"/>
  <c r="W105" i="44"/>
  <c r="W31" i="44"/>
  <c r="M46" i="11"/>
  <c r="M53" i="11" s="1"/>
  <c r="M16" i="11" s="1"/>
  <c r="M28" i="49" s="1"/>
  <c r="M59" i="11"/>
  <c r="M54" i="11"/>
  <c r="N52" i="11" s="1"/>
  <c r="M14" i="11"/>
  <c r="M17" i="11" s="1"/>
  <c r="M35" i="50" s="1"/>
  <c r="BH106" i="44"/>
  <c r="I106" i="44" s="1"/>
  <c r="BH90" i="44"/>
  <c r="R105" i="44"/>
  <c r="R31" i="44"/>
  <c r="E31" i="44" s="1"/>
  <c r="E32" i="44" s="1"/>
  <c r="F29" i="44" s="1"/>
  <c r="AE32" i="34"/>
  <c r="AC58" i="34"/>
  <c r="BM106" i="44"/>
  <c r="BM90" i="44"/>
  <c r="AQ31" i="44"/>
  <c r="AQ105" i="44"/>
  <c r="N131" i="11"/>
  <c r="N117" i="11"/>
  <c r="N125" i="11" s="1"/>
  <c r="AV93" i="54"/>
  <c r="AW90" i="54"/>
  <c r="BF15" i="6"/>
  <c r="BF29" i="13" s="1"/>
  <c r="BF12" i="6"/>
  <c r="BF13" i="6"/>
  <c r="BF24" i="13" s="1"/>
  <c r="BF14" i="6"/>
  <c r="BF25" i="13" s="1"/>
  <c r="BF116" i="6"/>
  <c r="G22" i="55"/>
  <c r="F22" i="5"/>
  <c r="H16" i="5"/>
  <c r="AP42" i="44"/>
  <c r="AP105" i="44"/>
  <c r="F24" i="13"/>
  <c r="G17" i="13"/>
  <c r="H13" i="13"/>
  <c r="K43" i="53"/>
  <c r="T44" i="54" s="1"/>
  <c r="AC44" i="54" s="1"/>
  <c r="K44" i="54"/>
  <c r="L14" i="53"/>
  <c r="U16" i="54" s="1"/>
  <c r="L16" i="54"/>
  <c r="J32" i="54"/>
  <c r="J30" i="53"/>
  <c r="H17" i="13"/>
  <c r="BA31" i="44"/>
  <c r="BA105" i="44"/>
  <c r="AD31" i="44"/>
  <c r="AD105" i="44"/>
  <c r="E29" i="5"/>
  <c r="S25" i="34"/>
  <c r="R26" i="34"/>
  <c r="H122" i="53"/>
  <c r="Q118" i="54" s="1"/>
  <c r="H118" i="54"/>
  <c r="K118" i="54"/>
  <c r="K122" i="53"/>
  <c r="T118" i="54" s="1"/>
  <c r="AW27" i="13"/>
  <c r="AA42" i="44"/>
  <c r="F42" i="44" s="1"/>
  <c r="AA105" i="44"/>
  <c r="J55" i="54"/>
  <c r="J56" i="53"/>
  <c r="S55" i="54" s="1"/>
  <c r="AB55" i="54" s="1"/>
  <c r="BH42" i="44"/>
  <c r="BH105" i="44"/>
  <c r="M168" i="11"/>
  <c r="G39" i="54"/>
  <c r="G52" i="54"/>
  <c r="Y52" i="54" s="1"/>
  <c r="Y34" i="54"/>
  <c r="AU105" i="44"/>
  <c r="AU20" i="44"/>
  <c r="I13" i="53"/>
  <c r="I15" i="54"/>
  <c r="AV106" i="44"/>
  <c r="AV90" i="44"/>
  <c r="G40" i="34"/>
  <c r="G46" i="34" s="1"/>
  <c r="F53" i="34"/>
  <c r="F59" i="34" s="1"/>
  <c r="K56" i="54"/>
  <c r="K57" i="53"/>
  <c r="T56" i="54" s="1"/>
  <c r="L22" i="11"/>
  <c r="L47" i="11"/>
  <c r="L60" i="11" s="1"/>
  <c r="BN27" i="13"/>
  <c r="U106" i="44"/>
  <c r="U90" i="44"/>
  <c r="I22" i="5"/>
  <c r="BA106" i="44"/>
  <c r="BA90" i="44"/>
  <c r="BB105" i="44"/>
  <c r="BB20" i="44"/>
  <c r="R106" i="44"/>
  <c r="R90" i="44"/>
  <c r="J31" i="54"/>
  <c r="J29" i="53"/>
  <c r="L29" i="53"/>
  <c r="L31" i="54"/>
  <c r="H32" i="54"/>
  <c r="H30" i="53"/>
  <c r="F17" i="13"/>
  <c r="I13" i="13"/>
  <c r="J43" i="53"/>
  <c r="S44" i="54" s="1"/>
  <c r="AB44" i="54" s="1"/>
  <c r="J44" i="54"/>
  <c r="H20" i="13"/>
  <c r="AX105" i="44"/>
  <c r="AX20" i="44"/>
  <c r="X106" i="44"/>
  <c r="F106" i="44" s="1"/>
  <c r="X90" i="44"/>
  <c r="G32" i="57"/>
  <c r="F32" i="57"/>
  <c r="E19" i="13"/>
  <c r="K106" i="44"/>
  <c r="K90" i="44"/>
  <c r="K91" i="44" s="1"/>
  <c r="E89" i="44"/>
  <c r="I122" i="53"/>
  <c r="R118" i="54" s="1"/>
  <c r="AA118" i="54" s="1"/>
  <c r="I118" i="54"/>
  <c r="AW105" i="44"/>
  <c r="AW20" i="44"/>
  <c r="L63" i="9"/>
  <c r="K16" i="50"/>
  <c r="K12" i="50" s="1"/>
  <c r="F41" i="44"/>
  <c r="L55" i="53"/>
  <c r="U54" i="54" s="1"/>
  <c r="AD54" i="54" s="1"/>
  <c r="L54" i="54"/>
  <c r="J57" i="53"/>
  <c r="S56" i="54" s="1"/>
  <c r="J56" i="54"/>
  <c r="H54" i="54"/>
  <c r="H55" i="53"/>
  <c r="Q54" i="54" s="1"/>
  <c r="Z54" i="54" s="1"/>
  <c r="AY31" i="44"/>
  <c r="AY105" i="44"/>
  <c r="N167" i="11"/>
  <c r="N153" i="11"/>
  <c r="N161" i="11" s="1"/>
  <c r="J15" i="54"/>
  <c r="J13" i="53"/>
  <c r="O13" i="50"/>
  <c r="P33" i="9"/>
  <c r="BN106" i="44"/>
  <c r="BN90" i="44"/>
  <c r="BD31" i="44"/>
  <c r="BD105" i="44"/>
  <c r="T106" i="44"/>
  <c r="T90" i="44"/>
  <c r="S27" i="13"/>
  <c r="BJ27" i="13"/>
  <c r="I22" i="55"/>
  <c r="E22" i="55"/>
  <c r="E16" i="5"/>
  <c r="H27" i="5"/>
  <c r="I116" i="6"/>
  <c r="F116" i="6"/>
  <c r="F50" i="54"/>
  <c r="X50" i="54" s="1"/>
  <c r="F34" i="54"/>
  <c r="X29" i="54"/>
  <c r="L24" i="53"/>
  <c r="L26" i="54"/>
  <c r="F23" i="13"/>
  <c r="L21" i="54"/>
  <c r="L19" i="53"/>
  <c r="I20" i="13"/>
  <c r="H19" i="13"/>
  <c r="G19" i="13"/>
  <c r="L32" i="54"/>
  <c r="L30" i="53"/>
  <c r="BE105" i="44"/>
  <c r="BE20" i="44"/>
  <c r="E20" i="13"/>
  <c r="M97" i="11"/>
  <c r="N94" i="11" s="1"/>
  <c r="N8" i="6"/>
  <c r="N8" i="42"/>
  <c r="N8" i="57"/>
  <c r="N8" i="44"/>
  <c r="N8" i="1"/>
  <c r="N8" i="51"/>
  <c r="N8" i="56"/>
  <c r="N8" i="47"/>
  <c r="R7" i="2"/>
  <c r="N8" i="11"/>
  <c r="N80" i="11" s="1"/>
  <c r="N88" i="11" s="1"/>
  <c r="N8" i="7"/>
  <c r="N8" i="55"/>
  <c r="N8" i="50"/>
  <c r="N8" i="48"/>
  <c r="N8" i="9"/>
  <c r="N8" i="49"/>
  <c r="N8" i="13"/>
  <c r="N8" i="5"/>
  <c r="L118" i="54"/>
  <c r="L122" i="53"/>
  <c r="U118" i="54" s="1"/>
  <c r="J108" i="53"/>
  <c r="S106" i="54" s="1"/>
  <c r="J106" i="54"/>
  <c r="L109" i="53"/>
  <c r="U107" i="54" s="1"/>
  <c r="L107" i="54"/>
  <c r="BM27" i="13"/>
  <c r="AP106" i="44"/>
  <c r="AP90" i="44"/>
  <c r="L80" i="44"/>
  <c r="L27" i="50"/>
  <c r="M75" i="44"/>
  <c r="M78" i="44" s="1"/>
  <c r="K14" i="49"/>
  <c r="K17" i="48"/>
  <c r="I89" i="44"/>
  <c r="H19" i="44"/>
  <c r="H30" i="44"/>
  <c r="G30" i="44"/>
  <c r="K56" i="53"/>
  <c r="T55" i="54" s="1"/>
  <c r="K55" i="54"/>
  <c r="G51" i="54"/>
  <c r="Y51" i="54" s="1"/>
  <c r="K17" i="54"/>
  <c r="K15" i="53"/>
  <c r="T17" i="54" s="1"/>
  <c r="K55" i="34"/>
  <c r="L42" i="34"/>
  <c r="G147" i="2"/>
  <c r="G222" i="2"/>
  <c r="G224" i="2" s="1"/>
  <c r="L16" i="11"/>
  <c r="K27" i="34"/>
  <c r="J28" i="34"/>
  <c r="AU27" i="13"/>
  <c r="AT27" i="13"/>
  <c r="AF106" i="44"/>
  <c r="AF90" i="44"/>
  <c r="S106" i="44"/>
  <c r="S90" i="44"/>
  <c r="BE12" i="6"/>
  <c r="BE15" i="6"/>
  <c r="BE29" i="13" s="1"/>
  <c r="BE116" i="6"/>
  <c r="BE14" i="6"/>
  <c r="BE25" i="13" s="1"/>
  <c r="BE13" i="6"/>
  <c r="BE24" i="13" s="1"/>
  <c r="H22" i="55"/>
  <c r="I16" i="5"/>
  <c r="I16" i="6"/>
  <c r="AK12" i="13"/>
  <c r="M226" i="11"/>
  <c r="M240" i="11" s="1"/>
  <c r="M241" i="11" s="1"/>
  <c r="N238" i="11" s="1"/>
  <c r="I25" i="13"/>
  <c r="F25" i="13"/>
  <c r="H43" i="53"/>
  <c r="Q44" i="54" s="1"/>
  <c r="Z44" i="54" s="1"/>
  <c r="H44" i="54"/>
  <c r="H12" i="13"/>
  <c r="I44" i="54"/>
  <c r="I43" i="53"/>
  <c r="R44" i="54" s="1"/>
  <c r="E14" i="13"/>
  <c r="P27" i="13"/>
  <c r="G106" i="53"/>
  <c r="G124" i="53" s="1"/>
  <c r="P97" i="54"/>
  <c r="BK27" i="13"/>
  <c r="AD106" i="44"/>
  <c r="AD90" i="44"/>
  <c r="AL106" i="44"/>
  <c r="AL90" i="44"/>
  <c r="H108" i="53"/>
  <c r="Q106" i="54" s="1"/>
  <c r="H106" i="54"/>
  <c r="I109" i="53"/>
  <c r="R107" i="54" s="1"/>
  <c r="I107" i="54"/>
  <c r="AY106" i="44"/>
  <c r="AY90" i="44"/>
  <c r="AN27" i="13"/>
  <c r="U43" i="34"/>
  <c r="U30" i="34"/>
  <c r="T56" i="34"/>
  <c r="B77" i="5"/>
  <c r="B82" i="5" s="1"/>
  <c r="F89" i="44"/>
  <c r="K55" i="53"/>
  <c r="T54" i="54" s="1"/>
  <c r="AC54" i="54" s="1"/>
  <c r="K54" i="54"/>
  <c r="J55" i="53"/>
  <c r="S54" i="54" s="1"/>
  <c r="AB54" i="54" s="1"/>
  <c r="J54" i="54"/>
  <c r="AU106" i="44"/>
  <c r="AU90" i="44"/>
  <c r="AS27" i="13"/>
  <c r="M190" i="11"/>
  <c r="M204" i="11" s="1"/>
  <c r="I19" i="34"/>
  <c r="H33" i="34"/>
  <c r="AN31" i="44"/>
  <c r="AN105" i="44"/>
  <c r="AI106" i="44"/>
  <c r="G106" i="44" s="1"/>
  <c r="AI90" i="44"/>
  <c r="BJ105" i="44"/>
  <c r="BJ20" i="44"/>
  <c r="O106" i="44"/>
  <c r="O90" i="44"/>
  <c r="BA15" i="6"/>
  <c r="BA14" i="6"/>
  <c r="BA12" i="6"/>
  <c r="BA13" i="6"/>
  <c r="BA116" i="6"/>
  <c r="F16" i="5"/>
  <c r="G27" i="5"/>
  <c r="G116" i="6"/>
  <c r="M116" i="6"/>
  <c r="M14" i="6"/>
  <c r="M13" i="6"/>
  <c r="M15" i="6"/>
  <c r="M12" i="6"/>
  <c r="AK105" i="44"/>
  <c r="AK20" i="44"/>
  <c r="G20" i="44" s="1"/>
  <c r="J27" i="54"/>
  <c r="J25" i="53"/>
  <c r="F19" i="13"/>
  <c r="K32" i="54"/>
  <c r="K30" i="53"/>
  <c r="I22" i="54"/>
  <c r="I20" i="53"/>
  <c r="G15" i="13"/>
  <c r="H18" i="13"/>
  <c r="K12" i="13"/>
  <c r="E13" i="13"/>
  <c r="AM106" i="44"/>
  <c r="AM90" i="44"/>
  <c r="P106" i="44"/>
  <c r="P90" i="44"/>
  <c r="E13" i="59"/>
  <c r="E47" i="53"/>
  <c r="E58" i="53" s="1"/>
  <c r="E53" i="53"/>
  <c r="N52" i="54" s="1"/>
  <c r="W52" i="54" s="1"/>
  <c r="E38" i="53"/>
  <c r="E41" i="53" s="1"/>
  <c r="N34" i="54"/>
  <c r="L106" i="44"/>
  <c r="L90" i="44"/>
  <c r="M45" i="44"/>
  <c r="N40" i="44"/>
  <c r="N43" i="44" s="1"/>
  <c r="M22" i="50"/>
  <c r="E32" i="57"/>
  <c r="G122" i="54"/>
  <c r="G123" i="54" s="1"/>
  <c r="G128" i="54"/>
  <c r="BQ106" i="44"/>
  <c r="BQ90" i="44"/>
  <c r="BK42" i="44"/>
  <c r="BK105" i="44"/>
  <c r="N57" i="56"/>
  <c r="N64" i="56" s="1"/>
  <c r="N160" i="56"/>
  <c r="N167" i="56" s="1"/>
  <c r="N83" i="56"/>
  <c r="N90" i="56" s="1"/>
  <c r="N109" i="56"/>
  <c r="N116" i="56" s="1"/>
  <c r="N134" i="56"/>
  <c r="N141" i="56" s="1"/>
  <c r="L75" i="9"/>
  <c r="L77" i="9"/>
  <c r="J118" i="54"/>
  <c r="J122" i="53"/>
  <c r="S118" i="54" s="1"/>
  <c r="AB118" i="54" s="1"/>
  <c r="K107" i="54"/>
  <c r="K109" i="53"/>
  <c r="T107" i="54" s="1"/>
  <c r="AC107" i="54" s="1"/>
  <c r="I32" i="7"/>
  <c r="F32" i="7"/>
  <c r="BO27" i="13"/>
  <c r="BM105" i="44"/>
  <c r="BM20" i="44"/>
  <c r="E67" i="44"/>
  <c r="F64" i="44" s="1"/>
  <c r="F67" i="44" s="1"/>
  <c r="G64" i="44" s="1"/>
  <c r="G67" i="44" s="1"/>
  <c r="H64" i="44" s="1"/>
  <c r="H67" i="44" s="1"/>
  <c r="I64" i="44" s="1"/>
  <c r="I67" i="44" s="1"/>
  <c r="E43" i="44"/>
  <c r="F40" i="44" s="1"/>
  <c r="F19" i="44"/>
  <c r="I56" i="53"/>
  <c r="R55" i="54" s="1"/>
  <c r="AA55" i="54" s="1"/>
  <c r="I55" i="54"/>
  <c r="I54" i="54"/>
  <c r="I55" i="53"/>
  <c r="R54" i="54" s="1"/>
  <c r="AA54" i="54" s="1"/>
  <c r="L56" i="53"/>
  <c r="U55" i="54" s="1"/>
  <c r="L55" i="54"/>
  <c r="H56" i="53"/>
  <c r="Q55" i="54" s="1"/>
  <c r="H55" i="54"/>
  <c r="BR27" i="13"/>
  <c r="AS42" i="44"/>
  <c r="AS105" i="44"/>
  <c r="M41" i="48" l="1"/>
  <c r="M43" i="48"/>
  <c r="M32" i="49" s="1"/>
  <c r="G90" i="44"/>
  <c r="F43" i="44"/>
  <c r="G40" i="44" s="1"/>
  <c r="H90" i="44"/>
  <c r="F31" i="44"/>
  <c r="F32" i="44" s="1"/>
  <c r="G29" i="44" s="1"/>
  <c r="F90" i="44"/>
  <c r="I90" i="44"/>
  <c r="H31" i="44"/>
  <c r="G31" i="44"/>
  <c r="N90" i="11"/>
  <c r="O87" i="11" s="1"/>
  <c r="L88" i="44"/>
  <c r="L91" i="44" s="1"/>
  <c r="K93" i="44"/>
  <c r="K17" i="49" s="1"/>
  <c r="K32" i="50"/>
  <c r="L17" i="50"/>
  <c r="M73" i="9"/>
  <c r="AK27" i="13"/>
  <c r="G12" i="13"/>
  <c r="BE23" i="13"/>
  <c r="BE22" i="13" s="1"/>
  <c r="BE27" i="13" s="1"/>
  <c r="BE16" i="6"/>
  <c r="L28" i="49"/>
  <c r="M27" i="50"/>
  <c r="N75" i="44"/>
  <c r="N78" i="44" s="1"/>
  <c r="M80" i="44"/>
  <c r="F52" i="54"/>
  <c r="X52" i="54" s="1"/>
  <c r="F39" i="54"/>
  <c r="X34" i="54"/>
  <c r="J14" i="54"/>
  <c r="K22" i="54"/>
  <c r="K20" i="53"/>
  <c r="U31" i="54"/>
  <c r="AD31" i="54" s="1"/>
  <c r="B87" i="5"/>
  <c r="Z118" i="54"/>
  <c r="N152" i="11"/>
  <c r="N160" i="11" s="1"/>
  <c r="BF23" i="13"/>
  <c r="BF22" i="13" s="1"/>
  <c r="BF27" i="13" s="1"/>
  <c r="BF16" i="6"/>
  <c r="M169" i="11"/>
  <c r="N166" i="11" s="1"/>
  <c r="T39" i="34"/>
  <c r="S52" i="34"/>
  <c r="T51" i="34"/>
  <c r="U38" i="34"/>
  <c r="V16" i="6"/>
  <c r="V23" i="13"/>
  <c r="V22" i="13" s="1"/>
  <c r="V27" i="13" s="1"/>
  <c r="N42" i="54"/>
  <c r="W42" i="54" s="1"/>
  <c r="E45" i="53"/>
  <c r="N46" i="54" s="1"/>
  <c r="W46" i="54" s="1"/>
  <c r="M25" i="13"/>
  <c r="E25" i="13" s="1"/>
  <c r="E14" i="6"/>
  <c r="K18" i="53"/>
  <c r="K20" i="54"/>
  <c r="N45" i="44"/>
  <c r="N22" i="50"/>
  <c r="O40" i="44"/>
  <c r="O43" i="44" s="1"/>
  <c r="BA29" i="13"/>
  <c r="H29" i="13" s="1"/>
  <c r="H15" i="6"/>
  <c r="H106" i="44"/>
  <c r="Z106" i="54"/>
  <c r="L55" i="34"/>
  <c r="M42" i="34"/>
  <c r="AB106" i="54"/>
  <c r="I25" i="54"/>
  <c r="I23" i="53"/>
  <c r="AB56" i="54"/>
  <c r="S31" i="54"/>
  <c r="AB31" i="54" s="1"/>
  <c r="N224" i="11"/>
  <c r="N232" i="11" s="1"/>
  <c r="G42" i="44"/>
  <c r="AF27" i="13"/>
  <c r="F12" i="13"/>
  <c r="F27" i="13" s="1"/>
  <c r="M24" i="49"/>
  <c r="H13" i="53"/>
  <c r="H15" i="54"/>
  <c r="S27" i="54"/>
  <c r="AB27" i="54" s="1"/>
  <c r="BA25" i="13"/>
  <c r="H25" i="13" s="1"/>
  <c r="H14" i="6"/>
  <c r="J15" i="53"/>
  <c r="S17" i="54" s="1"/>
  <c r="AB17" i="54" s="1"/>
  <c r="J17" i="54"/>
  <c r="R22" i="54"/>
  <c r="AA22" i="54" s="1"/>
  <c r="U56" i="34"/>
  <c r="V30" i="34"/>
  <c r="V43" i="34"/>
  <c r="P104" i="54"/>
  <c r="Y104" i="54" s="1"/>
  <c r="Y97" i="54"/>
  <c r="AD118" i="54"/>
  <c r="U32" i="54"/>
  <c r="AD32" i="54" s="1"/>
  <c r="L17" i="11"/>
  <c r="L35" i="50" s="1"/>
  <c r="L23" i="11"/>
  <c r="N45" i="11"/>
  <c r="AD16" i="54"/>
  <c r="AD106" i="54"/>
  <c r="R32" i="54"/>
  <c r="AA32" i="54" s="1"/>
  <c r="L16" i="49"/>
  <c r="N55" i="9"/>
  <c r="N57" i="9" s="1"/>
  <c r="S26" i="54"/>
  <c r="AB26" i="54" s="1"/>
  <c r="BA23" i="13"/>
  <c r="BA16" i="6"/>
  <c r="H12" i="6"/>
  <c r="G105" i="44"/>
  <c r="G127" i="53"/>
  <c r="G132" i="53"/>
  <c r="P128" i="54" s="1"/>
  <c r="Y128" i="54" s="1"/>
  <c r="P120" i="54"/>
  <c r="Y120" i="54" s="1"/>
  <c r="AC17" i="54"/>
  <c r="U26" i="54"/>
  <c r="AD26" i="54" s="1"/>
  <c r="N154" i="11"/>
  <c r="N168" i="11" s="1"/>
  <c r="L15" i="54"/>
  <c r="L14" i="54" s="1"/>
  <c r="L13" i="53"/>
  <c r="L36" i="13"/>
  <c r="R15" i="54"/>
  <c r="AA15" i="54" s="1"/>
  <c r="G42" i="54"/>
  <c r="Y39" i="54"/>
  <c r="N116" i="11"/>
  <c r="N124" i="11" s="1"/>
  <c r="N15" i="11" s="1"/>
  <c r="AW93" i="54"/>
  <c r="AX90" i="54"/>
  <c r="J20" i="54"/>
  <c r="J18" i="53"/>
  <c r="R31" i="54"/>
  <c r="AA31" i="54" s="1"/>
  <c r="P64" i="44"/>
  <c r="P67" i="44" s="1"/>
  <c r="O26" i="50"/>
  <c r="O69" i="44"/>
  <c r="E20" i="44"/>
  <c r="E21" i="44" s="1"/>
  <c r="F18" i="44" s="1"/>
  <c r="F21" i="44" s="1"/>
  <c r="G18" i="44" s="1"/>
  <c r="G21" i="44" s="1"/>
  <c r="H18" i="44" s="1"/>
  <c r="L24" i="50"/>
  <c r="G22" i="13"/>
  <c r="T32" i="54"/>
  <c r="AC32" i="54" s="1"/>
  <c r="M16" i="6"/>
  <c r="M23" i="13"/>
  <c r="E12" i="6"/>
  <c r="I20" i="44"/>
  <c r="J19" i="34"/>
  <c r="I27" i="54"/>
  <c r="I25" i="53"/>
  <c r="J19" i="53"/>
  <c r="J21" i="54"/>
  <c r="P35" i="9"/>
  <c r="P37" i="9" s="1"/>
  <c r="AC56" i="54"/>
  <c r="N188" i="11"/>
  <c r="N196" i="11" s="1"/>
  <c r="F105" i="44"/>
  <c r="L20" i="54"/>
  <c r="L18" i="53"/>
  <c r="L24" i="11"/>
  <c r="L34" i="50" s="1"/>
  <c r="S22" i="54"/>
  <c r="AB22" i="54" s="1"/>
  <c r="G23" i="13"/>
  <c r="N53" i="44"/>
  <c r="N56" i="44" s="1"/>
  <c r="M58" i="44"/>
  <c r="M25" i="50"/>
  <c r="AD55" i="54"/>
  <c r="N15" i="56"/>
  <c r="N24" i="49" s="1"/>
  <c r="Z55" i="54"/>
  <c r="W34" i="54"/>
  <c r="N39" i="54"/>
  <c r="W39" i="54" s="1"/>
  <c r="M29" i="13"/>
  <c r="E29" i="13" s="1"/>
  <c r="E15" i="6"/>
  <c r="L25" i="53"/>
  <c r="L27" i="54"/>
  <c r="L27" i="34"/>
  <c r="K28" i="34"/>
  <c r="K21" i="48"/>
  <c r="O7" i="55"/>
  <c r="O7" i="47"/>
  <c r="O7" i="50"/>
  <c r="O7" i="11"/>
  <c r="R8" i="2"/>
  <c r="O7" i="51"/>
  <c r="O7" i="42"/>
  <c r="O7" i="48"/>
  <c r="O7" i="56"/>
  <c r="O7" i="9"/>
  <c r="O7" i="6"/>
  <c r="O7" i="1"/>
  <c r="O7" i="49"/>
  <c r="O7" i="5"/>
  <c r="O7" i="7"/>
  <c r="O7" i="57"/>
  <c r="O7" i="44"/>
  <c r="O7" i="13"/>
  <c r="K19" i="53"/>
  <c r="K21" i="54"/>
  <c r="E90" i="44"/>
  <c r="E91" i="44" s="1"/>
  <c r="F88" i="44" s="1"/>
  <c r="Q32" i="54"/>
  <c r="Z32" i="54" s="1"/>
  <c r="I105" i="44"/>
  <c r="AC118" i="54"/>
  <c r="K13" i="53"/>
  <c r="K15" i="54"/>
  <c r="K14" i="54" s="1"/>
  <c r="H18" i="53"/>
  <c r="H20" i="54"/>
  <c r="L23" i="53"/>
  <c r="L25" i="54"/>
  <c r="K21" i="44"/>
  <c r="N240" i="11"/>
  <c r="N241" i="11" s="1"/>
  <c r="O238" i="11" s="1"/>
  <c r="I19" i="53"/>
  <c r="I21" i="54"/>
  <c r="M24" i="13"/>
  <c r="E24" i="13" s="1"/>
  <c r="E13" i="6"/>
  <c r="BA24" i="13"/>
  <c r="H24" i="13" s="1"/>
  <c r="H13" i="6"/>
  <c r="M205" i="11"/>
  <c r="N202" i="11" s="1"/>
  <c r="H14" i="53"/>
  <c r="Q16" i="54" s="1"/>
  <c r="H16" i="54"/>
  <c r="L22" i="54"/>
  <c r="L20" i="53"/>
  <c r="L65" i="9"/>
  <c r="L67" i="9" s="1"/>
  <c r="E106" i="44"/>
  <c r="H20" i="44"/>
  <c r="I42" i="44"/>
  <c r="N59" i="11"/>
  <c r="N14" i="11"/>
  <c r="N46" i="11"/>
  <c r="N53" i="11" s="1"/>
  <c r="N54" i="11" s="1"/>
  <c r="O52" i="11" s="1"/>
  <c r="Q43" i="9"/>
  <c r="P14" i="50"/>
  <c r="AA95" i="53"/>
  <c r="AB92" i="53"/>
  <c r="AA106" i="54"/>
  <c r="N5" i="24"/>
  <c r="B18" i="24" s="1"/>
  <c r="AO49" i="34"/>
  <c r="N5" i="21"/>
  <c r="B18" i="21" s="1"/>
  <c r="O49" i="34"/>
  <c r="AN5" i="24"/>
  <c r="AN5" i="20"/>
  <c r="O36" i="34"/>
  <c r="Z5" i="33"/>
  <c r="AN5" i="22"/>
  <c r="N5" i="23"/>
  <c r="B18" i="23" s="1"/>
  <c r="AA5" i="28"/>
  <c r="AB5" i="34"/>
  <c r="N5" i="22"/>
  <c r="B18" i="22" s="1"/>
  <c r="Z5" i="37"/>
  <c r="N5" i="28"/>
  <c r="B18" i="28" s="1"/>
  <c r="M5" i="37"/>
  <c r="AO5" i="34"/>
  <c r="M5" i="33"/>
  <c r="L5" i="32"/>
  <c r="AN5" i="26"/>
  <c r="AB36" i="34"/>
  <c r="AN5" i="21"/>
  <c r="N5" i="25"/>
  <c r="B18" i="25" s="1"/>
  <c r="AA5" i="21"/>
  <c r="AA5" i="26"/>
  <c r="AA5" i="24"/>
  <c r="O5" i="34"/>
  <c r="O18" i="34"/>
  <c r="AA5" i="23"/>
  <c r="M5" i="36"/>
  <c r="N5" i="20"/>
  <c r="B18" i="20" s="1"/>
  <c r="AO36" i="34"/>
  <c r="AB18" i="34"/>
  <c r="AN5" i="28"/>
  <c r="AN5" i="25"/>
  <c r="AB49" i="34"/>
  <c r="Z5" i="36"/>
  <c r="N5" i="27"/>
  <c r="B18" i="27" s="1"/>
  <c r="AO18" i="34"/>
  <c r="AM5" i="33"/>
  <c r="AA5" i="25"/>
  <c r="AN5" i="27"/>
  <c r="AM5" i="36"/>
  <c r="Y5" i="32"/>
  <c r="J15" i="29"/>
  <c r="AL5" i="32"/>
  <c r="AA5" i="20"/>
  <c r="AN5" i="23"/>
  <c r="AA5" i="27"/>
  <c r="AM5" i="37"/>
  <c r="N5" i="26"/>
  <c r="B18" i="26" s="1"/>
  <c r="AA5" i="22"/>
  <c r="K108" i="44"/>
  <c r="E105" i="44"/>
  <c r="Z56" i="54"/>
  <c r="E12" i="13"/>
  <c r="K27" i="13"/>
  <c r="K32" i="13" s="1"/>
  <c r="AA107" i="54"/>
  <c r="AA44" i="54"/>
  <c r="AC55" i="54"/>
  <c r="AD107" i="54"/>
  <c r="N33" i="56"/>
  <c r="N39" i="56" s="1"/>
  <c r="H22" i="54"/>
  <c r="H20" i="53"/>
  <c r="U21" i="54"/>
  <c r="AD21" i="54" s="1"/>
  <c r="S15" i="54"/>
  <c r="AB15" i="54" s="1"/>
  <c r="J12" i="53"/>
  <c r="J18" i="59" s="1"/>
  <c r="H19" i="53"/>
  <c r="H21" i="54"/>
  <c r="H40" i="34"/>
  <c r="G53" i="34"/>
  <c r="G59" i="34" s="1"/>
  <c r="H105" i="44"/>
  <c r="T25" i="34"/>
  <c r="S26" i="34"/>
  <c r="S32" i="54"/>
  <c r="AB32" i="54" s="1"/>
  <c r="I26" i="54"/>
  <c r="I24" i="53"/>
  <c r="N118" i="11"/>
  <c r="N132" i="11" s="1"/>
  <c r="N133" i="11" s="1"/>
  <c r="O130" i="11" s="1"/>
  <c r="M47" i="11"/>
  <c r="M22" i="11"/>
  <c r="M36" i="13" s="1"/>
  <c r="I20" i="54"/>
  <c r="I19" i="54" s="1"/>
  <c r="I18" i="53"/>
  <c r="P29" i="44"/>
  <c r="P32" i="44" s="1"/>
  <c r="O34" i="44"/>
  <c r="O21" i="50"/>
  <c r="H50" i="34"/>
  <c r="I37" i="34"/>
  <c r="S54" i="34"/>
  <c r="T41" i="34"/>
  <c r="I16" i="54"/>
  <c r="I14" i="54" s="1"/>
  <c r="I14" i="53"/>
  <c r="R16" i="54" s="1"/>
  <c r="N204" i="11"/>
  <c r="I44" i="34"/>
  <c r="I31" i="34"/>
  <c r="I33" i="34" s="1"/>
  <c r="H57" i="34"/>
  <c r="N82" i="11"/>
  <c r="N96" i="11" s="1"/>
  <c r="L61" i="11"/>
  <c r="M58" i="11" s="1"/>
  <c r="F91" i="44" l="1"/>
  <c r="G88" i="44" s="1"/>
  <c r="G91" i="44" s="1"/>
  <c r="H88" i="44" s="1"/>
  <c r="H91" i="44" s="1"/>
  <c r="I88" i="44" s="1"/>
  <c r="I91" i="44" s="1"/>
  <c r="G43" i="44"/>
  <c r="H40" i="44" s="1"/>
  <c r="H43" i="44" s="1"/>
  <c r="I40" i="44" s="1"/>
  <c r="I43" i="44" s="1"/>
  <c r="M44" i="48"/>
  <c r="N43" i="48" s="1"/>
  <c r="M16" i="49"/>
  <c r="G32" i="44"/>
  <c r="H29" i="44" s="1"/>
  <c r="H32" i="44" s="1"/>
  <c r="I29" i="44" s="1"/>
  <c r="I32" i="44" s="1"/>
  <c r="M24" i="50"/>
  <c r="H21" i="44"/>
  <c r="I18" i="44" s="1"/>
  <c r="I21" i="44" s="1"/>
  <c r="M63" i="9"/>
  <c r="L16" i="50"/>
  <c r="L12" i="50" s="1"/>
  <c r="O46" i="11"/>
  <c r="O53" i="11" s="1"/>
  <c r="O54" i="11" s="1"/>
  <c r="P52" i="11" s="1"/>
  <c r="O59" i="11"/>
  <c r="N27" i="49"/>
  <c r="Q33" i="9"/>
  <c r="P13" i="50"/>
  <c r="N15" i="50"/>
  <c r="O53" i="9"/>
  <c r="U25" i="54"/>
  <c r="AD25" i="54" s="1"/>
  <c r="L22" i="53"/>
  <c r="I40" i="34"/>
  <c r="H53" i="34"/>
  <c r="H59" i="34" s="1"/>
  <c r="Q21" i="54"/>
  <c r="Z21" i="54" s="1"/>
  <c r="K12" i="49"/>
  <c r="Z16" i="54"/>
  <c r="R21" i="54"/>
  <c r="AA21" i="54" s="1"/>
  <c r="K49" i="54"/>
  <c r="H29" i="53"/>
  <c r="H31" i="54"/>
  <c r="L49" i="54"/>
  <c r="R23" i="53"/>
  <c r="R25" i="54"/>
  <c r="AA25" i="54" s="1"/>
  <c r="I22" i="53"/>
  <c r="L93" i="44"/>
  <c r="L17" i="49" s="1"/>
  <c r="L32" i="50"/>
  <c r="M88" i="44"/>
  <c r="M91" i="44" s="1"/>
  <c r="U41" i="34"/>
  <c r="T54" i="34"/>
  <c r="I46" i="34"/>
  <c r="J37" i="34"/>
  <c r="I50" i="34"/>
  <c r="S14" i="54"/>
  <c r="AB14" i="54" s="1"/>
  <c r="Q45" i="9"/>
  <c r="T15" i="54"/>
  <c r="AC15" i="54" s="1"/>
  <c r="K12" i="53"/>
  <c r="K19" i="34"/>
  <c r="BA22" i="13"/>
  <c r="H23" i="13"/>
  <c r="H14" i="54"/>
  <c r="I49" i="54" s="1"/>
  <c r="I24" i="54"/>
  <c r="I29" i="54" s="1"/>
  <c r="N80" i="44"/>
  <c r="O75" i="44"/>
  <c r="O78" i="44" s="1"/>
  <c r="N27" i="50"/>
  <c r="N17" i="11"/>
  <c r="N35" i="50" s="1"/>
  <c r="P21" i="50"/>
  <c r="P34" i="44"/>
  <c r="Q29" i="44"/>
  <c r="Q32" i="44" s="1"/>
  <c r="I17" i="53"/>
  <c r="R19" i="53" s="1"/>
  <c r="R20" i="54"/>
  <c r="AA20" i="54" s="1"/>
  <c r="H46" i="34"/>
  <c r="L31" i="13"/>
  <c r="N205" i="11"/>
  <c r="O202" i="11" s="1"/>
  <c r="K20" i="50"/>
  <c r="K19" i="50" s="1"/>
  <c r="L18" i="44"/>
  <c r="L21" i="44" s="1"/>
  <c r="K23" i="44"/>
  <c r="K15" i="49" s="1"/>
  <c r="O8" i="57"/>
  <c r="O8" i="56"/>
  <c r="O109" i="56" s="1"/>
  <c r="O116" i="56" s="1"/>
  <c r="O8" i="5"/>
  <c r="O8" i="51"/>
  <c r="O8" i="9"/>
  <c r="O8" i="49"/>
  <c r="O8" i="55"/>
  <c r="O8" i="48"/>
  <c r="O8" i="50"/>
  <c r="O8" i="1"/>
  <c r="O8" i="44"/>
  <c r="O8" i="47"/>
  <c r="O8" i="42"/>
  <c r="O8" i="6"/>
  <c r="S7" i="2"/>
  <c r="O8" i="7"/>
  <c r="O8" i="13"/>
  <c r="O8" i="11"/>
  <c r="O80" i="11" s="1"/>
  <c r="O88" i="11" s="1"/>
  <c r="G46" i="54"/>
  <c r="Y46" i="54" s="1"/>
  <c r="Y42" i="54"/>
  <c r="G129" i="53"/>
  <c r="G125" i="54" s="1"/>
  <c r="P123" i="54"/>
  <c r="Q15" i="54"/>
  <c r="Z15" i="54" s="1"/>
  <c r="H12" i="53"/>
  <c r="K19" i="54"/>
  <c r="T22" i="54"/>
  <c r="AC22" i="54" s="1"/>
  <c r="M75" i="9"/>
  <c r="M77" i="9"/>
  <c r="K26" i="54"/>
  <c r="K24" i="53"/>
  <c r="J31" i="34"/>
  <c r="J33" i="34" s="1"/>
  <c r="J44" i="34"/>
  <c r="I57" i="34"/>
  <c r="M60" i="11"/>
  <c r="T26" i="34"/>
  <c r="U25" i="34"/>
  <c r="N16" i="11"/>
  <c r="U20" i="53"/>
  <c r="U22" i="54"/>
  <c r="AD22" i="54" s="1"/>
  <c r="L24" i="54"/>
  <c r="O152" i="11"/>
  <c r="O160" i="11" s="1"/>
  <c r="M27" i="34"/>
  <c r="L28" i="34"/>
  <c r="N25" i="50"/>
  <c r="N58" i="44"/>
  <c r="O53" i="44"/>
  <c r="O56" i="44" s="1"/>
  <c r="U20" i="54"/>
  <c r="AD20" i="54" s="1"/>
  <c r="U18" i="53"/>
  <c r="L17" i="53"/>
  <c r="E16" i="6"/>
  <c r="S20" i="54"/>
  <c r="AB20" i="54" s="1"/>
  <c r="J17" i="53"/>
  <c r="I12" i="53"/>
  <c r="N234" i="11"/>
  <c r="O231" i="11" s="1"/>
  <c r="K17" i="53"/>
  <c r="T20" i="53" s="1"/>
  <c r="T20" i="54"/>
  <c r="AC20" i="54" s="1"/>
  <c r="U51" i="34"/>
  <c r="V38" i="34"/>
  <c r="O95" i="11"/>
  <c r="O81" i="11"/>
  <c r="O89" i="11" s="1"/>
  <c r="AB95" i="53"/>
  <c r="AC92" i="53"/>
  <c r="T21" i="54"/>
  <c r="AC21" i="54" s="1"/>
  <c r="T19" i="53"/>
  <c r="L19" i="54"/>
  <c r="L29" i="54" s="1"/>
  <c r="J19" i="54"/>
  <c r="J29" i="54" s="1"/>
  <c r="J17" i="59"/>
  <c r="N162" i="11"/>
  <c r="O159" i="11" s="1"/>
  <c r="J49" i="54"/>
  <c r="M22" i="13"/>
  <c r="E23" i="13"/>
  <c r="AA16" i="54"/>
  <c r="Q22" i="54"/>
  <c r="Z22" i="54" s="1"/>
  <c r="L104" i="44"/>
  <c r="L108" i="44" s="1"/>
  <c r="K110" i="44"/>
  <c r="K18" i="49" s="1"/>
  <c r="K33" i="50"/>
  <c r="AM5" i="32"/>
  <c r="AP36" i="34"/>
  <c r="AC49" i="34"/>
  <c r="N5" i="37"/>
  <c r="P49" i="34"/>
  <c r="AO5" i="24"/>
  <c r="AO5" i="25"/>
  <c r="M5" i="32"/>
  <c r="N5" i="36"/>
  <c r="O5" i="22"/>
  <c r="B19" i="22" s="1"/>
  <c r="AB5" i="26"/>
  <c r="AN5" i="33"/>
  <c r="Z5" i="32"/>
  <c r="AO5" i="22"/>
  <c r="AB5" i="28"/>
  <c r="N5" i="33"/>
  <c r="AB5" i="21"/>
  <c r="AB5" i="23"/>
  <c r="P5" i="34"/>
  <c r="AP18" i="34"/>
  <c r="O5" i="21"/>
  <c r="B19" i="21" s="1"/>
  <c r="AN5" i="37"/>
  <c r="AA5" i="33"/>
  <c r="AC36" i="34"/>
  <c r="P36" i="34"/>
  <c r="AB5" i="27"/>
  <c r="O5" i="20"/>
  <c r="B19" i="20" s="1"/>
  <c r="O5" i="25"/>
  <c r="B19" i="25" s="1"/>
  <c r="AO5" i="23"/>
  <c r="AP49" i="34"/>
  <c r="P18" i="34"/>
  <c r="K15" i="29"/>
  <c r="L15" i="29" s="1"/>
  <c r="M15" i="29" s="1"/>
  <c r="N15" i="29" s="1"/>
  <c r="O15" i="29" s="1"/>
  <c r="P15" i="29" s="1"/>
  <c r="Q15" i="29" s="1"/>
  <c r="R15" i="29" s="1"/>
  <c r="S15" i="29" s="1"/>
  <c r="T15" i="29" s="1"/>
  <c r="U15" i="29" s="1"/>
  <c r="V15" i="29" s="1"/>
  <c r="W15" i="29" s="1"/>
  <c r="X15" i="29" s="1"/>
  <c r="Y15" i="29" s="1"/>
  <c r="Z15" i="29" s="1"/>
  <c r="AA15" i="29" s="1"/>
  <c r="AB15" i="29" s="1"/>
  <c r="AC15" i="29" s="1"/>
  <c r="AD15" i="29" s="1"/>
  <c r="AE15" i="29" s="1"/>
  <c r="AF15" i="29" s="1"/>
  <c r="AG15" i="29" s="1"/>
  <c r="AH15" i="29" s="1"/>
  <c r="AI15" i="29" s="1"/>
  <c r="AJ15" i="29" s="1"/>
  <c r="AK15" i="29" s="1"/>
  <c r="AL15" i="29" s="1"/>
  <c r="AM15" i="29" s="1"/>
  <c r="AN15" i="29" s="1"/>
  <c r="AO15" i="29" s="1"/>
  <c r="AP15" i="29" s="1"/>
  <c r="AQ15" i="29" s="1"/>
  <c r="AR15" i="29" s="1"/>
  <c r="AS15" i="29" s="1"/>
  <c r="AT15" i="29" s="1"/>
  <c r="AU15" i="29" s="1"/>
  <c r="AV15" i="29" s="1"/>
  <c r="AW15" i="29" s="1"/>
  <c r="AX15" i="29" s="1"/>
  <c r="AY15" i="29" s="1"/>
  <c r="AZ15" i="29" s="1"/>
  <c r="BA15" i="29" s="1"/>
  <c r="BB15" i="29" s="1"/>
  <c r="BC15" i="29" s="1"/>
  <c r="BD15" i="29" s="1"/>
  <c r="BE15" i="29" s="1"/>
  <c r="BF15" i="29" s="1"/>
  <c r="BG15" i="29" s="1"/>
  <c r="BH15" i="29" s="1"/>
  <c r="AA5" i="37"/>
  <c r="AO5" i="28"/>
  <c r="AB5" i="20"/>
  <c r="AO5" i="27"/>
  <c r="AN5" i="36"/>
  <c r="O5" i="27"/>
  <c r="B19" i="27" s="1"/>
  <c r="AO5" i="26"/>
  <c r="O5" i="26"/>
  <c r="B19" i="26" s="1"/>
  <c r="AB5" i="24"/>
  <c r="AB5" i="25"/>
  <c r="AC18" i="34"/>
  <c r="O5" i="23"/>
  <c r="B19" i="23" s="1"/>
  <c r="AO5" i="21"/>
  <c r="AP5" i="34"/>
  <c r="O5" i="28"/>
  <c r="B19" i="28" s="1"/>
  <c r="AB5" i="22"/>
  <c r="AC5" i="34"/>
  <c r="O5" i="24"/>
  <c r="B19" i="24" s="1"/>
  <c r="AO5" i="20"/>
  <c r="AA5" i="36"/>
  <c r="N22" i="11"/>
  <c r="N36" i="13" s="1"/>
  <c r="N47" i="11"/>
  <c r="N97" i="11"/>
  <c r="O94" i="11" s="1"/>
  <c r="H19" i="54"/>
  <c r="U25" i="53"/>
  <c r="U27" i="54"/>
  <c r="AD27" i="54" s="1"/>
  <c r="J23" i="53"/>
  <c r="J25" i="54"/>
  <c r="J24" i="54" s="1"/>
  <c r="S19" i="53"/>
  <c r="S21" i="54"/>
  <c r="AB21" i="54" s="1"/>
  <c r="AX93" i="54"/>
  <c r="AY90" i="54"/>
  <c r="V56" i="34"/>
  <c r="W30" i="34"/>
  <c r="W43" i="34"/>
  <c r="K31" i="54"/>
  <c r="K29" i="53"/>
  <c r="H27" i="54"/>
  <c r="H25" i="53"/>
  <c r="R26" i="54"/>
  <c r="AA26" i="54" s="1"/>
  <c r="R24" i="53"/>
  <c r="H24" i="53"/>
  <c r="H26" i="54"/>
  <c r="H17" i="53"/>
  <c r="Q20" i="53" s="1"/>
  <c r="Q20" i="54"/>
  <c r="Z20" i="54" s="1"/>
  <c r="Q18" i="53"/>
  <c r="O57" i="56"/>
  <c r="O64" i="56" s="1"/>
  <c r="O160" i="56"/>
  <c r="O167" i="56" s="1"/>
  <c r="R27" i="54"/>
  <c r="AA27" i="54" s="1"/>
  <c r="R25" i="53"/>
  <c r="K27" i="54"/>
  <c r="K25" i="53"/>
  <c r="M55" i="34"/>
  <c r="N42" i="34"/>
  <c r="P40" i="44"/>
  <c r="P43" i="44" s="1"/>
  <c r="O22" i="50"/>
  <c r="O45" i="44"/>
  <c r="T52" i="34"/>
  <c r="U39" i="34"/>
  <c r="F42" i="54"/>
  <c r="X39" i="54"/>
  <c r="M61" i="11"/>
  <c r="N58" i="11" s="1"/>
  <c r="M21" i="11"/>
  <c r="N198" i="11"/>
  <c r="O195" i="11" s="1"/>
  <c r="P69" i="44"/>
  <c r="Q64" i="44"/>
  <c r="Q67" i="44" s="1"/>
  <c r="P26" i="50"/>
  <c r="N126" i="11"/>
  <c r="O123" i="11" s="1"/>
  <c r="L12" i="53"/>
  <c r="U15" i="54"/>
  <c r="AD15" i="54" s="1"/>
  <c r="H16" i="6"/>
  <c r="L30" i="49"/>
  <c r="N169" i="11"/>
  <c r="O166" i="11" s="1"/>
  <c r="G27" i="13"/>
  <c r="M37" i="50" l="1"/>
  <c r="N41" i="48"/>
  <c r="N44" i="48" s="1"/>
  <c r="N24" i="50"/>
  <c r="N16" i="49"/>
  <c r="J51" i="54"/>
  <c r="J50" i="54"/>
  <c r="L50" i="54"/>
  <c r="P46" i="11"/>
  <c r="P53" i="11" s="1"/>
  <c r="P59" i="11"/>
  <c r="O90" i="11"/>
  <c r="P87" i="11" s="1"/>
  <c r="I50" i="54"/>
  <c r="S25" i="54"/>
  <c r="AB25" i="54" s="1"/>
  <c r="J22" i="53"/>
  <c r="S23" i="53"/>
  <c r="H23" i="53"/>
  <c r="H25" i="54"/>
  <c r="H24" i="54" s="1"/>
  <c r="O239" i="11"/>
  <c r="O225" i="11"/>
  <c r="O233" i="11" s="1"/>
  <c r="N32" i="49"/>
  <c r="O188" i="11"/>
  <c r="O196" i="11" s="1"/>
  <c r="J57" i="34"/>
  <c r="K44" i="34"/>
  <c r="K31" i="34"/>
  <c r="K23" i="53"/>
  <c r="K25" i="54"/>
  <c r="K24" i="54" s="1"/>
  <c r="K29" i="54" s="1"/>
  <c r="O131" i="11"/>
  <c r="O117" i="11"/>
  <c r="O125" i="11" s="1"/>
  <c r="N61" i="11"/>
  <c r="O58" i="11" s="1"/>
  <c r="N21" i="11"/>
  <c r="Q40" i="44"/>
  <c r="Q43" i="44" s="1"/>
  <c r="P45" i="44"/>
  <c r="P22" i="50"/>
  <c r="Q27" i="54"/>
  <c r="Z27" i="54" s="1"/>
  <c r="N60" i="11"/>
  <c r="N23" i="11" s="1"/>
  <c r="N30" i="49" s="1"/>
  <c r="M104" i="44"/>
  <c r="L110" i="44"/>
  <c r="L18" i="49" s="1"/>
  <c r="L33" i="50"/>
  <c r="R14" i="54"/>
  <c r="AA14" i="54" s="1"/>
  <c r="I50" i="53"/>
  <c r="R49" i="54" s="1"/>
  <c r="AA49" i="54" s="1"/>
  <c r="I27" i="53"/>
  <c r="I21" i="59"/>
  <c r="I17" i="59"/>
  <c r="I18" i="59"/>
  <c r="U19" i="54"/>
  <c r="AD19" i="54" s="1"/>
  <c r="L16" i="59"/>
  <c r="U19" i="53"/>
  <c r="M28" i="34"/>
  <c r="N27" i="34"/>
  <c r="O116" i="11"/>
  <c r="O124" i="11" s="1"/>
  <c r="N28" i="49"/>
  <c r="T26" i="54"/>
  <c r="AC26" i="54" s="1"/>
  <c r="L19" i="34"/>
  <c r="K33" i="34"/>
  <c r="V41" i="34"/>
  <c r="U54" i="34"/>
  <c r="J40" i="34"/>
  <c r="I53" i="34"/>
  <c r="I59" i="34" s="1"/>
  <c r="Q35" i="9"/>
  <c r="Q37" i="9" s="1"/>
  <c r="O14" i="11"/>
  <c r="O82" i="11"/>
  <c r="O96" i="11" s="1"/>
  <c r="L14" i="49"/>
  <c r="L17" i="48"/>
  <c r="L32" i="13"/>
  <c r="N55" i="34"/>
  <c r="O42" i="34"/>
  <c r="AY93" i="54"/>
  <c r="AZ90" i="54"/>
  <c r="W38" i="34"/>
  <c r="V51" i="34"/>
  <c r="J16" i="59"/>
  <c r="S19" i="54"/>
  <c r="AB19" i="54" s="1"/>
  <c r="S20" i="53"/>
  <c r="O45" i="11"/>
  <c r="V25" i="34"/>
  <c r="U26" i="34"/>
  <c r="O80" i="44"/>
  <c r="P75" i="44"/>
  <c r="P78" i="44" s="1"/>
  <c r="O27" i="50"/>
  <c r="J21" i="59"/>
  <c r="M32" i="50"/>
  <c r="N88" i="44"/>
  <c r="N91" i="44" s="1"/>
  <c r="M93" i="44"/>
  <c r="M17" i="49" s="1"/>
  <c r="L15" i="59"/>
  <c r="U24" i="54"/>
  <c r="AD24" i="54" s="1"/>
  <c r="U24" i="53"/>
  <c r="O33" i="56"/>
  <c r="O39" i="56" s="1"/>
  <c r="BA27" i="13"/>
  <c r="H22" i="13"/>
  <c r="H27" i="13" s="1"/>
  <c r="T31" i="54"/>
  <c r="AC31" i="54" s="1"/>
  <c r="K17" i="59"/>
  <c r="O224" i="11"/>
  <c r="O232" i="11" s="1"/>
  <c r="O234" i="11" s="1"/>
  <c r="P231" i="11" s="1"/>
  <c r="N73" i="9"/>
  <c r="M17" i="50"/>
  <c r="P7" i="49"/>
  <c r="P7" i="42"/>
  <c r="P7" i="44"/>
  <c r="P7" i="47"/>
  <c r="P7" i="57"/>
  <c r="P7" i="9"/>
  <c r="P7" i="48"/>
  <c r="P7" i="5"/>
  <c r="S8" i="2"/>
  <c r="P7" i="55"/>
  <c r="P7" i="11"/>
  <c r="P7" i="51"/>
  <c r="P7" i="1"/>
  <c r="P7" i="56"/>
  <c r="P7" i="50"/>
  <c r="P7" i="13"/>
  <c r="P7" i="7"/>
  <c r="P7" i="6"/>
  <c r="I16" i="59"/>
  <c r="R19" i="54"/>
  <c r="AA19" i="54" s="1"/>
  <c r="R20" i="53"/>
  <c r="J50" i="53"/>
  <c r="S49" i="54" s="1"/>
  <c r="AB49" i="54" s="1"/>
  <c r="U23" i="53"/>
  <c r="M24" i="11"/>
  <c r="M34" i="50" s="1"/>
  <c r="R64" i="44"/>
  <c r="R67" i="44" s="1"/>
  <c r="Q69" i="44"/>
  <c r="Q26" i="50"/>
  <c r="F46" i="54"/>
  <c r="X46" i="54" s="1"/>
  <c r="X42" i="54"/>
  <c r="Q19" i="54"/>
  <c r="Z19" i="54" s="1"/>
  <c r="H16" i="59"/>
  <c r="AD92" i="53"/>
  <c r="AC95" i="53"/>
  <c r="T18" i="53"/>
  <c r="S18" i="53"/>
  <c r="O58" i="44"/>
  <c r="P53" i="44"/>
  <c r="P56" i="44" s="1"/>
  <c r="O25" i="50"/>
  <c r="M23" i="11"/>
  <c r="L20" i="50"/>
  <c r="L19" i="50" s="1"/>
  <c r="L23" i="44"/>
  <c r="L15" i="49" s="1"/>
  <c r="M18" i="44"/>
  <c r="M21" i="44" s="1"/>
  <c r="R18" i="53"/>
  <c r="K21" i="59"/>
  <c r="K50" i="53"/>
  <c r="T49" i="54" s="1"/>
  <c r="AC49" i="54" s="1"/>
  <c r="T14" i="54"/>
  <c r="AC14" i="54" s="1"/>
  <c r="K18" i="59"/>
  <c r="K19" i="49"/>
  <c r="K36" i="49" s="1"/>
  <c r="K39" i="49" s="1"/>
  <c r="E22" i="13"/>
  <c r="E27" i="13" s="1"/>
  <c r="M27" i="13"/>
  <c r="Q14" i="54"/>
  <c r="Z14" i="54" s="1"/>
  <c r="H50" i="53"/>
  <c r="Q49" i="54" s="1"/>
  <c r="H21" i="59"/>
  <c r="H18" i="59"/>
  <c r="U52" i="34"/>
  <c r="V39" i="34"/>
  <c r="O83" i="56"/>
  <c r="O90" i="56" s="1"/>
  <c r="O15" i="56" s="1"/>
  <c r="O167" i="11"/>
  <c r="O153" i="11"/>
  <c r="O161" i="11" s="1"/>
  <c r="Q21" i="50"/>
  <c r="Q34" i="44"/>
  <c r="R29" i="44"/>
  <c r="R32" i="44" s="1"/>
  <c r="Q31" i="54"/>
  <c r="Z31" i="54" s="1"/>
  <c r="H17" i="59"/>
  <c r="Q19" i="53"/>
  <c r="L50" i="53"/>
  <c r="U49" i="54" s="1"/>
  <c r="AD49" i="54" s="1"/>
  <c r="L21" i="59"/>
  <c r="L27" i="53"/>
  <c r="U14" i="54"/>
  <c r="AD14" i="54" s="1"/>
  <c r="L18" i="59"/>
  <c r="L17" i="59"/>
  <c r="T27" i="54"/>
  <c r="AC27" i="54" s="1"/>
  <c r="O189" i="11"/>
  <c r="O197" i="11" s="1"/>
  <c r="O16" i="11" s="1"/>
  <c r="O203" i="11"/>
  <c r="O134" i="56"/>
  <c r="O141" i="56" s="1"/>
  <c r="Q26" i="54"/>
  <c r="Z26" i="54" s="1"/>
  <c r="X30" i="34"/>
  <c r="W56" i="34"/>
  <c r="X43" i="34"/>
  <c r="K16" i="59"/>
  <c r="T19" i="54"/>
  <c r="AC19" i="54" s="1"/>
  <c r="H29" i="54"/>
  <c r="H49" i="54"/>
  <c r="Q47" i="9"/>
  <c r="J50" i="34"/>
  <c r="J46" i="34"/>
  <c r="K37" i="34"/>
  <c r="R24" i="54"/>
  <c r="AA24" i="54" s="1"/>
  <c r="I15" i="59"/>
  <c r="O55" i="9"/>
  <c r="O57" i="9" s="1"/>
  <c r="O22" i="11"/>
  <c r="O47" i="11"/>
  <c r="O60" i="11" s="1"/>
  <c r="M65" i="9"/>
  <c r="M67" i="9" s="1"/>
  <c r="O24" i="50" l="1"/>
  <c r="O16" i="49"/>
  <c r="N63" i="9"/>
  <c r="M16" i="50"/>
  <c r="M12" i="50" s="1"/>
  <c r="P225" i="11"/>
  <c r="P233" i="11" s="1"/>
  <c r="P239" i="11"/>
  <c r="P226" i="11" s="1"/>
  <c r="R33" i="9"/>
  <c r="Q13" i="50"/>
  <c r="K51" i="54"/>
  <c r="K50" i="54"/>
  <c r="L51" i="54"/>
  <c r="P53" i="9"/>
  <c r="O15" i="50"/>
  <c r="O24" i="49"/>
  <c r="O28" i="49"/>
  <c r="O21" i="11"/>
  <c r="O61" i="11"/>
  <c r="P58" i="11" s="1"/>
  <c r="K40" i="49"/>
  <c r="N18" i="44"/>
  <c r="N21" i="44" s="1"/>
  <c r="M20" i="50"/>
  <c r="M19" i="50" s="1"/>
  <c r="M23" i="44"/>
  <c r="M15" i="49" s="1"/>
  <c r="P8" i="49"/>
  <c r="P8" i="5"/>
  <c r="P8" i="47"/>
  <c r="P8" i="50"/>
  <c r="T7" i="2"/>
  <c r="P8" i="7"/>
  <c r="P8" i="57"/>
  <c r="P8" i="6"/>
  <c r="P8" i="56"/>
  <c r="P8" i="44"/>
  <c r="P8" i="42"/>
  <c r="P8" i="13"/>
  <c r="P8" i="55"/>
  <c r="P8" i="51"/>
  <c r="P8" i="11"/>
  <c r="P8" i="48"/>
  <c r="P8" i="9"/>
  <c r="P8" i="1"/>
  <c r="W51" i="34"/>
  <c r="X38" i="34"/>
  <c r="J53" i="34"/>
  <c r="J59" i="34" s="1"/>
  <c r="K40" i="34"/>
  <c r="S24" i="54"/>
  <c r="AB24" i="54" s="1"/>
  <c r="J15" i="59"/>
  <c r="S25" i="53"/>
  <c r="S24" i="53"/>
  <c r="Y30" i="34"/>
  <c r="Y43" i="34"/>
  <c r="X56" i="34"/>
  <c r="P58" i="44"/>
  <c r="P25" i="50"/>
  <c r="Q53" i="44"/>
  <c r="Q56" i="44" s="1"/>
  <c r="AZ93" i="54"/>
  <c r="BA90" i="54"/>
  <c r="O118" i="11"/>
  <c r="O132" i="11" s="1"/>
  <c r="O133" i="11"/>
  <c r="P130" i="11" s="1"/>
  <c r="K22" i="53"/>
  <c r="T25" i="54"/>
  <c r="AC25" i="54" s="1"/>
  <c r="P95" i="11"/>
  <c r="P81" i="11"/>
  <c r="P89" i="11" s="1"/>
  <c r="O36" i="13"/>
  <c r="H51" i="54"/>
  <c r="H50" i="54"/>
  <c r="N75" i="9"/>
  <c r="N77" i="9"/>
  <c r="V26" i="34"/>
  <c r="W25" i="34"/>
  <c r="V54" i="34"/>
  <c r="W41" i="34"/>
  <c r="O27" i="34"/>
  <c r="N28" i="34"/>
  <c r="R29" i="54"/>
  <c r="AA29" i="54" s="1"/>
  <c r="I12" i="59"/>
  <c r="I51" i="53"/>
  <c r="R50" i="54" s="1"/>
  <c r="AA50" i="54" s="1"/>
  <c r="O126" i="11"/>
  <c r="P123" i="11" s="1"/>
  <c r="O226" i="11"/>
  <c r="O240" i="11" s="1"/>
  <c r="O241" i="11"/>
  <c r="P238" i="11" s="1"/>
  <c r="Z49" i="54"/>
  <c r="R26" i="50"/>
  <c r="R69" i="44"/>
  <c r="S64" i="44"/>
  <c r="S67" i="44" s="1"/>
  <c r="P83" i="56"/>
  <c r="P90" i="56" s="1"/>
  <c r="P134" i="56"/>
  <c r="P141" i="56" s="1"/>
  <c r="P160" i="56"/>
  <c r="P167" i="56" s="1"/>
  <c r="P57" i="56"/>
  <c r="P64" i="56" s="1"/>
  <c r="P109" i="56"/>
  <c r="P116" i="56" s="1"/>
  <c r="N93" i="44"/>
  <c r="N17" i="49" s="1"/>
  <c r="N32" i="50"/>
  <c r="O88" i="44"/>
  <c r="O91" i="44" s="1"/>
  <c r="O55" i="34"/>
  <c r="P42" i="34"/>
  <c r="L31" i="34"/>
  <c r="L44" i="34"/>
  <c r="K57" i="34"/>
  <c r="O15" i="11"/>
  <c r="J27" i="53"/>
  <c r="Q14" i="50"/>
  <c r="R43" i="9"/>
  <c r="AE92" i="53"/>
  <c r="AD95" i="53"/>
  <c r="O17" i="11"/>
  <c r="O35" i="50" s="1"/>
  <c r="M19" i="34"/>
  <c r="L33" i="34"/>
  <c r="I51" i="54"/>
  <c r="P47" i="11"/>
  <c r="P60" i="11" s="1"/>
  <c r="W39" i="34"/>
  <c r="V52" i="34"/>
  <c r="L21" i="48"/>
  <c r="N37" i="50"/>
  <c r="O43" i="48"/>
  <c r="O41" i="48"/>
  <c r="O162" i="11"/>
  <c r="P159" i="11" s="1"/>
  <c r="K50" i="34"/>
  <c r="K46" i="34"/>
  <c r="L37" i="34"/>
  <c r="O190" i="11"/>
  <c r="O204" i="11" s="1"/>
  <c r="O205" i="11" s="1"/>
  <c r="P202" i="11" s="1"/>
  <c r="O154" i="11"/>
  <c r="O168" i="11" s="1"/>
  <c r="O169" i="11" s="1"/>
  <c r="P166" i="11" s="1"/>
  <c r="M30" i="49"/>
  <c r="L12" i="49"/>
  <c r="Q22" i="50"/>
  <c r="Q45" i="44"/>
  <c r="R40" i="44"/>
  <c r="R43" i="44" s="1"/>
  <c r="Q25" i="54"/>
  <c r="Z25" i="54" s="1"/>
  <c r="Q23" i="53"/>
  <c r="H22" i="53"/>
  <c r="P14" i="11"/>
  <c r="O23" i="11"/>
  <c r="O30" i="49" s="1"/>
  <c r="Q75" i="44"/>
  <c r="Q78" i="44" s="1"/>
  <c r="P80" i="44"/>
  <c r="P27" i="50"/>
  <c r="M107" i="44"/>
  <c r="M31" i="13"/>
  <c r="O198" i="11"/>
  <c r="P195" i="11" s="1"/>
  <c r="L12" i="59"/>
  <c r="U29" i="54"/>
  <c r="AD29" i="54" s="1"/>
  <c r="L51" i="53"/>
  <c r="U50" i="54" s="1"/>
  <c r="AD50" i="54" s="1"/>
  <c r="R34" i="44"/>
  <c r="R21" i="50"/>
  <c r="S29" i="44"/>
  <c r="S32" i="44" s="1"/>
  <c r="P116" i="11"/>
  <c r="P124" i="11" s="1"/>
  <c r="P45" i="11"/>
  <c r="P188" i="11"/>
  <c r="P196" i="11" s="1"/>
  <c r="P152" i="11"/>
  <c r="P160" i="11" s="1"/>
  <c r="P80" i="11"/>
  <c r="P88" i="11" s="1"/>
  <c r="P224" i="11"/>
  <c r="P232" i="11" s="1"/>
  <c r="N24" i="11"/>
  <c r="N34" i="50" s="1"/>
  <c r="O97" i="11"/>
  <c r="P94" i="11" s="1"/>
  <c r="P54" i="11"/>
  <c r="Q52" i="11" s="1"/>
  <c r="K41" i="49" l="1"/>
  <c r="O44" i="48"/>
  <c r="O37" i="50" s="1"/>
  <c r="P198" i="11"/>
  <c r="Q195" i="11" s="1"/>
  <c r="P189" i="11"/>
  <c r="P197" i="11" s="1"/>
  <c r="P203" i="11"/>
  <c r="O32" i="50"/>
  <c r="P88" i="44"/>
  <c r="P91" i="44" s="1"/>
  <c r="O93" i="44"/>
  <c r="O17" i="49" s="1"/>
  <c r="P24" i="50"/>
  <c r="P61" i="11"/>
  <c r="Q58" i="11" s="1"/>
  <c r="P21" i="11"/>
  <c r="R35" i="9"/>
  <c r="R37" i="9" s="1"/>
  <c r="W54" i="34"/>
  <c r="X41" i="34"/>
  <c r="R53" i="44"/>
  <c r="R56" i="44" s="1"/>
  <c r="Q25" i="50"/>
  <c r="Q58" i="44"/>
  <c r="P15" i="11"/>
  <c r="P27" i="49" s="1"/>
  <c r="M37" i="34"/>
  <c r="L50" i="34"/>
  <c r="N19" i="34"/>
  <c r="J52" i="53"/>
  <c r="S51" i="54" s="1"/>
  <c r="AB51" i="54" s="1"/>
  <c r="J22" i="59"/>
  <c r="J12" i="59"/>
  <c r="J51" i="53"/>
  <c r="S50" i="54" s="1"/>
  <c r="AB50" i="54" s="1"/>
  <c r="S29" i="54"/>
  <c r="AB29" i="54" s="1"/>
  <c r="P90" i="11"/>
  <c r="Q87" i="11" s="1"/>
  <c r="P16" i="49"/>
  <c r="P33" i="56"/>
  <c r="P39" i="56" s="1"/>
  <c r="O24" i="11"/>
  <c r="O34" i="50" s="1"/>
  <c r="M17" i="48"/>
  <c r="M14" i="49"/>
  <c r="Q24" i="54"/>
  <c r="Z24" i="54" s="1"/>
  <c r="H15" i="59"/>
  <c r="H27" i="53"/>
  <c r="Q24" i="53"/>
  <c r="Q25" i="53"/>
  <c r="L19" i="49"/>
  <c r="L36" i="49" s="1"/>
  <c r="O27" i="49"/>
  <c r="P15" i="56"/>
  <c r="X25" i="34"/>
  <c r="W26" i="34"/>
  <c r="P82" i="11"/>
  <c r="P96" i="11" s="1"/>
  <c r="P55" i="9"/>
  <c r="P57" i="9" s="1"/>
  <c r="P234" i="11"/>
  <c r="Q231" i="11" s="1"/>
  <c r="K59" i="34"/>
  <c r="W52" i="34"/>
  <c r="X39" i="34"/>
  <c r="P241" i="11"/>
  <c r="Q238" i="11" s="1"/>
  <c r="BA93" i="54"/>
  <c r="BB90" i="54"/>
  <c r="Z30" i="34"/>
  <c r="Z43" i="34"/>
  <c r="Y56" i="34"/>
  <c r="L40" i="34"/>
  <c r="K53" i="34"/>
  <c r="P240" i="11"/>
  <c r="Q46" i="11"/>
  <c r="Q53" i="11" s="1"/>
  <c r="Q59" i="11"/>
  <c r="Q54" i="11"/>
  <c r="R52" i="11" s="1"/>
  <c r="M108" i="44"/>
  <c r="P167" i="11"/>
  <c r="P153" i="11"/>
  <c r="P161" i="11" s="1"/>
  <c r="P162" i="11" s="1"/>
  <c r="Q159" i="11" s="1"/>
  <c r="AE95" i="53"/>
  <c r="AF92" i="53"/>
  <c r="M31" i="34"/>
  <c r="M33" i="34" s="1"/>
  <c r="L57" i="34"/>
  <c r="M44" i="34"/>
  <c r="S34" i="44"/>
  <c r="T29" i="44"/>
  <c r="T32" i="44" s="1"/>
  <c r="S21" i="50"/>
  <c r="K31" i="50"/>
  <c r="K29" i="50"/>
  <c r="L38" i="49"/>
  <c r="N17" i="50"/>
  <c r="O73" i="9"/>
  <c r="T24" i="54"/>
  <c r="AC24" i="54" s="1"/>
  <c r="K15" i="59"/>
  <c r="T24" i="53"/>
  <c r="K27" i="53"/>
  <c r="T25" i="53"/>
  <c r="Q7" i="51"/>
  <c r="Q7" i="13"/>
  <c r="Q7" i="49"/>
  <c r="Q7" i="7"/>
  <c r="Q7" i="47"/>
  <c r="Q7" i="56"/>
  <c r="Q7" i="57"/>
  <c r="Q7" i="50"/>
  <c r="Q7" i="55"/>
  <c r="Q7" i="9"/>
  <c r="Q7" i="11"/>
  <c r="Q7" i="48"/>
  <c r="Q7" i="1"/>
  <c r="T8" i="2"/>
  <c r="Q7" i="42"/>
  <c r="Q7" i="6"/>
  <c r="Q7" i="5"/>
  <c r="Q7" i="44"/>
  <c r="O18" i="44"/>
  <c r="O21" i="44" s="1"/>
  <c r="N20" i="50"/>
  <c r="N19" i="50" s="1"/>
  <c r="N23" i="44"/>
  <c r="N15" i="49" s="1"/>
  <c r="Q27" i="50"/>
  <c r="R75" i="44"/>
  <c r="R78" i="44" s="1"/>
  <c r="Q80" i="44"/>
  <c r="P97" i="11"/>
  <c r="Q94" i="11" s="1"/>
  <c r="M32" i="13"/>
  <c r="R22" i="50"/>
  <c r="R45" i="44"/>
  <c r="S40" i="44"/>
  <c r="S43" i="44" s="1"/>
  <c r="O32" i="49"/>
  <c r="R45" i="9"/>
  <c r="R47" i="9" s="1"/>
  <c r="P55" i="34"/>
  <c r="R42" i="34"/>
  <c r="T64" i="44"/>
  <c r="T67" i="44" s="1"/>
  <c r="S26" i="50"/>
  <c r="S69" i="44"/>
  <c r="P126" i="11"/>
  <c r="Q123" i="11" s="1"/>
  <c r="Q14" i="11" s="1"/>
  <c r="P117" i="11"/>
  <c r="P125" i="11" s="1"/>
  <c r="P16" i="11" s="1"/>
  <c r="P131" i="11"/>
  <c r="P27" i="34"/>
  <c r="O28" i="34"/>
  <c r="T23" i="53"/>
  <c r="Y38" i="34"/>
  <c r="X51" i="34"/>
  <c r="K37" i="13"/>
  <c r="N65" i="9"/>
  <c r="N67" i="9" s="1"/>
  <c r="P43" i="48" l="1"/>
  <c r="P32" i="49" s="1"/>
  <c r="P41" i="48"/>
  <c r="N16" i="50"/>
  <c r="N12" i="50" s="1"/>
  <c r="O63" i="9"/>
  <c r="Q167" i="11"/>
  <c r="Q154" i="11" s="1"/>
  <c r="Q153" i="11"/>
  <c r="Q161" i="11" s="1"/>
  <c r="P169" i="11"/>
  <c r="Q166" i="11" s="1"/>
  <c r="P28" i="49"/>
  <c r="P15" i="50"/>
  <c r="Q53" i="9"/>
  <c r="R13" i="50"/>
  <c r="S33" i="9"/>
  <c r="R14" i="50"/>
  <c r="S43" i="9"/>
  <c r="R55" i="34"/>
  <c r="S42" i="34"/>
  <c r="N104" i="44"/>
  <c r="N108" i="44" s="1"/>
  <c r="M110" i="44"/>
  <c r="M18" i="49" s="1"/>
  <c r="M33" i="50"/>
  <c r="L53" i="34"/>
  <c r="M40" i="34"/>
  <c r="Q81" i="11"/>
  <c r="Q89" i="11" s="1"/>
  <c r="Q95" i="11"/>
  <c r="O19" i="34"/>
  <c r="Q16" i="49"/>
  <c r="Q189" i="11"/>
  <c r="Q197" i="11" s="1"/>
  <c r="Q203" i="11"/>
  <c r="Q190" i="11" s="1"/>
  <c r="R27" i="34"/>
  <c r="P28" i="34"/>
  <c r="M12" i="49"/>
  <c r="O23" i="44"/>
  <c r="O15" i="49" s="1"/>
  <c r="P18" i="44"/>
  <c r="P21" i="44" s="1"/>
  <c r="O20" i="50"/>
  <c r="O19" i="50" s="1"/>
  <c r="Q80" i="11"/>
  <c r="Q88" i="11" s="1"/>
  <c r="Q90" i="11" s="1"/>
  <c r="R87" i="11" s="1"/>
  <c r="D217" i="11"/>
  <c r="D218" i="11" s="1"/>
  <c r="R59" i="11"/>
  <c r="R46" i="11"/>
  <c r="R53" i="11" s="1"/>
  <c r="L39" i="49"/>
  <c r="M21" i="48"/>
  <c r="Q24" i="50"/>
  <c r="P118" i="11"/>
  <c r="P132" i="11" s="1"/>
  <c r="P23" i="11" s="1"/>
  <c r="P22" i="11"/>
  <c r="O75" i="9"/>
  <c r="O77" i="9" s="1"/>
  <c r="AF95" i="53"/>
  <c r="AG92" i="53"/>
  <c r="Z56" i="34"/>
  <c r="AA30" i="34"/>
  <c r="AA43" i="34"/>
  <c r="L46" i="34"/>
  <c r="R58" i="44"/>
  <c r="R25" i="50"/>
  <c r="S53" i="44"/>
  <c r="S56" i="44" s="1"/>
  <c r="Q47" i="11"/>
  <c r="Q60" i="11" s="1"/>
  <c r="X26" i="34"/>
  <c r="Y25" i="34"/>
  <c r="L59" i="34"/>
  <c r="X54" i="34"/>
  <c r="Y41" i="34"/>
  <c r="Q88" i="44"/>
  <c r="Q91" i="44" s="1"/>
  <c r="P32" i="50"/>
  <c r="P93" i="44"/>
  <c r="P17" i="49" s="1"/>
  <c r="N31" i="13"/>
  <c r="Q131" i="11"/>
  <c r="Q118" i="11" s="1"/>
  <c r="Q117" i="11"/>
  <c r="Q125" i="11" s="1"/>
  <c r="R80" i="44"/>
  <c r="S75" i="44"/>
  <c r="S78" i="44" s="1"/>
  <c r="R27" i="50"/>
  <c r="BC90" i="54"/>
  <c r="BB93" i="54"/>
  <c r="H51" i="53"/>
  <c r="Q50" i="54" s="1"/>
  <c r="Z50" i="54" s="1"/>
  <c r="H12" i="59"/>
  <c r="H22" i="59"/>
  <c r="Q29" i="54"/>
  <c r="Z29" i="54" s="1"/>
  <c r="H52" i="53"/>
  <c r="Q51" i="54" s="1"/>
  <c r="Z51" i="54" s="1"/>
  <c r="I52" i="53"/>
  <c r="R51" i="54" s="1"/>
  <c r="AA51" i="54" s="1"/>
  <c r="I22" i="59"/>
  <c r="M46" i="34"/>
  <c r="N37" i="34"/>
  <c r="M50" i="34"/>
  <c r="Y51" i="34"/>
  <c r="Z38" i="34"/>
  <c r="K51" i="53"/>
  <c r="T50" i="54" s="1"/>
  <c r="AC50" i="54" s="1"/>
  <c r="K12" i="59"/>
  <c r="K22" i="59"/>
  <c r="T29" i="54"/>
  <c r="AC29" i="54" s="1"/>
  <c r="K52" i="53"/>
  <c r="T51" i="54" s="1"/>
  <c r="AC51" i="54" s="1"/>
  <c r="L52" i="53"/>
  <c r="U51" i="54" s="1"/>
  <c r="AD51" i="54" s="1"/>
  <c r="L22" i="59"/>
  <c r="T34" i="44"/>
  <c r="U29" i="44"/>
  <c r="U32" i="44" s="1"/>
  <c r="T21" i="50"/>
  <c r="Q225" i="11"/>
  <c r="Q233" i="11" s="1"/>
  <c r="Q16" i="11" s="1"/>
  <c r="Q28" i="49" s="1"/>
  <c r="Q239" i="11"/>
  <c r="P24" i="49"/>
  <c r="P17" i="11"/>
  <c r="P35" i="50" s="1"/>
  <c r="S45" i="44"/>
  <c r="T40" i="44"/>
  <c r="T43" i="44" s="1"/>
  <c r="S22" i="50"/>
  <c r="Q8" i="55"/>
  <c r="U7" i="2"/>
  <c r="Q8" i="47"/>
  <c r="Q8" i="50"/>
  <c r="Q8" i="1"/>
  <c r="Q8" i="44"/>
  <c r="Q8" i="13"/>
  <c r="Q8" i="11"/>
  <c r="Q224" i="11" s="1"/>
  <c r="Q232" i="11" s="1"/>
  <c r="Q234" i="11" s="1"/>
  <c r="R231" i="11" s="1"/>
  <c r="Q8" i="6"/>
  <c r="Q8" i="9"/>
  <c r="Q8" i="5"/>
  <c r="Q8" i="42"/>
  <c r="Q8" i="51"/>
  <c r="Q8" i="57"/>
  <c r="Q8" i="48"/>
  <c r="Q8" i="56"/>
  <c r="Q8" i="7"/>
  <c r="Q8" i="49"/>
  <c r="Q57" i="56"/>
  <c r="Q64" i="56" s="1"/>
  <c r="Q109" i="56"/>
  <c r="Q116" i="56" s="1"/>
  <c r="Q160" i="56"/>
  <c r="Q167" i="56" s="1"/>
  <c r="D153" i="56"/>
  <c r="P154" i="11"/>
  <c r="P168" i="11" s="1"/>
  <c r="P190" i="11"/>
  <c r="P204" i="11" s="1"/>
  <c r="P205" i="11" s="1"/>
  <c r="Q202" i="11" s="1"/>
  <c r="T26" i="50"/>
  <c r="T69" i="44"/>
  <c r="U64" i="44"/>
  <c r="U67" i="44" s="1"/>
  <c r="N44" i="34"/>
  <c r="N31" i="34"/>
  <c r="N33" i="34" s="1"/>
  <c r="M57" i="34"/>
  <c r="Y39" i="34"/>
  <c r="X52" i="34"/>
  <c r="P44" i="48" l="1"/>
  <c r="Q41" i="48" s="1"/>
  <c r="R239" i="11"/>
  <c r="R226" i="11" s="1"/>
  <c r="R225" i="11"/>
  <c r="R233" i="11" s="1"/>
  <c r="R81" i="11"/>
  <c r="R89" i="11" s="1"/>
  <c r="R95" i="11"/>
  <c r="R82" i="11" s="1"/>
  <c r="P30" i="49"/>
  <c r="P24" i="11"/>
  <c r="P34" i="50" s="1"/>
  <c r="O17" i="50"/>
  <c r="P73" i="9"/>
  <c r="R7" i="50"/>
  <c r="R7" i="11"/>
  <c r="R7" i="48"/>
  <c r="R7" i="55"/>
  <c r="R7" i="9"/>
  <c r="R7" i="44"/>
  <c r="R7" i="51"/>
  <c r="R7" i="5"/>
  <c r="R7" i="13"/>
  <c r="R7" i="49"/>
  <c r="R7" i="57"/>
  <c r="R7" i="7"/>
  <c r="U8" i="2"/>
  <c r="R7" i="56"/>
  <c r="R7" i="42"/>
  <c r="R7" i="1"/>
  <c r="R7" i="6"/>
  <c r="R7" i="47"/>
  <c r="Q226" i="11"/>
  <c r="Q240" i="11" s="1"/>
  <c r="N14" i="49"/>
  <c r="N17" i="48"/>
  <c r="N32" i="13"/>
  <c r="AA56" i="34"/>
  <c r="AB43" i="34"/>
  <c r="AB30" i="34"/>
  <c r="Q45" i="11"/>
  <c r="P133" i="11"/>
  <c r="Q130" i="11" s="1"/>
  <c r="Q33" i="56"/>
  <c r="Q39" i="56" s="1"/>
  <c r="D154" i="56"/>
  <c r="Q22" i="11"/>
  <c r="Q36" i="13" s="1"/>
  <c r="Q152" i="11"/>
  <c r="Q160" i="11" s="1"/>
  <c r="Q162" i="11" s="1"/>
  <c r="R159" i="11" s="1"/>
  <c r="Q204" i="11"/>
  <c r="Q205" i="11" s="1"/>
  <c r="R202" i="11" s="1"/>
  <c r="O104" i="44"/>
  <c r="O108" i="44" s="1"/>
  <c r="N110" i="44"/>
  <c r="N18" i="49" s="1"/>
  <c r="N33" i="50"/>
  <c r="Y52" i="34"/>
  <c r="Z39" i="34"/>
  <c r="T27" i="34"/>
  <c r="R28" i="34"/>
  <c r="S27" i="34"/>
  <c r="P19" i="34"/>
  <c r="S35" i="9"/>
  <c r="Q134" i="56"/>
  <c r="Q141" i="56" s="1"/>
  <c r="T45" i="44"/>
  <c r="U40" i="44"/>
  <c r="U43" i="44" s="1"/>
  <c r="T22" i="50"/>
  <c r="Q93" i="44"/>
  <c r="Q17" i="49" s="1"/>
  <c r="Q32" i="50"/>
  <c r="R88" i="44"/>
  <c r="R91" i="44" s="1"/>
  <c r="AG95" i="53"/>
  <c r="AH92" i="53"/>
  <c r="L40" i="49"/>
  <c r="Q82" i="11"/>
  <c r="Q96" i="11" s="1"/>
  <c r="Q97" i="11" s="1"/>
  <c r="R94" i="11" s="1"/>
  <c r="T42" i="34"/>
  <c r="S55" i="34"/>
  <c r="Q55" i="9"/>
  <c r="Q57" i="9" s="1"/>
  <c r="T75" i="44"/>
  <c r="T78" i="44" s="1"/>
  <c r="S27" i="50"/>
  <c r="S80" i="44"/>
  <c r="O44" i="34"/>
  <c r="N57" i="34"/>
  <c r="O31" i="34"/>
  <c r="O33" i="34" s="1"/>
  <c r="Q241" i="11"/>
  <c r="R238" i="11" s="1"/>
  <c r="Q83" i="56"/>
  <c r="Q90" i="56" s="1"/>
  <c r="U34" i="44"/>
  <c r="V29" i="44"/>
  <c r="V32" i="44" s="1"/>
  <c r="U21" i="50"/>
  <c r="Z41" i="34"/>
  <c r="Y54" i="34"/>
  <c r="S58" i="44"/>
  <c r="S25" i="50"/>
  <c r="T53" i="44"/>
  <c r="T56" i="44" s="1"/>
  <c r="P20" i="50"/>
  <c r="P19" i="50" s="1"/>
  <c r="P23" i="44"/>
  <c r="P15" i="49" s="1"/>
  <c r="Q18" i="44"/>
  <c r="Q21" i="44" s="1"/>
  <c r="Q168" i="11"/>
  <c r="Q169" i="11" s="1"/>
  <c r="R166" i="11" s="1"/>
  <c r="BD90" i="54"/>
  <c r="BC93" i="54"/>
  <c r="Q132" i="11"/>
  <c r="R24" i="50"/>
  <c r="Q188" i="11"/>
  <c r="Q196" i="11" s="1"/>
  <c r="Q198" i="11" s="1"/>
  <c r="R195" i="11" s="1"/>
  <c r="O65" i="9"/>
  <c r="O67" i="9"/>
  <c r="N50" i="34"/>
  <c r="O37" i="34"/>
  <c r="U69" i="44"/>
  <c r="V64" i="44"/>
  <c r="V67" i="44" s="1"/>
  <c r="U26" i="50"/>
  <c r="AA38" i="34"/>
  <c r="Z51" i="34"/>
  <c r="R16" i="49"/>
  <c r="P36" i="13"/>
  <c r="R54" i="11"/>
  <c r="S52" i="11" s="1"/>
  <c r="Q116" i="11"/>
  <c r="Q124" i="11" s="1"/>
  <c r="Q126" i="11" s="1"/>
  <c r="R123" i="11" s="1"/>
  <c r="R14" i="11" s="1"/>
  <c r="Q61" i="11"/>
  <c r="R58" i="11" s="1"/>
  <c r="M53" i="34"/>
  <c r="M59" i="34" s="1"/>
  <c r="N40" i="34"/>
  <c r="N46" i="34" s="1"/>
  <c r="S45" i="9"/>
  <c r="S47" i="9" s="1"/>
  <c r="Q15" i="56"/>
  <c r="Q24" i="49" s="1"/>
  <c r="Z25" i="34"/>
  <c r="Y26" i="34"/>
  <c r="R47" i="11"/>
  <c r="R60" i="11" s="1"/>
  <c r="M19" i="49"/>
  <c r="M36" i="49" s="1"/>
  <c r="L41" i="49" l="1"/>
  <c r="L31" i="50" s="1"/>
  <c r="P37" i="50"/>
  <c r="Q43" i="48"/>
  <c r="Q32" i="49" s="1"/>
  <c r="S24" i="50"/>
  <c r="S16" i="49"/>
  <c r="S14" i="50"/>
  <c r="T43" i="9"/>
  <c r="R53" i="9"/>
  <c r="Q15" i="50"/>
  <c r="S46" i="11"/>
  <c r="S53" i="11" s="1"/>
  <c r="S59" i="11"/>
  <c r="S54" i="11"/>
  <c r="T52" i="11" s="1"/>
  <c r="V21" i="50"/>
  <c r="W29" i="44"/>
  <c r="W32" i="44" s="1"/>
  <c r="V34" i="44"/>
  <c r="R97" i="11"/>
  <c r="S94" i="11" s="1"/>
  <c r="R19" i="34"/>
  <c r="O50" i="34"/>
  <c r="P37" i="34"/>
  <c r="L29" i="50"/>
  <c r="M38" i="49"/>
  <c r="M39" i="49" s="1"/>
  <c r="U27" i="34"/>
  <c r="S28" i="34"/>
  <c r="N12" i="49"/>
  <c r="U53" i="44"/>
  <c r="U56" i="44" s="1"/>
  <c r="T58" i="44"/>
  <c r="T25" i="50"/>
  <c r="T27" i="50"/>
  <c r="U75" i="44"/>
  <c r="U78" i="44" s="1"/>
  <c r="T80" i="44"/>
  <c r="L37" i="13"/>
  <c r="U45" i="44"/>
  <c r="V40" i="44"/>
  <c r="V43" i="44" s="1"/>
  <c r="U22" i="50"/>
  <c r="P161" i="56"/>
  <c r="P168" i="56" s="1"/>
  <c r="M161" i="56"/>
  <c r="M168" i="56" s="1"/>
  <c r="N161" i="56"/>
  <c r="N168" i="56" s="1"/>
  <c r="Q161" i="56"/>
  <c r="Q168" i="56" s="1"/>
  <c r="O161" i="56"/>
  <c r="O168" i="56" s="1"/>
  <c r="K161" i="56"/>
  <c r="K168" i="56" s="1"/>
  <c r="L161" i="56"/>
  <c r="L168" i="56" s="1"/>
  <c r="N21" i="48"/>
  <c r="R96" i="11"/>
  <c r="AI92" i="53"/>
  <c r="AH95" i="53"/>
  <c r="V27" i="34"/>
  <c r="T28" i="34"/>
  <c r="P104" i="44"/>
  <c r="O110" i="44"/>
  <c r="O18" i="49" s="1"/>
  <c r="O33" i="50"/>
  <c r="Q133" i="11"/>
  <c r="R130" i="11" s="1"/>
  <c r="Q21" i="11"/>
  <c r="P75" i="9"/>
  <c r="P77" i="9"/>
  <c r="P63" i="9"/>
  <c r="O16" i="50"/>
  <c r="O12" i="50" s="1"/>
  <c r="BD93" i="54"/>
  <c r="BE90" i="54"/>
  <c r="R8" i="13"/>
  <c r="R8" i="5"/>
  <c r="R8" i="49"/>
  <c r="R8" i="55"/>
  <c r="R8" i="50"/>
  <c r="R8" i="9"/>
  <c r="R8" i="48"/>
  <c r="R8" i="47"/>
  <c r="R8" i="6"/>
  <c r="R8" i="11"/>
  <c r="V7" i="2"/>
  <c r="R8" i="51"/>
  <c r="R8" i="1"/>
  <c r="R8" i="44"/>
  <c r="R8" i="56"/>
  <c r="R33" i="56" s="1"/>
  <c r="R39" i="56" s="1"/>
  <c r="R8" i="57"/>
  <c r="R8" i="42"/>
  <c r="R8" i="7"/>
  <c r="AA51" i="34"/>
  <c r="AB38" i="34"/>
  <c r="O31" i="13"/>
  <c r="Q23" i="11"/>
  <c r="Q30" i="49" s="1"/>
  <c r="Q15" i="11"/>
  <c r="R167" i="11"/>
  <c r="R153" i="11"/>
  <c r="R161" i="11" s="1"/>
  <c r="N53" i="34"/>
  <c r="N59" i="34" s="1"/>
  <c r="O40" i="34"/>
  <c r="Z26" i="34"/>
  <c r="AA25" i="34"/>
  <c r="R61" i="11"/>
  <c r="S58" i="11" s="1"/>
  <c r="R21" i="11"/>
  <c r="R189" i="11"/>
  <c r="R197" i="11" s="1"/>
  <c r="R203" i="11"/>
  <c r="AA41" i="34"/>
  <c r="Z54" i="34"/>
  <c r="P44" i="34"/>
  <c r="O57" i="34"/>
  <c r="P31" i="34"/>
  <c r="P33" i="34" s="1"/>
  <c r="T55" i="34"/>
  <c r="U42" i="34"/>
  <c r="R93" i="44"/>
  <c r="R17" i="49" s="1"/>
  <c r="S88" i="44"/>
  <c r="S91" i="44" s="1"/>
  <c r="R32" i="50"/>
  <c r="S37" i="9"/>
  <c r="Z52" i="34"/>
  <c r="AA39" i="34"/>
  <c r="AC43" i="34"/>
  <c r="AC30" i="34"/>
  <c r="AB56" i="34"/>
  <c r="R131" i="11"/>
  <c r="R117" i="11"/>
  <c r="R125" i="11" s="1"/>
  <c r="R16" i="11" s="1"/>
  <c r="R28" i="49" s="1"/>
  <c r="V69" i="44"/>
  <c r="V26" i="50"/>
  <c r="W64" i="44"/>
  <c r="W67" i="44" s="1"/>
  <c r="R18" i="44"/>
  <c r="R21" i="44" s="1"/>
  <c r="Q23" i="44"/>
  <c r="Q15" i="49" s="1"/>
  <c r="Q20" i="50"/>
  <c r="Q19" i="50" s="1"/>
  <c r="R188" i="11"/>
  <c r="R196" i="11" s="1"/>
  <c r="R198" i="11" s="1"/>
  <c r="S195" i="11" s="1"/>
  <c r="R45" i="11"/>
  <c r="R224" i="11"/>
  <c r="R232" i="11" s="1"/>
  <c r="R234" i="11" s="1"/>
  <c r="S231" i="11" s="1"/>
  <c r="R116" i="11"/>
  <c r="R124" i="11" s="1"/>
  <c r="R126" i="11" s="1"/>
  <c r="S123" i="11" s="1"/>
  <c r="R152" i="11"/>
  <c r="R160" i="11" s="1"/>
  <c r="R162" i="11" s="1"/>
  <c r="S159" i="11" s="1"/>
  <c r="R80" i="11"/>
  <c r="R88" i="11" s="1"/>
  <c r="R240" i="11"/>
  <c r="R241" i="11" s="1"/>
  <c r="S238" i="11" s="1"/>
  <c r="Q44" i="48" l="1"/>
  <c r="R41" i="48" s="1"/>
  <c r="S117" i="11"/>
  <c r="S125" i="11" s="1"/>
  <c r="S131" i="11"/>
  <c r="S118" i="11" s="1"/>
  <c r="S167" i="11"/>
  <c r="S154" i="11" s="1"/>
  <c r="S153" i="11"/>
  <c r="S161" i="11" s="1"/>
  <c r="S189" i="11"/>
  <c r="S197" i="11" s="1"/>
  <c r="S203" i="11"/>
  <c r="S190" i="11" s="1"/>
  <c r="M40" i="49"/>
  <c r="R154" i="11"/>
  <c r="R168" i="11" s="1"/>
  <c r="R160" i="56"/>
  <c r="R167" i="56" s="1"/>
  <c r="R161" i="56"/>
  <c r="R168" i="56" s="1"/>
  <c r="Q27" i="49"/>
  <c r="Q17" i="11"/>
  <c r="Q35" i="50" s="1"/>
  <c r="R83" i="56"/>
  <c r="R90" i="56" s="1"/>
  <c r="X27" i="34"/>
  <c r="V53" i="44"/>
  <c r="V56" i="44" s="1"/>
  <c r="U25" i="50"/>
  <c r="U58" i="44"/>
  <c r="R118" i="11"/>
  <c r="R132" i="11" s="1"/>
  <c r="R22" i="11"/>
  <c r="T33" i="9"/>
  <c r="S13" i="50"/>
  <c r="R44" i="34"/>
  <c r="P57" i="34"/>
  <c r="R31" i="34"/>
  <c r="AA26" i="34"/>
  <c r="AB25" i="34"/>
  <c r="R134" i="56"/>
  <c r="R141" i="56" s="1"/>
  <c r="W34" i="44"/>
  <c r="W21" i="50"/>
  <c r="X29" i="44"/>
  <c r="X32" i="44" s="1"/>
  <c r="P65" i="9"/>
  <c r="P31" i="13" s="1"/>
  <c r="P67" i="9"/>
  <c r="Q24" i="11"/>
  <c r="Q34" i="50" s="1"/>
  <c r="AI95" i="53"/>
  <c r="AJ92" i="53"/>
  <c r="R37" i="34"/>
  <c r="P50" i="34"/>
  <c r="R15" i="11"/>
  <c r="R90" i="11"/>
  <c r="S87" i="11" s="1"/>
  <c r="S18" i="44"/>
  <c r="S21" i="44" s="1"/>
  <c r="R23" i="44"/>
  <c r="R15" i="49" s="1"/>
  <c r="R20" i="50"/>
  <c r="R19" i="50" s="1"/>
  <c r="S93" i="44"/>
  <c r="S17" i="49" s="1"/>
  <c r="X83" i="53"/>
  <c r="AG82" i="54"/>
  <c r="S32" i="50"/>
  <c r="T88" i="44"/>
  <c r="T91" i="44" s="1"/>
  <c r="AG83" i="54"/>
  <c r="AA54" i="34"/>
  <c r="AB41" i="34"/>
  <c r="P40" i="34"/>
  <c r="O53" i="34"/>
  <c r="S7" i="5"/>
  <c r="V8" i="2"/>
  <c r="S7" i="56"/>
  <c r="S7" i="6"/>
  <c r="S7" i="49"/>
  <c r="S7" i="42"/>
  <c r="S7" i="13"/>
  <c r="S7" i="7"/>
  <c r="S7" i="57"/>
  <c r="S7" i="11"/>
  <c r="S7" i="47"/>
  <c r="S7" i="51"/>
  <c r="S7" i="44"/>
  <c r="S7" i="1"/>
  <c r="S7" i="9"/>
  <c r="S7" i="50"/>
  <c r="S7" i="48"/>
  <c r="S7" i="55"/>
  <c r="P17" i="50"/>
  <c r="Q73" i="9"/>
  <c r="R133" i="11"/>
  <c r="S130" i="11" s="1"/>
  <c r="S21" i="11" s="1"/>
  <c r="U27" i="50"/>
  <c r="U80" i="44"/>
  <c r="V75" i="44"/>
  <c r="V78" i="44" s="1"/>
  <c r="O46" i="34"/>
  <c r="T59" i="11"/>
  <c r="T54" i="11"/>
  <c r="U52" i="11" s="1"/>
  <c r="T46" i="11"/>
  <c r="T53" i="11" s="1"/>
  <c r="R55" i="9"/>
  <c r="R57" i="9"/>
  <c r="R169" i="11"/>
  <c r="S166" i="11" s="1"/>
  <c r="X64" i="44"/>
  <c r="X67" i="44" s="1"/>
  <c r="W69" i="44"/>
  <c r="W26" i="50"/>
  <c r="N19" i="49"/>
  <c r="N36" i="49" s="1"/>
  <c r="O59" i="34"/>
  <c r="AE30" i="34"/>
  <c r="AE43" i="34"/>
  <c r="AC56" i="34"/>
  <c r="V42" i="34"/>
  <c r="U55" i="34"/>
  <c r="R190" i="11"/>
  <c r="R204" i="11" s="1"/>
  <c r="R205" i="11" s="1"/>
  <c r="S202" i="11" s="1"/>
  <c r="O14" i="49"/>
  <c r="O17" i="48"/>
  <c r="O32" i="13"/>
  <c r="R109" i="56"/>
  <c r="R116" i="56" s="1"/>
  <c r="K169" i="56"/>
  <c r="L166" i="56" s="1"/>
  <c r="L169" i="56" s="1"/>
  <c r="M166" i="56" s="1"/>
  <c r="M169" i="56" s="1"/>
  <c r="N166" i="56" s="1"/>
  <c r="N169" i="56" s="1"/>
  <c r="O166" i="56" s="1"/>
  <c r="O169" i="56" s="1"/>
  <c r="P166" i="56" s="1"/>
  <c r="P169" i="56" s="1"/>
  <c r="Q166" i="56" s="1"/>
  <c r="Q169" i="56" s="1"/>
  <c r="R166" i="56" s="1"/>
  <c r="R169" i="56" s="1"/>
  <c r="S166" i="56" s="1"/>
  <c r="T24" i="50"/>
  <c r="S47" i="11"/>
  <c r="S60" i="11" s="1"/>
  <c r="T45" i="9"/>
  <c r="T47" i="9" s="1"/>
  <c r="AB39" i="34"/>
  <c r="AA52" i="34"/>
  <c r="BE93" i="54"/>
  <c r="BF90" i="54"/>
  <c r="S239" i="11"/>
  <c r="S225" i="11"/>
  <c r="S233" i="11" s="1"/>
  <c r="AB51" i="34"/>
  <c r="AC38" i="34"/>
  <c r="R57" i="56"/>
  <c r="R64" i="56" s="1"/>
  <c r="R15" i="56" s="1"/>
  <c r="R24" i="49" s="1"/>
  <c r="P107" i="44"/>
  <c r="V22" i="50"/>
  <c r="V45" i="44"/>
  <c r="W40" i="44"/>
  <c r="W43" i="44" s="1"/>
  <c r="T16" i="49"/>
  <c r="U28" i="34"/>
  <c r="V28" i="34" s="1"/>
  <c r="W27" i="34"/>
  <c r="S19" i="34"/>
  <c r="R33" i="34"/>
  <c r="M41" i="49" l="1"/>
  <c r="R43" i="48"/>
  <c r="R32" i="49" s="1"/>
  <c r="Q37" i="50"/>
  <c r="U43" i="9"/>
  <c r="T14" i="50"/>
  <c r="X40" i="44"/>
  <c r="X43" i="44" s="1"/>
  <c r="W22" i="50"/>
  <c r="W45" i="44"/>
  <c r="U59" i="11"/>
  <c r="U46" i="11"/>
  <c r="U53" i="11" s="1"/>
  <c r="Q75" i="9"/>
  <c r="Q77" i="9"/>
  <c r="S20" i="50"/>
  <c r="S19" i="50" s="1"/>
  <c r="T18" i="44"/>
  <c r="T21" i="44" s="1"/>
  <c r="S23" i="44"/>
  <c r="S15" i="49" s="1"/>
  <c r="AJ95" i="53"/>
  <c r="AK92" i="53"/>
  <c r="V25" i="50"/>
  <c r="W53" i="44"/>
  <c r="W56" i="44" s="1"/>
  <c r="V58" i="44"/>
  <c r="O12" i="49"/>
  <c r="AF43" i="34"/>
  <c r="AF30" i="34"/>
  <c r="AE56" i="34"/>
  <c r="AH83" i="54"/>
  <c r="Y83" i="53"/>
  <c r="T93" i="44"/>
  <c r="T17" i="49" s="1"/>
  <c r="AH82" i="54"/>
  <c r="T32" i="50"/>
  <c r="U88" i="44"/>
  <c r="U91" i="44" s="1"/>
  <c r="S95" i="11"/>
  <c r="S81" i="11"/>
  <c r="S89" i="11" s="1"/>
  <c r="S16" i="11" s="1"/>
  <c r="S28" i="49" s="1"/>
  <c r="S14" i="11"/>
  <c r="S31" i="34"/>
  <c r="S44" i="34"/>
  <c r="S226" i="11"/>
  <c r="S240" i="11" s="1"/>
  <c r="O21" i="48"/>
  <c r="Y64" i="44"/>
  <c r="Y67" i="44" s="1"/>
  <c r="X69" i="44"/>
  <c r="X26" i="50"/>
  <c r="T47" i="11"/>
  <c r="S8" i="47"/>
  <c r="S8" i="55"/>
  <c r="S8" i="6"/>
  <c r="S8" i="5"/>
  <c r="S8" i="13"/>
  <c r="S8" i="48"/>
  <c r="W7" i="2"/>
  <c r="S8" i="51"/>
  <c r="S8" i="7"/>
  <c r="S8" i="50"/>
  <c r="S8" i="44"/>
  <c r="S8" i="49"/>
  <c r="S8" i="42"/>
  <c r="S8" i="11"/>
  <c r="S45" i="11" s="1"/>
  <c r="S8" i="1"/>
  <c r="S8" i="9"/>
  <c r="S8" i="56"/>
  <c r="S109" i="56" s="1"/>
  <c r="S116" i="56" s="1"/>
  <c r="S8" i="57"/>
  <c r="S168" i="11"/>
  <c r="S169" i="11" s="1"/>
  <c r="T166" i="11" s="1"/>
  <c r="BG90" i="54"/>
  <c r="BF93" i="54"/>
  <c r="R27" i="49"/>
  <c r="R17" i="11"/>
  <c r="R35" i="50" s="1"/>
  <c r="Q63" i="9"/>
  <c r="P16" i="50"/>
  <c r="P12" i="50" s="1"/>
  <c r="T35" i="9"/>
  <c r="N38" i="49"/>
  <c r="N39" i="49" s="1"/>
  <c r="M31" i="50"/>
  <c r="M29" i="50"/>
  <c r="S132" i="11"/>
  <c r="T19" i="34"/>
  <c r="S33" i="34"/>
  <c r="P108" i="44"/>
  <c r="V80" i="44"/>
  <c r="W75" i="44"/>
  <c r="W78" i="44" s="1"/>
  <c r="V27" i="50"/>
  <c r="P17" i="48"/>
  <c r="P21" i="48" s="1"/>
  <c r="P14" i="49"/>
  <c r="P32" i="13"/>
  <c r="R36" i="13"/>
  <c r="M37" i="13"/>
  <c r="S53" i="9"/>
  <c r="R15" i="50"/>
  <c r="P53" i="34"/>
  <c r="P59" i="34" s="1"/>
  <c r="R40" i="34"/>
  <c r="P46" i="34"/>
  <c r="X21" i="50"/>
  <c r="Y29" i="44"/>
  <c r="Y32" i="44" s="1"/>
  <c r="X34" i="44"/>
  <c r="AB26" i="34"/>
  <c r="AC25" i="34"/>
  <c r="R23" i="11"/>
  <c r="X28" i="34"/>
  <c r="Z27" i="34"/>
  <c r="S61" i="11"/>
  <c r="T58" i="11" s="1"/>
  <c r="S204" i="11"/>
  <c r="S205" i="11" s="1"/>
  <c r="T202" i="11" s="1"/>
  <c r="AC39" i="34"/>
  <c r="AB52" i="34"/>
  <c r="AB54" i="34"/>
  <c r="AC41" i="34"/>
  <c r="U16" i="49"/>
  <c r="W28" i="34"/>
  <c r="Y27" i="34"/>
  <c r="AE38" i="34"/>
  <c r="AC51" i="34"/>
  <c r="W42" i="34"/>
  <c r="V55" i="34"/>
  <c r="S133" i="11"/>
  <c r="T130" i="11" s="1"/>
  <c r="S37" i="34"/>
  <c r="R50" i="34"/>
  <c r="U24" i="50"/>
  <c r="S241" i="11"/>
  <c r="T238" i="11" s="1"/>
  <c r="R44" i="48" l="1"/>
  <c r="S41" i="48" s="1"/>
  <c r="S40" i="34"/>
  <c r="R53" i="34"/>
  <c r="BH90" i="54"/>
  <c r="BG93" i="54"/>
  <c r="S224" i="11"/>
  <c r="S232" i="11" s="1"/>
  <c r="S234" i="11" s="1"/>
  <c r="T231" i="11" s="1"/>
  <c r="P12" i="49"/>
  <c r="P19" i="49" s="1"/>
  <c r="P36" i="49" s="1"/>
  <c r="U19" i="34"/>
  <c r="S116" i="11"/>
  <c r="S124" i="11" s="1"/>
  <c r="S126" i="11" s="1"/>
  <c r="T123" i="11" s="1"/>
  <c r="S134" i="56"/>
  <c r="S141" i="56" s="1"/>
  <c r="T23" i="44"/>
  <c r="T15" i="49" s="1"/>
  <c r="U18" i="44"/>
  <c r="U21" i="44" s="1"/>
  <c r="T20" i="50"/>
  <c r="T19" i="50" s="1"/>
  <c r="AE51" i="34"/>
  <c r="AF38" i="34"/>
  <c r="AC26" i="34"/>
  <c r="AE25" i="34"/>
  <c r="Q65" i="9"/>
  <c r="Q31" i="13" s="1"/>
  <c r="Q67" i="9"/>
  <c r="S152" i="11"/>
  <c r="S160" i="11" s="1"/>
  <c r="S162" i="11" s="1"/>
  <c r="T159" i="11" s="1"/>
  <c r="S82" i="11"/>
  <c r="S96" i="11" s="1"/>
  <c r="S23" i="11" s="1"/>
  <c r="S30" i="49" s="1"/>
  <c r="S22" i="11"/>
  <c r="S83" i="56"/>
  <c r="S90" i="56" s="1"/>
  <c r="O19" i="49"/>
  <c r="O36" i="49" s="1"/>
  <c r="AF56" i="34"/>
  <c r="AG30" i="34"/>
  <c r="AG43" i="34"/>
  <c r="Y28" i="34"/>
  <c r="AA27" i="34"/>
  <c r="S55" i="9"/>
  <c r="S57" i="9"/>
  <c r="S188" i="11"/>
  <c r="S196" i="11" s="1"/>
  <c r="S198" i="11" s="1"/>
  <c r="T195" i="11" s="1"/>
  <c r="Z83" i="53"/>
  <c r="V88" i="44"/>
  <c r="V91" i="44" s="1"/>
  <c r="AI82" i="54"/>
  <c r="U32" i="50"/>
  <c r="U93" i="44"/>
  <c r="U17" i="49" s="1"/>
  <c r="AI83" i="54"/>
  <c r="S160" i="56"/>
  <c r="S167" i="56" s="1"/>
  <c r="S169" i="56" s="1"/>
  <c r="T166" i="56" s="1"/>
  <c r="V16" i="49"/>
  <c r="Q17" i="50"/>
  <c r="R73" i="9"/>
  <c r="X45" i="44"/>
  <c r="X22" i="50"/>
  <c r="Y40" i="44"/>
  <c r="Y43" i="44" s="1"/>
  <c r="S46" i="34"/>
  <c r="S50" i="34"/>
  <c r="T37" i="34"/>
  <c r="T60" i="11"/>
  <c r="W25" i="50"/>
  <c r="X53" i="44"/>
  <c r="X56" i="44" s="1"/>
  <c r="W58" i="44"/>
  <c r="R30" i="49"/>
  <c r="R24" i="11"/>
  <c r="R34" i="50" s="1"/>
  <c r="AC52" i="34"/>
  <c r="AE39" i="34"/>
  <c r="Z29" i="44"/>
  <c r="Z32" i="44" s="1"/>
  <c r="Y34" i="44"/>
  <c r="Y21" i="50"/>
  <c r="W27" i="50"/>
  <c r="X75" i="44"/>
  <c r="X78" i="44" s="1"/>
  <c r="W80" i="44"/>
  <c r="S33" i="56"/>
  <c r="S39" i="56" s="1"/>
  <c r="S161" i="56"/>
  <c r="S168" i="56" s="1"/>
  <c r="T31" i="34"/>
  <c r="T33" i="34" s="1"/>
  <c r="S57" i="34"/>
  <c r="T44" i="34"/>
  <c r="S57" i="56"/>
  <c r="S64" i="56" s="1"/>
  <c r="V24" i="50"/>
  <c r="R46" i="34"/>
  <c r="N40" i="49"/>
  <c r="T61" i="11"/>
  <c r="U58" i="11" s="1"/>
  <c r="S80" i="11"/>
  <c r="S88" i="11" s="1"/>
  <c r="AK95" i="53"/>
  <c r="AL92" i="53"/>
  <c r="U47" i="11"/>
  <c r="U60" i="11" s="1"/>
  <c r="U45" i="9"/>
  <c r="U47" i="9"/>
  <c r="W55" i="34"/>
  <c r="X42" i="34"/>
  <c r="Z64" i="44"/>
  <c r="Z67" i="44" s="1"/>
  <c r="Y26" i="50"/>
  <c r="Y69" i="44"/>
  <c r="R59" i="34"/>
  <c r="AC54" i="34"/>
  <c r="AE41" i="34"/>
  <c r="Z28" i="34"/>
  <c r="AB27" i="34"/>
  <c r="Q104" i="44"/>
  <c r="Q108" i="44" s="1"/>
  <c r="P110" i="44"/>
  <c r="P18" i="49" s="1"/>
  <c r="P33" i="50"/>
  <c r="T37" i="9"/>
  <c r="T7" i="5"/>
  <c r="T7" i="11"/>
  <c r="T7" i="56"/>
  <c r="T7" i="1"/>
  <c r="T7" i="44"/>
  <c r="T7" i="47"/>
  <c r="T7" i="51"/>
  <c r="T7" i="7"/>
  <c r="T7" i="9"/>
  <c r="T7" i="13"/>
  <c r="T7" i="6"/>
  <c r="T7" i="57"/>
  <c r="T7" i="48"/>
  <c r="T7" i="55"/>
  <c r="T7" i="49"/>
  <c r="W8" i="2"/>
  <c r="T7" i="50"/>
  <c r="T7" i="42"/>
  <c r="U54" i="11"/>
  <c r="V52" i="11" s="1"/>
  <c r="N41" i="49" l="1"/>
  <c r="O38" i="49" s="1"/>
  <c r="O39" i="49" s="1"/>
  <c r="S43" i="48"/>
  <c r="S32" i="49" s="1"/>
  <c r="R37" i="50"/>
  <c r="S15" i="50"/>
  <c r="T53" i="9"/>
  <c r="Q14" i="49"/>
  <c r="Q17" i="48"/>
  <c r="Q21" i="48" s="1"/>
  <c r="Q32" i="13"/>
  <c r="T225" i="11"/>
  <c r="T233" i="11" s="1"/>
  <c r="T239" i="11"/>
  <c r="R104" i="44"/>
  <c r="R108" i="44" s="1"/>
  <c r="Q110" i="44"/>
  <c r="Q18" i="49" s="1"/>
  <c r="Q33" i="50"/>
  <c r="AM92" i="53"/>
  <c r="AL95" i="53"/>
  <c r="S15" i="56"/>
  <c r="S24" i="49" s="1"/>
  <c r="Z40" i="44"/>
  <c r="Z43" i="44" s="1"/>
  <c r="Y22" i="50"/>
  <c r="Y45" i="44"/>
  <c r="W16" i="49"/>
  <c r="AC27" i="34"/>
  <c r="AA28" i="34"/>
  <c r="AB28" i="34" s="1"/>
  <c r="AF25" i="34"/>
  <c r="AE26" i="34"/>
  <c r="T117" i="11"/>
  <c r="T125" i="11" s="1"/>
  <c r="T131" i="11"/>
  <c r="BH93" i="54"/>
  <c r="BI90" i="54"/>
  <c r="R63" i="9"/>
  <c r="Q16" i="50"/>
  <c r="Q12" i="50" s="1"/>
  <c r="V59" i="11"/>
  <c r="V46" i="11"/>
  <c r="V53" i="11" s="1"/>
  <c r="V54" i="11" s="1"/>
  <c r="W52" i="11" s="1"/>
  <c r="Z69" i="44"/>
  <c r="Z26" i="50"/>
  <c r="AA64" i="44"/>
  <c r="AA67" i="44" s="1"/>
  <c r="U61" i="11"/>
  <c r="V58" i="11" s="1"/>
  <c r="X55" i="34"/>
  <c r="Y42" i="34"/>
  <c r="S15" i="11"/>
  <c r="S90" i="11"/>
  <c r="T87" i="11" s="1"/>
  <c r="N29" i="50"/>
  <c r="N31" i="50"/>
  <c r="Y53" i="44"/>
  <c r="Y56" i="44" s="1"/>
  <c r="X25" i="50"/>
  <c r="X58" i="44"/>
  <c r="S36" i="13"/>
  <c r="S24" i="11"/>
  <c r="V18" i="44"/>
  <c r="V21" i="44" s="1"/>
  <c r="U23" i="44"/>
  <c r="U15" i="49" s="1"/>
  <c r="U20" i="50"/>
  <c r="U19" i="50" s="1"/>
  <c r="X27" i="50"/>
  <c r="Y75" i="44"/>
  <c r="Y78" i="44" s="1"/>
  <c r="X80" i="44"/>
  <c r="T57" i="34"/>
  <c r="U44" i="34"/>
  <c r="U31" i="34"/>
  <c r="U33" i="34" s="1"/>
  <c r="T45" i="11"/>
  <c r="AE54" i="34"/>
  <c r="AF41" i="34"/>
  <c r="N37" i="13"/>
  <c r="W24" i="50"/>
  <c r="R75" i="9"/>
  <c r="R77" i="9"/>
  <c r="V32" i="50"/>
  <c r="W88" i="44"/>
  <c r="W91" i="44" s="1"/>
  <c r="AJ83" i="54"/>
  <c r="AA83" i="53"/>
  <c r="V93" i="44"/>
  <c r="V17" i="49" s="1"/>
  <c r="AJ82" i="54"/>
  <c r="AG56" i="34"/>
  <c r="AH43" i="34"/>
  <c r="AH30" i="34"/>
  <c r="S97" i="11"/>
  <c r="T94" i="11" s="1"/>
  <c r="AF51" i="34"/>
  <c r="AG38" i="34"/>
  <c r="T40" i="34"/>
  <c r="S53" i="34"/>
  <c r="S59" i="34" s="1"/>
  <c r="V43" i="9"/>
  <c r="U14" i="50"/>
  <c r="Z34" i="44"/>
  <c r="AA29" i="44"/>
  <c r="AA32" i="44" s="1"/>
  <c r="Z21" i="50"/>
  <c r="V19" i="34"/>
  <c r="T8" i="50"/>
  <c r="T8" i="6"/>
  <c r="T8" i="49"/>
  <c r="T8" i="44"/>
  <c r="T8" i="1"/>
  <c r="T8" i="7"/>
  <c r="T8" i="48"/>
  <c r="T8" i="51"/>
  <c r="T8" i="47"/>
  <c r="T8" i="9"/>
  <c r="X7" i="2"/>
  <c r="T8" i="42"/>
  <c r="T8" i="11"/>
  <c r="T116" i="11" s="1"/>
  <c r="T124" i="11" s="1"/>
  <c r="T126" i="11" s="1"/>
  <c r="U123" i="11" s="1"/>
  <c r="T8" i="57"/>
  <c r="T8" i="13"/>
  <c r="T8" i="56"/>
  <c r="T8" i="55"/>
  <c r="T8" i="5"/>
  <c r="U33" i="9"/>
  <c r="T13" i="50"/>
  <c r="AF39" i="34"/>
  <c r="AE52" i="34"/>
  <c r="U37" i="34"/>
  <c r="T50" i="34"/>
  <c r="T203" i="11"/>
  <c r="T189" i="11"/>
  <c r="T197" i="11" s="1"/>
  <c r="T153" i="11"/>
  <c r="T161" i="11" s="1"/>
  <c r="T167" i="11"/>
  <c r="S44" i="48" l="1"/>
  <c r="AG86" i="54" s="1"/>
  <c r="O40" i="49"/>
  <c r="W46" i="11"/>
  <c r="W53" i="11" s="1"/>
  <c r="W54" i="11"/>
  <c r="X52" i="11" s="1"/>
  <c r="W59" i="11"/>
  <c r="U117" i="11"/>
  <c r="U125" i="11" s="1"/>
  <c r="U131" i="11"/>
  <c r="U118" i="11" s="1"/>
  <c r="T33" i="56"/>
  <c r="T39" i="56" s="1"/>
  <c r="T161" i="56"/>
  <c r="T168" i="56" s="1"/>
  <c r="U40" i="34"/>
  <c r="T53" i="34"/>
  <c r="T80" i="11"/>
  <c r="T88" i="11" s="1"/>
  <c r="V31" i="34"/>
  <c r="V44" i="34"/>
  <c r="U57" i="34"/>
  <c r="V23" i="44"/>
  <c r="V15" i="49" s="1"/>
  <c r="W18" i="44"/>
  <c r="W21" i="44" s="1"/>
  <c r="V20" i="50"/>
  <c r="V19" i="50" s="1"/>
  <c r="BI93" i="54"/>
  <c r="BJ90" i="54"/>
  <c r="AC28" i="34"/>
  <c r="AE27" i="34"/>
  <c r="V37" i="34"/>
  <c r="U50" i="34"/>
  <c r="U46" i="34"/>
  <c r="AF52" i="34"/>
  <c r="AG39" i="34"/>
  <c r="W19" i="34"/>
  <c r="V33" i="34"/>
  <c r="AG51" i="34"/>
  <c r="AH38" i="34"/>
  <c r="T188" i="11"/>
  <c r="T196" i="11" s="1"/>
  <c r="T198" i="11" s="1"/>
  <c r="U195" i="11" s="1"/>
  <c r="AG84" i="54"/>
  <c r="S34" i="50"/>
  <c r="X85" i="53"/>
  <c r="T95" i="11"/>
  <c r="T81" i="11"/>
  <c r="T89" i="11" s="1"/>
  <c r="T16" i="11" s="1"/>
  <c r="T28" i="49" s="1"/>
  <c r="T14" i="11"/>
  <c r="AM95" i="53"/>
  <c r="AN92" i="53"/>
  <c r="Q12" i="49"/>
  <c r="Q19" i="49" s="1"/>
  <c r="Q36" i="49" s="1"/>
  <c r="T83" i="56"/>
  <c r="T90" i="56" s="1"/>
  <c r="S27" i="49"/>
  <c r="S17" i="11"/>
  <c r="T21" i="11"/>
  <c r="W93" i="44"/>
  <c r="W17" i="49" s="1"/>
  <c r="AK82" i="54"/>
  <c r="W32" i="50"/>
  <c r="AK83" i="54"/>
  <c r="X88" i="44"/>
  <c r="X91" i="44" s="1"/>
  <c r="AB83" i="53"/>
  <c r="T134" i="56"/>
  <c r="T141" i="56" s="1"/>
  <c r="X16" i="49"/>
  <c r="Y55" i="34"/>
  <c r="Z42" i="34"/>
  <c r="AA26" i="50"/>
  <c r="AB64" i="44"/>
  <c r="AB67" i="44" s="1"/>
  <c r="AA69" i="44"/>
  <c r="T190" i="11"/>
  <c r="T204" i="11" s="1"/>
  <c r="T205" i="11" s="1"/>
  <c r="U202" i="11" s="1"/>
  <c r="U35" i="9"/>
  <c r="U37" i="9"/>
  <c r="U7" i="48"/>
  <c r="U7" i="7"/>
  <c r="X8" i="2"/>
  <c r="U7" i="57"/>
  <c r="U7" i="44"/>
  <c r="U7" i="6"/>
  <c r="U7" i="42"/>
  <c r="U7" i="55"/>
  <c r="U7" i="11"/>
  <c r="U7" i="56"/>
  <c r="U7" i="47"/>
  <c r="U7" i="5"/>
  <c r="U7" i="50"/>
  <c r="U7" i="9"/>
  <c r="U7" i="49"/>
  <c r="U7" i="1"/>
  <c r="U7" i="13"/>
  <c r="U7" i="51"/>
  <c r="AB29" i="44"/>
  <c r="AB32" i="44" s="1"/>
  <c r="AA21" i="50"/>
  <c r="AA34" i="44"/>
  <c r="T152" i="11"/>
  <c r="T160" i="11" s="1"/>
  <c r="T162" i="11" s="1"/>
  <c r="U159" i="11" s="1"/>
  <c r="T57" i="56"/>
  <c r="T64" i="56" s="1"/>
  <c r="Y27" i="50"/>
  <c r="Z75" i="44"/>
  <c r="Z78" i="44" s="1"/>
  <c r="Y80" i="44"/>
  <c r="X24" i="50"/>
  <c r="S104" i="44"/>
  <c r="R110" i="44"/>
  <c r="R18" i="49" s="1"/>
  <c r="R33" i="50"/>
  <c r="T55" i="9"/>
  <c r="T57" i="9"/>
  <c r="T226" i="11"/>
  <c r="T240" i="11" s="1"/>
  <c r="T241" i="11"/>
  <c r="U238" i="11" s="1"/>
  <c r="T118" i="11"/>
  <c r="T132" i="11" s="1"/>
  <c r="T133" i="11" s="1"/>
  <c r="U130" i="11" s="1"/>
  <c r="V45" i="9"/>
  <c r="V47" i="9"/>
  <c r="AI43" i="34"/>
  <c r="AH56" i="34"/>
  <c r="AI30" i="34"/>
  <c r="S73" i="9"/>
  <c r="R17" i="50"/>
  <c r="T224" i="11"/>
  <c r="T232" i="11" s="1"/>
  <c r="T234" i="11" s="1"/>
  <c r="U231" i="11" s="1"/>
  <c r="T160" i="56"/>
  <c r="T167" i="56" s="1"/>
  <c r="T169" i="56" s="1"/>
  <c r="U166" i="56" s="1"/>
  <c r="Y58" i="44"/>
  <c r="Z53" i="44"/>
  <c r="Z56" i="44" s="1"/>
  <c r="Y25" i="50"/>
  <c r="V47" i="11"/>
  <c r="V60" i="11" s="1"/>
  <c r="V61" i="11" s="1"/>
  <c r="W58" i="11" s="1"/>
  <c r="R65" i="9"/>
  <c r="R31" i="13" s="1"/>
  <c r="T154" i="11"/>
  <c r="T168" i="11" s="1"/>
  <c r="T169" i="11"/>
  <c r="U166" i="11" s="1"/>
  <c r="AG41" i="34"/>
  <c r="AF54" i="34"/>
  <c r="T46" i="34"/>
  <c r="T59" i="34"/>
  <c r="T109" i="56"/>
  <c r="T116" i="56" s="1"/>
  <c r="AF26" i="34"/>
  <c r="AG25" i="34"/>
  <c r="AA40" i="44"/>
  <c r="AA43" i="44" s="1"/>
  <c r="Z45" i="44"/>
  <c r="Z22" i="50"/>
  <c r="T41" i="48" l="1"/>
  <c r="S37" i="50"/>
  <c r="T43" i="48"/>
  <c r="T32" i="49" s="1"/>
  <c r="X88" i="53"/>
  <c r="Y16" i="49"/>
  <c r="Y24" i="50"/>
  <c r="W44" i="34"/>
  <c r="W31" i="34"/>
  <c r="W33" i="34" s="1"/>
  <c r="V57" i="34"/>
  <c r="AA45" i="44"/>
  <c r="AB40" i="44"/>
  <c r="AB43" i="44" s="1"/>
  <c r="AA22" i="50"/>
  <c r="AG54" i="34"/>
  <c r="AH41" i="34"/>
  <c r="S75" i="9"/>
  <c r="S77" i="9" s="1"/>
  <c r="X63" i="53"/>
  <c r="X62" i="53" s="1"/>
  <c r="AG62" i="54"/>
  <c r="AG61" i="54" s="1"/>
  <c r="S108" i="44"/>
  <c r="S107" i="44"/>
  <c r="AA42" i="34"/>
  <c r="Z55" i="34"/>
  <c r="T82" i="11"/>
  <c r="T96" i="11" s="1"/>
  <c r="T23" i="11" s="1"/>
  <c r="T30" i="49" s="1"/>
  <c r="T22" i="11"/>
  <c r="T36" i="13" s="1"/>
  <c r="X19" i="34"/>
  <c r="BK90" i="54"/>
  <c r="BJ93" i="54"/>
  <c r="U8" i="6"/>
  <c r="U8" i="50"/>
  <c r="Y7" i="2"/>
  <c r="U8" i="7"/>
  <c r="U8" i="47"/>
  <c r="U8" i="13"/>
  <c r="U8" i="49"/>
  <c r="U8" i="11"/>
  <c r="U8" i="9"/>
  <c r="U8" i="56"/>
  <c r="U8" i="1"/>
  <c r="U8" i="44"/>
  <c r="U8" i="5"/>
  <c r="U8" i="48"/>
  <c r="U8" i="55"/>
  <c r="U8" i="42"/>
  <c r="U8" i="51"/>
  <c r="U8" i="57"/>
  <c r="AB69" i="44"/>
  <c r="AC64" i="44"/>
  <c r="AC67" i="44" s="1"/>
  <c r="AB26" i="50"/>
  <c r="AG52" i="34"/>
  <c r="AH39" i="34"/>
  <c r="T15" i="11"/>
  <c r="T27" i="49" s="1"/>
  <c r="U160" i="56"/>
  <c r="U167" i="56" s="1"/>
  <c r="U134" i="56"/>
  <c r="U141" i="56" s="1"/>
  <c r="U57" i="56"/>
  <c r="U64" i="56" s="1"/>
  <c r="AO92" i="53"/>
  <c r="AN95" i="53"/>
  <c r="W47" i="11"/>
  <c r="W60" i="11" s="1"/>
  <c r="W61" i="11" s="1"/>
  <c r="X58" i="11" s="1"/>
  <c r="AH25" i="34"/>
  <c r="AG26" i="34"/>
  <c r="AB21" i="50"/>
  <c r="AC29" i="44"/>
  <c r="AC32" i="44" s="1"/>
  <c r="AB34" i="44"/>
  <c r="R67" i="9"/>
  <c r="Z58" i="44"/>
  <c r="AA53" i="44"/>
  <c r="AA56" i="44" s="1"/>
  <c r="Z25" i="50"/>
  <c r="AI56" i="34"/>
  <c r="AJ30" i="34"/>
  <c r="AJ43" i="34"/>
  <c r="Z27" i="50"/>
  <c r="AA75" i="44"/>
  <c r="AA78" i="44" s="1"/>
  <c r="Z80" i="44"/>
  <c r="U224" i="11"/>
  <c r="U232" i="11" s="1"/>
  <c r="U116" i="11"/>
  <c r="U124" i="11" s="1"/>
  <c r="U126" i="11" s="1"/>
  <c r="V123" i="11" s="1"/>
  <c r="U80" i="11"/>
  <c r="U88" i="11" s="1"/>
  <c r="U152" i="11"/>
  <c r="U160" i="11" s="1"/>
  <c r="U188" i="11"/>
  <c r="U196" i="11" s="1"/>
  <c r="U45" i="11"/>
  <c r="T97" i="11"/>
  <c r="U94" i="11" s="1"/>
  <c r="V40" i="34"/>
  <c r="U53" i="34"/>
  <c r="U59" i="34" s="1"/>
  <c r="X59" i="11"/>
  <c r="X46" i="11"/>
  <c r="X53" i="11" s="1"/>
  <c r="X54" i="11" s="1"/>
  <c r="Y52" i="11" s="1"/>
  <c r="R14" i="49"/>
  <c r="R17" i="48"/>
  <c r="R21" i="48" s="1"/>
  <c r="R32" i="13"/>
  <c r="W43" i="9"/>
  <c r="V14" i="50"/>
  <c r="U53" i="9"/>
  <c r="T15" i="50"/>
  <c r="U13" i="50"/>
  <c r="V33" i="9"/>
  <c r="U203" i="11"/>
  <c r="U190" i="11" s="1"/>
  <c r="U204" i="11" s="1"/>
  <c r="U189" i="11"/>
  <c r="U197" i="11" s="1"/>
  <c r="U198" i="11" s="1"/>
  <c r="V195" i="11" s="1"/>
  <c r="W23" i="44"/>
  <c r="W15" i="49" s="1"/>
  <c r="X18" i="44"/>
  <c r="X21" i="44" s="1"/>
  <c r="W20" i="50"/>
  <c r="W19" i="50" s="1"/>
  <c r="T15" i="56"/>
  <c r="T24" i="49" s="1"/>
  <c r="AC83" i="53"/>
  <c r="X93" i="44"/>
  <c r="X17" i="49" s="1"/>
  <c r="Y88" i="44"/>
  <c r="Y91" i="44" s="1"/>
  <c r="AL82" i="54"/>
  <c r="AL83" i="54"/>
  <c r="X32" i="50"/>
  <c r="S35" i="50"/>
  <c r="AG85" i="54"/>
  <c r="X86" i="53"/>
  <c r="T17" i="11"/>
  <c r="AI38" i="34"/>
  <c r="AH51" i="34"/>
  <c r="V50" i="34"/>
  <c r="W37" i="34"/>
  <c r="O37" i="13"/>
  <c r="U234" i="11"/>
  <c r="V231" i="11" s="1"/>
  <c r="U239" i="11"/>
  <c r="U226" i="11" s="1"/>
  <c r="U240" i="11" s="1"/>
  <c r="U225" i="11"/>
  <c r="U233" i="11" s="1"/>
  <c r="U153" i="11"/>
  <c r="U161" i="11" s="1"/>
  <c r="U162" i="11" s="1"/>
  <c r="V159" i="11" s="1"/>
  <c r="U167" i="11"/>
  <c r="U154" i="11" s="1"/>
  <c r="U168" i="11" s="1"/>
  <c r="T90" i="11"/>
  <c r="U87" i="11" s="1"/>
  <c r="AF27" i="34"/>
  <c r="AE28" i="34"/>
  <c r="U132" i="11"/>
  <c r="U133" i="11" s="1"/>
  <c r="V130" i="11" s="1"/>
  <c r="O41" i="49"/>
  <c r="T44" i="48" l="1"/>
  <c r="Y88" i="53" s="1"/>
  <c r="Z24" i="50"/>
  <c r="Z16" i="49"/>
  <c r="Y59" i="11"/>
  <c r="Y46" i="11"/>
  <c r="Y53" i="11" s="1"/>
  <c r="Y54" i="11"/>
  <c r="Z52" i="11" s="1"/>
  <c r="V203" i="11"/>
  <c r="V190" i="11" s="1"/>
  <c r="V204" i="11" s="1"/>
  <c r="V189" i="11"/>
  <c r="V197" i="11" s="1"/>
  <c r="V153" i="11"/>
  <c r="V161" i="11" s="1"/>
  <c r="V167" i="11"/>
  <c r="V154" i="11" s="1"/>
  <c r="S17" i="50"/>
  <c r="T73" i="9"/>
  <c r="R12" i="49"/>
  <c r="R19" i="49" s="1"/>
  <c r="R36" i="49" s="1"/>
  <c r="AD64" i="44"/>
  <c r="AD67" i="44" s="1"/>
  <c r="AC26" i="50"/>
  <c r="AC69" i="44"/>
  <c r="U21" i="11"/>
  <c r="AA27" i="50"/>
  <c r="AB75" i="44"/>
  <c r="AB78" i="44" s="1"/>
  <c r="AA80" i="44"/>
  <c r="R16" i="50"/>
  <c r="R12" i="50" s="1"/>
  <c r="S63" i="9"/>
  <c r="V7" i="57"/>
  <c r="V7" i="7"/>
  <c r="V7" i="42"/>
  <c r="V7" i="50"/>
  <c r="V7" i="56"/>
  <c r="V7" i="55"/>
  <c r="V7" i="47"/>
  <c r="V7" i="13"/>
  <c r="V7" i="9"/>
  <c r="Y8" i="2"/>
  <c r="V7" i="1"/>
  <c r="V7" i="5"/>
  <c r="V7" i="51"/>
  <c r="V7" i="44"/>
  <c r="V7" i="11"/>
  <c r="V7" i="6"/>
  <c r="V7" i="48"/>
  <c r="V7" i="49"/>
  <c r="V35" i="9"/>
  <c r="U33" i="56"/>
  <c r="U39" i="56" s="1"/>
  <c r="U161" i="56"/>
  <c r="U168" i="56" s="1"/>
  <c r="U169" i="56" s="1"/>
  <c r="V166" i="56" s="1"/>
  <c r="X44" i="34"/>
  <c r="X31" i="34"/>
  <c r="W57" i="34"/>
  <c r="V53" i="34"/>
  <c r="W40" i="34"/>
  <c r="V46" i="34"/>
  <c r="X20" i="50"/>
  <c r="X19" i="50" s="1"/>
  <c r="X23" i="44"/>
  <c r="X15" i="49" s="1"/>
  <c r="Y18" i="44"/>
  <c r="Y21" i="44" s="1"/>
  <c r="AK30" i="34"/>
  <c r="AJ56" i="34"/>
  <c r="AK43" i="34"/>
  <c r="AC34" i="44"/>
  <c r="AC21" i="50"/>
  <c r="AD29" i="44"/>
  <c r="AD32" i="44" s="1"/>
  <c r="AP92" i="53"/>
  <c r="AO95" i="53"/>
  <c r="AI39" i="34"/>
  <c r="AH52" i="34"/>
  <c r="AH54" i="34"/>
  <c r="AI41" i="34"/>
  <c r="X37" i="34"/>
  <c r="W50" i="34"/>
  <c r="T24" i="11"/>
  <c r="U241" i="11"/>
  <c r="V238" i="11" s="1"/>
  <c r="AB42" i="34"/>
  <c r="AA55" i="34"/>
  <c r="X33" i="34"/>
  <c r="Y19" i="34"/>
  <c r="O31" i="50"/>
  <c r="O29" i="50"/>
  <c r="P38" i="49"/>
  <c r="P39" i="49" s="1"/>
  <c r="V59" i="34"/>
  <c r="U169" i="11"/>
  <c r="V166" i="11" s="1"/>
  <c r="U55" i="9"/>
  <c r="U15" i="11"/>
  <c r="U27" i="49" s="1"/>
  <c r="U109" i="56"/>
  <c r="U116" i="56" s="1"/>
  <c r="U95" i="11"/>
  <c r="U81" i="11"/>
  <c r="U89" i="11" s="1"/>
  <c r="U16" i="11" s="1"/>
  <c r="U28" i="49" s="1"/>
  <c r="U14" i="11"/>
  <c r="V225" i="11"/>
  <c r="V233" i="11" s="1"/>
  <c r="V239" i="11"/>
  <c r="V226" i="11" s="1"/>
  <c r="X47" i="11"/>
  <c r="X60" i="11" s="1"/>
  <c r="X61" i="11" s="1"/>
  <c r="Y58" i="11" s="1"/>
  <c r="V117" i="11"/>
  <c r="V125" i="11" s="1"/>
  <c r="V131" i="11"/>
  <c r="V118" i="11" s="1"/>
  <c r="V132" i="11" s="1"/>
  <c r="AI25" i="34"/>
  <c r="AH26" i="34"/>
  <c r="BL90" i="54"/>
  <c r="BK93" i="54"/>
  <c r="T104" i="44"/>
  <c r="T108" i="44" s="1"/>
  <c r="S110" i="44"/>
  <c r="S18" i="49" s="1"/>
  <c r="S33" i="50"/>
  <c r="AC40" i="44"/>
  <c r="AC43" i="44" s="1"/>
  <c r="AB22" i="50"/>
  <c r="AB45" i="44"/>
  <c r="AH85" i="54"/>
  <c r="T35" i="50"/>
  <c r="Y86" i="53"/>
  <c r="AG27" i="34"/>
  <c r="AF28" i="34"/>
  <c r="AI51" i="34"/>
  <c r="AJ38" i="34"/>
  <c r="AD83" i="53"/>
  <c r="Y93" i="44"/>
  <c r="Y17" i="49" s="1"/>
  <c r="Z88" i="44"/>
  <c r="Z91" i="44" s="1"/>
  <c r="AM82" i="54"/>
  <c r="AM83" i="54"/>
  <c r="Y32" i="50"/>
  <c r="W45" i="9"/>
  <c r="W47" i="9" s="1"/>
  <c r="AA25" i="50"/>
  <c r="AA58" i="44"/>
  <c r="AB53" i="44"/>
  <c r="AB56" i="44" s="1"/>
  <c r="U83" i="56"/>
  <c r="U90" i="56" s="1"/>
  <c r="U15" i="56" s="1"/>
  <c r="U24" i="49" s="1"/>
  <c r="U205" i="11"/>
  <c r="V202" i="11" s="1"/>
  <c r="U41" i="48" l="1"/>
  <c r="AH86" i="54"/>
  <c r="T37" i="50"/>
  <c r="U43" i="48"/>
  <c r="U32" i="49" s="1"/>
  <c r="AA16" i="49"/>
  <c r="X43" i="9"/>
  <c r="W14" i="50"/>
  <c r="AA24" i="50"/>
  <c r="V240" i="11"/>
  <c r="U82" i="11"/>
  <c r="U96" i="11" s="1"/>
  <c r="U23" i="11" s="1"/>
  <c r="U30" i="49" s="1"/>
  <c r="U22" i="11"/>
  <c r="U36" i="13" s="1"/>
  <c r="P40" i="49"/>
  <c r="P37" i="13" s="1"/>
  <c r="AH84" i="54"/>
  <c r="T34" i="50"/>
  <c r="Y85" i="53"/>
  <c r="V241" i="11"/>
  <c r="W238" i="11" s="1"/>
  <c r="W53" i="34"/>
  <c r="X40" i="34"/>
  <c r="AJ51" i="34"/>
  <c r="AK38" i="34"/>
  <c r="AI52" i="34"/>
  <c r="AJ39" i="34"/>
  <c r="V8" i="7"/>
  <c r="V8" i="11"/>
  <c r="V8" i="5"/>
  <c r="V8" i="1"/>
  <c r="V8" i="44"/>
  <c r="V8" i="56"/>
  <c r="V8" i="6"/>
  <c r="V8" i="42"/>
  <c r="V8" i="51"/>
  <c r="V8" i="57"/>
  <c r="V8" i="49"/>
  <c r="V8" i="55"/>
  <c r="Z7" i="2"/>
  <c r="V8" i="9"/>
  <c r="V8" i="50"/>
  <c r="V8" i="47"/>
  <c r="V8" i="48"/>
  <c r="V8" i="13"/>
  <c r="V133" i="11"/>
  <c r="W130" i="11" s="1"/>
  <c r="AH62" i="54"/>
  <c r="AH61" i="54" s="1"/>
  <c r="Y63" i="53"/>
  <c r="Y62" i="53" s="1"/>
  <c r="T75" i="9"/>
  <c r="T77" i="9" s="1"/>
  <c r="V205" i="11"/>
  <c r="W202" i="11" s="1"/>
  <c r="AC45" i="44"/>
  <c r="AD40" i="44"/>
  <c r="AD43" i="44" s="1"/>
  <c r="AC22" i="50"/>
  <c r="AJ25" i="34"/>
  <c r="AI26" i="34"/>
  <c r="V168" i="11"/>
  <c r="BL93" i="54"/>
  <c r="BM90" i="54"/>
  <c r="Z19" i="34"/>
  <c r="W59" i="34"/>
  <c r="AP95" i="53"/>
  <c r="AQ92" i="53"/>
  <c r="Y20" i="50"/>
  <c r="Y19" i="50" s="1"/>
  <c r="Y23" i="44"/>
  <c r="Y15" i="49" s="1"/>
  <c r="Z18" i="44"/>
  <c r="Z21" i="44" s="1"/>
  <c r="Y44" i="34"/>
  <c r="Y31" i="34"/>
  <c r="Y33" i="34" s="1"/>
  <c r="X57" i="34"/>
  <c r="S67" i="9"/>
  <c r="S65" i="9"/>
  <c r="S31" i="13" s="1"/>
  <c r="Z46" i="11"/>
  <c r="Z53" i="11" s="1"/>
  <c r="Z59" i="11"/>
  <c r="AK56" i="34"/>
  <c r="AL43" i="34"/>
  <c r="AL30" i="34"/>
  <c r="AG28" i="34"/>
  <c r="AH27" i="34"/>
  <c r="Y37" i="34"/>
  <c r="X46" i="34"/>
  <c r="X50" i="34"/>
  <c r="AD34" i="44"/>
  <c r="AD21" i="50"/>
  <c r="AE29" i="44"/>
  <c r="AE32" i="44" s="1"/>
  <c r="V45" i="11"/>
  <c r="V116" i="11"/>
  <c r="V124" i="11" s="1"/>
  <c r="V126" i="11" s="1"/>
  <c r="W123" i="11" s="1"/>
  <c r="V152" i="11"/>
  <c r="V160" i="11" s="1"/>
  <c r="V162" i="11" s="1"/>
  <c r="W159" i="11" s="1"/>
  <c r="V188" i="11"/>
  <c r="V196" i="11" s="1"/>
  <c r="V198" i="11" s="1"/>
  <c r="W195" i="11" s="1"/>
  <c r="V80" i="11"/>
  <c r="V88" i="11" s="1"/>
  <c r="V15" i="11" s="1"/>
  <c r="V27" i="49" s="1"/>
  <c r="V224" i="11"/>
  <c r="V232" i="11" s="1"/>
  <c r="V234" i="11" s="1"/>
  <c r="W231" i="11" s="1"/>
  <c r="AD69" i="44"/>
  <c r="AE64" i="44"/>
  <c r="AE67" i="44" s="1"/>
  <c r="AD26" i="50"/>
  <c r="U104" i="44"/>
  <c r="U108" i="44" s="1"/>
  <c r="T110" i="44"/>
  <c r="T18" i="49" s="1"/>
  <c r="T33" i="50"/>
  <c r="U17" i="11"/>
  <c r="U57" i="9"/>
  <c r="W46" i="34"/>
  <c r="Y47" i="11"/>
  <c r="Y60" i="11" s="1"/>
  <c r="AC53" i="44"/>
  <c r="AC56" i="44" s="1"/>
  <c r="AB25" i="50"/>
  <c r="AB58" i="44"/>
  <c r="Z93" i="44"/>
  <c r="Z17" i="49" s="1"/>
  <c r="Z32" i="50"/>
  <c r="AN83" i="54"/>
  <c r="AA88" i="44"/>
  <c r="AA91" i="44" s="1"/>
  <c r="AN82" i="54"/>
  <c r="AE83" i="53"/>
  <c r="U90" i="11"/>
  <c r="V87" i="11" s="1"/>
  <c r="V169" i="11"/>
  <c r="W166" i="11" s="1"/>
  <c r="AC42" i="34"/>
  <c r="AB55" i="34"/>
  <c r="AJ41" i="34"/>
  <c r="AI54" i="34"/>
  <c r="V37" i="9"/>
  <c r="V57" i="56"/>
  <c r="V64" i="56" s="1"/>
  <c r="V15" i="56" s="1"/>
  <c r="V24" i="49" s="1"/>
  <c r="V134" i="56"/>
  <c r="V141" i="56" s="1"/>
  <c r="V160" i="56"/>
  <c r="V167" i="56" s="1"/>
  <c r="V83" i="56"/>
  <c r="V90" i="56" s="1"/>
  <c r="V109" i="56"/>
  <c r="V116" i="56" s="1"/>
  <c r="AC75" i="44"/>
  <c r="AC78" i="44" s="1"/>
  <c r="AB80" i="44"/>
  <c r="AB27" i="50"/>
  <c r="U44" i="48" l="1"/>
  <c r="V43" i="48" s="1"/>
  <c r="V32" i="49" s="1"/>
  <c r="AB24" i="50"/>
  <c r="U73" i="9"/>
  <c r="T17" i="50"/>
  <c r="V13" i="50"/>
  <c r="W33" i="9"/>
  <c r="AC25" i="50"/>
  <c r="AD53" i="44"/>
  <c r="AD56" i="44" s="1"/>
  <c r="AC58" i="44"/>
  <c r="AE34" i="44"/>
  <c r="AF29" i="44"/>
  <c r="AF32" i="44" s="1"/>
  <c r="AE21" i="50"/>
  <c r="S14" i="49"/>
  <c r="S17" i="48"/>
  <c r="S21" i="48" s="1"/>
  <c r="S32" i="13"/>
  <c r="AQ95" i="53"/>
  <c r="AR92" i="53"/>
  <c r="AK39" i="34"/>
  <c r="AJ52" i="34"/>
  <c r="U24" i="11"/>
  <c r="W225" i="11"/>
  <c r="W233" i="11" s="1"/>
  <c r="W239" i="11"/>
  <c r="S16" i="50"/>
  <c r="S12" i="50" s="1"/>
  <c r="T63" i="9"/>
  <c r="AI85" i="54"/>
  <c r="Z86" i="53"/>
  <c r="U35" i="50"/>
  <c r="AH28" i="34"/>
  <c r="AI27" i="34"/>
  <c r="BN90" i="54"/>
  <c r="BM93" i="54"/>
  <c r="AJ54" i="34"/>
  <c r="AK41" i="34"/>
  <c r="AB88" i="44"/>
  <c r="AB91" i="44" s="1"/>
  <c r="AA32" i="50"/>
  <c r="AF83" i="53"/>
  <c r="AO82" i="54"/>
  <c r="AO83" i="54"/>
  <c r="AA93" i="44"/>
  <c r="AA17" i="49" s="1"/>
  <c r="V104" i="44"/>
  <c r="U110" i="44"/>
  <c r="U18" i="49" s="1"/>
  <c r="U33" i="50"/>
  <c r="AL56" i="34"/>
  <c r="AM43" i="34"/>
  <c r="AM30" i="34"/>
  <c r="V33" i="56"/>
  <c r="V39" i="56" s="1"/>
  <c r="V161" i="56"/>
  <c r="V168" i="56" s="1"/>
  <c r="V169" i="56" s="1"/>
  <c r="W166" i="56" s="1"/>
  <c r="AC27" i="50"/>
  <c r="AC80" i="44"/>
  <c r="AD75" i="44"/>
  <c r="AD78" i="44" s="1"/>
  <c r="W189" i="11"/>
  <c r="W197" i="11" s="1"/>
  <c r="W203" i="11"/>
  <c r="AK25" i="34"/>
  <c r="AJ26" i="34"/>
  <c r="W7" i="11"/>
  <c r="W7" i="1"/>
  <c r="W7" i="57"/>
  <c r="W7" i="42"/>
  <c r="W7" i="56"/>
  <c r="W7" i="47"/>
  <c r="W7" i="13"/>
  <c r="W7" i="9"/>
  <c r="W7" i="51"/>
  <c r="Z8" i="2"/>
  <c r="W7" i="6"/>
  <c r="W7" i="50"/>
  <c r="W7" i="7"/>
  <c r="W7" i="49"/>
  <c r="W7" i="44"/>
  <c r="W7" i="55"/>
  <c r="W7" i="5"/>
  <c r="W7" i="48"/>
  <c r="AL38" i="34"/>
  <c r="AK51" i="34"/>
  <c r="AE42" i="34"/>
  <c r="AC55" i="34"/>
  <c r="W167" i="11"/>
  <c r="W153" i="11"/>
  <c r="W161" i="11" s="1"/>
  <c r="Z44" i="34"/>
  <c r="Z31" i="34"/>
  <c r="Z33" i="34" s="1"/>
  <c r="Y57" i="34"/>
  <c r="AA19" i="34"/>
  <c r="P41" i="49"/>
  <c r="Y61" i="11"/>
  <c r="Z58" i="11" s="1"/>
  <c r="W117" i="11"/>
  <c r="W125" i="11" s="1"/>
  <c r="W131" i="11"/>
  <c r="Z37" i="34"/>
  <c r="Y50" i="34"/>
  <c r="Z54" i="11"/>
  <c r="AA52" i="11" s="1"/>
  <c r="Z20" i="50"/>
  <c r="Z19" i="50" s="1"/>
  <c r="AA18" i="44"/>
  <c r="AA21" i="44" s="1"/>
  <c r="Z23" i="44"/>
  <c r="Z15" i="49" s="1"/>
  <c r="AD22" i="50"/>
  <c r="AD45" i="44"/>
  <c r="AE40" i="44"/>
  <c r="AE43" i="44" s="1"/>
  <c r="U97" i="11"/>
  <c r="V94" i="11" s="1"/>
  <c r="Y40" i="34"/>
  <c r="X53" i="34"/>
  <c r="X59" i="34" s="1"/>
  <c r="V95" i="11"/>
  <c r="V81" i="11"/>
  <c r="V89" i="11" s="1"/>
  <c r="V16" i="11" s="1"/>
  <c r="V28" i="49" s="1"/>
  <c r="V14" i="11"/>
  <c r="V17" i="11" s="1"/>
  <c r="AB16" i="49"/>
  <c r="U15" i="50"/>
  <c r="V53" i="9"/>
  <c r="AE69" i="44"/>
  <c r="AE26" i="50"/>
  <c r="AF64" i="44"/>
  <c r="AF67" i="44" s="1"/>
  <c r="Z47" i="11"/>
  <c r="Z60" i="11" s="1"/>
  <c r="X45" i="9"/>
  <c r="X47" i="9"/>
  <c r="AI86" i="54" l="1"/>
  <c r="V41" i="48"/>
  <c r="U37" i="50"/>
  <c r="Z88" i="53"/>
  <c r="AA20" i="50"/>
  <c r="AA19" i="50" s="1"/>
  <c r="AA23" i="44"/>
  <c r="AA15" i="49" s="1"/>
  <c r="AB18" i="44"/>
  <c r="AB21" i="44" s="1"/>
  <c r="T65" i="9"/>
  <c r="T31" i="13" s="1"/>
  <c r="AK52" i="34"/>
  <c r="AL39" i="34"/>
  <c r="AM38" i="34"/>
  <c r="AL51" i="34"/>
  <c r="BN93" i="54"/>
  <c r="BO90" i="54"/>
  <c r="AR95" i="53"/>
  <c r="AS92" i="53"/>
  <c r="AC16" i="49"/>
  <c r="AA31" i="34"/>
  <c r="AA44" i="34"/>
  <c r="Z57" i="34"/>
  <c r="W8" i="57"/>
  <c r="W8" i="51"/>
  <c r="W8" i="9"/>
  <c r="W8" i="49"/>
  <c r="W8" i="50"/>
  <c r="W8" i="7"/>
  <c r="W8" i="48"/>
  <c r="W8" i="47"/>
  <c r="W8" i="13"/>
  <c r="AA7" i="2"/>
  <c r="W8" i="44"/>
  <c r="W8" i="6"/>
  <c r="W8" i="1"/>
  <c r="W8" i="11"/>
  <c r="W188" i="11" s="1"/>
  <c r="W196" i="11" s="1"/>
  <c r="W8" i="55"/>
  <c r="W8" i="56"/>
  <c r="W109" i="56" s="1"/>
  <c r="W116" i="56" s="1"/>
  <c r="W8" i="42"/>
  <c r="W8" i="5"/>
  <c r="AI28" i="34"/>
  <c r="AJ27" i="34"/>
  <c r="AD25" i="50"/>
  <c r="AE53" i="44"/>
  <c r="AE56" i="44" s="1"/>
  <c r="AD58" i="44"/>
  <c r="V97" i="11"/>
  <c r="W94" i="11" s="1"/>
  <c r="V21" i="11"/>
  <c r="Z61" i="11"/>
  <c r="AA58" i="11" s="1"/>
  <c r="W45" i="11"/>
  <c r="W116" i="11"/>
  <c r="W124" i="11" s="1"/>
  <c r="W80" i="11"/>
  <c r="W88" i="11" s="1"/>
  <c r="W224" i="11"/>
  <c r="W232" i="11" s="1"/>
  <c r="AM56" i="34"/>
  <c r="AN30" i="34"/>
  <c r="AN43" i="34"/>
  <c r="W226" i="11"/>
  <c r="W240" i="11" s="1"/>
  <c r="S12" i="49"/>
  <c r="S19" i="49" s="1"/>
  <c r="S36" i="49" s="1"/>
  <c r="AC24" i="50"/>
  <c r="X14" i="50"/>
  <c r="Y43" i="9"/>
  <c r="Y53" i="34"/>
  <c r="Y59" i="34" s="1"/>
  <c r="Z40" i="34"/>
  <c r="Y46" i="34"/>
  <c r="Q38" i="49"/>
  <c r="Q39" i="49" s="1"/>
  <c r="P29" i="50"/>
  <c r="P31" i="50"/>
  <c r="AE75" i="44"/>
  <c r="AE78" i="44" s="1"/>
  <c r="AD27" i="50"/>
  <c r="AD80" i="44"/>
  <c r="W37" i="9"/>
  <c r="W35" i="9"/>
  <c r="V55" i="9"/>
  <c r="V57" i="9"/>
  <c r="V35" i="50"/>
  <c r="AJ85" i="54"/>
  <c r="AA86" i="53"/>
  <c r="AF40" i="44"/>
  <c r="AF43" i="44" s="1"/>
  <c r="AE45" i="44"/>
  <c r="AE22" i="50"/>
  <c r="AF69" i="44"/>
  <c r="AG64" i="44"/>
  <c r="AG67" i="44" s="1"/>
  <c r="AF26" i="50"/>
  <c r="V90" i="11"/>
  <c r="W87" i="11" s="1"/>
  <c r="AA37" i="34"/>
  <c r="Z46" i="34"/>
  <c r="Z50" i="34"/>
  <c r="W154" i="11"/>
  <c r="W168" i="11" s="1"/>
  <c r="AK26" i="34"/>
  <c r="AL25" i="34"/>
  <c r="AB93" i="44"/>
  <c r="AB17" i="49" s="1"/>
  <c r="AB32" i="50"/>
  <c r="AP82" i="54"/>
  <c r="AP83" i="54"/>
  <c r="AC88" i="44"/>
  <c r="AC91" i="44" s="1"/>
  <c r="AG83" i="53"/>
  <c r="AA59" i="11"/>
  <c r="AA46" i="11"/>
  <c r="AA53" i="11" s="1"/>
  <c r="AA54" i="11" s="1"/>
  <c r="AB52" i="11" s="1"/>
  <c r="V82" i="11"/>
  <c r="V96" i="11" s="1"/>
  <c r="V23" i="11" s="1"/>
  <c r="V30" i="49" s="1"/>
  <c r="V22" i="11"/>
  <c r="V36" i="13" s="1"/>
  <c r="AL41" i="34"/>
  <c r="AK54" i="34"/>
  <c r="U34" i="50"/>
  <c r="Z85" i="53"/>
  <c r="AI84" i="54"/>
  <c r="W118" i="11"/>
  <c r="W132" i="11" s="1"/>
  <c r="AB19" i="34"/>
  <c r="AA33" i="34"/>
  <c r="AE55" i="34"/>
  <c r="AF42" i="34"/>
  <c r="W83" i="56"/>
  <c r="W90" i="56" s="1"/>
  <c r="W190" i="11"/>
  <c r="W204" i="11" s="1"/>
  <c r="V108" i="44"/>
  <c r="V107" i="44"/>
  <c r="AF34" i="44"/>
  <c r="AF21" i="50"/>
  <c r="AG29" i="44"/>
  <c r="AG32" i="44" s="1"/>
  <c r="AI62" i="54"/>
  <c r="AI61" i="54" s="1"/>
  <c r="U75" i="9"/>
  <c r="U77" i="9"/>
  <c r="Z63" i="53"/>
  <c r="Z62" i="53" s="1"/>
  <c r="W198" i="11" l="1"/>
  <c r="X195" i="11" s="1"/>
  <c r="AB46" i="11"/>
  <c r="AB53" i="11" s="1"/>
  <c r="AB59" i="11"/>
  <c r="AB54" i="11"/>
  <c r="AC52" i="11" s="1"/>
  <c r="W134" i="56"/>
  <c r="W141" i="56" s="1"/>
  <c r="X33" i="9"/>
  <c r="W13" i="50"/>
  <c r="W234" i="11"/>
  <c r="X231" i="11" s="1"/>
  <c r="V24" i="11"/>
  <c r="BP90" i="54"/>
  <c r="BO93" i="54"/>
  <c r="T67" i="9"/>
  <c r="V73" i="9"/>
  <c r="U17" i="50"/>
  <c r="AG42" i="34"/>
  <c r="AF55" i="34"/>
  <c r="AA47" i="11"/>
  <c r="AA60" i="11" s="1"/>
  <c r="AA50" i="34"/>
  <c r="AB37" i="34"/>
  <c r="Z53" i="34"/>
  <c r="Z59" i="34" s="1"/>
  <c r="AA40" i="34"/>
  <c r="W241" i="11"/>
  <c r="X238" i="11" s="1"/>
  <c r="W126" i="11"/>
  <c r="X123" i="11" s="1"/>
  <c r="AD16" i="49"/>
  <c r="AB31" i="34"/>
  <c r="AA57" i="34"/>
  <c r="AB44" i="34"/>
  <c r="W33" i="56"/>
  <c r="W39" i="56" s="1"/>
  <c r="W161" i="56"/>
  <c r="W168" i="56" s="1"/>
  <c r="W90" i="11"/>
  <c r="X87" i="11" s="1"/>
  <c r="W81" i="11"/>
  <c r="W89" i="11" s="1"/>
  <c r="W95" i="11"/>
  <c r="W14" i="11"/>
  <c r="AN56" i="34"/>
  <c r="AO30" i="34"/>
  <c r="AO43" i="34"/>
  <c r="AF53" i="44"/>
  <c r="AF56" i="44" s="1"/>
  <c r="AE58" i="44"/>
  <c r="AE25" i="50"/>
  <c r="W104" i="44"/>
  <c r="W108" i="44" s="1"/>
  <c r="V110" i="44"/>
  <c r="V18" i="49" s="1"/>
  <c r="V33" i="50"/>
  <c r="W205" i="11"/>
  <c r="X202" i="11" s="1"/>
  <c r="AM41" i="34"/>
  <c r="AL54" i="34"/>
  <c r="AL26" i="34"/>
  <c r="AM25" i="34"/>
  <c r="AE80" i="44"/>
  <c r="AF75" i="44"/>
  <c r="AF78" i="44" s="1"/>
  <c r="AE27" i="50"/>
  <c r="Y47" i="9"/>
  <c r="Y45" i="9"/>
  <c r="AD24" i="50"/>
  <c r="AM51" i="34"/>
  <c r="AN38" i="34"/>
  <c r="AB20" i="50"/>
  <c r="AB19" i="50" s="1"/>
  <c r="AC18" i="44"/>
  <c r="AC21" i="44" s="1"/>
  <c r="AB23" i="44"/>
  <c r="AB15" i="49" s="1"/>
  <c r="T14" i="49"/>
  <c r="T17" i="48"/>
  <c r="T21" i="48" s="1"/>
  <c r="T32" i="13"/>
  <c r="AH29" i="44"/>
  <c r="AH32" i="44" s="1"/>
  <c r="AG34" i="44"/>
  <c r="AG21" i="50"/>
  <c r="W57" i="56"/>
  <c r="W64" i="56" s="1"/>
  <c r="AC19" i="34"/>
  <c r="AB33" i="34"/>
  <c r="AH64" i="44"/>
  <c r="AH67" i="44" s="1"/>
  <c r="AG26" i="50"/>
  <c r="AG69" i="44"/>
  <c r="W53" i="9"/>
  <c r="V15" i="50"/>
  <c r="AA61" i="11"/>
  <c r="AB58" i="11" s="1"/>
  <c r="AK27" i="34"/>
  <c r="AJ28" i="34"/>
  <c r="AS95" i="53"/>
  <c r="AT92" i="53"/>
  <c r="W15" i="11"/>
  <c r="W160" i="56"/>
  <c r="W167" i="56" s="1"/>
  <c r="W152" i="11"/>
  <c r="W160" i="11" s="1"/>
  <c r="AL52" i="34"/>
  <c r="AM39" i="34"/>
  <c r="AG40" i="44"/>
  <c r="AG43" i="44" s="1"/>
  <c r="AF22" i="50"/>
  <c r="AF45" i="44"/>
  <c r="W21" i="11"/>
  <c r="AC32" i="50"/>
  <c r="AD88" i="44"/>
  <c r="AD91" i="44" s="1"/>
  <c r="AQ82" i="54"/>
  <c r="AQ83" i="54"/>
  <c r="AH83" i="53"/>
  <c r="AC93" i="44"/>
  <c r="AC17" i="49" s="1"/>
  <c r="W169" i="11"/>
  <c r="X166" i="11" s="1"/>
  <c r="Q40" i="49"/>
  <c r="Q37" i="13" s="1"/>
  <c r="X7" i="56"/>
  <c r="X7" i="47"/>
  <c r="X7" i="55"/>
  <c r="X7" i="13"/>
  <c r="AA8" i="2"/>
  <c r="X7" i="6"/>
  <c r="X7" i="5"/>
  <c r="X7" i="11"/>
  <c r="X7" i="7"/>
  <c r="X7" i="48"/>
  <c r="X7" i="57"/>
  <c r="X7" i="9"/>
  <c r="X7" i="51"/>
  <c r="X7" i="44"/>
  <c r="X7" i="1"/>
  <c r="X7" i="42"/>
  <c r="X7" i="50"/>
  <c r="X7" i="49"/>
  <c r="W133" i="11"/>
  <c r="X130" i="11" s="1"/>
  <c r="Q41" i="49" l="1"/>
  <c r="Q31" i="50" s="1"/>
  <c r="AG45" i="44"/>
  <c r="AH40" i="44"/>
  <c r="AH43" i="44" s="1"/>
  <c r="AG22" i="50"/>
  <c r="AE19" i="34"/>
  <c r="AP30" i="34"/>
  <c r="AO56" i="34"/>
  <c r="AP43" i="34"/>
  <c r="AP56" i="34" s="1"/>
  <c r="BQ90" i="54"/>
  <c r="BP93" i="54"/>
  <c r="X152" i="11"/>
  <c r="X160" i="11" s="1"/>
  <c r="W27" i="49"/>
  <c r="W15" i="56"/>
  <c r="AC23" i="44"/>
  <c r="AC15" i="49" s="1"/>
  <c r="AC20" i="50"/>
  <c r="AC19" i="50" s="1"/>
  <c r="AD18" i="44"/>
  <c r="AD21" i="44" s="1"/>
  <c r="AF80" i="44"/>
  <c r="AF27" i="50"/>
  <c r="AG75" i="44"/>
  <c r="AG78" i="44" s="1"/>
  <c r="AJ84" i="54"/>
  <c r="AA85" i="53"/>
  <c r="V34" i="50"/>
  <c r="AM52" i="34"/>
  <c r="AN39" i="34"/>
  <c r="AC31" i="34"/>
  <c r="AC33" i="34" s="1"/>
  <c r="AC44" i="34"/>
  <c r="AB57" i="34"/>
  <c r="AB40" i="34"/>
  <c r="AA53" i="34"/>
  <c r="X239" i="11"/>
  <c r="X225" i="11"/>
  <c r="X233" i="11" s="1"/>
  <c r="AC46" i="11"/>
  <c r="AC53" i="11" s="1"/>
  <c r="AC54" i="11"/>
  <c r="AD52" i="11" s="1"/>
  <c r="AC59" i="11"/>
  <c r="W57" i="9"/>
  <c r="W55" i="9"/>
  <c r="AO38" i="34"/>
  <c r="AN51" i="34"/>
  <c r="AM26" i="34"/>
  <c r="AN25" i="34"/>
  <c r="AG55" i="34"/>
  <c r="AH42" i="34"/>
  <c r="AB47" i="11"/>
  <c r="AB60" i="11" s="1"/>
  <c r="W162" i="11"/>
  <c r="X159" i="11" s="1"/>
  <c r="AT95" i="53"/>
  <c r="AU92" i="53"/>
  <c r="AH21" i="50"/>
  <c r="AI29" i="44"/>
  <c r="AI32" i="44" s="1"/>
  <c r="AH34" i="44"/>
  <c r="X104" i="44"/>
  <c r="X108" i="44" s="1"/>
  <c r="W110" i="44"/>
  <c r="W18" i="49" s="1"/>
  <c r="W33" i="50"/>
  <c r="W82" i="11"/>
  <c r="W96" i="11" s="1"/>
  <c r="W22" i="11"/>
  <c r="AA46" i="34"/>
  <c r="AR83" i="54"/>
  <c r="AI83" i="53"/>
  <c r="AE88" i="44"/>
  <c r="AE91" i="44" s="1"/>
  <c r="AR82" i="54"/>
  <c r="AD93" i="44"/>
  <c r="AD17" i="49" s="1"/>
  <c r="AD32" i="50"/>
  <c r="T12" i="49"/>
  <c r="T19" i="49" s="1"/>
  <c r="T36" i="49" s="1"/>
  <c r="AE24" i="50"/>
  <c r="W16" i="11"/>
  <c r="AB50" i="34"/>
  <c r="AC37" i="34"/>
  <c r="AB46" i="34"/>
  <c r="AJ62" i="54"/>
  <c r="AJ61" i="54" s="1"/>
  <c r="V75" i="9"/>
  <c r="AA63" i="53"/>
  <c r="AA62" i="53" s="1"/>
  <c r="V77" i="9"/>
  <c r="X203" i="11"/>
  <c r="X189" i="11"/>
  <c r="X197" i="11" s="1"/>
  <c r="X8" i="51"/>
  <c r="AB7" i="2"/>
  <c r="X8" i="9"/>
  <c r="X8" i="50"/>
  <c r="X8" i="1"/>
  <c r="X8" i="44"/>
  <c r="X8" i="47"/>
  <c r="X8" i="7"/>
  <c r="X8" i="42"/>
  <c r="X8" i="11"/>
  <c r="X116" i="11" s="1"/>
  <c r="X124" i="11" s="1"/>
  <c r="X8" i="56"/>
  <c r="X8" i="55"/>
  <c r="X8" i="49"/>
  <c r="X8" i="57"/>
  <c r="X8" i="48"/>
  <c r="X8" i="6"/>
  <c r="X8" i="5"/>
  <c r="X8" i="13"/>
  <c r="X57" i="56"/>
  <c r="X64" i="56" s="1"/>
  <c r="X83" i="56"/>
  <c r="X90" i="56" s="1"/>
  <c r="X160" i="56"/>
  <c r="X167" i="56" s="1"/>
  <c r="X109" i="56"/>
  <c r="X116" i="56" s="1"/>
  <c r="X134" i="56"/>
  <c r="X141" i="56" s="1"/>
  <c r="AI64" i="44"/>
  <c r="AI67" i="44" s="1"/>
  <c r="AH26" i="50"/>
  <c r="AH69" i="44"/>
  <c r="AM54" i="34"/>
  <c r="AN41" i="34"/>
  <c r="AE16" i="49"/>
  <c r="X81" i="11"/>
  <c r="X89" i="11" s="1"/>
  <c r="X95" i="11"/>
  <c r="X14" i="11"/>
  <c r="X131" i="11"/>
  <c r="X117" i="11"/>
  <c r="X125" i="11" s="1"/>
  <c r="AA59" i="34"/>
  <c r="T16" i="50"/>
  <c r="T12" i="50" s="1"/>
  <c r="U63" i="9"/>
  <c r="X35" i="9"/>
  <c r="X37" i="9"/>
  <c r="W169" i="56"/>
  <c r="X166" i="56" s="1"/>
  <c r="AK28" i="34"/>
  <c r="AL27" i="34"/>
  <c r="Z43" i="9"/>
  <c r="Y14" i="50"/>
  <c r="AF25" i="50"/>
  <c r="AG53" i="44"/>
  <c r="AG56" i="44" s="1"/>
  <c r="AF58" i="44"/>
  <c r="R38" i="49" l="1"/>
  <c r="R39" i="49" s="1"/>
  <c r="R40" i="49" s="1"/>
  <c r="R37" i="13" s="1"/>
  <c r="Q29" i="50"/>
  <c r="AF24" i="50"/>
  <c r="AF16" i="49"/>
  <c r="X126" i="11"/>
  <c r="Y123" i="11" s="1"/>
  <c r="W36" i="13"/>
  <c r="U65" i="9"/>
  <c r="U31" i="13" s="1"/>
  <c r="U67" i="9"/>
  <c r="X82" i="11"/>
  <c r="AI21" i="50"/>
  <c r="AJ29" i="44"/>
  <c r="AJ32" i="44" s="1"/>
  <c r="AI34" i="44"/>
  <c r="X45" i="11"/>
  <c r="AB59" i="34"/>
  <c r="AV92" i="53"/>
  <c r="AU95" i="53"/>
  <c r="X226" i="11"/>
  <c r="X240" i="11" s="1"/>
  <c r="AG27" i="50"/>
  <c r="AG80" i="44"/>
  <c r="AH75" i="44"/>
  <c r="AH78" i="44" s="1"/>
  <c r="AE37" i="34"/>
  <c r="AC50" i="34"/>
  <c r="AC46" i="34"/>
  <c r="AI42" i="34"/>
  <c r="AH55" i="34"/>
  <c r="AN52" i="34"/>
  <c r="AO39" i="34"/>
  <c r="W28" i="49"/>
  <c r="W23" i="11"/>
  <c r="W97" i="11"/>
  <c r="X94" i="11" s="1"/>
  <c r="W17" i="11"/>
  <c r="AB61" i="11"/>
  <c r="AC58" i="11" s="1"/>
  <c r="Z45" i="9"/>
  <c r="Z47" i="9" s="1"/>
  <c r="X190" i="11"/>
  <c r="X204" i="11" s="1"/>
  <c r="AO41" i="34"/>
  <c r="AN54" i="34"/>
  <c r="X15" i="56"/>
  <c r="X24" i="49" s="1"/>
  <c r="W73" i="9"/>
  <c r="V17" i="50"/>
  <c r="AE93" i="44"/>
  <c r="AE17" i="49" s="1"/>
  <c r="AE32" i="50"/>
  <c r="AS82" i="54"/>
  <c r="AF88" i="44"/>
  <c r="AF91" i="44" s="1"/>
  <c r="AJ83" i="53"/>
  <c r="AS83" i="54"/>
  <c r="X162" i="11"/>
  <c r="Y159" i="11" s="1"/>
  <c r="X167" i="11"/>
  <c r="X22" i="11" s="1"/>
  <c r="X153" i="11"/>
  <c r="X161" i="11" s="1"/>
  <c r="AN26" i="34"/>
  <c r="AO25" i="34"/>
  <c r="AB53" i="34"/>
  <c r="AC40" i="34"/>
  <c r="X224" i="11"/>
  <c r="X232" i="11" s="1"/>
  <c r="BQ93" i="54"/>
  <c r="BR90" i="54"/>
  <c r="AF19" i="34"/>
  <c r="X16" i="11"/>
  <c r="X28" i="49" s="1"/>
  <c r="W24" i="49"/>
  <c r="AM27" i="34"/>
  <c r="AL28" i="34"/>
  <c r="AH53" i="44"/>
  <c r="AH56" i="44" s="1"/>
  <c r="AG25" i="50"/>
  <c r="AG58" i="44"/>
  <c r="X118" i="11"/>
  <c r="X132" i="11" s="1"/>
  <c r="X33" i="56"/>
  <c r="X39" i="56" s="1"/>
  <c r="X161" i="56"/>
  <c r="X168" i="56" s="1"/>
  <c r="AC47" i="11"/>
  <c r="AC60" i="11" s="1"/>
  <c r="AD20" i="50"/>
  <c r="AD19" i="50" s="1"/>
  <c r="AD23" i="44"/>
  <c r="AD15" i="49" s="1"/>
  <c r="AE18" i="44"/>
  <c r="AE21" i="44" s="1"/>
  <c r="X188" i="11"/>
  <c r="X196" i="11" s="1"/>
  <c r="X241" i="11"/>
  <c r="Y238" i="11" s="1"/>
  <c r="W15" i="50"/>
  <c r="X53" i="9"/>
  <c r="Y33" i="9"/>
  <c r="X13" i="50"/>
  <c r="Y7" i="57"/>
  <c r="Y7" i="47"/>
  <c r="Y7" i="55"/>
  <c r="Y7" i="50"/>
  <c r="Y7" i="44"/>
  <c r="Y7" i="13"/>
  <c r="Y7" i="7"/>
  <c r="Y7" i="56"/>
  <c r="Y7" i="9"/>
  <c r="Y7" i="42"/>
  <c r="Y7" i="11"/>
  <c r="Y7" i="51"/>
  <c r="Y7" i="49"/>
  <c r="Y7" i="48"/>
  <c r="Y7" i="1"/>
  <c r="Y7" i="6"/>
  <c r="Y7" i="5"/>
  <c r="AB8" i="2"/>
  <c r="Y104" i="44"/>
  <c r="X110" i="44"/>
  <c r="X18" i="49" s="1"/>
  <c r="X33" i="50"/>
  <c r="W24" i="11"/>
  <c r="AD59" i="11"/>
  <c r="AD46" i="11"/>
  <c r="AD53" i="11" s="1"/>
  <c r="AD54" i="11"/>
  <c r="AE52" i="11" s="1"/>
  <c r="AE44" i="34"/>
  <c r="AE31" i="34"/>
  <c r="AE33" i="34" s="1"/>
  <c r="AC57" i="34"/>
  <c r="X80" i="11"/>
  <c r="X88" i="11" s="1"/>
  <c r="AH22" i="50"/>
  <c r="AH45" i="44"/>
  <c r="AI40" i="44"/>
  <c r="AI43" i="44" s="1"/>
  <c r="X205" i="11"/>
  <c r="Y202" i="11" s="1"/>
  <c r="AJ64" i="44"/>
  <c r="AJ67" i="44" s="1"/>
  <c r="AI26" i="50"/>
  <c r="AI69" i="44"/>
  <c r="AO51" i="34"/>
  <c r="AP38" i="34"/>
  <c r="AP51" i="34" s="1"/>
  <c r="AG24" i="50" l="1"/>
  <c r="X36" i="13"/>
  <c r="Z14" i="50"/>
  <c r="AA43" i="9"/>
  <c r="AP39" i="34"/>
  <c r="AP52" i="34" s="1"/>
  <c r="AO52" i="34"/>
  <c r="Y80" i="11"/>
  <c r="Y88" i="11" s="1"/>
  <c r="AF33" i="34"/>
  <c r="AG19" i="34"/>
  <c r="AJ69" i="44"/>
  <c r="AK64" i="44"/>
  <c r="AK67" i="44" s="1"/>
  <c r="AJ26" i="50"/>
  <c r="X55" i="9"/>
  <c r="X57" i="9" s="1"/>
  <c r="AG16" i="49"/>
  <c r="AT82" i="54"/>
  <c r="AT83" i="54"/>
  <c r="AF32" i="50"/>
  <c r="AG88" i="44"/>
  <c r="AG91" i="44" s="1"/>
  <c r="AK83" i="53"/>
  <c r="AF93" i="44"/>
  <c r="AF17" i="49" s="1"/>
  <c r="AJ34" i="44"/>
  <c r="AK29" i="44"/>
  <c r="AK32" i="44" s="1"/>
  <c r="AJ21" i="50"/>
  <c r="Y8" i="55"/>
  <c r="Y8" i="49"/>
  <c r="Y8" i="42"/>
  <c r="Y8" i="47"/>
  <c r="Y8" i="7"/>
  <c r="Y8" i="56"/>
  <c r="Y8" i="11"/>
  <c r="Y45" i="11" s="1"/>
  <c r="Y8" i="1"/>
  <c r="Y8" i="51"/>
  <c r="Y8" i="6"/>
  <c r="Y8" i="50"/>
  <c r="Y8" i="9"/>
  <c r="Y8" i="48"/>
  <c r="AC7" i="2"/>
  <c r="Y8" i="5"/>
  <c r="Y8" i="13"/>
  <c r="Y8" i="57"/>
  <c r="Y8" i="44"/>
  <c r="BR93" i="54"/>
  <c r="BS90" i="54"/>
  <c r="X97" i="11"/>
  <c r="Y94" i="11" s="1"/>
  <c r="X21" i="11"/>
  <c r="Y117" i="11"/>
  <c r="Y125" i="11" s="1"/>
  <c r="Y131" i="11"/>
  <c r="AO26" i="34"/>
  <c r="AP25" i="34"/>
  <c r="AP26" i="34" s="1"/>
  <c r="AI75" i="44"/>
  <c r="AI78" i="44" s="1"/>
  <c r="AH80" i="44"/>
  <c r="AH27" i="50"/>
  <c r="AF44" i="34"/>
  <c r="AF31" i="34"/>
  <c r="AE59" i="11"/>
  <c r="AE46" i="11"/>
  <c r="AE53" i="11" s="1"/>
  <c r="AE54" i="11"/>
  <c r="AF52" i="11" s="1"/>
  <c r="AJ40" i="44"/>
  <c r="AJ43" i="44" s="1"/>
  <c r="AI45" i="44"/>
  <c r="AI22" i="50"/>
  <c r="X198" i="11"/>
  <c r="Y195" i="11" s="1"/>
  <c r="X154" i="11"/>
  <c r="X168" i="11" s="1"/>
  <c r="W30" i="49"/>
  <c r="AI55" i="34"/>
  <c r="AJ42" i="34"/>
  <c r="X96" i="11"/>
  <c r="AC61" i="11"/>
  <c r="AD58" i="11" s="1"/>
  <c r="Y107" i="44"/>
  <c r="Y134" i="56"/>
  <c r="Y141" i="56" s="1"/>
  <c r="Y160" i="56"/>
  <c r="Y167" i="56" s="1"/>
  <c r="AF18" i="44"/>
  <c r="AF21" i="44" s="1"/>
  <c r="AE20" i="50"/>
  <c r="AE19" i="50" s="1"/>
  <c r="AE23" i="44"/>
  <c r="AE15" i="49" s="1"/>
  <c r="AM28" i="34"/>
  <c r="AN27" i="34"/>
  <c r="X234" i="11"/>
  <c r="Y231" i="11" s="1"/>
  <c r="Y153" i="11"/>
  <c r="Y161" i="11" s="1"/>
  <c r="Y167" i="11"/>
  <c r="Y154" i="11" s="1"/>
  <c r="AK62" i="54"/>
  <c r="AK61" i="54" s="1"/>
  <c r="W75" i="9"/>
  <c r="W77" i="9"/>
  <c r="AB63" i="53"/>
  <c r="AB62" i="53" s="1"/>
  <c r="U16" i="50"/>
  <c r="U12" i="50" s="1"/>
  <c r="V63" i="9"/>
  <c r="AD47" i="11"/>
  <c r="AD60" i="11" s="1"/>
  <c r="U14" i="49"/>
  <c r="U17" i="48"/>
  <c r="U21" i="48" s="1"/>
  <c r="U32" i="13"/>
  <c r="AO54" i="34"/>
  <c r="AP41" i="34"/>
  <c r="AP54" i="34" s="1"/>
  <c r="AH25" i="50"/>
  <c r="AI53" i="44"/>
  <c r="AI56" i="44" s="1"/>
  <c r="AH58" i="44"/>
  <c r="W35" i="50"/>
  <c r="AB86" i="53"/>
  <c r="AK85" i="54"/>
  <c r="X15" i="11"/>
  <c r="X90" i="11"/>
  <c r="Y87" i="11" s="1"/>
  <c r="AB85" i="53"/>
  <c r="W34" i="50"/>
  <c r="AK84" i="54"/>
  <c r="Y37" i="9"/>
  <c r="Y35" i="9"/>
  <c r="X133" i="11"/>
  <c r="Y130" i="11" s="1"/>
  <c r="AC53" i="34"/>
  <c r="AC59" i="34" s="1"/>
  <c r="AE40" i="34"/>
  <c r="X169" i="56"/>
  <c r="Y166" i="56" s="1"/>
  <c r="R41" i="49"/>
  <c r="AE46" i="34"/>
  <c r="AE50" i="34"/>
  <c r="AF37" i="34"/>
  <c r="AV95" i="53"/>
  <c r="AW92" i="53"/>
  <c r="AH16" i="49" l="1"/>
  <c r="AH24" i="50"/>
  <c r="X15" i="50"/>
  <c r="Y53" i="9"/>
  <c r="AG37" i="34"/>
  <c r="AF50" i="34"/>
  <c r="AF46" i="34"/>
  <c r="AI80" i="44"/>
  <c r="AI27" i="50"/>
  <c r="AJ75" i="44"/>
  <c r="AJ78" i="44" s="1"/>
  <c r="AF46" i="11"/>
  <c r="AF53" i="11" s="1"/>
  <c r="AF59" i="11"/>
  <c r="Z7" i="51"/>
  <c r="Z7" i="11"/>
  <c r="Z7" i="7"/>
  <c r="Z7" i="47"/>
  <c r="Z7" i="57"/>
  <c r="Z7" i="1"/>
  <c r="Z7" i="49"/>
  <c r="Z7" i="48"/>
  <c r="Z7" i="55"/>
  <c r="Z7" i="6"/>
  <c r="AC8" i="2"/>
  <c r="Z7" i="50"/>
  <c r="Z7" i="5"/>
  <c r="Z7" i="9"/>
  <c r="Z7" i="44"/>
  <c r="Z7" i="56"/>
  <c r="Z7" i="42"/>
  <c r="Z7" i="13"/>
  <c r="Y33" i="56"/>
  <c r="Y39" i="56" s="1"/>
  <c r="Y161" i="56"/>
  <c r="Y168" i="56" s="1"/>
  <c r="Y239" i="11"/>
  <c r="Y225" i="11"/>
  <c r="Y233" i="11" s="1"/>
  <c r="AK40" i="44"/>
  <c r="AK43" i="44" s="1"/>
  <c r="AJ22" i="50"/>
  <c r="AJ45" i="44"/>
  <c r="Y81" i="11"/>
  <c r="Y89" i="11" s="1"/>
  <c r="Y90" i="11" s="1"/>
  <c r="Z87" i="11" s="1"/>
  <c r="Y95" i="11"/>
  <c r="Y14" i="11"/>
  <c r="AG33" i="34"/>
  <c r="AH19" i="34"/>
  <c r="X27" i="49"/>
  <c r="X17" i="11"/>
  <c r="Y57" i="56"/>
  <c r="Y64" i="56" s="1"/>
  <c r="AJ55" i="34"/>
  <c r="AK42" i="34"/>
  <c r="Y203" i="11"/>
  <c r="Y189" i="11"/>
  <c r="Y197" i="11" s="1"/>
  <c r="BS93" i="54"/>
  <c r="BT90" i="54"/>
  <c r="AL29" i="44"/>
  <c r="AL32" i="44" s="1"/>
  <c r="AK21" i="50"/>
  <c r="AK34" i="44"/>
  <c r="Y152" i="11"/>
  <c r="Y160" i="11" s="1"/>
  <c r="X73" i="9"/>
  <c r="W17" i="50"/>
  <c r="Y109" i="56"/>
  <c r="Y116" i="56" s="1"/>
  <c r="AE47" i="11"/>
  <c r="Y118" i="11"/>
  <c r="Y132" i="11" s="1"/>
  <c r="Y133" i="11" s="1"/>
  <c r="Z130" i="11" s="1"/>
  <c r="Y224" i="11"/>
  <c r="Y232" i="11" s="1"/>
  <c r="AA47" i="9"/>
  <c r="AA45" i="9"/>
  <c r="AF20" i="50"/>
  <c r="AF19" i="50" s="1"/>
  <c r="AG18" i="44"/>
  <c r="AG21" i="44" s="1"/>
  <c r="AF23" i="44"/>
  <c r="AF15" i="49" s="1"/>
  <c r="AI58" i="44"/>
  <c r="AI25" i="50"/>
  <c r="AJ53" i="44"/>
  <c r="AJ56" i="44" s="1"/>
  <c r="Y83" i="56"/>
  <c r="Y90" i="56" s="1"/>
  <c r="Y116" i="11"/>
  <c r="Y124" i="11" s="1"/>
  <c r="Y15" i="11" s="1"/>
  <c r="AO27" i="34"/>
  <c r="AN28" i="34"/>
  <c r="X23" i="11"/>
  <c r="S38" i="49"/>
  <c r="S39" i="49" s="1"/>
  <c r="R29" i="50"/>
  <c r="R31" i="50"/>
  <c r="Y169" i="56"/>
  <c r="Z166" i="56" s="1"/>
  <c r="U12" i="49"/>
  <c r="U19" i="49" s="1"/>
  <c r="U36" i="49" s="1"/>
  <c r="V67" i="9"/>
  <c r="V65" i="9"/>
  <c r="V31" i="13" s="1"/>
  <c r="AG44" i="34"/>
  <c r="AG31" i="34"/>
  <c r="AF57" i="34"/>
  <c r="Y188" i="11"/>
  <c r="Y196" i="11" s="1"/>
  <c r="AD61" i="11"/>
  <c r="AE58" i="11" s="1"/>
  <c r="Z33" i="9"/>
  <c r="Y13" i="50"/>
  <c r="AX92" i="53"/>
  <c r="AW95" i="53"/>
  <c r="AF40" i="34"/>
  <c r="AE53" i="34"/>
  <c r="AE59" i="34" s="1"/>
  <c r="Y108" i="44"/>
  <c r="X169" i="11"/>
  <c r="Y166" i="11" s="1"/>
  <c r="Y21" i="11" s="1"/>
  <c r="X24" i="11"/>
  <c r="AH88" i="44"/>
  <c r="AH91" i="44" s="1"/>
  <c r="AU83" i="54"/>
  <c r="AU82" i="54"/>
  <c r="AG32" i="50"/>
  <c r="AG93" i="44"/>
  <c r="AG17" i="49" s="1"/>
  <c r="AL83" i="53"/>
  <c r="AK69" i="44"/>
  <c r="AL64" i="44"/>
  <c r="AL67" i="44" s="1"/>
  <c r="AK26" i="50"/>
  <c r="AI24" i="50" l="1"/>
  <c r="AI16" i="49"/>
  <c r="Y27" i="49"/>
  <c r="Z81" i="11"/>
  <c r="Z89" i="11" s="1"/>
  <c r="Z95" i="11"/>
  <c r="Z14" i="11"/>
  <c r="AM29" i="44"/>
  <c r="AM32" i="44" s="1"/>
  <c r="AL21" i="50"/>
  <c r="AL34" i="44"/>
  <c r="AH31" i="34"/>
  <c r="AG57" i="34"/>
  <c r="AH44" i="34"/>
  <c r="Z104" i="44"/>
  <c r="Z108" i="44" s="1"/>
  <c r="Y110" i="44"/>
  <c r="Y18" i="49" s="1"/>
  <c r="Y33" i="50"/>
  <c r="AF53" i="34"/>
  <c r="AG40" i="34"/>
  <c r="V16" i="50"/>
  <c r="V12" i="50" s="1"/>
  <c r="W63" i="9"/>
  <c r="X30" i="49"/>
  <c r="Y168" i="11"/>
  <c r="Y190" i="11"/>
  <c r="Y204" i="11" s="1"/>
  <c r="Y205" i="11"/>
  <c r="Z202" i="11" s="1"/>
  <c r="AF59" i="34"/>
  <c r="AM64" i="44"/>
  <c r="AM67" i="44" s="1"/>
  <c r="AL26" i="50"/>
  <c r="AL69" i="44"/>
  <c r="AC85" i="53"/>
  <c r="AL84" i="54"/>
  <c r="X34" i="50"/>
  <c r="BU90" i="54"/>
  <c r="BT93" i="54"/>
  <c r="Y15" i="56"/>
  <c r="Y226" i="11"/>
  <c r="Y240" i="11" s="1"/>
  <c r="Y241" i="11"/>
  <c r="Z238" i="11" s="1"/>
  <c r="AG46" i="34"/>
  <c r="AG50" i="34"/>
  <c r="AH37" i="34"/>
  <c r="Y126" i="11"/>
  <c r="Z123" i="11" s="1"/>
  <c r="X75" i="9"/>
  <c r="AL62" i="54"/>
  <c r="AL61" i="54" s="1"/>
  <c r="AC63" i="53"/>
  <c r="AC62" i="53" s="1"/>
  <c r="Y234" i="11"/>
  <c r="Z231" i="11" s="1"/>
  <c r="AF54" i="11"/>
  <c r="AG52" i="11" s="1"/>
  <c r="AA14" i="50"/>
  <c r="AB43" i="9"/>
  <c r="AK45" i="44"/>
  <c r="AL40" i="44"/>
  <c r="AL43" i="44" s="1"/>
  <c r="AK22" i="50"/>
  <c r="AO28" i="34"/>
  <c r="AP27" i="34"/>
  <c r="AL85" i="54"/>
  <c r="X35" i="50"/>
  <c r="AC86" i="53"/>
  <c r="Y82" i="11"/>
  <c r="Y96" i="11" s="1"/>
  <c r="Y22" i="11"/>
  <c r="AK75" i="44"/>
  <c r="AK78" i="44" s="1"/>
  <c r="AJ27" i="50"/>
  <c r="AJ80" i="44"/>
  <c r="Y97" i="11"/>
  <c r="Z94" i="11" s="1"/>
  <c r="AK55" i="34"/>
  <c r="AL42" i="34"/>
  <c r="AH93" i="44"/>
  <c r="AH17" i="49" s="1"/>
  <c r="AV82" i="54"/>
  <c r="AM83" i="53"/>
  <c r="AV83" i="54"/>
  <c r="AI88" i="44"/>
  <c r="AI91" i="44" s="1"/>
  <c r="AH32" i="50"/>
  <c r="AY92" i="53"/>
  <c r="AX95" i="53"/>
  <c r="AJ58" i="44"/>
  <c r="AK53" i="44"/>
  <c r="AK56" i="44" s="1"/>
  <c r="AJ25" i="50"/>
  <c r="Y169" i="11"/>
  <c r="Z166" i="11" s="1"/>
  <c r="X79" i="53"/>
  <c r="AG78" i="54"/>
  <c r="AG81" i="54"/>
  <c r="S40" i="49"/>
  <c r="S37" i="13" s="1"/>
  <c r="X82" i="53"/>
  <c r="AG20" i="50"/>
  <c r="AG19" i="50" s="1"/>
  <c r="AG23" i="44"/>
  <c r="AG15" i="49" s="1"/>
  <c r="AH18" i="44"/>
  <c r="AH21" i="44" s="1"/>
  <c r="AE60" i="11"/>
  <c r="AE61" i="11" s="1"/>
  <c r="AF58" i="11" s="1"/>
  <c r="Y198" i="11"/>
  <c r="Z195" i="11" s="1"/>
  <c r="Y16" i="11"/>
  <c r="Y17" i="11" s="1"/>
  <c r="Z8" i="44"/>
  <c r="Z8" i="1"/>
  <c r="Z8" i="7"/>
  <c r="Z8" i="51"/>
  <c r="Z8" i="49"/>
  <c r="Z8" i="11"/>
  <c r="Z8" i="47"/>
  <c r="Z8" i="5"/>
  <c r="AD7" i="2"/>
  <c r="Z8" i="42"/>
  <c r="Z8" i="55"/>
  <c r="Z8" i="6"/>
  <c r="Z8" i="13"/>
  <c r="Z8" i="9"/>
  <c r="Z8" i="50"/>
  <c r="Z8" i="48"/>
  <c r="Z8" i="57"/>
  <c r="Z8" i="56"/>
  <c r="Z57" i="56" s="1"/>
  <c r="Z64" i="56" s="1"/>
  <c r="Y55" i="9"/>
  <c r="Y57" i="9" s="1"/>
  <c r="AI19" i="34"/>
  <c r="AH33" i="34"/>
  <c r="Z109" i="56"/>
  <c r="Z116" i="56" s="1"/>
  <c r="AF47" i="11"/>
  <c r="Z35" i="9"/>
  <c r="V17" i="48"/>
  <c r="V21" i="48" s="1"/>
  <c r="V14" i="49"/>
  <c r="V32" i="13"/>
  <c r="Y162" i="11"/>
  <c r="Z159" i="11" s="1"/>
  <c r="Z152" i="11"/>
  <c r="Z160" i="11" s="1"/>
  <c r="Z224" i="11"/>
  <c r="Z232" i="11" s="1"/>
  <c r="Z116" i="11"/>
  <c r="Z124" i="11" s="1"/>
  <c r="Z188" i="11"/>
  <c r="Z196" i="11" s="1"/>
  <c r="Z45" i="11"/>
  <c r="Z80" i="11"/>
  <c r="Z88" i="11" s="1"/>
  <c r="Z90" i="11" s="1"/>
  <c r="AA87" i="11" s="1"/>
  <c r="AG88" i="54" l="1"/>
  <c r="X90" i="53"/>
  <c r="S41" i="49"/>
  <c r="S31" i="50" s="1"/>
  <c r="AA81" i="11"/>
  <c r="AA89" i="11" s="1"/>
  <c r="AA95" i="11"/>
  <c r="AD86" i="53"/>
  <c r="Y35" i="50"/>
  <c r="AM85" i="54"/>
  <c r="Y15" i="50"/>
  <c r="Z53" i="9"/>
  <c r="AB45" i="9"/>
  <c r="AB47" i="9"/>
  <c r="AI31" i="34"/>
  <c r="AH57" i="34"/>
  <c r="AI44" i="34"/>
  <c r="AI32" i="50"/>
  <c r="AW82" i="54"/>
  <c r="AW83" i="54"/>
  <c r="AN83" i="53"/>
  <c r="AJ88" i="44"/>
  <c r="AJ91" i="44" s="1"/>
  <c r="AI93" i="44"/>
  <c r="AI17" i="49" s="1"/>
  <c r="V12" i="49"/>
  <c r="V19" i="49" s="1"/>
  <c r="V36" i="49" s="1"/>
  <c r="AF60" i="11"/>
  <c r="AF61" i="11" s="1"/>
  <c r="AG58" i="11" s="1"/>
  <c r="Z189" i="11"/>
  <c r="Z197" i="11" s="1"/>
  <c r="Z198" i="11" s="1"/>
  <c r="AA195" i="11" s="1"/>
  <c r="Z203" i="11"/>
  <c r="AY95" i="53"/>
  <c r="AZ92" i="53"/>
  <c r="AA104" i="44"/>
  <c r="AA108" i="44" s="1"/>
  <c r="Z110" i="44"/>
  <c r="Z18" i="49" s="1"/>
  <c r="Z33" i="50"/>
  <c r="W65" i="9"/>
  <c r="AA7" i="13"/>
  <c r="AA7" i="49"/>
  <c r="AD8" i="2"/>
  <c r="AA7" i="47"/>
  <c r="AA7" i="6"/>
  <c r="AA7" i="1"/>
  <c r="AA7" i="57"/>
  <c r="AA7" i="42"/>
  <c r="AA7" i="51"/>
  <c r="AA7" i="48"/>
  <c r="AA7" i="56"/>
  <c r="AA7" i="9"/>
  <c r="AA7" i="5"/>
  <c r="AA7" i="44"/>
  <c r="AA7" i="55"/>
  <c r="AA7" i="11"/>
  <c r="AA7" i="7"/>
  <c r="AA7" i="50"/>
  <c r="AG46" i="11"/>
  <c r="AG53" i="11" s="1"/>
  <c r="AG59" i="11"/>
  <c r="AG54" i="11"/>
  <c r="AH52" i="11" s="1"/>
  <c r="Z117" i="11"/>
  <c r="Z125" i="11" s="1"/>
  <c r="Z16" i="11" s="1"/>
  <c r="Z131" i="11"/>
  <c r="Z22" i="11" s="1"/>
  <c r="Z21" i="11"/>
  <c r="Z33" i="56"/>
  <c r="Z39" i="56" s="1"/>
  <c r="Z161" i="56"/>
  <c r="Z168" i="56" s="1"/>
  <c r="Z83" i="56"/>
  <c r="Z90" i="56" s="1"/>
  <c r="Z15" i="56" s="1"/>
  <c r="AJ24" i="50"/>
  <c r="AK27" i="50"/>
  <c r="AL75" i="44"/>
  <c r="AL78" i="44" s="1"/>
  <c r="AK80" i="44"/>
  <c r="AP28" i="34"/>
  <c r="Z239" i="11"/>
  <c r="Z225" i="11"/>
  <c r="Z233" i="11" s="1"/>
  <c r="Z234" i="11"/>
  <c r="AA231" i="11" s="1"/>
  <c r="AG53" i="34"/>
  <c r="AH40" i="34"/>
  <c r="Z82" i="11"/>
  <c r="Z96" i="11" s="1"/>
  <c r="AH20" i="50"/>
  <c r="AH19" i="50" s="1"/>
  <c r="AI18" i="44"/>
  <c r="AI21" i="44" s="1"/>
  <c r="AH23" i="44"/>
  <c r="AH15" i="49" s="1"/>
  <c r="AK58" i="44"/>
  <c r="AL53" i="44"/>
  <c r="AL56" i="44" s="1"/>
  <c r="AK25" i="50"/>
  <c r="AM26" i="50"/>
  <c r="AN64" i="44"/>
  <c r="AN67" i="44" s="1"/>
  <c r="AM69" i="44"/>
  <c r="Z162" i="11"/>
  <c r="AA159" i="11" s="1"/>
  <c r="Z153" i="11"/>
  <c r="Z161" i="11" s="1"/>
  <c r="Z167" i="11"/>
  <c r="Z37" i="9"/>
  <c r="AJ16" i="49"/>
  <c r="Y36" i="13"/>
  <c r="AH50" i="34"/>
  <c r="AI37" i="34"/>
  <c r="AM21" i="50"/>
  <c r="AN29" i="44"/>
  <c r="AN32" i="44" s="1"/>
  <c r="AM34" i="44"/>
  <c r="BU93" i="54"/>
  <c r="BV90" i="54"/>
  <c r="Z160" i="56"/>
  <c r="Z167" i="56" s="1"/>
  <c r="Z169" i="56" s="1"/>
  <c r="AA166" i="56" s="1"/>
  <c r="Z134" i="56"/>
  <c r="Z141" i="56" s="1"/>
  <c r="Z15" i="11"/>
  <c r="AI33" i="34"/>
  <c r="AJ19" i="34"/>
  <c r="Y28" i="49"/>
  <c r="AM42" i="34"/>
  <c r="AL55" i="34"/>
  <c r="Y23" i="11"/>
  <c r="AL45" i="44"/>
  <c r="AL22" i="50"/>
  <c r="AM40" i="44"/>
  <c r="AM43" i="44" s="1"/>
  <c r="X77" i="9"/>
  <c r="AG59" i="34"/>
  <c r="Y24" i="49"/>
  <c r="S29" i="50" l="1"/>
  <c r="AK24" i="50"/>
  <c r="AK16" i="49"/>
  <c r="T38" i="49"/>
  <c r="T39" i="49" s="1"/>
  <c r="Y82" i="53" s="1"/>
  <c r="AA189" i="11"/>
  <c r="AA197" i="11" s="1"/>
  <c r="AA203" i="11"/>
  <c r="AA190" i="11" s="1"/>
  <c r="Z36" i="13"/>
  <c r="Z24" i="49"/>
  <c r="Z28" i="49"/>
  <c r="BV93" i="54"/>
  <c r="BW90" i="54"/>
  <c r="AA153" i="11"/>
  <c r="AA161" i="11" s="1"/>
  <c r="AA167" i="11"/>
  <c r="AA154" i="11" s="1"/>
  <c r="Z126" i="11"/>
  <c r="AA123" i="11" s="1"/>
  <c r="BA92" i="53"/>
  <c r="AZ95" i="53"/>
  <c r="AC43" i="9"/>
  <c r="AB14" i="50"/>
  <c r="Z27" i="49"/>
  <c r="W31" i="13"/>
  <c r="AN34" i="44"/>
  <c r="AO29" i="44"/>
  <c r="AO32" i="44" s="1"/>
  <c r="AN21" i="50"/>
  <c r="Z226" i="11"/>
  <c r="Z240" i="11" s="1"/>
  <c r="Z241" i="11" s="1"/>
  <c r="AA238" i="11" s="1"/>
  <c r="AH54" i="11"/>
  <c r="AI52" i="11" s="1"/>
  <c r="AH46" i="11"/>
  <c r="AH53" i="11" s="1"/>
  <c r="AH59" i="11"/>
  <c r="W67" i="9"/>
  <c r="AA225" i="11"/>
  <c r="AA233" i="11" s="1"/>
  <c r="AA239" i="11"/>
  <c r="AA226" i="11" s="1"/>
  <c r="AM53" i="44"/>
  <c r="AM56" i="44" s="1"/>
  <c r="AL58" i="44"/>
  <c r="AL25" i="50"/>
  <c r="Z190" i="11"/>
  <c r="Z204" i="11" s="1"/>
  <c r="AN42" i="34"/>
  <c r="AM55" i="34"/>
  <c r="AN26" i="50"/>
  <c r="AN69" i="44"/>
  <c r="AO64" i="44"/>
  <c r="AO67" i="44" s="1"/>
  <c r="AH53" i="34"/>
  <c r="AH59" i="34" s="1"/>
  <c r="AI40" i="34"/>
  <c r="AG47" i="11"/>
  <c r="AG60" i="11" s="1"/>
  <c r="AG61" i="11" s="1"/>
  <c r="AH58" i="11" s="1"/>
  <c r="AA82" i="11"/>
  <c r="Z118" i="11"/>
  <c r="Z132" i="11" s="1"/>
  <c r="Z133" i="11" s="1"/>
  <c r="AA130" i="11" s="1"/>
  <c r="Y30" i="49"/>
  <c r="Y24" i="11"/>
  <c r="Z13" i="50"/>
  <c r="AA33" i="9"/>
  <c r="AM45" i="44"/>
  <c r="AN40" i="44"/>
  <c r="AN43" i="44" s="1"/>
  <c r="AM22" i="50"/>
  <c r="AI50" i="34"/>
  <c r="AJ37" i="34"/>
  <c r="AI46" i="34"/>
  <c r="Z154" i="11"/>
  <c r="Z168" i="11" s="1"/>
  <c r="Z169" i="11" s="1"/>
  <c r="AA166" i="11" s="1"/>
  <c r="AJ18" i="44"/>
  <c r="AJ21" i="44" s="1"/>
  <c r="AI20" i="50"/>
  <c r="AI19" i="50" s="1"/>
  <c r="AI23" i="44"/>
  <c r="AI15" i="49" s="1"/>
  <c r="AM75" i="44"/>
  <c r="AM78" i="44" s="1"/>
  <c r="AL80" i="44"/>
  <c r="AL27" i="50"/>
  <c r="Z97" i="11"/>
  <c r="AA94" i="11" s="1"/>
  <c r="AB104" i="44"/>
  <c r="AA110" i="44"/>
  <c r="AA18" i="49" s="1"/>
  <c r="AA33" i="50"/>
  <c r="AJ44" i="34"/>
  <c r="AI57" i="34"/>
  <c r="AJ31" i="34"/>
  <c r="AJ33" i="34" s="1"/>
  <c r="Z55" i="9"/>
  <c r="AJ32" i="50"/>
  <c r="AO83" i="53"/>
  <c r="AX82" i="54"/>
  <c r="AK88" i="44"/>
  <c r="AK91" i="44" s="1"/>
  <c r="AJ93" i="44"/>
  <c r="AJ17" i="49" s="1"/>
  <c r="AX83" i="54"/>
  <c r="Z17" i="11"/>
  <c r="X17" i="50"/>
  <c r="Y73" i="9"/>
  <c r="AK19" i="34"/>
  <c r="AH46" i="34"/>
  <c r="Z205" i="11"/>
  <c r="AA202" i="11" s="1"/>
  <c r="AA83" i="56"/>
  <c r="AA90" i="56" s="1"/>
  <c r="AA57" i="56"/>
  <c r="AA64" i="56" s="1"/>
  <c r="AA8" i="55"/>
  <c r="AA8" i="56"/>
  <c r="AA8" i="57"/>
  <c r="AA8" i="50"/>
  <c r="AA8" i="51"/>
  <c r="AA8" i="13"/>
  <c r="AA8" i="47"/>
  <c r="AE7" i="2"/>
  <c r="AA8" i="7"/>
  <c r="AA8" i="5"/>
  <c r="AA8" i="6"/>
  <c r="AA8" i="11"/>
  <c r="AA45" i="11" s="1"/>
  <c r="AA8" i="44"/>
  <c r="AA8" i="48"/>
  <c r="AA8" i="42"/>
  <c r="AA8" i="1"/>
  <c r="AA8" i="49"/>
  <c r="AA8" i="9"/>
  <c r="AH81" i="54" l="1"/>
  <c r="T40" i="49"/>
  <c r="T37" i="13" s="1"/>
  <c r="AH78" i="54"/>
  <c r="Y79" i="53"/>
  <c r="Y90" i="53" s="1"/>
  <c r="AK93" i="44"/>
  <c r="AK17" i="49" s="1"/>
  <c r="AY82" i="54"/>
  <c r="AK32" i="50"/>
  <c r="AY83" i="54"/>
  <c r="AP83" i="53"/>
  <c r="AL88" i="44"/>
  <c r="AL91" i="44" s="1"/>
  <c r="AA97" i="11"/>
  <c r="AB94" i="11" s="1"/>
  <c r="AA21" i="11"/>
  <c r="AA35" i="9"/>
  <c r="AJ40" i="34"/>
  <c r="AI53" i="34"/>
  <c r="AO42" i="34"/>
  <c r="AN55" i="34"/>
  <c r="AA168" i="11"/>
  <c r="AA169" i="11" s="1"/>
  <c r="AB166" i="11" s="1"/>
  <c r="AO21" i="50"/>
  <c r="AP29" i="44"/>
  <c r="AP32" i="44" s="1"/>
  <c r="AO34" i="44"/>
  <c r="AA33" i="56"/>
  <c r="AA39" i="56" s="1"/>
  <c r="AA161" i="56"/>
  <c r="AA168" i="56" s="1"/>
  <c r="AA152" i="11"/>
  <c r="AA160" i="11" s="1"/>
  <c r="AA162" i="11" s="1"/>
  <c r="AB159" i="11" s="1"/>
  <c r="AK44" i="34"/>
  <c r="AJ57" i="34"/>
  <c r="AK31" i="34"/>
  <c r="AM80" i="44"/>
  <c r="AM27" i="50"/>
  <c r="AN75" i="44"/>
  <c r="AN78" i="44" s="1"/>
  <c r="AI59" i="34"/>
  <c r="AA96" i="11"/>
  <c r="AL24" i="50"/>
  <c r="AH47" i="11"/>
  <c r="AH60" i="11" s="1"/>
  <c r="BX90" i="54"/>
  <c r="BW93" i="54"/>
  <c r="AA224" i="11"/>
  <c r="AA232" i="11" s="1"/>
  <c r="AA234" i="11" s="1"/>
  <c r="AB231" i="11" s="1"/>
  <c r="AM84" i="54"/>
  <c r="Y34" i="50"/>
  <c r="AD85" i="53"/>
  <c r="Z23" i="11"/>
  <c r="AL16" i="49"/>
  <c r="AA116" i="11"/>
  <c r="AA124" i="11" s="1"/>
  <c r="AC45" i="9"/>
  <c r="AC47" i="9"/>
  <c r="AA160" i="56"/>
  <c r="AA167" i="56" s="1"/>
  <c r="AA169" i="56" s="1"/>
  <c r="AB166" i="56" s="1"/>
  <c r="AA188" i="11"/>
  <c r="AA196" i="11" s="1"/>
  <c r="AA198" i="11" s="1"/>
  <c r="AB195" i="11" s="1"/>
  <c r="AO69" i="44"/>
  <c r="AP64" i="44"/>
  <c r="AP67" i="44" s="1"/>
  <c r="AO26" i="50"/>
  <c r="AN53" i="44"/>
  <c r="AN56" i="44" s="1"/>
  <c r="AM58" i="44"/>
  <c r="AM25" i="50"/>
  <c r="AI46" i="11"/>
  <c r="AI53" i="11" s="1"/>
  <c r="AI59" i="11"/>
  <c r="W14" i="49"/>
  <c r="W17" i="48"/>
  <c r="W32" i="13"/>
  <c r="BB92" i="53"/>
  <c r="BA95" i="53"/>
  <c r="W16" i="50"/>
  <c r="W12" i="50" s="1"/>
  <c r="X63" i="9"/>
  <c r="AA205" i="11"/>
  <c r="AB202" i="11" s="1"/>
  <c r="AB7" i="49"/>
  <c r="AB7" i="11"/>
  <c r="AB7" i="7"/>
  <c r="AB7" i="47"/>
  <c r="AB7" i="42"/>
  <c r="AE8" i="2"/>
  <c r="AB7" i="55"/>
  <c r="AB7" i="44"/>
  <c r="AB7" i="48"/>
  <c r="AB7" i="5"/>
  <c r="AB7" i="9"/>
  <c r="AB7" i="51"/>
  <c r="AB7" i="6"/>
  <c r="AB7" i="57"/>
  <c r="AB7" i="13"/>
  <c r="AB7" i="56"/>
  <c r="AB7" i="1"/>
  <c r="AB7" i="50"/>
  <c r="AA109" i="56"/>
  <c r="AA116" i="56" s="1"/>
  <c r="AA15" i="56" s="1"/>
  <c r="AL19" i="34"/>
  <c r="AK33" i="34"/>
  <c r="AA80" i="11"/>
  <c r="AA88" i="11" s="1"/>
  <c r="AB107" i="44"/>
  <c r="AJ23" i="44"/>
  <c r="AJ15" i="49" s="1"/>
  <c r="AK18" i="44"/>
  <c r="AK21" i="44" s="1"/>
  <c r="AJ20" i="50"/>
  <c r="AJ19" i="50" s="1"/>
  <c r="AN22" i="50"/>
  <c r="AO40" i="44"/>
  <c r="AO43" i="44" s="1"/>
  <c r="AN45" i="44"/>
  <c r="AA240" i="11"/>
  <c r="AA241" i="11" s="1"/>
  <c r="AB238" i="11" s="1"/>
  <c r="AA117" i="11"/>
  <c r="AA125" i="11" s="1"/>
  <c r="AA16" i="11" s="1"/>
  <c r="AA28" i="49" s="1"/>
  <c r="AA131" i="11"/>
  <c r="AA126" i="11"/>
  <c r="AB123" i="11" s="1"/>
  <c r="AA14" i="11"/>
  <c r="AA204" i="11"/>
  <c r="AK37" i="34"/>
  <c r="AJ50" i="34"/>
  <c r="AA134" i="56"/>
  <c r="AA141" i="56" s="1"/>
  <c r="AD63" i="53"/>
  <c r="AD62" i="53" s="1"/>
  <c r="AM62" i="54"/>
  <c r="AM61" i="54" s="1"/>
  <c r="Y77" i="9"/>
  <c r="Y75" i="9"/>
  <c r="AN85" i="54"/>
  <c r="Z35" i="50"/>
  <c r="AE86" i="53"/>
  <c r="Z57" i="9"/>
  <c r="T41" i="49" l="1"/>
  <c r="T29" i="50" s="1"/>
  <c r="AH88" i="54"/>
  <c r="AM24" i="50"/>
  <c r="AM16" i="49"/>
  <c r="AA24" i="49"/>
  <c r="AK40" i="34"/>
  <c r="AK46" i="34" s="1"/>
  <c r="AJ53" i="34"/>
  <c r="Z15" i="50"/>
  <c r="AA53" i="9"/>
  <c r="AO45" i="44"/>
  <c r="AO22" i="50"/>
  <c r="AP40" i="44"/>
  <c r="AP43" i="44" s="1"/>
  <c r="AI47" i="11"/>
  <c r="AB203" i="11"/>
  <c r="AB190" i="11" s="1"/>
  <c r="AB204" i="11" s="1"/>
  <c r="AB189" i="11"/>
  <c r="AB197" i="11" s="1"/>
  <c r="Z30" i="49"/>
  <c r="Z24" i="11"/>
  <c r="W12" i="49"/>
  <c r="AC14" i="50"/>
  <c r="AD43" i="9"/>
  <c r="AK57" i="34"/>
  <c r="AL31" i="34"/>
  <c r="AL33" i="34" s="1"/>
  <c r="AL44" i="34"/>
  <c r="AA118" i="11"/>
  <c r="AA132" i="11" s="1"/>
  <c r="AA23" i="11" s="1"/>
  <c r="AA30" i="49" s="1"/>
  <c r="AA22" i="11"/>
  <c r="AA36" i="13" s="1"/>
  <c r="AK20" i="50"/>
  <c r="AK19" i="50" s="1"/>
  <c r="AK23" i="44"/>
  <c r="AK15" i="49" s="1"/>
  <c r="AL18" i="44"/>
  <c r="AL21" i="44" s="1"/>
  <c r="AB80" i="11"/>
  <c r="AB88" i="11" s="1"/>
  <c r="AB116" i="11"/>
  <c r="AB124" i="11" s="1"/>
  <c r="AB126" i="11" s="1"/>
  <c r="AC123" i="11" s="1"/>
  <c r="AB167" i="11"/>
  <c r="AB153" i="11"/>
  <c r="AB161" i="11" s="1"/>
  <c r="AP42" i="34"/>
  <c r="AP55" i="34" s="1"/>
  <c r="AO55" i="34"/>
  <c r="AM19" i="34"/>
  <c r="BB95" i="53"/>
  <c r="BC92" i="53"/>
  <c r="AB117" i="11"/>
  <c r="AB125" i="11" s="1"/>
  <c r="AB131" i="11"/>
  <c r="AB118" i="11" s="1"/>
  <c r="AJ46" i="34"/>
  <c r="W21" i="48"/>
  <c r="AN25" i="50"/>
  <c r="AN58" i="44"/>
  <c r="AO53" i="44"/>
  <c r="AO56" i="44" s="1"/>
  <c r="AH61" i="11"/>
  <c r="AI58" i="11" s="1"/>
  <c r="AL37" i="34"/>
  <c r="AK50" i="34"/>
  <c r="AB108" i="44"/>
  <c r="X65" i="9"/>
  <c r="X67" i="9"/>
  <c r="AP26" i="50"/>
  <c r="AP69" i="44"/>
  <c r="AQ64" i="44"/>
  <c r="AQ67" i="44" s="1"/>
  <c r="AM88" i="44"/>
  <c r="AM91" i="44" s="1"/>
  <c r="AZ83" i="54"/>
  <c r="AQ83" i="53"/>
  <c r="AL93" i="44"/>
  <c r="AL17" i="49" s="1"/>
  <c r="AL32" i="50"/>
  <c r="AZ82" i="54"/>
  <c r="Y17" i="50"/>
  <c r="Z73" i="9"/>
  <c r="AJ59" i="34"/>
  <c r="AB109" i="56"/>
  <c r="AB116" i="56" s="1"/>
  <c r="AB83" i="56"/>
  <c r="AB90" i="56" s="1"/>
  <c r="AB134" i="56"/>
  <c r="AB141" i="56" s="1"/>
  <c r="AB205" i="11"/>
  <c r="AC202" i="11" s="1"/>
  <c r="AB225" i="11"/>
  <c r="AB233" i="11" s="1"/>
  <c r="AB239" i="11"/>
  <c r="AB226" i="11" s="1"/>
  <c r="AB240" i="11" s="1"/>
  <c r="AN27" i="50"/>
  <c r="AN80" i="44"/>
  <c r="AO75" i="44"/>
  <c r="AO78" i="44" s="1"/>
  <c r="AA15" i="11"/>
  <c r="AA27" i="49" s="1"/>
  <c r="AA90" i="11"/>
  <c r="AB87" i="11" s="1"/>
  <c r="AB8" i="47"/>
  <c r="AB8" i="7"/>
  <c r="AB8" i="50"/>
  <c r="AB8" i="44"/>
  <c r="AB8" i="5"/>
  <c r="AB8" i="9"/>
  <c r="AB8" i="11"/>
  <c r="AB45" i="11" s="1"/>
  <c r="AB8" i="6"/>
  <c r="AB8" i="1"/>
  <c r="AB8" i="13"/>
  <c r="AB8" i="42"/>
  <c r="AB8" i="56"/>
  <c r="AB8" i="57"/>
  <c r="AB8" i="51"/>
  <c r="AB8" i="49"/>
  <c r="AF7" i="2"/>
  <c r="AB8" i="55"/>
  <c r="AB8" i="48"/>
  <c r="AI54" i="11"/>
  <c r="AJ52" i="11" s="1"/>
  <c r="BX93" i="54"/>
  <c r="BY90" i="54"/>
  <c r="AP34" i="44"/>
  <c r="AP21" i="50"/>
  <c r="AQ29" i="44"/>
  <c r="AQ32" i="44" s="1"/>
  <c r="AA37" i="9"/>
  <c r="U38" i="49" l="1"/>
  <c r="U39" i="49" s="1"/>
  <c r="T31" i="50"/>
  <c r="AN16" i="49"/>
  <c r="AC117" i="11"/>
  <c r="AC125" i="11" s="1"/>
  <c r="AC131" i="11"/>
  <c r="AC118" i="11" s="1"/>
  <c r="AO58" i="44"/>
  <c r="AP53" i="44"/>
  <c r="AP56" i="44" s="1"/>
  <c r="AO25" i="50"/>
  <c r="AL20" i="50"/>
  <c r="AL19" i="50" s="1"/>
  <c r="AM18" i="44"/>
  <c r="AM21" i="44" s="1"/>
  <c r="AL23" i="44"/>
  <c r="AL15" i="49" s="1"/>
  <c r="AC104" i="44"/>
  <c r="AC108" i="44" s="1"/>
  <c r="AB110" i="44"/>
  <c r="AB18" i="49" s="1"/>
  <c r="AB33" i="50"/>
  <c r="AB188" i="11"/>
  <c r="AB196" i="11" s="1"/>
  <c r="AB198" i="11" s="1"/>
  <c r="AC195" i="11" s="1"/>
  <c r="AO80" i="44"/>
  <c r="AP75" i="44"/>
  <c r="AP78" i="44" s="1"/>
  <c r="AO27" i="50"/>
  <c r="W19" i="49"/>
  <c r="AJ54" i="11"/>
  <c r="AK52" i="11" s="1"/>
  <c r="AJ46" i="11"/>
  <c r="AJ53" i="11" s="1"/>
  <c r="AJ59" i="11"/>
  <c r="AB33" i="56"/>
  <c r="AB39" i="56" s="1"/>
  <c r="AB161" i="56"/>
  <c r="AB168" i="56" s="1"/>
  <c r="AB160" i="56"/>
  <c r="AB167" i="56" s="1"/>
  <c r="AB169" i="56" s="1"/>
  <c r="AC166" i="56" s="1"/>
  <c r="AA17" i="11"/>
  <c r="AR64" i="44"/>
  <c r="AR67" i="44" s="1"/>
  <c r="AQ26" i="50"/>
  <c r="AQ69" i="44"/>
  <c r="AM37" i="34"/>
  <c r="AL46" i="34"/>
  <c r="AL50" i="34"/>
  <c r="AN24" i="50"/>
  <c r="AA24" i="11"/>
  <c r="AB224" i="11"/>
  <c r="AB232" i="11" s="1"/>
  <c r="AB234" i="11" s="1"/>
  <c r="AC231" i="11" s="1"/>
  <c r="AN84" i="54"/>
  <c r="AE85" i="53"/>
  <c r="Z34" i="50"/>
  <c r="AQ40" i="44"/>
  <c r="AQ43" i="44" s="1"/>
  <c r="AP22" i="50"/>
  <c r="AP45" i="44"/>
  <c r="AB241" i="11"/>
  <c r="AC238" i="11" s="1"/>
  <c r="AI60" i="11"/>
  <c r="AI61" i="11" s="1"/>
  <c r="AJ58" i="11" s="1"/>
  <c r="AA133" i="11"/>
  <c r="AB130" i="11" s="1"/>
  <c r="AB57" i="56"/>
  <c r="AB64" i="56" s="1"/>
  <c r="BD92" i="53"/>
  <c r="BC95" i="53"/>
  <c r="AB154" i="11"/>
  <c r="AB168" i="11" s="1"/>
  <c r="AB169" i="11" s="1"/>
  <c r="AC166" i="11" s="1"/>
  <c r="AB152" i="11"/>
  <c r="AB160" i="11" s="1"/>
  <c r="AB162" i="11" s="1"/>
  <c r="AC159" i="11" s="1"/>
  <c r="AL57" i="34"/>
  <c r="AM31" i="34"/>
  <c r="AM44" i="34"/>
  <c r="BY93" i="54"/>
  <c r="BZ90" i="54"/>
  <c r="BA82" i="54"/>
  <c r="AN88" i="44"/>
  <c r="AN91" i="44" s="1"/>
  <c r="BA83" i="54"/>
  <c r="AM93" i="44"/>
  <c r="AM17" i="49" s="1"/>
  <c r="AR83" i="53"/>
  <c r="AM32" i="50"/>
  <c r="AL40" i="34"/>
  <c r="AK53" i="34"/>
  <c r="AQ34" i="44"/>
  <c r="AQ21" i="50"/>
  <c r="AR29" i="44"/>
  <c r="AR32" i="44" s="1"/>
  <c r="X16" i="50"/>
  <c r="X12" i="50" s="1"/>
  <c r="Y63" i="9"/>
  <c r="AA55" i="9"/>
  <c r="AA57" i="9"/>
  <c r="AK59" i="34"/>
  <c r="AB33" i="9"/>
  <c r="AA13" i="50"/>
  <c r="AC7" i="49"/>
  <c r="AC7" i="5"/>
  <c r="AC7" i="47"/>
  <c r="AC7" i="48"/>
  <c r="AC7" i="44"/>
  <c r="AC7" i="42"/>
  <c r="AC7" i="51"/>
  <c r="AC7" i="7"/>
  <c r="AC7" i="57"/>
  <c r="AC7" i="13"/>
  <c r="AC7" i="55"/>
  <c r="AC7" i="6"/>
  <c r="AC7" i="9"/>
  <c r="AC7" i="50"/>
  <c r="AC7" i="56"/>
  <c r="AC7" i="1"/>
  <c r="AC7" i="11"/>
  <c r="AF8" i="2"/>
  <c r="AB81" i="11"/>
  <c r="AB89" i="11" s="1"/>
  <c r="AB16" i="11" s="1"/>
  <c r="AB28" i="49" s="1"/>
  <c r="AB95" i="11"/>
  <c r="AB90" i="11"/>
  <c r="AC87" i="11" s="1"/>
  <c r="AB14" i="11"/>
  <c r="Z75" i="9"/>
  <c r="Z77" i="9" s="1"/>
  <c r="AE63" i="53"/>
  <c r="AE62" i="53" s="1"/>
  <c r="AN62" i="54"/>
  <c r="AN61" i="54" s="1"/>
  <c r="X31" i="13"/>
  <c r="AN19" i="34"/>
  <c r="AM33" i="34"/>
  <c r="AD47" i="9"/>
  <c r="AD45" i="9"/>
  <c r="U40" i="49" l="1"/>
  <c r="Z79" i="53"/>
  <c r="AI78" i="54"/>
  <c r="Z82" i="53"/>
  <c r="AI81" i="54"/>
  <c r="AO16" i="49"/>
  <c r="AO24" i="50"/>
  <c r="Z17" i="50"/>
  <c r="AA73" i="9"/>
  <c r="AO84" i="54"/>
  <c r="AF85" i="53"/>
  <c r="AA34" i="50"/>
  <c r="AE43" i="9"/>
  <c r="AD14" i="50"/>
  <c r="AC134" i="56"/>
  <c r="AC141" i="56" s="1"/>
  <c r="AC160" i="56"/>
  <c r="AC167" i="56" s="1"/>
  <c r="AB35" i="9"/>
  <c r="BB82" i="54"/>
  <c r="AN32" i="50"/>
  <c r="BB83" i="54"/>
  <c r="AO88" i="44"/>
  <c r="AO91" i="44" s="1"/>
  <c r="AN93" i="44"/>
  <c r="AN17" i="49" s="1"/>
  <c r="AS83" i="53"/>
  <c r="AC167" i="11"/>
  <c r="AC154" i="11" s="1"/>
  <c r="AC168" i="11" s="1"/>
  <c r="AC153" i="11"/>
  <c r="AC161" i="11" s="1"/>
  <c r="AC241" i="11"/>
  <c r="AD238" i="11" s="1"/>
  <c r="AC239" i="11"/>
  <c r="AC226" i="11" s="1"/>
  <c r="AC240" i="11" s="1"/>
  <c r="AC225" i="11"/>
  <c r="AC233" i="11" s="1"/>
  <c r="AC234" i="11"/>
  <c r="AD231" i="11" s="1"/>
  <c r="AS64" i="44"/>
  <c r="AS67" i="44" s="1"/>
  <c r="AR26" i="50"/>
  <c r="AR69" i="44"/>
  <c r="AK59" i="11"/>
  <c r="AK46" i="11"/>
  <c r="AK53" i="11" s="1"/>
  <c r="AK54" i="11" s="1"/>
  <c r="AL52" i="11" s="1"/>
  <c r="AC189" i="11"/>
  <c r="AC197" i="11" s="1"/>
  <c r="AC203" i="11"/>
  <c r="AA35" i="50"/>
  <c r="AO85" i="54"/>
  <c r="AF86" i="53"/>
  <c r="AA15" i="50"/>
  <c r="AB53" i="9"/>
  <c r="AM40" i="34"/>
  <c r="AL53" i="34"/>
  <c r="AR40" i="44"/>
  <c r="AR43" i="44" s="1"/>
  <c r="AQ22" i="50"/>
  <c r="AQ45" i="44"/>
  <c r="AL59" i="34"/>
  <c r="AB15" i="11"/>
  <c r="AB27" i="49" s="1"/>
  <c r="AD104" i="44"/>
  <c r="AD108" i="44" s="1"/>
  <c r="AC110" i="44"/>
  <c r="AC18" i="49" s="1"/>
  <c r="AC33" i="50"/>
  <c r="AP58" i="44"/>
  <c r="AQ53" i="44"/>
  <c r="AQ56" i="44" s="1"/>
  <c r="AP25" i="50"/>
  <c r="BE92" i="53"/>
  <c r="BD95" i="53"/>
  <c r="AO19" i="34"/>
  <c r="BZ93" i="54"/>
  <c r="CA90" i="54"/>
  <c r="AB82" i="11"/>
  <c r="AB96" i="11" s="1"/>
  <c r="AB22" i="11"/>
  <c r="AB36" i="13" s="1"/>
  <c r="AB97" i="11"/>
  <c r="AC94" i="11" s="1"/>
  <c r="AC8" i="49"/>
  <c r="AC8" i="11"/>
  <c r="AC116" i="11" s="1"/>
  <c r="AC124" i="11" s="1"/>
  <c r="AC126" i="11" s="1"/>
  <c r="AD123" i="11" s="1"/>
  <c r="AC8" i="6"/>
  <c r="AC8" i="47"/>
  <c r="AC8" i="56"/>
  <c r="AC109" i="56" s="1"/>
  <c r="AC116" i="56" s="1"/>
  <c r="AG7" i="2"/>
  <c r="AC8" i="42"/>
  <c r="AC8" i="5"/>
  <c r="AC8" i="51"/>
  <c r="AC8" i="44"/>
  <c r="AC8" i="48"/>
  <c r="AC8" i="57"/>
  <c r="AC8" i="55"/>
  <c r="AC8" i="9"/>
  <c r="AC8" i="13"/>
  <c r="AC8" i="1"/>
  <c r="AC8" i="50"/>
  <c r="AC8" i="7"/>
  <c r="AN31" i="34"/>
  <c r="AN33" i="34" s="1"/>
  <c r="AN44" i="34"/>
  <c r="AM57" i="34"/>
  <c r="AB15" i="56"/>
  <c r="AB24" i="49" s="1"/>
  <c r="AN37" i="34"/>
  <c r="AM50" i="34"/>
  <c r="AM46" i="34"/>
  <c r="AQ75" i="44"/>
  <c r="AQ78" i="44" s="1"/>
  <c r="AP80" i="44"/>
  <c r="AP27" i="50"/>
  <c r="Y65" i="9"/>
  <c r="AC45" i="11"/>
  <c r="AC188" i="11"/>
  <c r="AC196" i="11" s="1"/>
  <c r="AC198" i="11" s="1"/>
  <c r="AD195" i="11" s="1"/>
  <c r="AC80" i="11"/>
  <c r="AC88" i="11" s="1"/>
  <c r="AC90" i="11" s="1"/>
  <c r="AD87" i="11" s="1"/>
  <c r="AC224" i="11"/>
  <c r="AC232" i="11" s="1"/>
  <c r="AR21" i="50"/>
  <c r="AS29" i="44"/>
  <c r="AS32" i="44" s="1"/>
  <c r="AR34" i="44"/>
  <c r="AB133" i="11"/>
  <c r="AC130" i="11" s="1"/>
  <c r="AB21" i="11"/>
  <c r="AJ47" i="11"/>
  <c r="AJ60" i="11" s="1"/>
  <c r="AM20" i="50"/>
  <c r="AM19" i="50" s="1"/>
  <c r="AN18" i="44"/>
  <c r="AN21" i="44" s="1"/>
  <c r="AM23" i="44"/>
  <c r="AM15" i="49" s="1"/>
  <c r="AC95" i="11"/>
  <c r="AC81" i="11"/>
  <c r="AC89" i="11" s="1"/>
  <c r="AC14" i="11"/>
  <c r="X14" i="49"/>
  <c r="X17" i="48"/>
  <c r="X32" i="13"/>
  <c r="AB132" i="11"/>
  <c r="AI88" i="54" l="1"/>
  <c r="U37" i="13"/>
  <c r="U41" i="49"/>
  <c r="Z90" i="53"/>
  <c r="AD189" i="11"/>
  <c r="AD197" i="11" s="1"/>
  <c r="AD203" i="11"/>
  <c r="AD190" i="11" s="1"/>
  <c r="AL59" i="11"/>
  <c r="AL46" i="11"/>
  <c r="AL53" i="11" s="1"/>
  <c r="AL54" i="11"/>
  <c r="AM52" i="11" s="1"/>
  <c r="AD81" i="11"/>
  <c r="AD89" i="11" s="1"/>
  <c r="AD95" i="11"/>
  <c r="AD117" i="11"/>
  <c r="AD125" i="11" s="1"/>
  <c r="AD131" i="11"/>
  <c r="AD118" i="11" s="1"/>
  <c r="AC169" i="56"/>
  <c r="AD166" i="56" s="1"/>
  <c r="Y31" i="13"/>
  <c r="AE104" i="44"/>
  <c r="AD110" i="44"/>
  <c r="AD18" i="49" s="1"/>
  <c r="AD33" i="50"/>
  <c r="X21" i="48"/>
  <c r="CA93" i="54"/>
  <c r="CB90" i="54"/>
  <c r="AC16" i="11"/>
  <c r="AC28" i="49" s="1"/>
  <c r="Y67" i="9"/>
  <c r="AP19" i="34"/>
  <c r="AO33" i="34"/>
  <c r="AM53" i="34"/>
  <c r="AM59" i="34" s="1"/>
  <c r="AN40" i="34"/>
  <c r="AC82" i="11"/>
  <c r="AC96" i="11" s="1"/>
  <c r="AC22" i="11"/>
  <c r="AC36" i="13" s="1"/>
  <c r="AC97" i="11"/>
  <c r="AD94" i="11" s="1"/>
  <c r="AC21" i="11"/>
  <c r="AB17" i="11"/>
  <c r="BF92" i="53"/>
  <c r="BE95" i="53"/>
  <c r="AB55" i="9"/>
  <c r="AO93" i="44"/>
  <c r="AO17" i="49" s="1"/>
  <c r="BC83" i="54"/>
  <c r="AP88" i="44"/>
  <c r="AP91" i="44" s="1"/>
  <c r="AO32" i="50"/>
  <c r="BC82" i="54"/>
  <c r="AT83" i="53"/>
  <c r="AC57" i="56"/>
  <c r="AC64" i="56" s="1"/>
  <c r="AJ61" i="11"/>
  <c r="AK58" i="11" s="1"/>
  <c r="AT64" i="44"/>
  <c r="AT67" i="44" s="1"/>
  <c r="AS69" i="44"/>
  <c r="AS26" i="50"/>
  <c r="AD239" i="11"/>
  <c r="AD226" i="11" s="1"/>
  <c r="AD240" i="11" s="1"/>
  <c r="AD225" i="11"/>
  <c r="AD233" i="11" s="1"/>
  <c r="X12" i="49"/>
  <c r="AN23" i="44"/>
  <c r="AN15" i="49" s="1"/>
  <c r="AN20" i="50"/>
  <c r="AN19" i="50" s="1"/>
  <c r="AO18" i="44"/>
  <c r="AO21" i="44" s="1"/>
  <c r="AS34" i="44"/>
  <c r="AS21" i="50"/>
  <c r="AT29" i="44"/>
  <c r="AT32" i="44" s="1"/>
  <c r="AC132" i="11"/>
  <c r="AC133" i="11" s="1"/>
  <c r="AD130" i="11" s="1"/>
  <c r="AD7" i="55"/>
  <c r="AD7" i="44"/>
  <c r="AD7" i="6"/>
  <c r="AD7" i="48"/>
  <c r="AD7" i="51"/>
  <c r="AD7" i="56"/>
  <c r="AG8" i="2"/>
  <c r="AD7" i="50"/>
  <c r="AD7" i="11"/>
  <c r="AD7" i="9"/>
  <c r="AD7" i="7"/>
  <c r="AD7" i="42"/>
  <c r="AD7" i="57"/>
  <c r="AD7" i="49"/>
  <c r="AD7" i="1"/>
  <c r="AD7" i="5"/>
  <c r="AD7" i="47"/>
  <c r="AD7" i="13"/>
  <c r="AB23" i="11"/>
  <c r="AB30" i="49" s="1"/>
  <c r="AP24" i="50"/>
  <c r="AC190" i="11"/>
  <c r="AC204" i="11" s="1"/>
  <c r="AC205" i="11"/>
  <c r="AD202" i="11" s="1"/>
  <c r="AO37" i="34"/>
  <c r="AN46" i="34"/>
  <c r="AN50" i="34"/>
  <c r="AC33" i="56"/>
  <c r="AC39" i="56" s="1"/>
  <c r="AC161" i="56"/>
  <c r="AC168" i="56" s="1"/>
  <c r="AC83" i="56"/>
  <c r="AC90" i="56" s="1"/>
  <c r="AC152" i="11"/>
  <c r="AC160" i="11" s="1"/>
  <c r="AC162" i="11" s="1"/>
  <c r="AD159" i="11" s="1"/>
  <c r="AD14" i="11" s="1"/>
  <c r="AP16" i="49"/>
  <c r="AR45" i="44"/>
  <c r="AS40" i="44"/>
  <c r="AS43" i="44" s="1"/>
  <c r="AR22" i="50"/>
  <c r="AK47" i="11"/>
  <c r="AK60" i="11" s="1"/>
  <c r="AB24" i="11"/>
  <c r="AN57" i="34"/>
  <c r="AO44" i="34"/>
  <c r="AO31" i="34"/>
  <c r="AQ25" i="50"/>
  <c r="AR53" i="44"/>
  <c r="AR56" i="44" s="1"/>
  <c r="AQ58" i="44"/>
  <c r="AO62" i="54"/>
  <c r="AO61" i="54" s="1"/>
  <c r="AF63" i="53"/>
  <c r="AF62" i="53" s="1"/>
  <c r="AA77" i="9"/>
  <c r="AA75" i="9"/>
  <c r="AQ80" i="44"/>
  <c r="AQ27" i="50"/>
  <c r="AR75" i="44"/>
  <c r="AR78" i="44" s="1"/>
  <c r="AB37" i="9"/>
  <c r="AE45" i="9"/>
  <c r="AE47" i="9" s="1"/>
  <c r="AC169" i="11"/>
  <c r="AD166" i="11" s="1"/>
  <c r="V38" i="49" l="1"/>
  <c r="V39" i="49" s="1"/>
  <c r="U31" i="50"/>
  <c r="U29" i="50"/>
  <c r="AQ16" i="49"/>
  <c r="AF43" i="9"/>
  <c r="AE14" i="50"/>
  <c r="AD241" i="11"/>
  <c r="AE238" i="11" s="1"/>
  <c r="AR27" i="50"/>
  <c r="AS75" i="44"/>
  <c r="AS78" i="44" s="1"/>
  <c r="AR80" i="44"/>
  <c r="AB34" i="50"/>
  <c r="AG85" i="53"/>
  <c r="AP84" i="54"/>
  <c r="AP37" i="34"/>
  <c r="AO50" i="34"/>
  <c r="AO46" i="34"/>
  <c r="AO40" i="34"/>
  <c r="AN53" i="34"/>
  <c r="Y17" i="48"/>
  <c r="Y14" i="49"/>
  <c r="Y32" i="13"/>
  <c r="AD205" i="11"/>
  <c r="AE202" i="11" s="1"/>
  <c r="BD82" i="54"/>
  <c r="AP93" i="44"/>
  <c r="AP17" i="49" s="1"/>
  <c r="BD83" i="54"/>
  <c r="AP32" i="50"/>
  <c r="AQ88" i="44"/>
  <c r="AQ91" i="44" s="1"/>
  <c r="AU83" i="53"/>
  <c r="AD132" i="11"/>
  <c r="AD133" i="11" s="1"/>
  <c r="AE130" i="11" s="1"/>
  <c r="AD8" i="6"/>
  <c r="AH7" i="2"/>
  <c r="AD8" i="57"/>
  <c r="AD8" i="7"/>
  <c r="AD8" i="55"/>
  <c r="AD8" i="1"/>
  <c r="AD8" i="50"/>
  <c r="AD8" i="42"/>
  <c r="AD8" i="51"/>
  <c r="AD8" i="47"/>
  <c r="AD8" i="48"/>
  <c r="AD8" i="49"/>
  <c r="AD8" i="5"/>
  <c r="AD8" i="11"/>
  <c r="AD8" i="9"/>
  <c r="AD8" i="56"/>
  <c r="AD57" i="56" s="1"/>
  <c r="AD64" i="56" s="1"/>
  <c r="AD8" i="44"/>
  <c r="AD8" i="13"/>
  <c r="BG92" i="53"/>
  <c r="BF95" i="53"/>
  <c r="AD160" i="56"/>
  <c r="AD167" i="56" s="1"/>
  <c r="AU64" i="44"/>
  <c r="AU67" i="44" s="1"/>
  <c r="AT26" i="50"/>
  <c r="AT69" i="44"/>
  <c r="AD97" i="11"/>
  <c r="AE94" i="11" s="1"/>
  <c r="AD21" i="11"/>
  <c r="AD24" i="11" s="1"/>
  <c r="Z63" i="9"/>
  <c r="Y16" i="50"/>
  <c r="Y12" i="50" s="1"/>
  <c r="AL47" i="11"/>
  <c r="AM46" i="11"/>
  <c r="AM53" i="11" s="1"/>
  <c r="AM59" i="11"/>
  <c r="AR58" i="44"/>
  <c r="AS53" i="44"/>
  <c r="AS56" i="44" s="1"/>
  <c r="AR25" i="50"/>
  <c r="AD169" i="11"/>
  <c r="AE166" i="11" s="1"/>
  <c r="AS45" i="44"/>
  <c r="AT40" i="44"/>
  <c r="AT43" i="44" s="1"/>
  <c r="AS22" i="50"/>
  <c r="AC15" i="11"/>
  <c r="AP18" i="44"/>
  <c r="AP21" i="44" s="1"/>
  <c r="AO23" i="44"/>
  <c r="AO15" i="49" s="1"/>
  <c r="AO20" i="50"/>
  <c r="AO19" i="50" s="1"/>
  <c r="AP85" i="54"/>
  <c r="AB35" i="50"/>
  <c r="AG86" i="53"/>
  <c r="AQ24" i="50"/>
  <c r="AA17" i="50"/>
  <c r="AB73" i="9"/>
  <c r="AP31" i="34"/>
  <c r="AP33" i="34" s="1"/>
  <c r="AO57" i="34"/>
  <c r="AP44" i="34"/>
  <c r="AP57" i="34" s="1"/>
  <c r="AN59" i="34"/>
  <c r="X19" i="49"/>
  <c r="AK61" i="11"/>
  <c r="AL58" i="11" s="1"/>
  <c r="AB57" i="9"/>
  <c r="AC23" i="11"/>
  <c r="AC30" i="49" s="1"/>
  <c r="AE108" i="44"/>
  <c r="AE107" i="44"/>
  <c r="AD82" i="11"/>
  <c r="AD96" i="11" s="1"/>
  <c r="AD23" i="11" s="1"/>
  <c r="AD30" i="49" s="1"/>
  <c r="AD22" i="11"/>
  <c r="AD36" i="13" s="1"/>
  <c r="AD204" i="11"/>
  <c r="AC33" i="9"/>
  <c r="AB13" i="50"/>
  <c r="AD153" i="11"/>
  <c r="AD161" i="11" s="1"/>
  <c r="AD16" i="11" s="1"/>
  <c r="AD28" i="49" s="1"/>
  <c r="AD167" i="11"/>
  <c r="AD154" i="11" s="1"/>
  <c r="AD168" i="11" s="1"/>
  <c r="AD224" i="11"/>
  <c r="AD232" i="11" s="1"/>
  <c r="AD234" i="11" s="1"/>
  <c r="AE231" i="11" s="1"/>
  <c r="AD80" i="11"/>
  <c r="AD88" i="11" s="1"/>
  <c r="AD116" i="11"/>
  <c r="AD124" i="11" s="1"/>
  <c r="AD126" i="11" s="1"/>
  <c r="AE123" i="11" s="1"/>
  <c r="AD152" i="11"/>
  <c r="AD160" i="11" s="1"/>
  <c r="AD162" i="11" s="1"/>
  <c r="AE159" i="11" s="1"/>
  <c r="AD45" i="11"/>
  <c r="AD188" i="11"/>
  <c r="AD196" i="11" s="1"/>
  <c r="AD198" i="11" s="1"/>
  <c r="AE195" i="11" s="1"/>
  <c r="AT21" i="50"/>
  <c r="AU29" i="44"/>
  <c r="AU32" i="44" s="1"/>
  <c r="AT34" i="44"/>
  <c r="AC15" i="56"/>
  <c r="AC24" i="49" s="1"/>
  <c r="CC90" i="54"/>
  <c r="CB93" i="54"/>
  <c r="V40" i="49" l="1"/>
  <c r="AA82" i="53"/>
  <c r="AJ78" i="54"/>
  <c r="AJ81" i="54"/>
  <c r="AA79" i="53"/>
  <c r="AR16" i="49"/>
  <c r="AE153" i="11"/>
  <c r="AE161" i="11" s="1"/>
  <c r="AE167" i="11"/>
  <c r="AE154" i="11" s="1"/>
  <c r="AE168" i="11" s="1"/>
  <c r="AE169" i="11" s="1"/>
  <c r="AF166" i="11" s="1"/>
  <c r="AD169" i="56"/>
  <c r="AE166" i="56" s="1"/>
  <c r="AR84" i="54"/>
  <c r="AD34" i="50"/>
  <c r="AI85" i="53"/>
  <c r="AD83" i="56"/>
  <c r="AD90" i="56" s="1"/>
  <c r="AD15" i="56" s="1"/>
  <c r="AD24" i="49" s="1"/>
  <c r="AC53" i="9"/>
  <c r="AB15" i="50"/>
  <c r="AR24" i="50"/>
  <c r="AD109" i="56"/>
  <c r="AD116" i="56" s="1"/>
  <c r="AP50" i="34"/>
  <c r="AE205" i="11"/>
  <c r="AF202" i="11" s="1"/>
  <c r="AE21" i="11"/>
  <c r="AE131" i="11"/>
  <c r="AE118" i="11" s="1"/>
  <c r="AE132" i="11" s="1"/>
  <c r="AE117" i="11"/>
  <c r="AE125" i="11" s="1"/>
  <c r="AC35" i="9"/>
  <c r="AC37" i="9"/>
  <c r="AL61" i="11"/>
  <c r="AM58" i="11" s="1"/>
  <c r="AP62" i="54"/>
  <c r="AP61" i="54" s="1"/>
  <c r="AB75" i="9"/>
  <c r="AB77" i="9"/>
  <c r="AG63" i="53"/>
  <c r="AG62" i="53" s="1"/>
  <c r="AQ18" i="44"/>
  <c r="AQ21" i="44" s="1"/>
  <c r="AP20" i="50"/>
  <c r="AP19" i="50" s="1"/>
  <c r="AP23" i="44"/>
  <c r="AP15" i="49" s="1"/>
  <c r="AS58" i="44"/>
  <c r="AT53" i="44"/>
  <c r="AT56" i="44" s="1"/>
  <c r="AS25" i="50"/>
  <c r="Y12" i="49"/>
  <c r="AE189" i="11"/>
  <c r="AE197" i="11" s="1"/>
  <c r="AE203" i="11"/>
  <c r="AE190" i="11" s="1"/>
  <c r="AE204" i="11" s="1"/>
  <c r="CC93" i="54"/>
  <c r="CD90" i="54"/>
  <c r="AD15" i="11"/>
  <c r="AD90" i="11"/>
  <c r="AE87" i="11" s="1"/>
  <c r="AC27" i="49"/>
  <c r="AC17" i="11"/>
  <c r="AU26" i="50"/>
  <c r="AV64" i="44"/>
  <c r="AV67" i="44" s="1"/>
  <c r="AU69" i="44"/>
  <c r="AF104" i="44"/>
  <c r="AF108" i="44" s="1"/>
  <c r="AE110" i="44"/>
  <c r="AE18" i="49" s="1"/>
  <c r="AE33" i="50"/>
  <c r="AS80" i="44"/>
  <c r="AS27" i="50"/>
  <c r="AT75" i="44"/>
  <c r="AT78" i="44" s="1"/>
  <c r="AE239" i="11"/>
  <c r="AE226" i="11" s="1"/>
  <c r="AE240" i="11" s="1"/>
  <c r="AE225" i="11"/>
  <c r="AE233" i="11" s="1"/>
  <c r="AM54" i="11"/>
  <c r="AN52" i="11" s="1"/>
  <c r="AL60" i="11"/>
  <c r="AC24" i="11"/>
  <c r="Y21" i="48"/>
  <c r="AD33" i="56"/>
  <c r="AD39" i="56" s="1"/>
  <c r="AD161" i="56"/>
  <c r="AD168" i="56" s="1"/>
  <c r="AM47" i="11"/>
  <c r="BH92" i="53"/>
  <c r="BG95" i="53"/>
  <c r="AF45" i="9"/>
  <c r="AF47" i="9" s="1"/>
  <c r="AU34" i="44"/>
  <c r="AU21" i="50"/>
  <c r="AV29" i="44"/>
  <c r="AV32" i="44" s="1"/>
  <c r="AT22" i="50"/>
  <c r="AU40" i="44"/>
  <c r="AU43" i="44" s="1"/>
  <c r="AT45" i="44"/>
  <c r="Z65" i="9"/>
  <c r="AD134" i="56"/>
  <c r="AD141" i="56" s="1"/>
  <c r="AE7" i="50"/>
  <c r="AE7" i="1"/>
  <c r="AE7" i="48"/>
  <c r="AE7" i="11"/>
  <c r="AE7" i="51"/>
  <c r="AE7" i="9"/>
  <c r="AH8" i="2"/>
  <c r="AE7" i="49"/>
  <c r="AE7" i="7"/>
  <c r="AE7" i="57"/>
  <c r="AE7" i="47"/>
  <c r="AE7" i="55"/>
  <c r="AE7" i="5"/>
  <c r="AE7" i="13"/>
  <c r="AE7" i="56"/>
  <c r="AE7" i="42"/>
  <c r="AE7" i="6"/>
  <c r="AE7" i="44"/>
  <c r="AR88" i="44"/>
  <c r="AR91" i="44" s="1"/>
  <c r="AQ32" i="50"/>
  <c r="AV83" i="53"/>
  <c r="AQ93" i="44"/>
  <c r="AQ17" i="49" s="1"/>
  <c r="BE83" i="54"/>
  <c r="BE82" i="54"/>
  <c r="AO53" i="34"/>
  <c r="AO59" i="34" s="1"/>
  <c r="AP40" i="34"/>
  <c r="AP53" i="34" s="1"/>
  <c r="V37" i="13" l="1"/>
  <c r="V41" i="49"/>
  <c r="AS16" i="49"/>
  <c r="AF14" i="50"/>
  <c r="AG43" i="9"/>
  <c r="AE224" i="11"/>
  <c r="AE232" i="11" s="1"/>
  <c r="AE234" i="11" s="1"/>
  <c r="AF231" i="11" s="1"/>
  <c r="AE80" i="11"/>
  <c r="AE88" i="11" s="1"/>
  <c r="AE90" i="11" s="1"/>
  <c r="AF87" i="11" s="1"/>
  <c r="AW64" i="44"/>
  <c r="AW67" i="44" s="1"/>
  <c r="AV26" i="50"/>
  <c r="AV69" i="44"/>
  <c r="AG104" i="44"/>
  <c r="AG108" i="44" s="1"/>
  <c r="AF110" i="44"/>
  <c r="AF18" i="49" s="1"/>
  <c r="AF33" i="50"/>
  <c r="CD93" i="54"/>
  <c r="CE90" i="54"/>
  <c r="AT25" i="50"/>
  <c r="AT58" i="44"/>
  <c r="AU53" i="44"/>
  <c r="AU56" i="44" s="1"/>
  <c r="AW29" i="44"/>
  <c r="AW32" i="44" s="1"/>
  <c r="AV21" i="50"/>
  <c r="AV34" i="44"/>
  <c r="AT27" i="50"/>
  <c r="AU75" i="44"/>
  <c r="AU78" i="44" s="1"/>
  <c r="AT80" i="44"/>
  <c r="AD33" i="9"/>
  <c r="AC13" i="50"/>
  <c r="AC55" i="9"/>
  <c r="AC57" i="9" s="1"/>
  <c r="AM60" i="11"/>
  <c r="AC34" i="50"/>
  <c r="AQ84" i="54"/>
  <c r="AH85" i="53"/>
  <c r="AH86" i="53"/>
  <c r="AC35" i="50"/>
  <c r="AQ85" i="54"/>
  <c r="AQ20" i="50"/>
  <c r="AQ19" i="50" s="1"/>
  <c r="AR18" i="44"/>
  <c r="AR21" i="44" s="1"/>
  <c r="AQ23" i="44"/>
  <c r="AQ15" i="49" s="1"/>
  <c r="AE241" i="11"/>
  <c r="AF238" i="11" s="1"/>
  <c r="AU22" i="50"/>
  <c r="AV40" i="44"/>
  <c r="AV43" i="44" s="1"/>
  <c r="AU45" i="44"/>
  <c r="BF82" i="54"/>
  <c r="AR32" i="50"/>
  <c r="BF83" i="54"/>
  <c r="AR93" i="44"/>
  <c r="AR17" i="49" s="1"/>
  <c r="AS88" i="44"/>
  <c r="AS91" i="44" s="1"/>
  <c r="AW83" i="53"/>
  <c r="AP59" i="34"/>
  <c r="BH95" i="53"/>
  <c r="BI92" i="53"/>
  <c r="AE160" i="56"/>
  <c r="AE167" i="56" s="1"/>
  <c r="AE134" i="56"/>
  <c r="AE141" i="56" s="1"/>
  <c r="Z31" i="13"/>
  <c r="AN46" i="11"/>
  <c r="AN53" i="11" s="1"/>
  <c r="AN54" i="11" s="1"/>
  <c r="AO52" i="11" s="1"/>
  <c r="AN59" i="11"/>
  <c r="AE81" i="11"/>
  <c r="AE89" i="11" s="1"/>
  <c r="AE16" i="11" s="1"/>
  <c r="AE28" i="49" s="1"/>
  <c r="AE95" i="11"/>
  <c r="AE14" i="11"/>
  <c r="Y19" i="49"/>
  <c r="AB17" i="50"/>
  <c r="AC73" i="9"/>
  <c r="AP46" i="34"/>
  <c r="AE8" i="48"/>
  <c r="AI7" i="2"/>
  <c r="AE8" i="44"/>
  <c r="AE8" i="7"/>
  <c r="AE8" i="11"/>
  <c r="AE116" i="11" s="1"/>
  <c r="AE124" i="11" s="1"/>
  <c r="AE126" i="11" s="1"/>
  <c r="AF123" i="11" s="1"/>
  <c r="AE8" i="51"/>
  <c r="AE8" i="42"/>
  <c r="AE8" i="50"/>
  <c r="AE8" i="13"/>
  <c r="AE8" i="6"/>
  <c r="AE8" i="9"/>
  <c r="AE8" i="55"/>
  <c r="AE8" i="5"/>
  <c r="AE8" i="57"/>
  <c r="AE8" i="47"/>
  <c r="AE8" i="56"/>
  <c r="AE8" i="49"/>
  <c r="AE8" i="1"/>
  <c r="Z67" i="9"/>
  <c r="AD27" i="49"/>
  <c r="AD17" i="11"/>
  <c r="AS24" i="50"/>
  <c r="AE133" i="11"/>
  <c r="AF130" i="11" s="1"/>
  <c r="W38" i="49" l="1"/>
  <c r="V31" i="50"/>
  <c r="V29" i="50"/>
  <c r="AT16" i="49"/>
  <c r="AT24" i="50"/>
  <c r="AC15" i="50"/>
  <c r="AD53" i="9"/>
  <c r="AF81" i="11"/>
  <c r="AF89" i="11" s="1"/>
  <c r="AF95" i="11"/>
  <c r="AF14" i="11"/>
  <c r="AF117" i="11"/>
  <c r="AF125" i="11" s="1"/>
  <c r="AF131" i="11"/>
  <c r="AF118" i="11" s="1"/>
  <c r="AF132" i="11" s="1"/>
  <c r="AO59" i="11"/>
  <c r="AO46" i="11"/>
  <c r="AO53" i="11" s="1"/>
  <c r="AO54" i="11" s="1"/>
  <c r="AP52" i="11" s="1"/>
  <c r="AF7" i="9"/>
  <c r="AI8" i="2"/>
  <c r="AF7" i="5"/>
  <c r="AF7" i="6"/>
  <c r="AF7" i="55"/>
  <c r="AF7" i="42"/>
  <c r="AF7" i="50"/>
  <c r="AF7" i="7"/>
  <c r="AF7" i="47"/>
  <c r="AF7" i="44"/>
  <c r="AF7" i="57"/>
  <c r="AF7" i="48"/>
  <c r="AF7" i="49"/>
  <c r="AF7" i="13"/>
  <c r="AF7" i="11"/>
  <c r="AF7" i="1"/>
  <c r="AF7" i="51"/>
  <c r="AF7" i="56"/>
  <c r="AA63" i="9"/>
  <c r="Z16" i="50"/>
  <c r="Z12" i="50" s="1"/>
  <c r="AS32" i="50"/>
  <c r="BG83" i="54"/>
  <c r="AT88" i="44"/>
  <c r="AT91" i="44" s="1"/>
  <c r="AS93" i="44"/>
  <c r="AS17" i="49" s="1"/>
  <c r="BG82" i="54"/>
  <c r="AX83" i="53"/>
  <c r="AU58" i="44"/>
  <c r="AU25" i="50"/>
  <c r="AV53" i="44"/>
  <c r="AV56" i="44" s="1"/>
  <c r="AE188" i="11"/>
  <c r="AE196" i="11" s="1"/>
  <c r="AE198" i="11" s="1"/>
  <c r="AF195" i="11" s="1"/>
  <c r="AU27" i="50"/>
  <c r="AU80" i="44"/>
  <c r="AV75" i="44"/>
  <c r="AV78" i="44" s="1"/>
  <c r="AF239" i="11"/>
  <c r="AF226" i="11" s="1"/>
  <c r="AF240" i="11" s="1"/>
  <c r="AF225" i="11"/>
  <c r="AF233" i="11" s="1"/>
  <c r="AE33" i="56"/>
  <c r="AE39" i="56" s="1"/>
  <c r="AE161" i="56"/>
  <c r="AE168" i="56" s="1"/>
  <c r="AE169" i="56" s="1"/>
  <c r="AF166" i="56" s="1"/>
  <c r="AE57" i="56"/>
  <c r="AE64" i="56" s="1"/>
  <c r="AE15" i="56" s="1"/>
  <c r="AE24" i="49" s="1"/>
  <c r="AS18" i="44"/>
  <c r="AS21" i="44" s="1"/>
  <c r="AR23" i="44"/>
  <c r="AR15" i="49" s="1"/>
  <c r="AR20" i="50"/>
  <c r="AR19" i="50" s="1"/>
  <c r="CE93" i="54"/>
  <c r="CF90" i="54"/>
  <c r="CF93" i="54" s="1"/>
  <c r="AW69" i="44"/>
  <c r="AX64" i="44"/>
  <c r="AX67" i="44" s="1"/>
  <c r="AW26" i="50"/>
  <c r="AE152" i="11"/>
  <c r="AE160" i="11" s="1"/>
  <c r="AE162" i="11" s="1"/>
  <c r="AF159" i="11" s="1"/>
  <c r="Z14" i="49"/>
  <c r="Z17" i="48"/>
  <c r="Z32" i="13"/>
  <c r="AE82" i="11"/>
  <c r="AE96" i="11" s="1"/>
  <c r="AE23" i="11" s="1"/>
  <c r="AE30" i="49" s="1"/>
  <c r="AE22" i="11"/>
  <c r="AE97" i="11"/>
  <c r="AF94" i="11" s="1"/>
  <c r="AE15" i="11"/>
  <c r="AE27" i="49" s="1"/>
  <c r="AE83" i="56"/>
  <c r="AE90" i="56" s="1"/>
  <c r="AW21" i="50"/>
  <c r="AX29" i="44"/>
  <c r="AX32" i="44" s="1"/>
  <c r="AW34" i="44"/>
  <c r="AM61" i="11"/>
  <c r="AN58" i="11" s="1"/>
  <c r="AH63" i="53"/>
  <c r="AH62" i="53" s="1"/>
  <c r="AC75" i="9"/>
  <c r="AC77" i="9" s="1"/>
  <c r="AQ62" i="54"/>
  <c r="AQ61" i="54" s="1"/>
  <c r="AD35" i="50"/>
  <c r="AR85" i="54"/>
  <c r="AI86" i="53"/>
  <c r="AE109" i="56"/>
  <c r="AE116" i="56" s="1"/>
  <c r="AW40" i="44"/>
  <c r="AW43" i="44" s="1"/>
  <c r="AV45" i="44"/>
  <c r="AV22" i="50"/>
  <c r="AE45" i="11"/>
  <c r="AG45" i="9"/>
  <c r="AG47" i="9"/>
  <c r="AF133" i="11"/>
  <c r="AG130" i="11" s="1"/>
  <c r="AN47" i="11"/>
  <c r="AN60" i="11" s="1"/>
  <c r="BJ92" i="53"/>
  <c r="BI95" i="53"/>
  <c r="AD35" i="9"/>
  <c r="AH104" i="44"/>
  <c r="AG110" i="44"/>
  <c r="AG18" i="49" s="1"/>
  <c r="AG33" i="50"/>
  <c r="AC17" i="50" l="1"/>
  <c r="AD73" i="9"/>
  <c r="AP59" i="11"/>
  <c r="AP46" i="11"/>
  <c r="AP53" i="11" s="1"/>
  <c r="AS20" i="50"/>
  <c r="AS19" i="50" s="1"/>
  <c r="AT18" i="44"/>
  <c r="AT21" i="44" s="1"/>
  <c r="AS23" i="44"/>
  <c r="AS15" i="49" s="1"/>
  <c r="AF160" i="56"/>
  <c r="AF167" i="56" s="1"/>
  <c r="AF109" i="56"/>
  <c r="AF116" i="56" s="1"/>
  <c r="AY64" i="44"/>
  <c r="AY67" i="44" s="1"/>
  <c r="AX69" i="44"/>
  <c r="AX26" i="50"/>
  <c r="AF167" i="11"/>
  <c r="AF153" i="11"/>
  <c r="AF161" i="11" s="1"/>
  <c r="AV27" i="50"/>
  <c r="AV80" i="44"/>
  <c r="AW75" i="44"/>
  <c r="AW78" i="44" s="1"/>
  <c r="AA65" i="9"/>
  <c r="AA31" i="13" s="1"/>
  <c r="AA67" i="9"/>
  <c r="AF8" i="13"/>
  <c r="AF8" i="55"/>
  <c r="AF8" i="1"/>
  <c r="AF8" i="48"/>
  <c r="AF8" i="44"/>
  <c r="AF8" i="47"/>
  <c r="AF8" i="11"/>
  <c r="AF8" i="49"/>
  <c r="AF8" i="9"/>
  <c r="AJ7" i="2"/>
  <c r="AF8" i="7"/>
  <c r="AF8" i="57"/>
  <c r="AF8" i="5"/>
  <c r="AF8" i="50"/>
  <c r="AF8" i="42"/>
  <c r="AF8" i="51"/>
  <c r="AF8" i="6"/>
  <c r="AF8" i="56"/>
  <c r="AF83" i="56" s="1"/>
  <c r="AF90" i="56" s="1"/>
  <c r="AE36" i="13"/>
  <c r="AE24" i="11"/>
  <c r="AF189" i="11"/>
  <c r="AF197" i="11" s="1"/>
  <c r="AF203" i="11"/>
  <c r="AF22" i="11" s="1"/>
  <c r="AF36" i="13" s="1"/>
  <c r="AT32" i="50"/>
  <c r="BH83" i="54"/>
  <c r="AU88" i="44"/>
  <c r="AU91" i="44" s="1"/>
  <c r="AT93" i="44"/>
  <c r="AT17" i="49" s="1"/>
  <c r="BH82" i="54"/>
  <c r="AY83" i="53"/>
  <c r="AF82" i="11"/>
  <c r="AF96" i="11" s="1"/>
  <c r="AV25" i="50"/>
  <c r="AV58" i="44"/>
  <c r="AW53" i="44"/>
  <c r="AW56" i="44" s="1"/>
  <c r="AF116" i="11"/>
  <c r="AF124" i="11" s="1"/>
  <c r="AF126" i="11" s="1"/>
  <c r="AG123" i="11" s="1"/>
  <c r="AF224" i="11"/>
  <c r="AF232" i="11" s="1"/>
  <c r="AF234" i="11" s="1"/>
  <c r="AG231" i="11" s="1"/>
  <c r="AF45" i="11"/>
  <c r="AF188" i="11"/>
  <c r="AF196" i="11" s="1"/>
  <c r="AF198" i="11" s="1"/>
  <c r="AG195" i="11" s="1"/>
  <c r="AF152" i="11"/>
  <c r="AF160" i="11" s="1"/>
  <c r="AF162" i="11" s="1"/>
  <c r="AG159" i="11" s="1"/>
  <c r="AF80" i="11"/>
  <c r="AF88" i="11" s="1"/>
  <c r="AF16" i="11"/>
  <c r="AF28" i="49" s="1"/>
  <c r="AN61" i="11"/>
  <c r="AO58" i="11" s="1"/>
  <c r="AD37" i="9"/>
  <c r="AG14" i="50"/>
  <c r="AH43" i="9"/>
  <c r="AY29" i="44"/>
  <c r="AY32" i="44" s="1"/>
  <c r="AX34" i="44"/>
  <c r="AX21" i="50"/>
  <c r="Z12" i="49"/>
  <c r="AU24" i="50"/>
  <c r="AF97" i="11"/>
  <c r="AG94" i="11" s="1"/>
  <c r="AF21" i="11"/>
  <c r="AH108" i="44"/>
  <c r="AH107" i="44"/>
  <c r="BJ95" i="53"/>
  <c r="BK92" i="53"/>
  <c r="Z21" i="48"/>
  <c r="AU16" i="49"/>
  <c r="AE17" i="11"/>
  <c r="AO47" i="11"/>
  <c r="AO60" i="11" s="1"/>
  <c r="AD57" i="9"/>
  <c r="AD55" i="9"/>
  <c r="AW45" i="44"/>
  <c r="AW22" i="50"/>
  <c r="AX40" i="44"/>
  <c r="AX43" i="44" s="1"/>
  <c r="AF241" i="11"/>
  <c r="AG238" i="11" s="1"/>
  <c r="AV16" i="49" l="1"/>
  <c r="AV24" i="50"/>
  <c r="AG167" i="11"/>
  <c r="AG154" i="11" s="1"/>
  <c r="AG153" i="11"/>
  <c r="AG161" i="11" s="1"/>
  <c r="AG203" i="11"/>
  <c r="AG190" i="11" s="1"/>
  <c r="AG189" i="11"/>
  <c r="AG197" i="11" s="1"/>
  <c r="AI104" i="44"/>
  <c r="AI108" i="44" s="1"/>
  <c r="AH110" i="44"/>
  <c r="AH18" i="49" s="1"/>
  <c r="AH33" i="50"/>
  <c r="AY34" i="44"/>
  <c r="AZ29" i="44"/>
  <c r="AZ32" i="44" s="1"/>
  <c r="AY21" i="50"/>
  <c r="AW58" i="44"/>
  <c r="AX53" i="44"/>
  <c r="AX56" i="44" s="1"/>
  <c r="AW25" i="50"/>
  <c r="AW80" i="44"/>
  <c r="AW27" i="50"/>
  <c r="AX75" i="44"/>
  <c r="AX78" i="44" s="1"/>
  <c r="AY26" i="50"/>
  <c r="AZ64" i="44"/>
  <c r="AZ67" i="44" s="1"/>
  <c r="AY69" i="44"/>
  <c r="AS84" i="54"/>
  <c r="AE34" i="50"/>
  <c r="AJ85" i="53"/>
  <c r="AD13" i="50"/>
  <c r="AE33" i="9"/>
  <c r="BI83" i="54"/>
  <c r="AZ83" i="53"/>
  <c r="BI82" i="54"/>
  <c r="AV88" i="44"/>
  <c r="AV91" i="44" s="1"/>
  <c r="AU93" i="44"/>
  <c r="AU17" i="49" s="1"/>
  <c r="AU32" i="50"/>
  <c r="AP47" i="11"/>
  <c r="AY40" i="44"/>
  <c r="AY43" i="44" s="1"/>
  <c r="AX22" i="50"/>
  <c r="AX45" i="44"/>
  <c r="AO61" i="11"/>
  <c r="AP58" i="11" s="1"/>
  <c r="AF33" i="56"/>
  <c r="AF39" i="56" s="1"/>
  <c r="AF161" i="56"/>
  <c r="AF168" i="56" s="1"/>
  <c r="AF169" i="56" s="1"/>
  <c r="AG166" i="56" s="1"/>
  <c r="AG7" i="44"/>
  <c r="AG7" i="6"/>
  <c r="AG7" i="56"/>
  <c r="AG7" i="13"/>
  <c r="AG7" i="55"/>
  <c r="AG7" i="50"/>
  <c r="AJ8" i="2"/>
  <c r="AG7" i="11"/>
  <c r="AG7" i="48"/>
  <c r="AG7" i="1"/>
  <c r="AG7" i="42"/>
  <c r="AG7" i="7"/>
  <c r="AG7" i="51"/>
  <c r="AG7" i="57"/>
  <c r="AG7" i="5"/>
  <c r="AG7" i="9"/>
  <c r="AG7" i="47"/>
  <c r="AG7" i="49"/>
  <c r="AF57" i="56"/>
  <c r="AF64" i="56" s="1"/>
  <c r="AF15" i="56" s="1"/>
  <c r="AF24" i="49" s="1"/>
  <c r="AS85" i="54"/>
  <c r="AJ86" i="53"/>
  <c r="AE35" i="50"/>
  <c r="BK95" i="53"/>
  <c r="BL92" i="53"/>
  <c r="Z19" i="49"/>
  <c r="AF154" i="11"/>
  <c r="AF168" i="11" s="1"/>
  <c r="AF169" i="11" s="1"/>
  <c r="AG166" i="11" s="1"/>
  <c r="AF134" i="56"/>
  <c r="AF141" i="56" s="1"/>
  <c r="AP54" i="11"/>
  <c r="AQ52" i="11" s="1"/>
  <c r="AH47" i="9"/>
  <c r="AH45" i="9"/>
  <c r="AF15" i="11"/>
  <c r="AF90" i="11"/>
  <c r="AG87" i="11" s="1"/>
  <c r="AD15" i="50"/>
  <c r="AE53" i="9"/>
  <c r="AG239" i="11"/>
  <c r="AG226" i="11" s="1"/>
  <c r="AG240" i="11" s="1"/>
  <c r="AG225" i="11"/>
  <c r="AG233" i="11" s="1"/>
  <c r="AA16" i="50"/>
  <c r="AA12" i="50" s="1"/>
  <c r="AB63" i="9"/>
  <c r="AD77" i="9"/>
  <c r="AI63" i="53"/>
  <c r="AI62" i="53" s="1"/>
  <c r="AR62" i="54"/>
  <c r="AR61" i="54" s="1"/>
  <c r="AD75" i="9"/>
  <c r="AG131" i="11"/>
  <c r="AG117" i="11"/>
  <c r="AG125" i="11" s="1"/>
  <c r="AF190" i="11"/>
  <c r="AF204" i="11" s="1"/>
  <c r="AF23" i="11" s="1"/>
  <c r="AA17" i="48"/>
  <c r="AA21" i="48" s="1"/>
  <c r="AA14" i="49"/>
  <c r="AA32" i="13"/>
  <c r="AT20" i="50"/>
  <c r="AT19" i="50" s="1"/>
  <c r="AU18" i="44"/>
  <c r="AU21" i="44" s="1"/>
  <c r="AT23" i="44"/>
  <c r="AT15" i="49" s="1"/>
  <c r="AW16" i="49" l="1"/>
  <c r="AF30" i="49"/>
  <c r="AF24" i="11"/>
  <c r="BM92" i="53"/>
  <c r="BL95" i="53"/>
  <c r="AG80" i="11"/>
  <c r="AG88" i="11" s="1"/>
  <c r="AG241" i="11"/>
  <c r="AH238" i="11" s="1"/>
  <c r="AG118" i="11"/>
  <c r="AG132" i="11" s="1"/>
  <c r="AG133" i="11"/>
  <c r="AH130" i="11" s="1"/>
  <c r="AZ34" i="44"/>
  <c r="AZ21" i="50"/>
  <c r="BA29" i="44"/>
  <c r="BA32" i="44" s="1"/>
  <c r="AA12" i="49"/>
  <c r="AA19" i="49" s="1"/>
  <c r="AV93" i="44"/>
  <c r="AV17" i="49" s="1"/>
  <c r="BA83" i="53"/>
  <c r="BJ82" i="54"/>
  <c r="AV32" i="50"/>
  <c r="AW88" i="44"/>
  <c r="AW91" i="44" s="1"/>
  <c r="BJ83" i="54"/>
  <c r="AX27" i="50"/>
  <c r="AX80" i="44"/>
  <c r="AY75" i="44"/>
  <c r="AY78" i="44" s="1"/>
  <c r="AG8" i="5"/>
  <c r="AG8" i="55"/>
  <c r="AG8" i="42"/>
  <c r="AG8" i="13"/>
  <c r="AG8" i="50"/>
  <c r="AG8" i="49"/>
  <c r="AG8" i="9"/>
  <c r="AG8" i="47"/>
  <c r="AG8" i="6"/>
  <c r="AK7" i="2"/>
  <c r="AG8" i="57"/>
  <c r="AG8" i="51"/>
  <c r="AG8" i="56"/>
  <c r="AG8" i="11"/>
  <c r="AG188" i="11" s="1"/>
  <c r="AG196" i="11" s="1"/>
  <c r="AG198" i="11" s="1"/>
  <c r="AH195" i="11" s="1"/>
  <c r="AG8" i="48"/>
  <c r="AG8" i="1"/>
  <c r="AG8" i="44"/>
  <c r="AG8" i="7"/>
  <c r="AQ46" i="11"/>
  <c r="AQ53" i="11" s="1"/>
  <c r="AQ59" i="11"/>
  <c r="AQ54" i="11"/>
  <c r="AR52" i="11" s="1"/>
  <c r="AF205" i="11"/>
  <c r="AG202" i="11" s="1"/>
  <c r="AG204" i="11" s="1"/>
  <c r="AE55" i="9"/>
  <c r="AE57" i="9"/>
  <c r="AG134" i="56"/>
  <c r="AG141" i="56" s="1"/>
  <c r="AG57" i="56"/>
  <c r="AG64" i="56" s="1"/>
  <c r="AG160" i="56"/>
  <c r="AG167" i="56" s="1"/>
  <c r="AG168" i="11"/>
  <c r="AG169" i="11" s="1"/>
  <c r="AH166" i="11" s="1"/>
  <c r="AI43" i="9"/>
  <c r="AH14" i="50"/>
  <c r="BA64" i="44"/>
  <c r="BA67" i="44" s="1"/>
  <c r="AZ69" i="44"/>
  <c r="AZ26" i="50"/>
  <c r="AD17" i="50"/>
  <c r="AE73" i="9"/>
  <c r="AG81" i="11"/>
  <c r="AG89" i="11" s="1"/>
  <c r="AG16" i="11" s="1"/>
  <c r="AG28" i="49" s="1"/>
  <c r="AG95" i="11"/>
  <c r="AG14" i="11"/>
  <c r="AZ40" i="44"/>
  <c r="AZ43" i="44" s="1"/>
  <c r="AY22" i="50"/>
  <c r="AY45" i="44"/>
  <c r="AW24" i="50"/>
  <c r="AJ104" i="44"/>
  <c r="AJ108" i="44" s="1"/>
  <c r="AI110" i="44"/>
  <c r="AI18" i="49" s="1"/>
  <c r="AI33" i="50"/>
  <c r="AU23" i="44"/>
  <c r="AU15" i="49" s="1"/>
  <c r="AU20" i="50"/>
  <c r="AU19" i="50" s="1"/>
  <c r="AV18" i="44"/>
  <c r="AV21" i="44" s="1"/>
  <c r="AB65" i="9"/>
  <c r="AB31" i="13" s="1"/>
  <c r="AB67" i="9"/>
  <c r="AF27" i="49"/>
  <c r="AF17" i="11"/>
  <c r="AP60" i="11"/>
  <c r="AP61" i="11" s="1"/>
  <c r="AQ58" i="11" s="1"/>
  <c r="AE35" i="9"/>
  <c r="AE37" i="9"/>
  <c r="AX25" i="50"/>
  <c r="AY53" i="44"/>
  <c r="AY56" i="44" s="1"/>
  <c r="AX58" i="44"/>
  <c r="AX16" i="49" l="1"/>
  <c r="AH203" i="11"/>
  <c r="AH190" i="11" s="1"/>
  <c r="AH189" i="11"/>
  <c r="AH197" i="11" s="1"/>
  <c r="AG82" i="11"/>
  <c r="AG96" i="11" s="1"/>
  <c r="AG23" i="11" s="1"/>
  <c r="AG30" i="49" s="1"/>
  <c r="AG22" i="11"/>
  <c r="AG36" i="13" s="1"/>
  <c r="AG97" i="11"/>
  <c r="AH94" i="11" s="1"/>
  <c r="AI45" i="9"/>
  <c r="AI47" i="9"/>
  <c r="AQ47" i="11"/>
  <c r="AQ60" i="11" s="1"/>
  <c r="AG33" i="56"/>
  <c r="AG39" i="56" s="1"/>
  <c r="AG161" i="56"/>
  <c r="AG168" i="56" s="1"/>
  <c r="AG169" i="56" s="1"/>
  <c r="AH166" i="56" s="1"/>
  <c r="AK104" i="44"/>
  <c r="AJ110" i="44"/>
  <c r="AJ18" i="49" s="1"/>
  <c r="AJ33" i="50"/>
  <c r="AE15" i="50"/>
  <c r="AF53" i="9"/>
  <c r="BK83" i="54"/>
  <c r="AX88" i="44"/>
  <c r="AX91" i="44" s="1"/>
  <c r="BB83" i="53"/>
  <c r="BK82" i="54"/>
  <c r="AW93" i="44"/>
  <c r="AW17" i="49" s="1"/>
  <c r="AW32" i="50"/>
  <c r="BA21" i="50"/>
  <c r="BA34" i="44"/>
  <c r="BB29" i="44"/>
  <c r="BB32" i="44" s="1"/>
  <c r="BN92" i="53"/>
  <c r="BM95" i="53"/>
  <c r="AG224" i="11"/>
  <c r="AG232" i="11" s="1"/>
  <c r="AG234" i="11" s="1"/>
  <c r="AH231" i="11" s="1"/>
  <c r="AG90" i="11"/>
  <c r="AH87" i="11" s="1"/>
  <c r="AF35" i="50"/>
  <c r="AT85" i="54"/>
  <c r="AK86" i="53"/>
  <c r="AY58" i="44"/>
  <c r="AY25" i="50"/>
  <c r="AZ53" i="44"/>
  <c r="AZ56" i="44" s="1"/>
  <c r="AB16" i="50"/>
  <c r="AB12" i="50" s="1"/>
  <c r="AC63" i="9"/>
  <c r="AE75" i="9"/>
  <c r="AE77" i="9" s="1"/>
  <c r="AS62" i="54"/>
  <c r="AS61" i="54" s="1"/>
  <c r="AJ63" i="53"/>
  <c r="AJ62" i="53" s="1"/>
  <c r="AX24" i="50"/>
  <c r="AB17" i="48"/>
  <c r="AB21" i="48" s="1"/>
  <c r="AB14" i="49"/>
  <c r="AB32" i="13"/>
  <c r="AG83" i="56"/>
  <c r="AG90" i="56" s="1"/>
  <c r="AG15" i="56" s="1"/>
  <c r="AG24" i="49" s="1"/>
  <c r="AH7" i="51"/>
  <c r="AH7" i="44"/>
  <c r="AH7" i="1"/>
  <c r="AH7" i="50"/>
  <c r="AH7" i="55"/>
  <c r="AH7" i="48"/>
  <c r="AH7" i="13"/>
  <c r="AH7" i="9"/>
  <c r="AH7" i="11"/>
  <c r="AH7" i="7"/>
  <c r="AH7" i="6"/>
  <c r="AH7" i="56"/>
  <c r="AH7" i="5"/>
  <c r="AH7" i="57"/>
  <c r="AK8" i="2"/>
  <c r="AH7" i="47"/>
  <c r="AH7" i="42"/>
  <c r="AH7" i="49"/>
  <c r="AG152" i="11"/>
  <c r="AG160" i="11" s="1"/>
  <c r="AG162" i="11" s="1"/>
  <c r="AH159" i="11" s="1"/>
  <c r="AF34" i="50"/>
  <c r="AT84" i="54"/>
  <c r="AK85" i="53"/>
  <c r="AR46" i="11"/>
  <c r="AR53" i="11" s="1"/>
  <c r="AR59" i="11"/>
  <c r="AF33" i="9"/>
  <c r="AE13" i="50"/>
  <c r="AG205" i="11"/>
  <c r="AH202" i="11" s="1"/>
  <c r="AG116" i="11"/>
  <c r="AG124" i="11" s="1"/>
  <c r="AG126" i="11" s="1"/>
  <c r="AH123" i="11" s="1"/>
  <c r="AZ22" i="50"/>
  <c r="AZ45" i="44"/>
  <c r="BA40" i="44"/>
  <c r="BA43" i="44" s="1"/>
  <c r="AY80" i="44"/>
  <c r="AY27" i="50"/>
  <c r="AZ75" i="44"/>
  <c r="AZ78" i="44" s="1"/>
  <c r="AG45" i="11"/>
  <c r="AG21" i="11"/>
  <c r="AG24" i="11" s="1"/>
  <c r="AV20" i="50"/>
  <c r="AV19" i="50" s="1"/>
  <c r="AW18" i="44"/>
  <c r="AW21" i="44" s="1"/>
  <c r="AV23" i="44"/>
  <c r="AV15" i="49" s="1"/>
  <c r="BA26" i="50"/>
  <c r="BB64" i="44"/>
  <c r="BB67" i="44" s="1"/>
  <c r="BA69" i="44"/>
  <c r="AG109" i="56"/>
  <c r="AG116" i="56" s="1"/>
  <c r="AE17" i="50" l="1"/>
  <c r="AF73" i="9"/>
  <c r="AH131" i="11"/>
  <c r="AH117" i="11"/>
  <c r="AH125" i="11" s="1"/>
  <c r="AH8" i="47"/>
  <c r="AH8" i="51"/>
  <c r="AH8" i="11"/>
  <c r="AH8" i="13"/>
  <c r="AH8" i="5"/>
  <c r="AH8" i="44"/>
  <c r="AH8" i="50"/>
  <c r="AH8" i="7"/>
  <c r="AH8" i="56"/>
  <c r="AH8" i="48"/>
  <c r="AL7" i="2"/>
  <c r="AH8" i="9"/>
  <c r="AH8" i="55"/>
  <c r="AH8" i="49"/>
  <c r="AH8" i="57"/>
  <c r="AH8" i="42"/>
  <c r="AH8" i="6"/>
  <c r="AH8" i="1"/>
  <c r="AB12" i="49"/>
  <c r="AB19" i="49" s="1"/>
  <c r="AC65" i="9"/>
  <c r="AC31" i="13" s="1"/>
  <c r="AF55" i="9"/>
  <c r="AF57" i="9"/>
  <c r="BA75" i="44"/>
  <c r="BA78" i="44" s="1"/>
  <c r="AZ27" i="50"/>
  <c r="AZ80" i="44"/>
  <c r="AH81" i="11"/>
  <c r="AH89" i="11" s="1"/>
  <c r="AH95" i="11"/>
  <c r="AH14" i="11"/>
  <c r="AR47" i="11"/>
  <c r="AZ25" i="50"/>
  <c r="BA53" i="44"/>
  <c r="BA56" i="44" s="1"/>
  <c r="AZ58" i="44"/>
  <c r="AH239" i="11"/>
  <c r="AH225" i="11"/>
  <c r="AH233" i="11" s="1"/>
  <c r="AJ43" i="9"/>
  <c r="AI14" i="50"/>
  <c r="AQ61" i="11"/>
  <c r="AR58" i="11" s="1"/>
  <c r="AY24" i="50"/>
  <c r="BA45" i="44"/>
  <c r="BB40" i="44"/>
  <c r="BB43" i="44" s="1"/>
  <c r="BA22" i="50"/>
  <c r="AF35" i="9"/>
  <c r="AF37" i="9" s="1"/>
  <c r="AH153" i="11"/>
  <c r="AH161" i="11" s="1"/>
  <c r="AH167" i="11"/>
  <c r="AY16" i="49"/>
  <c r="AK107" i="44"/>
  <c r="AH21" i="11"/>
  <c r="BB69" i="44"/>
  <c r="BB26" i="50"/>
  <c r="BC64" i="44"/>
  <c r="BC67" i="44" s="1"/>
  <c r="BO92" i="53"/>
  <c r="BN95" i="53"/>
  <c r="BL83" i="54"/>
  <c r="BC83" i="53"/>
  <c r="AY88" i="44"/>
  <c r="AY91" i="44" s="1"/>
  <c r="AX32" i="50"/>
  <c r="AX93" i="44"/>
  <c r="AX17" i="49" s="1"/>
  <c r="BL82" i="54"/>
  <c r="AG15" i="11"/>
  <c r="AW23" i="44"/>
  <c r="AW15" i="49" s="1"/>
  <c r="AW20" i="50"/>
  <c r="AW19" i="50" s="1"/>
  <c r="AX18" i="44"/>
  <c r="AX21" i="44" s="1"/>
  <c r="AH134" i="56"/>
  <c r="AH141" i="56" s="1"/>
  <c r="AL85" i="53"/>
  <c r="AU84" i="54"/>
  <c r="AG34" i="50"/>
  <c r="AR54" i="11"/>
  <c r="AS52" i="11" s="1"/>
  <c r="AH152" i="11"/>
  <c r="AH160" i="11" s="1"/>
  <c r="AH162" i="11" s="1"/>
  <c r="AI159" i="11" s="1"/>
  <c r="AH224" i="11"/>
  <c r="AH232" i="11" s="1"/>
  <c r="AH234" i="11" s="1"/>
  <c r="AI231" i="11" s="1"/>
  <c r="AH45" i="11"/>
  <c r="AH116" i="11"/>
  <c r="AH124" i="11" s="1"/>
  <c r="AH126" i="11" s="1"/>
  <c r="AI123" i="11" s="1"/>
  <c r="AH188" i="11"/>
  <c r="AH196" i="11" s="1"/>
  <c r="AH198" i="11" s="1"/>
  <c r="AI195" i="11" s="1"/>
  <c r="AH80" i="11"/>
  <c r="AH88" i="11" s="1"/>
  <c r="AH15" i="11" s="1"/>
  <c r="AH27" i="49" s="1"/>
  <c r="BB21" i="50"/>
  <c r="BC29" i="44"/>
  <c r="BC32" i="44" s="1"/>
  <c r="BB34" i="44"/>
  <c r="AH204" i="11"/>
  <c r="AH205" i="11" s="1"/>
  <c r="AI202" i="11" s="1"/>
  <c r="AZ16" i="49" l="1"/>
  <c r="AZ24" i="50"/>
  <c r="AG33" i="9"/>
  <c r="AF13" i="50"/>
  <c r="AI153" i="11"/>
  <c r="AI161" i="11" s="1"/>
  <c r="AI167" i="11"/>
  <c r="AI131" i="11"/>
  <c r="AI117" i="11"/>
  <c r="AI125" i="11" s="1"/>
  <c r="AI225" i="11"/>
  <c r="AI233" i="11" s="1"/>
  <c r="AI239" i="11"/>
  <c r="AS59" i="11"/>
  <c r="AS46" i="11"/>
  <c r="AS53" i="11" s="1"/>
  <c r="AS54" i="11" s="1"/>
  <c r="AT52" i="11" s="1"/>
  <c r="AH33" i="56"/>
  <c r="AH39" i="56" s="1"/>
  <c r="AH161" i="56"/>
  <c r="AH168" i="56" s="1"/>
  <c r="AX23" i="44"/>
  <c r="AX15" i="49" s="1"/>
  <c r="AY18" i="44"/>
  <c r="AY21" i="44" s="1"/>
  <c r="AX20" i="50"/>
  <c r="AX19" i="50" s="1"/>
  <c r="BM82" i="54"/>
  <c r="AY32" i="50"/>
  <c r="AZ88" i="44"/>
  <c r="AZ91" i="44" s="1"/>
  <c r="BD83" i="53"/>
  <c r="AY93" i="44"/>
  <c r="AY17" i="49" s="1"/>
  <c r="BM83" i="54"/>
  <c r="AH226" i="11"/>
  <c r="AH240" i="11" s="1"/>
  <c r="AH241" i="11"/>
  <c r="AI238" i="11" s="1"/>
  <c r="AH82" i="11"/>
  <c r="AH96" i="11" s="1"/>
  <c r="AH22" i="11"/>
  <c r="AH36" i="13" s="1"/>
  <c r="AG53" i="9"/>
  <c r="AF15" i="50"/>
  <c r="AH90" i="11"/>
  <c r="AI87" i="11" s="1"/>
  <c r="AR61" i="11"/>
  <c r="AS58" i="11" s="1"/>
  <c r="BB53" i="44"/>
  <c r="BB56" i="44" s="1"/>
  <c r="BA25" i="50"/>
  <c r="BA58" i="44"/>
  <c r="AH16" i="11"/>
  <c r="AH28" i="49" s="1"/>
  <c r="AC67" i="9"/>
  <c r="AH118" i="11"/>
  <c r="AH132" i="11" s="1"/>
  <c r="AH133" i="11" s="1"/>
  <c r="AI130" i="11" s="1"/>
  <c r="AH160" i="56"/>
  <c r="AH167" i="56" s="1"/>
  <c r="AH169" i="56" s="1"/>
  <c r="AI166" i="56" s="1"/>
  <c r="AC17" i="48"/>
  <c r="AC21" i="48" s="1"/>
  <c r="AC14" i="49"/>
  <c r="AC32" i="13"/>
  <c r="BA80" i="44"/>
  <c r="BB75" i="44"/>
  <c r="BB78" i="44" s="1"/>
  <c r="BA27" i="50"/>
  <c r="AH109" i="56"/>
  <c r="AH116" i="56" s="1"/>
  <c r="AG27" i="49"/>
  <c r="AG17" i="11"/>
  <c r="BP92" i="53"/>
  <c r="BO95" i="53"/>
  <c r="AK108" i="44"/>
  <c r="AJ45" i="9"/>
  <c r="AJ47" i="9"/>
  <c r="AH57" i="56"/>
  <c r="AH64" i="56" s="1"/>
  <c r="AH15" i="56" s="1"/>
  <c r="AH24" i="49" s="1"/>
  <c r="AR60" i="11"/>
  <c r="AI7" i="57"/>
  <c r="AI7" i="48"/>
  <c r="AI7" i="9"/>
  <c r="AI7" i="51"/>
  <c r="AI7" i="6"/>
  <c r="AI7" i="7"/>
  <c r="AI7" i="49"/>
  <c r="AI7" i="55"/>
  <c r="AI7" i="13"/>
  <c r="AL8" i="2"/>
  <c r="AI7" i="1"/>
  <c r="AI7" i="5"/>
  <c r="AI7" i="44"/>
  <c r="AI7" i="47"/>
  <c r="AI7" i="50"/>
  <c r="AI7" i="42"/>
  <c r="AI7" i="56"/>
  <c r="AI7" i="11"/>
  <c r="AF75" i="9"/>
  <c r="AF77" i="9"/>
  <c r="AT62" i="54"/>
  <c r="AT61" i="54" s="1"/>
  <c r="AK63" i="53"/>
  <c r="AK62" i="53" s="1"/>
  <c r="BC34" i="44"/>
  <c r="BD29" i="44"/>
  <c r="BD32" i="44" s="1"/>
  <c r="BC21" i="50"/>
  <c r="AH154" i="11"/>
  <c r="AH168" i="11" s="1"/>
  <c r="AH169" i="11"/>
  <c r="AI166" i="11" s="1"/>
  <c r="AI203" i="11"/>
  <c r="AI189" i="11"/>
  <c r="AI197" i="11" s="1"/>
  <c r="BB45" i="44"/>
  <c r="BC40" i="44"/>
  <c r="BC43" i="44" s="1"/>
  <c r="BB22" i="50"/>
  <c r="AH83" i="56"/>
  <c r="AH90" i="56" s="1"/>
  <c r="BD64" i="44"/>
  <c r="BD67" i="44" s="1"/>
  <c r="BC26" i="50"/>
  <c r="BC69" i="44"/>
  <c r="BA16" i="49" l="1"/>
  <c r="AT59" i="11"/>
  <c r="AT46" i="11"/>
  <c r="AT53" i="11" s="1"/>
  <c r="AH23" i="11"/>
  <c r="AH30" i="49" s="1"/>
  <c r="AH97" i="11"/>
  <c r="AI94" i="11" s="1"/>
  <c r="AG73" i="9"/>
  <c r="AF17" i="50"/>
  <c r="AS61" i="11"/>
  <c r="AT58" i="11" s="1"/>
  <c r="AS47" i="11"/>
  <c r="AS60" i="11" s="1"/>
  <c r="AI118" i="11"/>
  <c r="AI132" i="11" s="1"/>
  <c r="AJ14" i="50"/>
  <c r="AK43" i="9"/>
  <c r="AL104" i="44"/>
  <c r="AL108" i="44" s="1"/>
  <c r="AK110" i="44"/>
  <c r="AK18" i="49" s="1"/>
  <c r="AK33" i="50"/>
  <c r="BC75" i="44"/>
  <c r="BC78" i="44" s="1"/>
  <c r="BB80" i="44"/>
  <c r="BB27" i="50"/>
  <c r="AZ18" i="44"/>
  <c r="AZ21" i="44" s="1"/>
  <c r="AY20" i="50"/>
  <c r="AY19" i="50" s="1"/>
  <c r="AY23" i="44"/>
  <c r="AY15" i="49" s="1"/>
  <c r="AI116" i="11"/>
  <c r="AI124" i="11" s="1"/>
  <c r="AI224" i="11"/>
  <c r="AI232" i="11" s="1"/>
  <c r="AI8" i="1"/>
  <c r="AI8" i="5"/>
  <c r="AI8" i="44"/>
  <c r="AI8" i="6"/>
  <c r="AI8" i="56"/>
  <c r="AI8" i="51"/>
  <c r="AI8" i="47"/>
  <c r="AI8" i="57"/>
  <c r="AM7" i="2"/>
  <c r="AI8" i="55"/>
  <c r="AI8" i="49"/>
  <c r="AI8" i="48"/>
  <c r="AI8" i="9"/>
  <c r="AI8" i="50"/>
  <c r="AI8" i="11"/>
  <c r="AI152" i="11" s="1"/>
  <c r="AI160" i="11" s="1"/>
  <c r="AI8" i="13"/>
  <c r="AI8" i="42"/>
  <c r="AI8" i="7"/>
  <c r="AC16" i="50"/>
  <c r="AC12" i="50" s="1"/>
  <c r="AD63" i="9"/>
  <c r="AI95" i="11"/>
  <c r="AI81" i="11"/>
  <c r="AI89" i="11" s="1"/>
  <c r="AI14" i="11"/>
  <c r="AI226" i="11"/>
  <c r="AI240" i="11" s="1"/>
  <c r="AI154" i="11"/>
  <c r="AI168" i="11" s="1"/>
  <c r="BB58" i="44"/>
  <c r="BB25" i="50"/>
  <c r="BC53" i="44"/>
  <c r="BC56" i="44" s="1"/>
  <c r="AI190" i="11"/>
  <c r="AI204" i="11" s="1"/>
  <c r="AC12" i="49"/>
  <c r="AC19" i="49" s="1"/>
  <c r="BD26" i="50"/>
  <c r="BE64" i="44"/>
  <c r="BE67" i="44" s="1"/>
  <c r="BD69" i="44"/>
  <c r="BD34" i="44"/>
  <c r="BE29" i="44"/>
  <c r="BE32" i="44" s="1"/>
  <c r="BD21" i="50"/>
  <c r="AI169" i="11"/>
  <c r="AJ166" i="11" s="1"/>
  <c r="AI160" i="56"/>
  <c r="AI167" i="56" s="1"/>
  <c r="AI134" i="56"/>
  <c r="AI141" i="56" s="1"/>
  <c r="AI83" i="56"/>
  <c r="AI90" i="56" s="1"/>
  <c r="AI57" i="56"/>
  <c r="AI64" i="56" s="1"/>
  <c r="AI109" i="56"/>
  <c r="AI116" i="56" s="1"/>
  <c r="BQ92" i="53"/>
  <c r="BP95" i="53"/>
  <c r="BD40" i="44"/>
  <c r="BD43" i="44" s="1"/>
  <c r="BC45" i="44"/>
  <c r="BC22" i="50"/>
  <c r="AG35" i="50"/>
  <c r="AL86" i="53"/>
  <c r="AU85" i="54"/>
  <c r="BA24" i="50"/>
  <c r="AG55" i="9"/>
  <c r="AG57" i="9"/>
  <c r="BE83" i="53"/>
  <c r="BA88" i="44"/>
  <c r="BA91" i="44" s="1"/>
  <c r="BN82" i="54"/>
  <c r="AZ93" i="44"/>
  <c r="AZ17" i="49" s="1"/>
  <c r="AZ32" i="50"/>
  <c r="BN83" i="54"/>
  <c r="AH17" i="11"/>
  <c r="AI205" i="11"/>
  <c r="AJ202" i="11" s="1"/>
  <c r="AG37" i="9"/>
  <c r="AG35" i="9"/>
  <c r="BB16" i="49" l="1"/>
  <c r="BB24" i="50"/>
  <c r="AI162" i="11"/>
  <c r="AJ159" i="11" s="1"/>
  <c r="AI234" i="11"/>
  <c r="AJ231" i="11" s="1"/>
  <c r="AK45" i="9"/>
  <c r="AK47" i="9" s="1"/>
  <c r="AH35" i="50"/>
  <c r="AM86" i="53"/>
  <c r="AV85" i="54"/>
  <c r="BE40" i="44"/>
  <c r="BE43" i="44" s="1"/>
  <c r="BD45" i="44"/>
  <c r="BD22" i="50"/>
  <c r="BE26" i="50"/>
  <c r="BE69" i="44"/>
  <c r="BF64" i="44"/>
  <c r="BF67" i="44" s="1"/>
  <c r="BC25" i="50"/>
  <c r="BD53" i="44"/>
  <c r="BD56" i="44" s="1"/>
  <c r="BC58" i="44"/>
  <c r="AI80" i="11"/>
  <c r="AI88" i="11" s="1"/>
  <c r="BA18" i="44"/>
  <c r="BA21" i="44" s="1"/>
  <c r="AZ23" i="44"/>
  <c r="AZ15" i="49" s="1"/>
  <c r="AZ20" i="50"/>
  <c r="AZ19" i="50" s="1"/>
  <c r="AJ7" i="56"/>
  <c r="AJ7" i="49"/>
  <c r="AJ7" i="55"/>
  <c r="AJ7" i="48"/>
  <c r="AJ7" i="47"/>
  <c r="AJ7" i="50"/>
  <c r="AJ7" i="44"/>
  <c r="AJ7" i="7"/>
  <c r="AJ7" i="42"/>
  <c r="AJ7" i="11"/>
  <c r="AJ7" i="57"/>
  <c r="AJ7" i="1"/>
  <c r="AJ7" i="9"/>
  <c r="AM8" i="2"/>
  <c r="AJ7" i="51"/>
  <c r="AJ7" i="5"/>
  <c r="AJ7" i="6"/>
  <c r="AJ7" i="13"/>
  <c r="AM104" i="44"/>
  <c r="AM108" i="44" s="1"/>
  <c r="AL110" i="44"/>
  <c r="AL18" i="49" s="1"/>
  <c r="AL33" i="50"/>
  <c r="AI241" i="11"/>
  <c r="AJ238" i="11" s="1"/>
  <c r="BQ95" i="53"/>
  <c r="BR92" i="53"/>
  <c r="AI16" i="11"/>
  <c r="AI126" i="11"/>
  <c r="AJ123" i="11" s="1"/>
  <c r="AI82" i="11"/>
  <c r="AI96" i="11" s="1"/>
  <c r="AI22" i="11"/>
  <c r="AI33" i="56"/>
  <c r="AI39" i="56" s="1"/>
  <c r="AI161" i="56"/>
  <c r="AI168" i="56" s="1"/>
  <c r="AI169" i="56" s="1"/>
  <c r="AJ166" i="56" s="1"/>
  <c r="AI188" i="11"/>
  <c r="AI196" i="11" s="1"/>
  <c r="AT47" i="11"/>
  <c r="AT60" i="11" s="1"/>
  <c r="AG15" i="50"/>
  <c r="AH53" i="9"/>
  <c r="AI15" i="56"/>
  <c r="AH24" i="11"/>
  <c r="AD65" i="9"/>
  <c r="AD31" i="13" s="1"/>
  <c r="AI45" i="11"/>
  <c r="BD75" i="44"/>
  <c r="BD78" i="44" s="1"/>
  <c r="BC80" i="44"/>
  <c r="BC27" i="50"/>
  <c r="AU62" i="54"/>
  <c r="AU61" i="54" s="1"/>
  <c r="AL63" i="53"/>
  <c r="AL62" i="53" s="1"/>
  <c r="AG77" i="9"/>
  <c r="AG75" i="9"/>
  <c r="BA32" i="50"/>
  <c r="BF83" i="53"/>
  <c r="BO82" i="54"/>
  <c r="BO83" i="54"/>
  <c r="BB88" i="44"/>
  <c r="BB91" i="44" s="1"/>
  <c r="BA93" i="44"/>
  <c r="BA17" i="49" s="1"/>
  <c r="AT54" i="11"/>
  <c r="AU52" i="11" s="1"/>
  <c r="AH33" i="9"/>
  <c r="AG13" i="50"/>
  <c r="BF29" i="44"/>
  <c r="BF32" i="44" s="1"/>
  <c r="BE21" i="50"/>
  <c r="BE34" i="44"/>
  <c r="AI21" i="11"/>
  <c r="AI133" i="11"/>
  <c r="AJ130" i="11" s="1"/>
  <c r="AK14" i="50" l="1"/>
  <c r="AL43" i="9"/>
  <c r="AI36" i="13"/>
  <c r="AJ134" i="56"/>
  <c r="AJ141" i="56" s="1"/>
  <c r="AJ83" i="56"/>
  <c r="AJ90" i="56" s="1"/>
  <c r="BF69" i="44"/>
  <c r="BF26" i="50"/>
  <c r="BG64" i="44"/>
  <c r="BG67" i="44" s="1"/>
  <c r="AJ116" i="11"/>
  <c r="AJ124" i="11" s="1"/>
  <c r="AJ80" i="11"/>
  <c r="AJ88" i="11" s="1"/>
  <c r="AJ188" i="11"/>
  <c r="AJ196" i="11" s="1"/>
  <c r="BE75" i="44"/>
  <c r="BE78" i="44" s="1"/>
  <c r="BD80" i="44"/>
  <c r="BD27" i="50"/>
  <c r="AH55" i="9"/>
  <c r="AH57" i="9"/>
  <c r="BS92" i="53"/>
  <c r="BR95" i="53"/>
  <c r="AJ225" i="11"/>
  <c r="AJ233" i="11" s="1"/>
  <c r="AJ239" i="11"/>
  <c r="AI23" i="11"/>
  <c r="AH35" i="9"/>
  <c r="AH37" i="9"/>
  <c r="AU59" i="11"/>
  <c r="AU46" i="11"/>
  <c r="AU53" i="11" s="1"/>
  <c r="AU54" i="11" s="1"/>
  <c r="AV52" i="11" s="1"/>
  <c r="AJ8" i="5"/>
  <c r="AJ8" i="11"/>
  <c r="AJ224" i="11" s="1"/>
  <c r="AJ232" i="11" s="1"/>
  <c r="AJ8" i="51"/>
  <c r="AJ8" i="49"/>
  <c r="AJ8" i="50"/>
  <c r="AJ8" i="13"/>
  <c r="AJ8" i="48"/>
  <c r="AJ8" i="56"/>
  <c r="AJ160" i="56" s="1"/>
  <c r="AJ167" i="56" s="1"/>
  <c r="AN7" i="2"/>
  <c r="AJ8" i="6"/>
  <c r="AJ8" i="1"/>
  <c r="AJ8" i="57"/>
  <c r="AJ8" i="47"/>
  <c r="AJ8" i="44"/>
  <c r="AJ8" i="7"/>
  <c r="AJ8" i="42"/>
  <c r="AJ8" i="55"/>
  <c r="AJ8" i="9"/>
  <c r="BB18" i="44"/>
  <c r="BB21" i="44" s="1"/>
  <c r="BA20" i="50"/>
  <c r="BA19" i="50" s="1"/>
  <c r="BA23" i="44"/>
  <c r="BA15" i="49" s="1"/>
  <c r="AT61" i="11"/>
  <c r="AU58" i="11" s="1"/>
  <c r="AI28" i="49"/>
  <c r="BF34" i="44"/>
  <c r="BG29" i="44"/>
  <c r="BG32" i="44" s="1"/>
  <c r="BF21" i="50"/>
  <c r="AH73" i="9"/>
  <c r="AG17" i="50"/>
  <c r="BG83" i="53"/>
  <c r="BB32" i="50"/>
  <c r="BB93" i="44"/>
  <c r="BB17" i="49" s="1"/>
  <c r="BP82" i="54"/>
  <c r="BC88" i="44"/>
  <c r="BC91" i="44" s="1"/>
  <c r="BP83" i="54"/>
  <c r="AD67" i="9"/>
  <c r="AI15" i="11"/>
  <c r="AI90" i="11"/>
  <c r="AJ87" i="11" s="1"/>
  <c r="AI24" i="49"/>
  <c r="BC24" i="50"/>
  <c r="AD14" i="49"/>
  <c r="AD17" i="48"/>
  <c r="AD21" i="48" s="1"/>
  <c r="AD32" i="13"/>
  <c r="AI24" i="11"/>
  <c r="AI97" i="11"/>
  <c r="AJ94" i="11" s="1"/>
  <c r="AH34" i="50"/>
  <c r="AM85" i="53"/>
  <c r="AV84" i="54"/>
  <c r="AI198" i="11"/>
  <c r="AJ195" i="11" s="1"/>
  <c r="AJ131" i="11"/>
  <c r="AJ117" i="11"/>
  <c r="AJ125" i="11" s="1"/>
  <c r="BC16" i="49"/>
  <c r="AJ167" i="11"/>
  <c r="AJ153" i="11"/>
  <c r="AJ161" i="11" s="1"/>
  <c r="AN104" i="44"/>
  <c r="AM110" i="44"/>
  <c r="AM18" i="49" s="1"/>
  <c r="AM33" i="50"/>
  <c r="BD25" i="50"/>
  <c r="BE53" i="44"/>
  <c r="BE56" i="44" s="1"/>
  <c r="BD58" i="44"/>
  <c r="BE45" i="44"/>
  <c r="BE22" i="50"/>
  <c r="BF40" i="44"/>
  <c r="BF43" i="44" s="1"/>
  <c r="BD16" i="49" l="1"/>
  <c r="BD24" i="50"/>
  <c r="AJ234" i="11"/>
  <c r="AK231" i="11" s="1"/>
  <c r="AV59" i="11"/>
  <c r="AV46" i="11"/>
  <c r="AV53" i="11" s="1"/>
  <c r="BE25" i="50"/>
  <c r="BE58" i="44"/>
  <c r="BF53" i="44"/>
  <c r="BF56" i="44" s="1"/>
  <c r="AJ154" i="11"/>
  <c r="AJ168" i="11" s="1"/>
  <c r="AD16" i="50"/>
  <c r="AD12" i="50" s="1"/>
  <c r="AE63" i="9"/>
  <c r="BF75" i="44"/>
  <c r="BF78" i="44" s="1"/>
  <c r="BE80" i="44"/>
  <c r="BE27" i="50"/>
  <c r="AJ109" i="56"/>
  <c r="AJ116" i="56" s="1"/>
  <c r="BG26" i="50"/>
  <c r="BG69" i="44"/>
  <c r="BH64" i="44"/>
  <c r="BH67" i="44" s="1"/>
  <c r="AU61" i="11"/>
  <c r="AV58" i="11" s="1"/>
  <c r="AJ226" i="11"/>
  <c r="AJ240" i="11" s="1"/>
  <c r="BB23" i="44"/>
  <c r="BB15" i="49" s="1"/>
  <c r="BC18" i="44"/>
  <c r="BC21" i="44" s="1"/>
  <c r="BB20" i="50"/>
  <c r="BB19" i="50" s="1"/>
  <c r="AU47" i="11"/>
  <c r="AU60" i="11" s="1"/>
  <c r="AD12" i="49"/>
  <c r="AD19" i="49" s="1"/>
  <c r="AJ126" i="11"/>
  <c r="AK123" i="11" s="1"/>
  <c r="BQ82" i="54"/>
  <c r="BH83" i="53"/>
  <c r="BQ83" i="54"/>
  <c r="BC93" i="44"/>
  <c r="BC17" i="49" s="1"/>
  <c r="BC32" i="50"/>
  <c r="BD88" i="44"/>
  <c r="BD91" i="44" s="1"/>
  <c r="BG34" i="44"/>
  <c r="BG21" i="50"/>
  <c r="BH29" i="44"/>
  <c r="BH32" i="44" s="1"/>
  <c r="AH13" i="50"/>
  <c r="AI33" i="9"/>
  <c r="BS95" i="53"/>
  <c r="BT92" i="53"/>
  <c r="AJ45" i="11"/>
  <c r="AI27" i="49"/>
  <c r="AI17" i="11"/>
  <c r="AH75" i="9"/>
  <c r="AH77" i="9"/>
  <c r="AV62" i="54"/>
  <c r="AV61" i="54" s="1"/>
  <c r="AM63" i="53"/>
  <c r="AM62" i="53" s="1"/>
  <c r="BG40" i="44"/>
  <c r="BG43" i="44" s="1"/>
  <c r="BF22" i="50"/>
  <c r="BF45" i="44"/>
  <c r="AN108" i="44"/>
  <c r="AN107" i="44"/>
  <c r="AJ118" i="11"/>
  <c r="AJ132" i="11" s="1"/>
  <c r="AJ21" i="11"/>
  <c r="AK7" i="44"/>
  <c r="AK7" i="9"/>
  <c r="AK7" i="7"/>
  <c r="AK7" i="42"/>
  <c r="AK7" i="56"/>
  <c r="AK7" i="49"/>
  <c r="AK7" i="11"/>
  <c r="AK7" i="13"/>
  <c r="AK7" i="55"/>
  <c r="AK7" i="5"/>
  <c r="AK7" i="1"/>
  <c r="AK7" i="50"/>
  <c r="AK7" i="57"/>
  <c r="AK7" i="6"/>
  <c r="AN8" i="2"/>
  <c r="AK7" i="47"/>
  <c r="AK7" i="48"/>
  <c r="AK7" i="51"/>
  <c r="AH15" i="50"/>
  <c r="AI53" i="9"/>
  <c r="AJ152" i="11"/>
  <c r="AJ160" i="11" s="1"/>
  <c r="AL45" i="9"/>
  <c r="AL47" i="9"/>
  <c r="AJ198" i="11"/>
  <c r="AK195" i="11" s="1"/>
  <c r="AJ203" i="11"/>
  <c r="AJ189" i="11"/>
  <c r="AJ197" i="11" s="1"/>
  <c r="AN85" i="53"/>
  <c r="AW84" i="54"/>
  <c r="AI34" i="50"/>
  <c r="AJ95" i="11"/>
  <c r="AJ81" i="11"/>
  <c r="AJ89" i="11" s="1"/>
  <c r="AJ90" i="11" s="1"/>
  <c r="AK87" i="11" s="1"/>
  <c r="AJ14" i="11"/>
  <c r="AJ33" i="56"/>
  <c r="AJ39" i="56" s="1"/>
  <c r="AJ161" i="56"/>
  <c r="AJ168" i="56" s="1"/>
  <c r="AJ169" i="56" s="1"/>
  <c r="AK166" i="56" s="1"/>
  <c r="AJ241" i="11"/>
  <c r="AK238" i="11" s="1"/>
  <c r="AI30" i="49"/>
  <c r="AJ57" i="56"/>
  <c r="AJ64" i="56" s="1"/>
  <c r="AK95" i="11" l="1"/>
  <c r="AK81" i="11"/>
  <c r="AK89" i="11" s="1"/>
  <c r="AJ190" i="11"/>
  <c r="AJ204" i="11" s="1"/>
  <c r="AO104" i="44"/>
  <c r="AO108" i="44" s="1"/>
  <c r="AN110" i="44"/>
  <c r="AN18" i="49" s="1"/>
  <c r="AN33" i="50"/>
  <c r="AW85" i="54"/>
  <c r="AI35" i="50"/>
  <c r="AN86" i="53"/>
  <c r="AK189" i="11"/>
  <c r="AK197" i="11" s="1"/>
  <c r="AK203" i="11"/>
  <c r="AK190" i="11" s="1"/>
  <c r="BH21" i="50"/>
  <c r="BH34" i="44"/>
  <c r="BI29" i="44"/>
  <c r="BI32" i="44" s="1"/>
  <c r="AJ15" i="56"/>
  <c r="AJ82" i="11"/>
  <c r="AJ96" i="11" s="1"/>
  <c r="AJ22" i="11"/>
  <c r="AM43" i="9"/>
  <c r="AL14" i="50"/>
  <c r="AK117" i="11"/>
  <c r="AK125" i="11" s="1"/>
  <c r="AK131" i="11"/>
  <c r="BI64" i="44"/>
  <c r="BI67" i="44" s="1"/>
  <c r="BH69" i="44"/>
  <c r="BH26" i="50"/>
  <c r="BE16" i="49"/>
  <c r="AV54" i="11"/>
  <c r="AW52" i="11" s="1"/>
  <c r="BF58" i="44"/>
  <c r="BG53" i="44"/>
  <c r="BG56" i="44" s="1"/>
  <c r="BF25" i="50"/>
  <c r="AK8" i="13"/>
  <c r="AO7" i="2"/>
  <c r="AK8" i="1"/>
  <c r="AK8" i="6"/>
  <c r="AK8" i="7"/>
  <c r="AK8" i="11"/>
  <c r="AK8" i="42"/>
  <c r="AK8" i="51"/>
  <c r="AK8" i="56"/>
  <c r="AK8" i="5"/>
  <c r="AK8" i="9"/>
  <c r="AK8" i="44"/>
  <c r="AK8" i="49"/>
  <c r="AK8" i="47"/>
  <c r="AK8" i="48"/>
  <c r="AK8" i="55"/>
  <c r="AK8" i="50"/>
  <c r="AK8" i="57"/>
  <c r="AK45" i="11"/>
  <c r="AK152" i="11"/>
  <c r="AK160" i="11" s="1"/>
  <c r="AK80" i="11"/>
  <c r="AK88" i="11" s="1"/>
  <c r="AK224" i="11"/>
  <c r="AK232" i="11" s="1"/>
  <c r="AK188" i="11"/>
  <c r="AK196" i="11" s="1"/>
  <c r="AK116" i="11"/>
  <c r="AK124" i="11" s="1"/>
  <c r="BG22" i="50"/>
  <c r="BG45" i="44"/>
  <c r="BH40" i="44"/>
  <c r="BH43" i="44" s="1"/>
  <c r="BF80" i="44"/>
  <c r="BF27" i="50"/>
  <c r="BG75" i="44"/>
  <c r="BG78" i="44" s="1"/>
  <c r="BE24" i="50"/>
  <c r="AV47" i="11"/>
  <c r="AV60" i="11" s="1"/>
  <c r="AJ162" i="11"/>
  <c r="AK159" i="11" s="1"/>
  <c r="AJ97" i="11"/>
  <c r="AK94" i="11" s="1"/>
  <c r="BI83" i="53"/>
  <c r="BD93" i="44"/>
  <c r="BD17" i="49" s="1"/>
  <c r="BR83" i="54"/>
  <c r="BR82" i="54"/>
  <c r="BD32" i="50"/>
  <c r="BE88" i="44"/>
  <c r="BE91" i="44" s="1"/>
  <c r="BC23" i="44"/>
  <c r="BC15" i="49" s="1"/>
  <c r="BD18" i="44"/>
  <c r="BD21" i="44" s="1"/>
  <c r="BC20" i="50"/>
  <c r="BC19" i="50" s="1"/>
  <c r="AE65" i="9"/>
  <c r="AE31" i="13" s="1"/>
  <c r="AJ16" i="11"/>
  <c r="AI55" i="9"/>
  <c r="AI57" i="9"/>
  <c r="AK57" i="56"/>
  <c r="AK64" i="56" s="1"/>
  <c r="AK15" i="56" s="1"/>
  <c r="AK24" i="49" s="1"/>
  <c r="AK83" i="56"/>
  <c r="AK90" i="56" s="1"/>
  <c r="AK160" i="56"/>
  <c r="AK167" i="56" s="1"/>
  <c r="AK134" i="56"/>
  <c r="AK141" i="56" s="1"/>
  <c r="AK109" i="56"/>
  <c r="AK116" i="56" s="1"/>
  <c r="BU92" i="53"/>
  <c r="BT95" i="53"/>
  <c r="AJ133" i="11"/>
  <c r="AK130" i="11" s="1"/>
  <c r="AH17" i="50"/>
  <c r="AI73" i="9"/>
  <c r="AJ169" i="11"/>
  <c r="AK166" i="11" s="1"/>
  <c r="AK225" i="11"/>
  <c r="AK233" i="11" s="1"/>
  <c r="AK234" i="11"/>
  <c r="AL231" i="11" s="1"/>
  <c r="AK239" i="11"/>
  <c r="AI35" i="9"/>
  <c r="AJ15" i="11"/>
  <c r="AJ17" i="11" s="1"/>
  <c r="BF24" i="50" l="1"/>
  <c r="AJ35" i="50"/>
  <c r="AO86" i="53"/>
  <c r="AX85" i="54"/>
  <c r="BU95" i="53"/>
  <c r="BV92" i="53"/>
  <c r="BF16" i="49"/>
  <c r="AK118" i="11"/>
  <c r="AK132" i="11" s="1"/>
  <c r="AJ23" i="11"/>
  <c r="AJ24" i="11" s="1"/>
  <c r="AI75" i="9"/>
  <c r="AW62" i="54"/>
  <c r="AW61" i="54" s="1"/>
  <c r="AN63" i="53"/>
  <c r="AN62" i="53" s="1"/>
  <c r="AI77" i="9"/>
  <c r="BF88" i="44"/>
  <c r="BF91" i="44" s="1"/>
  <c r="BS83" i="54"/>
  <c r="BE32" i="50"/>
  <c r="BE93" i="44"/>
  <c r="BE17" i="49" s="1"/>
  <c r="BJ83" i="53"/>
  <c r="BS82" i="54"/>
  <c r="AK167" i="11"/>
  <c r="AK153" i="11"/>
  <c r="AK161" i="11" s="1"/>
  <c r="AK162" i="11" s="1"/>
  <c r="AL159" i="11" s="1"/>
  <c r="AK15" i="11"/>
  <c r="AK27" i="49" s="1"/>
  <c r="AW46" i="11"/>
  <c r="AW53" i="11" s="1"/>
  <c r="AW59" i="11"/>
  <c r="AK14" i="11"/>
  <c r="AJ36" i="13"/>
  <c r="BH22" i="50"/>
  <c r="BH45" i="44"/>
  <c r="BI40" i="44"/>
  <c r="BI43" i="44" s="1"/>
  <c r="AK126" i="11"/>
  <c r="AL123" i="11" s="1"/>
  <c r="AJ24" i="49"/>
  <c r="AK16" i="11"/>
  <c r="AK28" i="49" s="1"/>
  <c r="AJ53" i="9"/>
  <c r="AI15" i="50"/>
  <c r="BH75" i="44"/>
  <c r="BH78" i="44" s="1"/>
  <c r="BG80" i="44"/>
  <c r="BG27" i="50"/>
  <c r="AK133" i="11"/>
  <c r="AL130" i="11" s="1"/>
  <c r="AK82" i="11"/>
  <c r="AK96" i="11" s="1"/>
  <c r="AK22" i="11"/>
  <c r="AK36" i="13" s="1"/>
  <c r="BG25" i="50"/>
  <c r="BH53" i="44"/>
  <c r="BH56" i="44" s="1"/>
  <c r="BG58" i="44"/>
  <c r="AK198" i="11"/>
  <c r="AL195" i="11" s="1"/>
  <c r="AK226" i="11"/>
  <c r="AK240" i="11" s="1"/>
  <c r="AK241" i="11" s="1"/>
  <c r="AL238" i="11" s="1"/>
  <c r="AJ27" i="49"/>
  <c r="AE67" i="9"/>
  <c r="AL7" i="5"/>
  <c r="AL7" i="7"/>
  <c r="AL7" i="1"/>
  <c r="AL7" i="42"/>
  <c r="AL7" i="57"/>
  <c r="AL7" i="13"/>
  <c r="AL7" i="47"/>
  <c r="AL7" i="56"/>
  <c r="AL7" i="9"/>
  <c r="AL7" i="44"/>
  <c r="AL7" i="49"/>
  <c r="AL7" i="6"/>
  <c r="AL7" i="51"/>
  <c r="AL7" i="55"/>
  <c r="AO8" i="2"/>
  <c r="AL7" i="11"/>
  <c r="AL7" i="48"/>
  <c r="AL7" i="50"/>
  <c r="BI21" i="50"/>
  <c r="BI34" i="44"/>
  <c r="BJ29" i="44"/>
  <c r="BJ32" i="44" s="1"/>
  <c r="AP104" i="44"/>
  <c r="AP108" i="44" s="1"/>
  <c r="AO110" i="44"/>
  <c r="AO18" i="49" s="1"/>
  <c r="AO33" i="50"/>
  <c r="AK90" i="11"/>
  <c r="AL87" i="11" s="1"/>
  <c r="BD20" i="50"/>
  <c r="BD19" i="50" s="1"/>
  <c r="BE18" i="44"/>
  <c r="BE21" i="44" s="1"/>
  <c r="BD23" i="44"/>
  <c r="BD15" i="49" s="1"/>
  <c r="AJ28" i="49"/>
  <c r="AL225" i="11"/>
  <c r="AL233" i="11" s="1"/>
  <c r="AL239" i="11"/>
  <c r="AL226" i="11" s="1"/>
  <c r="AI37" i="9"/>
  <c r="AE14" i="49"/>
  <c r="AE17" i="48"/>
  <c r="AE21" i="48" s="1"/>
  <c r="AE32" i="13"/>
  <c r="AK33" i="56"/>
  <c r="AK39" i="56" s="1"/>
  <c r="AK161" i="56"/>
  <c r="AK168" i="56" s="1"/>
  <c r="BI26" i="50"/>
  <c r="BI69" i="44"/>
  <c r="BJ64" i="44"/>
  <c r="BJ67" i="44" s="1"/>
  <c r="AM45" i="9"/>
  <c r="AM47" i="9" s="1"/>
  <c r="AV61" i="11"/>
  <c r="AW58" i="11" s="1"/>
  <c r="AJ205" i="11"/>
  <c r="AK202" i="11" s="1"/>
  <c r="AK21" i="11" s="1"/>
  <c r="AK169" i="56"/>
  <c r="AL166" i="56" s="1"/>
  <c r="BG16" i="49" l="1"/>
  <c r="AM14" i="50"/>
  <c r="AN43" i="9"/>
  <c r="AL153" i="11"/>
  <c r="AL161" i="11" s="1"/>
  <c r="AL167" i="11"/>
  <c r="AL154" i="11" s="1"/>
  <c r="AX84" i="54"/>
  <c r="AJ34" i="50"/>
  <c r="AO85" i="53"/>
  <c r="BW92" i="53"/>
  <c r="BW95" i="53" s="1"/>
  <c r="BV95" i="53"/>
  <c r="AL189" i="11"/>
  <c r="AL197" i="11" s="1"/>
  <c r="AL203" i="11"/>
  <c r="AK17" i="11"/>
  <c r="BT82" i="54"/>
  <c r="BK83" i="53"/>
  <c r="BG88" i="44"/>
  <c r="BG91" i="44" s="1"/>
  <c r="BF93" i="44"/>
  <c r="BF17" i="49" s="1"/>
  <c r="BT83" i="54"/>
  <c r="BF32" i="50"/>
  <c r="AL240" i="11"/>
  <c r="AL241" i="11" s="1"/>
  <c r="AM238" i="11" s="1"/>
  <c r="AL81" i="11"/>
  <c r="AL89" i="11" s="1"/>
  <c r="AL95" i="11"/>
  <c r="AL14" i="11"/>
  <c r="AL131" i="11"/>
  <c r="AL117" i="11"/>
  <c r="AL125" i="11" s="1"/>
  <c r="AK154" i="11"/>
  <c r="AK168" i="11" s="1"/>
  <c r="AK169" i="11" s="1"/>
  <c r="AL166" i="11" s="1"/>
  <c r="AJ73" i="9"/>
  <c r="AI17" i="50"/>
  <c r="AL45" i="11"/>
  <c r="AF63" i="9"/>
  <c r="AE16" i="50"/>
  <c r="AE12" i="50" s="1"/>
  <c r="BH58" i="44"/>
  <c r="BI53" i="44"/>
  <c r="BI56" i="44" s="1"/>
  <c r="BH25" i="50"/>
  <c r="BI22" i="50"/>
  <c r="BJ40" i="44"/>
  <c r="BJ43" i="44" s="1"/>
  <c r="BI45" i="44"/>
  <c r="AL8" i="6"/>
  <c r="AL8" i="11"/>
  <c r="AL80" i="11" s="1"/>
  <c r="AL88" i="11" s="1"/>
  <c r="AL8" i="47"/>
  <c r="AL8" i="7"/>
  <c r="AL8" i="9"/>
  <c r="AL8" i="44"/>
  <c r="AL8" i="42"/>
  <c r="AL8" i="57"/>
  <c r="AP7" i="2"/>
  <c r="AL8" i="55"/>
  <c r="AL8" i="51"/>
  <c r="AL8" i="50"/>
  <c r="AL8" i="49"/>
  <c r="AL8" i="5"/>
  <c r="AL8" i="1"/>
  <c r="AL8" i="56"/>
  <c r="AL109" i="56" s="1"/>
  <c r="AL116" i="56" s="1"/>
  <c r="AL8" i="13"/>
  <c r="AL8" i="48"/>
  <c r="BG24" i="50"/>
  <c r="BH80" i="44"/>
  <c r="BI75" i="44"/>
  <c r="BI78" i="44" s="1"/>
  <c r="BH27" i="50"/>
  <c r="AW47" i="11"/>
  <c r="AW60" i="11" s="1"/>
  <c r="AW61" i="11" s="1"/>
  <c r="AX58" i="11" s="1"/>
  <c r="AK205" i="11"/>
  <c r="AL202" i="11" s="1"/>
  <c r="AE12" i="49"/>
  <c r="AE19" i="49" s="1"/>
  <c r="AQ104" i="44"/>
  <c r="AP110" i="44"/>
  <c r="AP18" i="49" s="1"/>
  <c r="AP33" i="50"/>
  <c r="BJ26" i="50"/>
  <c r="BK64" i="44"/>
  <c r="BK67" i="44" s="1"/>
  <c r="BJ69" i="44"/>
  <c r="BK29" i="44"/>
  <c r="BK32" i="44" s="1"/>
  <c r="BJ21" i="50"/>
  <c r="BJ34" i="44"/>
  <c r="AJ55" i="9"/>
  <c r="AJ57" i="9"/>
  <c r="AW54" i="11"/>
  <c r="AX52" i="11" s="1"/>
  <c r="AK204" i="11"/>
  <c r="AK97" i="11"/>
  <c r="AL94" i="11" s="1"/>
  <c r="AJ33" i="9"/>
  <c r="AI13" i="50"/>
  <c r="AJ30" i="49"/>
  <c r="BF18" i="44"/>
  <c r="BF21" i="44" s="1"/>
  <c r="BE23" i="44"/>
  <c r="BE15" i="49" s="1"/>
  <c r="BE20" i="50"/>
  <c r="BE19" i="50" s="1"/>
  <c r="BH16" i="49" l="1"/>
  <c r="AL90" i="11"/>
  <c r="AM87" i="11" s="1"/>
  <c r="BL64" i="44"/>
  <c r="BL67" i="44" s="1"/>
  <c r="BK26" i="50"/>
  <c r="BK69" i="44"/>
  <c r="AL57" i="56"/>
  <c r="AL64" i="56" s="1"/>
  <c r="AL188" i="11"/>
  <c r="AL196" i="11" s="1"/>
  <c r="AX59" i="11"/>
  <c r="AX46" i="11"/>
  <c r="AX53" i="11" s="1"/>
  <c r="AX54" i="11"/>
  <c r="AY52" i="11" s="1"/>
  <c r="AJ15" i="50"/>
  <c r="AK53" i="9"/>
  <c r="BJ22" i="50"/>
  <c r="BK40" i="44"/>
  <c r="BK43" i="44" s="1"/>
  <c r="BJ45" i="44"/>
  <c r="AL116" i="11"/>
  <c r="AL124" i="11" s="1"/>
  <c r="AL126" i="11" s="1"/>
  <c r="AM123" i="11" s="1"/>
  <c r="AJ75" i="9"/>
  <c r="AJ77" i="9"/>
  <c r="AO63" i="53"/>
  <c r="AO62" i="53" s="1"/>
  <c r="AX62" i="54"/>
  <c r="AX61" i="54" s="1"/>
  <c r="AL82" i="11"/>
  <c r="AL96" i="11" s="1"/>
  <c r="AL22" i="11"/>
  <c r="BG32" i="50"/>
  <c r="BG93" i="44"/>
  <c r="BG17" i="49" s="1"/>
  <c r="BH88" i="44"/>
  <c r="BH91" i="44" s="1"/>
  <c r="BU83" i="54"/>
  <c r="BU82" i="54"/>
  <c r="BL83" i="53"/>
  <c r="AL33" i="56"/>
  <c r="AL39" i="56" s="1"/>
  <c r="AL161" i="56"/>
  <c r="AL168" i="56" s="1"/>
  <c r="BI27" i="50"/>
  <c r="BJ75" i="44"/>
  <c r="BJ78" i="44" s="1"/>
  <c r="BI80" i="44"/>
  <c r="AL83" i="56"/>
  <c r="AL90" i="56" s="1"/>
  <c r="AL152" i="11"/>
  <c r="AL160" i="11" s="1"/>
  <c r="AL16" i="11"/>
  <c r="AL168" i="11"/>
  <c r="AL169" i="11" s="1"/>
  <c r="AM166" i="11" s="1"/>
  <c r="BH24" i="50"/>
  <c r="AL134" i="56"/>
  <c r="AL141" i="56" s="1"/>
  <c r="BF20" i="50"/>
  <c r="BF19" i="50" s="1"/>
  <c r="BG18" i="44"/>
  <c r="BG21" i="44" s="1"/>
  <c r="BF23" i="44"/>
  <c r="BF15" i="49" s="1"/>
  <c r="AJ35" i="9"/>
  <c r="AJ37" i="9" s="1"/>
  <c r="AQ107" i="44"/>
  <c r="AQ108" i="44" s="1"/>
  <c r="BI25" i="50"/>
  <c r="BJ53" i="44"/>
  <c r="BJ56" i="44" s="1"/>
  <c r="BI58" i="44"/>
  <c r="AL160" i="56"/>
  <c r="AL167" i="56" s="1"/>
  <c r="AL169" i="56" s="1"/>
  <c r="AM166" i="56" s="1"/>
  <c r="AK35" i="50"/>
  <c r="AY85" i="54"/>
  <c r="AP86" i="53"/>
  <c r="AL205" i="11"/>
  <c r="AM202" i="11" s="1"/>
  <c r="AL190" i="11"/>
  <c r="AL204" i="11" s="1"/>
  <c r="AL97" i="11"/>
  <c r="AM94" i="11" s="1"/>
  <c r="AL21" i="11"/>
  <c r="AL224" i="11"/>
  <c r="AL232" i="11" s="1"/>
  <c r="AL234" i="11" s="1"/>
  <c r="AM231" i="11" s="1"/>
  <c r="AN45" i="9"/>
  <c r="AN47" i="9" s="1"/>
  <c r="AF65" i="9"/>
  <c r="AF31" i="13" s="1"/>
  <c r="BK34" i="44"/>
  <c r="BK21" i="50"/>
  <c r="BL29" i="44"/>
  <c r="BL32" i="44" s="1"/>
  <c r="AM7" i="51"/>
  <c r="AM7" i="55"/>
  <c r="AM7" i="9"/>
  <c r="AM7" i="49"/>
  <c r="AM7" i="50"/>
  <c r="AM7" i="1"/>
  <c r="AM7" i="47"/>
  <c r="AP8" i="2"/>
  <c r="AM7" i="11"/>
  <c r="AM7" i="5"/>
  <c r="AM7" i="42"/>
  <c r="AM7" i="57"/>
  <c r="AM7" i="56"/>
  <c r="AM7" i="48"/>
  <c r="AM7" i="7"/>
  <c r="AM7" i="6"/>
  <c r="AM7" i="13"/>
  <c r="AM7" i="44"/>
  <c r="AK23" i="11"/>
  <c r="AL118" i="11"/>
  <c r="AL132" i="11" s="1"/>
  <c r="AL133" i="11" s="1"/>
  <c r="AM130" i="11" s="1"/>
  <c r="BI16" i="49" l="1"/>
  <c r="AR104" i="44"/>
  <c r="AR108" i="44" s="1"/>
  <c r="AQ110" i="44"/>
  <c r="AQ18" i="49" s="1"/>
  <c r="AQ33" i="50"/>
  <c r="AN14" i="50"/>
  <c r="AO43" i="9"/>
  <c r="AK33" i="9"/>
  <c r="AJ13" i="50"/>
  <c r="AM239" i="11"/>
  <c r="AM225" i="11"/>
  <c r="AM233" i="11" s="1"/>
  <c r="BL26" i="50"/>
  <c r="BL69" i="44"/>
  <c r="BM64" i="44"/>
  <c r="BM67" i="44" s="1"/>
  <c r="AM134" i="56"/>
  <c r="AM141" i="56" s="1"/>
  <c r="AM117" i="11"/>
  <c r="AM125" i="11" s="1"/>
  <c r="AM131" i="11"/>
  <c r="AM118" i="11" s="1"/>
  <c r="AM132" i="11" s="1"/>
  <c r="AX47" i="11"/>
  <c r="AX60" i="11" s="1"/>
  <c r="BV83" i="54"/>
  <c r="BM83" i="53"/>
  <c r="BI88" i="44"/>
  <c r="BI91" i="44" s="1"/>
  <c r="BH32" i="50"/>
  <c r="BV82" i="54"/>
  <c r="BH93" i="44"/>
  <c r="BH17" i="49" s="1"/>
  <c r="AK30" i="49"/>
  <c r="AK24" i="11"/>
  <c r="AF67" i="9"/>
  <c r="BK53" i="44"/>
  <c r="BK56" i="44" s="1"/>
  <c r="BJ25" i="50"/>
  <c r="BJ58" i="44"/>
  <c r="AL162" i="11"/>
  <c r="AM159" i="11" s="1"/>
  <c r="AL36" i="13"/>
  <c r="BL40" i="44"/>
  <c r="BL43" i="44" s="1"/>
  <c r="BK45" i="44"/>
  <c r="BK22" i="50"/>
  <c r="AL198" i="11"/>
  <c r="AM195" i="11" s="1"/>
  <c r="AY59" i="11"/>
  <c r="AY46" i="11"/>
  <c r="AY53" i="11" s="1"/>
  <c r="AY54" i="11"/>
  <c r="AZ52" i="11" s="1"/>
  <c r="AF14" i="49"/>
  <c r="AF17" i="48"/>
  <c r="AF21" i="48" s="1"/>
  <c r="AF32" i="13"/>
  <c r="AL28" i="49"/>
  <c r="AM152" i="11"/>
  <c r="AM160" i="11" s="1"/>
  <c r="AM45" i="11"/>
  <c r="BI24" i="50"/>
  <c r="AL23" i="11"/>
  <c r="AL30" i="49" s="1"/>
  <c r="AL15" i="56"/>
  <c r="AM81" i="11"/>
  <c r="AM89" i="11" s="1"/>
  <c r="AM95" i="11"/>
  <c r="AM14" i="11"/>
  <c r="AK55" i="9"/>
  <c r="AK57" i="9" s="1"/>
  <c r="AK73" i="9"/>
  <c r="AJ17" i="50"/>
  <c r="AM21" i="11"/>
  <c r="BH18" i="44"/>
  <c r="BH21" i="44" s="1"/>
  <c r="BG23" i="44"/>
  <c r="BG15" i="49" s="1"/>
  <c r="BG20" i="50"/>
  <c r="BG19" i="50" s="1"/>
  <c r="AM8" i="57"/>
  <c r="AM8" i="5"/>
  <c r="AM8" i="55"/>
  <c r="AM8" i="51"/>
  <c r="AM8" i="13"/>
  <c r="AM8" i="47"/>
  <c r="AM8" i="9"/>
  <c r="AQ7" i="2"/>
  <c r="AM8" i="7"/>
  <c r="AM8" i="11"/>
  <c r="AM80" i="11" s="1"/>
  <c r="AM88" i="11" s="1"/>
  <c r="AM8" i="1"/>
  <c r="AM8" i="49"/>
  <c r="AM8" i="50"/>
  <c r="AM8" i="6"/>
  <c r="AM8" i="44"/>
  <c r="AM8" i="56"/>
  <c r="AM109" i="56" s="1"/>
  <c r="AM116" i="56" s="1"/>
  <c r="AM8" i="48"/>
  <c r="AM8" i="42"/>
  <c r="BL34" i="44"/>
  <c r="BM29" i="44"/>
  <c r="BM32" i="44" s="1"/>
  <c r="BL21" i="50"/>
  <c r="BJ80" i="44"/>
  <c r="BK75" i="44"/>
  <c r="BK78" i="44" s="1"/>
  <c r="BJ27" i="50"/>
  <c r="AL15" i="11"/>
  <c r="AM90" i="11" l="1"/>
  <c r="AN87" i="11" s="1"/>
  <c r="AK15" i="50"/>
  <c r="AL53" i="9"/>
  <c r="AK35" i="9"/>
  <c r="AK37" i="9"/>
  <c r="AL27" i="49"/>
  <c r="AL17" i="11"/>
  <c r="AM198" i="11"/>
  <c r="AN195" i="11" s="1"/>
  <c r="AM189" i="11"/>
  <c r="AM197" i="11" s="1"/>
  <c r="AM203" i="11"/>
  <c r="AP85" i="53"/>
  <c r="AK34" i="50"/>
  <c r="AY84" i="54"/>
  <c r="AM57" i="56"/>
  <c r="AM64" i="56" s="1"/>
  <c r="AO45" i="9"/>
  <c r="AO47" i="9" s="1"/>
  <c r="AL24" i="11"/>
  <c r="AY47" i="11"/>
  <c r="AY62" i="54"/>
  <c r="AY61" i="54" s="1"/>
  <c r="AP63" i="53"/>
  <c r="AP62" i="53" s="1"/>
  <c r="AK77" i="9"/>
  <c r="AK75" i="9"/>
  <c r="AF12" i="49"/>
  <c r="AF19" i="49" s="1"/>
  <c r="AM153" i="11"/>
  <c r="AM161" i="11" s="1"/>
  <c r="AM167" i="11"/>
  <c r="AM162" i="11"/>
  <c r="AN159" i="11" s="1"/>
  <c r="AX61" i="11"/>
  <c r="AY58" i="11" s="1"/>
  <c r="AM160" i="56"/>
  <c r="AM167" i="56" s="1"/>
  <c r="AM169" i="56" s="1"/>
  <c r="AN166" i="56" s="1"/>
  <c r="AM83" i="56"/>
  <c r="AM90" i="56" s="1"/>
  <c r="AM16" i="11"/>
  <c r="AM224" i="11"/>
  <c r="AM232" i="11" s="1"/>
  <c r="AM234" i="11" s="1"/>
  <c r="AN231" i="11" s="1"/>
  <c r="BJ16" i="49"/>
  <c r="AN7" i="11"/>
  <c r="AQ8" i="2"/>
  <c r="AN7" i="47"/>
  <c r="AN7" i="5"/>
  <c r="AN7" i="7"/>
  <c r="AN7" i="50"/>
  <c r="AN7" i="57"/>
  <c r="AN7" i="56"/>
  <c r="AN7" i="51"/>
  <c r="AN7" i="48"/>
  <c r="AN7" i="55"/>
  <c r="AN7" i="13"/>
  <c r="AN7" i="1"/>
  <c r="AN7" i="9"/>
  <c r="AN7" i="44"/>
  <c r="AN7" i="49"/>
  <c r="AN7" i="6"/>
  <c r="AN7" i="42"/>
  <c r="AM82" i="11"/>
  <c r="AM96" i="11" s="1"/>
  <c r="AM22" i="11"/>
  <c r="AM36" i="13" s="1"/>
  <c r="BL75" i="44"/>
  <c r="BL78" i="44" s="1"/>
  <c r="BK80" i="44"/>
  <c r="BK27" i="50"/>
  <c r="BH20" i="50"/>
  <c r="BH19" i="50" s="1"/>
  <c r="BI18" i="44"/>
  <c r="BI21" i="44" s="1"/>
  <c r="BH23" i="44"/>
  <c r="BH15" i="49" s="1"/>
  <c r="AM116" i="11"/>
  <c r="AM124" i="11" s="1"/>
  <c r="AM126" i="11" s="1"/>
  <c r="AN123" i="11" s="1"/>
  <c r="BL45" i="44"/>
  <c r="BL22" i="50"/>
  <c r="BM40" i="44"/>
  <c r="BM43" i="44" s="1"/>
  <c r="BJ24" i="50"/>
  <c r="BN64" i="44"/>
  <c r="BN67" i="44" s="1"/>
  <c r="BM26" i="50"/>
  <c r="BM69" i="44"/>
  <c r="AR110" i="44"/>
  <c r="AR18" i="49" s="1"/>
  <c r="AS104" i="44"/>
  <c r="AS108" i="44" s="1"/>
  <c r="AR33" i="50"/>
  <c r="AM33" i="56"/>
  <c r="AM39" i="56" s="1"/>
  <c r="AM161" i="56"/>
  <c r="AM168" i="56" s="1"/>
  <c r="AL24" i="49"/>
  <c r="AM188" i="11"/>
  <c r="AM196" i="11" s="1"/>
  <c r="AZ59" i="11"/>
  <c r="AZ46" i="11"/>
  <c r="AZ53" i="11" s="1"/>
  <c r="AZ54" i="11" s="1"/>
  <c r="BA52" i="11" s="1"/>
  <c r="BK25" i="50"/>
  <c r="BL53" i="44"/>
  <c r="BL56" i="44" s="1"/>
  <c r="BK58" i="44"/>
  <c r="BW83" i="54"/>
  <c r="BI93" i="44"/>
  <c r="BI17" i="49" s="1"/>
  <c r="BJ88" i="44"/>
  <c r="BJ91" i="44" s="1"/>
  <c r="BW82" i="54"/>
  <c r="BN83" i="53"/>
  <c r="BI32" i="50"/>
  <c r="AM226" i="11"/>
  <c r="AM240" i="11" s="1"/>
  <c r="AM241" i="11"/>
  <c r="AN238" i="11" s="1"/>
  <c r="AM133" i="11"/>
  <c r="AN130" i="11" s="1"/>
  <c r="BM21" i="50"/>
  <c r="BN29" i="44"/>
  <c r="BN32" i="44" s="1"/>
  <c r="BM34" i="44"/>
  <c r="AM97" i="11"/>
  <c r="AN94" i="11" s="1"/>
  <c r="AG63" i="9"/>
  <c r="AF16" i="50"/>
  <c r="AF12" i="50" s="1"/>
  <c r="BK16" i="49" l="1"/>
  <c r="BK24" i="50"/>
  <c r="AP43" i="9"/>
  <c r="AO14" i="50"/>
  <c r="BA46" i="11"/>
  <c r="BA53" i="11" s="1"/>
  <c r="BA59" i="11"/>
  <c r="AL34" i="50"/>
  <c r="AQ85" i="53"/>
  <c r="AZ84" i="54"/>
  <c r="AL55" i="9"/>
  <c r="AL57" i="9"/>
  <c r="AN8" i="13"/>
  <c r="AN8" i="50"/>
  <c r="AN8" i="56"/>
  <c r="AN8" i="9"/>
  <c r="AN8" i="48"/>
  <c r="AN8" i="6"/>
  <c r="AN8" i="11"/>
  <c r="AN224" i="11" s="1"/>
  <c r="AN232" i="11" s="1"/>
  <c r="AN234" i="11" s="1"/>
  <c r="AO231" i="11" s="1"/>
  <c r="AN8" i="44"/>
  <c r="AN8" i="49"/>
  <c r="AN8" i="57"/>
  <c r="AN8" i="42"/>
  <c r="AN8" i="55"/>
  <c r="AN8" i="7"/>
  <c r="AN8" i="51"/>
  <c r="AN8" i="5"/>
  <c r="AN8" i="1"/>
  <c r="AN8" i="47"/>
  <c r="AR7" i="2"/>
  <c r="BL58" i="44"/>
  <c r="BM53" i="44"/>
  <c r="BM56" i="44" s="1"/>
  <c r="BL25" i="50"/>
  <c r="BN69" i="44"/>
  <c r="BO64" i="44"/>
  <c r="BO67" i="44" s="1"/>
  <c r="BN26" i="50"/>
  <c r="AN80" i="11"/>
  <c r="AN88" i="11" s="1"/>
  <c r="AN152" i="11"/>
  <c r="AN160" i="11" s="1"/>
  <c r="AN116" i="11"/>
  <c r="AN124" i="11" s="1"/>
  <c r="AN188" i="11"/>
  <c r="AN196" i="11" s="1"/>
  <c r="AN81" i="11"/>
  <c r="AN89" i="11" s="1"/>
  <c r="AN95" i="11"/>
  <c r="AN14" i="11"/>
  <c r="BI23" i="44"/>
  <c r="BI15" i="49" s="1"/>
  <c r="BJ18" i="44"/>
  <c r="BJ21" i="44" s="1"/>
  <c r="BI20" i="50"/>
  <c r="BI19" i="50" s="1"/>
  <c r="AN203" i="11"/>
  <c r="AN190" i="11" s="1"/>
  <c r="AN189" i="11"/>
  <c r="AN197" i="11" s="1"/>
  <c r="AN198" i="11" s="1"/>
  <c r="AO195" i="11" s="1"/>
  <c r="AN160" i="56"/>
  <c r="AN167" i="56" s="1"/>
  <c r="AN109" i="56"/>
  <c r="AN116" i="56" s="1"/>
  <c r="AN57" i="56"/>
  <c r="AN64" i="56" s="1"/>
  <c r="AN83" i="56"/>
  <c r="AN90" i="56" s="1"/>
  <c r="AN134" i="56"/>
  <c r="AN141" i="56" s="1"/>
  <c r="AL73" i="9"/>
  <c r="AK17" i="50"/>
  <c r="AM15" i="56"/>
  <c r="AZ85" i="54"/>
  <c r="AL35" i="50"/>
  <c r="AQ86" i="53"/>
  <c r="AG65" i="9"/>
  <c r="AG31" i="13" s="1"/>
  <c r="BM45" i="44"/>
  <c r="BM22" i="50"/>
  <c r="BN40" i="44"/>
  <c r="BN43" i="44" s="1"/>
  <c r="AN225" i="11"/>
  <c r="AN233" i="11" s="1"/>
  <c r="AN239" i="11"/>
  <c r="AN226" i="11" s="1"/>
  <c r="AN240" i="11" s="1"/>
  <c r="AM15" i="11"/>
  <c r="BN21" i="50"/>
  <c r="BN34" i="44"/>
  <c r="BO29" i="44"/>
  <c r="BO32" i="44" s="1"/>
  <c r="BL80" i="44"/>
  <c r="BM75" i="44"/>
  <c r="BM78" i="44" s="1"/>
  <c r="BL27" i="50"/>
  <c r="AN153" i="11"/>
  <c r="AN161" i="11" s="1"/>
  <c r="AN167" i="11"/>
  <c r="AN154" i="11" s="1"/>
  <c r="AN162" i="11"/>
  <c r="AO159" i="11" s="1"/>
  <c r="BK88" i="44"/>
  <c r="BK91" i="44" s="1"/>
  <c r="BX82" i="54"/>
  <c r="BJ32" i="50"/>
  <c r="BX83" i="54"/>
  <c r="BO83" i="53"/>
  <c r="BJ93" i="44"/>
  <c r="BJ17" i="49" s="1"/>
  <c r="AT104" i="44"/>
  <c r="AS110" i="44"/>
  <c r="AS18" i="49" s="1"/>
  <c r="AS33" i="50"/>
  <c r="AM28" i="49"/>
  <c r="AM154" i="11"/>
  <c r="AM168" i="11" s="1"/>
  <c r="AM23" i="11" s="1"/>
  <c r="AM169" i="11"/>
  <c r="AN166" i="11" s="1"/>
  <c r="AK13" i="50"/>
  <c r="AL33" i="9"/>
  <c r="AZ47" i="11"/>
  <c r="AN131" i="11"/>
  <c r="AN118" i="11" s="1"/>
  <c r="AN132" i="11" s="1"/>
  <c r="AN117" i="11"/>
  <c r="AN125" i="11" s="1"/>
  <c r="AN126" i="11" s="1"/>
  <c r="AO123" i="11" s="1"/>
  <c r="AY60" i="11"/>
  <c r="AY61" i="11" s="1"/>
  <c r="AZ58" i="11" s="1"/>
  <c r="AM190" i="11"/>
  <c r="AM204" i="11" s="1"/>
  <c r="AM205" i="11"/>
  <c r="AN202" i="11" s="1"/>
  <c r="AO203" i="11" l="1"/>
  <c r="AO190" i="11" s="1"/>
  <c r="AO189" i="11"/>
  <c r="AO197" i="11" s="1"/>
  <c r="AM30" i="49"/>
  <c r="AM24" i="11"/>
  <c r="AO239" i="11"/>
  <c r="AO226" i="11" s="1"/>
  <c r="AO225" i="11"/>
  <c r="AO233" i="11" s="1"/>
  <c r="AO117" i="11"/>
  <c r="AO125" i="11" s="1"/>
  <c r="AO131" i="11"/>
  <c r="AO118" i="11" s="1"/>
  <c r="AZ60" i="11"/>
  <c r="BY83" i="54"/>
  <c r="BP83" i="53"/>
  <c r="BK93" i="44"/>
  <c r="BK17" i="49" s="1"/>
  <c r="BK32" i="50"/>
  <c r="BL88" i="44"/>
  <c r="BL91" i="44" s="1"/>
  <c r="BY82" i="54"/>
  <c r="AG14" i="49"/>
  <c r="AG17" i="48"/>
  <c r="AG21" i="48" s="1"/>
  <c r="AG32" i="13"/>
  <c r="AN82" i="11"/>
  <c r="AN96" i="11" s="1"/>
  <c r="AN22" i="11"/>
  <c r="AN36" i="13" s="1"/>
  <c r="AN15" i="11"/>
  <c r="AN27" i="49" s="1"/>
  <c r="AN16" i="11"/>
  <c r="AN28" i="49" s="1"/>
  <c r="AT107" i="44"/>
  <c r="AT108" i="44" s="1"/>
  <c r="AO153" i="11"/>
  <c r="AO161" i="11" s="1"/>
  <c r="AO167" i="11"/>
  <c r="AO154" i="11" s="1"/>
  <c r="BN45" i="44"/>
  <c r="BO40" i="44"/>
  <c r="BO43" i="44" s="1"/>
  <c r="BN22" i="50"/>
  <c r="AN204" i="11"/>
  <c r="AN205" i="11" s="1"/>
  <c r="AO202" i="11" s="1"/>
  <c r="AN90" i="11"/>
  <c r="AO87" i="11" s="1"/>
  <c r="BP64" i="44"/>
  <c r="BP67" i="44" s="1"/>
  <c r="BO69" i="44"/>
  <c r="BO26" i="50"/>
  <c r="BA47" i="11"/>
  <c r="BO21" i="50"/>
  <c r="BP29" i="44"/>
  <c r="BP32" i="44" s="1"/>
  <c r="BO34" i="44"/>
  <c r="AL15" i="50"/>
  <c r="AM53" i="9"/>
  <c r="AN168" i="11"/>
  <c r="AN169" i="11" s="1"/>
  <c r="AO166" i="11" s="1"/>
  <c r="AN15" i="56"/>
  <c r="AN24" i="49" s="1"/>
  <c r="AM24" i="49"/>
  <c r="BJ20" i="50"/>
  <c r="BJ19" i="50" s="1"/>
  <c r="BJ23" i="44"/>
  <c r="BJ15" i="49" s="1"/>
  <c r="BK18" i="44"/>
  <c r="BK21" i="44" s="1"/>
  <c r="BL24" i="50"/>
  <c r="AM27" i="49"/>
  <c r="AM17" i="11"/>
  <c r="AN45" i="11"/>
  <c r="BM58" i="44"/>
  <c r="BN53" i="44"/>
  <c r="BN56" i="44" s="1"/>
  <c r="BM25" i="50"/>
  <c r="BA54" i="11"/>
  <c r="BB52" i="11" s="1"/>
  <c r="AL37" i="9"/>
  <c r="AL35" i="9"/>
  <c r="BM80" i="44"/>
  <c r="BM27" i="50"/>
  <c r="BN75" i="44"/>
  <c r="BN78" i="44" s="1"/>
  <c r="AQ63" i="53"/>
  <c r="AQ62" i="53" s="1"/>
  <c r="AZ62" i="54"/>
  <c r="AZ61" i="54" s="1"/>
  <c r="AL75" i="9"/>
  <c r="AL77" i="9" s="1"/>
  <c r="AN21" i="11"/>
  <c r="AN241" i="11"/>
  <c r="AO238" i="11" s="1"/>
  <c r="BL16" i="49"/>
  <c r="AN33" i="56"/>
  <c r="AN39" i="56" s="1"/>
  <c r="AN161" i="56"/>
  <c r="AN168" i="56" s="1"/>
  <c r="AN169" i="56" s="1"/>
  <c r="AO166" i="56" s="1"/>
  <c r="AG67" i="9"/>
  <c r="AN97" i="11"/>
  <c r="AO94" i="11" s="1"/>
  <c r="AO7" i="9"/>
  <c r="AO7" i="1"/>
  <c r="AO7" i="6"/>
  <c r="AO7" i="44"/>
  <c r="AO7" i="56"/>
  <c r="AO7" i="48"/>
  <c r="AO7" i="5"/>
  <c r="AO7" i="55"/>
  <c r="AO7" i="11"/>
  <c r="AR8" i="2"/>
  <c r="AO7" i="57"/>
  <c r="AO7" i="50"/>
  <c r="AO7" i="49"/>
  <c r="AO7" i="47"/>
  <c r="AO7" i="42"/>
  <c r="AO7" i="7"/>
  <c r="AO7" i="13"/>
  <c r="AO7" i="51"/>
  <c r="AN133" i="11"/>
  <c r="AO130" i="11" s="1"/>
  <c r="AP45" i="9"/>
  <c r="AP47" i="9"/>
  <c r="BM24" i="50" l="1"/>
  <c r="AU104" i="44"/>
  <c r="AU108" i="44" s="1"/>
  <c r="AT110" i="44"/>
  <c r="AT18" i="49" s="1"/>
  <c r="AT33" i="50"/>
  <c r="AL17" i="50"/>
  <c r="AM73" i="9"/>
  <c r="AO240" i="11"/>
  <c r="BQ29" i="44"/>
  <c r="BQ32" i="44" s="1"/>
  <c r="BP21" i="50"/>
  <c r="BP34" i="44"/>
  <c r="AO95" i="11"/>
  <c r="AO81" i="11"/>
  <c r="AO89" i="11" s="1"/>
  <c r="AO16" i="11" s="1"/>
  <c r="AO28" i="49" s="1"/>
  <c r="AO14" i="11"/>
  <c r="AN17" i="11"/>
  <c r="AM33" i="9"/>
  <c r="AL13" i="50"/>
  <c r="AO132" i="11"/>
  <c r="BA84" i="54"/>
  <c r="AR85" i="53"/>
  <c r="AM34" i="50"/>
  <c r="BK20" i="50"/>
  <c r="BK19" i="50" s="1"/>
  <c r="BK23" i="44"/>
  <c r="BK15" i="49" s="1"/>
  <c r="BL18" i="44"/>
  <c r="BL21" i="44" s="1"/>
  <c r="BP40" i="44"/>
  <c r="BP43" i="44" s="1"/>
  <c r="BO22" i="50"/>
  <c r="BO45" i="44"/>
  <c r="BL93" i="44"/>
  <c r="BL17" i="49" s="1"/>
  <c r="BM88" i="44"/>
  <c r="BM91" i="44" s="1"/>
  <c r="BZ83" i="54"/>
  <c r="BQ83" i="53"/>
  <c r="BL32" i="50"/>
  <c r="BZ82" i="54"/>
  <c r="AH63" i="9"/>
  <c r="AG16" i="50"/>
  <c r="AG12" i="50" s="1"/>
  <c r="AO8" i="49"/>
  <c r="AO8" i="48"/>
  <c r="AO8" i="13"/>
  <c r="AS7" i="2"/>
  <c r="AO8" i="44"/>
  <c r="AO8" i="1"/>
  <c r="AO8" i="56"/>
  <c r="AO8" i="55"/>
  <c r="AO8" i="51"/>
  <c r="AO8" i="50"/>
  <c r="AO8" i="9"/>
  <c r="AO8" i="5"/>
  <c r="AO8" i="11"/>
  <c r="AO152" i="11" s="1"/>
  <c r="AO160" i="11" s="1"/>
  <c r="AO162" i="11" s="1"/>
  <c r="AP159" i="11" s="1"/>
  <c r="AO8" i="7"/>
  <c r="AO8" i="42"/>
  <c r="AO8" i="6"/>
  <c r="AO8" i="47"/>
  <c r="AO8" i="57"/>
  <c r="AR86" i="53"/>
  <c r="BA85" i="54"/>
  <c r="AM35" i="50"/>
  <c r="AO21" i="11"/>
  <c r="BO53" i="44"/>
  <c r="BO56" i="44" s="1"/>
  <c r="BN25" i="50"/>
  <c r="BN58" i="44"/>
  <c r="AO168" i="11"/>
  <c r="AO169" i="11" s="1"/>
  <c r="AP166" i="11" s="1"/>
  <c r="AZ61" i="11"/>
  <c r="BA58" i="11" s="1"/>
  <c r="AO241" i="11"/>
  <c r="AP238" i="11" s="1"/>
  <c r="BB59" i="11"/>
  <c r="BB46" i="11"/>
  <c r="BB53" i="11" s="1"/>
  <c r="BB54" i="11" s="1"/>
  <c r="BC52" i="11" s="1"/>
  <c r="BN27" i="50"/>
  <c r="BO75" i="44"/>
  <c r="BO78" i="44" s="1"/>
  <c r="BN80" i="44"/>
  <c r="AM55" i="9"/>
  <c r="AM57" i="9"/>
  <c r="AN23" i="11"/>
  <c r="AN30" i="49" s="1"/>
  <c r="AO204" i="11"/>
  <c r="AO205" i="11" s="1"/>
  <c r="AP202" i="11" s="1"/>
  <c r="AQ43" i="9"/>
  <c r="AP14" i="50"/>
  <c r="BM16" i="49"/>
  <c r="AO133" i="11"/>
  <c r="AP130" i="11" s="1"/>
  <c r="BP26" i="50"/>
  <c r="BP69" i="44"/>
  <c r="BQ64" i="44"/>
  <c r="BQ67" i="44" s="1"/>
  <c r="AG12" i="49"/>
  <c r="AG19" i="49" s="1"/>
  <c r="BN16" i="49" l="1"/>
  <c r="BN24" i="50"/>
  <c r="BC46" i="11"/>
  <c r="BC53" i="11" s="1"/>
  <c r="BC54" i="11"/>
  <c r="BD52" i="11" s="1"/>
  <c r="BC59" i="11"/>
  <c r="AP153" i="11"/>
  <c r="AP161" i="11" s="1"/>
  <c r="AP167" i="11"/>
  <c r="AP154" i="11" s="1"/>
  <c r="AP168" i="11" s="1"/>
  <c r="AO33" i="56"/>
  <c r="AO39" i="56" s="1"/>
  <c r="AO161" i="56"/>
  <c r="AO168" i="56" s="1"/>
  <c r="BQ26" i="50"/>
  <c r="BR64" i="44"/>
  <c r="BR67" i="44" s="1"/>
  <c r="BQ69" i="44"/>
  <c r="BP53" i="44"/>
  <c r="BP56" i="44" s="1"/>
  <c r="BO58" i="44"/>
  <c r="BO25" i="50"/>
  <c r="AH65" i="9"/>
  <c r="AH31" i="13" s="1"/>
  <c r="AO82" i="11"/>
  <c r="AO96" i="11" s="1"/>
  <c r="AO22" i="11"/>
  <c r="AO36" i="13" s="1"/>
  <c r="AO116" i="11"/>
  <c r="AO124" i="11" s="1"/>
  <c r="AO126" i="11" s="1"/>
  <c r="AP123" i="11" s="1"/>
  <c r="AN24" i="11"/>
  <c r="BB47" i="11"/>
  <c r="AO109" i="56"/>
  <c r="AO116" i="56" s="1"/>
  <c r="AP7" i="49"/>
  <c r="AP7" i="6"/>
  <c r="AP7" i="13"/>
  <c r="AP7" i="55"/>
  <c r="AP7" i="47"/>
  <c r="AP7" i="44"/>
  <c r="AP7" i="51"/>
  <c r="AP7" i="7"/>
  <c r="AP7" i="11"/>
  <c r="AP7" i="50"/>
  <c r="AP7" i="42"/>
  <c r="AP7" i="48"/>
  <c r="AP7" i="56"/>
  <c r="AP7" i="57"/>
  <c r="AP7" i="9"/>
  <c r="AP7" i="1"/>
  <c r="AS8" i="2"/>
  <c r="AP7" i="5"/>
  <c r="BP22" i="50"/>
  <c r="BP45" i="44"/>
  <c r="BQ40" i="44"/>
  <c r="BQ43" i="44" s="1"/>
  <c r="AO224" i="11"/>
  <c r="AO232" i="11" s="1"/>
  <c r="AO234" i="11" s="1"/>
  <c r="AP231" i="11" s="1"/>
  <c r="BL23" i="44"/>
  <c r="BL15" i="49" s="1"/>
  <c r="BM18" i="44"/>
  <c r="BM21" i="44" s="1"/>
  <c r="BL20" i="50"/>
  <c r="BL19" i="50" s="1"/>
  <c r="AO188" i="11"/>
  <c r="AO196" i="11" s="1"/>
  <c r="AO198" i="11" s="1"/>
  <c r="AP195" i="11" s="1"/>
  <c r="BA62" i="54"/>
  <c r="BA61" i="54" s="1"/>
  <c r="AR63" i="53"/>
  <c r="AR62" i="53" s="1"/>
  <c r="AM75" i="9"/>
  <c r="AM77" i="9" s="1"/>
  <c r="BO27" i="50"/>
  <c r="BO80" i="44"/>
  <c r="BP75" i="44"/>
  <c r="BP78" i="44" s="1"/>
  <c r="AO83" i="56"/>
  <c r="AO90" i="56" s="1"/>
  <c r="AM35" i="9"/>
  <c r="AM37" i="9"/>
  <c r="AO45" i="11"/>
  <c r="AU110" i="44"/>
  <c r="AU18" i="49" s="1"/>
  <c r="AV104" i="44"/>
  <c r="AV108" i="44" s="1"/>
  <c r="AU33" i="50"/>
  <c r="AN53" i="9"/>
  <c r="AM15" i="50"/>
  <c r="AO160" i="56"/>
  <c r="AO167" i="56" s="1"/>
  <c r="AO169" i="56" s="1"/>
  <c r="AP166" i="56" s="1"/>
  <c r="AO134" i="56"/>
  <c r="AO141" i="56" s="1"/>
  <c r="BB85" i="54"/>
  <c r="AS86" i="53"/>
  <c r="AN35" i="50"/>
  <c r="BQ34" i="44"/>
  <c r="BQ21" i="50"/>
  <c r="BR29" i="44"/>
  <c r="BR32" i="44" s="1"/>
  <c r="AO80" i="11"/>
  <c r="AO88" i="11" s="1"/>
  <c r="AQ45" i="9"/>
  <c r="AQ47" i="9" s="1"/>
  <c r="AO57" i="56"/>
  <c r="AO64" i="56" s="1"/>
  <c r="BA60" i="11"/>
  <c r="BA61" i="11" s="1"/>
  <c r="BB58" i="11" s="1"/>
  <c r="CA82" i="54"/>
  <c r="BR83" i="53"/>
  <c r="BM93" i="44"/>
  <c r="BM17" i="49" s="1"/>
  <c r="BN88" i="44"/>
  <c r="BN91" i="44" s="1"/>
  <c r="BM32" i="50"/>
  <c r="CA83" i="54"/>
  <c r="AQ14" i="50" l="1"/>
  <c r="AR43" i="9"/>
  <c r="AN73" i="9"/>
  <c r="AM17" i="50"/>
  <c r="AP131" i="11"/>
  <c r="AP117" i="11"/>
  <c r="AP125" i="11" s="1"/>
  <c r="AM13" i="50"/>
  <c r="AN33" i="9"/>
  <c r="BR21" i="50"/>
  <c r="BR34" i="44"/>
  <c r="BM23" i="44"/>
  <c r="BM15" i="49" s="1"/>
  <c r="BN18" i="44"/>
  <c r="BN21" i="44" s="1"/>
  <c r="BM20" i="50"/>
  <c r="BM19" i="50" s="1"/>
  <c r="AP8" i="44"/>
  <c r="AP8" i="13"/>
  <c r="AP8" i="5"/>
  <c r="AP8" i="6"/>
  <c r="AP8" i="1"/>
  <c r="AP8" i="51"/>
  <c r="AP8" i="57"/>
  <c r="AT7" i="2"/>
  <c r="AP8" i="56"/>
  <c r="AP8" i="55"/>
  <c r="AP8" i="42"/>
  <c r="AP8" i="11"/>
  <c r="AP80" i="11" s="1"/>
  <c r="AP88" i="11" s="1"/>
  <c r="AP8" i="9"/>
  <c r="AP8" i="49"/>
  <c r="AP8" i="50"/>
  <c r="AP8" i="47"/>
  <c r="AP8" i="48"/>
  <c r="AP8" i="7"/>
  <c r="AP152" i="11"/>
  <c r="AP160" i="11" s="1"/>
  <c r="AP162" i="11" s="1"/>
  <c r="AQ159" i="11" s="1"/>
  <c r="AP45" i="11"/>
  <c r="AP188" i="11"/>
  <c r="AP196" i="11" s="1"/>
  <c r="AP198" i="11" s="1"/>
  <c r="AQ195" i="11" s="1"/>
  <c r="AP224" i="11"/>
  <c r="AP232" i="11" s="1"/>
  <c r="AP234" i="11" s="1"/>
  <c r="AQ231" i="11" s="1"/>
  <c r="AO23" i="11"/>
  <c r="AO30" i="49" s="1"/>
  <c r="AO97" i="11"/>
  <c r="AP94" i="11" s="1"/>
  <c r="AO15" i="11"/>
  <c r="AO90" i="11"/>
  <c r="AP87" i="11" s="1"/>
  <c r="AH67" i="9"/>
  <c r="BC47" i="11"/>
  <c r="BO88" i="44"/>
  <c r="BO91" i="44" s="1"/>
  <c r="BS83" i="53"/>
  <c r="CB82" i="54"/>
  <c r="BN32" i="50"/>
  <c r="BN93" i="44"/>
  <c r="BN17" i="49" s="1"/>
  <c r="CB83" i="54"/>
  <c r="AH14" i="49"/>
  <c r="AH17" i="48"/>
  <c r="AH21" i="48" s="1"/>
  <c r="AH32" i="13"/>
  <c r="AP225" i="11"/>
  <c r="AP233" i="11" s="1"/>
  <c r="AP239" i="11"/>
  <c r="BB60" i="11"/>
  <c r="BO24" i="50"/>
  <c r="BD46" i="11"/>
  <c r="BD53" i="11" s="1"/>
  <c r="BD59" i="11"/>
  <c r="BR26" i="50"/>
  <c r="BR69" i="44"/>
  <c r="AN57" i="9"/>
  <c r="AN55" i="9"/>
  <c r="AO15" i="56"/>
  <c r="AO24" i="49" s="1"/>
  <c r="AW104" i="44"/>
  <c r="AV110" i="44"/>
  <c r="AV18" i="49" s="1"/>
  <c r="AV33" i="50"/>
  <c r="BP27" i="50"/>
  <c r="BQ75" i="44"/>
  <c r="BQ78" i="44" s="1"/>
  <c r="BP80" i="44"/>
  <c r="BR40" i="44"/>
  <c r="BR43" i="44" s="1"/>
  <c r="BQ22" i="50"/>
  <c r="BQ45" i="44"/>
  <c r="AP83" i="56"/>
  <c r="AP90" i="56" s="1"/>
  <c r="AP134" i="56"/>
  <c r="AP141" i="56" s="1"/>
  <c r="AP57" i="56"/>
  <c r="AP64" i="56" s="1"/>
  <c r="AP15" i="56" s="1"/>
  <c r="AP24" i="49" s="1"/>
  <c r="AP109" i="56"/>
  <c r="AP116" i="56" s="1"/>
  <c r="AP160" i="56"/>
  <c r="AP167" i="56" s="1"/>
  <c r="AS85" i="53"/>
  <c r="BB84" i="54"/>
  <c r="AN34" i="50"/>
  <c r="BO16" i="49"/>
  <c r="AO24" i="11"/>
  <c r="AP203" i="11"/>
  <c r="AP189" i="11"/>
  <c r="AP197" i="11" s="1"/>
  <c r="BP58" i="44"/>
  <c r="BQ53" i="44"/>
  <c r="BQ56" i="44" s="1"/>
  <c r="BP25" i="50"/>
  <c r="AP169" i="11"/>
  <c r="AQ166" i="11" s="1"/>
  <c r="BP16" i="49" l="1"/>
  <c r="AQ225" i="11"/>
  <c r="AQ233" i="11" s="1"/>
  <c r="AQ239" i="11"/>
  <c r="AQ226" i="11" s="1"/>
  <c r="AQ203" i="11"/>
  <c r="AQ190" i="11" s="1"/>
  <c r="AQ189" i="11"/>
  <c r="AQ197" i="11" s="1"/>
  <c r="AP15" i="11"/>
  <c r="AP27" i="49" s="1"/>
  <c r="BC84" i="54"/>
  <c r="AO34" i="50"/>
  <c r="AT85" i="53"/>
  <c r="AH16" i="50"/>
  <c r="AH12" i="50" s="1"/>
  <c r="AI63" i="9"/>
  <c r="BN20" i="50"/>
  <c r="BN19" i="50" s="1"/>
  <c r="BN23" i="44"/>
  <c r="BN15" i="49" s="1"/>
  <c r="BO18" i="44"/>
  <c r="BO21" i="44" s="1"/>
  <c r="BD47" i="11"/>
  <c r="BQ25" i="50"/>
  <c r="BQ58" i="44"/>
  <c r="BR53" i="44"/>
  <c r="BR56" i="44" s="1"/>
  <c r="AW107" i="44"/>
  <c r="AW108" i="44" s="1"/>
  <c r="AP95" i="11"/>
  <c r="AP81" i="11"/>
  <c r="AP89" i="11" s="1"/>
  <c r="AP16" i="11" s="1"/>
  <c r="AP28" i="49" s="1"/>
  <c r="AP14" i="11"/>
  <c r="AQ167" i="11"/>
  <c r="AQ154" i="11" s="1"/>
  <c r="AQ168" i="11" s="1"/>
  <c r="AQ153" i="11"/>
  <c r="AQ161" i="11" s="1"/>
  <c r="BB62" i="54"/>
  <c r="BB61" i="54" s="1"/>
  <c r="AN75" i="9"/>
  <c r="AN77" i="9" s="1"/>
  <c r="AS63" i="53"/>
  <c r="AS62" i="53" s="1"/>
  <c r="AQ169" i="11"/>
  <c r="AR166" i="11" s="1"/>
  <c r="AH12" i="49"/>
  <c r="AH19" i="49" s="1"/>
  <c r="AO27" i="49"/>
  <c r="AO17" i="11"/>
  <c r="AP116" i="11"/>
  <c r="AP124" i="11" s="1"/>
  <c r="AP126" i="11" s="1"/>
  <c r="AQ123" i="11" s="1"/>
  <c r="AN35" i="9"/>
  <c r="AP118" i="11"/>
  <c r="AP132" i="11" s="1"/>
  <c r="AP133" i="11"/>
  <c r="AQ130" i="11" s="1"/>
  <c r="BR22" i="50"/>
  <c r="BR45" i="44"/>
  <c r="BD54" i="11"/>
  <c r="BE52" i="11" s="1"/>
  <c r="AP21" i="11"/>
  <c r="BB61" i="11"/>
  <c r="BC58" i="11" s="1"/>
  <c r="BP24" i="50"/>
  <c r="AP226" i="11"/>
  <c r="AP240" i="11" s="1"/>
  <c r="AP241" i="11"/>
  <c r="AQ238" i="11" s="1"/>
  <c r="AP190" i="11"/>
  <c r="AP204" i="11" s="1"/>
  <c r="AP205" i="11" s="1"/>
  <c r="AQ202" i="11" s="1"/>
  <c r="BT83" i="53"/>
  <c r="BP88" i="44"/>
  <c r="BP91" i="44" s="1"/>
  <c r="CC82" i="54"/>
  <c r="BO32" i="50"/>
  <c r="CC83" i="54"/>
  <c r="BO93" i="44"/>
  <c r="BO17" i="49" s="1"/>
  <c r="AP33" i="56"/>
  <c r="AP39" i="56" s="1"/>
  <c r="AP161" i="56"/>
  <c r="AP168" i="56" s="1"/>
  <c r="AP169" i="56" s="1"/>
  <c r="AQ166" i="56" s="1"/>
  <c r="AR45" i="9"/>
  <c r="AR47" i="9"/>
  <c r="BR75" i="44"/>
  <c r="BR78" i="44" s="1"/>
  <c r="BQ27" i="50"/>
  <c r="BQ80" i="44"/>
  <c r="AN15" i="50"/>
  <c r="AO53" i="9"/>
  <c r="BC60" i="11"/>
  <c r="AQ7" i="49"/>
  <c r="AQ7" i="5"/>
  <c r="AQ7" i="7"/>
  <c r="AQ7" i="48"/>
  <c r="AQ7" i="57"/>
  <c r="AQ7" i="1"/>
  <c r="AQ7" i="50"/>
  <c r="AQ7" i="44"/>
  <c r="AQ7" i="13"/>
  <c r="AQ7" i="56"/>
  <c r="AQ7" i="11"/>
  <c r="AQ7" i="55"/>
  <c r="AQ7" i="6"/>
  <c r="AQ7" i="42"/>
  <c r="AQ7" i="51"/>
  <c r="AT8" i="2"/>
  <c r="AQ7" i="9"/>
  <c r="AQ7" i="47"/>
  <c r="AX104" i="44" l="1"/>
  <c r="AX108" i="44" s="1"/>
  <c r="AW110" i="44"/>
  <c r="AW18" i="49" s="1"/>
  <c r="AW33" i="50"/>
  <c r="AN17" i="50"/>
  <c r="AO73" i="9"/>
  <c r="BR58" i="44"/>
  <c r="BR25" i="50"/>
  <c r="AQ204" i="11"/>
  <c r="AQ205" i="11" s="1"/>
  <c r="AR202" i="11" s="1"/>
  <c r="AQ188" i="11"/>
  <c r="AQ196" i="11" s="1"/>
  <c r="AQ198" i="11" s="1"/>
  <c r="AR195" i="11" s="1"/>
  <c r="BR80" i="44"/>
  <c r="BR27" i="50"/>
  <c r="BC61" i="11"/>
  <c r="BD58" i="11" s="1"/>
  <c r="BQ16" i="49"/>
  <c r="AI65" i="9"/>
  <c r="AI67" i="9"/>
  <c r="AP17" i="11"/>
  <c r="BQ24" i="50"/>
  <c r="AQ240" i="11"/>
  <c r="AQ241" i="11" s="1"/>
  <c r="AR238" i="11" s="1"/>
  <c r="AR14" i="50"/>
  <c r="AS43" i="9"/>
  <c r="AN37" i="9"/>
  <c r="AQ8" i="48"/>
  <c r="AQ8" i="7"/>
  <c r="AU7" i="2"/>
  <c r="AQ8" i="6"/>
  <c r="AQ8" i="57"/>
  <c r="AQ8" i="42"/>
  <c r="AQ8" i="44"/>
  <c r="AQ8" i="5"/>
  <c r="AQ8" i="51"/>
  <c r="AQ8" i="47"/>
  <c r="AQ8" i="50"/>
  <c r="AQ8" i="1"/>
  <c r="AQ8" i="9"/>
  <c r="AQ8" i="56"/>
  <c r="AQ8" i="13"/>
  <c r="AQ8" i="11"/>
  <c r="AQ116" i="11" s="1"/>
  <c r="AQ124" i="11" s="1"/>
  <c r="AQ126" i="11" s="1"/>
  <c r="AR123" i="11" s="1"/>
  <c r="AQ8" i="55"/>
  <c r="AQ8" i="49"/>
  <c r="AQ131" i="11"/>
  <c r="AQ118" i="11" s="1"/>
  <c r="AQ132" i="11" s="1"/>
  <c r="AQ117" i="11"/>
  <c r="AQ125" i="11" s="1"/>
  <c r="AP90" i="11"/>
  <c r="AQ87" i="11" s="1"/>
  <c r="BD60" i="11"/>
  <c r="AQ134" i="56"/>
  <c r="AQ141" i="56" s="1"/>
  <c r="AQ160" i="56"/>
  <c r="AQ167" i="56" s="1"/>
  <c r="BQ88" i="44"/>
  <c r="BQ91" i="44" s="1"/>
  <c r="CD83" i="54"/>
  <c r="BP32" i="50"/>
  <c r="BU83" i="53"/>
  <c r="CD82" i="54"/>
  <c r="BP93" i="44"/>
  <c r="BP17" i="49" s="1"/>
  <c r="AO55" i="9"/>
  <c r="AO57" i="9"/>
  <c r="BE46" i="11"/>
  <c r="BE53" i="11" s="1"/>
  <c r="BE59" i="11"/>
  <c r="AO35" i="50"/>
  <c r="BC85" i="54"/>
  <c r="AT86" i="53"/>
  <c r="AP82" i="11"/>
  <c r="AP96" i="11" s="1"/>
  <c r="AP22" i="11"/>
  <c r="AP36" i="13" s="1"/>
  <c r="BO20" i="50"/>
  <c r="BO19" i="50" s="1"/>
  <c r="BO23" i="44"/>
  <c r="BO15" i="49" s="1"/>
  <c r="BP18" i="44"/>
  <c r="BP21" i="44" s="1"/>
  <c r="AR131" i="11" l="1"/>
  <c r="AR118" i="11" s="1"/>
  <c r="AR117" i="11"/>
  <c r="AR125" i="11" s="1"/>
  <c r="BD61" i="11"/>
  <c r="BE58" i="11" s="1"/>
  <c r="AQ224" i="11"/>
  <c r="AQ232" i="11" s="1"/>
  <c r="AQ234" i="11" s="1"/>
  <c r="AR231" i="11" s="1"/>
  <c r="BC62" i="54"/>
  <c r="BC61" i="54" s="1"/>
  <c r="AO75" i="9"/>
  <c r="AO77" i="9" s="1"/>
  <c r="AT63" i="53"/>
  <c r="AT62" i="53" s="1"/>
  <c r="AR189" i="11"/>
  <c r="AR197" i="11" s="1"/>
  <c r="AR203" i="11"/>
  <c r="AR190" i="11" s="1"/>
  <c r="AR204" i="11" s="1"/>
  <c r="AQ152" i="11"/>
  <c r="AQ160" i="11" s="1"/>
  <c r="AQ162" i="11" s="1"/>
  <c r="AR159" i="11" s="1"/>
  <c r="AP23" i="11"/>
  <c r="AP30" i="49" s="1"/>
  <c r="AP97" i="11"/>
  <c r="AQ94" i="11" s="1"/>
  <c r="AQ95" i="11"/>
  <c r="AQ81" i="11"/>
  <c r="AQ89" i="11" s="1"/>
  <c r="AQ16" i="11" s="1"/>
  <c r="AQ28" i="49" s="1"/>
  <c r="AQ14" i="11"/>
  <c r="AU86" i="53"/>
  <c r="BD85" i="54"/>
  <c r="AP35" i="50"/>
  <c r="BR24" i="50"/>
  <c r="AO15" i="50"/>
  <c r="AP53" i="9"/>
  <c r="AQ33" i="56"/>
  <c r="AQ39" i="56" s="1"/>
  <c r="AQ161" i="56"/>
  <c r="AQ168" i="56" s="1"/>
  <c r="AQ169" i="56" s="1"/>
  <c r="AR166" i="56" s="1"/>
  <c r="AN13" i="50"/>
  <c r="AO33" i="9"/>
  <c r="AQ109" i="56"/>
  <c r="AQ116" i="56" s="1"/>
  <c r="AP24" i="11"/>
  <c r="AQ45" i="11"/>
  <c r="BR16" i="49"/>
  <c r="AY104" i="44"/>
  <c r="AY108" i="44" s="1"/>
  <c r="AX110" i="44"/>
  <c r="AX18" i="49" s="1"/>
  <c r="AX33" i="50"/>
  <c r="BE47" i="11"/>
  <c r="BE60" i="11" s="1"/>
  <c r="BV83" i="53"/>
  <c r="CE83" i="54"/>
  <c r="CE82" i="54"/>
  <c r="BR88" i="44"/>
  <c r="BR91" i="44" s="1"/>
  <c r="BQ93" i="44"/>
  <c r="BQ17" i="49" s="1"/>
  <c r="BQ32" i="50"/>
  <c r="AQ83" i="56"/>
  <c r="AQ90" i="56" s="1"/>
  <c r="AS45" i="9"/>
  <c r="AS47" i="9" s="1"/>
  <c r="AJ63" i="9"/>
  <c r="AI16" i="50"/>
  <c r="AI12" i="50" s="1"/>
  <c r="AQ80" i="11"/>
  <c r="AQ88" i="11" s="1"/>
  <c r="AQ15" i="11" s="1"/>
  <c r="AQ27" i="49" s="1"/>
  <c r="BP20" i="50"/>
  <c r="BP19" i="50" s="1"/>
  <c r="BP23" i="44"/>
  <c r="BP15" i="49" s="1"/>
  <c r="BQ18" i="44"/>
  <c r="BQ21" i="44" s="1"/>
  <c r="BE54" i="11"/>
  <c r="BF52" i="11" s="1"/>
  <c r="AQ57" i="56"/>
  <c r="AQ64" i="56" s="1"/>
  <c r="AQ15" i="56" s="1"/>
  <c r="AQ24" i="49" s="1"/>
  <c r="AR7" i="1"/>
  <c r="AR7" i="55"/>
  <c r="AR7" i="42"/>
  <c r="AR7" i="44"/>
  <c r="AR7" i="50"/>
  <c r="AR7" i="49"/>
  <c r="AR7" i="13"/>
  <c r="AU8" i="2"/>
  <c r="AR7" i="48"/>
  <c r="AR7" i="9"/>
  <c r="AR7" i="6"/>
  <c r="AR7" i="11"/>
  <c r="AR7" i="47"/>
  <c r="AR7" i="7"/>
  <c r="AR7" i="5"/>
  <c r="AR7" i="56"/>
  <c r="AR7" i="57"/>
  <c r="AR7" i="51"/>
  <c r="AI31" i="13"/>
  <c r="AQ133" i="11"/>
  <c r="AR130" i="11" s="1"/>
  <c r="AP73" i="9" l="1"/>
  <c r="AO17" i="50"/>
  <c r="AS14" i="50"/>
  <c r="AT43" i="9"/>
  <c r="AP55" i="9"/>
  <c r="AP57" i="9" s="1"/>
  <c r="AJ67" i="9"/>
  <c r="AJ65" i="9"/>
  <c r="AQ90" i="11"/>
  <c r="AR87" i="11" s="1"/>
  <c r="BE61" i="11"/>
  <c r="BF58" i="11" s="1"/>
  <c r="AU85" i="53"/>
  <c r="BD84" i="54"/>
  <c r="AP34" i="50"/>
  <c r="AQ82" i="11"/>
  <c r="AQ96" i="11" s="1"/>
  <c r="AQ23" i="11" s="1"/>
  <c r="AQ30" i="49" s="1"/>
  <c r="AQ22" i="11"/>
  <c r="AQ36" i="13" s="1"/>
  <c r="AR8" i="1"/>
  <c r="AR8" i="5"/>
  <c r="AR8" i="57"/>
  <c r="AR8" i="49"/>
  <c r="AR8" i="56"/>
  <c r="AR8" i="51"/>
  <c r="AR8" i="47"/>
  <c r="AR8" i="13"/>
  <c r="AR8" i="9"/>
  <c r="AV7" i="2"/>
  <c r="AR8" i="42"/>
  <c r="AR8" i="50"/>
  <c r="AR8" i="55"/>
  <c r="AR8" i="7"/>
  <c r="AR8" i="6"/>
  <c r="AR8" i="48"/>
  <c r="AR8" i="44"/>
  <c r="AR8" i="11"/>
  <c r="BF46" i="11"/>
  <c r="BF53" i="11" s="1"/>
  <c r="BF54" i="11"/>
  <c r="BG52" i="11" s="1"/>
  <c r="BF59" i="11"/>
  <c r="AQ97" i="11"/>
  <c r="AR94" i="11" s="1"/>
  <c r="AQ21" i="11"/>
  <c r="BQ20" i="50"/>
  <c r="BQ19" i="50" s="1"/>
  <c r="BR18" i="44"/>
  <c r="BR21" i="44" s="1"/>
  <c r="BQ23" i="44"/>
  <c r="BQ15" i="49" s="1"/>
  <c r="AO35" i="9"/>
  <c r="E16" i="49"/>
  <c r="F16" i="49"/>
  <c r="G16" i="49"/>
  <c r="H16" i="49"/>
  <c r="I16" i="49"/>
  <c r="AR167" i="11"/>
  <c r="AR153" i="11"/>
  <c r="AR161" i="11" s="1"/>
  <c r="AR162" i="11" s="1"/>
  <c r="AS159" i="11" s="1"/>
  <c r="AR132" i="11"/>
  <c r="AR133" i="11" s="1"/>
  <c r="AS130" i="11" s="1"/>
  <c r="AR83" i="56"/>
  <c r="AR90" i="56" s="1"/>
  <c r="AR134" i="56"/>
  <c r="AR141" i="56" s="1"/>
  <c r="AR57" i="56"/>
  <c r="AR64" i="56" s="1"/>
  <c r="AR160" i="56"/>
  <c r="AR167" i="56" s="1"/>
  <c r="AR109" i="56"/>
  <c r="AR116" i="56" s="1"/>
  <c r="AI17" i="48"/>
  <c r="AI14" i="49"/>
  <c r="AI32" i="13"/>
  <c r="AR45" i="11"/>
  <c r="AR152" i="11"/>
  <c r="AR160" i="11" s="1"/>
  <c r="AR224" i="11"/>
  <c r="AR232" i="11" s="1"/>
  <c r="AR80" i="11"/>
  <c r="AR88" i="11" s="1"/>
  <c r="AR188" i="11"/>
  <c r="AR196" i="11" s="1"/>
  <c r="AR198" i="11" s="1"/>
  <c r="AS195" i="11" s="1"/>
  <c r="AR116" i="11"/>
  <c r="AR124" i="11" s="1"/>
  <c r="AR126" i="11" s="1"/>
  <c r="AS123" i="11" s="1"/>
  <c r="BR32" i="50"/>
  <c r="CF82" i="54"/>
  <c r="BR93" i="44"/>
  <c r="BR17" i="49" s="1"/>
  <c r="CF83" i="54"/>
  <c r="BW83" i="53"/>
  <c r="AZ104" i="44"/>
  <c r="AY110" i="44"/>
  <c r="AY18" i="49" s="1"/>
  <c r="AY33" i="50"/>
  <c r="AQ17" i="11"/>
  <c r="AR239" i="11"/>
  <c r="AR225" i="11"/>
  <c r="AR233" i="11" s="1"/>
  <c r="AR234" i="11" s="1"/>
  <c r="AS231" i="11" s="1"/>
  <c r="AR205" i="11"/>
  <c r="AS202" i="11" s="1"/>
  <c r="AS167" i="11" l="1"/>
  <c r="AS154" i="11" s="1"/>
  <c r="AS153" i="11"/>
  <c r="AS161" i="11" s="1"/>
  <c r="AQ53" i="9"/>
  <c r="AP15" i="50"/>
  <c r="AS239" i="11"/>
  <c r="AS226" i="11" s="1"/>
  <c r="AS225" i="11"/>
  <c r="AS233" i="11" s="1"/>
  <c r="AR21" i="11"/>
  <c r="AJ16" i="50"/>
  <c r="AJ12" i="50" s="1"/>
  <c r="AK63" i="9"/>
  <c r="AR226" i="11"/>
  <c r="AR240" i="11" s="1"/>
  <c r="AR241" i="11"/>
  <c r="AS238" i="11" s="1"/>
  <c r="AR154" i="11"/>
  <c r="AR168" i="11" s="1"/>
  <c r="AR169" i="11" s="1"/>
  <c r="AS166" i="11" s="1"/>
  <c r="BF47" i="11"/>
  <c r="BF60" i="11" s="1"/>
  <c r="H103" i="53"/>
  <c r="Q101" i="54" s="1"/>
  <c r="H101" i="54"/>
  <c r="E17" i="49"/>
  <c r="F17" i="49"/>
  <c r="G17" i="49"/>
  <c r="H17" i="49"/>
  <c r="I17" i="49"/>
  <c r="AV86" i="53"/>
  <c r="BE85" i="54"/>
  <c r="AQ35" i="50"/>
  <c r="AR15" i="56"/>
  <c r="AR24" i="49" s="1"/>
  <c r="AO37" i="9"/>
  <c r="BG46" i="11"/>
  <c r="BG53" i="11" s="1"/>
  <c r="BG59" i="11"/>
  <c r="AR33" i="56"/>
  <c r="AR39" i="56" s="1"/>
  <c r="AR161" i="56"/>
  <c r="AR168" i="56" s="1"/>
  <c r="AR169" i="56" s="1"/>
  <c r="AS166" i="56" s="1"/>
  <c r="AZ108" i="44"/>
  <c r="AZ107" i="44"/>
  <c r="AI12" i="49"/>
  <c r="AT45" i="9"/>
  <c r="AT47" i="9" s="1"/>
  <c r="L103" i="53"/>
  <c r="U101" i="54" s="1"/>
  <c r="L101" i="54"/>
  <c r="AS117" i="11"/>
  <c r="AS125" i="11" s="1"/>
  <c r="AS131" i="11"/>
  <c r="AS118" i="11" s="1"/>
  <c r="AS132" i="11" s="1"/>
  <c r="K103" i="53"/>
  <c r="T101" i="54" s="1"/>
  <c r="K101" i="54"/>
  <c r="BR23" i="44"/>
  <c r="BR15" i="49" s="1"/>
  <c r="BR20" i="50"/>
  <c r="BR19" i="50" s="1"/>
  <c r="AS7" i="57"/>
  <c r="AS7" i="44"/>
  <c r="AS7" i="55"/>
  <c r="AS7" i="56"/>
  <c r="AS7" i="7"/>
  <c r="AS7" i="5"/>
  <c r="AV8" i="2"/>
  <c r="AS7" i="49"/>
  <c r="AS7" i="1"/>
  <c r="AS7" i="13"/>
  <c r="AS7" i="42"/>
  <c r="AS7" i="9"/>
  <c r="AS7" i="47"/>
  <c r="AS7" i="48"/>
  <c r="AS7" i="6"/>
  <c r="AS7" i="11"/>
  <c r="AS7" i="50"/>
  <c r="AS7" i="51"/>
  <c r="BF61" i="11"/>
  <c r="BG58" i="11" s="1"/>
  <c r="AS203" i="11"/>
  <c r="AS190" i="11" s="1"/>
  <c r="AS204" i="11" s="1"/>
  <c r="AS189" i="11"/>
  <c r="AS197" i="11" s="1"/>
  <c r="AI21" i="48"/>
  <c r="J101" i="54"/>
  <c r="J103" i="53"/>
  <c r="S101" i="54" s="1"/>
  <c r="AR81" i="11"/>
  <c r="AR89" i="11" s="1"/>
  <c r="AR16" i="11" s="1"/>
  <c r="AR28" i="49" s="1"/>
  <c r="AR95" i="11"/>
  <c r="AR14" i="11"/>
  <c r="AU63" i="53"/>
  <c r="AU62" i="53" s="1"/>
  <c r="AP75" i="9"/>
  <c r="AP77" i="9" s="1"/>
  <c r="BD62" i="54"/>
  <c r="BD61" i="54" s="1"/>
  <c r="AR15" i="11"/>
  <c r="AR27" i="49" s="1"/>
  <c r="I103" i="53"/>
  <c r="R101" i="54" s="1"/>
  <c r="I101" i="54"/>
  <c r="AQ24" i="11"/>
  <c r="AJ31" i="13"/>
  <c r="Z101" i="54" l="1"/>
  <c r="AC101" i="54"/>
  <c r="AD101" i="54"/>
  <c r="AB101" i="54"/>
  <c r="AA101" i="54"/>
  <c r="AQ73" i="9"/>
  <c r="AP17" i="50"/>
  <c r="AU43" i="9"/>
  <c r="AT14" i="50"/>
  <c r="H104" i="53"/>
  <c r="Q102" i="54" s="1"/>
  <c r="H102" i="54"/>
  <c r="AR17" i="11"/>
  <c r="AS8" i="44"/>
  <c r="AS8" i="5"/>
  <c r="AS8" i="9"/>
  <c r="AS8" i="13"/>
  <c r="AS8" i="6"/>
  <c r="AS8" i="42"/>
  <c r="AW7" i="2"/>
  <c r="AS8" i="57"/>
  <c r="AS8" i="51"/>
  <c r="AS8" i="7"/>
  <c r="AS8" i="47"/>
  <c r="AS8" i="48"/>
  <c r="AS8" i="49"/>
  <c r="AS8" i="50"/>
  <c r="AS8" i="1"/>
  <c r="AS8" i="55"/>
  <c r="AS8" i="56"/>
  <c r="AS8" i="11"/>
  <c r="E15" i="49"/>
  <c r="F15" i="49"/>
  <c r="G15" i="49"/>
  <c r="H15" i="49"/>
  <c r="I15" i="49"/>
  <c r="AS240" i="11"/>
  <c r="AZ110" i="44"/>
  <c r="AZ18" i="49" s="1"/>
  <c r="BA104" i="44"/>
  <c r="BA108" i="44" s="1"/>
  <c r="AZ33" i="50"/>
  <c r="AS241" i="11"/>
  <c r="AT238" i="11" s="1"/>
  <c r="AR82" i="11"/>
  <c r="AR96" i="11" s="1"/>
  <c r="AR23" i="11" s="1"/>
  <c r="AR30" i="49" s="1"/>
  <c r="AR22" i="11"/>
  <c r="AR36" i="13" s="1"/>
  <c r="AK65" i="9"/>
  <c r="AR90" i="11"/>
  <c r="AS87" i="11" s="1"/>
  <c r="AS109" i="56"/>
  <c r="AS116" i="56" s="1"/>
  <c r="AS57" i="56"/>
  <c r="AS64" i="56" s="1"/>
  <c r="AS134" i="56"/>
  <c r="AS141" i="56" s="1"/>
  <c r="AS83" i="56"/>
  <c r="AS90" i="56" s="1"/>
  <c r="AS160" i="56"/>
  <c r="AS167" i="56" s="1"/>
  <c r="L102" i="54"/>
  <c r="L104" i="53"/>
  <c r="U102" i="54" s="1"/>
  <c r="AR24" i="11"/>
  <c r="AQ55" i="9"/>
  <c r="AQ57" i="9" s="1"/>
  <c r="BG47" i="11"/>
  <c r="BG60" i="11" s="1"/>
  <c r="BG61" i="11"/>
  <c r="BH58" i="11" s="1"/>
  <c r="K104" i="53"/>
  <c r="T102" i="54" s="1"/>
  <c r="K102" i="54"/>
  <c r="AV85" i="53"/>
  <c r="BE84" i="54"/>
  <c r="AQ34" i="50"/>
  <c r="AS205" i="11"/>
  <c r="AT202" i="11" s="1"/>
  <c r="AI19" i="49"/>
  <c r="BG54" i="11"/>
  <c r="BH52" i="11" s="1"/>
  <c r="J104" i="53"/>
  <c r="S102" i="54" s="1"/>
  <c r="J102" i="54"/>
  <c r="AS133" i="11"/>
  <c r="AT130" i="11" s="1"/>
  <c r="AS45" i="11"/>
  <c r="AS116" i="11"/>
  <c r="AS124" i="11" s="1"/>
  <c r="AS126" i="11" s="1"/>
  <c r="AT123" i="11" s="1"/>
  <c r="AS152" i="11"/>
  <c r="AS160" i="11" s="1"/>
  <c r="AS162" i="11" s="1"/>
  <c r="AT159" i="11" s="1"/>
  <c r="AS188" i="11"/>
  <c r="AS196" i="11" s="1"/>
  <c r="AS198" i="11" s="1"/>
  <c r="AT195" i="11" s="1"/>
  <c r="AS224" i="11"/>
  <c r="AS232" i="11" s="1"/>
  <c r="AS234" i="11" s="1"/>
  <c r="AT231" i="11" s="1"/>
  <c r="AS80" i="11"/>
  <c r="AS88" i="11" s="1"/>
  <c r="AJ14" i="49"/>
  <c r="AJ17" i="48"/>
  <c r="AJ32" i="13"/>
  <c r="AP33" i="9"/>
  <c r="AO13" i="50"/>
  <c r="I102" i="54"/>
  <c r="I104" i="53"/>
  <c r="R102" i="54" s="1"/>
  <c r="AS168" i="11"/>
  <c r="AS169" i="11" s="1"/>
  <c r="AT166" i="11" s="1"/>
  <c r="AA102" i="54" l="1"/>
  <c r="AD102" i="54"/>
  <c r="AR53" i="9"/>
  <c r="AQ15" i="50"/>
  <c r="AT7" i="57"/>
  <c r="AT7" i="7"/>
  <c r="AT7" i="51"/>
  <c r="AT7" i="42"/>
  <c r="AW8" i="2"/>
  <c r="AT7" i="49"/>
  <c r="AT7" i="56"/>
  <c r="AT7" i="11"/>
  <c r="AT7" i="9"/>
  <c r="AT7" i="50"/>
  <c r="AT7" i="44"/>
  <c r="AT7" i="48"/>
  <c r="AT7" i="1"/>
  <c r="AT7" i="55"/>
  <c r="AT7" i="13"/>
  <c r="AT7" i="6"/>
  <c r="AT7" i="5"/>
  <c r="AT7" i="47"/>
  <c r="AJ12" i="49"/>
  <c r="AR34" i="50"/>
  <c r="BF84" i="54"/>
  <c r="AW85" i="53"/>
  <c r="K100" i="54"/>
  <c r="K102" i="53"/>
  <c r="T100" i="54" s="1"/>
  <c r="Z102" i="54"/>
  <c r="AS15" i="56"/>
  <c r="AS24" i="49" s="1"/>
  <c r="J102" i="53"/>
  <c r="S100" i="54" s="1"/>
  <c r="J100" i="54"/>
  <c r="AS15" i="11"/>
  <c r="AS27" i="49" s="1"/>
  <c r="AB102" i="54"/>
  <c r="AS81" i="11"/>
  <c r="AS89" i="11" s="1"/>
  <c r="AS16" i="11" s="1"/>
  <c r="AS28" i="49" s="1"/>
  <c r="AS90" i="11"/>
  <c r="AT87" i="11" s="1"/>
  <c r="AS95" i="11"/>
  <c r="AS14" i="11"/>
  <c r="AS17" i="11" s="1"/>
  <c r="H102" i="53"/>
  <c r="Q100" i="54" s="1"/>
  <c r="H100" i="54"/>
  <c r="L100" i="54"/>
  <c r="L102" i="53"/>
  <c r="U100" i="54" s="1"/>
  <c r="AJ21" i="48"/>
  <c r="AT225" i="11"/>
  <c r="AT233" i="11" s="1"/>
  <c r="AT239" i="11"/>
  <c r="AT226" i="11" s="1"/>
  <c r="AT240" i="11" s="1"/>
  <c r="AR97" i="11"/>
  <c r="AS94" i="11" s="1"/>
  <c r="BB104" i="44"/>
  <c r="BB108" i="44" s="1"/>
  <c r="BA110" i="44"/>
  <c r="BA18" i="49" s="1"/>
  <c r="BA33" i="50"/>
  <c r="BE62" i="54"/>
  <c r="BE61" i="54" s="1"/>
  <c r="AV63" i="53"/>
  <c r="AV62" i="53" s="1"/>
  <c r="AQ75" i="9"/>
  <c r="AQ77" i="9" s="1"/>
  <c r="AT117" i="11"/>
  <c r="AT125" i="11" s="1"/>
  <c r="AT131" i="11"/>
  <c r="AT118" i="11" s="1"/>
  <c r="AT132" i="11" s="1"/>
  <c r="I102" i="53"/>
  <c r="R100" i="54" s="1"/>
  <c r="I100" i="54"/>
  <c r="BH54" i="11"/>
  <c r="BI52" i="11" s="1"/>
  <c r="BH46" i="11"/>
  <c r="BH53" i="11" s="1"/>
  <c r="BH59" i="11"/>
  <c r="AP35" i="9"/>
  <c r="AT189" i="11"/>
  <c r="AT197" i="11" s="1"/>
  <c r="AT203" i="11"/>
  <c r="AT190" i="11" s="1"/>
  <c r="AT204" i="11" s="1"/>
  <c r="AK31" i="13"/>
  <c r="AS33" i="56"/>
  <c r="AS39" i="56" s="1"/>
  <c r="AS161" i="56"/>
  <c r="AS168" i="56" s="1"/>
  <c r="AS169" i="56" s="1"/>
  <c r="AT166" i="56" s="1"/>
  <c r="AU45" i="9"/>
  <c r="AU47" i="9" s="1"/>
  <c r="AT153" i="11"/>
  <c r="AT161" i="11" s="1"/>
  <c r="AT167" i="11"/>
  <c r="AT154" i="11" s="1"/>
  <c r="AT168" i="11" s="1"/>
  <c r="AC102" i="54"/>
  <c r="AK67" i="9"/>
  <c r="AW86" i="53"/>
  <c r="BF85" i="54"/>
  <c r="AR35" i="50"/>
  <c r="AC100" i="54" l="1"/>
  <c r="AD100" i="54"/>
  <c r="AB100" i="54"/>
  <c r="AA100" i="54"/>
  <c r="AV43" i="9"/>
  <c r="AU14" i="50"/>
  <c r="AR73" i="9"/>
  <c r="AQ17" i="50"/>
  <c r="BI46" i="11"/>
  <c r="BI53" i="11" s="1"/>
  <c r="BI59" i="11"/>
  <c r="Z100" i="54"/>
  <c r="AT188" i="11"/>
  <c r="AT196" i="11" s="1"/>
  <c r="AT198" i="11" s="1"/>
  <c r="AU195" i="11" s="1"/>
  <c r="AT80" i="11"/>
  <c r="AT88" i="11" s="1"/>
  <c r="AX86" i="53"/>
  <c r="BG85" i="54"/>
  <c r="AS35" i="50"/>
  <c r="AT57" i="56"/>
  <c r="AT64" i="56" s="1"/>
  <c r="AT134" i="56"/>
  <c r="AT141" i="56" s="1"/>
  <c r="AT241" i="11"/>
  <c r="AU238" i="11" s="1"/>
  <c r="AS82" i="11"/>
  <c r="AS96" i="11" s="1"/>
  <c r="AS23" i="11" s="1"/>
  <c r="AS30" i="49" s="1"/>
  <c r="AS22" i="11"/>
  <c r="AS36" i="13" s="1"/>
  <c r="AT205" i="11"/>
  <c r="AU202" i="11" s="1"/>
  <c r="AT95" i="11"/>
  <c r="AT81" i="11"/>
  <c r="AT89" i="11" s="1"/>
  <c r="AT16" i="11" s="1"/>
  <c r="AT28" i="49" s="1"/>
  <c r="AT14" i="11"/>
  <c r="AT8" i="47"/>
  <c r="AT8" i="5"/>
  <c r="AT8" i="57"/>
  <c r="AT8" i="6"/>
  <c r="AT8" i="13"/>
  <c r="AT8" i="51"/>
  <c r="AT8" i="44"/>
  <c r="AT8" i="7"/>
  <c r="AT8" i="50"/>
  <c r="AT8" i="56"/>
  <c r="AT109" i="56" s="1"/>
  <c r="AT116" i="56" s="1"/>
  <c r="AT8" i="11"/>
  <c r="AT152" i="11" s="1"/>
  <c r="AT160" i="11" s="1"/>
  <c r="AT162" i="11" s="1"/>
  <c r="AU159" i="11" s="1"/>
  <c r="AT8" i="9"/>
  <c r="AT8" i="49"/>
  <c r="AT8" i="48"/>
  <c r="AT8" i="42"/>
  <c r="AT8" i="1"/>
  <c r="AX7" i="2"/>
  <c r="AT8" i="55"/>
  <c r="AK17" i="48"/>
  <c r="AK14" i="49"/>
  <c r="AK32" i="13"/>
  <c r="BB110" i="44"/>
  <c r="BB18" i="49" s="1"/>
  <c r="BC104" i="44"/>
  <c r="BB33" i="50"/>
  <c r="AT133" i="11"/>
  <c r="AU130" i="11" s="1"/>
  <c r="AJ19" i="49"/>
  <c r="AR55" i="9"/>
  <c r="AR57" i="9" s="1"/>
  <c r="AK16" i="50"/>
  <c r="AK12" i="50" s="1"/>
  <c r="AL63" i="9"/>
  <c r="AP37" i="9"/>
  <c r="BH47" i="11"/>
  <c r="BH60" i="11" s="1"/>
  <c r="BH61" i="11" s="1"/>
  <c r="BI58" i="11" s="1"/>
  <c r="AS21" i="11"/>
  <c r="AT169" i="11"/>
  <c r="AU166" i="11" s="1"/>
  <c r="AU167" i="11" l="1"/>
  <c r="AU153" i="11"/>
  <c r="AU161" i="11" s="1"/>
  <c r="AR15" i="50"/>
  <c r="AS53" i="9"/>
  <c r="AS24" i="11"/>
  <c r="AL65" i="9"/>
  <c r="AL67" i="9" s="1"/>
  <c r="BC108" i="44"/>
  <c r="BC107" i="44"/>
  <c r="AK21" i="48"/>
  <c r="AT224" i="11"/>
  <c r="AT232" i="11" s="1"/>
  <c r="AT234" i="11" s="1"/>
  <c r="AU231" i="11" s="1"/>
  <c r="BI54" i="11"/>
  <c r="BJ52" i="11" s="1"/>
  <c r="AS97" i="11"/>
  <c r="AT94" i="11" s="1"/>
  <c r="AT33" i="56"/>
  <c r="AT39" i="56" s="1"/>
  <c r="AT161" i="56"/>
  <c r="AT168" i="56" s="1"/>
  <c r="AT160" i="56"/>
  <c r="AT167" i="56" s="1"/>
  <c r="AT45" i="11"/>
  <c r="AU7" i="49"/>
  <c r="AU7" i="5"/>
  <c r="AX8" i="2"/>
  <c r="AU7" i="47"/>
  <c r="AU7" i="48"/>
  <c r="AU7" i="44"/>
  <c r="AU7" i="11"/>
  <c r="AU7" i="42"/>
  <c r="AU7" i="51"/>
  <c r="AU7" i="57"/>
  <c r="AU7" i="13"/>
  <c r="AU7" i="55"/>
  <c r="AU7" i="7"/>
  <c r="AU7" i="1"/>
  <c r="AU7" i="56"/>
  <c r="AU7" i="9"/>
  <c r="AU7" i="50"/>
  <c r="AU7" i="6"/>
  <c r="AU189" i="11"/>
  <c r="AU197" i="11" s="1"/>
  <c r="AU203" i="11"/>
  <c r="AT116" i="11"/>
  <c r="AT124" i="11" s="1"/>
  <c r="AT126" i="11" s="1"/>
  <c r="AU123" i="11" s="1"/>
  <c r="BF62" i="54"/>
  <c r="BF61" i="54" s="1"/>
  <c r="AW63" i="53"/>
  <c r="AW62" i="53" s="1"/>
  <c r="AR75" i="9"/>
  <c r="AR77" i="9" s="1"/>
  <c r="AQ33" i="9"/>
  <c r="AP13" i="50"/>
  <c r="AT90" i="11"/>
  <c r="AU87" i="11" s="1"/>
  <c r="BI47" i="11"/>
  <c r="BI60" i="11" s="1"/>
  <c r="BI61" i="11" s="1"/>
  <c r="BJ58" i="11" s="1"/>
  <c r="AK12" i="49"/>
  <c r="AT82" i="11"/>
  <c r="AT22" i="11"/>
  <c r="AT36" i="13" s="1"/>
  <c r="AT83" i="56"/>
  <c r="AT90" i="56" s="1"/>
  <c r="AT15" i="56" s="1"/>
  <c r="AT24" i="49" s="1"/>
  <c r="AV45" i="9"/>
  <c r="AV47" i="9"/>
  <c r="AS73" i="9" l="1"/>
  <c r="AR17" i="50"/>
  <c r="AL16" i="50"/>
  <c r="AL12" i="50" s="1"/>
  <c r="AM63" i="9"/>
  <c r="AQ37" i="9"/>
  <c r="AQ35" i="9"/>
  <c r="AU190" i="11"/>
  <c r="AU204" i="11" s="1"/>
  <c r="AT21" i="11"/>
  <c r="AT24" i="11" s="1"/>
  <c r="BC110" i="44"/>
  <c r="BC18" i="49" s="1"/>
  <c r="BD104" i="44"/>
  <c r="BD108" i="44" s="1"/>
  <c r="BC33" i="50"/>
  <c r="AS55" i="9"/>
  <c r="AS57" i="9" s="1"/>
  <c r="AT15" i="11"/>
  <c r="AV14" i="50"/>
  <c r="AW43" i="9"/>
  <c r="BJ46" i="11"/>
  <c r="BJ53" i="11" s="1"/>
  <c r="BJ54" i="11" s="1"/>
  <c r="BK52" i="11" s="1"/>
  <c r="BJ59" i="11"/>
  <c r="AL31" i="13"/>
  <c r="AU8" i="5"/>
  <c r="AU8" i="7"/>
  <c r="AU8" i="13"/>
  <c r="AU8" i="57"/>
  <c r="AU8" i="11"/>
  <c r="AU8" i="9"/>
  <c r="AY7" i="2"/>
  <c r="AU8" i="1"/>
  <c r="AU8" i="48"/>
  <c r="AU8" i="42"/>
  <c r="AU8" i="44"/>
  <c r="AU8" i="6"/>
  <c r="AU8" i="47"/>
  <c r="AU8" i="55"/>
  <c r="AU8" i="49"/>
  <c r="AU8" i="56"/>
  <c r="AU8" i="50"/>
  <c r="AU8" i="51"/>
  <c r="AT96" i="11"/>
  <c r="AT23" i="11" s="1"/>
  <c r="AT30" i="49" s="1"/>
  <c r="AU95" i="11"/>
  <c r="AU81" i="11"/>
  <c r="AU89" i="11" s="1"/>
  <c r="AU14" i="11"/>
  <c r="AU131" i="11"/>
  <c r="AU117" i="11"/>
  <c r="AU125" i="11" s="1"/>
  <c r="AU225" i="11"/>
  <c r="AU233" i="11" s="1"/>
  <c r="AU239" i="11"/>
  <c r="AX85" i="53"/>
  <c r="BG84" i="54"/>
  <c r="AS34" i="50"/>
  <c r="AK19" i="49"/>
  <c r="AU134" i="56"/>
  <c r="AU141" i="56" s="1"/>
  <c r="AU160" i="56"/>
  <c r="AU167" i="56" s="1"/>
  <c r="AU83" i="56"/>
  <c r="AU90" i="56" s="1"/>
  <c r="AU45" i="11"/>
  <c r="AU152" i="11"/>
  <c r="AU160" i="11" s="1"/>
  <c r="AU116" i="11"/>
  <c r="AU124" i="11" s="1"/>
  <c r="AU224" i="11"/>
  <c r="AU232" i="11" s="1"/>
  <c r="AU188" i="11"/>
  <c r="AU196" i="11" s="1"/>
  <c r="AU80" i="11"/>
  <c r="AU88" i="11" s="1"/>
  <c r="AT169" i="56"/>
  <c r="AU166" i="56" s="1"/>
  <c r="AU205" i="11"/>
  <c r="AV202" i="11" s="1"/>
  <c r="AU154" i="11"/>
  <c r="AU168" i="11" s="1"/>
  <c r="AT53" i="9" l="1"/>
  <c r="AS15" i="50"/>
  <c r="BK46" i="11"/>
  <c r="BK53" i="11" s="1"/>
  <c r="BK54" i="11"/>
  <c r="BL52" i="11" s="1"/>
  <c r="BK59" i="11"/>
  <c r="AU15" i="11"/>
  <c r="AU118" i="11"/>
  <c r="AU132" i="11" s="1"/>
  <c r="AU133" i="11"/>
  <c r="AV130" i="11" s="1"/>
  <c r="AU33" i="56"/>
  <c r="AU39" i="56" s="1"/>
  <c r="AU161" i="56"/>
  <c r="AU168" i="56" s="1"/>
  <c r="AW45" i="9"/>
  <c r="AW47" i="9" s="1"/>
  <c r="BE104" i="44"/>
  <c r="BE108" i="44" s="1"/>
  <c r="BD110" i="44"/>
  <c r="BD18" i="49" s="1"/>
  <c r="BD33" i="50"/>
  <c r="AL14" i="49"/>
  <c r="AL17" i="48"/>
  <c r="AL32" i="13"/>
  <c r="BH84" i="54"/>
  <c r="AY85" i="53"/>
  <c r="AT34" i="50"/>
  <c r="AM65" i="9"/>
  <c r="AM31" i="13" s="1"/>
  <c r="AM67" i="9"/>
  <c r="AU57" i="56"/>
  <c r="AU64" i="56" s="1"/>
  <c r="AU234" i="11"/>
  <c r="AV231" i="11" s="1"/>
  <c r="AU82" i="11"/>
  <c r="AU22" i="11"/>
  <c r="AT27" i="49"/>
  <c r="AT17" i="11"/>
  <c r="AT97" i="11"/>
  <c r="AU94" i="11" s="1"/>
  <c r="AU198" i="11"/>
  <c r="AV195" i="11" s="1"/>
  <c r="AU16" i="11"/>
  <c r="AU226" i="11"/>
  <c r="AU240" i="11" s="1"/>
  <c r="AU90" i="11"/>
  <c r="AV87" i="11" s="1"/>
  <c r="AV7" i="57"/>
  <c r="AV7" i="47"/>
  <c r="AV7" i="56"/>
  <c r="AV7" i="6"/>
  <c r="AV7" i="48"/>
  <c r="AV7" i="55"/>
  <c r="AV7" i="9"/>
  <c r="AV7" i="13"/>
  <c r="AV7" i="5"/>
  <c r="AV7" i="1"/>
  <c r="AV7" i="42"/>
  <c r="AV7" i="51"/>
  <c r="AV7" i="7"/>
  <c r="AV7" i="50"/>
  <c r="AV7" i="44"/>
  <c r="AY8" i="2"/>
  <c r="AV7" i="49"/>
  <c r="AV7" i="11"/>
  <c r="AR33" i="9"/>
  <c r="AQ13" i="50"/>
  <c r="BJ47" i="11"/>
  <c r="BJ60" i="11" s="1"/>
  <c r="BJ61" i="11" s="1"/>
  <c r="BK58" i="11" s="1"/>
  <c r="AU169" i="11"/>
  <c r="AV166" i="11" s="1"/>
  <c r="AU126" i="11"/>
  <c r="AV123" i="11" s="1"/>
  <c r="AU162" i="11"/>
  <c r="AV159" i="11" s="1"/>
  <c r="AU109" i="56"/>
  <c r="AU116" i="56" s="1"/>
  <c r="AX63" i="53"/>
  <c r="AX62" i="53" s="1"/>
  <c r="AS75" i="9"/>
  <c r="AS77" i="9"/>
  <c r="BG62" i="54"/>
  <c r="BG61" i="54" s="1"/>
  <c r="AX43" i="9" l="1"/>
  <c r="AW14" i="50"/>
  <c r="AU97" i="11"/>
  <c r="AV94" i="11" s="1"/>
  <c r="AU21" i="11"/>
  <c r="AL21" i="48"/>
  <c r="AU27" i="49"/>
  <c r="AV109" i="56"/>
  <c r="AV116" i="56" s="1"/>
  <c r="AY86" i="53"/>
  <c r="BH85" i="54"/>
  <c r="AT35" i="50"/>
  <c r="AN63" i="9"/>
  <c r="AM16" i="50"/>
  <c r="AM12" i="50" s="1"/>
  <c r="AV153" i="11"/>
  <c r="AV161" i="11" s="1"/>
  <c r="AV167" i="11"/>
  <c r="AU28" i="49"/>
  <c r="AM14" i="49"/>
  <c r="AM17" i="48"/>
  <c r="AM21" i="48" s="1"/>
  <c r="AM32" i="13"/>
  <c r="BK47" i="11"/>
  <c r="BK60" i="11" s="1"/>
  <c r="AU36" i="13"/>
  <c r="BL46" i="11"/>
  <c r="BL53" i="11" s="1"/>
  <c r="BL59" i="11"/>
  <c r="AV189" i="11"/>
  <c r="AV197" i="11" s="1"/>
  <c r="AV203" i="11"/>
  <c r="AR35" i="9"/>
  <c r="AR37" i="9"/>
  <c r="AZ7" i="2"/>
  <c r="AV8" i="7"/>
  <c r="AV8" i="55"/>
  <c r="AV8" i="6"/>
  <c r="AV8" i="47"/>
  <c r="AV8" i="49"/>
  <c r="AV8" i="44"/>
  <c r="AV8" i="1"/>
  <c r="AV8" i="13"/>
  <c r="AV8" i="57"/>
  <c r="AV8" i="51"/>
  <c r="AV8" i="5"/>
  <c r="AV8" i="56"/>
  <c r="AV8" i="11"/>
  <c r="AV116" i="11" s="1"/>
  <c r="AV124" i="11" s="1"/>
  <c r="AV8" i="48"/>
  <c r="AV8" i="9"/>
  <c r="AV8" i="42"/>
  <c r="AV8" i="50"/>
  <c r="AV81" i="11"/>
  <c r="AV89" i="11" s="1"/>
  <c r="AV95" i="11"/>
  <c r="AV14" i="11"/>
  <c r="AU96" i="11"/>
  <c r="BF104" i="44"/>
  <c r="BE110" i="44"/>
  <c r="BE18" i="49" s="1"/>
  <c r="BE33" i="50"/>
  <c r="AS17" i="50"/>
  <c r="AT73" i="9"/>
  <c r="AU241" i="11"/>
  <c r="AV238" i="11" s="1"/>
  <c r="AU17" i="11"/>
  <c r="AV239" i="11"/>
  <c r="AV225" i="11"/>
  <c r="AV233" i="11" s="1"/>
  <c r="AU169" i="56"/>
  <c r="AV166" i="56" s="1"/>
  <c r="AV131" i="11"/>
  <c r="AV117" i="11"/>
  <c r="AV125" i="11" s="1"/>
  <c r="AU15" i="56"/>
  <c r="AL12" i="49"/>
  <c r="AT55" i="9"/>
  <c r="AT57" i="9"/>
  <c r="AV126" i="11" l="1"/>
  <c r="AW123" i="11" s="1"/>
  <c r="AV21" i="11"/>
  <c r="AV169" i="56"/>
  <c r="AW166" i="56" s="1"/>
  <c r="AV16" i="11"/>
  <c r="AV33" i="56"/>
  <c r="AV39" i="56" s="1"/>
  <c r="AV161" i="56"/>
  <c r="AV168" i="56" s="1"/>
  <c r="AV80" i="11"/>
  <c r="AV88" i="11" s="1"/>
  <c r="AN65" i="9"/>
  <c r="AN31" i="13" s="1"/>
  <c r="AV57" i="56"/>
  <c r="AV64" i="56" s="1"/>
  <c r="BH62" i="54"/>
  <c r="BH61" i="54" s="1"/>
  <c r="AY63" i="53"/>
  <c r="AY62" i="53" s="1"/>
  <c r="AT75" i="9"/>
  <c r="AT77" i="9" s="1"/>
  <c r="BL54" i="11"/>
  <c r="BM52" i="11" s="1"/>
  <c r="AV45" i="11"/>
  <c r="AV82" i="11"/>
  <c r="AV96" i="11" s="1"/>
  <c r="AV97" i="11" s="1"/>
  <c r="AW94" i="11" s="1"/>
  <c r="AV22" i="11"/>
  <c r="AL19" i="49"/>
  <c r="AV154" i="11"/>
  <c r="AV168" i="11" s="1"/>
  <c r="AM12" i="49"/>
  <c r="AM19" i="49" s="1"/>
  <c r="AV226" i="11"/>
  <c r="AV240" i="11" s="1"/>
  <c r="BF107" i="44"/>
  <c r="BF108" i="44" s="1"/>
  <c r="AT15" i="50"/>
  <c r="AU53" i="9"/>
  <c r="AV152" i="11"/>
  <c r="AV160" i="11" s="1"/>
  <c r="AU24" i="49"/>
  <c r="BI85" i="54"/>
  <c r="AZ86" i="53"/>
  <c r="AU35" i="50"/>
  <c r="AU23" i="11"/>
  <c r="AW7" i="11"/>
  <c r="AW7" i="56"/>
  <c r="AW7" i="57"/>
  <c r="AW7" i="55"/>
  <c r="AW7" i="7"/>
  <c r="AW7" i="51"/>
  <c r="AW7" i="44"/>
  <c r="AW7" i="50"/>
  <c r="AW7" i="49"/>
  <c r="AW7" i="13"/>
  <c r="AW7" i="48"/>
  <c r="AZ8" i="2"/>
  <c r="AW7" i="9"/>
  <c r="AW7" i="42"/>
  <c r="AW7" i="5"/>
  <c r="AW7" i="1"/>
  <c r="AW7" i="6"/>
  <c r="AW7" i="47"/>
  <c r="AV224" i="11"/>
  <c r="AV232" i="11" s="1"/>
  <c r="AV83" i="56"/>
  <c r="AV90" i="56" s="1"/>
  <c r="BK61" i="11"/>
  <c r="BL58" i="11" s="1"/>
  <c r="AV118" i="11"/>
  <c r="AV132" i="11" s="1"/>
  <c r="AV190" i="11"/>
  <c r="AV204" i="11" s="1"/>
  <c r="AV205" i="11"/>
  <c r="AW202" i="11" s="1"/>
  <c r="AV188" i="11"/>
  <c r="AV196" i="11" s="1"/>
  <c r="AV160" i="56"/>
  <c r="AV167" i="56" s="1"/>
  <c r="AV241" i="11"/>
  <c r="AW238" i="11" s="1"/>
  <c r="AS33" i="9"/>
  <c r="AR13" i="50"/>
  <c r="BL47" i="11"/>
  <c r="BL60" i="11" s="1"/>
  <c r="AV133" i="11"/>
  <c r="AW130" i="11" s="1"/>
  <c r="AV134" i="56"/>
  <c r="AV141" i="56" s="1"/>
  <c r="AU24" i="11"/>
  <c r="AX45" i="9"/>
  <c r="AX47" i="9" s="1"/>
  <c r="AX14" i="50" l="1"/>
  <c r="AY43" i="9"/>
  <c r="AU73" i="9"/>
  <c r="AT17" i="50"/>
  <c r="BG104" i="44"/>
  <c r="BG108" i="44" s="1"/>
  <c r="BF110" i="44"/>
  <c r="BF18" i="49" s="1"/>
  <c r="BF33" i="50"/>
  <c r="AV234" i="11"/>
  <c r="AW231" i="11" s="1"/>
  <c r="AW8" i="50"/>
  <c r="AW8" i="49"/>
  <c r="AW8" i="13"/>
  <c r="AW8" i="11"/>
  <c r="AW116" i="11" s="1"/>
  <c r="AW124" i="11" s="1"/>
  <c r="BA7" i="2"/>
  <c r="AW8" i="51"/>
  <c r="AW8" i="44"/>
  <c r="AW8" i="56"/>
  <c r="AW8" i="48"/>
  <c r="AW8" i="47"/>
  <c r="AW8" i="55"/>
  <c r="AW8" i="57"/>
  <c r="AW8" i="9"/>
  <c r="AW8" i="42"/>
  <c r="AW8" i="1"/>
  <c r="AW8" i="6"/>
  <c r="AW8" i="5"/>
  <c r="AW8" i="7"/>
  <c r="AN67" i="9"/>
  <c r="AV28" i="49"/>
  <c r="BM59" i="11"/>
  <c r="BM46" i="11"/>
  <c r="BM53" i="11" s="1"/>
  <c r="BM54" i="11" s="1"/>
  <c r="BN52" i="11" s="1"/>
  <c r="AW134" i="56"/>
  <c r="AW141" i="56" s="1"/>
  <c r="AW160" i="56"/>
  <c r="AW167" i="56" s="1"/>
  <c r="AW83" i="56"/>
  <c r="AW90" i="56" s="1"/>
  <c r="AW57" i="56"/>
  <c r="AW64" i="56" s="1"/>
  <c r="AW15" i="56" s="1"/>
  <c r="AW24" i="49" s="1"/>
  <c r="AW109" i="56"/>
  <c r="AW116" i="56" s="1"/>
  <c r="AV15" i="11"/>
  <c r="AV90" i="11"/>
  <c r="AW87" i="11" s="1"/>
  <c r="AV24" i="11"/>
  <c r="AW224" i="11"/>
  <c r="AW232" i="11" s="1"/>
  <c r="AU30" i="49"/>
  <c r="AV162" i="11"/>
  <c r="AW159" i="11" s="1"/>
  <c r="AU55" i="9"/>
  <c r="AZ85" i="53"/>
  <c r="BI84" i="54"/>
  <c r="AU34" i="50"/>
  <c r="AV198" i="11"/>
  <c r="AW195" i="11" s="1"/>
  <c r="BL61" i="11"/>
  <c r="BM58" i="11" s="1"/>
  <c r="AV36" i="13"/>
  <c r="AW131" i="11"/>
  <c r="AW117" i="11"/>
  <c r="AW125" i="11" s="1"/>
  <c r="AN14" i="49"/>
  <c r="AN17" i="48"/>
  <c r="AN21" i="48" s="1"/>
  <c r="AN32" i="13"/>
  <c r="AS35" i="9"/>
  <c r="AS37" i="9" s="1"/>
  <c r="AV169" i="11"/>
  <c r="AW166" i="11" s="1"/>
  <c r="AV23" i="11"/>
  <c r="AV30" i="49" s="1"/>
  <c r="AV15" i="56"/>
  <c r="BN59" i="11" l="1"/>
  <c r="BN46" i="11"/>
  <c r="BN53" i="11" s="1"/>
  <c r="BN54" i="11" s="1"/>
  <c r="BO52" i="11" s="1"/>
  <c r="AW126" i="11"/>
  <c r="AX123" i="11" s="1"/>
  <c r="AT33" i="9"/>
  <c r="AS13" i="50"/>
  <c r="AW118" i="11"/>
  <c r="AW132" i="11" s="1"/>
  <c r="AW133" i="11" s="1"/>
  <c r="AX130" i="11" s="1"/>
  <c r="AW152" i="11"/>
  <c r="AW160" i="11" s="1"/>
  <c r="AW162" i="11" s="1"/>
  <c r="AX159" i="11" s="1"/>
  <c r="AW95" i="11"/>
  <c r="AW81" i="11"/>
  <c r="AW89" i="11" s="1"/>
  <c r="AW14" i="11"/>
  <c r="AN16" i="50"/>
  <c r="AN12" i="50" s="1"/>
  <c r="AO63" i="9"/>
  <c r="AW189" i="11"/>
  <c r="AW197" i="11" s="1"/>
  <c r="AW203" i="11"/>
  <c r="AW153" i="11"/>
  <c r="AW161" i="11" s="1"/>
  <c r="AW167" i="11"/>
  <c r="AW45" i="11"/>
  <c r="BH104" i="44"/>
  <c r="BH108" i="44" s="1"/>
  <c r="BG110" i="44"/>
  <c r="BG18" i="49" s="1"/>
  <c r="BG33" i="50"/>
  <c r="BJ84" i="54"/>
  <c r="BA85" i="53"/>
  <c r="AV34" i="50"/>
  <c r="AN12" i="49"/>
  <c r="AN19" i="49" s="1"/>
  <c r="AW80" i="11"/>
  <c r="AW88" i="11" s="1"/>
  <c r="AV27" i="49"/>
  <c r="AV17" i="11"/>
  <c r="AW188" i="11"/>
  <c r="AW196" i="11" s="1"/>
  <c r="AW33" i="56"/>
  <c r="AW39" i="56" s="1"/>
  <c r="AW161" i="56"/>
  <c r="AW168" i="56" s="1"/>
  <c r="AW169" i="56" s="1"/>
  <c r="AX166" i="56" s="1"/>
  <c r="AW239" i="11"/>
  <c r="AW225" i="11"/>
  <c r="AW233" i="11" s="1"/>
  <c r="AW234" i="11" s="1"/>
  <c r="AX231" i="11" s="1"/>
  <c r="BI62" i="54"/>
  <c r="BI61" i="54" s="1"/>
  <c r="AZ63" i="53"/>
  <c r="AZ62" i="53" s="1"/>
  <c r="AU75" i="9"/>
  <c r="AU77" i="9" s="1"/>
  <c r="AX7" i="9"/>
  <c r="AX7" i="55"/>
  <c r="AX7" i="57"/>
  <c r="AX7" i="7"/>
  <c r="BA8" i="2"/>
  <c r="AX7" i="56"/>
  <c r="AX7" i="11"/>
  <c r="AX7" i="42"/>
  <c r="AX7" i="48"/>
  <c r="AX7" i="50"/>
  <c r="AX7" i="1"/>
  <c r="AX7" i="47"/>
  <c r="AX7" i="13"/>
  <c r="AX7" i="44"/>
  <c r="AX7" i="5"/>
  <c r="AX7" i="51"/>
  <c r="AX7" i="49"/>
  <c r="AX7" i="6"/>
  <c r="AY45" i="9"/>
  <c r="AY47" i="9"/>
  <c r="AV24" i="49"/>
  <c r="AU57" i="9"/>
  <c r="BM47" i="11"/>
  <c r="BM60" i="11" s="1"/>
  <c r="AW21" i="11"/>
  <c r="AX153" i="11" l="1"/>
  <c r="AX161" i="11" s="1"/>
  <c r="AX167" i="11"/>
  <c r="AX154" i="11" s="1"/>
  <c r="AX225" i="11"/>
  <c r="AX233" i="11" s="1"/>
  <c r="AX239" i="11"/>
  <c r="AX226" i="11" s="1"/>
  <c r="AX240" i="11" s="1"/>
  <c r="BO46" i="11"/>
  <c r="BO53" i="11" s="1"/>
  <c r="BO59" i="11"/>
  <c r="AU17" i="50"/>
  <c r="AV73" i="9"/>
  <c r="AX131" i="11"/>
  <c r="AX117" i="11"/>
  <c r="AX125" i="11" s="1"/>
  <c r="AZ43" i="9"/>
  <c r="AY14" i="50"/>
  <c r="BN47" i="11"/>
  <c r="AU15" i="50"/>
  <c r="AV53" i="9"/>
  <c r="AW190" i="11"/>
  <c r="AW204" i="11" s="1"/>
  <c r="AW205" i="11"/>
  <c r="AX202" i="11" s="1"/>
  <c r="AW16" i="11"/>
  <c r="AT35" i="9"/>
  <c r="AT37" i="9" s="1"/>
  <c r="AW82" i="11"/>
  <c r="AW96" i="11" s="1"/>
  <c r="AW97" i="11" s="1"/>
  <c r="AX94" i="11" s="1"/>
  <c r="AW22" i="11"/>
  <c r="AW226" i="11"/>
  <c r="AW240" i="11" s="1"/>
  <c r="AW241" i="11"/>
  <c r="AX238" i="11" s="1"/>
  <c r="BI104" i="44"/>
  <c r="BH110" i="44"/>
  <c r="BH18" i="49" s="1"/>
  <c r="BH33" i="50"/>
  <c r="AW15" i="11"/>
  <c r="AW154" i="11"/>
  <c r="AW168" i="11" s="1"/>
  <c r="AO65" i="9"/>
  <c r="AO31" i="13" s="1"/>
  <c r="BM61" i="11"/>
  <c r="BN58" i="11" s="1"/>
  <c r="AX134" i="56"/>
  <c r="AX141" i="56" s="1"/>
  <c r="AX83" i="56"/>
  <c r="AX90" i="56" s="1"/>
  <c r="AV35" i="50"/>
  <c r="BA86" i="53"/>
  <c r="BJ85" i="54"/>
  <c r="AX8" i="1"/>
  <c r="AX8" i="51"/>
  <c r="AX8" i="7"/>
  <c r="AX8" i="42"/>
  <c r="AX8" i="56"/>
  <c r="AX109" i="56" s="1"/>
  <c r="AX116" i="56" s="1"/>
  <c r="AX8" i="55"/>
  <c r="AX8" i="9"/>
  <c r="AX8" i="49"/>
  <c r="AX8" i="5"/>
  <c r="AX8" i="48"/>
  <c r="AX8" i="11"/>
  <c r="AX188" i="11" s="1"/>
  <c r="AX196" i="11" s="1"/>
  <c r="BB7" i="2"/>
  <c r="AX8" i="57"/>
  <c r="AX8" i="50"/>
  <c r="AX8" i="13"/>
  <c r="AX8" i="44"/>
  <c r="AX8" i="6"/>
  <c r="AX8" i="47"/>
  <c r="AW198" i="11"/>
  <c r="AX195" i="11" s="1"/>
  <c r="AW90" i="11"/>
  <c r="AX87" i="11" s="1"/>
  <c r="AU33" i="9" l="1"/>
  <c r="AT13" i="50"/>
  <c r="AX80" i="11"/>
  <c r="AX88" i="11" s="1"/>
  <c r="AX203" i="11"/>
  <c r="AX198" i="11"/>
  <c r="AY195" i="11" s="1"/>
  <c r="AX189" i="11"/>
  <c r="AX197" i="11" s="1"/>
  <c r="AY7" i="42"/>
  <c r="AY7" i="48"/>
  <c r="BB8" i="2"/>
  <c r="AY7" i="5"/>
  <c r="AY7" i="6"/>
  <c r="AY7" i="50"/>
  <c r="AY7" i="7"/>
  <c r="AY7" i="13"/>
  <c r="AY7" i="55"/>
  <c r="AY7" i="44"/>
  <c r="AY7" i="1"/>
  <c r="AY7" i="49"/>
  <c r="AY7" i="51"/>
  <c r="AY7" i="47"/>
  <c r="AY7" i="11"/>
  <c r="AY7" i="57"/>
  <c r="AY7" i="9"/>
  <c r="AY7" i="56"/>
  <c r="AX160" i="56"/>
  <c r="AX167" i="56" s="1"/>
  <c r="BI107" i="44"/>
  <c r="AV55" i="9"/>
  <c r="AX116" i="11"/>
  <c r="AX124" i="11" s="1"/>
  <c r="AX126" i="11" s="1"/>
  <c r="AY123" i="11" s="1"/>
  <c r="AX118" i="11"/>
  <c r="AX132" i="11" s="1"/>
  <c r="AW27" i="49"/>
  <c r="AW28" i="49"/>
  <c r="BN60" i="11"/>
  <c r="BN61" i="11" s="1"/>
  <c r="BO58" i="11" s="1"/>
  <c r="AX152" i="11"/>
  <c r="AX160" i="11" s="1"/>
  <c r="AX162" i="11" s="1"/>
  <c r="AY159" i="11" s="1"/>
  <c r="BJ62" i="54"/>
  <c r="BJ61" i="54" s="1"/>
  <c r="AV75" i="9"/>
  <c r="AV77" i="9"/>
  <c r="BA63" i="53"/>
  <c r="BA62" i="53" s="1"/>
  <c r="AO17" i="48"/>
  <c r="AO21" i="48" s="1"/>
  <c r="AO14" i="49"/>
  <c r="AO32" i="13"/>
  <c r="AX241" i="11"/>
  <c r="AY238" i="11" s="1"/>
  <c r="AX224" i="11"/>
  <c r="AX232" i="11" s="1"/>
  <c r="AX234" i="11" s="1"/>
  <c r="AY231" i="11" s="1"/>
  <c r="AW169" i="11"/>
  <c r="AX166" i="11" s="1"/>
  <c r="AW17" i="11"/>
  <c r="AO67" i="9"/>
  <c r="AZ45" i="9"/>
  <c r="AZ47" i="9" s="1"/>
  <c r="BO54" i="11"/>
  <c r="BP52" i="11" s="1"/>
  <c r="AW36" i="13"/>
  <c r="AX45" i="11"/>
  <c r="BO47" i="11"/>
  <c r="AX95" i="11"/>
  <c r="AX81" i="11"/>
  <c r="AX89" i="11" s="1"/>
  <c r="AX90" i="11"/>
  <c r="AY87" i="11" s="1"/>
  <c r="AX14" i="11"/>
  <c r="AX33" i="56"/>
  <c r="AX39" i="56" s="1"/>
  <c r="AX161" i="56"/>
  <c r="AX168" i="56" s="1"/>
  <c r="AX57" i="56"/>
  <c r="AX64" i="56" s="1"/>
  <c r="AW23" i="11"/>
  <c r="AX133" i="11"/>
  <c r="AY130" i="11" s="1"/>
  <c r="AZ14" i="50" l="1"/>
  <c r="BA43" i="9"/>
  <c r="AX169" i="11"/>
  <c r="AY166" i="11" s="1"/>
  <c r="AW73" i="9"/>
  <c r="AV17" i="50"/>
  <c r="AY116" i="11"/>
  <c r="AY124" i="11" s="1"/>
  <c r="AY126" i="11" s="1"/>
  <c r="AZ123" i="11" s="1"/>
  <c r="AY189" i="11"/>
  <c r="AY197" i="11" s="1"/>
  <c r="AY203" i="11"/>
  <c r="AY190" i="11" s="1"/>
  <c r="BP46" i="11"/>
  <c r="BP53" i="11" s="1"/>
  <c r="BP54" i="11" s="1"/>
  <c r="BQ52" i="11" s="1"/>
  <c r="BP59" i="11"/>
  <c r="AX16" i="11"/>
  <c r="AX17" i="11" s="1"/>
  <c r="AY239" i="11"/>
  <c r="AY225" i="11"/>
  <c r="AY233" i="11" s="1"/>
  <c r="AX15" i="11"/>
  <c r="AY95" i="11"/>
  <c r="AY81" i="11"/>
  <c r="AY89" i="11" s="1"/>
  <c r="AY14" i="11"/>
  <c r="AX82" i="11"/>
  <c r="AX96" i="11" s="1"/>
  <c r="AX22" i="11"/>
  <c r="AY153" i="11"/>
  <c r="AY161" i="11" s="1"/>
  <c r="AY167" i="11"/>
  <c r="AW30" i="49"/>
  <c r="AW24" i="11"/>
  <c r="AO12" i="49"/>
  <c r="AO19" i="49" s="1"/>
  <c r="AX169" i="56"/>
  <c r="AY166" i="56" s="1"/>
  <c r="AY8" i="7"/>
  <c r="AY8" i="55"/>
  <c r="AY8" i="6"/>
  <c r="AY8" i="48"/>
  <c r="AY8" i="56"/>
  <c r="AY8" i="42"/>
  <c r="AY8" i="47"/>
  <c r="AY8" i="57"/>
  <c r="BC7" i="2"/>
  <c r="AY8" i="9"/>
  <c r="AY8" i="11"/>
  <c r="AY224" i="11" s="1"/>
  <c r="AY232" i="11" s="1"/>
  <c r="AY234" i="11" s="1"/>
  <c r="AZ231" i="11" s="1"/>
  <c r="AY8" i="50"/>
  <c r="AY8" i="1"/>
  <c r="AY8" i="51"/>
  <c r="AY8" i="44"/>
  <c r="AY8" i="5"/>
  <c r="AY8" i="13"/>
  <c r="AY8" i="49"/>
  <c r="AU35" i="9"/>
  <c r="AU37" i="9"/>
  <c r="BI108" i="44"/>
  <c r="AX190" i="11"/>
  <c r="AX204" i="11" s="1"/>
  <c r="AX205" i="11" s="1"/>
  <c r="AY202" i="11" s="1"/>
  <c r="AP63" i="9"/>
  <c r="AO16" i="50"/>
  <c r="AO12" i="50" s="1"/>
  <c r="BO60" i="11"/>
  <c r="AX168" i="11"/>
  <c r="AY131" i="11"/>
  <c r="AY118" i="11" s="1"/>
  <c r="AY132" i="11" s="1"/>
  <c r="AY117" i="11"/>
  <c r="AY125" i="11" s="1"/>
  <c r="AY160" i="56"/>
  <c r="AY167" i="56" s="1"/>
  <c r="AY83" i="56"/>
  <c r="AY90" i="56" s="1"/>
  <c r="AY57" i="56"/>
  <c r="AY64" i="56" s="1"/>
  <c r="AY109" i="56"/>
  <c r="AY116" i="56" s="1"/>
  <c r="AY134" i="56"/>
  <c r="AY141" i="56" s="1"/>
  <c r="AX21" i="11"/>
  <c r="AY133" i="11"/>
  <c r="AZ130" i="11" s="1"/>
  <c r="AX15" i="56"/>
  <c r="BK85" i="54"/>
  <c r="AW35" i="50"/>
  <c r="BB86" i="53"/>
  <c r="AV57" i="9"/>
  <c r="AX97" i="11"/>
  <c r="AY94" i="11" s="1"/>
  <c r="AZ225" i="11" l="1"/>
  <c r="AZ233" i="11" s="1"/>
  <c r="AZ239" i="11"/>
  <c r="AZ226" i="11" s="1"/>
  <c r="AZ131" i="11"/>
  <c r="AZ118" i="11" s="1"/>
  <c r="AZ132" i="11" s="1"/>
  <c r="AZ117" i="11"/>
  <c r="AZ125" i="11" s="1"/>
  <c r="BL85" i="54"/>
  <c r="AX35" i="50"/>
  <c r="BC86" i="53"/>
  <c r="BQ59" i="11"/>
  <c r="BQ46" i="11"/>
  <c r="BQ53" i="11" s="1"/>
  <c r="BQ54" i="11" s="1"/>
  <c r="BR52" i="11" s="1"/>
  <c r="AY33" i="56"/>
  <c r="AY39" i="56" s="1"/>
  <c r="AY161" i="56"/>
  <c r="AY168" i="56" s="1"/>
  <c r="AY82" i="11"/>
  <c r="AY96" i="11" s="1"/>
  <c r="AY22" i="11"/>
  <c r="AY36" i="13" s="1"/>
  <c r="BK62" i="54"/>
  <c r="BK61" i="54" s="1"/>
  <c r="BB63" i="53"/>
  <c r="BB62" i="53" s="1"/>
  <c r="AW75" i="9"/>
  <c r="AW77" i="9"/>
  <c r="AP67" i="9"/>
  <c r="AP65" i="9"/>
  <c r="AP31" i="13" s="1"/>
  <c r="AX36" i="13"/>
  <c r="AX27" i="49"/>
  <c r="AY80" i="11"/>
  <c r="AY88" i="11" s="1"/>
  <c r="AU13" i="50"/>
  <c r="AV33" i="9"/>
  <c r="BB85" i="53"/>
  <c r="BK84" i="54"/>
  <c r="AW34" i="50"/>
  <c r="AZ7" i="1"/>
  <c r="AZ7" i="13"/>
  <c r="AZ7" i="50"/>
  <c r="AZ7" i="7"/>
  <c r="AZ7" i="51"/>
  <c r="BC8" i="2"/>
  <c r="AZ7" i="49"/>
  <c r="AZ7" i="9"/>
  <c r="AZ7" i="5"/>
  <c r="AZ7" i="42"/>
  <c r="AZ7" i="11"/>
  <c r="AZ7" i="55"/>
  <c r="AZ7" i="6"/>
  <c r="AZ7" i="56"/>
  <c r="AZ7" i="47"/>
  <c r="AZ7" i="44"/>
  <c r="AZ7" i="48"/>
  <c r="AZ7" i="57"/>
  <c r="AX23" i="11"/>
  <c r="BP47" i="11"/>
  <c r="AY45" i="11"/>
  <c r="BA45" i="9"/>
  <c r="BA47" i="9" s="1"/>
  <c r="AX24" i="49"/>
  <c r="AY169" i="56"/>
  <c r="AZ166" i="56" s="1"/>
  <c r="AY152" i="11"/>
  <c r="AY160" i="11" s="1"/>
  <c r="AY162" i="11" s="1"/>
  <c r="AZ159" i="11" s="1"/>
  <c r="AY97" i="11"/>
  <c r="AZ94" i="11" s="1"/>
  <c r="AY21" i="11"/>
  <c r="BJ104" i="44"/>
  <c r="BJ108" i="44" s="1"/>
  <c r="BI110" i="44"/>
  <c r="BI18" i="49" s="1"/>
  <c r="BI33" i="50"/>
  <c r="AY204" i="11"/>
  <c r="AY205" i="11" s="1"/>
  <c r="AZ202" i="11" s="1"/>
  <c r="AY188" i="11"/>
  <c r="AY196" i="11" s="1"/>
  <c r="AY198" i="11" s="1"/>
  <c r="AZ195" i="11" s="1"/>
  <c r="AX28" i="49"/>
  <c r="AY15" i="56"/>
  <c r="AY24" i="49" s="1"/>
  <c r="AZ133" i="11"/>
  <c r="BA130" i="11" s="1"/>
  <c r="AV15" i="50"/>
  <c r="AW53" i="9"/>
  <c r="AX24" i="11"/>
  <c r="AY154" i="11"/>
  <c r="AY168" i="11" s="1"/>
  <c r="AY169" i="11" s="1"/>
  <c r="AZ166" i="11" s="1"/>
  <c r="AY16" i="11"/>
  <c r="AY28" i="49" s="1"/>
  <c r="AY226" i="11"/>
  <c r="AY240" i="11" s="1"/>
  <c r="AY241" i="11" s="1"/>
  <c r="AZ238" i="11" s="1"/>
  <c r="BO61" i="11"/>
  <c r="BP58" i="11" s="1"/>
  <c r="BA14" i="50" l="1"/>
  <c r="BB43" i="9"/>
  <c r="BR59" i="11"/>
  <c r="BR54" i="11"/>
  <c r="BR46" i="11"/>
  <c r="BR53" i="11" s="1"/>
  <c r="AZ167" i="11"/>
  <c r="AZ154" i="11" s="1"/>
  <c r="AZ168" i="11" s="1"/>
  <c r="AZ153" i="11"/>
  <c r="AZ161" i="11" s="1"/>
  <c r="AX34" i="50"/>
  <c r="BC85" i="53"/>
  <c r="BL84" i="54"/>
  <c r="AW57" i="9"/>
  <c r="AW55" i="9"/>
  <c r="AZ83" i="56"/>
  <c r="AZ90" i="56" s="1"/>
  <c r="AZ8" i="48"/>
  <c r="AZ8" i="55"/>
  <c r="AZ8" i="50"/>
  <c r="BD7" i="2"/>
  <c r="AZ8" i="9"/>
  <c r="AZ8" i="13"/>
  <c r="AZ8" i="11"/>
  <c r="AZ8" i="6"/>
  <c r="AZ8" i="5"/>
  <c r="AZ8" i="47"/>
  <c r="AZ8" i="57"/>
  <c r="AZ8" i="44"/>
  <c r="AZ8" i="42"/>
  <c r="AZ8" i="56"/>
  <c r="AZ57" i="56" s="1"/>
  <c r="AZ64" i="56" s="1"/>
  <c r="AZ8" i="1"/>
  <c r="AZ8" i="51"/>
  <c r="AZ8" i="49"/>
  <c r="AZ8" i="7"/>
  <c r="BP60" i="11"/>
  <c r="AV35" i="9"/>
  <c r="AV37" i="9"/>
  <c r="AP14" i="49"/>
  <c r="AP17" i="48"/>
  <c r="AP21" i="48" s="1"/>
  <c r="AP32" i="13"/>
  <c r="AZ189" i="11"/>
  <c r="AZ197" i="11" s="1"/>
  <c r="AZ203" i="11"/>
  <c r="AZ190" i="11" s="1"/>
  <c r="AZ204" i="11" s="1"/>
  <c r="AZ198" i="11"/>
  <c r="BA195" i="11" s="1"/>
  <c r="AW17" i="50"/>
  <c r="AX73" i="9"/>
  <c r="AQ63" i="9"/>
  <c r="AP16" i="50"/>
  <c r="AP12" i="50" s="1"/>
  <c r="AZ240" i="11"/>
  <c r="AZ241" i="11"/>
  <c r="BA238" i="11" s="1"/>
  <c r="AX30" i="49"/>
  <c r="AZ116" i="11"/>
  <c r="AZ124" i="11" s="1"/>
  <c r="AZ126" i="11" s="1"/>
  <c r="BA123" i="11" s="1"/>
  <c r="AZ152" i="11"/>
  <c r="AZ160" i="11" s="1"/>
  <c r="AZ162" i="11" s="1"/>
  <c r="BA159" i="11" s="1"/>
  <c r="AZ45" i="11"/>
  <c r="AZ188" i="11"/>
  <c r="AZ196" i="11" s="1"/>
  <c r="AZ224" i="11"/>
  <c r="AZ232" i="11" s="1"/>
  <c r="AZ234" i="11" s="1"/>
  <c r="BA231" i="11" s="1"/>
  <c r="AZ80" i="11"/>
  <c r="AZ88" i="11" s="1"/>
  <c r="AY15" i="11"/>
  <c r="AY90" i="11"/>
  <c r="AZ87" i="11" s="1"/>
  <c r="AY23" i="11"/>
  <c r="AY30" i="49" s="1"/>
  <c r="BQ47" i="11"/>
  <c r="BJ110" i="44"/>
  <c r="BJ18" i="49" s="1"/>
  <c r="BK104" i="44"/>
  <c r="BK108" i="44" s="1"/>
  <c r="BJ33" i="50"/>
  <c r="AZ21" i="11"/>
  <c r="BA167" i="11" l="1"/>
  <c r="BA154" i="11" s="1"/>
  <c r="BA153" i="11"/>
  <c r="BA161" i="11" s="1"/>
  <c r="BK110" i="44"/>
  <c r="BK18" i="49" s="1"/>
  <c r="BL104" i="44"/>
  <c r="BK33" i="50"/>
  <c r="AZ15" i="11"/>
  <c r="AZ27" i="49" s="1"/>
  <c r="AY24" i="11"/>
  <c r="E53" i="11"/>
  <c r="E54" i="11" s="1"/>
  <c r="F53" i="11"/>
  <c r="G53" i="11"/>
  <c r="H53" i="11"/>
  <c r="I53" i="11"/>
  <c r="BR47" i="11"/>
  <c r="E59" i="11"/>
  <c r="F59" i="11"/>
  <c r="G59" i="11"/>
  <c r="H59" i="11"/>
  <c r="I59" i="11"/>
  <c r="AX53" i="9"/>
  <c r="AW15" i="50"/>
  <c r="AZ33" i="56"/>
  <c r="AZ39" i="56" s="1"/>
  <c r="AZ161" i="56"/>
  <c r="AZ168" i="56" s="1"/>
  <c r="AZ109" i="56"/>
  <c r="AZ116" i="56" s="1"/>
  <c r="AZ15" i="56" s="1"/>
  <c r="BB45" i="9"/>
  <c r="BB47" i="9"/>
  <c r="BA203" i="11"/>
  <c r="BA190" i="11" s="1"/>
  <c r="BA189" i="11"/>
  <c r="BA197" i="11" s="1"/>
  <c r="BA131" i="11"/>
  <c r="BA117" i="11"/>
  <c r="BA125" i="11" s="1"/>
  <c r="AQ65" i="9"/>
  <c r="AQ31" i="13" s="1"/>
  <c r="AQ67" i="9"/>
  <c r="AZ134" i="56"/>
  <c r="AZ141" i="56" s="1"/>
  <c r="BA225" i="11"/>
  <c r="BA233" i="11" s="1"/>
  <c r="BA239" i="11"/>
  <c r="BA226" i="11" s="1"/>
  <c r="BA240" i="11" s="1"/>
  <c r="AP12" i="49"/>
  <c r="AP19" i="49" s="1"/>
  <c r="BP61" i="11"/>
  <c r="BQ58" i="11" s="1"/>
  <c r="BQ60" i="11" s="1"/>
  <c r="BA7" i="51"/>
  <c r="BA7" i="50"/>
  <c r="BA7" i="47"/>
  <c r="BD8" i="2"/>
  <c r="BA7" i="1"/>
  <c r="BA7" i="42"/>
  <c r="BA7" i="7"/>
  <c r="BA7" i="55"/>
  <c r="BA7" i="57"/>
  <c r="BA7" i="13"/>
  <c r="BA7" i="11"/>
  <c r="BA7" i="6"/>
  <c r="BA7" i="5"/>
  <c r="BA7" i="56"/>
  <c r="BA7" i="9"/>
  <c r="BA7" i="44"/>
  <c r="BA7" i="49"/>
  <c r="BA7" i="48"/>
  <c r="AZ160" i="56"/>
  <c r="AZ167" i="56" s="1"/>
  <c r="AZ169" i="11"/>
  <c r="BA166" i="11" s="1"/>
  <c r="AV13" i="50"/>
  <c r="AW33" i="9"/>
  <c r="AZ81" i="11"/>
  <c r="AZ89" i="11" s="1"/>
  <c r="AZ16" i="11" s="1"/>
  <c r="AZ28" i="49" s="1"/>
  <c r="AZ95" i="11"/>
  <c r="AZ90" i="11"/>
  <c r="BA87" i="11" s="1"/>
  <c r="AZ14" i="11"/>
  <c r="AZ17" i="11" s="1"/>
  <c r="AY27" i="49"/>
  <c r="AY17" i="11"/>
  <c r="BL62" i="54"/>
  <c r="BL61" i="54" s="1"/>
  <c r="AX75" i="9"/>
  <c r="AX77" i="9"/>
  <c r="BC63" i="53"/>
  <c r="BC62" i="53" s="1"/>
  <c r="AZ205" i="11"/>
  <c r="BA202" i="11" s="1"/>
  <c r="AZ24" i="49" l="1"/>
  <c r="BM85" i="54"/>
  <c r="BD86" i="53"/>
  <c r="AY35" i="50"/>
  <c r="AZ169" i="56"/>
  <c r="BA166" i="56" s="1"/>
  <c r="BA8" i="11"/>
  <c r="BA8" i="9"/>
  <c r="BA8" i="7"/>
  <c r="BA8" i="1"/>
  <c r="BA8" i="47"/>
  <c r="BA8" i="44"/>
  <c r="BA8" i="56"/>
  <c r="BA57" i="56" s="1"/>
  <c r="BA64" i="56" s="1"/>
  <c r="BA8" i="5"/>
  <c r="BA8" i="49"/>
  <c r="BA8" i="57"/>
  <c r="BA8" i="13"/>
  <c r="BA8" i="51"/>
  <c r="BA8" i="48"/>
  <c r="BA8" i="42"/>
  <c r="BA8" i="55"/>
  <c r="BA8" i="50"/>
  <c r="BA8" i="6"/>
  <c r="BE7" i="2"/>
  <c r="BA118" i="11"/>
  <c r="BA132" i="11" s="1"/>
  <c r="BA133" i="11"/>
  <c r="BB130" i="11" s="1"/>
  <c r="BL107" i="44"/>
  <c r="BA80" i="11"/>
  <c r="BA88" i="11" s="1"/>
  <c r="BA224" i="11"/>
  <c r="BA232" i="11" s="1"/>
  <c r="BA234" i="11" s="1"/>
  <c r="BB231" i="11" s="1"/>
  <c r="BA188" i="11"/>
  <c r="BA196" i="11" s="1"/>
  <c r="BA198" i="11" s="1"/>
  <c r="BB195" i="11" s="1"/>
  <c r="BA152" i="11"/>
  <c r="BA160" i="11" s="1"/>
  <c r="BA162" i="11" s="1"/>
  <c r="BB159" i="11" s="1"/>
  <c r="BA45" i="11"/>
  <c r="BA116" i="11"/>
  <c r="BA124" i="11" s="1"/>
  <c r="BA126" i="11" s="1"/>
  <c r="BB123" i="11" s="1"/>
  <c r="BA81" i="11"/>
  <c r="BA89" i="11" s="1"/>
  <c r="BA16" i="11" s="1"/>
  <c r="BA28" i="49" s="1"/>
  <c r="BA95" i="11"/>
  <c r="BA14" i="11"/>
  <c r="AZ82" i="11"/>
  <c r="AZ96" i="11" s="1"/>
  <c r="AZ22" i="11"/>
  <c r="AZ97" i="11"/>
  <c r="BA94" i="11" s="1"/>
  <c r="BA204" i="11"/>
  <c r="AQ17" i="48"/>
  <c r="AQ21" i="48" s="1"/>
  <c r="AQ14" i="49"/>
  <c r="AQ32" i="13"/>
  <c r="BB14" i="50"/>
  <c r="BC43" i="9"/>
  <c r="AX55" i="9"/>
  <c r="AX57" i="9" s="1"/>
  <c r="BD85" i="53"/>
  <c r="BM84" i="54"/>
  <c r="AY34" i="50"/>
  <c r="BA168" i="11"/>
  <c r="BA169" i="11" s="1"/>
  <c r="BB166" i="11" s="1"/>
  <c r="BN85" i="54"/>
  <c r="BE86" i="53"/>
  <c r="AZ35" i="50"/>
  <c r="BA205" i="11"/>
  <c r="BB202" i="11" s="1"/>
  <c r="BQ61" i="11"/>
  <c r="BR58" i="11" s="1"/>
  <c r="AR63" i="9"/>
  <c r="AQ16" i="50"/>
  <c r="AQ12" i="50" s="1"/>
  <c r="BR60" i="11"/>
  <c r="AX17" i="50"/>
  <c r="AY73" i="9"/>
  <c r="AW35" i="9"/>
  <c r="BA241" i="11"/>
  <c r="BB238" i="11" s="1"/>
  <c r="AX15" i="50" l="1"/>
  <c r="AY53" i="9"/>
  <c r="BB131" i="11"/>
  <c r="BB118" i="11" s="1"/>
  <c r="BB132" i="11" s="1"/>
  <c r="BB117" i="11"/>
  <c r="BB125" i="11" s="1"/>
  <c r="BA109" i="56"/>
  <c r="BA116" i="56" s="1"/>
  <c r="BC45" i="9"/>
  <c r="BC47" i="9"/>
  <c r="AZ23" i="11"/>
  <c r="BB153" i="11"/>
  <c r="BB161" i="11" s="1"/>
  <c r="BB167" i="11"/>
  <c r="BB154" i="11" s="1"/>
  <c r="BB168" i="11" s="1"/>
  <c r="BL108" i="44"/>
  <c r="BD63" i="53"/>
  <c r="BD62" i="53" s="1"/>
  <c r="BM62" i="54"/>
  <c r="BM61" i="54" s="1"/>
  <c r="AY75" i="9"/>
  <c r="AY77" i="9" s="1"/>
  <c r="BB189" i="11"/>
  <c r="BB197" i="11" s="1"/>
  <c r="BB203" i="11"/>
  <c r="BB190" i="11" s="1"/>
  <c r="BB204" i="11" s="1"/>
  <c r="BA33" i="56"/>
  <c r="BA39" i="56" s="1"/>
  <c r="BA161" i="56"/>
  <c r="BA168" i="56" s="1"/>
  <c r="BA134" i="56"/>
  <c r="BA141" i="56" s="1"/>
  <c r="BA17" i="11"/>
  <c r="BB239" i="11"/>
  <c r="BB226" i="11" s="1"/>
  <c r="BB240" i="11" s="1"/>
  <c r="BB225" i="11"/>
  <c r="BB233" i="11" s="1"/>
  <c r="E60" i="11"/>
  <c r="E61" i="11" s="1"/>
  <c r="F60" i="11"/>
  <c r="G60" i="11"/>
  <c r="H60" i="11"/>
  <c r="I60" i="11"/>
  <c r="BA83" i="56"/>
  <c r="BA90" i="56" s="1"/>
  <c r="BA15" i="56" s="1"/>
  <c r="BA24" i="49" s="1"/>
  <c r="BA15" i="11"/>
  <c r="BA27" i="49" s="1"/>
  <c r="BB7" i="5"/>
  <c r="BB7" i="44"/>
  <c r="BB7" i="42"/>
  <c r="BB7" i="55"/>
  <c r="BE8" i="2"/>
  <c r="BB7" i="50"/>
  <c r="BB7" i="56"/>
  <c r="BB7" i="6"/>
  <c r="BB7" i="11"/>
  <c r="BB7" i="47"/>
  <c r="BB7" i="57"/>
  <c r="BB7" i="48"/>
  <c r="BB7" i="49"/>
  <c r="BB7" i="7"/>
  <c r="BB7" i="51"/>
  <c r="BB7" i="13"/>
  <c r="BB7" i="1"/>
  <c r="BB7" i="9"/>
  <c r="BB205" i="11"/>
  <c r="BC202" i="11" s="1"/>
  <c r="BA97" i="11"/>
  <c r="BB94" i="11" s="1"/>
  <c r="BA21" i="11"/>
  <c r="BA24" i="11" s="1"/>
  <c r="BA90" i="11"/>
  <c r="BB87" i="11" s="1"/>
  <c r="BA160" i="56"/>
  <c r="BA167" i="56" s="1"/>
  <c r="BA169" i="56" s="1"/>
  <c r="BB166" i="56" s="1"/>
  <c r="BR61" i="11"/>
  <c r="BA82" i="11"/>
  <c r="BA96" i="11" s="1"/>
  <c r="BA23" i="11" s="1"/>
  <c r="BA30" i="49" s="1"/>
  <c r="BA22" i="11"/>
  <c r="BA36" i="13" s="1"/>
  <c r="AZ36" i="13"/>
  <c r="AQ12" i="49"/>
  <c r="AQ19" i="49" s="1"/>
  <c r="AR65" i="9"/>
  <c r="AR31" i="13" s="1"/>
  <c r="AW37" i="9"/>
  <c r="AZ73" i="9" l="1"/>
  <c r="AY17" i="50"/>
  <c r="BB8" i="7"/>
  <c r="BB8" i="6"/>
  <c r="BB8" i="1"/>
  <c r="BB8" i="11"/>
  <c r="BB152" i="11" s="1"/>
  <c r="BB160" i="11" s="1"/>
  <c r="BB162" i="11" s="1"/>
  <c r="BC159" i="11" s="1"/>
  <c r="BB8" i="49"/>
  <c r="BB8" i="55"/>
  <c r="BB8" i="5"/>
  <c r="BB8" i="50"/>
  <c r="BB8" i="44"/>
  <c r="BB8" i="57"/>
  <c r="BF7" i="2"/>
  <c r="BB8" i="13"/>
  <c r="BB8" i="48"/>
  <c r="BB8" i="9"/>
  <c r="BB8" i="51"/>
  <c r="BB8" i="47"/>
  <c r="BB8" i="56"/>
  <c r="BB8" i="42"/>
  <c r="BO85" i="54"/>
  <c r="BF86" i="53"/>
  <c r="BA35" i="50"/>
  <c r="BF85" i="53"/>
  <c r="BO84" i="54"/>
  <c r="BA34" i="50"/>
  <c r="AZ30" i="49"/>
  <c r="AR17" i="48"/>
  <c r="AR21" i="48" s="1"/>
  <c r="AR14" i="49"/>
  <c r="AR32" i="13"/>
  <c r="BD43" i="9"/>
  <c r="BC14" i="50"/>
  <c r="BB169" i="11"/>
  <c r="BC166" i="11" s="1"/>
  <c r="BB80" i="11"/>
  <c r="BB88" i="11" s="1"/>
  <c r="BB90" i="11" s="1"/>
  <c r="BC87" i="11" s="1"/>
  <c r="BB241" i="11"/>
  <c r="BC238" i="11" s="1"/>
  <c r="AW13" i="50"/>
  <c r="AX33" i="9"/>
  <c r="BB21" i="11"/>
  <c r="AZ24" i="11"/>
  <c r="BB133" i="11"/>
  <c r="BC130" i="11" s="1"/>
  <c r="BM104" i="44"/>
  <c r="BM108" i="44" s="1"/>
  <c r="BL110" i="44"/>
  <c r="BL18" i="49" s="1"/>
  <c r="BL33" i="50"/>
  <c r="AY57" i="9"/>
  <c r="AY55" i="9"/>
  <c r="AR67" i="9"/>
  <c r="BB81" i="11"/>
  <c r="BB89" i="11" s="1"/>
  <c r="BB16" i="11" s="1"/>
  <c r="BB28" i="49" s="1"/>
  <c r="BB95" i="11"/>
  <c r="BB14" i="11"/>
  <c r="BB160" i="56"/>
  <c r="BB167" i="56" s="1"/>
  <c r="BB57" i="56"/>
  <c r="BB64" i="56" s="1"/>
  <c r="BB134" i="56"/>
  <c r="BB141" i="56" s="1"/>
  <c r="BB83" i="56"/>
  <c r="BB90" i="56" s="1"/>
  <c r="BB109" i="56"/>
  <c r="BB116" i="56" s="1"/>
  <c r="BC153" i="11" l="1"/>
  <c r="BC161" i="11" s="1"/>
  <c r="BC167" i="11"/>
  <c r="BC154" i="11" s="1"/>
  <c r="BC168" i="11" s="1"/>
  <c r="BC81" i="11"/>
  <c r="BC89" i="11" s="1"/>
  <c r="BC95" i="11"/>
  <c r="BC14" i="11"/>
  <c r="AY15" i="50"/>
  <c r="AZ53" i="9"/>
  <c r="AX35" i="9"/>
  <c r="BB224" i="11"/>
  <c r="BB232" i="11" s="1"/>
  <c r="BB234" i="11" s="1"/>
  <c r="BC231" i="11" s="1"/>
  <c r="AR12" i="49"/>
  <c r="AR19" i="49" s="1"/>
  <c r="BB82" i="11"/>
  <c r="BB96" i="11" s="1"/>
  <c r="BB23" i="11" s="1"/>
  <c r="BB30" i="49" s="1"/>
  <c r="BB22" i="11"/>
  <c r="BB36" i="13" s="1"/>
  <c r="BC7" i="57"/>
  <c r="BC7" i="49"/>
  <c r="BC7" i="56"/>
  <c r="BC7" i="13"/>
  <c r="BC7" i="47"/>
  <c r="BC7" i="50"/>
  <c r="BC7" i="7"/>
  <c r="BC7" i="55"/>
  <c r="BC7" i="9"/>
  <c r="BC7" i="42"/>
  <c r="BC7" i="6"/>
  <c r="BC7" i="51"/>
  <c r="BC7" i="5"/>
  <c r="BC7" i="11"/>
  <c r="BC7" i="48"/>
  <c r="BC7" i="44"/>
  <c r="BF8" i="2"/>
  <c r="BC7" i="1"/>
  <c r="BB116" i="11"/>
  <c r="BB124" i="11" s="1"/>
  <c r="BB126" i="11" s="1"/>
  <c r="BC123" i="11" s="1"/>
  <c r="BB33" i="56"/>
  <c r="BB39" i="56" s="1"/>
  <c r="BB161" i="56"/>
  <c r="BB168" i="56" s="1"/>
  <c r="BB169" i="56" s="1"/>
  <c r="BC166" i="56" s="1"/>
  <c r="BN104" i="44"/>
  <c r="BN108" i="44" s="1"/>
  <c r="BM110" i="44"/>
  <c r="BM18" i="49" s="1"/>
  <c r="BM33" i="50"/>
  <c r="BN84" i="54"/>
  <c r="BE85" i="53"/>
  <c r="AZ34" i="50"/>
  <c r="BB45" i="11"/>
  <c r="BD45" i="9"/>
  <c r="BD47" i="9" s="1"/>
  <c r="BB188" i="11"/>
  <c r="BB196" i="11" s="1"/>
  <c r="BB198" i="11" s="1"/>
  <c r="BC195" i="11" s="1"/>
  <c r="BC169" i="11"/>
  <c r="BD166" i="11" s="1"/>
  <c r="AR16" i="50"/>
  <c r="AR12" i="50" s="1"/>
  <c r="AS63" i="9"/>
  <c r="BB15" i="56"/>
  <c r="BB24" i="49" s="1"/>
  <c r="AZ75" i="9"/>
  <c r="AZ77" i="9"/>
  <c r="BE63" i="53"/>
  <c r="BE62" i="53" s="1"/>
  <c r="BN62" i="54"/>
  <c r="BN61" i="54" s="1"/>
  <c r="BE43" i="9" l="1"/>
  <c r="BD14" i="50"/>
  <c r="BC131" i="11"/>
  <c r="BC117" i="11"/>
  <c r="BC125" i="11" s="1"/>
  <c r="BC16" i="11" s="1"/>
  <c r="BC28" i="49" s="1"/>
  <c r="BC116" i="11"/>
  <c r="BC124" i="11" s="1"/>
  <c r="BC126" i="11" s="1"/>
  <c r="BD123" i="11" s="1"/>
  <c r="BC82" i="11"/>
  <c r="BC96" i="11" s="1"/>
  <c r="BC189" i="11"/>
  <c r="BC197" i="11" s="1"/>
  <c r="BC203" i="11"/>
  <c r="BC239" i="11"/>
  <c r="BC225" i="11"/>
  <c r="BC233" i="11" s="1"/>
  <c r="BB24" i="11"/>
  <c r="BC160" i="56"/>
  <c r="BC167" i="56" s="1"/>
  <c r="BC134" i="56"/>
  <c r="BC141" i="56" s="1"/>
  <c r="BB97" i="11"/>
  <c r="BC94" i="11" s="1"/>
  <c r="BB15" i="11"/>
  <c r="AX37" i="9"/>
  <c r="BO104" i="44"/>
  <c r="BN110" i="44"/>
  <c r="BN18" i="49" s="1"/>
  <c r="BN33" i="50"/>
  <c r="BC8" i="1"/>
  <c r="BC8" i="6"/>
  <c r="BC8" i="47"/>
  <c r="BC8" i="57"/>
  <c r="BC8" i="48"/>
  <c r="BG7" i="2"/>
  <c r="BC8" i="42"/>
  <c r="BC8" i="44"/>
  <c r="BC8" i="7"/>
  <c r="BC8" i="11"/>
  <c r="BC80" i="11" s="1"/>
  <c r="BC88" i="11" s="1"/>
  <c r="BC8" i="55"/>
  <c r="BC8" i="56"/>
  <c r="BC8" i="13"/>
  <c r="BC8" i="49"/>
  <c r="BC8" i="51"/>
  <c r="BC8" i="50"/>
  <c r="BC8" i="5"/>
  <c r="BC8" i="9"/>
  <c r="AZ57" i="9"/>
  <c r="AZ55" i="9"/>
  <c r="AZ17" i="50"/>
  <c r="BA73" i="9"/>
  <c r="AS65" i="9"/>
  <c r="AS31" i="13" s="1"/>
  <c r="AS67" i="9"/>
  <c r="BD117" i="11" l="1"/>
  <c r="BD125" i="11" s="1"/>
  <c r="BD131" i="11"/>
  <c r="BD118" i="11" s="1"/>
  <c r="BC90" i="11"/>
  <c r="BD87" i="11" s="1"/>
  <c r="BA75" i="9"/>
  <c r="BA77" i="9" s="1"/>
  <c r="BF63" i="53"/>
  <c r="BF62" i="53" s="1"/>
  <c r="BO62" i="54"/>
  <c r="BO61" i="54" s="1"/>
  <c r="BD7" i="51"/>
  <c r="BD7" i="1"/>
  <c r="BD7" i="44"/>
  <c r="BD7" i="7"/>
  <c r="BD7" i="57"/>
  <c r="BD7" i="56"/>
  <c r="BG8" i="2"/>
  <c r="BD7" i="55"/>
  <c r="BD7" i="47"/>
  <c r="BD7" i="5"/>
  <c r="BD7" i="50"/>
  <c r="BD7" i="6"/>
  <c r="BD7" i="11"/>
  <c r="BD7" i="48"/>
  <c r="BD7" i="13"/>
  <c r="BD7" i="9"/>
  <c r="BD7" i="42"/>
  <c r="BD7" i="49"/>
  <c r="BO107" i="44"/>
  <c r="BO108" i="44" s="1"/>
  <c r="BC33" i="56"/>
  <c r="BC39" i="56" s="1"/>
  <c r="BC161" i="56"/>
  <c r="BC168" i="56" s="1"/>
  <c r="BC169" i="56" s="1"/>
  <c r="BD166" i="56" s="1"/>
  <c r="BB27" i="49"/>
  <c r="BB17" i="11"/>
  <c r="BC57" i="56"/>
  <c r="BC64" i="56" s="1"/>
  <c r="BC152" i="11"/>
  <c r="BC160" i="11" s="1"/>
  <c r="BC162" i="11" s="1"/>
  <c r="BD159" i="11" s="1"/>
  <c r="AY33" i="9"/>
  <c r="AX13" i="50"/>
  <c r="BC226" i="11"/>
  <c r="BC240" i="11" s="1"/>
  <c r="BC241" i="11" s="1"/>
  <c r="BD238" i="11" s="1"/>
  <c r="AZ15" i="50"/>
  <c r="BA53" i="9"/>
  <c r="BC97" i="11"/>
  <c r="BD94" i="11" s="1"/>
  <c r="BC21" i="11"/>
  <c r="BC83" i="56"/>
  <c r="BC90" i="56" s="1"/>
  <c r="BC190" i="11"/>
  <c r="BC204" i="11" s="1"/>
  <c r="BC205" i="11"/>
  <c r="BD202" i="11" s="1"/>
  <c r="BC224" i="11"/>
  <c r="BC232" i="11" s="1"/>
  <c r="BC234" i="11" s="1"/>
  <c r="BD231" i="11" s="1"/>
  <c r="BC118" i="11"/>
  <c r="BC132" i="11" s="1"/>
  <c r="BC133" i="11" s="1"/>
  <c r="BD130" i="11" s="1"/>
  <c r="BG85" i="53"/>
  <c r="BP84" i="54"/>
  <c r="BB34" i="50"/>
  <c r="BC188" i="11"/>
  <c r="BC196" i="11" s="1"/>
  <c r="BC198" i="11" s="1"/>
  <c r="BD195" i="11" s="1"/>
  <c r="BC45" i="11"/>
  <c r="AT63" i="9"/>
  <c r="AS16" i="50"/>
  <c r="AS12" i="50" s="1"/>
  <c r="AS17" i="48"/>
  <c r="AS21" i="48" s="1"/>
  <c r="AS14" i="49"/>
  <c r="AS32" i="13"/>
  <c r="BC109" i="56"/>
  <c r="BC116" i="56" s="1"/>
  <c r="BC22" i="11"/>
  <c r="BC36" i="13" s="1"/>
  <c r="BE47" i="9"/>
  <c r="BE45" i="9"/>
  <c r="BA17" i="50" l="1"/>
  <c r="BB73" i="9"/>
  <c r="BP104" i="44"/>
  <c r="BP108" i="44" s="1"/>
  <c r="BO110" i="44"/>
  <c r="BO18" i="49" s="1"/>
  <c r="BO33" i="50"/>
  <c r="BD203" i="11"/>
  <c r="BD190" i="11" s="1"/>
  <c r="BD204" i="11" s="1"/>
  <c r="BD189" i="11"/>
  <c r="BD197" i="11" s="1"/>
  <c r="BC23" i="11"/>
  <c r="BC30" i="49" s="1"/>
  <c r="BF43" i="9"/>
  <c r="BE14" i="50"/>
  <c r="AY35" i="9"/>
  <c r="AY37" i="9"/>
  <c r="AS12" i="49"/>
  <c r="AS19" i="49" s="1"/>
  <c r="BD21" i="11"/>
  <c r="BC15" i="56"/>
  <c r="BC24" i="49" s="1"/>
  <c r="BC15" i="11"/>
  <c r="BD153" i="11"/>
  <c r="BD161" i="11" s="1"/>
  <c r="BD167" i="11"/>
  <c r="BD95" i="11"/>
  <c r="BD81" i="11"/>
  <c r="BD89" i="11" s="1"/>
  <c r="BD14" i="11"/>
  <c r="BA57" i="9"/>
  <c r="BA55" i="9"/>
  <c r="BB35" i="50"/>
  <c r="BP85" i="54"/>
  <c r="BG86" i="53"/>
  <c r="BD132" i="11"/>
  <c r="BD133" i="11" s="1"/>
  <c r="BE130" i="11" s="1"/>
  <c r="BD205" i="11"/>
  <c r="BE202" i="11" s="1"/>
  <c r="AT65" i="9"/>
  <c r="AT31" i="13" s="1"/>
  <c r="AT67" i="9"/>
  <c r="BD225" i="11"/>
  <c r="BD233" i="11" s="1"/>
  <c r="BD239" i="11"/>
  <c r="BD226" i="11" s="1"/>
  <c r="BD240" i="11" s="1"/>
  <c r="BD8" i="42"/>
  <c r="BD8" i="13"/>
  <c r="BD8" i="57"/>
  <c r="BD8" i="44"/>
  <c r="BH7" i="2"/>
  <c r="BD8" i="5"/>
  <c r="BD8" i="56"/>
  <c r="BD109" i="56" s="1"/>
  <c r="BD116" i="56" s="1"/>
  <c r="BD8" i="51"/>
  <c r="BD8" i="55"/>
  <c r="BD8" i="50"/>
  <c r="BD8" i="6"/>
  <c r="BD8" i="1"/>
  <c r="BD8" i="49"/>
  <c r="BD8" i="9"/>
  <c r="BD8" i="47"/>
  <c r="BD8" i="11"/>
  <c r="BD152" i="11" s="1"/>
  <c r="BD160" i="11" s="1"/>
  <c r="BD162" i="11" s="1"/>
  <c r="BE159" i="11" s="1"/>
  <c r="BD8" i="7"/>
  <c r="BD8" i="48"/>
  <c r="BE153" i="11" l="1"/>
  <c r="BE161" i="11" s="1"/>
  <c r="BE167" i="11"/>
  <c r="BE154" i="11" s="1"/>
  <c r="AU63" i="9"/>
  <c r="AT16" i="50"/>
  <c r="AT12" i="50" s="1"/>
  <c r="BD82" i="11"/>
  <c r="BD96" i="11" s="1"/>
  <c r="BD23" i="11" s="1"/>
  <c r="BD30" i="49" s="1"/>
  <c r="BD22" i="11"/>
  <c r="BD36" i="13" s="1"/>
  <c r="BD57" i="56"/>
  <c r="BD64" i="56" s="1"/>
  <c r="BD188" i="11"/>
  <c r="BD196" i="11" s="1"/>
  <c r="BD198" i="11" s="1"/>
  <c r="BE195" i="11" s="1"/>
  <c r="BE7" i="57"/>
  <c r="BH8" i="2"/>
  <c r="BE7" i="55"/>
  <c r="BE7" i="6"/>
  <c r="BE7" i="50"/>
  <c r="BE7" i="49"/>
  <c r="BE7" i="13"/>
  <c r="BE7" i="48"/>
  <c r="BE7" i="56"/>
  <c r="BE7" i="5"/>
  <c r="BE7" i="44"/>
  <c r="BE7" i="11"/>
  <c r="BE7" i="42"/>
  <c r="BE7" i="51"/>
  <c r="BE7" i="47"/>
  <c r="BE7" i="9"/>
  <c r="BE7" i="7"/>
  <c r="BE7" i="1"/>
  <c r="BD154" i="11"/>
  <c r="BD168" i="11" s="1"/>
  <c r="BD169" i="11" s="1"/>
  <c r="BE166" i="11" s="1"/>
  <c r="AT17" i="48"/>
  <c r="AT21" i="48" s="1"/>
  <c r="AT14" i="49"/>
  <c r="AT32" i="13"/>
  <c r="AZ33" i="9"/>
  <c r="AY13" i="50"/>
  <c r="BF45" i="9"/>
  <c r="BF47" i="9"/>
  <c r="BQ104" i="44"/>
  <c r="BQ108" i="44" s="1"/>
  <c r="BP110" i="44"/>
  <c r="BP18" i="49" s="1"/>
  <c r="BP33" i="50"/>
  <c r="BC24" i="11"/>
  <c r="BD45" i="11"/>
  <c r="BB53" i="9"/>
  <c r="BA15" i="50"/>
  <c r="BC27" i="49"/>
  <c r="BC17" i="11"/>
  <c r="BD83" i="56"/>
  <c r="BD90" i="56" s="1"/>
  <c r="BD224" i="11"/>
  <c r="BD232" i="11" s="1"/>
  <c r="BD234" i="11" s="1"/>
  <c r="BE231" i="11" s="1"/>
  <c r="BD241" i="11"/>
  <c r="BE238" i="11" s="1"/>
  <c r="BD160" i="56"/>
  <c r="BD167" i="56" s="1"/>
  <c r="BD116" i="11"/>
  <c r="BD124" i="11" s="1"/>
  <c r="BD126" i="11" s="1"/>
  <c r="BE123" i="11" s="1"/>
  <c r="BD16" i="11"/>
  <c r="BD28" i="49" s="1"/>
  <c r="BD80" i="11"/>
  <c r="BD88" i="11" s="1"/>
  <c r="BG63" i="53"/>
  <c r="BG62" i="53" s="1"/>
  <c r="BP62" i="54"/>
  <c r="BP61" i="54" s="1"/>
  <c r="BB75" i="9"/>
  <c r="BB77" i="9"/>
  <c r="BD33" i="56"/>
  <c r="BD39" i="56" s="1"/>
  <c r="BD161" i="56"/>
  <c r="BD168" i="56" s="1"/>
  <c r="BD134" i="56"/>
  <c r="BD141" i="56" s="1"/>
  <c r="BC73" i="9" l="1"/>
  <c r="BB17" i="50"/>
  <c r="BD169" i="56"/>
  <c r="BE166" i="56" s="1"/>
  <c r="BB57" i="9"/>
  <c r="BB55" i="9"/>
  <c r="BQ110" i="44"/>
  <c r="BQ18" i="49" s="1"/>
  <c r="BR104" i="44"/>
  <c r="BQ33" i="50"/>
  <c r="BF14" i="50"/>
  <c r="BG43" i="9"/>
  <c r="AU65" i="9"/>
  <c r="AU67" i="9"/>
  <c r="BE117" i="11"/>
  <c r="BE125" i="11" s="1"/>
  <c r="BE131" i="11"/>
  <c r="BE8" i="44"/>
  <c r="BE8" i="51"/>
  <c r="BE8" i="6"/>
  <c r="BE8" i="1"/>
  <c r="BE8" i="48"/>
  <c r="BE8" i="56"/>
  <c r="BE134" i="56" s="1"/>
  <c r="BE141" i="56" s="1"/>
  <c r="BE8" i="55"/>
  <c r="BI7" i="2"/>
  <c r="BE8" i="57"/>
  <c r="BE8" i="7"/>
  <c r="BE8" i="9"/>
  <c r="BE8" i="13"/>
  <c r="BE8" i="50"/>
  <c r="BE8" i="11"/>
  <c r="BE80" i="11" s="1"/>
  <c r="BE88" i="11" s="1"/>
  <c r="BE8" i="47"/>
  <c r="BE8" i="42"/>
  <c r="BE8" i="49"/>
  <c r="BE8" i="5"/>
  <c r="BE225" i="11"/>
  <c r="BE233" i="11" s="1"/>
  <c r="BE239" i="11"/>
  <c r="BE226" i="11" s="1"/>
  <c r="BE240" i="11" s="1"/>
  <c r="BD15" i="11"/>
  <c r="BD90" i="11"/>
  <c r="BE87" i="11" s="1"/>
  <c r="AZ35" i="9"/>
  <c r="BE203" i="11"/>
  <c r="BE189" i="11"/>
  <c r="BE197" i="11" s="1"/>
  <c r="BE168" i="11"/>
  <c r="BE169" i="11" s="1"/>
  <c r="BF166" i="11" s="1"/>
  <c r="BD97" i="11"/>
  <c r="BE94" i="11" s="1"/>
  <c r="BD24" i="11"/>
  <c r="BC35" i="50"/>
  <c r="BH86" i="53"/>
  <c r="BQ85" i="54"/>
  <c r="BH85" i="53"/>
  <c r="BQ84" i="54"/>
  <c r="BC34" i="50"/>
  <c r="AT12" i="49"/>
  <c r="AT19" i="49" s="1"/>
  <c r="BD15" i="56"/>
  <c r="BD24" i="49" s="1"/>
  <c r="BI85" i="53" l="1"/>
  <c r="BD34" i="50"/>
  <c r="BR84" i="54"/>
  <c r="BE224" i="11"/>
  <c r="BE232" i="11" s="1"/>
  <c r="BE234" i="11" s="1"/>
  <c r="BF231" i="11" s="1"/>
  <c r="BD27" i="49"/>
  <c r="BD17" i="11"/>
  <c r="BE83" i="56"/>
  <c r="BE90" i="56" s="1"/>
  <c r="BE152" i="11"/>
  <c r="BE160" i="11" s="1"/>
  <c r="BE162" i="11" s="1"/>
  <c r="BF159" i="11" s="1"/>
  <c r="BE118" i="11"/>
  <c r="BE132" i="11" s="1"/>
  <c r="BE133" i="11"/>
  <c r="BF130" i="11" s="1"/>
  <c r="AV63" i="9"/>
  <c r="AU16" i="50"/>
  <c r="AU12" i="50" s="1"/>
  <c r="BE116" i="11"/>
  <c r="BE124" i="11" s="1"/>
  <c r="BE126" i="11" s="1"/>
  <c r="BF123" i="11" s="1"/>
  <c r="BC53" i="9"/>
  <c r="BB15" i="50"/>
  <c r="AU31" i="13"/>
  <c r="BE188" i="11"/>
  <c r="BE196" i="11" s="1"/>
  <c r="BE198" i="11" s="1"/>
  <c r="BF195" i="11" s="1"/>
  <c r="BE33" i="56"/>
  <c r="BE39" i="56" s="1"/>
  <c r="BE161" i="56"/>
  <c r="BE168" i="56" s="1"/>
  <c r="BE169" i="56" s="1"/>
  <c r="BF166" i="56" s="1"/>
  <c r="BR107" i="44"/>
  <c r="BE21" i="11"/>
  <c r="BE160" i="56"/>
  <c r="BE167" i="56" s="1"/>
  <c r="BE190" i="11"/>
  <c r="BE204" i="11" s="1"/>
  <c r="BE205" i="11"/>
  <c r="BF202" i="11" s="1"/>
  <c r="BE109" i="56"/>
  <c r="BE116" i="56" s="1"/>
  <c r="BG45" i="9"/>
  <c r="BE45" i="11"/>
  <c r="BE95" i="11"/>
  <c r="BE81" i="11"/>
  <c r="BE89" i="11" s="1"/>
  <c r="BE16" i="11" s="1"/>
  <c r="BE28" i="49" s="1"/>
  <c r="BE14" i="11"/>
  <c r="BE57" i="56"/>
  <c r="BE64" i="56" s="1"/>
  <c r="BF7" i="56"/>
  <c r="BF7" i="5"/>
  <c r="BF7" i="51"/>
  <c r="BF7" i="48"/>
  <c r="BF7" i="47"/>
  <c r="BF7" i="50"/>
  <c r="BF7" i="9"/>
  <c r="BF7" i="44"/>
  <c r="BF7" i="1"/>
  <c r="BF7" i="42"/>
  <c r="BF7" i="55"/>
  <c r="BF7" i="57"/>
  <c r="BF7" i="6"/>
  <c r="BF7" i="11"/>
  <c r="BI8" i="2"/>
  <c r="BF7" i="7"/>
  <c r="BF7" i="13"/>
  <c r="BF7" i="49"/>
  <c r="BE241" i="11"/>
  <c r="BF238" i="11" s="1"/>
  <c r="BH63" i="53"/>
  <c r="BH62" i="53" s="1"/>
  <c r="BC75" i="9"/>
  <c r="BC77" i="9"/>
  <c r="BQ62" i="54"/>
  <c r="BQ61" i="54" s="1"/>
  <c r="AZ37" i="9"/>
  <c r="BF188" i="11" l="1"/>
  <c r="BF196" i="11" s="1"/>
  <c r="BF198" i="11" s="1"/>
  <c r="BG195" i="11" s="1"/>
  <c r="BF45" i="11"/>
  <c r="BF117" i="11"/>
  <c r="BF125" i="11" s="1"/>
  <c r="BF131" i="11"/>
  <c r="BF118" i="11" s="1"/>
  <c r="BF132" i="11" s="1"/>
  <c r="BF225" i="11"/>
  <c r="BF233" i="11" s="1"/>
  <c r="BF239" i="11"/>
  <c r="BF226" i="11" s="1"/>
  <c r="BF240" i="11" s="1"/>
  <c r="BC55" i="9"/>
  <c r="BC57" i="9" s="1"/>
  <c r="BE90" i="11"/>
  <c r="BF87" i="11" s="1"/>
  <c r="BF203" i="11"/>
  <c r="BF190" i="11" s="1"/>
  <c r="BF204" i="11" s="1"/>
  <c r="BF189" i="11"/>
  <c r="BF197" i="11" s="1"/>
  <c r="AV65" i="9"/>
  <c r="BE82" i="11"/>
  <c r="BE96" i="11" s="1"/>
  <c r="BE22" i="11"/>
  <c r="BE36" i="13" s="1"/>
  <c r="AU17" i="48"/>
  <c r="AU14" i="49"/>
  <c r="AU32" i="13"/>
  <c r="BF8" i="7"/>
  <c r="BF8" i="56"/>
  <c r="BF134" i="56" s="1"/>
  <c r="BF141" i="56" s="1"/>
  <c r="BF8" i="42"/>
  <c r="BF8" i="49"/>
  <c r="BF8" i="57"/>
  <c r="BF8" i="13"/>
  <c r="BJ7" i="2"/>
  <c r="BF8" i="11"/>
  <c r="BF116" i="11" s="1"/>
  <c r="BF124" i="11" s="1"/>
  <c r="BF126" i="11" s="1"/>
  <c r="BG123" i="11" s="1"/>
  <c r="BF8" i="51"/>
  <c r="BF8" i="6"/>
  <c r="BF8" i="44"/>
  <c r="BF8" i="1"/>
  <c r="BF8" i="48"/>
  <c r="BF8" i="47"/>
  <c r="BF8" i="9"/>
  <c r="BF8" i="55"/>
  <c r="BF8" i="50"/>
  <c r="BF8" i="5"/>
  <c r="BD35" i="50"/>
  <c r="BI86" i="53"/>
  <c r="BR85" i="54"/>
  <c r="E107" i="44"/>
  <c r="E108" i="44" s="1"/>
  <c r="F104" i="44" s="1"/>
  <c r="F107" i="44"/>
  <c r="G107" i="44"/>
  <c r="H107" i="44"/>
  <c r="I107" i="44"/>
  <c r="BF153" i="11"/>
  <c r="BF161" i="11" s="1"/>
  <c r="BF167" i="11"/>
  <c r="BE15" i="11"/>
  <c r="BE27" i="49" s="1"/>
  <c r="BC17" i="50"/>
  <c r="BD73" i="9"/>
  <c r="BF83" i="56"/>
  <c r="BF90" i="56" s="1"/>
  <c r="BF109" i="56"/>
  <c r="BF116" i="56" s="1"/>
  <c r="BA33" i="9"/>
  <c r="AZ13" i="50"/>
  <c r="BE15" i="56"/>
  <c r="BE24" i="49" s="1"/>
  <c r="BG47" i="9"/>
  <c r="BR108" i="44"/>
  <c r="BG117" i="11" l="1"/>
  <c r="BG125" i="11" s="1"/>
  <c r="BG131" i="11"/>
  <c r="BD53" i="9"/>
  <c r="BC15" i="50"/>
  <c r="BG189" i="11"/>
  <c r="BG197" i="11" s="1"/>
  <c r="BG203" i="11"/>
  <c r="AV31" i="13"/>
  <c r="BR110" i="44"/>
  <c r="BR18" i="49" s="1"/>
  <c r="BR33" i="50"/>
  <c r="BF160" i="56"/>
  <c r="BF167" i="56" s="1"/>
  <c r="BF169" i="56" s="1"/>
  <c r="BG166" i="56" s="1"/>
  <c r="AU21" i="48"/>
  <c r="BH43" i="9"/>
  <c r="BG14" i="50"/>
  <c r="BE24" i="11"/>
  <c r="BF152" i="11"/>
  <c r="BF160" i="11" s="1"/>
  <c r="BF162" i="11" s="1"/>
  <c r="BG159" i="11" s="1"/>
  <c r="BE23" i="11"/>
  <c r="BE30" i="49" s="1"/>
  <c r="BE97" i="11"/>
  <c r="BF94" i="11" s="1"/>
  <c r="BF95" i="11"/>
  <c r="BF90" i="11"/>
  <c r="BG87" i="11" s="1"/>
  <c r="BF81" i="11"/>
  <c r="BF89" i="11" s="1"/>
  <c r="BF16" i="11" s="1"/>
  <c r="BF28" i="49" s="1"/>
  <c r="BF14" i="11"/>
  <c r="BF80" i="11"/>
  <c r="BF88" i="11" s="1"/>
  <c r="BF15" i="11" s="1"/>
  <c r="BF27" i="49" s="1"/>
  <c r="BF33" i="56"/>
  <c r="BF39" i="56" s="1"/>
  <c r="BF161" i="56"/>
  <c r="BF168" i="56" s="1"/>
  <c r="BA35" i="9"/>
  <c r="BA37" i="9"/>
  <c r="F108" i="44"/>
  <c r="G104" i="44" s="1"/>
  <c r="G108" i="44" s="1"/>
  <c r="H104" i="44" s="1"/>
  <c r="H108" i="44" s="1"/>
  <c r="I104" i="44" s="1"/>
  <c r="I108" i="44" s="1"/>
  <c r="BF133" i="11"/>
  <c r="BG130" i="11" s="1"/>
  <c r="BF241" i="11"/>
  <c r="BG238" i="11" s="1"/>
  <c r="BF224" i="11"/>
  <c r="BF232" i="11" s="1"/>
  <c r="BF234" i="11" s="1"/>
  <c r="BG231" i="11" s="1"/>
  <c r="BR62" i="54"/>
  <c r="BR61" i="54" s="1"/>
  <c r="BD75" i="9"/>
  <c r="BD77" i="9"/>
  <c r="BI63" i="53"/>
  <c r="BI62" i="53" s="1"/>
  <c r="BG7" i="13"/>
  <c r="BG7" i="49"/>
  <c r="BG7" i="1"/>
  <c r="BG7" i="47"/>
  <c r="BG7" i="44"/>
  <c r="BJ8" i="2"/>
  <c r="BG7" i="57"/>
  <c r="BG7" i="11"/>
  <c r="BG7" i="51"/>
  <c r="BG7" i="48"/>
  <c r="BG7" i="6"/>
  <c r="BG7" i="56"/>
  <c r="BG7" i="5"/>
  <c r="BG7" i="7"/>
  <c r="BG7" i="42"/>
  <c r="BG7" i="55"/>
  <c r="BG7" i="9"/>
  <c r="BG7" i="50"/>
  <c r="AU12" i="49"/>
  <c r="BE17" i="11"/>
  <c r="BF57" i="56"/>
  <c r="BF64" i="56" s="1"/>
  <c r="BF15" i="56" s="1"/>
  <c r="BF24" i="49" s="1"/>
  <c r="BF154" i="11"/>
  <c r="BF168" i="11" s="1"/>
  <c r="BF169" i="11"/>
  <c r="BG166" i="11" s="1"/>
  <c r="BF205" i="11"/>
  <c r="BG202" i="11" s="1"/>
  <c r="AV67" i="9"/>
  <c r="BG188" i="11" l="1"/>
  <c r="BG196" i="11" s="1"/>
  <c r="BG80" i="11"/>
  <c r="BG88" i="11" s="1"/>
  <c r="BB33" i="9"/>
  <c r="BA13" i="50"/>
  <c r="BG190" i="11"/>
  <c r="BG204" i="11" s="1"/>
  <c r="BE73" i="9"/>
  <c r="BD17" i="50"/>
  <c r="BG8" i="11"/>
  <c r="BG116" i="11" s="1"/>
  <c r="BG124" i="11" s="1"/>
  <c r="BG8" i="9"/>
  <c r="BG8" i="42"/>
  <c r="BG8" i="7"/>
  <c r="BG8" i="1"/>
  <c r="BG8" i="44"/>
  <c r="BG8" i="49"/>
  <c r="BG8" i="55"/>
  <c r="BG8" i="48"/>
  <c r="BK7" i="2"/>
  <c r="BG8" i="47"/>
  <c r="BG8" i="50"/>
  <c r="BG8" i="13"/>
  <c r="BG8" i="51"/>
  <c r="BG8" i="6"/>
  <c r="BG8" i="56"/>
  <c r="BG83" i="56" s="1"/>
  <c r="BG90" i="56" s="1"/>
  <c r="BG8" i="57"/>
  <c r="BG8" i="5"/>
  <c r="BF97" i="11"/>
  <c r="BG94" i="11" s="1"/>
  <c r="BF21" i="11"/>
  <c r="BG81" i="11"/>
  <c r="BG89" i="11" s="1"/>
  <c r="BG90" i="11"/>
  <c r="BH87" i="11" s="1"/>
  <c r="BG95" i="11"/>
  <c r="BG14" i="11"/>
  <c r="BE35" i="50"/>
  <c r="BJ86" i="53"/>
  <c r="BS85" i="54"/>
  <c r="BG134" i="56"/>
  <c r="BG141" i="56" s="1"/>
  <c r="BG57" i="56"/>
  <c r="BG64" i="56" s="1"/>
  <c r="BG109" i="56"/>
  <c r="BG116" i="56" s="1"/>
  <c r="BG239" i="11"/>
  <c r="BG225" i="11"/>
  <c r="BG233" i="11" s="1"/>
  <c r="BG153" i="11"/>
  <c r="BG161" i="11" s="1"/>
  <c r="BG167" i="11"/>
  <c r="E18" i="49"/>
  <c r="F18" i="49"/>
  <c r="G18" i="49"/>
  <c r="H18" i="49"/>
  <c r="I18" i="49"/>
  <c r="BD55" i="9"/>
  <c r="BD57" i="9"/>
  <c r="AU19" i="49"/>
  <c r="BS84" i="54"/>
  <c r="BJ85" i="53"/>
  <c r="BE34" i="50"/>
  <c r="BG118" i="11"/>
  <c r="BG132" i="11" s="1"/>
  <c r="BF82" i="11"/>
  <c r="BF96" i="11" s="1"/>
  <c r="BF23" i="11" s="1"/>
  <c r="BF30" i="49" s="1"/>
  <c r="BF22" i="11"/>
  <c r="BF36" i="13" s="1"/>
  <c r="AW63" i="9"/>
  <c r="AV16" i="50"/>
  <c r="AV12" i="50" s="1"/>
  <c r="BG133" i="11"/>
  <c r="BH130" i="11" s="1"/>
  <c r="BF17" i="11"/>
  <c r="AV17" i="48"/>
  <c r="AV14" i="49"/>
  <c r="AV32" i="13"/>
  <c r="BG205" i="11"/>
  <c r="BH202" i="11" s="1"/>
  <c r="BH45" i="9"/>
  <c r="BH47" i="9" s="1"/>
  <c r="BH14" i="50" l="1"/>
  <c r="BI43" i="9"/>
  <c r="BG126" i="11"/>
  <c r="BH123" i="11" s="1"/>
  <c r="AV21" i="48"/>
  <c r="BE53" i="9"/>
  <c r="BD15" i="50"/>
  <c r="BG154" i="11"/>
  <c r="BG168" i="11" s="1"/>
  <c r="BH7" i="6"/>
  <c r="BH7" i="5"/>
  <c r="BH7" i="51"/>
  <c r="BH7" i="49"/>
  <c r="BH7" i="56"/>
  <c r="BH7" i="48"/>
  <c r="BH7" i="13"/>
  <c r="BH7" i="44"/>
  <c r="BH7" i="11"/>
  <c r="BH7" i="9"/>
  <c r="BH7" i="42"/>
  <c r="BH7" i="1"/>
  <c r="BK8" i="2"/>
  <c r="BH7" i="7"/>
  <c r="BH7" i="57"/>
  <c r="BH7" i="47"/>
  <c r="BH7" i="55"/>
  <c r="BH7" i="50"/>
  <c r="BG82" i="11"/>
  <c r="BG96" i="11" s="1"/>
  <c r="BG22" i="11"/>
  <c r="BG224" i="11"/>
  <c r="BG232" i="11" s="1"/>
  <c r="BG198" i="11"/>
  <c r="BH195" i="11" s="1"/>
  <c r="AW67" i="9"/>
  <c r="AW65" i="9"/>
  <c r="K105" i="53"/>
  <c r="T103" i="54" s="1"/>
  <c r="AC103" i="54" s="1"/>
  <c r="K103" i="54"/>
  <c r="BG16" i="11"/>
  <c r="BE75" i="9"/>
  <c r="BJ63" i="53"/>
  <c r="BJ62" i="53" s="1"/>
  <c r="BE77" i="9"/>
  <c r="BS62" i="54"/>
  <c r="BS61" i="54" s="1"/>
  <c r="BG152" i="11"/>
  <c r="BG160" i="11" s="1"/>
  <c r="BG97" i="11"/>
  <c r="BH94" i="11" s="1"/>
  <c r="BG21" i="11"/>
  <c r="BB35" i="9"/>
  <c r="BB37" i="9" s="1"/>
  <c r="L103" i="54"/>
  <c r="L105" i="53"/>
  <c r="U103" i="54" s="1"/>
  <c r="BH95" i="11"/>
  <c r="BH81" i="11"/>
  <c r="BH89" i="11" s="1"/>
  <c r="J105" i="53"/>
  <c r="S103" i="54" s="1"/>
  <c r="AB103" i="54" s="1"/>
  <c r="J103" i="54"/>
  <c r="BG45" i="11"/>
  <c r="I103" i="54"/>
  <c r="I105" i="53"/>
  <c r="R103" i="54" s="1"/>
  <c r="BG226" i="11"/>
  <c r="BG240" i="11" s="1"/>
  <c r="BT85" i="54"/>
  <c r="BF35" i="50"/>
  <c r="BK86" i="53"/>
  <c r="BG33" i="56"/>
  <c r="BG39" i="56" s="1"/>
  <c r="BG161" i="56"/>
  <c r="BG168" i="56" s="1"/>
  <c r="AV12" i="49"/>
  <c r="H105" i="53"/>
  <c r="Q103" i="54" s="1"/>
  <c r="H103" i="54"/>
  <c r="BG160" i="56"/>
  <c r="BG167" i="56" s="1"/>
  <c r="BG15" i="56" s="1"/>
  <c r="BF24" i="11"/>
  <c r="BG169" i="11"/>
  <c r="BH166" i="11" s="1"/>
  <c r="BB13" i="50" l="1"/>
  <c r="BC33" i="9"/>
  <c r="BG24" i="49"/>
  <c r="AD103" i="54"/>
  <c r="BF73" i="9"/>
  <c r="BE17" i="50"/>
  <c r="AW31" i="13"/>
  <c r="BG36" i="13"/>
  <c r="BE55" i="9"/>
  <c r="BE57" i="9"/>
  <c r="BG23" i="11"/>
  <c r="BH82" i="11"/>
  <c r="BH96" i="11" s="1"/>
  <c r="BG28" i="49"/>
  <c r="BH189" i="11"/>
  <c r="BH197" i="11" s="1"/>
  <c r="BH203" i="11"/>
  <c r="Z103" i="54"/>
  <c r="AW16" i="50"/>
  <c r="AW12" i="50" s="1"/>
  <c r="AX63" i="9"/>
  <c r="AV19" i="49"/>
  <c r="BG24" i="11"/>
  <c r="BH117" i="11"/>
  <c r="BH125" i="11" s="1"/>
  <c r="BH131" i="11"/>
  <c r="BG241" i="11"/>
  <c r="BH238" i="11" s="1"/>
  <c r="BH97" i="11"/>
  <c r="BI94" i="11" s="1"/>
  <c r="BH21" i="11"/>
  <c r="BH8" i="51"/>
  <c r="BL7" i="2"/>
  <c r="BH8" i="50"/>
  <c r="BH8" i="49"/>
  <c r="BH8" i="6"/>
  <c r="BH8" i="44"/>
  <c r="BH8" i="13"/>
  <c r="BH8" i="11"/>
  <c r="BH116" i="11" s="1"/>
  <c r="BH124" i="11" s="1"/>
  <c r="BH8" i="47"/>
  <c r="BH8" i="9"/>
  <c r="BH8" i="5"/>
  <c r="BH8" i="1"/>
  <c r="BH8" i="7"/>
  <c r="BH8" i="57"/>
  <c r="BH8" i="48"/>
  <c r="BH8" i="42"/>
  <c r="BH8" i="55"/>
  <c r="BH8" i="56"/>
  <c r="BH109" i="56"/>
  <c r="BH116" i="56" s="1"/>
  <c r="BH134" i="56"/>
  <c r="BH141" i="56" s="1"/>
  <c r="BH160" i="56"/>
  <c r="BH167" i="56" s="1"/>
  <c r="BH83" i="56"/>
  <c r="BH90" i="56" s="1"/>
  <c r="BH57" i="56"/>
  <c r="BH64" i="56" s="1"/>
  <c r="BK85" i="53"/>
  <c r="BT84" i="54"/>
  <c r="BF34" i="50"/>
  <c r="BG169" i="56"/>
  <c r="BH166" i="56" s="1"/>
  <c r="AA103" i="54"/>
  <c r="BG162" i="11"/>
  <c r="BH159" i="11" s="1"/>
  <c r="BI45" i="9"/>
  <c r="BI47" i="9"/>
  <c r="BG234" i="11"/>
  <c r="BH231" i="11" s="1"/>
  <c r="BG15" i="11"/>
  <c r="BH126" i="11" l="1"/>
  <c r="BI123" i="11" s="1"/>
  <c r="BH239" i="11"/>
  <c r="BH225" i="11"/>
  <c r="BH233" i="11" s="1"/>
  <c r="BF75" i="9"/>
  <c r="BF77" i="9" s="1"/>
  <c r="BK63" i="53"/>
  <c r="BK62" i="53" s="1"/>
  <c r="BT62" i="54"/>
  <c r="BT61" i="54" s="1"/>
  <c r="BL85" i="53"/>
  <c r="BG34" i="50"/>
  <c r="BU84" i="54"/>
  <c r="BJ43" i="9"/>
  <c r="BI14" i="50"/>
  <c r="BH188" i="11"/>
  <c r="BH196" i="11" s="1"/>
  <c r="BH80" i="11"/>
  <c r="BH88" i="11" s="1"/>
  <c r="BH190" i="11"/>
  <c r="BH204" i="11" s="1"/>
  <c r="BH45" i="11"/>
  <c r="BC37" i="9"/>
  <c r="BC35" i="9"/>
  <c r="BE15" i="50"/>
  <c r="BF53" i="9"/>
  <c r="AX65" i="9"/>
  <c r="AX67" i="9"/>
  <c r="BH152" i="11"/>
  <c r="BH160" i="11" s="1"/>
  <c r="BH15" i="56"/>
  <c r="BH167" i="11"/>
  <c r="BH153" i="11"/>
  <c r="BH161" i="11" s="1"/>
  <c r="BH162" i="11"/>
  <c r="BI159" i="11" s="1"/>
  <c r="BH14" i="11"/>
  <c r="BH33" i="56"/>
  <c r="BH39" i="56" s="1"/>
  <c r="BH161" i="56"/>
  <c r="BH168" i="56" s="1"/>
  <c r="BH169" i="56" s="1"/>
  <c r="BI166" i="56" s="1"/>
  <c r="BI7" i="49"/>
  <c r="BI7" i="6"/>
  <c r="BI7" i="13"/>
  <c r="BI7" i="51"/>
  <c r="BI7" i="1"/>
  <c r="BI7" i="11"/>
  <c r="BI7" i="42"/>
  <c r="BI7" i="48"/>
  <c r="BI7" i="57"/>
  <c r="BI7" i="9"/>
  <c r="BI7" i="55"/>
  <c r="BL8" i="2"/>
  <c r="BI7" i="56"/>
  <c r="BI7" i="5"/>
  <c r="BI7" i="44"/>
  <c r="BI7" i="7"/>
  <c r="BI7" i="47"/>
  <c r="BI7" i="50"/>
  <c r="BH118" i="11"/>
  <c r="BH132" i="11" s="1"/>
  <c r="BH133" i="11"/>
  <c r="BI130" i="11" s="1"/>
  <c r="BH22" i="11"/>
  <c r="BH224" i="11"/>
  <c r="BH232" i="11" s="1"/>
  <c r="BH234" i="11" s="1"/>
  <c r="BI231" i="11" s="1"/>
  <c r="AW14" i="49"/>
  <c r="AW17" i="48"/>
  <c r="AW32" i="13"/>
  <c r="BG30" i="49"/>
  <c r="BG27" i="49"/>
  <c r="BG17" i="11"/>
  <c r="BG73" i="9" l="1"/>
  <c r="BF17" i="50"/>
  <c r="BI225" i="11"/>
  <c r="BI233" i="11" s="1"/>
  <c r="BI239" i="11"/>
  <c r="BI226" i="11" s="1"/>
  <c r="BJ45" i="9"/>
  <c r="BJ47" i="9" s="1"/>
  <c r="BI152" i="11"/>
  <c r="BI160" i="11" s="1"/>
  <c r="BH17" i="11"/>
  <c r="BH15" i="11"/>
  <c r="BH90" i="11"/>
  <c r="BI87" i="11" s="1"/>
  <c r="BH36" i="13"/>
  <c r="BD33" i="9"/>
  <c r="BC13" i="50"/>
  <c r="BI8" i="42"/>
  <c r="BI8" i="57"/>
  <c r="BI8" i="56"/>
  <c r="BI8" i="51"/>
  <c r="BI8" i="55"/>
  <c r="BI8" i="50"/>
  <c r="BI8" i="9"/>
  <c r="BI8" i="47"/>
  <c r="BI8" i="6"/>
  <c r="BI8" i="13"/>
  <c r="BI8" i="5"/>
  <c r="BI8" i="49"/>
  <c r="BM7" i="2"/>
  <c r="BI8" i="1"/>
  <c r="BI8" i="44"/>
  <c r="BI8" i="11"/>
  <c r="BI188" i="11" s="1"/>
  <c r="BI196" i="11" s="1"/>
  <c r="BI8" i="48"/>
  <c r="BI8" i="7"/>
  <c r="BH16" i="11"/>
  <c r="AX31" i="13"/>
  <c r="BH198" i="11"/>
  <c r="BI195" i="11" s="1"/>
  <c r="BH154" i="11"/>
  <c r="BH168" i="11" s="1"/>
  <c r="BH169" i="11" s="1"/>
  <c r="BI166" i="11" s="1"/>
  <c r="BH226" i="11"/>
  <c r="BH240" i="11" s="1"/>
  <c r="BH24" i="49"/>
  <c r="BI57" i="56"/>
  <c r="BI64" i="56" s="1"/>
  <c r="BI134" i="56"/>
  <c r="BI141" i="56" s="1"/>
  <c r="BI109" i="56"/>
  <c r="BI116" i="56" s="1"/>
  <c r="BI160" i="56"/>
  <c r="BI167" i="56" s="1"/>
  <c r="BI83" i="56"/>
  <c r="BI90" i="56" s="1"/>
  <c r="BI153" i="11"/>
  <c r="BI161" i="11" s="1"/>
  <c r="BI167" i="11"/>
  <c r="BI154" i="11" s="1"/>
  <c r="AW12" i="49"/>
  <c r="BG35" i="50"/>
  <c r="BU85" i="54"/>
  <c r="BL86" i="53"/>
  <c r="AW21" i="48"/>
  <c r="BF57" i="9"/>
  <c r="BF55" i="9"/>
  <c r="BI117" i="11"/>
  <c r="BI125" i="11" s="1"/>
  <c r="BI131" i="11"/>
  <c r="AY63" i="9"/>
  <c r="AX16" i="50"/>
  <c r="AX12" i="50" s="1"/>
  <c r="BH205" i="11"/>
  <c r="BI202" i="11" s="1"/>
  <c r="BK43" i="9" l="1"/>
  <c r="BJ14" i="50"/>
  <c r="BI169" i="11"/>
  <c r="BJ166" i="11" s="1"/>
  <c r="BI21" i="11"/>
  <c r="BI189" i="11"/>
  <c r="BI197" i="11" s="1"/>
  <c r="BI203" i="11"/>
  <c r="BI198" i="11"/>
  <c r="BJ195" i="11" s="1"/>
  <c r="BI224" i="11"/>
  <c r="BI232" i="11" s="1"/>
  <c r="AY65" i="9"/>
  <c r="AY31" i="13" s="1"/>
  <c r="BH241" i="11"/>
  <c r="BI238" i="11" s="1"/>
  <c r="BD35" i="9"/>
  <c r="BD37" i="9"/>
  <c r="BI81" i="11"/>
  <c r="BI89" i="11" s="1"/>
  <c r="BI95" i="11"/>
  <c r="BI14" i="11"/>
  <c r="BI45" i="11"/>
  <c r="BI240" i="11"/>
  <c r="BI116" i="11"/>
  <c r="BI124" i="11" s="1"/>
  <c r="AW19" i="49"/>
  <c r="BI15" i="56"/>
  <c r="AX14" i="49"/>
  <c r="AX17" i="48"/>
  <c r="AX32" i="13"/>
  <c r="BJ7" i="55"/>
  <c r="BJ7" i="1"/>
  <c r="BJ7" i="5"/>
  <c r="BJ7" i="50"/>
  <c r="BJ7" i="42"/>
  <c r="BJ7" i="47"/>
  <c r="BJ7" i="9"/>
  <c r="BM8" i="2"/>
  <c r="BJ7" i="6"/>
  <c r="BJ7" i="11"/>
  <c r="BJ7" i="51"/>
  <c r="BJ7" i="57"/>
  <c r="BJ7" i="48"/>
  <c r="BJ7" i="13"/>
  <c r="BJ7" i="7"/>
  <c r="BJ7" i="56"/>
  <c r="BJ7" i="49"/>
  <c r="BJ7" i="44"/>
  <c r="BH27" i="49"/>
  <c r="BI80" i="11"/>
  <c r="BI88" i="11" s="1"/>
  <c r="BH35" i="50"/>
  <c r="BV85" i="54"/>
  <c r="BM86" i="53"/>
  <c r="BI118" i="11"/>
  <c r="BI132" i="11" s="1"/>
  <c r="BI133" i="11" s="1"/>
  <c r="BJ130" i="11" s="1"/>
  <c r="BG53" i="9"/>
  <c r="BF15" i="50"/>
  <c r="BI162" i="11"/>
  <c r="BJ159" i="11" s="1"/>
  <c r="BH28" i="49"/>
  <c r="BI168" i="11"/>
  <c r="BH23" i="11"/>
  <c r="BI33" i="56"/>
  <c r="BI39" i="56" s="1"/>
  <c r="BI161" i="56"/>
  <c r="BI168" i="56" s="1"/>
  <c r="BI169" i="56" s="1"/>
  <c r="BJ166" i="56" s="1"/>
  <c r="BL63" i="53"/>
  <c r="BL62" i="53" s="1"/>
  <c r="BG75" i="9"/>
  <c r="BG77" i="9" s="1"/>
  <c r="BU62" i="54"/>
  <c r="BU61" i="54" s="1"/>
  <c r="BG17" i="50" l="1"/>
  <c r="BH73" i="9"/>
  <c r="BJ45" i="11"/>
  <c r="BI82" i="11"/>
  <c r="BI96" i="11" s="1"/>
  <c r="BI22" i="11"/>
  <c r="BI97" i="11"/>
  <c r="BJ94" i="11" s="1"/>
  <c r="BI234" i="11"/>
  <c r="BJ231" i="11" s="1"/>
  <c r="BI16" i="11"/>
  <c r="BI126" i="11"/>
  <c r="BJ123" i="11" s="1"/>
  <c r="BE33" i="9"/>
  <c r="BD13" i="50"/>
  <c r="BJ8" i="6"/>
  <c r="BJ8" i="42"/>
  <c r="BJ8" i="56"/>
  <c r="BJ8" i="57"/>
  <c r="BJ8" i="55"/>
  <c r="BJ8" i="44"/>
  <c r="BJ8" i="7"/>
  <c r="BJ8" i="51"/>
  <c r="BJ8" i="13"/>
  <c r="BJ8" i="49"/>
  <c r="BJ8" i="9"/>
  <c r="BJ8" i="48"/>
  <c r="BJ8" i="50"/>
  <c r="BJ8" i="47"/>
  <c r="BN7" i="2"/>
  <c r="BJ8" i="11"/>
  <c r="BJ116" i="11" s="1"/>
  <c r="BJ124" i="11" s="1"/>
  <c r="BJ8" i="1"/>
  <c r="BJ8" i="5"/>
  <c r="AX12" i="49"/>
  <c r="BJ203" i="11"/>
  <c r="BJ190" i="11" s="1"/>
  <c r="BJ204" i="11" s="1"/>
  <c r="BJ189" i="11"/>
  <c r="BJ197" i="11" s="1"/>
  <c r="BJ153" i="11"/>
  <c r="BJ161" i="11" s="1"/>
  <c r="BJ167" i="11"/>
  <c r="AX21" i="48"/>
  <c r="BI241" i="11"/>
  <c r="BJ238" i="11" s="1"/>
  <c r="BI190" i="11"/>
  <c r="BI204" i="11" s="1"/>
  <c r="BI205" i="11" s="1"/>
  <c r="BJ202" i="11" s="1"/>
  <c r="BJ109" i="56"/>
  <c r="BJ116" i="56" s="1"/>
  <c r="BJ57" i="56"/>
  <c r="BJ64" i="56" s="1"/>
  <c r="BJ83" i="56"/>
  <c r="BJ90" i="56" s="1"/>
  <c r="BJ134" i="56"/>
  <c r="BJ141" i="56" s="1"/>
  <c r="BH30" i="49"/>
  <c r="BH24" i="11"/>
  <c r="BI15" i="11"/>
  <c r="BK45" i="9"/>
  <c r="BK47" i="9" s="1"/>
  <c r="BG55" i="9"/>
  <c r="BG57" i="9" s="1"/>
  <c r="AY14" i="49"/>
  <c r="AY17" i="48"/>
  <c r="AY21" i="48" s="1"/>
  <c r="AY32" i="13"/>
  <c r="BI24" i="49"/>
  <c r="BI90" i="11"/>
  <c r="BJ87" i="11" s="1"/>
  <c r="AY67" i="9"/>
  <c r="BH53" i="9" l="1"/>
  <c r="BG15" i="50"/>
  <c r="BK14" i="50"/>
  <c r="BL43" i="9"/>
  <c r="BE35" i="9"/>
  <c r="BE37" i="9"/>
  <c r="BJ188" i="11"/>
  <c r="BJ196" i="11" s="1"/>
  <c r="BJ198" i="11" s="1"/>
  <c r="BK195" i="11" s="1"/>
  <c r="BJ80" i="11"/>
  <c r="BJ88" i="11" s="1"/>
  <c r="BJ154" i="11"/>
  <c r="BJ168" i="11" s="1"/>
  <c r="BJ152" i="11"/>
  <c r="BJ160" i="11" s="1"/>
  <c r="BJ162" i="11" s="1"/>
  <c r="BK159" i="11" s="1"/>
  <c r="BM85" i="53"/>
  <c r="BV84" i="54"/>
  <c r="BH34" i="50"/>
  <c r="BJ131" i="11"/>
  <c r="BJ117" i="11"/>
  <c r="BJ125" i="11" s="1"/>
  <c r="BJ126" i="11"/>
  <c r="BK123" i="11" s="1"/>
  <c r="BI36" i="13"/>
  <c r="BV62" i="54"/>
  <c r="BV61" i="54" s="1"/>
  <c r="BH75" i="9"/>
  <c r="BH77" i="9"/>
  <c r="BM63" i="53"/>
  <c r="BM62" i="53" s="1"/>
  <c r="BI23" i="11"/>
  <c r="AY12" i="49"/>
  <c r="AY19" i="49" s="1"/>
  <c r="BJ225" i="11"/>
  <c r="BJ233" i="11" s="1"/>
  <c r="BJ239" i="11"/>
  <c r="BI27" i="49"/>
  <c r="BK7" i="49"/>
  <c r="BK7" i="7"/>
  <c r="BK7" i="47"/>
  <c r="BK7" i="56"/>
  <c r="BK7" i="9"/>
  <c r="BN8" i="2"/>
  <c r="BK7" i="11"/>
  <c r="BK7" i="5"/>
  <c r="BK7" i="51"/>
  <c r="BK7" i="57"/>
  <c r="BK7" i="6"/>
  <c r="BK7" i="42"/>
  <c r="BK7" i="1"/>
  <c r="BK7" i="13"/>
  <c r="BK7" i="44"/>
  <c r="BK7" i="50"/>
  <c r="BK7" i="48"/>
  <c r="BK7" i="55"/>
  <c r="BJ205" i="11"/>
  <c r="BK202" i="11" s="1"/>
  <c r="AX19" i="49"/>
  <c r="BJ33" i="56"/>
  <c r="BJ39" i="56" s="1"/>
  <c r="BJ161" i="56"/>
  <c r="BJ168" i="56" s="1"/>
  <c r="BJ224" i="11"/>
  <c r="BJ232" i="11" s="1"/>
  <c r="BJ234" i="11" s="1"/>
  <c r="BK231" i="11" s="1"/>
  <c r="AZ63" i="9"/>
  <c r="AY16" i="50"/>
  <c r="AY12" i="50" s="1"/>
  <c r="BJ21" i="11"/>
  <c r="BJ95" i="11"/>
  <c r="BJ81" i="11"/>
  <c r="BJ89" i="11" s="1"/>
  <c r="BJ16" i="11" s="1"/>
  <c r="BJ28" i="49" s="1"/>
  <c r="BJ14" i="11"/>
  <c r="BI17" i="11"/>
  <c r="BJ160" i="56"/>
  <c r="BJ167" i="56" s="1"/>
  <c r="BJ169" i="11"/>
  <c r="BK166" i="11" s="1"/>
  <c r="BI28" i="49"/>
  <c r="BK225" i="11" l="1"/>
  <c r="BK233" i="11" s="1"/>
  <c r="BK239" i="11"/>
  <c r="BK226" i="11" s="1"/>
  <c r="BN86" i="53"/>
  <c r="BI35" i="50"/>
  <c r="BW85" i="54"/>
  <c r="BJ169" i="56"/>
  <c r="BK166" i="56" s="1"/>
  <c r="BH17" i="50"/>
  <c r="BI73" i="9"/>
  <c r="BI30" i="49"/>
  <c r="BI24" i="11"/>
  <c r="BK167" i="11"/>
  <c r="BK154" i="11" s="1"/>
  <c r="BK168" i="11" s="1"/>
  <c r="BK153" i="11"/>
  <c r="BK161" i="11" s="1"/>
  <c r="BL45" i="9"/>
  <c r="BL47" i="9"/>
  <c r="BE13" i="50"/>
  <c r="BF33" i="9"/>
  <c r="AZ67" i="9"/>
  <c r="AZ65" i="9"/>
  <c r="AZ31" i="13" s="1"/>
  <c r="BK152" i="11"/>
  <c r="BK160" i="11" s="1"/>
  <c r="BK162" i="11" s="1"/>
  <c r="BL159" i="11" s="1"/>
  <c r="BK116" i="11"/>
  <c r="BK124" i="11" s="1"/>
  <c r="BK80" i="11"/>
  <c r="BK88" i="11" s="1"/>
  <c r="BJ90" i="11"/>
  <c r="BK87" i="11" s="1"/>
  <c r="BJ82" i="11"/>
  <c r="BJ96" i="11" s="1"/>
  <c r="BJ22" i="11"/>
  <c r="BK117" i="11"/>
  <c r="BK125" i="11" s="1"/>
  <c r="BK126" i="11" s="1"/>
  <c r="BL123" i="11" s="1"/>
  <c r="BK131" i="11"/>
  <c r="BK118" i="11" s="1"/>
  <c r="BK8" i="50"/>
  <c r="BK8" i="9"/>
  <c r="BK8" i="1"/>
  <c r="BK8" i="47"/>
  <c r="BK8" i="13"/>
  <c r="BK8" i="6"/>
  <c r="BK8" i="7"/>
  <c r="BK8" i="55"/>
  <c r="BK8" i="49"/>
  <c r="BK8" i="42"/>
  <c r="BK8" i="48"/>
  <c r="BO7" i="2"/>
  <c r="BK8" i="51"/>
  <c r="BK8" i="57"/>
  <c r="BK8" i="56"/>
  <c r="BK109" i="56" s="1"/>
  <c r="BK116" i="56" s="1"/>
  <c r="BK8" i="44"/>
  <c r="BK8" i="5"/>
  <c r="BK8" i="11"/>
  <c r="BK224" i="11" s="1"/>
  <c r="BK232" i="11" s="1"/>
  <c r="BK234" i="11" s="1"/>
  <c r="BL231" i="11" s="1"/>
  <c r="BJ226" i="11"/>
  <c r="BJ240" i="11" s="1"/>
  <c r="BK169" i="11"/>
  <c r="BL166" i="11" s="1"/>
  <c r="BJ15" i="56"/>
  <c r="BJ15" i="11"/>
  <c r="BH55" i="9"/>
  <c r="BJ97" i="11"/>
  <c r="BK94" i="11" s="1"/>
  <c r="BK57" i="56"/>
  <c r="BK64" i="56" s="1"/>
  <c r="BK134" i="56"/>
  <c r="BK141" i="56" s="1"/>
  <c r="BK160" i="56"/>
  <c r="BK167" i="56" s="1"/>
  <c r="BJ118" i="11"/>
  <c r="BJ132" i="11" s="1"/>
  <c r="BJ133" i="11" s="1"/>
  <c r="BK130" i="11" s="1"/>
  <c r="BK189" i="11"/>
  <c r="BK197" i="11" s="1"/>
  <c r="BK203" i="11"/>
  <c r="BL225" i="11" l="1"/>
  <c r="BL233" i="11" s="1"/>
  <c r="BL239" i="11"/>
  <c r="BL167" i="11"/>
  <c r="BL154" i="11" s="1"/>
  <c r="BL168" i="11" s="1"/>
  <c r="BL153" i="11"/>
  <c r="BL161" i="11" s="1"/>
  <c r="BL131" i="11"/>
  <c r="BL118" i="11" s="1"/>
  <c r="BL117" i="11"/>
  <c r="BL125" i="11" s="1"/>
  <c r="BL7" i="7"/>
  <c r="BL7" i="44"/>
  <c r="BL7" i="55"/>
  <c r="BO8" i="2"/>
  <c r="BL7" i="50"/>
  <c r="BL7" i="1"/>
  <c r="BL7" i="13"/>
  <c r="BL7" i="51"/>
  <c r="BL7" i="57"/>
  <c r="BL7" i="9"/>
  <c r="BL7" i="47"/>
  <c r="BL7" i="11"/>
  <c r="BL7" i="6"/>
  <c r="BL7" i="56"/>
  <c r="BL7" i="49"/>
  <c r="BL7" i="42"/>
  <c r="BL7" i="48"/>
  <c r="BL7" i="5"/>
  <c r="BJ36" i="13"/>
  <c r="BK188" i="11"/>
  <c r="BK196" i="11" s="1"/>
  <c r="BK198" i="11" s="1"/>
  <c r="BL195" i="11" s="1"/>
  <c r="BL169" i="11"/>
  <c r="BM166" i="11" s="1"/>
  <c r="BI75" i="9"/>
  <c r="BI77" i="9"/>
  <c r="BW62" i="54"/>
  <c r="BW61" i="54" s="1"/>
  <c r="BN63" i="53"/>
  <c r="BN62" i="53" s="1"/>
  <c r="BJ241" i="11"/>
  <c r="BK238" i="11" s="1"/>
  <c r="BL14" i="50"/>
  <c r="BM43" i="9"/>
  <c r="BK81" i="11"/>
  <c r="BK89" i="11" s="1"/>
  <c r="BK16" i="11" s="1"/>
  <c r="BK95" i="11"/>
  <c r="BK90" i="11"/>
  <c r="BL87" i="11" s="1"/>
  <c r="BK14" i="11"/>
  <c r="BH57" i="9"/>
  <c r="BJ23" i="11"/>
  <c r="BK83" i="56"/>
  <c r="BK90" i="56" s="1"/>
  <c r="BK190" i="11"/>
  <c r="BK204" i="11" s="1"/>
  <c r="BJ27" i="49"/>
  <c r="BK45" i="11"/>
  <c r="AZ14" i="49"/>
  <c r="AZ17" i="48"/>
  <c r="AZ21" i="48" s="1"/>
  <c r="AZ32" i="13"/>
  <c r="BJ17" i="11"/>
  <c r="BA63" i="9"/>
  <c r="AZ16" i="50"/>
  <c r="AZ12" i="50" s="1"/>
  <c r="BK169" i="56"/>
  <c r="BL166" i="56" s="1"/>
  <c r="BK33" i="56"/>
  <c r="BK39" i="56" s="1"/>
  <c r="BK161" i="56"/>
  <c r="BK168" i="56" s="1"/>
  <c r="BF35" i="9"/>
  <c r="BF37" i="9"/>
  <c r="BI34" i="50"/>
  <c r="BN85" i="53"/>
  <c r="BW84" i="54"/>
  <c r="BJ24" i="49"/>
  <c r="BK15" i="56"/>
  <c r="BK24" i="49" s="1"/>
  <c r="BK205" i="11"/>
  <c r="BL202" i="11" s="1"/>
  <c r="BK132" i="11"/>
  <c r="BK133" i="11" s="1"/>
  <c r="BL130" i="11" s="1"/>
  <c r="BL188" i="11" l="1"/>
  <c r="BL196" i="11" s="1"/>
  <c r="BL224" i="11"/>
  <c r="BL232" i="11" s="1"/>
  <c r="BL234" i="11" s="1"/>
  <c r="BM231" i="11" s="1"/>
  <c r="BL152" i="11"/>
  <c r="BL160" i="11" s="1"/>
  <c r="BL162" i="11" s="1"/>
  <c r="BM159" i="11" s="1"/>
  <c r="BL80" i="11"/>
  <c r="BL88" i="11" s="1"/>
  <c r="BL8" i="50"/>
  <c r="BL8" i="7"/>
  <c r="BL8" i="56"/>
  <c r="BL8" i="48"/>
  <c r="BP7" i="2"/>
  <c r="BL8" i="1"/>
  <c r="BL8" i="55"/>
  <c r="BL8" i="6"/>
  <c r="BL8" i="57"/>
  <c r="BL8" i="11"/>
  <c r="BL45" i="11" s="1"/>
  <c r="BL8" i="51"/>
  <c r="BL8" i="9"/>
  <c r="BL8" i="44"/>
  <c r="BL8" i="5"/>
  <c r="BL8" i="42"/>
  <c r="BL8" i="47"/>
  <c r="BL8" i="13"/>
  <c r="BL8" i="49"/>
  <c r="BA65" i="9"/>
  <c r="BA31" i="13" s="1"/>
  <c r="BL95" i="11"/>
  <c r="BL81" i="11"/>
  <c r="BL89" i="11" s="1"/>
  <c r="BL16" i="11" s="1"/>
  <c r="BL28" i="49" s="1"/>
  <c r="BL14" i="11"/>
  <c r="BI53" i="9"/>
  <c r="BH15" i="50"/>
  <c r="BK82" i="11"/>
  <c r="BK96" i="11" s="1"/>
  <c r="BK22" i="11"/>
  <c r="BK36" i="13" s="1"/>
  <c r="BL189" i="11"/>
  <c r="BL197" i="11" s="1"/>
  <c r="BL203" i="11"/>
  <c r="BL190" i="11" s="1"/>
  <c r="BL204" i="11" s="1"/>
  <c r="BL198" i="11"/>
  <c r="BM195" i="11" s="1"/>
  <c r="BF13" i="50"/>
  <c r="BG33" i="9"/>
  <c r="BK15" i="11"/>
  <c r="BK27" i="49" s="1"/>
  <c r="BO86" i="53"/>
  <c r="BJ35" i="50"/>
  <c r="BX85" i="54"/>
  <c r="BK28" i="49"/>
  <c r="BL132" i="11"/>
  <c r="BL133" i="11" s="1"/>
  <c r="BM130" i="11" s="1"/>
  <c r="AZ12" i="49"/>
  <c r="AZ19" i="49" s="1"/>
  <c r="BM45" i="9"/>
  <c r="BM47" i="9"/>
  <c r="BJ73" i="9"/>
  <c r="BI17" i="50"/>
  <c r="BL226" i="11"/>
  <c r="BK240" i="11"/>
  <c r="BK241" i="11" s="1"/>
  <c r="BL238" i="11" s="1"/>
  <c r="BJ30" i="49"/>
  <c r="BJ24" i="11"/>
  <c r="BK21" i="11"/>
  <c r="BL134" i="56"/>
  <c r="BL141" i="56" s="1"/>
  <c r="BL160" i="56"/>
  <c r="BL167" i="56" s="1"/>
  <c r="BL83" i="56"/>
  <c r="BL90" i="56" s="1"/>
  <c r="BL57" i="56"/>
  <c r="BL64" i="56" s="1"/>
  <c r="BL109" i="56"/>
  <c r="BL116" i="56" s="1"/>
  <c r="BL82" i="11" l="1"/>
  <c r="BL22" i="11"/>
  <c r="BL36" i="13" s="1"/>
  <c r="BM153" i="11"/>
  <c r="BM161" i="11" s="1"/>
  <c r="BM167" i="11"/>
  <c r="BM203" i="11"/>
  <c r="BM190" i="11" s="1"/>
  <c r="BM189" i="11"/>
  <c r="BM197" i="11" s="1"/>
  <c r="BL240" i="11"/>
  <c r="BL241" i="11" s="1"/>
  <c r="BM238" i="11" s="1"/>
  <c r="BL205" i="11"/>
  <c r="BM202" i="11" s="1"/>
  <c r="BL90" i="11"/>
  <c r="BM87" i="11" s="1"/>
  <c r="BM239" i="11"/>
  <c r="BM226" i="11" s="1"/>
  <c r="BM225" i="11"/>
  <c r="BM233" i="11" s="1"/>
  <c r="BA14" i="49"/>
  <c r="BA17" i="48"/>
  <c r="BA21" i="48" s="1"/>
  <c r="BA32" i="13"/>
  <c r="BM7" i="1"/>
  <c r="BM7" i="48"/>
  <c r="BM7" i="51"/>
  <c r="BP8" i="2"/>
  <c r="BM7" i="9"/>
  <c r="BM7" i="7"/>
  <c r="BM7" i="44"/>
  <c r="BM7" i="47"/>
  <c r="BM7" i="57"/>
  <c r="BM7" i="56"/>
  <c r="BM7" i="11"/>
  <c r="BM7" i="5"/>
  <c r="BM7" i="49"/>
  <c r="BM7" i="6"/>
  <c r="BM7" i="42"/>
  <c r="BM7" i="50"/>
  <c r="BM7" i="13"/>
  <c r="BM7" i="55"/>
  <c r="BG35" i="9"/>
  <c r="BG37" i="9"/>
  <c r="BK23" i="11"/>
  <c r="BK30" i="49" s="1"/>
  <c r="BK97" i="11"/>
  <c r="BL94" i="11" s="1"/>
  <c r="BA67" i="9"/>
  <c r="BL116" i="11"/>
  <c r="BL124" i="11" s="1"/>
  <c r="BL126" i="11" s="1"/>
  <c r="BM123" i="11" s="1"/>
  <c r="BJ34" i="50"/>
  <c r="BX84" i="54"/>
  <c r="BO85" i="53"/>
  <c r="BJ75" i="9"/>
  <c r="BJ77" i="9"/>
  <c r="BO63" i="53"/>
  <c r="BO62" i="53" s="1"/>
  <c r="BX62" i="54"/>
  <c r="BX61" i="54" s="1"/>
  <c r="BL15" i="56"/>
  <c r="BL24" i="49" s="1"/>
  <c r="BN43" i="9"/>
  <c r="BM14" i="50"/>
  <c r="BL33" i="56"/>
  <c r="BL39" i="56" s="1"/>
  <c r="BL161" i="56"/>
  <c r="BL168" i="56" s="1"/>
  <c r="BL169" i="56" s="1"/>
  <c r="BM166" i="56" s="1"/>
  <c r="BK17" i="11"/>
  <c r="BI55" i="9"/>
  <c r="BI57" i="9" s="1"/>
  <c r="BI15" i="50" l="1"/>
  <c r="BJ53" i="9"/>
  <c r="BP86" i="53"/>
  <c r="BK35" i="50"/>
  <c r="BY85" i="54"/>
  <c r="BM205" i="11"/>
  <c r="BN202" i="11" s="1"/>
  <c r="BB63" i="9"/>
  <c r="BA16" i="50"/>
  <c r="BA12" i="50" s="1"/>
  <c r="BA12" i="49"/>
  <c r="BA19" i="49" s="1"/>
  <c r="BJ17" i="50"/>
  <c r="BK73" i="9"/>
  <c r="BL21" i="11"/>
  <c r="BL24" i="11" s="1"/>
  <c r="BK24" i="11"/>
  <c r="BL96" i="11"/>
  <c r="BL23" i="11" s="1"/>
  <c r="BL30" i="49" s="1"/>
  <c r="BL15" i="11"/>
  <c r="BM131" i="11"/>
  <c r="BM117" i="11"/>
  <c r="BM125" i="11" s="1"/>
  <c r="BH33" i="9"/>
  <c r="BG13" i="50"/>
  <c r="BM8" i="56"/>
  <c r="BM8" i="44"/>
  <c r="BM8" i="47"/>
  <c r="BM8" i="13"/>
  <c r="BM8" i="7"/>
  <c r="BM8" i="42"/>
  <c r="BM8" i="5"/>
  <c r="BM8" i="1"/>
  <c r="BM8" i="51"/>
  <c r="BM8" i="55"/>
  <c r="BM8" i="49"/>
  <c r="BM8" i="50"/>
  <c r="BM8" i="11"/>
  <c r="BM224" i="11" s="1"/>
  <c r="BM232" i="11" s="1"/>
  <c r="BM234" i="11" s="1"/>
  <c r="BN231" i="11" s="1"/>
  <c r="BM8" i="57"/>
  <c r="BM8" i="48"/>
  <c r="BQ7" i="2"/>
  <c r="BM8" i="9"/>
  <c r="BM8" i="6"/>
  <c r="BM204" i="11"/>
  <c r="BN45" i="9"/>
  <c r="BN47" i="9"/>
  <c r="BM45" i="11"/>
  <c r="BM188" i="11"/>
  <c r="BM196" i="11" s="1"/>
  <c r="BM198" i="11" s="1"/>
  <c r="BN195" i="11" s="1"/>
  <c r="BM116" i="11"/>
  <c r="BM124" i="11" s="1"/>
  <c r="BM126" i="11" s="1"/>
  <c r="BN123" i="11" s="1"/>
  <c r="BM80" i="11"/>
  <c r="BM88" i="11" s="1"/>
  <c r="BM152" i="11"/>
  <c r="BM160" i="11" s="1"/>
  <c r="BM162" i="11" s="1"/>
  <c r="BN159" i="11" s="1"/>
  <c r="BM240" i="11"/>
  <c r="BM241" i="11" s="1"/>
  <c r="BN238" i="11" s="1"/>
  <c r="BM154" i="11"/>
  <c r="BM168" i="11" s="1"/>
  <c r="BM169" i="11" s="1"/>
  <c r="BN166" i="11" s="1"/>
  <c r="BM134" i="56"/>
  <c r="BM141" i="56" s="1"/>
  <c r="BM57" i="56"/>
  <c r="BM64" i="56" s="1"/>
  <c r="BM160" i="56"/>
  <c r="BM167" i="56" s="1"/>
  <c r="BM83" i="56"/>
  <c r="BM90" i="56" s="1"/>
  <c r="BM109" i="56"/>
  <c r="BM116" i="56" s="1"/>
  <c r="BM81" i="11"/>
  <c r="BM89" i="11" s="1"/>
  <c r="BM16" i="11" s="1"/>
  <c r="BM28" i="49" s="1"/>
  <c r="BM95" i="11"/>
  <c r="BM90" i="11"/>
  <c r="BN87" i="11" s="1"/>
  <c r="BM14" i="11"/>
  <c r="BN239" i="11" l="1"/>
  <c r="BN226" i="11" s="1"/>
  <c r="BN240" i="11" s="1"/>
  <c r="BN225" i="11"/>
  <c r="BN233" i="11" s="1"/>
  <c r="BN241" i="11"/>
  <c r="BO238" i="11" s="1"/>
  <c r="BN117" i="11"/>
  <c r="BN125" i="11" s="1"/>
  <c r="BN131" i="11"/>
  <c r="BN118" i="11" s="1"/>
  <c r="BN132" i="11" s="1"/>
  <c r="BZ84" i="54"/>
  <c r="BL34" i="50"/>
  <c r="BQ85" i="53"/>
  <c r="BL97" i="11"/>
  <c r="BM94" i="11" s="1"/>
  <c r="BN153" i="11"/>
  <c r="BN161" i="11" s="1"/>
  <c r="BN167" i="11"/>
  <c r="BN154" i="11" s="1"/>
  <c r="BN168" i="11" s="1"/>
  <c r="BN14" i="50"/>
  <c r="BO43" i="9"/>
  <c r="BP63" i="53"/>
  <c r="BP62" i="53" s="1"/>
  <c r="BK75" i="9"/>
  <c r="BK77" i="9" s="1"/>
  <c r="BY62" i="54"/>
  <c r="BY61" i="54" s="1"/>
  <c r="BM15" i="56"/>
  <c r="BM24" i="49" s="1"/>
  <c r="BM15" i="11"/>
  <c r="BM27" i="49" s="1"/>
  <c r="BM17" i="11"/>
  <c r="BM118" i="11"/>
  <c r="BM132" i="11" s="1"/>
  <c r="BM133" i="11"/>
  <c r="BN130" i="11" s="1"/>
  <c r="BH35" i="9"/>
  <c r="BH37" i="9" s="1"/>
  <c r="BN81" i="11"/>
  <c r="BN89" i="11" s="1"/>
  <c r="BN16" i="11" s="1"/>
  <c r="BN28" i="49" s="1"/>
  <c r="BN95" i="11"/>
  <c r="BN14" i="11"/>
  <c r="BN189" i="11"/>
  <c r="BN197" i="11" s="1"/>
  <c r="BN203" i="11"/>
  <c r="BN190" i="11" s="1"/>
  <c r="BN204" i="11" s="1"/>
  <c r="BL27" i="49"/>
  <c r="BL17" i="11"/>
  <c r="BM82" i="11"/>
  <c r="BM96" i="11" s="1"/>
  <c r="BM23" i="11" s="1"/>
  <c r="BM30" i="49" s="1"/>
  <c r="BM22" i="11"/>
  <c r="BM36" i="13" s="1"/>
  <c r="BM33" i="56"/>
  <c r="BM39" i="56" s="1"/>
  <c r="BM161" i="56"/>
  <c r="BM168" i="56" s="1"/>
  <c r="BM169" i="56" s="1"/>
  <c r="BN166" i="56" s="1"/>
  <c r="BJ55" i="9"/>
  <c r="BJ57" i="9"/>
  <c r="BN7" i="48"/>
  <c r="BN7" i="56"/>
  <c r="BN7" i="9"/>
  <c r="BN7" i="49"/>
  <c r="BN7" i="1"/>
  <c r="BN7" i="42"/>
  <c r="BQ8" i="2"/>
  <c r="BN7" i="11"/>
  <c r="BN7" i="51"/>
  <c r="BN7" i="6"/>
  <c r="BN7" i="55"/>
  <c r="BN7" i="50"/>
  <c r="BN7" i="13"/>
  <c r="BN7" i="47"/>
  <c r="BN7" i="57"/>
  <c r="BN7" i="5"/>
  <c r="BN7" i="44"/>
  <c r="BN7" i="7"/>
  <c r="BP85" i="53"/>
  <c r="BY84" i="54"/>
  <c r="BK34" i="50"/>
  <c r="BB65" i="9"/>
  <c r="BB31" i="13" s="1"/>
  <c r="BB67" i="9"/>
  <c r="BI33" i="9" l="1"/>
  <c r="BH13" i="50"/>
  <c r="BL73" i="9"/>
  <c r="BK17" i="50"/>
  <c r="BK53" i="9"/>
  <c r="BJ15" i="50"/>
  <c r="BN8" i="13"/>
  <c r="BN8" i="42"/>
  <c r="BN8" i="56"/>
  <c r="BN8" i="1"/>
  <c r="BN8" i="51"/>
  <c r="BN8" i="5"/>
  <c r="BN8" i="50"/>
  <c r="BN8" i="57"/>
  <c r="BN8" i="48"/>
  <c r="BN8" i="9"/>
  <c r="BN8" i="6"/>
  <c r="BR7" i="2"/>
  <c r="BN8" i="47"/>
  <c r="BN8" i="7"/>
  <c r="BN8" i="11"/>
  <c r="BN116" i="11" s="1"/>
  <c r="BN124" i="11" s="1"/>
  <c r="BN126" i="11" s="1"/>
  <c r="BO123" i="11" s="1"/>
  <c r="BN8" i="55"/>
  <c r="BN8" i="44"/>
  <c r="BN8" i="49"/>
  <c r="BN205" i="11"/>
  <c r="BO202" i="11" s="1"/>
  <c r="BM97" i="11"/>
  <c r="BN94" i="11" s="1"/>
  <c r="BM21" i="11"/>
  <c r="BM24" i="11" s="1"/>
  <c r="BB17" i="48"/>
  <c r="BB21" i="48" s="1"/>
  <c r="BB14" i="49"/>
  <c r="BB32" i="13"/>
  <c r="BN133" i="11"/>
  <c r="BO130" i="11" s="1"/>
  <c r="BB16" i="50"/>
  <c r="BB12" i="50" s="1"/>
  <c r="BC63" i="9"/>
  <c r="BO45" i="9"/>
  <c r="BO47" i="9"/>
  <c r="BN152" i="11"/>
  <c r="BN160" i="11" s="1"/>
  <c r="BN162" i="11" s="1"/>
  <c r="BO159" i="11" s="1"/>
  <c r="BN224" i="11"/>
  <c r="BN232" i="11" s="1"/>
  <c r="BN234" i="11" s="1"/>
  <c r="BO231" i="11" s="1"/>
  <c r="BN80" i="11"/>
  <c r="BN88" i="11" s="1"/>
  <c r="BN188" i="11"/>
  <c r="BN196" i="11" s="1"/>
  <c r="BN198" i="11" s="1"/>
  <c r="BO195" i="11" s="1"/>
  <c r="BR86" i="53"/>
  <c r="CA85" i="54"/>
  <c r="BM35" i="50"/>
  <c r="BL35" i="50"/>
  <c r="BZ85" i="54"/>
  <c r="BQ86" i="53"/>
  <c r="BN160" i="56"/>
  <c r="BN167" i="56" s="1"/>
  <c r="BN83" i="56"/>
  <c r="BN90" i="56" s="1"/>
  <c r="BN57" i="56"/>
  <c r="BN64" i="56" s="1"/>
  <c r="BN134" i="56"/>
  <c r="BN141" i="56" s="1"/>
  <c r="BN109" i="56"/>
  <c r="BN116" i="56" s="1"/>
  <c r="BN82" i="11"/>
  <c r="BN96" i="11" s="1"/>
  <c r="BN23" i="11" s="1"/>
  <c r="BN30" i="49" s="1"/>
  <c r="BN22" i="11"/>
  <c r="BN36" i="13" s="1"/>
  <c r="BN169" i="11"/>
  <c r="BO166" i="11" s="1"/>
  <c r="BO131" i="11" l="1"/>
  <c r="BO118" i="11" s="1"/>
  <c r="BO132" i="11" s="1"/>
  <c r="BO117" i="11"/>
  <c r="BO125" i="11" s="1"/>
  <c r="CA84" i="54"/>
  <c r="BR85" i="53"/>
  <c r="BM34" i="50"/>
  <c r="BN15" i="11"/>
  <c r="BN90" i="11"/>
  <c r="BO87" i="11" s="1"/>
  <c r="BC65" i="9"/>
  <c r="BC31" i="13" s="1"/>
  <c r="BC67" i="9"/>
  <c r="BN97" i="11"/>
  <c r="BO94" i="11" s="1"/>
  <c r="BN21" i="11"/>
  <c r="BN24" i="11" s="1"/>
  <c r="BO189" i="11"/>
  <c r="BO197" i="11" s="1"/>
  <c r="BO203" i="11"/>
  <c r="BO190" i="11" s="1"/>
  <c r="BO204" i="11" s="1"/>
  <c r="BO225" i="11"/>
  <c r="BO233" i="11" s="1"/>
  <c r="BO239" i="11"/>
  <c r="BK55" i="9"/>
  <c r="BK57" i="9" s="1"/>
  <c r="BB12" i="49"/>
  <c r="BB19" i="49" s="1"/>
  <c r="BO7" i="57"/>
  <c r="BO7" i="9"/>
  <c r="BO7" i="47"/>
  <c r="BO7" i="56"/>
  <c r="BO7" i="42"/>
  <c r="BO7" i="6"/>
  <c r="BO7" i="49"/>
  <c r="BO7" i="55"/>
  <c r="BO7" i="11"/>
  <c r="BO7" i="13"/>
  <c r="BO7" i="7"/>
  <c r="BO7" i="1"/>
  <c r="BO7" i="51"/>
  <c r="BO7" i="44"/>
  <c r="BO7" i="48"/>
  <c r="BO7" i="5"/>
  <c r="BO7" i="50"/>
  <c r="BR8" i="2"/>
  <c r="BN45" i="11"/>
  <c r="BN33" i="56"/>
  <c r="BN39" i="56" s="1"/>
  <c r="BN161" i="56"/>
  <c r="BN168" i="56" s="1"/>
  <c r="BN169" i="56" s="1"/>
  <c r="BO166" i="56" s="1"/>
  <c r="BZ62" i="54"/>
  <c r="BZ61" i="54" s="1"/>
  <c r="BL75" i="9"/>
  <c r="BL77" i="9" s="1"/>
  <c r="BQ63" i="53"/>
  <c r="BQ62" i="53" s="1"/>
  <c r="BO133" i="11"/>
  <c r="BP130" i="11" s="1"/>
  <c r="BN15" i="56"/>
  <c r="BN24" i="49" s="1"/>
  <c r="BP43" i="9"/>
  <c r="BO14" i="50"/>
  <c r="BO169" i="11"/>
  <c r="BP166" i="11" s="1"/>
  <c r="BO153" i="11"/>
  <c r="BO161" i="11" s="1"/>
  <c r="BO167" i="11"/>
  <c r="BO154" i="11" s="1"/>
  <c r="BO168" i="11" s="1"/>
  <c r="BI35" i="9"/>
  <c r="BI37" i="9"/>
  <c r="BM73" i="9" l="1"/>
  <c r="BL17" i="50"/>
  <c r="BL53" i="9"/>
  <c r="BK15" i="50"/>
  <c r="CB84" i="54"/>
  <c r="BS85" i="53"/>
  <c r="BN34" i="50"/>
  <c r="BI13" i="50"/>
  <c r="BJ33" i="9"/>
  <c r="BP45" i="9"/>
  <c r="BP47" i="9"/>
  <c r="BO205" i="11"/>
  <c r="BP202" i="11" s="1"/>
  <c r="BO160" i="56"/>
  <c r="BO167" i="56" s="1"/>
  <c r="BO57" i="56"/>
  <c r="BO64" i="56" s="1"/>
  <c r="BO21" i="11"/>
  <c r="BC16" i="50"/>
  <c r="BC12" i="50" s="1"/>
  <c r="BD63" i="9"/>
  <c r="BO226" i="11"/>
  <c r="BO240" i="11" s="1"/>
  <c r="BO241" i="11"/>
  <c r="BP238" i="11" s="1"/>
  <c r="BC14" i="49"/>
  <c r="BC17" i="48"/>
  <c r="BC21" i="48" s="1"/>
  <c r="BC32" i="13"/>
  <c r="BN27" i="49"/>
  <c r="BN17" i="11"/>
  <c r="BO8" i="13"/>
  <c r="BO8" i="50"/>
  <c r="BO8" i="48"/>
  <c r="BO8" i="5"/>
  <c r="BO8" i="6"/>
  <c r="BO8" i="7"/>
  <c r="BO8" i="1"/>
  <c r="BO8" i="9"/>
  <c r="BO8" i="55"/>
  <c r="BO8" i="49"/>
  <c r="BO8" i="42"/>
  <c r="BO8" i="47"/>
  <c r="BO8" i="57"/>
  <c r="BO8" i="56"/>
  <c r="BO83" i="56" s="1"/>
  <c r="BO90" i="56" s="1"/>
  <c r="BS7" i="2"/>
  <c r="BO8" i="11"/>
  <c r="BO224" i="11" s="1"/>
  <c r="BO232" i="11" s="1"/>
  <c r="BO234" i="11" s="1"/>
  <c r="BP231" i="11" s="1"/>
  <c r="BO8" i="51"/>
  <c r="BO8" i="44"/>
  <c r="BO45" i="11"/>
  <c r="BO152" i="11"/>
  <c r="BO160" i="11" s="1"/>
  <c r="BO162" i="11" s="1"/>
  <c r="BP159" i="11" s="1"/>
  <c r="BO116" i="11"/>
  <c r="BO124" i="11" s="1"/>
  <c r="BO126" i="11" s="1"/>
  <c r="BP123" i="11" s="1"/>
  <c r="BO188" i="11"/>
  <c r="BO196" i="11" s="1"/>
  <c r="BO198" i="11" s="1"/>
  <c r="BP195" i="11" s="1"/>
  <c r="BO95" i="11"/>
  <c r="BO81" i="11"/>
  <c r="BO89" i="11" s="1"/>
  <c r="BO16" i="11" s="1"/>
  <c r="BO28" i="49" s="1"/>
  <c r="BO14" i="11"/>
  <c r="BP225" i="11" l="1"/>
  <c r="BP233" i="11" s="1"/>
  <c r="BP239" i="11"/>
  <c r="BP226" i="11" s="1"/>
  <c r="BP240" i="11" s="1"/>
  <c r="BQ43" i="9"/>
  <c r="BP14" i="50"/>
  <c r="BP241" i="11"/>
  <c r="BQ238" i="11" s="1"/>
  <c r="BP203" i="11"/>
  <c r="BP190" i="11" s="1"/>
  <c r="BP204" i="11" s="1"/>
  <c r="BP189" i="11"/>
  <c r="BP197" i="11" s="1"/>
  <c r="BS86" i="53"/>
  <c r="CB85" i="54"/>
  <c r="BN35" i="50"/>
  <c r="BD65" i="9"/>
  <c r="BD31" i="13" s="1"/>
  <c r="BD67" i="9"/>
  <c r="BO134" i="56"/>
  <c r="BO141" i="56" s="1"/>
  <c r="BJ35" i="9"/>
  <c r="BJ37" i="9"/>
  <c r="BP117" i="11"/>
  <c r="BP125" i="11" s="1"/>
  <c r="BP131" i="11"/>
  <c r="BO109" i="56"/>
  <c r="BO116" i="56" s="1"/>
  <c r="BO15" i="56" s="1"/>
  <c r="BO24" i="49" s="1"/>
  <c r="BL55" i="9"/>
  <c r="BL57" i="9" s="1"/>
  <c r="BC12" i="49"/>
  <c r="BC19" i="49" s="1"/>
  <c r="BO82" i="11"/>
  <c r="BO96" i="11" s="1"/>
  <c r="BO22" i="11"/>
  <c r="BO36" i="13" s="1"/>
  <c r="BP7" i="44"/>
  <c r="BP7" i="9"/>
  <c r="BP7" i="5"/>
  <c r="BP7" i="42"/>
  <c r="BP7" i="11"/>
  <c r="BP7" i="51"/>
  <c r="BP7" i="49"/>
  <c r="BP7" i="47"/>
  <c r="BP7" i="48"/>
  <c r="BP7" i="1"/>
  <c r="BP7" i="7"/>
  <c r="BP7" i="57"/>
  <c r="BP7" i="6"/>
  <c r="BP7" i="56"/>
  <c r="BP7" i="13"/>
  <c r="BS8" i="2"/>
  <c r="BP7" i="55"/>
  <c r="BP7" i="50"/>
  <c r="BO80" i="11"/>
  <c r="BO88" i="11" s="1"/>
  <c r="BO33" i="56"/>
  <c r="BO39" i="56" s="1"/>
  <c r="BO161" i="56"/>
  <c r="BO168" i="56" s="1"/>
  <c r="BO169" i="56" s="1"/>
  <c r="BP166" i="56" s="1"/>
  <c r="BP153" i="11"/>
  <c r="BP161" i="11" s="1"/>
  <c r="BP167" i="11"/>
  <c r="BR63" i="53"/>
  <c r="BR62" i="53" s="1"/>
  <c r="CA62" i="54"/>
  <c r="CA61" i="54" s="1"/>
  <c r="BM75" i="9"/>
  <c r="BM77" i="9" s="1"/>
  <c r="BN73" i="9" l="1"/>
  <c r="BM17" i="50"/>
  <c r="BL15" i="50"/>
  <c r="BM53" i="9"/>
  <c r="BP8" i="57"/>
  <c r="BT7" i="2"/>
  <c r="BP8" i="55"/>
  <c r="BP8" i="7"/>
  <c r="BP8" i="56"/>
  <c r="BP8" i="44"/>
  <c r="BP8" i="51"/>
  <c r="BP8" i="11"/>
  <c r="BP116" i="11" s="1"/>
  <c r="BP124" i="11" s="1"/>
  <c r="BP126" i="11" s="1"/>
  <c r="BQ123" i="11" s="1"/>
  <c r="BP8" i="49"/>
  <c r="BP8" i="48"/>
  <c r="BP8" i="13"/>
  <c r="BP8" i="5"/>
  <c r="BP8" i="1"/>
  <c r="BP8" i="47"/>
  <c r="BP8" i="42"/>
  <c r="BP8" i="9"/>
  <c r="BP8" i="50"/>
  <c r="BP8" i="6"/>
  <c r="BO23" i="11"/>
  <c r="BO30" i="49" s="1"/>
  <c r="BO97" i="11"/>
  <c r="BP94" i="11" s="1"/>
  <c r="BD14" i="49"/>
  <c r="BD17" i="48"/>
  <c r="BD21" i="48" s="1"/>
  <c r="BD32" i="13"/>
  <c r="BP205" i="11"/>
  <c r="BQ202" i="11" s="1"/>
  <c r="BP57" i="56"/>
  <c r="BP64" i="56" s="1"/>
  <c r="BP160" i="56"/>
  <c r="BP167" i="56" s="1"/>
  <c r="BP109" i="56"/>
  <c r="BP116" i="56" s="1"/>
  <c r="BP83" i="56"/>
  <c r="BP90" i="56" s="1"/>
  <c r="BP134" i="56"/>
  <c r="BP141" i="56" s="1"/>
  <c r="BP118" i="11"/>
  <c r="BP132" i="11" s="1"/>
  <c r="BP133" i="11"/>
  <c r="BQ130" i="11" s="1"/>
  <c r="BQ47" i="9"/>
  <c r="BQ45" i="9"/>
  <c r="BP45" i="11"/>
  <c r="BP80" i="11"/>
  <c r="BP88" i="11" s="1"/>
  <c r="BP154" i="11"/>
  <c r="BP168" i="11" s="1"/>
  <c r="BP169" i="11"/>
  <c r="BQ166" i="11" s="1"/>
  <c r="BD16" i="50"/>
  <c r="BD12" i="50" s="1"/>
  <c r="BE63" i="9"/>
  <c r="BO15" i="11"/>
  <c r="BO90" i="11"/>
  <c r="BP87" i="11" s="1"/>
  <c r="BK33" i="9"/>
  <c r="BJ13" i="50"/>
  <c r="BQ131" i="11" l="1"/>
  <c r="BQ118" i="11" s="1"/>
  <c r="BQ132" i="11" s="1"/>
  <c r="BQ117" i="11"/>
  <c r="BQ125" i="11" s="1"/>
  <c r="BQ7" i="9"/>
  <c r="BQ7" i="50"/>
  <c r="BQ7" i="42"/>
  <c r="BQ7" i="48"/>
  <c r="BT8" i="2"/>
  <c r="BQ7" i="11"/>
  <c r="BQ7" i="1"/>
  <c r="BQ7" i="5"/>
  <c r="BQ7" i="49"/>
  <c r="BQ7" i="47"/>
  <c r="BQ7" i="7"/>
  <c r="BQ7" i="44"/>
  <c r="BQ7" i="13"/>
  <c r="BQ7" i="51"/>
  <c r="BQ7" i="6"/>
  <c r="BQ7" i="56"/>
  <c r="BQ7" i="57"/>
  <c r="BQ7" i="55"/>
  <c r="BK35" i="9"/>
  <c r="BP15" i="56"/>
  <c r="BP24" i="49" s="1"/>
  <c r="BQ133" i="11"/>
  <c r="BR130" i="11" s="1"/>
  <c r="BD12" i="49"/>
  <c r="BD19" i="49" s="1"/>
  <c r="BQ14" i="50"/>
  <c r="BR43" i="9"/>
  <c r="BO27" i="49"/>
  <c r="BO17" i="11"/>
  <c r="BP95" i="11"/>
  <c r="BP81" i="11"/>
  <c r="BP89" i="11" s="1"/>
  <c r="BP16" i="11" s="1"/>
  <c r="BP28" i="49" s="1"/>
  <c r="BP14" i="11"/>
  <c r="BM55" i="9"/>
  <c r="BM57" i="9" s="1"/>
  <c r="BP152" i="11"/>
  <c r="BP160" i="11" s="1"/>
  <c r="BP162" i="11" s="1"/>
  <c r="BQ159" i="11" s="1"/>
  <c r="BO24" i="11"/>
  <c r="BE65" i="9"/>
  <c r="BE31" i="13" s="1"/>
  <c r="BE67" i="9"/>
  <c r="BP224" i="11"/>
  <c r="BP232" i="11" s="1"/>
  <c r="BP234" i="11" s="1"/>
  <c r="BQ231" i="11" s="1"/>
  <c r="BP33" i="56"/>
  <c r="BP39" i="56" s="1"/>
  <c r="BP161" i="56"/>
  <c r="BP168" i="56" s="1"/>
  <c r="BP169" i="56" s="1"/>
  <c r="BQ166" i="56" s="1"/>
  <c r="CB62" i="54"/>
  <c r="CB61" i="54" s="1"/>
  <c r="BN75" i="9"/>
  <c r="BN77" i="9" s="1"/>
  <c r="BS63" i="53"/>
  <c r="BS62" i="53" s="1"/>
  <c r="BP188" i="11"/>
  <c r="BP196" i="11" s="1"/>
  <c r="BP198" i="11" s="1"/>
  <c r="BQ195" i="11" s="1"/>
  <c r="BP21" i="11"/>
  <c r="BM15" i="50" l="1"/>
  <c r="BN53" i="9"/>
  <c r="BN17" i="50"/>
  <c r="BO73" i="9"/>
  <c r="BQ225" i="11"/>
  <c r="BQ233" i="11" s="1"/>
  <c r="BQ239" i="11"/>
  <c r="BE17" i="48"/>
  <c r="BE21" i="48" s="1"/>
  <c r="BE14" i="49"/>
  <c r="BE32" i="13"/>
  <c r="BP82" i="11"/>
  <c r="BP96" i="11" s="1"/>
  <c r="BP22" i="11"/>
  <c r="BP36" i="13" s="1"/>
  <c r="BT85" i="53"/>
  <c r="BO34" i="50"/>
  <c r="CC84" i="54"/>
  <c r="BP90" i="11"/>
  <c r="BQ87" i="11" s="1"/>
  <c r="BQ57" i="56"/>
  <c r="BQ64" i="56" s="1"/>
  <c r="BR45" i="9"/>
  <c r="BR47" i="9"/>
  <c r="BR14" i="50" s="1"/>
  <c r="BQ203" i="11"/>
  <c r="BQ189" i="11"/>
  <c r="BQ197" i="11" s="1"/>
  <c r="BF63" i="9"/>
  <c r="BE16" i="50"/>
  <c r="BE12" i="50" s="1"/>
  <c r="BQ153" i="11"/>
  <c r="BQ161" i="11" s="1"/>
  <c r="BQ167" i="11"/>
  <c r="BP15" i="11"/>
  <c r="BP27" i="49" s="1"/>
  <c r="CC85" i="54"/>
  <c r="BO35" i="50"/>
  <c r="BT86" i="53"/>
  <c r="BQ80" i="11"/>
  <c r="BQ88" i="11" s="1"/>
  <c r="BQ116" i="11"/>
  <c r="BQ124" i="11" s="1"/>
  <c r="BQ126" i="11" s="1"/>
  <c r="BR123" i="11" s="1"/>
  <c r="BQ152" i="11"/>
  <c r="BQ160" i="11" s="1"/>
  <c r="BQ162" i="11" s="1"/>
  <c r="BR159" i="11" s="1"/>
  <c r="BK37" i="9"/>
  <c r="BQ8" i="44"/>
  <c r="BQ8" i="56"/>
  <c r="BQ160" i="56" s="1"/>
  <c r="BQ167" i="56" s="1"/>
  <c r="BQ8" i="7"/>
  <c r="BQ8" i="13"/>
  <c r="BQ8" i="55"/>
  <c r="BQ8" i="42"/>
  <c r="BQ8" i="50"/>
  <c r="BQ8" i="5"/>
  <c r="BQ8" i="49"/>
  <c r="BQ8" i="48"/>
  <c r="BQ8" i="57"/>
  <c r="BQ8" i="51"/>
  <c r="BQ8" i="1"/>
  <c r="BQ8" i="11"/>
  <c r="BQ224" i="11" s="1"/>
  <c r="BQ232" i="11" s="1"/>
  <c r="BQ234" i="11" s="1"/>
  <c r="BR231" i="11" s="1"/>
  <c r="BQ8" i="6"/>
  <c r="BQ8" i="47"/>
  <c r="BU7" i="2"/>
  <c r="BQ8" i="9"/>
  <c r="BR167" i="11" l="1"/>
  <c r="BR153" i="11"/>
  <c r="BR161" i="11" s="1"/>
  <c r="BR225" i="11"/>
  <c r="BR233" i="11" s="1"/>
  <c r="BR239" i="11"/>
  <c r="BQ190" i="11"/>
  <c r="BQ204" i="11" s="1"/>
  <c r="BQ205" i="11" s="1"/>
  <c r="BR202" i="11" s="1"/>
  <c r="BQ33" i="56"/>
  <c r="BQ39" i="56" s="1"/>
  <c r="BQ161" i="56"/>
  <c r="BQ168" i="56" s="1"/>
  <c r="BQ169" i="56" s="1"/>
  <c r="BR166" i="56" s="1"/>
  <c r="BQ188" i="11"/>
  <c r="BQ196" i="11" s="1"/>
  <c r="BQ198" i="11" s="1"/>
  <c r="BR195" i="11" s="1"/>
  <c r="BQ154" i="11"/>
  <c r="BQ168" i="11" s="1"/>
  <c r="BQ169" i="11"/>
  <c r="BR166" i="11" s="1"/>
  <c r="E45" i="9"/>
  <c r="F45" i="9"/>
  <c r="G45" i="9"/>
  <c r="H45" i="9"/>
  <c r="I45" i="9"/>
  <c r="BQ95" i="11"/>
  <c r="BQ81" i="11"/>
  <c r="BQ89" i="11" s="1"/>
  <c r="BQ16" i="11" s="1"/>
  <c r="BQ28" i="49" s="1"/>
  <c r="BQ14" i="11"/>
  <c r="BP23" i="11"/>
  <c r="BP30" i="49" s="1"/>
  <c r="BP97" i="11"/>
  <c r="BQ94" i="11" s="1"/>
  <c r="BU8" i="2"/>
  <c r="BR7" i="50"/>
  <c r="BR7" i="44"/>
  <c r="BR7" i="5"/>
  <c r="BR7" i="48"/>
  <c r="BR7" i="1"/>
  <c r="BR7" i="9"/>
  <c r="BR7" i="57"/>
  <c r="BR7" i="42"/>
  <c r="BR7" i="51"/>
  <c r="BR7" i="49"/>
  <c r="BR7" i="13"/>
  <c r="BR7" i="47"/>
  <c r="BR7" i="55"/>
  <c r="BR7" i="56"/>
  <c r="BR7" i="7"/>
  <c r="BR7" i="6"/>
  <c r="BR7" i="11"/>
  <c r="BQ45" i="11"/>
  <c r="BE12" i="49"/>
  <c r="BE19" i="49" s="1"/>
  <c r="BO75" i="9"/>
  <c r="BO77" i="9" s="1"/>
  <c r="CC62" i="54"/>
  <c r="CC61" i="54" s="1"/>
  <c r="BT63" i="53"/>
  <c r="BT62" i="53" s="1"/>
  <c r="BR117" i="11"/>
  <c r="BR125" i="11" s="1"/>
  <c r="BR131" i="11"/>
  <c r="BQ83" i="56"/>
  <c r="BQ90" i="56" s="1"/>
  <c r="BQ15" i="56" s="1"/>
  <c r="BQ24" i="49" s="1"/>
  <c r="BQ226" i="11"/>
  <c r="BQ240" i="11" s="1"/>
  <c r="BQ241" i="11"/>
  <c r="BR238" i="11" s="1"/>
  <c r="BL33" i="9"/>
  <c r="BK13" i="50"/>
  <c r="BF65" i="9"/>
  <c r="BF31" i="13" s="1"/>
  <c r="BF67" i="9"/>
  <c r="BQ109" i="56"/>
  <c r="BQ116" i="56" s="1"/>
  <c r="BN55" i="9"/>
  <c r="BN57" i="9"/>
  <c r="BQ15" i="11"/>
  <c r="BQ27" i="49" s="1"/>
  <c r="BQ134" i="56"/>
  <c r="BQ141" i="56" s="1"/>
  <c r="BP17" i="11"/>
  <c r="BO17" i="50" l="1"/>
  <c r="BP73" i="9"/>
  <c r="BR226" i="11"/>
  <c r="BR240" i="11" s="1"/>
  <c r="E239" i="11"/>
  <c r="F239" i="11"/>
  <c r="G239" i="11"/>
  <c r="H239" i="11"/>
  <c r="I239" i="11"/>
  <c r="BQ17" i="11"/>
  <c r="BF14" i="49"/>
  <c r="BF17" i="48"/>
  <c r="BF21" i="48" s="1"/>
  <c r="BF32" i="13"/>
  <c r="BR118" i="11"/>
  <c r="BR132" i="11" s="1"/>
  <c r="BR133" i="11" s="1"/>
  <c r="E131" i="11"/>
  <c r="F131" i="11"/>
  <c r="G131" i="11"/>
  <c r="H131" i="11"/>
  <c r="I131" i="11"/>
  <c r="BQ90" i="11"/>
  <c r="BR87" i="11" s="1"/>
  <c r="BF16" i="50"/>
  <c r="BF12" i="50" s="1"/>
  <c r="BG63" i="9"/>
  <c r="CD85" i="54"/>
  <c r="BU86" i="53"/>
  <c r="BP35" i="50"/>
  <c r="BP24" i="11"/>
  <c r="BQ82" i="11"/>
  <c r="BQ96" i="11" s="1"/>
  <c r="BQ23" i="11" s="1"/>
  <c r="BQ30" i="49" s="1"/>
  <c r="BQ22" i="11"/>
  <c r="BQ36" i="13" s="1"/>
  <c r="BR189" i="11"/>
  <c r="BR197" i="11" s="1"/>
  <c r="BR203" i="11"/>
  <c r="E233" i="11"/>
  <c r="F233" i="11"/>
  <c r="G233" i="11"/>
  <c r="H233" i="11"/>
  <c r="I233" i="11"/>
  <c r="E125" i="11"/>
  <c r="F125" i="11"/>
  <c r="G125" i="11"/>
  <c r="H125" i="11"/>
  <c r="I125" i="11"/>
  <c r="BR224" i="11"/>
  <c r="BR232" i="11" s="1"/>
  <c r="I58" i="11"/>
  <c r="I61" i="11" s="1"/>
  <c r="G166" i="11"/>
  <c r="G14" i="11"/>
  <c r="I231" i="11"/>
  <c r="F52" i="11"/>
  <c r="F54" i="11" s="1"/>
  <c r="G202" i="11"/>
  <c r="H238" i="11"/>
  <c r="D109" i="11"/>
  <c r="D110" i="11" s="1"/>
  <c r="F159" i="11"/>
  <c r="I21" i="11"/>
  <c r="H52" i="11"/>
  <c r="H54" i="11" s="1"/>
  <c r="F21" i="11"/>
  <c r="I14" i="11"/>
  <c r="F58" i="11"/>
  <c r="F61" i="11" s="1"/>
  <c r="H58" i="11"/>
  <c r="H61" i="11" s="1"/>
  <c r="G58" i="11"/>
  <c r="G61" i="11" s="1"/>
  <c r="G87" i="11"/>
  <c r="G123" i="11"/>
  <c r="F94" i="11"/>
  <c r="H94" i="11"/>
  <c r="G130" i="11"/>
  <c r="D181" i="11"/>
  <c r="D182" i="11" s="1"/>
  <c r="D73" i="11"/>
  <c r="D74" i="11" s="1"/>
  <c r="F231" i="11"/>
  <c r="G94" i="11"/>
  <c r="G231" i="11"/>
  <c r="F130" i="11"/>
  <c r="H231" i="11"/>
  <c r="H159" i="11"/>
  <c r="I159" i="11"/>
  <c r="H21" i="11"/>
  <c r="H130" i="11"/>
  <c r="G238" i="11"/>
  <c r="F87" i="11"/>
  <c r="F14" i="11"/>
  <c r="F166" i="11"/>
  <c r="G159" i="11"/>
  <c r="I238" i="11"/>
  <c r="G195" i="11"/>
  <c r="I94" i="11"/>
  <c r="I130" i="11"/>
  <c r="H87" i="11"/>
  <c r="I87" i="11"/>
  <c r="D145" i="11"/>
  <c r="D146" i="11" s="1"/>
  <c r="I52" i="11"/>
  <c r="I54" i="11" s="1"/>
  <c r="I195" i="11"/>
  <c r="H202" i="11"/>
  <c r="G52" i="11"/>
  <c r="G54" i="11" s="1"/>
  <c r="I202" i="11"/>
  <c r="F202" i="11"/>
  <c r="G21" i="11"/>
  <c r="H195" i="11"/>
  <c r="H123" i="11"/>
  <c r="F238" i="11"/>
  <c r="H14" i="11"/>
  <c r="H166" i="11"/>
  <c r="I123" i="11"/>
  <c r="F123" i="11"/>
  <c r="I166" i="11"/>
  <c r="F195" i="11"/>
  <c r="BR8" i="9"/>
  <c r="BR8" i="7"/>
  <c r="BR8" i="51"/>
  <c r="BR8" i="1"/>
  <c r="BR8" i="6"/>
  <c r="BR8" i="50"/>
  <c r="BR8" i="56"/>
  <c r="BR160" i="56" s="1"/>
  <c r="BR167" i="56" s="1"/>
  <c r="BR8" i="57"/>
  <c r="BR8" i="42"/>
  <c r="BR8" i="13"/>
  <c r="BR8" i="49"/>
  <c r="BR8" i="55"/>
  <c r="BR8" i="5"/>
  <c r="BR8" i="11"/>
  <c r="BR80" i="11" s="1"/>
  <c r="BR88" i="11" s="1"/>
  <c r="BR8" i="47"/>
  <c r="BR8" i="48"/>
  <c r="BR8" i="44"/>
  <c r="E161" i="11"/>
  <c r="F161" i="11"/>
  <c r="G161" i="11"/>
  <c r="H161" i="11"/>
  <c r="I161" i="11"/>
  <c r="BR241" i="11"/>
  <c r="BQ97" i="11"/>
  <c r="BR94" i="11" s="1"/>
  <c r="BQ21" i="11"/>
  <c r="BR154" i="11"/>
  <c r="BR168" i="11" s="1"/>
  <c r="E167" i="11"/>
  <c r="F167" i="11"/>
  <c r="G167" i="11"/>
  <c r="H167" i="11"/>
  <c r="I167" i="11"/>
  <c r="BL35" i="9"/>
  <c r="BL37" i="9"/>
  <c r="BN15" i="50"/>
  <c r="BO53" i="9"/>
  <c r="BR134" i="56"/>
  <c r="BR141" i="56" s="1"/>
  <c r="G166" i="56"/>
  <c r="H166" i="56"/>
  <c r="D127" i="56"/>
  <c r="D76" i="56"/>
  <c r="D102" i="56"/>
  <c r="I166" i="56"/>
  <c r="F166" i="56"/>
  <c r="D50" i="56"/>
  <c r="I73" i="9"/>
  <c r="I53" i="9"/>
  <c r="G43" i="9"/>
  <c r="G33" i="9"/>
  <c r="F33" i="9"/>
  <c r="G53" i="9"/>
  <c r="G63" i="9"/>
  <c r="F63" i="9"/>
  <c r="H53" i="9"/>
  <c r="H33" i="9"/>
  <c r="H43" i="9"/>
  <c r="I63" i="9"/>
  <c r="G73" i="9"/>
  <c r="I43" i="9"/>
  <c r="F53" i="9"/>
  <c r="F43" i="9"/>
  <c r="F73" i="9"/>
  <c r="H63" i="9"/>
  <c r="I33" i="9"/>
  <c r="H73" i="9"/>
  <c r="E167" i="56" l="1"/>
  <c r="F167" i="56"/>
  <c r="G167" i="56"/>
  <c r="H167" i="56"/>
  <c r="I167" i="56"/>
  <c r="E88" i="11"/>
  <c r="F88" i="11"/>
  <c r="G88" i="11"/>
  <c r="H88" i="11"/>
  <c r="I88" i="11"/>
  <c r="F27" i="50"/>
  <c r="H27" i="50"/>
  <c r="G17" i="50"/>
  <c r="F19" i="50"/>
  <c r="F21" i="50"/>
  <c r="F22" i="50"/>
  <c r="F14" i="50"/>
  <c r="H33" i="50"/>
  <c r="F35" i="50"/>
  <c r="G34" i="50"/>
  <c r="G20" i="50"/>
  <c r="G25" i="50"/>
  <c r="G32" i="50"/>
  <c r="H35" i="50"/>
  <c r="H15" i="50"/>
  <c r="F13" i="50"/>
  <c r="F15" i="50"/>
  <c r="H16" i="50"/>
  <c r="H20" i="50"/>
  <c r="F41" i="50"/>
  <c r="G13" i="50"/>
  <c r="H26" i="50"/>
  <c r="E32" i="50"/>
  <c r="E27" i="50"/>
  <c r="E16" i="50"/>
  <c r="F17" i="50"/>
  <c r="H13" i="50"/>
  <c r="E26" i="50"/>
  <c r="E34" i="50"/>
  <c r="F33" i="50"/>
  <c r="H34" i="50"/>
  <c r="G27" i="50"/>
  <c r="H24" i="50"/>
  <c r="H19" i="50"/>
  <c r="H12" i="50"/>
  <c r="G14" i="50"/>
  <c r="H41" i="50"/>
  <c r="G41" i="50"/>
  <c r="E24" i="50"/>
  <c r="G24" i="50"/>
  <c r="F20" i="50"/>
  <c r="E13" i="50"/>
  <c r="G33" i="50"/>
  <c r="F12" i="50"/>
  <c r="E22" i="50"/>
  <c r="E19" i="50"/>
  <c r="I41" i="50"/>
  <c r="E15" i="50"/>
  <c r="G15" i="50"/>
  <c r="E21" i="50"/>
  <c r="I33" i="50"/>
  <c r="E14" i="50"/>
  <c r="H17" i="50"/>
  <c r="G12" i="50"/>
  <c r="E20" i="50"/>
  <c r="F26" i="50"/>
  <c r="G19" i="50"/>
  <c r="G21" i="50"/>
  <c r="E41" i="50"/>
  <c r="E31" i="50"/>
  <c r="H14" i="50"/>
  <c r="H21" i="50"/>
  <c r="G22" i="50"/>
  <c r="E25" i="50"/>
  <c r="G26" i="50"/>
  <c r="E12" i="50"/>
  <c r="H32" i="50"/>
  <c r="I20" i="50"/>
  <c r="H25" i="50"/>
  <c r="F34" i="50"/>
  <c r="G35" i="50"/>
  <c r="F25" i="50"/>
  <c r="E17" i="50"/>
  <c r="E35" i="50"/>
  <c r="E33" i="50"/>
  <c r="H22" i="50"/>
  <c r="F24" i="50"/>
  <c r="F32" i="50"/>
  <c r="E29" i="50"/>
  <c r="F16" i="50"/>
  <c r="G16" i="50"/>
  <c r="I26" i="50"/>
  <c r="I22" i="50"/>
  <c r="I19" i="50"/>
  <c r="I24" i="50"/>
  <c r="I14" i="50"/>
  <c r="I32" i="50"/>
  <c r="I21" i="50"/>
  <c r="I27" i="50"/>
  <c r="I25" i="50"/>
  <c r="BR152" i="11"/>
  <c r="BR160" i="11" s="1"/>
  <c r="BF12" i="49"/>
  <c r="BF19" i="49" s="1"/>
  <c r="BO55" i="9"/>
  <c r="BO57" i="9"/>
  <c r="CD84" i="54"/>
  <c r="BU85" i="53"/>
  <c r="BP34" i="50"/>
  <c r="E240" i="11"/>
  <c r="E241" i="11" s="1"/>
  <c r="F240" i="11"/>
  <c r="G240" i="11"/>
  <c r="H240" i="11"/>
  <c r="I240" i="11"/>
  <c r="BR33" i="56"/>
  <c r="BR39" i="56" s="1"/>
  <c r="D128" i="56"/>
  <c r="D27" i="56"/>
  <c r="K33" i="56" s="1"/>
  <c r="K39" i="56" s="1"/>
  <c r="D51" i="56"/>
  <c r="D103" i="56"/>
  <c r="D77" i="56"/>
  <c r="BR161" i="56"/>
  <c r="BR168" i="56" s="1"/>
  <c r="BR169" i="56" s="1"/>
  <c r="E168" i="11"/>
  <c r="E169" i="11" s="1"/>
  <c r="F168" i="11"/>
  <c r="G168" i="11"/>
  <c r="G169" i="11" s="1"/>
  <c r="H168" i="11"/>
  <c r="I168" i="11"/>
  <c r="I169" i="11" s="1"/>
  <c r="G241" i="11"/>
  <c r="BR169" i="11"/>
  <c r="BL13" i="50"/>
  <c r="BM33" i="9"/>
  <c r="BQ24" i="11"/>
  <c r="H169" i="11"/>
  <c r="BR116" i="11"/>
  <c r="BR124" i="11" s="1"/>
  <c r="BR15" i="11" s="1"/>
  <c r="BV86" i="53"/>
  <c r="CE85" i="54"/>
  <c r="BQ35" i="50"/>
  <c r="BP75" i="9"/>
  <c r="BP77" i="9" s="1"/>
  <c r="CD62" i="54"/>
  <c r="CD61" i="54" s="1"/>
  <c r="BU63" i="53"/>
  <c r="BU62" i="53" s="1"/>
  <c r="BR95" i="11"/>
  <c r="BR90" i="11"/>
  <c r="BR81" i="11"/>
  <c r="BR89" i="11" s="1"/>
  <c r="BR14" i="11"/>
  <c r="BR83" i="56"/>
  <c r="BR90" i="56" s="1"/>
  <c r="BR21" i="11"/>
  <c r="H241" i="11"/>
  <c r="BR188" i="11"/>
  <c r="BR196" i="11" s="1"/>
  <c r="BR190" i="11"/>
  <c r="BR204" i="11" s="1"/>
  <c r="E203" i="11"/>
  <c r="F203" i="11"/>
  <c r="G203" i="11"/>
  <c r="H203" i="11"/>
  <c r="I203" i="11"/>
  <c r="E141" i="56"/>
  <c r="F141" i="56"/>
  <c r="G141" i="56"/>
  <c r="H141" i="56"/>
  <c r="I141" i="56"/>
  <c r="F169" i="11"/>
  <c r="E232" i="11"/>
  <c r="E234" i="11" s="1"/>
  <c r="F232" i="11"/>
  <c r="F234" i="11" s="1"/>
  <c r="G232" i="11"/>
  <c r="G234" i="11" s="1"/>
  <c r="H232" i="11"/>
  <c r="H234" i="11" s="1"/>
  <c r="I232" i="11"/>
  <c r="I234" i="11" s="1"/>
  <c r="BR234" i="11"/>
  <c r="BR57" i="56"/>
  <c r="BR64" i="56" s="1"/>
  <c r="E47" i="9"/>
  <c r="F77" i="9"/>
  <c r="E77" i="9"/>
  <c r="E57" i="9"/>
  <c r="H57" i="9"/>
  <c r="I47" i="9"/>
  <c r="H77" i="9"/>
  <c r="F57" i="9"/>
  <c r="H37" i="9"/>
  <c r="F37" i="9"/>
  <c r="G57" i="9"/>
  <c r="G47" i="9"/>
  <c r="H67" i="9"/>
  <c r="G37" i="9"/>
  <c r="H47" i="9"/>
  <c r="F47" i="9"/>
  <c r="F67" i="9"/>
  <c r="G67" i="9"/>
  <c r="E67" i="9"/>
  <c r="G77" i="9"/>
  <c r="E37" i="9"/>
  <c r="F241" i="11"/>
  <c r="I241" i="11"/>
  <c r="BR45" i="11"/>
  <c r="BG65" i="9"/>
  <c r="BG67" i="9"/>
  <c r="E132" i="11"/>
  <c r="E133" i="11" s="1"/>
  <c r="F132" i="11"/>
  <c r="F133" i="11" s="1"/>
  <c r="G132" i="11"/>
  <c r="G133" i="11" s="1"/>
  <c r="H132" i="11"/>
  <c r="H133" i="11" s="1"/>
  <c r="I132" i="11"/>
  <c r="I133" i="11" s="1"/>
  <c r="BR109" i="56"/>
  <c r="BR116" i="56" s="1"/>
  <c r="E197" i="11"/>
  <c r="F197" i="11"/>
  <c r="G197" i="11"/>
  <c r="H197" i="11"/>
  <c r="I197" i="11"/>
  <c r="BR205" i="11"/>
  <c r="BQ73" i="9" l="1"/>
  <c r="BP17" i="50"/>
  <c r="BR27" i="49"/>
  <c r="E15" i="11"/>
  <c r="F15" i="11"/>
  <c r="G15" i="11"/>
  <c r="H15" i="11"/>
  <c r="I15" i="11"/>
  <c r="J65" i="53"/>
  <c r="S64" i="54" s="1"/>
  <c r="AB64" i="54" s="1"/>
  <c r="J64" i="54"/>
  <c r="E116" i="56"/>
  <c r="F116" i="56"/>
  <c r="G116" i="56"/>
  <c r="H116" i="56"/>
  <c r="I116" i="56"/>
  <c r="BG31" i="13"/>
  <c r="BR15" i="56"/>
  <c r="E64" i="56"/>
  <c r="F64" i="56"/>
  <c r="G64" i="56"/>
  <c r="H64" i="56"/>
  <c r="I64" i="56"/>
  <c r="BR82" i="11"/>
  <c r="BR96" i="11" s="1"/>
  <c r="E95" i="11"/>
  <c r="F95" i="11"/>
  <c r="G95" i="11"/>
  <c r="H95" i="11"/>
  <c r="BR22" i="11"/>
  <c r="I95" i="11"/>
  <c r="CE84" i="54"/>
  <c r="BQ34" i="50"/>
  <c r="BV85" i="53"/>
  <c r="Q135" i="56"/>
  <c r="Q142" i="56" s="1"/>
  <c r="AQ135" i="56"/>
  <c r="AQ142" i="56" s="1"/>
  <c r="AF135" i="56"/>
  <c r="AF142" i="56" s="1"/>
  <c r="BN135" i="56"/>
  <c r="BN142" i="56" s="1"/>
  <c r="AX135" i="56"/>
  <c r="AX142" i="56" s="1"/>
  <c r="AE135" i="56"/>
  <c r="AE142" i="56" s="1"/>
  <c r="T135" i="56"/>
  <c r="T142" i="56" s="1"/>
  <c r="AS135" i="56"/>
  <c r="AS142" i="56" s="1"/>
  <c r="Z135" i="56"/>
  <c r="Z142" i="56" s="1"/>
  <c r="AV135" i="56"/>
  <c r="AV142" i="56" s="1"/>
  <c r="BM135" i="56"/>
  <c r="BM142" i="56" s="1"/>
  <c r="BO135" i="56"/>
  <c r="BO142" i="56" s="1"/>
  <c r="V135" i="56"/>
  <c r="V142" i="56" s="1"/>
  <c r="X135" i="56"/>
  <c r="X142" i="56" s="1"/>
  <c r="BQ135" i="56"/>
  <c r="BQ142" i="56" s="1"/>
  <c r="AP135" i="56"/>
  <c r="AP142" i="56" s="1"/>
  <c r="W135" i="56"/>
  <c r="W142" i="56" s="1"/>
  <c r="L135" i="56"/>
  <c r="L142" i="56" s="1"/>
  <c r="BE135" i="56"/>
  <c r="BE142" i="56" s="1"/>
  <c r="AL135" i="56"/>
  <c r="AL142" i="56" s="1"/>
  <c r="S135" i="56"/>
  <c r="S142" i="56" s="1"/>
  <c r="BR135" i="56"/>
  <c r="BR142" i="56" s="1"/>
  <c r="AG135" i="56"/>
  <c r="AG142" i="56" s="1"/>
  <c r="N135" i="56"/>
  <c r="N142" i="56" s="1"/>
  <c r="AB135" i="56"/>
  <c r="AB142" i="56" s="1"/>
  <c r="BK135" i="56"/>
  <c r="BK142" i="56" s="1"/>
  <c r="BH135" i="56"/>
  <c r="BH142" i="56" s="1"/>
  <c r="AJ135" i="56"/>
  <c r="AJ142" i="56" s="1"/>
  <c r="AO135" i="56"/>
  <c r="AO142" i="56" s="1"/>
  <c r="O135" i="56"/>
  <c r="O142" i="56" s="1"/>
  <c r="AW135" i="56"/>
  <c r="AW142" i="56" s="1"/>
  <c r="AD135" i="56"/>
  <c r="AD142" i="56" s="1"/>
  <c r="K135" i="56"/>
  <c r="K142" i="56" s="1"/>
  <c r="BL135" i="56"/>
  <c r="BL142" i="56" s="1"/>
  <c r="AK135" i="56"/>
  <c r="AK142" i="56" s="1"/>
  <c r="R135" i="56"/>
  <c r="R142" i="56" s="1"/>
  <c r="AZ135" i="56"/>
  <c r="AZ142" i="56" s="1"/>
  <c r="BP135" i="56"/>
  <c r="BP142" i="56" s="1"/>
  <c r="M135" i="56"/>
  <c r="M142" i="56" s="1"/>
  <c r="AM135" i="56"/>
  <c r="AM142" i="56" s="1"/>
  <c r="P135" i="56"/>
  <c r="P142" i="56" s="1"/>
  <c r="AH135" i="56"/>
  <c r="AH142" i="56" s="1"/>
  <c r="BB135" i="56"/>
  <c r="BB142" i="56" s="1"/>
  <c r="BF135" i="56"/>
  <c r="BF142" i="56" s="1"/>
  <c r="AU135" i="56"/>
  <c r="AU142" i="56" s="1"/>
  <c r="AC135" i="56"/>
  <c r="AC142" i="56" s="1"/>
  <c r="BC135" i="56"/>
  <c r="BC142" i="56" s="1"/>
  <c r="AR135" i="56"/>
  <c r="AR142" i="56" s="1"/>
  <c r="BJ135" i="56"/>
  <c r="BJ142" i="56" s="1"/>
  <c r="Y135" i="56"/>
  <c r="Y142" i="56" s="1"/>
  <c r="AY135" i="56"/>
  <c r="AY142" i="56" s="1"/>
  <c r="AN135" i="56"/>
  <c r="AN142" i="56" s="1"/>
  <c r="BG135" i="56"/>
  <c r="BG142" i="56" s="1"/>
  <c r="AT135" i="56"/>
  <c r="AT142" i="56" s="1"/>
  <c r="AA135" i="56"/>
  <c r="AA142" i="56" s="1"/>
  <c r="BI135" i="56"/>
  <c r="BI142" i="56" s="1"/>
  <c r="AI135" i="56"/>
  <c r="AI142" i="56" s="1"/>
  <c r="U135" i="56"/>
  <c r="U142" i="56" s="1"/>
  <c r="BA135" i="56"/>
  <c r="BA142" i="56" s="1"/>
  <c r="BD135" i="56"/>
  <c r="BD142" i="56" s="1"/>
  <c r="L83" i="53"/>
  <c r="U82" i="54" s="1"/>
  <c r="L82" i="54"/>
  <c r="L71" i="54"/>
  <c r="L72" i="53"/>
  <c r="U71" i="54" s="1"/>
  <c r="K71" i="54"/>
  <c r="K72" i="53"/>
  <c r="T71" i="54" s="1"/>
  <c r="L69" i="54"/>
  <c r="L70" i="53"/>
  <c r="K64" i="53"/>
  <c r="T63" i="54" s="1"/>
  <c r="AC63" i="54" s="1"/>
  <c r="K63" i="54"/>
  <c r="I76" i="53"/>
  <c r="R75" i="54" s="1"/>
  <c r="I75" i="54"/>
  <c r="H65" i="53"/>
  <c r="Q64" i="54" s="1"/>
  <c r="H64" i="54"/>
  <c r="J83" i="54"/>
  <c r="J84" i="53"/>
  <c r="S83" i="54" s="1"/>
  <c r="AB83" i="54" s="1"/>
  <c r="K92" i="53"/>
  <c r="K90" i="54"/>
  <c r="K84" i="54"/>
  <c r="K85" i="53"/>
  <c r="T84" i="54" s="1"/>
  <c r="AC84" i="54" s="1"/>
  <c r="H66" i="53"/>
  <c r="Q65" i="54" s="1"/>
  <c r="Z65" i="54" s="1"/>
  <c r="H65" i="54"/>
  <c r="K69" i="54"/>
  <c r="K70" i="53"/>
  <c r="J83" i="53"/>
  <c r="S82" i="54" s="1"/>
  <c r="J82" i="54"/>
  <c r="I63" i="54"/>
  <c r="I64" i="53"/>
  <c r="R63" i="54" s="1"/>
  <c r="AA63" i="54" s="1"/>
  <c r="I76" i="54"/>
  <c r="I77" i="53"/>
  <c r="R76" i="54" s="1"/>
  <c r="K40" i="56"/>
  <c r="L38" i="56" s="1"/>
  <c r="E40" i="56"/>
  <c r="K74" i="54"/>
  <c r="K75" i="53"/>
  <c r="I92" i="53"/>
  <c r="I90" i="54"/>
  <c r="BM37" i="9"/>
  <c r="BM35" i="9"/>
  <c r="F39" i="56"/>
  <c r="G39" i="56"/>
  <c r="H39" i="56"/>
  <c r="I39" i="56"/>
  <c r="E160" i="11"/>
  <c r="E162" i="11" s="1"/>
  <c r="F160" i="11"/>
  <c r="F162" i="11" s="1"/>
  <c r="G160" i="11"/>
  <c r="G162" i="11" s="1"/>
  <c r="H160" i="11"/>
  <c r="H162" i="11" s="1"/>
  <c r="I160" i="11"/>
  <c r="I162" i="11" s="1"/>
  <c r="BR162" i="11"/>
  <c r="L64" i="53"/>
  <c r="U63" i="54" s="1"/>
  <c r="L63" i="54"/>
  <c r="H84" i="53"/>
  <c r="Q83" i="54" s="1"/>
  <c r="Z83" i="54" s="1"/>
  <c r="H83" i="54"/>
  <c r="K83" i="53"/>
  <c r="T82" i="54" s="1"/>
  <c r="K82" i="54"/>
  <c r="H69" i="54"/>
  <c r="H70" i="53"/>
  <c r="J63" i="54"/>
  <c r="J64" i="53"/>
  <c r="S63" i="54" s="1"/>
  <c r="AB63" i="54" s="1"/>
  <c r="H77" i="53"/>
  <c r="Q76" i="54" s="1"/>
  <c r="H76" i="54"/>
  <c r="K65" i="54"/>
  <c r="K66" i="53"/>
  <c r="T65" i="54" s="1"/>
  <c r="AC65" i="54" s="1"/>
  <c r="I71" i="54"/>
  <c r="I72" i="53"/>
  <c r="R71" i="54" s="1"/>
  <c r="J77" i="53"/>
  <c r="S76" i="54" s="1"/>
  <c r="J76" i="54"/>
  <c r="E204" i="11"/>
  <c r="E205" i="11" s="1"/>
  <c r="F204" i="11"/>
  <c r="F205" i="11" s="1"/>
  <c r="G204" i="11"/>
  <c r="G205" i="11" s="1"/>
  <c r="H204" i="11"/>
  <c r="H205" i="11" s="1"/>
  <c r="I204" i="11"/>
  <c r="I205" i="11" s="1"/>
  <c r="L74" i="54"/>
  <c r="L75" i="53"/>
  <c r="L76" i="53"/>
  <c r="U75" i="54" s="1"/>
  <c r="L75" i="54"/>
  <c r="H85" i="54"/>
  <c r="H86" i="53"/>
  <c r="Q85" i="54" s="1"/>
  <c r="Z85" i="54" s="1"/>
  <c r="H82" i="53"/>
  <c r="Q81" i="54" s="1"/>
  <c r="H81" i="54"/>
  <c r="L90" i="54"/>
  <c r="L92" i="53"/>
  <c r="H63" i="53"/>
  <c r="H62" i="54"/>
  <c r="I84" i="53"/>
  <c r="R83" i="54" s="1"/>
  <c r="I83" i="54"/>
  <c r="H83" i="53"/>
  <c r="Q82" i="54" s="1"/>
  <c r="H82" i="54"/>
  <c r="J75" i="53"/>
  <c r="J74" i="54"/>
  <c r="BG16" i="50"/>
  <c r="BG12" i="50" s="1"/>
  <c r="BH63" i="9"/>
  <c r="K84" i="53"/>
  <c r="T83" i="54" s="1"/>
  <c r="K83" i="54"/>
  <c r="E196" i="11"/>
  <c r="E198" i="11" s="1"/>
  <c r="F196" i="11"/>
  <c r="F198" i="11" s="1"/>
  <c r="G196" i="11"/>
  <c r="G198" i="11" s="1"/>
  <c r="H196" i="11"/>
  <c r="H198" i="11" s="1"/>
  <c r="I196" i="11"/>
  <c r="I198" i="11" s="1"/>
  <c r="BR198" i="11"/>
  <c r="E124" i="11"/>
  <c r="E126" i="11" s="1"/>
  <c r="F124" i="11"/>
  <c r="F126" i="11" s="1"/>
  <c r="G124" i="11"/>
  <c r="G126" i="11" s="1"/>
  <c r="H124" i="11"/>
  <c r="H126" i="11" s="1"/>
  <c r="I124" i="11"/>
  <c r="I126" i="11" s="1"/>
  <c r="BR126" i="11"/>
  <c r="E168" i="56"/>
  <c r="E169" i="56" s="1"/>
  <c r="F168" i="56"/>
  <c r="F169" i="56" s="1"/>
  <c r="G168" i="56"/>
  <c r="G169" i="56" s="1"/>
  <c r="H168" i="56"/>
  <c r="H169" i="56" s="1"/>
  <c r="I168" i="56"/>
  <c r="I169" i="56" s="1"/>
  <c r="BO15" i="50"/>
  <c r="BP53" i="9"/>
  <c r="J65" i="54"/>
  <c r="J66" i="53"/>
  <c r="S65" i="54" s="1"/>
  <c r="AB65" i="54" s="1"/>
  <c r="H66" i="54"/>
  <c r="H67" i="53"/>
  <c r="Q66" i="54" s="1"/>
  <c r="Z66" i="54" s="1"/>
  <c r="H90" i="54"/>
  <c r="H92" i="53"/>
  <c r="K67" i="53"/>
  <c r="T66" i="54" s="1"/>
  <c r="K66" i="54"/>
  <c r="I70" i="53"/>
  <c r="I69" i="54"/>
  <c r="H85" i="53"/>
  <c r="Q84" i="54" s="1"/>
  <c r="H84" i="54"/>
  <c r="K75" i="54"/>
  <c r="K76" i="53"/>
  <c r="T75" i="54" s="1"/>
  <c r="I65" i="53"/>
  <c r="R64" i="54" s="1"/>
  <c r="I64" i="54"/>
  <c r="K70" i="54"/>
  <c r="K71" i="53"/>
  <c r="T70" i="54" s="1"/>
  <c r="K76" i="54"/>
  <c r="K77" i="53"/>
  <c r="T76" i="54" s="1"/>
  <c r="E90" i="56"/>
  <c r="F90" i="56"/>
  <c r="G90" i="56"/>
  <c r="H90" i="56"/>
  <c r="I90" i="56"/>
  <c r="L84" i="56"/>
  <c r="L91" i="56" s="1"/>
  <c r="AH84" i="56"/>
  <c r="AH91" i="56" s="1"/>
  <c r="AK84" i="56"/>
  <c r="AK91" i="56" s="1"/>
  <c r="AN84" i="56"/>
  <c r="AN91" i="56" s="1"/>
  <c r="AG84" i="56"/>
  <c r="AG91" i="56" s="1"/>
  <c r="BC84" i="56"/>
  <c r="BC91" i="56" s="1"/>
  <c r="BF84" i="56"/>
  <c r="BF91" i="56" s="1"/>
  <c r="AE84" i="56"/>
  <c r="AE91" i="56" s="1"/>
  <c r="U84" i="56"/>
  <c r="U91" i="56" s="1"/>
  <c r="AR84" i="56"/>
  <c r="AR91" i="56" s="1"/>
  <c r="AU84" i="56"/>
  <c r="AU91" i="56" s="1"/>
  <c r="AA84" i="56"/>
  <c r="AA91" i="56" s="1"/>
  <c r="BP84" i="56"/>
  <c r="BP91" i="56" s="1"/>
  <c r="AY84" i="56"/>
  <c r="AY91" i="56" s="1"/>
  <c r="AV84" i="56"/>
  <c r="AV91" i="56" s="1"/>
  <c r="Y84" i="56"/>
  <c r="Y91" i="56" s="1"/>
  <c r="BH84" i="56"/>
  <c r="BH91" i="56" s="1"/>
  <c r="BK84" i="56"/>
  <c r="BK91" i="56" s="1"/>
  <c r="W84" i="56"/>
  <c r="W91" i="56" s="1"/>
  <c r="M84" i="56"/>
  <c r="M91" i="56" s="1"/>
  <c r="AW84" i="56"/>
  <c r="AW91" i="56" s="1"/>
  <c r="AZ84" i="56"/>
  <c r="AZ91" i="56" s="1"/>
  <c r="S84" i="56"/>
  <c r="S91" i="56" s="1"/>
  <c r="AD84" i="56"/>
  <c r="AD91" i="56" s="1"/>
  <c r="BR84" i="56"/>
  <c r="BR91" i="56" s="1"/>
  <c r="AJ84" i="56"/>
  <c r="AJ91" i="56" s="1"/>
  <c r="R84" i="56"/>
  <c r="R91" i="56" s="1"/>
  <c r="AC84" i="56"/>
  <c r="AC91" i="56" s="1"/>
  <c r="Q84" i="56"/>
  <c r="Q91" i="56" s="1"/>
  <c r="BG84" i="56"/>
  <c r="BG91" i="56" s="1"/>
  <c r="I91" i="56" s="1"/>
  <c r="O84" i="56"/>
  <c r="O91" i="56" s="1"/>
  <c r="Z84" i="56"/>
  <c r="Z91" i="56" s="1"/>
  <c r="BB84" i="56"/>
  <c r="BB91" i="56" s="1"/>
  <c r="BE84" i="56"/>
  <c r="BE91" i="56" s="1"/>
  <c r="K84" i="56"/>
  <c r="K91" i="56" s="1"/>
  <c r="V84" i="56"/>
  <c r="V91" i="56" s="1"/>
  <c r="AL84" i="56"/>
  <c r="AL91" i="56" s="1"/>
  <c r="AO84" i="56"/>
  <c r="AO91" i="56" s="1"/>
  <c r="AB84" i="56"/>
  <c r="AB91" i="56" s="1"/>
  <c r="BI84" i="56"/>
  <c r="BI91" i="56" s="1"/>
  <c r="BL84" i="56"/>
  <c r="BL91" i="56" s="1"/>
  <c r="BO84" i="56"/>
  <c r="BO91" i="56" s="1"/>
  <c r="BM84" i="56"/>
  <c r="BM91" i="56" s="1"/>
  <c r="AS84" i="56"/>
  <c r="AS91" i="56" s="1"/>
  <c r="X84" i="56"/>
  <c r="X91" i="56" s="1"/>
  <c r="AF84" i="56"/>
  <c r="AF91" i="56" s="1"/>
  <c r="N84" i="56"/>
  <c r="N91" i="56" s="1"/>
  <c r="AQ84" i="56"/>
  <c r="AQ91" i="56" s="1"/>
  <c r="AT84" i="56"/>
  <c r="AT91" i="56" s="1"/>
  <c r="T84" i="56"/>
  <c r="T91" i="56" s="1"/>
  <c r="BN84" i="56"/>
  <c r="BN91" i="56" s="1"/>
  <c r="BQ84" i="56"/>
  <c r="BQ91" i="56" s="1"/>
  <c r="AI84" i="56"/>
  <c r="AI91" i="56" s="1"/>
  <c r="P84" i="56"/>
  <c r="P91" i="56" s="1"/>
  <c r="AX84" i="56"/>
  <c r="AX91" i="56" s="1"/>
  <c r="BA84" i="56"/>
  <c r="BA91" i="56" s="1"/>
  <c r="BD84" i="56"/>
  <c r="BD91" i="56" s="1"/>
  <c r="BJ84" i="56"/>
  <c r="BJ91" i="56" s="1"/>
  <c r="AP84" i="56"/>
  <c r="AP91" i="56" s="1"/>
  <c r="AM84" i="56"/>
  <c r="AM91" i="56" s="1"/>
  <c r="I65" i="54"/>
  <c r="I66" i="53"/>
  <c r="R65" i="54" s="1"/>
  <c r="AA65" i="54" s="1"/>
  <c r="I74" i="54"/>
  <c r="I75" i="53"/>
  <c r="J76" i="53"/>
  <c r="S75" i="54" s="1"/>
  <c r="J75" i="54"/>
  <c r="J71" i="53"/>
  <c r="S70" i="54" s="1"/>
  <c r="J70" i="54"/>
  <c r="H63" i="54"/>
  <c r="H64" i="53"/>
  <c r="Q63" i="54" s="1"/>
  <c r="Z63" i="54" s="1"/>
  <c r="H76" i="53"/>
  <c r="Q75" i="54" s="1"/>
  <c r="H75" i="54"/>
  <c r="J62" i="54"/>
  <c r="J61" i="54" s="1"/>
  <c r="J63" i="53"/>
  <c r="I62" i="54"/>
  <c r="I63" i="53"/>
  <c r="J70" i="53"/>
  <c r="J69" i="54"/>
  <c r="I70" i="54"/>
  <c r="I71" i="53"/>
  <c r="R70" i="54" s="1"/>
  <c r="J92" i="53"/>
  <c r="J90" i="54"/>
  <c r="M110" i="56"/>
  <c r="M117" i="56" s="1"/>
  <c r="Q110" i="56"/>
  <c r="Q117" i="56" s="1"/>
  <c r="U110" i="56"/>
  <c r="U117" i="56" s="1"/>
  <c r="Y110" i="56"/>
  <c r="Y117" i="56" s="1"/>
  <c r="AC110" i="56"/>
  <c r="AC117" i="56" s="1"/>
  <c r="AG110" i="56"/>
  <c r="AG117" i="56" s="1"/>
  <c r="AK110" i="56"/>
  <c r="AK117" i="56" s="1"/>
  <c r="AO110" i="56"/>
  <c r="AO117" i="56" s="1"/>
  <c r="AS110" i="56"/>
  <c r="AS117" i="56" s="1"/>
  <c r="AW110" i="56"/>
  <c r="AW117" i="56" s="1"/>
  <c r="BA110" i="56"/>
  <c r="BA117" i="56" s="1"/>
  <c r="BE110" i="56"/>
  <c r="BE117" i="56" s="1"/>
  <c r="BI110" i="56"/>
  <c r="BI117" i="56" s="1"/>
  <c r="BM110" i="56"/>
  <c r="BM117" i="56" s="1"/>
  <c r="BQ110" i="56"/>
  <c r="BQ117" i="56" s="1"/>
  <c r="BR110" i="56"/>
  <c r="BR117" i="56" s="1"/>
  <c r="K110" i="56"/>
  <c r="K117" i="56" s="1"/>
  <c r="O110" i="56"/>
  <c r="O117" i="56" s="1"/>
  <c r="R110" i="56"/>
  <c r="R117" i="56" s="1"/>
  <c r="V110" i="56"/>
  <c r="V117" i="56" s="1"/>
  <c r="Z110" i="56"/>
  <c r="Z117" i="56" s="1"/>
  <c r="AD110" i="56"/>
  <c r="AD117" i="56" s="1"/>
  <c r="AH110" i="56"/>
  <c r="AH117" i="56" s="1"/>
  <c r="AL110" i="56"/>
  <c r="AL117" i="56" s="1"/>
  <c r="AP110" i="56"/>
  <c r="AP117" i="56" s="1"/>
  <c r="AT110" i="56"/>
  <c r="AT117" i="56" s="1"/>
  <c r="AX110" i="56"/>
  <c r="AX117" i="56" s="1"/>
  <c r="BB110" i="56"/>
  <c r="BB117" i="56" s="1"/>
  <c r="BF110" i="56"/>
  <c r="BF117" i="56" s="1"/>
  <c r="BJ110" i="56"/>
  <c r="BJ117" i="56" s="1"/>
  <c r="BN110" i="56"/>
  <c r="BN117" i="56" s="1"/>
  <c r="L110" i="56"/>
  <c r="L117" i="56" s="1"/>
  <c r="S110" i="56"/>
  <c r="S117" i="56" s="1"/>
  <c r="W110" i="56"/>
  <c r="W117" i="56" s="1"/>
  <c r="AA110" i="56"/>
  <c r="AA117" i="56" s="1"/>
  <c r="AE110" i="56"/>
  <c r="AE117" i="56" s="1"/>
  <c r="AI110" i="56"/>
  <c r="AI117" i="56" s="1"/>
  <c r="AM110" i="56"/>
  <c r="AM117" i="56" s="1"/>
  <c r="AQ110" i="56"/>
  <c r="AQ117" i="56" s="1"/>
  <c r="AU110" i="56"/>
  <c r="AU117" i="56" s="1"/>
  <c r="AY110" i="56"/>
  <c r="AY117" i="56" s="1"/>
  <c r="BC110" i="56"/>
  <c r="BC117" i="56" s="1"/>
  <c r="BG110" i="56"/>
  <c r="BG117" i="56" s="1"/>
  <c r="I117" i="56" s="1"/>
  <c r="BK110" i="56"/>
  <c r="BK117" i="56" s="1"/>
  <c r="BO110" i="56"/>
  <c r="BO117" i="56" s="1"/>
  <c r="P110" i="56"/>
  <c r="P117" i="56" s="1"/>
  <c r="AV110" i="56"/>
  <c r="AV117" i="56" s="1"/>
  <c r="T110" i="56"/>
  <c r="T117" i="56" s="1"/>
  <c r="AZ110" i="56"/>
  <c r="AZ117" i="56" s="1"/>
  <c r="X110" i="56"/>
  <c r="X117" i="56" s="1"/>
  <c r="BD110" i="56"/>
  <c r="BD117" i="56" s="1"/>
  <c r="AB110" i="56"/>
  <c r="AB117" i="56" s="1"/>
  <c r="BH110" i="56"/>
  <c r="BH117" i="56" s="1"/>
  <c r="AF110" i="56"/>
  <c r="AF117" i="56" s="1"/>
  <c r="BL110" i="56"/>
  <c r="BL117" i="56" s="1"/>
  <c r="N110" i="56"/>
  <c r="N117" i="56" s="1"/>
  <c r="AR110" i="56"/>
  <c r="AR117" i="56" s="1"/>
  <c r="AJ110" i="56"/>
  <c r="AJ117" i="56" s="1"/>
  <c r="AN110" i="56"/>
  <c r="AN117" i="56" s="1"/>
  <c r="BP110" i="56"/>
  <c r="BP117" i="56" s="1"/>
  <c r="L76" i="54"/>
  <c r="L77" i="53"/>
  <c r="U76" i="54" s="1"/>
  <c r="H78" i="54"/>
  <c r="H79" i="53"/>
  <c r="J85" i="54"/>
  <c r="J86" i="53"/>
  <c r="S85" i="54" s="1"/>
  <c r="H74" i="54"/>
  <c r="H75" i="53"/>
  <c r="L84" i="53"/>
  <c r="U83" i="54" s="1"/>
  <c r="L83" i="54"/>
  <c r="H71" i="54"/>
  <c r="H72" i="53"/>
  <c r="Q71" i="54" s="1"/>
  <c r="K62" i="54"/>
  <c r="K61" i="54" s="1"/>
  <c r="K63" i="53"/>
  <c r="K65" i="53"/>
  <c r="T64" i="54" s="1"/>
  <c r="AC64" i="54" s="1"/>
  <c r="K64" i="54"/>
  <c r="J84" i="54"/>
  <c r="J85" i="53"/>
  <c r="S84" i="54" s="1"/>
  <c r="AB84" i="54" s="1"/>
  <c r="E89" i="11"/>
  <c r="E90" i="11" s="1"/>
  <c r="F89" i="11"/>
  <c r="F90" i="11" s="1"/>
  <c r="G89" i="11"/>
  <c r="G90" i="11" s="1"/>
  <c r="H89" i="11"/>
  <c r="H90" i="11" s="1"/>
  <c r="BR16" i="11"/>
  <c r="BR17" i="11" s="1"/>
  <c r="I89" i="11"/>
  <c r="I90" i="11" s="1"/>
  <c r="BR58" i="56"/>
  <c r="BR65" i="56" s="1"/>
  <c r="BR16" i="56" s="1"/>
  <c r="M58" i="56"/>
  <c r="M65" i="56" s="1"/>
  <c r="Q58" i="56"/>
  <c r="Q65" i="56" s="1"/>
  <c r="Q16" i="56" s="1"/>
  <c r="U58" i="56"/>
  <c r="U65" i="56" s="1"/>
  <c r="U16" i="56" s="1"/>
  <c r="Y58" i="56"/>
  <c r="Y65" i="56" s="1"/>
  <c r="Y16" i="56" s="1"/>
  <c r="AC58" i="56"/>
  <c r="AC65" i="56" s="1"/>
  <c r="AC16" i="56" s="1"/>
  <c r="AG58" i="56"/>
  <c r="AG65" i="56" s="1"/>
  <c r="AG16" i="56" s="1"/>
  <c r="AK58" i="56"/>
  <c r="AK65" i="56" s="1"/>
  <c r="AO58" i="56"/>
  <c r="AO65" i="56" s="1"/>
  <c r="AS58" i="56"/>
  <c r="AS65" i="56" s="1"/>
  <c r="AW58" i="56"/>
  <c r="AW65" i="56" s="1"/>
  <c r="AW16" i="56" s="1"/>
  <c r="BA58" i="56"/>
  <c r="BA65" i="56" s="1"/>
  <c r="BE58" i="56"/>
  <c r="BE65" i="56" s="1"/>
  <c r="BE16" i="56" s="1"/>
  <c r="BI58" i="56"/>
  <c r="BI65" i="56" s="1"/>
  <c r="BI16" i="56" s="1"/>
  <c r="BM58" i="56"/>
  <c r="BM65" i="56" s="1"/>
  <c r="BQ58" i="56"/>
  <c r="BQ65" i="56" s="1"/>
  <c r="BQ16" i="56" s="1"/>
  <c r="K58" i="56"/>
  <c r="K65" i="56" s="1"/>
  <c r="N58" i="56"/>
  <c r="N65" i="56" s="1"/>
  <c r="R58" i="56"/>
  <c r="R65" i="56" s="1"/>
  <c r="R16" i="56" s="1"/>
  <c r="V58" i="56"/>
  <c r="V65" i="56" s="1"/>
  <c r="V16" i="56" s="1"/>
  <c r="Z58" i="56"/>
  <c r="Z65" i="56" s="1"/>
  <c r="Z16" i="56" s="1"/>
  <c r="AD58" i="56"/>
  <c r="AD65" i="56" s="1"/>
  <c r="AD16" i="56" s="1"/>
  <c r="AH58" i="56"/>
  <c r="AH65" i="56" s="1"/>
  <c r="AH16" i="56" s="1"/>
  <c r="AL58" i="56"/>
  <c r="AL65" i="56" s="1"/>
  <c r="AL16" i="56" s="1"/>
  <c r="AP58" i="56"/>
  <c r="AP65" i="56" s="1"/>
  <c r="AT58" i="56"/>
  <c r="AT65" i="56" s="1"/>
  <c r="AT16" i="56" s="1"/>
  <c r="AX58" i="56"/>
  <c r="AX65" i="56" s="1"/>
  <c r="AX16" i="56" s="1"/>
  <c r="BB58" i="56"/>
  <c r="BB65" i="56" s="1"/>
  <c r="BF58" i="56"/>
  <c r="BF65" i="56" s="1"/>
  <c r="BF16" i="56" s="1"/>
  <c r="BJ58" i="56"/>
  <c r="BJ65" i="56" s="1"/>
  <c r="BJ16" i="56" s="1"/>
  <c r="BN58" i="56"/>
  <c r="BN65" i="56" s="1"/>
  <c r="BN16" i="56" s="1"/>
  <c r="O58" i="56"/>
  <c r="O65" i="56" s="1"/>
  <c r="O16" i="56" s="1"/>
  <c r="S58" i="56"/>
  <c r="S65" i="56" s="1"/>
  <c r="W58" i="56"/>
  <c r="W65" i="56" s="1"/>
  <c r="AA58" i="56"/>
  <c r="AA65" i="56" s="1"/>
  <c r="AA16" i="56" s="1"/>
  <c r="AE58" i="56"/>
  <c r="AE65" i="56" s="1"/>
  <c r="AE16" i="56" s="1"/>
  <c r="AI58" i="56"/>
  <c r="AI65" i="56" s="1"/>
  <c r="AM58" i="56"/>
  <c r="AM65" i="56" s="1"/>
  <c r="AM16" i="56" s="1"/>
  <c r="AQ58" i="56"/>
  <c r="AQ65" i="56" s="1"/>
  <c r="AQ16" i="56" s="1"/>
  <c r="AU58" i="56"/>
  <c r="AU65" i="56" s="1"/>
  <c r="AY58" i="56"/>
  <c r="AY65" i="56" s="1"/>
  <c r="BC58" i="56"/>
  <c r="BC65" i="56" s="1"/>
  <c r="BG58" i="56"/>
  <c r="BG65" i="56" s="1"/>
  <c r="BK58" i="56"/>
  <c r="BK65" i="56" s="1"/>
  <c r="BK16" i="56" s="1"/>
  <c r="BO58" i="56"/>
  <c r="BO65" i="56" s="1"/>
  <c r="BO16" i="56" s="1"/>
  <c r="T58" i="56"/>
  <c r="T65" i="56" s="1"/>
  <c r="T16" i="56" s="1"/>
  <c r="AZ58" i="56"/>
  <c r="AZ65" i="56" s="1"/>
  <c r="X58" i="56"/>
  <c r="X65" i="56" s="1"/>
  <c r="X16" i="56" s="1"/>
  <c r="BD58" i="56"/>
  <c r="BD65" i="56" s="1"/>
  <c r="BD16" i="56" s="1"/>
  <c r="AB58" i="56"/>
  <c r="AB65" i="56" s="1"/>
  <c r="AB16" i="56" s="1"/>
  <c r="BH58" i="56"/>
  <c r="BH65" i="56" s="1"/>
  <c r="AF58" i="56"/>
  <c r="AF65" i="56" s="1"/>
  <c r="BL58" i="56"/>
  <c r="BL65" i="56" s="1"/>
  <c r="BL16" i="56" s="1"/>
  <c r="AJ58" i="56"/>
  <c r="AJ65" i="56" s="1"/>
  <c r="AJ16" i="56" s="1"/>
  <c r="BP58" i="56"/>
  <c r="BP65" i="56" s="1"/>
  <c r="BP16" i="56" s="1"/>
  <c r="P58" i="56"/>
  <c r="P65" i="56" s="1"/>
  <c r="AV58" i="56"/>
  <c r="AV65" i="56" s="1"/>
  <c r="AV16" i="56" s="1"/>
  <c r="AR58" i="56"/>
  <c r="AR65" i="56" s="1"/>
  <c r="L58" i="56"/>
  <c r="L65" i="56" s="1"/>
  <c r="L16" i="56" s="1"/>
  <c r="AN58" i="56"/>
  <c r="AN65" i="56" s="1"/>
  <c r="AN16" i="56" s="1"/>
  <c r="L71" i="53"/>
  <c r="U70" i="54" s="1"/>
  <c r="L70" i="54"/>
  <c r="I82" i="54"/>
  <c r="I83" i="53"/>
  <c r="R82" i="54" s="1"/>
  <c r="I84" i="54"/>
  <c r="I85" i="53"/>
  <c r="R84" i="54" s="1"/>
  <c r="AA84" i="54" s="1"/>
  <c r="J71" i="54"/>
  <c r="J72" i="53"/>
  <c r="S71" i="54" s="1"/>
  <c r="H70" i="54"/>
  <c r="H71" i="53"/>
  <c r="Q70" i="54" s="1"/>
  <c r="I66" i="54"/>
  <c r="I67" i="53"/>
  <c r="R66" i="54" s="1"/>
  <c r="K85" i="54"/>
  <c r="K86" i="53"/>
  <c r="T85" i="54" s="1"/>
  <c r="AC85" i="54" s="1"/>
  <c r="I86" i="53"/>
  <c r="R85" i="54" s="1"/>
  <c r="I85" i="54"/>
  <c r="J67" i="53"/>
  <c r="S66" i="54" s="1"/>
  <c r="AB66" i="54" s="1"/>
  <c r="J66" i="54"/>
  <c r="Z82" i="54" l="1"/>
  <c r="AA71" i="54"/>
  <c r="Z81" i="54"/>
  <c r="AB71" i="54"/>
  <c r="Z71" i="54"/>
  <c r="AC71" i="54"/>
  <c r="AD76" i="54"/>
  <c r="AA70" i="54"/>
  <c r="AD70" i="54"/>
  <c r="AB70" i="54"/>
  <c r="AB82" i="54"/>
  <c r="AD82" i="54"/>
  <c r="AC76" i="54"/>
  <c r="AD71" i="54"/>
  <c r="AB75" i="54"/>
  <c r="Z76" i="54"/>
  <c r="AD75" i="54"/>
  <c r="J68" i="54"/>
  <c r="H73" i="54"/>
  <c r="BR19" i="48"/>
  <c r="BR34" i="13"/>
  <c r="BR35" i="50"/>
  <c r="I35" i="50" s="1"/>
  <c r="CF85" i="54"/>
  <c r="BW86" i="53"/>
  <c r="Y34" i="13"/>
  <c r="Y19" i="48"/>
  <c r="BH65" i="9"/>
  <c r="AN19" i="48"/>
  <c r="AN34" i="13"/>
  <c r="Q78" i="54"/>
  <c r="Z78" i="54" s="1"/>
  <c r="H117" i="56"/>
  <c r="J69" i="53"/>
  <c r="S68" i="54" s="1"/>
  <c r="S69" i="54"/>
  <c r="AB69" i="54" s="1"/>
  <c r="G91" i="56"/>
  <c r="H61" i="54"/>
  <c r="H68" i="54"/>
  <c r="R90" i="54"/>
  <c r="AA90" i="54" s="1"/>
  <c r="Z64" i="54"/>
  <c r="BK34" i="13"/>
  <c r="BK19" i="48"/>
  <c r="V34" i="13"/>
  <c r="V38" i="13" s="1"/>
  <c r="V19" i="48"/>
  <c r="L19" i="48"/>
  <c r="L34" i="13"/>
  <c r="L38" i="13" s="1"/>
  <c r="BH16" i="56"/>
  <c r="I65" i="56"/>
  <c r="BG16" i="56"/>
  <c r="AA34" i="13"/>
  <c r="AA19" i="48"/>
  <c r="AX19" i="48"/>
  <c r="AX34" i="13"/>
  <c r="R34" i="13"/>
  <c r="R38" i="13" s="1"/>
  <c r="R19" i="48"/>
  <c r="AW34" i="13"/>
  <c r="AW19" i="48"/>
  <c r="Q34" i="13"/>
  <c r="Q38" i="13" s="1"/>
  <c r="Q19" i="48"/>
  <c r="I62" i="53"/>
  <c r="R62" i="54"/>
  <c r="AA62" i="54" s="1"/>
  <c r="AA64" i="54"/>
  <c r="AC66" i="54"/>
  <c r="BP57" i="9"/>
  <c r="BP55" i="9"/>
  <c r="J73" i="54"/>
  <c r="Q62" i="54"/>
  <c r="Z62" i="54" s="1"/>
  <c r="H62" i="53"/>
  <c r="T74" i="54"/>
  <c r="AC74" i="54" s="1"/>
  <c r="K74" i="53"/>
  <c r="T73" i="54" s="1"/>
  <c r="G142" i="56"/>
  <c r="K143" i="56"/>
  <c r="L140" i="56" s="1"/>
  <c r="L143" i="56" s="1"/>
  <c r="M140" i="56" s="1"/>
  <c r="M143" i="56" s="1"/>
  <c r="N140" i="56" s="1"/>
  <c r="N143" i="56" s="1"/>
  <c r="O140" i="56" s="1"/>
  <c r="O143" i="56" s="1"/>
  <c r="P140" i="56" s="1"/>
  <c r="P143" i="56" s="1"/>
  <c r="Q140" i="56" s="1"/>
  <c r="Q143" i="56" s="1"/>
  <c r="R140" i="56" s="1"/>
  <c r="R143" i="56" s="1"/>
  <c r="S140" i="56" s="1"/>
  <c r="S143" i="56" s="1"/>
  <c r="T140" i="56" s="1"/>
  <c r="T143" i="56" s="1"/>
  <c r="U140" i="56" s="1"/>
  <c r="U143" i="56" s="1"/>
  <c r="V140" i="56" s="1"/>
  <c r="V143" i="56" s="1"/>
  <c r="W140" i="56" s="1"/>
  <c r="E142" i="56"/>
  <c r="E143" i="56" s="1"/>
  <c r="F142" i="56"/>
  <c r="F97" i="11"/>
  <c r="BR24" i="49"/>
  <c r="E15" i="56"/>
  <c r="F15" i="56"/>
  <c r="G15" i="56"/>
  <c r="H15" i="56"/>
  <c r="I15" i="56"/>
  <c r="E27" i="49"/>
  <c r="F27" i="49"/>
  <c r="G27" i="49"/>
  <c r="H27" i="49"/>
  <c r="I27" i="49"/>
  <c r="BF34" i="13"/>
  <c r="BF19" i="48"/>
  <c r="BB16" i="56"/>
  <c r="U34" i="13"/>
  <c r="U38" i="13" s="1"/>
  <c r="U19" i="48"/>
  <c r="AR16" i="56"/>
  <c r="BC16" i="56"/>
  <c r="F65" i="56"/>
  <c r="W16" i="56"/>
  <c r="AT19" i="48"/>
  <c r="AT34" i="13"/>
  <c r="N16" i="56"/>
  <c r="AS16" i="56"/>
  <c r="M16" i="56"/>
  <c r="I61" i="54"/>
  <c r="E91" i="56"/>
  <c r="E92" i="56" s="1"/>
  <c r="K92" i="56"/>
  <c r="L89" i="56" s="1"/>
  <c r="L92" i="56" s="1"/>
  <c r="M89" i="56" s="1"/>
  <c r="M92" i="56" s="1"/>
  <c r="N89" i="56" s="1"/>
  <c r="N92" i="56" s="1"/>
  <c r="O89" i="56" s="1"/>
  <c r="O92" i="56" s="1"/>
  <c r="P89" i="56" s="1"/>
  <c r="P92" i="56" s="1"/>
  <c r="Q89" i="56" s="1"/>
  <c r="Q92" i="56" s="1"/>
  <c r="R89" i="56" s="1"/>
  <c r="R92" i="56" s="1"/>
  <c r="S89" i="56" s="1"/>
  <c r="S92" i="56" s="1"/>
  <c r="T89" i="56" s="1"/>
  <c r="T92" i="56" s="1"/>
  <c r="U89" i="56" s="1"/>
  <c r="U92" i="56" s="1"/>
  <c r="V89" i="56" s="1"/>
  <c r="V92" i="56" s="1"/>
  <c r="W89" i="56" s="1"/>
  <c r="F91" i="56"/>
  <c r="H91" i="56"/>
  <c r="AC75" i="54"/>
  <c r="S74" i="54"/>
  <c r="AB74" i="54" s="1"/>
  <c r="J74" i="53"/>
  <c r="S73" i="54" s="1"/>
  <c r="AC82" i="54"/>
  <c r="K73" i="54"/>
  <c r="AA75" i="54"/>
  <c r="BG14" i="49"/>
  <c r="BG17" i="48"/>
  <c r="BG32" i="13"/>
  <c r="BO19" i="48"/>
  <c r="BO34" i="13"/>
  <c r="AE34" i="13"/>
  <c r="AE19" i="48"/>
  <c r="BA16" i="56"/>
  <c r="AA85" i="54"/>
  <c r="AB34" i="13"/>
  <c r="AB19" i="48"/>
  <c r="AV34" i="13"/>
  <c r="AV19" i="48"/>
  <c r="BD34" i="13"/>
  <c r="BD19" i="48"/>
  <c r="AY16" i="56"/>
  <c r="S16" i="56"/>
  <c r="AP16" i="56"/>
  <c r="E65" i="56"/>
  <c r="E66" i="56" s="1"/>
  <c r="K66" i="56"/>
  <c r="L63" i="56" s="1"/>
  <c r="L66" i="56" s="1"/>
  <c r="M63" i="56" s="1"/>
  <c r="M66" i="56" s="1"/>
  <c r="N63" i="56" s="1"/>
  <c r="N66" i="56" s="1"/>
  <c r="O63" i="56" s="1"/>
  <c r="O66" i="56" s="1"/>
  <c r="P63" i="56" s="1"/>
  <c r="P66" i="56" s="1"/>
  <c r="Q63" i="56" s="1"/>
  <c r="Q66" i="56" s="1"/>
  <c r="R63" i="56" s="1"/>
  <c r="R66" i="56" s="1"/>
  <c r="S63" i="56" s="1"/>
  <c r="S66" i="56" s="1"/>
  <c r="T63" i="56" s="1"/>
  <c r="T66" i="56" s="1"/>
  <c r="U63" i="56" s="1"/>
  <c r="U66" i="56" s="1"/>
  <c r="V63" i="56" s="1"/>
  <c r="V66" i="56" s="1"/>
  <c r="W63" i="56" s="1"/>
  <c r="AO16" i="56"/>
  <c r="AD83" i="54"/>
  <c r="G117" i="56"/>
  <c r="J62" i="53"/>
  <c r="S62" i="54"/>
  <c r="AB62" i="54" s="1"/>
  <c r="Q90" i="54"/>
  <c r="Z90" i="54" s="1"/>
  <c r="U90" i="54"/>
  <c r="AD90" i="54" s="1"/>
  <c r="BM13" i="50"/>
  <c r="BN33" i="9"/>
  <c r="K16" i="56"/>
  <c r="E96" i="11"/>
  <c r="E97" i="11" s="1"/>
  <c r="F96" i="11"/>
  <c r="G96" i="11"/>
  <c r="G97" i="11" s="1"/>
  <c r="BR23" i="11"/>
  <c r="H96" i="11"/>
  <c r="H97" i="11" s="1"/>
  <c r="I96" i="11"/>
  <c r="BR97" i="11"/>
  <c r="BL19" i="48"/>
  <c r="BL34" i="13"/>
  <c r="BE19" i="48"/>
  <c r="BE34" i="13"/>
  <c r="I69" i="53"/>
  <c r="R68" i="54" s="1"/>
  <c r="R69" i="54"/>
  <c r="AA69" i="54" s="1"/>
  <c r="Q69" i="54"/>
  <c r="Z69" i="54" s="1"/>
  <c r="H69" i="53"/>
  <c r="Q68" i="54" s="1"/>
  <c r="AF16" i="56"/>
  <c r="AA66" i="54"/>
  <c r="AA82" i="54"/>
  <c r="P16" i="56"/>
  <c r="X19" i="48"/>
  <c r="X34" i="13"/>
  <c r="H65" i="56"/>
  <c r="AU16" i="56"/>
  <c r="O19" i="48"/>
  <c r="O34" i="13"/>
  <c r="O38" i="13" s="1"/>
  <c r="AL34" i="13"/>
  <c r="AL19" i="48"/>
  <c r="BQ19" i="48"/>
  <c r="BQ34" i="13"/>
  <c r="AK16" i="56"/>
  <c r="H74" i="53"/>
  <c r="Q73" i="54" s="1"/>
  <c r="Q74" i="54"/>
  <c r="Z74" i="54" s="1"/>
  <c r="S90" i="54"/>
  <c r="AB90" i="54" s="1"/>
  <c r="T69" i="54"/>
  <c r="AC69" i="54" s="1"/>
  <c r="K69" i="53"/>
  <c r="T68" i="54" s="1"/>
  <c r="T90" i="54"/>
  <c r="AC90" i="54" s="1"/>
  <c r="G65" i="56"/>
  <c r="AI16" i="56"/>
  <c r="E117" i="56"/>
  <c r="E118" i="56" s="1"/>
  <c r="K118" i="56"/>
  <c r="L115" i="56" s="1"/>
  <c r="L118" i="56" s="1"/>
  <c r="M115" i="56" s="1"/>
  <c r="M118" i="56" s="1"/>
  <c r="N115" i="56" s="1"/>
  <c r="N118" i="56" s="1"/>
  <c r="O115" i="56" s="1"/>
  <c r="O118" i="56" s="1"/>
  <c r="P115" i="56" s="1"/>
  <c r="P118" i="56" s="1"/>
  <c r="Q115" i="56" s="1"/>
  <c r="Q118" i="56" s="1"/>
  <c r="R115" i="56" s="1"/>
  <c r="R118" i="56" s="1"/>
  <c r="S115" i="56" s="1"/>
  <c r="S118" i="56" s="1"/>
  <c r="T115" i="56" s="1"/>
  <c r="T118" i="56" s="1"/>
  <c r="U115" i="56" s="1"/>
  <c r="U118" i="56" s="1"/>
  <c r="V115" i="56" s="1"/>
  <c r="V118" i="56" s="1"/>
  <c r="W115" i="56" s="1"/>
  <c r="BP19" i="48"/>
  <c r="BP34" i="13"/>
  <c r="AZ16" i="56"/>
  <c r="AQ34" i="13"/>
  <c r="AQ19" i="48"/>
  <c r="BN19" i="48"/>
  <c r="BN34" i="13"/>
  <c r="AH34" i="13"/>
  <c r="AH19" i="48"/>
  <c r="BM16" i="56"/>
  <c r="AG19" i="48"/>
  <c r="AG34" i="13"/>
  <c r="BR28" i="49"/>
  <c r="E16" i="11"/>
  <c r="E17" i="11" s="1"/>
  <c r="F16" i="11"/>
  <c r="F17" i="11" s="1"/>
  <c r="G16" i="11"/>
  <c r="G17" i="11" s="1"/>
  <c r="H16" i="11"/>
  <c r="I16" i="11"/>
  <c r="I17" i="11" s="1"/>
  <c r="R74" i="54"/>
  <c r="AA74" i="54" s="1"/>
  <c r="I74" i="53"/>
  <c r="R73" i="54" s="1"/>
  <c r="Z84" i="54"/>
  <c r="AC83" i="54"/>
  <c r="U74" i="54"/>
  <c r="AD74" i="54" s="1"/>
  <c r="L74" i="53"/>
  <c r="U73" i="54" s="1"/>
  <c r="L14" i="56"/>
  <c r="L17" i="56" s="1"/>
  <c r="L36" i="50" s="1"/>
  <c r="L39" i="50" s="1"/>
  <c r="L40" i="56"/>
  <c r="M38" i="56" s="1"/>
  <c r="K68" i="54"/>
  <c r="U69" i="54"/>
  <c r="AD69" i="54" s="1"/>
  <c r="L69" i="53"/>
  <c r="U68" i="54" s="1"/>
  <c r="I142" i="56"/>
  <c r="H142" i="56"/>
  <c r="I97" i="11"/>
  <c r="H17" i="11"/>
  <c r="BQ75" i="9"/>
  <c r="BQ77" i="9"/>
  <c r="BV63" i="53"/>
  <c r="BV62" i="53" s="1"/>
  <c r="CE62" i="54"/>
  <c r="CE61" i="54" s="1"/>
  <c r="Z34" i="13"/>
  <c r="Z19" i="48"/>
  <c r="Z70" i="54"/>
  <c r="AJ34" i="13"/>
  <c r="AJ19" i="48"/>
  <c r="T34" i="13"/>
  <c r="T38" i="13" s="1"/>
  <c r="T19" i="48"/>
  <c r="AM19" i="48"/>
  <c r="AM34" i="13"/>
  <c r="BJ34" i="13"/>
  <c r="BJ19" i="48"/>
  <c r="AD19" i="48"/>
  <c r="AD34" i="13"/>
  <c r="BI34" i="13"/>
  <c r="BI19" i="48"/>
  <c r="AC19" i="48"/>
  <c r="AC34" i="13"/>
  <c r="T62" i="54"/>
  <c r="AC62" i="54" s="1"/>
  <c r="K62" i="53"/>
  <c r="AB85" i="54"/>
  <c r="F117" i="56"/>
  <c r="Z75" i="54"/>
  <c r="I73" i="54"/>
  <c r="AC70" i="54"/>
  <c r="I68" i="54"/>
  <c r="AA83" i="54"/>
  <c r="L73" i="54"/>
  <c r="AB76" i="54"/>
  <c r="AD63" i="54"/>
  <c r="AA76" i="54"/>
  <c r="L68" i="54"/>
  <c r="BR36" i="13"/>
  <c r="E22" i="11"/>
  <c r="F22" i="11"/>
  <c r="G22" i="11"/>
  <c r="H22" i="11"/>
  <c r="I22" i="11"/>
  <c r="Z68" i="54" l="1"/>
  <c r="Z73" i="54"/>
  <c r="AB68" i="54"/>
  <c r="AB73" i="54"/>
  <c r="V15" i="48"/>
  <c r="V23" i="48" s="1"/>
  <c r="BH31" i="13"/>
  <c r="M40" i="56"/>
  <c r="N38" i="56" s="1"/>
  <c r="M14" i="56"/>
  <c r="M17" i="56" s="1"/>
  <c r="M36" i="50" s="1"/>
  <c r="M39" i="50" s="1"/>
  <c r="BM19" i="48"/>
  <c r="BM34" i="13"/>
  <c r="P34" i="13"/>
  <c r="P38" i="13" s="1"/>
  <c r="P19" i="48"/>
  <c r="AA68" i="54"/>
  <c r="BR30" i="49"/>
  <c r="E23" i="11"/>
  <c r="F23" i="11"/>
  <c r="G23" i="11"/>
  <c r="H23" i="11"/>
  <c r="H24" i="11" s="1"/>
  <c r="I23" i="11"/>
  <c r="BR24" i="11"/>
  <c r="N34" i="13"/>
  <c r="N38" i="13" s="1"/>
  <c r="N19" i="48"/>
  <c r="U15" i="48"/>
  <c r="U23" i="48" s="1"/>
  <c r="U41" i="13"/>
  <c r="H115" i="53"/>
  <c r="Q111" i="54" s="1"/>
  <c r="Z111" i="54" s="1"/>
  <c r="H111" i="54"/>
  <c r="Q15" i="48"/>
  <c r="Q23" i="48" s="1"/>
  <c r="Q41" i="13"/>
  <c r="I24" i="11"/>
  <c r="AZ34" i="13"/>
  <c r="AZ19" i="48"/>
  <c r="G24" i="11"/>
  <c r="T61" i="54"/>
  <c r="AC61" i="54" s="1"/>
  <c r="AO34" i="13"/>
  <c r="AO19" i="48"/>
  <c r="BB19" i="48"/>
  <c r="BB34" i="13"/>
  <c r="BG34" i="13"/>
  <c r="I34" i="13" s="1"/>
  <c r="BG19" i="48"/>
  <c r="I19" i="48" s="1"/>
  <c r="I16" i="56"/>
  <c r="W118" i="56"/>
  <c r="X115" i="56" s="1"/>
  <c r="X118" i="56" s="1"/>
  <c r="Y115" i="56" s="1"/>
  <c r="Y118" i="56" s="1"/>
  <c r="Z115" i="56" s="1"/>
  <c r="Z118" i="56" s="1"/>
  <c r="AA115" i="56" s="1"/>
  <c r="AA118" i="56" s="1"/>
  <c r="AB115" i="56" s="1"/>
  <c r="AB118" i="56" s="1"/>
  <c r="AC115" i="56" s="1"/>
  <c r="AC118" i="56" s="1"/>
  <c r="AD115" i="56" s="1"/>
  <c r="AD118" i="56" s="1"/>
  <c r="AE115" i="56" s="1"/>
  <c r="AE118" i="56" s="1"/>
  <c r="AF115" i="56" s="1"/>
  <c r="AF118" i="56" s="1"/>
  <c r="AG115" i="56" s="1"/>
  <c r="AG118" i="56" s="1"/>
  <c r="AH115" i="56" s="1"/>
  <c r="AH118" i="56" s="1"/>
  <c r="AI115" i="56" s="1"/>
  <c r="F115" i="56"/>
  <c r="F118" i="56" s="1"/>
  <c r="O15" i="48"/>
  <c r="O23" i="48" s="1"/>
  <c r="O41" i="13"/>
  <c r="W66" i="56"/>
  <c r="X63" i="56" s="1"/>
  <c r="X66" i="56" s="1"/>
  <c r="Y63" i="56" s="1"/>
  <c r="Y66" i="56" s="1"/>
  <c r="Z63" i="56" s="1"/>
  <c r="Z66" i="56" s="1"/>
  <c r="AA63" i="56" s="1"/>
  <c r="AA66" i="56" s="1"/>
  <c r="AB63" i="56" s="1"/>
  <c r="AB66" i="56" s="1"/>
  <c r="AC63" i="56" s="1"/>
  <c r="AC66" i="56" s="1"/>
  <c r="AD63" i="56" s="1"/>
  <c r="AD66" i="56" s="1"/>
  <c r="AE63" i="56" s="1"/>
  <c r="AE66" i="56" s="1"/>
  <c r="AF63" i="56" s="1"/>
  <c r="AF66" i="56" s="1"/>
  <c r="AG63" i="56" s="1"/>
  <c r="AG66" i="56" s="1"/>
  <c r="AH63" i="56" s="1"/>
  <c r="AH66" i="56" s="1"/>
  <c r="AI63" i="56" s="1"/>
  <c r="F63" i="56"/>
  <c r="F66" i="56" s="1"/>
  <c r="W143" i="56"/>
  <c r="X140" i="56" s="1"/>
  <c r="X143" i="56" s="1"/>
  <c r="Y140" i="56" s="1"/>
  <c r="Y143" i="56" s="1"/>
  <c r="Z140" i="56" s="1"/>
  <c r="Z143" i="56" s="1"/>
  <c r="AA140" i="56" s="1"/>
  <c r="AA143" i="56" s="1"/>
  <c r="AB140" i="56" s="1"/>
  <c r="AB143" i="56" s="1"/>
  <c r="AC140" i="56" s="1"/>
  <c r="AC143" i="56" s="1"/>
  <c r="AD140" i="56" s="1"/>
  <c r="AD143" i="56" s="1"/>
  <c r="AE140" i="56" s="1"/>
  <c r="AE143" i="56" s="1"/>
  <c r="AF140" i="56" s="1"/>
  <c r="AF143" i="56" s="1"/>
  <c r="AG140" i="56" s="1"/>
  <c r="AG143" i="56" s="1"/>
  <c r="AH140" i="56" s="1"/>
  <c r="AH143" i="56" s="1"/>
  <c r="AI140" i="56" s="1"/>
  <c r="F140" i="56"/>
  <c r="F143" i="56" s="1"/>
  <c r="BQ53" i="9"/>
  <c r="BP15" i="50"/>
  <c r="H79" i="54"/>
  <c r="AC68" i="54"/>
  <c r="AF19" i="48"/>
  <c r="AF34" i="13"/>
  <c r="W92" i="56"/>
  <c r="X89" i="56" s="1"/>
  <c r="X92" i="56" s="1"/>
  <c r="Y89" i="56" s="1"/>
  <c r="Y92" i="56" s="1"/>
  <c r="Z89" i="56" s="1"/>
  <c r="Z92" i="56" s="1"/>
  <c r="AA89" i="56" s="1"/>
  <c r="AA92" i="56" s="1"/>
  <c r="AB89" i="56" s="1"/>
  <c r="AB92" i="56" s="1"/>
  <c r="AC89" i="56" s="1"/>
  <c r="AC92" i="56" s="1"/>
  <c r="AD89" i="56" s="1"/>
  <c r="AD92" i="56" s="1"/>
  <c r="AE89" i="56" s="1"/>
  <c r="AE92" i="56" s="1"/>
  <c r="AF89" i="56" s="1"/>
  <c r="AF92" i="56" s="1"/>
  <c r="AG89" i="56" s="1"/>
  <c r="AG92" i="56" s="1"/>
  <c r="AH89" i="56" s="1"/>
  <c r="AH92" i="56" s="1"/>
  <c r="AI89" i="56" s="1"/>
  <c r="F89" i="56"/>
  <c r="F92" i="56" s="1"/>
  <c r="W34" i="13"/>
  <c r="W19" i="48"/>
  <c r="F19" i="48" s="1"/>
  <c r="F16" i="56"/>
  <c r="BH34" i="13"/>
  <c r="BH19" i="48"/>
  <c r="H80" i="53"/>
  <c r="BR73" i="9"/>
  <c r="BQ17" i="50"/>
  <c r="F24" i="11"/>
  <c r="AD73" i="54"/>
  <c r="AP19" i="48"/>
  <c r="AP34" i="13"/>
  <c r="BG12" i="49"/>
  <c r="L111" i="54"/>
  <c r="L115" i="53"/>
  <c r="U111" i="54" s="1"/>
  <c r="AD111" i="54" s="1"/>
  <c r="AC73" i="54"/>
  <c r="R15" i="48"/>
  <c r="R23" i="48" s="1"/>
  <c r="R41" i="13"/>
  <c r="L15" i="48"/>
  <c r="L23" i="48" s="1"/>
  <c r="L41" i="13"/>
  <c r="L86" i="53"/>
  <c r="U85" i="54" s="1"/>
  <c r="AD85" i="54" s="1"/>
  <c r="L85" i="54"/>
  <c r="AS34" i="13"/>
  <c r="AS19" i="48"/>
  <c r="E24" i="11"/>
  <c r="AD68" i="54"/>
  <c r="E28" i="49"/>
  <c r="F28" i="49"/>
  <c r="G28" i="49"/>
  <c r="H28" i="49"/>
  <c r="I28" i="49"/>
  <c r="AK34" i="13"/>
  <c r="AK19" i="48"/>
  <c r="K19" i="48"/>
  <c r="K34" i="13"/>
  <c r="E16" i="56"/>
  <c r="K17" i="56"/>
  <c r="K36" i="50" s="1"/>
  <c r="K39" i="50" s="1"/>
  <c r="S61" i="54"/>
  <c r="AB61" i="54" s="1"/>
  <c r="S34" i="13"/>
  <c r="S38" i="13" s="1"/>
  <c r="S19" i="48"/>
  <c r="BC19" i="48"/>
  <c r="BC34" i="13"/>
  <c r="K111" i="54"/>
  <c r="K115" i="53"/>
  <c r="T111" i="54" s="1"/>
  <c r="E17" i="56"/>
  <c r="I115" i="53"/>
  <c r="R111" i="54" s="1"/>
  <c r="AA111" i="54" s="1"/>
  <c r="I111" i="54"/>
  <c r="E36" i="13"/>
  <c r="F36" i="13"/>
  <c r="G36" i="13"/>
  <c r="H36" i="13"/>
  <c r="I36" i="13"/>
  <c r="AU34" i="13"/>
  <c r="AU19" i="48"/>
  <c r="H16" i="56"/>
  <c r="T15" i="48"/>
  <c r="T23" i="48" s="1"/>
  <c r="T41" i="13"/>
  <c r="AA73" i="54"/>
  <c r="AI19" i="48"/>
  <c r="G19" i="48" s="1"/>
  <c r="AI34" i="13"/>
  <c r="G16" i="56"/>
  <c r="BN37" i="9"/>
  <c r="BN35" i="9"/>
  <c r="AY19" i="48"/>
  <c r="AY34" i="13"/>
  <c r="BA34" i="13"/>
  <c r="BA19" i="48"/>
  <c r="BG21" i="48"/>
  <c r="M34" i="13"/>
  <c r="M38" i="13" s="1"/>
  <c r="M19" i="48"/>
  <c r="AR34" i="13"/>
  <c r="AR19" i="48"/>
  <c r="J115" i="53"/>
  <c r="S111" i="54" s="1"/>
  <c r="AB111" i="54" s="1"/>
  <c r="J111" i="54"/>
  <c r="E24" i="49"/>
  <c r="F24" i="49"/>
  <c r="G24" i="49"/>
  <c r="H24" i="49"/>
  <c r="I24" i="49"/>
  <c r="Q61" i="54"/>
  <c r="Z61" i="54" s="1"/>
  <c r="R61" i="54"/>
  <c r="AA61" i="54" s="1"/>
  <c r="BH67" i="9"/>
  <c r="AI92" i="56" l="1"/>
  <c r="AJ89" i="56" s="1"/>
  <c r="AJ92" i="56" s="1"/>
  <c r="AK89" i="56" s="1"/>
  <c r="AK92" i="56" s="1"/>
  <c r="AL89" i="56" s="1"/>
  <c r="AL92" i="56" s="1"/>
  <c r="AM89" i="56" s="1"/>
  <c r="AM92" i="56" s="1"/>
  <c r="AN89" i="56" s="1"/>
  <c r="AN92" i="56" s="1"/>
  <c r="AO89" i="56" s="1"/>
  <c r="AO92" i="56" s="1"/>
  <c r="AP89" i="56" s="1"/>
  <c r="AP92" i="56" s="1"/>
  <c r="AQ89" i="56" s="1"/>
  <c r="AQ92" i="56" s="1"/>
  <c r="AR89" i="56" s="1"/>
  <c r="AR92" i="56" s="1"/>
  <c r="AS89" i="56" s="1"/>
  <c r="AS92" i="56" s="1"/>
  <c r="AT89" i="56" s="1"/>
  <c r="AT92" i="56" s="1"/>
  <c r="AU89" i="56" s="1"/>
  <c r="G89" i="56"/>
  <c r="G92" i="56" s="1"/>
  <c r="Q45" i="13"/>
  <c r="Q12" i="51"/>
  <c r="Q16" i="51" s="1"/>
  <c r="E30" i="49"/>
  <c r="F30" i="49"/>
  <c r="G30" i="49"/>
  <c r="H30" i="49"/>
  <c r="I30" i="49"/>
  <c r="BH16" i="50"/>
  <c r="BH12" i="50" s="1"/>
  <c r="BI63" i="9"/>
  <c r="I111" i="53"/>
  <c r="R109" i="54" s="1"/>
  <c r="I109" i="54"/>
  <c r="T12" i="51"/>
  <c r="T16" i="51" s="1"/>
  <c r="T45" i="13"/>
  <c r="K36" i="53"/>
  <c r="T37" i="54" s="1"/>
  <c r="AC37" i="54" s="1"/>
  <c r="K37" i="54"/>
  <c r="AC111" i="54"/>
  <c r="L112" i="54"/>
  <c r="L116" i="53"/>
  <c r="U112" i="54" s="1"/>
  <c r="AD112" i="54" s="1"/>
  <c r="J111" i="53"/>
  <c r="S109" i="54" s="1"/>
  <c r="J109" i="54"/>
  <c r="BN13" i="50"/>
  <c r="BO33" i="9"/>
  <c r="S41" i="13"/>
  <c r="S15" i="48"/>
  <c r="S23" i="48" s="1"/>
  <c r="R12" i="51"/>
  <c r="R16" i="51" s="1"/>
  <c r="R45" i="13"/>
  <c r="J37" i="54"/>
  <c r="J36" i="53"/>
  <c r="S37" i="54" s="1"/>
  <c r="K112" i="54"/>
  <c r="K116" i="53"/>
  <c r="T112" i="54" s="1"/>
  <c r="BQ55" i="9"/>
  <c r="BQ57" i="9"/>
  <c r="CF84" i="54"/>
  <c r="BR34" i="50"/>
  <c r="I34" i="50" s="1"/>
  <c r="BW85" i="53"/>
  <c r="H109" i="54"/>
  <c r="H111" i="53"/>
  <c r="Q109" i="54" s="1"/>
  <c r="G34" i="13"/>
  <c r="I37" i="54"/>
  <c r="I36" i="53"/>
  <c r="R37" i="54" s="1"/>
  <c r="AA37" i="54" s="1"/>
  <c r="J112" i="54"/>
  <c r="J116" i="53"/>
  <c r="S112" i="54" s="1"/>
  <c r="AI118" i="56"/>
  <c r="AJ115" i="56" s="1"/>
  <c r="AJ118" i="56" s="1"/>
  <c r="AK115" i="56" s="1"/>
  <c r="AK118" i="56" s="1"/>
  <c r="AL115" i="56" s="1"/>
  <c r="AL118" i="56" s="1"/>
  <c r="AM115" i="56" s="1"/>
  <c r="AM118" i="56" s="1"/>
  <c r="AN115" i="56" s="1"/>
  <c r="AN118" i="56" s="1"/>
  <c r="AO115" i="56" s="1"/>
  <c r="AO118" i="56" s="1"/>
  <c r="AP115" i="56" s="1"/>
  <c r="AP118" i="56" s="1"/>
  <c r="AQ115" i="56" s="1"/>
  <c r="AQ118" i="56" s="1"/>
  <c r="AR115" i="56" s="1"/>
  <c r="AR118" i="56" s="1"/>
  <c r="AS115" i="56" s="1"/>
  <c r="AS118" i="56" s="1"/>
  <c r="AT115" i="56" s="1"/>
  <c r="AT118" i="56" s="1"/>
  <c r="AU115" i="56" s="1"/>
  <c r="G115" i="56"/>
  <c r="G118" i="56" s="1"/>
  <c r="P41" i="13"/>
  <c r="P15" i="48"/>
  <c r="P23" i="48" s="1"/>
  <c r="BH14" i="49"/>
  <c r="BH17" i="48"/>
  <c r="BH32" i="13"/>
  <c r="M41" i="13"/>
  <c r="M15" i="48"/>
  <c r="M23" i="48" s="1"/>
  <c r="Q79" i="54"/>
  <c r="Z79" i="54" s="1"/>
  <c r="H36" i="53"/>
  <c r="Q37" i="54" s="1"/>
  <c r="Z37" i="54" s="1"/>
  <c r="H37" i="54"/>
  <c r="I116" i="53"/>
  <c r="R112" i="54" s="1"/>
  <c r="I112" i="54"/>
  <c r="AI143" i="56"/>
  <c r="AJ140" i="56" s="1"/>
  <c r="AJ143" i="56" s="1"/>
  <c r="AK140" i="56" s="1"/>
  <c r="AK143" i="56" s="1"/>
  <c r="AL140" i="56" s="1"/>
  <c r="AL143" i="56" s="1"/>
  <c r="AM140" i="56" s="1"/>
  <c r="AM143" i="56" s="1"/>
  <c r="AN140" i="56" s="1"/>
  <c r="AN143" i="56" s="1"/>
  <c r="AO140" i="56" s="1"/>
  <c r="AO143" i="56" s="1"/>
  <c r="AP140" i="56" s="1"/>
  <c r="AP143" i="56" s="1"/>
  <c r="AQ140" i="56" s="1"/>
  <c r="AQ143" i="56" s="1"/>
  <c r="AR140" i="56" s="1"/>
  <c r="AR143" i="56" s="1"/>
  <c r="AS140" i="56" s="1"/>
  <c r="AS143" i="56" s="1"/>
  <c r="AT140" i="56" s="1"/>
  <c r="AT143" i="56" s="1"/>
  <c r="AU140" i="56" s="1"/>
  <c r="G140" i="56"/>
  <c r="G143" i="56" s="1"/>
  <c r="U45" i="13"/>
  <c r="U12" i="51"/>
  <c r="U16" i="51" s="1"/>
  <c r="O12" i="51"/>
  <c r="O16" i="51" s="1"/>
  <c r="O45" i="13"/>
  <c r="H19" i="48"/>
  <c r="E34" i="13"/>
  <c r="K38" i="13"/>
  <c r="H112" i="54"/>
  <c r="H116" i="53"/>
  <c r="Q112" i="54" s="1"/>
  <c r="L36" i="54"/>
  <c r="L34" i="53"/>
  <c r="U36" i="54" s="1"/>
  <c r="AD36" i="54" s="1"/>
  <c r="L109" i="54"/>
  <c r="L111" i="53"/>
  <c r="U109" i="54" s="1"/>
  <c r="AD109" i="54" s="1"/>
  <c r="H34" i="13"/>
  <c r="E19" i="48"/>
  <c r="L45" i="13"/>
  <c r="L12" i="51"/>
  <c r="L16" i="51" s="1"/>
  <c r="BG19" i="49"/>
  <c r="F34" i="13"/>
  <c r="L36" i="53"/>
  <c r="U37" i="54" s="1"/>
  <c r="L37" i="54"/>
  <c r="K109" i="54"/>
  <c r="K111" i="53"/>
  <c r="T109" i="54" s="1"/>
  <c r="AC109" i="54" s="1"/>
  <c r="BR75" i="9"/>
  <c r="BW63" i="53"/>
  <c r="BW62" i="53" s="1"/>
  <c r="CF62" i="54"/>
  <c r="CF61" i="54" s="1"/>
  <c r="AI66" i="56"/>
  <c r="AJ63" i="56" s="1"/>
  <c r="AJ66" i="56" s="1"/>
  <c r="AK63" i="56" s="1"/>
  <c r="AK66" i="56" s="1"/>
  <c r="AL63" i="56" s="1"/>
  <c r="AL66" i="56" s="1"/>
  <c r="AM63" i="56" s="1"/>
  <c r="AM66" i="56" s="1"/>
  <c r="AN63" i="56" s="1"/>
  <c r="AN66" i="56" s="1"/>
  <c r="AO63" i="56" s="1"/>
  <c r="AO66" i="56" s="1"/>
  <c r="AP63" i="56" s="1"/>
  <c r="AP66" i="56" s="1"/>
  <c r="AQ63" i="56" s="1"/>
  <c r="AQ66" i="56" s="1"/>
  <c r="AR63" i="56" s="1"/>
  <c r="AR66" i="56" s="1"/>
  <c r="AS63" i="56" s="1"/>
  <c r="AS66" i="56" s="1"/>
  <c r="AT63" i="56" s="1"/>
  <c r="AT66" i="56" s="1"/>
  <c r="AU63" i="56" s="1"/>
  <c r="G63" i="56"/>
  <c r="G66" i="56" s="1"/>
  <c r="N15" i="48"/>
  <c r="N23" i="48" s="1"/>
  <c r="N41" i="13"/>
  <c r="N14" i="56"/>
  <c r="N17" i="56" s="1"/>
  <c r="N36" i="50" s="1"/>
  <c r="N39" i="50" s="1"/>
  <c r="N40" i="56"/>
  <c r="O38" i="56" s="1"/>
  <c r="BH21" i="48" l="1"/>
  <c r="K41" i="13"/>
  <c r="K15" i="48"/>
  <c r="AB109" i="54"/>
  <c r="J114" i="54"/>
  <c r="J118" i="53"/>
  <c r="S114" i="54" s="1"/>
  <c r="E75" i="9"/>
  <c r="F75" i="9"/>
  <c r="G75" i="9"/>
  <c r="H75" i="9"/>
  <c r="I75" i="9"/>
  <c r="H34" i="53"/>
  <c r="Q36" i="54" s="1"/>
  <c r="Z36" i="54" s="1"/>
  <c r="H36" i="54"/>
  <c r="BR53" i="9"/>
  <c r="BQ15" i="50"/>
  <c r="I118" i="53"/>
  <c r="R114" i="54" s="1"/>
  <c r="AA114" i="54" s="1"/>
  <c r="I114" i="54"/>
  <c r="AU143" i="56"/>
  <c r="AV140" i="56" s="1"/>
  <c r="AV143" i="56" s="1"/>
  <c r="AW140" i="56" s="1"/>
  <c r="AW143" i="56" s="1"/>
  <c r="AX140" i="56" s="1"/>
  <c r="AX143" i="56" s="1"/>
  <c r="AY140" i="56" s="1"/>
  <c r="AY143" i="56" s="1"/>
  <c r="AZ140" i="56" s="1"/>
  <c r="AZ143" i="56" s="1"/>
  <c r="BA140" i="56" s="1"/>
  <c r="BA143" i="56" s="1"/>
  <c r="BB140" i="56" s="1"/>
  <c r="BB143" i="56" s="1"/>
  <c r="BC140" i="56" s="1"/>
  <c r="BC143" i="56" s="1"/>
  <c r="BD140" i="56" s="1"/>
  <c r="BD143" i="56" s="1"/>
  <c r="BE140" i="56" s="1"/>
  <c r="BE143" i="56" s="1"/>
  <c r="BF140" i="56" s="1"/>
  <c r="BF143" i="56" s="1"/>
  <c r="BG140" i="56" s="1"/>
  <c r="H140" i="56"/>
  <c r="H143" i="56" s="1"/>
  <c r="P45" i="13"/>
  <c r="P12" i="51"/>
  <c r="P16" i="51" s="1"/>
  <c r="H114" i="54"/>
  <c r="H118" i="53"/>
  <c r="Q114" i="54" s="1"/>
  <c r="Z114" i="54" s="1"/>
  <c r="K118" i="53"/>
  <c r="T114" i="54" s="1"/>
  <c r="AC114" i="54" s="1"/>
  <c r="K114" i="54"/>
  <c r="N12" i="51"/>
  <c r="N16" i="51" s="1"/>
  <c r="N45" i="13"/>
  <c r="J34" i="53"/>
  <c r="S36" i="54" s="1"/>
  <c r="J36" i="54"/>
  <c r="AA109" i="54"/>
  <c r="AA112" i="54"/>
  <c r="M12" i="51"/>
  <c r="M16" i="51" s="1"/>
  <c r="M45" i="13"/>
  <c r="AU118" i="56"/>
  <c r="AV115" i="56" s="1"/>
  <c r="AV118" i="56" s="1"/>
  <c r="AW115" i="56" s="1"/>
  <c r="AW118" i="56" s="1"/>
  <c r="AX115" i="56" s="1"/>
  <c r="AX118" i="56" s="1"/>
  <c r="AY115" i="56" s="1"/>
  <c r="AY118" i="56" s="1"/>
  <c r="AZ115" i="56" s="1"/>
  <c r="AZ118" i="56" s="1"/>
  <c r="BA115" i="56" s="1"/>
  <c r="BA118" i="56" s="1"/>
  <c r="BB115" i="56" s="1"/>
  <c r="BB118" i="56" s="1"/>
  <c r="BC115" i="56" s="1"/>
  <c r="BC118" i="56" s="1"/>
  <c r="BD115" i="56" s="1"/>
  <c r="BD118" i="56" s="1"/>
  <c r="BE115" i="56" s="1"/>
  <c r="BE118" i="56" s="1"/>
  <c r="BF115" i="56" s="1"/>
  <c r="BF118" i="56" s="1"/>
  <c r="BG115" i="56" s="1"/>
  <c r="H115" i="56"/>
  <c r="H118" i="56" s="1"/>
  <c r="Z109" i="54"/>
  <c r="AC112" i="54"/>
  <c r="S12" i="51"/>
  <c r="S16" i="51" s="1"/>
  <c r="S45" i="13"/>
  <c r="BI65" i="9"/>
  <c r="L84" i="54"/>
  <c r="L85" i="53"/>
  <c r="U84" i="54" s="1"/>
  <c r="AU66" i="56"/>
  <c r="AV63" i="56" s="1"/>
  <c r="AV66" i="56" s="1"/>
  <c r="AW63" i="56" s="1"/>
  <c r="AW66" i="56" s="1"/>
  <c r="AX63" i="56" s="1"/>
  <c r="AX66" i="56" s="1"/>
  <c r="AY63" i="56" s="1"/>
  <c r="AY66" i="56" s="1"/>
  <c r="AZ63" i="56" s="1"/>
  <c r="AZ66" i="56" s="1"/>
  <c r="BA63" i="56" s="1"/>
  <c r="BA66" i="56" s="1"/>
  <c r="BB63" i="56" s="1"/>
  <c r="BB66" i="56" s="1"/>
  <c r="BC63" i="56" s="1"/>
  <c r="BC66" i="56" s="1"/>
  <c r="BD63" i="56" s="1"/>
  <c r="BD66" i="56" s="1"/>
  <c r="BE63" i="56" s="1"/>
  <c r="BE66" i="56" s="1"/>
  <c r="BF63" i="56" s="1"/>
  <c r="BF66" i="56" s="1"/>
  <c r="BG63" i="56" s="1"/>
  <c r="H63" i="56"/>
  <c r="H66" i="56" s="1"/>
  <c r="AD37" i="54"/>
  <c r="AB112" i="54"/>
  <c r="BO35" i="9"/>
  <c r="BO37" i="9" s="1"/>
  <c r="I34" i="53"/>
  <c r="R36" i="54" s="1"/>
  <c r="AA36" i="54" s="1"/>
  <c r="I36" i="54"/>
  <c r="O14" i="56"/>
  <c r="O17" i="56" s="1"/>
  <c r="O36" i="50" s="1"/>
  <c r="O39" i="50" s="1"/>
  <c r="O40" i="56"/>
  <c r="P38" i="56" s="1"/>
  <c r="BR77" i="9"/>
  <c r="K36" i="54"/>
  <c r="K34" i="53"/>
  <c r="T36" i="54" s="1"/>
  <c r="Z112" i="54"/>
  <c r="BH12" i="49"/>
  <c r="AB37" i="54"/>
  <c r="L118" i="53"/>
  <c r="U114" i="54" s="1"/>
  <c r="L114" i="54"/>
  <c r="AU92" i="56"/>
  <c r="AV89" i="56" s="1"/>
  <c r="AV92" i="56" s="1"/>
  <c r="AW89" i="56" s="1"/>
  <c r="AW92" i="56" s="1"/>
  <c r="AX89" i="56" s="1"/>
  <c r="AX92" i="56" s="1"/>
  <c r="AY89" i="56" s="1"/>
  <c r="AY92" i="56" s="1"/>
  <c r="AZ89" i="56" s="1"/>
  <c r="AZ92" i="56" s="1"/>
  <c r="BA89" i="56" s="1"/>
  <c r="BA92" i="56" s="1"/>
  <c r="BB89" i="56" s="1"/>
  <c r="BB92" i="56" s="1"/>
  <c r="BC89" i="56" s="1"/>
  <c r="BC92" i="56" s="1"/>
  <c r="BD89" i="56" s="1"/>
  <c r="BD92" i="56" s="1"/>
  <c r="BE89" i="56" s="1"/>
  <c r="BE92" i="56" s="1"/>
  <c r="BF89" i="56" s="1"/>
  <c r="BF92" i="56" s="1"/>
  <c r="BG89" i="56" s="1"/>
  <c r="H89" i="56"/>
  <c r="H92" i="56" s="1"/>
  <c r="BP33" i="9" l="1"/>
  <c r="BO13" i="50"/>
  <c r="BG143" i="56"/>
  <c r="BH140" i="56" s="1"/>
  <c r="BH143" i="56" s="1"/>
  <c r="BI140" i="56" s="1"/>
  <c r="BI143" i="56" s="1"/>
  <c r="BJ140" i="56" s="1"/>
  <c r="BJ143" i="56" s="1"/>
  <c r="BK140" i="56" s="1"/>
  <c r="BK143" i="56" s="1"/>
  <c r="BL140" i="56" s="1"/>
  <c r="BL143" i="56" s="1"/>
  <c r="BM140" i="56" s="1"/>
  <c r="BM143" i="56" s="1"/>
  <c r="BN140" i="56" s="1"/>
  <c r="BN143" i="56" s="1"/>
  <c r="BO140" i="56" s="1"/>
  <c r="BO143" i="56" s="1"/>
  <c r="BP140" i="56" s="1"/>
  <c r="BP143" i="56" s="1"/>
  <c r="BQ140" i="56" s="1"/>
  <c r="BQ143" i="56" s="1"/>
  <c r="BR140" i="56" s="1"/>
  <c r="BR143" i="56" s="1"/>
  <c r="I140" i="56"/>
  <c r="I143" i="56" s="1"/>
  <c r="BI31" i="13"/>
  <c r="BH19" i="49"/>
  <c r="BG92" i="56"/>
  <c r="BH89" i="56" s="1"/>
  <c r="BH92" i="56" s="1"/>
  <c r="BI89" i="56" s="1"/>
  <c r="BI92" i="56" s="1"/>
  <c r="BJ89" i="56" s="1"/>
  <c r="BJ92" i="56" s="1"/>
  <c r="BK89" i="56" s="1"/>
  <c r="BK92" i="56" s="1"/>
  <c r="BL89" i="56" s="1"/>
  <c r="BL92" i="56" s="1"/>
  <c r="BM89" i="56" s="1"/>
  <c r="BM92" i="56" s="1"/>
  <c r="BN89" i="56" s="1"/>
  <c r="BN92" i="56" s="1"/>
  <c r="BO89" i="56" s="1"/>
  <c r="BO92" i="56" s="1"/>
  <c r="BP89" i="56" s="1"/>
  <c r="BP92" i="56" s="1"/>
  <c r="BQ89" i="56" s="1"/>
  <c r="BQ92" i="56" s="1"/>
  <c r="BR89" i="56" s="1"/>
  <c r="BR92" i="56" s="1"/>
  <c r="I89" i="56"/>
  <c r="I92" i="56" s="1"/>
  <c r="AC36" i="54"/>
  <c r="AD84" i="54"/>
  <c r="K23" i="48"/>
  <c r="E15" i="48"/>
  <c r="BG66" i="56"/>
  <c r="BH63" i="56" s="1"/>
  <c r="BH66" i="56" s="1"/>
  <c r="BI63" i="56" s="1"/>
  <c r="BI66" i="56" s="1"/>
  <c r="BJ63" i="56" s="1"/>
  <c r="BJ66" i="56" s="1"/>
  <c r="BK63" i="56" s="1"/>
  <c r="BK66" i="56" s="1"/>
  <c r="BL63" i="56" s="1"/>
  <c r="BL66" i="56" s="1"/>
  <c r="BM63" i="56" s="1"/>
  <c r="BM66" i="56" s="1"/>
  <c r="BN63" i="56" s="1"/>
  <c r="BN66" i="56" s="1"/>
  <c r="BO63" i="56" s="1"/>
  <c r="BO66" i="56" s="1"/>
  <c r="BP63" i="56" s="1"/>
  <c r="BP66" i="56" s="1"/>
  <c r="BQ63" i="56" s="1"/>
  <c r="BQ66" i="56" s="1"/>
  <c r="BR63" i="56" s="1"/>
  <c r="BR66" i="56" s="1"/>
  <c r="I63" i="56"/>
  <c r="I66" i="56" s="1"/>
  <c r="AB36" i="54"/>
  <c r="K45" i="13"/>
  <c r="K48" i="13" s="1"/>
  <c r="K12" i="51"/>
  <c r="BG118" i="56"/>
  <c r="BH115" i="56" s="1"/>
  <c r="BH118" i="56" s="1"/>
  <c r="BI115" i="56" s="1"/>
  <c r="BI118" i="56" s="1"/>
  <c r="BJ115" i="56" s="1"/>
  <c r="BJ118" i="56" s="1"/>
  <c r="BK115" i="56" s="1"/>
  <c r="BK118" i="56" s="1"/>
  <c r="BL115" i="56" s="1"/>
  <c r="BL118" i="56" s="1"/>
  <c r="BM115" i="56" s="1"/>
  <c r="BM118" i="56" s="1"/>
  <c r="BN115" i="56" s="1"/>
  <c r="BN118" i="56" s="1"/>
  <c r="BO115" i="56" s="1"/>
  <c r="BO118" i="56" s="1"/>
  <c r="BP115" i="56" s="1"/>
  <c r="BP118" i="56" s="1"/>
  <c r="BQ115" i="56" s="1"/>
  <c r="BQ118" i="56" s="1"/>
  <c r="BR115" i="56" s="1"/>
  <c r="BR118" i="56" s="1"/>
  <c r="I115" i="56"/>
  <c r="I118" i="56" s="1"/>
  <c r="BR55" i="9"/>
  <c r="BR57" i="9"/>
  <c r="AD114" i="54"/>
  <c r="BR17" i="50"/>
  <c r="I17" i="50" s="1"/>
  <c r="I77" i="9"/>
  <c r="P40" i="56"/>
  <c r="Q38" i="56" s="1"/>
  <c r="P14" i="56"/>
  <c r="P17" i="56" s="1"/>
  <c r="P36" i="50" s="1"/>
  <c r="P39" i="50" s="1"/>
  <c r="BI67" i="9"/>
  <c r="AB114" i="54"/>
  <c r="V25" i="48" l="1"/>
  <c r="V26" i="48"/>
  <c r="E23" i="48"/>
  <c r="Q14" i="56"/>
  <c r="Q17" i="56" s="1"/>
  <c r="Q36" i="50" s="1"/>
  <c r="Q39" i="50" s="1"/>
  <c r="Q40" i="56"/>
  <c r="R38" i="56" s="1"/>
  <c r="K16" i="51"/>
  <c r="BI14" i="49"/>
  <c r="BI17" i="48"/>
  <c r="BI32" i="13"/>
  <c r="BJ63" i="9"/>
  <c r="BI16" i="50"/>
  <c r="BI12" i="50" s="1"/>
  <c r="L47" i="13"/>
  <c r="L48" i="13" s="1"/>
  <c r="K42" i="50"/>
  <c r="K44" i="50" s="1"/>
  <c r="K46" i="50" s="1"/>
  <c r="K19" i="47" s="1"/>
  <c r="L66" i="54"/>
  <c r="L67" i="53"/>
  <c r="U66" i="54" s="1"/>
  <c r="AD66" i="54" s="1"/>
  <c r="BR15" i="50"/>
  <c r="I15" i="50" s="1"/>
  <c r="I57" i="9"/>
  <c r="E55" i="9"/>
  <c r="F55" i="9"/>
  <c r="G55" i="9"/>
  <c r="H55" i="9"/>
  <c r="I55" i="9"/>
  <c r="BP35" i="9"/>
  <c r="M47" i="13" l="1"/>
  <c r="M48" i="13" s="1"/>
  <c r="L42" i="50"/>
  <c r="L44" i="50" s="1"/>
  <c r="L46" i="50" s="1"/>
  <c r="L19" i="47" s="1"/>
  <c r="R40" i="56"/>
  <c r="S38" i="56" s="1"/>
  <c r="R14" i="56"/>
  <c r="R17" i="56" s="1"/>
  <c r="R36" i="50" s="1"/>
  <c r="R39" i="50" s="1"/>
  <c r="L65" i="53"/>
  <c r="U64" i="54" s="1"/>
  <c r="L64" i="54"/>
  <c r="BI12" i="49"/>
  <c r="V52" i="48"/>
  <c r="E52" i="48" s="1"/>
  <c r="E26" i="48"/>
  <c r="BI21" i="48"/>
  <c r="V51" i="48"/>
  <c r="E25" i="48"/>
  <c r="BJ65" i="9"/>
  <c r="BP37" i="9"/>
  <c r="V28" i="48"/>
  <c r="E51" i="48" l="1"/>
  <c r="E53" i="48" s="1"/>
  <c r="F50" i="48" s="1"/>
  <c r="V53" i="48"/>
  <c r="W50" i="48" s="1"/>
  <c r="W53" i="48" s="1"/>
  <c r="X50" i="48" s="1"/>
  <c r="X53" i="48" s="1"/>
  <c r="Y50" i="48" s="1"/>
  <c r="Y53" i="48" s="1"/>
  <c r="Z50" i="48" s="1"/>
  <c r="Z53" i="48" s="1"/>
  <c r="AA50" i="48" s="1"/>
  <c r="AA53" i="48" s="1"/>
  <c r="AB50" i="48" s="1"/>
  <c r="AB53" i="48" s="1"/>
  <c r="AC50" i="48" s="1"/>
  <c r="AC53" i="48" s="1"/>
  <c r="AD50" i="48" s="1"/>
  <c r="AD53" i="48" s="1"/>
  <c r="AE50" i="48" s="1"/>
  <c r="AE53" i="48" s="1"/>
  <c r="AF50" i="48" s="1"/>
  <c r="AF53" i="48" s="1"/>
  <c r="AG50" i="48" s="1"/>
  <c r="AG53" i="48" s="1"/>
  <c r="AH50" i="48" s="1"/>
  <c r="AD64" i="54"/>
  <c r="BJ31" i="13"/>
  <c r="V30" i="48"/>
  <c r="E28" i="48"/>
  <c r="S40" i="56"/>
  <c r="T38" i="56" s="1"/>
  <c r="S14" i="56"/>
  <c r="S17" i="56" s="1"/>
  <c r="S36" i="50" s="1"/>
  <c r="S39" i="50" s="1"/>
  <c r="BQ33" i="9"/>
  <c r="BP13" i="50"/>
  <c r="BJ67" i="9"/>
  <c r="BI19" i="49"/>
  <c r="N47" i="13"/>
  <c r="N48" i="13" s="1"/>
  <c r="M42" i="50"/>
  <c r="M44" i="50" s="1"/>
  <c r="M46" i="50" s="1"/>
  <c r="M19" i="47" s="1"/>
  <c r="V42" i="48" l="1"/>
  <c r="V40" i="13"/>
  <c r="E30" i="48"/>
  <c r="T14" i="56"/>
  <c r="T17" i="56" s="1"/>
  <c r="T36" i="50" s="1"/>
  <c r="T39" i="50" s="1"/>
  <c r="T40" i="56"/>
  <c r="U38" i="56" s="1"/>
  <c r="N42" i="50"/>
  <c r="N44" i="50" s="1"/>
  <c r="N46" i="50" s="1"/>
  <c r="N19" i="47" s="1"/>
  <c r="O47" i="13"/>
  <c r="O48" i="13" s="1"/>
  <c r="BJ14" i="49"/>
  <c r="BJ17" i="48"/>
  <c r="BJ32" i="13"/>
  <c r="BK63" i="9"/>
  <c r="BJ16" i="50"/>
  <c r="BJ12" i="50" s="1"/>
  <c r="BQ35" i="9"/>
  <c r="P47" i="13" l="1"/>
  <c r="P48" i="13" s="1"/>
  <c r="O42" i="50"/>
  <c r="O44" i="50" s="1"/>
  <c r="O46" i="50" s="1"/>
  <c r="O19" i="47" s="1"/>
  <c r="BK65" i="9"/>
  <c r="BK31" i="13" s="1"/>
  <c r="BK67" i="9"/>
  <c r="U40" i="56"/>
  <c r="V38" i="56" s="1"/>
  <c r="U14" i="56"/>
  <c r="U17" i="56" s="1"/>
  <c r="U36" i="50" s="1"/>
  <c r="U39" i="50" s="1"/>
  <c r="BJ12" i="49"/>
  <c r="E40" i="13"/>
  <c r="V41" i="13"/>
  <c r="BQ37" i="9"/>
  <c r="BJ21" i="48"/>
  <c r="E42" i="48"/>
  <c r="V44" i="48"/>
  <c r="V40" i="56" l="1"/>
  <c r="W38" i="56" s="1"/>
  <c r="V14" i="56"/>
  <c r="V17" i="56" s="1"/>
  <c r="V36" i="50" s="1"/>
  <c r="BQ13" i="50"/>
  <c r="BR33" i="9"/>
  <c r="BK16" i="50"/>
  <c r="BK12" i="50" s="1"/>
  <c r="BL63" i="9"/>
  <c r="BK14" i="49"/>
  <c r="BK17" i="48"/>
  <c r="BK21" i="48" s="1"/>
  <c r="BK32" i="13"/>
  <c r="H40" i="53"/>
  <c r="Q41" i="54" s="1"/>
  <c r="H41" i="54"/>
  <c r="Q47" i="13"/>
  <c r="Q48" i="13" s="1"/>
  <c r="P42" i="50"/>
  <c r="P44" i="50" s="1"/>
  <c r="P46" i="50" s="1"/>
  <c r="P19" i="47" s="1"/>
  <c r="V45" i="13"/>
  <c r="V12" i="51"/>
  <c r="V37" i="50"/>
  <c r="E37" i="50" s="1"/>
  <c r="W41" i="48"/>
  <c r="W43" i="48"/>
  <c r="AJ86" i="54"/>
  <c r="AJ88" i="54" s="1"/>
  <c r="AA88" i="53"/>
  <c r="AA90" i="53" s="1"/>
  <c r="BJ19" i="49"/>
  <c r="BL65" i="9" l="1"/>
  <c r="BL31" i="13" s="1"/>
  <c r="BL67" i="9"/>
  <c r="R47" i="13"/>
  <c r="R48" i="13" s="1"/>
  <c r="Q42" i="50"/>
  <c r="Q44" i="50" s="1"/>
  <c r="Q46" i="50" s="1"/>
  <c r="Q19" i="47" s="1"/>
  <c r="BR35" i="9"/>
  <c r="BR37" i="9"/>
  <c r="W32" i="49"/>
  <c r="Z41" i="54"/>
  <c r="W44" i="48"/>
  <c r="BK12" i="49"/>
  <c r="BK19" i="49" s="1"/>
  <c r="V39" i="50"/>
  <c r="E36" i="50"/>
  <c r="V16" i="51"/>
  <c r="E16" i="51" s="1"/>
  <c r="E12" i="51"/>
  <c r="H88" i="53"/>
  <c r="Q86" i="54" s="1"/>
  <c r="H86" i="54"/>
  <c r="H88" i="54" s="1"/>
  <c r="W14" i="56"/>
  <c r="W40" i="56"/>
  <c r="X38" i="56" s="1"/>
  <c r="F38" i="56"/>
  <c r="F40" i="56" s="1"/>
  <c r="E35" i="9" l="1"/>
  <c r="F35" i="9"/>
  <c r="G35" i="9"/>
  <c r="H35" i="9"/>
  <c r="I35" i="9"/>
  <c r="BR13" i="50"/>
  <c r="I37" i="9"/>
  <c r="W17" i="56"/>
  <c r="W36" i="50" s="1"/>
  <c r="F14" i="56"/>
  <c r="F17" i="56" s="1"/>
  <c r="W37" i="50"/>
  <c r="AB88" i="53"/>
  <c r="X43" i="48"/>
  <c r="X41" i="48"/>
  <c r="AK86" i="54"/>
  <c r="X40" i="56"/>
  <c r="Y38" i="56" s="1"/>
  <c r="X14" i="56"/>
  <c r="X17" i="56" s="1"/>
  <c r="X36" i="50" s="1"/>
  <c r="Z86" i="54"/>
  <c r="R42" i="50"/>
  <c r="R44" i="50" s="1"/>
  <c r="R46" i="50" s="1"/>
  <c r="R19" i="47" s="1"/>
  <c r="S47" i="13"/>
  <c r="S48" i="13" s="1"/>
  <c r="W36" i="49"/>
  <c r="W39" i="49" s="1"/>
  <c r="BM63" i="9"/>
  <c r="BL16" i="50"/>
  <c r="BL12" i="50" s="1"/>
  <c r="H87" i="53"/>
  <c r="E39" i="50"/>
  <c r="BL14" i="49"/>
  <c r="BL17" i="48"/>
  <c r="BL21" i="48" s="1"/>
  <c r="BL32" i="13"/>
  <c r="X44" i="48" l="1"/>
  <c r="AL86" i="54" s="1"/>
  <c r="X32" i="49"/>
  <c r="BM65" i="9"/>
  <c r="BM31" i="13" s="1"/>
  <c r="BM67" i="9"/>
  <c r="I13" i="50"/>
  <c r="BL12" i="49"/>
  <c r="BL19" i="49" s="1"/>
  <c r="T47" i="13"/>
  <c r="T48" i="13" s="1"/>
  <c r="S42" i="50"/>
  <c r="S44" i="50" s="1"/>
  <c r="S46" i="50" s="1"/>
  <c r="S19" i="47" s="1"/>
  <c r="H28" i="59"/>
  <c r="H27" i="59"/>
  <c r="H90" i="53"/>
  <c r="H26" i="59"/>
  <c r="AK81" i="54"/>
  <c r="AB82" i="53"/>
  <c r="AK78" i="54"/>
  <c r="W40" i="49"/>
  <c r="W41" i="49" s="1"/>
  <c r="AB79" i="53"/>
  <c r="Y14" i="56"/>
  <c r="Y17" i="56" s="1"/>
  <c r="Y36" i="50" s="1"/>
  <c r="Y40" i="56"/>
  <c r="Z38" i="56" s="1"/>
  <c r="X37" i="50" l="1"/>
  <c r="Y43" i="48"/>
  <c r="Y32" i="49" s="1"/>
  <c r="Y36" i="49" s="1"/>
  <c r="Y41" i="48"/>
  <c r="AC88" i="53"/>
  <c r="AK88" i="54"/>
  <c r="L62" i="54"/>
  <c r="L63" i="53"/>
  <c r="Z40" i="56"/>
  <c r="AA38" i="56" s="1"/>
  <c r="Z14" i="56"/>
  <c r="Z17" i="56" s="1"/>
  <c r="Z36" i="50" s="1"/>
  <c r="BM16" i="50"/>
  <c r="BM12" i="50" s="1"/>
  <c r="BN63" i="9"/>
  <c r="BM14" i="49"/>
  <c r="BM17" i="48"/>
  <c r="BM21" i="48" s="1"/>
  <c r="BM32" i="13"/>
  <c r="W37" i="13"/>
  <c r="W29" i="50"/>
  <c r="X38" i="49"/>
  <c r="W31" i="50"/>
  <c r="H138" i="53"/>
  <c r="Q88" i="54"/>
  <c r="Z88" i="54" s="1"/>
  <c r="AB90" i="53"/>
  <c r="U47" i="13"/>
  <c r="U48" i="13" s="1"/>
  <c r="T42" i="50"/>
  <c r="T44" i="50" s="1"/>
  <c r="T46" i="50" s="1"/>
  <c r="T19" i="47" s="1"/>
  <c r="X36" i="49"/>
  <c r="Y44" i="48" l="1"/>
  <c r="Z43" i="48" s="1"/>
  <c r="Z32" i="49" s="1"/>
  <c r="Z36" i="49" s="1"/>
  <c r="X39" i="49"/>
  <c r="AC82" i="53" s="1"/>
  <c r="W39" i="50"/>
  <c r="BM12" i="49"/>
  <c r="BM19" i="49" s="1"/>
  <c r="BN65" i="9"/>
  <c r="BN31" i="13" s="1"/>
  <c r="BN67" i="9"/>
  <c r="AA40" i="56"/>
  <c r="AB38" i="56" s="1"/>
  <c r="AA14" i="56"/>
  <c r="AA17" i="56" s="1"/>
  <c r="AA36" i="50" s="1"/>
  <c r="U42" i="50"/>
  <c r="U44" i="50" s="1"/>
  <c r="U46" i="50" s="1"/>
  <c r="U19" i="47" s="1"/>
  <c r="V47" i="13"/>
  <c r="V48" i="13" s="1"/>
  <c r="W38" i="13"/>
  <c r="U62" i="54"/>
  <c r="AD62" i="54" s="1"/>
  <c r="Z41" i="48" l="1"/>
  <c r="Z44" i="48" s="1"/>
  <c r="AA43" i="48" s="1"/>
  <c r="AA32" i="49" s="1"/>
  <c r="Y37" i="50"/>
  <c r="AC79" i="53"/>
  <c r="AC90" i="53" s="1"/>
  <c r="AD88" i="53"/>
  <c r="AM86" i="54"/>
  <c r="AL78" i="54"/>
  <c r="X40" i="49"/>
  <c r="X41" i="49" s="1"/>
  <c r="AL81" i="54"/>
  <c r="BN16" i="50"/>
  <c r="BN12" i="50" s="1"/>
  <c r="BO63" i="9"/>
  <c r="BN17" i="48"/>
  <c r="BN21" i="48" s="1"/>
  <c r="BN14" i="49"/>
  <c r="BN32" i="13"/>
  <c r="W47" i="13"/>
  <c r="V42" i="50"/>
  <c r="AB40" i="56"/>
  <c r="AC38" i="56" s="1"/>
  <c r="AB14" i="56"/>
  <c r="AB17" i="56" s="1"/>
  <c r="AB36" i="50" s="1"/>
  <c r="W15" i="48"/>
  <c r="W41" i="13"/>
  <c r="Z37" i="50" l="1"/>
  <c r="AE88" i="53"/>
  <c r="AA41" i="48"/>
  <c r="AA44" i="48" s="1"/>
  <c r="AA37" i="50" s="1"/>
  <c r="AN86" i="54"/>
  <c r="AL88" i="54"/>
  <c r="X37" i="13"/>
  <c r="X38" i="13" s="1"/>
  <c r="BN12" i="49"/>
  <c r="BN19" i="49" s="1"/>
  <c r="AA36" i="49"/>
  <c r="W23" i="48"/>
  <c r="W12" i="51"/>
  <c r="W45" i="13"/>
  <c r="W48" i="13" s="1"/>
  <c r="AC14" i="56"/>
  <c r="AC17" i="56" s="1"/>
  <c r="AC36" i="50" s="1"/>
  <c r="AC40" i="56"/>
  <c r="AD38" i="56" s="1"/>
  <c r="BO65" i="9"/>
  <c r="BO31" i="13" s="1"/>
  <c r="BO67" i="9"/>
  <c r="V44" i="50"/>
  <c r="V46" i="50" s="1"/>
  <c r="V19" i="47" s="1"/>
  <c r="E42" i="50"/>
  <c r="X31" i="50"/>
  <c r="Y38" i="49"/>
  <c r="Y39" i="49" s="1"/>
  <c r="X29" i="50"/>
  <c r="AF88" i="53" l="1"/>
  <c r="AB43" i="48"/>
  <c r="AB32" i="49" s="1"/>
  <c r="AB36" i="49" s="1"/>
  <c r="AO86" i="54"/>
  <c r="AB41" i="48"/>
  <c r="W42" i="50"/>
  <c r="W44" i="50" s="1"/>
  <c r="W46" i="50" s="1"/>
  <c r="W19" i="47" s="1"/>
  <c r="X47" i="13"/>
  <c r="X39" i="50"/>
  <c r="W16" i="51"/>
  <c r="H91" i="54"/>
  <c r="H93" i="54" s="1"/>
  <c r="H93" i="53"/>
  <c r="E44" i="50"/>
  <c r="E46" i="50" s="1"/>
  <c r="E19" i="47" s="1"/>
  <c r="AM78" i="54"/>
  <c r="AD79" i="53"/>
  <c r="AD82" i="53"/>
  <c r="AM81" i="54"/>
  <c r="Y40" i="49"/>
  <c r="BO16" i="50"/>
  <c r="BO12" i="50" s="1"/>
  <c r="BP63" i="9"/>
  <c r="BO14" i="49"/>
  <c r="BO17" i="48"/>
  <c r="BO21" i="48" s="1"/>
  <c r="BO32" i="13"/>
  <c r="AD14" i="56"/>
  <c r="AD17" i="56" s="1"/>
  <c r="AD36" i="50" s="1"/>
  <c r="AD40" i="56"/>
  <c r="AE38" i="56" s="1"/>
  <c r="X15" i="48"/>
  <c r="X41" i="13"/>
  <c r="AB44" i="48" l="1"/>
  <c r="AG88" i="53" s="1"/>
  <c r="Q91" i="54"/>
  <c r="Z91" i="54" s="1"/>
  <c r="H95" i="53"/>
  <c r="Q93" i="54" s="1"/>
  <c r="Z93" i="54" s="1"/>
  <c r="BP65" i="9"/>
  <c r="BP31" i="13" s="1"/>
  <c r="BP67" i="9"/>
  <c r="Y37" i="13"/>
  <c r="X23" i="48"/>
  <c r="AE40" i="56"/>
  <c r="AF38" i="56" s="1"/>
  <c r="AE14" i="56"/>
  <c r="AE17" i="56" s="1"/>
  <c r="AE36" i="50" s="1"/>
  <c r="BO12" i="49"/>
  <c r="BO19" i="49" s="1"/>
  <c r="AD90" i="53"/>
  <c r="X45" i="13"/>
  <c r="X48" i="13" s="1"/>
  <c r="X12" i="51"/>
  <c r="AM88" i="54"/>
  <c r="Y41" i="49"/>
  <c r="AC41" i="48" l="1"/>
  <c r="AC43" i="48"/>
  <c r="AC32" i="49" s="1"/>
  <c r="AC36" i="49" s="1"/>
  <c r="AB37" i="50"/>
  <c r="AP86" i="54"/>
  <c r="Y38" i="13"/>
  <c r="BQ63" i="9"/>
  <c r="BP16" i="50"/>
  <c r="BP12" i="50" s="1"/>
  <c r="BP14" i="49"/>
  <c r="BP17" i="48"/>
  <c r="BP21" i="48" s="1"/>
  <c r="BP32" i="13"/>
  <c r="Z38" i="49"/>
  <c r="Z39" i="49" s="1"/>
  <c r="Y31" i="50"/>
  <c r="Y29" i="50"/>
  <c r="AF40" i="56"/>
  <c r="AG38" i="56" s="1"/>
  <c r="AF14" i="56"/>
  <c r="AF17" i="56" s="1"/>
  <c r="AF36" i="50" s="1"/>
  <c r="X16" i="51"/>
  <c r="Y47" i="13"/>
  <c r="X42" i="50"/>
  <c r="X44" i="50" s="1"/>
  <c r="X46" i="50" s="1"/>
  <c r="X19" i="47" s="1"/>
  <c r="AC44" i="48" l="1"/>
  <c r="AD43" i="48" s="1"/>
  <c r="AD32" i="49" s="1"/>
  <c r="AD36" i="49" s="1"/>
  <c r="BP12" i="49"/>
  <c r="BP19" i="49" s="1"/>
  <c r="BQ65" i="9"/>
  <c r="BQ31" i="13" s="1"/>
  <c r="BQ67" i="9"/>
  <c r="Y39" i="50"/>
  <c r="AG14" i="56"/>
  <c r="AG17" i="56" s="1"/>
  <c r="AG36" i="50" s="1"/>
  <c r="AG40" i="56"/>
  <c r="AH38" i="56" s="1"/>
  <c r="AN78" i="54"/>
  <c r="AE79" i="53"/>
  <c r="Z40" i="49"/>
  <c r="Z41" i="49" s="1"/>
  <c r="AN81" i="54"/>
  <c r="AE82" i="53"/>
  <c r="Y41" i="13"/>
  <c r="Y15" i="48"/>
  <c r="AH88" i="53" l="1"/>
  <c r="AC37" i="50"/>
  <c r="AD41" i="48"/>
  <c r="AD44" i="48" s="1"/>
  <c r="AQ86" i="54"/>
  <c r="AN88" i="54"/>
  <c r="Y23" i="48"/>
  <c r="AH40" i="56"/>
  <c r="AI38" i="56" s="1"/>
  <c r="AH14" i="56"/>
  <c r="AH17" i="56" s="1"/>
  <c r="AH36" i="50" s="1"/>
  <c r="F36" i="50" s="1"/>
  <c r="I87" i="53" s="1"/>
  <c r="BQ16" i="50"/>
  <c r="BQ12" i="50" s="1"/>
  <c r="BR63" i="9"/>
  <c r="BQ14" i="49"/>
  <c r="BQ17" i="48"/>
  <c r="BQ21" i="48" s="1"/>
  <c r="BQ32" i="13"/>
  <c r="Y12" i="51"/>
  <c r="Y45" i="13"/>
  <c r="Y48" i="13" s="1"/>
  <c r="AA38" i="49"/>
  <c r="AA39" i="49" s="1"/>
  <c r="Z31" i="50"/>
  <c r="Z29" i="50"/>
  <c r="Z37" i="13"/>
  <c r="AE90" i="53"/>
  <c r="AE41" i="48" l="1"/>
  <c r="AD37" i="50"/>
  <c r="AI88" i="53"/>
  <c r="AR86" i="54"/>
  <c r="AE43" i="48"/>
  <c r="AE32" i="49" s="1"/>
  <c r="AE36" i="49" s="1"/>
  <c r="Z39" i="50"/>
  <c r="BR65" i="9"/>
  <c r="Z38" i="13"/>
  <c r="AO81" i="54"/>
  <c r="AF82" i="53"/>
  <c r="AO78" i="54"/>
  <c r="AF79" i="53"/>
  <c r="AA40" i="49"/>
  <c r="AA37" i="13" s="1"/>
  <c r="AA38" i="13" s="1"/>
  <c r="Z47" i="13"/>
  <c r="Y42" i="50"/>
  <c r="Y44" i="50" s="1"/>
  <c r="Y46" i="50" s="1"/>
  <c r="Y19" i="47" s="1"/>
  <c r="AI40" i="56"/>
  <c r="AJ38" i="56" s="1"/>
  <c r="AI14" i="56"/>
  <c r="G38" i="56"/>
  <c r="G40" i="56" s="1"/>
  <c r="Y16" i="51"/>
  <c r="BQ12" i="49"/>
  <c r="BQ19" i="49" s="1"/>
  <c r="AE44" i="48" l="1"/>
  <c r="AF43" i="48" s="1"/>
  <c r="AF32" i="49" s="1"/>
  <c r="AF36" i="49" s="1"/>
  <c r="AO88" i="54"/>
  <c r="AA41" i="49"/>
  <c r="AA31" i="50" s="1"/>
  <c r="AI17" i="56"/>
  <c r="AI36" i="50" s="1"/>
  <c r="G14" i="56"/>
  <c r="G17" i="56" s="1"/>
  <c r="Z15" i="48"/>
  <c r="Z41" i="13"/>
  <c r="AJ40" i="56"/>
  <c r="AK38" i="56" s="1"/>
  <c r="AJ14" i="56"/>
  <c r="AJ17" i="56" s="1"/>
  <c r="AJ36" i="50" s="1"/>
  <c r="AA15" i="48"/>
  <c r="AA23" i="48" s="1"/>
  <c r="AA41" i="13"/>
  <c r="E65" i="9"/>
  <c r="F65" i="9"/>
  <c r="G65" i="9"/>
  <c r="H65" i="9"/>
  <c r="I65" i="9"/>
  <c r="BR31" i="13"/>
  <c r="AF90" i="53"/>
  <c r="BR67" i="9"/>
  <c r="AS86" i="54" l="1"/>
  <c r="AF41" i="48"/>
  <c r="AF44" i="48" s="1"/>
  <c r="AG43" i="48" s="1"/>
  <c r="AG32" i="49" s="1"/>
  <c r="AG36" i="49" s="1"/>
  <c r="AE37" i="50"/>
  <c r="AJ88" i="53"/>
  <c r="AB38" i="49"/>
  <c r="AB39" i="49" s="1"/>
  <c r="AG82" i="53" s="1"/>
  <c r="AA29" i="50"/>
  <c r="AA39" i="50" s="1"/>
  <c r="AK40" i="56"/>
  <c r="AL38" i="56" s="1"/>
  <c r="AK14" i="56"/>
  <c r="AK17" i="56" s="1"/>
  <c r="AK36" i="50" s="1"/>
  <c r="BR16" i="50"/>
  <c r="I67" i="9"/>
  <c r="AA12" i="51"/>
  <c r="AA16" i="51" s="1"/>
  <c r="AA45" i="13"/>
  <c r="Z12" i="51"/>
  <c r="Z45" i="13"/>
  <c r="Z48" i="13" s="1"/>
  <c r="Z23" i="48"/>
  <c r="BR17" i="48"/>
  <c r="BR14" i="49"/>
  <c r="BR32" i="13"/>
  <c r="E31" i="13"/>
  <c r="F31" i="13"/>
  <c r="G31" i="13"/>
  <c r="H31" i="13"/>
  <c r="I31" i="13"/>
  <c r="AK88" i="53" l="1"/>
  <c r="AG41" i="48"/>
  <c r="AG44" i="48" s="1"/>
  <c r="AF37" i="50"/>
  <c r="AT86" i="54"/>
  <c r="AG79" i="53"/>
  <c r="AG90" i="53" s="1"/>
  <c r="AP78" i="54"/>
  <c r="AP81" i="54"/>
  <c r="AB40" i="49"/>
  <c r="AB37" i="13" s="1"/>
  <c r="AB38" i="13" s="1"/>
  <c r="AB41" i="13" s="1"/>
  <c r="I31" i="53"/>
  <c r="I33" i="54"/>
  <c r="I34" i="54" s="1"/>
  <c r="F32" i="13"/>
  <c r="Z16" i="51"/>
  <c r="H33" i="54"/>
  <c r="H34" i="54" s="1"/>
  <c r="H31" i="53"/>
  <c r="E32" i="13"/>
  <c r="Z42" i="50"/>
  <c r="Z44" i="50" s="1"/>
  <c r="Z46" i="50" s="1"/>
  <c r="Z19" i="47" s="1"/>
  <c r="AA47" i="13"/>
  <c r="AA48" i="13" s="1"/>
  <c r="BR12" i="49"/>
  <c r="J31" i="53"/>
  <c r="J33" i="54"/>
  <c r="J34" i="54" s="1"/>
  <c r="G32" i="13"/>
  <c r="E14" i="49"/>
  <c r="F14" i="49"/>
  <c r="G14" i="49"/>
  <c r="H14" i="49"/>
  <c r="I14" i="49"/>
  <c r="BR21" i="48"/>
  <c r="E17" i="48"/>
  <c r="F17" i="48"/>
  <c r="G17" i="48"/>
  <c r="H17" i="48"/>
  <c r="I17" i="48"/>
  <c r="I16" i="50"/>
  <c r="BR12" i="50"/>
  <c r="L33" i="54"/>
  <c r="L34" i="54" s="1"/>
  <c r="L31" i="53"/>
  <c r="I32" i="13"/>
  <c r="K31" i="53"/>
  <c r="K33" i="54"/>
  <c r="K34" i="54" s="1"/>
  <c r="H32" i="13"/>
  <c r="AL14" i="56"/>
  <c r="AL17" i="56" s="1"/>
  <c r="AL36" i="50" s="1"/>
  <c r="AL40" i="56"/>
  <c r="AM38" i="56" s="1"/>
  <c r="AU86" i="54" l="1"/>
  <c r="AH43" i="48"/>
  <c r="AH32" i="49" s="1"/>
  <c r="AH36" i="49" s="1"/>
  <c r="AG37" i="50"/>
  <c r="AH41" i="48"/>
  <c r="AL88" i="53"/>
  <c r="AP88" i="54"/>
  <c r="AB15" i="48"/>
  <c r="AB23" i="48" s="1"/>
  <c r="AB41" i="49"/>
  <c r="AB31" i="50" s="1"/>
  <c r="AB47" i="13"/>
  <c r="AA42" i="50"/>
  <c r="AA44" i="50" s="1"/>
  <c r="AA46" i="50" s="1"/>
  <c r="AA19" i="47" s="1"/>
  <c r="L99" i="54"/>
  <c r="L101" i="53"/>
  <c r="U99" i="54" s="1"/>
  <c r="AD99" i="54" s="1"/>
  <c r="Q33" i="54"/>
  <c r="Z33" i="54" s="1"/>
  <c r="H32" i="53"/>
  <c r="K52" i="54"/>
  <c r="I12" i="50"/>
  <c r="K101" i="53"/>
  <c r="T99" i="54" s="1"/>
  <c r="K99" i="54"/>
  <c r="J52" i="54"/>
  <c r="H52" i="54"/>
  <c r="L65" i="54"/>
  <c r="L61" i="54" s="1"/>
  <c r="L66" i="53"/>
  <c r="J99" i="54"/>
  <c r="J101" i="53"/>
  <c r="S99" i="54" s="1"/>
  <c r="AB99" i="54" s="1"/>
  <c r="S33" i="54"/>
  <c r="AB33" i="54" s="1"/>
  <c r="J32" i="53"/>
  <c r="AM40" i="56"/>
  <c r="AN38" i="56" s="1"/>
  <c r="AM14" i="56"/>
  <c r="AM17" i="56" s="1"/>
  <c r="AM36" i="50" s="1"/>
  <c r="I99" i="54"/>
  <c r="I101" i="53"/>
  <c r="R99" i="54" s="1"/>
  <c r="AA99" i="54" s="1"/>
  <c r="T33" i="54"/>
  <c r="AC33" i="54" s="1"/>
  <c r="K32" i="53"/>
  <c r="H99" i="54"/>
  <c r="H101" i="53"/>
  <c r="Q99" i="54" s="1"/>
  <c r="Z99" i="54" s="1"/>
  <c r="BR19" i="49"/>
  <c r="E12" i="49"/>
  <c r="F12" i="49"/>
  <c r="G12" i="49"/>
  <c r="H12" i="49"/>
  <c r="I12" i="49"/>
  <c r="I52" i="54"/>
  <c r="U33" i="54"/>
  <c r="AD33" i="54" s="1"/>
  <c r="L32" i="53"/>
  <c r="L52" i="54"/>
  <c r="E21" i="48"/>
  <c r="F21" i="48"/>
  <c r="G21" i="48"/>
  <c r="H21" i="48"/>
  <c r="I21" i="48"/>
  <c r="AB12" i="51"/>
  <c r="AB16" i="51" s="1"/>
  <c r="AB45" i="13"/>
  <c r="R33" i="54"/>
  <c r="AA33" i="54" s="1"/>
  <c r="I32" i="53"/>
  <c r="AB29" i="50" l="1"/>
  <c r="AB39" i="50" s="1"/>
  <c r="AC38" i="49"/>
  <c r="AC39" i="49" s="1"/>
  <c r="AQ78" i="54" s="1"/>
  <c r="AB48" i="13"/>
  <c r="AB42" i="50" s="1"/>
  <c r="AB44" i="50" s="1"/>
  <c r="K97" i="54"/>
  <c r="K104" i="54" s="1"/>
  <c r="K99" i="53"/>
  <c r="H19" i="49"/>
  <c r="T34" i="54"/>
  <c r="K53" i="53"/>
  <c r="T52" i="54" s="1"/>
  <c r="AC52" i="54" s="1"/>
  <c r="K47" i="53"/>
  <c r="K58" i="53" s="1"/>
  <c r="K13" i="59"/>
  <c r="J53" i="53"/>
  <c r="S52" i="54" s="1"/>
  <c r="AB52" i="54" s="1"/>
  <c r="J13" i="59"/>
  <c r="J47" i="53"/>
  <c r="J58" i="53" s="1"/>
  <c r="S34" i="54"/>
  <c r="J99" i="53"/>
  <c r="J97" i="54"/>
  <c r="J104" i="54" s="1"/>
  <c r="G19" i="49"/>
  <c r="H13" i="59"/>
  <c r="H47" i="53"/>
  <c r="H58" i="53" s="1"/>
  <c r="H53" i="53"/>
  <c r="Q52" i="54" s="1"/>
  <c r="Z52" i="54" s="1"/>
  <c r="Q34" i="54"/>
  <c r="I99" i="53"/>
  <c r="I97" i="54"/>
  <c r="I104" i="54" s="1"/>
  <c r="F19" i="49"/>
  <c r="H97" i="54"/>
  <c r="H104" i="54" s="1"/>
  <c r="H99" i="53"/>
  <c r="E19" i="49"/>
  <c r="AC99" i="54"/>
  <c r="I13" i="59"/>
  <c r="I47" i="53"/>
  <c r="I58" i="53" s="1"/>
  <c r="R34" i="54"/>
  <c r="I53" i="53"/>
  <c r="R52" i="54" s="1"/>
  <c r="AA52" i="54" s="1"/>
  <c r="U65" i="54"/>
  <c r="AD65" i="54" s="1"/>
  <c r="L62" i="53"/>
  <c r="AN40" i="56"/>
  <c r="AO38" i="56" s="1"/>
  <c r="AN14" i="56"/>
  <c r="AN17" i="56" s="1"/>
  <c r="AN36" i="50" s="1"/>
  <c r="U34" i="54"/>
  <c r="L53" i="53"/>
  <c r="U52" i="54" s="1"/>
  <c r="AD52" i="54" s="1"/>
  <c r="L13" i="59"/>
  <c r="L47" i="53"/>
  <c r="L58" i="53" s="1"/>
  <c r="L99" i="53"/>
  <c r="L97" i="54"/>
  <c r="L104" i="54" s="1"/>
  <c r="I19" i="49"/>
  <c r="AH79" i="53" l="1"/>
  <c r="AQ81" i="54"/>
  <c r="AQ88" i="54" s="1"/>
  <c r="AH82" i="53"/>
  <c r="AC40" i="49"/>
  <c r="AC37" i="13" s="1"/>
  <c r="AC38" i="13" s="1"/>
  <c r="AC41" i="13" s="1"/>
  <c r="AB46" i="50"/>
  <c r="AB19" i="47" s="1"/>
  <c r="AC47" i="13"/>
  <c r="AO14" i="56"/>
  <c r="AO17" i="56" s="1"/>
  <c r="AO36" i="50" s="1"/>
  <c r="AO40" i="56"/>
  <c r="AP38" i="56" s="1"/>
  <c r="AA34" i="54"/>
  <c r="U97" i="54"/>
  <c r="L106" i="53"/>
  <c r="R97" i="54"/>
  <c r="I106" i="53"/>
  <c r="S97" i="54"/>
  <c r="J106" i="53"/>
  <c r="U61" i="54"/>
  <c r="AD61" i="54" s="1"/>
  <c r="Z34" i="54"/>
  <c r="AB34" i="54"/>
  <c r="AC34" i="54"/>
  <c r="AD34" i="54"/>
  <c r="Q97" i="54"/>
  <c r="H106" i="53"/>
  <c r="K106" i="53"/>
  <c r="T97" i="54"/>
  <c r="AC41" i="49" l="1"/>
  <c r="AC31" i="50" s="1"/>
  <c r="AC15" i="48"/>
  <c r="AC23" i="48" s="1"/>
  <c r="AH90" i="53"/>
  <c r="AD97" i="54"/>
  <c r="U104" i="54"/>
  <c r="AD104" i="54" s="1"/>
  <c r="AC12" i="51"/>
  <c r="AC16" i="51" s="1"/>
  <c r="AC45" i="13"/>
  <c r="AC48" i="13" s="1"/>
  <c r="AC97" i="54"/>
  <c r="T104" i="54"/>
  <c r="AC104" i="54" s="1"/>
  <c r="AB97" i="54"/>
  <c r="S104" i="54"/>
  <c r="AB104" i="54" s="1"/>
  <c r="AP14" i="56"/>
  <c r="AP17" i="56" s="1"/>
  <c r="AP36" i="50" s="1"/>
  <c r="AP40" i="56"/>
  <c r="AQ38" i="56" s="1"/>
  <c r="Z97" i="54"/>
  <c r="Q104" i="54"/>
  <c r="Z104" i="54" s="1"/>
  <c r="AA97" i="54"/>
  <c r="R104" i="54"/>
  <c r="AA104" i="54" s="1"/>
  <c r="AD38" i="49" l="1"/>
  <c r="AD39" i="49" s="1"/>
  <c r="AI82" i="53" s="1"/>
  <c r="AC29" i="50"/>
  <c r="AC39" i="50" s="1"/>
  <c r="AD47" i="13"/>
  <c r="AC42" i="50"/>
  <c r="AC44" i="50" s="1"/>
  <c r="AQ14" i="56"/>
  <c r="AQ17" i="56" s="1"/>
  <c r="AQ36" i="50" s="1"/>
  <c r="AQ40" i="56"/>
  <c r="AR38" i="56" s="1"/>
  <c r="AC46" i="50" l="1"/>
  <c r="AC19" i="47" s="1"/>
  <c r="AR81" i="54"/>
  <c r="AD40" i="49"/>
  <c r="AD37" i="13" s="1"/>
  <c r="AD38" i="13" s="1"/>
  <c r="AD15" i="48" s="1"/>
  <c r="AD23" i="48" s="1"/>
  <c r="AI79" i="53"/>
  <c r="AI90" i="53" s="1"/>
  <c r="AR78" i="54"/>
  <c r="AR40" i="56"/>
  <c r="AS38" i="56" s="1"/>
  <c r="AR14" i="56"/>
  <c r="AR17" i="56" s="1"/>
  <c r="AR36" i="50" s="1"/>
  <c r="AD41" i="49" l="1"/>
  <c r="AD29" i="50" s="1"/>
  <c r="AD41" i="13"/>
  <c r="AD12" i="51" s="1"/>
  <c r="AD16" i="51" s="1"/>
  <c r="AR88" i="54"/>
  <c r="AS40" i="56"/>
  <c r="AT38" i="56" s="1"/>
  <c r="AS14" i="56"/>
  <c r="AS17" i="56" s="1"/>
  <c r="AS36" i="50" s="1"/>
  <c r="AD31" i="50" l="1"/>
  <c r="AD39" i="50" s="1"/>
  <c r="AE38" i="49"/>
  <c r="AE39" i="49" s="1"/>
  <c r="AJ82" i="53" s="1"/>
  <c r="AD45" i="13"/>
  <c r="AD48" i="13" s="1"/>
  <c r="AE47" i="13" s="1"/>
  <c r="AT40" i="56"/>
  <c r="AU38" i="56" s="1"/>
  <c r="AT14" i="56"/>
  <c r="AT17" i="56" s="1"/>
  <c r="AT36" i="50" s="1"/>
  <c r="G36" i="50" s="1"/>
  <c r="J87" i="53" s="1"/>
  <c r="AS81" i="54" l="1"/>
  <c r="AJ79" i="53"/>
  <c r="AJ90" i="53" s="1"/>
  <c r="AE40" i="49"/>
  <c r="AE37" i="13" s="1"/>
  <c r="AE38" i="13" s="1"/>
  <c r="AE15" i="48" s="1"/>
  <c r="AE23" i="48" s="1"/>
  <c r="AS78" i="54"/>
  <c r="AD42" i="50"/>
  <c r="AD44" i="50" s="1"/>
  <c r="AD46" i="50" s="1"/>
  <c r="AD19" i="47" s="1"/>
  <c r="AU14" i="56"/>
  <c r="AU40" i="56"/>
  <c r="AV38" i="56" s="1"/>
  <c r="H38" i="56"/>
  <c r="H40" i="56" s="1"/>
  <c r="AE41" i="49" l="1"/>
  <c r="AE29" i="50" s="1"/>
  <c r="AS88" i="54"/>
  <c r="AE41" i="13"/>
  <c r="AE45" i="13" s="1"/>
  <c r="AE48" i="13" s="1"/>
  <c r="AE42" i="50" s="1"/>
  <c r="AE44" i="50" s="1"/>
  <c r="AV40" i="56"/>
  <c r="AW38" i="56" s="1"/>
  <c r="AV14" i="56"/>
  <c r="AV17" i="56" s="1"/>
  <c r="AV36" i="50" s="1"/>
  <c r="AU17" i="56"/>
  <c r="AU36" i="50" s="1"/>
  <c r="H14" i="56"/>
  <c r="H17" i="56" s="1"/>
  <c r="AF38" i="49" l="1"/>
  <c r="AF39" i="49" s="1"/>
  <c r="AT81" i="54" s="1"/>
  <c r="AE31" i="50"/>
  <c r="AE39" i="50" s="1"/>
  <c r="AE46" i="50" s="1"/>
  <c r="AE19" i="47" s="1"/>
  <c r="AF47" i="13"/>
  <c r="AE12" i="51"/>
  <c r="AE16" i="51" s="1"/>
  <c r="AT78" i="54"/>
  <c r="AK79" i="53"/>
  <c r="AK82" i="53"/>
  <c r="AW40" i="56"/>
  <c r="AX38" i="56" s="1"/>
  <c r="AW14" i="56"/>
  <c r="AW17" i="56" s="1"/>
  <c r="AW36" i="50" s="1"/>
  <c r="AT88" i="54" l="1"/>
  <c r="AF40" i="49"/>
  <c r="AF37" i="13" s="1"/>
  <c r="AF38" i="13" s="1"/>
  <c r="AF15" i="48" s="1"/>
  <c r="AF23" i="48" s="1"/>
  <c r="AK90" i="53"/>
  <c r="AX40" i="56"/>
  <c r="AY38" i="56" s="1"/>
  <c r="AX14" i="56"/>
  <c r="AX17" i="56" s="1"/>
  <c r="AX36" i="50" s="1"/>
  <c r="AF41" i="13" l="1"/>
  <c r="AF12" i="51" s="1"/>
  <c r="AF16" i="51" s="1"/>
  <c r="AF41" i="49"/>
  <c r="AG38" i="49" s="1"/>
  <c r="AG39" i="49" s="1"/>
  <c r="AG40" i="49" s="1"/>
  <c r="AG37" i="13" s="1"/>
  <c r="AG38" i="13" s="1"/>
  <c r="AY40" i="56"/>
  <c r="AZ38" i="56" s="1"/>
  <c r="AY14" i="56"/>
  <c r="AY17" i="56" s="1"/>
  <c r="AY36" i="50" s="1"/>
  <c r="AL79" i="53"/>
  <c r="AF29" i="50" l="1"/>
  <c r="AU78" i="54"/>
  <c r="AF31" i="50"/>
  <c r="AL82" i="53"/>
  <c r="AU81" i="54"/>
  <c r="AU88" i="54" s="1"/>
  <c r="AF45" i="13"/>
  <c r="AF48" i="13" s="1"/>
  <c r="AG47" i="13" s="1"/>
  <c r="AF39" i="50"/>
  <c r="AL90" i="53"/>
  <c r="AG15" i="48"/>
  <c r="AG23" i="48" s="1"/>
  <c r="AG41" i="13"/>
  <c r="AZ40" i="56"/>
  <c r="BA38" i="56" s="1"/>
  <c r="AZ14" i="56"/>
  <c r="AZ17" i="56" s="1"/>
  <c r="AZ36" i="50" s="1"/>
  <c r="AG41" i="49"/>
  <c r="AF42" i="50" l="1"/>
  <c r="AF44" i="50" s="1"/>
  <c r="AF46" i="50" s="1"/>
  <c r="AF19" i="47" s="1"/>
  <c r="AG29" i="50"/>
  <c r="AH38" i="49"/>
  <c r="AH39" i="49" s="1"/>
  <c r="AG31" i="50"/>
  <c r="BA14" i="56"/>
  <c r="BA17" i="56" s="1"/>
  <c r="BA36" i="50" s="1"/>
  <c r="BA40" i="56"/>
  <c r="BB38" i="56" s="1"/>
  <c r="AG45" i="13"/>
  <c r="AG48" i="13" s="1"/>
  <c r="AG12" i="51"/>
  <c r="AG16" i="51" s="1"/>
  <c r="AH47" i="13" l="1"/>
  <c r="AG42" i="50"/>
  <c r="AG44" i="50" s="1"/>
  <c r="AV81" i="54"/>
  <c r="AV78" i="54"/>
  <c r="AM82" i="53"/>
  <c r="AH40" i="49"/>
  <c r="AH37" i="13" s="1"/>
  <c r="AH38" i="13" s="1"/>
  <c r="AM79" i="53"/>
  <c r="BB40" i="56"/>
  <c r="BC38" i="56" s="1"/>
  <c r="BB14" i="56"/>
  <c r="BB17" i="56" s="1"/>
  <c r="BB36" i="50" s="1"/>
  <c r="AG39" i="50"/>
  <c r="AH41" i="49" l="1"/>
  <c r="AH15" i="48"/>
  <c r="AH23" i="48" s="1"/>
  <c r="AG46" i="50"/>
  <c r="AG19" i="47" s="1"/>
  <c r="BC40" i="56"/>
  <c r="BD38" i="56" s="1"/>
  <c r="BC14" i="56"/>
  <c r="BC17" i="56" s="1"/>
  <c r="BC36" i="50" s="1"/>
  <c r="AH29" i="50" l="1"/>
  <c r="AH31" i="50"/>
  <c r="F31" i="50" s="1"/>
  <c r="AI38" i="49"/>
  <c r="BD14" i="56"/>
  <c r="BD17" i="56" s="1"/>
  <c r="BD36" i="50" s="1"/>
  <c r="BD40" i="56"/>
  <c r="BE38" i="56" s="1"/>
  <c r="AH25" i="48"/>
  <c r="AH26" i="48"/>
  <c r="AH28" i="48" l="1"/>
  <c r="AH30" i="48" s="1"/>
  <c r="AH52" i="48"/>
  <c r="F52" i="48" s="1"/>
  <c r="F26" i="48"/>
  <c r="I82" i="53"/>
  <c r="R81" i="54" s="1"/>
  <c r="I81" i="54"/>
  <c r="AH51" i="48"/>
  <c r="F25" i="48"/>
  <c r="BE40" i="56"/>
  <c r="BF38" i="56" s="1"/>
  <c r="BE14" i="56"/>
  <c r="BE17" i="56" s="1"/>
  <c r="BE36" i="50" s="1"/>
  <c r="F29" i="50"/>
  <c r="F28" i="48" l="1"/>
  <c r="F51" i="48"/>
  <c r="F53" i="48" s="1"/>
  <c r="G50" i="48" s="1"/>
  <c r="AH53" i="48"/>
  <c r="AI50" i="48" s="1"/>
  <c r="AI53" i="48" s="1"/>
  <c r="AJ50" i="48" s="1"/>
  <c r="AJ53" i="48" s="1"/>
  <c r="AK50" i="48" s="1"/>
  <c r="AK53" i="48" s="1"/>
  <c r="AL50" i="48" s="1"/>
  <c r="AL53" i="48" s="1"/>
  <c r="AM50" i="48" s="1"/>
  <c r="AM53" i="48" s="1"/>
  <c r="AN50" i="48" s="1"/>
  <c r="AN53" i="48" s="1"/>
  <c r="AO50" i="48" s="1"/>
  <c r="AO53" i="48" s="1"/>
  <c r="AP50" i="48" s="1"/>
  <c r="AP53" i="48" s="1"/>
  <c r="AQ50" i="48" s="1"/>
  <c r="AQ53" i="48" s="1"/>
  <c r="AR50" i="48" s="1"/>
  <c r="AR53" i="48" s="1"/>
  <c r="AS50" i="48" s="1"/>
  <c r="AS53" i="48" s="1"/>
  <c r="AT50" i="48" s="1"/>
  <c r="I79" i="53"/>
  <c r="I78" i="54"/>
  <c r="AA81" i="54"/>
  <c r="BF40" i="56"/>
  <c r="BG38" i="56" s="1"/>
  <c r="BF14" i="56"/>
  <c r="BF17" i="56" s="1"/>
  <c r="BF36" i="50" s="1"/>
  <c r="H36" i="50" s="1"/>
  <c r="K87" i="53" s="1"/>
  <c r="AH42" i="48"/>
  <c r="AH40" i="13"/>
  <c r="F30" i="48"/>
  <c r="F42" i="48" l="1"/>
  <c r="AH44" i="48"/>
  <c r="F40" i="13"/>
  <c r="AH41" i="13"/>
  <c r="BG40" i="56"/>
  <c r="BH38" i="56" s="1"/>
  <c r="BG14" i="56"/>
  <c r="I38" i="56"/>
  <c r="I40" i="56" s="1"/>
  <c r="I79" i="54"/>
  <c r="R78" i="54"/>
  <c r="AA78" i="54" s="1"/>
  <c r="I80" i="53"/>
  <c r="BG17" i="56" l="1"/>
  <c r="BG36" i="50" s="1"/>
  <c r="I14" i="56"/>
  <c r="I17" i="56" s="1"/>
  <c r="BH40" i="56"/>
  <c r="BI38" i="56" s="1"/>
  <c r="BH14" i="56"/>
  <c r="BH17" i="56" s="1"/>
  <c r="BH36" i="50" s="1"/>
  <c r="R79" i="54"/>
  <c r="AA79" i="54" s="1"/>
  <c r="AH45" i="13"/>
  <c r="AH48" i="13" s="1"/>
  <c r="AH12" i="51"/>
  <c r="AH16" i="51" s="1"/>
  <c r="I40" i="53"/>
  <c r="R41" i="54" s="1"/>
  <c r="I41" i="54"/>
  <c r="AH37" i="50"/>
  <c r="AI43" i="48"/>
  <c r="AI41" i="48"/>
  <c r="AV86" i="54"/>
  <c r="AV88" i="54" s="1"/>
  <c r="AM88" i="53"/>
  <c r="AM90" i="53" s="1"/>
  <c r="AI44" i="48" l="1"/>
  <c r="AW86" i="54" s="1"/>
  <c r="AI47" i="13"/>
  <c r="AH42" i="50"/>
  <c r="AI32" i="49"/>
  <c r="F37" i="50"/>
  <c r="AH39" i="50"/>
  <c r="BI14" i="56"/>
  <c r="BI17" i="56" s="1"/>
  <c r="BI36" i="50" s="1"/>
  <c r="BI40" i="56"/>
  <c r="BJ38" i="56" s="1"/>
  <c r="AA41" i="54"/>
  <c r="AN88" i="53" l="1"/>
  <c r="AI37" i="50"/>
  <c r="AJ43" i="48"/>
  <c r="AJ32" i="49" s="1"/>
  <c r="AJ36" i="49" s="1"/>
  <c r="AJ41" i="48"/>
  <c r="BJ40" i="56"/>
  <c r="BK38" i="56" s="1"/>
  <c r="BJ14" i="56"/>
  <c r="BJ17" i="56" s="1"/>
  <c r="BJ36" i="50" s="1"/>
  <c r="AI36" i="49"/>
  <c r="AI39" i="49" s="1"/>
  <c r="I88" i="53"/>
  <c r="I86" i="54"/>
  <c r="I88" i="54" s="1"/>
  <c r="F39" i="50"/>
  <c r="AH44" i="50"/>
  <c r="AH46" i="50" s="1"/>
  <c r="AH19" i="47" s="1"/>
  <c r="F42" i="50"/>
  <c r="AJ44" i="48" l="1"/>
  <c r="AO88" i="53" s="1"/>
  <c r="R86" i="54"/>
  <c r="AA86" i="54" s="1"/>
  <c r="I28" i="59"/>
  <c r="I90" i="53"/>
  <c r="I27" i="59"/>
  <c r="I26" i="59"/>
  <c r="AN82" i="53"/>
  <c r="AI40" i="49"/>
  <c r="AW81" i="54"/>
  <c r="AN79" i="53"/>
  <c r="AW78" i="54"/>
  <c r="I93" i="53"/>
  <c r="I91" i="54"/>
  <c r="I93" i="54" s="1"/>
  <c r="F44" i="50"/>
  <c r="F46" i="50" s="1"/>
  <c r="F19" i="47" s="1"/>
  <c r="BK40" i="56"/>
  <c r="BL38" i="56" s="1"/>
  <c r="BK14" i="56"/>
  <c r="BK17" i="56" s="1"/>
  <c r="BK36" i="50" s="1"/>
  <c r="AK43" i="48" l="1"/>
  <c r="AK32" i="49" s="1"/>
  <c r="AK41" i="48"/>
  <c r="AX86" i="54"/>
  <c r="AJ37" i="50"/>
  <c r="AI37" i="13"/>
  <c r="BL40" i="56"/>
  <c r="BM38" i="56" s="1"/>
  <c r="BL14" i="56"/>
  <c r="BL17" i="56" s="1"/>
  <c r="BL36" i="50" s="1"/>
  <c r="AW88" i="54"/>
  <c r="I138" i="53"/>
  <c r="R88" i="54"/>
  <c r="AA88" i="54" s="1"/>
  <c r="AN90" i="53"/>
  <c r="R91" i="54"/>
  <c r="AA91" i="54" s="1"/>
  <c r="I95" i="53"/>
  <c r="R93" i="54" s="1"/>
  <c r="AA93" i="54" s="1"/>
  <c r="AI41" i="49"/>
  <c r="AK44" i="48" l="1"/>
  <c r="AY86" i="54" s="1"/>
  <c r="AK36" i="49"/>
  <c r="AI29" i="50"/>
  <c r="AI31" i="50"/>
  <c r="AJ38" i="49"/>
  <c r="AJ39" i="49" s="1"/>
  <c r="BM14" i="56"/>
  <c r="BM17" i="56" s="1"/>
  <c r="BM36" i="50" s="1"/>
  <c r="BM40" i="56"/>
  <c r="BN38" i="56" s="1"/>
  <c r="AI38" i="13"/>
  <c r="AK37" i="50" l="1"/>
  <c r="AP88" i="53"/>
  <c r="AL41" i="48"/>
  <c r="AL43" i="48"/>
  <c r="AL32" i="49" s="1"/>
  <c r="AL36" i="49" s="1"/>
  <c r="AI39" i="50"/>
  <c r="AX81" i="54"/>
  <c r="AO79" i="53"/>
  <c r="AO82" i="53"/>
  <c r="AJ40" i="49"/>
  <c r="AJ41" i="49" s="1"/>
  <c r="AX78" i="54"/>
  <c r="AI15" i="48"/>
  <c r="AI41" i="13"/>
  <c r="BN40" i="56"/>
  <c r="BO38" i="56" s="1"/>
  <c r="BN14" i="56"/>
  <c r="BN17" i="56" s="1"/>
  <c r="BN36" i="50" s="1"/>
  <c r="AX88" i="54" l="1"/>
  <c r="AL44" i="48"/>
  <c r="AM41" i="48" s="1"/>
  <c r="AO90" i="53"/>
  <c r="AJ37" i="13"/>
  <c r="BO40" i="56"/>
  <c r="BP38" i="56" s="1"/>
  <c r="BO14" i="56"/>
  <c r="BO17" i="56" s="1"/>
  <c r="BO36" i="50" s="1"/>
  <c r="AK38" i="49"/>
  <c r="AK39" i="49" s="1"/>
  <c r="AJ31" i="50"/>
  <c r="AJ29" i="50"/>
  <c r="AI23" i="48"/>
  <c r="AI12" i="51"/>
  <c r="AI45" i="13"/>
  <c r="AI48" i="13" s="1"/>
  <c r="AZ86" i="54" l="1"/>
  <c r="AM43" i="48"/>
  <c r="AM32" i="49" s="1"/>
  <c r="AM36" i="49" s="1"/>
  <c r="AL37" i="50"/>
  <c r="AQ88" i="53"/>
  <c r="AJ47" i="13"/>
  <c r="AI42" i="50"/>
  <c r="AI44" i="50" s="1"/>
  <c r="AI46" i="50" s="1"/>
  <c r="AI19" i="47" s="1"/>
  <c r="AI16" i="51"/>
  <c r="BP40" i="56"/>
  <c r="BQ38" i="56" s="1"/>
  <c r="BP14" i="56"/>
  <c r="BP17" i="56" s="1"/>
  <c r="BP36" i="50" s="1"/>
  <c r="AP79" i="53"/>
  <c r="AY78" i="54"/>
  <c r="AY81" i="54"/>
  <c r="AP82" i="53"/>
  <c r="AK40" i="49"/>
  <c r="AK41" i="49" s="1"/>
  <c r="AJ39" i="50"/>
  <c r="AJ38" i="13"/>
  <c r="AM44" i="48" l="1"/>
  <c r="AP90" i="53"/>
  <c r="AY88" i="54"/>
  <c r="AK31" i="50"/>
  <c r="AL38" i="49"/>
  <c r="AL39" i="49" s="1"/>
  <c r="AK29" i="50"/>
  <c r="BQ40" i="56"/>
  <c r="BR38" i="56" s="1"/>
  <c r="BQ14" i="56"/>
  <c r="BQ17" i="56" s="1"/>
  <c r="BQ36" i="50" s="1"/>
  <c r="AK37" i="13"/>
  <c r="AJ15" i="48"/>
  <c r="AJ41" i="13"/>
  <c r="AN43" i="48" l="1"/>
  <c r="AN32" i="49" s="1"/>
  <c r="AN36" i="49" s="1"/>
  <c r="AM37" i="50"/>
  <c r="AR88" i="53"/>
  <c r="BA86" i="54"/>
  <c r="AN41" i="48"/>
  <c r="AL40" i="49"/>
  <c r="AL41" i="49" s="1"/>
  <c r="AQ82" i="53"/>
  <c r="AZ81" i="54"/>
  <c r="AZ78" i="54"/>
  <c r="AQ79" i="53"/>
  <c r="AJ45" i="13"/>
  <c r="AJ48" i="13" s="1"/>
  <c r="AJ12" i="51"/>
  <c r="BR40" i="56"/>
  <c r="BR14" i="56"/>
  <c r="BR17" i="56" s="1"/>
  <c r="BR36" i="50" s="1"/>
  <c r="I36" i="50" s="1"/>
  <c r="L87" i="53" s="1"/>
  <c r="AK38" i="13"/>
  <c r="AJ23" i="48"/>
  <c r="AK39" i="50"/>
  <c r="AN44" i="48" l="1"/>
  <c r="BB86" i="54" s="1"/>
  <c r="AZ88" i="54"/>
  <c r="AK15" i="48"/>
  <c r="AK41" i="13"/>
  <c r="AM38" i="49"/>
  <c r="AM39" i="49" s="1"/>
  <c r="AL29" i="50"/>
  <c r="AL31" i="50"/>
  <c r="AL37" i="13"/>
  <c r="AJ16" i="51"/>
  <c r="AK47" i="13"/>
  <c r="AJ42" i="50"/>
  <c r="AJ44" i="50" s="1"/>
  <c r="AJ46" i="50" s="1"/>
  <c r="AJ19" i="47" s="1"/>
  <c r="AQ90" i="53"/>
  <c r="AS88" i="53" l="1"/>
  <c r="AO43" i="48"/>
  <c r="AO32" i="49" s="1"/>
  <c r="AO36" i="49" s="1"/>
  <c r="AO41" i="48"/>
  <c r="AN37" i="50"/>
  <c r="AL39" i="50"/>
  <c r="AL38" i="13"/>
  <c r="BA81" i="54"/>
  <c r="AM40" i="49"/>
  <c r="AM37" i="13" s="1"/>
  <c r="AM38" i="13" s="1"/>
  <c r="BA78" i="54"/>
  <c r="AR82" i="53"/>
  <c r="AR79" i="53"/>
  <c r="AK12" i="51"/>
  <c r="AK45" i="13"/>
  <c r="AK48" i="13" s="1"/>
  <c r="AK23" i="48"/>
  <c r="AO44" i="48" l="1"/>
  <c r="AT88" i="53" s="1"/>
  <c r="AP41" i="48"/>
  <c r="AO37" i="50"/>
  <c r="BC86" i="54"/>
  <c r="BA88" i="54"/>
  <c r="AK16" i="51"/>
  <c r="AL47" i="13"/>
  <c r="AK42" i="50"/>
  <c r="AK44" i="50" s="1"/>
  <c r="AK46" i="50" s="1"/>
  <c r="AK19" i="47" s="1"/>
  <c r="AL41" i="13"/>
  <c r="AL15" i="48"/>
  <c r="AR90" i="53"/>
  <c r="AM41" i="49"/>
  <c r="AM15" i="48"/>
  <c r="AM23" i="48" s="1"/>
  <c r="AM41" i="13"/>
  <c r="AP43" i="48" l="1"/>
  <c r="AP32" i="49" s="1"/>
  <c r="AP36" i="49" s="1"/>
  <c r="AM45" i="13"/>
  <c r="AM12" i="51"/>
  <c r="AM16" i="51" s="1"/>
  <c r="AL23" i="48"/>
  <c r="AL12" i="51"/>
  <c r="AL45" i="13"/>
  <c r="AL48" i="13" s="1"/>
  <c r="AN38" i="49"/>
  <c r="AN39" i="49" s="1"/>
  <c r="AM31" i="50"/>
  <c r="AM29" i="50"/>
  <c r="AP44" i="48" l="1"/>
  <c r="AU88" i="53" s="1"/>
  <c r="AQ43" i="48"/>
  <c r="AQ32" i="49" s="1"/>
  <c r="AQ36" i="49" s="1"/>
  <c r="AP37" i="50"/>
  <c r="BD86" i="54"/>
  <c r="AQ41" i="48"/>
  <c r="AM39" i="50"/>
  <c r="AS79" i="53"/>
  <c r="AS82" i="53"/>
  <c r="BB81" i="54"/>
  <c r="AN40" i="49"/>
  <c r="AN37" i="13" s="1"/>
  <c r="AN38" i="13" s="1"/>
  <c r="BB78" i="54"/>
  <c r="AL42" i="50"/>
  <c r="AL44" i="50" s="1"/>
  <c r="AL46" i="50" s="1"/>
  <c r="AL19" i="47" s="1"/>
  <c r="AM47" i="13"/>
  <c r="AM48" i="13" s="1"/>
  <c r="AL16" i="51"/>
  <c r="AQ44" i="48" l="1"/>
  <c r="AV88" i="53" s="1"/>
  <c r="AS90" i="53"/>
  <c r="BB88" i="54"/>
  <c r="AN41" i="49"/>
  <c r="AN15" i="48"/>
  <c r="AN23" i="48" s="1"/>
  <c r="AN41" i="13"/>
  <c r="AN47" i="13"/>
  <c r="AM42" i="50"/>
  <c r="AM44" i="50" s="1"/>
  <c r="AM46" i="50" s="1"/>
  <c r="AM19" i="47" s="1"/>
  <c r="AR41" i="48" l="1"/>
  <c r="AR43" i="48"/>
  <c r="AR32" i="49" s="1"/>
  <c r="AR36" i="49" s="1"/>
  <c r="AQ37" i="50"/>
  <c r="BE86" i="54"/>
  <c r="AR44" i="48"/>
  <c r="AN12" i="51"/>
  <c r="AN16" i="51" s="1"/>
  <c r="AN45" i="13"/>
  <c r="AN48" i="13" s="1"/>
  <c r="AO38" i="49"/>
  <c r="AO39" i="49" s="1"/>
  <c r="AN29" i="50"/>
  <c r="AN31" i="50"/>
  <c r="BF86" i="54" l="1"/>
  <c r="AR37" i="50"/>
  <c r="AS43" i="48"/>
  <c r="AS32" i="49" s="1"/>
  <c r="AS36" i="49" s="1"/>
  <c r="AS41" i="48"/>
  <c r="AW88" i="53"/>
  <c r="AO47" i="13"/>
  <c r="AN42" i="50"/>
  <c r="AN44" i="50" s="1"/>
  <c r="BC78" i="54"/>
  <c r="AT82" i="53"/>
  <c r="BC81" i="54"/>
  <c r="AT79" i="53"/>
  <c r="AO40" i="49"/>
  <c r="AO37" i="13" s="1"/>
  <c r="AO38" i="13" s="1"/>
  <c r="AN39" i="50"/>
  <c r="AT90" i="53" l="1"/>
  <c r="AS44" i="48"/>
  <c r="AX88" i="53" s="1"/>
  <c r="BC88" i="54"/>
  <c r="AO41" i="49"/>
  <c r="AO15" i="48"/>
  <c r="AO23" i="48" s="1"/>
  <c r="AO41" i="13"/>
  <c r="AN46" i="50"/>
  <c r="AN19" i="47" s="1"/>
  <c r="AS37" i="50" l="1"/>
  <c r="BG86" i="54"/>
  <c r="AT41" i="48"/>
  <c r="AT43" i="48"/>
  <c r="AT32" i="49" s="1"/>
  <c r="AT36" i="49" s="1"/>
  <c r="AO12" i="51"/>
  <c r="AO16" i="51" s="1"/>
  <c r="AO45" i="13"/>
  <c r="AO48" i="13" s="1"/>
  <c r="AO29" i="50"/>
  <c r="AO31" i="50"/>
  <c r="AP38" i="49"/>
  <c r="AP39" i="49" s="1"/>
  <c r="AO39" i="50" l="1"/>
  <c r="BD78" i="54"/>
  <c r="AP40" i="49"/>
  <c r="AP37" i="13" s="1"/>
  <c r="AP38" i="13" s="1"/>
  <c r="AU79" i="53"/>
  <c r="BD81" i="54"/>
  <c r="AU82" i="53"/>
  <c r="AO42" i="50"/>
  <c r="AO44" i="50" s="1"/>
  <c r="AP47" i="13"/>
  <c r="AO46" i="50" l="1"/>
  <c r="AO19" i="47" s="1"/>
  <c r="AP41" i="49"/>
  <c r="AQ38" i="49" s="1"/>
  <c r="AQ39" i="49" s="1"/>
  <c r="AP41" i="13"/>
  <c r="AP15" i="48"/>
  <c r="AP23" i="48" s="1"/>
  <c r="AU90" i="53"/>
  <c r="BD88" i="54"/>
  <c r="AP29" i="50" l="1"/>
  <c r="AP31" i="50"/>
  <c r="AP12" i="51"/>
  <c r="AP16" i="51" s="1"/>
  <c r="AP45" i="13"/>
  <c r="AP48" i="13" s="1"/>
  <c r="BE81" i="54"/>
  <c r="BE78" i="54"/>
  <c r="AV82" i="53"/>
  <c r="AV79" i="53"/>
  <c r="AQ40" i="49"/>
  <c r="AQ37" i="13" s="1"/>
  <c r="AQ38" i="13" s="1"/>
  <c r="BE88" i="54" l="1"/>
  <c r="AP39" i="50"/>
  <c r="AV90" i="53"/>
  <c r="AQ41" i="13"/>
  <c r="AQ15" i="48"/>
  <c r="AQ23" i="48" s="1"/>
  <c r="AQ41" i="49"/>
  <c r="AQ47" i="13"/>
  <c r="AP42" i="50"/>
  <c r="AP44" i="50" s="1"/>
  <c r="AP46" i="50" l="1"/>
  <c r="AP19" i="47" s="1"/>
  <c r="AR38" i="49"/>
  <c r="AR39" i="49" s="1"/>
  <c r="AQ29" i="50"/>
  <c r="AQ31" i="50"/>
  <c r="AQ45" i="13"/>
  <c r="AQ48" i="13" s="1"/>
  <c r="AQ12" i="51"/>
  <c r="AQ16" i="51" s="1"/>
  <c r="AQ39" i="50" l="1"/>
  <c r="AR47" i="13"/>
  <c r="AQ42" i="50"/>
  <c r="AQ44" i="50" s="1"/>
  <c r="AW82" i="53"/>
  <c r="BF78" i="54"/>
  <c r="BF81" i="54"/>
  <c r="AW79" i="53"/>
  <c r="AR40" i="49"/>
  <c r="AR37" i="13" s="1"/>
  <c r="AR38" i="13" s="1"/>
  <c r="AW90" i="53" l="1"/>
  <c r="AR41" i="49"/>
  <c r="AR31" i="50" s="1"/>
  <c r="AQ46" i="50"/>
  <c r="AQ19" i="47" s="1"/>
  <c r="BF88" i="54"/>
  <c r="AR41" i="13"/>
  <c r="AR15" i="48"/>
  <c r="AR23" i="48" s="1"/>
  <c r="AS38" i="49" l="1"/>
  <c r="AS39" i="49" s="1"/>
  <c r="AS40" i="49" s="1"/>
  <c r="AS37" i="13" s="1"/>
  <c r="AS38" i="13" s="1"/>
  <c r="AR29" i="50"/>
  <c r="AR39" i="50" s="1"/>
  <c r="AR12" i="51"/>
  <c r="AR16" i="51" s="1"/>
  <c r="AR45" i="13"/>
  <c r="AR48" i="13" s="1"/>
  <c r="AX79" i="53" l="1"/>
  <c r="BG78" i="54"/>
  <c r="BG81" i="54"/>
  <c r="AX82" i="53"/>
  <c r="AS15" i="48"/>
  <c r="AS23" i="48" s="1"/>
  <c r="AS41" i="13"/>
  <c r="AS41" i="49"/>
  <c r="AS47" i="13"/>
  <c r="AR42" i="50"/>
  <c r="AR44" i="50" s="1"/>
  <c r="AR46" i="50" s="1"/>
  <c r="AR19" i="47" s="1"/>
  <c r="AX90" i="53" l="1"/>
  <c r="BG88" i="54"/>
  <c r="AS29" i="50"/>
  <c r="AS31" i="50"/>
  <c r="AT38" i="49"/>
  <c r="AT39" i="49" s="1"/>
  <c r="AS12" i="51"/>
  <c r="AS16" i="51" s="1"/>
  <c r="AS45" i="13"/>
  <c r="AS48" i="13" s="1"/>
  <c r="AT40" i="49" l="1"/>
  <c r="AT37" i="13" s="1"/>
  <c r="AT38" i="13" s="1"/>
  <c r="BH81" i="54"/>
  <c r="AY82" i="53"/>
  <c r="BH78" i="54"/>
  <c r="AY79" i="53"/>
  <c r="AT47" i="13"/>
  <c r="AS42" i="50"/>
  <c r="AS44" i="50" s="1"/>
  <c r="AS39" i="50"/>
  <c r="AT41" i="49" l="1"/>
  <c r="AU38" i="49" s="1"/>
  <c r="AS46" i="50"/>
  <c r="AS19" i="47" s="1"/>
  <c r="AT15" i="48"/>
  <c r="AT23" i="48" s="1"/>
  <c r="AT29" i="50" l="1"/>
  <c r="AT31" i="50"/>
  <c r="G31" i="50" s="1"/>
  <c r="J82" i="53" s="1"/>
  <c r="S81" i="54" s="1"/>
  <c r="AT26" i="48"/>
  <c r="AT25" i="48"/>
  <c r="G29" i="50"/>
  <c r="J81" i="54" l="1"/>
  <c r="AB81" i="54" s="1"/>
  <c r="AT51" i="48"/>
  <c r="G25" i="48"/>
  <c r="AT52" i="48"/>
  <c r="G52" i="48" s="1"/>
  <c r="G26" i="48"/>
  <c r="J78" i="54"/>
  <c r="J79" i="53"/>
  <c r="AT28" i="48"/>
  <c r="AT30" i="48" l="1"/>
  <c r="G28" i="48"/>
  <c r="S78" i="54"/>
  <c r="AB78" i="54" s="1"/>
  <c r="J80" i="53"/>
  <c r="J79" i="54"/>
  <c r="G51" i="48"/>
  <c r="G53" i="48" s="1"/>
  <c r="H50" i="48" s="1"/>
  <c r="AT53" i="48"/>
  <c r="AU50" i="48" s="1"/>
  <c r="AU53" i="48" s="1"/>
  <c r="AV50" i="48" s="1"/>
  <c r="AV53" i="48" s="1"/>
  <c r="AW50" i="48" s="1"/>
  <c r="AW53" i="48" s="1"/>
  <c r="AX50" i="48" s="1"/>
  <c r="AX53" i="48" s="1"/>
  <c r="AY50" i="48" s="1"/>
  <c r="AY53" i="48" s="1"/>
  <c r="AZ50" i="48" s="1"/>
  <c r="AZ53" i="48" s="1"/>
  <c r="BA50" i="48" s="1"/>
  <c r="BA53" i="48" s="1"/>
  <c r="BB50" i="48" s="1"/>
  <c r="BB53" i="48" s="1"/>
  <c r="BC50" i="48" s="1"/>
  <c r="BC53" i="48" s="1"/>
  <c r="BD50" i="48" s="1"/>
  <c r="BD53" i="48" s="1"/>
  <c r="BE50" i="48" s="1"/>
  <c r="BE53" i="48" s="1"/>
  <c r="BF50" i="48" s="1"/>
  <c r="S79" i="54" l="1"/>
  <c r="AB79" i="54" s="1"/>
  <c r="AT42" i="48"/>
  <c r="AT40" i="13"/>
  <c r="G30" i="48"/>
  <c r="G42" i="48" l="1"/>
  <c r="AT44" i="48"/>
  <c r="G40" i="13"/>
  <c r="AT41" i="13"/>
  <c r="J41" i="54" l="1"/>
  <c r="J40" i="53"/>
  <c r="S41" i="54" s="1"/>
  <c r="AT12" i="51"/>
  <c r="AT16" i="51" s="1"/>
  <c r="AT45" i="13"/>
  <c r="AT48" i="13" s="1"/>
  <c r="BH86" i="54"/>
  <c r="BH88" i="54" s="1"/>
  <c r="AY88" i="53"/>
  <c r="AY90" i="53" s="1"/>
  <c r="AT37" i="50"/>
  <c r="AU43" i="48"/>
  <c r="AU41" i="48"/>
  <c r="AB41" i="54" l="1"/>
  <c r="AU32" i="49"/>
  <c r="G37" i="50"/>
  <c r="AT39" i="50"/>
  <c r="AT42" i="50"/>
  <c r="AU47" i="13"/>
  <c r="AU44" i="48"/>
  <c r="AV43" i="48" l="1"/>
  <c r="BI86" i="54"/>
  <c r="AV41" i="48"/>
  <c r="AZ88" i="53"/>
  <c r="AU37" i="50"/>
  <c r="AT44" i="50"/>
  <c r="AT46" i="50" s="1"/>
  <c r="AT19" i="47" s="1"/>
  <c r="G42" i="50"/>
  <c r="J86" i="54"/>
  <c r="J88" i="54" s="1"/>
  <c r="J88" i="53"/>
  <c r="G39" i="50"/>
  <c r="AU36" i="49"/>
  <c r="AU39" i="49" s="1"/>
  <c r="AV44" i="48" l="1"/>
  <c r="AV37" i="50" s="1"/>
  <c r="J91" i="54"/>
  <c r="J93" i="54" s="1"/>
  <c r="J93" i="53"/>
  <c r="G44" i="50"/>
  <c r="G46" i="50" s="1"/>
  <c r="G19" i="47" s="1"/>
  <c r="BI81" i="54"/>
  <c r="BI78" i="54"/>
  <c r="AU40" i="49"/>
  <c r="AU41" i="49" s="1"/>
  <c r="AZ82" i="53"/>
  <c r="AZ79" i="53"/>
  <c r="S86" i="54"/>
  <c r="AB86" i="54" s="1"/>
  <c r="J28" i="59"/>
  <c r="J27" i="59"/>
  <c r="J90" i="53"/>
  <c r="J26" i="59"/>
  <c r="AV32" i="49"/>
  <c r="BJ86" i="54" l="1"/>
  <c r="BA88" i="53"/>
  <c r="AW43" i="48"/>
  <c r="AW32" i="49" s="1"/>
  <c r="AW36" i="49" s="1"/>
  <c r="AW41" i="48"/>
  <c r="BI88" i="54"/>
  <c r="AV38" i="49"/>
  <c r="AU29" i="50"/>
  <c r="AU31" i="50"/>
  <c r="AU37" i="13"/>
  <c r="AV36" i="49"/>
  <c r="J138" i="53"/>
  <c r="S88" i="54"/>
  <c r="AB88" i="54" s="1"/>
  <c r="S91" i="54"/>
  <c r="AB91" i="54" s="1"/>
  <c r="J95" i="53"/>
  <c r="S93" i="54" s="1"/>
  <c r="AB93" i="54" s="1"/>
  <c r="AZ90" i="53"/>
  <c r="AW44" i="48" l="1"/>
  <c r="AX43" i="48" s="1"/>
  <c r="AV39" i="49"/>
  <c r="BJ81" i="54" s="1"/>
  <c r="AU39" i="50"/>
  <c r="AU38" i="13"/>
  <c r="BK86" i="54" l="1"/>
  <c r="AX41" i="48"/>
  <c r="AX44" i="48" s="1"/>
  <c r="AW37" i="50"/>
  <c r="BB88" i="53"/>
  <c r="AV40" i="49"/>
  <c r="AV37" i="13" s="1"/>
  <c r="BA79" i="53"/>
  <c r="BJ78" i="54"/>
  <c r="BJ88" i="54" s="1"/>
  <c r="BA82" i="53"/>
  <c r="AU15" i="48"/>
  <c r="AU41" i="13"/>
  <c r="AX32" i="49"/>
  <c r="AV41" i="49" l="1"/>
  <c r="AW38" i="49" s="1"/>
  <c r="AW39" i="49" s="1"/>
  <c r="BA90" i="53"/>
  <c r="AV38" i="13"/>
  <c r="AU23" i="48"/>
  <c r="AX36" i="49"/>
  <c r="AU45" i="13"/>
  <c r="AU48" i="13" s="1"/>
  <c r="AU12" i="51"/>
  <c r="AX37" i="50"/>
  <c r="BL86" i="54"/>
  <c r="AY43" i="48"/>
  <c r="BC88" i="53"/>
  <c r="AY41" i="48"/>
  <c r="AY44" i="48" l="1"/>
  <c r="BM86" i="54" s="1"/>
  <c r="AV29" i="50"/>
  <c r="AV31" i="50"/>
  <c r="AY32" i="49"/>
  <c r="AV15" i="48"/>
  <c r="AV41" i="13"/>
  <c r="AU16" i="51"/>
  <c r="AV47" i="13"/>
  <c r="AU42" i="50"/>
  <c r="AU44" i="50" s="1"/>
  <c r="AU46" i="50" s="1"/>
  <c r="AU19" i="47" s="1"/>
  <c r="AW40" i="49"/>
  <c r="AW41" i="49" s="1"/>
  <c r="BK81" i="54"/>
  <c r="BB82" i="53"/>
  <c r="BB79" i="53"/>
  <c r="BK78" i="54"/>
  <c r="BD88" i="53" l="1"/>
  <c r="AZ41" i="48"/>
  <c r="AY37" i="50"/>
  <c r="AZ43" i="48"/>
  <c r="AZ32" i="49" s="1"/>
  <c r="AZ36" i="49" s="1"/>
  <c r="AV39" i="50"/>
  <c r="BB90" i="53"/>
  <c r="BK88" i="54"/>
  <c r="AX38" i="49"/>
  <c r="AX39" i="49" s="1"/>
  <c r="AW29" i="50"/>
  <c r="AW31" i="50"/>
  <c r="AY36" i="49"/>
  <c r="AV45" i="13"/>
  <c r="AV48" i="13" s="1"/>
  <c r="AV12" i="51"/>
  <c r="AV23" i="48"/>
  <c r="AW37" i="13"/>
  <c r="AZ44" i="48" l="1"/>
  <c r="AV16" i="51"/>
  <c r="AW47" i="13"/>
  <c r="AV42" i="50"/>
  <c r="AV44" i="50" s="1"/>
  <c r="AV46" i="50" s="1"/>
  <c r="AV19" i="47" s="1"/>
  <c r="AW38" i="13"/>
  <c r="AW39" i="50"/>
  <c r="BC82" i="53"/>
  <c r="BC79" i="53"/>
  <c r="AX40" i="49"/>
  <c r="AX41" i="49" s="1"/>
  <c r="BL78" i="54"/>
  <c r="BL81" i="54"/>
  <c r="BA41" i="48" l="1"/>
  <c r="BA43" i="48"/>
  <c r="BA32" i="49" s="1"/>
  <c r="BA36" i="49" s="1"/>
  <c r="AZ37" i="50"/>
  <c r="BE88" i="53"/>
  <c r="BN86" i="54"/>
  <c r="BC90" i="53"/>
  <c r="BL88" i="54"/>
  <c r="AX29" i="50"/>
  <c r="AY38" i="49"/>
  <c r="AY39" i="49" s="1"/>
  <c r="AX31" i="50"/>
  <c r="AX37" i="13"/>
  <c r="AW15" i="48"/>
  <c r="AW41" i="13"/>
  <c r="BA44" i="48" l="1"/>
  <c r="BD82" i="53"/>
  <c r="BM78" i="54"/>
  <c r="BM81" i="54"/>
  <c r="BD79" i="53"/>
  <c r="AY40" i="49"/>
  <c r="AY37" i="13" s="1"/>
  <c r="AY38" i="13" s="1"/>
  <c r="AW12" i="51"/>
  <c r="AW45" i="13"/>
  <c r="AW48" i="13" s="1"/>
  <c r="AX39" i="50"/>
  <c r="AX38" i="13"/>
  <c r="AW23" i="48"/>
  <c r="BA37" i="50" l="1"/>
  <c r="BO86" i="54"/>
  <c r="BB41" i="48"/>
  <c r="BB43" i="48"/>
  <c r="BB32" i="49" s="1"/>
  <c r="BB36" i="49" s="1"/>
  <c r="BF88" i="53"/>
  <c r="BM88" i="54"/>
  <c r="BD90" i="53"/>
  <c r="AX15" i="48"/>
  <c r="AX41" i="13"/>
  <c r="AW16" i="51"/>
  <c r="AW42" i="50"/>
  <c r="AW44" i="50" s="1"/>
  <c r="AW46" i="50" s="1"/>
  <c r="AW19" i="47" s="1"/>
  <c r="AX47" i="13"/>
  <c r="AY41" i="49"/>
  <c r="AY15" i="48"/>
  <c r="AY23" i="48" s="1"/>
  <c r="AY41" i="13"/>
  <c r="BB44" i="48" l="1"/>
  <c r="AX12" i="51"/>
  <c r="AX45" i="13"/>
  <c r="AX48" i="13" s="1"/>
  <c r="AX23" i="48"/>
  <c r="AY45" i="13"/>
  <c r="AY12" i="51"/>
  <c r="AY16" i="51" s="1"/>
  <c r="AY31" i="50"/>
  <c r="AZ38" i="49"/>
  <c r="AZ39" i="49" s="1"/>
  <c r="AY29" i="50"/>
  <c r="BG88" i="53" l="1"/>
  <c r="BB37" i="50"/>
  <c r="BC43" i="48"/>
  <c r="BC32" i="49" s="1"/>
  <c r="BC36" i="49" s="1"/>
  <c r="BC41" i="48"/>
  <c r="BP86" i="54"/>
  <c r="AY39" i="50"/>
  <c r="AY47" i="13"/>
  <c r="AY48" i="13" s="1"/>
  <c r="AX42" i="50"/>
  <c r="AX44" i="50" s="1"/>
  <c r="AX46" i="50" s="1"/>
  <c r="AX19" i="47" s="1"/>
  <c r="BE82" i="53"/>
  <c r="BE79" i="53"/>
  <c r="AZ40" i="49"/>
  <c r="AZ37" i="13" s="1"/>
  <c r="AZ38" i="13" s="1"/>
  <c r="BN78" i="54"/>
  <c r="BN81" i="54"/>
  <c r="AX16" i="51"/>
  <c r="BC44" i="48" l="1"/>
  <c r="BC37" i="50" s="1"/>
  <c r="BE90" i="53"/>
  <c r="AZ47" i="13"/>
  <c r="AY42" i="50"/>
  <c r="AY44" i="50" s="1"/>
  <c r="AY46" i="50" s="1"/>
  <c r="AY19" i="47" s="1"/>
  <c r="AZ41" i="13"/>
  <c r="AZ15" i="48"/>
  <c r="AZ23" i="48" s="1"/>
  <c r="AZ41" i="49"/>
  <c r="BN88" i="54"/>
  <c r="BD43" i="48" l="1"/>
  <c r="BD32" i="49" s="1"/>
  <c r="BD36" i="49" s="1"/>
  <c r="BH88" i="53"/>
  <c r="BQ86" i="54"/>
  <c r="BD41" i="48"/>
  <c r="AZ31" i="50"/>
  <c r="AZ29" i="50"/>
  <c r="BA38" i="49"/>
  <c r="BA39" i="49" s="1"/>
  <c r="AZ45" i="13"/>
  <c r="AZ48" i="13" s="1"/>
  <c r="AZ12" i="51"/>
  <c r="AZ16" i="51" s="1"/>
  <c r="BD44" i="48" l="1"/>
  <c r="BD37" i="50" s="1"/>
  <c r="BF79" i="53"/>
  <c r="BO81" i="54"/>
  <c r="BA40" i="49"/>
  <c r="BA37" i="13" s="1"/>
  <c r="BA38" i="13" s="1"/>
  <c r="BO78" i="54"/>
  <c r="BF82" i="53"/>
  <c r="AZ42" i="50"/>
  <c r="AZ44" i="50" s="1"/>
  <c r="BA47" i="13"/>
  <c r="AZ39" i="50"/>
  <c r="BE43" i="48" l="1"/>
  <c r="BE32" i="49" s="1"/>
  <c r="BE36" i="49" s="1"/>
  <c r="BI88" i="53"/>
  <c r="BE41" i="48"/>
  <c r="BR86" i="54"/>
  <c r="BO88" i="54"/>
  <c r="BA41" i="49"/>
  <c r="BA41" i="13"/>
  <c r="BA15" i="48"/>
  <c r="BA23" i="48" s="1"/>
  <c r="AZ46" i="50"/>
  <c r="AZ19" i="47" s="1"/>
  <c r="BF90" i="53"/>
  <c r="BE44" i="48" l="1"/>
  <c r="BF41" i="48" s="1"/>
  <c r="BA45" i="13"/>
  <c r="BA48" i="13" s="1"/>
  <c r="BA12" i="51"/>
  <c r="BA16" i="51" s="1"/>
  <c r="BA29" i="50"/>
  <c r="BA31" i="50"/>
  <c r="BB38" i="49"/>
  <c r="BB39" i="49" s="1"/>
  <c r="BS86" i="54" l="1"/>
  <c r="BF43" i="48"/>
  <c r="BF32" i="49" s="1"/>
  <c r="BF36" i="49" s="1"/>
  <c r="BE37" i="50"/>
  <c r="BJ88" i="53"/>
  <c r="BA39" i="50"/>
  <c r="BP81" i="54"/>
  <c r="BG82" i="53"/>
  <c r="BG79" i="53"/>
  <c r="BB40" i="49"/>
  <c r="BB37" i="13" s="1"/>
  <c r="BB38" i="13" s="1"/>
  <c r="BP78" i="54"/>
  <c r="BB47" i="13"/>
  <c r="BA42" i="50"/>
  <c r="BA44" i="50" s="1"/>
  <c r="BP88" i="54" l="1"/>
  <c r="BG90" i="53"/>
  <c r="BA46" i="50"/>
  <c r="BA19" i="47" s="1"/>
  <c r="BB41" i="49"/>
  <c r="BB29" i="50" s="1"/>
  <c r="BB15" i="48"/>
  <c r="BB23" i="48" s="1"/>
  <c r="BB41" i="13"/>
  <c r="BB31" i="50" l="1"/>
  <c r="BB39" i="50" s="1"/>
  <c r="BC38" i="49"/>
  <c r="BC39" i="49" s="1"/>
  <c r="BH82" i="53" s="1"/>
  <c r="BB12" i="51"/>
  <c r="BB16" i="51" s="1"/>
  <c r="BB45" i="13"/>
  <c r="BB48" i="13" s="1"/>
  <c r="BQ81" i="54" l="1"/>
  <c r="BQ78" i="54"/>
  <c r="BC40" i="49"/>
  <c r="BC37" i="13" s="1"/>
  <c r="BC38" i="13" s="1"/>
  <c r="BC15" i="48" s="1"/>
  <c r="BC23" i="48" s="1"/>
  <c r="BH79" i="53"/>
  <c r="BH90" i="53" s="1"/>
  <c r="BC47" i="13"/>
  <c r="BB42" i="50"/>
  <c r="BB44" i="50" s="1"/>
  <c r="BB46" i="50" s="1"/>
  <c r="BB19" i="47" s="1"/>
  <c r="BQ88" i="54" l="1"/>
  <c r="BC41" i="49"/>
  <c r="BD38" i="49" s="1"/>
  <c r="BD39" i="49" s="1"/>
  <c r="BD40" i="49" s="1"/>
  <c r="BD37" i="13" s="1"/>
  <c r="BD38" i="13" s="1"/>
  <c r="BC41" i="13"/>
  <c r="BC12" i="51" s="1"/>
  <c r="BC16" i="51" s="1"/>
  <c r="BC29" i="50" l="1"/>
  <c r="BC31" i="50"/>
  <c r="BC39" i="50" s="1"/>
  <c r="BI82" i="53"/>
  <c r="BC45" i="13"/>
  <c r="BC48" i="13" s="1"/>
  <c r="BC42" i="50" s="1"/>
  <c r="BC44" i="50" s="1"/>
  <c r="BR78" i="54"/>
  <c r="BR81" i="54"/>
  <c r="BI79" i="53"/>
  <c r="BD15" i="48"/>
  <c r="BD23" i="48" s="1"/>
  <c r="BD41" i="13"/>
  <c r="BD41" i="49"/>
  <c r="BI90" i="53" l="1"/>
  <c r="BR88" i="54"/>
  <c r="BD47" i="13"/>
  <c r="BC46" i="50"/>
  <c r="BC19" i="47" s="1"/>
  <c r="BD31" i="50"/>
  <c r="BD29" i="50"/>
  <c r="BE38" i="49"/>
  <c r="BE39" i="49" s="1"/>
  <c r="BD12" i="51"/>
  <c r="BD16" i="51" s="1"/>
  <c r="BD45" i="13"/>
  <c r="BD48" i="13" l="1"/>
  <c r="BD42" i="50" s="1"/>
  <c r="BD44" i="50" s="1"/>
  <c r="BD39" i="50"/>
  <c r="BS78" i="54"/>
  <c r="BS81" i="54"/>
  <c r="BJ82" i="53"/>
  <c r="BJ79" i="53"/>
  <c r="BE40" i="49"/>
  <c r="BE37" i="13" s="1"/>
  <c r="BE38" i="13" s="1"/>
  <c r="BE47" i="13" l="1"/>
  <c r="BJ90" i="53"/>
  <c r="BD46" i="50"/>
  <c r="BD19" i="47" s="1"/>
  <c r="BS88" i="54"/>
  <c r="BE15" i="48"/>
  <c r="BE23" i="48" s="1"/>
  <c r="BE41" i="13"/>
  <c r="BE41" i="49"/>
  <c r="BE12" i="51" l="1"/>
  <c r="BE16" i="51" s="1"/>
  <c r="BE45" i="13"/>
  <c r="BE48" i="13" s="1"/>
  <c r="BE31" i="50"/>
  <c r="BF38" i="49"/>
  <c r="BF39" i="49" s="1"/>
  <c r="BE29" i="50"/>
  <c r="BE39" i="50" l="1"/>
  <c r="BT78" i="54"/>
  <c r="BT81" i="54"/>
  <c r="BK79" i="53"/>
  <c r="BF40" i="49"/>
  <c r="BF37" i="13" s="1"/>
  <c r="BF38" i="13" s="1"/>
  <c r="BK82" i="53"/>
  <c r="BF47" i="13"/>
  <c r="BE42" i="50"/>
  <c r="BE44" i="50" s="1"/>
  <c r="BE46" i="50" l="1"/>
  <c r="BE19" i="47" s="1"/>
  <c r="BF41" i="49"/>
  <c r="BG38" i="49" s="1"/>
  <c r="BF15" i="48"/>
  <c r="BF23" i="48" s="1"/>
  <c r="BF29" i="50" l="1"/>
  <c r="BF31" i="50"/>
  <c r="H31" i="50" s="1"/>
  <c r="K82" i="53" s="1"/>
  <c r="T81" i="54" s="1"/>
  <c r="BF26" i="48"/>
  <c r="BF25" i="48"/>
  <c r="H29" i="50"/>
  <c r="K81" i="54" l="1"/>
  <c r="AC81" i="54" s="1"/>
  <c r="BF28" i="48"/>
  <c r="BF30" i="48" s="1"/>
  <c r="K79" i="53"/>
  <c r="K78" i="54"/>
  <c r="BF51" i="48"/>
  <c r="H25" i="48"/>
  <c r="BF52" i="48"/>
  <c r="H52" i="48" s="1"/>
  <c r="H26" i="48"/>
  <c r="H28" i="48" l="1"/>
  <c r="BF40" i="13"/>
  <c r="BF42" i="48"/>
  <c r="H30" i="48"/>
  <c r="H51" i="48"/>
  <c r="H53" i="48" s="1"/>
  <c r="I50" i="48" s="1"/>
  <c r="BF53" i="48"/>
  <c r="BG50" i="48" s="1"/>
  <c r="BG53" i="48" s="1"/>
  <c r="BH50" i="48" s="1"/>
  <c r="BH53" i="48" s="1"/>
  <c r="BI50" i="48" s="1"/>
  <c r="BI53" i="48" s="1"/>
  <c r="BJ50" i="48" s="1"/>
  <c r="BJ53" i="48" s="1"/>
  <c r="BK50" i="48" s="1"/>
  <c r="BK53" i="48" s="1"/>
  <c r="BL50" i="48" s="1"/>
  <c r="BL53" i="48" s="1"/>
  <c r="BM50" i="48" s="1"/>
  <c r="BM53" i="48" s="1"/>
  <c r="BN50" i="48" s="1"/>
  <c r="BN53" i="48" s="1"/>
  <c r="BO50" i="48" s="1"/>
  <c r="BO53" i="48" s="1"/>
  <c r="BP50" i="48" s="1"/>
  <c r="BP53" i="48" s="1"/>
  <c r="BQ50" i="48" s="1"/>
  <c r="BQ53" i="48" s="1"/>
  <c r="BR50" i="48" s="1"/>
  <c r="K79" i="54"/>
  <c r="K80" i="53"/>
  <c r="T78" i="54"/>
  <c r="AC78" i="54" s="1"/>
  <c r="T79" i="54" l="1"/>
  <c r="AC79" i="54" s="1"/>
  <c r="H42" i="48"/>
  <c r="BF44" i="48"/>
  <c r="H40" i="13"/>
  <c r="BF41" i="13"/>
  <c r="BF45" i="13" l="1"/>
  <c r="BF48" i="13" s="1"/>
  <c r="BF12" i="51"/>
  <c r="BF16" i="51" s="1"/>
  <c r="K40" i="53"/>
  <c r="T41" i="54" s="1"/>
  <c r="K41" i="54"/>
  <c r="BK88" i="53"/>
  <c r="BK90" i="53" s="1"/>
  <c r="BG41" i="48"/>
  <c r="BG43" i="48"/>
  <c r="BT86" i="54"/>
  <c r="BT88" i="54" s="1"/>
  <c r="BF37" i="50"/>
  <c r="AC41" i="54" l="1"/>
  <c r="BG44" i="48"/>
  <c r="BL88" i="53" s="1"/>
  <c r="BG32" i="49"/>
  <c r="H37" i="50"/>
  <c r="BF39" i="50"/>
  <c r="BG47" i="13"/>
  <c r="BF42" i="50"/>
  <c r="BH43" i="48" l="1"/>
  <c r="BH32" i="49" s="1"/>
  <c r="BH36" i="49" s="1"/>
  <c r="BH41" i="48"/>
  <c r="BU86" i="54"/>
  <c r="BG37" i="50"/>
  <c r="BG36" i="49"/>
  <c r="BG39" i="49" s="1"/>
  <c r="K88" i="53"/>
  <c r="K86" i="54"/>
  <c r="K88" i="54" s="1"/>
  <c r="H39" i="50"/>
  <c r="BF44" i="50"/>
  <c r="BF46" i="50" s="1"/>
  <c r="BF19" i="47" s="1"/>
  <c r="H42" i="50"/>
  <c r="BH44" i="48" l="1"/>
  <c r="BM88" i="53" s="1"/>
  <c r="T86" i="54"/>
  <c r="AC86" i="54" s="1"/>
  <c r="K28" i="59"/>
  <c r="K90" i="53"/>
  <c r="K27" i="59"/>
  <c r="K26" i="59"/>
  <c r="BU81" i="54"/>
  <c r="BU78" i="54"/>
  <c r="BL79" i="53"/>
  <c r="BL82" i="53"/>
  <c r="BG40" i="49"/>
  <c r="BG41" i="49" s="1"/>
  <c r="K91" i="54"/>
  <c r="K93" i="54" s="1"/>
  <c r="K93" i="53"/>
  <c r="H44" i="50"/>
  <c r="H46" i="50" s="1"/>
  <c r="H19" i="47" s="1"/>
  <c r="BI41" i="48" l="1"/>
  <c r="BV86" i="54"/>
  <c r="BH37" i="50"/>
  <c r="BI43" i="48"/>
  <c r="BI32" i="49" s="1"/>
  <c r="BU88" i="54"/>
  <c r="BG31" i="50"/>
  <c r="BH38" i="49"/>
  <c r="BH39" i="49" s="1"/>
  <c r="BG29" i="50"/>
  <c r="BG37" i="13"/>
  <c r="K138" i="53"/>
  <c r="T88" i="54"/>
  <c r="AC88" i="54" s="1"/>
  <c r="T91" i="54"/>
  <c r="AC91" i="54" s="1"/>
  <c r="K95" i="53"/>
  <c r="T93" i="54" s="1"/>
  <c r="AC93" i="54" s="1"/>
  <c r="BL90" i="53"/>
  <c r="BI44" i="48" l="1"/>
  <c r="BN88" i="53" s="1"/>
  <c r="BG39" i="50"/>
  <c r="BI36" i="49"/>
  <c r="BG38" i="13"/>
  <c r="BM82" i="53"/>
  <c r="BV81" i="54"/>
  <c r="BV78" i="54"/>
  <c r="BM79" i="53"/>
  <c r="BH40" i="49"/>
  <c r="BW86" i="54" l="1"/>
  <c r="BJ43" i="48"/>
  <c r="BJ32" i="49" s="1"/>
  <c r="BJ36" i="49" s="1"/>
  <c r="BI37" i="50"/>
  <c r="BJ41" i="48"/>
  <c r="BV88" i="54"/>
  <c r="BM90" i="53"/>
  <c r="BH37" i="13"/>
  <c r="BH41" i="49"/>
  <c r="BG41" i="13"/>
  <c r="BG15" i="48"/>
  <c r="BJ44" i="48" l="1"/>
  <c r="BJ37" i="50" s="1"/>
  <c r="BG23" i="48"/>
  <c r="BG45" i="13"/>
  <c r="BG48" i="13" s="1"/>
  <c r="BG12" i="51"/>
  <c r="BH29" i="50"/>
  <c r="BI38" i="49"/>
  <c r="BI39" i="49" s="1"/>
  <c r="BH31" i="50"/>
  <c r="BH38" i="13"/>
  <c r="BX86" i="54" l="1"/>
  <c r="BK41" i="48"/>
  <c r="BK43" i="48"/>
  <c r="BK32" i="49" s="1"/>
  <c r="BK36" i="49" s="1"/>
  <c r="BO88" i="53"/>
  <c r="BH39" i="50"/>
  <c r="BH15" i="48"/>
  <c r="BH41" i="13"/>
  <c r="BN82" i="53"/>
  <c r="BW81" i="54"/>
  <c r="BW78" i="54"/>
  <c r="BI40" i="49"/>
  <c r="BI41" i="49" s="1"/>
  <c r="BN79" i="53"/>
  <c r="BG16" i="51"/>
  <c r="BH47" i="13"/>
  <c r="BG42" i="50"/>
  <c r="BG44" i="50" s="1"/>
  <c r="BG46" i="50" s="1"/>
  <c r="BG19" i="47" s="1"/>
  <c r="BK44" i="48" l="1"/>
  <c r="BY86" i="54" s="1"/>
  <c r="BN90" i="53"/>
  <c r="BH45" i="13"/>
  <c r="BH48" i="13" s="1"/>
  <c r="BH12" i="51"/>
  <c r="BH23" i="48"/>
  <c r="BI37" i="13"/>
  <c r="BJ38" i="49"/>
  <c r="BJ39" i="49" s="1"/>
  <c r="BI31" i="50"/>
  <c r="BI29" i="50"/>
  <c r="BW88" i="54"/>
  <c r="BL43" i="48" l="1"/>
  <c r="BL32" i="49" s="1"/>
  <c r="BL36" i="49" s="1"/>
  <c r="BL41" i="48"/>
  <c r="BK37" i="50"/>
  <c r="BP88" i="53"/>
  <c r="BI39" i="50"/>
  <c r="BH16" i="51"/>
  <c r="BH42" i="50"/>
  <c r="BH44" i="50" s="1"/>
  <c r="BH46" i="50" s="1"/>
  <c r="BH19" i="47" s="1"/>
  <c r="BI47" i="13"/>
  <c r="BX81" i="54"/>
  <c r="BO79" i="53"/>
  <c r="BJ40" i="49"/>
  <c r="BX78" i="54"/>
  <c r="BO82" i="53"/>
  <c r="BI38" i="13"/>
  <c r="BL44" i="48" l="1"/>
  <c r="BM41" i="48" s="1"/>
  <c r="BX88" i="54"/>
  <c r="BO90" i="53"/>
  <c r="BI15" i="48"/>
  <c r="BI41" i="13"/>
  <c r="BJ37" i="13"/>
  <c r="BJ41" i="49"/>
  <c r="BQ88" i="53" l="1"/>
  <c r="BZ86" i="54"/>
  <c r="BM43" i="48"/>
  <c r="BM32" i="49" s="1"/>
  <c r="BM36" i="49" s="1"/>
  <c r="BL37" i="50"/>
  <c r="BJ29" i="50"/>
  <c r="BK38" i="49"/>
  <c r="BK39" i="49" s="1"/>
  <c r="BJ31" i="50"/>
  <c r="BI12" i="51"/>
  <c r="BI45" i="13"/>
  <c r="BI48" i="13" s="1"/>
  <c r="BJ38" i="13"/>
  <c r="BI23" i="48"/>
  <c r="BM44" i="48" l="1"/>
  <c r="BM37" i="50" s="1"/>
  <c r="BJ47" i="13"/>
  <c r="BI42" i="50"/>
  <c r="BI44" i="50" s="1"/>
  <c r="BI46" i="50" s="1"/>
  <c r="BI19" i="47" s="1"/>
  <c r="BI16" i="51"/>
  <c r="BJ15" i="48"/>
  <c r="BJ41" i="13"/>
  <c r="BP79" i="53"/>
  <c r="BY78" i="54"/>
  <c r="BP82" i="53"/>
  <c r="BY81" i="54"/>
  <c r="BK40" i="49"/>
  <c r="BK37" i="13" s="1"/>
  <c r="BK38" i="13" s="1"/>
  <c r="BJ39" i="50"/>
  <c r="BN41" i="48" l="1"/>
  <c r="CA86" i="54"/>
  <c r="BR88" i="53"/>
  <c r="BN43" i="48"/>
  <c r="BN32" i="49" s="1"/>
  <c r="BN36" i="49" s="1"/>
  <c r="BK41" i="49"/>
  <c r="BL38" i="49" s="1"/>
  <c r="BL39" i="49" s="1"/>
  <c r="BP90" i="53"/>
  <c r="BJ12" i="51"/>
  <c r="BJ45" i="13"/>
  <c r="BJ48" i="13" s="1"/>
  <c r="BY88" i="54"/>
  <c r="BJ23" i="48"/>
  <c r="BK41" i="13"/>
  <c r="BK15" i="48"/>
  <c r="BK23" i="48" s="1"/>
  <c r="BN44" i="48" l="1"/>
  <c r="BO43" i="48" s="1"/>
  <c r="BO32" i="49" s="1"/>
  <c r="BO36" i="49" s="1"/>
  <c r="BK31" i="50"/>
  <c r="BK29" i="50"/>
  <c r="BK45" i="13"/>
  <c r="BK12" i="51"/>
  <c r="BK16" i="51" s="1"/>
  <c r="E43" i="48"/>
  <c r="E44" i="48" s="1"/>
  <c r="F41" i="48" s="1"/>
  <c r="F43" i="48"/>
  <c r="G43" i="48"/>
  <c r="H43" i="48"/>
  <c r="BK47" i="13"/>
  <c r="BJ42" i="50"/>
  <c r="BJ44" i="50" s="1"/>
  <c r="BJ46" i="50" s="1"/>
  <c r="BJ19" i="47" s="1"/>
  <c r="BJ16" i="51"/>
  <c r="BZ81" i="54"/>
  <c r="BZ78" i="54"/>
  <c r="BL40" i="49"/>
  <c r="BL37" i="13" s="1"/>
  <c r="BL38" i="13" s="1"/>
  <c r="BQ82" i="53"/>
  <c r="BQ79" i="53"/>
  <c r="CB86" i="54" l="1"/>
  <c r="BS88" i="53"/>
  <c r="BN37" i="50"/>
  <c r="BO41" i="48"/>
  <c r="BO44" i="48" s="1"/>
  <c r="BP41" i="48" s="1"/>
  <c r="BZ88" i="54"/>
  <c r="BK39" i="50"/>
  <c r="F44" i="48"/>
  <c r="G41" i="48" s="1"/>
  <c r="G44" i="48" s="1"/>
  <c r="H41" i="48" s="1"/>
  <c r="H44" i="48" s="1"/>
  <c r="I41" i="48" s="1"/>
  <c r="BQ90" i="53"/>
  <c r="BL41" i="49"/>
  <c r="BM38" i="49" s="1"/>
  <c r="BM39" i="49" s="1"/>
  <c r="E32" i="49"/>
  <c r="E36" i="49" s="1"/>
  <c r="E39" i="49" s="1"/>
  <c r="F32" i="49"/>
  <c r="G32" i="49"/>
  <c r="H32" i="49"/>
  <c r="BL41" i="13"/>
  <c r="BL15" i="48"/>
  <c r="BL23" i="48" s="1"/>
  <c r="BK48" i="13"/>
  <c r="BT88" i="53" l="1"/>
  <c r="BO37" i="50"/>
  <c r="CC86" i="54"/>
  <c r="BP43" i="48"/>
  <c r="BP32" i="49" s="1"/>
  <c r="BP36" i="49" s="1"/>
  <c r="BL29" i="50"/>
  <c r="BL31" i="50"/>
  <c r="I116" i="54"/>
  <c r="I120" i="54" s="1"/>
  <c r="I120" i="53"/>
  <c r="F36" i="49"/>
  <c r="H120" i="53"/>
  <c r="H116" i="54"/>
  <c r="H120" i="54" s="1"/>
  <c r="J120" i="53"/>
  <c r="J116" i="54"/>
  <c r="J120" i="54" s="1"/>
  <c r="G36" i="49"/>
  <c r="BL47" i="13"/>
  <c r="BK42" i="50"/>
  <c r="BK44" i="50" s="1"/>
  <c r="BK46" i="50" s="1"/>
  <c r="BK19" i="47" s="1"/>
  <c r="BL12" i="51"/>
  <c r="BL16" i="51" s="1"/>
  <c r="BL45" i="13"/>
  <c r="K120" i="53"/>
  <c r="K116" i="54"/>
  <c r="K120" i="54" s="1"/>
  <c r="H36" i="49"/>
  <c r="BR82" i="53"/>
  <c r="CA78" i="54"/>
  <c r="CA81" i="54"/>
  <c r="BR79" i="53"/>
  <c r="BM40" i="49"/>
  <c r="BM37" i="13" s="1"/>
  <c r="BM38" i="13" s="1"/>
  <c r="BP44" i="48" l="1"/>
  <c r="BQ43" i="48" s="1"/>
  <c r="BQ32" i="49" s="1"/>
  <c r="BQ36" i="49" s="1"/>
  <c r="BL39" i="50"/>
  <c r="BR90" i="53"/>
  <c r="H128" i="54"/>
  <c r="H123" i="54"/>
  <c r="BM41" i="13"/>
  <c r="BM15" i="48"/>
  <c r="BM23" i="48" s="1"/>
  <c r="J128" i="54"/>
  <c r="Q116" i="54"/>
  <c r="Z116" i="54" s="1"/>
  <c r="H124" i="53"/>
  <c r="S116" i="54"/>
  <c r="AB116" i="54" s="1"/>
  <c r="J124" i="53"/>
  <c r="CA88" i="54"/>
  <c r="R116" i="54"/>
  <c r="AA116" i="54" s="1"/>
  <c r="I124" i="53"/>
  <c r="BL48" i="13"/>
  <c r="I128" i="54"/>
  <c r="K128" i="54"/>
  <c r="T116" i="54"/>
  <c r="AC116" i="54" s="1"/>
  <c r="K124" i="53"/>
  <c r="BM41" i="49"/>
  <c r="BP37" i="50" l="1"/>
  <c r="CD86" i="54"/>
  <c r="BQ41" i="48"/>
  <c r="BQ44" i="48" s="1"/>
  <c r="BV88" i="53" s="1"/>
  <c r="BU88" i="53"/>
  <c r="BM47" i="13"/>
  <c r="BL42" i="50"/>
  <c r="BL44" i="50" s="1"/>
  <c r="BL46" i="50" s="1"/>
  <c r="BL19" i="47" s="1"/>
  <c r="S120" i="54"/>
  <c r="AB120" i="54" s="1"/>
  <c r="J132" i="53"/>
  <c r="S128" i="54" s="1"/>
  <c r="AB128" i="54" s="1"/>
  <c r="J139" i="53"/>
  <c r="BM29" i="50"/>
  <c r="BM31" i="50"/>
  <c r="BN38" i="49"/>
  <c r="BN39" i="49" s="1"/>
  <c r="K132" i="53"/>
  <c r="T128" i="54" s="1"/>
  <c r="AC128" i="54" s="1"/>
  <c r="T120" i="54"/>
  <c r="AC120" i="54" s="1"/>
  <c r="K139" i="53"/>
  <c r="BM12" i="51"/>
  <c r="BM16" i="51" s="1"/>
  <c r="BM45" i="13"/>
  <c r="H127" i="53"/>
  <c r="Q120" i="54"/>
  <c r="Z120" i="54" s="1"/>
  <c r="H132" i="53"/>
  <c r="Q128" i="54" s="1"/>
  <c r="Z128" i="54" s="1"/>
  <c r="H139" i="53"/>
  <c r="I139" i="53"/>
  <c r="R120" i="54"/>
  <c r="AA120" i="54" s="1"/>
  <c r="I132" i="53"/>
  <c r="R128" i="54" s="1"/>
  <c r="AA128" i="54" s="1"/>
  <c r="BQ37" i="50" l="1"/>
  <c r="CE86" i="54"/>
  <c r="BR41" i="48"/>
  <c r="BR43" i="48"/>
  <c r="BM48" i="13"/>
  <c r="BN47" i="13" s="1"/>
  <c r="BM39" i="50"/>
  <c r="Q123" i="54"/>
  <c r="BS79" i="53"/>
  <c r="BS82" i="53"/>
  <c r="CB78" i="54"/>
  <c r="CB81" i="54"/>
  <c r="BN40" i="49"/>
  <c r="BN37" i="13" s="1"/>
  <c r="BN38" i="13" s="1"/>
  <c r="BR32" i="49" l="1"/>
  <c r="I43" i="48"/>
  <c r="BM42" i="50"/>
  <c r="BM44" i="50" s="1"/>
  <c r="BM46" i="50" s="1"/>
  <c r="BM19" i="47" s="1"/>
  <c r="CB88" i="54"/>
  <c r="BN41" i="49"/>
  <c r="BN15" i="48"/>
  <c r="BN23" i="48" s="1"/>
  <c r="BN41" i="13"/>
  <c r="BS90" i="53"/>
  <c r="BR36" i="49" l="1"/>
  <c r="I32" i="49"/>
  <c r="BN12" i="51"/>
  <c r="BN16" i="51" s="1"/>
  <c r="BN45" i="13"/>
  <c r="BN48" i="13" s="1"/>
  <c r="BN29" i="50"/>
  <c r="BN31" i="50"/>
  <c r="BO38" i="49"/>
  <c r="BO39" i="49" s="1"/>
  <c r="L116" i="54" l="1"/>
  <c r="L120" i="54" s="1"/>
  <c r="L128" i="54" s="1"/>
  <c r="I36" i="49"/>
  <c r="L120" i="53"/>
  <c r="BT79" i="53"/>
  <c r="CC78" i="54"/>
  <c r="BO40" i="49"/>
  <c r="BO37" i="13" s="1"/>
  <c r="BO38" i="13" s="1"/>
  <c r="CC81" i="54"/>
  <c r="BT82" i="53"/>
  <c r="BN42" i="50"/>
  <c r="BN44" i="50" s="1"/>
  <c r="BO47" i="13"/>
  <c r="BN39" i="50"/>
  <c r="L124" i="53" l="1"/>
  <c r="U116" i="54"/>
  <c r="AD116" i="54" s="1"/>
  <c r="BO41" i="49"/>
  <c r="BO29" i="50" s="1"/>
  <c r="BN46" i="50"/>
  <c r="BN19" i="47" s="1"/>
  <c r="BO41" i="13"/>
  <c r="BO15" i="48"/>
  <c r="BO23" i="48" s="1"/>
  <c r="CC88" i="54"/>
  <c r="BT90" i="53"/>
  <c r="L132" i="53" l="1"/>
  <c r="U128" i="54" s="1"/>
  <c r="AD128" i="54" s="1"/>
  <c r="L139" i="53"/>
  <c r="U120" i="54"/>
  <c r="AD120" i="54" s="1"/>
  <c r="BO31" i="50"/>
  <c r="BO39" i="50" s="1"/>
  <c r="BP38" i="49"/>
  <c r="BP39" i="49" s="1"/>
  <c r="BU82" i="53" s="1"/>
  <c r="BO12" i="51"/>
  <c r="BO16" i="51" s="1"/>
  <c r="BO45" i="13"/>
  <c r="BO48" i="13" s="1"/>
  <c r="BP40" i="49" l="1"/>
  <c r="BP37" i="13" s="1"/>
  <c r="BP38" i="13" s="1"/>
  <c r="BP41" i="13" s="1"/>
  <c r="BU79" i="53"/>
  <c r="BU90" i="53" s="1"/>
  <c r="CD81" i="54"/>
  <c r="CD78" i="54"/>
  <c r="BP47" i="13"/>
  <c r="BO42" i="50"/>
  <c r="BO44" i="50" s="1"/>
  <c r="BO46" i="50" s="1"/>
  <c r="BO19" i="47" s="1"/>
  <c r="BP15" i="48" l="1"/>
  <c r="BP23" i="48" s="1"/>
  <c r="BP41" i="49"/>
  <c r="BQ38" i="49" s="1"/>
  <c r="BQ39" i="49" s="1"/>
  <c r="BQ40" i="49" s="1"/>
  <c r="BQ37" i="13" s="1"/>
  <c r="BQ38" i="13" s="1"/>
  <c r="CD88" i="54"/>
  <c r="BP12" i="51"/>
  <c r="BP16" i="51" s="1"/>
  <c r="BP45" i="13"/>
  <c r="BP48" i="13" s="1"/>
  <c r="CE81" i="54" l="1"/>
  <c r="BV82" i="53"/>
  <c r="BP31" i="50"/>
  <c r="CE78" i="54"/>
  <c r="BV79" i="53"/>
  <c r="BP29" i="50"/>
  <c r="BQ41" i="13"/>
  <c r="BQ15" i="48"/>
  <c r="BQ23" i="48" s="1"/>
  <c r="BQ41" i="49"/>
  <c r="BQ47" i="13"/>
  <c r="BP42" i="50"/>
  <c r="BP44" i="50" s="1"/>
  <c r="CE88" i="54" l="1"/>
  <c r="BV90" i="53"/>
  <c r="BP39" i="50"/>
  <c r="BP46" i="50" s="1"/>
  <c r="BP19" i="47" s="1"/>
  <c r="BQ31" i="50"/>
  <c r="BR38" i="49"/>
  <c r="BR39" i="49" s="1"/>
  <c r="BQ29" i="50"/>
  <c r="BQ45" i="13"/>
  <c r="BQ48" i="13" s="1"/>
  <c r="BQ12" i="51"/>
  <c r="BQ16" i="51" s="1"/>
  <c r="BQ39" i="50" l="1"/>
  <c r="BQ42" i="50"/>
  <c r="BQ44" i="50" s="1"/>
  <c r="BR47" i="13"/>
  <c r="BW82" i="53"/>
  <c r="CF78" i="54"/>
  <c r="BR40" i="49"/>
  <c r="E40" i="49" s="1"/>
  <c r="E41" i="49" s="1"/>
  <c r="CF81" i="54"/>
  <c r="BW79" i="53"/>
  <c r="BR41" i="49" l="1"/>
  <c r="BQ46" i="50"/>
  <c r="BQ19" i="47" s="1"/>
  <c r="BR31" i="50"/>
  <c r="I31" i="50" s="1"/>
  <c r="BR29" i="50"/>
  <c r="BR37" i="13"/>
  <c r="F40" i="49"/>
  <c r="I128" i="53" s="1"/>
  <c r="I124" i="54" s="1"/>
  <c r="G40" i="49"/>
  <c r="J128" i="53" s="1"/>
  <c r="J124" i="54" s="1"/>
  <c r="H40" i="49"/>
  <c r="K128" i="53" s="1"/>
  <c r="K124" i="54" s="1"/>
  <c r="I40" i="49"/>
  <c r="L128" i="53" s="1"/>
  <c r="L124" i="54" s="1"/>
  <c r="E37" i="13" l="1"/>
  <c r="F37" i="13"/>
  <c r="BR38" i="13"/>
  <c r="G37" i="13"/>
  <c r="H37" i="13"/>
  <c r="I37" i="13"/>
  <c r="H128" i="53"/>
  <c r="F38" i="49"/>
  <c r="F39" i="49" s="1"/>
  <c r="I29" i="50"/>
  <c r="L81" i="54"/>
  <c r="L82" i="53"/>
  <c r="U81" i="54" s="1"/>
  <c r="AD81" i="54" l="1"/>
  <c r="I122" i="54"/>
  <c r="I123" i="54" s="1"/>
  <c r="I126" i="53"/>
  <c r="F41" i="49"/>
  <c r="G38" i="49" s="1"/>
  <c r="L38" i="54"/>
  <c r="L39" i="54" s="1"/>
  <c r="L37" i="53"/>
  <c r="I38" i="13"/>
  <c r="L79" i="53"/>
  <c r="L78" i="54"/>
  <c r="H124" i="54"/>
  <c r="H129" i="53"/>
  <c r="H125" i="54" s="1"/>
  <c r="J38" i="54"/>
  <c r="J39" i="54" s="1"/>
  <c r="J42" i="54" s="1"/>
  <c r="J46" i="54" s="1"/>
  <c r="J37" i="53"/>
  <c r="G38" i="13"/>
  <c r="G41" i="13" s="1"/>
  <c r="G45" i="13" s="1"/>
  <c r="K38" i="54"/>
  <c r="K39" i="54" s="1"/>
  <c r="K42" i="54" s="1"/>
  <c r="K46" i="54" s="1"/>
  <c r="K37" i="53"/>
  <c r="H38" i="13"/>
  <c r="H41" i="13" s="1"/>
  <c r="H45" i="13" s="1"/>
  <c r="BR15" i="48"/>
  <c r="I37" i="53"/>
  <c r="I38" i="54"/>
  <c r="I39" i="54" s="1"/>
  <c r="I42" i="54" s="1"/>
  <c r="I46" i="54" s="1"/>
  <c r="F38" i="13"/>
  <c r="F41" i="13" s="1"/>
  <c r="F45" i="13" s="1"/>
  <c r="H38" i="54"/>
  <c r="H39" i="54" s="1"/>
  <c r="H42" i="54" s="1"/>
  <c r="H46" i="54" s="1"/>
  <c r="H37" i="53"/>
  <c r="E38" i="13"/>
  <c r="E41" i="13" s="1"/>
  <c r="E45" i="13" s="1"/>
  <c r="E48" i="13" s="1"/>
  <c r="F47" i="13" s="1"/>
  <c r="Q38" i="54" l="1"/>
  <c r="Q39" i="54" s="1"/>
  <c r="Z39" i="54" s="1"/>
  <c r="H38" i="53"/>
  <c r="H41" i="53" s="1"/>
  <c r="T38" i="54"/>
  <c r="T39" i="54" s="1"/>
  <c r="AC39" i="54" s="1"/>
  <c r="K38" i="53"/>
  <c r="K41" i="53" s="1"/>
  <c r="L79" i="54"/>
  <c r="L80" i="53"/>
  <c r="U78" i="54"/>
  <c r="AD78" i="54" s="1"/>
  <c r="S38" i="54"/>
  <c r="S39" i="54" s="1"/>
  <c r="AB39" i="54" s="1"/>
  <c r="J38" i="53"/>
  <c r="J41" i="53" s="1"/>
  <c r="U38" i="54"/>
  <c r="U39" i="54" s="1"/>
  <c r="AD39" i="54" s="1"/>
  <c r="L38" i="53"/>
  <c r="F48" i="13"/>
  <c r="G47" i="13" s="1"/>
  <c r="G48" i="13" s="1"/>
  <c r="H47" i="13" s="1"/>
  <c r="H48" i="13" s="1"/>
  <c r="I47" i="13" s="1"/>
  <c r="J122" i="54"/>
  <c r="J123" i="54" s="1"/>
  <c r="J126" i="53"/>
  <c r="G39" i="49"/>
  <c r="G41" i="49" s="1"/>
  <c r="H38" i="49" s="1"/>
  <c r="R38" i="54"/>
  <c r="R39" i="54" s="1"/>
  <c r="AA39" i="54" s="1"/>
  <c r="I38" i="53"/>
  <c r="I41" i="53" s="1"/>
  <c r="BR23" i="48"/>
  <c r="F15" i="48"/>
  <c r="G15" i="48"/>
  <c r="H15" i="48"/>
  <c r="I15" i="48"/>
  <c r="R122" i="54"/>
  <c r="I127" i="53"/>
  <c r="I45" i="53" l="1"/>
  <c r="R42" i="54"/>
  <c r="AA42" i="54" s="1"/>
  <c r="J45" i="53"/>
  <c r="S42" i="54"/>
  <c r="AB42" i="54" s="1"/>
  <c r="U79" i="54"/>
  <c r="AD79" i="54" s="1"/>
  <c r="S122" i="54"/>
  <c r="J127" i="53"/>
  <c r="T42" i="54"/>
  <c r="AC42" i="54" s="1"/>
  <c r="K45" i="53"/>
  <c r="H45" i="53"/>
  <c r="Q42" i="54"/>
  <c r="Z42" i="54" s="1"/>
  <c r="R123" i="54"/>
  <c r="I129" i="53"/>
  <c r="I125" i="54" s="1"/>
  <c r="K126" i="53"/>
  <c r="K122" i="54"/>
  <c r="K123" i="54" s="1"/>
  <c r="H39" i="49"/>
  <c r="H41" i="49" s="1"/>
  <c r="I38" i="49" s="1"/>
  <c r="F23" i="48"/>
  <c r="G23" i="48"/>
  <c r="H23" i="48"/>
  <c r="I23" i="48"/>
  <c r="BR25" i="48"/>
  <c r="BR26" i="48"/>
  <c r="BR28" i="48" l="1"/>
  <c r="BR30" i="48" s="1"/>
  <c r="BR52" i="48"/>
  <c r="I52" i="48" s="1"/>
  <c r="I26" i="48"/>
  <c r="J129" i="53"/>
  <c r="J125" i="54" s="1"/>
  <c r="S123" i="54"/>
  <c r="T122" i="54"/>
  <c r="K127" i="53"/>
  <c r="BR51" i="48"/>
  <c r="I25" i="48"/>
  <c r="H137" i="53"/>
  <c r="Q46" i="54"/>
  <c r="Z46" i="54" s="1"/>
  <c r="J137" i="53"/>
  <c r="S46" i="54"/>
  <c r="AB46" i="54" s="1"/>
  <c r="T46" i="54"/>
  <c r="AC46" i="54" s="1"/>
  <c r="K137" i="53"/>
  <c r="L122" i="54"/>
  <c r="L123" i="54" s="1"/>
  <c r="L126" i="53"/>
  <c r="I39" i="49"/>
  <c r="I41" i="49" s="1"/>
  <c r="I137" i="53"/>
  <c r="R46" i="54"/>
  <c r="AA46" i="54" s="1"/>
  <c r="I28" i="48" l="1"/>
  <c r="U122" i="54"/>
  <c r="L127" i="53"/>
  <c r="BR40" i="13"/>
  <c r="BR42" i="48"/>
  <c r="I30" i="48"/>
  <c r="T123" i="54"/>
  <c r="K129" i="53"/>
  <c r="K125" i="54" s="1"/>
  <c r="I51" i="48"/>
  <c r="I53" i="48" s="1"/>
  <c r="BR53" i="48"/>
  <c r="I42" i="48" l="1"/>
  <c r="I44" i="48" s="1"/>
  <c r="BR44" i="48"/>
  <c r="I40" i="13"/>
  <c r="BR41" i="13"/>
  <c r="U123" i="54"/>
  <c r="L129" i="53"/>
  <c r="L125" i="54" s="1"/>
  <c r="BR12" i="51" l="1"/>
  <c r="BR45" i="13"/>
  <c r="BR48" i="13" s="1"/>
  <c r="BR42" i="50" s="1"/>
  <c r="L41" i="54"/>
  <c r="L42" i="54" s="1"/>
  <c r="L46" i="54" s="1"/>
  <c r="L40" i="53"/>
  <c r="I41" i="13"/>
  <c r="I45" i="13" s="1"/>
  <c r="I48" i="13" s="1"/>
  <c r="BW88" i="53"/>
  <c r="BW90" i="53" s="1"/>
  <c r="BR37" i="50"/>
  <c r="CF86" i="54"/>
  <c r="CF88" i="54" s="1"/>
  <c r="I37" i="50" l="1"/>
  <c r="BR39" i="50"/>
  <c r="BR44" i="50"/>
  <c r="I42" i="50"/>
  <c r="U41" i="54"/>
  <c r="AD41" i="54" s="1"/>
  <c r="L41" i="53"/>
  <c r="BR16" i="51"/>
  <c r="F12" i="51"/>
  <c r="G12" i="51"/>
  <c r="H12" i="51"/>
  <c r="I12" i="51"/>
  <c r="BR46" i="50" l="1"/>
  <c r="BR19" i="47" s="1"/>
  <c r="F16" i="51"/>
  <c r="G16" i="51"/>
  <c r="H16" i="51"/>
  <c r="I16" i="51"/>
  <c r="U42" i="54"/>
  <c r="AD42" i="54" s="1"/>
  <c r="L45" i="53"/>
  <c r="L93" i="53"/>
  <c r="L91" i="54"/>
  <c r="L93" i="54" s="1"/>
  <c r="I44" i="50"/>
  <c r="L88" i="53"/>
  <c r="L86" i="54"/>
  <c r="L88" i="54" s="1"/>
  <c r="I39" i="50"/>
  <c r="I46" i="50" l="1"/>
  <c r="I19" i="47" s="1"/>
  <c r="C19" i="47" s="1"/>
  <c r="C12" i="47" s="1"/>
  <c r="U91" i="54"/>
  <c r="AD91" i="54" s="1"/>
  <c r="L95" i="53"/>
  <c r="U93" i="54" s="1"/>
  <c r="AD93" i="54" s="1"/>
  <c r="U86" i="54"/>
  <c r="AD86" i="54" s="1"/>
  <c r="L27" i="59"/>
  <c r="L90" i="53"/>
  <c r="L28" i="59"/>
  <c r="L26" i="59"/>
  <c r="L137" i="53"/>
  <c r="U46" i="54"/>
  <c r="AD46" i="54" s="1"/>
  <c r="L138" i="53" l="1"/>
  <c r="U88" i="54"/>
  <c r="AD88" i="54" s="1"/>
  <c r="B8" i="59"/>
  <c r="B8" i="13"/>
  <c r="B8" i="2"/>
  <c r="B8" i="53"/>
  <c r="B8" i="51"/>
  <c r="B8" i="54"/>
  <c r="B8" i="1"/>
  <c r="B8" i="56"/>
  <c r="B8" i="9"/>
  <c r="B8" i="42"/>
  <c r="B8" i="44"/>
  <c r="B8" i="48"/>
  <c r="B8" i="57"/>
  <c r="B8" i="50"/>
  <c r="B8" i="49"/>
  <c r="B8" i="47"/>
  <c r="B8" i="5"/>
  <c r="B8" i="11"/>
  <c r="B8" i="7"/>
  <c r="B8" i="55"/>
  <c r="B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Sherfield</author>
    <author>David Bartram</author>
  </authors>
  <commentList>
    <comment ref="F86" authorId="0" shapeId="0" xr:uid="{00000000-0006-0000-0800-000001000000}">
      <text>
        <r>
          <rPr>
            <b/>
            <sz val="8"/>
            <color indexed="81"/>
            <rFont val="Tahoma"/>
            <family val="2"/>
          </rPr>
          <t>Daniel Sherfield:</t>
        </r>
        <r>
          <rPr>
            <sz val="8"/>
            <color indexed="81"/>
            <rFont val="Tahoma"/>
            <family val="2"/>
          </rPr>
          <t xml:space="preserve">
Show this within closing balance sheet below</t>
        </r>
      </text>
    </comment>
    <comment ref="F98" authorId="1" shapeId="0" xr:uid="{00000000-0006-0000-0800-000002000000}">
      <text>
        <r>
          <rPr>
            <b/>
            <sz val="9"/>
            <color indexed="81"/>
            <rFont val="Tahoma"/>
            <family val="2"/>
          </rPr>
          <t>David Bartram:</t>
        </r>
        <r>
          <rPr>
            <sz val="9"/>
            <color indexed="81"/>
            <rFont val="Tahoma"/>
            <family val="2"/>
          </rPr>
          <t xml:space="preserve">
Must be last day of the month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unltd-user</author>
  </authors>
  <commentList>
    <comment ref="A6" authorId="0" shapeId="0" xr:uid="{00000000-0006-0000-2300-000001000000}">
      <text>
        <r>
          <rPr>
            <b/>
            <sz val="8"/>
            <color indexed="81"/>
            <rFont val="Tahoma"/>
            <family val="2"/>
          </rPr>
          <t xml:space="preserve">
Current Assets/Current Liabilities</t>
        </r>
      </text>
    </comment>
    <comment ref="A7" authorId="0" shapeId="0" xr:uid="{00000000-0006-0000-2300-000002000000}">
      <text>
        <r>
          <rPr>
            <sz val="8"/>
            <color indexed="81"/>
            <rFont val="Tahoma"/>
            <family val="2"/>
          </rPr>
          <t xml:space="preserve">
</t>
        </r>
        <r>
          <rPr>
            <b/>
            <sz val="8"/>
            <color indexed="81"/>
            <rFont val="Tahoma"/>
            <family val="2"/>
          </rPr>
          <t>Cash &amp; Equivalents+Short Term Investments(Not inc.)+Debtors/Current Liabilities</t>
        </r>
        <r>
          <rPr>
            <sz val="8"/>
            <color indexed="81"/>
            <rFont val="Tahoma"/>
            <family val="2"/>
          </rPr>
          <t xml:space="preserve">
</t>
        </r>
      </text>
    </comment>
    <comment ref="A8" authorId="0" shapeId="0" xr:uid="{00000000-0006-0000-2300-000003000000}">
      <text>
        <r>
          <rPr>
            <b/>
            <sz val="8"/>
            <color indexed="81"/>
            <rFont val="Tahoma"/>
            <family val="2"/>
          </rPr>
          <t xml:space="preserve">
Cash &amp; Cash Equivalents (+invested funds)/Current Liabilities
Note: Only includes Cash (not equivalents and investments)</t>
        </r>
      </text>
    </comment>
    <comment ref="A9" authorId="0" shapeId="0" xr:uid="{00000000-0006-0000-2300-000004000000}">
      <text>
        <r>
          <rPr>
            <b/>
            <sz val="8"/>
            <color indexed="81"/>
            <rFont val="Tahoma"/>
            <family val="2"/>
          </rPr>
          <t xml:space="preserve">
Average Inventory Value (average of start and end of year)/Average Cost of Sales per Day</t>
        </r>
      </text>
    </comment>
    <comment ref="A10" authorId="0" shapeId="0" xr:uid="{00000000-0006-0000-2300-000005000000}">
      <text>
        <r>
          <rPr>
            <b/>
            <sz val="8"/>
            <color indexed="81"/>
            <rFont val="Tahoma"/>
            <family val="2"/>
          </rPr>
          <t xml:space="preserve">
Average Debtors/Net Sales Revenue per Day</t>
        </r>
      </text>
    </comment>
    <comment ref="A11" authorId="0" shapeId="0" xr:uid="{00000000-0006-0000-2300-000006000000}">
      <text>
        <r>
          <rPr>
            <b/>
            <sz val="8"/>
            <color indexed="81"/>
            <rFont val="Tahoma"/>
            <family val="2"/>
          </rPr>
          <t xml:space="preserve">
Average Creditors/Average Cost of Sales per Day</t>
        </r>
      </text>
    </comment>
    <comment ref="A12" authorId="0" shapeId="0" xr:uid="{00000000-0006-0000-2300-000007000000}">
      <text>
        <r>
          <rPr>
            <b/>
            <sz val="8"/>
            <color indexed="81"/>
            <rFont val="Tahoma"/>
            <family val="2"/>
          </rPr>
          <t xml:space="preserve">
DIO+DSO-DPO (shorter indicates greater liquidity)</t>
        </r>
      </text>
    </comment>
  </commentList>
</comments>
</file>

<file path=xl/sharedStrings.xml><?xml version="1.0" encoding="utf-8"?>
<sst xmlns="http://schemas.openxmlformats.org/spreadsheetml/2006/main" count="1204" uniqueCount="485">
  <si>
    <t>Business Line 2:</t>
  </si>
  <si>
    <t>Business Line 3:</t>
  </si>
  <si>
    <t>Company Name</t>
  </si>
  <si>
    <t>n/a</t>
  </si>
  <si>
    <t>Volume Sales Projections</t>
  </si>
  <si>
    <t>General Model Assumptions</t>
  </si>
  <si>
    <t>of gross salary</t>
  </si>
  <si>
    <t>of profit before tax</t>
  </si>
  <si>
    <t>Central</t>
  </si>
  <si>
    <t>Staff Post</t>
  </si>
  <si>
    <t>Allocation of central posts</t>
  </si>
  <si>
    <t># of FTEs Employed</t>
  </si>
  <si>
    <t>Actual Staff Costs (inc. Employer NI)</t>
  </si>
  <si>
    <t>Staffing Costs</t>
  </si>
  <si>
    <t>TOTAL STAFF COSTS</t>
  </si>
  <si>
    <t>Central Costs</t>
  </si>
  <si>
    <t>Staff Costs by Business Line</t>
  </si>
  <si>
    <t>Capital Expenditure Costs</t>
  </si>
  <si>
    <t>Grant Income</t>
  </si>
  <si>
    <t>Investment Income</t>
  </si>
  <si>
    <t>Profit and Loss Account</t>
  </si>
  <si>
    <t>Revenue</t>
  </si>
  <si>
    <t>Variable Costs</t>
  </si>
  <si>
    <t>Staff Costs</t>
  </si>
  <si>
    <t>Depreciation</t>
  </si>
  <si>
    <t>*  Exclude any employee costs</t>
  </si>
  <si>
    <t>** Include any freelance costs</t>
  </si>
  <si>
    <t>Average number of months credit given to customers</t>
  </si>
  <si>
    <t>Average number of months credit received from suppliers</t>
  </si>
  <si>
    <t>Annual Salary By Post</t>
  </si>
  <si>
    <t>Type 1</t>
  </si>
  <si>
    <t>Type 2</t>
  </si>
  <si>
    <t>Type 3</t>
  </si>
  <si>
    <t>Type 4</t>
  </si>
  <si>
    <t>Type 5</t>
  </si>
  <si>
    <t>F&amp;F</t>
  </si>
  <si>
    <t>Vehicles</t>
  </si>
  <si>
    <t>Investment 1</t>
  </si>
  <si>
    <t>Investment 2</t>
  </si>
  <si>
    <t>Investment 3</t>
  </si>
  <si>
    <t>Investment 4</t>
  </si>
  <si>
    <t>Investment 5</t>
  </si>
  <si>
    <t>Investment 6</t>
  </si>
  <si>
    <t>Total Number of FTEs</t>
  </si>
  <si>
    <t>Taxation</t>
  </si>
  <si>
    <t>Dividends Payable</t>
  </si>
  <si>
    <t>Balance Sheet</t>
  </si>
  <si>
    <t>Stock-related costs</t>
  </si>
  <si>
    <t>Other costs</t>
  </si>
  <si>
    <t>Average months stock kept at warehouse</t>
  </si>
  <si>
    <t>Business Line Non-Employee Variable Unit Costs</t>
  </si>
  <si>
    <t>*** Stock-related costs refer to variable costs that require stock holding - these values are important to separate from other variable costs in order to calculate balance sheet stock levels</t>
  </si>
  <si>
    <t>months' worth of revenue</t>
  </si>
  <si>
    <t>months' worth of variable costs</t>
  </si>
  <si>
    <t>months' worth of total variable costs + central costs (non-staff)</t>
  </si>
  <si>
    <t>Interest Only Investment 1</t>
  </si>
  <si>
    <t>Interest Only Investment 2</t>
  </si>
  <si>
    <t>Interest Only Investment 3</t>
  </si>
  <si>
    <t>Interest Rate</t>
  </si>
  <si>
    <t>Loan Term</t>
  </si>
  <si>
    <t>Outstanding Balance</t>
  </si>
  <si>
    <t>Interest Payments</t>
  </si>
  <si>
    <t>Loan Repayments</t>
  </si>
  <si>
    <t xml:space="preserve"> To P&amp;L</t>
  </si>
  <si>
    <t xml:space="preserve"> To Balance Sheet</t>
  </si>
  <si>
    <t xml:space="preserve"> To Cash Flow</t>
  </si>
  <si>
    <t>Central cost 17</t>
  </si>
  <si>
    <t>Central cost 18</t>
  </si>
  <si>
    <t>Central cost 19</t>
  </si>
  <si>
    <t>Total Central Costs</t>
  </si>
  <si>
    <t>B/F</t>
  </si>
  <si>
    <t>Product Group 1</t>
  </si>
  <si>
    <t>Product Group 2</t>
  </si>
  <si>
    <t>Product Group 3</t>
  </si>
  <si>
    <t>Product Group 4</t>
  </si>
  <si>
    <t>Product Group 5</t>
  </si>
  <si>
    <t>Product Group 6</t>
  </si>
  <si>
    <t>Product Group 7</t>
  </si>
  <si>
    <t>Product Group 8</t>
  </si>
  <si>
    <t>Product Group 9</t>
  </si>
  <si>
    <t>Work area for calculation of cost distribution for this product line stock orders.</t>
  </si>
  <si>
    <t>Brought Forward</t>
  </si>
  <si>
    <t>Jan</t>
  </si>
  <si>
    <t>Feb</t>
  </si>
  <si>
    <t>Mar</t>
  </si>
  <si>
    <t>Apr</t>
  </si>
  <si>
    <t>May</t>
  </si>
  <si>
    <t>Jun</t>
  </si>
  <si>
    <t>Jul</t>
  </si>
  <si>
    <t>Aug</t>
  </si>
  <si>
    <t>Sep</t>
  </si>
  <si>
    <t>Oct</t>
  </si>
  <si>
    <t>Nov</t>
  </si>
  <si>
    <t>Dec</t>
  </si>
  <si>
    <t>`</t>
  </si>
  <si>
    <t>Central cost 20</t>
  </si>
  <si>
    <t>Ratios</t>
  </si>
  <si>
    <t>Current Ratio</t>
  </si>
  <si>
    <t>Cash Ratio</t>
  </si>
  <si>
    <t>Cash Conversion Ration</t>
  </si>
  <si>
    <t>Days Inventory Outstanding (DIO)</t>
  </si>
  <si>
    <t>Days Sales Outstanding (DSO)</t>
  </si>
  <si>
    <t>Days Payables Outstanding (DPO)</t>
  </si>
  <si>
    <t>BETA - DO NOT TRUST</t>
  </si>
  <si>
    <t>Volume Sales Projections By Product Group</t>
  </si>
  <si>
    <t>Business Line 1:</t>
  </si>
  <si>
    <t>Central cost 16</t>
  </si>
  <si>
    <t>General Assumptions</t>
  </si>
  <si>
    <t>Volume Sales</t>
  </si>
  <si>
    <t>Pricing</t>
  </si>
  <si>
    <t>Stock Orders</t>
  </si>
  <si>
    <t>Capital Expenditure</t>
  </si>
  <si>
    <t>Started</t>
  </si>
  <si>
    <t>Completed</t>
  </si>
  <si>
    <t>Yes</t>
  </si>
  <si>
    <t>No</t>
  </si>
  <si>
    <t>Quick/Liquidity Ratio</t>
  </si>
  <si>
    <t>Post 14</t>
  </si>
  <si>
    <t>Post 15</t>
  </si>
  <si>
    <t>Post 16</t>
  </si>
  <si>
    <t>Post 17</t>
  </si>
  <si>
    <t>Post 18</t>
  </si>
  <si>
    <t>Post 19</t>
  </si>
  <si>
    <t>Post 20</t>
  </si>
  <si>
    <t>Central cost 15</t>
  </si>
  <si>
    <t>Indoor</t>
  </si>
  <si>
    <t>Outdoor</t>
  </si>
  <si>
    <t>Bibs &amp; Vests</t>
  </si>
  <si>
    <t>Adult Wear</t>
  </si>
  <si>
    <t>Toys</t>
  </si>
  <si>
    <t>Jeans</t>
  </si>
  <si>
    <t>School Trousers</t>
  </si>
  <si>
    <t>Towelling Wear</t>
  </si>
  <si>
    <t>Total</t>
  </si>
  <si>
    <t>Swimwear</t>
  </si>
  <si>
    <t>Yr1</t>
  </si>
  <si>
    <t>Yr2</t>
  </si>
  <si>
    <t>Yr3</t>
  </si>
  <si>
    <t>2011/12</t>
  </si>
  <si>
    <t>Yr 1</t>
  </si>
  <si>
    <t>Yr 2</t>
  </si>
  <si>
    <t>Yr 3</t>
  </si>
  <si>
    <t>Actuals</t>
  </si>
  <si>
    <t>Sales (UK)</t>
  </si>
  <si>
    <t>Sales (OS)</t>
  </si>
  <si>
    <t>Target</t>
  </si>
  <si>
    <t>Number of Territories</t>
  </si>
  <si>
    <t>Sales Assumptions</t>
  </si>
  <si>
    <t>Variable costs</t>
  </si>
  <si>
    <t>Stock turnover</t>
  </si>
  <si>
    <t>Total variable costs</t>
  </si>
  <si>
    <t>Insert Business Line2</t>
  </si>
  <si>
    <t>Insert Product Group4</t>
  </si>
  <si>
    <t>Insert Product Group5</t>
  </si>
  <si>
    <t>Insert Product Group6</t>
  </si>
  <si>
    <t>Insert Business Line3</t>
  </si>
  <si>
    <t>Insert Product Group7</t>
  </si>
  <si>
    <t>Insert Product Group8</t>
  </si>
  <si>
    <t>Insert Product Group9</t>
  </si>
  <si>
    <t>Margin</t>
  </si>
  <si>
    <t>Product cost</t>
  </si>
  <si>
    <t>Variable cost basis</t>
  </si>
  <si>
    <t>Central costs</t>
  </si>
  <si>
    <t>Sensitivity 1</t>
  </si>
  <si>
    <t>Product</t>
  </si>
  <si>
    <t>Variable</t>
  </si>
  <si>
    <t>Volume</t>
  </si>
  <si>
    <t>Base</t>
  </si>
  <si>
    <t>Upside</t>
  </si>
  <si>
    <t>Downside</t>
  </si>
  <si>
    <t>Scenario selected</t>
  </si>
  <si>
    <t>Insert sensitivity</t>
  </si>
  <si>
    <t>Insert variable</t>
  </si>
  <si>
    <t>Sensitivity 2</t>
  </si>
  <si>
    <t>Sensitivity 3</t>
  </si>
  <si>
    <t>Sensitivity 4</t>
  </si>
  <si>
    <t>Sensitivity 5</t>
  </si>
  <si>
    <t>Gross profit</t>
  </si>
  <si>
    <t>Operating profit</t>
  </si>
  <si>
    <t>Sensitivities</t>
  </si>
  <si>
    <t>Wage inflation</t>
  </si>
  <si>
    <t>Sensitivity</t>
  </si>
  <si>
    <t>Working capital Worksheet</t>
  </si>
  <si>
    <t>VAT rate</t>
  </si>
  <si>
    <t>GrantRec</t>
  </si>
  <si>
    <t>KPI's</t>
  </si>
  <si>
    <t>Gross profit growth</t>
  </si>
  <si>
    <t>na</t>
  </si>
  <si>
    <t>Revenue growth</t>
  </si>
  <si>
    <t>Operating margin</t>
  </si>
  <si>
    <t>Operating cash flow conversion</t>
  </si>
  <si>
    <t>CentralStaff</t>
  </si>
  <si>
    <t>CentralCosts</t>
  </si>
  <si>
    <t>RevBusLine1</t>
  </si>
  <si>
    <t>RevBusLine2</t>
  </si>
  <si>
    <t>RevBusLine3</t>
  </si>
  <si>
    <t>Trade debtors</t>
  </si>
  <si>
    <t>Receipts</t>
  </si>
  <si>
    <t>Debtor b/f</t>
  </si>
  <si>
    <t>Total sales</t>
  </si>
  <si>
    <t>Debtor months</t>
  </si>
  <si>
    <t>Forecast start date</t>
  </si>
  <si>
    <t>Forecast start year</t>
  </si>
  <si>
    <t>Year</t>
  </si>
  <si>
    <t>Period number</t>
  </si>
  <si>
    <t>Period ends</t>
  </si>
  <si>
    <t>Period starts</t>
  </si>
  <si>
    <t>Stock b/f</t>
  </si>
  <si>
    <t>Stock c/f</t>
  </si>
  <si>
    <t>Debtor c/f</t>
  </si>
  <si>
    <t>Purchases</t>
  </si>
  <si>
    <t>Cost of sales</t>
  </si>
  <si>
    <t>Trade creditors</t>
  </si>
  <si>
    <t>Creditor month</t>
  </si>
  <si>
    <t>Trade creditor b/f</t>
  </si>
  <si>
    <t>Payments</t>
  </si>
  <si>
    <t>Trade creditor c/f</t>
  </si>
  <si>
    <t>End of sheet</t>
  </si>
  <si>
    <t>VAT account</t>
  </si>
  <si>
    <t>VAT payment</t>
  </si>
  <si>
    <t>months</t>
  </si>
  <si>
    <t>General inputs</t>
  </si>
  <si>
    <t>Volume sales</t>
  </si>
  <si>
    <t>Existing loan</t>
  </si>
  <si>
    <t>Fixed assets</t>
  </si>
  <si>
    <t>Additions</t>
  </si>
  <si>
    <t>Disposals</t>
  </si>
  <si>
    <t>Depreciation period</t>
  </si>
  <si>
    <t>Balance BF</t>
  </si>
  <si>
    <t>Disposal proceeds</t>
  </si>
  <si>
    <t>Balance CF</t>
  </si>
  <si>
    <t>Depreciation percentage</t>
  </si>
  <si>
    <t>Capital expenditure</t>
  </si>
  <si>
    <t>ICT equipement</t>
  </si>
  <si>
    <t xml:space="preserve">Property </t>
  </si>
  <si>
    <t>Type</t>
  </si>
  <si>
    <t>Forecast details</t>
  </si>
  <si>
    <t>Working capital assumptions</t>
  </si>
  <si>
    <t>Capital expenditure assumptions</t>
  </si>
  <si>
    <t>Forecast period</t>
  </si>
  <si>
    <t>Unit</t>
  </si>
  <si>
    <t>£</t>
  </si>
  <si>
    <t>Total staff costs</t>
  </si>
  <si>
    <t>Capital expediture/disposals</t>
  </si>
  <si>
    <t xml:space="preserve">Investment </t>
  </si>
  <si>
    <t>Amount of repayments</t>
  </si>
  <si>
    <t>Drawdown period</t>
  </si>
  <si>
    <t>Interest rate % per annum</t>
  </si>
  <si>
    <t>Term debt control account</t>
  </si>
  <si>
    <t>Drawdown</t>
  </si>
  <si>
    <t>Repayments</t>
  </si>
  <si>
    <t>Interest creditor control account</t>
  </si>
  <si>
    <t>Interest charge</t>
  </si>
  <si>
    <t>Debt financing summary</t>
  </si>
  <si>
    <t>Timing flags</t>
  </si>
  <si>
    <t>Drawdown flag</t>
  </si>
  <si>
    <t>Repayment flag</t>
  </si>
  <si>
    <t>Drawdown date</t>
  </si>
  <si>
    <t>Interest payment month</t>
  </si>
  <si>
    <t>Repayment start period</t>
  </si>
  <si>
    <t>Interest payment flag</t>
  </si>
  <si>
    <t>Existing loan control account</t>
  </si>
  <si>
    <t>Existing loan balance</t>
  </si>
  <si>
    <t>Last repayment period</t>
  </si>
  <si>
    <t>Profit &amp; Loss Account</t>
  </si>
  <si>
    <t>Sales</t>
  </si>
  <si>
    <t>Interest on debt</t>
  </si>
  <si>
    <t>PBT</t>
  </si>
  <si>
    <t>Current tax</t>
  </si>
  <si>
    <t>PAT</t>
  </si>
  <si>
    <t>Retained profit</t>
  </si>
  <si>
    <t>P&amp;L reserve BF</t>
  </si>
  <si>
    <t>P&amp;L reserve CF</t>
  </si>
  <si>
    <t>Cash Flow Statement</t>
  </si>
  <si>
    <t>add back depreciation</t>
  </si>
  <si>
    <t>movement in stocks</t>
  </si>
  <si>
    <t>Operating cash flow</t>
  </si>
  <si>
    <t>Proceeds of disposals</t>
  </si>
  <si>
    <t>Drawings on debt</t>
  </si>
  <si>
    <t>Repayments of debt</t>
  </si>
  <si>
    <t>Net cash flow</t>
  </si>
  <si>
    <t>Cash balance BF</t>
  </si>
  <si>
    <t>Cash balance CF</t>
  </si>
  <si>
    <t>Stocks</t>
  </si>
  <si>
    <t>Cash at bank</t>
  </si>
  <si>
    <t>Overdraft</t>
  </si>
  <si>
    <t>Interest on debt payable</t>
  </si>
  <si>
    <t>Term debt</t>
  </si>
  <si>
    <t>Net assets</t>
  </si>
  <si>
    <t>Share capital</t>
  </si>
  <si>
    <t>P&amp;L reserve</t>
  </si>
  <si>
    <t>Shareholders' funds</t>
  </si>
  <si>
    <t>Total revenue</t>
  </si>
  <si>
    <t>Direct staff costs</t>
  </si>
  <si>
    <t>Central staff costs</t>
  </si>
  <si>
    <t>Grant income</t>
  </si>
  <si>
    <t>Movement in stocks</t>
  </si>
  <si>
    <t>movement in trade debtors</t>
  </si>
  <si>
    <t>movement in trade creditors</t>
  </si>
  <si>
    <t>Grant received</t>
  </si>
  <si>
    <t>Check</t>
  </si>
  <si>
    <t>Tolerance</t>
  </si>
  <si>
    <t>Movement in trade creditors</t>
  </si>
  <si>
    <t>Movement in trade debtors</t>
  </si>
  <si>
    <t>Tax rate</t>
  </si>
  <si>
    <t>PBT per P&amp;L</t>
  </si>
  <si>
    <t>Capital allowances</t>
  </si>
  <si>
    <t>PCTCT before losses</t>
  </si>
  <si>
    <t>Losses taken to account</t>
  </si>
  <si>
    <t>Losses used from account</t>
  </si>
  <si>
    <t>PCTCT after losses</t>
  </si>
  <si>
    <t>Tax charge</t>
  </si>
  <si>
    <t>Corporation tax creditor</t>
  </si>
  <si>
    <t>Tax creditor control account</t>
  </si>
  <si>
    <t>Tax loss account</t>
  </si>
  <si>
    <t>Losses incurred</t>
  </si>
  <si>
    <t>Losses utilised</t>
  </si>
  <si>
    <t>Corporate tax computation</t>
  </si>
  <si>
    <t>TAX inputs</t>
  </si>
  <si>
    <t>Corporate tax time flag</t>
  </si>
  <si>
    <t>Frist corporate tax payment period</t>
  </si>
  <si>
    <t>Corporation tax rate</t>
  </si>
  <si>
    <t>NI Employers' contribution</t>
  </si>
  <si>
    <t>Corporate tax creditor b/f</t>
  </si>
  <si>
    <t>Corporate tax creditor c/f</t>
  </si>
  <si>
    <t>Tax loss b/f</t>
  </si>
  <si>
    <t>Tax loss c/f</t>
  </si>
  <si>
    <t>deduct grant income</t>
  </si>
  <si>
    <t>Master check</t>
  </si>
  <si>
    <t>Individual checkes</t>
  </si>
  <si>
    <t>Balance sheet</t>
  </si>
  <si>
    <t>Actual balance sheet</t>
  </si>
  <si>
    <t>Actual FS</t>
  </si>
  <si>
    <t>Rate above base rate</t>
  </si>
  <si>
    <t>Base rate</t>
  </si>
  <si>
    <t>Actual profit &amp; loss</t>
  </si>
  <si>
    <t>Dividends</t>
  </si>
  <si>
    <t>Dividends payable</t>
  </si>
  <si>
    <t>Balance Check</t>
  </si>
  <si>
    <t>Roll forward check</t>
  </si>
  <si>
    <t>Actual cash flow</t>
  </si>
  <si>
    <t>Cash flow check</t>
  </si>
  <si>
    <t>Total assets</t>
  </si>
  <si>
    <t>Sales volumes</t>
  </si>
  <si>
    <t>Gross margin</t>
  </si>
  <si>
    <t>%</t>
  </si>
  <si>
    <t>Base case scenario</t>
  </si>
  <si>
    <t>Sensitised case scenario</t>
  </si>
  <si>
    <t>Variance</t>
  </si>
  <si>
    <t>Outputs summary</t>
  </si>
  <si>
    <t>Reducing balance ratio</t>
  </si>
  <si>
    <t>Grant term (years)</t>
  </si>
  <si>
    <t>Checks</t>
  </si>
  <si>
    <t>Dividend payments</t>
  </si>
  <si>
    <t>EBITDA</t>
  </si>
  <si>
    <t>EBITDA Interest cover</t>
  </si>
  <si>
    <t>add back disallowable items</t>
  </si>
  <si>
    <t>Equity Financing</t>
  </si>
  <si>
    <t>Equity Financer 2</t>
  </si>
  <si>
    <t>Equity Financer 3</t>
  </si>
  <si>
    <t>Equity Financer 4</t>
  </si>
  <si>
    <t>Equity Financer 5</t>
  </si>
  <si>
    <t>Equity Financer 6</t>
  </si>
  <si>
    <t>Equity Financer 7</t>
  </si>
  <si>
    <t>Equity Financer 8</t>
  </si>
  <si>
    <t>Equity Financer 9</t>
  </si>
  <si>
    <t>Equity Financer 10</t>
  </si>
  <si>
    <t>Equity finance received</t>
  </si>
  <si>
    <t>Grant deferred income control account</t>
  </si>
  <si>
    <t>Existing grant</t>
  </si>
  <si>
    <t>Existing Grant</t>
  </si>
  <si>
    <t>Grant 1</t>
  </si>
  <si>
    <t>Grant 2</t>
  </si>
  <si>
    <t>Grant 3</t>
  </si>
  <si>
    <t>Grant 4</t>
  </si>
  <si>
    <t>Grant 5</t>
  </si>
  <si>
    <t>Debt term (years)</t>
  </si>
  <si>
    <t>Grant deferred income</t>
  </si>
  <si>
    <t>Existing grant control account</t>
  </si>
  <si>
    <t>Income amortised</t>
  </si>
  <si>
    <t>Existing grant balance</t>
  </si>
  <si>
    <t>Income flag</t>
  </si>
  <si>
    <t>Grant income summary</t>
  </si>
  <si>
    <t>Overdraft interest</t>
  </si>
  <si>
    <t>Overdraft interest rate</t>
  </si>
  <si>
    <t>Cash balance CF (before interest)</t>
  </si>
  <si>
    <t>Cash interest rate</t>
  </si>
  <si>
    <t>Cash/Overdraft interest</t>
  </si>
  <si>
    <t xml:space="preserve">Cash balance CF </t>
  </si>
  <si>
    <t>Should be negative as recognition of liability</t>
  </si>
  <si>
    <t>Debt &amp; overdraft financing</t>
  </si>
  <si>
    <t>Income</t>
  </si>
  <si>
    <t>Must be first day of month</t>
  </si>
  <si>
    <t>Other income</t>
  </si>
  <si>
    <t>Total Other income</t>
  </si>
  <si>
    <t>Other income 1</t>
  </si>
  <si>
    <t>Other income 2</t>
  </si>
  <si>
    <t>Other income 3</t>
  </si>
  <si>
    <t>Other income 4</t>
  </si>
  <si>
    <t>Other income 5</t>
  </si>
  <si>
    <t>Other income 6</t>
  </si>
  <si>
    <t>Other income 7</t>
  </si>
  <si>
    <t>Other income 8</t>
  </si>
  <si>
    <t>Other income 9</t>
  </si>
  <si>
    <t>Other income 10</t>
  </si>
  <si>
    <t>Other income 11</t>
  </si>
  <si>
    <t>Other income 12</t>
  </si>
  <si>
    <t>Other income 13</t>
  </si>
  <si>
    <t>Other income 14</t>
  </si>
  <si>
    <t>Other income 15</t>
  </si>
  <si>
    <t>Other income 16</t>
  </si>
  <si>
    <t>Other income 17</t>
  </si>
  <si>
    <t>Other income 18</t>
  </si>
  <si>
    <t>Other income 19</t>
  </si>
  <si>
    <t>Other income 20</t>
  </si>
  <si>
    <t>VAT</t>
  </si>
  <si>
    <t>VAT payment month number</t>
  </si>
  <si>
    <t>VAT payment timing flag</t>
  </si>
  <si>
    <t>VAT b/f</t>
  </si>
  <si>
    <t>VAT payments</t>
  </si>
  <si>
    <t>VAT c/f</t>
  </si>
  <si>
    <t>movement in VAT</t>
  </si>
  <si>
    <t>VAT payment month</t>
  </si>
  <si>
    <t>Disclaimer</t>
  </si>
  <si>
    <t>Income amortisation start period</t>
  </si>
  <si>
    <t>Income amortisation start date</t>
  </si>
  <si>
    <t>Last amortisation period</t>
  </si>
  <si>
    <t>Amount of grant amortised</t>
  </si>
  <si>
    <t>Pension contribution</t>
  </si>
  <si>
    <t>Auto-enrolment pension contribution</t>
  </si>
  <si>
    <t>Insert Product Group 2</t>
  </si>
  <si>
    <t>Insert Product Group 3</t>
  </si>
  <si>
    <t>Post 1</t>
  </si>
  <si>
    <t>Post 2</t>
  </si>
  <si>
    <t>Post 3</t>
  </si>
  <si>
    <t>Post 4</t>
  </si>
  <si>
    <t>Post 5</t>
  </si>
  <si>
    <t>Post 6</t>
  </si>
  <si>
    <t>Post 7</t>
  </si>
  <si>
    <t>Post 8</t>
  </si>
  <si>
    <t>Post 9</t>
  </si>
  <si>
    <t>Post 10</t>
  </si>
  <si>
    <t>Post 11</t>
  </si>
  <si>
    <t>Post 12</t>
  </si>
  <si>
    <t>Post 13</t>
  </si>
  <si>
    <t>Central cost 1</t>
  </si>
  <si>
    <t>Central cost 2</t>
  </si>
  <si>
    <t>Central cost 3</t>
  </si>
  <si>
    <t>Central cost 4</t>
  </si>
  <si>
    <t>Central cost 5</t>
  </si>
  <si>
    <t>Central cost 6</t>
  </si>
  <si>
    <t>Central cost 7</t>
  </si>
  <si>
    <t>Central cost 8</t>
  </si>
  <si>
    <t>Central cost 9</t>
  </si>
  <si>
    <t>Central cost 10</t>
  </si>
  <si>
    <t>Central cost 11</t>
  </si>
  <si>
    <t>Central cost 12</t>
  </si>
  <si>
    <t>Central cost 13</t>
  </si>
  <si>
    <t>Central cost 14</t>
  </si>
  <si>
    <t>Equity Financer 1</t>
  </si>
  <si>
    <t>Test</t>
  </si>
  <si>
    <t>Receipts (liability) CHANGED</t>
  </si>
  <si>
    <t>Costs CHANGED</t>
  </si>
  <si>
    <t>VAT CHANGED</t>
  </si>
  <si>
    <t>Cost of sales CHANGED</t>
  </si>
  <si>
    <t>Movement in VAT CHANGED</t>
  </si>
  <si>
    <t>Repayment Month</t>
  </si>
  <si>
    <t>Repayment month</t>
  </si>
  <si>
    <t>Investment 1 control account</t>
  </si>
  <si>
    <t>Investment 2 control account</t>
  </si>
  <si>
    <t>Investment 3 control account</t>
  </si>
  <si>
    <t>Investment 5 control account</t>
  </si>
  <si>
    <t>Every 1, 2, 3, 4 or 6 months payment made</t>
  </si>
  <si>
    <t>Insert Product Group 1</t>
  </si>
  <si>
    <t>Profit &amp; Loss Account Ratios</t>
  </si>
  <si>
    <t>Gross Margin %</t>
  </si>
  <si>
    <t>Operating Margin %</t>
  </si>
  <si>
    <t>Sales/Direct Staff</t>
  </si>
  <si>
    <t>Sales/Variable Costs</t>
  </si>
  <si>
    <t>Sales/Central Satff</t>
  </si>
  <si>
    <t>Sales/Central Costs</t>
  </si>
  <si>
    <t>Growth KPIs</t>
  </si>
  <si>
    <t>Balance Sheet Ratios</t>
  </si>
  <si>
    <t>Model Version 9</t>
  </si>
  <si>
    <t>First corporate tax payment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</si>
</sst>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 #,##0.00_);_(* \(#,##0.00\);_(* &quot;-&quot;??_);_(@_)"/>
    <numFmt numFmtId="165" formatCode="_-* #,##0_-;\-* #,##0_-;_-* &quot;-&quot;??_-;_-@_-"/>
    <numFmt numFmtId="166" formatCode="#,##0;[Red]\(#,##0\)"/>
    <numFmt numFmtId="167" formatCode="#,##0_);[Red]\(#,##0\);\-_)"/>
    <numFmt numFmtId="168" formatCode="0.0_)%;[Red]\(0.0%\);0.0_)%"/>
    <numFmt numFmtId="169" formatCode="General&quot;.&quot;"/>
    <numFmt numFmtId="170" formatCode="0.0"/>
    <numFmt numFmtId="171" formatCode="[Magenta]&quot;Err&quot;;[Magenta]&quot;Err&quot;;[Blue]&quot;OK&quot;"/>
    <numFmt numFmtId="172" formatCode="[Red][&gt;1]&quot;&gt;100 %&quot;;[Red]\(0.0%\);0.0_)%"/>
    <numFmt numFmtId="173" formatCode="General\ &quot;.&quot;"/>
    <numFmt numFmtId="174" formatCode="#,##0.00_);[Red]\(#,##0.00\);\-_)"/>
    <numFmt numFmtId="175" formatCode="[Red]General;[Red]General"/>
    <numFmt numFmtId="176" formatCode="0.0%"/>
    <numFmt numFmtId="177" formatCode="_-* #,##0.0_-;\-* #,##0.0_-;_-* &quot;-&quot;??_-;_-@_-"/>
    <numFmt numFmtId="178" formatCode="#,##0.0,_);\(#,##0.0,\);\-\-_);* @_)"/>
    <numFmt numFmtId="179" formatCode="0.0%_);\(0.0%\);\-\-??;* @_%_)"/>
    <numFmt numFmtId="180" formatCode="#,##0.0000_);[Red]\(#,##0.0000\);\-_)"/>
    <numFmt numFmtId="181" formatCode="#,##0.0_);[Red]\(#,##0.0\);\-_)"/>
  </numFmts>
  <fonts count="50"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b/>
      <sz val="11"/>
      <color theme="1"/>
      <name val="Calibri"/>
      <family val="2"/>
      <scheme val="minor"/>
    </font>
    <font>
      <b/>
      <i/>
      <sz val="11"/>
      <color theme="1"/>
      <name val="Calibri"/>
      <family val="2"/>
      <scheme val="minor"/>
    </font>
    <font>
      <b/>
      <u/>
      <sz val="14"/>
      <color theme="1"/>
      <name val="Calibri"/>
      <family val="2"/>
      <scheme val="minor"/>
    </font>
    <font>
      <b/>
      <sz val="8"/>
      <color indexed="81"/>
      <name val="Tahoma"/>
      <family val="2"/>
    </font>
    <font>
      <sz val="10"/>
      <color indexed="8"/>
      <name val="Arial"/>
      <family val="2"/>
    </font>
    <font>
      <sz val="10"/>
      <name val="Verdana"/>
      <family val="2"/>
    </font>
    <font>
      <b/>
      <sz val="16"/>
      <color rgb="FFFF0000"/>
      <name val="Calibri"/>
      <family val="2"/>
      <scheme val="minor"/>
    </font>
    <font>
      <sz val="8"/>
      <color indexed="81"/>
      <name val="Tahoma"/>
      <family val="2"/>
    </font>
    <font>
      <sz val="10"/>
      <name val="Arial"/>
      <family val="2"/>
    </font>
    <font>
      <i/>
      <sz val="10"/>
      <color rgb="FF7F7F7F"/>
      <name val="Arial"/>
      <family val="2"/>
    </font>
    <font>
      <sz val="10"/>
      <color indexed="12"/>
      <name val="Arial"/>
      <family val="2"/>
    </font>
    <font>
      <b/>
      <sz val="10.5"/>
      <color indexed="8"/>
      <name val="Arial"/>
      <family val="2"/>
    </font>
    <font>
      <sz val="9"/>
      <color indexed="12"/>
      <name val="Arial"/>
      <family val="2"/>
    </font>
    <font>
      <b/>
      <sz val="10"/>
      <color theme="1"/>
      <name val="Arial"/>
      <family val="2"/>
    </font>
    <font>
      <sz val="10"/>
      <color theme="0"/>
      <name val="Arial"/>
      <family val="2"/>
    </font>
    <font>
      <b/>
      <sz val="12"/>
      <color theme="1"/>
      <name val="Calibri"/>
      <family val="2"/>
      <scheme val="minor"/>
    </font>
    <font>
      <i/>
      <sz val="10"/>
      <color theme="1"/>
      <name val="Calibri"/>
      <family val="2"/>
      <scheme val="minor"/>
    </font>
    <font>
      <sz val="9"/>
      <color indexed="8"/>
      <name val="Arial"/>
      <family val="2"/>
    </font>
    <font>
      <b/>
      <sz val="10"/>
      <color indexed="8"/>
      <name val="Arial"/>
      <family val="2"/>
    </font>
    <font>
      <b/>
      <i/>
      <sz val="10"/>
      <color rgb="FF7F7F7F"/>
      <name val="Arial"/>
      <family val="2"/>
    </font>
    <font>
      <b/>
      <i/>
      <sz val="10"/>
      <color theme="1"/>
      <name val="Arial"/>
      <family val="2"/>
    </font>
    <font>
      <i/>
      <sz val="10"/>
      <color theme="1"/>
      <name val="Arial"/>
      <family val="2"/>
    </font>
    <font>
      <b/>
      <sz val="8"/>
      <color indexed="8"/>
      <name val="Arial"/>
      <family val="2"/>
    </font>
    <font>
      <b/>
      <sz val="10"/>
      <color rgb="FF0070C0"/>
      <name val="Arial"/>
      <family val="2"/>
    </font>
    <font>
      <b/>
      <sz val="10"/>
      <name val="Arial"/>
      <family val="2"/>
    </font>
    <font>
      <sz val="11"/>
      <color theme="1"/>
      <name val="Arial"/>
      <family val="2"/>
    </font>
    <font>
      <sz val="12"/>
      <name val="Times New Roman"/>
      <family val="1"/>
    </font>
    <font>
      <b/>
      <sz val="8"/>
      <color indexed="12"/>
      <name val="Arial"/>
      <family val="2"/>
    </font>
    <font>
      <b/>
      <sz val="12"/>
      <color indexed="8"/>
      <name val="Arial"/>
      <family val="2"/>
    </font>
    <font>
      <i/>
      <sz val="10"/>
      <color indexed="8"/>
      <name val="Arial"/>
      <family val="2"/>
    </font>
    <font>
      <b/>
      <sz val="12"/>
      <color theme="1"/>
      <name val="Arial"/>
      <family val="2"/>
    </font>
    <font>
      <b/>
      <sz val="10.5"/>
      <name val="Arial"/>
      <family val="2"/>
    </font>
    <font>
      <sz val="10"/>
      <color rgb="FFFF0000"/>
      <name val="Arial"/>
      <family val="2"/>
    </font>
    <font>
      <b/>
      <sz val="8"/>
      <color theme="1"/>
      <name val="Arial"/>
      <family val="2"/>
    </font>
    <font>
      <i/>
      <sz val="10"/>
      <name val="Arial"/>
      <family val="2"/>
    </font>
    <font>
      <b/>
      <sz val="16"/>
      <name val="Arial"/>
      <family val="2"/>
    </font>
    <font>
      <sz val="8"/>
      <name val="Arial"/>
      <family val="2"/>
    </font>
    <font>
      <sz val="11"/>
      <color rgb="FF000000"/>
      <name val="Calibri"/>
      <family val="2"/>
    </font>
    <font>
      <sz val="9"/>
      <color indexed="81"/>
      <name val="Tahoma"/>
      <family val="2"/>
    </font>
    <font>
      <b/>
      <sz val="9"/>
      <color indexed="81"/>
      <name val="Tahoma"/>
      <family val="2"/>
    </font>
  </fonts>
  <fills count="19">
    <fill>
      <patternFill patternType="none"/>
    </fill>
    <fill>
      <patternFill patternType="gray125"/>
    </fill>
    <fill>
      <patternFill patternType="solid">
        <fgColor theme="7"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indexed="43"/>
        <bgColor indexed="64"/>
      </patternFill>
    </fill>
    <fill>
      <patternFill patternType="solid">
        <fgColor theme="4"/>
      </patternFill>
    </fill>
    <fill>
      <patternFill patternType="solid">
        <fgColor theme="4" tint="0.79998168889431442"/>
        <bgColor indexed="65"/>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11"/>
        <bgColor indexed="64"/>
      </patternFill>
    </fill>
    <fill>
      <patternFill patternType="solid">
        <fgColor indexed="45"/>
      </patternFill>
    </fill>
    <fill>
      <patternFill patternType="solid">
        <fgColor indexed="11"/>
      </patternFill>
    </fill>
    <fill>
      <patternFill patternType="solid">
        <fgColor indexed="22"/>
      </patternFill>
    </fill>
    <fill>
      <patternFill patternType="solid">
        <fgColor indexed="55"/>
      </patternFill>
    </fill>
    <fill>
      <patternFill patternType="solid">
        <fgColor indexed="43"/>
      </patternFill>
    </fill>
    <fill>
      <patternFill patternType="solid">
        <fgColor theme="6"/>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hair">
        <color indexed="8"/>
      </left>
      <right style="hair">
        <color indexed="8"/>
      </right>
      <top style="hair">
        <color indexed="8"/>
      </top>
      <bottom style="hair">
        <color indexed="8"/>
      </bottom>
      <diagonal/>
    </border>
    <border>
      <left/>
      <right/>
      <top style="thin">
        <color indexed="8"/>
      </top>
      <bottom style="thin">
        <color indexed="8"/>
      </bottom>
      <diagonal/>
    </border>
    <border>
      <left style="hair">
        <color indexed="8"/>
      </left>
      <right/>
      <top style="hair">
        <color indexed="8"/>
      </top>
      <bottom style="hair">
        <color indexed="8"/>
      </bottom>
      <diagonal/>
    </border>
    <border>
      <left style="hair">
        <color auto="1"/>
      </left>
      <right style="hair">
        <color auto="1"/>
      </right>
      <top style="hair">
        <color auto="1"/>
      </top>
      <bottom style="hair">
        <color auto="1"/>
      </bottom>
      <diagonal/>
    </border>
    <border>
      <left/>
      <right/>
      <top style="thin">
        <color indexed="8"/>
      </top>
      <bottom style="double">
        <color indexed="8"/>
      </bottom>
      <diagonal/>
    </border>
    <border>
      <left/>
      <right/>
      <top style="double">
        <color indexed="8"/>
      </top>
      <bottom style="thin">
        <color indexed="64"/>
      </bottom>
      <diagonal/>
    </border>
  </borders>
  <cellStyleXfs count="50">
    <xf numFmtId="0" fontId="0" fillId="0" borderId="0"/>
    <xf numFmtId="43" fontId="9" fillId="0" borderId="0" applyFont="0" applyFill="0" applyBorder="0" applyAlignment="0" applyProtection="0"/>
    <xf numFmtId="9" fontId="9" fillId="0" borderId="0" applyFont="0" applyFill="0" applyBorder="0" applyAlignment="0" applyProtection="0"/>
    <xf numFmtId="43" fontId="14" fillId="0" borderId="0" applyFont="0" applyFill="0" applyBorder="0" applyAlignment="0" applyProtection="0"/>
    <xf numFmtId="0" fontId="9" fillId="0" borderId="0"/>
    <xf numFmtId="0" fontId="14" fillId="0" borderId="0"/>
    <xf numFmtId="0" fontId="15" fillId="0" borderId="0"/>
    <xf numFmtId="9" fontId="14" fillId="0" borderId="0" applyFont="0" applyFill="0" applyBorder="0" applyAlignment="0" applyProtection="0"/>
    <xf numFmtId="9" fontId="9" fillId="0" borderId="0" applyFont="0" applyFill="0" applyBorder="0" applyAlignment="0" applyProtection="0"/>
    <xf numFmtId="0" fontId="18" fillId="0" borderId="0"/>
    <xf numFmtId="0" fontId="18" fillId="0" borderId="0"/>
    <xf numFmtId="0" fontId="19" fillId="0" borderId="0" applyNumberFormat="0" applyFill="0" applyBorder="0" applyAlignment="0" applyProtection="0"/>
    <xf numFmtId="167" fontId="20" fillId="6" borderId="13" applyAlignment="0">
      <protection locked="0"/>
    </xf>
    <xf numFmtId="168" fontId="14" fillId="0" borderId="0" applyFill="0" applyBorder="0" applyAlignment="0" applyProtection="0"/>
    <xf numFmtId="168" fontId="20" fillId="6" borderId="13" applyAlignment="0">
      <protection locked="0"/>
    </xf>
    <xf numFmtId="0" fontId="9" fillId="0" borderId="14" applyNumberFormat="0" applyFont="0" applyAlignment="0" applyProtection="0"/>
    <xf numFmtId="167" fontId="21" fillId="0" borderId="0" applyNumberFormat="0" applyFill="0" applyBorder="0" applyAlignment="0" applyProtection="0"/>
    <xf numFmtId="0" fontId="22" fillId="0" borderId="0" applyNumberFormat="0" applyFill="0" applyBorder="0" applyAlignment="0" applyProtection="0"/>
    <xf numFmtId="0" fontId="24" fillId="7" borderId="0" applyNumberFormat="0" applyBorder="0" applyAlignment="0" applyProtection="0"/>
    <xf numFmtId="0" fontId="8" fillId="8" borderId="0" applyNumberFormat="0" applyBorder="0" applyAlignment="0" applyProtection="0"/>
    <xf numFmtId="169" fontId="25" fillId="9" borderId="9" applyAlignment="0" applyProtection="0"/>
    <xf numFmtId="0" fontId="26" fillId="0" borderId="0" applyNumberFormat="0" applyFill="0" applyBorder="0" applyAlignment="0" applyProtection="0"/>
    <xf numFmtId="15" fontId="20" fillId="6" borderId="13">
      <alignment horizontal="center"/>
      <protection locked="0"/>
    </xf>
    <xf numFmtId="15" fontId="27" fillId="0" borderId="0" applyFill="0" applyBorder="0" applyAlignment="0" applyProtection="0"/>
    <xf numFmtId="167" fontId="14" fillId="0" borderId="0" applyFill="0" applyBorder="0" applyAlignment="0" applyProtection="0"/>
    <xf numFmtId="0" fontId="9" fillId="10" borderId="0" applyNumberFormat="0" applyFont="0" applyBorder="0" applyAlignment="0" applyProtection="0"/>
    <xf numFmtId="0" fontId="9" fillId="11" borderId="0" applyNumberFormat="0" applyFont="0" applyBorder="0" applyAlignment="0" applyProtection="0"/>
    <xf numFmtId="0" fontId="9" fillId="12" borderId="0" applyNumberFormat="0" applyFont="0" applyBorder="0" applyAlignment="0" applyProtection="0"/>
    <xf numFmtId="171" fontId="32" fillId="0" borderId="0" applyFill="0" applyBorder="0"/>
    <xf numFmtId="167" fontId="18" fillId="0" borderId="0" applyFill="0" applyBorder="0" applyAlignment="0" applyProtection="0"/>
    <xf numFmtId="0" fontId="36" fillId="16" borderId="0" applyNumberFormat="0" applyFont="0" applyBorder="0" applyAlignment="0" applyProtection="0"/>
    <xf numFmtId="171" fontId="37" fillId="0" borderId="0" applyFill="0" applyBorder="0"/>
    <xf numFmtId="15" fontId="14" fillId="0" borderId="0" applyFill="0" applyBorder="0" applyProtection="0">
      <alignment horizontal="center"/>
    </xf>
    <xf numFmtId="0" fontId="36" fillId="13" borderId="0" applyNumberFormat="0" applyFont="0" applyBorder="0" applyAlignment="0" applyProtection="0"/>
    <xf numFmtId="173" fontId="38" fillId="15" borderId="9" applyAlignment="0" applyProtection="0"/>
    <xf numFmtId="167" fontId="39" fillId="0" borderId="0" applyNumberFormat="0" applyFill="0" applyBorder="0" applyAlignment="0" applyProtection="0"/>
    <xf numFmtId="15" fontId="20" fillId="17" borderId="16">
      <alignment horizontal="center"/>
      <protection locked="0"/>
    </xf>
    <xf numFmtId="168" fontId="20" fillId="17" borderId="16" applyAlignment="0">
      <protection locked="0"/>
    </xf>
    <xf numFmtId="167" fontId="20" fillId="17" borderId="16" applyAlignment="0">
      <protection locked="0"/>
    </xf>
    <xf numFmtId="172" fontId="14" fillId="0" borderId="0" applyFill="0" applyBorder="0" applyAlignment="0" applyProtection="0"/>
    <xf numFmtId="0" fontId="36" fillId="0" borderId="14" applyNumberFormat="0" applyFont="0" applyAlignment="0" applyProtection="0"/>
    <xf numFmtId="0" fontId="36" fillId="0" borderId="17" applyNumberFormat="0" applyFont="0" applyAlignment="0" applyProtection="0"/>
    <xf numFmtId="0" fontId="36" fillId="14" borderId="0" applyNumberFormat="0" applyFont="0" applyBorder="0" applyAlignment="0" applyProtection="0"/>
    <xf numFmtId="0" fontId="36" fillId="0" borderId="0" applyFont="0" applyFill="0" applyBorder="0" applyAlignment="0" applyProtection="0"/>
    <xf numFmtId="49" fontId="36" fillId="0" borderId="0" applyFont="0" applyFill="0" applyBorder="0" applyAlignment="0" applyProtection="0"/>
    <xf numFmtId="164" fontId="7" fillId="0" borderId="0" applyFont="0" applyFill="0" applyBorder="0" applyAlignment="0" applyProtection="0"/>
    <xf numFmtId="9" fontId="18" fillId="0" borderId="0" applyFont="0" applyFill="0" applyBorder="0" applyAlignment="0" applyProtection="0"/>
    <xf numFmtId="0" fontId="24" fillId="18" borderId="0" applyNumberFormat="0" applyBorder="0" applyAlignment="0" applyProtection="0"/>
    <xf numFmtId="178" fontId="46" fillId="0" borderId="0" applyFont="0" applyFill="0" applyBorder="0" applyAlignment="0" applyProtection="0"/>
    <xf numFmtId="179" fontId="46" fillId="0" borderId="0" applyFont="0" applyFill="0" applyBorder="0" applyAlignment="0" applyProtection="0"/>
  </cellStyleXfs>
  <cellXfs count="339">
    <xf numFmtId="0" fontId="0" fillId="0" borderId="0" xfId="0"/>
    <xf numFmtId="0" fontId="0" fillId="2" borderId="0" xfId="0" applyFill="1"/>
    <xf numFmtId="0" fontId="11" fillId="0" borderId="0" xfId="0" applyFont="1"/>
    <xf numFmtId="0" fontId="10" fillId="0" borderId="0" xfId="0" applyFont="1"/>
    <xf numFmtId="0" fontId="12" fillId="0" borderId="0" xfId="0" applyFont="1"/>
    <xf numFmtId="165" fontId="10" fillId="4" borderId="1" xfId="0" applyNumberFormat="1" applyFont="1" applyFill="1" applyBorder="1"/>
    <xf numFmtId="165" fontId="10" fillId="4" borderId="10" xfId="0" applyNumberFormat="1" applyFont="1" applyFill="1" applyBorder="1"/>
    <xf numFmtId="0" fontId="10" fillId="4" borderId="1" xfId="0" applyFont="1" applyFill="1" applyBorder="1"/>
    <xf numFmtId="0" fontId="0" fillId="2" borderId="2" xfId="0" applyFill="1" applyBorder="1"/>
    <xf numFmtId="0" fontId="0" fillId="2" borderId="3" xfId="0" applyFill="1" applyBorder="1"/>
    <xf numFmtId="0" fontId="10" fillId="4" borderId="10" xfId="0" applyFont="1" applyFill="1" applyBorder="1"/>
    <xf numFmtId="0" fontId="10" fillId="4" borderId="9" xfId="0" applyFont="1" applyFill="1" applyBorder="1"/>
    <xf numFmtId="0" fontId="10" fillId="0" borderId="10" xfId="0" applyFont="1" applyFill="1" applyBorder="1" applyAlignment="1">
      <alignment horizontal="center"/>
    </xf>
    <xf numFmtId="0" fontId="0" fillId="0" borderId="0" xfId="0" applyFill="1" applyAlignment="1">
      <alignment horizontal="center"/>
    </xf>
    <xf numFmtId="0" fontId="10" fillId="0" borderId="3" xfId="0" applyFont="1" applyFill="1" applyBorder="1"/>
    <xf numFmtId="0" fontId="10" fillId="0" borderId="0" xfId="0" applyFont="1" applyFill="1" applyBorder="1" applyAlignment="1">
      <alignment horizontal="left"/>
    </xf>
    <xf numFmtId="1" fontId="0" fillId="0" borderId="0" xfId="0" applyNumberFormat="1" applyFill="1"/>
    <xf numFmtId="2" fontId="0" fillId="0" borderId="3" xfId="0" applyNumberFormat="1" applyFill="1" applyBorder="1"/>
    <xf numFmtId="2" fontId="10" fillId="4" borderId="1" xfId="0" applyNumberFormat="1" applyFont="1" applyFill="1" applyBorder="1"/>
    <xf numFmtId="2" fontId="0" fillId="0" borderId="0" xfId="0" applyNumberFormat="1"/>
    <xf numFmtId="2" fontId="0" fillId="0" borderId="2" xfId="0" applyNumberFormat="1" applyFill="1" applyBorder="1"/>
    <xf numFmtId="0" fontId="0" fillId="2" borderId="0" xfId="0" applyFill="1" applyAlignment="1">
      <alignment horizontal="left"/>
    </xf>
    <xf numFmtId="10" fontId="0" fillId="2" borderId="3" xfId="0" applyNumberForma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0" borderId="0" xfId="0" applyFill="1"/>
    <xf numFmtId="166" fontId="0" fillId="0" borderId="0" xfId="0" applyNumberFormat="1"/>
    <xf numFmtId="0" fontId="0" fillId="0" borderId="0" xfId="0" applyFill="1" applyBorder="1"/>
    <xf numFmtId="0" fontId="10" fillId="0" borderId="0" xfId="0" applyFont="1" applyAlignment="1">
      <alignment horizontal="center" vertical="top"/>
    </xf>
    <xf numFmtId="0" fontId="0" fillId="0" borderId="0" xfId="0" applyAlignment="1">
      <alignment horizontal="center"/>
    </xf>
    <xf numFmtId="0" fontId="11" fillId="0" borderId="0" xfId="0" applyFont="1" applyFill="1"/>
    <xf numFmtId="9" fontId="10" fillId="3" borderId="1" xfId="0" applyNumberFormat="1" applyFont="1" applyFill="1" applyBorder="1" applyAlignment="1">
      <alignment horizontal="right"/>
    </xf>
    <xf numFmtId="0" fontId="10" fillId="3" borderId="1" xfId="0" applyNumberFormat="1" applyFont="1" applyFill="1" applyBorder="1" applyAlignment="1">
      <alignment horizontal="right"/>
    </xf>
    <xf numFmtId="10" fontId="0" fillId="0" borderId="4" xfId="0" applyNumberFormat="1" applyFill="1" applyBorder="1" applyAlignment="1">
      <alignment horizontal="center"/>
    </xf>
    <xf numFmtId="0" fontId="0" fillId="0" borderId="4" xfId="0" applyFill="1" applyBorder="1" applyAlignment="1">
      <alignment horizontal="center"/>
    </xf>
    <xf numFmtId="2" fontId="0" fillId="2" borderId="2" xfId="0" applyNumberFormat="1" applyFill="1" applyBorder="1"/>
    <xf numFmtId="1" fontId="10" fillId="0" borderId="0" xfId="0" applyNumberFormat="1" applyFont="1" applyAlignment="1">
      <alignment horizontal="center"/>
    </xf>
    <xf numFmtId="166" fontId="0" fillId="2" borderId="0" xfId="0" applyNumberFormat="1" applyFill="1"/>
    <xf numFmtId="0" fontId="16" fillId="0" borderId="0" xfId="0" applyFont="1"/>
    <xf numFmtId="9" fontId="0" fillId="0" borderId="0" xfId="0" applyNumberFormat="1" applyFill="1"/>
    <xf numFmtId="0" fontId="10" fillId="3" borderId="10" xfId="0" applyFont="1" applyFill="1" applyBorder="1" applyAlignment="1">
      <alignment horizontal="center"/>
    </xf>
    <xf numFmtId="0" fontId="10" fillId="3" borderId="1" xfId="0" applyFont="1" applyFill="1" applyBorder="1" applyAlignment="1">
      <alignment horizontal="center"/>
    </xf>
    <xf numFmtId="1" fontId="10" fillId="0" borderId="0" xfId="0" applyNumberFormat="1" applyFont="1"/>
    <xf numFmtId="1" fontId="0" fillId="0" borderId="0" xfId="0" applyNumberFormat="1" applyAlignment="1">
      <alignment horizontal="center"/>
    </xf>
    <xf numFmtId="0" fontId="0" fillId="2" borderId="12" xfId="0" applyFill="1" applyBorder="1" applyAlignment="1">
      <alignment horizontal="left"/>
    </xf>
    <xf numFmtId="9" fontId="10" fillId="3" borderId="1" xfId="0" applyNumberFormat="1" applyFont="1" applyFill="1" applyBorder="1" applyAlignment="1">
      <alignment horizontal="center"/>
    </xf>
    <xf numFmtId="0" fontId="10" fillId="3" borderId="1" xfId="0" applyNumberFormat="1" applyFont="1" applyFill="1" applyBorder="1" applyAlignment="1">
      <alignment horizontal="center"/>
    </xf>
    <xf numFmtId="2" fontId="0" fillId="2" borderId="2" xfId="0" applyNumberFormat="1" applyFill="1" applyBorder="1" applyAlignment="1">
      <alignment horizontal="center"/>
    </xf>
    <xf numFmtId="2" fontId="0" fillId="2" borderId="3" xfId="0" applyNumberFormat="1" applyFill="1" applyBorder="1" applyAlignment="1">
      <alignment horizontal="center"/>
    </xf>
    <xf numFmtId="0" fontId="0" fillId="2" borderId="4" xfId="0" applyFill="1" applyBorder="1" applyAlignment="1">
      <alignment horizontal="center"/>
    </xf>
    <xf numFmtId="0" fontId="12" fillId="0" borderId="0" xfId="0" applyFont="1" applyAlignment="1">
      <alignment horizontal="left" vertical="top"/>
    </xf>
    <xf numFmtId="0" fontId="10" fillId="0" borderId="0" xfId="0" applyFont="1" applyAlignment="1">
      <alignment horizontal="center"/>
    </xf>
    <xf numFmtId="1" fontId="18" fillId="0" borderId="0" xfId="9" applyNumberFormat="1" applyFont="1" applyFill="1" applyBorder="1"/>
    <xf numFmtId="1" fontId="10" fillId="0" borderId="0" xfId="0" applyNumberFormat="1" applyFont="1" applyFill="1"/>
    <xf numFmtId="9" fontId="0" fillId="2" borderId="0" xfId="2" applyFont="1" applyFill="1"/>
    <xf numFmtId="0" fontId="10" fillId="0" borderId="0" xfId="0" applyFont="1" applyAlignment="1">
      <alignment horizontal="center"/>
    </xf>
    <xf numFmtId="167" fontId="14" fillId="0" borderId="0" xfId="24" applyFill="1" applyBorder="1"/>
    <xf numFmtId="167" fontId="14" fillId="0" borderId="0" xfId="24"/>
    <xf numFmtId="167" fontId="14" fillId="0" borderId="14" xfId="24" applyBorder="1"/>
    <xf numFmtId="167" fontId="14" fillId="0" borderId="14" xfId="15" applyNumberFormat="1" applyFont="1"/>
    <xf numFmtId="0" fontId="20" fillId="0" borderId="0" xfId="17" applyFont="1" applyAlignment="1">
      <alignment horizontal="center"/>
    </xf>
    <xf numFmtId="0" fontId="20" fillId="0" borderId="0" xfId="17" applyFont="1" applyBorder="1"/>
    <xf numFmtId="167" fontId="14" fillId="0" borderId="0" xfId="24" applyBorder="1"/>
    <xf numFmtId="167" fontId="14" fillId="0" borderId="0" xfId="24" applyFont="1" applyBorder="1"/>
    <xf numFmtId="167" fontId="14" fillId="0" borderId="0" xfId="24" applyFont="1"/>
    <xf numFmtId="167" fontId="14" fillId="0" borderId="14" xfId="24" applyFont="1" applyBorder="1"/>
    <xf numFmtId="0" fontId="8" fillId="0" borderId="0" xfId="0" applyFont="1"/>
    <xf numFmtId="0" fontId="8" fillId="0" borderId="0" xfId="0" applyFont="1" applyBorder="1"/>
    <xf numFmtId="1" fontId="20" fillId="0" borderId="0" xfId="17" applyNumberFormat="1" applyFont="1" applyAlignment="1">
      <alignment horizontal="right"/>
    </xf>
    <xf numFmtId="167" fontId="14" fillId="11" borderId="0" xfId="26" applyNumberFormat="1" applyFont="1" applyBorder="1"/>
    <xf numFmtId="0" fontId="19" fillId="0" borderId="0" xfId="11" applyFont="1" applyAlignment="1">
      <alignment wrapText="1"/>
    </xf>
    <xf numFmtId="0" fontId="19" fillId="0" borderId="0" xfId="11" applyFont="1"/>
    <xf numFmtId="0" fontId="23" fillId="0" borderId="0" xfId="0" applyFont="1" applyBorder="1" applyAlignment="1">
      <alignment horizontal="left" vertical="center" wrapText="1"/>
    </xf>
    <xf numFmtId="0" fontId="23" fillId="0" borderId="0" xfId="0" applyFont="1" applyBorder="1" applyAlignment="1">
      <alignment wrapText="1"/>
    </xf>
    <xf numFmtId="0" fontId="8" fillId="0" borderId="0" xfId="0" applyFont="1" applyAlignment="1">
      <alignment horizontal="center"/>
    </xf>
    <xf numFmtId="0" fontId="30" fillId="0" borderId="0" xfId="0" applyFont="1"/>
    <xf numFmtId="0" fontId="31" fillId="0" borderId="0" xfId="0" applyFont="1"/>
    <xf numFmtId="0" fontId="8" fillId="0" borderId="0" xfId="0" applyFont="1" applyFill="1" applyBorder="1"/>
    <xf numFmtId="9" fontId="23" fillId="0" borderId="0" xfId="0" applyNumberFormat="1" applyFont="1" applyFill="1" applyBorder="1" applyAlignment="1">
      <alignment horizontal="right"/>
    </xf>
    <xf numFmtId="0" fontId="23" fillId="0" borderId="0" xfId="0" applyNumberFormat="1" applyFont="1" applyFill="1" applyBorder="1" applyAlignment="1">
      <alignment horizontal="right"/>
    </xf>
    <xf numFmtId="0" fontId="23" fillId="0" borderId="0" xfId="0" applyFont="1"/>
    <xf numFmtId="0" fontId="23" fillId="0" borderId="0" xfId="0" applyFont="1" applyBorder="1" applyAlignment="1">
      <alignment vertical="center" wrapText="1"/>
    </xf>
    <xf numFmtId="0" fontId="8" fillId="0" borderId="0" xfId="0" applyFont="1" applyFill="1"/>
    <xf numFmtId="0" fontId="19" fillId="0" borderId="0" xfId="11" applyFont="1" applyFill="1"/>
    <xf numFmtId="0" fontId="23" fillId="0" borderId="0" xfId="0" applyFont="1" applyFill="1" applyBorder="1"/>
    <xf numFmtId="0" fontId="19" fillId="0" borderId="0" xfId="11" applyFont="1" applyFill="1" applyBorder="1"/>
    <xf numFmtId="165" fontId="23" fillId="0" borderId="14" xfId="15" applyNumberFormat="1" applyFont="1"/>
    <xf numFmtId="168" fontId="8" fillId="8" borderId="13" xfId="19" applyNumberFormat="1" applyBorder="1" applyProtection="1">
      <protection locked="0"/>
    </xf>
    <xf numFmtId="167" fontId="8" fillId="8" borderId="13" xfId="19" applyNumberFormat="1" applyBorder="1" applyProtection="1">
      <protection locked="0"/>
    </xf>
    <xf numFmtId="0" fontId="19" fillId="0" borderId="0" xfId="11" applyFont="1" applyBorder="1"/>
    <xf numFmtId="10" fontId="20" fillId="0" borderId="0" xfId="17" applyNumberFormat="1" applyFont="1" applyBorder="1"/>
    <xf numFmtId="0" fontId="23" fillId="0" borderId="0" xfId="0" applyFont="1" applyFill="1"/>
    <xf numFmtId="167" fontId="23" fillId="0" borderId="14" xfId="15" applyNumberFormat="1" applyFont="1"/>
    <xf numFmtId="171" fontId="33" fillId="0" borderId="0" xfId="28" applyFont="1" applyAlignment="1">
      <alignment horizontal="center"/>
    </xf>
    <xf numFmtId="167" fontId="14" fillId="0" borderId="0" xfId="24" applyFont="1" applyFill="1" applyBorder="1"/>
    <xf numFmtId="0" fontId="34" fillId="0" borderId="0" xfId="25" applyFont="1" applyFill="1" applyBorder="1" applyAlignment="1">
      <alignment horizontal="left"/>
    </xf>
    <xf numFmtId="0" fontId="34" fillId="0" borderId="0" xfId="25" applyFont="1" applyFill="1" applyBorder="1"/>
    <xf numFmtId="0" fontId="34" fillId="0" borderId="0" xfId="25" applyFont="1" applyFill="1" applyAlignment="1">
      <alignment horizontal="right"/>
    </xf>
    <xf numFmtId="15" fontId="34" fillId="0" borderId="0" xfId="25" applyNumberFormat="1" applyFont="1" applyFill="1" applyAlignment="1">
      <alignment horizontal="right"/>
    </xf>
    <xf numFmtId="0" fontId="30" fillId="0" borderId="6" xfId="0" applyFont="1" applyBorder="1"/>
    <xf numFmtId="0" fontId="30" fillId="0" borderId="0" xfId="0" applyFont="1" applyBorder="1"/>
    <xf numFmtId="0" fontId="8" fillId="0" borderId="6" xfId="0" applyFont="1" applyBorder="1"/>
    <xf numFmtId="0" fontId="23" fillId="0" borderId="0" xfId="0" applyFont="1" applyBorder="1"/>
    <xf numFmtId="43" fontId="23" fillId="0" borderId="0" xfId="1" applyFont="1" applyBorder="1"/>
    <xf numFmtId="165" fontId="34" fillId="0" borderId="14" xfId="15" applyNumberFormat="1" applyFont="1"/>
    <xf numFmtId="0" fontId="31" fillId="0" borderId="0" xfId="0" applyFont="1" applyAlignment="1">
      <alignment horizontal="center"/>
    </xf>
    <xf numFmtId="167" fontId="8" fillId="8" borderId="13" xfId="19" applyNumberFormat="1" applyFont="1" applyBorder="1" applyAlignment="1" applyProtection="1">
      <alignment horizontal="center"/>
      <protection locked="0"/>
    </xf>
    <xf numFmtId="168" fontId="8" fillId="8" borderId="13" xfId="19" applyNumberFormat="1" applyFont="1" applyBorder="1" applyAlignment="1" applyProtection="1">
      <alignment horizontal="center"/>
      <protection locked="0"/>
    </xf>
    <xf numFmtId="0" fontId="8" fillId="8" borderId="13" xfId="19" applyNumberFormat="1" applyFont="1" applyBorder="1" applyAlignment="1" applyProtection="1">
      <alignment horizontal="center"/>
      <protection locked="0"/>
    </xf>
    <xf numFmtId="0" fontId="8" fillId="0" borderId="0" xfId="0" applyNumberFormat="1" applyFont="1"/>
    <xf numFmtId="9" fontId="8" fillId="0" borderId="0" xfId="0" applyNumberFormat="1" applyFont="1" applyFill="1" applyAlignment="1">
      <alignment horizontal="center"/>
    </xf>
    <xf numFmtId="10" fontId="8" fillId="0" borderId="0" xfId="0" applyNumberFormat="1" applyFont="1" applyAlignment="1">
      <alignment horizontal="center"/>
    </xf>
    <xf numFmtId="167" fontId="14" fillId="0" borderId="12" xfId="24" applyFont="1" applyFill="1" applyBorder="1"/>
    <xf numFmtId="167" fontId="14" fillId="0" borderId="11" xfId="24" applyFont="1" applyFill="1" applyBorder="1" applyAlignment="1">
      <alignment horizontal="right"/>
    </xf>
    <xf numFmtId="0" fontId="30" fillId="0" borderId="5" xfId="0" applyFont="1" applyFill="1" applyBorder="1"/>
    <xf numFmtId="0" fontId="8" fillId="0" borderId="11" xfId="0" applyFont="1" applyFill="1" applyBorder="1"/>
    <xf numFmtId="0" fontId="31" fillId="0" borderId="0" xfId="0" applyFont="1" applyBorder="1"/>
    <xf numFmtId="0" fontId="8" fillId="0" borderId="7" xfId="0" applyFont="1" applyBorder="1"/>
    <xf numFmtId="0" fontId="8" fillId="0" borderId="12" xfId="0" applyFont="1" applyBorder="1"/>
    <xf numFmtId="0" fontId="8" fillId="0" borderId="12" xfId="0" applyFont="1" applyFill="1" applyBorder="1"/>
    <xf numFmtId="167" fontId="8" fillId="8" borderId="15" xfId="19" applyNumberFormat="1" applyBorder="1" applyProtection="1">
      <protection locked="0"/>
    </xf>
    <xf numFmtId="167" fontId="14" fillId="0" borderId="0" xfId="24" applyFont="1" applyFill="1" applyBorder="1" applyAlignment="1">
      <alignment horizontal="right"/>
    </xf>
    <xf numFmtId="15" fontId="24" fillId="0" borderId="0" xfId="23" applyFont="1" applyFill="1" applyBorder="1" applyAlignment="1"/>
    <xf numFmtId="0" fontId="24" fillId="0" borderId="0" xfId="18" applyFont="1" applyFill="1"/>
    <xf numFmtId="0" fontId="24" fillId="0" borderId="0" xfId="18" applyFont="1" applyFill="1" applyAlignment="1">
      <alignment horizontal="center"/>
    </xf>
    <xf numFmtId="0" fontId="24" fillId="0" borderId="0" xfId="18" applyFont="1" applyFill="1" applyAlignment="1">
      <alignment horizontal="right"/>
    </xf>
    <xf numFmtId="15" fontId="24" fillId="0" borderId="0" xfId="18" applyNumberFormat="1" applyFont="1" applyFill="1"/>
    <xf numFmtId="170" fontId="23" fillId="0" borderId="0" xfId="0" applyNumberFormat="1" applyFont="1"/>
    <xf numFmtId="0" fontId="24" fillId="0" borderId="0" xfId="18" applyFont="1" applyFill="1" applyBorder="1"/>
    <xf numFmtId="0" fontId="24" fillId="0" borderId="0" xfId="18" applyFont="1" applyFill="1" applyBorder="1" applyAlignment="1">
      <alignment horizontal="right"/>
    </xf>
    <xf numFmtId="15" fontId="24" fillId="0" borderId="0" xfId="23" applyFont="1" applyFill="1" applyBorder="1" applyAlignment="1">
      <alignment horizontal="right"/>
    </xf>
    <xf numFmtId="49" fontId="28" fillId="0" borderId="0" xfId="25" applyNumberFormat="1" applyFont="1" applyFill="1" applyBorder="1"/>
    <xf numFmtId="167" fontId="28" fillId="0" borderId="0" xfId="25" applyNumberFormat="1" applyFont="1" applyFill="1" applyBorder="1"/>
    <xf numFmtId="167" fontId="28" fillId="0" borderId="14" xfId="15" applyNumberFormat="1" applyFont="1" applyAlignment="1">
      <alignment horizontal="right"/>
    </xf>
    <xf numFmtId="0" fontId="24" fillId="0" borderId="0" xfId="25" applyFont="1" applyFill="1" applyBorder="1" applyAlignment="1">
      <alignment horizontal="center"/>
    </xf>
    <xf numFmtId="0" fontId="24" fillId="0" borderId="0" xfId="25" applyFont="1" applyFill="1" applyBorder="1" applyAlignment="1">
      <alignment horizontal="right"/>
    </xf>
    <xf numFmtId="15" fontId="24" fillId="0" borderId="0" xfId="25" applyNumberFormat="1" applyFont="1" applyFill="1" applyBorder="1"/>
    <xf numFmtId="0" fontId="24" fillId="0" borderId="0" xfId="25" applyFont="1" applyFill="1" applyBorder="1"/>
    <xf numFmtId="0" fontId="35" fillId="0" borderId="0" xfId="0" applyFont="1"/>
    <xf numFmtId="0" fontId="7" fillId="0" borderId="0" xfId="0" applyFont="1"/>
    <xf numFmtId="0" fontId="7" fillId="0" borderId="0" xfId="0" applyFont="1" applyBorder="1"/>
    <xf numFmtId="0" fontId="7" fillId="0" borderId="0" xfId="0" applyFont="1" applyFill="1" applyBorder="1" applyAlignment="1">
      <alignment horizontal="center"/>
    </xf>
    <xf numFmtId="169" fontId="25" fillId="9" borderId="9" xfId="20"/>
    <xf numFmtId="0" fontId="21" fillId="0" borderId="0" xfId="16" applyNumberFormat="1"/>
    <xf numFmtId="167" fontId="7" fillId="8" borderId="13" xfId="19" applyNumberFormat="1" applyFont="1" applyBorder="1" applyProtection="1">
      <protection locked="0"/>
    </xf>
    <xf numFmtId="167" fontId="21" fillId="0" borderId="0" xfId="16"/>
    <xf numFmtId="167" fontId="7" fillId="0" borderId="0" xfId="19" applyNumberFormat="1" applyFont="1" applyFill="1" applyBorder="1" applyProtection="1">
      <protection locked="0"/>
    </xf>
    <xf numFmtId="167" fontId="18" fillId="0" borderId="0" xfId="0" applyNumberFormat="1" applyFont="1" applyFill="1" applyBorder="1"/>
    <xf numFmtId="167" fontId="14" fillId="0" borderId="0" xfId="15" applyNumberFormat="1" applyFont="1" applyFill="1" applyBorder="1"/>
    <xf numFmtId="0" fontId="28" fillId="0" borderId="0" xfId="16" applyNumberFormat="1" applyFont="1"/>
    <xf numFmtId="0" fontId="20" fillId="0" borderId="0" xfId="17" applyNumberFormat="1" applyFont="1"/>
    <xf numFmtId="169" fontId="23" fillId="9" borderId="9" xfId="20" applyFont="1"/>
    <xf numFmtId="0" fontId="31" fillId="0" borderId="0" xfId="21" applyFont="1"/>
    <xf numFmtId="0" fontId="7" fillId="0" borderId="0" xfId="0" applyFont="1" applyFill="1"/>
    <xf numFmtId="0" fontId="31" fillId="0" borderId="0" xfId="21" applyFont="1" applyFill="1"/>
    <xf numFmtId="167" fontId="7" fillId="0" borderId="0" xfId="0" applyNumberFormat="1" applyFont="1"/>
    <xf numFmtId="0" fontId="7" fillId="11" borderId="0" xfId="26" applyFont="1"/>
    <xf numFmtId="0" fontId="7" fillId="0" borderId="0" xfId="0" applyFont="1" applyFill="1" applyBorder="1"/>
    <xf numFmtId="0" fontId="7" fillId="0" borderId="0" xfId="26" applyFont="1" applyFill="1" applyBorder="1"/>
    <xf numFmtId="0" fontId="7" fillId="0" borderId="0" xfId="0" applyFont="1" applyAlignment="1">
      <alignment horizontal="right"/>
    </xf>
    <xf numFmtId="167" fontId="7" fillId="8" borderId="13" xfId="19" applyNumberFormat="1" applyFont="1" applyBorder="1" applyAlignment="1" applyProtection="1">
      <alignment horizontal="center"/>
      <protection locked="0"/>
    </xf>
    <xf numFmtId="0" fontId="7" fillId="0" borderId="0" xfId="0" applyFont="1" applyAlignment="1">
      <alignment horizontal="center"/>
    </xf>
    <xf numFmtId="0" fontId="14" fillId="0" borderId="0" xfId="16" applyNumberFormat="1" applyFont="1"/>
    <xf numFmtId="0" fontId="14" fillId="0" borderId="0" xfId="16" applyNumberFormat="1" applyFont="1" applyAlignment="1">
      <alignment horizontal="center"/>
    </xf>
    <xf numFmtId="15" fontId="24" fillId="0" borderId="0" xfId="23" applyFont="1" applyFill="1" applyAlignment="1">
      <alignment horizontal="right"/>
    </xf>
    <xf numFmtId="167" fontId="14" fillId="0" borderId="0" xfId="24" applyFont="1" applyFill="1" applyBorder="1" applyAlignment="1">
      <alignment horizontal="center"/>
    </xf>
    <xf numFmtId="169" fontId="40" fillId="9" borderId="9" xfId="20" applyFont="1"/>
    <xf numFmtId="0" fontId="7" fillId="0" borderId="0" xfId="25" applyFont="1" applyFill="1" applyBorder="1"/>
    <xf numFmtId="0" fontId="7" fillId="0" borderId="0" xfId="25" applyFont="1" applyFill="1" applyBorder="1" applyAlignment="1">
      <alignment horizontal="right"/>
    </xf>
    <xf numFmtId="0" fontId="21" fillId="0" borderId="0" xfId="16" applyNumberFormat="1" applyFont="1"/>
    <xf numFmtId="167" fontId="7" fillId="0" borderId="0" xfId="0" applyNumberFormat="1" applyFont="1" applyFill="1" applyBorder="1"/>
    <xf numFmtId="167" fontId="14" fillId="0" borderId="0" xfId="24" applyFont="1" applyFill="1" applyBorder="1" applyProtection="1">
      <protection locked="0"/>
    </xf>
    <xf numFmtId="167" fontId="14" fillId="11" borderId="0" xfId="24" applyFont="1" applyFill="1" applyBorder="1"/>
    <xf numFmtId="0" fontId="7" fillId="0" borderId="6" xfId="0" applyFont="1" applyBorder="1"/>
    <xf numFmtId="43" fontId="7" fillId="0" borderId="0" xfId="1" applyFont="1" applyBorder="1"/>
    <xf numFmtId="168" fontId="7" fillId="8" borderId="13" xfId="19" applyNumberFormat="1" applyFont="1" applyBorder="1" applyProtection="1">
      <protection locked="0"/>
    </xf>
    <xf numFmtId="167" fontId="14" fillId="9" borderId="9" xfId="24" applyFill="1" applyBorder="1"/>
    <xf numFmtId="167" fontId="14" fillId="8" borderId="13" xfId="24" applyFill="1" applyBorder="1" applyProtection="1">
      <protection locked="0"/>
    </xf>
    <xf numFmtId="167" fontId="14" fillId="0" borderId="0" xfId="24" applyFill="1"/>
    <xf numFmtId="167" fontId="14" fillId="0" borderId="0" xfId="24" applyAlignment="1">
      <alignment horizontal="center"/>
    </xf>
    <xf numFmtId="0" fontId="41" fillId="0" borderId="0" xfId="16" applyNumberFormat="1" applyFont="1"/>
    <xf numFmtId="0" fontId="18" fillId="0" borderId="0" xfId="18" applyFont="1" applyFill="1" applyBorder="1"/>
    <xf numFmtId="0" fontId="18" fillId="0" borderId="0" xfId="0" applyFont="1" applyAlignment="1">
      <alignment horizontal="left" indent="1"/>
    </xf>
    <xf numFmtId="0" fontId="18" fillId="0" borderId="0" xfId="18" applyFont="1" applyFill="1" applyBorder="1" applyAlignment="1">
      <alignment horizontal="right"/>
    </xf>
    <xf numFmtId="15" fontId="18" fillId="0" borderId="0" xfId="23" applyFont="1" applyFill="1" applyBorder="1" applyAlignment="1">
      <alignment horizontal="right"/>
    </xf>
    <xf numFmtId="0" fontId="29" fillId="0" borderId="0" xfId="11" applyFont="1" applyFill="1" applyBorder="1"/>
    <xf numFmtId="165" fontId="7" fillId="0" borderId="14" xfId="15" applyNumberFormat="1" applyFont="1"/>
    <xf numFmtId="0" fontId="29" fillId="0" borderId="0" xfId="11" applyFont="1" applyFill="1"/>
    <xf numFmtId="0" fontId="29" fillId="0" borderId="0" xfId="11" applyFont="1" applyBorder="1"/>
    <xf numFmtId="0" fontId="18" fillId="0" borderId="0" xfId="18" applyFont="1" applyFill="1" applyBorder="1" applyAlignment="1">
      <alignment horizontal="center" vertical="center"/>
    </xf>
    <xf numFmtId="167" fontId="14" fillId="0" borderId="0" xfId="24" applyFill="1" applyBorder="1" applyAlignment="1">
      <alignment horizontal="right"/>
    </xf>
    <xf numFmtId="167" fontId="14" fillId="0" borderId="14" xfId="15" applyNumberFormat="1" applyFont="1" applyAlignment="1">
      <alignment horizontal="right"/>
    </xf>
    <xf numFmtId="0" fontId="34" fillId="0" borderId="0" xfId="18" applyFont="1" applyFill="1" applyBorder="1" applyAlignment="1">
      <alignment horizontal="center" vertical="center"/>
    </xf>
    <xf numFmtId="0" fontId="7" fillId="0" borderId="0" xfId="0" applyFont="1" applyAlignment="1">
      <alignment horizontal="center" vertical="center"/>
    </xf>
    <xf numFmtId="0" fontId="7" fillId="0" borderId="0" xfId="0" applyFont="1" applyAlignment="1">
      <alignment wrapText="1"/>
    </xf>
    <xf numFmtId="167" fontId="7" fillId="5" borderId="13" xfId="19" applyNumberFormat="1" applyFont="1" applyFill="1" applyBorder="1" applyProtection="1">
      <protection locked="0"/>
    </xf>
    <xf numFmtId="168" fontId="7" fillId="5" borderId="13" xfId="19" applyNumberFormat="1" applyFont="1" applyFill="1" applyBorder="1" applyProtection="1">
      <protection locked="0"/>
    </xf>
    <xf numFmtId="167" fontId="7" fillId="5" borderId="13" xfId="19" applyNumberFormat="1" applyFont="1" applyFill="1" applyBorder="1" applyAlignment="1" applyProtection="1">
      <alignment horizontal="right"/>
      <protection locked="0"/>
    </xf>
    <xf numFmtId="167" fontId="23" fillId="0" borderId="0" xfId="15" applyNumberFormat="1" applyFont="1" applyBorder="1"/>
    <xf numFmtId="165" fontId="23" fillId="0" borderId="0" xfId="15" applyNumberFormat="1" applyFont="1" applyBorder="1"/>
    <xf numFmtId="0" fontId="7" fillId="0" borderId="0" xfId="0" applyFont="1" applyFill="1" applyBorder="1" applyAlignment="1">
      <alignment horizontal="center" vertical="center"/>
    </xf>
    <xf numFmtId="167" fontId="14" fillId="0" borderId="0" xfId="24" applyFont="1" applyFill="1" applyBorder="1" applyAlignment="1" applyProtection="1">
      <alignment horizontal="right"/>
      <protection locked="0"/>
    </xf>
    <xf numFmtId="0" fontId="18" fillId="0" borderId="0" xfId="17" applyNumberFormat="1" applyFont="1"/>
    <xf numFmtId="168" fontId="18" fillId="0" borderId="0" xfId="14" applyFont="1" applyFill="1" applyBorder="1">
      <protection locked="0"/>
    </xf>
    <xf numFmtId="167" fontId="20" fillId="0" borderId="0" xfId="12" applyFont="1" applyFill="1" applyBorder="1" applyAlignment="1">
      <alignment horizontal="left"/>
      <protection locked="0"/>
    </xf>
    <xf numFmtId="167" fontId="20" fillId="0" borderId="0" xfId="12" applyFont="1" applyFill="1" applyBorder="1" applyAlignment="1">
      <alignment horizontal="center"/>
      <protection locked="0"/>
    </xf>
    <xf numFmtId="0" fontId="23" fillId="0" borderId="0" xfId="0" applyFont="1" applyAlignment="1">
      <alignment horizontal="center"/>
    </xf>
    <xf numFmtId="0" fontId="7" fillId="0" borderId="0" xfId="0" applyFont="1" applyAlignment="1">
      <alignment horizontal="left"/>
    </xf>
    <xf numFmtId="0" fontId="23" fillId="0" borderId="0" xfId="0" applyFont="1" applyAlignment="1">
      <alignment horizontal="left"/>
    </xf>
    <xf numFmtId="167" fontId="14" fillId="8" borderId="13" xfId="24" applyFill="1" applyBorder="1" applyAlignment="1" applyProtection="1">
      <alignment horizontal="center"/>
      <protection locked="0"/>
    </xf>
    <xf numFmtId="0" fontId="8" fillId="0" borderId="0" xfId="0" applyFont="1" applyAlignment="1"/>
    <xf numFmtId="167" fontId="34" fillId="0" borderId="0" xfId="0" applyNumberFormat="1" applyFont="1" applyFill="1" applyBorder="1"/>
    <xf numFmtId="167" fontId="18" fillId="0" borderId="0" xfId="0" applyNumberFormat="1" applyFont="1" applyFill="1" applyBorder="1" applyAlignment="1">
      <alignment horizontal="center"/>
    </xf>
    <xf numFmtId="167" fontId="18" fillId="13" borderId="0" xfId="33" applyNumberFormat="1" applyFont="1" applyBorder="1"/>
    <xf numFmtId="167" fontId="18" fillId="0" borderId="14" xfId="40" applyNumberFormat="1" applyFont="1"/>
    <xf numFmtId="167" fontId="21" fillId="0" borderId="0" xfId="16" applyFont="1"/>
    <xf numFmtId="167" fontId="18" fillId="11" borderId="0" xfId="26" applyNumberFormat="1" applyFont="1" applyBorder="1"/>
    <xf numFmtId="0" fontId="22" fillId="0" borderId="0" xfId="17"/>
    <xf numFmtId="168" fontId="22" fillId="0" borderId="0" xfId="17" applyNumberFormat="1"/>
    <xf numFmtId="0" fontId="22" fillId="0" borderId="0" xfId="17" applyFont="1"/>
    <xf numFmtId="167" fontId="22" fillId="0" borderId="0" xfId="17" applyNumberFormat="1"/>
    <xf numFmtId="15" fontId="14" fillId="0" borderId="0" xfId="23" applyFont="1"/>
    <xf numFmtId="15" fontId="22" fillId="0" borderId="0" xfId="17" applyNumberFormat="1"/>
    <xf numFmtId="167" fontId="18" fillId="0" borderId="0" xfId="33" applyNumberFormat="1" applyFont="1" applyFill="1" applyBorder="1"/>
    <xf numFmtId="167" fontId="18" fillId="0" borderId="0" xfId="26" applyNumberFormat="1" applyFont="1" applyFill="1" applyBorder="1"/>
    <xf numFmtId="15" fontId="7" fillId="8" borderId="13" xfId="19" applyNumberFormat="1" applyFont="1" applyBorder="1" applyAlignment="1" applyProtection="1">
      <alignment horizontal="center"/>
      <protection locked="0"/>
    </xf>
    <xf numFmtId="167" fontId="14" fillId="0" borderId="14" xfId="24" applyBorder="1" applyAlignment="1">
      <alignment horizontal="right"/>
    </xf>
    <xf numFmtId="167" fontId="28" fillId="0" borderId="14" xfId="24" applyFont="1" applyBorder="1"/>
    <xf numFmtId="167" fontId="28" fillId="0" borderId="0" xfId="24" applyFont="1" applyFill="1" applyBorder="1"/>
    <xf numFmtId="167" fontId="28" fillId="0" borderId="0" xfId="24" applyFont="1" applyFill="1" applyBorder="1" applyAlignment="1">
      <alignment horizontal="center" vertical="center"/>
    </xf>
    <xf numFmtId="167" fontId="18" fillId="0" borderId="14" xfId="15" applyNumberFormat="1" applyFont="1"/>
    <xf numFmtId="167" fontId="18" fillId="0" borderId="0" xfId="0" applyNumberFormat="1" applyFont="1" applyFill="1" applyBorder="1" applyAlignment="1">
      <alignment horizontal="center" vertical="center"/>
    </xf>
    <xf numFmtId="167" fontId="34" fillId="0" borderId="0" xfId="0" applyNumberFormat="1" applyFont="1" applyFill="1" applyBorder="1" applyAlignment="1">
      <alignment horizontal="center"/>
    </xf>
    <xf numFmtId="167" fontId="18" fillId="0" borderId="0" xfId="0" quotePrefix="1" applyNumberFormat="1" applyFont="1" applyFill="1" applyBorder="1" applyAlignment="1">
      <alignment horizontal="center"/>
    </xf>
    <xf numFmtId="167" fontId="34" fillId="0" borderId="17" xfId="41" applyNumberFormat="1" applyFont="1"/>
    <xf numFmtId="167" fontId="28" fillId="0" borderId="17" xfId="41" applyNumberFormat="1" applyFont="1"/>
    <xf numFmtId="167" fontId="21" fillId="0" borderId="17" xfId="41" applyNumberFormat="1" applyFont="1"/>
    <xf numFmtId="167" fontId="28" fillId="0" borderId="17" xfId="41" applyNumberFormat="1" applyFont="1" applyAlignment="1">
      <alignment horizontal="right"/>
    </xf>
    <xf numFmtId="174" fontId="8" fillId="8" borderId="13" xfId="19" applyNumberFormat="1" applyFont="1" applyBorder="1" applyAlignment="1" applyProtection="1">
      <alignment horizontal="center"/>
      <protection locked="0"/>
    </xf>
    <xf numFmtId="171" fontId="32" fillId="0" borderId="0" xfId="28" applyFont="1" applyFill="1" applyBorder="1"/>
    <xf numFmtId="167" fontId="22" fillId="0" borderId="0" xfId="17" applyNumberFormat="1" applyFont="1" applyFill="1" applyBorder="1"/>
    <xf numFmtId="0" fontId="6" fillId="0" borderId="0" xfId="0" applyFont="1"/>
    <xf numFmtId="0" fontId="8" fillId="0" borderId="0" xfId="0" applyFont="1" applyAlignment="1">
      <alignment horizontal="left"/>
    </xf>
    <xf numFmtId="167" fontId="22" fillId="0" borderId="0" xfId="17" applyNumberFormat="1" applyFont="1" applyFill="1" applyBorder="1" applyAlignment="1">
      <alignment horizontal="center"/>
    </xf>
    <xf numFmtId="168" fontId="22" fillId="0" borderId="0" xfId="17" applyNumberFormat="1" applyFont="1" applyFill="1" applyBorder="1" applyAlignment="1">
      <alignment horizontal="center"/>
    </xf>
    <xf numFmtId="173" fontId="38" fillId="15" borderId="9" xfId="34" applyFont="1"/>
    <xf numFmtId="15" fontId="22" fillId="0" borderId="0" xfId="17" applyNumberFormat="1" applyFont="1" applyFill="1" applyBorder="1"/>
    <xf numFmtId="167" fontId="34" fillId="0" borderId="14" xfId="15" applyNumberFormat="1" applyFont="1"/>
    <xf numFmtId="167" fontId="34" fillId="0" borderId="0" xfId="0" applyNumberFormat="1" applyFont="1" applyFill="1" applyBorder="1" applyAlignment="1">
      <alignment horizontal="center" vertical="center"/>
    </xf>
    <xf numFmtId="167" fontId="18" fillId="0" borderId="0" xfId="0" applyNumberFormat="1" applyFont="1" applyFill="1" applyBorder="1" applyAlignment="1">
      <alignment horizontal="right"/>
    </xf>
    <xf numFmtId="167" fontId="18" fillId="0" borderId="0" xfId="0" applyNumberFormat="1" applyFont="1" applyFill="1" applyBorder="1" applyAlignment="1">
      <alignment horizontal="left" indent="2"/>
    </xf>
    <xf numFmtId="165" fontId="8" fillId="0" borderId="0" xfId="1" applyNumberFormat="1" applyFont="1" applyFill="1" applyBorder="1"/>
    <xf numFmtId="165" fontId="8" fillId="0" borderId="0" xfId="1" applyNumberFormat="1" applyFont="1" applyBorder="1"/>
    <xf numFmtId="171" fontId="32" fillId="0" borderId="0" xfId="28"/>
    <xf numFmtId="171" fontId="32" fillId="0" borderId="0" xfId="28" applyBorder="1"/>
    <xf numFmtId="0" fontId="5" fillId="0" borderId="0" xfId="0" applyFont="1"/>
    <xf numFmtId="167" fontId="0" fillId="0" borderId="0" xfId="0" applyNumberFormat="1"/>
    <xf numFmtId="167" fontId="8" fillId="8" borderId="13" xfId="19" applyNumberFormat="1" applyFont="1" applyBorder="1" applyAlignment="1" applyProtection="1">
      <alignment horizontal="right"/>
      <protection locked="0"/>
    </xf>
    <xf numFmtId="167" fontId="10" fillId="0" borderId="0" xfId="0" applyNumberFormat="1" applyFont="1"/>
    <xf numFmtId="167" fontId="14" fillId="11" borderId="0" xfId="24" applyFill="1" applyAlignment="1">
      <alignment horizontal="right"/>
    </xf>
    <xf numFmtId="167" fontId="14" fillId="11" borderId="0" xfId="24" applyFill="1"/>
    <xf numFmtId="0" fontId="7" fillId="0" borderId="0" xfId="26" applyFont="1" applyFill="1"/>
    <xf numFmtId="167" fontId="7" fillId="11" borderId="0" xfId="26" applyNumberFormat="1" applyFont="1"/>
    <xf numFmtId="167" fontId="18" fillId="11" borderId="0" xfId="26" applyNumberFormat="1" applyFont="1" applyBorder="1" applyAlignment="1">
      <alignment horizontal="right" vertical="center"/>
    </xf>
    <xf numFmtId="167" fontId="14" fillId="11" borderId="0" xfId="24" applyFill="1" applyBorder="1"/>
    <xf numFmtId="167" fontId="14" fillId="11" borderId="13" xfId="24" applyFill="1" applyBorder="1" applyAlignment="1" applyProtection="1">
      <alignment horizontal="right"/>
      <protection locked="0"/>
    </xf>
    <xf numFmtId="0" fontId="4" fillId="0" borderId="0" xfId="0" applyFont="1" applyBorder="1"/>
    <xf numFmtId="168" fontId="14" fillId="0" borderId="0" xfId="13" applyBorder="1" applyAlignment="1">
      <alignment horizontal="center"/>
    </xf>
    <xf numFmtId="167" fontId="18" fillId="11" borderId="0" xfId="26" applyNumberFormat="1" applyFont="1" applyBorder="1" applyAlignment="1">
      <alignment horizontal="center" vertical="center"/>
    </xf>
    <xf numFmtId="167" fontId="3" fillId="0" borderId="0" xfId="0" applyNumberFormat="1" applyFont="1"/>
    <xf numFmtId="176" fontId="14" fillId="8" borderId="13" xfId="24" applyNumberFormat="1" applyFill="1" applyBorder="1" applyAlignment="1" applyProtection="1">
      <alignment horizontal="center"/>
      <protection locked="0"/>
    </xf>
    <xf numFmtId="176" fontId="14" fillId="0" borderId="13" xfId="24" applyNumberFormat="1" applyFill="1" applyBorder="1" applyAlignment="1" applyProtection="1">
      <alignment horizontal="center"/>
      <protection locked="0"/>
    </xf>
    <xf numFmtId="167" fontId="8" fillId="0" borderId="0" xfId="0" applyNumberFormat="1" applyFont="1"/>
    <xf numFmtId="167" fontId="18" fillId="5" borderId="0" xfId="0" applyNumberFormat="1" applyFont="1" applyFill="1" applyBorder="1"/>
    <xf numFmtId="171" fontId="43" fillId="0" borderId="0" xfId="28" applyFont="1" applyAlignment="1">
      <alignment horizontal="right"/>
    </xf>
    <xf numFmtId="167" fontId="34" fillId="0" borderId="0" xfId="41" applyNumberFormat="1" applyFont="1" applyFill="1" applyBorder="1"/>
    <xf numFmtId="167" fontId="44" fillId="0" borderId="0" xfId="0" applyNumberFormat="1" applyFont="1" applyFill="1" applyBorder="1"/>
    <xf numFmtId="167" fontId="39" fillId="0" borderId="0" xfId="24" applyFont="1" applyBorder="1"/>
    <xf numFmtId="167" fontId="44" fillId="0" borderId="0" xfId="0" applyNumberFormat="1" applyFont="1" applyFill="1" applyBorder="1" applyAlignment="1">
      <alignment horizontal="right"/>
    </xf>
    <xf numFmtId="0" fontId="31" fillId="0" borderId="0" xfId="0" applyFont="1" applyBorder="1" applyAlignment="1">
      <alignment horizontal="left" indent="1"/>
    </xf>
    <xf numFmtId="167" fontId="44" fillId="0" borderId="0" xfId="0" applyNumberFormat="1" applyFont="1" applyFill="1" applyBorder="1" applyAlignment="1">
      <alignment horizontal="center"/>
    </xf>
    <xf numFmtId="167" fontId="45" fillId="0" borderId="0" xfId="0" applyNumberFormat="1" applyFont="1" applyFill="1" applyBorder="1"/>
    <xf numFmtId="177" fontId="7" fillId="8" borderId="13" xfId="1" applyNumberFormat="1" applyFont="1" applyFill="1" applyBorder="1" applyProtection="1">
      <protection locked="0"/>
    </xf>
    <xf numFmtId="0" fontId="3" fillId="0" borderId="0" xfId="0" applyFont="1"/>
    <xf numFmtId="167" fontId="35" fillId="0" borderId="0" xfId="0" applyNumberFormat="1" applyFont="1"/>
    <xf numFmtId="0" fontId="3" fillId="0" borderId="0" xfId="47" applyFont="1" applyFill="1"/>
    <xf numFmtId="0" fontId="3" fillId="0" borderId="0" xfId="47" applyFont="1" applyFill="1" applyAlignment="1">
      <alignment horizontal="left" vertical="top"/>
    </xf>
    <xf numFmtId="0" fontId="3" fillId="0" borderId="0" xfId="47" applyFont="1" applyFill="1" applyAlignment="1">
      <alignment horizontal="right"/>
    </xf>
    <xf numFmtId="0" fontId="3" fillId="0" borderId="0" xfId="47" applyFont="1" applyFill="1" applyBorder="1"/>
    <xf numFmtId="15" fontId="3" fillId="0" borderId="0" xfId="47" applyNumberFormat="1" applyFont="1" applyFill="1"/>
    <xf numFmtId="0" fontId="24" fillId="0" borderId="0" xfId="47" applyFill="1"/>
    <xf numFmtId="175" fontId="24" fillId="0" borderId="0" xfId="47" applyNumberFormat="1" applyFill="1"/>
    <xf numFmtId="0" fontId="24" fillId="0" borderId="0" xfId="47" applyFill="1" applyBorder="1"/>
    <xf numFmtId="167" fontId="3" fillId="0" borderId="0" xfId="24" applyFont="1" applyFill="1"/>
    <xf numFmtId="15" fontId="3" fillId="0" borderId="0" xfId="47" applyNumberFormat="1" applyFont="1" applyFill="1" applyAlignment="1">
      <alignment horizontal="right"/>
    </xf>
    <xf numFmtId="1" fontId="3" fillId="0" borderId="0" xfId="47" applyNumberFormat="1" applyFont="1" applyFill="1" applyBorder="1" applyAlignment="1">
      <alignment horizontal="center"/>
    </xf>
    <xf numFmtId="165" fontId="3" fillId="0" borderId="0" xfId="47" applyNumberFormat="1" applyFont="1" applyFill="1" applyBorder="1"/>
    <xf numFmtId="0" fontId="3" fillId="0" borderId="0" xfId="47" applyFont="1" applyFill="1" applyBorder="1" applyAlignment="1">
      <alignment horizontal="right"/>
    </xf>
    <xf numFmtId="15" fontId="3" fillId="0" borderId="0" xfId="47" applyNumberFormat="1" applyFont="1" applyFill="1" applyBorder="1"/>
    <xf numFmtId="0" fontId="3" fillId="0" borderId="0" xfId="47" applyNumberFormat="1" applyFont="1" applyFill="1"/>
    <xf numFmtId="176" fontId="14" fillId="0" borderId="0" xfId="24" applyNumberFormat="1" applyFill="1" applyBorder="1" applyAlignment="1" applyProtection="1">
      <alignment horizontal="center"/>
      <protection locked="0"/>
    </xf>
    <xf numFmtId="0" fontId="42" fillId="0" borderId="0" xfId="0" applyFont="1"/>
    <xf numFmtId="15" fontId="3" fillId="8" borderId="13" xfId="19" applyNumberFormat="1" applyFont="1" applyBorder="1" applyAlignment="1" applyProtection="1">
      <alignment horizontal="center"/>
      <protection locked="0"/>
    </xf>
    <xf numFmtId="0" fontId="2" fillId="0" borderId="0" xfId="47" applyFont="1" applyFill="1"/>
    <xf numFmtId="0" fontId="1" fillId="0" borderId="0" xfId="0" applyFont="1"/>
    <xf numFmtId="0" fontId="1" fillId="0" borderId="0" xfId="0" applyFont="1" applyAlignment="1">
      <alignment horizontal="right"/>
    </xf>
    <xf numFmtId="0" fontId="1" fillId="0" borderId="0" xfId="0" applyFont="1" applyBorder="1"/>
    <xf numFmtId="9" fontId="20" fillId="0" borderId="0" xfId="12" applyNumberFormat="1" applyFont="1" applyFill="1" applyBorder="1" applyAlignment="1">
      <alignment horizontal="center"/>
      <protection locked="0"/>
    </xf>
    <xf numFmtId="167" fontId="1" fillId="0" borderId="0" xfId="0" applyNumberFormat="1" applyFont="1" applyFill="1" applyBorder="1"/>
    <xf numFmtId="0" fontId="1" fillId="0" borderId="0" xfId="0" applyFont="1" applyAlignment="1">
      <alignment horizontal="center" vertical="center"/>
    </xf>
    <xf numFmtId="0" fontId="1" fillId="0" borderId="0" xfId="0" applyFont="1" applyAlignment="1">
      <alignment horizontal="center"/>
    </xf>
    <xf numFmtId="168" fontId="1" fillId="8" borderId="13" xfId="19" applyNumberFormat="1" applyFont="1" applyBorder="1" applyAlignment="1" applyProtection="1">
      <alignment horizontal="center"/>
      <protection locked="0"/>
    </xf>
    <xf numFmtId="15" fontId="7" fillId="0" borderId="0" xfId="19" applyNumberFormat="1" applyFont="1" applyFill="1" applyBorder="1" applyAlignment="1" applyProtection="1">
      <alignment horizontal="center"/>
      <protection locked="0"/>
    </xf>
    <xf numFmtId="167" fontId="1" fillId="8" borderId="13" xfId="19" applyNumberFormat="1" applyFont="1" applyBorder="1" applyAlignment="1" applyProtection="1">
      <alignment horizontal="center"/>
      <protection locked="0"/>
    </xf>
    <xf numFmtId="15" fontId="1" fillId="8" borderId="13" xfId="19" applyNumberFormat="1" applyFont="1" applyBorder="1" applyAlignment="1" applyProtection="1">
      <alignment horizontal="center"/>
      <protection locked="0"/>
    </xf>
    <xf numFmtId="174" fontId="8" fillId="8" borderId="13" xfId="19" applyNumberFormat="1" applyFont="1" applyBorder="1" applyAlignment="1" applyProtection="1">
      <alignment horizontal="right"/>
      <protection locked="0"/>
    </xf>
    <xf numFmtId="174" fontId="8" fillId="0" borderId="0" xfId="0" applyNumberFormat="1" applyFont="1"/>
    <xf numFmtId="177" fontId="7" fillId="5" borderId="13" xfId="19" applyNumberFormat="1" applyFont="1" applyFill="1" applyBorder="1" applyAlignment="1" applyProtection="1">
      <alignment horizontal="right"/>
      <protection locked="0"/>
    </xf>
    <xf numFmtId="177" fontId="7" fillId="5" borderId="13" xfId="19" applyNumberFormat="1" applyFont="1" applyFill="1" applyBorder="1" applyProtection="1">
      <protection locked="0"/>
    </xf>
    <xf numFmtId="177" fontId="23" fillId="0" borderId="14" xfId="15" applyNumberFormat="1" applyFont="1"/>
    <xf numFmtId="167" fontId="23" fillId="0" borderId="0" xfId="0" applyNumberFormat="1" applyFont="1" applyFill="1" applyBorder="1"/>
    <xf numFmtId="180" fontId="18" fillId="0" borderId="0" xfId="0" applyNumberFormat="1" applyFont="1" applyFill="1" applyBorder="1"/>
    <xf numFmtId="0" fontId="1" fillId="0" borderId="0" xfId="47" applyFont="1" applyFill="1"/>
    <xf numFmtId="167" fontId="1" fillId="0" borderId="0" xfId="0" applyNumberFormat="1" applyFont="1"/>
    <xf numFmtId="167" fontId="14" fillId="0" borderId="0" xfId="24" applyNumberFormat="1"/>
    <xf numFmtId="0" fontId="23" fillId="0" borderId="0" xfId="47" applyFont="1" applyFill="1"/>
    <xf numFmtId="0" fontId="1" fillId="0" borderId="0" xfId="47" applyFont="1" applyFill="1" applyAlignment="1">
      <alignment horizontal="left" vertical="top"/>
    </xf>
    <xf numFmtId="0" fontId="1" fillId="0" borderId="0" xfId="47" applyFont="1" applyFill="1" applyAlignment="1">
      <alignment horizontal="right"/>
    </xf>
    <xf numFmtId="0" fontId="1" fillId="0" borderId="0" xfId="47" applyFont="1" applyFill="1" applyBorder="1"/>
    <xf numFmtId="15" fontId="1" fillId="0" borderId="0" xfId="47" applyNumberFormat="1" applyFont="1" applyFill="1" applyAlignment="1">
      <alignment horizontal="right"/>
    </xf>
    <xf numFmtId="9" fontId="18" fillId="0" borderId="0" xfId="2" applyFont="1" applyFill="1" applyBorder="1"/>
    <xf numFmtId="9" fontId="18" fillId="0" borderId="0" xfId="2" applyFont="1" applyFill="1" applyBorder="1" applyAlignment="1">
      <alignment horizontal="center"/>
    </xf>
    <xf numFmtId="181" fontId="18" fillId="0" borderId="0" xfId="0" applyNumberFormat="1" applyFont="1" applyFill="1" applyBorder="1" applyAlignment="1">
      <alignment horizontal="left"/>
    </xf>
    <xf numFmtId="9" fontId="14" fillId="0" borderId="0" xfId="2" applyFont="1" applyBorder="1"/>
    <xf numFmtId="169" fontId="40" fillId="9" borderId="12" xfId="20" applyFont="1" applyBorder="1"/>
    <xf numFmtId="167" fontId="34" fillId="0" borderId="18" xfId="41" applyNumberFormat="1" applyFont="1" applyBorder="1"/>
    <xf numFmtId="1" fontId="10" fillId="3" borderId="8" xfId="0" applyNumberFormat="1" applyFont="1" applyFill="1" applyBorder="1" applyAlignment="1">
      <alignment horizontal="center"/>
    </xf>
    <xf numFmtId="0" fontId="10" fillId="3" borderId="9" xfId="0" applyFont="1" applyFill="1" applyBorder="1" applyAlignment="1">
      <alignment horizontal="center"/>
    </xf>
    <xf numFmtId="0" fontId="10" fillId="3" borderId="10" xfId="0" applyFont="1" applyFill="1" applyBorder="1" applyAlignment="1">
      <alignment horizontal="center"/>
    </xf>
  </cellXfs>
  <cellStyles count="50">
    <cellStyle name="20% - Accent1" xfId="19" builtinId="30"/>
    <cellStyle name="Accent1" xfId="18" builtinId="29"/>
    <cellStyle name="Accent3" xfId="47" builtinId="37"/>
    <cellStyle name="Comma" xfId="1" builtinId="3"/>
    <cellStyle name="Comma 2" xfId="3" xr:uid="{00000000-0005-0000-0000-000004000000}"/>
    <cellStyle name="Comma 3" xfId="45" xr:uid="{00000000-0005-0000-0000-000005000000}"/>
    <cellStyle name="Explanatory Text" xfId="11" builtinId="53"/>
    <cellStyle name="EYBlocked" xfId="25" xr:uid="{00000000-0005-0000-0000-000007000000}"/>
    <cellStyle name="EYBlocked 2" xfId="30" xr:uid="{00000000-0005-0000-0000-000008000000}"/>
    <cellStyle name="EYCallUp" xfId="17" xr:uid="{00000000-0005-0000-0000-000009000000}"/>
    <cellStyle name="EYCheck" xfId="28" xr:uid="{00000000-0005-0000-0000-00000A000000}"/>
    <cellStyle name="EYCheck 2" xfId="31" xr:uid="{00000000-0005-0000-0000-00000B000000}"/>
    <cellStyle name="EYDate" xfId="23" xr:uid="{00000000-0005-0000-0000-00000C000000}"/>
    <cellStyle name="EYDate 2" xfId="32" xr:uid="{00000000-0005-0000-0000-00000D000000}"/>
    <cellStyle name="EYDeviant" xfId="26" xr:uid="{00000000-0005-0000-0000-00000E000000}"/>
    <cellStyle name="EYDeviant 2" xfId="33" xr:uid="{00000000-0005-0000-0000-00000F000000}"/>
    <cellStyle name="EYHeader1" xfId="20" xr:uid="{00000000-0005-0000-0000-000010000000}"/>
    <cellStyle name="EYHeader1 2" xfId="34" xr:uid="{00000000-0005-0000-0000-000011000000}"/>
    <cellStyle name="EYHeader2" xfId="16" xr:uid="{00000000-0005-0000-0000-000012000000}"/>
    <cellStyle name="EYHeader3" xfId="21" xr:uid="{00000000-0005-0000-0000-000013000000}"/>
    <cellStyle name="EYHeader3 2" xfId="35" xr:uid="{00000000-0005-0000-0000-000014000000}"/>
    <cellStyle name="EYInputDate" xfId="22" xr:uid="{00000000-0005-0000-0000-000015000000}"/>
    <cellStyle name="EYInputDate 2" xfId="36" xr:uid="{00000000-0005-0000-0000-000016000000}"/>
    <cellStyle name="EYInputPercent" xfId="14" xr:uid="{00000000-0005-0000-0000-000017000000}"/>
    <cellStyle name="EYInputPercent 2" xfId="37" xr:uid="{00000000-0005-0000-0000-000018000000}"/>
    <cellStyle name="EYInputValue" xfId="12" xr:uid="{00000000-0005-0000-0000-000019000000}"/>
    <cellStyle name="EYInputValue 2" xfId="38" xr:uid="{00000000-0005-0000-0000-00001A000000}"/>
    <cellStyle name="EYNormal" xfId="24" xr:uid="{00000000-0005-0000-0000-00001B000000}"/>
    <cellStyle name="EYPercent" xfId="13" xr:uid="{00000000-0005-0000-0000-00001C000000}"/>
    <cellStyle name="EYPercentCapped" xfId="39" xr:uid="{00000000-0005-0000-0000-00001D000000}"/>
    <cellStyle name="EYSubTotal" xfId="15" xr:uid="{00000000-0005-0000-0000-00001E000000}"/>
    <cellStyle name="EYSubTotal 2" xfId="40" xr:uid="{00000000-0005-0000-0000-00001F000000}"/>
    <cellStyle name="EYTotal" xfId="41" xr:uid="{00000000-0005-0000-0000-000020000000}"/>
    <cellStyle name="EYWIP" xfId="27" xr:uid="{00000000-0005-0000-0000-000021000000}"/>
    <cellStyle name="EYWIP 2" xfId="42" xr:uid="{00000000-0005-0000-0000-000022000000}"/>
    <cellStyle name="General" xfId="43" xr:uid="{00000000-0005-0000-0000-000023000000}"/>
    <cellStyle name="Normal" xfId="0" builtinId="0"/>
    <cellStyle name="Normal 2" xfId="4" xr:uid="{00000000-0005-0000-0000-000025000000}"/>
    <cellStyle name="Normal 2 2" xfId="10" xr:uid="{00000000-0005-0000-0000-000026000000}"/>
    <cellStyle name="Normal 2_Sheet1" xfId="9" xr:uid="{00000000-0005-0000-0000-000027000000}"/>
    <cellStyle name="Normal 3" xfId="5" xr:uid="{00000000-0005-0000-0000-000028000000}"/>
    <cellStyle name="Normal 4" xfId="6" xr:uid="{00000000-0005-0000-0000-000029000000}"/>
    <cellStyle name="Normal 5" xfId="29" xr:uid="{00000000-0005-0000-0000-00002A000000}"/>
    <cellStyle name="Percent" xfId="2" builtinId="5"/>
    <cellStyle name="Percent 2" xfId="7" xr:uid="{00000000-0005-0000-0000-00002C000000}"/>
    <cellStyle name="Percent 3" xfId="8" xr:uid="{00000000-0005-0000-0000-00002D000000}"/>
    <cellStyle name="Percent 4" xfId="46" xr:uid="{00000000-0005-0000-0000-00002E000000}"/>
    <cellStyle name="Percent1" xfId="49" xr:uid="{00000000-0005-0000-0000-00002F000000}"/>
    <cellStyle name="Text" xfId="44" xr:uid="{00000000-0005-0000-0000-000030000000}"/>
    <cellStyle name="Thousands" xfId="48"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'Outputs - Summary'!$B$12</c:f>
              <c:strCache>
                <c:ptCount val="1"/>
                <c:pt idx="0">
                  <c:v>Sales</c:v>
                </c:pt>
              </c:strCache>
            </c:strRef>
          </c:tx>
          <c:invertIfNegative val="0"/>
          <c:cat>
            <c:numRef>
              <c:f>'Outputs - Summary'!$E$5:$L$5</c:f>
              <c:numCache>
                <c:formatCode>General</c:formatCode>
                <c:ptCount val="6"/>
                <c:pt idx="0">
                  <c:v>2012</c:v>
                </c:pt>
                <c:pt idx="1">
                  <c:v>2013</c:v>
                </c:pt>
                <c:pt idx="2">
                  <c:v>2014</c:v>
                </c:pt>
                <c:pt idx="3">
                  <c:v>2015</c:v>
                </c:pt>
                <c:pt idx="4">
                  <c:v>2016</c:v>
                </c:pt>
                <c:pt idx="5">
                  <c:v>2017</c:v>
                </c:pt>
              </c:numCache>
            </c:numRef>
          </c:cat>
          <c:val>
            <c:numRef>
              <c:f>'Outputs - Summary'!$E$12:$L$12</c:f>
              <c:numCache>
                <c:formatCode>#,##0_);[Red]\(#,##0\);\-_)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B32E-40D1-8EBE-649FAA7780CE}"/>
            </c:ext>
          </c:extLst>
        </c:ser>
        <c:ser>
          <c:idx val="1"/>
          <c:order val="1"/>
          <c:tx>
            <c:strRef>
              <c:f>'Outputs - Summary'!$B$27</c:f>
              <c:strCache>
                <c:ptCount val="1"/>
                <c:pt idx="0">
                  <c:v>Gross profit</c:v>
                </c:pt>
              </c:strCache>
            </c:strRef>
          </c:tx>
          <c:invertIfNegative val="0"/>
          <c:cat>
            <c:numRef>
              <c:f>'Outputs - Summary'!$E$5:$L$5</c:f>
              <c:numCache>
                <c:formatCode>General</c:formatCode>
                <c:ptCount val="6"/>
                <c:pt idx="0">
                  <c:v>2012</c:v>
                </c:pt>
                <c:pt idx="1">
                  <c:v>2013</c:v>
                </c:pt>
                <c:pt idx="2">
                  <c:v>2014</c:v>
                </c:pt>
                <c:pt idx="3">
                  <c:v>2015</c:v>
                </c:pt>
                <c:pt idx="4">
                  <c:v>2016</c:v>
                </c:pt>
                <c:pt idx="5">
                  <c:v>2017</c:v>
                </c:pt>
              </c:numCache>
            </c:numRef>
          </c:cat>
          <c:val>
            <c:numRef>
              <c:f>'Outputs - Summary'!$E$27:$L$27</c:f>
              <c:numCache>
                <c:formatCode>#,##0_);[Red]\(#,##0\);\-_)</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B32E-40D1-8EBE-649FAA7780CE}"/>
            </c:ext>
          </c:extLst>
        </c:ser>
        <c:dLbls>
          <c:showLegendKey val="0"/>
          <c:showVal val="0"/>
          <c:showCatName val="0"/>
          <c:showSerName val="0"/>
          <c:showPercent val="0"/>
          <c:showBubbleSize val="0"/>
        </c:dLbls>
        <c:gapWidth val="150"/>
        <c:axId val="329338280"/>
        <c:axId val="329338672"/>
      </c:barChart>
      <c:lineChart>
        <c:grouping val="standard"/>
        <c:varyColors val="0"/>
        <c:ser>
          <c:idx val="2"/>
          <c:order val="2"/>
          <c:tx>
            <c:strRef>
              <c:f>'Outputs - Summary'!$B$38</c:f>
              <c:strCache>
                <c:ptCount val="1"/>
                <c:pt idx="0">
                  <c:v>PBT</c:v>
                </c:pt>
              </c:strCache>
            </c:strRef>
          </c:tx>
          <c:cat>
            <c:numRef>
              <c:f>'Outputs - Summary'!$E$5:$L$5</c:f>
              <c:numCache>
                <c:formatCode>General</c:formatCode>
                <c:ptCount val="6"/>
                <c:pt idx="0">
                  <c:v>2012</c:v>
                </c:pt>
                <c:pt idx="1">
                  <c:v>2013</c:v>
                </c:pt>
                <c:pt idx="2">
                  <c:v>2014</c:v>
                </c:pt>
                <c:pt idx="3">
                  <c:v>2015</c:v>
                </c:pt>
                <c:pt idx="4">
                  <c:v>2016</c:v>
                </c:pt>
                <c:pt idx="5">
                  <c:v>2017</c:v>
                </c:pt>
              </c:numCache>
            </c:numRef>
          </c:cat>
          <c:val>
            <c:numRef>
              <c:f>'Outputs - Summary'!$E$38:$L$38</c:f>
              <c:numCache>
                <c:formatCode>#,##0_);[Red]\(#,##0\);\-_)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B32E-40D1-8EBE-649FAA7780CE}"/>
            </c:ext>
          </c:extLst>
        </c:ser>
        <c:dLbls>
          <c:showLegendKey val="0"/>
          <c:showVal val="0"/>
          <c:showCatName val="0"/>
          <c:showSerName val="0"/>
          <c:showPercent val="0"/>
          <c:showBubbleSize val="0"/>
        </c:dLbls>
        <c:marker val="1"/>
        <c:smooth val="0"/>
        <c:axId val="329339456"/>
        <c:axId val="329339064"/>
      </c:lineChart>
      <c:catAx>
        <c:axId val="329338280"/>
        <c:scaling>
          <c:orientation val="minMax"/>
        </c:scaling>
        <c:delete val="0"/>
        <c:axPos val="b"/>
        <c:numFmt formatCode="General" sourceLinked="1"/>
        <c:majorTickMark val="out"/>
        <c:minorTickMark val="none"/>
        <c:tickLblPos val="nextTo"/>
        <c:crossAx val="329338672"/>
        <c:crosses val="autoZero"/>
        <c:auto val="1"/>
        <c:lblAlgn val="ctr"/>
        <c:lblOffset val="100"/>
        <c:noMultiLvlLbl val="0"/>
      </c:catAx>
      <c:valAx>
        <c:axId val="329338672"/>
        <c:scaling>
          <c:orientation val="minMax"/>
        </c:scaling>
        <c:delete val="0"/>
        <c:axPos val="l"/>
        <c:majorGridlines/>
        <c:numFmt formatCode="#,##0_);[Red]\(#,##0\);\-_)" sourceLinked="1"/>
        <c:majorTickMark val="out"/>
        <c:minorTickMark val="none"/>
        <c:tickLblPos val="nextTo"/>
        <c:crossAx val="329338280"/>
        <c:crosses val="autoZero"/>
        <c:crossBetween val="between"/>
      </c:valAx>
      <c:valAx>
        <c:axId val="329339064"/>
        <c:scaling>
          <c:orientation val="minMax"/>
        </c:scaling>
        <c:delete val="0"/>
        <c:axPos val="r"/>
        <c:numFmt formatCode="#,##0_);[Red]\(#,##0\);\-_)" sourceLinked="1"/>
        <c:majorTickMark val="out"/>
        <c:minorTickMark val="none"/>
        <c:tickLblPos val="nextTo"/>
        <c:crossAx val="329339456"/>
        <c:crosses val="max"/>
        <c:crossBetween val="between"/>
      </c:valAx>
      <c:catAx>
        <c:axId val="329339456"/>
        <c:scaling>
          <c:orientation val="minMax"/>
        </c:scaling>
        <c:delete val="1"/>
        <c:axPos val="b"/>
        <c:numFmt formatCode="General" sourceLinked="1"/>
        <c:majorTickMark val="out"/>
        <c:minorTickMark val="none"/>
        <c:tickLblPos val="none"/>
        <c:crossAx val="329339064"/>
        <c:crosses val="autoZero"/>
        <c:auto val="1"/>
        <c:lblAlgn val="ctr"/>
        <c:lblOffset val="100"/>
        <c:noMultiLvlLbl val="0"/>
      </c:catAx>
    </c:plotArea>
    <c:legend>
      <c:legendPos val="r"/>
      <c:overlay val="0"/>
    </c:legend>
    <c:plotVisOnly val="1"/>
    <c:dispBlanksAs val="gap"/>
    <c:showDLblsOverMax val="0"/>
  </c:chart>
  <c:printSettings>
    <c:headerFooter/>
    <c:pageMargins b="0.750000000000001" l="0.70000000000000095" r="0.70000000000000095" t="0.750000000000001"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'Outputs - Summary'!$B$79</c:f>
              <c:strCache>
                <c:ptCount val="1"/>
                <c:pt idx="0">
                  <c:v>Cash at bank</c:v>
                </c:pt>
              </c:strCache>
            </c:strRef>
          </c:tx>
          <c:cat>
            <c:numRef>
              <c:f>'Outputs - Summary'!$E$5:$L$5</c:f>
              <c:numCache>
                <c:formatCode>General</c:formatCode>
                <c:ptCount val="6"/>
                <c:pt idx="0">
                  <c:v>2012</c:v>
                </c:pt>
                <c:pt idx="1">
                  <c:v>2013</c:v>
                </c:pt>
                <c:pt idx="2">
                  <c:v>2014</c:v>
                </c:pt>
                <c:pt idx="3">
                  <c:v>2015</c:v>
                </c:pt>
                <c:pt idx="4">
                  <c:v>2016</c:v>
                </c:pt>
                <c:pt idx="5">
                  <c:v>2017</c:v>
                </c:pt>
              </c:numCache>
            </c:numRef>
          </c:cat>
          <c:val>
            <c:numRef>
              <c:f>'Outputs - Summary'!$E$79:$L$79</c:f>
              <c:numCache>
                <c:formatCode>#,##0_);[Red]\(#,##0\);\-_)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8286-438A-978F-03157C8E99B0}"/>
            </c:ext>
          </c:extLst>
        </c:ser>
        <c:dLbls>
          <c:showLegendKey val="0"/>
          <c:showVal val="0"/>
          <c:showCatName val="0"/>
          <c:showSerName val="0"/>
          <c:showPercent val="0"/>
          <c:showBubbleSize val="0"/>
        </c:dLbls>
        <c:marker val="1"/>
        <c:smooth val="0"/>
        <c:axId val="330780088"/>
        <c:axId val="330780480"/>
      </c:lineChart>
      <c:catAx>
        <c:axId val="330780088"/>
        <c:scaling>
          <c:orientation val="minMax"/>
        </c:scaling>
        <c:delete val="0"/>
        <c:axPos val="b"/>
        <c:numFmt formatCode="General" sourceLinked="1"/>
        <c:majorTickMark val="out"/>
        <c:minorTickMark val="none"/>
        <c:tickLblPos val="nextTo"/>
        <c:crossAx val="330780480"/>
        <c:crosses val="autoZero"/>
        <c:auto val="1"/>
        <c:lblAlgn val="ctr"/>
        <c:lblOffset val="100"/>
        <c:noMultiLvlLbl val="0"/>
      </c:catAx>
      <c:valAx>
        <c:axId val="330780480"/>
        <c:scaling>
          <c:orientation val="minMax"/>
        </c:scaling>
        <c:delete val="0"/>
        <c:axPos val="l"/>
        <c:majorGridlines/>
        <c:numFmt formatCode="#,##0_);[Red]\(#,##0\);\-_)" sourceLinked="1"/>
        <c:majorTickMark val="out"/>
        <c:minorTickMark val="none"/>
        <c:tickLblPos val="nextTo"/>
        <c:crossAx val="330780088"/>
        <c:crosses val="autoZero"/>
        <c:crossBetween val="between"/>
      </c:valAx>
    </c:plotArea>
    <c:legend>
      <c:legendPos val="r"/>
      <c:overlay val="0"/>
    </c:legend>
    <c:plotVisOnly val="1"/>
    <c:dispBlanksAs val="gap"/>
    <c:showDLblsOverMax val="0"/>
  </c:chart>
  <c:printSettings>
    <c:headerFooter/>
    <c:pageMargins b="0.750000000000001" l="0.70000000000000095" r="0.70000000000000095" t="0.750000000000001" header="0.3" footer="0.3"/>
    <c:pageSetup/>
  </c:printSettings>
</c:chartSpace>
</file>

<file path=xl/ctrlProps/ctrlProp1.xml><?xml version="1.0" encoding="utf-8"?>
<formControlPr xmlns="http://schemas.microsoft.com/office/spreadsheetml/2009/9/main" objectType="Button" lockText="1"/>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220980</xdr:colOff>
          <xdr:row>2</xdr:row>
          <xdr:rowOff>121920</xdr:rowOff>
        </xdr:from>
        <xdr:to>
          <xdr:col>1</xdr:col>
          <xdr:colOff>792480</xdr:colOff>
          <xdr:row>4</xdr:row>
          <xdr:rowOff>30480</xdr:rowOff>
        </xdr:to>
        <xdr:sp macro="" textlink="">
          <xdr:nvSpPr>
            <xdr:cNvPr id="4101" name="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100" b="0" i="0" u="none" strike="noStrike" baseline="0">
                  <a:solidFill>
                    <a:srgbClr val="000000"/>
                  </a:solidFill>
                  <a:latin typeface="Calibri"/>
                  <a:ea typeface="Calibri"/>
                  <a:cs typeface="Calibri"/>
                </a:rPr>
                <a:t>Go To</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9525</xdr:colOff>
      <xdr:row>1</xdr:row>
      <xdr:rowOff>180975</xdr:rowOff>
    </xdr:from>
    <xdr:to>
      <xdr:col>10</xdr:col>
      <xdr:colOff>342900</xdr:colOff>
      <xdr:row>24</xdr:row>
      <xdr:rowOff>175260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525" y="363855"/>
          <a:ext cx="6429375" cy="420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t>This Financial Model (‘the Model’) has been constructed for a specific purpose and is not intended for distribution to third parties. Third parties who obtain copies of the Model should be aware of the following:</a:t>
          </a:r>
          <a:br>
            <a:rPr lang="en-GB"/>
          </a:br>
          <a:br>
            <a:rPr lang="en-GB"/>
          </a:br>
          <a:r>
            <a:rPr lang="en-GB"/>
            <a:t>- the Model may not be suitable for purposes, other than the specific purpose for which it was designed, and the interests of third parties may not have been anticipated;</a:t>
          </a:r>
          <a:br>
            <a:rPr lang="en-GB"/>
          </a:br>
          <a:br>
            <a:rPr lang="en-GB"/>
          </a:br>
          <a:r>
            <a:rPr lang="en-GB"/>
            <a:t>- the Model was not intended for use by third parties and may not be designed so that it can be readily operated in a correct manner by such parties;</a:t>
          </a:r>
          <a:br>
            <a:rPr lang="en-GB"/>
          </a:br>
          <a:br>
            <a:rPr lang="en-GB"/>
          </a:br>
          <a:r>
            <a:rPr lang="en-GB"/>
            <a:t>- the Model may be development version and may not be complete or, in the event that development of the Model has concluded, material events may have occurred since completion, which are not reflected in the Model;</a:t>
          </a:r>
          <a:br>
            <a:rPr lang="en-GB"/>
          </a:br>
          <a:br>
            <a:rPr lang="en-GB"/>
          </a:br>
          <a:r>
            <a:rPr lang="en-GB"/>
            <a:t>- the Model may not have been subject to independent testing and where it has been tested, this may not provide an appropriate degree of assurance for all possible uses of the Model.</a:t>
          </a:r>
          <a:br>
            <a:rPr lang="en-GB"/>
          </a:br>
          <a:br>
            <a:rPr lang="en-GB"/>
          </a:br>
          <a:r>
            <a:rPr lang="en-GB"/>
            <a:t>Accordingly, third party recipients of this Model use it entirely at their own risk and, in the absence of express written consent, no responsibility is taken or accepted for any losses which may result therefrom, including direct or indirect consequences of computer viruses. </a:t>
          </a:r>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357188</xdr:colOff>
      <xdr:row>15</xdr:row>
      <xdr:rowOff>95251</xdr:rowOff>
    </xdr:from>
    <xdr:to>
      <xdr:col>21</xdr:col>
      <xdr:colOff>11906</xdr:colOff>
      <xdr:row>41</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452437</xdr:colOff>
      <xdr:row>68</xdr:row>
      <xdr:rowOff>130968</xdr:rowOff>
    </xdr:from>
    <xdr:to>
      <xdr:col>22</xdr:col>
      <xdr:colOff>166687</xdr:colOff>
      <xdr:row>95</xdr:row>
      <xdr:rowOff>35719</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nancial%20model%20template%20(version%201).xlsb"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nancial%20model%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esc"/>
      <sheetName val="Log"/>
      <sheetName val="Input"/>
      <sheetName val="EBITDA"/>
      <sheetName val="NCAs"/>
      <sheetName val="Finance"/>
      <sheetName val="Tax"/>
      <sheetName val="IS"/>
      <sheetName val="CFS"/>
      <sheetName val="BS"/>
      <sheetName val="DCF"/>
    </sheetNames>
    <sheetDataSet>
      <sheetData sheetId="0"/>
      <sheetData sheetId="1"/>
      <sheetData sheetId="2"/>
      <sheetData sheetId="3" refreshError="1">
        <row r="33">
          <cell r="E33">
            <v>40000000</v>
          </cell>
        </row>
        <row r="35">
          <cell r="E35">
            <v>7.0000000000000007E-2</v>
          </cell>
        </row>
        <row r="36">
          <cell r="E36">
            <v>6</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esc"/>
      <sheetName val="Log"/>
      <sheetName val="Input"/>
      <sheetName val="EBITDA"/>
      <sheetName val="NCAs"/>
      <sheetName val="Finance"/>
      <sheetName val="Tax"/>
      <sheetName val="IS"/>
      <sheetName val="CFS"/>
      <sheetName val="BS"/>
      <sheetName val="DCF"/>
    </sheetNames>
    <sheetDataSet>
      <sheetData sheetId="0"/>
      <sheetData sheetId="1"/>
      <sheetData sheetId="2"/>
      <sheetData sheetId="3" refreshError="1">
        <row r="42">
          <cell r="E42">
            <v>0.28000000000000003</v>
          </cell>
        </row>
      </sheetData>
      <sheetData sheetId="4"/>
      <sheetData sheetId="5"/>
      <sheetData sheetId="6"/>
      <sheetData sheetId="7"/>
      <sheetData sheetId="8"/>
      <sheetData sheetId="9"/>
      <sheetData sheetId="10"/>
      <sheetData sheetId="11" refreshError="1">
        <row r="20">
          <cell r="E20">
            <v>103972001.60559934</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B2:E25"/>
  <sheetViews>
    <sheetView workbookViewId="0">
      <selection activeCell="B3" sqref="B3"/>
    </sheetView>
  </sheetViews>
  <sheetFormatPr defaultColWidth="8.88671875" defaultRowHeight="14.4" x14ac:dyDescent="0.3"/>
  <cols>
    <col min="1" max="1" width="2.44140625" customWidth="1"/>
    <col min="2" max="2" width="16.33203125" customWidth="1"/>
    <col min="3" max="3" width="23.44140625" customWidth="1"/>
    <col min="4" max="4" width="11.6640625" customWidth="1"/>
    <col min="5" max="5" width="11.109375" customWidth="1"/>
    <col min="6" max="6" width="2.44140625" customWidth="1"/>
  </cols>
  <sheetData>
    <row r="2" spans="3:5" x14ac:dyDescent="0.3">
      <c r="D2" s="29" t="s">
        <v>112</v>
      </c>
      <c r="E2" s="29" t="s">
        <v>113</v>
      </c>
    </row>
    <row r="3" spans="3:5" x14ac:dyDescent="0.3">
      <c r="D3" s="29"/>
      <c r="E3" s="29"/>
    </row>
    <row r="4" spans="3:5" x14ac:dyDescent="0.3">
      <c r="C4" t="s">
        <v>107</v>
      </c>
    </row>
    <row r="6" spans="3:5" x14ac:dyDescent="0.3">
      <c r="C6" t="s">
        <v>108</v>
      </c>
    </row>
    <row r="8" spans="3:5" x14ac:dyDescent="0.3">
      <c r="C8" t="s">
        <v>109</v>
      </c>
    </row>
    <row r="10" spans="3:5" x14ac:dyDescent="0.3">
      <c r="C10" t="s">
        <v>22</v>
      </c>
    </row>
    <row r="12" spans="3:5" x14ac:dyDescent="0.3">
      <c r="C12" t="s">
        <v>23</v>
      </c>
    </row>
    <row r="14" spans="3:5" x14ac:dyDescent="0.3">
      <c r="C14" t="s">
        <v>15</v>
      </c>
    </row>
    <row r="16" spans="3:5" x14ac:dyDescent="0.3">
      <c r="C16" t="s">
        <v>110</v>
      </c>
    </row>
    <row r="18" spans="2:3" x14ac:dyDescent="0.3">
      <c r="C18" t="s">
        <v>111</v>
      </c>
    </row>
    <row r="20" spans="2:3" x14ac:dyDescent="0.3">
      <c r="C20" t="s">
        <v>18</v>
      </c>
    </row>
    <row r="22" spans="2:3" x14ac:dyDescent="0.3">
      <c r="C22" t="s">
        <v>19</v>
      </c>
    </row>
    <row r="24" spans="2:3" hidden="1" x14ac:dyDescent="0.3">
      <c r="B24" t="s">
        <v>114</v>
      </c>
    </row>
    <row r="25" spans="2:3" hidden="1" x14ac:dyDescent="0.3">
      <c r="B25" t="s">
        <v>115</v>
      </c>
    </row>
  </sheetData>
  <dataValidations count="1">
    <dataValidation type="list" allowBlank="1" showInputMessage="1" showErrorMessage="1" sqref="D1 D20:E20 D18:E18 D16:E16 D14:E14 D12:E12 D10:E10 D8:E8 D6:E6 D4:E4 D22:E22" xr:uid="{00000000-0002-0000-0000-000000000000}">
      <formula1>#REF!</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01" r:id="rId4" name="Button 5">
              <controlPr defaultSize="0" print="0" autoFill="0" autoPict="0" macro="[0]!Key_Inputs_Gen_Assumptions">
                <anchor moveWithCells="1" sizeWithCells="1">
                  <from>
                    <xdr:col>1</xdr:col>
                    <xdr:colOff>220980</xdr:colOff>
                    <xdr:row>2</xdr:row>
                    <xdr:rowOff>121920</xdr:rowOff>
                  </from>
                  <to>
                    <xdr:col>1</xdr:col>
                    <xdr:colOff>792480</xdr:colOff>
                    <xdr:row>4</xdr:row>
                    <xdr:rowOff>30480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workbookViewId="0">
      <selection activeCell="M18" sqref="M18"/>
    </sheetView>
  </sheetViews>
  <sheetFormatPr defaultColWidth="8.88671875" defaultRowHeight="14.4" x14ac:dyDescent="0.3"/>
  <sheetData>
    <row r="1" spans="1:1" x14ac:dyDescent="0.3">
      <c r="A1" s="3" t="s">
        <v>423</v>
      </c>
    </row>
  </sheetData>
  <pageMargins left="0.7" right="0.7" top="0.75" bottom="0.75" header="0.3" footer="0.3"/>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CF140"/>
  <sheetViews>
    <sheetView showGridLines="0" zoomScale="80" zoomScaleNormal="80" zoomScalePageLayoutView="80" workbookViewId="0">
      <pane ySplit="8" topLeftCell="A9" activePane="bottomLeft" state="frozen"/>
      <selection activeCell="C10" sqref="C10"/>
      <selection pane="bottomLeft" activeCell="G36" sqref="G36"/>
    </sheetView>
  </sheetViews>
  <sheetFormatPr defaultColWidth="0" defaultRowHeight="13.8" outlineLevelRow="1" x14ac:dyDescent="0.25"/>
  <cols>
    <col min="1" max="1" width="3.44140625" style="138" customWidth="1"/>
    <col min="2" max="2" width="31" style="138" customWidth="1"/>
    <col min="3" max="3" width="2.6640625" style="138" customWidth="1"/>
    <col min="4" max="4" width="13.109375" style="138" bestFit="1" customWidth="1"/>
    <col min="5" max="10" width="10.33203125" style="138" bestFit="1" customWidth="1"/>
    <col min="11" max="12" width="10" style="138" hidden="1" customWidth="1"/>
    <col min="13" max="13" width="7.88671875" style="138" bestFit="1" customWidth="1"/>
    <col min="14" max="14" width="10" style="71" customWidth="1"/>
    <col min="15" max="17" width="10" style="71" bestFit="1" customWidth="1"/>
    <col min="18" max="21" width="10" style="138" bestFit="1" customWidth="1"/>
    <col min="22" max="23" width="9.109375" style="138" customWidth="1"/>
    <col min="24" max="84" width="0" style="138" hidden="1" customWidth="1"/>
    <col min="85" max="16384" width="9.109375" style="138" hidden="1"/>
  </cols>
  <sheetData>
    <row r="1" spans="1:80" s="285" customFormat="1" ht="13.2" x14ac:dyDescent="0.25"/>
    <row r="2" spans="1:80" s="285" customFormat="1" ht="13.2" x14ac:dyDescent="0.25"/>
    <row r="3" spans="1:80" s="285" customFormat="1" ht="13.2" x14ac:dyDescent="0.25">
      <c r="A3" s="286" t="str">
        <f>IF(KeyInputs!$F$14=0,"Company Name",KeyInputs!$F$14)</f>
        <v>Company Name</v>
      </c>
    </row>
    <row r="4" spans="1:80" s="285" customFormat="1" ht="13.2" x14ac:dyDescent="0.25">
      <c r="A4" s="285" t="s">
        <v>349</v>
      </c>
    </row>
    <row r="5" spans="1:80" s="285" customFormat="1" ht="13.2" x14ac:dyDescent="0.25">
      <c r="A5" s="322">
        <f>KeyInputs!C5</f>
        <v>0</v>
      </c>
      <c r="D5" s="287" t="str">
        <f>KeyInputs!D5</f>
        <v>Year</v>
      </c>
      <c r="E5" s="287">
        <f>KeyInputs!E5</f>
        <v>2012</v>
      </c>
      <c r="F5" s="287">
        <f>KeyInputs!F5</f>
        <v>2013</v>
      </c>
      <c r="G5" s="287">
        <f>KeyInputs!G5</f>
        <v>2014</v>
      </c>
      <c r="H5" s="287">
        <f>KeyInputs!H5</f>
        <v>2015</v>
      </c>
      <c r="I5" s="287">
        <f>KeyInputs!I5</f>
        <v>2016</v>
      </c>
      <c r="J5" s="287">
        <f>KeyInputs!J5</f>
        <v>2017</v>
      </c>
      <c r="K5" s="287">
        <f>KeyInputs!K5</f>
        <v>2018</v>
      </c>
      <c r="L5" s="287">
        <f>KeyInputs!L5</f>
        <v>2019</v>
      </c>
    </row>
    <row r="6" spans="1:80" s="288" customFormat="1" ht="13.2" x14ac:dyDescent="0.25">
      <c r="D6" s="287" t="str">
        <f>KeyInputs!D6</f>
        <v>Period number</v>
      </c>
      <c r="E6" s="287">
        <f>KeyInputs!E6</f>
        <v>-2</v>
      </c>
      <c r="F6" s="287">
        <f>KeyInputs!F6</f>
        <v>-1</v>
      </c>
      <c r="G6" s="287">
        <f>KeyInputs!G6</f>
        <v>0</v>
      </c>
      <c r="H6" s="287">
        <f>KeyInputs!H6</f>
        <v>1</v>
      </c>
      <c r="I6" s="287">
        <f>KeyInputs!I6</f>
        <v>2</v>
      </c>
      <c r="J6" s="287">
        <f>KeyInputs!J6</f>
        <v>3</v>
      </c>
      <c r="K6" s="287">
        <f>KeyInputs!K6</f>
        <v>4</v>
      </c>
      <c r="L6" s="287">
        <f>KeyInputs!L6</f>
        <v>5</v>
      </c>
      <c r="N6" s="285"/>
      <c r="O6" s="285"/>
      <c r="P6" s="285"/>
      <c r="Q6" s="285"/>
      <c r="R6" s="285"/>
      <c r="S6" s="285"/>
      <c r="T6" s="285"/>
      <c r="U6" s="285"/>
    </row>
    <row r="7" spans="1:80" s="288" customFormat="1" ht="13.2" x14ac:dyDescent="0.25">
      <c r="D7" s="287" t="str">
        <f>KeyInputs!D7</f>
        <v>Period starts</v>
      </c>
      <c r="E7" s="294">
        <f>KeyInputs!E7</f>
        <v>40909</v>
      </c>
      <c r="F7" s="294">
        <f>KeyInputs!F7</f>
        <v>41275</v>
      </c>
      <c r="G7" s="294">
        <f>KeyInputs!G7</f>
        <v>41640</v>
      </c>
      <c r="H7" s="294">
        <f>KeyInputs!H7</f>
        <v>42005</v>
      </c>
      <c r="I7" s="294">
        <f>KeyInputs!I7</f>
        <v>42370</v>
      </c>
      <c r="J7" s="294">
        <f>KeyInputs!J7</f>
        <v>42736</v>
      </c>
      <c r="K7" s="294">
        <f>KeyInputs!K7</f>
        <v>43101</v>
      </c>
      <c r="L7" s="294">
        <f>KeyInputs!L7</f>
        <v>43466</v>
      </c>
      <c r="N7" s="294"/>
      <c r="O7" s="294"/>
      <c r="P7" s="294"/>
      <c r="Q7" s="294"/>
      <c r="R7" s="294"/>
      <c r="S7" s="294"/>
      <c r="T7" s="294"/>
      <c r="U7" s="294"/>
    </row>
    <row r="8" spans="1:80" s="292" customFormat="1" ht="13.2" x14ac:dyDescent="0.25">
      <c r="B8" s="291" t="str">
        <f ca="1">IF(Check!$C$12=0,"All checks are OK","There are "&amp;Check!$C$12&amp;" error/errors")</f>
        <v>All checks are OK</v>
      </c>
      <c r="D8" s="287" t="str">
        <f>KeyInputs!D8</f>
        <v>Period ends</v>
      </c>
      <c r="E8" s="294">
        <f>KeyInputs!E8</f>
        <v>41274</v>
      </c>
      <c r="F8" s="294">
        <f>KeyInputs!F8</f>
        <v>41639</v>
      </c>
      <c r="G8" s="294">
        <f>KeyInputs!G8</f>
        <v>42004</v>
      </c>
      <c r="H8" s="294">
        <f>KeyInputs!H8</f>
        <v>42369</v>
      </c>
      <c r="I8" s="294">
        <f>KeyInputs!I8</f>
        <v>42735</v>
      </c>
      <c r="J8" s="294">
        <f>KeyInputs!J8</f>
        <v>43100</v>
      </c>
      <c r="K8" s="294">
        <f>KeyInputs!K8</f>
        <v>43465</v>
      </c>
      <c r="L8" s="294">
        <f>KeyInputs!L8</f>
        <v>43830</v>
      </c>
      <c r="M8" s="288"/>
      <c r="N8" s="294"/>
      <c r="O8" s="294"/>
      <c r="P8" s="294"/>
      <c r="Q8" s="294"/>
      <c r="R8" s="294"/>
      <c r="S8" s="294"/>
      <c r="T8" s="294"/>
      <c r="U8" s="294"/>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c r="BK8" s="288"/>
      <c r="BL8" s="288"/>
      <c r="BM8" s="288"/>
      <c r="BN8" s="288"/>
      <c r="BO8" s="288"/>
      <c r="BP8" s="288"/>
      <c r="BQ8" s="288"/>
      <c r="BR8" s="288"/>
      <c r="BS8" s="288"/>
      <c r="BT8" s="288"/>
      <c r="BU8" s="288"/>
      <c r="BV8" s="288"/>
      <c r="BW8" s="288"/>
      <c r="BX8" s="288"/>
      <c r="BY8" s="288"/>
      <c r="BZ8" s="288"/>
      <c r="CA8" s="288"/>
      <c r="CB8" s="288"/>
    </row>
    <row r="9" spans="1:80" s="128" customFormat="1" ht="13.2" x14ac:dyDescent="0.25">
      <c r="D9" s="125"/>
      <c r="E9" s="125"/>
      <c r="F9" s="164"/>
      <c r="G9" s="164"/>
      <c r="H9" s="164"/>
      <c r="I9" s="164"/>
      <c r="J9" s="164"/>
      <c r="K9" s="164"/>
      <c r="L9" s="164"/>
    </row>
    <row r="10" spans="1:80" s="166" customFormat="1" ht="15.6" x14ac:dyDescent="0.3">
      <c r="A10" s="166">
        <f>Header1</f>
        <v>1</v>
      </c>
      <c r="B10" s="166" t="s">
        <v>264</v>
      </c>
    </row>
    <row r="11" spans="1:80" s="147" customFormat="1" ht="13.2" x14ac:dyDescent="0.25">
      <c r="A11" s="211"/>
      <c r="I11" s="212"/>
    </row>
    <row r="12" spans="1:80" s="147" customFormat="1" ht="13.2" x14ac:dyDescent="0.25">
      <c r="B12" s="147" t="s">
        <v>265</v>
      </c>
      <c r="D12" s="231" t="str">
        <f>unit</f>
        <v>£</v>
      </c>
      <c r="E12" s="147">
        <f t="shared" ref="E12:G12" si="0">SUM(E13:E15)</f>
        <v>0</v>
      </c>
      <c r="F12" s="147">
        <f t="shared" si="0"/>
        <v>0</v>
      </c>
      <c r="G12" s="147">
        <f t="shared" si="0"/>
        <v>0</v>
      </c>
      <c r="H12" s="147">
        <f>SUM(H13:H15)</f>
        <v>0</v>
      </c>
      <c r="I12" s="147">
        <f t="shared" ref="I12:L12" si="1">SUM(I13:I15)</f>
        <v>0</v>
      </c>
      <c r="J12" s="147">
        <f t="shared" si="1"/>
        <v>0</v>
      </c>
      <c r="K12" s="147">
        <f t="shared" si="1"/>
        <v>0</v>
      </c>
      <c r="L12" s="147">
        <f t="shared" si="1"/>
        <v>0</v>
      </c>
    </row>
    <row r="13" spans="1:80" s="147" customFormat="1" ht="13.2" outlineLevel="1" x14ac:dyDescent="0.25">
      <c r="A13" s="211"/>
      <c r="B13" s="250" t="str">
        <f>KeyInputs!F21</f>
        <v>Test</v>
      </c>
      <c r="D13" s="231" t="str">
        <f>unit</f>
        <v>£</v>
      </c>
      <c r="E13" s="147">
        <f>KeyInputs!E156</f>
        <v>0</v>
      </c>
      <c r="F13" s="147">
        <f>KeyInputs!F156</f>
        <v>0</v>
      </c>
      <c r="G13" s="147">
        <f>KeyInputs!G156</f>
        <v>0</v>
      </c>
      <c r="H13" s="147">
        <f>'Outputs - P&amp;L'!E13</f>
        <v>0</v>
      </c>
      <c r="I13" s="147">
        <f>'Outputs - P&amp;L'!F13</f>
        <v>0</v>
      </c>
      <c r="J13" s="147">
        <f>'Outputs - P&amp;L'!G13</f>
        <v>0</v>
      </c>
      <c r="K13" s="147">
        <f>'Outputs - P&amp;L'!H13</f>
        <v>0</v>
      </c>
      <c r="L13" s="147">
        <f>'Outputs - P&amp;L'!I13</f>
        <v>0</v>
      </c>
      <c r="N13" s="267"/>
      <c r="O13" s="267"/>
      <c r="P13" s="267"/>
      <c r="Q13" s="267"/>
      <c r="R13" s="267"/>
      <c r="S13" s="267"/>
      <c r="T13" s="267"/>
      <c r="U13" s="267"/>
    </row>
    <row r="14" spans="1:80" s="147" customFormat="1" ht="13.2" outlineLevel="1" x14ac:dyDescent="0.25">
      <c r="A14" s="211"/>
      <c r="B14" s="250" t="str">
        <f>KeyInputs!F26</f>
        <v>Insert Business Line2</v>
      </c>
      <c r="D14" s="231" t="str">
        <f>unit</f>
        <v>£</v>
      </c>
      <c r="E14" s="147">
        <f>KeyInputs!E157</f>
        <v>0</v>
      </c>
      <c r="F14" s="147">
        <f>KeyInputs!F157</f>
        <v>0</v>
      </c>
      <c r="G14" s="147">
        <f>KeyInputs!G157</f>
        <v>0</v>
      </c>
      <c r="H14" s="147">
        <f>'Outputs - P&amp;L'!E14</f>
        <v>0</v>
      </c>
      <c r="I14" s="147">
        <f>'Outputs - P&amp;L'!F14</f>
        <v>0</v>
      </c>
      <c r="J14" s="147">
        <f>'Outputs - P&amp;L'!G14</f>
        <v>0</v>
      </c>
      <c r="K14" s="147">
        <f>'Outputs - P&amp;L'!H14</f>
        <v>0</v>
      </c>
      <c r="L14" s="147">
        <f>'Outputs - P&amp;L'!I14</f>
        <v>0</v>
      </c>
      <c r="N14" s="267"/>
      <c r="O14" s="267"/>
      <c r="P14" s="267"/>
      <c r="Q14" s="267"/>
      <c r="R14" s="267"/>
      <c r="S14" s="267"/>
      <c r="T14" s="267"/>
      <c r="U14" s="267"/>
    </row>
    <row r="15" spans="1:80" s="147" customFormat="1" ht="13.2" outlineLevel="1" x14ac:dyDescent="0.25">
      <c r="A15" s="211"/>
      <c r="B15" s="250" t="str">
        <f>KeyInputs!F31</f>
        <v>Insert Business Line3</v>
      </c>
      <c r="D15" s="231" t="str">
        <f>unit</f>
        <v>£</v>
      </c>
      <c r="E15" s="147">
        <f>KeyInputs!E158</f>
        <v>0</v>
      </c>
      <c r="F15" s="147">
        <f>KeyInputs!F158</f>
        <v>0</v>
      </c>
      <c r="G15" s="147">
        <f>KeyInputs!G158</f>
        <v>0</v>
      </c>
      <c r="H15" s="147">
        <f>'Outputs - P&amp;L'!E15</f>
        <v>0</v>
      </c>
      <c r="I15" s="147">
        <f>'Outputs - P&amp;L'!F15</f>
        <v>0</v>
      </c>
      <c r="J15" s="147">
        <f>'Outputs - P&amp;L'!G15</f>
        <v>0</v>
      </c>
      <c r="K15" s="147">
        <f>'Outputs - P&amp;L'!H15</f>
        <v>0</v>
      </c>
      <c r="L15" s="147">
        <f>'Outputs - P&amp;L'!I15</f>
        <v>0</v>
      </c>
      <c r="N15" s="267"/>
      <c r="O15" s="267"/>
      <c r="P15" s="267"/>
      <c r="Q15" s="267"/>
      <c r="R15" s="267"/>
      <c r="S15" s="267"/>
      <c r="T15" s="267"/>
      <c r="U15" s="267"/>
    </row>
    <row r="16" spans="1:80" s="147" customFormat="1" ht="13.2" outlineLevel="1" x14ac:dyDescent="0.25">
      <c r="A16" s="211"/>
      <c r="D16" s="231"/>
    </row>
    <row r="17" spans="1:21" s="147" customFormat="1" ht="13.2" x14ac:dyDescent="0.25">
      <c r="A17" s="211"/>
      <c r="B17" s="147" t="s">
        <v>148</v>
      </c>
      <c r="D17" s="231" t="str">
        <f>unit</f>
        <v>£</v>
      </c>
      <c r="E17" s="211">
        <f t="shared" ref="E17:G17" si="2">SUM(E18:E20)</f>
        <v>0</v>
      </c>
      <c r="F17" s="211">
        <f t="shared" si="2"/>
        <v>0</v>
      </c>
      <c r="G17" s="211">
        <f t="shared" si="2"/>
        <v>0</v>
      </c>
      <c r="H17" s="211">
        <f>SUM(H18:H20)</f>
        <v>0</v>
      </c>
      <c r="I17" s="211">
        <f t="shared" ref="I17" si="3">SUM(I18:I20)</f>
        <v>0</v>
      </c>
      <c r="J17" s="211">
        <f t="shared" ref="J17" si="4">SUM(J18:J20)</f>
        <v>0</v>
      </c>
      <c r="K17" s="211">
        <f t="shared" ref="K17" si="5">SUM(K18:K20)</f>
        <v>0</v>
      </c>
      <c r="L17" s="211">
        <f t="shared" ref="L17" si="6">SUM(L18:L20)</f>
        <v>0</v>
      </c>
    </row>
    <row r="18" spans="1:21" s="147" customFormat="1" ht="13.2" hidden="1" outlineLevel="1" x14ac:dyDescent="0.25">
      <c r="A18" s="211"/>
      <c r="B18" s="250" t="str">
        <f>B13</f>
        <v>Test</v>
      </c>
      <c r="D18" s="231" t="str">
        <f>unit</f>
        <v>£</v>
      </c>
      <c r="E18" s="147">
        <f>KeyInputs!E161</f>
        <v>0</v>
      </c>
      <c r="F18" s="147">
        <f>KeyInputs!F161</f>
        <v>0</v>
      </c>
      <c r="G18" s="147">
        <f>KeyInputs!G161</f>
        <v>0</v>
      </c>
      <c r="H18" s="147">
        <f>'Outputs - P&amp;L'!E18</f>
        <v>0</v>
      </c>
      <c r="I18" s="147">
        <f>'Outputs - P&amp;L'!F18</f>
        <v>0</v>
      </c>
      <c r="J18" s="147">
        <f>'Outputs - P&amp;L'!G18</f>
        <v>0</v>
      </c>
      <c r="K18" s="147">
        <f>'Outputs - P&amp;L'!H18</f>
        <v>0</v>
      </c>
      <c r="L18" s="147">
        <f>'Outputs - P&amp;L'!I18</f>
        <v>0</v>
      </c>
      <c r="N18" s="267"/>
      <c r="O18" s="267" t="str">
        <f>IFERROR(F18/F$17,"-")</f>
        <v>-</v>
      </c>
      <c r="P18" s="267" t="str">
        <f t="shared" ref="P18:P20" si="7">IFERROR(G18/G$17,"-")</f>
        <v>-</v>
      </c>
      <c r="Q18" s="267" t="str">
        <f t="shared" ref="Q18:Q20" si="8">IFERROR(H18/H$17,"-")</f>
        <v>-</v>
      </c>
      <c r="R18" s="267" t="str">
        <f t="shared" ref="R18:R20" si="9">IFERROR(I18/I$17,"-")</f>
        <v>-</v>
      </c>
      <c r="S18" s="267" t="str">
        <f t="shared" ref="S18:S20" si="10">IFERROR(J18/J$17,"-")</f>
        <v>-</v>
      </c>
      <c r="T18" s="267" t="str">
        <f t="shared" ref="T18:T20" si="11">IFERROR(K18/K$17,"-")</f>
        <v>-</v>
      </c>
      <c r="U18" s="267" t="str">
        <f t="shared" ref="U18:U20" si="12">IFERROR(L18/L$17,"-")</f>
        <v>-</v>
      </c>
    </row>
    <row r="19" spans="1:21" s="147" customFormat="1" ht="13.2" hidden="1" outlineLevel="1" x14ac:dyDescent="0.25">
      <c r="A19" s="211"/>
      <c r="B19" s="250" t="str">
        <f t="shared" ref="B19:B20" si="13">B14</f>
        <v>Insert Business Line2</v>
      </c>
      <c r="D19" s="231" t="str">
        <f>unit</f>
        <v>£</v>
      </c>
      <c r="E19" s="147">
        <f>KeyInputs!E162</f>
        <v>0</v>
      </c>
      <c r="F19" s="147">
        <f>KeyInputs!F162</f>
        <v>0</v>
      </c>
      <c r="G19" s="147">
        <f>KeyInputs!G162</f>
        <v>0</v>
      </c>
      <c r="H19" s="147">
        <f>'Outputs - P&amp;L'!E19</f>
        <v>0</v>
      </c>
      <c r="I19" s="147">
        <f>'Outputs - P&amp;L'!F19</f>
        <v>0</v>
      </c>
      <c r="J19" s="147">
        <f>'Outputs - P&amp;L'!G19</f>
        <v>0</v>
      </c>
      <c r="K19" s="147">
        <f>'Outputs - P&amp;L'!H19</f>
        <v>0</v>
      </c>
      <c r="L19" s="147">
        <f>'Outputs - P&amp;L'!I19</f>
        <v>0</v>
      </c>
      <c r="N19" s="267"/>
      <c r="O19" s="267" t="str">
        <f t="shared" ref="O19:O20" si="14">IFERROR(F19/F$17,"-")</f>
        <v>-</v>
      </c>
      <c r="P19" s="267" t="str">
        <f t="shared" si="7"/>
        <v>-</v>
      </c>
      <c r="Q19" s="267" t="str">
        <f t="shared" si="8"/>
        <v>-</v>
      </c>
      <c r="R19" s="267" t="str">
        <f t="shared" si="9"/>
        <v>-</v>
      </c>
      <c r="S19" s="267" t="str">
        <f t="shared" si="10"/>
        <v>-</v>
      </c>
      <c r="T19" s="267" t="str">
        <f t="shared" si="11"/>
        <v>-</v>
      </c>
      <c r="U19" s="267" t="str">
        <f t="shared" si="12"/>
        <v>-</v>
      </c>
    </row>
    <row r="20" spans="1:21" s="147" customFormat="1" ht="13.2" hidden="1" outlineLevel="1" x14ac:dyDescent="0.25">
      <c r="A20" s="211"/>
      <c r="B20" s="250" t="str">
        <f t="shared" si="13"/>
        <v>Insert Business Line3</v>
      </c>
      <c r="D20" s="231" t="str">
        <f>unit</f>
        <v>£</v>
      </c>
      <c r="E20" s="147">
        <f>KeyInputs!E163</f>
        <v>0</v>
      </c>
      <c r="F20" s="147">
        <f>KeyInputs!F163</f>
        <v>0</v>
      </c>
      <c r="G20" s="147">
        <f>KeyInputs!G163</f>
        <v>0</v>
      </c>
      <c r="H20" s="147">
        <f>'Outputs - P&amp;L'!E20</f>
        <v>0</v>
      </c>
      <c r="I20" s="147">
        <f>'Outputs - P&amp;L'!F20</f>
        <v>0</v>
      </c>
      <c r="J20" s="147">
        <f>'Outputs - P&amp;L'!G20</f>
        <v>0</v>
      </c>
      <c r="K20" s="147">
        <f>'Outputs - P&amp;L'!H20</f>
        <v>0</v>
      </c>
      <c r="L20" s="147">
        <f>'Outputs - P&amp;L'!I20</f>
        <v>0</v>
      </c>
      <c r="N20" s="267"/>
      <c r="O20" s="267" t="str">
        <f t="shared" si="14"/>
        <v>-</v>
      </c>
      <c r="P20" s="267" t="str">
        <f t="shared" si="7"/>
        <v>-</v>
      </c>
      <c r="Q20" s="267" t="str">
        <f t="shared" si="8"/>
        <v>-</v>
      </c>
      <c r="R20" s="267" t="str">
        <f t="shared" si="9"/>
        <v>-</v>
      </c>
      <c r="S20" s="267" t="str">
        <f t="shared" si="10"/>
        <v>-</v>
      </c>
      <c r="T20" s="267" t="str">
        <f t="shared" si="11"/>
        <v>-</v>
      </c>
      <c r="U20" s="267" t="str">
        <f t="shared" si="12"/>
        <v>-</v>
      </c>
    </row>
    <row r="21" spans="1:21" s="147" customFormat="1" ht="13.2" hidden="1" outlineLevel="1" x14ac:dyDescent="0.25">
      <c r="A21" s="211"/>
      <c r="D21" s="231"/>
    </row>
    <row r="22" spans="1:21" s="147" customFormat="1" ht="13.2" collapsed="1" x14ac:dyDescent="0.25">
      <c r="A22" s="211"/>
      <c r="B22" s="147" t="s">
        <v>293</v>
      </c>
      <c r="D22" s="231" t="str">
        <f>unit</f>
        <v>£</v>
      </c>
      <c r="E22" s="211">
        <f t="shared" ref="E22:G22" si="15">SUM(E23:E25)</f>
        <v>0</v>
      </c>
      <c r="F22" s="211">
        <f t="shared" si="15"/>
        <v>0</v>
      </c>
      <c r="G22" s="211">
        <f t="shared" si="15"/>
        <v>0</v>
      </c>
      <c r="H22" s="211">
        <f>SUM(H23:H25)</f>
        <v>0</v>
      </c>
      <c r="I22" s="211">
        <f t="shared" ref="I22" si="16">SUM(I23:I25)</f>
        <v>0</v>
      </c>
      <c r="J22" s="211">
        <f t="shared" ref="J22" si="17">SUM(J23:J25)</f>
        <v>0</v>
      </c>
      <c r="K22" s="211">
        <f t="shared" ref="K22" si="18">SUM(K23:K25)</f>
        <v>0</v>
      </c>
      <c r="L22" s="211">
        <f t="shared" ref="L22" si="19">SUM(L23:L25)</f>
        <v>0</v>
      </c>
    </row>
    <row r="23" spans="1:21" s="147" customFormat="1" ht="13.2" hidden="1" outlineLevel="1" x14ac:dyDescent="0.25">
      <c r="A23" s="211"/>
      <c r="B23" s="250" t="str">
        <f>B13</f>
        <v>Test</v>
      </c>
      <c r="D23" s="231" t="str">
        <f>unit</f>
        <v>£</v>
      </c>
      <c r="E23" s="147">
        <f>KeyInputs!E166</f>
        <v>0</v>
      </c>
      <c r="F23" s="147">
        <f>KeyInputs!F166</f>
        <v>0</v>
      </c>
      <c r="G23" s="147">
        <f>KeyInputs!G166</f>
        <v>0</v>
      </c>
      <c r="H23" s="147">
        <f>'Outputs - P&amp;L'!E23</f>
        <v>0</v>
      </c>
      <c r="I23" s="147">
        <f>'Outputs - P&amp;L'!F23</f>
        <v>0</v>
      </c>
      <c r="J23" s="147">
        <f>'Outputs - P&amp;L'!G23</f>
        <v>0</v>
      </c>
      <c r="K23" s="147">
        <f>'Outputs - P&amp;L'!H23</f>
        <v>0</v>
      </c>
      <c r="L23" s="147">
        <f>'Outputs - P&amp;L'!I23</f>
        <v>0</v>
      </c>
      <c r="N23" s="267"/>
      <c r="O23" s="267" t="str">
        <f>IFERROR(F23/F$22,"-")</f>
        <v>-</v>
      </c>
      <c r="P23" s="267" t="str">
        <f t="shared" ref="P23:P25" si="20">IFERROR(G23/G$22,"-")</f>
        <v>-</v>
      </c>
      <c r="Q23" s="267" t="str">
        <f t="shared" ref="Q23:Q25" si="21">IFERROR(H23/H$22,"-")</f>
        <v>-</v>
      </c>
      <c r="R23" s="267" t="str">
        <f t="shared" ref="R23:R25" si="22">IFERROR(I23/I$22,"-")</f>
        <v>-</v>
      </c>
      <c r="S23" s="267" t="str">
        <f t="shared" ref="S23:S25" si="23">IFERROR(J23/J$22,"-")</f>
        <v>-</v>
      </c>
      <c r="T23" s="267" t="str">
        <f t="shared" ref="T23:T25" si="24">IFERROR(K23/K$22,"-")</f>
        <v>-</v>
      </c>
      <c r="U23" s="267" t="str">
        <f t="shared" ref="U23:U25" si="25">IFERROR(L23/L$22,"-")</f>
        <v>-</v>
      </c>
    </row>
    <row r="24" spans="1:21" s="147" customFormat="1" ht="13.2" hidden="1" outlineLevel="1" x14ac:dyDescent="0.25">
      <c r="A24" s="211"/>
      <c r="B24" s="250" t="str">
        <f t="shared" ref="B24:B25" si="26">B14</f>
        <v>Insert Business Line2</v>
      </c>
      <c r="D24" s="231" t="str">
        <f>unit</f>
        <v>£</v>
      </c>
      <c r="E24" s="147">
        <f>KeyInputs!E167</f>
        <v>0</v>
      </c>
      <c r="F24" s="147">
        <f>KeyInputs!F167</f>
        <v>0</v>
      </c>
      <c r="G24" s="147">
        <f>KeyInputs!G167</f>
        <v>0</v>
      </c>
      <c r="H24" s="147">
        <f>'Outputs - P&amp;L'!E24</f>
        <v>0</v>
      </c>
      <c r="I24" s="147">
        <f>'Outputs - P&amp;L'!F24</f>
        <v>0</v>
      </c>
      <c r="J24" s="147">
        <f>'Outputs - P&amp;L'!G24</f>
        <v>0</v>
      </c>
      <c r="K24" s="147">
        <f>'Outputs - P&amp;L'!H24</f>
        <v>0</v>
      </c>
      <c r="L24" s="147">
        <f>'Outputs - P&amp;L'!I24</f>
        <v>0</v>
      </c>
      <c r="N24" s="267"/>
      <c r="O24" s="267" t="str">
        <f t="shared" ref="O24:O25" si="27">IFERROR(F24/F$22,"-")</f>
        <v>-</v>
      </c>
      <c r="P24" s="267" t="str">
        <f t="shared" si="20"/>
        <v>-</v>
      </c>
      <c r="Q24" s="267" t="str">
        <f t="shared" si="21"/>
        <v>-</v>
      </c>
      <c r="R24" s="267" t="str">
        <f t="shared" si="22"/>
        <v>-</v>
      </c>
      <c r="S24" s="267" t="str">
        <f t="shared" si="23"/>
        <v>-</v>
      </c>
      <c r="T24" s="267" t="str">
        <f t="shared" si="24"/>
        <v>-</v>
      </c>
      <c r="U24" s="267" t="str">
        <f t="shared" si="25"/>
        <v>-</v>
      </c>
    </row>
    <row r="25" spans="1:21" s="147" customFormat="1" ht="13.2" hidden="1" outlineLevel="1" x14ac:dyDescent="0.25">
      <c r="A25" s="211"/>
      <c r="B25" s="250" t="str">
        <f t="shared" si="26"/>
        <v>Insert Business Line3</v>
      </c>
      <c r="D25" s="231" t="str">
        <f>unit</f>
        <v>£</v>
      </c>
      <c r="E25" s="147">
        <f>KeyInputs!E168</f>
        <v>0</v>
      </c>
      <c r="F25" s="147">
        <f>KeyInputs!F168</f>
        <v>0</v>
      </c>
      <c r="G25" s="147">
        <f>KeyInputs!G168</f>
        <v>0</v>
      </c>
      <c r="H25" s="147">
        <f>'Outputs - P&amp;L'!E25</f>
        <v>0</v>
      </c>
      <c r="I25" s="147">
        <f>'Outputs - P&amp;L'!F25</f>
        <v>0</v>
      </c>
      <c r="J25" s="147">
        <f>'Outputs - P&amp;L'!G25</f>
        <v>0</v>
      </c>
      <c r="K25" s="147">
        <f>'Outputs - P&amp;L'!H25</f>
        <v>0</v>
      </c>
      <c r="L25" s="147">
        <f>'Outputs - P&amp;L'!I25</f>
        <v>0</v>
      </c>
      <c r="N25" s="267"/>
      <c r="O25" s="267" t="str">
        <f t="shared" si="27"/>
        <v>-</v>
      </c>
      <c r="P25" s="267" t="str">
        <f t="shared" si="20"/>
        <v>-</v>
      </c>
      <c r="Q25" s="267" t="str">
        <f t="shared" si="21"/>
        <v>-</v>
      </c>
      <c r="R25" s="267" t="str">
        <f t="shared" si="22"/>
        <v>-</v>
      </c>
      <c r="S25" s="267" t="str">
        <f t="shared" si="23"/>
        <v>-</v>
      </c>
      <c r="T25" s="267" t="str">
        <f t="shared" si="24"/>
        <v>-</v>
      </c>
      <c r="U25" s="267" t="str">
        <f t="shared" si="25"/>
        <v>-</v>
      </c>
    </row>
    <row r="26" spans="1:21" s="147" customFormat="1" ht="13.2" hidden="1" outlineLevel="1" x14ac:dyDescent="0.25">
      <c r="A26" s="211"/>
      <c r="D26" s="231"/>
    </row>
    <row r="27" spans="1:21" s="211" customFormat="1" ht="13.2" collapsed="1" x14ac:dyDescent="0.25">
      <c r="B27" s="211" t="s">
        <v>177</v>
      </c>
      <c r="D27" s="231" t="str">
        <f>unit</f>
        <v>£</v>
      </c>
      <c r="E27" s="211">
        <f t="shared" ref="E27" si="28">SUM(E12,E17,E22)</f>
        <v>0</v>
      </c>
      <c r="F27" s="211">
        <f t="shared" ref="F27:G27" si="29">SUM(F12,F17,F22)</f>
        <v>0</v>
      </c>
      <c r="G27" s="211">
        <f t="shared" si="29"/>
        <v>0</v>
      </c>
      <c r="H27" s="211">
        <f>SUM(H12,H17,H22)</f>
        <v>0</v>
      </c>
      <c r="I27" s="211">
        <f t="shared" ref="I27:L27" si="30">SUM(I12,I17,I22)</f>
        <v>0</v>
      </c>
      <c r="J27" s="211">
        <f t="shared" si="30"/>
        <v>0</v>
      </c>
      <c r="K27" s="211">
        <f t="shared" si="30"/>
        <v>0</v>
      </c>
      <c r="L27" s="211">
        <f t="shared" si="30"/>
        <v>0</v>
      </c>
    </row>
    <row r="28" spans="1:21" s="147" customFormat="1" ht="13.2" x14ac:dyDescent="0.25">
      <c r="A28" s="211"/>
      <c r="I28" s="212"/>
    </row>
    <row r="29" spans="1:21" s="147" customFormat="1" ht="13.2" x14ac:dyDescent="0.25">
      <c r="A29" s="211"/>
      <c r="B29" s="147" t="s">
        <v>294</v>
      </c>
      <c r="D29" s="231" t="str">
        <f>unit</f>
        <v>£</v>
      </c>
      <c r="E29" s="147">
        <f>KeyInputs!E172</f>
        <v>0</v>
      </c>
      <c r="F29" s="147">
        <f>KeyInputs!F172</f>
        <v>0</v>
      </c>
      <c r="G29" s="147">
        <f>KeyInputs!G172</f>
        <v>0</v>
      </c>
      <c r="H29" s="147">
        <f>'Outputs - P&amp;L'!E29</f>
        <v>0</v>
      </c>
      <c r="I29" s="147">
        <f>'Outputs - P&amp;L'!F29</f>
        <v>0</v>
      </c>
      <c r="J29" s="147">
        <f>'Outputs - P&amp;L'!G29</f>
        <v>0</v>
      </c>
      <c r="K29" s="147">
        <f>'Outputs - P&amp;L'!H29</f>
        <v>0</v>
      </c>
      <c r="L29" s="147">
        <f>'Outputs - P&amp;L'!I29</f>
        <v>0</v>
      </c>
      <c r="N29" s="267"/>
      <c r="O29" s="267"/>
      <c r="P29" s="267"/>
      <c r="Q29" s="267"/>
      <c r="R29" s="267"/>
      <c r="S29" s="267"/>
      <c r="T29" s="267"/>
      <c r="U29" s="267"/>
    </row>
    <row r="30" spans="1:21" s="147" customFormat="1" ht="13.2" x14ac:dyDescent="0.25">
      <c r="A30" s="211"/>
      <c r="B30" s="147" t="s">
        <v>162</v>
      </c>
      <c r="D30" s="231" t="str">
        <f>unit</f>
        <v>£</v>
      </c>
      <c r="E30" s="147">
        <f>KeyInputs!E173</f>
        <v>0</v>
      </c>
      <c r="F30" s="147">
        <f>KeyInputs!F173</f>
        <v>0</v>
      </c>
      <c r="G30" s="147">
        <f>KeyInputs!G173</f>
        <v>0</v>
      </c>
      <c r="H30" s="147">
        <f>'Outputs - P&amp;L'!E30</f>
        <v>0</v>
      </c>
      <c r="I30" s="147">
        <f>'Outputs - P&amp;L'!F30</f>
        <v>0</v>
      </c>
      <c r="J30" s="147">
        <f>'Outputs - P&amp;L'!G30</f>
        <v>0</v>
      </c>
      <c r="K30" s="147">
        <f>'Outputs - P&amp;L'!H30</f>
        <v>0</v>
      </c>
      <c r="L30" s="147">
        <f>'Outputs - P&amp;L'!I30</f>
        <v>0</v>
      </c>
      <c r="N30" s="267"/>
      <c r="O30" s="267"/>
      <c r="P30" s="267"/>
      <c r="Q30" s="267"/>
      <c r="R30" s="267"/>
      <c r="S30" s="267"/>
      <c r="T30" s="267"/>
      <c r="U30" s="267"/>
    </row>
    <row r="31" spans="1:21" s="147" customFormat="1" ht="13.2" x14ac:dyDescent="0.25">
      <c r="A31" s="211"/>
      <c r="B31" s="147" t="s">
        <v>24</v>
      </c>
      <c r="D31" s="231" t="str">
        <f>unit</f>
        <v>£</v>
      </c>
      <c r="E31" s="147">
        <f>KeyInputs!E174</f>
        <v>0</v>
      </c>
      <c r="F31" s="147">
        <f>KeyInputs!F174</f>
        <v>0</v>
      </c>
      <c r="G31" s="147">
        <f>KeyInputs!G174</f>
        <v>0</v>
      </c>
      <c r="H31" s="147">
        <f>'Outputs - P&amp;L'!E31</f>
        <v>0</v>
      </c>
      <c r="I31" s="147">
        <f>'Outputs - P&amp;L'!F31</f>
        <v>0</v>
      </c>
      <c r="J31" s="147">
        <f>'Outputs - P&amp;L'!G31</f>
        <v>0</v>
      </c>
      <c r="K31" s="147">
        <f>'Outputs - P&amp;L'!H31</f>
        <v>0</v>
      </c>
      <c r="L31" s="147">
        <f>'Outputs - P&amp;L'!I31</f>
        <v>0</v>
      </c>
      <c r="N31" s="267"/>
      <c r="O31" s="267"/>
      <c r="P31" s="267"/>
      <c r="Q31" s="267"/>
      <c r="R31" s="267"/>
      <c r="S31" s="267"/>
      <c r="T31" s="267"/>
      <c r="U31" s="267"/>
    </row>
    <row r="32" spans="1:21" s="211" customFormat="1" ht="13.2" x14ac:dyDescent="0.25">
      <c r="B32" s="211" t="s">
        <v>178</v>
      </c>
      <c r="D32" s="231" t="str">
        <f>unit</f>
        <v>£</v>
      </c>
      <c r="E32" s="211">
        <f t="shared" ref="E32:G32" si="31">SUM(E27:E31)</f>
        <v>0</v>
      </c>
      <c r="F32" s="211">
        <f t="shared" si="31"/>
        <v>0</v>
      </c>
      <c r="G32" s="211">
        <f t="shared" si="31"/>
        <v>0</v>
      </c>
      <c r="H32" s="211">
        <f>SUM(H27:H31)</f>
        <v>0</v>
      </c>
      <c r="I32" s="211">
        <f t="shared" ref="I32:L32" si="32">SUM(I27:I31)</f>
        <v>0</v>
      </c>
      <c r="J32" s="211">
        <f t="shared" si="32"/>
        <v>0</v>
      </c>
      <c r="K32" s="211">
        <f t="shared" si="32"/>
        <v>0</v>
      </c>
      <c r="L32" s="211">
        <f t="shared" si="32"/>
        <v>0</v>
      </c>
      <c r="N32" s="267"/>
      <c r="O32" s="267"/>
      <c r="P32" s="267"/>
      <c r="Q32" s="267"/>
      <c r="R32" s="267"/>
      <c r="S32" s="267"/>
      <c r="T32" s="267"/>
      <c r="U32" s="267"/>
    </row>
    <row r="33" spans="1:12" s="147" customFormat="1" ht="13.2" x14ac:dyDescent="0.25">
      <c r="A33" s="211"/>
      <c r="I33" s="212"/>
    </row>
    <row r="34" spans="1:12" s="147" customFormat="1" ht="13.2" x14ac:dyDescent="0.25">
      <c r="A34" s="211"/>
      <c r="B34" s="147" t="s">
        <v>295</v>
      </c>
      <c r="D34" s="231" t="str">
        <f>unit</f>
        <v>£</v>
      </c>
      <c r="E34" s="147">
        <f>KeyInputs!E177</f>
        <v>0</v>
      </c>
      <c r="F34" s="147">
        <f>KeyInputs!F177</f>
        <v>0</v>
      </c>
      <c r="G34" s="147">
        <f>KeyInputs!G177</f>
        <v>0</v>
      </c>
      <c r="H34" s="147">
        <f>'Outputs - P&amp;L'!E34</f>
        <v>0</v>
      </c>
      <c r="I34" s="147">
        <f>'Outputs - P&amp;L'!F34</f>
        <v>0</v>
      </c>
      <c r="J34" s="147">
        <f>'Outputs - P&amp;L'!G34</f>
        <v>0</v>
      </c>
      <c r="K34" s="147">
        <f>'Outputs - P&amp;L'!H34</f>
        <v>0</v>
      </c>
      <c r="L34" s="147">
        <f>'Outputs - P&amp;L'!I34</f>
        <v>0</v>
      </c>
    </row>
    <row r="35" spans="1:12" s="147" customFormat="1" ht="13.2" x14ac:dyDescent="0.25">
      <c r="A35" s="211"/>
      <c r="B35" s="147" t="s">
        <v>393</v>
      </c>
      <c r="D35" s="231" t="str">
        <f>unit</f>
        <v>£</v>
      </c>
      <c r="E35" s="147">
        <f>KeyInputs!E178</f>
        <v>0</v>
      </c>
      <c r="F35" s="147">
        <f>KeyInputs!F178</f>
        <v>0</v>
      </c>
      <c r="G35" s="147">
        <f>KeyInputs!G178</f>
        <v>0</v>
      </c>
      <c r="H35" s="147">
        <f>'Outputs - P&amp;L'!E35</f>
        <v>0</v>
      </c>
      <c r="I35" s="147">
        <f>'Outputs - P&amp;L'!F35</f>
        <v>0</v>
      </c>
      <c r="J35" s="147">
        <f>'Outputs - P&amp;L'!G35</f>
        <v>0</v>
      </c>
      <c r="K35" s="147">
        <f>'Outputs - P&amp;L'!H35</f>
        <v>0</v>
      </c>
      <c r="L35" s="147">
        <f>'Outputs - P&amp;L'!I35</f>
        <v>0</v>
      </c>
    </row>
    <row r="36" spans="1:12" s="147" customFormat="1" ht="13.2" x14ac:dyDescent="0.25">
      <c r="A36" s="211"/>
      <c r="B36" s="147" t="s">
        <v>266</v>
      </c>
      <c r="D36" s="231" t="str">
        <f>unit</f>
        <v>£</v>
      </c>
      <c r="E36" s="147">
        <f>KeyInputs!E179</f>
        <v>0</v>
      </c>
      <c r="F36" s="147">
        <f>KeyInputs!F179</f>
        <v>0</v>
      </c>
      <c r="G36" s="147">
        <f>KeyInputs!G179</f>
        <v>0</v>
      </c>
      <c r="H36" s="147">
        <f>'Outputs - P&amp;L'!E36</f>
        <v>0</v>
      </c>
      <c r="I36" s="147">
        <f>'Outputs - P&amp;L'!F36</f>
        <v>0</v>
      </c>
      <c r="J36" s="147">
        <f>'Outputs - P&amp;L'!G36</f>
        <v>0</v>
      </c>
      <c r="K36" s="147">
        <f>'Outputs - P&amp;L'!H36</f>
        <v>0</v>
      </c>
      <c r="L36" s="147">
        <f>'Outputs - P&amp;L'!I36</f>
        <v>0</v>
      </c>
    </row>
    <row r="37" spans="1:12" s="147" customFormat="1" ht="13.2" x14ac:dyDescent="0.25">
      <c r="A37" s="211"/>
      <c r="B37" s="147" t="s">
        <v>383</v>
      </c>
      <c r="D37" s="231"/>
      <c r="E37" s="147">
        <f>KeyInputs!E180</f>
        <v>0</v>
      </c>
      <c r="F37" s="147">
        <f>KeyInputs!F180</f>
        <v>0</v>
      </c>
      <c r="G37" s="147">
        <f>KeyInputs!G180</f>
        <v>0</v>
      </c>
      <c r="H37" s="147">
        <f ca="1">'Outputs - P&amp;L'!E37</f>
        <v>0</v>
      </c>
      <c r="I37" s="147">
        <f ca="1">'Outputs - P&amp;L'!F37</f>
        <v>0</v>
      </c>
      <c r="J37" s="147">
        <f ca="1">'Outputs - P&amp;L'!G37</f>
        <v>0</v>
      </c>
      <c r="K37" s="147">
        <f ca="1">'Outputs - P&amp;L'!H37</f>
        <v>0</v>
      </c>
      <c r="L37" s="147">
        <f ca="1">'Outputs - P&amp;L'!I37</f>
        <v>0</v>
      </c>
    </row>
    <row r="38" spans="1:12" s="211" customFormat="1" ht="13.2" x14ac:dyDescent="0.25">
      <c r="B38" s="211" t="s">
        <v>267</v>
      </c>
      <c r="D38" s="231" t="str">
        <f>unit</f>
        <v>£</v>
      </c>
      <c r="E38" s="211">
        <f t="shared" ref="E38:L38" si="33">SUM(E32:E37)</f>
        <v>0</v>
      </c>
      <c r="F38" s="211">
        <f t="shared" si="33"/>
        <v>0</v>
      </c>
      <c r="G38" s="211">
        <f t="shared" si="33"/>
        <v>0</v>
      </c>
      <c r="H38" s="211">
        <f t="shared" ca="1" si="33"/>
        <v>0</v>
      </c>
      <c r="I38" s="211">
        <f t="shared" ca="1" si="33"/>
        <v>0</v>
      </c>
      <c r="J38" s="211">
        <f t="shared" ca="1" si="33"/>
        <v>0</v>
      </c>
      <c r="K38" s="211">
        <f t="shared" ca="1" si="33"/>
        <v>0</v>
      </c>
      <c r="L38" s="211">
        <f t="shared" ca="1" si="33"/>
        <v>0</v>
      </c>
    </row>
    <row r="39" spans="1:12" s="147" customFormat="1" ht="13.2" x14ac:dyDescent="0.25">
      <c r="A39" s="211"/>
      <c r="I39" s="212"/>
    </row>
    <row r="40" spans="1:12" s="147" customFormat="1" ht="13.2" x14ac:dyDescent="0.25">
      <c r="A40" s="211"/>
      <c r="B40" s="147" t="s">
        <v>268</v>
      </c>
      <c r="D40" s="231" t="str">
        <f>unit</f>
        <v>£</v>
      </c>
      <c r="E40" s="147">
        <f>KeyInputs!E183</f>
        <v>0</v>
      </c>
      <c r="F40" s="147">
        <f>KeyInputs!F183</f>
        <v>0</v>
      </c>
      <c r="G40" s="147">
        <f>KeyInputs!G183</f>
        <v>0</v>
      </c>
      <c r="H40" s="147">
        <f ca="1">'Outputs - P&amp;L'!E40</f>
        <v>0</v>
      </c>
      <c r="I40" s="147">
        <f ca="1">'Outputs - P&amp;L'!F40</f>
        <v>0</v>
      </c>
      <c r="J40" s="147">
        <f ca="1">'Outputs - P&amp;L'!G40</f>
        <v>0</v>
      </c>
      <c r="K40" s="147">
        <f ca="1">'Outputs - P&amp;L'!H40</f>
        <v>0</v>
      </c>
      <c r="L40" s="147">
        <f ca="1">'Outputs - P&amp;L'!I40</f>
        <v>0</v>
      </c>
    </row>
    <row r="41" spans="1:12" s="211" customFormat="1" ht="13.2" x14ac:dyDescent="0.25">
      <c r="B41" s="211" t="s">
        <v>269</v>
      </c>
      <c r="D41" s="231" t="str">
        <f>unit</f>
        <v>£</v>
      </c>
      <c r="E41" s="211">
        <f t="shared" ref="E41:G41" si="34">SUM(E38:E40)</f>
        <v>0</v>
      </c>
      <c r="F41" s="211">
        <f t="shared" si="34"/>
        <v>0</v>
      </c>
      <c r="G41" s="211">
        <f t="shared" si="34"/>
        <v>0</v>
      </c>
      <c r="H41" s="211">
        <f ca="1">SUM(H38:H40)</f>
        <v>0</v>
      </c>
      <c r="I41" s="211">
        <f ca="1">SUM(I38:I40)</f>
        <v>0</v>
      </c>
      <c r="J41" s="211">
        <f ca="1">SUM(J38:J40)</f>
        <v>0</v>
      </c>
      <c r="K41" s="211">
        <f ca="1">SUM(K38:K40)</f>
        <v>0</v>
      </c>
      <c r="L41" s="211">
        <f ca="1">SUM(L38:L40)</f>
        <v>0</v>
      </c>
    </row>
    <row r="42" spans="1:12" s="147" customFormat="1" ht="13.2" x14ac:dyDescent="0.25">
      <c r="A42" s="211"/>
      <c r="I42" s="212"/>
    </row>
    <row r="43" spans="1:12" s="147" customFormat="1" ht="13.2" x14ac:dyDescent="0.25">
      <c r="A43" s="211"/>
      <c r="B43" s="266" t="s">
        <v>45</v>
      </c>
      <c r="D43" s="231" t="str">
        <f>unit</f>
        <v>£</v>
      </c>
      <c r="E43" s="147">
        <f>KeyInputs!E186</f>
        <v>0</v>
      </c>
      <c r="F43" s="147">
        <f>KeyInputs!F186</f>
        <v>0</v>
      </c>
      <c r="G43" s="147">
        <f>KeyInputs!G186</f>
        <v>0</v>
      </c>
      <c r="H43" s="147">
        <f>'Outputs - P&amp;L'!E43</f>
        <v>0</v>
      </c>
      <c r="I43" s="147">
        <f>'Outputs - P&amp;L'!F43</f>
        <v>0</v>
      </c>
      <c r="J43" s="147">
        <f>'Outputs - P&amp;L'!G43</f>
        <v>0</v>
      </c>
      <c r="K43" s="147">
        <f>'Outputs - P&amp;L'!H43</f>
        <v>0</v>
      </c>
      <c r="L43" s="147">
        <f>'Outputs - P&amp;L'!I43</f>
        <v>0</v>
      </c>
    </row>
    <row r="44" spans="1:12" s="147" customFormat="1" ht="13.2" x14ac:dyDescent="0.25">
      <c r="A44" s="211"/>
      <c r="I44" s="212"/>
    </row>
    <row r="45" spans="1:12" s="211" customFormat="1" thickBot="1" x14ac:dyDescent="0.3">
      <c r="B45" s="211" t="s">
        <v>270</v>
      </c>
      <c r="D45" s="231" t="str">
        <f>unit</f>
        <v>£</v>
      </c>
      <c r="E45" s="234">
        <f t="shared" ref="E45" si="35">SUM(E41:E43)</f>
        <v>0</v>
      </c>
      <c r="F45" s="234">
        <f t="shared" ref="F45:G45" si="36">SUM(F41:F43)</f>
        <v>0</v>
      </c>
      <c r="G45" s="234">
        <f t="shared" si="36"/>
        <v>0</v>
      </c>
      <c r="H45" s="234">
        <f ca="1">SUM(H41:H43)</f>
        <v>0</v>
      </c>
      <c r="I45" s="234">
        <f t="shared" ref="I45:L45" ca="1" si="37">SUM(I41:I43)</f>
        <v>0</v>
      </c>
      <c r="J45" s="234">
        <f t="shared" ca="1" si="37"/>
        <v>0</v>
      </c>
      <c r="K45" s="234">
        <f t="shared" ca="1" si="37"/>
        <v>0</v>
      </c>
      <c r="L45" s="234">
        <f t="shared" ca="1" si="37"/>
        <v>0</v>
      </c>
    </row>
    <row r="46" spans="1:12" s="147" customFormat="1" thickTop="1" x14ac:dyDescent="0.25">
      <c r="A46" s="211"/>
      <c r="I46" s="212"/>
    </row>
    <row r="47" spans="1:12" s="147" customFormat="1" ht="13.2" x14ac:dyDescent="0.25">
      <c r="A47" s="211"/>
      <c r="B47" s="211" t="s">
        <v>354</v>
      </c>
      <c r="C47" s="211"/>
      <c r="D47" s="211"/>
      <c r="E47" s="211">
        <f t="shared" ref="E47:L47" si="38">E32+E34-E31</f>
        <v>0</v>
      </c>
      <c r="F47" s="211">
        <f t="shared" si="38"/>
        <v>0</v>
      </c>
      <c r="G47" s="211">
        <f t="shared" si="38"/>
        <v>0</v>
      </c>
      <c r="H47" s="211">
        <f t="shared" si="38"/>
        <v>0</v>
      </c>
      <c r="I47" s="211">
        <f t="shared" si="38"/>
        <v>0</v>
      </c>
      <c r="J47" s="211">
        <f t="shared" si="38"/>
        <v>0</v>
      </c>
      <c r="K47" s="211">
        <f t="shared" si="38"/>
        <v>0</v>
      </c>
      <c r="L47" s="211">
        <f t="shared" si="38"/>
        <v>0</v>
      </c>
    </row>
    <row r="48" spans="1:12" s="147" customFormat="1" ht="13.2" x14ac:dyDescent="0.25">
      <c r="A48" s="211"/>
      <c r="I48" s="212"/>
    </row>
    <row r="49" spans="1:75" s="147" customFormat="1" ht="13.2" x14ac:dyDescent="0.25">
      <c r="A49" s="211"/>
      <c r="B49" s="211" t="s">
        <v>185</v>
      </c>
      <c r="I49" s="212"/>
    </row>
    <row r="50" spans="1:75" s="147" customFormat="1" ht="13.2" x14ac:dyDescent="0.25">
      <c r="A50" s="211"/>
      <c r="B50" s="116" t="s">
        <v>188</v>
      </c>
      <c r="C50" s="276"/>
      <c r="D50" s="280" t="s">
        <v>345</v>
      </c>
      <c r="E50" s="278" t="s">
        <v>187</v>
      </c>
      <c r="F50" s="277" t="e">
        <f t="shared" ref="F50:L50" si="39">(F12-E12)/E12*100</f>
        <v>#DIV/0!</v>
      </c>
      <c r="G50" s="277" t="e">
        <f t="shared" si="39"/>
        <v>#DIV/0!</v>
      </c>
      <c r="H50" s="277" t="e">
        <f t="shared" si="39"/>
        <v>#DIV/0!</v>
      </c>
      <c r="I50" s="277" t="e">
        <f t="shared" si="39"/>
        <v>#DIV/0!</v>
      </c>
      <c r="J50" s="277" t="e">
        <f t="shared" si="39"/>
        <v>#DIV/0!</v>
      </c>
      <c r="K50" s="277" t="e">
        <f t="shared" si="39"/>
        <v>#DIV/0!</v>
      </c>
      <c r="L50" s="277" t="e">
        <f t="shared" si="39"/>
        <v>#DIV/0!</v>
      </c>
    </row>
    <row r="51" spans="1:75" s="147" customFormat="1" ht="13.2" x14ac:dyDescent="0.25">
      <c r="A51" s="211"/>
      <c r="B51" s="116" t="s">
        <v>344</v>
      </c>
      <c r="C51" s="276"/>
      <c r="D51" s="280" t="s">
        <v>345</v>
      </c>
      <c r="E51" s="277" t="e">
        <f t="shared" ref="E51:L51" si="40">E27/E12*100</f>
        <v>#DIV/0!</v>
      </c>
      <c r="F51" s="277" t="e">
        <f t="shared" si="40"/>
        <v>#DIV/0!</v>
      </c>
      <c r="G51" s="277" t="e">
        <f t="shared" si="40"/>
        <v>#DIV/0!</v>
      </c>
      <c r="H51" s="277" t="e">
        <f t="shared" si="40"/>
        <v>#DIV/0!</v>
      </c>
      <c r="I51" s="277" t="e">
        <f t="shared" si="40"/>
        <v>#DIV/0!</v>
      </c>
      <c r="J51" s="277" t="e">
        <f t="shared" si="40"/>
        <v>#DIV/0!</v>
      </c>
      <c r="K51" s="277" t="e">
        <f t="shared" si="40"/>
        <v>#DIV/0!</v>
      </c>
      <c r="L51" s="277" t="e">
        <f t="shared" si="40"/>
        <v>#DIV/0!</v>
      </c>
    </row>
    <row r="52" spans="1:75" s="147" customFormat="1" ht="13.2" x14ac:dyDescent="0.25">
      <c r="A52" s="211"/>
      <c r="B52" s="116" t="s">
        <v>186</v>
      </c>
      <c r="C52" s="276"/>
      <c r="D52" s="280" t="s">
        <v>345</v>
      </c>
      <c r="E52" s="278" t="s">
        <v>187</v>
      </c>
      <c r="F52" s="277" t="e">
        <f t="shared" ref="F52:L52" si="41">(F27-E27)/E27*100</f>
        <v>#DIV/0!</v>
      </c>
      <c r="G52" s="277" t="e">
        <f t="shared" si="41"/>
        <v>#DIV/0!</v>
      </c>
      <c r="H52" s="277" t="e">
        <f t="shared" si="41"/>
        <v>#DIV/0!</v>
      </c>
      <c r="I52" s="277" t="e">
        <f t="shared" si="41"/>
        <v>#DIV/0!</v>
      </c>
      <c r="J52" s="277" t="e">
        <f t="shared" si="41"/>
        <v>#DIV/0!</v>
      </c>
      <c r="K52" s="277" t="e">
        <f t="shared" si="41"/>
        <v>#DIV/0!</v>
      </c>
      <c r="L52" s="277" t="e">
        <f t="shared" si="41"/>
        <v>#DIV/0!</v>
      </c>
    </row>
    <row r="53" spans="1:75" s="147" customFormat="1" ht="13.2" x14ac:dyDescent="0.25">
      <c r="A53" s="211"/>
      <c r="B53" s="116" t="s">
        <v>189</v>
      </c>
      <c r="C53" s="276"/>
      <c r="D53" s="280" t="s">
        <v>345</v>
      </c>
      <c r="E53" s="277" t="e">
        <f t="shared" ref="E53:L53" si="42">E32/E12*100</f>
        <v>#DIV/0!</v>
      </c>
      <c r="F53" s="277" t="e">
        <f t="shared" si="42"/>
        <v>#DIV/0!</v>
      </c>
      <c r="G53" s="277" t="e">
        <f t="shared" si="42"/>
        <v>#DIV/0!</v>
      </c>
      <c r="H53" s="277" t="e">
        <f t="shared" si="42"/>
        <v>#DIV/0!</v>
      </c>
      <c r="I53" s="277" t="e">
        <f t="shared" si="42"/>
        <v>#DIV/0!</v>
      </c>
      <c r="J53" s="277" t="e">
        <f t="shared" si="42"/>
        <v>#DIV/0!</v>
      </c>
      <c r="K53" s="277" t="e">
        <f t="shared" si="42"/>
        <v>#DIV/0!</v>
      </c>
      <c r="L53" s="277" t="e">
        <f t="shared" si="42"/>
        <v>#DIV/0!</v>
      </c>
    </row>
    <row r="54" spans="1:75" s="147" customFormat="1" ht="13.2" x14ac:dyDescent="0.25">
      <c r="A54" s="211"/>
      <c r="B54" s="116" t="s">
        <v>343</v>
      </c>
      <c r="C54" s="276"/>
      <c r="D54" s="276"/>
      <c r="E54" s="277"/>
      <c r="F54" s="277"/>
      <c r="G54" s="277"/>
      <c r="H54" s="277"/>
      <c r="I54" s="277"/>
      <c r="J54" s="277"/>
      <c r="K54" s="277"/>
      <c r="L54" s="277"/>
    </row>
    <row r="55" spans="1:75" s="147" customFormat="1" ht="13.2" x14ac:dyDescent="0.25">
      <c r="A55" s="211"/>
      <c r="B55" s="279" t="str">
        <f>KeyInputs!F21</f>
        <v>Test</v>
      </c>
      <c r="C55" s="276"/>
      <c r="D55" s="276"/>
      <c r="E55" s="277"/>
      <c r="F55" s="277"/>
      <c r="G55" s="277"/>
      <c r="H55" s="277">
        <f>SUM(Revenue!E35:E37)</f>
        <v>0</v>
      </c>
      <c r="I55" s="277">
        <f>SUM(Revenue!F35:F37)</f>
        <v>0</v>
      </c>
      <c r="J55" s="277">
        <f>SUM(Revenue!G35:G37)</f>
        <v>0</v>
      </c>
      <c r="K55" s="277">
        <f>SUM(Revenue!H35:H37)</f>
        <v>0</v>
      </c>
      <c r="L55" s="277">
        <f>SUM(Revenue!I35:I37)</f>
        <v>0</v>
      </c>
    </row>
    <row r="56" spans="1:75" s="147" customFormat="1" ht="13.2" x14ac:dyDescent="0.25">
      <c r="A56" s="211"/>
      <c r="B56" s="279" t="str">
        <f>KeyInputs!F26</f>
        <v>Insert Business Line2</v>
      </c>
      <c r="C56" s="276"/>
      <c r="D56" s="276"/>
      <c r="E56" s="277"/>
      <c r="F56" s="277"/>
      <c r="G56" s="277"/>
      <c r="H56" s="277">
        <f>SUM(Revenue!E40:E42)</f>
        <v>0</v>
      </c>
      <c r="I56" s="277">
        <f>SUM(Revenue!F40:F42)</f>
        <v>0</v>
      </c>
      <c r="J56" s="277">
        <f>SUM(Revenue!G40:G42)</f>
        <v>0</v>
      </c>
      <c r="K56" s="277">
        <f>SUM(Revenue!H40:H42)</f>
        <v>0</v>
      </c>
      <c r="L56" s="277">
        <f>SUM(Revenue!I40:I42)</f>
        <v>0</v>
      </c>
    </row>
    <row r="57" spans="1:75" s="147" customFormat="1" ht="13.2" x14ac:dyDescent="0.25">
      <c r="A57" s="211"/>
      <c r="B57" s="279" t="str">
        <f>KeyInputs!F31</f>
        <v>Insert Business Line3</v>
      </c>
      <c r="C57" s="276"/>
      <c r="D57" s="276"/>
      <c r="E57" s="277"/>
      <c r="F57" s="277"/>
      <c r="G57" s="277"/>
      <c r="H57" s="277">
        <f>SUM(Revenue!E45:E47)</f>
        <v>0</v>
      </c>
      <c r="I57" s="277">
        <f>SUM(Revenue!F45:F47)</f>
        <v>0</v>
      </c>
      <c r="J57" s="277">
        <f>SUM(Revenue!G45:G47)</f>
        <v>0</v>
      </c>
      <c r="K57" s="277">
        <f>SUM(Revenue!H45:H47)</f>
        <v>0</v>
      </c>
      <c r="L57" s="277">
        <f>SUM(Revenue!I45:I47)</f>
        <v>0</v>
      </c>
    </row>
    <row r="58" spans="1:75" s="147" customFormat="1" ht="13.2" x14ac:dyDescent="0.25">
      <c r="A58" s="211"/>
      <c r="B58" s="116" t="s">
        <v>355</v>
      </c>
      <c r="C58" s="276"/>
      <c r="D58" s="276"/>
      <c r="E58" s="277">
        <f>IFERROR(E47/-E36,0)</f>
        <v>0</v>
      </c>
      <c r="F58" s="277">
        <f>IFERROR(F47/-F36,0)</f>
        <v>0</v>
      </c>
      <c r="G58" s="277">
        <f t="shared" ref="G58:L58" si="43">IFERROR(G47/-G36,0)</f>
        <v>0</v>
      </c>
      <c r="H58" s="277">
        <f t="shared" si="43"/>
        <v>0</v>
      </c>
      <c r="I58" s="277">
        <f t="shared" si="43"/>
        <v>0</v>
      </c>
      <c r="J58" s="277">
        <f t="shared" si="43"/>
        <v>0</v>
      </c>
      <c r="K58" s="277">
        <f t="shared" si="43"/>
        <v>0</v>
      </c>
      <c r="L58" s="277">
        <f t="shared" si="43"/>
        <v>0</v>
      </c>
    </row>
    <row r="59" spans="1:75" s="147" customFormat="1" ht="13.2" x14ac:dyDescent="0.25">
      <c r="A59" s="211"/>
      <c r="I59" s="212"/>
    </row>
    <row r="60" spans="1:75" s="166" customFormat="1" ht="15.6" x14ac:dyDescent="0.3">
      <c r="A60" s="166">
        <f>Header1</f>
        <v>2</v>
      </c>
      <c r="B60" s="166" t="s">
        <v>46</v>
      </c>
    </row>
    <row r="61" spans="1:75" s="147" customFormat="1" ht="13.2" x14ac:dyDescent="0.25">
      <c r="A61" s="211"/>
      <c r="I61" s="212"/>
    </row>
    <row r="62" spans="1:75" s="147" customFormat="1" ht="13.2" x14ac:dyDescent="0.25">
      <c r="B62" s="147" t="s">
        <v>224</v>
      </c>
      <c r="D62" s="231" t="str">
        <f t="shared" ref="D62:D67" si="44">unit</f>
        <v>£</v>
      </c>
      <c r="E62" s="147">
        <f>SUM(E63:E66)</f>
        <v>0</v>
      </c>
      <c r="F62" s="147">
        <f>SUM(F63:F66)</f>
        <v>0</v>
      </c>
      <c r="G62" s="147">
        <f t="shared" ref="G62" si="45">SUM(G63:G66)</f>
        <v>0</v>
      </c>
      <c r="H62" s="147">
        <f>SUM(H63:H66)</f>
        <v>0</v>
      </c>
      <c r="I62" s="147">
        <f t="shared" ref="I62:L62" si="46">SUM(I63:I66)</f>
        <v>0</v>
      </c>
      <c r="J62" s="147">
        <f t="shared" si="46"/>
        <v>0</v>
      </c>
      <c r="K62" s="147">
        <f t="shared" si="46"/>
        <v>0</v>
      </c>
      <c r="L62" s="147">
        <f t="shared" si="46"/>
        <v>0</v>
      </c>
      <c r="X62" s="147">
        <f t="shared" ref="X62:BW62" si="47">SUM(X63:X67)</f>
        <v>0</v>
      </c>
      <c r="Y62" s="147">
        <f t="shared" si="47"/>
        <v>0</v>
      </c>
      <c r="Z62" s="147">
        <f t="shared" si="47"/>
        <v>0</v>
      </c>
      <c r="AA62" s="147">
        <f t="shared" si="47"/>
        <v>0</v>
      </c>
      <c r="AB62" s="147">
        <f t="shared" si="47"/>
        <v>0</v>
      </c>
      <c r="AC62" s="147">
        <f t="shared" si="47"/>
        <v>0</v>
      </c>
      <c r="AD62" s="147">
        <f t="shared" si="47"/>
        <v>0</v>
      </c>
      <c r="AE62" s="147">
        <f t="shared" si="47"/>
        <v>0</v>
      </c>
      <c r="AF62" s="147">
        <f t="shared" si="47"/>
        <v>0</v>
      </c>
      <c r="AG62" s="147">
        <f t="shared" si="47"/>
        <v>0</v>
      </c>
      <c r="AH62" s="147">
        <f t="shared" si="47"/>
        <v>0</v>
      </c>
      <c r="AI62" s="147">
        <f t="shared" si="47"/>
        <v>0</v>
      </c>
      <c r="AJ62" s="147">
        <f t="shared" si="47"/>
        <v>0</v>
      </c>
      <c r="AK62" s="147">
        <f t="shared" si="47"/>
        <v>0</v>
      </c>
      <c r="AL62" s="147">
        <f t="shared" si="47"/>
        <v>0</v>
      </c>
      <c r="AM62" s="147">
        <f t="shared" si="47"/>
        <v>0</v>
      </c>
      <c r="AN62" s="147">
        <f t="shared" si="47"/>
        <v>0</v>
      </c>
      <c r="AO62" s="147">
        <f t="shared" si="47"/>
        <v>0</v>
      </c>
      <c r="AP62" s="147">
        <f t="shared" si="47"/>
        <v>0</v>
      </c>
      <c r="AQ62" s="147">
        <f t="shared" si="47"/>
        <v>0</v>
      </c>
      <c r="AR62" s="147">
        <f t="shared" si="47"/>
        <v>0</v>
      </c>
      <c r="AS62" s="147">
        <f t="shared" si="47"/>
        <v>0</v>
      </c>
      <c r="AT62" s="147">
        <f t="shared" si="47"/>
        <v>0</v>
      </c>
      <c r="AU62" s="147">
        <f t="shared" si="47"/>
        <v>0</v>
      </c>
      <c r="AV62" s="147">
        <f t="shared" si="47"/>
        <v>0</v>
      </c>
      <c r="AW62" s="147">
        <f t="shared" si="47"/>
        <v>0</v>
      </c>
      <c r="AX62" s="147">
        <f t="shared" si="47"/>
        <v>0</v>
      </c>
      <c r="AY62" s="147">
        <f t="shared" si="47"/>
        <v>0</v>
      </c>
      <c r="AZ62" s="147">
        <f t="shared" si="47"/>
        <v>0</v>
      </c>
      <c r="BA62" s="147">
        <f t="shared" si="47"/>
        <v>0</v>
      </c>
      <c r="BB62" s="147">
        <f t="shared" si="47"/>
        <v>0</v>
      </c>
      <c r="BC62" s="147">
        <f t="shared" si="47"/>
        <v>0</v>
      </c>
      <c r="BD62" s="147">
        <f t="shared" si="47"/>
        <v>0</v>
      </c>
      <c r="BE62" s="147">
        <f t="shared" si="47"/>
        <v>0</v>
      </c>
      <c r="BF62" s="147">
        <f t="shared" si="47"/>
        <v>0</v>
      </c>
      <c r="BG62" s="147">
        <f t="shared" si="47"/>
        <v>0</v>
      </c>
      <c r="BH62" s="147">
        <f t="shared" si="47"/>
        <v>0</v>
      </c>
      <c r="BI62" s="147">
        <f t="shared" si="47"/>
        <v>0</v>
      </c>
      <c r="BJ62" s="147">
        <f t="shared" si="47"/>
        <v>0</v>
      </c>
      <c r="BK62" s="147">
        <f t="shared" si="47"/>
        <v>0</v>
      </c>
      <c r="BL62" s="147">
        <f t="shared" si="47"/>
        <v>0</v>
      </c>
      <c r="BM62" s="147">
        <f t="shared" si="47"/>
        <v>0</v>
      </c>
      <c r="BN62" s="147">
        <f t="shared" si="47"/>
        <v>0</v>
      </c>
      <c r="BO62" s="147">
        <f t="shared" si="47"/>
        <v>0</v>
      </c>
      <c r="BP62" s="147">
        <f t="shared" si="47"/>
        <v>0</v>
      </c>
      <c r="BQ62" s="147">
        <f t="shared" si="47"/>
        <v>0</v>
      </c>
      <c r="BR62" s="147">
        <f t="shared" si="47"/>
        <v>0</v>
      </c>
      <c r="BS62" s="147">
        <f t="shared" si="47"/>
        <v>0</v>
      </c>
      <c r="BT62" s="147">
        <f t="shared" si="47"/>
        <v>0</v>
      </c>
      <c r="BU62" s="147">
        <f t="shared" si="47"/>
        <v>0</v>
      </c>
      <c r="BV62" s="147">
        <f t="shared" si="47"/>
        <v>0</v>
      </c>
      <c r="BW62" s="147">
        <f t="shared" si="47"/>
        <v>0</v>
      </c>
    </row>
    <row r="63" spans="1:75" s="147" customFormat="1" ht="13.2" outlineLevel="1" x14ac:dyDescent="0.25">
      <c r="A63" s="211"/>
      <c r="B63" s="250" t="str">
        <f>KeyInputs!C112</f>
        <v>ICT equipement</v>
      </c>
      <c r="D63" s="231" t="str">
        <f t="shared" si="44"/>
        <v>£</v>
      </c>
      <c r="E63" s="147">
        <f>KeyInputs!E112</f>
        <v>0</v>
      </c>
      <c r="F63" s="147">
        <f>KeyInputs!F112</f>
        <v>0</v>
      </c>
      <c r="G63" s="147">
        <f>KeyInputs!G112</f>
        <v>0</v>
      </c>
      <c r="H63" s="147">
        <f>'Outputs - BalanceSheet'!E13</f>
        <v>0</v>
      </c>
      <c r="I63" s="147">
        <f>'Outputs - BalanceSheet'!F13</f>
        <v>0</v>
      </c>
      <c r="J63" s="147">
        <f>'Outputs - BalanceSheet'!G13</f>
        <v>0</v>
      </c>
      <c r="K63" s="147">
        <f>'Outputs - BalanceSheet'!H13</f>
        <v>0</v>
      </c>
      <c r="L63" s="147">
        <f>'Outputs - BalanceSheet'!I13</f>
        <v>0</v>
      </c>
      <c r="X63" s="147">
        <f>Capex!S73</f>
        <v>0</v>
      </c>
      <c r="Y63" s="147">
        <f>Capex!T73</f>
        <v>0</v>
      </c>
      <c r="Z63" s="147">
        <f>Capex!U73</f>
        <v>0</v>
      </c>
      <c r="AA63" s="147">
        <f>Capex!V73</f>
        <v>0</v>
      </c>
      <c r="AB63" s="147">
        <f>Capex!W73</f>
        <v>0</v>
      </c>
      <c r="AC63" s="147">
        <f>Capex!X73</f>
        <v>0</v>
      </c>
      <c r="AD63" s="147">
        <f>Capex!Y73</f>
        <v>0</v>
      </c>
      <c r="AE63" s="147">
        <f>Capex!Z73</f>
        <v>0</v>
      </c>
      <c r="AF63" s="147">
        <f>Capex!AA73</f>
        <v>0</v>
      </c>
      <c r="AG63" s="147">
        <f>Capex!AB73</f>
        <v>0</v>
      </c>
      <c r="AH63" s="147">
        <f>Capex!AC73</f>
        <v>0</v>
      </c>
      <c r="AI63" s="147">
        <f>Capex!AD73</f>
        <v>0</v>
      </c>
      <c r="AJ63" s="147">
        <f>Capex!AE73</f>
        <v>0</v>
      </c>
      <c r="AK63" s="147">
        <f>Capex!AF73</f>
        <v>0</v>
      </c>
      <c r="AL63" s="147">
        <f>Capex!AG73</f>
        <v>0</v>
      </c>
      <c r="AM63" s="147">
        <f>Capex!AH73</f>
        <v>0</v>
      </c>
      <c r="AN63" s="147">
        <f>Capex!AI73</f>
        <v>0</v>
      </c>
      <c r="AO63" s="147">
        <f>Capex!AJ73</f>
        <v>0</v>
      </c>
      <c r="AP63" s="147">
        <f>Capex!AK73</f>
        <v>0</v>
      </c>
      <c r="AQ63" s="147">
        <f>Capex!AL73</f>
        <v>0</v>
      </c>
      <c r="AR63" s="147">
        <f>Capex!AM73</f>
        <v>0</v>
      </c>
      <c r="AS63" s="147">
        <f>Capex!AN73</f>
        <v>0</v>
      </c>
      <c r="AT63" s="147">
        <f>Capex!AO73</f>
        <v>0</v>
      </c>
      <c r="AU63" s="147">
        <f>Capex!AP73</f>
        <v>0</v>
      </c>
      <c r="AV63" s="147">
        <f>Capex!AQ73</f>
        <v>0</v>
      </c>
      <c r="AW63" s="147">
        <f>Capex!AR73</f>
        <v>0</v>
      </c>
      <c r="AX63" s="147">
        <f>Capex!AS73</f>
        <v>0</v>
      </c>
      <c r="AY63" s="147">
        <f>Capex!AT73</f>
        <v>0</v>
      </c>
      <c r="AZ63" s="147">
        <f>Capex!AU73</f>
        <v>0</v>
      </c>
      <c r="BA63" s="147">
        <f>Capex!AV73</f>
        <v>0</v>
      </c>
      <c r="BB63" s="147">
        <f>Capex!AW73</f>
        <v>0</v>
      </c>
      <c r="BC63" s="147">
        <f>Capex!AX73</f>
        <v>0</v>
      </c>
      <c r="BD63" s="147">
        <f>Capex!AY73</f>
        <v>0</v>
      </c>
      <c r="BE63" s="147">
        <f>Capex!AZ73</f>
        <v>0</v>
      </c>
      <c r="BF63" s="147">
        <f>Capex!BA73</f>
        <v>0</v>
      </c>
      <c r="BG63" s="147">
        <f>Capex!BB73</f>
        <v>0</v>
      </c>
      <c r="BH63" s="147">
        <f>Capex!BC73</f>
        <v>0</v>
      </c>
      <c r="BI63" s="147">
        <f>Capex!BD73</f>
        <v>0</v>
      </c>
      <c r="BJ63" s="147">
        <f>Capex!BE73</f>
        <v>0</v>
      </c>
      <c r="BK63" s="147">
        <f>Capex!BF73</f>
        <v>0</v>
      </c>
      <c r="BL63" s="147">
        <f>Capex!BG73</f>
        <v>0</v>
      </c>
      <c r="BM63" s="147">
        <f>Capex!BH73</f>
        <v>0</v>
      </c>
      <c r="BN63" s="147">
        <f>Capex!BI73</f>
        <v>0</v>
      </c>
      <c r="BO63" s="147">
        <f>Capex!BJ73</f>
        <v>0</v>
      </c>
      <c r="BP63" s="147">
        <f>Capex!BK73</f>
        <v>0</v>
      </c>
      <c r="BQ63" s="147">
        <f>Capex!BL73</f>
        <v>0</v>
      </c>
      <c r="BR63" s="147">
        <f>Capex!BM73</f>
        <v>0</v>
      </c>
      <c r="BS63" s="147">
        <f>Capex!BN73</f>
        <v>0</v>
      </c>
      <c r="BT63" s="147">
        <f>Capex!BO73</f>
        <v>0</v>
      </c>
      <c r="BU63" s="147">
        <f>Capex!BP73</f>
        <v>0</v>
      </c>
      <c r="BV63" s="147">
        <f>Capex!BQ73</f>
        <v>0</v>
      </c>
      <c r="BW63" s="147">
        <f>Capex!BR73</f>
        <v>0</v>
      </c>
    </row>
    <row r="64" spans="1:75" s="147" customFormat="1" ht="13.2" outlineLevel="1" x14ac:dyDescent="0.25">
      <c r="A64" s="211"/>
      <c r="B64" s="250" t="str">
        <f>KeyInputs!C113</f>
        <v>F&amp;F</v>
      </c>
      <c r="D64" s="231" t="str">
        <f t="shared" si="44"/>
        <v>£</v>
      </c>
      <c r="E64" s="147">
        <f>KeyInputs!E113</f>
        <v>0</v>
      </c>
      <c r="F64" s="147">
        <f>KeyInputs!F113</f>
        <v>0</v>
      </c>
      <c r="G64" s="147">
        <f>KeyInputs!G113</f>
        <v>0</v>
      </c>
      <c r="H64" s="147">
        <f>'Outputs - BalanceSheet'!E14</f>
        <v>0</v>
      </c>
      <c r="I64" s="147">
        <f>'Outputs - BalanceSheet'!F14</f>
        <v>0</v>
      </c>
      <c r="J64" s="147">
        <f>'Outputs - BalanceSheet'!G14</f>
        <v>0</v>
      </c>
      <c r="K64" s="147">
        <f>'Outputs - BalanceSheet'!H14</f>
        <v>0</v>
      </c>
      <c r="L64" s="147">
        <f>'Outputs - BalanceSheet'!I14</f>
        <v>0</v>
      </c>
      <c r="X64" s="147">
        <f>Capex!S83</f>
        <v>0</v>
      </c>
      <c r="Y64" s="147">
        <f>Capex!T83</f>
        <v>0</v>
      </c>
      <c r="Z64" s="147">
        <f>Capex!U83</f>
        <v>0</v>
      </c>
      <c r="AA64" s="147">
        <f>Capex!V83</f>
        <v>0</v>
      </c>
      <c r="AB64" s="147">
        <f>Capex!W83</f>
        <v>0</v>
      </c>
      <c r="AC64" s="147">
        <f>Capex!X83</f>
        <v>0</v>
      </c>
      <c r="AD64" s="147">
        <f>Capex!Y83</f>
        <v>0</v>
      </c>
      <c r="AE64" s="147">
        <f>Capex!Z83</f>
        <v>0</v>
      </c>
      <c r="AF64" s="147">
        <f>Capex!AA83</f>
        <v>0</v>
      </c>
      <c r="AG64" s="147">
        <f>Capex!AB83</f>
        <v>0</v>
      </c>
      <c r="AH64" s="147">
        <f>Capex!AC83</f>
        <v>0</v>
      </c>
      <c r="AI64" s="147">
        <f>Capex!AD83</f>
        <v>0</v>
      </c>
      <c r="AJ64" s="147">
        <f>Capex!AE83</f>
        <v>0</v>
      </c>
      <c r="AK64" s="147">
        <f>Capex!AF83</f>
        <v>0</v>
      </c>
      <c r="AL64" s="147">
        <f>Capex!AG83</f>
        <v>0</v>
      </c>
      <c r="AM64" s="147">
        <f>Capex!AH83</f>
        <v>0</v>
      </c>
      <c r="AN64" s="147">
        <f>Capex!AI83</f>
        <v>0</v>
      </c>
      <c r="AO64" s="147">
        <f>Capex!AJ83</f>
        <v>0</v>
      </c>
      <c r="AP64" s="147">
        <f>Capex!AK83</f>
        <v>0</v>
      </c>
      <c r="AQ64" s="147">
        <f>Capex!AL83</f>
        <v>0</v>
      </c>
      <c r="AR64" s="147">
        <f>Capex!AM83</f>
        <v>0</v>
      </c>
      <c r="AS64" s="147">
        <f>Capex!AN83</f>
        <v>0</v>
      </c>
      <c r="AT64" s="147">
        <f>Capex!AO83</f>
        <v>0</v>
      </c>
      <c r="AU64" s="147">
        <f>Capex!AP83</f>
        <v>0</v>
      </c>
      <c r="AV64" s="147">
        <f>Capex!AQ83</f>
        <v>0</v>
      </c>
      <c r="AW64" s="147">
        <f>Capex!AR83</f>
        <v>0</v>
      </c>
      <c r="AX64" s="147">
        <f>Capex!AS83</f>
        <v>0</v>
      </c>
      <c r="AY64" s="147">
        <f>Capex!AT83</f>
        <v>0</v>
      </c>
      <c r="AZ64" s="147">
        <f>Capex!AU83</f>
        <v>0</v>
      </c>
      <c r="BA64" s="147">
        <f>Capex!AV83</f>
        <v>0</v>
      </c>
      <c r="BB64" s="147">
        <f>Capex!AW83</f>
        <v>0</v>
      </c>
      <c r="BC64" s="147">
        <f>Capex!AX83</f>
        <v>0</v>
      </c>
      <c r="BD64" s="147">
        <f>Capex!AY83</f>
        <v>0</v>
      </c>
      <c r="BE64" s="147">
        <f>Capex!AZ83</f>
        <v>0</v>
      </c>
      <c r="BF64" s="147">
        <f>Capex!BA83</f>
        <v>0</v>
      </c>
      <c r="BG64" s="147">
        <f>Capex!BB83</f>
        <v>0</v>
      </c>
      <c r="BH64" s="147">
        <f>Capex!BC83</f>
        <v>0</v>
      </c>
      <c r="BI64" s="147">
        <f>Capex!BD83</f>
        <v>0</v>
      </c>
      <c r="BJ64" s="147">
        <f>Capex!BE83</f>
        <v>0</v>
      </c>
      <c r="BK64" s="147">
        <f>Capex!BF83</f>
        <v>0</v>
      </c>
      <c r="BL64" s="147">
        <f>Capex!BG83</f>
        <v>0</v>
      </c>
      <c r="BM64" s="147">
        <f>Capex!BH83</f>
        <v>0</v>
      </c>
      <c r="BN64" s="147">
        <f>Capex!BI83</f>
        <v>0</v>
      </c>
      <c r="BO64" s="147">
        <f>Capex!BJ83</f>
        <v>0</v>
      </c>
      <c r="BP64" s="147">
        <f>Capex!BK83</f>
        <v>0</v>
      </c>
      <c r="BQ64" s="147">
        <f>Capex!BL83</f>
        <v>0</v>
      </c>
      <c r="BR64" s="147">
        <f>Capex!BM83</f>
        <v>0</v>
      </c>
      <c r="BS64" s="147">
        <f>Capex!BN83</f>
        <v>0</v>
      </c>
      <c r="BT64" s="147">
        <f>Capex!BO83</f>
        <v>0</v>
      </c>
      <c r="BU64" s="147">
        <f>Capex!BP83</f>
        <v>0</v>
      </c>
      <c r="BV64" s="147">
        <f>Capex!BQ83</f>
        <v>0</v>
      </c>
      <c r="BW64" s="147">
        <f>Capex!BR83</f>
        <v>0</v>
      </c>
    </row>
    <row r="65" spans="1:75" s="147" customFormat="1" ht="13.2" outlineLevel="1" x14ac:dyDescent="0.25">
      <c r="A65" s="211"/>
      <c r="B65" s="250" t="str">
        <f>KeyInputs!C114</f>
        <v xml:space="preserve">Property </v>
      </c>
      <c r="D65" s="231" t="str">
        <f t="shared" si="44"/>
        <v>£</v>
      </c>
      <c r="E65" s="147">
        <f>KeyInputs!E114</f>
        <v>0</v>
      </c>
      <c r="F65" s="147">
        <f>KeyInputs!F114</f>
        <v>0</v>
      </c>
      <c r="G65" s="147">
        <f>KeyInputs!G114</f>
        <v>0</v>
      </c>
      <c r="H65" s="147">
        <f>'Outputs - BalanceSheet'!E15</f>
        <v>0</v>
      </c>
      <c r="I65" s="147">
        <f>'Outputs - BalanceSheet'!F15</f>
        <v>0</v>
      </c>
      <c r="J65" s="147">
        <f>'Outputs - BalanceSheet'!G15</f>
        <v>0</v>
      </c>
      <c r="K65" s="147">
        <f>'Outputs - BalanceSheet'!H15</f>
        <v>0</v>
      </c>
      <c r="L65" s="147">
        <f>'Outputs - BalanceSheet'!I15</f>
        <v>0</v>
      </c>
      <c r="X65" s="147">
        <f>Capex!S93</f>
        <v>0</v>
      </c>
      <c r="Y65" s="147">
        <f>Capex!T93</f>
        <v>0</v>
      </c>
      <c r="Z65" s="147">
        <f>Capex!U93</f>
        <v>0</v>
      </c>
      <c r="AA65" s="147">
        <f>Capex!V93</f>
        <v>0</v>
      </c>
      <c r="AB65" s="147">
        <f>Capex!W93</f>
        <v>0</v>
      </c>
      <c r="AC65" s="147">
        <f>Capex!X93</f>
        <v>0</v>
      </c>
      <c r="AD65" s="147">
        <f>Capex!Y93</f>
        <v>0</v>
      </c>
      <c r="AE65" s="147">
        <f>Capex!Z93</f>
        <v>0</v>
      </c>
      <c r="AF65" s="147">
        <f>Capex!AA93</f>
        <v>0</v>
      </c>
      <c r="AG65" s="147">
        <f>Capex!AB93</f>
        <v>0</v>
      </c>
      <c r="AH65" s="147">
        <f>Capex!AC93</f>
        <v>0</v>
      </c>
      <c r="AI65" s="147">
        <f>Capex!AD93</f>
        <v>0</v>
      </c>
      <c r="AJ65" s="147">
        <f>Capex!AE93</f>
        <v>0</v>
      </c>
      <c r="AK65" s="147">
        <f>Capex!AF93</f>
        <v>0</v>
      </c>
      <c r="AL65" s="147">
        <f>Capex!AG93</f>
        <v>0</v>
      </c>
      <c r="AM65" s="147">
        <f>Capex!AH93</f>
        <v>0</v>
      </c>
      <c r="AN65" s="147">
        <f>Capex!AI93</f>
        <v>0</v>
      </c>
      <c r="AO65" s="147">
        <f>Capex!AJ93</f>
        <v>0</v>
      </c>
      <c r="AP65" s="147">
        <f>Capex!AK93</f>
        <v>0</v>
      </c>
      <c r="AQ65" s="147">
        <f>Capex!AL93</f>
        <v>0</v>
      </c>
      <c r="AR65" s="147">
        <f>Capex!AM93</f>
        <v>0</v>
      </c>
      <c r="AS65" s="147">
        <f>Capex!AN93</f>
        <v>0</v>
      </c>
      <c r="AT65" s="147">
        <f>Capex!AO93</f>
        <v>0</v>
      </c>
      <c r="AU65" s="147">
        <f>Capex!AP93</f>
        <v>0</v>
      </c>
      <c r="AV65" s="147">
        <f>Capex!AQ93</f>
        <v>0</v>
      </c>
      <c r="AW65" s="147">
        <f>Capex!AR93</f>
        <v>0</v>
      </c>
      <c r="AX65" s="147">
        <f>Capex!AS93</f>
        <v>0</v>
      </c>
      <c r="AY65" s="147">
        <f>Capex!AT93</f>
        <v>0</v>
      </c>
      <c r="AZ65" s="147">
        <f>Capex!AU93</f>
        <v>0</v>
      </c>
      <c r="BA65" s="147">
        <f>Capex!AV93</f>
        <v>0</v>
      </c>
      <c r="BB65" s="147">
        <f>Capex!AW93</f>
        <v>0</v>
      </c>
      <c r="BC65" s="147">
        <f>Capex!AX93</f>
        <v>0</v>
      </c>
      <c r="BD65" s="147">
        <f>Capex!AY93</f>
        <v>0</v>
      </c>
      <c r="BE65" s="147">
        <f>Capex!AZ93</f>
        <v>0</v>
      </c>
      <c r="BF65" s="147">
        <f>Capex!BA93</f>
        <v>0</v>
      </c>
      <c r="BG65" s="147">
        <f>Capex!BB93</f>
        <v>0</v>
      </c>
      <c r="BH65" s="147">
        <f>Capex!BC93</f>
        <v>0</v>
      </c>
      <c r="BI65" s="147">
        <f>Capex!BD93</f>
        <v>0</v>
      </c>
      <c r="BJ65" s="147">
        <f>Capex!BE93</f>
        <v>0</v>
      </c>
      <c r="BK65" s="147">
        <f>Capex!BF93</f>
        <v>0</v>
      </c>
      <c r="BL65" s="147">
        <f>Capex!BG93</f>
        <v>0</v>
      </c>
      <c r="BM65" s="147">
        <f>Capex!BH93</f>
        <v>0</v>
      </c>
      <c r="BN65" s="147">
        <f>Capex!BI93</f>
        <v>0</v>
      </c>
      <c r="BO65" s="147">
        <f>Capex!BJ93</f>
        <v>0</v>
      </c>
      <c r="BP65" s="147">
        <f>Capex!BK93</f>
        <v>0</v>
      </c>
      <c r="BQ65" s="147">
        <f>Capex!BL93</f>
        <v>0</v>
      </c>
      <c r="BR65" s="147">
        <f>Capex!BM93</f>
        <v>0</v>
      </c>
      <c r="BS65" s="147">
        <f>Capex!BN93</f>
        <v>0</v>
      </c>
      <c r="BT65" s="147">
        <f>Capex!BO93</f>
        <v>0</v>
      </c>
      <c r="BU65" s="147">
        <f>Capex!BP93</f>
        <v>0</v>
      </c>
      <c r="BV65" s="147">
        <f>Capex!BQ93</f>
        <v>0</v>
      </c>
      <c r="BW65" s="147">
        <f>Capex!BR93</f>
        <v>0</v>
      </c>
    </row>
    <row r="66" spans="1:75" s="147" customFormat="1" ht="13.2" outlineLevel="1" x14ac:dyDescent="0.25">
      <c r="A66" s="211"/>
      <c r="B66" s="250" t="str">
        <f>KeyInputs!C115</f>
        <v>Vehicles</v>
      </c>
      <c r="D66" s="231" t="str">
        <f t="shared" si="44"/>
        <v>£</v>
      </c>
      <c r="E66" s="147">
        <f>KeyInputs!E115</f>
        <v>0</v>
      </c>
      <c r="F66" s="147">
        <f>KeyInputs!F115</f>
        <v>0</v>
      </c>
      <c r="G66" s="147">
        <f>KeyInputs!G115</f>
        <v>0</v>
      </c>
      <c r="H66" s="147">
        <f>'Outputs - BalanceSheet'!E16</f>
        <v>0</v>
      </c>
      <c r="I66" s="147">
        <f>'Outputs - BalanceSheet'!F16</f>
        <v>0</v>
      </c>
      <c r="J66" s="147">
        <f>'Outputs - BalanceSheet'!G16</f>
        <v>0</v>
      </c>
      <c r="K66" s="147">
        <f>'Outputs - BalanceSheet'!H16</f>
        <v>0</v>
      </c>
      <c r="L66" s="147">
        <f>'Outputs - BalanceSheet'!I16</f>
        <v>0</v>
      </c>
      <c r="X66" s="147">
        <f>Capex!S103</f>
        <v>0</v>
      </c>
      <c r="Y66" s="147">
        <f>Capex!T103</f>
        <v>0</v>
      </c>
      <c r="Z66" s="147">
        <f>Capex!U103</f>
        <v>0</v>
      </c>
      <c r="AA66" s="147">
        <f>Capex!V103</f>
        <v>0</v>
      </c>
      <c r="AB66" s="147">
        <f>Capex!W103</f>
        <v>0</v>
      </c>
      <c r="AC66" s="147">
        <f>Capex!X103</f>
        <v>0</v>
      </c>
      <c r="AD66" s="147">
        <f>Capex!Y103</f>
        <v>0</v>
      </c>
      <c r="AE66" s="147">
        <f>Capex!Z103</f>
        <v>0</v>
      </c>
      <c r="AF66" s="147">
        <f>Capex!AA103</f>
        <v>0</v>
      </c>
      <c r="AG66" s="147">
        <f>Capex!AB103</f>
        <v>0</v>
      </c>
      <c r="AH66" s="147">
        <f>Capex!AC103</f>
        <v>0</v>
      </c>
      <c r="AI66" s="147">
        <f>Capex!AD103</f>
        <v>0</v>
      </c>
      <c r="AJ66" s="147">
        <f>Capex!AE103</f>
        <v>0</v>
      </c>
      <c r="AK66" s="147">
        <f>Capex!AF103</f>
        <v>0</v>
      </c>
      <c r="AL66" s="147">
        <f>Capex!AG103</f>
        <v>0</v>
      </c>
      <c r="AM66" s="147">
        <f>Capex!AH103</f>
        <v>0</v>
      </c>
      <c r="AN66" s="147">
        <f>Capex!AI103</f>
        <v>0</v>
      </c>
      <c r="AO66" s="147">
        <f>Capex!AJ103</f>
        <v>0</v>
      </c>
      <c r="AP66" s="147">
        <f>Capex!AK103</f>
        <v>0</v>
      </c>
      <c r="AQ66" s="147">
        <f>Capex!AL103</f>
        <v>0</v>
      </c>
      <c r="AR66" s="147">
        <f>Capex!AM103</f>
        <v>0</v>
      </c>
      <c r="AS66" s="147">
        <f>Capex!AN103</f>
        <v>0</v>
      </c>
      <c r="AT66" s="147">
        <f>Capex!AO103</f>
        <v>0</v>
      </c>
      <c r="AU66" s="147">
        <f>Capex!AP103</f>
        <v>0</v>
      </c>
      <c r="AV66" s="147">
        <f>Capex!AQ103</f>
        <v>0</v>
      </c>
      <c r="AW66" s="147">
        <f>Capex!AR103</f>
        <v>0</v>
      </c>
      <c r="AX66" s="147">
        <f>Capex!AS103</f>
        <v>0</v>
      </c>
      <c r="AY66" s="147">
        <f>Capex!AT103</f>
        <v>0</v>
      </c>
      <c r="AZ66" s="147">
        <f>Capex!AU103</f>
        <v>0</v>
      </c>
      <c r="BA66" s="147">
        <f>Capex!AV103</f>
        <v>0</v>
      </c>
      <c r="BB66" s="147">
        <f>Capex!AW103</f>
        <v>0</v>
      </c>
      <c r="BC66" s="147">
        <f>Capex!AX103</f>
        <v>0</v>
      </c>
      <c r="BD66" s="147">
        <f>Capex!AY103</f>
        <v>0</v>
      </c>
      <c r="BE66" s="147">
        <f>Capex!AZ103</f>
        <v>0</v>
      </c>
      <c r="BF66" s="147">
        <f>Capex!BA103</f>
        <v>0</v>
      </c>
      <c r="BG66" s="147">
        <f>Capex!BB103</f>
        <v>0</v>
      </c>
      <c r="BH66" s="147">
        <f>Capex!BC103</f>
        <v>0</v>
      </c>
      <c r="BI66" s="147">
        <f>Capex!BD103</f>
        <v>0</v>
      </c>
      <c r="BJ66" s="147">
        <f>Capex!BE103</f>
        <v>0</v>
      </c>
      <c r="BK66" s="147">
        <f>Capex!BF103</f>
        <v>0</v>
      </c>
      <c r="BL66" s="147">
        <f>Capex!BG103</f>
        <v>0</v>
      </c>
      <c r="BM66" s="147">
        <f>Capex!BH103</f>
        <v>0</v>
      </c>
      <c r="BN66" s="147">
        <f>Capex!BI103</f>
        <v>0</v>
      </c>
      <c r="BO66" s="147">
        <f>Capex!BJ103</f>
        <v>0</v>
      </c>
      <c r="BP66" s="147">
        <f>Capex!BK103</f>
        <v>0</v>
      </c>
      <c r="BQ66" s="147">
        <f>Capex!BL103</f>
        <v>0</v>
      </c>
      <c r="BR66" s="147">
        <f>Capex!BM103</f>
        <v>0</v>
      </c>
      <c r="BS66" s="147">
        <f>Capex!BN103</f>
        <v>0</v>
      </c>
      <c r="BT66" s="147">
        <f>Capex!BO103</f>
        <v>0</v>
      </c>
      <c r="BU66" s="147">
        <f>Capex!BP103</f>
        <v>0</v>
      </c>
      <c r="BV66" s="147">
        <f>Capex!BQ103</f>
        <v>0</v>
      </c>
      <c r="BW66" s="147">
        <f>Capex!BR103</f>
        <v>0</v>
      </c>
    </row>
    <row r="67" spans="1:75" s="147" customFormat="1" ht="13.2" outlineLevel="1" x14ac:dyDescent="0.25">
      <c r="A67" s="211"/>
      <c r="B67" s="250" t="str">
        <f>KeyInputs!C116</f>
        <v>n/a</v>
      </c>
      <c r="D67" s="231" t="str">
        <f t="shared" si="44"/>
        <v>£</v>
      </c>
      <c r="E67" s="147">
        <f>KeyInputs!E116</f>
        <v>0</v>
      </c>
      <c r="F67" s="147">
        <f>KeyInputs!F116</f>
        <v>0</v>
      </c>
      <c r="G67" s="147">
        <f>KeyInputs!G116</f>
        <v>0</v>
      </c>
      <c r="H67" s="147">
        <f>'Outputs - BalanceSheet'!E17</f>
        <v>0</v>
      </c>
      <c r="I67" s="147">
        <f>'Outputs - BalanceSheet'!F17</f>
        <v>0</v>
      </c>
      <c r="J67" s="147">
        <f>'Outputs - BalanceSheet'!G17</f>
        <v>0</v>
      </c>
      <c r="K67" s="147">
        <f>'Outputs - BalanceSheet'!H17</f>
        <v>0</v>
      </c>
      <c r="L67" s="147">
        <f>'Outputs - BalanceSheet'!I17</f>
        <v>0</v>
      </c>
      <c r="X67" s="147">
        <f>Capex!S113</f>
        <v>0</v>
      </c>
      <c r="Y67" s="147">
        <f>Capex!T113</f>
        <v>0</v>
      </c>
      <c r="Z67" s="147">
        <f>Capex!U113</f>
        <v>0</v>
      </c>
      <c r="AA67" s="147">
        <f>Capex!V113</f>
        <v>0</v>
      </c>
      <c r="AB67" s="147">
        <f>Capex!W113</f>
        <v>0</v>
      </c>
      <c r="AC67" s="147">
        <f>Capex!X113</f>
        <v>0</v>
      </c>
      <c r="AD67" s="147">
        <f>Capex!Y113</f>
        <v>0</v>
      </c>
      <c r="AE67" s="147">
        <f>Capex!Z113</f>
        <v>0</v>
      </c>
      <c r="AF67" s="147">
        <f>Capex!AA113</f>
        <v>0</v>
      </c>
      <c r="AG67" s="147">
        <f>Capex!AB113</f>
        <v>0</v>
      </c>
      <c r="AH67" s="147">
        <f>Capex!AC113</f>
        <v>0</v>
      </c>
      <c r="AI67" s="147">
        <f>Capex!AD113</f>
        <v>0</v>
      </c>
      <c r="AJ67" s="147">
        <f>Capex!AE113</f>
        <v>0</v>
      </c>
      <c r="AK67" s="147">
        <f>Capex!AF113</f>
        <v>0</v>
      </c>
      <c r="AL67" s="147">
        <f>Capex!AG113</f>
        <v>0</v>
      </c>
      <c r="AM67" s="147">
        <f>Capex!AH113</f>
        <v>0</v>
      </c>
      <c r="AN67" s="147">
        <f>Capex!AI113</f>
        <v>0</v>
      </c>
      <c r="AO67" s="147">
        <f>Capex!AJ113</f>
        <v>0</v>
      </c>
      <c r="AP67" s="147">
        <f>Capex!AK113</f>
        <v>0</v>
      </c>
      <c r="AQ67" s="147">
        <f>Capex!AL113</f>
        <v>0</v>
      </c>
      <c r="AR67" s="147">
        <f>Capex!AM113</f>
        <v>0</v>
      </c>
      <c r="AS67" s="147">
        <f>Capex!AN113</f>
        <v>0</v>
      </c>
      <c r="AT67" s="147">
        <f>Capex!AO113</f>
        <v>0</v>
      </c>
      <c r="AU67" s="147">
        <f>Capex!AP113</f>
        <v>0</v>
      </c>
      <c r="AV67" s="147">
        <f>Capex!AQ113</f>
        <v>0</v>
      </c>
      <c r="AW67" s="147">
        <f>Capex!AR113</f>
        <v>0</v>
      </c>
      <c r="AX67" s="147">
        <f>Capex!AS113</f>
        <v>0</v>
      </c>
      <c r="AY67" s="147">
        <f>Capex!AT113</f>
        <v>0</v>
      </c>
      <c r="AZ67" s="147">
        <f>Capex!AU113</f>
        <v>0</v>
      </c>
      <c r="BA67" s="147">
        <f>Capex!AV113</f>
        <v>0</v>
      </c>
      <c r="BB67" s="147">
        <f>Capex!AW113</f>
        <v>0</v>
      </c>
      <c r="BC67" s="147">
        <f>Capex!AX113</f>
        <v>0</v>
      </c>
      <c r="BD67" s="147">
        <f>Capex!AY113</f>
        <v>0</v>
      </c>
      <c r="BE67" s="147">
        <f>Capex!AZ113</f>
        <v>0</v>
      </c>
      <c r="BF67" s="147">
        <f>Capex!BA113</f>
        <v>0</v>
      </c>
      <c r="BG67" s="147">
        <f>Capex!BB113</f>
        <v>0</v>
      </c>
      <c r="BH67" s="147">
        <f>Capex!BC113</f>
        <v>0</v>
      </c>
      <c r="BI67" s="147">
        <f>Capex!BD113</f>
        <v>0</v>
      </c>
      <c r="BJ67" s="147">
        <f>Capex!BE113</f>
        <v>0</v>
      </c>
      <c r="BK67" s="147">
        <f>Capex!BF113</f>
        <v>0</v>
      </c>
      <c r="BL67" s="147">
        <f>Capex!BG113</f>
        <v>0</v>
      </c>
      <c r="BM67" s="147">
        <f>Capex!BH113</f>
        <v>0</v>
      </c>
      <c r="BN67" s="147">
        <f>Capex!BI113</f>
        <v>0</v>
      </c>
      <c r="BO67" s="147">
        <f>Capex!BJ113</f>
        <v>0</v>
      </c>
      <c r="BP67" s="147">
        <f>Capex!BK113</f>
        <v>0</v>
      </c>
      <c r="BQ67" s="147">
        <f>Capex!BL113</f>
        <v>0</v>
      </c>
      <c r="BR67" s="147">
        <f>Capex!BM113</f>
        <v>0</v>
      </c>
      <c r="BS67" s="147">
        <f>Capex!BN113</f>
        <v>0</v>
      </c>
      <c r="BT67" s="147">
        <f>Capex!BO113</f>
        <v>0</v>
      </c>
      <c r="BU67" s="147">
        <f>Capex!BP113</f>
        <v>0</v>
      </c>
      <c r="BV67" s="147">
        <f>Capex!BQ113</f>
        <v>0</v>
      </c>
      <c r="BW67" s="147">
        <f>Capex!BR113</f>
        <v>0</v>
      </c>
    </row>
    <row r="68" spans="1:75" s="147" customFormat="1" ht="13.2" outlineLevel="1" x14ac:dyDescent="0.25">
      <c r="A68" s="211"/>
      <c r="I68" s="212"/>
    </row>
    <row r="69" spans="1:75" s="147" customFormat="1" ht="13.2" x14ac:dyDescent="0.25">
      <c r="B69" s="147" t="s">
        <v>196</v>
      </c>
      <c r="D69" s="231" t="str">
        <f>unit</f>
        <v>£</v>
      </c>
      <c r="E69" s="147">
        <f>SUM(E70:E72)</f>
        <v>0</v>
      </c>
      <c r="F69" s="147">
        <f>SUM(F70:F72)</f>
        <v>0</v>
      </c>
      <c r="G69" s="147">
        <f t="shared" ref="G69" si="48">SUM(G70:G72)</f>
        <v>0</v>
      </c>
      <c r="H69" s="147">
        <f ca="1">SUM(H70:H72)</f>
        <v>0</v>
      </c>
      <c r="I69" s="147">
        <f t="shared" ref="I69:L69" ca="1" si="49">SUM(I70:I72)</f>
        <v>0</v>
      </c>
      <c r="J69" s="147">
        <f t="shared" ca="1" si="49"/>
        <v>0</v>
      </c>
      <c r="K69" s="147">
        <f t="shared" ca="1" si="49"/>
        <v>0</v>
      </c>
      <c r="L69" s="147">
        <f t="shared" ca="1" si="49"/>
        <v>0</v>
      </c>
      <c r="X69" s="147">
        <f t="shared" ref="X69:BW69" si="50">SUM(X70:X72)</f>
        <v>0</v>
      </c>
      <c r="Y69" s="147">
        <f t="shared" si="50"/>
        <v>0</v>
      </c>
      <c r="Z69" s="147">
        <f t="shared" si="50"/>
        <v>0</v>
      </c>
      <c r="AA69" s="147">
        <f t="shared" si="50"/>
        <v>0</v>
      </c>
      <c r="AB69" s="147">
        <f t="shared" si="50"/>
        <v>0</v>
      </c>
      <c r="AC69" s="147">
        <f t="shared" si="50"/>
        <v>0</v>
      </c>
      <c r="AD69" s="147">
        <f t="shared" si="50"/>
        <v>0</v>
      </c>
      <c r="AE69" s="147">
        <f t="shared" si="50"/>
        <v>0</v>
      </c>
      <c r="AF69" s="147">
        <f t="shared" si="50"/>
        <v>0</v>
      </c>
      <c r="AG69" s="147">
        <f t="shared" si="50"/>
        <v>0</v>
      </c>
      <c r="AH69" s="147">
        <f t="shared" si="50"/>
        <v>0</v>
      </c>
      <c r="AI69" s="147">
        <f t="shared" si="50"/>
        <v>0</v>
      </c>
      <c r="AJ69" s="147">
        <f t="shared" si="50"/>
        <v>0</v>
      </c>
      <c r="AK69" s="147">
        <f t="shared" si="50"/>
        <v>0</v>
      </c>
      <c r="AL69" s="147">
        <f t="shared" si="50"/>
        <v>0</v>
      </c>
      <c r="AM69" s="147">
        <f t="shared" si="50"/>
        <v>0</v>
      </c>
      <c r="AN69" s="147">
        <f t="shared" si="50"/>
        <v>0</v>
      </c>
      <c r="AO69" s="147">
        <f t="shared" si="50"/>
        <v>0</v>
      </c>
      <c r="AP69" s="147">
        <f t="shared" si="50"/>
        <v>0</v>
      </c>
      <c r="AQ69" s="147">
        <f t="shared" si="50"/>
        <v>0</v>
      </c>
      <c r="AR69" s="147">
        <f t="shared" si="50"/>
        <v>0</v>
      </c>
      <c r="AS69" s="147">
        <f t="shared" si="50"/>
        <v>0</v>
      </c>
      <c r="AT69" s="147">
        <f t="shared" si="50"/>
        <v>0</v>
      </c>
      <c r="AU69" s="147">
        <f t="shared" si="50"/>
        <v>0</v>
      </c>
      <c r="AV69" s="147">
        <f t="shared" si="50"/>
        <v>0</v>
      </c>
      <c r="AW69" s="147">
        <f t="shared" si="50"/>
        <v>0</v>
      </c>
      <c r="AX69" s="147">
        <f t="shared" si="50"/>
        <v>0</v>
      </c>
      <c r="AY69" s="147">
        <f t="shared" si="50"/>
        <v>0</v>
      </c>
      <c r="AZ69" s="147">
        <f t="shared" si="50"/>
        <v>0</v>
      </c>
      <c r="BA69" s="147">
        <f t="shared" si="50"/>
        <v>0</v>
      </c>
      <c r="BB69" s="147">
        <f t="shared" si="50"/>
        <v>0</v>
      </c>
      <c r="BC69" s="147">
        <f t="shared" si="50"/>
        <v>0</v>
      </c>
      <c r="BD69" s="147">
        <f t="shared" si="50"/>
        <v>0</v>
      </c>
      <c r="BE69" s="147">
        <f t="shared" si="50"/>
        <v>0</v>
      </c>
      <c r="BF69" s="147">
        <f t="shared" si="50"/>
        <v>0</v>
      </c>
      <c r="BG69" s="147">
        <f t="shared" si="50"/>
        <v>0</v>
      </c>
      <c r="BH69" s="147">
        <f t="shared" si="50"/>
        <v>0</v>
      </c>
      <c r="BI69" s="147">
        <f t="shared" si="50"/>
        <v>0</v>
      </c>
      <c r="BJ69" s="147">
        <f t="shared" si="50"/>
        <v>0</v>
      </c>
      <c r="BK69" s="147">
        <f t="shared" si="50"/>
        <v>0</v>
      </c>
      <c r="BL69" s="147">
        <f t="shared" si="50"/>
        <v>0</v>
      </c>
      <c r="BM69" s="147">
        <f t="shared" si="50"/>
        <v>0</v>
      </c>
      <c r="BN69" s="147">
        <f t="shared" si="50"/>
        <v>0</v>
      </c>
      <c r="BO69" s="147">
        <f t="shared" si="50"/>
        <v>0</v>
      </c>
      <c r="BP69" s="147">
        <f t="shared" si="50"/>
        <v>0</v>
      </c>
      <c r="BQ69" s="147">
        <f t="shared" si="50"/>
        <v>0</v>
      </c>
      <c r="BR69" s="147">
        <f t="shared" si="50"/>
        <v>0</v>
      </c>
      <c r="BS69" s="147">
        <f t="shared" si="50"/>
        <v>0</v>
      </c>
      <c r="BT69" s="147">
        <f t="shared" si="50"/>
        <v>0</v>
      </c>
      <c r="BU69" s="147">
        <f t="shared" si="50"/>
        <v>0</v>
      </c>
      <c r="BV69" s="147">
        <f t="shared" si="50"/>
        <v>0</v>
      </c>
      <c r="BW69" s="147">
        <f t="shared" si="50"/>
        <v>0</v>
      </c>
    </row>
    <row r="70" spans="1:75" s="147" customFormat="1" ht="13.2" outlineLevel="1" x14ac:dyDescent="0.25">
      <c r="A70" s="211"/>
      <c r="B70" s="250" t="str">
        <f>KeyInputs!C119</f>
        <v>Test</v>
      </c>
      <c r="D70" s="231" t="str">
        <f>unit</f>
        <v>£</v>
      </c>
      <c r="E70" s="147">
        <f>KeyInputs!E119</f>
        <v>0</v>
      </c>
      <c r="F70" s="147">
        <f>KeyInputs!F119</f>
        <v>0</v>
      </c>
      <c r="G70" s="147">
        <f>KeyInputs!G119</f>
        <v>0</v>
      </c>
      <c r="H70" s="147">
        <f ca="1">'Outputs - BalanceSheet'!E20</f>
        <v>0</v>
      </c>
      <c r="I70" s="147">
        <f ca="1">'Outputs - BalanceSheet'!F20</f>
        <v>0</v>
      </c>
      <c r="J70" s="147">
        <f ca="1">'Outputs - BalanceSheet'!G20</f>
        <v>0</v>
      </c>
      <c r="K70" s="147">
        <f ca="1">'Outputs - BalanceSheet'!H20</f>
        <v>0</v>
      </c>
      <c r="L70" s="147">
        <f ca="1">'Outputs - BalanceSheet'!I20</f>
        <v>0</v>
      </c>
      <c r="X70" s="147">
        <f>WorkingCapital!S57</f>
        <v>0</v>
      </c>
      <c r="Y70" s="147">
        <f>WorkingCapital!T57</f>
        <v>0</v>
      </c>
      <c r="Z70" s="147">
        <f>WorkingCapital!U57</f>
        <v>0</v>
      </c>
      <c r="AA70" s="147">
        <f>WorkingCapital!V57</f>
        <v>0</v>
      </c>
      <c r="AB70" s="147">
        <f>WorkingCapital!W57</f>
        <v>0</v>
      </c>
      <c r="AC70" s="147">
        <f>WorkingCapital!X57</f>
        <v>0</v>
      </c>
      <c r="AD70" s="147">
        <f>WorkingCapital!Y57</f>
        <v>0</v>
      </c>
      <c r="AE70" s="147">
        <f>WorkingCapital!Z57</f>
        <v>0</v>
      </c>
      <c r="AF70" s="147">
        <f>WorkingCapital!AA57</f>
        <v>0</v>
      </c>
      <c r="AG70" s="147">
        <f>WorkingCapital!AB57</f>
        <v>0</v>
      </c>
      <c r="AH70" s="147">
        <f>WorkingCapital!AC57</f>
        <v>0</v>
      </c>
      <c r="AI70" s="147">
        <f>WorkingCapital!AD57</f>
        <v>0</v>
      </c>
      <c r="AJ70" s="147">
        <f>WorkingCapital!AE57</f>
        <v>0</v>
      </c>
      <c r="AK70" s="147">
        <f>WorkingCapital!AF57</f>
        <v>0</v>
      </c>
      <c r="AL70" s="147">
        <f>WorkingCapital!AG57</f>
        <v>0</v>
      </c>
      <c r="AM70" s="147">
        <f>WorkingCapital!AH57</f>
        <v>0</v>
      </c>
      <c r="AN70" s="147">
        <f>WorkingCapital!AI57</f>
        <v>0</v>
      </c>
      <c r="AO70" s="147">
        <f>WorkingCapital!AJ57</f>
        <v>0</v>
      </c>
      <c r="AP70" s="147">
        <f>WorkingCapital!AK57</f>
        <v>0</v>
      </c>
      <c r="AQ70" s="147">
        <f>WorkingCapital!AL57</f>
        <v>0</v>
      </c>
      <c r="AR70" s="147">
        <f>WorkingCapital!AM57</f>
        <v>0</v>
      </c>
      <c r="AS70" s="147">
        <f>WorkingCapital!AN57</f>
        <v>0</v>
      </c>
      <c r="AT70" s="147">
        <f>WorkingCapital!AO57</f>
        <v>0</v>
      </c>
      <c r="AU70" s="147">
        <f>WorkingCapital!AP57</f>
        <v>0</v>
      </c>
      <c r="AV70" s="147">
        <f>WorkingCapital!AQ57</f>
        <v>0</v>
      </c>
      <c r="AW70" s="147">
        <f>WorkingCapital!AR57</f>
        <v>0</v>
      </c>
      <c r="AX70" s="147">
        <f>WorkingCapital!AS57</f>
        <v>0</v>
      </c>
      <c r="AY70" s="147">
        <f>WorkingCapital!AT57</f>
        <v>0</v>
      </c>
      <c r="AZ70" s="147">
        <f>WorkingCapital!AU57</f>
        <v>0</v>
      </c>
      <c r="BA70" s="147">
        <f>WorkingCapital!AV57</f>
        <v>0</v>
      </c>
      <c r="BB70" s="147">
        <f>WorkingCapital!AW57</f>
        <v>0</v>
      </c>
      <c r="BC70" s="147">
        <f>WorkingCapital!AX57</f>
        <v>0</v>
      </c>
      <c r="BD70" s="147">
        <f>WorkingCapital!AY57</f>
        <v>0</v>
      </c>
      <c r="BE70" s="147">
        <f>WorkingCapital!AZ57</f>
        <v>0</v>
      </c>
      <c r="BF70" s="147">
        <f>WorkingCapital!BA57</f>
        <v>0</v>
      </c>
      <c r="BG70" s="147">
        <f>WorkingCapital!BB57</f>
        <v>0</v>
      </c>
      <c r="BH70" s="147">
        <f>WorkingCapital!BC57</f>
        <v>0</v>
      </c>
      <c r="BI70" s="147">
        <f>WorkingCapital!BD57</f>
        <v>0</v>
      </c>
      <c r="BJ70" s="147">
        <f>WorkingCapital!BE57</f>
        <v>0</v>
      </c>
      <c r="BK70" s="147">
        <f>WorkingCapital!BF57</f>
        <v>0</v>
      </c>
      <c r="BL70" s="147">
        <f>WorkingCapital!BG57</f>
        <v>0</v>
      </c>
      <c r="BM70" s="147">
        <f>WorkingCapital!BH57</f>
        <v>0</v>
      </c>
      <c r="BN70" s="147">
        <f>WorkingCapital!BI57</f>
        <v>0</v>
      </c>
      <c r="BO70" s="147">
        <f>WorkingCapital!BJ57</f>
        <v>0</v>
      </c>
      <c r="BP70" s="147">
        <f>WorkingCapital!BK57</f>
        <v>0</v>
      </c>
      <c r="BQ70" s="147">
        <f>WorkingCapital!BL57</f>
        <v>0</v>
      </c>
      <c r="BR70" s="147">
        <f>WorkingCapital!BM57</f>
        <v>0</v>
      </c>
      <c r="BS70" s="147">
        <f>WorkingCapital!BN57</f>
        <v>0</v>
      </c>
      <c r="BT70" s="147">
        <f>WorkingCapital!BO57</f>
        <v>0</v>
      </c>
      <c r="BU70" s="147">
        <f>WorkingCapital!BP57</f>
        <v>0</v>
      </c>
      <c r="BV70" s="147">
        <f>WorkingCapital!BQ57</f>
        <v>0</v>
      </c>
      <c r="BW70" s="147">
        <f>WorkingCapital!BR57</f>
        <v>0</v>
      </c>
    </row>
    <row r="71" spans="1:75" s="147" customFormat="1" ht="13.2" outlineLevel="1" x14ac:dyDescent="0.25">
      <c r="A71" s="211"/>
      <c r="B71" s="250" t="str">
        <f>KeyInputs!C120</f>
        <v>Insert Business Line2</v>
      </c>
      <c r="D71" s="231" t="str">
        <f>unit</f>
        <v>£</v>
      </c>
      <c r="E71" s="147">
        <f>KeyInputs!E120</f>
        <v>0</v>
      </c>
      <c r="F71" s="147">
        <f>KeyInputs!F120</f>
        <v>0</v>
      </c>
      <c r="G71" s="147">
        <f>KeyInputs!G120</f>
        <v>0</v>
      </c>
      <c r="H71" s="147">
        <f ca="1">'Outputs - BalanceSheet'!E21</f>
        <v>0</v>
      </c>
      <c r="I71" s="147">
        <f ca="1">'Outputs - BalanceSheet'!F21</f>
        <v>0</v>
      </c>
      <c r="J71" s="147">
        <f ca="1">'Outputs - BalanceSheet'!G21</f>
        <v>0</v>
      </c>
      <c r="K71" s="147">
        <f ca="1">'Outputs - BalanceSheet'!H21</f>
        <v>0</v>
      </c>
      <c r="L71" s="147">
        <f ca="1">'Outputs - BalanceSheet'!I21</f>
        <v>0</v>
      </c>
      <c r="X71" s="147">
        <f>WorkingCapital!S68</f>
        <v>0</v>
      </c>
      <c r="Y71" s="147">
        <f>WorkingCapital!T68</f>
        <v>0</v>
      </c>
      <c r="Z71" s="147">
        <f>WorkingCapital!U68</f>
        <v>0</v>
      </c>
      <c r="AA71" s="147">
        <f>WorkingCapital!V68</f>
        <v>0</v>
      </c>
      <c r="AB71" s="147">
        <f>WorkingCapital!W68</f>
        <v>0</v>
      </c>
      <c r="AC71" s="147">
        <f>WorkingCapital!X68</f>
        <v>0</v>
      </c>
      <c r="AD71" s="147">
        <f>WorkingCapital!Y68</f>
        <v>0</v>
      </c>
      <c r="AE71" s="147">
        <f>WorkingCapital!Z68</f>
        <v>0</v>
      </c>
      <c r="AF71" s="147">
        <f>WorkingCapital!AA68</f>
        <v>0</v>
      </c>
      <c r="AG71" s="147">
        <f>WorkingCapital!AB68</f>
        <v>0</v>
      </c>
      <c r="AH71" s="147">
        <f>WorkingCapital!AC68</f>
        <v>0</v>
      </c>
      <c r="AI71" s="147">
        <f>WorkingCapital!AD68</f>
        <v>0</v>
      </c>
      <c r="AJ71" s="147">
        <f>WorkingCapital!AE68</f>
        <v>0</v>
      </c>
      <c r="AK71" s="147">
        <f>WorkingCapital!AF68</f>
        <v>0</v>
      </c>
      <c r="AL71" s="147">
        <f>WorkingCapital!AG68</f>
        <v>0</v>
      </c>
      <c r="AM71" s="147">
        <f>WorkingCapital!AH68</f>
        <v>0</v>
      </c>
      <c r="AN71" s="147">
        <f>WorkingCapital!AI68</f>
        <v>0</v>
      </c>
      <c r="AO71" s="147">
        <f>WorkingCapital!AJ68</f>
        <v>0</v>
      </c>
      <c r="AP71" s="147">
        <f>WorkingCapital!AK68</f>
        <v>0</v>
      </c>
      <c r="AQ71" s="147">
        <f>WorkingCapital!AL68</f>
        <v>0</v>
      </c>
      <c r="AR71" s="147">
        <f>WorkingCapital!AM68</f>
        <v>0</v>
      </c>
      <c r="AS71" s="147">
        <f>WorkingCapital!AN68</f>
        <v>0</v>
      </c>
      <c r="AT71" s="147">
        <f>WorkingCapital!AO68</f>
        <v>0</v>
      </c>
      <c r="AU71" s="147">
        <f>WorkingCapital!AP68</f>
        <v>0</v>
      </c>
      <c r="AV71" s="147">
        <f>WorkingCapital!AQ68</f>
        <v>0</v>
      </c>
      <c r="AW71" s="147">
        <f>WorkingCapital!AR68</f>
        <v>0</v>
      </c>
      <c r="AX71" s="147">
        <f>WorkingCapital!AS68</f>
        <v>0</v>
      </c>
      <c r="AY71" s="147">
        <f>WorkingCapital!AT68</f>
        <v>0</v>
      </c>
      <c r="AZ71" s="147">
        <f>WorkingCapital!AU68</f>
        <v>0</v>
      </c>
      <c r="BA71" s="147">
        <f>WorkingCapital!AV68</f>
        <v>0</v>
      </c>
      <c r="BB71" s="147">
        <f>WorkingCapital!AW68</f>
        <v>0</v>
      </c>
      <c r="BC71" s="147">
        <f>WorkingCapital!AX68</f>
        <v>0</v>
      </c>
      <c r="BD71" s="147">
        <f>WorkingCapital!AY68</f>
        <v>0</v>
      </c>
      <c r="BE71" s="147">
        <f>WorkingCapital!AZ68</f>
        <v>0</v>
      </c>
      <c r="BF71" s="147">
        <f>WorkingCapital!BA68</f>
        <v>0</v>
      </c>
      <c r="BG71" s="147">
        <f>WorkingCapital!BB68</f>
        <v>0</v>
      </c>
      <c r="BH71" s="147">
        <f>WorkingCapital!BC68</f>
        <v>0</v>
      </c>
      <c r="BI71" s="147">
        <f>WorkingCapital!BD68</f>
        <v>0</v>
      </c>
      <c r="BJ71" s="147">
        <f>WorkingCapital!BE68</f>
        <v>0</v>
      </c>
      <c r="BK71" s="147">
        <f>WorkingCapital!BF68</f>
        <v>0</v>
      </c>
      <c r="BL71" s="147">
        <f>WorkingCapital!BG68</f>
        <v>0</v>
      </c>
      <c r="BM71" s="147">
        <f>WorkingCapital!BH68</f>
        <v>0</v>
      </c>
      <c r="BN71" s="147">
        <f>WorkingCapital!BI68</f>
        <v>0</v>
      </c>
      <c r="BO71" s="147">
        <f>WorkingCapital!BJ68</f>
        <v>0</v>
      </c>
      <c r="BP71" s="147">
        <f>WorkingCapital!BK68</f>
        <v>0</v>
      </c>
      <c r="BQ71" s="147">
        <f>WorkingCapital!BL68</f>
        <v>0</v>
      </c>
      <c r="BR71" s="147">
        <f>WorkingCapital!BM68</f>
        <v>0</v>
      </c>
      <c r="BS71" s="147">
        <f>WorkingCapital!BN68</f>
        <v>0</v>
      </c>
      <c r="BT71" s="147">
        <f>WorkingCapital!BO68</f>
        <v>0</v>
      </c>
      <c r="BU71" s="147">
        <f>WorkingCapital!BP68</f>
        <v>0</v>
      </c>
      <c r="BV71" s="147">
        <f>WorkingCapital!BQ68</f>
        <v>0</v>
      </c>
      <c r="BW71" s="147">
        <f>WorkingCapital!BR68</f>
        <v>0</v>
      </c>
    </row>
    <row r="72" spans="1:75" s="147" customFormat="1" ht="13.2" outlineLevel="1" x14ac:dyDescent="0.25">
      <c r="A72" s="211"/>
      <c r="B72" s="250" t="str">
        <f>KeyInputs!C121</f>
        <v>Insert Business Line3</v>
      </c>
      <c r="D72" s="231" t="str">
        <f>unit</f>
        <v>£</v>
      </c>
      <c r="E72" s="147">
        <f>KeyInputs!E121</f>
        <v>0</v>
      </c>
      <c r="F72" s="147">
        <f>KeyInputs!F121</f>
        <v>0</v>
      </c>
      <c r="G72" s="147">
        <f>KeyInputs!G121</f>
        <v>0</v>
      </c>
      <c r="H72" s="147">
        <f ca="1">'Outputs - BalanceSheet'!E22</f>
        <v>0</v>
      </c>
      <c r="I72" s="147">
        <f ca="1">'Outputs - BalanceSheet'!F22</f>
        <v>0</v>
      </c>
      <c r="J72" s="147">
        <f ca="1">'Outputs - BalanceSheet'!G22</f>
        <v>0</v>
      </c>
      <c r="K72" s="147">
        <f ca="1">'Outputs - BalanceSheet'!H22</f>
        <v>0</v>
      </c>
      <c r="L72" s="147">
        <f ca="1">'Outputs - BalanceSheet'!I22</f>
        <v>0</v>
      </c>
      <c r="X72" s="147">
        <f>WorkingCapital!S79</f>
        <v>0</v>
      </c>
      <c r="Y72" s="147">
        <f>WorkingCapital!T79</f>
        <v>0</v>
      </c>
      <c r="Z72" s="147">
        <f>WorkingCapital!U79</f>
        <v>0</v>
      </c>
      <c r="AA72" s="147">
        <f>WorkingCapital!V79</f>
        <v>0</v>
      </c>
      <c r="AB72" s="147">
        <f>WorkingCapital!W79</f>
        <v>0</v>
      </c>
      <c r="AC72" s="147">
        <f>WorkingCapital!X79</f>
        <v>0</v>
      </c>
      <c r="AD72" s="147">
        <f>WorkingCapital!Y79</f>
        <v>0</v>
      </c>
      <c r="AE72" s="147">
        <f>WorkingCapital!Z79</f>
        <v>0</v>
      </c>
      <c r="AF72" s="147">
        <f>WorkingCapital!AA79</f>
        <v>0</v>
      </c>
      <c r="AG72" s="147">
        <f>WorkingCapital!AB79</f>
        <v>0</v>
      </c>
      <c r="AH72" s="147">
        <f>WorkingCapital!AC79</f>
        <v>0</v>
      </c>
      <c r="AI72" s="147">
        <f>WorkingCapital!AD79</f>
        <v>0</v>
      </c>
      <c r="AJ72" s="147">
        <f>WorkingCapital!AE79</f>
        <v>0</v>
      </c>
      <c r="AK72" s="147">
        <f>WorkingCapital!AF79</f>
        <v>0</v>
      </c>
      <c r="AL72" s="147">
        <f>WorkingCapital!AG79</f>
        <v>0</v>
      </c>
      <c r="AM72" s="147">
        <f>WorkingCapital!AH79</f>
        <v>0</v>
      </c>
      <c r="AN72" s="147">
        <f>WorkingCapital!AI79</f>
        <v>0</v>
      </c>
      <c r="AO72" s="147">
        <f>WorkingCapital!AJ79</f>
        <v>0</v>
      </c>
      <c r="AP72" s="147">
        <f>WorkingCapital!AK79</f>
        <v>0</v>
      </c>
      <c r="AQ72" s="147">
        <f>WorkingCapital!AL79</f>
        <v>0</v>
      </c>
      <c r="AR72" s="147">
        <f>WorkingCapital!AM79</f>
        <v>0</v>
      </c>
      <c r="AS72" s="147">
        <f>WorkingCapital!AN79</f>
        <v>0</v>
      </c>
      <c r="AT72" s="147">
        <f>WorkingCapital!AO79</f>
        <v>0</v>
      </c>
      <c r="AU72" s="147">
        <f>WorkingCapital!AP79</f>
        <v>0</v>
      </c>
      <c r="AV72" s="147">
        <f>WorkingCapital!AQ79</f>
        <v>0</v>
      </c>
      <c r="AW72" s="147">
        <f>WorkingCapital!AR79</f>
        <v>0</v>
      </c>
      <c r="AX72" s="147">
        <f>WorkingCapital!AS79</f>
        <v>0</v>
      </c>
      <c r="AY72" s="147">
        <f>WorkingCapital!AT79</f>
        <v>0</v>
      </c>
      <c r="AZ72" s="147">
        <f>WorkingCapital!AU79</f>
        <v>0</v>
      </c>
      <c r="BA72" s="147">
        <f>WorkingCapital!AV79</f>
        <v>0</v>
      </c>
      <c r="BB72" s="147">
        <f>WorkingCapital!AW79</f>
        <v>0</v>
      </c>
      <c r="BC72" s="147">
        <f>WorkingCapital!AX79</f>
        <v>0</v>
      </c>
      <c r="BD72" s="147">
        <f>WorkingCapital!AY79</f>
        <v>0</v>
      </c>
      <c r="BE72" s="147">
        <f>WorkingCapital!AZ79</f>
        <v>0</v>
      </c>
      <c r="BF72" s="147">
        <f>WorkingCapital!BA79</f>
        <v>0</v>
      </c>
      <c r="BG72" s="147">
        <f>WorkingCapital!BB79</f>
        <v>0</v>
      </c>
      <c r="BH72" s="147">
        <f>WorkingCapital!BC79</f>
        <v>0</v>
      </c>
      <c r="BI72" s="147">
        <f>WorkingCapital!BD79</f>
        <v>0</v>
      </c>
      <c r="BJ72" s="147">
        <f>WorkingCapital!BE79</f>
        <v>0</v>
      </c>
      <c r="BK72" s="147">
        <f>WorkingCapital!BF79</f>
        <v>0</v>
      </c>
      <c r="BL72" s="147">
        <f>WorkingCapital!BG79</f>
        <v>0</v>
      </c>
      <c r="BM72" s="147">
        <f>WorkingCapital!BH79</f>
        <v>0</v>
      </c>
      <c r="BN72" s="147">
        <f>WorkingCapital!BI79</f>
        <v>0</v>
      </c>
      <c r="BO72" s="147">
        <f>WorkingCapital!BJ79</f>
        <v>0</v>
      </c>
      <c r="BP72" s="147">
        <f>WorkingCapital!BK79</f>
        <v>0</v>
      </c>
      <c r="BQ72" s="147">
        <f>WorkingCapital!BL79</f>
        <v>0</v>
      </c>
      <c r="BR72" s="147">
        <f>WorkingCapital!BM79</f>
        <v>0</v>
      </c>
      <c r="BS72" s="147">
        <f>WorkingCapital!BN79</f>
        <v>0</v>
      </c>
      <c r="BT72" s="147">
        <f>WorkingCapital!BO79</f>
        <v>0</v>
      </c>
      <c r="BU72" s="147">
        <f>WorkingCapital!BP79</f>
        <v>0</v>
      </c>
      <c r="BV72" s="147">
        <f>WorkingCapital!BQ79</f>
        <v>0</v>
      </c>
      <c r="BW72" s="147">
        <f>WorkingCapital!BR79</f>
        <v>0</v>
      </c>
    </row>
    <row r="73" spans="1:75" s="147" customFormat="1" ht="13.2" outlineLevel="1" x14ac:dyDescent="0.25">
      <c r="A73" s="211"/>
      <c r="I73" s="212"/>
    </row>
    <row r="74" spans="1:75" s="147" customFormat="1" ht="13.2" x14ac:dyDescent="0.25">
      <c r="B74" s="147" t="s">
        <v>283</v>
      </c>
      <c r="D74" s="231" t="str">
        <f>unit</f>
        <v>£</v>
      </c>
      <c r="E74" s="147">
        <f>SUM(E75:E77)</f>
        <v>0</v>
      </c>
      <c r="F74" s="147">
        <f>SUM(F75:F77)</f>
        <v>0</v>
      </c>
      <c r="G74" s="147">
        <f t="shared" ref="G74" si="51">SUM(G75:G77)</f>
        <v>0</v>
      </c>
      <c r="H74" s="147">
        <f ca="1">SUM(H75:H77)</f>
        <v>0</v>
      </c>
      <c r="I74" s="147">
        <f t="shared" ref="I74:L74" ca="1" si="52">SUM(I75:I77)</f>
        <v>0</v>
      </c>
      <c r="J74" s="147">
        <f t="shared" ca="1" si="52"/>
        <v>0</v>
      </c>
      <c r="K74" s="147">
        <f t="shared" ca="1" si="52"/>
        <v>0</v>
      </c>
      <c r="L74" s="147">
        <f t="shared" ca="1" si="52"/>
        <v>0</v>
      </c>
      <c r="X74" s="147">
        <f t="shared" ref="X74:BW74" si="53">SUM(X75:X77)</f>
        <v>0</v>
      </c>
      <c r="Y74" s="147">
        <f t="shared" si="53"/>
        <v>0</v>
      </c>
      <c r="Z74" s="147">
        <f t="shared" si="53"/>
        <v>0</v>
      </c>
      <c r="AA74" s="147">
        <f t="shared" si="53"/>
        <v>0</v>
      </c>
      <c r="AB74" s="147">
        <f t="shared" si="53"/>
        <v>0</v>
      </c>
      <c r="AC74" s="147">
        <f t="shared" si="53"/>
        <v>0</v>
      </c>
      <c r="AD74" s="147">
        <f t="shared" si="53"/>
        <v>0</v>
      </c>
      <c r="AE74" s="147">
        <f t="shared" si="53"/>
        <v>0</v>
      </c>
      <c r="AF74" s="147">
        <f t="shared" si="53"/>
        <v>0</v>
      </c>
      <c r="AG74" s="147">
        <f t="shared" si="53"/>
        <v>0</v>
      </c>
      <c r="AH74" s="147">
        <f t="shared" si="53"/>
        <v>0</v>
      </c>
      <c r="AI74" s="147">
        <f t="shared" si="53"/>
        <v>0</v>
      </c>
      <c r="AJ74" s="147">
        <f t="shared" si="53"/>
        <v>0</v>
      </c>
      <c r="AK74" s="147">
        <f t="shared" si="53"/>
        <v>0</v>
      </c>
      <c r="AL74" s="147">
        <f t="shared" si="53"/>
        <v>0</v>
      </c>
      <c r="AM74" s="147">
        <f t="shared" si="53"/>
        <v>0</v>
      </c>
      <c r="AN74" s="147">
        <f t="shared" si="53"/>
        <v>0</v>
      </c>
      <c r="AO74" s="147">
        <f t="shared" si="53"/>
        <v>0</v>
      </c>
      <c r="AP74" s="147">
        <f t="shared" si="53"/>
        <v>0</v>
      </c>
      <c r="AQ74" s="147">
        <f t="shared" si="53"/>
        <v>0</v>
      </c>
      <c r="AR74" s="147">
        <f t="shared" si="53"/>
        <v>0</v>
      </c>
      <c r="AS74" s="147">
        <f t="shared" si="53"/>
        <v>0</v>
      </c>
      <c r="AT74" s="147">
        <f t="shared" si="53"/>
        <v>0</v>
      </c>
      <c r="AU74" s="147">
        <f t="shared" si="53"/>
        <v>0</v>
      </c>
      <c r="AV74" s="147">
        <f t="shared" si="53"/>
        <v>0</v>
      </c>
      <c r="AW74" s="147">
        <f t="shared" si="53"/>
        <v>0</v>
      </c>
      <c r="AX74" s="147">
        <f t="shared" si="53"/>
        <v>0</v>
      </c>
      <c r="AY74" s="147">
        <f t="shared" si="53"/>
        <v>0</v>
      </c>
      <c r="AZ74" s="147">
        <f t="shared" si="53"/>
        <v>0</v>
      </c>
      <c r="BA74" s="147">
        <f t="shared" si="53"/>
        <v>0</v>
      </c>
      <c r="BB74" s="147">
        <f t="shared" si="53"/>
        <v>0</v>
      </c>
      <c r="BC74" s="147">
        <f t="shared" si="53"/>
        <v>0</v>
      </c>
      <c r="BD74" s="147">
        <f t="shared" si="53"/>
        <v>0</v>
      </c>
      <c r="BE74" s="147">
        <f t="shared" si="53"/>
        <v>0</v>
      </c>
      <c r="BF74" s="147">
        <f t="shared" si="53"/>
        <v>0</v>
      </c>
      <c r="BG74" s="147">
        <f t="shared" si="53"/>
        <v>0</v>
      </c>
      <c r="BH74" s="147">
        <f t="shared" si="53"/>
        <v>0</v>
      </c>
      <c r="BI74" s="147">
        <f t="shared" si="53"/>
        <v>0</v>
      </c>
      <c r="BJ74" s="147">
        <f t="shared" si="53"/>
        <v>0</v>
      </c>
      <c r="BK74" s="147">
        <f t="shared" si="53"/>
        <v>0</v>
      </c>
      <c r="BL74" s="147">
        <f t="shared" si="53"/>
        <v>0</v>
      </c>
      <c r="BM74" s="147">
        <f t="shared" si="53"/>
        <v>0</v>
      </c>
      <c r="BN74" s="147">
        <f t="shared" si="53"/>
        <v>0</v>
      </c>
      <c r="BO74" s="147">
        <f t="shared" si="53"/>
        <v>0</v>
      </c>
      <c r="BP74" s="147">
        <f t="shared" si="53"/>
        <v>0</v>
      </c>
      <c r="BQ74" s="147">
        <f t="shared" si="53"/>
        <v>0</v>
      </c>
      <c r="BR74" s="147">
        <f t="shared" si="53"/>
        <v>0</v>
      </c>
      <c r="BS74" s="147">
        <f t="shared" si="53"/>
        <v>0</v>
      </c>
      <c r="BT74" s="147">
        <f t="shared" si="53"/>
        <v>0</v>
      </c>
      <c r="BU74" s="147">
        <f t="shared" si="53"/>
        <v>0</v>
      </c>
      <c r="BV74" s="147">
        <f t="shared" si="53"/>
        <v>0</v>
      </c>
      <c r="BW74" s="147">
        <f t="shared" si="53"/>
        <v>0</v>
      </c>
    </row>
    <row r="75" spans="1:75" s="147" customFormat="1" ht="13.2" outlineLevel="1" x14ac:dyDescent="0.25">
      <c r="A75" s="211"/>
      <c r="B75" s="250" t="str">
        <f>B70</f>
        <v>Test</v>
      </c>
      <c r="D75" s="231" t="str">
        <f>unit</f>
        <v>£</v>
      </c>
      <c r="E75" s="147">
        <f>KeyInputs!E124</f>
        <v>0</v>
      </c>
      <c r="F75" s="147">
        <f>KeyInputs!F124</f>
        <v>0</v>
      </c>
      <c r="G75" s="147">
        <f>KeyInputs!G124</f>
        <v>0</v>
      </c>
      <c r="H75" s="147">
        <f ca="1">'Outputs - BalanceSheet'!E25</f>
        <v>0</v>
      </c>
      <c r="I75" s="147">
        <f ca="1">'Outputs - BalanceSheet'!F25</f>
        <v>0</v>
      </c>
      <c r="J75" s="147">
        <f ca="1">'Outputs - BalanceSheet'!G25</f>
        <v>0</v>
      </c>
      <c r="K75" s="147">
        <f ca="1">'Outputs - BalanceSheet'!H25</f>
        <v>0</v>
      </c>
      <c r="L75" s="147">
        <f ca="1">'Outputs - BalanceSheet'!I25</f>
        <v>0</v>
      </c>
      <c r="X75" s="147">
        <f>WorkingCapital!S94</f>
        <v>0</v>
      </c>
      <c r="Y75" s="147">
        <f>WorkingCapital!T94</f>
        <v>0</v>
      </c>
      <c r="Z75" s="147">
        <f>WorkingCapital!U94</f>
        <v>0</v>
      </c>
      <c r="AA75" s="147">
        <f>WorkingCapital!V94</f>
        <v>0</v>
      </c>
      <c r="AB75" s="147">
        <f>WorkingCapital!W94</f>
        <v>0</v>
      </c>
      <c r="AC75" s="147">
        <f>WorkingCapital!X94</f>
        <v>0</v>
      </c>
      <c r="AD75" s="147">
        <f>WorkingCapital!Y94</f>
        <v>0</v>
      </c>
      <c r="AE75" s="147">
        <f>WorkingCapital!Z94</f>
        <v>0</v>
      </c>
      <c r="AF75" s="147">
        <f>WorkingCapital!AA94</f>
        <v>0</v>
      </c>
      <c r="AG75" s="147">
        <f>WorkingCapital!AB94</f>
        <v>0</v>
      </c>
      <c r="AH75" s="147">
        <f>WorkingCapital!AC94</f>
        <v>0</v>
      </c>
      <c r="AI75" s="147">
        <f>WorkingCapital!AD94</f>
        <v>0</v>
      </c>
      <c r="AJ75" s="147">
        <f>WorkingCapital!AE94</f>
        <v>0</v>
      </c>
      <c r="AK75" s="147">
        <f>WorkingCapital!AF94</f>
        <v>0</v>
      </c>
      <c r="AL75" s="147">
        <f>WorkingCapital!AG94</f>
        <v>0</v>
      </c>
      <c r="AM75" s="147">
        <f>WorkingCapital!AH94</f>
        <v>0</v>
      </c>
      <c r="AN75" s="147">
        <f>WorkingCapital!AI94</f>
        <v>0</v>
      </c>
      <c r="AO75" s="147">
        <f>WorkingCapital!AJ94</f>
        <v>0</v>
      </c>
      <c r="AP75" s="147">
        <f>WorkingCapital!AK94</f>
        <v>0</v>
      </c>
      <c r="AQ75" s="147">
        <f>WorkingCapital!AL94</f>
        <v>0</v>
      </c>
      <c r="AR75" s="147">
        <f>WorkingCapital!AM94</f>
        <v>0</v>
      </c>
      <c r="AS75" s="147">
        <f>WorkingCapital!AN94</f>
        <v>0</v>
      </c>
      <c r="AT75" s="147">
        <f>WorkingCapital!AO94</f>
        <v>0</v>
      </c>
      <c r="AU75" s="147">
        <f>WorkingCapital!AP94</f>
        <v>0</v>
      </c>
      <c r="AV75" s="147">
        <f>WorkingCapital!AQ94</f>
        <v>0</v>
      </c>
      <c r="AW75" s="147">
        <f>WorkingCapital!AR94</f>
        <v>0</v>
      </c>
      <c r="AX75" s="147">
        <f>WorkingCapital!AS94</f>
        <v>0</v>
      </c>
      <c r="AY75" s="147">
        <f>WorkingCapital!AT94</f>
        <v>0</v>
      </c>
      <c r="AZ75" s="147">
        <f>WorkingCapital!AU94</f>
        <v>0</v>
      </c>
      <c r="BA75" s="147">
        <f>WorkingCapital!AV94</f>
        <v>0</v>
      </c>
      <c r="BB75" s="147">
        <f>WorkingCapital!AW94</f>
        <v>0</v>
      </c>
      <c r="BC75" s="147">
        <f>WorkingCapital!AX94</f>
        <v>0</v>
      </c>
      <c r="BD75" s="147">
        <f>WorkingCapital!AY94</f>
        <v>0</v>
      </c>
      <c r="BE75" s="147">
        <f>WorkingCapital!AZ94</f>
        <v>0</v>
      </c>
      <c r="BF75" s="147">
        <f>WorkingCapital!BA94</f>
        <v>0</v>
      </c>
      <c r="BG75" s="147">
        <f>WorkingCapital!BB94</f>
        <v>0</v>
      </c>
      <c r="BH75" s="147">
        <f>WorkingCapital!BC94</f>
        <v>0</v>
      </c>
      <c r="BI75" s="147">
        <f>WorkingCapital!BD94</f>
        <v>0</v>
      </c>
      <c r="BJ75" s="147">
        <f>WorkingCapital!BE94</f>
        <v>0</v>
      </c>
      <c r="BK75" s="147">
        <f>WorkingCapital!BF94</f>
        <v>0</v>
      </c>
      <c r="BL75" s="147">
        <f>WorkingCapital!BG94</f>
        <v>0</v>
      </c>
      <c r="BM75" s="147">
        <f>WorkingCapital!BH94</f>
        <v>0</v>
      </c>
      <c r="BN75" s="147">
        <f>WorkingCapital!BI94</f>
        <v>0</v>
      </c>
      <c r="BO75" s="147">
        <f>WorkingCapital!BJ94</f>
        <v>0</v>
      </c>
      <c r="BP75" s="147">
        <f>WorkingCapital!BK94</f>
        <v>0</v>
      </c>
      <c r="BQ75" s="147">
        <f>WorkingCapital!BL94</f>
        <v>0</v>
      </c>
      <c r="BR75" s="147">
        <f>WorkingCapital!BM94</f>
        <v>0</v>
      </c>
      <c r="BS75" s="147">
        <f>WorkingCapital!BN94</f>
        <v>0</v>
      </c>
      <c r="BT75" s="147">
        <f>WorkingCapital!BO94</f>
        <v>0</v>
      </c>
      <c r="BU75" s="147">
        <f>WorkingCapital!BP94</f>
        <v>0</v>
      </c>
      <c r="BV75" s="147">
        <f>WorkingCapital!BQ94</f>
        <v>0</v>
      </c>
      <c r="BW75" s="147">
        <f>WorkingCapital!BR94</f>
        <v>0</v>
      </c>
    </row>
    <row r="76" spans="1:75" s="147" customFormat="1" ht="13.2" outlineLevel="1" x14ac:dyDescent="0.25">
      <c r="A76" s="211"/>
      <c r="B76" s="250" t="str">
        <f t="shared" ref="B76:B77" si="54">B71</f>
        <v>Insert Business Line2</v>
      </c>
      <c r="D76" s="231" t="str">
        <f>unit</f>
        <v>£</v>
      </c>
      <c r="E76" s="147">
        <f>KeyInputs!E125</f>
        <v>0</v>
      </c>
      <c r="F76" s="147">
        <f>KeyInputs!F125</f>
        <v>0</v>
      </c>
      <c r="G76" s="147">
        <f>KeyInputs!G125</f>
        <v>0</v>
      </c>
      <c r="H76" s="147">
        <f ca="1">'Outputs - BalanceSheet'!E26</f>
        <v>0</v>
      </c>
      <c r="I76" s="147">
        <f ca="1">'Outputs - BalanceSheet'!F26</f>
        <v>0</v>
      </c>
      <c r="J76" s="147">
        <f ca="1">'Outputs - BalanceSheet'!G26</f>
        <v>0</v>
      </c>
      <c r="K76" s="147">
        <f ca="1">'Outputs - BalanceSheet'!H26</f>
        <v>0</v>
      </c>
      <c r="L76" s="147">
        <f ca="1">'Outputs - BalanceSheet'!I26</f>
        <v>0</v>
      </c>
      <c r="X76" s="147">
        <f>WorkingCapital!S112</f>
        <v>0</v>
      </c>
      <c r="Y76" s="147">
        <f>WorkingCapital!T112</f>
        <v>0</v>
      </c>
      <c r="Z76" s="147">
        <f>WorkingCapital!U112</f>
        <v>0</v>
      </c>
      <c r="AA76" s="147">
        <f>WorkingCapital!V112</f>
        <v>0</v>
      </c>
      <c r="AB76" s="147">
        <f>WorkingCapital!W112</f>
        <v>0</v>
      </c>
      <c r="AC76" s="147">
        <f>WorkingCapital!X112</f>
        <v>0</v>
      </c>
      <c r="AD76" s="147">
        <f>WorkingCapital!Y112</f>
        <v>0</v>
      </c>
      <c r="AE76" s="147">
        <f>WorkingCapital!Z112</f>
        <v>0</v>
      </c>
      <c r="AF76" s="147">
        <f>WorkingCapital!AA112</f>
        <v>0</v>
      </c>
      <c r="AG76" s="147">
        <f>WorkingCapital!AB112</f>
        <v>0</v>
      </c>
      <c r="AH76" s="147">
        <f>WorkingCapital!AC112</f>
        <v>0</v>
      </c>
      <c r="AI76" s="147">
        <f>WorkingCapital!AD112</f>
        <v>0</v>
      </c>
      <c r="AJ76" s="147">
        <f>WorkingCapital!AE112</f>
        <v>0</v>
      </c>
      <c r="AK76" s="147">
        <f>WorkingCapital!AF112</f>
        <v>0</v>
      </c>
      <c r="AL76" s="147">
        <f>WorkingCapital!AG112</f>
        <v>0</v>
      </c>
      <c r="AM76" s="147">
        <f>WorkingCapital!AH112</f>
        <v>0</v>
      </c>
      <c r="AN76" s="147">
        <f>WorkingCapital!AI112</f>
        <v>0</v>
      </c>
      <c r="AO76" s="147">
        <f>WorkingCapital!AJ112</f>
        <v>0</v>
      </c>
      <c r="AP76" s="147">
        <f>WorkingCapital!AK112</f>
        <v>0</v>
      </c>
      <c r="AQ76" s="147">
        <f>WorkingCapital!AL112</f>
        <v>0</v>
      </c>
      <c r="AR76" s="147">
        <f>WorkingCapital!AM112</f>
        <v>0</v>
      </c>
      <c r="AS76" s="147">
        <f>WorkingCapital!AN112</f>
        <v>0</v>
      </c>
      <c r="AT76" s="147">
        <f>WorkingCapital!AO112</f>
        <v>0</v>
      </c>
      <c r="AU76" s="147">
        <f>WorkingCapital!AP112</f>
        <v>0</v>
      </c>
      <c r="AV76" s="147">
        <f>WorkingCapital!AQ112</f>
        <v>0</v>
      </c>
      <c r="AW76" s="147">
        <f>WorkingCapital!AR112</f>
        <v>0</v>
      </c>
      <c r="AX76" s="147">
        <f>WorkingCapital!AS112</f>
        <v>0</v>
      </c>
      <c r="AY76" s="147">
        <f>WorkingCapital!AT112</f>
        <v>0</v>
      </c>
      <c r="AZ76" s="147">
        <f>WorkingCapital!AU112</f>
        <v>0</v>
      </c>
      <c r="BA76" s="147">
        <f>WorkingCapital!AV112</f>
        <v>0</v>
      </c>
      <c r="BB76" s="147">
        <f>WorkingCapital!AW112</f>
        <v>0</v>
      </c>
      <c r="BC76" s="147">
        <f>WorkingCapital!AX112</f>
        <v>0</v>
      </c>
      <c r="BD76" s="147">
        <f>WorkingCapital!AY112</f>
        <v>0</v>
      </c>
      <c r="BE76" s="147">
        <f>WorkingCapital!AZ112</f>
        <v>0</v>
      </c>
      <c r="BF76" s="147">
        <f>WorkingCapital!BA112</f>
        <v>0</v>
      </c>
      <c r="BG76" s="147">
        <f>WorkingCapital!BB112</f>
        <v>0</v>
      </c>
      <c r="BH76" s="147">
        <f>WorkingCapital!BC112</f>
        <v>0</v>
      </c>
      <c r="BI76" s="147">
        <f>WorkingCapital!BD112</f>
        <v>0</v>
      </c>
      <c r="BJ76" s="147">
        <f>WorkingCapital!BE112</f>
        <v>0</v>
      </c>
      <c r="BK76" s="147">
        <f>WorkingCapital!BF112</f>
        <v>0</v>
      </c>
      <c r="BL76" s="147">
        <f>WorkingCapital!BG112</f>
        <v>0</v>
      </c>
      <c r="BM76" s="147">
        <f>WorkingCapital!BH112</f>
        <v>0</v>
      </c>
      <c r="BN76" s="147">
        <f>WorkingCapital!BI112</f>
        <v>0</v>
      </c>
      <c r="BO76" s="147">
        <f>WorkingCapital!BJ112</f>
        <v>0</v>
      </c>
      <c r="BP76" s="147">
        <f>WorkingCapital!BK112</f>
        <v>0</v>
      </c>
      <c r="BQ76" s="147">
        <f>WorkingCapital!BL112</f>
        <v>0</v>
      </c>
      <c r="BR76" s="147">
        <f>WorkingCapital!BM112</f>
        <v>0</v>
      </c>
      <c r="BS76" s="147">
        <f>WorkingCapital!BN112</f>
        <v>0</v>
      </c>
      <c r="BT76" s="147">
        <f>WorkingCapital!BO112</f>
        <v>0</v>
      </c>
      <c r="BU76" s="147">
        <f>WorkingCapital!BP112</f>
        <v>0</v>
      </c>
      <c r="BV76" s="147">
        <f>WorkingCapital!BQ112</f>
        <v>0</v>
      </c>
      <c r="BW76" s="147">
        <f>WorkingCapital!BR112</f>
        <v>0</v>
      </c>
    </row>
    <row r="77" spans="1:75" s="147" customFormat="1" ht="13.2" outlineLevel="1" x14ac:dyDescent="0.25">
      <c r="A77" s="211"/>
      <c r="B77" s="250" t="str">
        <f t="shared" si="54"/>
        <v>Insert Business Line3</v>
      </c>
      <c r="D77" s="231" t="str">
        <f>unit</f>
        <v>£</v>
      </c>
      <c r="E77" s="147">
        <f>KeyInputs!E126</f>
        <v>0</v>
      </c>
      <c r="F77" s="147">
        <f>KeyInputs!F126</f>
        <v>0</v>
      </c>
      <c r="G77" s="147">
        <f>KeyInputs!G126</f>
        <v>0</v>
      </c>
      <c r="H77" s="147">
        <f ca="1">'Outputs - BalanceSheet'!E27</f>
        <v>0</v>
      </c>
      <c r="I77" s="147">
        <f ca="1">'Outputs - BalanceSheet'!F27</f>
        <v>0</v>
      </c>
      <c r="J77" s="147">
        <f ca="1">'Outputs - BalanceSheet'!G27</f>
        <v>0</v>
      </c>
      <c r="K77" s="147">
        <f ca="1">'Outputs - BalanceSheet'!H27</f>
        <v>0</v>
      </c>
      <c r="L77" s="147">
        <f ca="1">'Outputs - BalanceSheet'!I27</f>
        <v>0</v>
      </c>
      <c r="X77" s="147">
        <f>WorkingCapital!S123</f>
        <v>0</v>
      </c>
      <c r="Y77" s="147">
        <f>WorkingCapital!T123</f>
        <v>0</v>
      </c>
      <c r="Z77" s="147">
        <f>WorkingCapital!U123</f>
        <v>0</v>
      </c>
      <c r="AA77" s="147">
        <f>WorkingCapital!V123</f>
        <v>0</v>
      </c>
      <c r="AB77" s="147">
        <f>WorkingCapital!W123</f>
        <v>0</v>
      </c>
      <c r="AC77" s="147">
        <f>WorkingCapital!X123</f>
        <v>0</v>
      </c>
      <c r="AD77" s="147">
        <f>WorkingCapital!Y123</f>
        <v>0</v>
      </c>
      <c r="AE77" s="147">
        <f>WorkingCapital!Z123</f>
        <v>0</v>
      </c>
      <c r="AF77" s="147">
        <f>WorkingCapital!AA123</f>
        <v>0</v>
      </c>
      <c r="AG77" s="147">
        <f>WorkingCapital!AB123</f>
        <v>0</v>
      </c>
      <c r="AH77" s="147">
        <f>WorkingCapital!AC123</f>
        <v>0</v>
      </c>
      <c r="AI77" s="147">
        <f>WorkingCapital!AD123</f>
        <v>0</v>
      </c>
      <c r="AJ77" s="147">
        <f>WorkingCapital!AE123</f>
        <v>0</v>
      </c>
      <c r="AK77" s="147">
        <f>WorkingCapital!AF123</f>
        <v>0</v>
      </c>
      <c r="AL77" s="147">
        <f>WorkingCapital!AG123</f>
        <v>0</v>
      </c>
      <c r="AM77" s="147">
        <f>WorkingCapital!AH123</f>
        <v>0</v>
      </c>
      <c r="AN77" s="147">
        <f>WorkingCapital!AI123</f>
        <v>0</v>
      </c>
      <c r="AO77" s="147">
        <f>WorkingCapital!AJ123</f>
        <v>0</v>
      </c>
      <c r="AP77" s="147">
        <f>WorkingCapital!AK123</f>
        <v>0</v>
      </c>
      <c r="AQ77" s="147">
        <f>WorkingCapital!AL123</f>
        <v>0</v>
      </c>
      <c r="AR77" s="147">
        <f>WorkingCapital!AM123</f>
        <v>0</v>
      </c>
      <c r="AS77" s="147">
        <f>WorkingCapital!AN123</f>
        <v>0</v>
      </c>
      <c r="AT77" s="147">
        <f>WorkingCapital!AO123</f>
        <v>0</v>
      </c>
      <c r="AU77" s="147">
        <f>WorkingCapital!AP123</f>
        <v>0</v>
      </c>
      <c r="AV77" s="147">
        <f>WorkingCapital!AQ123</f>
        <v>0</v>
      </c>
      <c r="AW77" s="147">
        <f>WorkingCapital!AR123</f>
        <v>0</v>
      </c>
      <c r="AX77" s="147">
        <f>WorkingCapital!AS123</f>
        <v>0</v>
      </c>
      <c r="AY77" s="147">
        <f>WorkingCapital!AT123</f>
        <v>0</v>
      </c>
      <c r="AZ77" s="147">
        <f>WorkingCapital!AU123</f>
        <v>0</v>
      </c>
      <c r="BA77" s="147">
        <f>WorkingCapital!AV123</f>
        <v>0</v>
      </c>
      <c r="BB77" s="147">
        <f>WorkingCapital!AW123</f>
        <v>0</v>
      </c>
      <c r="BC77" s="147">
        <f>WorkingCapital!AX123</f>
        <v>0</v>
      </c>
      <c r="BD77" s="147">
        <f>WorkingCapital!AY123</f>
        <v>0</v>
      </c>
      <c r="BE77" s="147">
        <f>WorkingCapital!AZ123</f>
        <v>0</v>
      </c>
      <c r="BF77" s="147">
        <f>WorkingCapital!BA123</f>
        <v>0</v>
      </c>
      <c r="BG77" s="147">
        <f>WorkingCapital!BB123</f>
        <v>0</v>
      </c>
      <c r="BH77" s="147">
        <f>WorkingCapital!BC123</f>
        <v>0</v>
      </c>
      <c r="BI77" s="147">
        <f>WorkingCapital!BD123</f>
        <v>0</v>
      </c>
      <c r="BJ77" s="147">
        <f>WorkingCapital!BE123</f>
        <v>0</v>
      </c>
      <c r="BK77" s="147">
        <f>WorkingCapital!BF123</f>
        <v>0</v>
      </c>
      <c r="BL77" s="147">
        <f>WorkingCapital!BG123</f>
        <v>0</v>
      </c>
      <c r="BM77" s="147">
        <f>WorkingCapital!BH123</f>
        <v>0</v>
      </c>
      <c r="BN77" s="147">
        <f>WorkingCapital!BI123</f>
        <v>0</v>
      </c>
      <c r="BO77" s="147">
        <f>WorkingCapital!BJ123</f>
        <v>0</v>
      </c>
      <c r="BP77" s="147">
        <f>WorkingCapital!BK123</f>
        <v>0</v>
      </c>
      <c r="BQ77" s="147">
        <f>WorkingCapital!BL123</f>
        <v>0</v>
      </c>
      <c r="BR77" s="147">
        <f>WorkingCapital!BM123</f>
        <v>0</v>
      </c>
      <c r="BS77" s="147">
        <f>WorkingCapital!BN123</f>
        <v>0</v>
      </c>
      <c r="BT77" s="147">
        <f>WorkingCapital!BO123</f>
        <v>0</v>
      </c>
      <c r="BU77" s="147">
        <f>WorkingCapital!BP123</f>
        <v>0</v>
      </c>
      <c r="BV77" s="147">
        <f>WorkingCapital!BQ123</f>
        <v>0</v>
      </c>
      <c r="BW77" s="147">
        <f>WorkingCapital!BR123</f>
        <v>0</v>
      </c>
    </row>
    <row r="78" spans="1:75" s="147" customFormat="1" ht="13.2" outlineLevel="1" x14ac:dyDescent="0.25">
      <c r="A78" s="211"/>
      <c r="D78" s="231"/>
    </row>
    <row r="79" spans="1:75" s="147" customFormat="1" ht="13.2" x14ac:dyDescent="0.25">
      <c r="A79" s="211"/>
      <c r="B79" s="147" t="s">
        <v>284</v>
      </c>
      <c r="D79" s="231" t="str">
        <f>unit</f>
        <v>£</v>
      </c>
      <c r="E79" s="147">
        <f>KeyInputs!E128</f>
        <v>0</v>
      </c>
      <c r="F79" s="147">
        <f>KeyInputs!F128</f>
        <v>0</v>
      </c>
      <c r="G79" s="147">
        <f>KeyInputs!G128</f>
        <v>0</v>
      </c>
      <c r="H79" s="147">
        <f ca="1">'Outputs - BalanceSheet'!E29</f>
        <v>0</v>
      </c>
      <c r="I79" s="147">
        <f ca="1">'Outputs - BalanceSheet'!F29</f>
        <v>0</v>
      </c>
      <c r="J79" s="147">
        <f ca="1">'Outputs - BalanceSheet'!G29</f>
        <v>0</v>
      </c>
      <c r="K79" s="147">
        <f ca="1">'Outputs - BalanceSheet'!H29</f>
        <v>0</v>
      </c>
      <c r="L79" s="147">
        <f ca="1">'Outputs - BalanceSheet'!I29</f>
        <v>0</v>
      </c>
      <c r="X79" s="147">
        <f ca="1">MAX('Outputs - Cashflow'!S$39,0)</f>
        <v>0</v>
      </c>
      <c r="Y79" s="147">
        <f ca="1">MAX('Outputs - Cashflow'!T$39,0)</f>
        <v>0</v>
      </c>
      <c r="Z79" s="147">
        <f ca="1">MAX('Outputs - Cashflow'!U$39,0)</f>
        <v>0</v>
      </c>
      <c r="AA79" s="147">
        <f ca="1">MAX('Outputs - Cashflow'!V$39,0)</f>
        <v>0</v>
      </c>
      <c r="AB79" s="147">
        <f ca="1">MAX('Outputs - Cashflow'!W$39,0)</f>
        <v>0</v>
      </c>
      <c r="AC79" s="147">
        <f ca="1">MAX('Outputs - Cashflow'!X$39,0)</f>
        <v>0</v>
      </c>
      <c r="AD79" s="147">
        <f ca="1">MAX('Outputs - Cashflow'!Y$39,0)</f>
        <v>0</v>
      </c>
      <c r="AE79" s="147">
        <f ca="1">MAX('Outputs - Cashflow'!Z$39,0)</f>
        <v>0</v>
      </c>
      <c r="AF79" s="147">
        <f ca="1">MAX('Outputs - Cashflow'!AA$39,0)</f>
        <v>0</v>
      </c>
      <c r="AG79" s="147">
        <f ca="1">MAX('Outputs - Cashflow'!AB$39,0)</f>
        <v>0</v>
      </c>
      <c r="AH79" s="147">
        <f ca="1">MAX('Outputs - Cashflow'!AC$39,0)</f>
        <v>0</v>
      </c>
      <c r="AI79" s="147">
        <f ca="1">MAX('Outputs - Cashflow'!AD$39,0)</f>
        <v>0</v>
      </c>
      <c r="AJ79" s="147">
        <f ca="1">MAX('Outputs - Cashflow'!AE$39,0)</f>
        <v>0</v>
      </c>
      <c r="AK79" s="147">
        <f ca="1">MAX('Outputs - Cashflow'!AF$39,0)</f>
        <v>0</v>
      </c>
      <c r="AL79" s="147">
        <f ca="1">MAX('Outputs - Cashflow'!AG$39,0)</f>
        <v>0</v>
      </c>
      <c r="AM79" s="147">
        <f ca="1">MAX('Outputs - Cashflow'!AH$39,0)</f>
        <v>0</v>
      </c>
      <c r="AN79" s="147">
        <f ca="1">MAX('Outputs - Cashflow'!AI$39,0)</f>
        <v>0</v>
      </c>
      <c r="AO79" s="147">
        <f ca="1">MAX('Outputs - Cashflow'!AJ$39,0)</f>
        <v>0</v>
      </c>
      <c r="AP79" s="147">
        <f ca="1">MAX('Outputs - Cashflow'!AK$39,0)</f>
        <v>0</v>
      </c>
      <c r="AQ79" s="147">
        <f ca="1">MAX('Outputs - Cashflow'!AL$39,0)</f>
        <v>0</v>
      </c>
      <c r="AR79" s="147">
        <f ca="1">MAX('Outputs - Cashflow'!AM$39,0)</f>
        <v>0</v>
      </c>
      <c r="AS79" s="147">
        <f ca="1">MAX('Outputs - Cashflow'!AN$39,0)</f>
        <v>0</v>
      </c>
      <c r="AT79" s="147">
        <f ca="1">MAX('Outputs - Cashflow'!AO$39,0)</f>
        <v>0</v>
      </c>
      <c r="AU79" s="147">
        <f ca="1">MAX('Outputs - Cashflow'!AP$39,0)</f>
        <v>0</v>
      </c>
      <c r="AV79" s="147">
        <f ca="1">MAX('Outputs - Cashflow'!AQ$39,0)</f>
        <v>0</v>
      </c>
      <c r="AW79" s="147">
        <f ca="1">MAX('Outputs - Cashflow'!AR$39,0)</f>
        <v>0</v>
      </c>
      <c r="AX79" s="147">
        <f ca="1">MAX('Outputs - Cashflow'!AS$39,0)</f>
        <v>0</v>
      </c>
      <c r="AY79" s="147">
        <f ca="1">MAX('Outputs - Cashflow'!AT$39,0)</f>
        <v>0</v>
      </c>
      <c r="AZ79" s="147">
        <f ca="1">MAX('Outputs - Cashflow'!AU$39,0)</f>
        <v>0</v>
      </c>
      <c r="BA79" s="147">
        <f ca="1">MAX('Outputs - Cashflow'!AV$39,0)</f>
        <v>0</v>
      </c>
      <c r="BB79" s="147">
        <f ca="1">MAX('Outputs - Cashflow'!AW$39,0)</f>
        <v>0</v>
      </c>
      <c r="BC79" s="147">
        <f ca="1">MAX('Outputs - Cashflow'!AX$39,0)</f>
        <v>0</v>
      </c>
      <c r="BD79" s="147">
        <f ca="1">MAX('Outputs - Cashflow'!AY$39,0)</f>
        <v>0</v>
      </c>
      <c r="BE79" s="147">
        <f ca="1">MAX('Outputs - Cashflow'!AZ$39,0)</f>
        <v>0</v>
      </c>
      <c r="BF79" s="147">
        <f ca="1">MAX('Outputs - Cashflow'!BA$39,0)</f>
        <v>0</v>
      </c>
      <c r="BG79" s="147">
        <f ca="1">MAX('Outputs - Cashflow'!BB$39,0)</f>
        <v>0</v>
      </c>
      <c r="BH79" s="147">
        <f ca="1">MAX('Outputs - Cashflow'!BC$39,0)</f>
        <v>0</v>
      </c>
      <c r="BI79" s="147">
        <f ca="1">MAX('Outputs - Cashflow'!BD$39,0)</f>
        <v>0</v>
      </c>
      <c r="BJ79" s="147">
        <f ca="1">MAX('Outputs - Cashflow'!BE$39,0)</f>
        <v>0</v>
      </c>
      <c r="BK79" s="147">
        <f ca="1">MAX('Outputs - Cashflow'!BF$39,0)</f>
        <v>0</v>
      </c>
      <c r="BL79" s="147">
        <f ca="1">MAX('Outputs - Cashflow'!BG$39,0)</f>
        <v>0</v>
      </c>
      <c r="BM79" s="147">
        <f ca="1">MAX('Outputs - Cashflow'!BH$39,0)</f>
        <v>0</v>
      </c>
      <c r="BN79" s="147">
        <f ca="1">MAX('Outputs - Cashflow'!BI$39,0)</f>
        <v>0</v>
      </c>
      <c r="BO79" s="147">
        <f ca="1">MAX('Outputs - Cashflow'!BJ$39,0)</f>
        <v>0</v>
      </c>
      <c r="BP79" s="147">
        <f ca="1">MAX('Outputs - Cashflow'!BK$39,0)</f>
        <v>0</v>
      </c>
      <c r="BQ79" s="147">
        <f ca="1">MAX('Outputs - Cashflow'!BL$39,0)</f>
        <v>0</v>
      </c>
      <c r="BR79" s="147">
        <f ca="1">MAX('Outputs - Cashflow'!BM$39,0)</f>
        <v>0</v>
      </c>
      <c r="BS79" s="147">
        <f ca="1">MAX('Outputs - Cashflow'!BN$39,0)</f>
        <v>0</v>
      </c>
      <c r="BT79" s="147">
        <f ca="1">MAX('Outputs - Cashflow'!BO$39,0)</f>
        <v>0</v>
      </c>
      <c r="BU79" s="147">
        <f ca="1">MAX('Outputs - Cashflow'!BP$39,0)</f>
        <v>0</v>
      </c>
      <c r="BV79" s="147">
        <f ca="1">MAX('Outputs - Cashflow'!BQ$39,0)</f>
        <v>0</v>
      </c>
      <c r="BW79" s="147">
        <f ca="1">MAX('Outputs - Cashflow'!BR$39,0)</f>
        <v>0</v>
      </c>
    </row>
    <row r="80" spans="1:75" s="147" customFormat="1" ht="13.2" x14ac:dyDescent="0.25">
      <c r="A80" s="211"/>
      <c r="B80" s="211" t="s">
        <v>342</v>
      </c>
      <c r="C80" s="211"/>
      <c r="D80" s="211"/>
      <c r="E80" s="211">
        <f>E79+E74+E69+E62</f>
        <v>0</v>
      </c>
      <c r="F80" s="211">
        <f t="shared" ref="F80:L80" si="55">F79+F74+F69+F62</f>
        <v>0</v>
      </c>
      <c r="G80" s="211">
        <f t="shared" si="55"/>
        <v>0</v>
      </c>
      <c r="H80" s="211">
        <f t="shared" ca="1" si="55"/>
        <v>0</v>
      </c>
      <c r="I80" s="211">
        <f t="shared" ca="1" si="55"/>
        <v>0</v>
      </c>
      <c r="J80" s="211">
        <f t="shared" ca="1" si="55"/>
        <v>0</v>
      </c>
      <c r="K80" s="211">
        <f t="shared" ca="1" si="55"/>
        <v>0</v>
      </c>
      <c r="L80" s="211">
        <f t="shared" ca="1" si="55"/>
        <v>0</v>
      </c>
      <c r="M80" s="211"/>
      <c r="N80" s="211"/>
      <c r="O80" s="211"/>
      <c r="P80" s="211"/>
      <c r="Q80" s="211"/>
      <c r="R80" s="211"/>
      <c r="S80" s="211"/>
      <c r="T80" s="211"/>
      <c r="U80" s="211"/>
      <c r="V80" s="211"/>
      <c r="W80" s="211"/>
    </row>
    <row r="81" spans="1:75" s="147" customFormat="1" ht="13.2" x14ac:dyDescent="0.25">
      <c r="A81" s="211"/>
      <c r="B81" s="211"/>
      <c r="C81" s="211"/>
      <c r="D81" s="211"/>
      <c r="E81" s="211"/>
      <c r="F81" s="211"/>
      <c r="G81" s="211"/>
      <c r="H81" s="211"/>
      <c r="I81" s="211"/>
      <c r="J81" s="211"/>
      <c r="K81" s="211"/>
      <c r="L81" s="211"/>
      <c r="M81" s="211"/>
      <c r="N81" s="211"/>
      <c r="O81" s="211"/>
      <c r="P81" s="211"/>
      <c r="Q81" s="211"/>
      <c r="R81" s="211"/>
      <c r="S81" s="211"/>
      <c r="T81" s="211"/>
      <c r="U81" s="211"/>
      <c r="V81" s="211"/>
      <c r="W81" s="211"/>
    </row>
    <row r="82" spans="1:75" s="147" customFormat="1" ht="13.2" x14ac:dyDescent="0.25">
      <c r="A82" s="211"/>
      <c r="B82" s="147" t="s">
        <v>285</v>
      </c>
      <c r="D82" s="231" t="str">
        <f t="shared" ref="D82:D88" si="56">unit</f>
        <v>£</v>
      </c>
      <c r="E82" s="147">
        <f>KeyInputs!E130</f>
        <v>0</v>
      </c>
      <c r="F82" s="147">
        <f>KeyInputs!F130</f>
        <v>0</v>
      </c>
      <c r="G82" s="147">
        <f>KeyInputs!G130</f>
        <v>0</v>
      </c>
      <c r="H82" s="147">
        <f ca="1">'Outputs - BalanceSheet'!E31</f>
        <v>0</v>
      </c>
      <c r="I82" s="147">
        <f ca="1">'Outputs - BalanceSheet'!F31</f>
        <v>0</v>
      </c>
      <c r="J82" s="147">
        <f ca="1">'Outputs - BalanceSheet'!G31</f>
        <v>0</v>
      </c>
      <c r="K82" s="147">
        <f ca="1">'Outputs - BalanceSheet'!H31</f>
        <v>0</v>
      </c>
      <c r="L82" s="147">
        <f ca="1">'Outputs - BalanceSheet'!I31</f>
        <v>0</v>
      </c>
      <c r="X82" s="147">
        <f ca="1">MIN('Outputs - Cashflow'!S$39,0)</f>
        <v>0</v>
      </c>
      <c r="Y82" s="147">
        <f ca="1">MIN('Outputs - Cashflow'!T$39,0)</f>
        <v>0</v>
      </c>
      <c r="Z82" s="147">
        <f ca="1">MIN('Outputs - Cashflow'!U$39,0)</f>
        <v>0</v>
      </c>
      <c r="AA82" s="147">
        <f ca="1">MIN('Outputs - Cashflow'!V$39,0)</f>
        <v>0</v>
      </c>
      <c r="AB82" s="147">
        <f ca="1">MIN('Outputs - Cashflow'!W$39,0)</f>
        <v>0</v>
      </c>
      <c r="AC82" s="147">
        <f ca="1">MIN('Outputs - Cashflow'!X$39,0)</f>
        <v>0</v>
      </c>
      <c r="AD82" s="147">
        <f ca="1">MIN('Outputs - Cashflow'!Y$39,0)</f>
        <v>0</v>
      </c>
      <c r="AE82" s="147">
        <f ca="1">MIN('Outputs - Cashflow'!Z$39,0)</f>
        <v>0</v>
      </c>
      <c r="AF82" s="147">
        <f ca="1">MIN('Outputs - Cashflow'!AA$39,0)</f>
        <v>0</v>
      </c>
      <c r="AG82" s="147">
        <f ca="1">MIN('Outputs - Cashflow'!AB$39,0)</f>
        <v>0</v>
      </c>
      <c r="AH82" s="147">
        <f ca="1">MIN('Outputs - Cashflow'!AC$39,0)</f>
        <v>0</v>
      </c>
      <c r="AI82" s="147">
        <f ca="1">MIN('Outputs - Cashflow'!AD$39,0)</f>
        <v>0</v>
      </c>
      <c r="AJ82" s="147">
        <f ca="1">MIN('Outputs - Cashflow'!AE$39,0)</f>
        <v>0</v>
      </c>
      <c r="AK82" s="147">
        <f ca="1">MIN('Outputs - Cashflow'!AF$39,0)</f>
        <v>0</v>
      </c>
      <c r="AL82" s="147">
        <f ca="1">MIN('Outputs - Cashflow'!AG$39,0)</f>
        <v>0</v>
      </c>
      <c r="AM82" s="147">
        <f ca="1">MIN('Outputs - Cashflow'!AH$39,0)</f>
        <v>0</v>
      </c>
      <c r="AN82" s="147">
        <f ca="1">MIN('Outputs - Cashflow'!AI$39,0)</f>
        <v>0</v>
      </c>
      <c r="AO82" s="147">
        <f ca="1">MIN('Outputs - Cashflow'!AJ$39,0)</f>
        <v>0</v>
      </c>
      <c r="AP82" s="147">
        <f ca="1">MIN('Outputs - Cashflow'!AK$39,0)</f>
        <v>0</v>
      </c>
      <c r="AQ82" s="147">
        <f ca="1">MIN('Outputs - Cashflow'!AL$39,0)</f>
        <v>0</v>
      </c>
      <c r="AR82" s="147">
        <f ca="1">MIN('Outputs - Cashflow'!AM$39,0)</f>
        <v>0</v>
      </c>
      <c r="AS82" s="147">
        <f ca="1">MIN('Outputs - Cashflow'!AN$39,0)</f>
        <v>0</v>
      </c>
      <c r="AT82" s="147">
        <f ca="1">MIN('Outputs - Cashflow'!AO$39,0)</f>
        <v>0</v>
      </c>
      <c r="AU82" s="147">
        <f ca="1">MIN('Outputs - Cashflow'!AP$39,0)</f>
        <v>0</v>
      </c>
      <c r="AV82" s="147">
        <f ca="1">MIN('Outputs - Cashflow'!AQ$39,0)</f>
        <v>0</v>
      </c>
      <c r="AW82" s="147">
        <f ca="1">MIN('Outputs - Cashflow'!AR$39,0)</f>
        <v>0</v>
      </c>
      <c r="AX82" s="147">
        <f ca="1">MIN('Outputs - Cashflow'!AS$39,0)</f>
        <v>0</v>
      </c>
      <c r="AY82" s="147">
        <f ca="1">MIN('Outputs - Cashflow'!AT$39,0)</f>
        <v>0</v>
      </c>
      <c r="AZ82" s="147">
        <f ca="1">MIN('Outputs - Cashflow'!AU$39,0)</f>
        <v>0</v>
      </c>
      <c r="BA82" s="147">
        <f ca="1">MIN('Outputs - Cashflow'!AV$39,0)</f>
        <v>0</v>
      </c>
      <c r="BB82" s="147">
        <f ca="1">MIN('Outputs - Cashflow'!AW$39,0)</f>
        <v>0</v>
      </c>
      <c r="BC82" s="147">
        <f ca="1">MIN('Outputs - Cashflow'!AX$39,0)</f>
        <v>0</v>
      </c>
      <c r="BD82" s="147">
        <f ca="1">MIN('Outputs - Cashflow'!AY$39,0)</f>
        <v>0</v>
      </c>
      <c r="BE82" s="147">
        <f ca="1">MIN('Outputs - Cashflow'!AZ$39,0)</f>
        <v>0</v>
      </c>
      <c r="BF82" s="147">
        <f ca="1">MIN('Outputs - Cashflow'!BA$39,0)</f>
        <v>0</v>
      </c>
      <c r="BG82" s="147">
        <f ca="1">MIN('Outputs - Cashflow'!BB$39,0)</f>
        <v>0</v>
      </c>
      <c r="BH82" s="147">
        <f ca="1">MIN('Outputs - Cashflow'!BC$39,0)</f>
        <v>0</v>
      </c>
      <c r="BI82" s="147">
        <f ca="1">MIN('Outputs - Cashflow'!BD$39,0)</f>
        <v>0</v>
      </c>
      <c r="BJ82" s="147">
        <f ca="1">MIN('Outputs - Cashflow'!BE$39,0)</f>
        <v>0</v>
      </c>
      <c r="BK82" s="147">
        <f ca="1">MIN('Outputs - Cashflow'!BF$39,0)</f>
        <v>0</v>
      </c>
      <c r="BL82" s="147">
        <f ca="1">MIN('Outputs - Cashflow'!BG$39,0)</f>
        <v>0</v>
      </c>
      <c r="BM82" s="147">
        <f ca="1">MIN('Outputs - Cashflow'!BH$39,0)</f>
        <v>0</v>
      </c>
      <c r="BN82" s="147">
        <f ca="1">MIN('Outputs - Cashflow'!BI$39,0)</f>
        <v>0</v>
      </c>
      <c r="BO82" s="147">
        <f ca="1">MIN('Outputs - Cashflow'!BJ$39,0)</f>
        <v>0</v>
      </c>
      <c r="BP82" s="147">
        <f ca="1">MIN('Outputs - Cashflow'!BK$39,0)</f>
        <v>0</v>
      </c>
      <c r="BQ82" s="147">
        <f ca="1">MIN('Outputs - Cashflow'!BL$39,0)</f>
        <v>0</v>
      </c>
      <c r="BR82" s="147">
        <f ca="1">MIN('Outputs - Cashflow'!BM$39,0)</f>
        <v>0</v>
      </c>
      <c r="BS82" s="147">
        <f ca="1">MIN('Outputs - Cashflow'!BN$39,0)</f>
        <v>0</v>
      </c>
      <c r="BT82" s="147">
        <f ca="1">MIN('Outputs - Cashflow'!BO$39,0)</f>
        <v>0</v>
      </c>
      <c r="BU82" s="147">
        <f ca="1">MIN('Outputs - Cashflow'!BP$39,0)</f>
        <v>0</v>
      </c>
      <c r="BV82" s="147">
        <f ca="1">MIN('Outputs - Cashflow'!BQ$39,0)</f>
        <v>0</v>
      </c>
      <c r="BW82" s="147">
        <f ca="1">MIN('Outputs - Cashflow'!BR$39,0)</f>
        <v>0</v>
      </c>
    </row>
    <row r="83" spans="1:75" s="147" customFormat="1" ht="13.2" x14ac:dyDescent="0.25">
      <c r="A83" s="211"/>
      <c r="B83" s="147" t="s">
        <v>212</v>
      </c>
      <c r="D83" s="231" t="str">
        <f t="shared" si="56"/>
        <v>£</v>
      </c>
      <c r="E83" s="147">
        <f>KeyInputs!E131</f>
        <v>0</v>
      </c>
      <c r="F83" s="147">
        <f>KeyInputs!F131</f>
        <v>0</v>
      </c>
      <c r="G83" s="147">
        <f>KeyInputs!G131</f>
        <v>0</v>
      </c>
      <c r="H83" s="147">
        <f ca="1">'Outputs - BalanceSheet'!E32</f>
        <v>0</v>
      </c>
      <c r="I83" s="147">
        <f ca="1">'Outputs - BalanceSheet'!F32</f>
        <v>0</v>
      </c>
      <c r="J83" s="147">
        <f ca="1">'Outputs - BalanceSheet'!G32</f>
        <v>0</v>
      </c>
      <c r="K83" s="147">
        <f ca="1">'Outputs - BalanceSheet'!H32</f>
        <v>0</v>
      </c>
      <c r="L83" s="147">
        <f ca="1">'Outputs - BalanceSheet'!I32</f>
        <v>0</v>
      </c>
      <c r="X83" s="147">
        <f ca="1">WorkingCapital!S$91</f>
        <v>0</v>
      </c>
      <c r="Y83" s="147">
        <f ca="1">WorkingCapital!T$91</f>
        <v>0</v>
      </c>
      <c r="Z83" s="147">
        <f ca="1">WorkingCapital!U$91</f>
        <v>0</v>
      </c>
      <c r="AA83" s="147">
        <f ca="1">WorkingCapital!V$91</f>
        <v>0</v>
      </c>
      <c r="AB83" s="147">
        <f ca="1">WorkingCapital!W$91</f>
        <v>0</v>
      </c>
      <c r="AC83" s="147">
        <f ca="1">WorkingCapital!X$91</f>
        <v>0</v>
      </c>
      <c r="AD83" s="147">
        <f ca="1">WorkingCapital!Y$91</f>
        <v>0</v>
      </c>
      <c r="AE83" s="147">
        <f ca="1">WorkingCapital!Z$91</f>
        <v>0</v>
      </c>
      <c r="AF83" s="147">
        <f ca="1">WorkingCapital!AA$91</f>
        <v>0</v>
      </c>
      <c r="AG83" s="147">
        <f ca="1">WorkingCapital!AB$91</f>
        <v>0</v>
      </c>
      <c r="AH83" s="147">
        <f ca="1">WorkingCapital!AC$91</f>
        <v>0</v>
      </c>
      <c r="AI83" s="147">
        <f ca="1">WorkingCapital!AD$91</f>
        <v>0</v>
      </c>
      <c r="AJ83" s="147">
        <f ca="1">WorkingCapital!AE$91</f>
        <v>0</v>
      </c>
      <c r="AK83" s="147">
        <f ca="1">WorkingCapital!AF$91</f>
        <v>0</v>
      </c>
      <c r="AL83" s="147">
        <f ca="1">WorkingCapital!AG$91</f>
        <v>0</v>
      </c>
      <c r="AM83" s="147">
        <f ca="1">WorkingCapital!AH$91</f>
        <v>0</v>
      </c>
      <c r="AN83" s="147">
        <f ca="1">WorkingCapital!AI$91</f>
        <v>0</v>
      </c>
      <c r="AO83" s="147">
        <f ca="1">WorkingCapital!AJ$91</f>
        <v>0</v>
      </c>
      <c r="AP83" s="147">
        <f ca="1">WorkingCapital!AK$91</f>
        <v>0</v>
      </c>
      <c r="AQ83" s="147">
        <f ca="1">WorkingCapital!AL$91</f>
        <v>0</v>
      </c>
      <c r="AR83" s="147">
        <f ca="1">WorkingCapital!AM$91</f>
        <v>0</v>
      </c>
      <c r="AS83" s="147">
        <f ca="1">WorkingCapital!AN$91</f>
        <v>0</v>
      </c>
      <c r="AT83" s="147">
        <f ca="1">WorkingCapital!AO$91</f>
        <v>0</v>
      </c>
      <c r="AU83" s="147">
        <f ca="1">WorkingCapital!AP$91</f>
        <v>0</v>
      </c>
      <c r="AV83" s="147">
        <f ca="1">WorkingCapital!AQ$91</f>
        <v>0</v>
      </c>
      <c r="AW83" s="147">
        <f ca="1">WorkingCapital!AR$91</f>
        <v>0</v>
      </c>
      <c r="AX83" s="147">
        <f ca="1">WorkingCapital!AS$91</f>
        <v>0</v>
      </c>
      <c r="AY83" s="147">
        <f ca="1">WorkingCapital!AT$91</f>
        <v>0</v>
      </c>
      <c r="AZ83" s="147">
        <f ca="1">WorkingCapital!AU$91</f>
        <v>0</v>
      </c>
      <c r="BA83" s="147">
        <f ca="1">WorkingCapital!AV$91</f>
        <v>0</v>
      </c>
      <c r="BB83" s="147">
        <f ca="1">WorkingCapital!AW$91</f>
        <v>0</v>
      </c>
      <c r="BC83" s="147">
        <f ca="1">WorkingCapital!AX$91</f>
        <v>0</v>
      </c>
      <c r="BD83" s="147">
        <f ca="1">WorkingCapital!AY$91</f>
        <v>0</v>
      </c>
      <c r="BE83" s="147">
        <f ca="1">WorkingCapital!AZ$91</f>
        <v>0</v>
      </c>
      <c r="BF83" s="147">
        <f ca="1">WorkingCapital!BA$91</f>
        <v>0</v>
      </c>
      <c r="BG83" s="147">
        <f ca="1">WorkingCapital!BB$91</f>
        <v>0</v>
      </c>
      <c r="BH83" s="147">
        <f ca="1">WorkingCapital!BC$91</f>
        <v>0</v>
      </c>
      <c r="BI83" s="147">
        <f ca="1">WorkingCapital!BD$91</f>
        <v>0</v>
      </c>
      <c r="BJ83" s="147">
        <f ca="1">WorkingCapital!BE$91</f>
        <v>0</v>
      </c>
      <c r="BK83" s="147">
        <f ca="1">WorkingCapital!BF$91</f>
        <v>0</v>
      </c>
      <c r="BL83" s="147">
        <f ca="1">WorkingCapital!BG$91</f>
        <v>0</v>
      </c>
      <c r="BM83" s="147">
        <f ca="1">WorkingCapital!BH$91</f>
        <v>0</v>
      </c>
      <c r="BN83" s="147">
        <f ca="1">WorkingCapital!BI$91</f>
        <v>0</v>
      </c>
      <c r="BO83" s="147">
        <f ca="1">WorkingCapital!BJ$91</f>
        <v>0</v>
      </c>
      <c r="BP83" s="147">
        <f ca="1">WorkingCapital!BK$91</f>
        <v>0</v>
      </c>
      <c r="BQ83" s="147">
        <f ca="1">WorkingCapital!BL$91</f>
        <v>0</v>
      </c>
      <c r="BR83" s="147">
        <f ca="1">WorkingCapital!BM$91</f>
        <v>0</v>
      </c>
      <c r="BS83" s="147">
        <f ca="1">WorkingCapital!BN$91</f>
        <v>0</v>
      </c>
      <c r="BT83" s="147">
        <f ca="1">WorkingCapital!BO$91</f>
        <v>0</v>
      </c>
      <c r="BU83" s="147">
        <f ca="1">WorkingCapital!BP$91</f>
        <v>0</v>
      </c>
      <c r="BV83" s="147">
        <f ca="1">WorkingCapital!BQ$91</f>
        <v>0</v>
      </c>
      <c r="BW83" s="147">
        <f ca="1">WorkingCapital!BR$91</f>
        <v>0</v>
      </c>
    </row>
    <row r="84" spans="1:75" s="147" customFormat="1" ht="13.2" x14ac:dyDescent="0.25">
      <c r="A84" s="211"/>
      <c r="B84" s="147" t="s">
        <v>415</v>
      </c>
      <c r="D84" s="231" t="str">
        <f t="shared" si="56"/>
        <v>£</v>
      </c>
      <c r="E84" s="147">
        <f>KeyInputs!E132</f>
        <v>0</v>
      </c>
      <c r="F84" s="147">
        <f>KeyInputs!F132</f>
        <v>0</v>
      </c>
      <c r="G84" s="147">
        <f>KeyInputs!G132</f>
        <v>0</v>
      </c>
      <c r="H84" s="147">
        <f>'Outputs - BalanceSheet'!E33</f>
        <v>0</v>
      </c>
      <c r="I84" s="147">
        <f>'Outputs - BalanceSheet'!F33</f>
        <v>0</v>
      </c>
      <c r="J84" s="147">
        <f>'Outputs - BalanceSheet'!G33</f>
        <v>0</v>
      </c>
      <c r="K84" s="147">
        <f>'Outputs - BalanceSheet'!H33</f>
        <v>0</v>
      </c>
      <c r="L84" s="147">
        <f>'Outputs - BalanceSheet'!I33</f>
        <v>0</v>
      </c>
    </row>
    <row r="85" spans="1:75" s="147" customFormat="1" ht="13.2" x14ac:dyDescent="0.25">
      <c r="A85" s="211"/>
      <c r="B85" s="147" t="s">
        <v>286</v>
      </c>
      <c r="D85" s="231" t="str">
        <f t="shared" si="56"/>
        <v>£</v>
      </c>
      <c r="E85" s="147">
        <f>KeyInputs!E133</f>
        <v>0</v>
      </c>
      <c r="F85" s="147">
        <f>KeyInputs!F133</f>
        <v>0</v>
      </c>
      <c r="G85" s="147">
        <f>KeyInputs!G133</f>
        <v>0</v>
      </c>
      <c r="H85" s="147">
        <f>'Outputs - BalanceSheet'!E34</f>
        <v>0</v>
      </c>
      <c r="I85" s="147">
        <f>'Outputs - BalanceSheet'!F34</f>
        <v>0</v>
      </c>
      <c r="J85" s="147">
        <f>'Outputs - BalanceSheet'!G34</f>
        <v>0</v>
      </c>
      <c r="K85" s="147">
        <f>'Outputs - BalanceSheet'!H34</f>
        <v>0</v>
      </c>
      <c r="L85" s="147">
        <f>'Outputs - BalanceSheet'!I34</f>
        <v>0</v>
      </c>
      <c r="X85" s="147">
        <f>DebtFinancing!S$24</f>
        <v>0</v>
      </c>
      <c r="Y85" s="147">
        <f>DebtFinancing!T$24</f>
        <v>0</v>
      </c>
      <c r="Z85" s="147">
        <f>DebtFinancing!U$24</f>
        <v>0</v>
      </c>
      <c r="AA85" s="147">
        <f>DebtFinancing!V$24</f>
        <v>0</v>
      </c>
      <c r="AB85" s="147">
        <f>DebtFinancing!W$24</f>
        <v>0</v>
      </c>
      <c r="AC85" s="147">
        <f>DebtFinancing!X$24</f>
        <v>0</v>
      </c>
      <c r="AD85" s="147">
        <f>DebtFinancing!Y$24</f>
        <v>0</v>
      </c>
      <c r="AE85" s="147">
        <f>DebtFinancing!Z$24</f>
        <v>0</v>
      </c>
      <c r="AF85" s="147">
        <f>DebtFinancing!AA$24</f>
        <v>0</v>
      </c>
      <c r="AG85" s="147">
        <f>DebtFinancing!AB$24</f>
        <v>0</v>
      </c>
      <c r="AH85" s="147">
        <f>DebtFinancing!AC$24</f>
        <v>0</v>
      </c>
      <c r="AI85" s="147">
        <f>DebtFinancing!AD$24</f>
        <v>0</v>
      </c>
      <c r="AJ85" s="147">
        <f>DebtFinancing!AE$24</f>
        <v>0</v>
      </c>
      <c r="AK85" s="147">
        <f>DebtFinancing!AF$24</f>
        <v>0</v>
      </c>
      <c r="AL85" s="147">
        <f>DebtFinancing!AG$24</f>
        <v>0</v>
      </c>
      <c r="AM85" s="147">
        <f>DebtFinancing!AH$24</f>
        <v>0</v>
      </c>
      <c r="AN85" s="147">
        <f>DebtFinancing!AI$24</f>
        <v>0</v>
      </c>
      <c r="AO85" s="147">
        <f>DebtFinancing!AJ$24</f>
        <v>0</v>
      </c>
      <c r="AP85" s="147">
        <f>DebtFinancing!AK$24</f>
        <v>0</v>
      </c>
      <c r="AQ85" s="147">
        <f>DebtFinancing!AL$24</f>
        <v>0</v>
      </c>
      <c r="AR85" s="147">
        <f>DebtFinancing!AM$24</f>
        <v>0</v>
      </c>
      <c r="AS85" s="147">
        <f>DebtFinancing!AN$24</f>
        <v>0</v>
      </c>
      <c r="AT85" s="147">
        <f>DebtFinancing!AO$24</f>
        <v>0</v>
      </c>
      <c r="AU85" s="147">
        <f>DebtFinancing!AP$24</f>
        <v>0</v>
      </c>
      <c r="AV85" s="147">
        <f>DebtFinancing!AQ$24</f>
        <v>0</v>
      </c>
      <c r="AW85" s="147">
        <f>DebtFinancing!AR$24</f>
        <v>0</v>
      </c>
      <c r="AX85" s="147">
        <f>DebtFinancing!AS$24</f>
        <v>0</v>
      </c>
      <c r="AY85" s="147">
        <f>DebtFinancing!AT$24</f>
        <v>0</v>
      </c>
      <c r="AZ85" s="147">
        <f>DebtFinancing!AU$24</f>
        <v>0</v>
      </c>
      <c r="BA85" s="147">
        <f>DebtFinancing!AV$24</f>
        <v>0</v>
      </c>
      <c r="BB85" s="147">
        <f>DebtFinancing!AW$24</f>
        <v>0</v>
      </c>
      <c r="BC85" s="147">
        <f>DebtFinancing!AX$24</f>
        <v>0</v>
      </c>
      <c r="BD85" s="147">
        <f>DebtFinancing!AY$24</f>
        <v>0</v>
      </c>
      <c r="BE85" s="147">
        <f>DebtFinancing!AZ$24</f>
        <v>0</v>
      </c>
      <c r="BF85" s="147">
        <f>DebtFinancing!BA$24</f>
        <v>0</v>
      </c>
      <c r="BG85" s="147">
        <f>DebtFinancing!BB$24</f>
        <v>0</v>
      </c>
      <c r="BH85" s="147">
        <f>DebtFinancing!BC$24</f>
        <v>0</v>
      </c>
      <c r="BI85" s="147">
        <f>DebtFinancing!BD$24</f>
        <v>0</v>
      </c>
      <c r="BJ85" s="147">
        <f>DebtFinancing!BE$24</f>
        <v>0</v>
      </c>
      <c r="BK85" s="147">
        <f>DebtFinancing!BF$24</f>
        <v>0</v>
      </c>
      <c r="BL85" s="147">
        <f>DebtFinancing!BG$24</f>
        <v>0</v>
      </c>
      <c r="BM85" s="147">
        <f>DebtFinancing!BH$24</f>
        <v>0</v>
      </c>
      <c r="BN85" s="147">
        <f>DebtFinancing!BI$24</f>
        <v>0</v>
      </c>
      <c r="BO85" s="147">
        <f>DebtFinancing!BJ$24</f>
        <v>0</v>
      </c>
      <c r="BP85" s="147">
        <f>DebtFinancing!BK$24</f>
        <v>0</v>
      </c>
      <c r="BQ85" s="147">
        <f>DebtFinancing!BL$24</f>
        <v>0</v>
      </c>
      <c r="BR85" s="147">
        <f>DebtFinancing!BM$24</f>
        <v>0</v>
      </c>
      <c r="BS85" s="147">
        <f>DebtFinancing!BN$24</f>
        <v>0</v>
      </c>
      <c r="BT85" s="147">
        <f>DebtFinancing!BO$24</f>
        <v>0</v>
      </c>
      <c r="BU85" s="147">
        <f>DebtFinancing!BP$24</f>
        <v>0</v>
      </c>
      <c r="BV85" s="147">
        <f>DebtFinancing!BQ$24</f>
        <v>0</v>
      </c>
      <c r="BW85" s="147">
        <f>DebtFinancing!BR$24</f>
        <v>0</v>
      </c>
    </row>
    <row r="86" spans="1:75" s="147" customFormat="1" ht="13.2" x14ac:dyDescent="0.25">
      <c r="A86" s="211"/>
      <c r="B86" s="147" t="s">
        <v>287</v>
      </c>
      <c r="D86" s="231" t="str">
        <f t="shared" si="56"/>
        <v>£</v>
      </c>
      <c r="E86" s="147">
        <f>KeyInputs!E134</f>
        <v>0</v>
      </c>
      <c r="F86" s="147">
        <f>KeyInputs!F134</f>
        <v>0</v>
      </c>
      <c r="G86" s="147">
        <f>KeyInputs!G134</f>
        <v>0</v>
      </c>
      <c r="H86" s="147">
        <f>'Outputs - BalanceSheet'!E35</f>
        <v>0</v>
      </c>
      <c r="I86" s="147">
        <f>'Outputs - BalanceSheet'!F35</f>
        <v>0</v>
      </c>
      <c r="J86" s="147">
        <f>'Outputs - BalanceSheet'!G35</f>
        <v>0</v>
      </c>
      <c r="K86" s="147">
        <f>'Outputs - BalanceSheet'!H35</f>
        <v>0</v>
      </c>
      <c r="L86" s="147">
        <f>'Outputs - BalanceSheet'!I35</f>
        <v>0</v>
      </c>
      <c r="X86" s="147">
        <f>DebtFinancing!S$17</f>
        <v>0</v>
      </c>
      <c r="Y86" s="147">
        <f>DebtFinancing!T$17</f>
        <v>0</v>
      </c>
      <c r="Z86" s="147">
        <f>DebtFinancing!U$17</f>
        <v>0</v>
      </c>
      <c r="AA86" s="147">
        <f>DebtFinancing!V$17</f>
        <v>0</v>
      </c>
      <c r="AB86" s="147">
        <f>DebtFinancing!W$17</f>
        <v>0</v>
      </c>
      <c r="AC86" s="147">
        <f>DebtFinancing!X$17</f>
        <v>0</v>
      </c>
      <c r="AD86" s="147">
        <f>DebtFinancing!Y$17</f>
        <v>0</v>
      </c>
      <c r="AE86" s="147">
        <f>DebtFinancing!Z$17</f>
        <v>0</v>
      </c>
      <c r="AF86" s="147">
        <f>DebtFinancing!AA$17</f>
        <v>0</v>
      </c>
      <c r="AG86" s="147">
        <f>DebtFinancing!AB$17</f>
        <v>0</v>
      </c>
      <c r="AH86" s="147">
        <f>DebtFinancing!AC$17</f>
        <v>0</v>
      </c>
      <c r="AI86" s="147">
        <f>DebtFinancing!AD$17</f>
        <v>0</v>
      </c>
      <c r="AJ86" s="147">
        <f>DebtFinancing!AE$17</f>
        <v>0</v>
      </c>
      <c r="AK86" s="147">
        <f>DebtFinancing!AF$17</f>
        <v>0</v>
      </c>
      <c r="AL86" s="147">
        <f>DebtFinancing!AG$17</f>
        <v>0</v>
      </c>
      <c r="AM86" s="147">
        <f>DebtFinancing!AH$17</f>
        <v>0</v>
      </c>
      <c r="AN86" s="147">
        <f>DebtFinancing!AI$17</f>
        <v>0</v>
      </c>
      <c r="AO86" s="147">
        <f>DebtFinancing!AJ$17</f>
        <v>0</v>
      </c>
      <c r="AP86" s="147">
        <f>DebtFinancing!AK$17</f>
        <v>0</v>
      </c>
      <c r="AQ86" s="147">
        <f>DebtFinancing!AL$17</f>
        <v>0</v>
      </c>
      <c r="AR86" s="147">
        <f>DebtFinancing!AM$17</f>
        <v>0</v>
      </c>
      <c r="AS86" s="147">
        <f>DebtFinancing!AN$17</f>
        <v>0</v>
      </c>
      <c r="AT86" s="147">
        <f>DebtFinancing!AO$17</f>
        <v>0</v>
      </c>
      <c r="AU86" s="147">
        <f>DebtFinancing!AP$17</f>
        <v>0</v>
      </c>
      <c r="AV86" s="147">
        <f>DebtFinancing!AQ$17</f>
        <v>0</v>
      </c>
      <c r="AW86" s="147">
        <f>DebtFinancing!AR$17</f>
        <v>0</v>
      </c>
      <c r="AX86" s="147">
        <f>DebtFinancing!AS$17</f>
        <v>0</v>
      </c>
      <c r="AY86" s="147">
        <f>DebtFinancing!AT$17</f>
        <v>0</v>
      </c>
      <c r="AZ86" s="147">
        <f>DebtFinancing!AU$17</f>
        <v>0</v>
      </c>
      <c r="BA86" s="147">
        <f>DebtFinancing!AV$17</f>
        <v>0</v>
      </c>
      <c r="BB86" s="147">
        <f>DebtFinancing!AW$17</f>
        <v>0</v>
      </c>
      <c r="BC86" s="147">
        <f>DebtFinancing!AX$17</f>
        <v>0</v>
      </c>
      <c r="BD86" s="147">
        <f>DebtFinancing!AY$17</f>
        <v>0</v>
      </c>
      <c r="BE86" s="147">
        <f>DebtFinancing!AZ$17</f>
        <v>0</v>
      </c>
      <c r="BF86" s="147">
        <f>DebtFinancing!BA$17</f>
        <v>0</v>
      </c>
      <c r="BG86" s="147">
        <f>DebtFinancing!BB$17</f>
        <v>0</v>
      </c>
      <c r="BH86" s="147">
        <f>DebtFinancing!BC$17</f>
        <v>0</v>
      </c>
      <c r="BI86" s="147">
        <f>DebtFinancing!BD$17</f>
        <v>0</v>
      </c>
      <c r="BJ86" s="147">
        <f>DebtFinancing!BE$17</f>
        <v>0</v>
      </c>
      <c r="BK86" s="147">
        <f>DebtFinancing!BF$17</f>
        <v>0</v>
      </c>
      <c r="BL86" s="147">
        <f>DebtFinancing!BG$17</f>
        <v>0</v>
      </c>
      <c r="BM86" s="147">
        <f>DebtFinancing!BH$17</f>
        <v>0</v>
      </c>
      <c r="BN86" s="147">
        <f>DebtFinancing!BI$17</f>
        <v>0</v>
      </c>
      <c r="BO86" s="147">
        <f>DebtFinancing!BJ$17</f>
        <v>0</v>
      </c>
      <c r="BP86" s="147">
        <f>DebtFinancing!BK$17</f>
        <v>0</v>
      </c>
      <c r="BQ86" s="147">
        <f>DebtFinancing!BL$17</f>
        <v>0</v>
      </c>
      <c r="BR86" s="147">
        <f>DebtFinancing!BM$17</f>
        <v>0</v>
      </c>
      <c r="BS86" s="147">
        <f>DebtFinancing!BN$17</f>
        <v>0</v>
      </c>
      <c r="BT86" s="147">
        <f>DebtFinancing!BO$17</f>
        <v>0</v>
      </c>
      <c r="BU86" s="147">
        <f>DebtFinancing!BP$17</f>
        <v>0</v>
      </c>
      <c r="BV86" s="147">
        <f>DebtFinancing!BQ$17</f>
        <v>0</v>
      </c>
      <c r="BW86" s="147">
        <f>DebtFinancing!BR$17</f>
        <v>0</v>
      </c>
    </row>
    <row r="87" spans="1:75" s="147" customFormat="1" ht="13.2" x14ac:dyDescent="0.25">
      <c r="A87" s="211"/>
      <c r="B87" s="147" t="s">
        <v>377</v>
      </c>
      <c r="D87" s="231" t="str">
        <f>unit</f>
        <v>£</v>
      </c>
      <c r="E87" s="147">
        <f>KeyInputs!E135</f>
        <v>0</v>
      </c>
      <c r="F87" s="147">
        <f>KeyInputs!F135</f>
        <v>0</v>
      </c>
      <c r="G87" s="147">
        <f>KeyInputs!G135</f>
        <v>0</v>
      </c>
      <c r="H87" s="147">
        <f>'Outputs - BalanceSheet'!E36</f>
        <v>0</v>
      </c>
      <c r="I87" s="147">
        <f>'Outputs - BalanceSheet'!F36</f>
        <v>0</v>
      </c>
      <c r="J87" s="147">
        <f>'Outputs - BalanceSheet'!G36</f>
        <v>0</v>
      </c>
      <c r="K87" s="147">
        <f>'Outputs - BalanceSheet'!H36</f>
        <v>0</v>
      </c>
      <c r="L87" s="147">
        <f>'Outputs - BalanceSheet'!I36</f>
        <v>0</v>
      </c>
    </row>
    <row r="88" spans="1:75" s="147" customFormat="1" ht="13.2" x14ac:dyDescent="0.25">
      <c r="A88" s="211"/>
      <c r="B88" s="147" t="s">
        <v>268</v>
      </c>
      <c r="D88" s="231" t="str">
        <f t="shared" si="56"/>
        <v>£</v>
      </c>
      <c r="E88" s="147">
        <f>KeyInputs!E136</f>
        <v>0</v>
      </c>
      <c r="F88" s="147">
        <f>KeyInputs!F136</f>
        <v>0</v>
      </c>
      <c r="G88" s="147">
        <f>KeyInputs!G136</f>
        <v>0</v>
      </c>
      <c r="H88" s="147">
        <f ca="1">'Outputs - BalanceSheet'!E37</f>
        <v>0</v>
      </c>
      <c r="I88" s="147">
        <f ca="1">'Outputs - BalanceSheet'!F37</f>
        <v>0</v>
      </c>
      <c r="J88" s="147">
        <f ca="1">'Outputs - BalanceSheet'!G37</f>
        <v>0</v>
      </c>
      <c r="K88" s="147">
        <f ca="1">'Outputs - BalanceSheet'!H37</f>
        <v>0</v>
      </c>
      <c r="L88" s="147">
        <f ca="1">'Outputs - BalanceSheet'!I37</f>
        <v>0</v>
      </c>
      <c r="X88" s="147">
        <f ca="1">TAX!S$44</f>
        <v>0</v>
      </c>
      <c r="Y88" s="147">
        <f ca="1">TAX!T$44</f>
        <v>0</v>
      </c>
      <c r="Z88" s="147">
        <f ca="1">TAX!U$44</f>
        <v>0</v>
      </c>
      <c r="AA88" s="147">
        <f ca="1">TAX!V$44</f>
        <v>0</v>
      </c>
      <c r="AB88" s="147">
        <f ca="1">TAX!W$44</f>
        <v>0</v>
      </c>
      <c r="AC88" s="147">
        <f ca="1">TAX!X$44</f>
        <v>0</v>
      </c>
      <c r="AD88" s="147">
        <f ca="1">TAX!Y$44</f>
        <v>0</v>
      </c>
      <c r="AE88" s="147">
        <f ca="1">TAX!Z$44</f>
        <v>0</v>
      </c>
      <c r="AF88" s="147">
        <f ca="1">TAX!AA$44</f>
        <v>0</v>
      </c>
      <c r="AG88" s="147">
        <f ca="1">TAX!AB$44</f>
        <v>0</v>
      </c>
      <c r="AH88" s="147">
        <f ca="1">TAX!AC$44</f>
        <v>0</v>
      </c>
      <c r="AI88" s="147">
        <f ca="1">TAX!AD$44</f>
        <v>0</v>
      </c>
      <c r="AJ88" s="147">
        <f ca="1">TAX!AE$44</f>
        <v>0</v>
      </c>
      <c r="AK88" s="147">
        <f ca="1">TAX!AF$44</f>
        <v>0</v>
      </c>
      <c r="AL88" s="147">
        <f ca="1">TAX!AG$44</f>
        <v>0</v>
      </c>
      <c r="AM88" s="147">
        <f ca="1">TAX!AH$44</f>
        <v>0</v>
      </c>
      <c r="AN88" s="147">
        <f ca="1">TAX!AI$44</f>
        <v>0</v>
      </c>
      <c r="AO88" s="147">
        <f ca="1">TAX!AJ$44</f>
        <v>0</v>
      </c>
      <c r="AP88" s="147">
        <f ca="1">TAX!AK$44</f>
        <v>0</v>
      </c>
      <c r="AQ88" s="147">
        <f ca="1">TAX!AL$44</f>
        <v>0</v>
      </c>
      <c r="AR88" s="147">
        <f ca="1">TAX!AM$44</f>
        <v>0</v>
      </c>
      <c r="AS88" s="147">
        <f ca="1">TAX!AN$44</f>
        <v>0</v>
      </c>
      <c r="AT88" s="147">
        <f ca="1">TAX!AO$44</f>
        <v>0</v>
      </c>
      <c r="AU88" s="147">
        <f ca="1">TAX!AP$44</f>
        <v>0</v>
      </c>
      <c r="AV88" s="147">
        <f ca="1">TAX!AQ$44</f>
        <v>0</v>
      </c>
      <c r="AW88" s="147">
        <f ca="1">TAX!AR$44</f>
        <v>0</v>
      </c>
      <c r="AX88" s="147">
        <f ca="1">TAX!AS$44</f>
        <v>0</v>
      </c>
      <c r="AY88" s="147">
        <f ca="1">TAX!AT$44</f>
        <v>0</v>
      </c>
      <c r="AZ88" s="147">
        <f ca="1">TAX!AU$44</f>
        <v>0</v>
      </c>
      <c r="BA88" s="147">
        <f ca="1">TAX!AV$44</f>
        <v>0</v>
      </c>
      <c r="BB88" s="147">
        <f ca="1">TAX!AW$44</f>
        <v>0</v>
      </c>
      <c r="BC88" s="147">
        <f ca="1">TAX!AX$44</f>
        <v>0</v>
      </c>
      <c r="BD88" s="147">
        <f ca="1">TAX!AY$44</f>
        <v>0</v>
      </c>
      <c r="BE88" s="147">
        <f ca="1">TAX!AZ$44</f>
        <v>0</v>
      </c>
      <c r="BF88" s="147">
        <f ca="1">TAX!BA$44</f>
        <v>0</v>
      </c>
      <c r="BG88" s="147">
        <f ca="1">TAX!BB$44</f>
        <v>0</v>
      </c>
      <c r="BH88" s="147">
        <f ca="1">TAX!BC$44</f>
        <v>0</v>
      </c>
      <c r="BI88" s="147">
        <f ca="1">TAX!BD$44</f>
        <v>0</v>
      </c>
      <c r="BJ88" s="147">
        <f ca="1">TAX!BE$44</f>
        <v>0</v>
      </c>
      <c r="BK88" s="147">
        <f ca="1">TAX!BF$44</f>
        <v>0</v>
      </c>
      <c r="BL88" s="147">
        <f ca="1">TAX!BG$44</f>
        <v>0</v>
      </c>
      <c r="BM88" s="147">
        <f ca="1">TAX!BH$44</f>
        <v>0</v>
      </c>
      <c r="BN88" s="147">
        <f ca="1">TAX!BI$44</f>
        <v>0</v>
      </c>
      <c r="BO88" s="147">
        <f ca="1">TAX!BJ$44</f>
        <v>0</v>
      </c>
      <c r="BP88" s="147">
        <f ca="1">TAX!BK$44</f>
        <v>0</v>
      </c>
      <c r="BQ88" s="147">
        <f ca="1">TAX!BL$44</f>
        <v>0</v>
      </c>
      <c r="BR88" s="147">
        <f ca="1">TAX!BM$44</f>
        <v>0</v>
      </c>
      <c r="BS88" s="147">
        <f ca="1">TAX!BN$44</f>
        <v>0</v>
      </c>
      <c r="BT88" s="147">
        <f ca="1">TAX!BO$44</f>
        <v>0</v>
      </c>
      <c r="BU88" s="147">
        <f ca="1">TAX!BP$44</f>
        <v>0</v>
      </c>
      <c r="BV88" s="147">
        <f ca="1">TAX!BQ$44</f>
        <v>0</v>
      </c>
      <c r="BW88" s="147">
        <f ca="1">TAX!BR$44</f>
        <v>0</v>
      </c>
    </row>
    <row r="89" spans="1:75" s="147" customFormat="1" ht="13.2" x14ac:dyDescent="0.25">
      <c r="A89" s="211"/>
      <c r="I89" s="212"/>
    </row>
    <row r="90" spans="1:75" s="211" customFormat="1" thickBot="1" x14ac:dyDescent="0.3">
      <c r="B90" s="211" t="s">
        <v>288</v>
      </c>
      <c r="D90" s="248" t="str">
        <f>unit</f>
        <v>£</v>
      </c>
      <c r="E90" s="234">
        <f t="shared" ref="E90:L90" si="57">SUM(E62,E69,E74,E79,E82:E88)</f>
        <v>0</v>
      </c>
      <c r="F90" s="234">
        <f t="shared" si="57"/>
        <v>0</v>
      </c>
      <c r="G90" s="234">
        <f t="shared" si="57"/>
        <v>0</v>
      </c>
      <c r="H90" s="234">
        <f t="shared" ca="1" si="57"/>
        <v>0</v>
      </c>
      <c r="I90" s="234">
        <f t="shared" ca="1" si="57"/>
        <v>0</v>
      </c>
      <c r="J90" s="234">
        <f t="shared" ca="1" si="57"/>
        <v>0</v>
      </c>
      <c r="K90" s="234">
        <f t="shared" ca="1" si="57"/>
        <v>0</v>
      </c>
      <c r="L90" s="234">
        <f t="shared" ca="1" si="57"/>
        <v>0</v>
      </c>
      <c r="N90" s="275"/>
      <c r="O90" s="275"/>
      <c r="P90" s="275"/>
      <c r="Q90" s="275"/>
      <c r="R90" s="275"/>
      <c r="S90" s="275"/>
      <c r="T90" s="275"/>
      <c r="U90" s="275"/>
      <c r="V90" s="275"/>
      <c r="W90" s="275"/>
      <c r="X90" s="234">
        <f t="shared" ref="X90:BC90" ca="1" si="58">SUM(X62,X69,X74,X79,X82:X88)</f>
        <v>0</v>
      </c>
      <c r="Y90" s="234">
        <f t="shared" ca="1" si="58"/>
        <v>0</v>
      </c>
      <c r="Z90" s="234">
        <f t="shared" ca="1" si="58"/>
        <v>0</v>
      </c>
      <c r="AA90" s="234">
        <f t="shared" ca="1" si="58"/>
        <v>0</v>
      </c>
      <c r="AB90" s="234">
        <f t="shared" ca="1" si="58"/>
        <v>0</v>
      </c>
      <c r="AC90" s="234">
        <f t="shared" ca="1" si="58"/>
        <v>0</v>
      </c>
      <c r="AD90" s="234">
        <f t="shared" ca="1" si="58"/>
        <v>0</v>
      </c>
      <c r="AE90" s="234">
        <f t="shared" ca="1" si="58"/>
        <v>0</v>
      </c>
      <c r="AF90" s="234">
        <f t="shared" ca="1" si="58"/>
        <v>0</v>
      </c>
      <c r="AG90" s="234">
        <f t="shared" ca="1" si="58"/>
        <v>0</v>
      </c>
      <c r="AH90" s="234">
        <f t="shared" ca="1" si="58"/>
        <v>0</v>
      </c>
      <c r="AI90" s="234">
        <f t="shared" ca="1" si="58"/>
        <v>0</v>
      </c>
      <c r="AJ90" s="234">
        <f t="shared" ca="1" si="58"/>
        <v>0</v>
      </c>
      <c r="AK90" s="234">
        <f t="shared" ca="1" si="58"/>
        <v>0</v>
      </c>
      <c r="AL90" s="234">
        <f t="shared" ca="1" si="58"/>
        <v>0</v>
      </c>
      <c r="AM90" s="234">
        <f t="shared" ca="1" si="58"/>
        <v>0</v>
      </c>
      <c r="AN90" s="234">
        <f t="shared" ca="1" si="58"/>
        <v>0</v>
      </c>
      <c r="AO90" s="234">
        <f t="shared" ca="1" si="58"/>
        <v>0</v>
      </c>
      <c r="AP90" s="234">
        <f t="shared" ca="1" si="58"/>
        <v>0</v>
      </c>
      <c r="AQ90" s="234">
        <f t="shared" ca="1" si="58"/>
        <v>0</v>
      </c>
      <c r="AR90" s="234">
        <f t="shared" ca="1" si="58"/>
        <v>0</v>
      </c>
      <c r="AS90" s="234">
        <f t="shared" ca="1" si="58"/>
        <v>0</v>
      </c>
      <c r="AT90" s="234">
        <f t="shared" ca="1" si="58"/>
        <v>0</v>
      </c>
      <c r="AU90" s="234">
        <f t="shared" ca="1" si="58"/>
        <v>0</v>
      </c>
      <c r="AV90" s="234">
        <f t="shared" ca="1" si="58"/>
        <v>0</v>
      </c>
      <c r="AW90" s="234">
        <f t="shared" ca="1" si="58"/>
        <v>0</v>
      </c>
      <c r="AX90" s="234">
        <f t="shared" ca="1" si="58"/>
        <v>0</v>
      </c>
      <c r="AY90" s="234">
        <f t="shared" ca="1" si="58"/>
        <v>0</v>
      </c>
      <c r="AZ90" s="234">
        <f t="shared" ca="1" si="58"/>
        <v>0</v>
      </c>
      <c r="BA90" s="234">
        <f t="shared" ca="1" si="58"/>
        <v>0</v>
      </c>
      <c r="BB90" s="234">
        <f t="shared" ca="1" si="58"/>
        <v>0</v>
      </c>
      <c r="BC90" s="234">
        <f t="shared" ca="1" si="58"/>
        <v>0</v>
      </c>
      <c r="BD90" s="234">
        <f t="shared" ref="BD90:BW90" ca="1" si="59">SUM(BD62,BD69,BD74,BD79,BD82:BD88)</f>
        <v>0</v>
      </c>
      <c r="BE90" s="234">
        <f t="shared" ca="1" si="59"/>
        <v>0</v>
      </c>
      <c r="BF90" s="234">
        <f t="shared" ca="1" si="59"/>
        <v>0</v>
      </c>
      <c r="BG90" s="234">
        <f t="shared" ca="1" si="59"/>
        <v>0</v>
      </c>
      <c r="BH90" s="234">
        <f t="shared" ca="1" si="59"/>
        <v>0</v>
      </c>
      <c r="BI90" s="234">
        <f t="shared" ca="1" si="59"/>
        <v>0</v>
      </c>
      <c r="BJ90" s="234">
        <f t="shared" ca="1" si="59"/>
        <v>0</v>
      </c>
      <c r="BK90" s="234">
        <f t="shared" ca="1" si="59"/>
        <v>0</v>
      </c>
      <c r="BL90" s="234">
        <f t="shared" ca="1" si="59"/>
        <v>0</v>
      </c>
      <c r="BM90" s="234">
        <f t="shared" ca="1" si="59"/>
        <v>0</v>
      </c>
      <c r="BN90" s="234">
        <f t="shared" ca="1" si="59"/>
        <v>0</v>
      </c>
      <c r="BO90" s="234">
        <f t="shared" ca="1" si="59"/>
        <v>0</v>
      </c>
      <c r="BP90" s="234">
        <f t="shared" ca="1" si="59"/>
        <v>0</v>
      </c>
      <c r="BQ90" s="234">
        <f t="shared" ca="1" si="59"/>
        <v>0</v>
      </c>
      <c r="BR90" s="234">
        <f t="shared" ca="1" si="59"/>
        <v>0</v>
      </c>
      <c r="BS90" s="234">
        <f t="shared" ca="1" si="59"/>
        <v>0</v>
      </c>
      <c r="BT90" s="234">
        <f t="shared" ca="1" si="59"/>
        <v>0</v>
      </c>
      <c r="BU90" s="234">
        <f t="shared" ca="1" si="59"/>
        <v>0</v>
      </c>
      <c r="BV90" s="234">
        <f t="shared" ca="1" si="59"/>
        <v>0</v>
      </c>
      <c r="BW90" s="234">
        <f t="shared" ca="1" si="59"/>
        <v>0</v>
      </c>
    </row>
    <row r="91" spans="1:75" s="147" customFormat="1" thickTop="1" x14ac:dyDescent="0.25">
      <c r="A91" s="211"/>
      <c r="I91" s="212"/>
    </row>
    <row r="92" spans="1:75" s="147" customFormat="1" ht="13.2" x14ac:dyDescent="0.25">
      <c r="A92" s="211"/>
      <c r="B92" s="147" t="s">
        <v>289</v>
      </c>
      <c r="D92" s="231" t="str">
        <f>unit</f>
        <v>£</v>
      </c>
      <c r="E92" s="147">
        <f>KeyInputs!E140</f>
        <v>0</v>
      </c>
      <c r="F92" s="147">
        <f>KeyInputs!F140</f>
        <v>0</v>
      </c>
      <c r="G92" s="147">
        <f>KeyInputs!G140</f>
        <v>0</v>
      </c>
      <c r="H92" s="147">
        <f>'Outputs - BalanceSheet'!E41</f>
        <v>0</v>
      </c>
      <c r="I92" s="147">
        <f>'Outputs - BalanceSheet'!F41</f>
        <v>0</v>
      </c>
      <c r="J92" s="147">
        <f>'Outputs - BalanceSheet'!G41</f>
        <v>0</v>
      </c>
      <c r="K92" s="147">
        <f>'Outputs - BalanceSheet'!H41</f>
        <v>0</v>
      </c>
      <c r="L92" s="147">
        <f>'Outputs - BalanceSheet'!I41</f>
        <v>0</v>
      </c>
      <c r="X92" s="147">
        <f t="shared" ref="X92:BW92" si="60">W92</f>
        <v>0</v>
      </c>
      <c r="Y92" s="147">
        <f t="shared" si="60"/>
        <v>0</v>
      </c>
      <c r="Z92" s="147">
        <f t="shared" si="60"/>
        <v>0</v>
      </c>
      <c r="AA92" s="147">
        <f t="shared" si="60"/>
        <v>0</v>
      </c>
      <c r="AB92" s="147">
        <f t="shared" si="60"/>
        <v>0</v>
      </c>
      <c r="AC92" s="147">
        <f t="shared" si="60"/>
        <v>0</v>
      </c>
      <c r="AD92" s="147">
        <f t="shared" si="60"/>
        <v>0</v>
      </c>
      <c r="AE92" s="147">
        <f t="shared" si="60"/>
        <v>0</v>
      </c>
      <c r="AF92" s="147">
        <f t="shared" si="60"/>
        <v>0</v>
      </c>
      <c r="AG92" s="147">
        <f t="shared" si="60"/>
        <v>0</v>
      </c>
      <c r="AH92" s="147">
        <f t="shared" si="60"/>
        <v>0</v>
      </c>
      <c r="AI92" s="147">
        <f t="shared" si="60"/>
        <v>0</v>
      </c>
      <c r="AJ92" s="147">
        <f t="shared" si="60"/>
        <v>0</v>
      </c>
      <c r="AK92" s="147">
        <f t="shared" si="60"/>
        <v>0</v>
      </c>
      <c r="AL92" s="147">
        <f t="shared" si="60"/>
        <v>0</v>
      </c>
      <c r="AM92" s="147">
        <f t="shared" si="60"/>
        <v>0</v>
      </c>
      <c r="AN92" s="147">
        <f t="shared" si="60"/>
        <v>0</v>
      </c>
      <c r="AO92" s="147">
        <f t="shared" si="60"/>
        <v>0</v>
      </c>
      <c r="AP92" s="147">
        <f t="shared" si="60"/>
        <v>0</v>
      </c>
      <c r="AQ92" s="147">
        <f t="shared" si="60"/>
        <v>0</v>
      </c>
      <c r="AR92" s="147">
        <f t="shared" si="60"/>
        <v>0</v>
      </c>
      <c r="AS92" s="147">
        <f t="shared" si="60"/>
        <v>0</v>
      </c>
      <c r="AT92" s="147">
        <f t="shared" si="60"/>
        <v>0</v>
      </c>
      <c r="AU92" s="147">
        <f t="shared" si="60"/>
        <v>0</v>
      </c>
      <c r="AV92" s="147">
        <f t="shared" si="60"/>
        <v>0</v>
      </c>
      <c r="AW92" s="147">
        <f t="shared" si="60"/>
        <v>0</v>
      </c>
      <c r="AX92" s="147">
        <f t="shared" si="60"/>
        <v>0</v>
      </c>
      <c r="AY92" s="147">
        <f t="shared" si="60"/>
        <v>0</v>
      </c>
      <c r="AZ92" s="147">
        <f t="shared" si="60"/>
        <v>0</v>
      </c>
      <c r="BA92" s="147">
        <f t="shared" si="60"/>
        <v>0</v>
      </c>
      <c r="BB92" s="147">
        <f t="shared" si="60"/>
        <v>0</v>
      </c>
      <c r="BC92" s="147">
        <f t="shared" si="60"/>
        <v>0</v>
      </c>
      <c r="BD92" s="147">
        <f t="shared" si="60"/>
        <v>0</v>
      </c>
      <c r="BE92" s="147">
        <f t="shared" si="60"/>
        <v>0</v>
      </c>
      <c r="BF92" s="147">
        <f t="shared" si="60"/>
        <v>0</v>
      </c>
      <c r="BG92" s="147">
        <f t="shared" si="60"/>
        <v>0</v>
      </c>
      <c r="BH92" s="147">
        <f t="shared" si="60"/>
        <v>0</v>
      </c>
      <c r="BI92" s="147">
        <f t="shared" si="60"/>
        <v>0</v>
      </c>
      <c r="BJ92" s="147">
        <f t="shared" si="60"/>
        <v>0</v>
      </c>
      <c r="BK92" s="147">
        <f t="shared" si="60"/>
        <v>0</v>
      </c>
      <c r="BL92" s="147">
        <f t="shared" si="60"/>
        <v>0</v>
      </c>
      <c r="BM92" s="147">
        <f t="shared" si="60"/>
        <v>0</v>
      </c>
      <c r="BN92" s="147">
        <f t="shared" si="60"/>
        <v>0</v>
      </c>
      <c r="BO92" s="147">
        <f t="shared" si="60"/>
        <v>0</v>
      </c>
      <c r="BP92" s="147">
        <f t="shared" si="60"/>
        <v>0</v>
      </c>
      <c r="BQ92" s="147">
        <f t="shared" si="60"/>
        <v>0</v>
      </c>
      <c r="BR92" s="147">
        <f t="shared" si="60"/>
        <v>0</v>
      </c>
      <c r="BS92" s="147">
        <f t="shared" si="60"/>
        <v>0</v>
      </c>
      <c r="BT92" s="147">
        <f t="shared" si="60"/>
        <v>0</v>
      </c>
      <c r="BU92" s="147">
        <f t="shared" si="60"/>
        <v>0</v>
      </c>
      <c r="BV92" s="147">
        <f t="shared" si="60"/>
        <v>0</v>
      </c>
      <c r="BW92" s="147">
        <f t="shared" si="60"/>
        <v>0</v>
      </c>
    </row>
    <row r="93" spans="1:75" s="147" customFormat="1" ht="13.2" x14ac:dyDescent="0.25">
      <c r="A93" s="211"/>
      <c r="B93" s="147" t="s">
        <v>290</v>
      </c>
      <c r="D93" s="231" t="str">
        <f>unit</f>
        <v>£</v>
      </c>
      <c r="E93" s="147">
        <f>KeyInputs!E141</f>
        <v>0</v>
      </c>
      <c r="F93" s="147">
        <f>KeyInputs!F141</f>
        <v>0</v>
      </c>
      <c r="G93" s="147">
        <f>KeyInputs!G141</f>
        <v>0</v>
      </c>
      <c r="H93" s="147">
        <f ca="1">'Outputs - BalanceSheet'!E42</f>
        <v>0</v>
      </c>
      <c r="I93" s="147">
        <f ca="1">'Outputs - BalanceSheet'!F42</f>
        <v>0</v>
      </c>
      <c r="J93" s="147">
        <f ca="1">'Outputs - BalanceSheet'!G42</f>
        <v>0</v>
      </c>
      <c r="K93" s="147">
        <f ca="1">'Outputs - BalanceSheet'!H42</f>
        <v>0</v>
      </c>
      <c r="L93" s="147">
        <f ca="1">'Outputs - BalanceSheet'!I42</f>
        <v>0</v>
      </c>
      <c r="M93" s="224"/>
      <c r="X93" s="147">
        <f>'Outputs - P&amp;L'!S84</f>
        <v>0</v>
      </c>
      <c r="Y93" s="147">
        <f>'Outputs - P&amp;L'!T84</f>
        <v>0</v>
      </c>
      <c r="Z93" s="147">
        <f>'Outputs - P&amp;L'!U84</f>
        <v>0</v>
      </c>
      <c r="AA93" s="147">
        <f>'Outputs - P&amp;L'!V84</f>
        <v>0</v>
      </c>
      <c r="AB93" s="147">
        <f>'Outputs - P&amp;L'!W84</f>
        <v>0</v>
      </c>
      <c r="AC93" s="147">
        <f>'Outputs - P&amp;L'!X84</f>
        <v>0</v>
      </c>
      <c r="AD93" s="147">
        <f>'Outputs - P&amp;L'!Y84</f>
        <v>0</v>
      </c>
      <c r="AE93" s="147">
        <f>'Outputs - P&amp;L'!Z84</f>
        <v>0</v>
      </c>
      <c r="AF93" s="147">
        <f>'Outputs - P&amp;L'!AA84</f>
        <v>0</v>
      </c>
      <c r="AG93" s="147">
        <f>'Outputs - P&amp;L'!AB84</f>
        <v>0</v>
      </c>
      <c r="AH93" s="147">
        <f>'Outputs - P&amp;L'!AC84</f>
        <v>0</v>
      </c>
      <c r="AI93" s="147">
        <f>'Outputs - P&amp;L'!AD84</f>
        <v>0</v>
      </c>
      <c r="AJ93" s="147">
        <f>'Outputs - P&amp;L'!AE84</f>
        <v>0</v>
      </c>
      <c r="AK93" s="147">
        <f>'Outputs - P&amp;L'!AF84</f>
        <v>0</v>
      </c>
      <c r="AL93" s="147">
        <f>'Outputs - P&amp;L'!AG84</f>
        <v>0</v>
      </c>
      <c r="AM93" s="147">
        <f>'Outputs - P&amp;L'!AH84</f>
        <v>0</v>
      </c>
      <c r="AN93" s="147">
        <f>'Outputs - P&amp;L'!AI84</f>
        <v>0</v>
      </c>
      <c r="AO93" s="147">
        <f>'Outputs - P&amp;L'!AJ84</f>
        <v>0</v>
      </c>
      <c r="AP93" s="147">
        <f>'Outputs - P&amp;L'!AK84</f>
        <v>0</v>
      </c>
      <c r="AQ93" s="147">
        <f>'Outputs - P&amp;L'!AL84</f>
        <v>0</v>
      </c>
      <c r="AR93" s="147">
        <f>'Outputs - P&amp;L'!AM84</f>
        <v>0</v>
      </c>
      <c r="AS93" s="147">
        <f>'Outputs - P&amp;L'!AN84</f>
        <v>0</v>
      </c>
      <c r="AT93" s="147">
        <f>'Outputs - P&amp;L'!AO84</f>
        <v>0</v>
      </c>
      <c r="AU93" s="147">
        <f>'Outputs - P&amp;L'!AP84</f>
        <v>0</v>
      </c>
      <c r="AV93" s="147">
        <f>'Outputs - P&amp;L'!AQ84</f>
        <v>0</v>
      </c>
      <c r="AW93" s="147">
        <f>'Outputs - P&amp;L'!AR84</f>
        <v>0</v>
      </c>
      <c r="AX93" s="147">
        <f>'Outputs - P&amp;L'!AS84</f>
        <v>0</v>
      </c>
      <c r="AY93" s="147">
        <f>'Outputs - P&amp;L'!AT84</f>
        <v>0</v>
      </c>
      <c r="AZ93" s="147">
        <f>'Outputs - P&amp;L'!AU84</f>
        <v>0</v>
      </c>
      <c r="BA93" s="147">
        <f>'Outputs - P&amp;L'!AV84</f>
        <v>0</v>
      </c>
      <c r="BB93" s="147">
        <f>'Outputs - P&amp;L'!AW84</f>
        <v>0</v>
      </c>
      <c r="BC93" s="147">
        <f>'Outputs - P&amp;L'!AX84</f>
        <v>0</v>
      </c>
      <c r="BD93" s="147">
        <f>'Outputs - P&amp;L'!AY84</f>
        <v>0</v>
      </c>
      <c r="BE93" s="147">
        <f>'Outputs - P&amp;L'!AZ84</f>
        <v>0</v>
      </c>
      <c r="BF93" s="147">
        <f>'Outputs - P&amp;L'!BA84</f>
        <v>0</v>
      </c>
      <c r="BG93" s="147">
        <f>'Outputs - P&amp;L'!BB84</f>
        <v>0</v>
      </c>
      <c r="BH93" s="147">
        <f>'Outputs - P&amp;L'!BC84</f>
        <v>0</v>
      </c>
      <c r="BI93" s="147">
        <f>'Outputs - P&amp;L'!BD84</f>
        <v>0</v>
      </c>
      <c r="BJ93" s="147">
        <f>'Outputs - P&amp;L'!BE84</f>
        <v>0</v>
      </c>
      <c r="BK93" s="147">
        <f>'Outputs - P&amp;L'!BF84</f>
        <v>0</v>
      </c>
      <c r="BL93" s="147">
        <f>'Outputs - P&amp;L'!BG84</f>
        <v>0</v>
      </c>
      <c r="BM93" s="147">
        <f>'Outputs - P&amp;L'!BH84</f>
        <v>0</v>
      </c>
      <c r="BN93" s="147">
        <f>'Outputs - P&amp;L'!BI84</f>
        <v>0</v>
      </c>
      <c r="BO93" s="147">
        <f>'Outputs - P&amp;L'!BJ84</f>
        <v>0</v>
      </c>
      <c r="BP93" s="147">
        <f>'Outputs - P&amp;L'!BK84</f>
        <v>0</v>
      </c>
      <c r="BQ93" s="147">
        <f>'Outputs - P&amp;L'!BL84</f>
        <v>0</v>
      </c>
      <c r="BR93" s="147">
        <f>'Outputs - P&amp;L'!BM84</f>
        <v>0</v>
      </c>
      <c r="BS93" s="147">
        <f>'Outputs - P&amp;L'!BN84</f>
        <v>0</v>
      </c>
      <c r="BT93" s="147">
        <f>'Outputs - P&amp;L'!BO84</f>
        <v>0</v>
      </c>
      <c r="BU93" s="147">
        <f>'Outputs - P&amp;L'!BP84</f>
        <v>0</v>
      </c>
      <c r="BV93" s="147">
        <f>'Outputs - P&amp;L'!BQ84</f>
        <v>0</v>
      </c>
      <c r="BW93" s="147">
        <f>'Outputs - P&amp;L'!BR84</f>
        <v>0</v>
      </c>
    </row>
    <row r="94" spans="1:75" s="147" customFormat="1" ht="13.2" x14ac:dyDescent="0.25">
      <c r="A94" s="211"/>
      <c r="I94" s="212"/>
    </row>
    <row r="95" spans="1:75" s="211" customFormat="1" thickBot="1" x14ac:dyDescent="0.3">
      <c r="B95" s="211" t="s">
        <v>291</v>
      </c>
      <c r="D95" s="248" t="str">
        <f>unit</f>
        <v>£</v>
      </c>
      <c r="E95" s="234">
        <f>SUM(E92:E94)</f>
        <v>0</v>
      </c>
      <c r="F95" s="234">
        <f>SUM(F92:F94)</f>
        <v>0</v>
      </c>
      <c r="G95" s="234">
        <f t="shared" ref="G95:L95" si="61">SUM(G92:G94)</f>
        <v>0</v>
      </c>
      <c r="H95" s="234">
        <f t="shared" ca="1" si="61"/>
        <v>0</v>
      </c>
      <c r="I95" s="234">
        <f t="shared" ca="1" si="61"/>
        <v>0</v>
      </c>
      <c r="J95" s="234">
        <f t="shared" ca="1" si="61"/>
        <v>0</v>
      </c>
      <c r="K95" s="234">
        <f t="shared" ca="1" si="61"/>
        <v>0</v>
      </c>
      <c r="L95" s="234">
        <f t="shared" ca="1" si="61"/>
        <v>0</v>
      </c>
      <c r="N95" s="275"/>
      <c r="O95" s="275"/>
      <c r="P95" s="275"/>
      <c r="Q95" s="275"/>
      <c r="R95" s="275"/>
      <c r="S95" s="275"/>
      <c r="T95" s="275"/>
      <c r="U95" s="275"/>
      <c r="V95" s="275"/>
      <c r="W95" s="275"/>
      <c r="X95" s="234">
        <f t="shared" ref="X95:BW95" si="62">SUM(X92:X94)</f>
        <v>0</v>
      </c>
      <c r="Y95" s="234">
        <f t="shared" si="62"/>
        <v>0</v>
      </c>
      <c r="Z95" s="234">
        <f t="shared" si="62"/>
        <v>0</v>
      </c>
      <c r="AA95" s="234">
        <f t="shared" si="62"/>
        <v>0</v>
      </c>
      <c r="AB95" s="234">
        <f t="shared" si="62"/>
        <v>0</v>
      </c>
      <c r="AC95" s="234">
        <f t="shared" si="62"/>
        <v>0</v>
      </c>
      <c r="AD95" s="234">
        <f t="shared" si="62"/>
        <v>0</v>
      </c>
      <c r="AE95" s="234">
        <f t="shared" si="62"/>
        <v>0</v>
      </c>
      <c r="AF95" s="234">
        <f t="shared" si="62"/>
        <v>0</v>
      </c>
      <c r="AG95" s="234">
        <f t="shared" si="62"/>
        <v>0</v>
      </c>
      <c r="AH95" s="234">
        <f t="shared" si="62"/>
        <v>0</v>
      </c>
      <c r="AI95" s="234">
        <f t="shared" si="62"/>
        <v>0</v>
      </c>
      <c r="AJ95" s="234">
        <f t="shared" si="62"/>
        <v>0</v>
      </c>
      <c r="AK95" s="234">
        <f t="shared" si="62"/>
        <v>0</v>
      </c>
      <c r="AL95" s="234">
        <f t="shared" si="62"/>
        <v>0</v>
      </c>
      <c r="AM95" s="234">
        <f t="shared" si="62"/>
        <v>0</v>
      </c>
      <c r="AN95" s="234">
        <f t="shared" si="62"/>
        <v>0</v>
      </c>
      <c r="AO95" s="234">
        <f t="shared" si="62"/>
        <v>0</v>
      </c>
      <c r="AP95" s="234">
        <f t="shared" si="62"/>
        <v>0</v>
      </c>
      <c r="AQ95" s="234">
        <f t="shared" si="62"/>
        <v>0</v>
      </c>
      <c r="AR95" s="234">
        <f t="shared" si="62"/>
        <v>0</v>
      </c>
      <c r="AS95" s="234">
        <f t="shared" si="62"/>
        <v>0</v>
      </c>
      <c r="AT95" s="234">
        <f t="shared" si="62"/>
        <v>0</v>
      </c>
      <c r="AU95" s="234">
        <f t="shared" si="62"/>
        <v>0</v>
      </c>
      <c r="AV95" s="234">
        <f t="shared" si="62"/>
        <v>0</v>
      </c>
      <c r="AW95" s="234">
        <f t="shared" si="62"/>
        <v>0</v>
      </c>
      <c r="AX95" s="234">
        <f t="shared" si="62"/>
        <v>0</v>
      </c>
      <c r="AY95" s="234">
        <f t="shared" si="62"/>
        <v>0</v>
      </c>
      <c r="AZ95" s="234">
        <f t="shared" si="62"/>
        <v>0</v>
      </c>
      <c r="BA95" s="234">
        <f t="shared" si="62"/>
        <v>0</v>
      </c>
      <c r="BB95" s="234">
        <f t="shared" si="62"/>
        <v>0</v>
      </c>
      <c r="BC95" s="234">
        <f t="shared" si="62"/>
        <v>0</v>
      </c>
      <c r="BD95" s="234">
        <f t="shared" si="62"/>
        <v>0</v>
      </c>
      <c r="BE95" s="234">
        <f t="shared" si="62"/>
        <v>0</v>
      </c>
      <c r="BF95" s="234">
        <f t="shared" si="62"/>
        <v>0</v>
      </c>
      <c r="BG95" s="234">
        <f t="shared" si="62"/>
        <v>0</v>
      </c>
      <c r="BH95" s="234">
        <f t="shared" si="62"/>
        <v>0</v>
      </c>
      <c r="BI95" s="234">
        <f t="shared" si="62"/>
        <v>0</v>
      </c>
      <c r="BJ95" s="234">
        <f t="shared" si="62"/>
        <v>0</v>
      </c>
      <c r="BK95" s="234">
        <f t="shared" si="62"/>
        <v>0</v>
      </c>
      <c r="BL95" s="234">
        <f t="shared" si="62"/>
        <v>0</v>
      </c>
      <c r="BM95" s="234">
        <f t="shared" si="62"/>
        <v>0</v>
      </c>
      <c r="BN95" s="234">
        <f t="shared" si="62"/>
        <v>0</v>
      </c>
      <c r="BO95" s="234">
        <f t="shared" si="62"/>
        <v>0</v>
      </c>
      <c r="BP95" s="234">
        <f t="shared" si="62"/>
        <v>0</v>
      </c>
      <c r="BQ95" s="234">
        <f t="shared" si="62"/>
        <v>0</v>
      </c>
      <c r="BR95" s="234">
        <f t="shared" si="62"/>
        <v>0</v>
      </c>
      <c r="BS95" s="234">
        <f t="shared" si="62"/>
        <v>0</v>
      </c>
      <c r="BT95" s="234">
        <f t="shared" si="62"/>
        <v>0</v>
      </c>
      <c r="BU95" s="234">
        <f t="shared" si="62"/>
        <v>0</v>
      </c>
      <c r="BV95" s="234">
        <f t="shared" si="62"/>
        <v>0</v>
      </c>
      <c r="BW95" s="234">
        <f t="shared" si="62"/>
        <v>0</v>
      </c>
    </row>
    <row r="96" spans="1:75" s="211" customFormat="1" ht="14.4" thickTop="1" thickBot="1" x14ac:dyDescent="0.3">
      <c r="D96" s="248"/>
      <c r="E96" s="248"/>
      <c r="F96" s="335"/>
      <c r="G96" s="335"/>
      <c r="H96" s="335"/>
      <c r="I96" s="335"/>
      <c r="J96" s="335"/>
      <c r="K96" s="335"/>
      <c r="L96" s="335"/>
      <c r="N96" s="275"/>
      <c r="O96" s="275"/>
      <c r="P96" s="275"/>
      <c r="Q96" s="275"/>
      <c r="R96" s="275"/>
      <c r="S96" s="275"/>
      <c r="T96" s="275"/>
      <c r="U96" s="275"/>
      <c r="V96" s="275"/>
      <c r="W96" s="275"/>
      <c r="X96" s="234"/>
      <c r="Y96" s="234"/>
      <c r="Z96" s="234"/>
      <c r="AA96" s="234"/>
      <c r="AB96" s="234"/>
      <c r="AC96" s="234"/>
      <c r="AD96" s="234"/>
      <c r="AE96" s="234"/>
      <c r="AF96" s="234"/>
      <c r="AG96" s="234"/>
      <c r="AH96" s="234"/>
      <c r="AI96" s="234"/>
      <c r="AJ96" s="234"/>
      <c r="AK96" s="234"/>
      <c r="AL96" s="234"/>
      <c r="AM96" s="234"/>
      <c r="AN96" s="234"/>
      <c r="AO96" s="234"/>
      <c r="AP96" s="234"/>
      <c r="AQ96" s="234"/>
      <c r="AR96" s="234"/>
      <c r="AS96" s="234"/>
      <c r="AT96" s="234"/>
      <c r="AU96" s="234"/>
      <c r="AV96" s="234"/>
      <c r="AW96" s="234"/>
      <c r="AX96" s="234"/>
      <c r="AY96" s="234"/>
      <c r="AZ96" s="234"/>
      <c r="BA96" s="234"/>
      <c r="BB96" s="234"/>
      <c r="BC96" s="234"/>
      <c r="BD96" s="234"/>
      <c r="BE96" s="234"/>
      <c r="BF96" s="234"/>
      <c r="BG96" s="234"/>
      <c r="BH96" s="234"/>
      <c r="BI96" s="234"/>
      <c r="BJ96" s="234"/>
      <c r="BK96" s="234"/>
      <c r="BL96" s="234"/>
      <c r="BM96" s="234"/>
      <c r="BN96" s="234"/>
      <c r="BO96" s="234"/>
      <c r="BP96" s="234"/>
      <c r="BQ96" s="234"/>
      <c r="BR96" s="234"/>
      <c r="BS96" s="234"/>
      <c r="BT96" s="234"/>
      <c r="BU96" s="234"/>
      <c r="BV96" s="234"/>
      <c r="BW96" s="234"/>
    </row>
    <row r="97" spans="1:12" s="166" customFormat="1" ht="16.2" thickTop="1" x14ac:dyDescent="0.3">
      <c r="A97" s="166">
        <f>Header1</f>
        <v>3</v>
      </c>
      <c r="B97" s="166" t="s">
        <v>273</v>
      </c>
      <c r="F97" s="334"/>
      <c r="G97" s="334"/>
      <c r="H97" s="334"/>
      <c r="I97" s="334"/>
      <c r="J97" s="334"/>
      <c r="K97" s="334"/>
      <c r="L97" s="334"/>
    </row>
    <row r="98" spans="1:12" s="147" customFormat="1" ht="13.2" x14ac:dyDescent="0.25">
      <c r="A98" s="211"/>
      <c r="I98" s="212"/>
    </row>
    <row r="99" spans="1:12" s="147" customFormat="1" ht="13.2" x14ac:dyDescent="0.25">
      <c r="A99" s="211"/>
      <c r="B99" s="211" t="s">
        <v>178</v>
      </c>
      <c r="D99" s="231" t="str">
        <f t="shared" ref="D99" si="63">unit</f>
        <v>£</v>
      </c>
      <c r="E99" s="147">
        <f>KeyInputs!E196</f>
        <v>0</v>
      </c>
      <c r="F99" s="147">
        <f>KeyInputs!F196</f>
        <v>0</v>
      </c>
      <c r="G99" s="147">
        <f>KeyInputs!G196</f>
        <v>0</v>
      </c>
      <c r="H99" s="211">
        <f>'Outputs - Cashflow'!E12</f>
        <v>0</v>
      </c>
      <c r="I99" s="211">
        <f>'Outputs - Cashflow'!F12</f>
        <v>0</v>
      </c>
      <c r="J99" s="211">
        <f>'Outputs - Cashflow'!G12</f>
        <v>0</v>
      </c>
      <c r="K99" s="211">
        <f>'Outputs - Cashflow'!H12</f>
        <v>0</v>
      </c>
      <c r="L99" s="211">
        <f>'Outputs - Cashflow'!I12</f>
        <v>0</v>
      </c>
    </row>
    <row r="100" spans="1:12" s="147" customFormat="1" ht="13.2" x14ac:dyDescent="0.25">
      <c r="A100" s="211"/>
      <c r="I100" s="212"/>
    </row>
    <row r="101" spans="1:12" s="147" customFormat="1" ht="13.2" x14ac:dyDescent="0.25">
      <c r="A101" s="211"/>
      <c r="B101" s="147" t="s">
        <v>274</v>
      </c>
      <c r="D101" s="231" t="str">
        <f t="shared" ref="D101:D106" si="64">unit</f>
        <v>£</v>
      </c>
      <c r="E101" s="147">
        <f>KeyInputs!E198</f>
        <v>0</v>
      </c>
      <c r="F101" s="147">
        <f>KeyInputs!F198</f>
        <v>0</v>
      </c>
      <c r="G101" s="147">
        <f>KeyInputs!G198</f>
        <v>0</v>
      </c>
      <c r="H101" s="147">
        <f>'Outputs - Cashflow'!E14</f>
        <v>0</v>
      </c>
      <c r="I101" s="147">
        <f>'Outputs - Cashflow'!F14</f>
        <v>0</v>
      </c>
      <c r="J101" s="147">
        <f>'Outputs - Cashflow'!G14</f>
        <v>0</v>
      </c>
      <c r="K101" s="147">
        <f>'Outputs - Cashflow'!H14</f>
        <v>0</v>
      </c>
      <c r="L101" s="147">
        <f>'Outputs - Cashflow'!I14</f>
        <v>0</v>
      </c>
    </row>
    <row r="102" spans="1:12" s="147" customFormat="1" ht="13.2" x14ac:dyDescent="0.25">
      <c r="A102" s="211"/>
      <c r="B102" s="147" t="s">
        <v>297</v>
      </c>
      <c r="D102" s="231" t="str">
        <f t="shared" si="64"/>
        <v>£</v>
      </c>
      <c r="E102" s="147">
        <f>KeyInputs!E199</f>
        <v>0</v>
      </c>
      <c r="F102" s="147">
        <f>KeyInputs!F199</f>
        <v>0</v>
      </c>
      <c r="G102" s="147">
        <f>KeyInputs!G199</f>
        <v>0</v>
      </c>
      <c r="H102" s="147">
        <f ca="1">'Outputs - Cashflow'!E15</f>
        <v>0</v>
      </c>
      <c r="I102" s="147">
        <f ca="1">'Outputs - Cashflow'!F15</f>
        <v>0</v>
      </c>
      <c r="J102" s="147">
        <f ca="1">'Outputs - Cashflow'!G15</f>
        <v>0</v>
      </c>
      <c r="K102" s="147">
        <f ca="1">'Outputs - Cashflow'!H15</f>
        <v>0</v>
      </c>
      <c r="L102" s="147">
        <f ca="1">'Outputs - Cashflow'!I15</f>
        <v>0</v>
      </c>
    </row>
    <row r="103" spans="1:12" s="147" customFormat="1" ht="13.2" x14ac:dyDescent="0.25">
      <c r="A103" s="211"/>
      <c r="B103" s="147" t="s">
        <v>275</v>
      </c>
      <c r="D103" s="231" t="str">
        <f t="shared" si="64"/>
        <v>£</v>
      </c>
      <c r="E103" s="147">
        <f>KeyInputs!E200</f>
        <v>0</v>
      </c>
      <c r="F103" s="147">
        <f>KeyInputs!F200</f>
        <v>0</v>
      </c>
      <c r="G103" s="147">
        <f>KeyInputs!G200</f>
        <v>0</v>
      </c>
      <c r="H103" s="147">
        <f ca="1">'Outputs - Cashflow'!E16</f>
        <v>0</v>
      </c>
      <c r="I103" s="147">
        <f ca="1">'Outputs - Cashflow'!F16</f>
        <v>0</v>
      </c>
      <c r="J103" s="147">
        <f ca="1">'Outputs - Cashflow'!G16</f>
        <v>0</v>
      </c>
      <c r="K103" s="147">
        <f ca="1">'Outputs - Cashflow'!H16</f>
        <v>0</v>
      </c>
      <c r="L103" s="147">
        <f ca="1">'Outputs - Cashflow'!I16</f>
        <v>0</v>
      </c>
    </row>
    <row r="104" spans="1:12" s="147" customFormat="1" ht="13.2" x14ac:dyDescent="0.25">
      <c r="A104" s="211"/>
      <c r="B104" s="147" t="s">
        <v>298</v>
      </c>
      <c r="D104" s="231" t="str">
        <f t="shared" si="64"/>
        <v>£</v>
      </c>
      <c r="E104" s="147">
        <f>KeyInputs!E201</f>
        <v>0</v>
      </c>
      <c r="F104" s="147">
        <f>KeyInputs!F201</f>
        <v>0</v>
      </c>
      <c r="G104" s="147">
        <f>KeyInputs!G201</f>
        <v>0</v>
      </c>
      <c r="H104" s="147">
        <f ca="1">'Outputs - Cashflow'!E17</f>
        <v>0</v>
      </c>
      <c r="I104" s="147">
        <f ca="1">'Outputs - Cashflow'!F17</f>
        <v>0</v>
      </c>
      <c r="J104" s="147">
        <f ca="1">'Outputs - Cashflow'!G17</f>
        <v>0</v>
      </c>
      <c r="K104" s="147">
        <f ca="1">'Outputs - Cashflow'!H17</f>
        <v>0</v>
      </c>
      <c r="L104" s="147">
        <f ca="1">'Outputs - Cashflow'!I17</f>
        <v>0</v>
      </c>
    </row>
    <row r="105" spans="1:12" s="147" customFormat="1" ht="13.2" x14ac:dyDescent="0.25">
      <c r="A105" s="211"/>
      <c r="B105" s="147" t="s">
        <v>421</v>
      </c>
      <c r="D105" s="231" t="str">
        <f t="shared" si="64"/>
        <v>£</v>
      </c>
      <c r="E105" s="147">
        <f>KeyInputs!E202</f>
        <v>0</v>
      </c>
      <c r="F105" s="147">
        <f>KeyInputs!F202</f>
        <v>0</v>
      </c>
      <c r="G105" s="147">
        <f>KeyInputs!G202</f>
        <v>0</v>
      </c>
      <c r="H105" s="147">
        <f>'Outputs - Cashflow'!E18</f>
        <v>0</v>
      </c>
      <c r="I105" s="147">
        <f>'Outputs - Cashflow'!F18</f>
        <v>0</v>
      </c>
      <c r="J105" s="147">
        <f>'Outputs - Cashflow'!G18</f>
        <v>0</v>
      </c>
      <c r="K105" s="147">
        <f>'Outputs - Cashflow'!H18</f>
        <v>0</v>
      </c>
      <c r="L105" s="147">
        <f>'Outputs - Cashflow'!I18</f>
        <v>0</v>
      </c>
    </row>
    <row r="106" spans="1:12" s="147" customFormat="1" ht="13.2" x14ac:dyDescent="0.25">
      <c r="A106" s="211"/>
      <c r="B106" s="211" t="s">
        <v>276</v>
      </c>
      <c r="D106" s="231" t="str">
        <f t="shared" si="64"/>
        <v>£</v>
      </c>
      <c r="E106" s="211">
        <f>SUM(E99:E105)</f>
        <v>0</v>
      </c>
      <c r="F106" s="211">
        <f t="shared" ref="F106:L106" si="65">SUM(F99:F105)</f>
        <v>0</v>
      </c>
      <c r="G106" s="211">
        <f t="shared" si="65"/>
        <v>0</v>
      </c>
      <c r="H106" s="211">
        <f t="shared" ca="1" si="65"/>
        <v>0</v>
      </c>
      <c r="I106" s="211">
        <f t="shared" ca="1" si="65"/>
        <v>0</v>
      </c>
      <c r="J106" s="211">
        <f t="shared" ca="1" si="65"/>
        <v>0</v>
      </c>
      <c r="K106" s="211">
        <f t="shared" ca="1" si="65"/>
        <v>0</v>
      </c>
      <c r="L106" s="211">
        <f t="shared" ca="1" si="65"/>
        <v>0</v>
      </c>
    </row>
    <row r="107" spans="1:12" s="147" customFormat="1" ht="13.2" x14ac:dyDescent="0.25">
      <c r="A107" s="211"/>
      <c r="I107" s="212"/>
    </row>
    <row r="108" spans="1:12" s="147" customFormat="1" ht="13.2" x14ac:dyDescent="0.25">
      <c r="A108" s="211"/>
      <c r="B108" s="147" t="s">
        <v>232</v>
      </c>
      <c r="D108" s="231" t="str">
        <f t="shared" ref="D108:D109" si="66">unit</f>
        <v>£</v>
      </c>
      <c r="E108" s="147">
        <f>KeyInputs!E205</f>
        <v>0</v>
      </c>
      <c r="F108" s="147">
        <f>KeyInputs!F205</f>
        <v>0</v>
      </c>
      <c r="G108" s="147">
        <f>KeyInputs!G205</f>
        <v>0</v>
      </c>
      <c r="H108" s="147">
        <f>'Outputs - Cashflow'!E21</f>
        <v>0</v>
      </c>
      <c r="I108" s="147">
        <f>'Outputs - Cashflow'!F21</f>
        <v>0</v>
      </c>
      <c r="J108" s="147">
        <f>'Outputs - Cashflow'!G21</f>
        <v>0</v>
      </c>
      <c r="K108" s="147">
        <f>'Outputs - Cashflow'!H21</f>
        <v>0</v>
      </c>
      <c r="L108" s="147">
        <f>'Outputs - Cashflow'!I21</f>
        <v>0</v>
      </c>
    </row>
    <row r="109" spans="1:12" s="147" customFormat="1" ht="13.2" x14ac:dyDescent="0.25">
      <c r="A109" s="211"/>
      <c r="B109" s="147" t="s">
        <v>277</v>
      </c>
      <c r="D109" s="231" t="str">
        <f t="shared" si="66"/>
        <v>£</v>
      </c>
      <c r="E109" s="147">
        <f>KeyInputs!E206</f>
        <v>0</v>
      </c>
      <c r="F109" s="147">
        <f>KeyInputs!F206</f>
        <v>0</v>
      </c>
      <c r="G109" s="147">
        <f>KeyInputs!G206</f>
        <v>0</v>
      </c>
      <c r="H109" s="147">
        <f>'Outputs - Cashflow'!E22</f>
        <v>0</v>
      </c>
      <c r="I109" s="147">
        <f>'Outputs - Cashflow'!F22</f>
        <v>0</v>
      </c>
      <c r="J109" s="147">
        <f>'Outputs - Cashflow'!G22</f>
        <v>0</v>
      </c>
      <c r="K109" s="147">
        <f>'Outputs - Cashflow'!H22</f>
        <v>0</v>
      </c>
      <c r="L109" s="147">
        <f>'Outputs - Cashflow'!I22</f>
        <v>0</v>
      </c>
    </row>
    <row r="110" spans="1:12" s="147" customFormat="1" ht="13.2" outlineLevel="1" x14ac:dyDescent="0.25">
      <c r="A110" s="211"/>
      <c r="I110" s="212"/>
    </row>
    <row r="111" spans="1:12" s="147" customFormat="1" ht="13.2" x14ac:dyDescent="0.25">
      <c r="A111" s="211"/>
      <c r="B111" s="147" t="s">
        <v>299</v>
      </c>
      <c r="D111" s="231" t="str">
        <f t="shared" ref="D111" si="67">unit</f>
        <v>£</v>
      </c>
      <c r="E111" s="147">
        <f>KeyInputs!E208</f>
        <v>0</v>
      </c>
      <c r="F111" s="147">
        <f>KeyInputs!F208</f>
        <v>0</v>
      </c>
      <c r="G111" s="147">
        <f>KeyInputs!G208</f>
        <v>0</v>
      </c>
      <c r="H111" s="147">
        <f>'Outputs - Cashflow'!E24</f>
        <v>0</v>
      </c>
      <c r="I111" s="147">
        <f>'Outputs - Cashflow'!F24</f>
        <v>0</v>
      </c>
      <c r="J111" s="147">
        <f>'Outputs - Cashflow'!G24</f>
        <v>0</v>
      </c>
      <c r="K111" s="147">
        <f>'Outputs - Cashflow'!H24</f>
        <v>0</v>
      </c>
      <c r="L111" s="147">
        <f>'Outputs - Cashflow'!I24</f>
        <v>0</v>
      </c>
    </row>
    <row r="112" spans="1:12" s="147" customFormat="1" ht="13.2" outlineLevel="1" x14ac:dyDescent="0.25">
      <c r="A112" s="211"/>
    </row>
    <row r="113" spans="1:12" s="147" customFormat="1" ht="13.2" outlineLevel="1" x14ac:dyDescent="0.25">
      <c r="A113" s="211"/>
      <c r="B113" s="147" t="s">
        <v>393</v>
      </c>
      <c r="D113" s="212" t="str">
        <f>unit</f>
        <v>£</v>
      </c>
      <c r="H113" s="147">
        <f>'Outputs - Cashflow'!E25</f>
        <v>0</v>
      </c>
      <c r="I113" s="147">
        <f>'Outputs - Cashflow'!F25</f>
        <v>0</v>
      </c>
      <c r="J113" s="147">
        <f>'Outputs - Cashflow'!G25</f>
        <v>0</v>
      </c>
      <c r="K113" s="147">
        <f>'Outputs - Cashflow'!H25</f>
        <v>0</v>
      </c>
      <c r="L113" s="147">
        <f>'Outputs - Cashflow'!I25</f>
        <v>0</v>
      </c>
    </row>
    <row r="114" spans="1:12" s="147" customFormat="1" ht="13.2" outlineLevel="1" x14ac:dyDescent="0.25">
      <c r="A114" s="211"/>
      <c r="B114" s="147" t="s">
        <v>367</v>
      </c>
      <c r="D114" s="212" t="str">
        <f>unit</f>
        <v>£</v>
      </c>
      <c r="H114" s="147">
        <f>'Outputs - Cashflow'!E26</f>
        <v>0</v>
      </c>
      <c r="I114" s="147">
        <f>'Outputs - Cashflow'!F26</f>
        <v>0</v>
      </c>
      <c r="J114" s="147">
        <f>'Outputs - Cashflow'!G26</f>
        <v>0</v>
      </c>
      <c r="K114" s="147">
        <f>'Outputs - Cashflow'!H26</f>
        <v>0</v>
      </c>
      <c r="L114" s="147">
        <f>'Outputs - Cashflow'!I26</f>
        <v>0</v>
      </c>
    </row>
    <row r="115" spans="1:12" s="147" customFormat="1" ht="13.2" x14ac:dyDescent="0.25">
      <c r="A115" s="211"/>
      <c r="B115" s="147" t="s">
        <v>278</v>
      </c>
      <c r="D115" s="231" t="str">
        <f t="shared" ref="D115:D116" si="68">unit</f>
        <v>£</v>
      </c>
      <c r="E115" s="147">
        <f>KeyInputs!E210</f>
        <v>0</v>
      </c>
      <c r="F115" s="147">
        <f>KeyInputs!F210</f>
        <v>0</v>
      </c>
      <c r="G115" s="147">
        <f>KeyInputs!G210</f>
        <v>0</v>
      </c>
      <c r="H115" s="147">
        <f>'Outputs - Cashflow'!E27</f>
        <v>0</v>
      </c>
      <c r="I115" s="147">
        <f>'Outputs - Cashflow'!F27</f>
        <v>0</v>
      </c>
      <c r="J115" s="147">
        <f>'Outputs - Cashflow'!G27</f>
        <v>0</v>
      </c>
      <c r="K115" s="147">
        <f>'Outputs - Cashflow'!H27</f>
        <v>0</v>
      </c>
      <c r="L115" s="147">
        <f>'Outputs - Cashflow'!I27</f>
        <v>0</v>
      </c>
    </row>
    <row r="116" spans="1:12" s="147" customFormat="1" ht="13.2" x14ac:dyDescent="0.25">
      <c r="A116" s="211"/>
      <c r="B116" s="147" t="s">
        <v>279</v>
      </c>
      <c r="D116" s="231" t="str">
        <f t="shared" si="68"/>
        <v>£</v>
      </c>
      <c r="E116" s="147">
        <f>KeyInputs!E211</f>
        <v>0</v>
      </c>
      <c r="F116" s="147">
        <f>KeyInputs!F211</f>
        <v>0</v>
      </c>
      <c r="G116" s="147">
        <f>KeyInputs!G211</f>
        <v>0</v>
      </c>
      <c r="H116" s="147">
        <f>'Outputs - Cashflow'!E28</f>
        <v>0</v>
      </c>
      <c r="I116" s="147">
        <f>'Outputs - Cashflow'!F28</f>
        <v>0</v>
      </c>
      <c r="J116" s="147">
        <f>'Outputs - Cashflow'!G28</f>
        <v>0</v>
      </c>
      <c r="K116" s="147">
        <f>'Outputs - Cashflow'!H28</f>
        <v>0</v>
      </c>
      <c r="L116" s="147">
        <f>'Outputs - Cashflow'!I28</f>
        <v>0</v>
      </c>
    </row>
    <row r="117" spans="1:12" s="147" customFormat="1" ht="13.2" outlineLevel="1" x14ac:dyDescent="0.25">
      <c r="A117" s="211"/>
      <c r="I117" s="212"/>
    </row>
    <row r="118" spans="1:12" s="147" customFormat="1" ht="13.2" x14ac:dyDescent="0.25">
      <c r="A118" s="211"/>
      <c r="B118" s="147" t="s">
        <v>266</v>
      </c>
      <c r="D118" s="231" t="str">
        <f t="shared" ref="D118" si="69">unit</f>
        <v>£</v>
      </c>
      <c r="E118" s="147">
        <f>KeyInputs!E213</f>
        <v>0</v>
      </c>
      <c r="F118" s="147">
        <f>KeyInputs!F213</f>
        <v>0</v>
      </c>
      <c r="G118" s="147">
        <f>KeyInputs!G213</f>
        <v>0</v>
      </c>
      <c r="H118" s="147">
        <f>'Outputs - Cashflow'!E30</f>
        <v>0</v>
      </c>
      <c r="I118" s="147">
        <f>'Outputs - Cashflow'!F30</f>
        <v>0</v>
      </c>
      <c r="J118" s="147">
        <f>'Outputs - Cashflow'!G30</f>
        <v>0</v>
      </c>
      <c r="K118" s="147">
        <f>'Outputs - Cashflow'!H30</f>
        <v>0</v>
      </c>
      <c r="L118" s="147">
        <f>'Outputs - Cashflow'!I30</f>
        <v>0</v>
      </c>
    </row>
    <row r="119" spans="1:12" s="147" customFormat="1" ht="13.2" outlineLevel="1" x14ac:dyDescent="0.25">
      <c r="A119" s="211"/>
      <c r="I119" s="212"/>
    </row>
    <row r="120" spans="1:12" s="147" customFormat="1" ht="13.2" x14ac:dyDescent="0.25">
      <c r="A120" s="211"/>
      <c r="B120" s="147" t="s">
        <v>44</v>
      </c>
      <c r="D120" s="231" t="str">
        <f t="shared" ref="D120" si="70">unit</f>
        <v>£</v>
      </c>
      <c r="E120" s="147">
        <f>KeyInputs!E215</f>
        <v>0</v>
      </c>
      <c r="F120" s="147">
        <f>KeyInputs!F215</f>
        <v>0</v>
      </c>
      <c r="G120" s="147">
        <f>KeyInputs!G215</f>
        <v>0</v>
      </c>
      <c r="H120" s="147">
        <f ca="1">'Outputs - Cashflow'!E32</f>
        <v>0</v>
      </c>
      <c r="I120" s="147">
        <f ca="1">'Outputs - Cashflow'!F32</f>
        <v>0</v>
      </c>
      <c r="J120" s="147">
        <f ca="1">'Outputs - Cashflow'!G32</f>
        <v>0</v>
      </c>
      <c r="K120" s="147">
        <f ca="1">'Outputs - Cashflow'!H32</f>
        <v>0</v>
      </c>
      <c r="L120" s="147">
        <f ca="1">'Outputs - Cashflow'!I32</f>
        <v>0</v>
      </c>
    </row>
    <row r="121" spans="1:12" s="147" customFormat="1" ht="13.2" outlineLevel="1" x14ac:dyDescent="0.25">
      <c r="A121" s="211"/>
      <c r="I121" s="212"/>
    </row>
    <row r="122" spans="1:12" s="147" customFormat="1" ht="13.2" x14ac:dyDescent="0.25">
      <c r="A122" s="211"/>
      <c r="B122" s="147" t="s">
        <v>337</v>
      </c>
      <c r="D122" s="231" t="str">
        <f t="shared" ref="D122" si="71">unit</f>
        <v>£</v>
      </c>
      <c r="E122" s="147">
        <f>KeyInputs!E217</f>
        <v>0</v>
      </c>
      <c r="F122" s="147">
        <f>KeyInputs!F217</f>
        <v>0</v>
      </c>
      <c r="G122" s="147">
        <f>KeyInputs!G217</f>
        <v>0</v>
      </c>
      <c r="H122" s="147">
        <f>'Outputs - Cashflow'!E34</f>
        <v>0</v>
      </c>
      <c r="I122" s="147">
        <f>'Outputs - Cashflow'!F34</f>
        <v>0</v>
      </c>
      <c r="J122" s="147">
        <f>'Outputs - Cashflow'!G34</f>
        <v>0</v>
      </c>
      <c r="K122" s="147">
        <f>'Outputs - Cashflow'!H34</f>
        <v>0</v>
      </c>
      <c r="L122" s="147">
        <f>'Outputs - Cashflow'!I34</f>
        <v>0</v>
      </c>
    </row>
    <row r="123" spans="1:12" s="147" customFormat="1" ht="13.2" outlineLevel="1" x14ac:dyDescent="0.25">
      <c r="A123" s="211"/>
      <c r="I123" s="212"/>
    </row>
    <row r="124" spans="1:12" s="147" customFormat="1" thickBot="1" x14ac:dyDescent="0.3">
      <c r="A124" s="211"/>
      <c r="B124" s="211" t="s">
        <v>280</v>
      </c>
      <c r="D124" s="231" t="str">
        <f t="shared" ref="D124" si="72">unit</f>
        <v>£</v>
      </c>
      <c r="E124" s="234">
        <f t="shared" ref="E124:G124" si="73">SUM(E106:E123)</f>
        <v>0</v>
      </c>
      <c r="F124" s="234">
        <f t="shared" si="73"/>
        <v>0</v>
      </c>
      <c r="G124" s="234">
        <f t="shared" si="73"/>
        <v>0</v>
      </c>
      <c r="H124" s="234">
        <f ca="1">SUM(H106:H123)</f>
        <v>0</v>
      </c>
      <c r="I124" s="234">
        <f t="shared" ref="I124:L124" ca="1" si="74">SUM(I106:I123)</f>
        <v>0</v>
      </c>
      <c r="J124" s="234">
        <f t="shared" ca="1" si="74"/>
        <v>0</v>
      </c>
      <c r="K124" s="234">
        <f t="shared" ca="1" si="74"/>
        <v>0</v>
      </c>
      <c r="L124" s="234">
        <f t="shared" ca="1" si="74"/>
        <v>0</v>
      </c>
    </row>
    <row r="125" spans="1:12" s="147" customFormat="1" hidden="1" outlineLevel="1" thickTop="1" x14ac:dyDescent="0.25">
      <c r="A125" s="211"/>
      <c r="I125" s="212"/>
    </row>
    <row r="126" spans="1:12" s="147" customFormat="1" collapsed="1" thickTop="1" x14ac:dyDescent="0.25">
      <c r="A126" s="211"/>
      <c r="B126" s="147" t="s">
        <v>281</v>
      </c>
      <c r="D126" s="231" t="str">
        <f t="shared" ref="D126:D127" si="75">unit</f>
        <v>£</v>
      </c>
      <c r="E126" s="211">
        <f>KeyInputs!E221</f>
        <v>0</v>
      </c>
      <c r="F126" s="211">
        <f>KeyInputs!F221</f>
        <v>0</v>
      </c>
      <c r="G126" s="211">
        <f>KeyInputs!G221</f>
        <v>0</v>
      </c>
      <c r="H126" s="147">
        <f>'Outputs - Cashflow'!E38</f>
        <v>0</v>
      </c>
      <c r="I126" s="147">
        <f ca="1">'Outputs - Cashflow'!F38</f>
        <v>0</v>
      </c>
      <c r="J126" s="147">
        <f ca="1">'Outputs - Cashflow'!G38</f>
        <v>0</v>
      </c>
      <c r="K126" s="147">
        <f ca="1">'Outputs - Cashflow'!H38</f>
        <v>0</v>
      </c>
      <c r="L126" s="147">
        <f ca="1">'Outputs - Cashflow'!I38</f>
        <v>0</v>
      </c>
    </row>
    <row r="127" spans="1:12" s="147" customFormat="1" thickBot="1" x14ac:dyDescent="0.3">
      <c r="A127" s="211"/>
      <c r="B127" s="211" t="s">
        <v>282</v>
      </c>
      <c r="C127" s="211"/>
      <c r="D127" s="231" t="str">
        <f t="shared" si="75"/>
        <v>£</v>
      </c>
      <c r="E127" s="234">
        <f t="shared" ref="E127:G127" si="76">SUM(E124:E126)</f>
        <v>0</v>
      </c>
      <c r="F127" s="234">
        <f t="shared" si="76"/>
        <v>0</v>
      </c>
      <c r="G127" s="234">
        <f t="shared" si="76"/>
        <v>0</v>
      </c>
      <c r="H127" s="234">
        <f ca="1">SUM(H124:H126)</f>
        <v>0</v>
      </c>
      <c r="I127" s="234">
        <f t="shared" ref="I127:L127" ca="1" si="77">SUM(I124:I126)</f>
        <v>0</v>
      </c>
      <c r="J127" s="234">
        <f t="shared" ca="1" si="77"/>
        <v>0</v>
      </c>
      <c r="K127" s="234">
        <f t="shared" ca="1" si="77"/>
        <v>0</v>
      </c>
      <c r="L127" s="234">
        <f t="shared" ca="1" si="77"/>
        <v>0</v>
      </c>
    </row>
    <row r="128" spans="1:12" s="147" customFormat="1" thickTop="1" x14ac:dyDescent="0.25">
      <c r="A128" s="211"/>
      <c r="B128" s="147" t="s">
        <v>387</v>
      </c>
      <c r="E128" s="147">
        <f>KeyInputs!E223</f>
        <v>0</v>
      </c>
      <c r="F128" s="147">
        <f>KeyInputs!F223</f>
        <v>0</v>
      </c>
      <c r="G128" s="147">
        <f>KeyInputs!G223</f>
        <v>0</v>
      </c>
      <c r="H128" s="147">
        <f ca="1">'Outputs - Cashflow'!E40</f>
        <v>0</v>
      </c>
      <c r="I128" s="147">
        <f ca="1">'Outputs - Cashflow'!F40</f>
        <v>0</v>
      </c>
      <c r="J128" s="147">
        <f ca="1">'Outputs - Cashflow'!G40</f>
        <v>0</v>
      </c>
      <c r="K128" s="147">
        <f ca="1">'Outputs - Cashflow'!H40</f>
        <v>0</v>
      </c>
      <c r="L128" s="147">
        <f ca="1">'Outputs - Cashflow'!I40</f>
        <v>0</v>
      </c>
    </row>
    <row r="129" spans="1:12" s="147" customFormat="1" ht="13.2" x14ac:dyDescent="0.25">
      <c r="A129" s="211"/>
      <c r="B129" s="211" t="s">
        <v>388</v>
      </c>
      <c r="C129" s="211"/>
      <c r="E129" s="247">
        <f>SUM(E127:E128)</f>
        <v>0</v>
      </c>
      <c r="F129" s="247">
        <f t="shared" ref="F129:L129" si="78">SUM(F127:F128)</f>
        <v>0</v>
      </c>
      <c r="G129" s="247">
        <f t="shared" si="78"/>
        <v>0</v>
      </c>
      <c r="H129" s="247">
        <f t="shared" ca="1" si="78"/>
        <v>0</v>
      </c>
      <c r="I129" s="247">
        <f t="shared" ca="1" si="78"/>
        <v>0</v>
      </c>
      <c r="J129" s="247">
        <f t="shared" ca="1" si="78"/>
        <v>0</v>
      </c>
      <c r="K129" s="247">
        <f t="shared" ca="1" si="78"/>
        <v>0</v>
      </c>
      <c r="L129" s="247">
        <f t="shared" ca="1" si="78"/>
        <v>0</v>
      </c>
    </row>
    <row r="130" spans="1:12" s="147" customFormat="1" ht="13.2" x14ac:dyDescent="0.25">
      <c r="A130" s="211"/>
      <c r="I130" s="212"/>
    </row>
    <row r="131" spans="1:12" s="147" customFormat="1" ht="13.2" x14ac:dyDescent="0.25">
      <c r="A131" s="211"/>
      <c r="B131" s="211" t="s">
        <v>185</v>
      </c>
      <c r="I131" s="212"/>
    </row>
    <row r="132" spans="1:12" s="147" customFormat="1" ht="13.2" x14ac:dyDescent="0.25">
      <c r="A132" s="211"/>
      <c r="B132" s="116" t="s">
        <v>190</v>
      </c>
      <c r="C132" s="276"/>
      <c r="D132" s="280" t="s">
        <v>345</v>
      </c>
      <c r="E132" s="267" t="str">
        <f>IFERROR(E124/E99,"-")</f>
        <v>-</v>
      </c>
      <c r="F132" s="267" t="str">
        <f>IFERROR(F124/F99,"-")</f>
        <v>-</v>
      </c>
      <c r="G132" s="267" t="str">
        <f t="shared" ref="G132:L132" si="79">IFERROR(G124/G99,"-")</f>
        <v>-</v>
      </c>
      <c r="H132" s="267" t="str">
        <f t="shared" ca="1" si="79"/>
        <v>-</v>
      </c>
      <c r="I132" s="267" t="str">
        <f t="shared" ca="1" si="79"/>
        <v>-</v>
      </c>
      <c r="J132" s="267" t="str">
        <f t="shared" ca="1" si="79"/>
        <v>-</v>
      </c>
      <c r="K132" s="267" t="str">
        <f t="shared" ca="1" si="79"/>
        <v>-</v>
      </c>
      <c r="L132" s="267" t="str">
        <f t="shared" ca="1" si="79"/>
        <v>-</v>
      </c>
    </row>
    <row r="133" spans="1:12" s="147" customFormat="1" ht="13.2" x14ac:dyDescent="0.25">
      <c r="A133" s="211"/>
      <c r="I133" s="212"/>
    </row>
    <row r="134" spans="1:12" s="166" customFormat="1" ht="15.6" x14ac:dyDescent="0.3">
      <c r="A134" s="166" t="s">
        <v>217</v>
      </c>
    </row>
    <row r="136" spans="1:12" hidden="1" outlineLevel="1" x14ac:dyDescent="0.25">
      <c r="B136" s="138" t="s">
        <v>352</v>
      </c>
    </row>
    <row r="137" spans="1:12" hidden="1" outlineLevel="1" x14ac:dyDescent="0.25">
      <c r="B137" s="138" t="s">
        <v>270</v>
      </c>
      <c r="H137" s="284">
        <f ca="1">H45-'Outputs - P&amp;L'!E45</f>
        <v>0</v>
      </c>
      <c r="I137" s="284">
        <f ca="1">I45-'Outputs - P&amp;L'!F45</f>
        <v>0</v>
      </c>
      <c r="J137" s="284">
        <f ca="1">J45-'Outputs - P&amp;L'!G45</f>
        <v>0</v>
      </c>
      <c r="K137" s="284">
        <f ca="1">K45-'Outputs - P&amp;L'!H45</f>
        <v>0</v>
      </c>
      <c r="L137" s="284">
        <f ca="1">L45-'Outputs - P&amp;L'!I45</f>
        <v>0</v>
      </c>
    </row>
    <row r="138" spans="1:12" hidden="1" outlineLevel="1" x14ac:dyDescent="0.25">
      <c r="B138" s="138" t="s">
        <v>288</v>
      </c>
      <c r="H138" s="284">
        <f ca="1">H90-'Outputs - BalanceSheet'!E39</f>
        <v>0</v>
      </c>
      <c r="I138" s="284">
        <f ca="1">I90-'Outputs - BalanceSheet'!F39</f>
        <v>0</v>
      </c>
      <c r="J138" s="284">
        <f ca="1">J90-'Outputs - BalanceSheet'!G39</f>
        <v>0</v>
      </c>
      <c r="K138" s="284">
        <f ca="1">K90-'Outputs - BalanceSheet'!H39</f>
        <v>0</v>
      </c>
      <c r="L138" s="284">
        <f ca="1">L90-'Outputs - BalanceSheet'!I39</f>
        <v>0</v>
      </c>
    </row>
    <row r="139" spans="1:12" hidden="1" outlineLevel="1" x14ac:dyDescent="0.25">
      <c r="B139" s="138" t="s">
        <v>280</v>
      </c>
      <c r="H139" s="284">
        <f ca="1">H124-'Outputs - Cashflow'!E36</f>
        <v>0</v>
      </c>
      <c r="I139" s="284">
        <f ca="1">I124-'Outputs - Cashflow'!F36</f>
        <v>0</v>
      </c>
      <c r="J139" s="284">
        <f ca="1">J124-'Outputs - Cashflow'!G36</f>
        <v>0</v>
      </c>
      <c r="K139" s="284">
        <f ca="1">K124-'Outputs - Cashflow'!H36</f>
        <v>0</v>
      </c>
      <c r="L139" s="284">
        <f ca="1">L124-'Outputs - Cashflow'!I36</f>
        <v>0</v>
      </c>
    </row>
    <row r="140" spans="1:12" collapsed="1" x14ac:dyDescent="0.25"/>
  </sheetData>
  <pageMargins left="0.70866141732283472" right="0.70866141732283472" top="0.74803149606299213" bottom="0.74803149606299213" header="0.31496062992125984" footer="0.31496062992125984"/>
  <pageSetup paperSize="9" scale="55" orientation="landscape"/>
  <headerFooter>
    <oddFooter>&amp;LPage &amp;P&amp;C&amp;F&amp;RDate &amp;D Time &amp;T</oddFooter>
  </headerFooter>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5">
    <tabColor rgb="FF00B0F0"/>
  </sheetPr>
  <dimension ref="A1:BZ51"/>
  <sheetViews>
    <sheetView showGridLines="0" zoomScale="80" zoomScaleNormal="80" zoomScalePageLayoutView="80" workbookViewId="0">
      <pane xSplit="10" ySplit="8" topLeftCell="K9" activePane="bottomRight" state="frozen"/>
      <selection activeCell="C10" sqref="C10"/>
      <selection pane="topRight" activeCell="C10" sqref="C10"/>
      <selection pane="bottomLeft" activeCell="C10" sqref="C10"/>
      <selection pane="bottomRight" activeCell="N31" sqref="N31"/>
    </sheetView>
  </sheetViews>
  <sheetFormatPr defaultColWidth="0" defaultRowHeight="13.8" x14ac:dyDescent="0.25"/>
  <cols>
    <col min="1" max="1" width="3.44140625" style="138" customWidth="1"/>
    <col min="2" max="2" width="22.44140625" style="138" customWidth="1"/>
    <col min="3" max="3" width="9.88671875" style="138" customWidth="1"/>
    <col min="4" max="4" width="13.109375" style="138" bestFit="1" customWidth="1"/>
    <col min="5" max="6" width="10" style="138" bestFit="1" customWidth="1"/>
    <col min="7" max="7" width="13.44140625" style="138" customWidth="1"/>
    <col min="8" max="9" width="10" style="138" bestFit="1" customWidth="1"/>
    <col min="10" max="10" width="7.88671875" style="138" bestFit="1" customWidth="1"/>
    <col min="11" max="70" width="11.109375" style="138" customWidth="1"/>
    <col min="71" max="71" width="3" style="138" customWidth="1"/>
    <col min="72" max="72" width="9.109375" style="71" customWidth="1"/>
    <col min="73" max="78" width="9.109375" style="138" customWidth="1"/>
    <col min="79" max="16384" width="9.109375" style="138" hidden="1"/>
  </cols>
  <sheetData>
    <row r="1" spans="1:78" s="285" customFormat="1" ht="13.2" x14ac:dyDescent="0.25"/>
    <row r="2" spans="1:78" s="285" customFormat="1" ht="13.2" x14ac:dyDescent="0.25"/>
    <row r="3" spans="1:78" s="285" customFormat="1" ht="13.2" x14ac:dyDescent="0.25">
      <c r="A3" s="286" t="str">
        <f>IF(KeyInputs!$F$14=0,"Company Name",KeyInputs!$F$14)</f>
        <v>Company Name</v>
      </c>
    </row>
    <row r="4" spans="1:78" s="285" customFormat="1" ht="13.2" x14ac:dyDescent="0.25">
      <c r="A4" s="285" t="s">
        <v>20</v>
      </c>
    </row>
    <row r="5" spans="1:78" s="285" customFormat="1" ht="13.2" x14ac:dyDescent="0.25">
      <c r="D5" s="287" t="str">
        <f>KeyInputs!D5</f>
        <v>Year</v>
      </c>
      <c r="E5" s="287">
        <f>KeyInputs!H5</f>
        <v>2015</v>
      </c>
      <c r="F5" s="287">
        <f>KeyInputs!I5</f>
        <v>2016</v>
      </c>
      <c r="G5" s="287">
        <f>KeyInputs!J5</f>
        <v>2017</v>
      </c>
      <c r="H5" s="287">
        <f>KeyInputs!K5</f>
        <v>2018</v>
      </c>
      <c r="I5" s="287">
        <f>KeyInputs!L5</f>
        <v>2019</v>
      </c>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8" customFormat="1" ht="13.2" x14ac:dyDescent="0.25">
      <c r="D6" s="287" t="str">
        <f>KeyInputs!D6</f>
        <v>Period number</v>
      </c>
      <c r="E6" s="287">
        <f>KeyInputs!H6</f>
        <v>1</v>
      </c>
      <c r="F6" s="287">
        <f>KeyInputs!I6</f>
        <v>2</v>
      </c>
      <c r="G6" s="287">
        <f>KeyInputs!J6</f>
        <v>3</v>
      </c>
      <c r="H6" s="287">
        <f>KeyInputs!K6</f>
        <v>4</v>
      </c>
      <c r="I6" s="287">
        <f>KeyInputs!L6</f>
        <v>5</v>
      </c>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8" customFormat="1" ht="13.2" x14ac:dyDescent="0.25">
      <c r="D7" s="287" t="str">
        <f>KeyInputs!D7</f>
        <v>Period starts</v>
      </c>
      <c r="E7" s="294">
        <f>KeyInputs!H7</f>
        <v>42005</v>
      </c>
      <c r="F7" s="294">
        <f>KeyInputs!I7</f>
        <v>42370</v>
      </c>
      <c r="G7" s="294">
        <f>KeyInputs!J7</f>
        <v>42736</v>
      </c>
      <c r="H7" s="294">
        <f>KeyInputs!K7</f>
        <v>43101</v>
      </c>
      <c r="I7" s="294">
        <f>KeyInputs!L7</f>
        <v>43466</v>
      </c>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2" customFormat="1" ht="13.2"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88"/>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8"/>
      <c r="BT8" s="288"/>
      <c r="BU8" s="288"/>
      <c r="BV8" s="288"/>
      <c r="BW8" s="288"/>
      <c r="BX8" s="288"/>
      <c r="BY8" s="288"/>
      <c r="BZ8" s="288"/>
    </row>
    <row r="9" spans="1:78" s="128" customFormat="1" ht="13.2" x14ac:dyDescent="0.25">
      <c r="D9" s="125"/>
      <c r="E9" s="164"/>
      <c r="F9" s="164"/>
      <c r="G9" s="164"/>
      <c r="H9" s="164"/>
      <c r="I9" s="164"/>
      <c r="K9" s="164"/>
      <c r="L9" s="164"/>
      <c r="M9" s="164"/>
      <c r="N9" s="164"/>
      <c r="O9" s="164"/>
      <c r="P9" s="164"/>
      <c r="Q9" s="164"/>
      <c r="R9" s="164"/>
      <c r="S9" s="164"/>
      <c r="T9" s="164"/>
      <c r="U9" s="164"/>
      <c r="V9" s="164"/>
      <c r="W9" s="164"/>
      <c r="X9" s="164"/>
      <c r="Y9" s="164"/>
      <c r="Z9" s="164"/>
      <c r="AA9" s="164"/>
      <c r="AB9" s="164"/>
      <c r="AC9" s="164"/>
      <c r="AD9" s="164"/>
      <c r="AE9" s="164"/>
      <c r="AF9" s="164"/>
      <c r="AG9" s="164"/>
      <c r="AH9" s="164"/>
      <c r="AI9" s="164"/>
      <c r="AJ9" s="164"/>
      <c r="AK9" s="164"/>
      <c r="AL9" s="164"/>
      <c r="AM9" s="164"/>
      <c r="AN9" s="164"/>
      <c r="AO9" s="164"/>
      <c r="AP9" s="164"/>
      <c r="AQ9" s="164"/>
      <c r="AR9" s="164"/>
      <c r="AS9" s="164"/>
      <c r="AT9" s="164"/>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row>
    <row r="10" spans="1:78" s="166" customFormat="1" ht="15.6" x14ac:dyDescent="0.3">
      <c r="A10" s="166">
        <f>Header1</f>
        <v>1</v>
      </c>
      <c r="B10" s="166" t="s">
        <v>264</v>
      </c>
    </row>
    <row r="11" spans="1:78" s="147" customFormat="1" ht="13.2" x14ac:dyDescent="0.25">
      <c r="A11" s="211"/>
      <c r="F11" s="212"/>
    </row>
    <row r="12" spans="1:78" s="147" customFormat="1" ht="13.2" x14ac:dyDescent="0.25">
      <c r="A12" s="211"/>
      <c r="B12" s="147" t="s">
        <v>265</v>
      </c>
      <c r="D12" s="231" t="str">
        <f>unit</f>
        <v>£</v>
      </c>
      <c r="E12" s="147">
        <f>SUMIF($K$5:$BR$5,E$5,$K12:$BR12)</f>
        <v>0</v>
      </c>
      <c r="F12" s="147">
        <f t="shared" ref="F12:I12" si="0">SUMIF($K$5:$BR$5,F$5,$K12:$BR12)</f>
        <v>0</v>
      </c>
      <c r="G12" s="147">
        <f t="shared" si="0"/>
        <v>0</v>
      </c>
      <c r="H12" s="147">
        <f t="shared" si="0"/>
        <v>0</v>
      </c>
      <c r="I12" s="147">
        <f t="shared" si="0"/>
        <v>0</v>
      </c>
      <c r="K12" s="147">
        <f>SUM(K13:K15)</f>
        <v>0</v>
      </c>
      <c r="L12" s="147">
        <f t="shared" ref="L12:BR12" si="1">SUM(L13:L15)</f>
        <v>0</v>
      </c>
      <c r="M12" s="147">
        <f t="shared" si="1"/>
        <v>0</v>
      </c>
      <c r="N12" s="147">
        <f t="shared" si="1"/>
        <v>0</v>
      </c>
      <c r="O12" s="147">
        <f t="shared" si="1"/>
        <v>0</v>
      </c>
      <c r="P12" s="147">
        <f t="shared" si="1"/>
        <v>0</v>
      </c>
      <c r="Q12" s="147">
        <f t="shared" si="1"/>
        <v>0</v>
      </c>
      <c r="R12" s="147">
        <f t="shared" si="1"/>
        <v>0</v>
      </c>
      <c r="S12" s="147">
        <f t="shared" si="1"/>
        <v>0</v>
      </c>
      <c r="T12" s="147">
        <f t="shared" si="1"/>
        <v>0</v>
      </c>
      <c r="U12" s="147">
        <f t="shared" si="1"/>
        <v>0</v>
      </c>
      <c r="V12" s="147">
        <f t="shared" si="1"/>
        <v>0</v>
      </c>
      <c r="W12" s="147">
        <f t="shared" si="1"/>
        <v>0</v>
      </c>
      <c r="X12" s="147">
        <f t="shared" si="1"/>
        <v>0</v>
      </c>
      <c r="Y12" s="147">
        <f t="shared" si="1"/>
        <v>0</v>
      </c>
      <c r="Z12" s="147">
        <f t="shared" si="1"/>
        <v>0</v>
      </c>
      <c r="AA12" s="147">
        <f t="shared" si="1"/>
        <v>0</v>
      </c>
      <c r="AB12" s="147">
        <f t="shared" si="1"/>
        <v>0</v>
      </c>
      <c r="AC12" s="147">
        <f t="shared" si="1"/>
        <v>0</v>
      </c>
      <c r="AD12" s="147">
        <f t="shared" si="1"/>
        <v>0</v>
      </c>
      <c r="AE12" s="147">
        <f t="shared" si="1"/>
        <v>0</v>
      </c>
      <c r="AF12" s="147">
        <f t="shared" si="1"/>
        <v>0</v>
      </c>
      <c r="AG12" s="147">
        <f t="shared" si="1"/>
        <v>0</v>
      </c>
      <c r="AH12" s="147">
        <f t="shared" si="1"/>
        <v>0</v>
      </c>
      <c r="AI12" s="147">
        <f t="shared" si="1"/>
        <v>0</v>
      </c>
      <c r="AJ12" s="147">
        <f t="shared" si="1"/>
        <v>0</v>
      </c>
      <c r="AK12" s="147">
        <f t="shared" si="1"/>
        <v>0</v>
      </c>
      <c r="AL12" s="147">
        <f t="shared" si="1"/>
        <v>0</v>
      </c>
      <c r="AM12" s="147">
        <f t="shared" si="1"/>
        <v>0</v>
      </c>
      <c r="AN12" s="147">
        <f t="shared" si="1"/>
        <v>0</v>
      </c>
      <c r="AO12" s="147">
        <f t="shared" si="1"/>
        <v>0</v>
      </c>
      <c r="AP12" s="147">
        <f t="shared" si="1"/>
        <v>0</v>
      </c>
      <c r="AQ12" s="147">
        <f t="shared" si="1"/>
        <v>0</v>
      </c>
      <c r="AR12" s="147">
        <f t="shared" si="1"/>
        <v>0</v>
      </c>
      <c r="AS12" s="147">
        <f t="shared" si="1"/>
        <v>0</v>
      </c>
      <c r="AT12" s="147">
        <f t="shared" si="1"/>
        <v>0</v>
      </c>
      <c r="AU12" s="147">
        <f t="shared" si="1"/>
        <v>0</v>
      </c>
      <c r="AV12" s="147">
        <f t="shared" si="1"/>
        <v>0</v>
      </c>
      <c r="AW12" s="147">
        <f t="shared" si="1"/>
        <v>0</v>
      </c>
      <c r="AX12" s="147">
        <f t="shared" si="1"/>
        <v>0</v>
      </c>
      <c r="AY12" s="147">
        <f t="shared" si="1"/>
        <v>0</v>
      </c>
      <c r="AZ12" s="147">
        <f t="shared" si="1"/>
        <v>0</v>
      </c>
      <c r="BA12" s="147">
        <f t="shared" si="1"/>
        <v>0</v>
      </c>
      <c r="BB12" s="147">
        <f t="shared" si="1"/>
        <v>0</v>
      </c>
      <c r="BC12" s="147">
        <f t="shared" si="1"/>
        <v>0</v>
      </c>
      <c r="BD12" s="147">
        <f t="shared" si="1"/>
        <v>0</v>
      </c>
      <c r="BE12" s="147">
        <f t="shared" si="1"/>
        <v>0</v>
      </c>
      <c r="BF12" s="147">
        <f t="shared" si="1"/>
        <v>0</v>
      </c>
      <c r="BG12" s="147">
        <f t="shared" si="1"/>
        <v>0</v>
      </c>
      <c r="BH12" s="147">
        <f t="shared" si="1"/>
        <v>0</v>
      </c>
      <c r="BI12" s="147">
        <f t="shared" si="1"/>
        <v>0</v>
      </c>
      <c r="BJ12" s="147">
        <f t="shared" si="1"/>
        <v>0</v>
      </c>
      <c r="BK12" s="147">
        <f t="shared" si="1"/>
        <v>0</v>
      </c>
      <c r="BL12" s="147">
        <f t="shared" si="1"/>
        <v>0</v>
      </c>
      <c r="BM12" s="147">
        <f t="shared" si="1"/>
        <v>0</v>
      </c>
      <c r="BN12" s="147">
        <f t="shared" si="1"/>
        <v>0</v>
      </c>
      <c r="BO12" s="147">
        <f t="shared" si="1"/>
        <v>0</v>
      </c>
      <c r="BP12" s="147">
        <f t="shared" si="1"/>
        <v>0</v>
      </c>
      <c r="BQ12" s="147">
        <f t="shared" si="1"/>
        <v>0</v>
      </c>
      <c r="BR12" s="147">
        <f t="shared" si="1"/>
        <v>0</v>
      </c>
    </row>
    <row r="13" spans="1:78" s="147" customFormat="1" ht="13.2" x14ac:dyDescent="0.25">
      <c r="A13" s="211"/>
      <c r="B13" s="249" t="str">
        <f>KeyInputs!F21</f>
        <v>Test</v>
      </c>
      <c r="D13" s="231" t="str">
        <f>unit</f>
        <v>£</v>
      </c>
      <c r="E13" s="147">
        <f t="shared" ref="E13:I15" si="2">SUMIF($K$5:$BR$5,E$5,$K13:$BR13)</f>
        <v>0</v>
      </c>
      <c r="F13" s="147">
        <f t="shared" si="2"/>
        <v>0</v>
      </c>
      <c r="G13" s="147">
        <f t="shared" si="2"/>
        <v>0</v>
      </c>
      <c r="H13" s="147">
        <f t="shared" si="2"/>
        <v>0</v>
      </c>
      <c r="I13" s="147">
        <f t="shared" si="2"/>
        <v>0</v>
      </c>
      <c r="K13" s="147">
        <f>Revenue!K16</f>
        <v>0</v>
      </c>
      <c r="L13" s="147">
        <f>Revenue!L16</f>
        <v>0</v>
      </c>
      <c r="M13" s="147">
        <f>Revenue!M16</f>
        <v>0</v>
      </c>
      <c r="N13" s="147">
        <f>Revenue!N16</f>
        <v>0</v>
      </c>
      <c r="O13" s="147">
        <f>Revenue!O16</f>
        <v>0</v>
      </c>
      <c r="P13" s="147">
        <f>Revenue!P16</f>
        <v>0</v>
      </c>
      <c r="Q13" s="147">
        <f>Revenue!Q16</f>
        <v>0</v>
      </c>
      <c r="R13" s="147">
        <f>Revenue!R16</f>
        <v>0</v>
      </c>
      <c r="S13" s="147">
        <f>Revenue!S16</f>
        <v>0</v>
      </c>
      <c r="T13" s="147">
        <f>Revenue!T16</f>
        <v>0</v>
      </c>
      <c r="U13" s="147">
        <f>Revenue!U16</f>
        <v>0</v>
      </c>
      <c r="V13" s="147">
        <f>Revenue!V16</f>
        <v>0</v>
      </c>
      <c r="W13" s="147">
        <f>Revenue!W16</f>
        <v>0</v>
      </c>
      <c r="X13" s="147">
        <f>Revenue!X16</f>
        <v>0</v>
      </c>
      <c r="Y13" s="147">
        <f>Revenue!Y16</f>
        <v>0</v>
      </c>
      <c r="Z13" s="147">
        <f>Revenue!Z16</f>
        <v>0</v>
      </c>
      <c r="AA13" s="147">
        <f>Revenue!AA16</f>
        <v>0</v>
      </c>
      <c r="AB13" s="147">
        <f>Revenue!AB16</f>
        <v>0</v>
      </c>
      <c r="AC13" s="147">
        <f>Revenue!AC16</f>
        <v>0</v>
      </c>
      <c r="AD13" s="147">
        <f>Revenue!AD16</f>
        <v>0</v>
      </c>
      <c r="AE13" s="147">
        <f>Revenue!AE16</f>
        <v>0</v>
      </c>
      <c r="AF13" s="147">
        <f>Revenue!AF16</f>
        <v>0</v>
      </c>
      <c r="AG13" s="147">
        <f>Revenue!AG16</f>
        <v>0</v>
      </c>
      <c r="AH13" s="147">
        <f>Revenue!AH16</f>
        <v>0</v>
      </c>
      <c r="AI13" s="147">
        <f>Revenue!AI16</f>
        <v>0</v>
      </c>
      <c r="AJ13" s="147">
        <f>Revenue!AJ16</f>
        <v>0</v>
      </c>
      <c r="AK13" s="147">
        <f>Revenue!AK16</f>
        <v>0</v>
      </c>
      <c r="AL13" s="147">
        <f>Revenue!AL16</f>
        <v>0</v>
      </c>
      <c r="AM13" s="147">
        <f>Revenue!AM16</f>
        <v>0</v>
      </c>
      <c r="AN13" s="147">
        <f>Revenue!AN16</f>
        <v>0</v>
      </c>
      <c r="AO13" s="147">
        <f>Revenue!AO16</f>
        <v>0</v>
      </c>
      <c r="AP13" s="147">
        <f>Revenue!AP16</f>
        <v>0</v>
      </c>
      <c r="AQ13" s="147">
        <f>Revenue!AQ16</f>
        <v>0</v>
      </c>
      <c r="AR13" s="147">
        <f>Revenue!AR16</f>
        <v>0</v>
      </c>
      <c r="AS13" s="147">
        <f>Revenue!AS16</f>
        <v>0</v>
      </c>
      <c r="AT13" s="147">
        <f>Revenue!AT16</f>
        <v>0</v>
      </c>
      <c r="AU13" s="147">
        <f>Revenue!AU16</f>
        <v>0</v>
      </c>
      <c r="AV13" s="147">
        <f>Revenue!AV16</f>
        <v>0</v>
      </c>
      <c r="AW13" s="147">
        <f>Revenue!AW16</f>
        <v>0</v>
      </c>
      <c r="AX13" s="147">
        <f>Revenue!AX16</f>
        <v>0</v>
      </c>
      <c r="AY13" s="147">
        <f>Revenue!AY16</f>
        <v>0</v>
      </c>
      <c r="AZ13" s="147">
        <f>Revenue!AZ16</f>
        <v>0</v>
      </c>
      <c r="BA13" s="147">
        <f>Revenue!BA16</f>
        <v>0</v>
      </c>
      <c r="BB13" s="147">
        <f>Revenue!BB16</f>
        <v>0</v>
      </c>
      <c r="BC13" s="147">
        <f>Revenue!BC16</f>
        <v>0</v>
      </c>
      <c r="BD13" s="147">
        <f>Revenue!BD16</f>
        <v>0</v>
      </c>
      <c r="BE13" s="147">
        <f>Revenue!BE16</f>
        <v>0</v>
      </c>
      <c r="BF13" s="147">
        <f>Revenue!BF16</f>
        <v>0</v>
      </c>
      <c r="BG13" s="147">
        <f>Revenue!BG16</f>
        <v>0</v>
      </c>
      <c r="BH13" s="147">
        <f>Revenue!BH16</f>
        <v>0</v>
      </c>
      <c r="BI13" s="147">
        <f>Revenue!BI16</f>
        <v>0</v>
      </c>
      <c r="BJ13" s="147">
        <f>Revenue!BJ16</f>
        <v>0</v>
      </c>
      <c r="BK13" s="147">
        <f>Revenue!BK16</f>
        <v>0</v>
      </c>
      <c r="BL13" s="147">
        <f>Revenue!BL16</f>
        <v>0</v>
      </c>
      <c r="BM13" s="147">
        <f>Revenue!BM16</f>
        <v>0</v>
      </c>
      <c r="BN13" s="147">
        <f>Revenue!BN16</f>
        <v>0</v>
      </c>
      <c r="BO13" s="147">
        <f>Revenue!BO16</f>
        <v>0</v>
      </c>
      <c r="BP13" s="147">
        <f>Revenue!BP16</f>
        <v>0</v>
      </c>
      <c r="BQ13" s="147">
        <f>Revenue!BQ16</f>
        <v>0</v>
      </c>
      <c r="BR13" s="147">
        <f>Revenue!BR16</f>
        <v>0</v>
      </c>
    </row>
    <row r="14" spans="1:78" s="147" customFormat="1" ht="13.2" x14ac:dyDescent="0.25">
      <c r="A14" s="211"/>
      <c r="B14" s="249" t="str">
        <f>KeyInputs!F26</f>
        <v>Insert Business Line2</v>
      </c>
      <c r="D14" s="231" t="str">
        <f>unit</f>
        <v>£</v>
      </c>
      <c r="E14" s="147">
        <f t="shared" si="2"/>
        <v>0</v>
      </c>
      <c r="F14" s="147">
        <f t="shared" si="2"/>
        <v>0</v>
      </c>
      <c r="G14" s="147">
        <f t="shared" si="2"/>
        <v>0</v>
      </c>
      <c r="H14" s="147">
        <f t="shared" si="2"/>
        <v>0</v>
      </c>
      <c r="I14" s="147">
        <f t="shared" si="2"/>
        <v>0</v>
      </c>
      <c r="K14" s="147">
        <f>Revenue!K22</f>
        <v>0</v>
      </c>
      <c r="L14" s="147">
        <f>Revenue!L22</f>
        <v>0</v>
      </c>
      <c r="M14" s="147">
        <f>Revenue!M22</f>
        <v>0</v>
      </c>
      <c r="N14" s="147">
        <f>Revenue!N22</f>
        <v>0</v>
      </c>
      <c r="O14" s="147">
        <f>Revenue!O22</f>
        <v>0</v>
      </c>
      <c r="P14" s="147">
        <f>Revenue!P22</f>
        <v>0</v>
      </c>
      <c r="Q14" s="147">
        <f>Revenue!Q22</f>
        <v>0</v>
      </c>
      <c r="R14" s="147">
        <f>Revenue!R22</f>
        <v>0</v>
      </c>
      <c r="S14" s="147">
        <f>Revenue!S22</f>
        <v>0</v>
      </c>
      <c r="T14" s="147">
        <f>Revenue!T22</f>
        <v>0</v>
      </c>
      <c r="U14" s="147">
        <f>Revenue!U22</f>
        <v>0</v>
      </c>
      <c r="V14" s="147">
        <f>Revenue!V22</f>
        <v>0</v>
      </c>
      <c r="W14" s="147">
        <f>Revenue!W22</f>
        <v>0</v>
      </c>
      <c r="X14" s="147">
        <f>Revenue!X22</f>
        <v>0</v>
      </c>
      <c r="Y14" s="147">
        <f>Revenue!Y22</f>
        <v>0</v>
      </c>
      <c r="Z14" s="147">
        <f>Revenue!Z22</f>
        <v>0</v>
      </c>
      <c r="AA14" s="147">
        <f>Revenue!AA22</f>
        <v>0</v>
      </c>
      <c r="AB14" s="147">
        <f>Revenue!AB22</f>
        <v>0</v>
      </c>
      <c r="AC14" s="147">
        <f>Revenue!AC22</f>
        <v>0</v>
      </c>
      <c r="AD14" s="147">
        <f>Revenue!AD22</f>
        <v>0</v>
      </c>
      <c r="AE14" s="147">
        <f>Revenue!AE22</f>
        <v>0</v>
      </c>
      <c r="AF14" s="147">
        <f>Revenue!AF22</f>
        <v>0</v>
      </c>
      <c r="AG14" s="147">
        <f>Revenue!AG22</f>
        <v>0</v>
      </c>
      <c r="AH14" s="147">
        <f>Revenue!AH22</f>
        <v>0</v>
      </c>
      <c r="AI14" s="147">
        <f>Revenue!AI22</f>
        <v>0</v>
      </c>
      <c r="AJ14" s="147">
        <f>Revenue!AJ22</f>
        <v>0</v>
      </c>
      <c r="AK14" s="147">
        <f>Revenue!AK22</f>
        <v>0</v>
      </c>
      <c r="AL14" s="147">
        <f>Revenue!AL22</f>
        <v>0</v>
      </c>
      <c r="AM14" s="147">
        <f>Revenue!AM22</f>
        <v>0</v>
      </c>
      <c r="AN14" s="147">
        <f>Revenue!AN22</f>
        <v>0</v>
      </c>
      <c r="AO14" s="147">
        <f>Revenue!AO22</f>
        <v>0</v>
      </c>
      <c r="AP14" s="147">
        <f>Revenue!AP22</f>
        <v>0</v>
      </c>
      <c r="AQ14" s="147">
        <f>Revenue!AQ22</f>
        <v>0</v>
      </c>
      <c r="AR14" s="147">
        <f>Revenue!AR22</f>
        <v>0</v>
      </c>
      <c r="AS14" s="147">
        <f>Revenue!AS22</f>
        <v>0</v>
      </c>
      <c r="AT14" s="147">
        <f>Revenue!AT22</f>
        <v>0</v>
      </c>
      <c r="AU14" s="147">
        <f>Revenue!AU22</f>
        <v>0</v>
      </c>
      <c r="AV14" s="147">
        <f>Revenue!AV22</f>
        <v>0</v>
      </c>
      <c r="AW14" s="147">
        <f>Revenue!AW22</f>
        <v>0</v>
      </c>
      <c r="AX14" s="147">
        <f>Revenue!AX22</f>
        <v>0</v>
      </c>
      <c r="AY14" s="147">
        <f>Revenue!AY22</f>
        <v>0</v>
      </c>
      <c r="AZ14" s="147">
        <f>Revenue!AZ22</f>
        <v>0</v>
      </c>
      <c r="BA14" s="147">
        <f>Revenue!BA22</f>
        <v>0</v>
      </c>
      <c r="BB14" s="147">
        <f>Revenue!BB22</f>
        <v>0</v>
      </c>
      <c r="BC14" s="147">
        <f>Revenue!BC22</f>
        <v>0</v>
      </c>
      <c r="BD14" s="147">
        <f>Revenue!BD22</f>
        <v>0</v>
      </c>
      <c r="BE14" s="147">
        <f>Revenue!BE22</f>
        <v>0</v>
      </c>
      <c r="BF14" s="147">
        <f>Revenue!BF22</f>
        <v>0</v>
      </c>
      <c r="BG14" s="147">
        <f>Revenue!BG22</f>
        <v>0</v>
      </c>
      <c r="BH14" s="147">
        <f>Revenue!BH22</f>
        <v>0</v>
      </c>
      <c r="BI14" s="147">
        <f>Revenue!BI22</f>
        <v>0</v>
      </c>
      <c r="BJ14" s="147">
        <f>Revenue!BJ22</f>
        <v>0</v>
      </c>
      <c r="BK14" s="147">
        <f>Revenue!BK22</f>
        <v>0</v>
      </c>
      <c r="BL14" s="147">
        <f>Revenue!BL22</f>
        <v>0</v>
      </c>
      <c r="BM14" s="147">
        <f>Revenue!BM22</f>
        <v>0</v>
      </c>
      <c r="BN14" s="147">
        <f>Revenue!BN22</f>
        <v>0</v>
      </c>
      <c r="BO14" s="147">
        <f>Revenue!BO22</f>
        <v>0</v>
      </c>
      <c r="BP14" s="147">
        <f>Revenue!BP22</f>
        <v>0</v>
      </c>
      <c r="BQ14" s="147">
        <f>Revenue!BQ22</f>
        <v>0</v>
      </c>
      <c r="BR14" s="147">
        <f>Revenue!BR22</f>
        <v>0</v>
      </c>
    </row>
    <row r="15" spans="1:78" s="147" customFormat="1" ht="13.2" x14ac:dyDescent="0.25">
      <c r="A15" s="211"/>
      <c r="B15" s="249" t="str">
        <f>KeyInputs!F31</f>
        <v>Insert Business Line3</v>
      </c>
      <c r="D15" s="231" t="str">
        <f>unit</f>
        <v>£</v>
      </c>
      <c r="E15" s="147">
        <f t="shared" si="2"/>
        <v>0</v>
      </c>
      <c r="F15" s="147">
        <f t="shared" si="2"/>
        <v>0</v>
      </c>
      <c r="G15" s="147">
        <f t="shared" si="2"/>
        <v>0</v>
      </c>
      <c r="H15" s="147">
        <f t="shared" si="2"/>
        <v>0</v>
      </c>
      <c r="I15" s="147">
        <f t="shared" si="2"/>
        <v>0</v>
      </c>
      <c r="K15" s="147">
        <f>Revenue!K28</f>
        <v>0</v>
      </c>
      <c r="L15" s="147">
        <f>Revenue!L28</f>
        <v>0</v>
      </c>
      <c r="M15" s="147">
        <f>Revenue!M28</f>
        <v>0</v>
      </c>
      <c r="N15" s="147">
        <f>Revenue!N28</f>
        <v>0</v>
      </c>
      <c r="O15" s="147">
        <f>Revenue!O28</f>
        <v>0</v>
      </c>
      <c r="P15" s="147">
        <f>Revenue!P28</f>
        <v>0</v>
      </c>
      <c r="Q15" s="147">
        <f>Revenue!Q28</f>
        <v>0</v>
      </c>
      <c r="R15" s="147">
        <f>Revenue!R28</f>
        <v>0</v>
      </c>
      <c r="S15" s="147">
        <f>Revenue!S28</f>
        <v>0</v>
      </c>
      <c r="T15" s="147">
        <f>Revenue!T28</f>
        <v>0</v>
      </c>
      <c r="U15" s="147">
        <f>Revenue!U28</f>
        <v>0</v>
      </c>
      <c r="V15" s="147">
        <f>Revenue!V28</f>
        <v>0</v>
      </c>
      <c r="W15" s="147">
        <f>Revenue!W28</f>
        <v>0</v>
      </c>
      <c r="X15" s="147">
        <f>Revenue!X28</f>
        <v>0</v>
      </c>
      <c r="Y15" s="147">
        <f>Revenue!Y28</f>
        <v>0</v>
      </c>
      <c r="Z15" s="147">
        <f>Revenue!Z28</f>
        <v>0</v>
      </c>
      <c r="AA15" s="147">
        <f>Revenue!AA28</f>
        <v>0</v>
      </c>
      <c r="AB15" s="147">
        <f>Revenue!AB28</f>
        <v>0</v>
      </c>
      <c r="AC15" s="147">
        <f>Revenue!AC28</f>
        <v>0</v>
      </c>
      <c r="AD15" s="147">
        <f>Revenue!AD28</f>
        <v>0</v>
      </c>
      <c r="AE15" s="147">
        <f>Revenue!AE28</f>
        <v>0</v>
      </c>
      <c r="AF15" s="147">
        <f>Revenue!AF28</f>
        <v>0</v>
      </c>
      <c r="AG15" s="147">
        <f>Revenue!AG28</f>
        <v>0</v>
      </c>
      <c r="AH15" s="147">
        <f>Revenue!AH28</f>
        <v>0</v>
      </c>
      <c r="AI15" s="147">
        <f>Revenue!AI28</f>
        <v>0</v>
      </c>
      <c r="AJ15" s="147">
        <f>Revenue!AJ28</f>
        <v>0</v>
      </c>
      <c r="AK15" s="147">
        <f>Revenue!AK28</f>
        <v>0</v>
      </c>
      <c r="AL15" s="147">
        <f>Revenue!AL28</f>
        <v>0</v>
      </c>
      <c r="AM15" s="147">
        <f>Revenue!AM28</f>
        <v>0</v>
      </c>
      <c r="AN15" s="147">
        <f>Revenue!AN28</f>
        <v>0</v>
      </c>
      <c r="AO15" s="147">
        <f>Revenue!AO28</f>
        <v>0</v>
      </c>
      <c r="AP15" s="147">
        <f>Revenue!AP28</f>
        <v>0</v>
      </c>
      <c r="AQ15" s="147">
        <f>Revenue!AQ28</f>
        <v>0</v>
      </c>
      <c r="AR15" s="147">
        <f>Revenue!AR28</f>
        <v>0</v>
      </c>
      <c r="AS15" s="147">
        <f>Revenue!AS28</f>
        <v>0</v>
      </c>
      <c r="AT15" s="147">
        <f>Revenue!AT28</f>
        <v>0</v>
      </c>
      <c r="AU15" s="147">
        <f>Revenue!AU28</f>
        <v>0</v>
      </c>
      <c r="AV15" s="147">
        <f>Revenue!AV28</f>
        <v>0</v>
      </c>
      <c r="AW15" s="147">
        <f>Revenue!AW28</f>
        <v>0</v>
      </c>
      <c r="AX15" s="147">
        <f>Revenue!AX28</f>
        <v>0</v>
      </c>
      <c r="AY15" s="147">
        <f>Revenue!AY28</f>
        <v>0</v>
      </c>
      <c r="AZ15" s="147">
        <f>Revenue!AZ28</f>
        <v>0</v>
      </c>
      <c r="BA15" s="147">
        <f>Revenue!BA28</f>
        <v>0</v>
      </c>
      <c r="BB15" s="147">
        <f>Revenue!BB28</f>
        <v>0</v>
      </c>
      <c r="BC15" s="147">
        <f>Revenue!BC28</f>
        <v>0</v>
      </c>
      <c r="BD15" s="147">
        <f>Revenue!BD28</f>
        <v>0</v>
      </c>
      <c r="BE15" s="147">
        <f>Revenue!BE28</f>
        <v>0</v>
      </c>
      <c r="BF15" s="147">
        <f>Revenue!BF28</f>
        <v>0</v>
      </c>
      <c r="BG15" s="147">
        <f>Revenue!BG28</f>
        <v>0</v>
      </c>
      <c r="BH15" s="147">
        <f>Revenue!BH28</f>
        <v>0</v>
      </c>
      <c r="BI15" s="147">
        <f>Revenue!BI28</f>
        <v>0</v>
      </c>
      <c r="BJ15" s="147">
        <f>Revenue!BJ28</f>
        <v>0</v>
      </c>
      <c r="BK15" s="147">
        <f>Revenue!BK28</f>
        <v>0</v>
      </c>
      <c r="BL15" s="147">
        <f>Revenue!BL28</f>
        <v>0</v>
      </c>
      <c r="BM15" s="147">
        <f>Revenue!BM28</f>
        <v>0</v>
      </c>
      <c r="BN15" s="147">
        <f>Revenue!BN28</f>
        <v>0</v>
      </c>
      <c r="BO15" s="147">
        <f>Revenue!BO28</f>
        <v>0</v>
      </c>
      <c r="BP15" s="147">
        <f>Revenue!BP28</f>
        <v>0</v>
      </c>
      <c r="BQ15" s="147">
        <f>Revenue!BQ28</f>
        <v>0</v>
      </c>
      <c r="BR15" s="147">
        <f>Revenue!BR28</f>
        <v>0</v>
      </c>
    </row>
    <row r="16" spans="1:78" s="147" customFormat="1" ht="13.2" x14ac:dyDescent="0.25">
      <c r="A16" s="211"/>
      <c r="D16" s="231"/>
    </row>
    <row r="17" spans="1:70" s="147" customFormat="1" ht="13.2" x14ac:dyDescent="0.25">
      <c r="A17" s="211"/>
      <c r="B17" s="147" t="s">
        <v>148</v>
      </c>
      <c r="D17" s="231" t="str">
        <f>unit</f>
        <v>£</v>
      </c>
      <c r="E17" s="147">
        <f t="shared" ref="E17:E25" si="3">SUMIF($K$5:$BR$5,E$5,$K17:$BR17)</f>
        <v>0</v>
      </c>
      <c r="F17" s="147">
        <f t="shared" ref="F17:I25" si="4">SUMIF($K$5:$BR$5,F$5,$K17:$BR17)</f>
        <v>0</v>
      </c>
      <c r="G17" s="147">
        <f t="shared" si="4"/>
        <v>0</v>
      </c>
      <c r="H17" s="147">
        <f t="shared" si="4"/>
        <v>0</v>
      </c>
      <c r="I17" s="147">
        <f t="shared" si="4"/>
        <v>0</v>
      </c>
      <c r="K17" s="147">
        <f>SUM(K18:K20)</f>
        <v>0</v>
      </c>
      <c r="L17" s="147">
        <f t="shared" ref="L17:BR17" si="5">SUM(L18:L20)</f>
        <v>0</v>
      </c>
      <c r="M17" s="147">
        <f t="shared" si="5"/>
        <v>0</v>
      </c>
      <c r="N17" s="147">
        <f t="shared" si="5"/>
        <v>0</v>
      </c>
      <c r="O17" s="147">
        <f t="shared" si="5"/>
        <v>0</v>
      </c>
      <c r="P17" s="147">
        <f t="shared" si="5"/>
        <v>0</v>
      </c>
      <c r="Q17" s="147">
        <f t="shared" si="5"/>
        <v>0</v>
      </c>
      <c r="R17" s="147">
        <f t="shared" si="5"/>
        <v>0</v>
      </c>
      <c r="S17" s="147">
        <f t="shared" si="5"/>
        <v>0</v>
      </c>
      <c r="T17" s="147">
        <f t="shared" si="5"/>
        <v>0</v>
      </c>
      <c r="U17" s="147">
        <f t="shared" si="5"/>
        <v>0</v>
      </c>
      <c r="V17" s="147">
        <f t="shared" si="5"/>
        <v>0</v>
      </c>
      <c r="W17" s="147">
        <f t="shared" si="5"/>
        <v>0</v>
      </c>
      <c r="X17" s="147">
        <f t="shared" si="5"/>
        <v>0</v>
      </c>
      <c r="Y17" s="147">
        <f t="shared" si="5"/>
        <v>0</v>
      </c>
      <c r="Z17" s="147">
        <f t="shared" si="5"/>
        <v>0</v>
      </c>
      <c r="AA17" s="147">
        <f t="shared" si="5"/>
        <v>0</v>
      </c>
      <c r="AB17" s="147">
        <f t="shared" si="5"/>
        <v>0</v>
      </c>
      <c r="AC17" s="147">
        <f t="shared" si="5"/>
        <v>0</v>
      </c>
      <c r="AD17" s="147">
        <f t="shared" si="5"/>
        <v>0</v>
      </c>
      <c r="AE17" s="147">
        <f t="shared" si="5"/>
        <v>0</v>
      </c>
      <c r="AF17" s="147">
        <f t="shared" si="5"/>
        <v>0</v>
      </c>
      <c r="AG17" s="147">
        <f t="shared" si="5"/>
        <v>0</v>
      </c>
      <c r="AH17" s="147">
        <f t="shared" si="5"/>
        <v>0</v>
      </c>
      <c r="AI17" s="147">
        <f t="shared" si="5"/>
        <v>0</v>
      </c>
      <c r="AJ17" s="147">
        <f t="shared" si="5"/>
        <v>0</v>
      </c>
      <c r="AK17" s="147">
        <f t="shared" si="5"/>
        <v>0</v>
      </c>
      <c r="AL17" s="147">
        <f t="shared" si="5"/>
        <v>0</v>
      </c>
      <c r="AM17" s="147">
        <f t="shared" si="5"/>
        <v>0</v>
      </c>
      <c r="AN17" s="147">
        <f t="shared" si="5"/>
        <v>0</v>
      </c>
      <c r="AO17" s="147">
        <f t="shared" si="5"/>
        <v>0</v>
      </c>
      <c r="AP17" s="147">
        <f t="shared" si="5"/>
        <v>0</v>
      </c>
      <c r="AQ17" s="147">
        <f t="shared" si="5"/>
        <v>0</v>
      </c>
      <c r="AR17" s="147">
        <f t="shared" si="5"/>
        <v>0</v>
      </c>
      <c r="AS17" s="147">
        <f t="shared" si="5"/>
        <v>0</v>
      </c>
      <c r="AT17" s="147">
        <f t="shared" si="5"/>
        <v>0</v>
      </c>
      <c r="AU17" s="147">
        <f t="shared" si="5"/>
        <v>0</v>
      </c>
      <c r="AV17" s="147">
        <f t="shared" si="5"/>
        <v>0</v>
      </c>
      <c r="AW17" s="147">
        <f t="shared" si="5"/>
        <v>0</v>
      </c>
      <c r="AX17" s="147">
        <f t="shared" si="5"/>
        <v>0</v>
      </c>
      <c r="AY17" s="147">
        <f t="shared" si="5"/>
        <v>0</v>
      </c>
      <c r="AZ17" s="147">
        <f t="shared" si="5"/>
        <v>0</v>
      </c>
      <c r="BA17" s="147">
        <f t="shared" si="5"/>
        <v>0</v>
      </c>
      <c r="BB17" s="147">
        <f t="shared" si="5"/>
        <v>0</v>
      </c>
      <c r="BC17" s="147">
        <f t="shared" si="5"/>
        <v>0</v>
      </c>
      <c r="BD17" s="147">
        <f t="shared" si="5"/>
        <v>0</v>
      </c>
      <c r="BE17" s="147">
        <f t="shared" si="5"/>
        <v>0</v>
      </c>
      <c r="BF17" s="147">
        <f t="shared" si="5"/>
        <v>0</v>
      </c>
      <c r="BG17" s="147">
        <f t="shared" si="5"/>
        <v>0</v>
      </c>
      <c r="BH17" s="147">
        <f t="shared" si="5"/>
        <v>0</v>
      </c>
      <c r="BI17" s="147">
        <f t="shared" si="5"/>
        <v>0</v>
      </c>
      <c r="BJ17" s="147">
        <f t="shared" si="5"/>
        <v>0</v>
      </c>
      <c r="BK17" s="147">
        <f t="shared" si="5"/>
        <v>0</v>
      </c>
      <c r="BL17" s="147">
        <f t="shared" si="5"/>
        <v>0</v>
      </c>
      <c r="BM17" s="147">
        <f t="shared" si="5"/>
        <v>0</v>
      </c>
      <c r="BN17" s="147">
        <f t="shared" si="5"/>
        <v>0</v>
      </c>
      <c r="BO17" s="147">
        <f t="shared" si="5"/>
        <v>0</v>
      </c>
      <c r="BP17" s="147">
        <f t="shared" si="5"/>
        <v>0</v>
      </c>
      <c r="BQ17" s="147">
        <f t="shared" si="5"/>
        <v>0</v>
      </c>
      <c r="BR17" s="147">
        <f t="shared" si="5"/>
        <v>0</v>
      </c>
    </row>
    <row r="18" spans="1:70" s="147" customFormat="1" ht="13.2" x14ac:dyDescent="0.25">
      <c r="A18" s="211"/>
      <c r="B18" s="249" t="str">
        <f>B13</f>
        <v>Test</v>
      </c>
      <c r="D18" s="231" t="str">
        <f>unit</f>
        <v>£</v>
      </c>
      <c r="E18" s="147">
        <f t="shared" si="3"/>
        <v>0</v>
      </c>
      <c r="F18" s="147">
        <f t="shared" si="4"/>
        <v>0</v>
      </c>
      <c r="G18" s="147">
        <f t="shared" si="4"/>
        <v>0</v>
      </c>
      <c r="H18" s="147">
        <f t="shared" si="4"/>
        <v>0</v>
      </c>
      <c r="I18" s="147">
        <f t="shared" si="4"/>
        <v>0</v>
      </c>
      <c r="K18" s="147">
        <f>VariableCosts!K16</f>
        <v>0</v>
      </c>
      <c r="L18" s="147">
        <f>VariableCosts!L16</f>
        <v>0</v>
      </c>
      <c r="M18" s="147">
        <f>VariableCosts!M16</f>
        <v>0</v>
      </c>
      <c r="N18" s="147">
        <f>VariableCosts!N16</f>
        <v>0</v>
      </c>
      <c r="O18" s="147">
        <f>VariableCosts!O16</f>
        <v>0</v>
      </c>
      <c r="P18" s="147">
        <f>VariableCosts!P16</f>
        <v>0</v>
      </c>
      <c r="Q18" s="147">
        <f>VariableCosts!Q16</f>
        <v>0</v>
      </c>
      <c r="R18" s="147">
        <f>VariableCosts!R16</f>
        <v>0</v>
      </c>
      <c r="S18" s="147">
        <f>VariableCosts!S16</f>
        <v>0</v>
      </c>
      <c r="T18" s="147">
        <f>VariableCosts!T16</f>
        <v>0</v>
      </c>
      <c r="U18" s="147">
        <f>VariableCosts!U16</f>
        <v>0</v>
      </c>
      <c r="V18" s="147">
        <f>VariableCosts!V16</f>
        <v>0</v>
      </c>
      <c r="W18" s="147">
        <f>VariableCosts!W16</f>
        <v>0</v>
      </c>
      <c r="X18" s="147">
        <f>VariableCosts!X16</f>
        <v>0</v>
      </c>
      <c r="Y18" s="147">
        <f>VariableCosts!Y16</f>
        <v>0</v>
      </c>
      <c r="Z18" s="147">
        <f>VariableCosts!Z16</f>
        <v>0</v>
      </c>
      <c r="AA18" s="147">
        <f>VariableCosts!AA16</f>
        <v>0</v>
      </c>
      <c r="AB18" s="147">
        <f>VariableCosts!AB16</f>
        <v>0</v>
      </c>
      <c r="AC18" s="147">
        <f>VariableCosts!AC16</f>
        <v>0</v>
      </c>
      <c r="AD18" s="147">
        <f>VariableCosts!AD16</f>
        <v>0</v>
      </c>
      <c r="AE18" s="147">
        <f>VariableCosts!AE16</f>
        <v>0</v>
      </c>
      <c r="AF18" s="147">
        <f>VariableCosts!AF16</f>
        <v>0</v>
      </c>
      <c r="AG18" s="147">
        <f>VariableCosts!AG16</f>
        <v>0</v>
      </c>
      <c r="AH18" s="147">
        <f>VariableCosts!AH16</f>
        <v>0</v>
      </c>
      <c r="AI18" s="147">
        <f>VariableCosts!AI16</f>
        <v>0</v>
      </c>
      <c r="AJ18" s="147">
        <f>VariableCosts!AJ16</f>
        <v>0</v>
      </c>
      <c r="AK18" s="147">
        <f>VariableCosts!AK16</f>
        <v>0</v>
      </c>
      <c r="AL18" s="147">
        <f>VariableCosts!AL16</f>
        <v>0</v>
      </c>
      <c r="AM18" s="147">
        <f>VariableCosts!AM16</f>
        <v>0</v>
      </c>
      <c r="AN18" s="147">
        <f>VariableCosts!AN16</f>
        <v>0</v>
      </c>
      <c r="AO18" s="147">
        <f>VariableCosts!AO16</f>
        <v>0</v>
      </c>
      <c r="AP18" s="147">
        <f>VariableCosts!AP16</f>
        <v>0</v>
      </c>
      <c r="AQ18" s="147">
        <f>VariableCosts!AQ16</f>
        <v>0</v>
      </c>
      <c r="AR18" s="147">
        <f>VariableCosts!AR16</f>
        <v>0</v>
      </c>
      <c r="AS18" s="147">
        <f>VariableCosts!AS16</f>
        <v>0</v>
      </c>
      <c r="AT18" s="147">
        <f>VariableCosts!AT16</f>
        <v>0</v>
      </c>
      <c r="AU18" s="147">
        <f>VariableCosts!AU16</f>
        <v>0</v>
      </c>
      <c r="AV18" s="147">
        <f>VariableCosts!AV16</f>
        <v>0</v>
      </c>
      <c r="AW18" s="147">
        <f>VariableCosts!AW16</f>
        <v>0</v>
      </c>
      <c r="AX18" s="147">
        <f>VariableCosts!AX16</f>
        <v>0</v>
      </c>
      <c r="AY18" s="147">
        <f>VariableCosts!AY16</f>
        <v>0</v>
      </c>
      <c r="AZ18" s="147">
        <f>VariableCosts!AZ16</f>
        <v>0</v>
      </c>
      <c r="BA18" s="147">
        <f>VariableCosts!BA16</f>
        <v>0</v>
      </c>
      <c r="BB18" s="147">
        <f>VariableCosts!BB16</f>
        <v>0</v>
      </c>
      <c r="BC18" s="147">
        <f>VariableCosts!BC16</f>
        <v>0</v>
      </c>
      <c r="BD18" s="147">
        <f>VariableCosts!BD16</f>
        <v>0</v>
      </c>
      <c r="BE18" s="147">
        <f>VariableCosts!BE16</f>
        <v>0</v>
      </c>
      <c r="BF18" s="147">
        <f>VariableCosts!BF16</f>
        <v>0</v>
      </c>
      <c r="BG18" s="147">
        <f>VariableCosts!BG16</f>
        <v>0</v>
      </c>
      <c r="BH18" s="147">
        <f>VariableCosts!BH16</f>
        <v>0</v>
      </c>
      <c r="BI18" s="147">
        <f>VariableCosts!BI16</f>
        <v>0</v>
      </c>
      <c r="BJ18" s="147">
        <f>VariableCosts!BJ16</f>
        <v>0</v>
      </c>
      <c r="BK18" s="147">
        <f>VariableCosts!BK16</f>
        <v>0</v>
      </c>
      <c r="BL18" s="147">
        <f>VariableCosts!BL16</f>
        <v>0</v>
      </c>
      <c r="BM18" s="147">
        <f>VariableCosts!BM16</f>
        <v>0</v>
      </c>
      <c r="BN18" s="147">
        <f>VariableCosts!BN16</f>
        <v>0</v>
      </c>
      <c r="BO18" s="147">
        <f>VariableCosts!BO16</f>
        <v>0</v>
      </c>
      <c r="BP18" s="147">
        <f>VariableCosts!BP16</f>
        <v>0</v>
      </c>
      <c r="BQ18" s="147">
        <f>VariableCosts!BQ16</f>
        <v>0</v>
      </c>
      <c r="BR18" s="147">
        <f>VariableCosts!BR16</f>
        <v>0</v>
      </c>
    </row>
    <row r="19" spans="1:70" s="147" customFormat="1" ht="13.2" x14ac:dyDescent="0.25">
      <c r="A19" s="211"/>
      <c r="B19" s="249" t="str">
        <f t="shared" ref="B19:B20" si="6">B14</f>
        <v>Insert Business Line2</v>
      </c>
      <c r="D19" s="231" t="str">
        <f>unit</f>
        <v>£</v>
      </c>
      <c r="E19" s="147">
        <f t="shared" si="3"/>
        <v>0</v>
      </c>
      <c r="F19" s="147">
        <f t="shared" si="4"/>
        <v>0</v>
      </c>
      <c r="G19" s="147">
        <f t="shared" si="4"/>
        <v>0</v>
      </c>
      <c r="H19" s="147">
        <f t="shared" si="4"/>
        <v>0</v>
      </c>
      <c r="I19" s="147">
        <f t="shared" si="4"/>
        <v>0</v>
      </c>
      <c r="K19" s="147">
        <f>VariableCosts!K22</f>
        <v>0</v>
      </c>
      <c r="L19" s="147">
        <f>VariableCosts!L22</f>
        <v>0</v>
      </c>
      <c r="M19" s="147">
        <f>VariableCosts!M22</f>
        <v>0</v>
      </c>
      <c r="N19" s="147">
        <f>VariableCosts!N22</f>
        <v>0</v>
      </c>
      <c r="O19" s="147">
        <f>VariableCosts!O22</f>
        <v>0</v>
      </c>
      <c r="P19" s="147">
        <f>VariableCosts!P22</f>
        <v>0</v>
      </c>
      <c r="Q19" s="147">
        <f>VariableCosts!Q22</f>
        <v>0</v>
      </c>
      <c r="R19" s="147">
        <f>VariableCosts!R22</f>
        <v>0</v>
      </c>
      <c r="S19" s="147">
        <f>VariableCosts!S22</f>
        <v>0</v>
      </c>
      <c r="T19" s="147">
        <f>VariableCosts!T22</f>
        <v>0</v>
      </c>
      <c r="U19" s="147">
        <f>VariableCosts!U22</f>
        <v>0</v>
      </c>
      <c r="V19" s="147">
        <f>VariableCosts!V22</f>
        <v>0</v>
      </c>
      <c r="W19" s="147">
        <f>VariableCosts!W22</f>
        <v>0</v>
      </c>
      <c r="X19" s="147">
        <f>VariableCosts!X22</f>
        <v>0</v>
      </c>
      <c r="Y19" s="147">
        <f>VariableCosts!Y22</f>
        <v>0</v>
      </c>
      <c r="Z19" s="147">
        <f>VariableCosts!Z22</f>
        <v>0</v>
      </c>
      <c r="AA19" s="147">
        <f>VariableCosts!AA22</f>
        <v>0</v>
      </c>
      <c r="AB19" s="147">
        <f>VariableCosts!AB22</f>
        <v>0</v>
      </c>
      <c r="AC19" s="147">
        <f>VariableCosts!AC22</f>
        <v>0</v>
      </c>
      <c r="AD19" s="147">
        <f>VariableCosts!AD22</f>
        <v>0</v>
      </c>
      <c r="AE19" s="147">
        <f>VariableCosts!AE22</f>
        <v>0</v>
      </c>
      <c r="AF19" s="147">
        <f>VariableCosts!AF22</f>
        <v>0</v>
      </c>
      <c r="AG19" s="147">
        <f>VariableCosts!AG22</f>
        <v>0</v>
      </c>
      <c r="AH19" s="147">
        <f>VariableCosts!AH22</f>
        <v>0</v>
      </c>
      <c r="AI19" s="147">
        <f>VariableCosts!AI22</f>
        <v>0</v>
      </c>
      <c r="AJ19" s="147">
        <f>VariableCosts!AJ22</f>
        <v>0</v>
      </c>
      <c r="AK19" s="147">
        <f>VariableCosts!AK22</f>
        <v>0</v>
      </c>
      <c r="AL19" s="147">
        <f>VariableCosts!AL22</f>
        <v>0</v>
      </c>
      <c r="AM19" s="147">
        <f>VariableCosts!AM22</f>
        <v>0</v>
      </c>
      <c r="AN19" s="147">
        <f>VariableCosts!AN22</f>
        <v>0</v>
      </c>
      <c r="AO19" s="147">
        <f>VariableCosts!AO22</f>
        <v>0</v>
      </c>
      <c r="AP19" s="147">
        <f>VariableCosts!AP22</f>
        <v>0</v>
      </c>
      <c r="AQ19" s="147">
        <f>VariableCosts!AQ22</f>
        <v>0</v>
      </c>
      <c r="AR19" s="147">
        <f>VariableCosts!AR22</f>
        <v>0</v>
      </c>
      <c r="AS19" s="147">
        <f>VariableCosts!AS22</f>
        <v>0</v>
      </c>
      <c r="AT19" s="147">
        <f>VariableCosts!AT22</f>
        <v>0</v>
      </c>
      <c r="AU19" s="147">
        <f>VariableCosts!AU22</f>
        <v>0</v>
      </c>
      <c r="AV19" s="147">
        <f>VariableCosts!AV22</f>
        <v>0</v>
      </c>
      <c r="AW19" s="147">
        <f>VariableCosts!AW22</f>
        <v>0</v>
      </c>
      <c r="AX19" s="147">
        <f>VariableCosts!AX22</f>
        <v>0</v>
      </c>
      <c r="AY19" s="147">
        <f>VariableCosts!AY22</f>
        <v>0</v>
      </c>
      <c r="AZ19" s="147">
        <f>VariableCosts!AZ22</f>
        <v>0</v>
      </c>
      <c r="BA19" s="147">
        <f>VariableCosts!BA22</f>
        <v>0</v>
      </c>
      <c r="BB19" s="147">
        <f>VariableCosts!BB22</f>
        <v>0</v>
      </c>
      <c r="BC19" s="147">
        <f>VariableCosts!BC22</f>
        <v>0</v>
      </c>
      <c r="BD19" s="147">
        <f>VariableCosts!BD22</f>
        <v>0</v>
      </c>
      <c r="BE19" s="147">
        <f>VariableCosts!BE22</f>
        <v>0</v>
      </c>
      <c r="BF19" s="147">
        <f>VariableCosts!BF22</f>
        <v>0</v>
      </c>
      <c r="BG19" s="147">
        <f>VariableCosts!BG22</f>
        <v>0</v>
      </c>
      <c r="BH19" s="147">
        <f>VariableCosts!BH22</f>
        <v>0</v>
      </c>
      <c r="BI19" s="147">
        <f>VariableCosts!BI22</f>
        <v>0</v>
      </c>
      <c r="BJ19" s="147">
        <f>VariableCosts!BJ22</f>
        <v>0</v>
      </c>
      <c r="BK19" s="147">
        <f>VariableCosts!BK22</f>
        <v>0</v>
      </c>
      <c r="BL19" s="147">
        <f>VariableCosts!BL22</f>
        <v>0</v>
      </c>
      <c r="BM19" s="147">
        <f>VariableCosts!BM22</f>
        <v>0</v>
      </c>
      <c r="BN19" s="147">
        <f>VariableCosts!BN22</f>
        <v>0</v>
      </c>
      <c r="BO19" s="147">
        <f>VariableCosts!BO22</f>
        <v>0</v>
      </c>
      <c r="BP19" s="147">
        <f>VariableCosts!BP22</f>
        <v>0</v>
      </c>
      <c r="BQ19" s="147">
        <f>VariableCosts!BQ22</f>
        <v>0</v>
      </c>
      <c r="BR19" s="147">
        <f>VariableCosts!BR22</f>
        <v>0</v>
      </c>
    </row>
    <row r="20" spans="1:70" s="147" customFormat="1" ht="13.2" x14ac:dyDescent="0.25">
      <c r="A20" s="211"/>
      <c r="B20" s="249" t="str">
        <f t="shared" si="6"/>
        <v>Insert Business Line3</v>
      </c>
      <c r="D20" s="231" t="str">
        <f>unit</f>
        <v>£</v>
      </c>
      <c r="E20" s="147">
        <f t="shared" si="3"/>
        <v>0</v>
      </c>
      <c r="F20" s="147">
        <f t="shared" si="4"/>
        <v>0</v>
      </c>
      <c r="G20" s="147">
        <f t="shared" si="4"/>
        <v>0</v>
      </c>
      <c r="H20" s="147">
        <f t="shared" si="4"/>
        <v>0</v>
      </c>
      <c r="I20" s="147">
        <f t="shared" si="4"/>
        <v>0</v>
      </c>
      <c r="K20" s="147">
        <f>VariableCosts!K27</f>
        <v>0</v>
      </c>
      <c r="L20" s="147">
        <f>VariableCosts!L27</f>
        <v>0</v>
      </c>
      <c r="M20" s="147">
        <f>VariableCosts!M27</f>
        <v>0</v>
      </c>
      <c r="N20" s="147">
        <f>VariableCosts!N27</f>
        <v>0</v>
      </c>
      <c r="O20" s="147">
        <f>VariableCosts!O27</f>
        <v>0</v>
      </c>
      <c r="P20" s="147">
        <f>VariableCosts!P27</f>
        <v>0</v>
      </c>
      <c r="Q20" s="147">
        <f>VariableCosts!Q27</f>
        <v>0</v>
      </c>
      <c r="R20" s="147">
        <f>VariableCosts!R27</f>
        <v>0</v>
      </c>
      <c r="S20" s="147">
        <f>VariableCosts!S27</f>
        <v>0</v>
      </c>
      <c r="T20" s="147">
        <f>VariableCosts!T27</f>
        <v>0</v>
      </c>
      <c r="U20" s="147">
        <f>VariableCosts!U27</f>
        <v>0</v>
      </c>
      <c r="V20" s="147">
        <f>VariableCosts!V27</f>
        <v>0</v>
      </c>
      <c r="W20" s="147">
        <f>VariableCosts!W27</f>
        <v>0</v>
      </c>
      <c r="X20" s="147">
        <f>VariableCosts!X27</f>
        <v>0</v>
      </c>
      <c r="Y20" s="147">
        <f>VariableCosts!Y27</f>
        <v>0</v>
      </c>
      <c r="Z20" s="147">
        <f>VariableCosts!Z27</f>
        <v>0</v>
      </c>
      <c r="AA20" s="147">
        <f>VariableCosts!AA27</f>
        <v>0</v>
      </c>
      <c r="AB20" s="147">
        <f>VariableCosts!AB27</f>
        <v>0</v>
      </c>
      <c r="AC20" s="147">
        <f>VariableCosts!AC27</f>
        <v>0</v>
      </c>
      <c r="AD20" s="147">
        <f>VariableCosts!AD27</f>
        <v>0</v>
      </c>
      <c r="AE20" s="147">
        <f>VariableCosts!AE27</f>
        <v>0</v>
      </c>
      <c r="AF20" s="147">
        <f>VariableCosts!AF27</f>
        <v>0</v>
      </c>
      <c r="AG20" s="147">
        <f>VariableCosts!AG27</f>
        <v>0</v>
      </c>
      <c r="AH20" s="147">
        <f>VariableCosts!AH27</f>
        <v>0</v>
      </c>
      <c r="AI20" s="147">
        <f>VariableCosts!AI27</f>
        <v>0</v>
      </c>
      <c r="AJ20" s="147">
        <f>VariableCosts!AJ27</f>
        <v>0</v>
      </c>
      <c r="AK20" s="147">
        <f>VariableCosts!AK27</f>
        <v>0</v>
      </c>
      <c r="AL20" s="147">
        <f>VariableCosts!AL27</f>
        <v>0</v>
      </c>
      <c r="AM20" s="147">
        <f>VariableCosts!AM27</f>
        <v>0</v>
      </c>
      <c r="AN20" s="147">
        <f>VariableCosts!AN27</f>
        <v>0</v>
      </c>
      <c r="AO20" s="147">
        <f>VariableCosts!AO27</f>
        <v>0</v>
      </c>
      <c r="AP20" s="147">
        <f>VariableCosts!AP27</f>
        <v>0</v>
      </c>
      <c r="AQ20" s="147">
        <f>VariableCosts!AQ27</f>
        <v>0</v>
      </c>
      <c r="AR20" s="147">
        <f>VariableCosts!AR27</f>
        <v>0</v>
      </c>
      <c r="AS20" s="147">
        <f>VariableCosts!AS27</f>
        <v>0</v>
      </c>
      <c r="AT20" s="147">
        <f>VariableCosts!AT27</f>
        <v>0</v>
      </c>
      <c r="AU20" s="147">
        <f>VariableCosts!AU27</f>
        <v>0</v>
      </c>
      <c r="AV20" s="147">
        <f>VariableCosts!AV27</f>
        <v>0</v>
      </c>
      <c r="AW20" s="147">
        <f>VariableCosts!AW27</f>
        <v>0</v>
      </c>
      <c r="AX20" s="147">
        <f>VariableCosts!AX27</f>
        <v>0</v>
      </c>
      <c r="AY20" s="147">
        <f>VariableCosts!AY27</f>
        <v>0</v>
      </c>
      <c r="AZ20" s="147">
        <f>VariableCosts!AZ27</f>
        <v>0</v>
      </c>
      <c r="BA20" s="147">
        <f>VariableCosts!BA27</f>
        <v>0</v>
      </c>
      <c r="BB20" s="147">
        <f>VariableCosts!BB27</f>
        <v>0</v>
      </c>
      <c r="BC20" s="147">
        <f>VariableCosts!BC27</f>
        <v>0</v>
      </c>
      <c r="BD20" s="147">
        <f>VariableCosts!BD27</f>
        <v>0</v>
      </c>
      <c r="BE20" s="147">
        <f>VariableCosts!BE27</f>
        <v>0</v>
      </c>
      <c r="BF20" s="147">
        <f>VariableCosts!BF27</f>
        <v>0</v>
      </c>
      <c r="BG20" s="147">
        <f>VariableCosts!BG27</f>
        <v>0</v>
      </c>
      <c r="BH20" s="147">
        <f>VariableCosts!BH27</f>
        <v>0</v>
      </c>
      <c r="BI20" s="147">
        <f>VariableCosts!BI27</f>
        <v>0</v>
      </c>
      <c r="BJ20" s="147">
        <f>VariableCosts!BJ27</f>
        <v>0</v>
      </c>
      <c r="BK20" s="147">
        <f>VariableCosts!BK27</f>
        <v>0</v>
      </c>
      <c r="BL20" s="147">
        <f>VariableCosts!BL27</f>
        <v>0</v>
      </c>
      <c r="BM20" s="147">
        <f>VariableCosts!BM27</f>
        <v>0</v>
      </c>
      <c r="BN20" s="147">
        <f>VariableCosts!BN27</f>
        <v>0</v>
      </c>
      <c r="BO20" s="147">
        <f>VariableCosts!BO27</f>
        <v>0</v>
      </c>
      <c r="BP20" s="147">
        <f>VariableCosts!BP27</f>
        <v>0</v>
      </c>
      <c r="BQ20" s="147">
        <f>VariableCosts!BQ27</f>
        <v>0</v>
      </c>
      <c r="BR20" s="147">
        <f>VariableCosts!BR27</f>
        <v>0</v>
      </c>
    </row>
    <row r="21" spans="1:70" s="147" customFormat="1" ht="13.2" x14ac:dyDescent="0.25">
      <c r="A21" s="211"/>
      <c r="D21" s="231"/>
    </row>
    <row r="22" spans="1:70" s="147" customFormat="1" ht="13.2" x14ac:dyDescent="0.25">
      <c r="A22" s="211"/>
      <c r="B22" s="147" t="s">
        <v>293</v>
      </c>
      <c r="D22" s="231" t="str">
        <f>unit</f>
        <v>£</v>
      </c>
      <c r="E22" s="147">
        <f t="shared" si="3"/>
        <v>0</v>
      </c>
      <c r="F22" s="147">
        <f t="shared" si="4"/>
        <v>0</v>
      </c>
      <c r="G22" s="147">
        <f t="shared" si="4"/>
        <v>0</v>
      </c>
      <c r="H22" s="147">
        <f t="shared" si="4"/>
        <v>0</v>
      </c>
      <c r="I22" s="147">
        <f t="shared" si="4"/>
        <v>0</v>
      </c>
      <c r="K22" s="147">
        <f>SUM(K23:K25)</f>
        <v>0</v>
      </c>
      <c r="L22" s="147">
        <f t="shared" ref="L22:BR22" si="7">SUM(L23:L25)</f>
        <v>0</v>
      </c>
      <c r="M22" s="147">
        <f t="shared" si="7"/>
        <v>0</v>
      </c>
      <c r="N22" s="147">
        <f t="shared" si="7"/>
        <v>0</v>
      </c>
      <c r="O22" s="147">
        <f t="shared" si="7"/>
        <v>0</v>
      </c>
      <c r="P22" s="147">
        <f t="shared" si="7"/>
        <v>0</v>
      </c>
      <c r="Q22" s="147">
        <f t="shared" si="7"/>
        <v>0</v>
      </c>
      <c r="R22" s="147">
        <f t="shared" si="7"/>
        <v>0</v>
      </c>
      <c r="S22" s="147">
        <f t="shared" si="7"/>
        <v>0</v>
      </c>
      <c r="T22" s="147">
        <f t="shared" si="7"/>
        <v>0</v>
      </c>
      <c r="U22" s="147">
        <f t="shared" si="7"/>
        <v>0</v>
      </c>
      <c r="V22" s="147">
        <f t="shared" si="7"/>
        <v>0</v>
      </c>
      <c r="W22" s="147">
        <f t="shared" si="7"/>
        <v>0</v>
      </c>
      <c r="X22" s="147">
        <f t="shared" si="7"/>
        <v>0</v>
      </c>
      <c r="Y22" s="147">
        <f t="shared" si="7"/>
        <v>0</v>
      </c>
      <c r="Z22" s="147">
        <f t="shared" si="7"/>
        <v>0</v>
      </c>
      <c r="AA22" s="147">
        <f t="shared" si="7"/>
        <v>0</v>
      </c>
      <c r="AB22" s="147">
        <f t="shared" si="7"/>
        <v>0</v>
      </c>
      <c r="AC22" s="147">
        <f t="shared" si="7"/>
        <v>0</v>
      </c>
      <c r="AD22" s="147">
        <f t="shared" si="7"/>
        <v>0</v>
      </c>
      <c r="AE22" s="147">
        <f t="shared" si="7"/>
        <v>0</v>
      </c>
      <c r="AF22" s="147">
        <f t="shared" si="7"/>
        <v>0</v>
      </c>
      <c r="AG22" s="147">
        <f t="shared" si="7"/>
        <v>0</v>
      </c>
      <c r="AH22" s="147">
        <f t="shared" si="7"/>
        <v>0</v>
      </c>
      <c r="AI22" s="147">
        <f t="shared" si="7"/>
        <v>0</v>
      </c>
      <c r="AJ22" s="147">
        <f t="shared" si="7"/>
        <v>0</v>
      </c>
      <c r="AK22" s="147">
        <f t="shared" si="7"/>
        <v>0</v>
      </c>
      <c r="AL22" s="147">
        <f t="shared" si="7"/>
        <v>0</v>
      </c>
      <c r="AM22" s="147">
        <f t="shared" si="7"/>
        <v>0</v>
      </c>
      <c r="AN22" s="147">
        <f t="shared" si="7"/>
        <v>0</v>
      </c>
      <c r="AO22" s="147">
        <f t="shared" si="7"/>
        <v>0</v>
      </c>
      <c r="AP22" s="147">
        <f t="shared" si="7"/>
        <v>0</v>
      </c>
      <c r="AQ22" s="147">
        <f t="shared" si="7"/>
        <v>0</v>
      </c>
      <c r="AR22" s="147">
        <f t="shared" si="7"/>
        <v>0</v>
      </c>
      <c r="AS22" s="147">
        <f t="shared" si="7"/>
        <v>0</v>
      </c>
      <c r="AT22" s="147">
        <f t="shared" si="7"/>
        <v>0</v>
      </c>
      <c r="AU22" s="147">
        <f t="shared" si="7"/>
        <v>0</v>
      </c>
      <c r="AV22" s="147">
        <f t="shared" si="7"/>
        <v>0</v>
      </c>
      <c r="AW22" s="147">
        <f t="shared" si="7"/>
        <v>0</v>
      </c>
      <c r="AX22" s="147">
        <f t="shared" si="7"/>
        <v>0</v>
      </c>
      <c r="AY22" s="147">
        <f t="shared" si="7"/>
        <v>0</v>
      </c>
      <c r="AZ22" s="147">
        <f t="shared" si="7"/>
        <v>0</v>
      </c>
      <c r="BA22" s="147">
        <f t="shared" si="7"/>
        <v>0</v>
      </c>
      <c r="BB22" s="147">
        <f t="shared" si="7"/>
        <v>0</v>
      </c>
      <c r="BC22" s="147">
        <f t="shared" si="7"/>
        <v>0</v>
      </c>
      <c r="BD22" s="147">
        <f t="shared" si="7"/>
        <v>0</v>
      </c>
      <c r="BE22" s="147">
        <f t="shared" si="7"/>
        <v>0</v>
      </c>
      <c r="BF22" s="147">
        <f t="shared" si="7"/>
        <v>0</v>
      </c>
      <c r="BG22" s="147">
        <f t="shared" si="7"/>
        <v>0</v>
      </c>
      <c r="BH22" s="147">
        <f t="shared" si="7"/>
        <v>0</v>
      </c>
      <c r="BI22" s="147">
        <f t="shared" si="7"/>
        <v>0</v>
      </c>
      <c r="BJ22" s="147">
        <f t="shared" si="7"/>
        <v>0</v>
      </c>
      <c r="BK22" s="147">
        <f t="shared" si="7"/>
        <v>0</v>
      </c>
      <c r="BL22" s="147">
        <f t="shared" si="7"/>
        <v>0</v>
      </c>
      <c r="BM22" s="147">
        <f t="shared" si="7"/>
        <v>0</v>
      </c>
      <c r="BN22" s="147">
        <f t="shared" si="7"/>
        <v>0</v>
      </c>
      <c r="BO22" s="147">
        <f t="shared" si="7"/>
        <v>0</v>
      </c>
      <c r="BP22" s="147">
        <f t="shared" si="7"/>
        <v>0</v>
      </c>
      <c r="BQ22" s="147">
        <f t="shared" si="7"/>
        <v>0</v>
      </c>
      <c r="BR22" s="147">
        <f t="shared" si="7"/>
        <v>0</v>
      </c>
    </row>
    <row r="23" spans="1:70" s="147" customFormat="1" ht="13.2" x14ac:dyDescent="0.25">
      <c r="A23" s="211"/>
      <c r="B23" s="249" t="str">
        <f>B13</f>
        <v>Test</v>
      </c>
      <c r="D23" s="231" t="str">
        <f>unit</f>
        <v>£</v>
      </c>
      <c r="E23" s="147">
        <f t="shared" si="3"/>
        <v>0</v>
      </c>
      <c r="F23" s="147">
        <f t="shared" si="4"/>
        <v>0</v>
      </c>
      <c r="G23" s="147">
        <f t="shared" si="4"/>
        <v>0</v>
      </c>
      <c r="H23" s="147">
        <f t="shared" si="4"/>
        <v>0</v>
      </c>
      <c r="I23" s="147">
        <f t="shared" si="4"/>
        <v>0</v>
      </c>
      <c r="K23" s="147">
        <f>StaffCosts!K12</f>
        <v>0</v>
      </c>
      <c r="L23" s="147">
        <f>StaffCosts!L12</f>
        <v>0</v>
      </c>
      <c r="M23" s="147">
        <f>StaffCosts!M12</f>
        <v>0</v>
      </c>
      <c r="N23" s="147">
        <f>StaffCosts!N12</f>
        <v>0</v>
      </c>
      <c r="O23" s="147">
        <f>StaffCosts!O12</f>
        <v>0</v>
      </c>
      <c r="P23" s="147">
        <f>StaffCosts!P12</f>
        <v>0</v>
      </c>
      <c r="Q23" s="147">
        <f>StaffCosts!Q12</f>
        <v>0</v>
      </c>
      <c r="R23" s="147">
        <f>StaffCosts!R12</f>
        <v>0</v>
      </c>
      <c r="S23" s="147">
        <f>StaffCosts!S12</f>
        <v>0</v>
      </c>
      <c r="T23" s="147">
        <f>StaffCosts!T12</f>
        <v>0</v>
      </c>
      <c r="U23" s="147">
        <f>StaffCosts!U12</f>
        <v>0</v>
      </c>
      <c r="V23" s="147">
        <f>StaffCosts!V12</f>
        <v>0</v>
      </c>
      <c r="W23" s="147">
        <f>StaffCosts!W12</f>
        <v>0</v>
      </c>
      <c r="X23" s="147">
        <f>StaffCosts!X12</f>
        <v>0</v>
      </c>
      <c r="Y23" s="147">
        <f>StaffCosts!Y12</f>
        <v>0</v>
      </c>
      <c r="Z23" s="147">
        <f>StaffCosts!Z12</f>
        <v>0</v>
      </c>
      <c r="AA23" s="147">
        <f>StaffCosts!AA12</f>
        <v>0</v>
      </c>
      <c r="AB23" s="147">
        <f>StaffCosts!AB12</f>
        <v>0</v>
      </c>
      <c r="AC23" s="147">
        <f>StaffCosts!AC12</f>
        <v>0</v>
      </c>
      <c r="AD23" s="147">
        <f>StaffCosts!AD12</f>
        <v>0</v>
      </c>
      <c r="AE23" s="147">
        <f>StaffCosts!AE12</f>
        <v>0</v>
      </c>
      <c r="AF23" s="147">
        <f>StaffCosts!AF12</f>
        <v>0</v>
      </c>
      <c r="AG23" s="147">
        <f>StaffCosts!AG12</f>
        <v>0</v>
      </c>
      <c r="AH23" s="147">
        <f>StaffCosts!AH12</f>
        <v>0</v>
      </c>
      <c r="AI23" s="147">
        <f>StaffCosts!AI12</f>
        <v>0</v>
      </c>
      <c r="AJ23" s="147">
        <f>StaffCosts!AJ12</f>
        <v>0</v>
      </c>
      <c r="AK23" s="147">
        <f>StaffCosts!AK12</f>
        <v>0</v>
      </c>
      <c r="AL23" s="147">
        <f>StaffCosts!AL12</f>
        <v>0</v>
      </c>
      <c r="AM23" s="147">
        <f>StaffCosts!AM12</f>
        <v>0</v>
      </c>
      <c r="AN23" s="147">
        <f>StaffCosts!AN12</f>
        <v>0</v>
      </c>
      <c r="AO23" s="147">
        <f>StaffCosts!AO12</f>
        <v>0</v>
      </c>
      <c r="AP23" s="147">
        <f>StaffCosts!AP12</f>
        <v>0</v>
      </c>
      <c r="AQ23" s="147">
        <f>StaffCosts!AQ12</f>
        <v>0</v>
      </c>
      <c r="AR23" s="147">
        <f>StaffCosts!AR12</f>
        <v>0</v>
      </c>
      <c r="AS23" s="147">
        <f>StaffCosts!AS12</f>
        <v>0</v>
      </c>
      <c r="AT23" s="147">
        <f>StaffCosts!AT12</f>
        <v>0</v>
      </c>
      <c r="AU23" s="147">
        <f>StaffCosts!AU12</f>
        <v>0</v>
      </c>
      <c r="AV23" s="147">
        <f>StaffCosts!AV12</f>
        <v>0</v>
      </c>
      <c r="AW23" s="147">
        <f>StaffCosts!AW12</f>
        <v>0</v>
      </c>
      <c r="AX23" s="147">
        <f>StaffCosts!AX12</f>
        <v>0</v>
      </c>
      <c r="AY23" s="147">
        <f>StaffCosts!AY12</f>
        <v>0</v>
      </c>
      <c r="AZ23" s="147">
        <f>StaffCosts!AZ12</f>
        <v>0</v>
      </c>
      <c r="BA23" s="147">
        <f>StaffCosts!BA12</f>
        <v>0</v>
      </c>
      <c r="BB23" s="147">
        <f>StaffCosts!BB12</f>
        <v>0</v>
      </c>
      <c r="BC23" s="147">
        <f>StaffCosts!BC12</f>
        <v>0</v>
      </c>
      <c r="BD23" s="147">
        <f>StaffCosts!BD12</f>
        <v>0</v>
      </c>
      <c r="BE23" s="147">
        <f>StaffCosts!BE12</f>
        <v>0</v>
      </c>
      <c r="BF23" s="147">
        <f>StaffCosts!BF12</f>
        <v>0</v>
      </c>
      <c r="BG23" s="147">
        <f>StaffCosts!BG12</f>
        <v>0</v>
      </c>
      <c r="BH23" s="147">
        <f>StaffCosts!BH12</f>
        <v>0</v>
      </c>
      <c r="BI23" s="147">
        <f>StaffCosts!BI12</f>
        <v>0</v>
      </c>
      <c r="BJ23" s="147">
        <f>StaffCosts!BJ12</f>
        <v>0</v>
      </c>
      <c r="BK23" s="147">
        <f>StaffCosts!BK12</f>
        <v>0</v>
      </c>
      <c r="BL23" s="147">
        <f>StaffCosts!BL12</f>
        <v>0</v>
      </c>
      <c r="BM23" s="147">
        <f>StaffCosts!BM12</f>
        <v>0</v>
      </c>
      <c r="BN23" s="147">
        <f>StaffCosts!BN12</f>
        <v>0</v>
      </c>
      <c r="BO23" s="147">
        <f>StaffCosts!BO12</f>
        <v>0</v>
      </c>
      <c r="BP23" s="147">
        <f>StaffCosts!BP12</f>
        <v>0</v>
      </c>
      <c r="BQ23" s="147">
        <f>StaffCosts!BQ12</f>
        <v>0</v>
      </c>
      <c r="BR23" s="147">
        <f>StaffCosts!BR12</f>
        <v>0</v>
      </c>
    </row>
    <row r="24" spans="1:70" s="147" customFormat="1" ht="13.2" x14ac:dyDescent="0.25">
      <c r="A24" s="211"/>
      <c r="B24" s="249" t="str">
        <f t="shared" ref="B24:B25" si="8">B14</f>
        <v>Insert Business Line2</v>
      </c>
      <c r="D24" s="231" t="str">
        <f>unit</f>
        <v>£</v>
      </c>
      <c r="E24" s="147">
        <f t="shared" si="3"/>
        <v>0</v>
      </c>
      <c r="F24" s="147">
        <f t="shared" si="4"/>
        <v>0</v>
      </c>
      <c r="G24" s="147">
        <f t="shared" si="4"/>
        <v>0</v>
      </c>
      <c r="H24" s="147">
        <f t="shared" si="4"/>
        <v>0</v>
      </c>
      <c r="I24" s="147">
        <f t="shared" si="4"/>
        <v>0</v>
      </c>
      <c r="K24" s="147">
        <f>StaffCosts!K13</f>
        <v>0</v>
      </c>
      <c r="L24" s="147">
        <f>StaffCosts!L13</f>
        <v>0</v>
      </c>
      <c r="M24" s="147">
        <f>StaffCosts!M13</f>
        <v>0</v>
      </c>
      <c r="N24" s="147">
        <f>StaffCosts!N13</f>
        <v>0</v>
      </c>
      <c r="O24" s="147">
        <f>StaffCosts!O13</f>
        <v>0</v>
      </c>
      <c r="P24" s="147">
        <f>StaffCosts!P13</f>
        <v>0</v>
      </c>
      <c r="Q24" s="147">
        <f>StaffCosts!Q13</f>
        <v>0</v>
      </c>
      <c r="R24" s="147">
        <f>StaffCosts!R13</f>
        <v>0</v>
      </c>
      <c r="S24" s="147">
        <f>StaffCosts!S13</f>
        <v>0</v>
      </c>
      <c r="T24" s="147">
        <f>StaffCosts!T13</f>
        <v>0</v>
      </c>
      <c r="U24" s="147">
        <f>StaffCosts!U13</f>
        <v>0</v>
      </c>
      <c r="V24" s="147">
        <f>StaffCosts!V13</f>
        <v>0</v>
      </c>
      <c r="W24" s="147">
        <f>StaffCosts!W13</f>
        <v>0</v>
      </c>
      <c r="X24" s="147">
        <f>StaffCosts!X13</f>
        <v>0</v>
      </c>
      <c r="Y24" s="147">
        <f>StaffCosts!Y13</f>
        <v>0</v>
      </c>
      <c r="Z24" s="147">
        <f>StaffCosts!Z13</f>
        <v>0</v>
      </c>
      <c r="AA24" s="147">
        <f>StaffCosts!AA13</f>
        <v>0</v>
      </c>
      <c r="AB24" s="147">
        <f>StaffCosts!AB13</f>
        <v>0</v>
      </c>
      <c r="AC24" s="147">
        <f>StaffCosts!AC13</f>
        <v>0</v>
      </c>
      <c r="AD24" s="147">
        <f>StaffCosts!AD13</f>
        <v>0</v>
      </c>
      <c r="AE24" s="147">
        <f>StaffCosts!AE13</f>
        <v>0</v>
      </c>
      <c r="AF24" s="147">
        <f>StaffCosts!AF13</f>
        <v>0</v>
      </c>
      <c r="AG24" s="147">
        <f>StaffCosts!AG13</f>
        <v>0</v>
      </c>
      <c r="AH24" s="147">
        <f>StaffCosts!AH13</f>
        <v>0</v>
      </c>
      <c r="AI24" s="147">
        <f>StaffCosts!AI13</f>
        <v>0</v>
      </c>
      <c r="AJ24" s="147">
        <f>StaffCosts!AJ13</f>
        <v>0</v>
      </c>
      <c r="AK24" s="147">
        <f>StaffCosts!AK13</f>
        <v>0</v>
      </c>
      <c r="AL24" s="147">
        <f>StaffCosts!AL13</f>
        <v>0</v>
      </c>
      <c r="AM24" s="147">
        <f>StaffCosts!AM13</f>
        <v>0</v>
      </c>
      <c r="AN24" s="147">
        <f>StaffCosts!AN13</f>
        <v>0</v>
      </c>
      <c r="AO24" s="147">
        <f>StaffCosts!AO13</f>
        <v>0</v>
      </c>
      <c r="AP24" s="147">
        <f>StaffCosts!AP13</f>
        <v>0</v>
      </c>
      <c r="AQ24" s="147">
        <f>StaffCosts!AQ13</f>
        <v>0</v>
      </c>
      <c r="AR24" s="147">
        <f>StaffCosts!AR13</f>
        <v>0</v>
      </c>
      <c r="AS24" s="147">
        <f>StaffCosts!AS13</f>
        <v>0</v>
      </c>
      <c r="AT24" s="147">
        <f>StaffCosts!AT13</f>
        <v>0</v>
      </c>
      <c r="AU24" s="147">
        <f>StaffCosts!AU13</f>
        <v>0</v>
      </c>
      <c r="AV24" s="147">
        <f>StaffCosts!AV13</f>
        <v>0</v>
      </c>
      <c r="AW24" s="147">
        <f>StaffCosts!AW13</f>
        <v>0</v>
      </c>
      <c r="AX24" s="147">
        <f>StaffCosts!AX13</f>
        <v>0</v>
      </c>
      <c r="AY24" s="147">
        <f>StaffCosts!AY13</f>
        <v>0</v>
      </c>
      <c r="AZ24" s="147">
        <f>StaffCosts!AZ13</f>
        <v>0</v>
      </c>
      <c r="BA24" s="147">
        <f>StaffCosts!BA13</f>
        <v>0</v>
      </c>
      <c r="BB24" s="147">
        <f>StaffCosts!BB13</f>
        <v>0</v>
      </c>
      <c r="BC24" s="147">
        <f>StaffCosts!BC13</f>
        <v>0</v>
      </c>
      <c r="BD24" s="147">
        <f>StaffCosts!BD13</f>
        <v>0</v>
      </c>
      <c r="BE24" s="147">
        <f>StaffCosts!BE13</f>
        <v>0</v>
      </c>
      <c r="BF24" s="147">
        <f>StaffCosts!BF13</f>
        <v>0</v>
      </c>
      <c r="BG24" s="147">
        <f>StaffCosts!BG13</f>
        <v>0</v>
      </c>
      <c r="BH24" s="147">
        <f>StaffCosts!BH13</f>
        <v>0</v>
      </c>
      <c r="BI24" s="147">
        <f>StaffCosts!BI13</f>
        <v>0</v>
      </c>
      <c r="BJ24" s="147">
        <f>StaffCosts!BJ13</f>
        <v>0</v>
      </c>
      <c r="BK24" s="147">
        <f>StaffCosts!BK13</f>
        <v>0</v>
      </c>
      <c r="BL24" s="147">
        <f>StaffCosts!BL13</f>
        <v>0</v>
      </c>
      <c r="BM24" s="147">
        <f>StaffCosts!BM13</f>
        <v>0</v>
      </c>
      <c r="BN24" s="147">
        <f>StaffCosts!BN13</f>
        <v>0</v>
      </c>
      <c r="BO24" s="147">
        <f>StaffCosts!BO13</f>
        <v>0</v>
      </c>
      <c r="BP24" s="147">
        <f>StaffCosts!BP13</f>
        <v>0</v>
      </c>
      <c r="BQ24" s="147">
        <f>StaffCosts!BQ13</f>
        <v>0</v>
      </c>
      <c r="BR24" s="147">
        <f>StaffCosts!BR13</f>
        <v>0</v>
      </c>
    </row>
    <row r="25" spans="1:70" s="147" customFormat="1" ht="13.2" x14ac:dyDescent="0.25">
      <c r="A25" s="211"/>
      <c r="B25" s="249" t="str">
        <f t="shared" si="8"/>
        <v>Insert Business Line3</v>
      </c>
      <c r="D25" s="231" t="str">
        <f>unit</f>
        <v>£</v>
      </c>
      <c r="E25" s="147">
        <f t="shared" si="3"/>
        <v>0</v>
      </c>
      <c r="F25" s="147">
        <f t="shared" si="4"/>
        <v>0</v>
      </c>
      <c r="G25" s="147">
        <f t="shared" si="4"/>
        <v>0</v>
      </c>
      <c r="H25" s="147">
        <f t="shared" si="4"/>
        <v>0</v>
      </c>
      <c r="I25" s="147">
        <f t="shared" si="4"/>
        <v>0</v>
      </c>
      <c r="K25" s="147">
        <f>StaffCosts!K14</f>
        <v>0</v>
      </c>
      <c r="L25" s="147">
        <f>StaffCosts!L14</f>
        <v>0</v>
      </c>
      <c r="M25" s="147">
        <f>StaffCosts!M14</f>
        <v>0</v>
      </c>
      <c r="N25" s="147">
        <f>StaffCosts!N14</f>
        <v>0</v>
      </c>
      <c r="O25" s="147">
        <f>StaffCosts!O14</f>
        <v>0</v>
      </c>
      <c r="P25" s="147">
        <f>StaffCosts!P14</f>
        <v>0</v>
      </c>
      <c r="Q25" s="147">
        <f>StaffCosts!Q14</f>
        <v>0</v>
      </c>
      <c r="R25" s="147">
        <f>StaffCosts!R14</f>
        <v>0</v>
      </c>
      <c r="S25" s="147">
        <f>StaffCosts!S14</f>
        <v>0</v>
      </c>
      <c r="T25" s="147">
        <f>StaffCosts!T14</f>
        <v>0</v>
      </c>
      <c r="U25" s="147">
        <f>StaffCosts!U14</f>
        <v>0</v>
      </c>
      <c r="V25" s="147">
        <f>StaffCosts!V14</f>
        <v>0</v>
      </c>
      <c r="W25" s="147">
        <f>StaffCosts!W14</f>
        <v>0</v>
      </c>
      <c r="X25" s="147">
        <f>StaffCosts!X14</f>
        <v>0</v>
      </c>
      <c r="Y25" s="147">
        <f>StaffCosts!Y14</f>
        <v>0</v>
      </c>
      <c r="Z25" s="147">
        <f>StaffCosts!Z14</f>
        <v>0</v>
      </c>
      <c r="AA25" s="147">
        <f>StaffCosts!AA14</f>
        <v>0</v>
      </c>
      <c r="AB25" s="147">
        <f>StaffCosts!AB14</f>
        <v>0</v>
      </c>
      <c r="AC25" s="147">
        <f>StaffCosts!AC14</f>
        <v>0</v>
      </c>
      <c r="AD25" s="147">
        <f>StaffCosts!AD14</f>
        <v>0</v>
      </c>
      <c r="AE25" s="147">
        <f>StaffCosts!AE14</f>
        <v>0</v>
      </c>
      <c r="AF25" s="147">
        <f>StaffCosts!AF14</f>
        <v>0</v>
      </c>
      <c r="AG25" s="147">
        <f>StaffCosts!AG14</f>
        <v>0</v>
      </c>
      <c r="AH25" s="147">
        <f>StaffCosts!AH14</f>
        <v>0</v>
      </c>
      <c r="AI25" s="147">
        <f>StaffCosts!AI14</f>
        <v>0</v>
      </c>
      <c r="AJ25" s="147">
        <f>StaffCosts!AJ14</f>
        <v>0</v>
      </c>
      <c r="AK25" s="147">
        <f>StaffCosts!AK14</f>
        <v>0</v>
      </c>
      <c r="AL25" s="147">
        <f>StaffCosts!AL14</f>
        <v>0</v>
      </c>
      <c r="AM25" s="147">
        <f>StaffCosts!AM14</f>
        <v>0</v>
      </c>
      <c r="AN25" s="147">
        <f>StaffCosts!AN14</f>
        <v>0</v>
      </c>
      <c r="AO25" s="147">
        <f>StaffCosts!AO14</f>
        <v>0</v>
      </c>
      <c r="AP25" s="147">
        <f>StaffCosts!AP14</f>
        <v>0</v>
      </c>
      <c r="AQ25" s="147">
        <f>StaffCosts!AQ14</f>
        <v>0</v>
      </c>
      <c r="AR25" s="147">
        <f>StaffCosts!AR14</f>
        <v>0</v>
      </c>
      <c r="AS25" s="147">
        <f>StaffCosts!AS14</f>
        <v>0</v>
      </c>
      <c r="AT25" s="147">
        <f>StaffCosts!AT14</f>
        <v>0</v>
      </c>
      <c r="AU25" s="147">
        <f>StaffCosts!AU14</f>
        <v>0</v>
      </c>
      <c r="AV25" s="147">
        <f>StaffCosts!AV14</f>
        <v>0</v>
      </c>
      <c r="AW25" s="147">
        <f>StaffCosts!AW14</f>
        <v>0</v>
      </c>
      <c r="AX25" s="147">
        <f>StaffCosts!AX14</f>
        <v>0</v>
      </c>
      <c r="AY25" s="147">
        <f>StaffCosts!AY14</f>
        <v>0</v>
      </c>
      <c r="AZ25" s="147">
        <f>StaffCosts!AZ14</f>
        <v>0</v>
      </c>
      <c r="BA25" s="147">
        <f>StaffCosts!BA14</f>
        <v>0</v>
      </c>
      <c r="BB25" s="147">
        <f>StaffCosts!BB14</f>
        <v>0</v>
      </c>
      <c r="BC25" s="147">
        <f>StaffCosts!BC14</f>
        <v>0</v>
      </c>
      <c r="BD25" s="147">
        <f>StaffCosts!BD14</f>
        <v>0</v>
      </c>
      <c r="BE25" s="147">
        <f>StaffCosts!BE14</f>
        <v>0</v>
      </c>
      <c r="BF25" s="147">
        <f>StaffCosts!BF14</f>
        <v>0</v>
      </c>
      <c r="BG25" s="147">
        <f>StaffCosts!BG14</f>
        <v>0</v>
      </c>
      <c r="BH25" s="147">
        <f>StaffCosts!BH14</f>
        <v>0</v>
      </c>
      <c r="BI25" s="147">
        <f>StaffCosts!BI14</f>
        <v>0</v>
      </c>
      <c r="BJ25" s="147">
        <f>StaffCosts!BJ14</f>
        <v>0</v>
      </c>
      <c r="BK25" s="147">
        <f>StaffCosts!BK14</f>
        <v>0</v>
      </c>
      <c r="BL25" s="147">
        <f>StaffCosts!BL14</f>
        <v>0</v>
      </c>
      <c r="BM25" s="147">
        <f>StaffCosts!BM14</f>
        <v>0</v>
      </c>
      <c r="BN25" s="147">
        <f>StaffCosts!BN14</f>
        <v>0</v>
      </c>
      <c r="BO25" s="147">
        <f>StaffCosts!BO14</f>
        <v>0</v>
      </c>
      <c r="BP25" s="147">
        <f>StaffCosts!BP14</f>
        <v>0</v>
      </c>
      <c r="BQ25" s="147">
        <f>StaffCosts!BQ14</f>
        <v>0</v>
      </c>
      <c r="BR25" s="147">
        <f>StaffCosts!BR14</f>
        <v>0</v>
      </c>
    </row>
    <row r="26" spans="1:70" s="147" customFormat="1" ht="13.2" x14ac:dyDescent="0.25">
      <c r="A26" s="211"/>
      <c r="D26" s="231"/>
    </row>
    <row r="27" spans="1:70" s="211" customFormat="1" ht="13.2" x14ac:dyDescent="0.25">
      <c r="B27" s="211" t="s">
        <v>177</v>
      </c>
      <c r="D27" s="231" t="str">
        <f>unit</f>
        <v>£</v>
      </c>
      <c r="E27" s="211">
        <f>SUM(E12,E17,E22)</f>
        <v>0</v>
      </c>
      <c r="F27" s="211">
        <f t="shared" ref="F27:I27" si="9">SUM(F12,F17,F22)</f>
        <v>0</v>
      </c>
      <c r="G27" s="211">
        <f t="shared" si="9"/>
        <v>0</v>
      </c>
      <c r="H27" s="211">
        <f t="shared" si="9"/>
        <v>0</v>
      </c>
      <c r="I27" s="211">
        <f t="shared" si="9"/>
        <v>0</v>
      </c>
      <c r="K27" s="211">
        <f>SUM(K12,K17,K22)</f>
        <v>0</v>
      </c>
      <c r="L27" s="211">
        <f t="shared" ref="L27:BR27" si="10">SUM(L12,L17,L22)</f>
        <v>0</v>
      </c>
      <c r="M27" s="211">
        <f t="shared" si="10"/>
        <v>0</v>
      </c>
      <c r="N27" s="211">
        <f t="shared" si="10"/>
        <v>0</v>
      </c>
      <c r="O27" s="211">
        <f t="shared" si="10"/>
        <v>0</v>
      </c>
      <c r="P27" s="211">
        <f t="shared" si="10"/>
        <v>0</v>
      </c>
      <c r="Q27" s="211">
        <f t="shared" si="10"/>
        <v>0</v>
      </c>
      <c r="R27" s="211">
        <f t="shared" si="10"/>
        <v>0</v>
      </c>
      <c r="S27" s="211">
        <f t="shared" si="10"/>
        <v>0</v>
      </c>
      <c r="T27" s="211">
        <f t="shared" si="10"/>
        <v>0</v>
      </c>
      <c r="U27" s="211">
        <f t="shared" si="10"/>
        <v>0</v>
      </c>
      <c r="V27" s="211">
        <f t="shared" si="10"/>
        <v>0</v>
      </c>
      <c r="W27" s="211">
        <f t="shared" si="10"/>
        <v>0</v>
      </c>
      <c r="X27" s="211">
        <f t="shared" si="10"/>
        <v>0</v>
      </c>
      <c r="Y27" s="211">
        <f t="shared" si="10"/>
        <v>0</v>
      </c>
      <c r="Z27" s="211">
        <f t="shared" si="10"/>
        <v>0</v>
      </c>
      <c r="AA27" s="211">
        <f t="shared" si="10"/>
        <v>0</v>
      </c>
      <c r="AB27" s="211">
        <f t="shared" si="10"/>
        <v>0</v>
      </c>
      <c r="AC27" s="211">
        <f t="shared" si="10"/>
        <v>0</v>
      </c>
      <c r="AD27" s="211">
        <f t="shared" si="10"/>
        <v>0</v>
      </c>
      <c r="AE27" s="211">
        <f t="shared" si="10"/>
        <v>0</v>
      </c>
      <c r="AF27" s="211">
        <f t="shared" si="10"/>
        <v>0</v>
      </c>
      <c r="AG27" s="211">
        <f t="shared" si="10"/>
        <v>0</v>
      </c>
      <c r="AH27" s="211">
        <f t="shared" si="10"/>
        <v>0</v>
      </c>
      <c r="AI27" s="211">
        <f t="shared" si="10"/>
        <v>0</v>
      </c>
      <c r="AJ27" s="211">
        <f t="shared" si="10"/>
        <v>0</v>
      </c>
      <c r="AK27" s="211">
        <f t="shared" si="10"/>
        <v>0</v>
      </c>
      <c r="AL27" s="211">
        <f t="shared" si="10"/>
        <v>0</v>
      </c>
      <c r="AM27" s="211">
        <f t="shared" si="10"/>
        <v>0</v>
      </c>
      <c r="AN27" s="211">
        <f t="shared" si="10"/>
        <v>0</v>
      </c>
      <c r="AO27" s="211">
        <f t="shared" si="10"/>
        <v>0</v>
      </c>
      <c r="AP27" s="211">
        <f t="shared" si="10"/>
        <v>0</v>
      </c>
      <c r="AQ27" s="211">
        <f t="shared" si="10"/>
        <v>0</v>
      </c>
      <c r="AR27" s="211">
        <f t="shared" si="10"/>
        <v>0</v>
      </c>
      <c r="AS27" s="211">
        <f t="shared" si="10"/>
        <v>0</v>
      </c>
      <c r="AT27" s="211">
        <f t="shared" si="10"/>
        <v>0</v>
      </c>
      <c r="AU27" s="211">
        <f t="shared" si="10"/>
        <v>0</v>
      </c>
      <c r="AV27" s="211">
        <f t="shared" si="10"/>
        <v>0</v>
      </c>
      <c r="AW27" s="211">
        <f t="shared" si="10"/>
        <v>0</v>
      </c>
      <c r="AX27" s="211">
        <f t="shared" si="10"/>
        <v>0</v>
      </c>
      <c r="AY27" s="211">
        <f t="shared" si="10"/>
        <v>0</v>
      </c>
      <c r="AZ27" s="211">
        <f t="shared" si="10"/>
        <v>0</v>
      </c>
      <c r="BA27" s="211">
        <f t="shared" si="10"/>
        <v>0</v>
      </c>
      <c r="BB27" s="211">
        <f t="shared" si="10"/>
        <v>0</v>
      </c>
      <c r="BC27" s="211">
        <f t="shared" si="10"/>
        <v>0</v>
      </c>
      <c r="BD27" s="211">
        <f t="shared" si="10"/>
        <v>0</v>
      </c>
      <c r="BE27" s="211">
        <f t="shared" si="10"/>
        <v>0</v>
      </c>
      <c r="BF27" s="211">
        <f t="shared" si="10"/>
        <v>0</v>
      </c>
      <c r="BG27" s="211">
        <f t="shared" si="10"/>
        <v>0</v>
      </c>
      <c r="BH27" s="211">
        <f t="shared" si="10"/>
        <v>0</v>
      </c>
      <c r="BI27" s="211">
        <f t="shared" si="10"/>
        <v>0</v>
      </c>
      <c r="BJ27" s="211">
        <f t="shared" si="10"/>
        <v>0</v>
      </c>
      <c r="BK27" s="211">
        <f t="shared" si="10"/>
        <v>0</v>
      </c>
      <c r="BL27" s="211">
        <f t="shared" si="10"/>
        <v>0</v>
      </c>
      <c r="BM27" s="211">
        <f t="shared" si="10"/>
        <v>0</v>
      </c>
      <c r="BN27" s="211">
        <f t="shared" si="10"/>
        <v>0</v>
      </c>
      <c r="BO27" s="211">
        <f t="shared" si="10"/>
        <v>0</v>
      </c>
      <c r="BP27" s="211">
        <f t="shared" si="10"/>
        <v>0</v>
      </c>
      <c r="BQ27" s="211">
        <f t="shared" si="10"/>
        <v>0</v>
      </c>
      <c r="BR27" s="211">
        <f t="shared" si="10"/>
        <v>0</v>
      </c>
    </row>
    <row r="28" spans="1:70" s="147" customFormat="1" ht="13.2" x14ac:dyDescent="0.25">
      <c r="A28" s="211"/>
      <c r="F28" s="212"/>
    </row>
    <row r="29" spans="1:70" s="147" customFormat="1" ht="13.2" x14ac:dyDescent="0.25">
      <c r="A29" s="211"/>
      <c r="B29" s="147" t="s">
        <v>294</v>
      </c>
      <c r="D29" s="231" t="str">
        <f>unit</f>
        <v>£</v>
      </c>
      <c r="E29" s="147">
        <f>SUMIF($K$5:$BR$5,E$5,$K29:$BR29)</f>
        <v>0</v>
      </c>
      <c r="F29" s="147">
        <f t="shared" ref="F29:I31" si="11">SUMIF($K$5:$BR$5,F$5,$K29:$BR29)</f>
        <v>0</v>
      </c>
      <c r="G29" s="147">
        <f t="shared" si="11"/>
        <v>0</v>
      </c>
      <c r="H29" s="147">
        <f t="shared" si="11"/>
        <v>0</v>
      </c>
      <c r="I29" s="147">
        <f t="shared" si="11"/>
        <v>0</v>
      </c>
      <c r="K29" s="147">
        <f>StaffCosts!K15</f>
        <v>0</v>
      </c>
      <c r="L29" s="147">
        <f>StaffCosts!L15</f>
        <v>0</v>
      </c>
      <c r="M29" s="147">
        <f>StaffCosts!M15</f>
        <v>0</v>
      </c>
      <c r="N29" s="147">
        <f>StaffCosts!N15</f>
        <v>0</v>
      </c>
      <c r="O29" s="147">
        <f>StaffCosts!O15</f>
        <v>0</v>
      </c>
      <c r="P29" s="147">
        <f>StaffCosts!P15</f>
        <v>0</v>
      </c>
      <c r="Q29" s="147">
        <f>StaffCosts!Q15</f>
        <v>0</v>
      </c>
      <c r="R29" s="147">
        <f>StaffCosts!R15</f>
        <v>0</v>
      </c>
      <c r="S29" s="147">
        <f>StaffCosts!S15</f>
        <v>0</v>
      </c>
      <c r="T29" s="147">
        <f>StaffCosts!T15</f>
        <v>0</v>
      </c>
      <c r="U29" s="147">
        <f>StaffCosts!U15</f>
        <v>0</v>
      </c>
      <c r="V29" s="147">
        <f>StaffCosts!V15</f>
        <v>0</v>
      </c>
      <c r="W29" s="147">
        <f>StaffCosts!W15</f>
        <v>0</v>
      </c>
      <c r="X29" s="147">
        <f>StaffCosts!X15</f>
        <v>0</v>
      </c>
      <c r="Y29" s="147">
        <f>StaffCosts!Y15</f>
        <v>0</v>
      </c>
      <c r="Z29" s="147">
        <f>StaffCosts!Z15</f>
        <v>0</v>
      </c>
      <c r="AA29" s="147">
        <f>StaffCosts!AA15</f>
        <v>0</v>
      </c>
      <c r="AB29" s="147">
        <f>StaffCosts!AB15</f>
        <v>0</v>
      </c>
      <c r="AC29" s="147">
        <f>StaffCosts!AC15</f>
        <v>0</v>
      </c>
      <c r="AD29" s="147">
        <f>StaffCosts!AD15</f>
        <v>0</v>
      </c>
      <c r="AE29" s="147">
        <f>StaffCosts!AE15</f>
        <v>0</v>
      </c>
      <c r="AF29" s="147">
        <f>StaffCosts!AF15</f>
        <v>0</v>
      </c>
      <c r="AG29" s="147">
        <f>StaffCosts!AG15</f>
        <v>0</v>
      </c>
      <c r="AH29" s="147">
        <f>StaffCosts!AH15</f>
        <v>0</v>
      </c>
      <c r="AI29" s="147">
        <f>StaffCosts!AI15</f>
        <v>0</v>
      </c>
      <c r="AJ29" s="147">
        <f>StaffCosts!AJ15</f>
        <v>0</v>
      </c>
      <c r="AK29" s="147">
        <f>StaffCosts!AK15</f>
        <v>0</v>
      </c>
      <c r="AL29" s="147">
        <f>StaffCosts!AL15</f>
        <v>0</v>
      </c>
      <c r="AM29" s="147">
        <f>StaffCosts!AM15</f>
        <v>0</v>
      </c>
      <c r="AN29" s="147">
        <f>StaffCosts!AN15</f>
        <v>0</v>
      </c>
      <c r="AO29" s="147">
        <f>StaffCosts!AO15</f>
        <v>0</v>
      </c>
      <c r="AP29" s="147">
        <f>StaffCosts!AP15</f>
        <v>0</v>
      </c>
      <c r="AQ29" s="147">
        <f>StaffCosts!AQ15</f>
        <v>0</v>
      </c>
      <c r="AR29" s="147">
        <f>StaffCosts!AR15</f>
        <v>0</v>
      </c>
      <c r="AS29" s="147">
        <f>StaffCosts!AS15</f>
        <v>0</v>
      </c>
      <c r="AT29" s="147">
        <f>StaffCosts!AT15</f>
        <v>0</v>
      </c>
      <c r="AU29" s="147">
        <f>StaffCosts!AU15</f>
        <v>0</v>
      </c>
      <c r="AV29" s="147">
        <f>StaffCosts!AV15</f>
        <v>0</v>
      </c>
      <c r="AW29" s="147">
        <f>StaffCosts!AW15</f>
        <v>0</v>
      </c>
      <c r="AX29" s="147">
        <f>StaffCosts!AX15</f>
        <v>0</v>
      </c>
      <c r="AY29" s="147">
        <f>StaffCosts!AY15</f>
        <v>0</v>
      </c>
      <c r="AZ29" s="147">
        <f>StaffCosts!AZ15</f>
        <v>0</v>
      </c>
      <c r="BA29" s="147">
        <f>StaffCosts!BA15</f>
        <v>0</v>
      </c>
      <c r="BB29" s="147">
        <f>StaffCosts!BB15</f>
        <v>0</v>
      </c>
      <c r="BC29" s="147">
        <f>StaffCosts!BC15</f>
        <v>0</v>
      </c>
      <c r="BD29" s="147">
        <f>StaffCosts!BD15</f>
        <v>0</v>
      </c>
      <c r="BE29" s="147">
        <f>StaffCosts!BE15</f>
        <v>0</v>
      </c>
      <c r="BF29" s="147">
        <f>StaffCosts!BF15</f>
        <v>0</v>
      </c>
      <c r="BG29" s="147">
        <f>StaffCosts!BG15</f>
        <v>0</v>
      </c>
      <c r="BH29" s="147">
        <f>StaffCosts!BH15</f>
        <v>0</v>
      </c>
      <c r="BI29" s="147">
        <f>StaffCosts!BI15</f>
        <v>0</v>
      </c>
      <c r="BJ29" s="147">
        <f>StaffCosts!BJ15</f>
        <v>0</v>
      </c>
      <c r="BK29" s="147">
        <f>StaffCosts!BK15</f>
        <v>0</v>
      </c>
      <c r="BL29" s="147">
        <f>StaffCosts!BL15</f>
        <v>0</v>
      </c>
      <c r="BM29" s="147">
        <f>StaffCosts!BM15</f>
        <v>0</v>
      </c>
      <c r="BN29" s="147">
        <f>StaffCosts!BN15</f>
        <v>0</v>
      </c>
      <c r="BO29" s="147">
        <f>StaffCosts!BO15</f>
        <v>0</v>
      </c>
      <c r="BP29" s="147">
        <f>StaffCosts!BP15</f>
        <v>0</v>
      </c>
      <c r="BQ29" s="147">
        <f>StaffCosts!BQ15</f>
        <v>0</v>
      </c>
      <c r="BR29" s="147">
        <f>StaffCosts!BR15</f>
        <v>0</v>
      </c>
    </row>
    <row r="30" spans="1:70" s="147" customFormat="1" ht="13.2" x14ac:dyDescent="0.25">
      <c r="A30" s="211"/>
      <c r="B30" s="147" t="s">
        <v>162</v>
      </c>
      <c r="D30" s="231" t="str">
        <f>unit</f>
        <v>£</v>
      </c>
      <c r="E30" s="147">
        <f t="shared" ref="E30:E31" si="12">SUMIF($K$5:$BR$5,E$5,$K30:$BR30)</f>
        <v>0</v>
      </c>
      <c r="F30" s="147">
        <f t="shared" si="11"/>
        <v>0</v>
      </c>
      <c r="G30" s="147">
        <f t="shared" si="11"/>
        <v>0</v>
      </c>
      <c r="H30" s="147">
        <f t="shared" si="11"/>
        <v>0</v>
      </c>
      <c r="I30" s="147">
        <f t="shared" si="11"/>
        <v>0</v>
      </c>
      <c r="K30" s="147">
        <f>-CentralCosts!K32</f>
        <v>0</v>
      </c>
      <c r="L30" s="147">
        <f>-CentralCosts!L32</f>
        <v>0</v>
      </c>
      <c r="M30" s="147">
        <f>-CentralCosts!M32</f>
        <v>0</v>
      </c>
      <c r="N30" s="147">
        <f>-CentralCosts!N32</f>
        <v>0</v>
      </c>
      <c r="O30" s="147">
        <f>-CentralCosts!O32</f>
        <v>0</v>
      </c>
      <c r="P30" s="147">
        <f>-CentralCosts!P32</f>
        <v>0</v>
      </c>
      <c r="Q30" s="147">
        <f>-CentralCosts!Q32</f>
        <v>0</v>
      </c>
      <c r="R30" s="147">
        <f>-CentralCosts!R32</f>
        <v>0</v>
      </c>
      <c r="S30" s="147">
        <f>-CentralCosts!S32</f>
        <v>0</v>
      </c>
      <c r="T30" s="147">
        <f>-CentralCosts!T32</f>
        <v>0</v>
      </c>
      <c r="U30" s="147">
        <f>-CentralCosts!U32</f>
        <v>0</v>
      </c>
      <c r="V30" s="147">
        <f>-CentralCosts!V32</f>
        <v>0</v>
      </c>
      <c r="W30" s="147">
        <f>-CentralCosts!W32</f>
        <v>0</v>
      </c>
      <c r="X30" s="147">
        <f>-CentralCosts!X32</f>
        <v>0</v>
      </c>
      <c r="Y30" s="147">
        <f>-CentralCosts!Y32</f>
        <v>0</v>
      </c>
      <c r="Z30" s="147">
        <f>-CentralCosts!Z32</f>
        <v>0</v>
      </c>
      <c r="AA30" s="147">
        <f>-CentralCosts!AA32</f>
        <v>0</v>
      </c>
      <c r="AB30" s="147">
        <f>-CentralCosts!AB32</f>
        <v>0</v>
      </c>
      <c r="AC30" s="147">
        <f>-CentralCosts!AC32</f>
        <v>0</v>
      </c>
      <c r="AD30" s="147">
        <f>-CentralCosts!AD32</f>
        <v>0</v>
      </c>
      <c r="AE30" s="147">
        <f>-CentralCosts!AE32</f>
        <v>0</v>
      </c>
      <c r="AF30" s="147">
        <f>-CentralCosts!AF32</f>
        <v>0</v>
      </c>
      <c r="AG30" s="147">
        <f>-CentralCosts!AG32</f>
        <v>0</v>
      </c>
      <c r="AH30" s="147">
        <f>-CentralCosts!AH32</f>
        <v>0</v>
      </c>
      <c r="AI30" s="147">
        <f>-CentralCosts!AI32</f>
        <v>0</v>
      </c>
      <c r="AJ30" s="147">
        <f>-CentralCosts!AJ32</f>
        <v>0</v>
      </c>
      <c r="AK30" s="147">
        <f>-CentralCosts!AK32</f>
        <v>0</v>
      </c>
      <c r="AL30" s="147">
        <f>-CentralCosts!AL32</f>
        <v>0</v>
      </c>
      <c r="AM30" s="147">
        <f>-CentralCosts!AM32</f>
        <v>0</v>
      </c>
      <c r="AN30" s="147">
        <f>-CentralCosts!AN32</f>
        <v>0</v>
      </c>
      <c r="AO30" s="147">
        <f>-CentralCosts!AO32</f>
        <v>0</v>
      </c>
      <c r="AP30" s="147">
        <f>-CentralCosts!AP32</f>
        <v>0</v>
      </c>
      <c r="AQ30" s="147">
        <f>-CentralCosts!AQ32</f>
        <v>0</v>
      </c>
      <c r="AR30" s="147">
        <f>-CentralCosts!AR32</f>
        <v>0</v>
      </c>
      <c r="AS30" s="147">
        <f>-CentralCosts!AS32</f>
        <v>0</v>
      </c>
      <c r="AT30" s="147">
        <f>-CentralCosts!AT32</f>
        <v>0</v>
      </c>
      <c r="AU30" s="147">
        <f>-CentralCosts!AU32</f>
        <v>0</v>
      </c>
      <c r="AV30" s="147">
        <f>-CentralCosts!AV32</f>
        <v>0</v>
      </c>
      <c r="AW30" s="147">
        <f>-CentralCosts!AW32</f>
        <v>0</v>
      </c>
      <c r="AX30" s="147">
        <f>-CentralCosts!AX32</f>
        <v>0</v>
      </c>
      <c r="AY30" s="147">
        <f>-CentralCosts!AY32</f>
        <v>0</v>
      </c>
      <c r="AZ30" s="147">
        <f>-CentralCosts!AZ32</f>
        <v>0</v>
      </c>
      <c r="BA30" s="147">
        <f>-CentralCosts!BA32</f>
        <v>0</v>
      </c>
      <c r="BB30" s="147">
        <f>-CentralCosts!BB32</f>
        <v>0</v>
      </c>
      <c r="BC30" s="147">
        <f>-CentralCosts!BC32</f>
        <v>0</v>
      </c>
      <c r="BD30" s="147">
        <f>-CentralCosts!BD32</f>
        <v>0</v>
      </c>
      <c r="BE30" s="147">
        <f>-CentralCosts!BE32</f>
        <v>0</v>
      </c>
      <c r="BF30" s="147">
        <f>-CentralCosts!BF32</f>
        <v>0</v>
      </c>
      <c r="BG30" s="147">
        <f>-CentralCosts!BG32</f>
        <v>0</v>
      </c>
      <c r="BH30" s="147">
        <f>-CentralCosts!BH32</f>
        <v>0</v>
      </c>
      <c r="BI30" s="147">
        <f>-CentralCosts!BI32</f>
        <v>0</v>
      </c>
      <c r="BJ30" s="147">
        <f>-CentralCosts!BJ32</f>
        <v>0</v>
      </c>
      <c r="BK30" s="147">
        <f>-CentralCosts!BK32</f>
        <v>0</v>
      </c>
      <c r="BL30" s="147">
        <f>-CentralCosts!BL32</f>
        <v>0</v>
      </c>
      <c r="BM30" s="147">
        <f>-CentralCosts!BM32</f>
        <v>0</v>
      </c>
      <c r="BN30" s="147">
        <f>-CentralCosts!BN32</f>
        <v>0</v>
      </c>
      <c r="BO30" s="147">
        <f>-CentralCosts!BO32</f>
        <v>0</v>
      </c>
      <c r="BP30" s="147">
        <f>-CentralCosts!BP32</f>
        <v>0</v>
      </c>
      <c r="BQ30" s="147">
        <f>-CentralCosts!BQ32</f>
        <v>0</v>
      </c>
      <c r="BR30" s="147">
        <f>-CentralCosts!BR32</f>
        <v>0</v>
      </c>
    </row>
    <row r="31" spans="1:70" s="147" customFormat="1" ht="13.2" x14ac:dyDescent="0.25">
      <c r="A31" s="211"/>
      <c r="B31" s="147" t="s">
        <v>24</v>
      </c>
      <c r="D31" s="231" t="str">
        <f>unit</f>
        <v>£</v>
      </c>
      <c r="E31" s="147">
        <f t="shared" si="12"/>
        <v>0</v>
      </c>
      <c r="F31" s="147">
        <f t="shared" si="11"/>
        <v>0</v>
      </c>
      <c r="G31" s="147">
        <f t="shared" si="11"/>
        <v>0</v>
      </c>
      <c r="H31" s="147">
        <f t="shared" si="11"/>
        <v>0</v>
      </c>
      <c r="I31" s="147">
        <f t="shared" si="11"/>
        <v>0</v>
      </c>
      <c r="K31" s="147">
        <f>SUM(Capex!K35,Capex!K45,Capex!K55,Capex!K65,Capex!K75)</f>
        <v>0</v>
      </c>
      <c r="L31" s="147">
        <f>SUM(Capex!L35,Capex!L45,Capex!L55,Capex!L65,Capex!L75)</f>
        <v>0</v>
      </c>
      <c r="M31" s="147">
        <f>SUM(Capex!M35,Capex!M45,Capex!M55,Capex!M65,Capex!M75)</f>
        <v>0</v>
      </c>
      <c r="N31" s="147">
        <f>SUM(Capex!N35,Capex!N45,Capex!N55,Capex!N65,Capex!N75)</f>
        <v>0</v>
      </c>
      <c r="O31" s="147">
        <f>SUM(Capex!O35,Capex!O45,Capex!O55,Capex!O65,Capex!O75)</f>
        <v>0</v>
      </c>
      <c r="P31" s="147">
        <f>SUM(Capex!P35,Capex!P45,Capex!P55,Capex!P65,Capex!P75)</f>
        <v>0</v>
      </c>
      <c r="Q31" s="147">
        <f>SUM(Capex!Q35,Capex!Q45,Capex!Q55,Capex!Q65,Capex!Q75)</f>
        <v>0</v>
      </c>
      <c r="R31" s="147">
        <f>SUM(Capex!R35,Capex!R45,Capex!R55,Capex!R65,Capex!R75)</f>
        <v>0</v>
      </c>
      <c r="S31" s="147">
        <f>SUM(Capex!S35,Capex!S45,Capex!S55,Capex!S65,Capex!S75)</f>
        <v>0</v>
      </c>
      <c r="T31" s="147">
        <f>SUM(Capex!T35,Capex!T45,Capex!T55,Capex!T65,Capex!T75)</f>
        <v>0</v>
      </c>
      <c r="U31" s="147">
        <f>SUM(Capex!U35,Capex!U45,Capex!U55,Capex!U65,Capex!U75)</f>
        <v>0</v>
      </c>
      <c r="V31" s="147">
        <f>SUM(Capex!V35,Capex!V45,Capex!V55,Capex!V65,Capex!V75)</f>
        <v>0</v>
      </c>
      <c r="W31" s="147">
        <f>SUM(Capex!W35,Capex!W45,Capex!W55,Capex!W65,Capex!W75)</f>
        <v>0</v>
      </c>
      <c r="X31" s="147">
        <f>SUM(Capex!X35,Capex!X45,Capex!X55,Capex!X65,Capex!X75)</f>
        <v>0</v>
      </c>
      <c r="Y31" s="147">
        <f>SUM(Capex!Y35,Capex!Y45,Capex!Y55,Capex!Y65,Capex!Y75)</f>
        <v>0</v>
      </c>
      <c r="Z31" s="147">
        <f>SUM(Capex!Z35,Capex!Z45,Capex!Z55,Capex!Z65,Capex!Z75)</f>
        <v>0</v>
      </c>
      <c r="AA31" s="147">
        <f>SUM(Capex!AA35,Capex!AA45,Capex!AA55,Capex!AA65,Capex!AA75)</f>
        <v>0</v>
      </c>
      <c r="AB31" s="147">
        <f>SUM(Capex!AB35,Capex!AB45,Capex!AB55,Capex!AB65,Capex!AB75)</f>
        <v>0</v>
      </c>
      <c r="AC31" s="147">
        <f>SUM(Capex!AC35,Capex!AC45,Capex!AC55,Capex!AC65,Capex!AC75)</f>
        <v>0</v>
      </c>
      <c r="AD31" s="147">
        <f>SUM(Capex!AD35,Capex!AD45,Capex!AD55,Capex!AD65,Capex!AD75)</f>
        <v>0</v>
      </c>
      <c r="AE31" s="147">
        <f>SUM(Capex!AE35,Capex!AE45,Capex!AE55,Capex!AE65,Capex!AE75)</f>
        <v>0</v>
      </c>
      <c r="AF31" s="147">
        <f>SUM(Capex!AF35,Capex!AF45,Capex!AF55,Capex!AF65,Capex!AF75)</f>
        <v>0</v>
      </c>
      <c r="AG31" s="147">
        <f>SUM(Capex!AG35,Capex!AG45,Capex!AG55,Capex!AG65,Capex!AG75)</f>
        <v>0</v>
      </c>
      <c r="AH31" s="147">
        <f>SUM(Capex!AH35,Capex!AH45,Capex!AH55,Capex!AH65,Capex!AH75)</f>
        <v>0</v>
      </c>
      <c r="AI31" s="147">
        <f>SUM(Capex!AI35,Capex!AI45,Capex!AI55,Capex!AI65,Capex!AI75)</f>
        <v>0</v>
      </c>
      <c r="AJ31" s="147">
        <f>SUM(Capex!AJ35,Capex!AJ45,Capex!AJ55,Capex!AJ65,Capex!AJ75)</f>
        <v>0</v>
      </c>
      <c r="AK31" s="147">
        <f>SUM(Capex!AK35,Capex!AK45,Capex!AK55,Capex!AK65,Capex!AK75)</f>
        <v>0</v>
      </c>
      <c r="AL31" s="147">
        <f>SUM(Capex!AL35,Capex!AL45,Capex!AL55,Capex!AL65,Capex!AL75)</f>
        <v>0</v>
      </c>
      <c r="AM31" s="147">
        <f>SUM(Capex!AM35,Capex!AM45,Capex!AM55,Capex!AM65,Capex!AM75)</f>
        <v>0</v>
      </c>
      <c r="AN31" s="147">
        <f>SUM(Capex!AN35,Capex!AN45,Capex!AN55,Capex!AN65,Capex!AN75)</f>
        <v>0</v>
      </c>
      <c r="AO31" s="147">
        <f>SUM(Capex!AO35,Capex!AO45,Capex!AO55,Capex!AO65,Capex!AO75)</f>
        <v>0</v>
      </c>
      <c r="AP31" s="147">
        <f>SUM(Capex!AP35,Capex!AP45,Capex!AP55,Capex!AP65,Capex!AP75)</f>
        <v>0</v>
      </c>
      <c r="AQ31" s="147">
        <f>SUM(Capex!AQ35,Capex!AQ45,Capex!AQ55,Capex!AQ65,Capex!AQ75)</f>
        <v>0</v>
      </c>
      <c r="AR31" s="147">
        <f>SUM(Capex!AR35,Capex!AR45,Capex!AR55,Capex!AR65,Capex!AR75)</f>
        <v>0</v>
      </c>
      <c r="AS31" s="147">
        <f>SUM(Capex!AS35,Capex!AS45,Capex!AS55,Capex!AS65,Capex!AS75)</f>
        <v>0</v>
      </c>
      <c r="AT31" s="147">
        <f>SUM(Capex!AT35,Capex!AT45,Capex!AT55,Capex!AT65,Capex!AT75)</f>
        <v>0</v>
      </c>
      <c r="AU31" s="147">
        <f>SUM(Capex!AU35,Capex!AU45,Capex!AU55,Capex!AU65,Capex!AU75)</f>
        <v>0</v>
      </c>
      <c r="AV31" s="147">
        <f>SUM(Capex!AV35,Capex!AV45,Capex!AV55,Capex!AV65,Capex!AV75)</f>
        <v>0</v>
      </c>
      <c r="AW31" s="147">
        <f>SUM(Capex!AW35,Capex!AW45,Capex!AW55,Capex!AW65,Capex!AW75)</f>
        <v>0</v>
      </c>
      <c r="AX31" s="147">
        <f>SUM(Capex!AX35,Capex!AX45,Capex!AX55,Capex!AX65,Capex!AX75)</f>
        <v>0</v>
      </c>
      <c r="AY31" s="147">
        <f>SUM(Capex!AY35,Capex!AY45,Capex!AY55,Capex!AY65,Capex!AY75)</f>
        <v>0</v>
      </c>
      <c r="AZ31" s="147">
        <f>SUM(Capex!AZ35,Capex!AZ45,Capex!AZ55,Capex!AZ65,Capex!AZ75)</f>
        <v>0</v>
      </c>
      <c r="BA31" s="147">
        <f>SUM(Capex!BA35,Capex!BA45,Capex!BA55,Capex!BA65,Capex!BA75)</f>
        <v>0</v>
      </c>
      <c r="BB31" s="147">
        <f>SUM(Capex!BB35,Capex!BB45,Capex!BB55,Capex!BB65,Capex!BB75)</f>
        <v>0</v>
      </c>
      <c r="BC31" s="147">
        <f>SUM(Capex!BC35,Capex!BC45,Capex!BC55,Capex!BC65,Capex!BC75)</f>
        <v>0</v>
      </c>
      <c r="BD31" s="147">
        <f>SUM(Capex!BD35,Capex!BD45,Capex!BD55,Capex!BD65,Capex!BD75)</f>
        <v>0</v>
      </c>
      <c r="BE31" s="147">
        <f>SUM(Capex!BE35,Capex!BE45,Capex!BE55,Capex!BE65,Capex!BE75)</f>
        <v>0</v>
      </c>
      <c r="BF31" s="147">
        <f>SUM(Capex!BF35,Capex!BF45,Capex!BF55,Capex!BF65,Capex!BF75)</f>
        <v>0</v>
      </c>
      <c r="BG31" s="147">
        <f>SUM(Capex!BG35,Capex!BG45,Capex!BG55,Capex!BG65,Capex!BG75)</f>
        <v>0</v>
      </c>
      <c r="BH31" s="147">
        <f>SUM(Capex!BH35,Capex!BH45,Capex!BH55,Capex!BH65,Capex!BH75)</f>
        <v>0</v>
      </c>
      <c r="BI31" s="147">
        <f>SUM(Capex!BI35,Capex!BI45,Capex!BI55,Capex!BI65,Capex!BI75)</f>
        <v>0</v>
      </c>
      <c r="BJ31" s="147">
        <f>SUM(Capex!BJ35,Capex!BJ45,Capex!BJ55,Capex!BJ65,Capex!BJ75)</f>
        <v>0</v>
      </c>
      <c r="BK31" s="147">
        <f>SUM(Capex!BK35,Capex!BK45,Capex!BK55,Capex!BK65,Capex!BK75)</f>
        <v>0</v>
      </c>
      <c r="BL31" s="147">
        <f>SUM(Capex!BL35,Capex!BL45,Capex!BL55,Capex!BL65,Capex!BL75)</f>
        <v>0</v>
      </c>
      <c r="BM31" s="147">
        <f>SUM(Capex!BM35,Capex!BM45,Capex!BM55,Capex!BM65,Capex!BM75)</f>
        <v>0</v>
      </c>
      <c r="BN31" s="147">
        <f>SUM(Capex!BN35,Capex!BN45,Capex!BN55,Capex!BN65,Capex!BN75)</f>
        <v>0</v>
      </c>
      <c r="BO31" s="147">
        <f>SUM(Capex!BO35,Capex!BO45,Capex!BO55,Capex!BO65,Capex!BO75)</f>
        <v>0</v>
      </c>
      <c r="BP31" s="147">
        <f>SUM(Capex!BP35,Capex!BP45,Capex!BP55,Capex!BP65,Capex!BP75)</f>
        <v>0</v>
      </c>
      <c r="BQ31" s="147">
        <f>SUM(Capex!BQ35,Capex!BQ45,Capex!BQ55,Capex!BQ65,Capex!BQ75)</f>
        <v>0</v>
      </c>
      <c r="BR31" s="147">
        <f>SUM(Capex!BR35,Capex!BR45,Capex!BR55,Capex!BR65,Capex!BR75)</f>
        <v>0</v>
      </c>
    </row>
    <row r="32" spans="1:70" s="211" customFormat="1" ht="13.2" x14ac:dyDescent="0.25">
      <c r="B32" s="211" t="s">
        <v>178</v>
      </c>
      <c r="D32" s="231" t="str">
        <f>unit</f>
        <v>£</v>
      </c>
      <c r="E32" s="211">
        <f>SUM(E27:E31)</f>
        <v>0</v>
      </c>
      <c r="F32" s="211">
        <f t="shared" ref="F32:I32" si="13">SUM(F27:F31)</f>
        <v>0</v>
      </c>
      <c r="G32" s="211">
        <f t="shared" si="13"/>
        <v>0</v>
      </c>
      <c r="H32" s="211">
        <f t="shared" si="13"/>
        <v>0</v>
      </c>
      <c r="I32" s="211">
        <f t="shared" si="13"/>
        <v>0</v>
      </c>
      <c r="K32" s="211">
        <f t="shared" ref="K32:BR32" si="14">SUM(K27:K31)</f>
        <v>0</v>
      </c>
      <c r="L32" s="211">
        <f t="shared" si="14"/>
        <v>0</v>
      </c>
      <c r="M32" s="211">
        <f t="shared" si="14"/>
        <v>0</v>
      </c>
      <c r="N32" s="211">
        <f t="shared" si="14"/>
        <v>0</v>
      </c>
      <c r="O32" s="211">
        <f t="shared" si="14"/>
        <v>0</v>
      </c>
      <c r="P32" s="211">
        <f t="shared" si="14"/>
        <v>0</v>
      </c>
      <c r="Q32" s="211">
        <f t="shared" si="14"/>
        <v>0</v>
      </c>
      <c r="R32" s="211">
        <f t="shared" si="14"/>
        <v>0</v>
      </c>
      <c r="S32" s="211">
        <f t="shared" si="14"/>
        <v>0</v>
      </c>
      <c r="T32" s="211">
        <f t="shared" si="14"/>
        <v>0</v>
      </c>
      <c r="U32" s="211">
        <f t="shared" si="14"/>
        <v>0</v>
      </c>
      <c r="V32" s="211">
        <f t="shared" si="14"/>
        <v>0</v>
      </c>
      <c r="W32" s="211">
        <f t="shared" si="14"/>
        <v>0</v>
      </c>
      <c r="X32" s="211">
        <f t="shared" si="14"/>
        <v>0</v>
      </c>
      <c r="Y32" s="211">
        <f t="shared" si="14"/>
        <v>0</v>
      </c>
      <c r="Z32" s="211">
        <f t="shared" si="14"/>
        <v>0</v>
      </c>
      <c r="AA32" s="211">
        <f t="shared" si="14"/>
        <v>0</v>
      </c>
      <c r="AB32" s="211">
        <f t="shared" si="14"/>
        <v>0</v>
      </c>
      <c r="AC32" s="211">
        <f t="shared" si="14"/>
        <v>0</v>
      </c>
      <c r="AD32" s="211">
        <f t="shared" si="14"/>
        <v>0</v>
      </c>
      <c r="AE32" s="211">
        <f t="shared" si="14"/>
        <v>0</v>
      </c>
      <c r="AF32" s="211">
        <f t="shared" si="14"/>
        <v>0</v>
      </c>
      <c r="AG32" s="211">
        <f t="shared" si="14"/>
        <v>0</v>
      </c>
      <c r="AH32" s="211">
        <f t="shared" si="14"/>
        <v>0</v>
      </c>
      <c r="AI32" s="211">
        <f t="shared" si="14"/>
        <v>0</v>
      </c>
      <c r="AJ32" s="211">
        <f t="shared" si="14"/>
        <v>0</v>
      </c>
      <c r="AK32" s="211">
        <f t="shared" si="14"/>
        <v>0</v>
      </c>
      <c r="AL32" s="211">
        <f t="shared" si="14"/>
        <v>0</v>
      </c>
      <c r="AM32" s="211">
        <f t="shared" si="14"/>
        <v>0</v>
      </c>
      <c r="AN32" s="211">
        <f t="shared" si="14"/>
        <v>0</v>
      </c>
      <c r="AO32" s="211">
        <f t="shared" si="14"/>
        <v>0</v>
      </c>
      <c r="AP32" s="211">
        <f t="shared" si="14"/>
        <v>0</v>
      </c>
      <c r="AQ32" s="211">
        <f t="shared" si="14"/>
        <v>0</v>
      </c>
      <c r="AR32" s="211">
        <f t="shared" si="14"/>
        <v>0</v>
      </c>
      <c r="AS32" s="211">
        <f t="shared" si="14"/>
        <v>0</v>
      </c>
      <c r="AT32" s="211">
        <f t="shared" si="14"/>
        <v>0</v>
      </c>
      <c r="AU32" s="211">
        <f t="shared" si="14"/>
        <v>0</v>
      </c>
      <c r="AV32" s="211">
        <f t="shared" si="14"/>
        <v>0</v>
      </c>
      <c r="AW32" s="211">
        <f t="shared" si="14"/>
        <v>0</v>
      </c>
      <c r="AX32" s="211">
        <f t="shared" si="14"/>
        <v>0</v>
      </c>
      <c r="AY32" s="211">
        <f t="shared" si="14"/>
        <v>0</v>
      </c>
      <c r="AZ32" s="211">
        <f t="shared" si="14"/>
        <v>0</v>
      </c>
      <c r="BA32" s="211">
        <f t="shared" si="14"/>
        <v>0</v>
      </c>
      <c r="BB32" s="211">
        <f t="shared" si="14"/>
        <v>0</v>
      </c>
      <c r="BC32" s="211">
        <f t="shared" si="14"/>
        <v>0</v>
      </c>
      <c r="BD32" s="211">
        <f t="shared" si="14"/>
        <v>0</v>
      </c>
      <c r="BE32" s="211">
        <f t="shared" si="14"/>
        <v>0</v>
      </c>
      <c r="BF32" s="211">
        <f t="shared" si="14"/>
        <v>0</v>
      </c>
      <c r="BG32" s="211">
        <f t="shared" si="14"/>
        <v>0</v>
      </c>
      <c r="BH32" s="211">
        <f t="shared" si="14"/>
        <v>0</v>
      </c>
      <c r="BI32" s="211">
        <f t="shared" si="14"/>
        <v>0</v>
      </c>
      <c r="BJ32" s="211">
        <f t="shared" si="14"/>
        <v>0</v>
      </c>
      <c r="BK32" s="211">
        <f t="shared" si="14"/>
        <v>0</v>
      </c>
      <c r="BL32" s="211">
        <f t="shared" si="14"/>
        <v>0</v>
      </c>
      <c r="BM32" s="211">
        <f t="shared" si="14"/>
        <v>0</v>
      </c>
      <c r="BN32" s="211">
        <f t="shared" si="14"/>
        <v>0</v>
      </c>
      <c r="BO32" s="211">
        <f t="shared" si="14"/>
        <v>0</v>
      </c>
      <c r="BP32" s="211">
        <f t="shared" si="14"/>
        <v>0</v>
      </c>
      <c r="BQ32" s="211">
        <f t="shared" si="14"/>
        <v>0</v>
      </c>
      <c r="BR32" s="211">
        <f t="shared" si="14"/>
        <v>0</v>
      </c>
    </row>
    <row r="33" spans="1:70" s="147" customFormat="1" ht="13.2" x14ac:dyDescent="0.25">
      <c r="A33" s="211"/>
      <c r="F33" s="212"/>
    </row>
    <row r="34" spans="1:70" s="147" customFormat="1" ht="13.2" x14ac:dyDescent="0.25">
      <c r="A34" s="211"/>
      <c r="B34" s="147" t="s">
        <v>295</v>
      </c>
      <c r="D34" s="231" t="str">
        <f>unit</f>
        <v>£</v>
      </c>
      <c r="E34" s="147">
        <f>SUMIF($K$5:$BR$5,E$5,$K34:$BR34)</f>
        <v>0</v>
      </c>
      <c r="F34" s="147">
        <f t="shared" ref="F34:I37" si="15">SUMIF($K$5:$BR$5,F$5,$K34:$BR34)</f>
        <v>0</v>
      </c>
      <c r="G34" s="147">
        <f t="shared" si="15"/>
        <v>0</v>
      </c>
      <c r="H34" s="147">
        <f t="shared" si="15"/>
        <v>0</v>
      </c>
      <c r="I34" s="147">
        <f t="shared" si="15"/>
        <v>0</v>
      </c>
      <c r="K34" s="147">
        <f>GrantIncome!K16</f>
        <v>0</v>
      </c>
      <c r="L34" s="147">
        <f>GrantIncome!L16</f>
        <v>0</v>
      </c>
      <c r="M34" s="147">
        <f>GrantIncome!M16</f>
        <v>0</v>
      </c>
      <c r="N34" s="147">
        <f>GrantIncome!N16</f>
        <v>0</v>
      </c>
      <c r="O34" s="147">
        <f>GrantIncome!O16</f>
        <v>0</v>
      </c>
      <c r="P34" s="147">
        <f>GrantIncome!P16</f>
        <v>0</v>
      </c>
      <c r="Q34" s="147">
        <f>GrantIncome!Q16</f>
        <v>0</v>
      </c>
      <c r="R34" s="147">
        <f>GrantIncome!R16</f>
        <v>0</v>
      </c>
      <c r="S34" s="147">
        <f>GrantIncome!S16</f>
        <v>0</v>
      </c>
      <c r="T34" s="147">
        <f>GrantIncome!T16</f>
        <v>0</v>
      </c>
      <c r="U34" s="147">
        <f>GrantIncome!U16</f>
        <v>0</v>
      </c>
      <c r="V34" s="147">
        <f>GrantIncome!V16</f>
        <v>0</v>
      </c>
      <c r="W34" s="147">
        <f>GrantIncome!W16</f>
        <v>0</v>
      </c>
      <c r="X34" s="147">
        <f>GrantIncome!X16</f>
        <v>0</v>
      </c>
      <c r="Y34" s="147">
        <f>GrantIncome!Y16</f>
        <v>0</v>
      </c>
      <c r="Z34" s="147">
        <f>GrantIncome!Z16</f>
        <v>0</v>
      </c>
      <c r="AA34" s="147">
        <f>GrantIncome!AA16</f>
        <v>0</v>
      </c>
      <c r="AB34" s="147">
        <f>GrantIncome!AB16</f>
        <v>0</v>
      </c>
      <c r="AC34" s="147">
        <f>GrantIncome!AC16</f>
        <v>0</v>
      </c>
      <c r="AD34" s="147">
        <f>GrantIncome!AD16</f>
        <v>0</v>
      </c>
      <c r="AE34" s="147">
        <f>GrantIncome!AE16</f>
        <v>0</v>
      </c>
      <c r="AF34" s="147">
        <f>GrantIncome!AF16</f>
        <v>0</v>
      </c>
      <c r="AG34" s="147">
        <f>GrantIncome!AG16</f>
        <v>0</v>
      </c>
      <c r="AH34" s="147">
        <f>GrantIncome!AH16</f>
        <v>0</v>
      </c>
      <c r="AI34" s="147">
        <f>GrantIncome!AI16</f>
        <v>0</v>
      </c>
      <c r="AJ34" s="147">
        <f>GrantIncome!AJ16</f>
        <v>0</v>
      </c>
      <c r="AK34" s="147">
        <f>GrantIncome!AK16</f>
        <v>0</v>
      </c>
      <c r="AL34" s="147">
        <f>GrantIncome!AL16</f>
        <v>0</v>
      </c>
      <c r="AM34" s="147">
        <f>GrantIncome!AM16</f>
        <v>0</v>
      </c>
      <c r="AN34" s="147">
        <f>GrantIncome!AN16</f>
        <v>0</v>
      </c>
      <c r="AO34" s="147">
        <f>GrantIncome!AO16</f>
        <v>0</v>
      </c>
      <c r="AP34" s="147">
        <f>GrantIncome!AP16</f>
        <v>0</v>
      </c>
      <c r="AQ34" s="147">
        <f>GrantIncome!AQ16</f>
        <v>0</v>
      </c>
      <c r="AR34" s="147">
        <f>GrantIncome!AR16</f>
        <v>0</v>
      </c>
      <c r="AS34" s="147">
        <f>GrantIncome!AS16</f>
        <v>0</v>
      </c>
      <c r="AT34" s="147">
        <f>GrantIncome!AT16</f>
        <v>0</v>
      </c>
      <c r="AU34" s="147">
        <f>GrantIncome!AU16</f>
        <v>0</v>
      </c>
      <c r="AV34" s="147">
        <f>GrantIncome!AV16</f>
        <v>0</v>
      </c>
      <c r="AW34" s="147">
        <f>GrantIncome!AW16</f>
        <v>0</v>
      </c>
      <c r="AX34" s="147">
        <f>GrantIncome!AX16</f>
        <v>0</v>
      </c>
      <c r="AY34" s="147">
        <f>GrantIncome!AY16</f>
        <v>0</v>
      </c>
      <c r="AZ34" s="147">
        <f>GrantIncome!AZ16</f>
        <v>0</v>
      </c>
      <c r="BA34" s="147">
        <f>GrantIncome!BA16</f>
        <v>0</v>
      </c>
      <c r="BB34" s="147">
        <f>GrantIncome!BB16</f>
        <v>0</v>
      </c>
      <c r="BC34" s="147">
        <f>GrantIncome!BC16</f>
        <v>0</v>
      </c>
      <c r="BD34" s="147">
        <f>GrantIncome!BD16</f>
        <v>0</v>
      </c>
      <c r="BE34" s="147">
        <f>GrantIncome!BE16</f>
        <v>0</v>
      </c>
      <c r="BF34" s="147">
        <f>GrantIncome!BF16</f>
        <v>0</v>
      </c>
      <c r="BG34" s="147">
        <f>GrantIncome!BG16</f>
        <v>0</v>
      </c>
      <c r="BH34" s="147">
        <f>GrantIncome!BH16</f>
        <v>0</v>
      </c>
      <c r="BI34" s="147">
        <f>GrantIncome!BI16</f>
        <v>0</v>
      </c>
      <c r="BJ34" s="147">
        <f>GrantIncome!BJ16</f>
        <v>0</v>
      </c>
      <c r="BK34" s="147">
        <f>GrantIncome!BK16</f>
        <v>0</v>
      </c>
      <c r="BL34" s="147">
        <f>GrantIncome!BL16</f>
        <v>0</v>
      </c>
      <c r="BM34" s="147">
        <f>GrantIncome!BM16</f>
        <v>0</v>
      </c>
      <c r="BN34" s="147">
        <f>GrantIncome!BN16</f>
        <v>0</v>
      </c>
      <c r="BO34" s="147">
        <f>GrantIncome!BO16</f>
        <v>0</v>
      </c>
      <c r="BP34" s="147">
        <f>GrantIncome!BP16</f>
        <v>0</v>
      </c>
      <c r="BQ34" s="147">
        <f>GrantIncome!BQ16</f>
        <v>0</v>
      </c>
      <c r="BR34" s="147">
        <f>GrantIncome!BR16</f>
        <v>0</v>
      </c>
    </row>
    <row r="35" spans="1:70" s="147" customFormat="1" ht="13.2" x14ac:dyDescent="0.25">
      <c r="A35" s="211"/>
      <c r="B35" s="147" t="s">
        <v>393</v>
      </c>
      <c r="D35" s="231" t="str">
        <f>unit</f>
        <v>£</v>
      </c>
      <c r="E35" s="147">
        <f>SUMIF($K$5:$BR$5,E$5,$K35:$BR35)</f>
        <v>0</v>
      </c>
      <c r="F35" s="147">
        <f t="shared" si="15"/>
        <v>0</v>
      </c>
      <c r="G35" s="147">
        <f t="shared" si="15"/>
        <v>0</v>
      </c>
      <c r="H35" s="147">
        <f t="shared" si="15"/>
        <v>0</v>
      </c>
      <c r="I35" s="147">
        <f t="shared" si="15"/>
        <v>0</v>
      </c>
      <c r="K35" s="147">
        <f>'Other income'!K32</f>
        <v>0</v>
      </c>
      <c r="L35" s="147">
        <f>'Other income'!L32</f>
        <v>0</v>
      </c>
      <c r="M35" s="147">
        <f>'Other income'!M32</f>
        <v>0</v>
      </c>
      <c r="N35" s="147">
        <f>'Other income'!N32</f>
        <v>0</v>
      </c>
      <c r="O35" s="147">
        <f>'Other income'!O32</f>
        <v>0</v>
      </c>
      <c r="P35" s="147">
        <f>'Other income'!P32</f>
        <v>0</v>
      </c>
      <c r="Q35" s="147">
        <f>'Other income'!Q32</f>
        <v>0</v>
      </c>
      <c r="R35" s="147">
        <f>'Other income'!R32</f>
        <v>0</v>
      </c>
      <c r="S35" s="147">
        <f>'Other income'!S32</f>
        <v>0</v>
      </c>
      <c r="T35" s="147">
        <f>'Other income'!T32</f>
        <v>0</v>
      </c>
      <c r="U35" s="147">
        <f>'Other income'!U32</f>
        <v>0</v>
      </c>
      <c r="V35" s="147">
        <f>'Other income'!V32</f>
        <v>0</v>
      </c>
      <c r="W35" s="147">
        <f>'Other income'!W32</f>
        <v>0</v>
      </c>
      <c r="X35" s="147">
        <f>'Other income'!X32</f>
        <v>0</v>
      </c>
      <c r="Y35" s="147">
        <f>'Other income'!Y32</f>
        <v>0</v>
      </c>
      <c r="Z35" s="147">
        <f>'Other income'!Z32</f>
        <v>0</v>
      </c>
      <c r="AA35" s="147">
        <f>'Other income'!AA32</f>
        <v>0</v>
      </c>
      <c r="AB35" s="147">
        <f>'Other income'!AB32</f>
        <v>0</v>
      </c>
      <c r="AC35" s="147">
        <f>'Other income'!AC32</f>
        <v>0</v>
      </c>
      <c r="AD35" s="147">
        <f>'Other income'!AD32</f>
        <v>0</v>
      </c>
      <c r="AE35" s="147">
        <f>'Other income'!AE32</f>
        <v>0</v>
      </c>
      <c r="AF35" s="147">
        <f>'Other income'!AF32</f>
        <v>0</v>
      </c>
      <c r="AG35" s="147">
        <f>'Other income'!AG32</f>
        <v>0</v>
      </c>
      <c r="AH35" s="147">
        <f>'Other income'!AH32</f>
        <v>0</v>
      </c>
      <c r="AI35" s="147">
        <f>'Other income'!AI32</f>
        <v>0</v>
      </c>
      <c r="AJ35" s="147">
        <f>'Other income'!AJ32</f>
        <v>0</v>
      </c>
      <c r="AK35" s="147">
        <f>'Other income'!AK32</f>
        <v>0</v>
      </c>
      <c r="AL35" s="147">
        <f>'Other income'!AL32</f>
        <v>0</v>
      </c>
      <c r="AM35" s="147">
        <f>'Other income'!AM32</f>
        <v>0</v>
      </c>
      <c r="AN35" s="147">
        <f>'Other income'!AN32</f>
        <v>0</v>
      </c>
      <c r="AO35" s="147">
        <f>'Other income'!AO32</f>
        <v>0</v>
      </c>
      <c r="AP35" s="147">
        <f>'Other income'!AP32</f>
        <v>0</v>
      </c>
      <c r="AQ35" s="147">
        <f>'Other income'!AQ32</f>
        <v>0</v>
      </c>
      <c r="AR35" s="147">
        <f>'Other income'!AR32</f>
        <v>0</v>
      </c>
      <c r="AS35" s="147">
        <f>'Other income'!AS32</f>
        <v>0</v>
      </c>
      <c r="AT35" s="147">
        <f>'Other income'!AT32</f>
        <v>0</v>
      </c>
      <c r="AU35" s="147">
        <f>'Other income'!AU32</f>
        <v>0</v>
      </c>
      <c r="AV35" s="147">
        <f>'Other income'!AV32</f>
        <v>0</v>
      </c>
      <c r="AW35" s="147">
        <f>'Other income'!AW32</f>
        <v>0</v>
      </c>
      <c r="AX35" s="147">
        <f>'Other income'!AX32</f>
        <v>0</v>
      </c>
      <c r="AY35" s="147">
        <f>'Other income'!AY32</f>
        <v>0</v>
      </c>
      <c r="AZ35" s="147">
        <f>'Other income'!AZ32</f>
        <v>0</v>
      </c>
      <c r="BA35" s="147">
        <f>'Other income'!BA32</f>
        <v>0</v>
      </c>
      <c r="BB35" s="147">
        <f>'Other income'!BB32</f>
        <v>0</v>
      </c>
      <c r="BC35" s="147">
        <f>'Other income'!BC32</f>
        <v>0</v>
      </c>
      <c r="BD35" s="147">
        <f>'Other income'!BD32</f>
        <v>0</v>
      </c>
      <c r="BE35" s="147">
        <f>'Other income'!BE32</f>
        <v>0</v>
      </c>
      <c r="BF35" s="147">
        <f>'Other income'!BF32</f>
        <v>0</v>
      </c>
      <c r="BG35" s="147">
        <f>'Other income'!BG32</f>
        <v>0</v>
      </c>
      <c r="BH35" s="147">
        <f>'Other income'!BH32</f>
        <v>0</v>
      </c>
      <c r="BI35" s="147">
        <f>'Other income'!BI32</f>
        <v>0</v>
      </c>
      <c r="BJ35" s="147">
        <f>'Other income'!BJ32</f>
        <v>0</v>
      </c>
      <c r="BK35" s="147">
        <f>'Other income'!BK32</f>
        <v>0</v>
      </c>
      <c r="BL35" s="147">
        <f>'Other income'!BL32</f>
        <v>0</v>
      </c>
      <c r="BM35" s="147">
        <f>'Other income'!BM32</f>
        <v>0</v>
      </c>
      <c r="BN35" s="147">
        <f>'Other income'!BN32</f>
        <v>0</v>
      </c>
      <c r="BO35" s="147">
        <f>'Other income'!BO32</f>
        <v>0</v>
      </c>
      <c r="BP35" s="147">
        <f>'Other income'!BP32</f>
        <v>0</v>
      </c>
      <c r="BQ35" s="147">
        <f>'Other income'!BQ32</f>
        <v>0</v>
      </c>
      <c r="BR35" s="147">
        <f>'Other income'!BR32</f>
        <v>0</v>
      </c>
    </row>
    <row r="36" spans="1:70" s="147" customFormat="1" ht="13.2" x14ac:dyDescent="0.25">
      <c r="A36" s="211"/>
      <c r="B36" s="147" t="s">
        <v>266</v>
      </c>
      <c r="D36" s="231" t="str">
        <f>unit</f>
        <v>£</v>
      </c>
      <c r="E36" s="147">
        <f>SUMIF($K$5:$BR$5,E$5,$K36:$BR36)</f>
        <v>0</v>
      </c>
      <c r="F36" s="147">
        <f t="shared" si="15"/>
        <v>0</v>
      </c>
      <c r="G36" s="147">
        <f t="shared" si="15"/>
        <v>0</v>
      </c>
      <c r="H36" s="147">
        <f t="shared" si="15"/>
        <v>0</v>
      </c>
      <c r="I36" s="147">
        <f t="shared" si="15"/>
        <v>0</v>
      </c>
      <c r="K36" s="147">
        <f>DebtFinancing!K22</f>
        <v>0</v>
      </c>
      <c r="L36" s="147">
        <f>DebtFinancing!L22</f>
        <v>0</v>
      </c>
      <c r="M36" s="147">
        <f>DebtFinancing!M22</f>
        <v>0</v>
      </c>
      <c r="N36" s="147">
        <f>DebtFinancing!N22</f>
        <v>0</v>
      </c>
      <c r="O36" s="147">
        <f>DebtFinancing!O22</f>
        <v>0</v>
      </c>
      <c r="P36" s="147">
        <f>DebtFinancing!P22</f>
        <v>0</v>
      </c>
      <c r="Q36" s="147">
        <f>DebtFinancing!Q22</f>
        <v>0</v>
      </c>
      <c r="R36" s="147">
        <f>DebtFinancing!R22</f>
        <v>0</v>
      </c>
      <c r="S36" s="147">
        <f>DebtFinancing!S22</f>
        <v>0</v>
      </c>
      <c r="T36" s="147">
        <f>DebtFinancing!T22</f>
        <v>0</v>
      </c>
      <c r="U36" s="147">
        <f>DebtFinancing!U22</f>
        <v>0</v>
      </c>
      <c r="V36" s="147">
        <f>DebtFinancing!V22</f>
        <v>0</v>
      </c>
      <c r="W36" s="147">
        <f>DebtFinancing!W22</f>
        <v>0</v>
      </c>
      <c r="X36" s="147">
        <f>DebtFinancing!X22</f>
        <v>0</v>
      </c>
      <c r="Y36" s="147">
        <f>DebtFinancing!Y22</f>
        <v>0</v>
      </c>
      <c r="Z36" s="147">
        <f>DebtFinancing!Z22</f>
        <v>0</v>
      </c>
      <c r="AA36" s="147">
        <f>DebtFinancing!AA22</f>
        <v>0</v>
      </c>
      <c r="AB36" s="147">
        <f>DebtFinancing!AB22</f>
        <v>0</v>
      </c>
      <c r="AC36" s="147">
        <f>DebtFinancing!AC22</f>
        <v>0</v>
      </c>
      <c r="AD36" s="147">
        <f>DebtFinancing!AD22</f>
        <v>0</v>
      </c>
      <c r="AE36" s="147">
        <f>DebtFinancing!AE22</f>
        <v>0</v>
      </c>
      <c r="AF36" s="147">
        <f>DebtFinancing!AF22</f>
        <v>0</v>
      </c>
      <c r="AG36" s="147">
        <f>DebtFinancing!AG22</f>
        <v>0</v>
      </c>
      <c r="AH36" s="147">
        <f>DebtFinancing!AH22</f>
        <v>0</v>
      </c>
      <c r="AI36" s="147">
        <f>DebtFinancing!AI22</f>
        <v>0</v>
      </c>
      <c r="AJ36" s="147">
        <f>DebtFinancing!AJ22</f>
        <v>0</v>
      </c>
      <c r="AK36" s="147">
        <f>DebtFinancing!AK22</f>
        <v>0</v>
      </c>
      <c r="AL36" s="147">
        <f>DebtFinancing!AL22</f>
        <v>0</v>
      </c>
      <c r="AM36" s="147">
        <f>DebtFinancing!AM22</f>
        <v>0</v>
      </c>
      <c r="AN36" s="147">
        <f>DebtFinancing!AN22</f>
        <v>0</v>
      </c>
      <c r="AO36" s="147">
        <f>DebtFinancing!AO22</f>
        <v>0</v>
      </c>
      <c r="AP36" s="147">
        <f>DebtFinancing!AP22</f>
        <v>0</v>
      </c>
      <c r="AQ36" s="147">
        <f>DebtFinancing!AQ22</f>
        <v>0</v>
      </c>
      <c r="AR36" s="147">
        <f>DebtFinancing!AR22</f>
        <v>0</v>
      </c>
      <c r="AS36" s="147">
        <f>DebtFinancing!AS22</f>
        <v>0</v>
      </c>
      <c r="AT36" s="147">
        <f>DebtFinancing!AT22</f>
        <v>0</v>
      </c>
      <c r="AU36" s="147">
        <f>DebtFinancing!AU22</f>
        <v>0</v>
      </c>
      <c r="AV36" s="147">
        <f>DebtFinancing!AV22</f>
        <v>0</v>
      </c>
      <c r="AW36" s="147">
        <f>DebtFinancing!AW22</f>
        <v>0</v>
      </c>
      <c r="AX36" s="147">
        <f>DebtFinancing!AX22</f>
        <v>0</v>
      </c>
      <c r="AY36" s="147">
        <f>DebtFinancing!AY22</f>
        <v>0</v>
      </c>
      <c r="AZ36" s="147">
        <f>DebtFinancing!AZ22</f>
        <v>0</v>
      </c>
      <c r="BA36" s="147">
        <f>DebtFinancing!BA22</f>
        <v>0</v>
      </c>
      <c r="BB36" s="147">
        <f>DebtFinancing!BB22</f>
        <v>0</v>
      </c>
      <c r="BC36" s="147">
        <f>DebtFinancing!BC22</f>
        <v>0</v>
      </c>
      <c r="BD36" s="147">
        <f>DebtFinancing!BD22</f>
        <v>0</v>
      </c>
      <c r="BE36" s="147">
        <f>DebtFinancing!BE22</f>
        <v>0</v>
      </c>
      <c r="BF36" s="147">
        <f>DebtFinancing!BF22</f>
        <v>0</v>
      </c>
      <c r="BG36" s="147">
        <f>DebtFinancing!BG22</f>
        <v>0</v>
      </c>
      <c r="BH36" s="147">
        <f>DebtFinancing!BH22</f>
        <v>0</v>
      </c>
      <c r="BI36" s="147">
        <f>DebtFinancing!BI22</f>
        <v>0</v>
      </c>
      <c r="BJ36" s="147">
        <f>DebtFinancing!BJ22</f>
        <v>0</v>
      </c>
      <c r="BK36" s="147">
        <f>DebtFinancing!BK22</f>
        <v>0</v>
      </c>
      <c r="BL36" s="147">
        <f>DebtFinancing!BL22</f>
        <v>0</v>
      </c>
      <c r="BM36" s="147">
        <f>DebtFinancing!BM22</f>
        <v>0</v>
      </c>
      <c r="BN36" s="147">
        <f>DebtFinancing!BN22</f>
        <v>0</v>
      </c>
      <c r="BO36" s="147">
        <f>DebtFinancing!BO22</f>
        <v>0</v>
      </c>
      <c r="BP36" s="147">
        <f>DebtFinancing!BP22</f>
        <v>0</v>
      </c>
      <c r="BQ36" s="147">
        <f>DebtFinancing!BQ22</f>
        <v>0</v>
      </c>
      <c r="BR36" s="147">
        <f>DebtFinancing!BR22</f>
        <v>0</v>
      </c>
    </row>
    <row r="37" spans="1:70" s="147" customFormat="1" ht="13.2" x14ac:dyDescent="0.25">
      <c r="A37" s="211"/>
      <c r="B37" s="147" t="s">
        <v>383</v>
      </c>
      <c r="D37" s="231"/>
      <c r="E37" s="147">
        <f ca="1">SUMIF($K$5:$BR$5,E$5,$K37:$BR37)</f>
        <v>0</v>
      </c>
      <c r="F37" s="147">
        <f t="shared" ca="1" si="15"/>
        <v>0</v>
      </c>
      <c r="G37" s="147">
        <f t="shared" ca="1" si="15"/>
        <v>0</v>
      </c>
      <c r="H37" s="147">
        <f t="shared" ca="1" si="15"/>
        <v>0</v>
      </c>
      <c r="I37" s="147">
        <f t="shared" ca="1" si="15"/>
        <v>0</v>
      </c>
      <c r="K37" s="147">
        <f ca="1">'Outputs - Cashflow'!K40</f>
        <v>0</v>
      </c>
      <c r="L37" s="147">
        <f ca="1">'Outputs - Cashflow'!L40</f>
        <v>0</v>
      </c>
      <c r="M37" s="147">
        <f ca="1">'Outputs - Cashflow'!M40</f>
        <v>0</v>
      </c>
      <c r="N37" s="147">
        <f ca="1">'Outputs - Cashflow'!N40</f>
        <v>0</v>
      </c>
      <c r="O37" s="147">
        <f ca="1">'Outputs - Cashflow'!O40</f>
        <v>0</v>
      </c>
      <c r="P37" s="147">
        <f ca="1">'Outputs - Cashflow'!P40</f>
        <v>0</v>
      </c>
      <c r="Q37" s="147">
        <f ca="1">'Outputs - Cashflow'!Q40</f>
        <v>0</v>
      </c>
      <c r="R37" s="147">
        <f ca="1">'Outputs - Cashflow'!R40</f>
        <v>0</v>
      </c>
      <c r="S37" s="147">
        <f ca="1">'Outputs - Cashflow'!S40</f>
        <v>0</v>
      </c>
      <c r="T37" s="147">
        <f ca="1">'Outputs - Cashflow'!T40</f>
        <v>0</v>
      </c>
      <c r="U37" s="147">
        <f ca="1">'Outputs - Cashflow'!U40</f>
        <v>0</v>
      </c>
      <c r="V37" s="147">
        <f ca="1">'Outputs - Cashflow'!V40</f>
        <v>0</v>
      </c>
      <c r="W37" s="147">
        <f ca="1">'Outputs - Cashflow'!W40</f>
        <v>0</v>
      </c>
      <c r="X37" s="147">
        <f ca="1">'Outputs - Cashflow'!X40</f>
        <v>0</v>
      </c>
      <c r="Y37" s="147">
        <f ca="1">'Outputs - Cashflow'!Y40</f>
        <v>0</v>
      </c>
      <c r="Z37" s="147">
        <f ca="1">'Outputs - Cashflow'!Z40</f>
        <v>0</v>
      </c>
      <c r="AA37" s="147">
        <f ca="1">'Outputs - Cashflow'!AA40</f>
        <v>0</v>
      </c>
      <c r="AB37" s="147">
        <f ca="1">'Outputs - Cashflow'!AB40</f>
        <v>0</v>
      </c>
      <c r="AC37" s="147">
        <f ca="1">'Outputs - Cashflow'!AC40</f>
        <v>0</v>
      </c>
      <c r="AD37" s="147">
        <f ca="1">'Outputs - Cashflow'!AD40</f>
        <v>0</v>
      </c>
      <c r="AE37" s="147">
        <f ca="1">'Outputs - Cashflow'!AE40</f>
        <v>0</v>
      </c>
      <c r="AF37" s="147">
        <f ca="1">'Outputs - Cashflow'!AF40</f>
        <v>0</v>
      </c>
      <c r="AG37" s="147">
        <f ca="1">'Outputs - Cashflow'!AG40</f>
        <v>0</v>
      </c>
      <c r="AH37" s="147">
        <f ca="1">'Outputs - Cashflow'!AH40</f>
        <v>0</v>
      </c>
      <c r="AI37" s="147">
        <f ca="1">'Outputs - Cashflow'!AI40</f>
        <v>0</v>
      </c>
      <c r="AJ37" s="147">
        <f ca="1">'Outputs - Cashflow'!AJ40</f>
        <v>0</v>
      </c>
      <c r="AK37" s="147">
        <f ca="1">'Outputs - Cashflow'!AK40</f>
        <v>0</v>
      </c>
      <c r="AL37" s="147">
        <f ca="1">'Outputs - Cashflow'!AL40</f>
        <v>0</v>
      </c>
      <c r="AM37" s="147">
        <f ca="1">'Outputs - Cashflow'!AM40</f>
        <v>0</v>
      </c>
      <c r="AN37" s="147">
        <f ca="1">'Outputs - Cashflow'!AN40</f>
        <v>0</v>
      </c>
      <c r="AO37" s="147">
        <f ca="1">'Outputs - Cashflow'!AO40</f>
        <v>0</v>
      </c>
      <c r="AP37" s="147">
        <f ca="1">'Outputs - Cashflow'!AP40</f>
        <v>0</v>
      </c>
      <c r="AQ37" s="147">
        <f ca="1">'Outputs - Cashflow'!AQ40</f>
        <v>0</v>
      </c>
      <c r="AR37" s="147">
        <f ca="1">'Outputs - Cashflow'!AR40</f>
        <v>0</v>
      </c>
      <c r="AS37" s="147">
        <f ca="1">'Outputs - Cashflow'!AS40</f>
        <v>0</v>
      </c>
      <c r="AT37" s="147">
        <f ca="1">'Outputs - Cashflow'!AT40</f>
        <v>0</v>
      </c>
      <c r="AU37" s="147">
        <f ca="1">'Outputs - Cashflow'!AU40</f>
        <v>0</v>
      </c>
      <c r="AV37" s="147">
        <f ca="1">'Outputs - Cashflow'!AV40</f>
        <v>0</v>
      </c>
      <c r="AW37" s="147">
        <f ca="1">'Outputs - Cashflow'!AW40</f>
        <v>0</v>
      </c>
      <c r="AX37" s="147">
        <f ca="1">'Outputs - Cashflow'!AX40</f>
        <v>0</v>
      </c>
      <c r="AY37" s="147">
        <f ca="1">'Outputs - Cashflow'!AY40</f>
        <v>0</v>
      </c>
      <c r="AZ37" s="147">
        <f ca="1">'Outputs - Cashflow'!AZ40</f>
        <v>0</v>
      </c>
      <c r="BA37" s="147">
        <f ca="1">'Outputs - Cashflow'!BA40</f>
        <v>0</v>
      </c>
      <c r="BB37" s="147">
        <f ca="1">'Outputs - Cashflow'!BB40</f>
        <v>0</v>
      </c>
      <c r="BC37" s="147">
        <f ca="1">'Outputs - Cashflow'!BC40</f>
        <v>0</v>
      </c>
      <c r="BD37" s="147">
        <f ca="1">'Outputs - Cashflow'!BD40</f>
        <v>0</v>
      </c>
      <c r="BE37" s="147">
        <f ca="1">'Outputs - Cashflow'!BE40</f>
        <v>0</v>
      </c>
      <c r="BF37" s="147">
        <f ca="1">'Outputs - Cashflow'!BF40</f>
        <v>0</v>
      </c>
      <c r="BG37" s="147">
        <f ca="1">'Outputs - Cashflow'!BG40</f>
        <v>0</v>
      </c>
      <c r="BH37" s="147">
        <f ca="1">'Outputs - Cashflow'!BH40</f>
        <v>0</v>
      </c>
      <c r="BI37" s="147">
        <f ca="1">'Outputs - Cashflow'!BI40</f>
        <v>0</v>
      </c>
      <c r="BJ37" s="147">
        <f ca="1">'Outputs - Cashflow'!BJ40</f>
        <v>0</v>
      </c>
      <c r="BK37" s="147">
        <f ca="1">'Outputs - Cashflow'!BK40</f>
        <v>0</v>
      </c>
      <c r="BL37" s="147">
        <f ca="1">'Outputs - Cashflow'!BL40</f>
        <v>0</v>
      </c>
      <c r="BM37" s="147">
        <f ca="1">'Outputs - Cashflow'!BM40</f>
        <v>0</v>
      </c>
      <c r="BN37" s="147">
        <f ca="1">'Outputs - Cashflow'!BN40</f>
        <v>0</v>
      </c>
      <c r="BO37" s="147">
        <f ca="1">'Outputs - Cashflow'!BO40</f>
        <v>0</v>
      </c>
      <c r="BP37" s="147">
        <f ca="1">'Outputs - Cashflow'!BP40</f>
        <v>0</v>
      </c>
      <c r="BQ37" s="147">
        <f ca="1">'Outputs - Cashflow'!BQ40</f>
        <v>0</v>
      </c>
      <c r="BR37" s="147">
        <f ca="1">'Outputs - Cashflow'!BR40</f>
        <v>0</v>
      </c>
    </row>
    <row r="38" spans="1:70" s="211" customFormat="1" ht="13.2" x14ac:dyDescent="0.25">
      <c r="B38" s="211" t="s">
        <v>267</v>
      </c>
      <c r="D38" s="231" t="str">
        <f>unit</f>
        <v>£</v>
      </c>
      <c r="E38" s="211">
        <f ca="1">SUM(E32:E37)</f>
        <v>0</v>
      </c>
      <c r="F38" s="211">
        <f t="shared" ref="F38:I38" ca="1" si="16">SUM(F32:F37)</f>
        <v>0</v>
      </c>
      <c r="G38" s="211">
        <f t="shared" ca="1" si="16"/>
        <v>0</v>
      </c>
      <c r="H38" s="211">
        <f t="shared" ca="1" si="16"/>
        <v>0</v>
      </c>
      <c r="I38" s="211">
        <f t="shared" ca="1" si="16"/>
        <v>0</v>
      </c>
      <c r="K38" s="211">
        <f ca="1">SUM(K32:K37)</f>
        <v>0</v>
      </c>
      <c r="L38" s="211">
        <f t="shared" ref="L38:BR38" ca="1" si="17">SUM(L32:L37)</f>
        <v>0</v>
      </c>
      <c r="M38" s="211">
        <f t="shared" ca="1" si="17"/>
        <v>0</v>
      </c>
      <c r="N38" s="211">
        <f t="shared" ca="1" si="17"/>
        <v>0</v>
      </c>
      <c r="O38" s="211">
        <f t="shared" ca="1" si="17"/>
        <v>0</v>
      </c>
      <c r="P38" s="211">
        <f t="shared" ca="1" si="17"/>
        <v>0</v>
      </c>
      <c r="Q38" s="211">
        <f t="shared" ca="1" si="17"/>
        <v>0</v>
      </c>
      <c r="R38" s="211">
        <f t="shared" ca="1" si="17"/>
        <v>0</v>
      </c>
      <c r="S38" s="211">
        <f t="shared" ca="1" si="17"/>
        <v>0</v>
      </c>
      <c r="T38" s="211">
        <f t="shared" ca="1" si="17"/>
        <v>0</v>
      </c>
      <c r="U38" s="211">
        <f t="shared" ca="1" si="17"/>
        <v>0</v>
      </c>
      <c r="V38" s="211">
        <f t="shared" ca="1" si="17"/>
        <v>0</v>
      </c>
      <c r="W38" s="211">
        <f t="shared" ca="1" si="17"/>
        <v>0</v>
      </c>
      <c r="X38" s="211">
        <f t="shared" ca="1" si="17"/>
        <v>0</v>
      </c>
      <c r="Y38" s="211">
        <f t="shared" ca="1" si="17"/>
        <v>0</v>
      </c>
      <c r="Z38" s="211">
        <f t="shared" ca="1" si="17"/>
        <v>0</v>
      </c>
      <c r="AA38" s="211">
        <f t="shared" ca="1" si="17"/>
        <v>0</v>
      </c>
      <c r="AB38" s="211">
        <f t="shared" ca="1" si="17"/>
        <v>0</v>
      </c>
      <c r="AC38" s="211">
        <f t="shared" ca="1" si="17"/>
        <v>0</v>
      </c>
      <c r="AD38" s="211">
        <f t="shared" ca="1" si="17"/>
        <v>0</v>
      </c>
      <c r="AE38" s="211">
        <f t="shared" ca="1" si="17"/>
        <v>0</v>
      </c>
      <c r="AF38" s="211">
        <f t="shared" ca="1" si="17"/>
        <v>0</v>
      </c>
      <c r="AG38" s="211">
        <f t="shared" ca="1" si="17"/>
        <v>0</v>
      </c>
      <c r="AH38" s="211">
        <f t="shared" ca="1" si="17"/>
        <v>0</v>
      </c>
      <c r="AI38" s="211">
        <f t="shared" ca="1" si="17"/>
        <v>0</v>
      </c>
      <c r="AJ38" s="211">
        <f t="shared" ca="1" si="17"/>
        <v>0</v>
      </c>
      <c r="AK38" s="211">
        <f t="shared" ca="1" si="17"/>
        <v>0</v>
      </c>
      <c r="AL38" s="211">
        <f t="shared" ca="1" si="17"/>
        <v>0</v>
      </c>
      <c r="AM38" s="211">
        <f t="shared" ca="1" si="17"/>
        <v>0</v>
      </c>
      <c r="AN38" s="211">
        <f t="shared" ca="1" si="17"/>
        <v>0</v>
      </c>
      <c r="AO38" s="211">
        <f t="shared" ca="1" si="17"/>
        <v>0</v>
      </c>
      <c r="AP38" s="211">
        <f t="shared" ca="1" si="17"/>
        <v>0</v>
      </c>
      <c r="AQ38" s="211">
        <f t="shared" ca="1" si="17"/>
        <v>0</v>
      </c>
      <c r="AR38" s="211">
        <f t="shared" ca="1" si="17"/>
        <v>0</v>
      </c>
      <c r="AS38" s="211">
        <f t="shared" ca="1" si="17"/>
        <v>0</v>
      </c>
      <c r="AT38" s="211">
        <f t="shared" ca="1" si="17"/>
        <v>0</v>
      </c>
      <c r="AU38" s="211">
        <f t="shared" ca="1" si="17"/>
        <v>0</v>
      </c>
      <c r="AV38" s="211">
        <f t="shared" ca="1" si="17"/>
        <v>0</v>
      </c>
      <c r="AW38" s="211">
        <f t="shared" ca="1" si="17"/>
        <v>0</v>
      </c>
      <c r="AX38" s="211">
        <f t="shared" ca="1" si="17"/>
        <v>0</v>
      </c>
      <c r="AY38" s="211">
        <f t="shared" ca="1" si="17"/>
        <v>0</v>
      </c>
      <c r="AZ38" s="211">
        <f t="shared" ca="1" si="17"/>
        <v>0</v>
      </c>
      <c r="BA38" s="211">
        <f t="shared" ca="1" si="17"/>
        <v>0</v>
      </c>
      <c r="BB38" s="211">
        <f t="shared" ca="1" si="17"/>
        <v>0</v>
      </c>
      <c r="BC38" s="211">
        <f t="shared" ca="1" si="17"/>
        <v>0</v>
      </c>
      <c r="BD38" s="211">
        <f t="shared" ca="1" si="17"/>
        <v>0</v>
      </c>
      <c r="BE38" s="211">
        <f t="shared" ca="1" si="17"/>
        <v>0</v>
      </c>
      <c r="BF38" s="211">
        <f t="shared" ca="1" si="17"/>
        <v>0</v>
      </c>
      <c r="BG38" s="211">
        <f t="shared" ca="1" si="17"/>
        <v>0</v>
      </c>
      <c r="BH38" s="211">
        <f t="shared" ca="1" si="17"/>
        <v>0</v>
      </c>
      <c r="BI38" s="211">
        <f t="shared" ca="1" si="17"/>
        <v>0</v>
      </c>
      <c r="BJ38" s="211">
        <f t="shared" ca="1" si="17"/>
        <v>0</v>
      </c>
      <c r="BK38" s="211">
        <f t="shared" ca="1" si="17"/>
        <v>0</v>
      </c>
      <c r="BL38" s="211">
        <f t="shared" ca="1" si="17"/>
        <v>0</v>
      </c>
      <c r="BM38" s="211">
        <f t="shared" ca="1" si="17"/>
        <v>0</v>
      </c>
      <c r="BN38" s="211">
        <f t="shared" ca="1" si="17"/>
        <v>0</v>
      </c>
      <c r="BO38" s="211">
        <f t="shared" ca="1" si="17"/>
        <v>0</v>
      </c>
      <c r="BP38" s="211">
        <f t="shared" ca="1" si="17"/>
        <v>0</v>
      </c>
      <c r="BQ38" s="211">
        <f t="shared" ca="1" si="17"/>
        <v>0</v>
      </c>
      <c r="BR38" s="211">
        <f t="shared" ca="1" si="17"/>
        <v>0</v>
      </c>
    </row>
    <row r="39" spans="1:70" s="147" customFormat="1" ht="13.2" x14ac:dyDescent="0.25">
      <c r="A39" s="211"/>
      <c r="F39" s="212"/>
    </row>
    <row r="40" spans="1:70" s="147" customFormat="1" ht="13.2" x14ac:dyDescent="0.25">
      <c r="A40" s="211"/>
      <c r="B40" s="147" t="s">
        <v>268</v>
      </c>
      <c r="D40" s="231" t="str">
        <f>unit</f>
        <v>£</v>
      </c>
      <c r="E40" s="147">
        <f ca="1">SUMIF($K$5:$BR$5,E$5,$K40:$BR40)</f>
        <v>0</v>
      </c>
      <c r="F40" s="147">
        <f t="shared" ref="F40:I40" ca="1" si="18">SUMIF($K$5:$BR$5,F$5,$K40:$BR40)</f>
        <v>0</v>
      </c>
      <c r="G40" s="147">
        <f t="shared" ca="1" si="18"/>
        <v>0</v>
      </c>
      <c r="H40" s="147">
        <f t="shared" ca="1" si="18"/>
        <v>0</v>
      </c>
      <c r="I40" s="147">
        <f t="shared" ca="1" si="18"/>
        <v>0</v>
      </c>
      <c r="K40" s="147">
        <f ca="1">TAX!K30</f>
        <v>0</v>
      </c>
      <c r="L40" s="147">
        <f ca="1">TAX!L30</f>
        <v>0</v>
      </c>
      <c r="M40" s="147">
        <f ca="1">TAX!M30</f>
        <v>0</v>
      </c>
      <c r="N40" s="147">
        <f ca="1">TAX!N30</f>
        <v>0</v>
      </c>
      <c r="O40" s="147">
        <f ca="1">TAX!O30</f>
        <v>0</v>
      </c>
      <c r="P40" s="147">
        <f ca="1">TAX!P30</f>
        <v>0</v>
      </c>
      <c r="Q40" s="147">
        <f ca="1">TAX!Q30</f>
        <v>0</v>
      </c>
      <c r="R40" s="147">
        <f ca="1">TAX!R30</f>
        <v>0</v>
      </c>
      <c r="S40" s="147">
        <f ca="1">TAX!S30</f>
        <v>0</v>
      </c>
      <c r="T40" s="147">
        <f ca="1">TAX!T30</f>
        <v>0</v>
      </c>
      <c r="U40" s="147">
        <f ca="1">TAX!U30</f>
        <v>0</v>
      </c>
      <c r="V40" s="147">
        <f ca="1">TAX!V30</f>
        <v>0</v>
      </c>
      <c r="W40" s="147">
        <f ca="1">TAX!W30</f>
        <v>0</v>
      </c>
      <c r="X40" s="147">
        <f ca="1">TAX!X30</f>
        <v>0</v>
      </c>
      <c r="Y40" s="147">
        <f ca="1">TAX!Y30</f>
        <v>0</v>
      </c>
      <c r="Z40" s="147">
        <f ca="1">TAX!Z30</f>
        <v>0</v>
      </c>
      <c r="AA40" s="147">
        <f ca="1">TAX!AA30</f>
        <v>0</v>
      </c>
      <c r="AB40" s="147">
        <f ca="1">TAX!AB30</f>
        <v>0</v>
      </c>
      <c r="AC40" s="147">
        <f ca="1">TAX!AC30</f>
        <v>0</v>
      </c>
      <c r="AD40" s="147">
        <f ca="1">TAX!AD30</f>
        <v>0</v>
      </c>
      <c r="AE40" s="147">
        <f ca="1">TAX!AE30</f>
        <v>0</v>
      </c>
      <c r="AF40" s="147">
        <f ca="1">TAX!AF30</f>
        <v>0</v>
      </c>
      <c r="AG40" s="147">
        <f ca="1">TAX!AG30</f>
        <v>0</v>
      </c>
      <c r="AH40" s="147">
        <f ca="1">TAX!AH30</f>
        <v>0</v>
      </c>
      <c r="AI40" s="147">
        <f ca="1">TAX!AI30</f>
        <v>0</v>
      </c>
      <c r="AJ40" s="147">
        <f ca="1">TAX!AJ30</f>
        <v>0</v>
      </c>
      <c r="AK40" s="147">
        <f ca="1">TAX!AK30</f>
        <v>0</v>
      </c>
      <c r="AL40" s="147">
        <f ca="1">TAX!AL30</f>
        <v>0</v>
      </c>
      <c r="AM40" s="147">
        <f ca="1">TAX!AM30</f>
        <v>0</v>
      </c>
      <c r="AN40" s="147">
        <f ca="1">TAX!AN30</f>
        <v>0</v>
      </c>
      <c r="AO40" s="147">
        <f ca="1">TAX!AO30</f>
        <v>0</v>
      </c>
      <c r="AP40" s="147">
        <f ca="1">TAX!AP30</f>
        <v>0</v>
      </c>
      <c r="AQ40" s="147">
        <f ca="1">TAX!AQ30</f>
        <v>0</v>
      </c>
      <c r="AR40" s="147">
        <f ca="1">TAX!AR30</f>
        <v>0</v>
      </c>
      <c r="AS40" s="147">
        <f ca="1">TAX!AS30</f>
        <v>0</v>
      </c>
      <c r="AT40" s="147">
        <f ca="1">TAX!AT30</f>
        <v>0</v>
      </c>
      <c r="AU40" s="147">
        <f ca="1">TAX!AU30</f>
        <v>0</v>
      </c>
      <c r="AV40" s="147">
        <f ca="1">TAX!AV30</f>
        <v>0</v>
      </c>
      <c r="AW40" s="147">
        <f ca="1">TAX!AW30</f>
        <v>0</v>
      </c>
      <c r="AX40" s="147">
        <f ca="1">TAX!AX30</f>
        <v>0</v>
      </c>
      <c r="AY40" s="147">
        <f ca="1">TAX!AY30</f>
        <v>0</v>
      </c>
      <c r="AZ40" s="147">
        <f ca="1">TAX!AZ30</f>
        <v>0</v>
      </c>
      <c r="BA40" s="147">
        <f ca="1">TAX!BA30</f>
        <v>0</v>
      </c>
      <c r="BB40" s="147">
        <f ca="1">TAX!BB30</f>
        <v>0</v>
      </c>
      <c r="BC40" s="147">
        <f ca="1">TAX!BC30</f>
        <v>0</v>
      </c>
      <c r="BD40" s="147">
        <f ca="1">TAX!BD30</f>
        <v>0</v>
      </c>
      <c r="BE40" s="147">
        <f ca="1">TAX!BE30</f>
        <v>0</v>
      </c>
      <c r="BF40" s="147">
        <f ca="1">TAX!BF30</f>
        <v>0</v>
      </c>
      <c r="BG40" s="147">
        <f ca="1">TAX!BG30</f>
        <v>0</v>
      </c>
      <c r="BH40" s="147">
        <f ca="1">TAX!BH30</f>
        <v>0</v>
      </c>
      <c r="BI40" s="147">
        <f ca="1">TAX!BI30</f>
        <v>0</v>
      </c>
      <c r="BJ40" s="147">
        <f ca="1">TAX!BJ30</f>
        <v>0</v>
      </c>
      <c r="BK40" s="147">
        <f ca="1">TAX!BK30</f>
        <v>0</v>
      </c>
      <c r="BL40" s="147">
        <f ca="1">TAX!BL30</f>
        <v>0</v>
      </c>
      <c r="BM40" s="147">
        <f ca="1">TAX!BM30</f>
        <v>0</v>
      </c>
      <c r="BN40" s="147">
        <f ca="1">TAX!BN30</f>
        <v>0</v>
      </c>
      <c r="BO40" s="147">
        <f ca="1">TAX!BO30</f>
        <v>0</v>
      </c>
      <c r="BP40" s="147">
        <f ca="1">TAX!BP30</f>
        <v>0</v>
      </c>
      <c r="BQ40" s="147">
        <f ca="1">TAX!BQ30</f>
        <v>0</v>
      </c>
      <c r="BR40" s="147">
        <f ca="1">TAX!BR30</f>
        <v>0</v>
      </c>
    </row>
    <row r="41" spans="1:70" s="211" customFormat="1" ht="13.2" x14ac:dyDescent="0.25">
      <c r="B41" s="211" t="s">
        <v>269</v>
      </c>
      <c r="D41" s="231" t="str">
        <f>unit</f>
        <v>£</v>
      </c>
      <c r="E41" s="211">
        <f ca="1">SUM(E38:E40)</f>
        <v>0</v>
      </c>
      <c r="F41" s="211">
        <f ca="1">SUM(F38:F40)</f>
        <v>0</v>
      </c>
      <c r="G41" s="211">
        <f ca="1">SUM(G38:G40)</f>
        <v>0</v>
      </c>
      <c r="H41" s="211">
        <f ca="1">SUM(H38:H40)</f>
        <v>0</v>
      </c>
      <c r="I41" s="211">
        <f ca="1">SUM(I38:I40)</f>
        <v>0</v>
      </c>
      <c r="K41" s="211">
        <f t="shared" ref="K41:AP41" ca="1" si="19">SUM(K38:K40)</f>
        <v>0</v>
      </c>
      <c r="L41" s="211">
        <f t="shared" ca="1" si="19"/>
        <v>0</v>
      </c>
      <c r="M41" s="211">
        <f t="shared" ca="1" si="19"/>
        <v>0</v>
      </c>
      <c r="N41" s="211">
        <f t="shared" ca="1" si="19"/>
        <v>0</v>
      </c>
      <c r="O41" s="211">
        <f t="shared" ca="1" si="19"/>
        <v>0</v>
      </c>
      <c r="P41" s="211">
        <f t="shared" ca="1" si="19"/>
        <v>0</v>
      </c>
      <c r="Q41" s="211">
        <f t="shared" ca="1" si="19"/>
        <v>0</v>
      </c>
      <c r="R41" s="211">
        <f t="shared" ca="1" si="19"/>
        <v>0</v>
      </c>
      <c r="S41" s="211">
        <f t="shared" ca="1" si="19"/>
        <v>0</v>
      </c>
      <c r="T41" s="211">
        <f t="shared" ca="1" si="19"/>
        <v>0</v>
      </c>
      <c r="U41" s="211">
        <f t="shared" ca="1" si="19"/>
        <v>0</v>
      </c>
      <c r="V41" s="211">
        <f t="shared" ca="1" si="19"/>
        <v>0</v>
      </c>
      <c r="W41" s="211">
        <f t="shared" ca="1" si="19"/>
        <v>0</v>
      </c>
      <c r="X41" s="211">
        <f t="shared" ca="1" si="19"/>
        <v>0</v>
      </c>
      <c r="Y41" s="211">
        <f t="shared" ca="1" si="19"/>
        <v>0</v>
      </c>
      <c r="Z41" s="211">
        <f t="shared" ca="1" si="19"/>
        <v>0</v>
      </c>
      <c r="AA41" s="211">
        <f t="shared" ca="1" si="19"/>
        <v>0</v>
      </c>
      <c r="AB41" s="211">
        <f t="shared" ca="1" si="19"/>
        <v>0</v>
      </c>
      <c r="AC41" s="211">
        <f t="shared" ca="1" si="19"/>
        <v>0</v>
      </c>
      <c r="AD41" s="211">
        <f t="shared" ca="1" si="19"/>
        <v>0</v>
      </c>
      <c r="AE41" s="211">
        <f t="shared" ca="1" si="19"/>
        <v>0</v>
      </c>
      <c r="AF41" s="211">
        <f t="shared" ca="1" si="19"/>
        <v>0</v>
      </c>
      <c r="AG41" s="211">
        <f t="shared" ca="1" si="19"/>
        <v>0</v>
      </c>
      <c r="AH41" s="211">
        <f t="shared" ca="1" si="19"/>
        <v>0</v>
      </c>
      <c r="AI41" s="211">
        <f t="shared" ca="1" si="19"/>
        <v>0</v>
      </c>
      <c r="AJ41" s="211">
        <f t="shared" ca="1" si="19"/>
        <v>0</v>
      </c>
      <c r="AK41" s="211">
        <f t="shared" ca="1" si="19"/>
        <v>0</v>
      </c>
      <c r="AL41" s="211">
        <f t="shared" ca="1" si="19"/>
        <v>0</v>
      </c>
      <c r="AM41" s="211">
        <f t="shared" ca="1" si="19"/>
        <v>0</v>
      </c>
      <c r="AN41" s="211">
        <f t="shared" ca="1" si="19"/>
        <v>0</v>
      </c>
      <c r="AO41" s="211">
        <f t="shared" ca="1" si="19"/>
        <v>0</v>
      </c>
      <c r="AP41" s="211">
        <f t="shared" ca="1" si="19"/>
        <v>0</v>
      </c>
      <c r="AQ41" s="211">
        <f t="shared" ref="AQ41:BR41" ca="1" si="20">SUM(AQ38:AQ40)</f>
        <v>0</v>
      </c>
      <c r="AR41" s="211">
        <f t="shared" ca="1" si="20"/>
        <v>0</v>
      </c>
      <c r="AS41" s="211">
        <f t="shared" ca="1" si="20"/>
        <v>0</v>
      </c>
      <c r="AT41" s="211">
        <f t="shared" ca="1" si="20"/>
        <v>0</v>
      </c>
      <c r="AU41" s="211">
        <f t="shared" ca="1" si="20"/>
        <v>0</v>
      </c>
      <c r="AV41" s="211">
        <f t="shared" ca="1" si="20"/>
        <v>0</v>
      </c>
      <c r="AW41" s="211">
        <f t="shared" ca="1" si="20"/>
        <v>0</v>
      </c>
      <c r="AX41" s="211">
        <f t="shared" ca="1" si="20"/>
        <v>0</v>
      </c>
      <c r="AY41" s="211">
        <f t="shared" ca="1" si="20"/>
        <v>0</v>
      </c>
      <c r="AZ41" s="211">
        <f t="shared" ca="1" si="20"/>
        <v>0</v>
      </c>
      <c r="BA41" s="211">
        <f t="shared" ca="1" si="20"/>
        <v>0</v>
      </c>
      <c r="BB41" s="211">
        <f t="shared" ca="1" si="20"/>
        <v>0</v>
      </c>
      <c r="BC41" s="211">
        <f t="shared" ca="1" si="20"/>
        <v>0</v>
      </c>
      <c r="BD41" s="211">
        <f t="shared" ca="1" si="20"/>
        <v>0</v>
      </c>
      <c r="BE41" s="211">
        <f t="shared" ca="1" si="20"/>
        <v>0</v>
      </c>
      <c r="BF41" s="211">
        <f t="shared" ca="1" si="20"/>
        <v>0</v>
      </c>
      <c r="BG41" s="211">
        <f t="shared" ca="1" si="20"/>
        <v>0</v>
      </c>
      <c r="BH41" s="211">
        <f t="shared" ca="1" si="20"/>
        <v>0</v>
      </c>
      <c r="BI41" s="211">
        <f t="shared" ca="1" si="20"/>
        <v>0</v>
      </c>
      <c r="BJ41" s="211">
        <f t="shared" ca="1" si="20"/>
        <v>0</v>
      </c>
      <c r="BK41" s="211">
        <f t="shared" ca="1" si="20"/>
        <v>0</v>
      </c>
      <c r="BL41" s="211">
        <f t="shared" ca="1" si="20"/>
        <v>0</v>
      </c>
      <c r="BM41" s="211">
        <f t="shared" ca="1" si="20"/>
        <v>0</v>
      </c>
      <c r="BN41" s="211">
        <f t="shared" ca="1" si="20"/>
        <v>0</v>
      </c>
      <c r="BO41" s="211">
        <f t="shared" ca="1" si="20"/>
        <v>0</v>
      </c>
      <c r="BP41" s="211">
        <f t="shared" ca="1" si="20"/>
        <v>0</v>
      </c>
      <c r="BQ41" s="211">
        <f t="shared" ca="1" si="20"/>
        <v>0</v>
      </c>
      <c r="BR41" s="211">
        <f t="shared" ca="1" si="20"/>
        <v>0</v>
      </c>
    </row>
    <row r="42" spans="1:70" s="147" customFormat="1" ht="13.2" x14ac:dyDescent="0.25">
      <c r="A42" s="211"/>
      <c r="F42" s="212"/>
    </row>
    <row r="43" spans="1:70" s="147" customFormat="1" ht="13.2" x14ac:dyDescent="0.25">
      <c r="A43" s="211"/>
      <c r="B43" s="266" t="s">
        <v>45</v>
      </c>
      <c r="D43" s="231" t="str">
        <f>unit</f>
        <v>£</v>
      </c>
      <c r="E43" s="147">
        <f>SUMIF($K$5:$BR$5,E$5,$K43:$BR43)</f>
        <v>0</v>
      </c>
      <c r="F43" s="147">
        <f t="shared" ref="F43:I43" si="21">SUMIF($K$5:$BR$5,F$5,$K43:$BR43)</f>
        <v>0</v>
      </c>
      <c r="G43" s="147">
        <f t="shared" si="21"/>
        <v>0</v>
      </c>
      <c r="H43" s="147">
        <f t="shared" si="21"/>
        <v>0</v>
      </c>
      <c r="I43" s="147">
        <f t="shared" si="21"/>
        <v>0</v>
      </c>
      <c r="K43" s="147">
        <f>Dividends!K14</f>
        <v>0</v>
      </c>
      <c r="L43" s="147">
        <f>Dividends!L14</f>
        <v>0</v>
      </c>
      <c r="M43" s="147">
        <f>Dividends!M14</f>
        <v>0</v>
      </c>
      <c r="N43" s="147">
        <f>Dividends!N14</f>
        <v>0</v>
      </c>
      <c r="O43" s="147">
        <f>Dividends!O14</f>
        <v>0</v>
      </c>
      <c r="P43" s="147">
        <f>Dividends!P14</f>
        <v>0</v>
      </c>
      <c r="Q43" s="147">
        <f>Dividends!Q14</f>
        <v>0</v>
      </c>
      <c r="R43" s="147">
        <f>Dividends!R14</f>
        <v>0</v>
      </c>
      <c r="S43" s="147">
        <f>Dividends!S14</f>
        <v>0</v>
      </c>
      <c r="T43" s="147">
        <f>Dividends!T14</f>
        <v>0</v>
      </c>
      <c r="U43" s="147">
        <f>Dividends!U14</f>
        <v>0</v>
      </c>
      <c r="V43" s="147">
        <f>Dividends!V14</f>
        <v>0</v>
      </c>
      <c r="W43" s="147">
        <f>Dividends!W14</f>
        <v>0</v>
      </c>
      <c r="X43" s="147">
        <f>Dividends!X14</f>
        <v>0</v>
      </c>
      <c r="Y43" s="147">
        <f>Dividends!Y14</f>
        <v>0</v>
      </c>
      <c r="Z43" s="147">
        <f>Dividends!Z14</f>
        <v>0</v>
      </c>
      <c r="AA43" s="147">
        <f>Dividends!AA14</f>
        <v>0</v>
      </c>
      <c r="AB43" s="147">
        <f>Dividends!AB14</f>
        <v>0</v>
      </c>
      <c r="AC43" s="147">
        <f>Dividends!AC14</f>
        <v>0</v>
      </c>
      <c r="AD43" s="147">
        <f>Dividends!AD14</f>
        <v>0</v>
      </c>
      <c r="AE43" s="147">
        <f>Dividends!AE14</f>
        <v>0</v>
      </c>
      <c r="AF43" s="147">
        <f>Dividends!AF14</f>
        <v>0</v>
      </c>
      <c r="AG43" s="147">
        <f>Dividends!AG14</f>
        <v>0</v>
      </c>
      <c r="AH43" s="147">
        <f>Dividends!AH14</f>
        <v>0</v>
      </c>
      <c r="AI43" s="147">
        <f>Dividends!AI14</f>
        <v>0</v>
      </c>
      <c r="AJ43" s="147">
        <f>Dividends!AJ14</f>
        <v>0</v>
      </c>
      <c r="AK43" s="147">
        <f>Dividends!AK14</f>
        <v>0</v>
      </c>
      <c r="AL43" s="147">
        <f>Dividends!AL14</f>
        <v>0</v>
      </c>
      <c r="AM43" s="147">
        <f>Dividends!AM14</f>
        <v>0</v>
      </c>
      <c r="AN43" s="147">
        <f>Dividends!AN14</f>
        <v>0</v>
      </c>
      <c r="AO43" s="147">
        <f>Dividends!AO14</f>
        <v>0</v>
      </c>
      <c r="AP43" s="147">
        <f>Dividends!AP14</f>
        <v>0</v>
      </c>
      <c r="AQ43" s="147">
        <f>Dividends!AQ14</f>
        <v>0</v>
      </c>
      <c r="AR43" s="147">
        <f>Dividends!AR14</f>
        <v>0</v>
      </c>
      <c r="AS43" s="147">
        <f>Dividends!AS14</f>
        <v>0</v>
      </c>
      <c r="AT43" s="147">
        <f>Dividends!AT14</f>
        <v>0</v>
      </c>
      <c r="AU43" s="147">
        <f>Dividends!AU14</f>
        <v>0</v>
      </c>
      <c r="AV43" s="147">
        <f>Dividends!AV14</f>
        <v>0</v>
      </c>
      <c r="AW43" s="147">
        <f>Dividends!AW14</f>
        <v>0</v>
      </c>
      <c r="AX43" s="147">
        <f>Dividends!AX14</f>
        <v>0</v>
      </c>
      <c r="AY43" s="147">
        <f>Dividends!AY14</f>
        <v>0</v>
      </c>
      <c r="AZ43" s="147">
        <f>Dividends!AZ14</f>
        <v>0</v>
      </c>
      <c r="BA43" s="147">
        <f>Dividends!BA14</f>
        <v>0</v>
      </c>
      <c r="BB43" s="147">
        <f>Dividends!BB14</f>
        <v>0</v>
      </c>
      <c r="BC43" s="147">
        <f>Dividends!BC14</f>
        <v>0</v>
      </c>
      <c r="BD43" s="147">
        <f>Dividends!BD14</f>
        <v>0</v>
      </c>
      <c r="BE43" s="147">
        <f>Dividends!BE14</f>
        <v>0</v>
      </c>
      <c r="BF43" s="147">
        <f>Dividends!BF14</f>
        <v>0</v>
      </c>
      <c r="BG43" s="147">
        <f>Dividends!BG14</f>
        <v>0</v>
      </c>
      <c r="BH43" s="147">
        <f>Dividends!BH14</f>
        <v>0</v>
      </c>
      <c r="BI43" s="147">
        <f>Dividends!BI14</f>
        <v>0</v>
      </c>
      <c r="BJ43" s="147">
        <f>Dividends!BJ14</f>
        <v>0</v>
      </c>
      <c r="BK43" s="147">
        <f>Dividends!BK14</f>
        <v>0</v>
      </c>
      <c r="BL43" s="147">
        <f>Dividends!BL14</f>
        <v>0</v>
      </c>
      <c r="BM43" s="147">
        <f>Dividends!BM14</f>
        <v>0</v>
      </c>
      <c r="BN43" s="147">
        <f>Dividends!BN14</f>
        <v>0</v>
      </c>
      <c r="BO43" s="147">
        <f>Dividends!BO14</f>
        <v>0</v>
      </c>
      <c r="BP43" s="147">
        <f>Dividends!BP14</f>
        <v>0</v>
      </c>
      <c r="BQ43" s="147">
        <f>Dividends!BQ14</f>
        <v>0</v>
      </c>
      <c r="BR43" s="147">
        <f>Dividends!BR14</f>
        <v>0</v>
      </c>
    </row>
    <row r="44" spans="1:70" s="147" customFormat="1" ht="13.2" x14ac:dyDescent="0.25">
      <c r="A44" s="211"/>
      <c r="F44" s="212"/>
    </row>
    <row r="45" spans="1:70" s="211" customFormat="1" ht="13.2" x14ac:dyDescent="0.25">
      <c r="B45" s="211" t="s">
        <v>270</v>
      </c>
      <c r="D45" s="231" t="str">
        <f>unit</f>
        <v>£</v>
      </c>
      <c r="E45" s="211">
        <f ca="1">SUM(E41:E43)</f>
        <v>0</v>
      </c>
      <c r="F45" s="211">
        <f t="shared" ref="F45:I45" ca="1" si="22">SUM(F41:F43)</f>
        <v>0</v>
      </c>
      <c r="G45" s="211">
        <f t="shared" ca="1" si="22"/>
        <v>0</v>
      </c>
      <c r="H45" s="211">
        <f t="shared" ca="1" si="22"/>
        <v>0</v>
      </c>
      <c r="I45" s="211">
        <f t="shared" ca="1" si="22"/>
        <v>0</v>
      </c>
      <c r="K45" s="211">
        <f ca="1">SUM(K41:K43)</f>
        <v>0</v>
      </c>
      <c r="L45" s="211">
        <f t="shared" ref="L45:BR45" ca="1" si="23">SUM(L41:L43)</f>
        <v>0</v>
      </c>
      <c r="M45" s="211">
        <f t="shared" ca="1" si="23"/>
        <v>0</v>
      </c>
      <c r="N45" s="211">
        <f t="shared" ca="1" si="23"/>
        <v>0</v>
      </c>
      <c r="O45" s="211">
        <f t="shared" ca="1" si="23"/>
        <v>0</v>
      </c>
      <c r="P45" s="211">
        <f t="shared" ca="1" si="23"/>
        <v>0</v>
      </c>
      <c r="Q45" s="211">
        <f t="shared" ca="1" si="23"/>
        <v>0</v>
      </c>
      <c r="R45" s="211">
        <f t="shared" ca="1" si="23"/>
        <v>0</v>
      </c>
      <c r="S45" s="211">
        <f t="shared" ca="1" si="23"/>
        <v>0</v>
      </c>
      <c r="T45" s="211">
        <f t="shared" ca="1" si="23"/>
        <v>0</v>
      </c>
      <c r="U45" s="211">
        <f t="shared" ca="1" si="23"/>
        <v>0</v>
      </c>
      <c r="V45" s="211">
        <f t="shared" ca="1" si="23"/>
        <v>0</v>
      </c>
      <c r="W45" s="211">
        <f t="shared" ca="1" si="23"/>
        <v>0</v>
      </c>
      <c r="X45" s="211">
        <f t="shared" ca="1" si="23"/>
        <v>0</v>
      </c>
      <c r="Y45" s="211">
        <f t="shared" ca="1" si="23"/>
        <v>0</v>
      </c>
      <c r="Z45" s="211">
        <f t="shared" ca="1" si="23"/>
        <v>0</v>
      </c>
      <c r="AA45" s="211">
        <f t="shared" ca="1" si="23"/>
        <v>0</v>
      </c>
      <c r="AB45" s="211">
        <f t="shared" ca="1" si="23"/>
        <v>0</v>
      </c>
      <c r="AC45" s="211">
        <f t="shared" ca="1" si="23"/>
        <v>0</v>
      </c>
      <c r="AD45" s="211">
        <f t="shared" ca="1" si="23"/>
        <v>0</v>
      </c>
      <c r="AE45" s="211">
        <f t="shared" ca="1" si="23"/>
        <v>0</v>
      </c>
      <c r="AF45" s="211">
        <f t="shared" ca="1" si="23"/>
        <v>0</v>
      </c>
      <c r="AG45" s="211">
        <f t="shared" ca="1" si="23"/>
        <v>0</v>
      </c>
      <c r="AH45" s="211">
        <f t="shared" ca="1" si="23"/>
        <v>0</v>
      </c>
      <c r="AI45" s="211">
        <f t="shared" ca="1" si="23"/>
        <v>0</v>
      </c>
      <c r="AJ45" s="211">
        <f t="shared" ca="1" si="23"/>
        <v>0</v>
      </c>
      <c r="AK45" s="211">
        <f t="shared" ca="1" si="23"/>
        <v>0</v>
      </c>
      <c r="AL45" s="211">
        <f t="shared" ca="1" si="23"/>
        <v>0</v>
      </c>
      <c r="AM45" s="211">
        <f t="shared" ca="1" si="23"/>
        <v>0</v>
      </c>
      <c r="AN45" s="211">
        <f t="shared" ca="1" si="23"/>
        <v>0</v>
      </c>
      <c r="AO45" s="211">
        <f t="shared" ca="1" si="23"/>
        <v>0</v>
      </c>
      <c r="AP45" s="211">
        <f t="shared" ca="1" si="23"/>
        <v>0</v>
      </c>
      <c r="AQ45" s="211">
        <f t="shared" ca="1" si="23"/>
        <v>0</v>
      </c>
      <c r="AR45" s="211">
        <f t="shared" ca="1" si="23"/>
        <v>0</v>
      </c>
      <c r="AS45" s="211">
        <f t="shared" ca="1" si="23"/>
        <v>0</v>
      </c>
      <c r="AT45" s="211">
        <f t="shared" ca="1" si="23"/>
        <v>0</v>
      </c>
      <c r="AU45" s="211">
        <f t="shared" ca="1" si="23"/>
        <v>0</v>
      </c>
      <c r="AV45" s="211">
        <f t="shared" ca="1" si="23"/>
        <v>0</v>
      </c>
      <c r="AW45" s="211">
        <f t="shared" ca="1" si="23"/>
        <v>0</v>
      </c>
      <c r="AX45" s="211">
        <f t="shared" ca="1" si="23"/>
        <v>0</v>
      </c>
      <c r="AY45" s="211">
        <f t="shared" ca="1" si="23"/>
        <v>0</v>
      </c>
      <c r="AZ45" s="211">
        <f t="shared" ca="1" si="23"/>
        <v>0</v>
      </c>
      <c r="BA45" s="211">
        <f t="shared" ca="1" si="23"/>
        <v>0</v>
      </c>
      <c r="BB45" s="211">
        <f t="shared" ca="1" si="23"/>
        <v>0</v>
      </c>
      <c r="BC45" s="211">
        <f t="shared" ca="1" si="23"/>
        <v>0</v>
      </c>
      <c r="BD45" s="211">
        <f t="shared" ca="1" si="23"/>
        <v>0</v>
      </c>
      <c r="BE45" s="211">
        <f t="shared" ca="1" si="23"/>
        <v>0</v>
      </c>
      <c r="BF45" s="211">
        <f t="shared" ca="1" si="23"/>
        <v>0</v>
      </c>
      <c r="BG45" s="211">
        <f t="shared" ca="1" si="23"/>
        <v>0</v>
      </c>
      <c r="BH45" s="211">
        <f t="shared" ca="1" si="23"/>
        <v>0</v>
      </c>
      <c r="BI45" s="211">
        <f t="shared" ca="1" si="23"/>
        <v>0</v>
      </c>
      <c r="BJ45" s="211">
        <f t="shared" ca="1" si="23"/>
        <v>0</v>
      </c>
      <c r="BK45" s="211">
        <f t="shared" ca="1" si="23"/>
        <v>0</v>
      </c>
      <c r="BL45" s="211">
        <f t="shared" ca="1" si="23"/>
        <v>0</v>
      </c>
      <c r="BM45" s="211">
        <f t="shared" ca="1" si="23"/>
        <v>0</v>
      </c>
      <c r="BN45" s="211">
        <f t="shared" ca="1" si="23"/>
        <v>0</v>
      </c>
      <c r="BO45" s="211">
        <f t="shared" ca="1" si="23"/>
        <v>0</v>
      </c>
      <c r="BP45" s="211">
        <f t="shared" ca="1" si="23"/>
        <v>0</v>
      </c>
      <c r="BQ45" s="211">
        <f t="shared" ca="1" si="23"/>
        <v>0</v>
      </c>
      <c r="BR45" s="211">
        <f t="shared" ca="1" si="23"/>
        <v>0</v>
      </c>
    </row>
    <row r="46" spans="1:70" s="147" customFormat="1" ht="13.2" x14ac:dyDescent="0.25">
      <c r="A46" s="211"/>
      <c r="F46" s="212"/>
    </row>
    <row r="47" spans="1:70" s="147" customFormat="1" ht="13.2" x14ac:dyDescent="0.25">
      <c r="A47" s="211"/>
      <c r="B47" s="147" t="s">
        <v>271</v>
      </c>
      <c r="D47" s="231" t="str">
        <f>unit</f>
        <v>£</v>
      </c>
      <c r="E47" s="224">
        <f>D48</f>
        <v>0</v>
      </c>
      <c r="F47" s="224">
        <f t="shared" ref="F47:I47" ca="1" si="24">E48</f>
        <v>0</v>
      </c>
      <c r="G47" s="224">
        <f t="shared" ca="1" si="24"/>
        <v>0</v>
      </c>
      <c r="H47" s="224">
        <f t="shared" ca="1" si="24"/>
        <v>0</v>
      </c>
      <c r="I47" s="224">
        <f t="shared" ca="1" si="24"/>
        <v>0</v>
      </c>
      <c r="K47" s="223">
        <f>J48</f>
        <v>0</v>
      </c>
      <c r="L47" s="223">
        <f t="shared" ref="L47:BR47" ca="1" si="25">K48</f>
        <v>0</v>
      </c>
      <c r="M47" s="223">
        <f t="shared" ca="1" si="25"/>
        <v>0</v>
      </c>
      <c r="N47" s="223">
        <f t="shared" ca="1" si="25"/>
        <v>0</v>
      </c>
      <c r="O47" s="223">
        <f t="shared" ca="1" si="25"/>
        <v>0</v>
      </c>
      <c r="P47" s="223">
        <f t="shared" ca="1" si="25"/>
        <v>0</v>
      </c>
      <c r="Q47" s="223">
        <f t="shared" ca="1" si="25"/>
        <v>0</v>
      </c>
      <c r="R47" s="223">
        <f t="shared" ca="1" si="25"/>
        <v>0</v>
      </c>
      <c r="S47" s="223">
        <f t="shared" ca="1" si="25"/>
        <v>0</v>
      </c>
      <c r="T47" s="223">
        <f t="shared" ca="1" si="25"/>
        <v>0</v>
      </c>
      <c r="U47" s="223">
        <f t="shared" ca="1" si="25"/>
        <v>0</v>
      </c>
      <c r="V47" s="223">
        <f t="shared" ca="1" si="25"/>
        <v>0</v>
      </c>
      <c r="W47" s="223">
        <f t="shared" ca="1" si="25"/>
        <v>0</v>
      </c>
      <c r="X47" s="223">
        <f t="shared" ca="1" si="25"/>
        <v>0</v>
      </c>
      <c r="Y47" s="223">
        <f t="shared" ca="1" si="25"/>
        <v>0</v>
      </c>
      <c r="Z47" s="223">
        <f t="shared" ca="1" si="25"/>
        <v>0</v>
      </c>
      <c r="AA47" s="223">
        <f t="shared" ca="1" si="25"/>
        <v>0</v>
      </c>
      <c r="AB47" s="223">
        <f t="shared" ca="1" si="25"/>
        <v>0</v>
      </c>
      <c r="AC47" s="223">
        <f t="shared" ca="1" si="25"/>
        <v>0</v>
      </c>
      <c r="AD47" s="223">
        <f t="shared" ca="1" si="25"/>
        <v>0</v>
      </c>
      <c r="AE47" s="223">
        <f t="shared" ca="1" si="25"/>
        <v>0</v>
      </c>
      <c r="AF47" s="223">
        <f t="shared" ca="1" si="25"/>
        <v>0</v>
      </c>
      <c r="AG47" s="223">
        <f t="shared" ca="1" si="25"/>
        <v>0</v>
      </c>
      <c r="AH47" s="223">
        <f t="shared" ca="1" si="25"/>
        <v>0</v>
      </c>
      <c r="AI47" s="223">
        <f t="shared" ca="1" si="25"/>
        <v>0</v>
      </c>
      <c r="AJ47" s="223">
        <f t="shared" ca="1" si="25"/>
        <v>0</v>
      </c>
      <c r="AK47" s="223">
        <f t="shared" ca="1" si="25"/>
        <v>0</v>
      </c>
      <c r="AL47" s="223">
        <f t="shared" ca="1" si="25"/>
        <v>0</v>
      </c>
      <c r="AM47" s="223">
        <f t="shared" ca="1" si="25"/>
        <v>0</v>
      </c>
      <c r="AN47" s="223">
        <f t="shared" ca="1" si="25"/>
        <v>0</v>
      </c>
      <c r="AO47" s="223">
        <f t="shared" ca="1" si="25"/>
        <v>0</v>
      </c>
      <c r="AP47" s="223">
        <f t="shared" ca="1" si="25"/>
        <v>0</v>
      </c>
      <c r="AQ47" s="223">
        <f t="shared" ca="1" si="25"/>
        <v>0</v>
      </c>
      <c r="AR47" s="223">
        <f t="shared" ca="1" si="25"/>
        <v>0</v>
      </c>
      <c r="AS47" s="223">
        <f t="shared" ca="1" si="25"/>
        <v>0</v>
      </c>
      <c r="AT47" s="223">
        <f t="shared" ca="1" si="25"/>
        <v>0</v>
      </c>
      <c r="AU47" s="223">
        <f t="shared" ca="1" si="25"/>
        <v>0</v>
      </c>
      <c r="AV47" s="223">
        <f t="shared" ca="1" si="25"/>
        <v>0</v>
      </c>
      <c r="AW47" s="223">
        <f t="shared" ca="1" si="25"/>
        <v>0</v>
      </c>
      <c r="AX47" s="223">
        <f t="shared" ca="1" si="25"/>
        <v>0</v>
      </c>
      <c r="AY47" s="223">
        <f t="shared" ca="1" si="25"/>
        <v>0</v>
      </c>
      <c r="AZ47" s="223">
        <f t="shared" ca="1" si="25"/>
        <v>0</v>
      </c>
      <c r="BA47" s="223">
        <f t="shared" ca="1" si="25"/>
        <v>0</v>
      </c>
      <c r="BB47" s="223">
        <f t="shared" ca="1" si="25"/>
        <v>0</v>
      </c>
      <c r="BC47" s="223">
        <f t="shared" ca="1" si="25"/>
        <v>0</v>
      </c>
      <c r="BD47" s="223">
        <f t="shared" ca="1" si="25"/>
        <v>0</v>
      </c>
      <c r="BE47" s="223">
        <f t="shared" ca="1" si="25"/>
        <v>0</v>
      </c>
      <c r="BF47" s="223">
        <f t="shared" ca="1" si="25"/>
        <v>0</v>
      </c>
      <c r="BG47" s="223">
        <f t="shared" ca="1" si="25"/>
        <v>0</v>
      </c>
      <c r="BH47" s="223">
        <f t="shared" ca="1" si="25"/>
        <v>0</v>
      </c>
      <c r="BI47" s="223">
        <f t="shared" ca="1" si="25"/>
        <v>0</v>
      </c>
      <c r="BJ47" s="223">
        <f t="shared" ca="1" si="25"/>
        <v>0</v>
      </c>
      <c r="BK47" s="223">
        <f t="shared" ca="1" si="25"/>
        <v>0</v>
      </c>
      <c r="BL47" s="223">
        <f t="shared" ca="1" si="25"/>
        <v>0</v>
      </c>
      <c r="BM47" s="223">
        <f t="shared" ca="1" si="25"/>
        <v>0</v>
      </c>
      <c r="BN47" s="223">
        <f t="shared" ca="1" si="25"/>
        <v>0</v>
      </c>
      <c r="BO47" s="223">
        <f t="shared" ca="1" si="25"/>
        <v>0</v>
      </c>
      <c r="BP47" s="223">
        <f t="shared" ca="1" si="25"/>
        <v>0</v>
      </c>
      <c r="BQ47" s="223">
        <f t="shared" ca="1" si="25"/>
        <v>0</v>
      </c>
      <c r="BR47" s="223">
        <f t="shared" ca="1" si="25"/>
        <v>0</v>
      </c>
    </row>
    <row r="48" spans="1:70" s="211" customFormat="1" thickBot="1" x14ac:dyDescent="0.3">
      <c r="B48" s="211" t="s">
        <v>272</v>
      </c>
      <c r="D48" s="265">
        <f>KeyInputs!G141</f>
        <v>0</v>
      </c>
      <c r="E48" s="234">
        <f t="shared" ref="E48:I48" ca="1" si="26">SUM(E45:E47)</f>
        <v>0</v>
      </c>
      <c r="F48" s="234">
        <f t="shared" ca="1" si="26"/>
        <v>0</v>
      </c>
      <c r="G48" s="234">
        <f t="shared" ca="1" si="26"/>
        <v>0</v>
      </c>
      <c r="H48" s="234">
        <f t="shared" ca="1" si="26"/>
        <v>0</v>
      </c>
      <c r="I48" s="234">
        <f t="shared" ca="1" si="26"/>
        <v>0</v>
      </c>
      <c r="J48" s="216">
        <f>D48</f>
        <v>0</v>
      </c>
      <c r="K48" s="234">
        <f t="shared" ref="K48" ca="1" si="27">SUM(K45:K47)</f>
        <v>0</v>
      </c>
      <c r="L48" s="234">
        <f t="shared" ref="L48:BR48" ca="1" si="28">SUM(L45:L47)</f>
        <v>0</v>
      </c>
      <c r="M48" s="234">
        <f t="shared" ca="1" si="28"/>
        <v>0</v>
      </c>
      <c r="N48" s="234">
        <f t="shared" ca="1" si="28"/>
        <v>0</v>
      </c>
      <c r="O48" s="234">
        <f t="shared" ca="1" si="28"/>
        <v>0</v>
      </c>
      <c r="P48" s="234">
        <f t="shared" ca="1" si="28"/>
        <v>0</v>
      </c>
      <c r="Q48" s="234">
        <f t="shared" ca="1" si="28"/>
        <v>0</v>
      </c>
      <c r="R48" s="234">
        <f t="shared" ca="1" si="28"/>
        <v>0</v>
      </c>
      <c r="S48" s="234">
        <f t="shared" ca="1" si="28"/>
        <v>0</v>
      </c>
      <c r="T48" s="234">
        <f t="shared" ca="1" si="28"/>
        <v>0</v>
      </c>
      <c r="U48" s="234">
        <f t="shared" ca="1" si="28"/>
        <v>0</v>
      </c>
      <c r="V48" s="234">
        <f t="shared" ca="1" si="28"/>
        <v>0</v>
      </c>
      <c r="W48" s="234">
        <f t="shared" ca="1" si="28"/>
        <v>0</v>
      </c>
      <c r="X48" s="234">
        <f t="shared" ca="1" si="28"/>
        <v>0</v>
      </c>
      <c r="Y48" s="234">
        <f t="shared" ca="1" si="28"/>
        <v>0</v>
      </c>
      <c r="Z48" s="234">
        <f t="shared" ca="1" si="28"/>
        <v>0</v>
      </c>
      <c r="AA48" s="234">
        <f t="shared" ca="1" si="28"/>
        <v>0</v>
      </c>
      <c r="AB48" s="234">
        <f t="shared" ca="1" si="28"/>
        <v>0</v>
      </c>
      <c r="AC48" s="234">
        <f t="shared" ca="1" si="28"/>
        <v>0</v>
      </c>
      <c r="AD48" s="234">
        <f t="shared" ca="1" si="28"/>
        <v>0</v>
      </c>
      <c r="AE48" s="234">
        <f t="shared" ca="1" si="28"/>
        <v>0</v>
      </c>
      <c r="AF48" s="234">
        <f t="shared" ca="1" si="28"/>
        <v>0</v>
      </c>
      <c r="AG48" s="234">
        <f t="shared" ca="1" si="28"/>
        <v>0</v>
      </c>
      <c r="AH48" s="234">
        <f t="shared" ca="1" si="28"/>
        <v>0</v>
      </c>
      <c r="AI48" s="234">
        <f t="shared" ca="1" si="28"/>
        <v>0</v>
      </c>
      <c r="AJ48" s="234">
        <f t="shared" ca="1" si="28"/>
        <v>0</v>
      </c>
      <c r="AK48" s="234">
        <f t="shared" ca="1" si="28"/>
        <v>0</v>
      </c>
      <c r="AL48" s="234">
        <f t="shared" ca="1" si="28"/>
        <v>0</v>
      </c>
      <c r="AM48" s="234">
        <f t="shared" ca="1" si="28"/>
        <v>0</v>
      </c>
      <c r="AN48" s="234">
        <f t="shared" ca="1" si="28"/>
        <v>0</v>
      </c>
      <c r="AO48" s="234">
        <f t="shared" ca="1" si="28"/>
        <v>0</v>
      </c>
      <c r="AP48" s="234">
        <f t="shared" ca="1" si="28"/>
        <v>0</v>
      </c>
      <c r="AQ48" s="234">
        <f t="shared" ca="1" si="28"/>
        <v>0</v>
      </c>
      <c r="AR48" s="234">
        <f t="shared" ca="1" si="28"/>
        <v>0</v>
      </c>
      <c r="AS48" s="234">
        <f t="shared" ca="1" si="28"/>
        <v>0</v>
      </c>
      <c r="AT48" s="234">
        <f t="shared" ca="1" si="28"/>
        <v>0</v>
      </c>
      <c r="AU48" s="234">
        <f t="shared" ca="1" si="28"/>
        <v>0</v>
      </c>
      <c r="AV48" s="234">
        <f t="shared" ca="1" si="28"/>
        <v>0</v>
      </c>
      <c r="AW48" s="234">
        <f t="shared" ca="1" si="28"/>
        <v>0</v>
      </c>
      <c r="AX48" s="234">
        <f t="shared" ca="1" si="28"/>
        <v>0</v>
      </c>
      <c r="AY48" s="234">
        <f t="shared" ca="1" si="28"/>
        <v>0</v>
      </c>
      <c r="AZ48" s="234">
        <f t="shared" ca="1" si="28"/>
        <v>0</v>
      </c>
      <c r="BA48" s="234">
        <f t="shared" ca="1" si="28"/>
        <v>0</v>
      </c>
      <c r="BB48" s="234">
        <f t="shared" ca="1" si="28"/>
        <v>0</v>
      </c>
      <c r="BC48" s="234">
        <f t="shared" ca="1" si="28"/>
        <v>0</v>
      </c>
      <c r="BD48" s="234">
        <f t="shared" ca="1" si="28"/>
        <v>0</v>
      </c>
      <c r="BE48" s="234">
        <f t="shared" ca="1" si="28"/>
        <v>0</v>
      </c>
      <c r="BF48" s="234">
        <f t="shared" ca="1" si="28"/>
        <v>0</v>
      </c>
      <c r="BG48" s="234">
        <f t="shared" ca="1" si="28"/>
        <v>0</v>
      </c>
      <c r="BH48" s="234">
        <f t="shared" ca="1" si="28"/>
        <v>0</v>
      </c>
      <c r="BI48" s="234">
        <f t="shared" ca="1" si="28"/>
        <v>0</v>
      </c>
      <c r="BJ48" s="234">
        <f t="shared" ca="1" si="28"/>
        <v>0</v>
      </c>
      <c r="BK48" s="234">
        <f t="shared" ca="1" si="28"/>
        <v>0</v>
      </c>
      <c r="BL48" s="234">
        <f t="shared" ca="1" si="28"/>
        <v>0</v>
      </c>
      <c r="BM48" s="234">
        <f t="shared" ca="1" si="28"/>
        <v>0</v>
      </c>
      <c r="BN48" s="234">
        <f t="shared" ca="1" si="28"/>
        <v>0</v>
      </c>
      <c r="BO48" s="234">
        <f t="shared" ca="1" si="28"/>
        <v>0</v>
      </c>
      <c r="BP48" s="234">
        <f t="shared" ca="1" si="28"/>
        <v>0</v>
      </c>
      <c r="BQ48" s="234">
        <f t="shared" ca="1" si="28"/>
        <v>0</v>
      </c>
      <c r="BR48" s="234">
        <f t="shared" ca="1" si="28"/>
        <v>0</v>
      </c>
    </row>
    <row r="49" spans="1:6" s="147" customFormat="1" thickTop="1" x14ac:dyDescent="0.25">
      <c r="A49" s="211"/>
      <c r="F49" s="212"/>
    </row>
    <row r="50" spans="1:6" s="147" customFormat="1" ht="13.2" x14ac:dyDescent="0.25">
      <c r="A50" s="211"/>
      <c r="F50" s="212"/>
    </row>
    <row r="51" spans="1:6" s="166" customFormat="1" ht="15.6" x14ac:dyDescent="0.3">
      <c r="A51" s="166" t="s">
        <v>217</v>
      </c>
    </row>
  </sheetData>
  <pageMargins left="0.70866141732283472" right="0.70866141732283472" top="0.74803149606299213" bottom="0.74803149606299213" header="0.31496062992125984" footer="0.31496062992125984"/>
  <pageSetup paperSize="9" scale="55" orientation="landscape"/>
  <headerFooter>
    <oddFooter>&amp;LPage &amp;P&amp;C&amp;F&amp;RDate &amp;D Time &amp;T</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BZ48"/>
  <sheetViews>
    <sheetView showGridLines="0" zoomScale="80" zoomScaleNormal="80" zoomScalePageLayoutView="80" workbookViewId="0">
      <pane xSplit="10" ySplit="8" topLeftCell="K12" activePane="bottomRight" state="frozen"/>
      <selection activeCell="C10" sqref="C10"/>
      <selection pane="topRight" activeCell="C10" sqref="C10"/>
      <selection pane="bottomLeft" activeCell="C10" sqref="C10"/>
      <selection pane="bottomRight" activeCell="I42" sqref="I42"/>
    </sheetView>
  </sheetViews>
  <sheetFormatPr defaultColWidth="0" defaultRowHeight="13.8" x14ac:dyDescent="0.25"/>
  <cols>
    <col min="1" max="1" width="3.44140625" style="138" customWidth="1"/>
    <col min="2" max="2" width="22.44140625" style="138" customWidth="1"/>
    <col min="3" max="3" width="2.6640625" style="138" customWidth="1"/>
    <col min="4" max="4" width="13.109375" style="138" bestFit="1" customWidth="1"/>
    <col min="5" max="6" width="10" style="138" bestFit="1" customWidth="1"/>
    <col min="7" max="7" width="11.44140625" style="138" customWidth="1"/>
    <col min="8" max="8" width="12.109375" style="138" customWidth="1"/>
    <col min="9" max="9" width="15.44140625" style="138" customWidth="1"/>
    <col min="10" max="10" width="3.109375" style="138" customWidth="1"/>
    <col min="11" max="70" width="11.109375" style="138" customWidth="1"/>
    <col min="71" max="71" width="3" style="138" customWidth="1"/>
    <col min="72" max="72" width="9.109375" style="71" customWidth="1"/>
    <col min="73" max="78" width="9.109375" style="138" customWidth="1"/>
    <col min="79" max="16384" width="9.109375" style="138" hidden="1"/>
  </cols>
  <sheetData>
    <row r="1" spans="1:78" s="285" customFormat="1" ht="13.2" x14ac:dyDescent="0.25"/>
    <row r="2" spans="1:78" s="285" customFormat="1" ht="13.2" x14ac:dyDescent="0.25"/>
    <row r="3" spans="1:78" s="285" customFormat="1" ht="13.2" x14ac:dyDescent="0.25">
      <c r="A3" s="286" t="str">
        <f>IF(KeyInputs!$F$14=0,"Company Name",KeyInputs!$F$14)</f>
        <v>Company Name</v>
      </c>
    </row>
    <row r="4" spans="1:78" s="285" customFormat="1" ht="13.2" x14ac:dyDescent="0.25">
      <c r="A4" s="285" t="s">
        <v>46</v>
      </c>
    </row>
    <row r="5" spans="1:78" s="285" customFormat="1" ht="13.2" x14ac:dyDescent="0.25">
      <c r="D5" s="287" t="str">
        <f>KeyInputs!D5</f>
        <v>Year</v>
      </c>
      <c r="E5" s="287">
        <f>KeyInputs!H5</f>
        <v>2015</v>
      </c>
      <c r="F5" s="287">
        <f>KeyInputs!I5</f>
        <v>2016</v>
      </c>
      <c r="G5" s="287">
        <f>KeyInputs!J5</f>
        <v>2017</v>
      </c>
      <c r="H5" s="287">
        <f>KeyInputs!K5</f>
        <v>2018</v>
      </c>
      <c r="I5" s="287">
        <f>KeyInputs!L5</f>
        <v>2019</v>
      </c>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8" customFormat="1" ht="13.2" x14ac:dyDescent="0.25">
      <c r="D6" s="287" t="str">
        <f>KeyInputs!D6</f>
        <v>Period number</v>
      </c>
      <c r="E6" s="287">
        <f>KeyInputs!H6</f>
        <v>1</v>
      </c>
      <c r="F6" s="287">
        <f>KeyInputs!I6</f>
        <v>2</v>
      </c>
      <c r="G6" s="287">
        <f>KeyInputs!J6</f>
        <v>3</v>
      </c>
      <c r="H6" s="287">
        <f>KeyInputs!K6</f>
        <v>4</v>
      </c>
      <c r="I6" s="287">
        <f>KeyInputs!L6</f>
        <v>5</v>
      </c>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8" customFormat="1" ht="13.2" x14ac:dyDescent="0.25">
      <c r="D7" s="287" t="str">
        <f>KeyInputs!D7</f>
        <v>Period starts</v>
      </c>
      <c r="E7" s="294">
        <f>KeyInputs!H7</f>
        <v>42005</v>
      </c>
      <c r="F7" s="294">
        <f>KeyInputs!I7</f>
        <v>42370</v>
      </c>
      <c r="G7" s="294">
        <f>KeyInputs!J7</f>
        <v>42736</v>
      </c>
      <c r="H7" s="294">
        <f>KeyInputs!K7</f>
        <v>43101</v>
      </c>
      <c r="I7" s="294">
        <f>KeyInputs!L7</f>
        <v>43466</v>
      </c>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2" customFormat="1" ht="13.2"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88"/>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8"/>
      <c r="BT8" s="288"/>
      <c r="BU8" s="288"/>
      <c r="BV8" s="288"/>
      <c r="BW8" s="288"/>
      <c r="BX8" s="288"/>
      <c r="BY8" s="288"/>
      <c r="BZ8" s="288"/>
    </row>
    <row r="9" spans="1:78" s="128" customFormat="1" ht="13.2" x14ac:dyDescent="0.25">
      <c r="D9" s="125"/>
      <c r="E9" s="164"/>
      <c r="F9" s="164"/>
      <c r="G9" s="164"/>
      <c r="H9" s="164"/>
      <c r="I9" s="164"/>
      <c r="K9" s="164"/>
      <c r="L9" s="164"/>
      <c r="M9" s="164"/>
      <c r="N9" s="164"/>
      <c r="O9" s="164"/>
      <c r="P9" s="164"/>
      <c r="Q9" s="164"/>
      <c r="R9" s="164"/>
      <c r="S9" s="164"/>
      <c r="T9" s="164"/>
      <c r="U9" s="164"/>
      <c r="V9" s="164"/>
      <c r="W9" s="164"/>
      <c r="X9" s="164"/>
      <c r="Y9" s="164"/>
      <c r="Z9" s="164"/>
      <c r="AA9" s="164"/>
      <c r="AB9" s="164"/>
      <c r="AC9" s="164"/>
      <c r="AD9" s="164"/>
      <c r="AE9" s="164"/>
      <c r="AF9" s="164"/>
      <c r="AG9" s="164"/>
      <c r="AH9" s="164"/>
      <c r="AI9" s="164"/>
      <c r="AJ9" s="164"/>
      <c r="AK9" s="164"/>
      <c r="AL9" s="164"/>
      <c r="AM9" s="164"/>
      <c r="AN9" s="164"/>
      <c r="AO9" s="164"/>
      <c r="AP9" s="164"/>
      <c r="AQ9" s="164"/>
      <c r="AR9" s="164"/>
      <c r="AS9" s="164"/>
      <c r="AT9" s="164"/>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row>
    <row r="10" spans="1:78" s="166" customFormat="1" ht="15.6" x14ac:dyDescent="0.3">
      <c r="A10" s="166">
        <f>Header1</f>
        <v>1</v>
      </c>
      <c r="B10" s="166" t="s">
        <v>46</v>
      </c>
    </row>
    <row r="11" spans="1:78" s="147" customFormat="1" ht="13.2" x14ac:dyDescent="0.25">
      <c r="A11" s="211"/>
      <c r="F11" s="212"/>
    </row>
    <row r="12" spans="1:78" s="147" customFormat="1" ht="13.2" x14ac:dyDescent="0.25">
      <c r="B12" s="147" t="s">
        <v>224</v>
      </c>
      <c r="D12" s="231" t="str">
        <f t="shared" ref="D12:D17" si="0">unit</f>
        <v>£</v>
      </c>
      <c r="E12" s="147">
        <f>INDEX($K12:$BR12,0,MATCH(E$8,$K$8:$BR$8,0))</f>
        <v>0</v>
      </c>
      <c r="F12" s="147">
        <f t="shared" ref="F12:I37" si="1">INDEX($K12:$BR12,0,MATCH(F$8,$K$8:$BR$8,0))</f>
        <v>0</v>
      </c>
      <c r="G12" s="147">
        <f t="shared" si="1"/>
        <v>0</v>
      </c>
      <c r="H12" s="147">
        <f t="shared" si="1"/>
        <v>0</v>
      </c>
      <c r="I12" s="147">
        <f t="shared" si="1"/>
        <v>0</v>
      </c>
      <c r="K12" s="147">
        <f>SUM(K13:K17)</f>
        <v>0</v>
      </c>
      <c r="L12" s="147">
        <f t="shared" ref="L12:BR12" si="2">SUM(L13:L17)</f>
        <v>0</v>
      </c>
      <c r="M12" s="147">
        <f t="shared" si="2"/>
        <v>0</v>
      </c>
      <c r="N12" s="147">
        <f t="shared" si="2"/>
        <v>0</v>
      </c>
      <c r="O12" s="147">
        <f t="shared" si="2"/>
        <v>0</v>
      </c>
      <c r="P12" s="147">
        <f t="shared" si="2"/>
        <v>0</v>
      </c>
      <c r="Q12" s="147">
        <f t="shared" si="2"/>
        <v>0</v>
      </c>
      <c r="R12" s="147">
        <f t="shared" si="2"/>
        <v>0</v>
      </c>
      <c r="S12" s="147">
        <f t="shared" si="2"/>
        <v>0</v>
      </c>
      <c r="T12" s="147">
        <f t="shared" si="2"/>
        <v>0</v>
      </c>
      <c r="U12" s="147">
        <f t="shared" si="2"/>
        <v>0</v>
      </c>
      <c r="V12" s="147">
        <f t="shared" si="2"/>
        <v>0</v>
      </c>
      <c r="W12" s="147">
        <f t="shared" si="2"/>
        <v>0</v>
      </c>
      <c r="X12" s="147">
        <f t="shared" si="2"/>
        <v>0</v>
      </c>
      <c r="Y12" s="147">
        <f t="shared" si="2"/>
        <v>0</v>
      </c>
      <c r="Z12" s="147">
        <f t="shared" si="2"/>
        <v>0</v>
      </c>
      <c r="AA12" s="147">
        <f t="shared" si="2"/>
        <v>0</v>
      </c>
      <c r="AB12" s="147">
        <f t="shared" si="2"/>
        <v>0</v>
      </c>
      <c r="AC12" s="147">
        <f t="shared" si="2"/>
        <v>0</v>
      </c>
      <c r="AD12" s="147">
        <f t="shared" si="2"/>
        <v>0</v>
      </c>
      <c r="AE12" s="147">
        <f t="shared" si="2"/>
        <v>0</v>
      </c>
      <c r="AF12" s="147">
        <f t="shared" si="2"/>
        <v>0</v>
      </c>
      <c r="AG12" s="147">
        <f t="shared" si="2"/>
        <v>0</v>
      </c>
      <c r="AH12" s="147">
        <f t="shared" si="2"/>
        <v>0</v>
      </c>
      <c r="AI12" s="147">
        <f t="shared" si="2"/>
        <v>0</v>
      </c>
      <c r="AJ12" s="147">
        <f t="shared" si="2"/>
        <v>0</v>
      </c>
      <c r="AK12" s="147">
        <f t="shared" si="2"/>
        <v>0</v>
      </c>
      <c r="AL12" s="147">
        <f t="shared" si="2"/>
        <v>0</v>
      </c>
      <c r="AM12" s="147">
        <f t="shared" si="2"/>
        <v>0</v>
      </c>
      <c r="AN12" s="147">
        <f t="shared" si="2"/>
        <v>0</v>
      </c>
      <c r="AO12" s="147">
        <f t="shared" si="2"/>
        <v>0</v>
      </c>
      <c r="AP12" s="147">
        <f t="shared" si="2"/>
        <v>0</v>
      </c>
      <c r="AQ12" s="147">
        <f t="shared" si="2"/>
        <v>0</v>
      </c>
      <c r="AR12" s="147">
        <f t="shared" si="2"/>
        <v>0</v>
      </c>
      <c r="AS12" s="147">
        <f t="shared" si="2"/>
        <v>0</v>
      </c>
      <c r="AT12" s="147">
        <f t="shared" si="2"/>
        <v>0</v>
      </c>
      <c r="AU12" s="147">
        <f t="shared" si="2"/>
        <v>0</v>
      </c>
      <c r="AV12" s="147">
        <f t="shared" si="2"/>
        <v>0</v>
      </c>
      <c r="AW12" s="147">
        <f t="shared" si="2"/>
        <v>0</v>
      </c>
      <c r="AX12" s="147">
        <f t="shared" si="2"/>
        <v>0</v>
      </c>
      <c r="AY12" s="147">
        <f t="shared" si="2"/>
        <v>0</v>
      </c>
      <c r="AZ12" s="147">
        <f t="shared" si="2"/>
        <v>0</v>
      </c>
      <c r="BA12" s="147">
        <f t="shared" si="2"/>
        <v>0</v>
      </c>
      <c r="BB12" s="147">
        <f t="shared" si="2"/>
        <v>0</v>
      </c>
      <c r="BC12" s="147">
        <f t="shared" si="2"/>
        <v>0</v>
      </c>
      <c r="BD12" s="147">
        <f t="shared" si="2"/>
        <v>0</v>
      </c>
      <c r="BE12" s="147">
        <f t="shared" si="2"/>
        <v>0</v>
      </c>
      <c r="BF12" s="147">
        <f t="shared" si="2"/>
        <v>0</v>
      </c>
      <c r="BG12" s="147">
        <f t="shared" si="2"/>
        <v>0</v>
      </c>
      <c r="BH12" s="147">
        <f t="shared" si="2"/>
        <v>0</v>
      </c>
      <c r="BI12" s="147">
        <f t="shared" si="2"/>
        <v>0</v>
      </c>
      <c r="BJ12" s="147">
        <f t="shared" si="2"/>
        <v>0</v>
      </c>
      <c r="BK12" s="147">
        <f t="shared" si="2"/>
        <v>0</v>
      </c>
      <c r="BL12" s="147">
        <f t="shared" si="2"/>
        <v>0</v>
      </c>
      <c r="BM12" s="147">
        <f t="shared" si="2"/>
        <v>0</v>
      </c>
      <c r="BN12" s="147">
        <f t="shared" si="2"/>
        <v>0</v>
      </c>
      <c r="BO12" s="147">
        <f t="shared" si="2"/>
        <v>0</v>
      </c>
      <c r="BP12" s="147">
        <f t="shared" si="2"/>
        <v>0</v>
      </c>
      <c r="BQ12" s="147">
        <f t="shared" si="2"/>
        <v>0</v>
      </c>
      <c r="BR12" s="147">
        <f t="shared" si="2"/>
        <v>0</v>
      </c>
    </row>
    <row r="13" spans="1:78" s="147" customFormat="1" ht="13.2" x14ac:dyDescent="0.25">
      <c r="A13" s="211"/>
      <c r="B13" s="250" t="str">
        <f>KeyInputs!F61</f>
        <v>ICT equipement</v>
      </c>
      <c r="D13" s="231" t="str">
        <f t="shared" si="0"/>
        <v>£</v>
      </c>
      <c r="E13" s="147">
        <f t="shared" ref="E13:E17" si="3">INDEX($K13:$BR13,0,MATCH(E$8,$K$8:$BR$8,0))</f>
        <v>0</v>
      </c>
      <c r="F13" s="147">
        <f t="shared" si="1"/>
        <v>0</v>
      </c>
      <c r="G13" s="147">
        <f t="shared" si="1"/>
        <v>0</v>
      </c>
      <c r="H13" s="147">
        <f t="shared" si="1"/>
        <v>0</v>
      </c>
      <c r="I13" s="147">
        <f t="shared" si="1"/>
        <v>0</v>
      </c>
      <c r="K13" s="147">
        <f>Capex!K37</f>
        <v>0</v>
      </c>
      <c r="L13" s="147">
        <f>Capex!L37</f>
        <v>0</v>
      </c>
      <c r="M13" s="147">
        <f>Capex!M37</f>
        <v>0</v>
      </c>
      <c r="N13" s="147">
        <f>Capex!N37</f>
        <v>0</v>
      </c>
      <c r="O13" s="147">
        <f>Capex!O37</f>
        <v>0</v>
      </c>
      <c r="P13" s="147">
        <f>Capex!P37</f>
        <v>0</v>
      </c>
      <c r="Q13" s="147">
        <f>Capex!Q37</f>
        <v>0</v>
      </c>
      <c r="R13" s="147">
        <f>Capex!R37</f>
        <v>0</v>
      </c>
      <c r="S13" s="147">
        <f>Capex!S37</f>
        <v>0</v>
      </c>
      <c r="T13" s="147">
        <f>Capex!T37</f>
        <v>0</v>
      </c>
      <c r="U13" s="147">
        <f>Capex!U37</f>
        <v>0</v>
      </c>
      <c r="V13" s="147">
        <f>Capex!V37</f>
        <v>0</v>
      </c>
      <c r="W13" s="147">
        <f>Capex!W37</f>
        <v>0</v>
      </c>
      <c r="X13" s="147">
        <f>Capex!X37</f>
        <v>0</v>
      </c>
      <c r="Y13" s="147">
        <f>Capex!Y37</f>
        <v>0</v>
      </c>
      <c r="Z13" s="147">
        <f>Capex!Z37</f>
        <v>0</v>
      </c>
      <c r="AA13" s="147">
        <f>Capex!AA37</f>
        <v>0</v>
      </c>
      <c r="AB13" s="147">
        <f>Capex!AB37</f>
        <v>0</v>
      </c>
      <c r="AC13" s="147">
        <f>Capex!AC37</f>
        <v>0</v>
      </c>
      <c r="AD13" s="147">
        <f>Capex!AD37</f>
        <v>0</v>
      </c>
      <c r="AE13" s="147">
        <f>Capex!AE37</f>
        <v>0</v>
      </c>
      <c r="AF13" s="147">
        <f>Capex!AF37</f>
        <v>0</v>
      </c>
      <c r="AG13" s="147">
        <f>Capex!AG37</f>
        <v>0</v>
      </c>
      <c r="AH13" s="147">
        <f>Capex!AH37</f>
        <v>0</v>
      </c>
      <c r="AI13" s="147">
        <f>Capex!AI37</f>
        <v>0</v>
      </c>
      <c r="AJ13" s="147">
        <f>Capex!AJ37</f>
        <v>0</v>
      </c>
      <c r="AK13" s="147">
        <f>Capex!AK37</f>
        <v>0</v>
      </c>
      <c r="AL13" s="147">
        <f>Capex!AL37</f>
        <v>0</v>
      </c>
      <c r="AM13" s="147">
        <f>Capex!AM37</f>
        <v>0</v>
      </c>
      <c r="AN13" s="147">
        <f>Capex!AN37</f>
        <v>0</v>
      </c>
      <c r="AO13" s="147">
        <f>Capex!AO37</f>
        <v>0</v>
      </c>
      <c r="AP13" s="147">
        <f>Capex!AP37</f>
        <v>0</v>
      </c>
      <c r="AQ13" s="147">
        <f>Capex!AQ37</f>
        <v>0</v>
      </c>
      <c r="AR13" s="147">
        <f>Capex!AR37</f>
        <v>0</v>
      </c>
      <c r="AS13" s="147">
        <f>Capex!AS37</f>
        <v>0</v>
      </c>
      <c r="AT13" s="147">
        <f>Capex!AT37</f>
        <v>0</v>
      </c>
      <c r="AU13" s="147">
        <f>Capex!AU37</f>
        <v>0</v>
      </c>
      <c r="AV13" s="147">
        <f>Capex!AV37</f>
        <v>0</v>
      </c>
      <c r="AW13" s="147">
        <f>Capex!AW37</f>
        <v>0</v>
      </c>
      <c r="AX13" s="147">
        <f>Capex!AX37</f>
        <v>0</v>
      </c>
      <c r="AY13" s="147">
        <f>Capex!AY37</f>
        <v>0</v>
      </c>
      <c r="AZ13" s="147">
        <f>Capex!AZ37</f>
        <v>0</v>
      </c>
      <c r="BA13" s="147">
        <f>Capex!BA37</f>
        <v>0</v>
      </c>
      <c r="BB13" s="147">
        <f>Capex!BB37</f>
        <v>0</v>
      </c>
      <c r="BC13" s="147">
        <f>Capex!BC37</f>
        <v>0</v>
      </c>
      <c r="BD13" s="147">
        <f>Capex!BD37</f>
        <v>0</v>
      </c>
      <c r="BE13" s="147">
        <f>Capex!BE37</f>
        <v>0</v>
      </c>
      <c r="BF13" s="147">
        <f>Capex!BF37</f>
        <v>0</v>
      </c>
      <c r="BG13" s="147">
        <f>Capex!BG37</f>
        <v>0</v>
      </c>
      <c r="BH13" s="147">
        <f>Capex!BH37</f>
        <v>0</v>
      </c>
      <c r="BI13" s="147">
        <f>Capex!BI37</f>
        <v>0</v>
      </c>
      <c r="BJ13" s="147">
        <f>Capex!BJ37</f>
        <v>0</v>
      </c>
      <c r="BK13" s="147">
        <f>Capex!BK37</f>
        <v>0</v>
      </c>
      <c r="BL13" s="147">
        <f>Capex!BL37</f>
        <v>0</v>
      </c>
      <c r="BM13" s="147">
        <f>Capex!BM37</f>
        <v>0</v>
      </c>
      <c r="BN13" s="147">
        <f>Capex!BN37</f>
        <v>0</v>
      </c>
      <c r="BO13" s="147">
        <f>Capex!BO37</f>
        <v>0</v>
      </c>
      <c r="BP13" s="147">
        <f>Capex!BP37</f>
        <v>0</v>
      </c>
      <c r="BQ13" s="147">
        <f>Capex!BQ37</f>
        <v>0</v>
      </c>
      <c r="BR13" s="147">
        <f>Capex!BR37</f>
        <v>0</v>
      </c>
    </row>
    <row r="14" spans="1:78" s="147" customFormat="1" ht="13.2" x14ac:dyDescent="0.25">
      <c r="A14" s="211"/>
      <c r="B14" s="250" t="str">
        <f>KeyInputs!F62</f>
        <v>F&amp;F</v>
      </c>
      <c r="D14" s="231" t="str">
        <f t="shared" si="0"/>
        <v>£</v>
      </c>
      <c r="E14" s="147">
        <f t="shared" si="3"/>
        <v>0</v>
      </c>
      <c r="F14" s="147">
        <f t="shared" si="1"/>
        <v>0</v>
      </c>
      <c r="G14" s="147">
        <f t="shared" si="1"/>
        <v>0</v>
      </c>
      <c r="H14" s="147">
        <f t="shared" si="1"/>
        <v>0</v>
      </c>
      <c r="I14" s="147">
        <f t="shared" si="1"/>
        <v>0</v>
      </c>
      <c r="K14" s="147">
        <f>Capex!K47</f>
        <v>0</v>
      </c>
      <c r="L14" s="147">
        <f>Capex!L47</f>
        <v>0</v>
      </c>
      <c r="M14" s="147">
        <f>Capex!M47</f>
        <v>0</v>
      </c>
      <c r="N14" s="147">
        <f>Capex!N47</f>
        <v>0</v>
      </c>
      <c r="O14" s="147">
        <f>Capex!O47</f>
        <v>0</v>
      </c>
      <c r="P14" s="147">
        <f>Capex!P47</f>
        <v>0</v>
      </c>
      <c r="Q14" s="147">
        <f>Capex!Q47</f>
        <v>0</v>
      </c>
      <c r="R14" s="147">
        <f>Capex!R47</f>
        <v>0</v>
      </c>
      <c r="S14" s="147">
        <f>Capex!S47</f>
        <v>0</v>
      </c>
      <c r="T14" s="147">
        <f>Capex!T47</f>
        <v>0</v>
      </c>
      <c r="U14" s="147">
        <f>Capex!U47</f>
        <v>0</v>
      </c>
      <c r="V14" s="147">
        <f>Capex!V47</f>
        <v>0</v>
      </c>
      <c r="W14" s="147">
        <f>Capex!W47</f>
        <v>0</v>
      </c>
      <c r="X14" s="147">
        <f>Capex!X47</f>
        <v>0</v>
      </c>
      <c r="Y14" s="147">
        <f>Capex!Y47</f>
        <v>0</v>
      </c>
      <c r="Z14" s="147">
        <f>Capex!Z47</f>
        <v>0</v>
      </c>
      <c r="AA14" s="147">
        <f>Capex!AA47</f>
        <v>0</v>
      </c>
      <c r="AB14" s="147">
        <f>Capex!AB47</f>
        <v>0</v>
      </c>
      <c r="AC14" s="147">
        <f>Capex!AC47</f>
        <v>0</v>
      </c>
      <c r="AD14" s="147">
        <f>Capex!AD47</f>
        <v>0</v>
      </c>
      <c r="AE14" s="147">
        <f>Capex!AE47</f>
        <v>0</v>
      </c>
      <c r="AF14" s="147">
        <f>Capex!AF47</f>
        <v>0</v>
      </c>
      <c r="AG14" s="147">
        <f>Capex!AG47</f>
        <v>0</v>
      </c>
      <c r="AH14" s="147">
        <f>Capex!AH47</f>
        <v>0</v>
      </c>
      <c r="AI14" s="147">
        <f>Capex!AI47</f>
        <v>0</v>
      </c>
      <c r="AJ14" s="147">
        <f>Capex!AJ47</f>
        <v>0</v>
      </c>
      <c r="AK14" s="147">
        <f>Capex!AK47</f>
        <v>0</v>
      </c>
      <c r="AL14" s="147">
        <f>Capex!AL47</f>
        <v>0</v>
      </c>
      <c r="AM14" s="147">
        <f>Capex!AM47</f>
        <v>0</v>
      </c>
      <c r="AN14" s="147">
        <f>Capex!AN47</f>
        <v>0</v>
      </c>
      <c r="AO14" s="147">
        <f>Capex!AO47</f>
        <v>0</v>
      </c>
      <c r="AP14" s="147">
        <f>Capex!AP47</f>
        <v>0</v>
      </c>
      <c r="AQ14" s="147">
        <f>Capex!AQ47</f>
        <v>0</v>
      </c>
      <c r="AR14" s="147">
        <f>Capex!AR47</f>
        <v>0</v>
      </c>
      <c r="AS14" s="147">
        <f>Capex!AS47</f>
        <v>0</v>
      </c>
      <c r="AT14" s="147">
        <f>Capex!AT47</f>
        <v>0</v>
      </c>
      <c r="AU14" s="147">
        <f>Capex!AU47</f>
        <v>0</v>
      </c>
      <c r="AV14" s="147">
        <f>Capex!AV47</f>
        <v>0</v>
      </c>
      <c r="AW14" s="147">
        <f>Capex!AW47</f>
        <v>0</v>
      </c>
      <c r="AX14" s="147">
        <f>Capex!AX47</f>
        <v>0</v>
      </c>
      <c r="AY14" s="147">
        <f>Capex!AY47</f>
        <v>0</v>
      </c>
      <c r="AZ14" s="147">
        <f>Capex!AZ47</f>
        <v>0</v>
      </c>
      <c r="BA14" s="147">
        <f>Capex!BA47</f>
        <v>0</v>
      </c>
      <c r="BB14" s="147">
        <f>Capex!BB47</f>
        <v>0</v>
      </c>
      <c r="BC14" s="147">
        <f>Capex!BC47</f>
        <v>0</v>
      </c>
      <c r="BD14" s="147">
        <f>Capex!BD47</f>
        <v>0</v>
      </c>
      <c r="BE14" s="147">
        <f>Capex!BE47</f>
        <v>0</v>
      </c>
      <c r="BF14" s="147">
        <f>Capex!BF47</f>
        <v>0</v>
      </c>
      <c r="BG14" s="147">
        <f>Capex!BG47</f>
        <v>0</v>
      </c>
      <c r="BH14" s="147">
        <f>Capex!BH47</f>
        <v>0</v>
      </c>
      <c r="BI14" s="147">
        <f>Capex!BI47</f>
        <v>0</v>
      </c>
      <c r="BJ14" s="147">
        <f>Capex!BJ47</f>
        <v>0</v>
      </c>
      <c r="BK14" s="147">
        <f>Capex!BK47</f>
        <v>0</v>
      </c>
      <c r="BL14" s="147">
        <f>Capex!BL47</f>
        <v>0</v>
      </c>
      <c r="BM14" s="147">
        <f>Capex!BM47</f>
        <v>0</v>
      </c>
      <c r="BN14" s="147">
        <f>Capex!BN47</f>
        <v>0</v>
      </c>
      <c r="BO14" s="147">
        <f>Capex!BO47</f>
        <v>0</v>
      </c>
      <c r="BP14" s="147">
        <f>Capex!BP47</f>
        <v>0</v>
      </c>
      <c r="BQ14" s="147">
        <f>Capex!BQ47</f>
        <v>0</v>
      </c>
      <c r="BR14" s="147">
        <f>Capex!BR47</f>
        <v>0</v>
      </c>
    </row>
    <row r="15" spans="1:78" s="147" customFormat="1" ht="13.2" x14ac:dyDescent="0.25">
      <c r="A15" s="211"/>
      <c r="B15" s="250" t="str">
        <f>KeyInputs!F63</f>
        <v xml:space="preserve">Property </v>
      </c>
      <c r="D15" s="231" t="str">
        <f t="shared" si="0"/>
        <v>£</v>
      </c>
      <c r="E15" s="147">
        <f t="shared" si="3"/>
        <v>0</v>
      </c>
      <c r="F15" s="147">
        <f t="shared" si="1"/>
        <v>0</v>
      </c>
      <c r="G15" s="147">
        <f t="shared" si="1"/>
        <v>0</v>
      </c>
      <c r="H15" s="147">
        <f t="shared" si="1"/>
        <v>0</v>
      </c>
      <c r="I15" s="147">
        <f t="shared" si="1"/>
        <v>0</v>
      </c>
      <c r="K15" s="147">
        <f>Capex!K57</f>
        <v>0</v>
      </c>
      <c r="L15" s="147">
        <f>Capex!L57</f>
        <v>0</v>
      </c>
      <c r="M15" s="147">
        <f>Capex!M57</f>
        <v>0</v>
      </c>
      <c r="N15" s="147">
        <f>Capex!N57</f>
        <v>0</v>
      </c>
      <c r="O15" s="147">
        <f>Capex!O57</f>
        <v>0</v>
      </c>
      <c r="P15" s="147">
        <f>Capex!P57</f>
        <v>0</v>
      </c>
      <c r="Q15" s="147">
        <f>Capex!Q57</f>
        <v>0</v>
      </c>
      <c r="R15" s="147">
        <f>Capex!R57</f>
        <v>0</v>
      </c>
      <c r="S15" s="147">
        <f>Capex!S57</f>
        <v>0</v>
      </c>
      <c r="T15" s="147">
        <f>Capex!T57</f>
        <v>0</v>
      </c>
      <c r="U15" s="147">
        <f>Capex!U57</f>
        <v>0</v>
      </c>
      <c r="V15" s="147">
        <f>Capex!V57</f>
        <v>0</v>
      </c>
      <c r="W15" s="147">
        <f>Capex!W57</f>
        <v>0</v>
      </c>
      <c r="X15" s="147">
        <f>Capex!X57</f>
        <v>0</v>
      </c>
      <c r="Y15" s="147">
        <f>Capex!Y57</f>
        <v>0</v>
      </c>
      <c r="Z15" s="147">
        <f>Capex!Z57</f>
        <v>0</v>
      </c>
      <c r="AA15" s="147">
        <f>Capex!AA57</f>
        <v>0</v>
      </c>
      <c r="AB15" s="147">
        <f>Capex!AB57</f>
        <v>0</v>
      </c>
      <c r="AC15" s="147">
        <f>Capex!AC57</f>
        <v>0</v>
      </c>
      <c r="AD15" s="147">
        <f>Capex!AD57</f>
        <v>0</v>
      </c>
      <c r="AE15" s="147">
        <f>Capex!AE57</f>
        <v>0</v>
      </c>
      <c r="AF15" s="147">
        <f>Capex!AF57</f>
        <v>0</v>
      </c>
      <c r="AG15" s="147">
        <f>Capex!AG57</f>
        <v>0</v>
      </c>
      <c r="AH15" s="147">
        <f>Capex!AH57</f>
        <v>0</v>
      </c>
      <c r="AI15" s="147">
        <f>Capex!AI57</f>
        <v>0</v>
      </c>
      <c r="AJ15" s="147">
        <f>Capex!AJ57</f>
        <v>0</v>
      </c>
      <c r="AK15" s="147">
        <f>Capex!AK57</f>
        <v>0</v>
      </c>
      <c r="AL15" s="147">
        <f>Capex!AL57</f>
        <v>0</v>
      </c>
      <c r="AM15" s="147">
        <f>Capex!AM57</f>
        <v>0</v>
      </c>
      <c r="AN15" s="147">
        <f>Capex!AN57</f>
        <v>0</v>
      </c>
      <c r="AO15" s="147">
        <f>Capex!AO57</f>
        <v>0</v>
      </c>
      <c r="AP15" s="147">
        <f>Capex!AP57</f>
        <v>0</v>
      </c>
      <c r="AQ15" s="147">
        <f>Capex!AQ57</f>
        <v>0</v>
      </c>
      <c r="AR15" s="147">
        <f>Capex!AR57</f>
        <v>0</v>
      </c>
      <c r="AS15" s="147">
        <f>Capex!AS57</f>
        <v>0</v>
      </c>
      <c r="AT15" s="147">
        <f>Capex!AT57</f>
        <v>0</v>
      </c>
      <c r="AU15" s="147">
        <f>Capex!AU57</f>
        <v>0</v>
      </c>
      <c r="AV15" s="147">
        <f>Capex!AV57</f>
        <v>0</v>
      </c>
      <c r="AW15" s="147">
        <f>Capex!AW57</f>
        <v>0</v>
      </c>
      <c r="AX15" s="147">
        <f>Capex!AX57</f>
        <v>0</v>
      </c>
      <c r="AY15" s="147">
        <f>Capex!AY57</f>
        <v>0</v>
      </c>
      <c r="AZ15" s="147">
        <f>Capex!AZ57</f>
        <v>0</v>
      </c>
      <c r="BA15" s="147">
        <f>Capex!BA57</f>
        <v>0</v>
      </c>
      <c r="BB15" s="147">
        <f>Capex!BB57</f>
        <v>0</v>
      </c>
      <c r="BC15" s="147">
        <f>Capex!BC57</f>
        <v>0</v>
      </c>
      <c r="BD15" s="147">
        <f>Capex!BD57</f>
        <v>0</v>
      </c>
      <c r="BE15" s="147">
        <f>Capex!BE57</f>
        <v>0</v>
      </c>
      <c r="BF15" s="147">
        <f>Capex!BF57</f>
        <v>0</v>
      </c>
      <c r="BG15" s="147">
        <f>Capex!BG57</f>
        <v>0</v>
      </c>
      <c r="BH15" s="147">
        <f>Capex!BH57</f>
        <v>0</v>
      </c>
      <c r="BI15" s="147">
        <f>Capex!BI57</f>
        <v>0</v>
      </c>
      <c r="BJ15" s="147">
        <f>Capex!BJ57</f>
        <v>0</v>
      </c>
      <c r="BK15" s="147">
        <f>Capex!BK57</f>
        <v>0</v>
      </c>
      <c r="BL15" s="147">
        <f>Capex!BL57</f>
        <v>0</v>
      </c>
      <c r="BM15" s="147">
        <f>Capex!BM57</f>
        <v>0</v>
      </c>
      <c r="BN15" s="147">
        <f>Capex!BN57</f>
        <v>0</v>
      </c>
      <c r="BO15" s="147">
        <f>Capex!BO57</f>
        <v>0</v>
      </c>
      <c r="BP15" s="147">
        <f>Capex!BP57</f>
        <v>0</v>
      </c>
      <c r="BQ15" s="147">
        <f>Capex!BQ57</f>
        <v>0</v>
      </c>
      <c r="BR15" s="147">
        <f>Capex!BR57</f>
        <v>0</v>
      </c>
    </row>
    <row r="16" spans="1:78" s="147" customFormat="1" ht="13.2" x14ac:dyDescent="0.25">
      <c r="A16" s="211"/>
      <c r="B16" s="250" t="str">
        <f>KeyInputs!F64</f>
        <v>Vehicles</v>
      </c>
      <c r="D16" s="231" t="str">
        <f t="shared" si="0"/>
        <v>£</v>
      </c>
      <c r="E16" s="147">
        <f t="shared" si="3"/>
        <v>0</v>
      </c>
      <c r="F16" s="147">
        <f t="shared" si="1"/>
        <v>0</v>
      </c>
      <c r="G16" s="147">
        <f t="shared" si="1"/>
        <v>0</v>
      </c>
      <c r="H16" s="147">
        <f t="shared" si="1"/>
        <v>0</v>
      </c>
      <c r="I16" s="147">
        <f t="shared" si="1"/>
        <v>0</v>
      </c>
      <c r="K16" s="147">
        <f>Capex!K67</f>
        <v>0</v>
      </c>
      <c r="L16" s="147">
        <f>Capex!L67</f>
        <v>0</v>
      </c>
      <c r="M16" s="147">
        <f>Capex!M67</f>
        <v>0</v>
      </c>
      <c r="N16" s="147">
        <f>Capex!N67</f>
        <v>0</v>
      </c>
      <c r="O16" s="147">
        <f>Capex!O67</f>
        <v>0</v>
      </c>
      <c r="P16" s="147">
        <f>Capex!P67</f>
        <v>0</v>
      </c>
      <c r="Q16" s="147">
        <f>Capex!Q67</f>
        <v>0</v>
      </c>
      <c r="R16" s="147">
        <f>Capex!R67</f>
        <v>0</v>
      </c>
      <c r="S16" s="147">
        <f>Capex!S67</f>
        <v>0</v>
      </c>
      <c r="T16" s="147">
        <f>Capex!T67</f>
        <v>0</v>
      </c>
      <c r="U16" s="147">
        <f>Capex!U67</f>
        <v>0</v>
      </c>
      <c r="V16" s="147">
        <f>Capex!V67</f>
        <v>0</v>
      </c>
      <c r="W16" s="147">
        <f>Capex!W67</f>
        <v>0</v>
      </c>
      <c r="X16" s="147">
        <f>Capex!X67</f>
        <v>0</v>
      </c>
      <c r="Y16" s="147">
        <f>Capex!Y67</f>
        <v>0</v>
      </c>
      <c r="Z16" s="147">
        <f>Capex!Z67</f>
        <v>0</v>
      </c>
      <c r="AA16" s="147">
        <f>Capex!AA67</f>
        <v>0</v>
      </c>
      <c r="AB16" s="147">
        <f>Capex!AB67</f>
        <v>0</v>
      </c>
      <c r="AC16" s="147">
        <f>Capex!AC67</f>
        <v>0</v>
      </c>
      <c r="AD16" s="147">
        <f>Capex!AD67</f>
        <v>0</v>
      </c>
      <c r="AE16" s="147">
        <f>Capex!AE67</f>
        <v>0</v>
      </c>
      <c r="AF16" s="147">
        <f>Capex!AF67</f>
        <v>0</v>
      </c>
      <c r="AG16" s="147">
        <f>Capex!AG67</f>
        <v>0</v>
      </c>
      <c r="AH16" s="147">
        <f>Capex!AH67</f>
        <v>0</v>
      </c>
      <c r="AI16" s="147">
        <f>Capex!AI67</f>
        <v>0</v>
      </c>
      <c r="AJ16" s="147">
        <f>Capex!AJ67</f>
        <v>0</v>
      </c>
      <c r="AK16" s="147">
        <f>Capex!AK67</f>
        <v>0</v>
      </c>
      <c r="AL16" s="147">
        <f>Capex!AL67</f>
        <v>0</v>
      </c>
      <c r="AM16" s="147">
        <f>Capex!AM67</f>
        <v>0</v>
      </c>
      <c r="AN16" s="147">
        <f>Capex!AN67</f>
        <v>0</v>
      </c>
      <c r="AO16" s="147">
        <f>Capex!AO67</f>
        <v>0</v>
      </c>
      <c r="AP16" s="147">
        <f>Capex!AP67</f>
        <v>0</v>
      </c>
      <c r="AQ16" s="147">
        <f>Capex!AQ67</f>
        <v>0</v>
      </c>
      <c r="AR16" s="147">
        <f>Capex!AR67</f>
        <v>0</v>
      </c>
      <c r="AS16" s="147">
        <f>Capex!AS67</f>
        <v>0</v>
      </c>
      <c r="AT16" s="147">
        <f>Capex!AT67</f>
        <v>0</v>
      </c>
      <c r="AU16" s="147">
        <f>Capex!AU67</f>
        <v>0</v>
      </c>
      <c r="AV16" s="147">
        <f>Capex!AV67</f>
        <v>0</v>
      </c>
      <c r="AW16" s="147">
        <f>Capex!AW67</f>
        <v>0</v>
      </c>
      <c r="AX16" s="147">
        <f>Capex!AX67</f>
        <v>0</v>
      </c>
      <c r="AY16" s="147">
        <f>Capex!AY67</f>
        <v>0</v>
      </c>
      <c r="AZ16" s="147">
        <f>Capex!AZ67</f>
        <v>0</v>
      </c>
      <c r="BA16" s="147">
        <f>Capex!BA67</f>
        <v>0</v>
      </c>
      <c r="BB16" s="147">
        <f>Capex!BB67</f>
        <v>0</v>
      </c>
      <c r="BC16" s="147">
        <f>Capex!BC67</f>
        <v>0</v>
      </c>
      <c r="BD16" s="147">
        <f>Capex!BD67</f>
        <v>0</v>
      </c>
      <c r="BE16" s="147">
        <f>Capex!BE67</f>
        <v>0</v>
      </c>
      <c r="BF16" s="147">
        <f>Capex!BF67</f>
        <v>0</v>
      </c>
      <c r="BG16" s="147">
        <f>Capex!BG67</f>
        <v>0</v>
      </c>
      <c r="BH16" s="147">
        <f>Capex!BH67</f>
        <v>0</v>
      </c>
      <c r="BI16" s="147">
        <f>Capex!BI67</f>
        <v>0</v>
      </c>
      <c r="BJ16" s="147">
        <f>Capex!BJ67</f>
        <v>0</v>
      </c>
      <c r="BK16" s="147">
        <f>Capex!BK67</f>
        <v>0</v>
      </c>
      <c r="BL16" s="147">
        <f>Capex!BL67</f>
        <v>0</v>
      </c>
      <c r="BM16" s="147">
        <f>Capex!BM67</f>
        <v>0</v>
      </c>
      <c r="BN16" s="147">
        <f>Capex!BN67</f>
        <v>0</v>
      </c>
      <c r="BO16" s="147">
        <f>Capex!BO67</f>
        <v>0</v>
      </c>
      <c r="BP16" s="147">
        <f>Capex!BP67</f>
        <v>0</v>
      </c>
      <c r="BQ16" s="147">
        <f>Capex!BQ67</f>
        <v>0</v>
      </c>
      <c r="BR16" s="147">
        <f>Capex!BR67</f>
        <v>0</v>
      </c>
    </row>
    <row r="17" spans="1:70" s="147" customFormat="1" ht="13.2" x14ac:dyDescent="0.25">
      <c r="A17" s="211"/>
      <c r="B17" s="250" t="str">
        <f>KeyInputs!F65</f>
        <v>n/a</v>
      </c>
      <c r="D17" s="231" t="str">
        <f t="shared" si="0"/>
        <v>£</v>
      </c>
      <c r="E17" s="147">
        <f t="shared" si="3"/>
        <v>0</v>
      </c>
      <c r="F17" s="147">
        <f t="shared" si="1"/>
        <v>0</v>
      </c>
      <c r="G17" s="147">
        <f t="shared" si="1"/>
        <v>0</v>
      </c>
      <c r="H17" s="147">
        <f t="shared" si="1"/>
        <v>0</v>
      </c>
      <c r="I17" s="147">
        <f t="shared" si="1"/>
        <v>0</v>
      </c>
      <c r="K17" s="147">
        <f>Capex!K77</f>
        <v>0</v>
      </c>
      <c r="L17" s="147">
        <f>Capex!L77</f>
        <v>0</v>
      </c>
      <c r="M17" s="147">
        <f>Capex!M77</f>
        <v>0</v>
      </c>
      <c r="N17" s="147">
        <f>Capex!N77</f>
        <v>0</v>
      </c>
      <c r="O17" s="147">
        <f>Capex!O77</f>
        <v>0</v>
      </c>
      <c r="P17" s="147">
        <f>Capex!P77</f>
        <v>0</v>
      </c>
      <c r="Q17" s="147">
        <f>Capex!Q77</f>
        <v>0</v>
      </c>
      <c r="R17" s="147">
        <f>Capex!R77</f>
        <v>0</v>
      </c>
      <c r="S17" s="147">
        <f>Capex!S77</f>
        <v>0</v>
      </c>
      <c r="T17" s="147">
        <f>Capex!T77</f>
        <v>0</v>
      </c>
      <c r="U17" s="147">
        <f>Capex!U77</f>
        <v>0</v>
      </c>
      <c r="V17" s="147">
        <f>Capex!V77</f>
        <v>0</v>
      </c>
      <c r="W17" s="147">
        <f>Capex!W77</f>
        <v>0</v>
      </c>
      <c r="X17" s="147">
        <f>Capex!X77</f>
        <v>0</v>
      </c>
      <c r="Y17" s="147">
        <f>Capex!Y77</f>
        <v>0</v>
      </c>
      <c r="Z17" s="147">
        <f>Capex!Z77</f>
        <v>0</v>
      </c>
      <c r="AA17" s="147">
        <f>Capex!AA77</f>
        <v>0</v>
      </c>
      <c r="AB17" s="147">
        <f>Capex!AB77</f>
        <v>0</v>
      </c>
      <c r="AC17" s="147">
        <f>Capex!AC77</f>
        <v>0</v>
      </c>
      <c r="AD17" s="147">
        <f>Capex!AD77</f>
        <v>0</v>
      </c>
      <c r="AE17" s="147">
        <f>Capex!AE77</f>
        <v>0</v>
      </c>
      <c r="AF17" s="147">
        <f>Capex!AF77</f>
        <v>0</v>
      </c>
      <c r="AG17" s="147">
        <f>Capex!AG77</f>
        <v>0</v>
      </c>
      <c r="AH17" s="147">
        <f>Capex!AH77</f>
        <v>0</v>
      </c>
      <c r="AI17" s="147">
        <f>Capex!AI77</f>
        <v>0</v>
      </c>
      <c r="AJ17" s="147">
        <f>Capex!AJ77</f>
        <v>0</v>
      </c>
      <c r="AK17" s="147">
        <f>Capex!AK77</f>
        <v>0</v>
      </c>
      <c r="AL17" s="147">
        <f>Capex!AL77</f>
        <v>0</v>
      </c>
      <c r="AM17" s="147">
        <f>Capex!AM77</f>
        <v>0</v>
      </c>
      <c r="AN17" s="147">
        <f>Capex!AN77</f>
        <v>0</v>
      </c>
      <c r="AO17" s="147">
        <f>Capex!AO77</f>
        <v>0</v>
      </c>
      <c r="AP17" s="147">
        <f>Capex!AP77</f>
        <v>0</v>
      </c>
      <c r="AQ17" s="147">
        <f>Capex!AQ77</f>
        <v>0</v>
      </c>
      <c r="AR17" s="147">
        <f>Capex!AR77</f>
        <v>0</v>
      </c>
      <c r="AS17" s="147">
        <f>Capex!AS77</f>
        <v>0</v>
      </c>
      <c r="AT17" s="147">
        <f>Capex!AT77</f>
        <v>0</v>
      </c>
      <c r="AU17" s="147">
        <f>Capex!AU77</f>
        <v>0</v>
      </c>
      <c r="AV17" s="147">
        <f>Capex!AV77</f>
        <v>0</v>
      </c>
      <c r="AW17" s="147">
        <f>Capex!AW77</f>
        <v>0</v>
      </c>
      <c r="AX17" s="147">
        <f>Capex!AX77</f>
        <v>0</v>
      </c>
      <c r="AY17" s="147">
        <f>Capex!AY77</f>
        <v>0</v>
      </c>
      <c r="AZ17" s="147">
        <f>Capex!AZ77</f>
        <v>0</v>
      </c>
      <c r="BA17" s="147">
        <f>Capex!BA77</f>
        <v>0</v>
      </c>
      <c r="BB17" s="147">
        <f>Capex!BB77</f>
        <v>0</v>
      </c>
      <c r="BC17" s="147">
        <f>Capex!BC77</f>
        <v>0</v>
      </c>
      <c r="BD17" s="147">
        <f>Capex!BD77</f>
        <v>0</v>
      </c>
      <c r="BE17" s="147">
        <f>Capex!BE77</f>
        <v>0</v>
      </c>
      <c r="BF17" s="147">
        <f>Capex!BF77</f>
        <v>0</v>
      </c>
      <c r="BG17" s="147">
        <f>Capex!BG77</f>
        <v>0</v>
      </c>
      <c r="BH17" s="147">
        <f>Capex!BH77</f>
        <v>0</v>
      </c>
      <c r="BI17" s="147">
        <f>Capex!BI77</f>
        <v>0</v>
      </c>
      <c r="BJ17" s="147">
        <f>Capex!BJ77</f>
        <v>0</v>
      </c>
      <c r="BK17" s="147">
        <f>Capex!BK77</f>
        <v>0</v>
      </c>
      <c r="BL17" s="147">
        <f>Capex!BL77</f>
        <v>0</v>
      </c>
      <c r="BM17" s="147">
        <f>Capex!BM77</f>
        <v>0</v>
      </c>
      <c r="BN17" s="147">
        <f>Capex!BN77</f>
        <v>0</v>
      </c>
      <c r="BO17" s="147">
        <f>Capex!BO77</f>
        <v>0</v>
      </c>
      <c r="BP17" s="147">
        <f>Capex!BP77</f>
        <v>0</v>
      </c>
      <c r="BQ17" s="147">
        <f>Capex!BQ77</f>
        <v>0</v>
      </c>
      <c r="BR17" s="147">
        <f>Capex!BR77</f>
        <v>0</v>
      </c>
    </row>
    <row r="18" spans="1:70" s="147" customFormat="1" ht="13.2" x14ac:dyDescent="0.25">
      <c r="A18" s="211"/>
      <c r="F18" s="212"/>
    </row>
    <row r="19" spans="1:70" s="147" customFormat="1" ht="13.2" x14ac:dyDescent="0.25">
      <c r="B19" s="147" t="s">
        <v>196</v>
      </c>
      <c r="D19" s="231" t="str">
        <f>unit</f>
        <v>£</v>
      </c>
      <c r="E19" s="147">
        <f ca="1">INDEX($K19:$BR19,0,MATCH(E$8,$K$8:$BR$8,0))</f>
        <v>0</v>
      </c>
      <c r="F19" s="147">
        <f ca="1">INDEX($K19:$BR19,0,MATCH(F$8,$K$8:$BR$8,0))</f>
        <v>0</v>
      </c>
      <c r="G19" s="147">
        <f ca="1">INDEX($K19:$BR19,0,MATCH(G$8,$K$8:$BR$8,0))</f>
        <v>0</v>
      </c>
      <c r="H19" s="147">
        <f ca="1">INDEX($K19:$BR19,0,MATCH(H$8,$K$8:$BR$8,0))</f>
        <v>0</v>
      </c>
      <c r="I19" s="147">
        <f ca="1">INDEX($K19:$BR19,0,MATCH(I$8,$K$8:$BR$8,0))</f>
        <v>0</v>
      </c>
      <c r="K19" s="147">
        <f ca="1">SUM(K20:K22)</f>
        <v>0</v>
      </c>
      <c r="L19" s="147">
        <f t="shared" ref="L19:BR19" ca="1" si="4">SUM(L20:L22)</f>
        <v>0</v>
      </c>
      <c r="M19" s="147">
        <f t="shared" ca="1" si="4"/>
        <v>0</v>
      </c>
      <c r="N19" s="147">
        <f t="shared" ca="1" si="4"/>
        <v>0</v>
      </c>
      <c r="O19" s="147">
        <f t="shared" ca="1" si="4"/>
        <v>0</v>
      </c>
      <c r="P19" s="147">
        <f t="shared" ca="1" si="4"/>
        <v>0</v>
      </c>
      <c r="Q19" s="147">
        <f t="shared" ca="1" si="4"/>
        <v>0</v>
      </c>
      <c r="R19" s="147">
        <f t="shared" ca="1" si="4"/>
        <v>0</v>
      </c>
      <c r="S19" s="147">
        <f t="shared" ca="1" si="4"/>
        <v>0</v>
      </c>
      <c r="T19" s="147">
        <f t="shared" ca="1" si="4"/>
        <v>0</v>
      </c>
      <c r="U19" s="147">
        <f t="shared" ca="1" si="4"/>
        <v>0</v>
      </c>
      <c r="V19" s="147">
        <f t="shared" ca="1" si="4"/>
        <v>0</v>
      </c>
      <c r="W19" s="147">
        <f t="shared" ca="1" si="4"/>
        <v>0</v>
      </c>
      <c r="X19" s="147">
        <f t="shared" ca="1" si="4"/>
        <v>0</v>
      </c>
      <c r="Y19" s="147">
        <f t="shared" ca="1" si="4"/>
        <v>0</v>
      </c>
      <c r="Z19" s="147">
        <f t="shared" ca="1" si="4"/>
        <v>0</v>
      </c>
      <c r="AA19" s="147">
        <f t="shared" ca="1" si="4"/>
        <v>0</v>
      </c>
      <c r="AB19" s="147">
        <f t="shared" ca="1" si="4"/>
        <v>0</v>
      </c>
      <c r="AC19" s="147">
        <f t="shared" ca="1" si="4"/>
        <v>0</v>
      </c>
      <c r="AD19" s="147">
        <f t="shared" ca="1" si="4"/>
        <v>0</v>
      </c>
      <c r="AE19" s="147">
        <f t="shared" ca="1" si="4"/>
        <v>0</v>
      </c>
      <c r="AF19" s="147">
        <f t="shared" ca="1" si="4"/>
        <v>0</v>
      </c>
      <c r="AG19" s="147">
        <f t="shared" ca="1" si="4"/>
        <v>0</v>
      </c>
      <c r="AH19" s="147">
        <f t="shared" ca="1" si="4"/>
        <v>0</v>
      </c>
      <c r="AI19" s="147">
        <f t="shared" ca="1" si="4"/>
        <v>0</v>
      </c>
      <c r="AJ19" s="147">
        <f t="shared" ca="1" si="4"/>
        <v>0</v>
      </c>
      <c r="AK19" s="147">
        <f t="shared" ca="1" si="4"/>
        <v>0</v>
      </c>
      <c r="AL19" s="147">
        <f t="shared" ca="1" si="4"/>
        <v>0</v>
      </c>
      <c r="AM19" s="147">
        <f t="shared" ca="1" si="4"/>
        <v>0</v>
      </c>
      <c r="AN19" s="147">
        <f t="shared" ca="1" si="4"/>
        <v>0</v>
      </c>
      <c r="AO19" s="147">
        <f t="shared" ca="1" si="4"/>
        <v>0</v>
      </c>
      <c r="AP19" s="147">
        <f t="shared" ca="1" si="4"/>
        <v>0</v>
      </c>
      <c r="AQ19" s="147">
        <f t="shared" ca="1" si="4"/>
        <v>0</v>
      </c>
      <c r="AR19" s="147">
        <f t="shared" ca="1" si="4"/>
        <v>0</v>
      </c>
      <c r="AS19" s="147">
        <f t="shared" ca="1" si="4"/>
        <v>0</v>
      </c>
      <c r="AT19" s="147">
        <f t="shared" ca="1" si="4"/>
        <v>0</v>
      </c>
      <c r="AU19" s="147">
        <f t="shared" ca="1" si="4"/>
        <v>0</v>
      </c>
      <c r="AV19" s="147">
        <f t="shared" ca="1" si="4"/>
        <v>0</v>
      </c>
      <c r="AW19" s="147">
        <f t="shared" ca="1" si="4"/>
        <v>0</v>
      </c>
      <c r="AX19" s="147">
        <f t="shared" ca="1" si="4"/>
        <v>0</v>
      </c>
      <c r="AY19" s="147">
        <f t="shared" ca="1" si="4"/>
        <v>0</v>
      </c>
      <c r="AZ19" s="147">
        <f t="shared" ca="1" si="4"/>
        <v>0</v>
      </c>
      <c r="BA19" s="147">
        <f t="shared" ca="1" si="4"/>
        <v>0</v>
      </c>
      <c r="BB19" s="147">
        <f t="shared" ca="1" si="4"/>
        <v>0</v>
      </c>
      <c r="BC19" s="147">
        <f t="shared" ca="1" si="4"/>
        <v>0</v>
      </c>
      <c r="BD19" s="147">
        <f t="shared" ca="1" si="4"/>
        <v>0</v>
      </c>
      <c r="BE19" s="147">
        <f t="shared" ca="1" si="4"/>
        <v>0</v>
      </c>
      <c r="BF19" s="147">
        <f t="shared" ca="1" si="4"/>
        <v>0</v>
      </c>
      <c r="BG19" s="147">
        <f t="shared" ca="1" si="4"/>
        <v>0</v>
      </c>
      <c r="BH19" s="147">
        <f t="shared" ca="1" si="4"/>
        <v>0</v>
      </c>
      <c r="BI19" s="147">
        <f t="shared" ca="1" si="4"/>
        <v>0</v>
      </c>
      <c r="BJ19" s="147">
        <f t="shared" ca="1" si="4"/>
        <v>0</v>
      </c>
      <c r="BK19" s="147">
        <f t="shared" ca="1" si="4"/>
        <v>0</v>
      </c>
      <c r="BL19" s="147">
        <f t="shared" ca="1" si="4"/>
        <v>0</v>
      </c>
      <c r="BM19" s="147">
        <f t="shared" ca="1" si="4"/>
        <v>0</v>
      </c>
      <c r="BN19" s="147">
        <f t="shared" ca="1" si="4"/>
        <v>0</v>
      </c>
      <c r="BO19" s="147">
        <f t="shared" ca="1" si="4"/>
        <v>0</v>
      </c>
      <c r="BP19" s="147">
        <f t="shared" ca="1" si="4"/>
        <v>0</v>
      </c>
      <c r="BQ19" s="147">
        <f t="shared" ca="1" si="4"/>
        <v>0</v>
      </c>
      <c r="BR19" s="147">
        <f t="shared" ca="1" si="4"/>
        <v>0</v>
      </c>
    </row>
    <row r="20" spans="1:70" s="147" customFormat="1" ht="13.2" x14ac:dyDescent="0.25">
      <c r="A20" s="211"/>
      <c r="B20" s="250" t="str">
        <f>KeyInputs!F21</f>
        <v>Test</v>
      </c>
      <c r="D20" s="231" t="str">
        <f>unit</f>
        <v>£</v>
      </c>
      <c r="E20" s="147">
        <f t="shared" ref="E20:I22" ca="1" si="5">INDEX($K20:$BR20,0,MATCH(E$8,$K$8:$BR$8,0))</f>
        <v>0</v>
      </c>
      <c r="F20" s="147">
        <f t="shared" ca="1" si="5"/>
        <v>0</v>
      </c>
      <c r="G20" s="147">
        <f t="shared" ca="1" si="5"/>
        <v>0</v>
      </c>
      <c r="H20" s="147">
        <f t="shared" ca="1" si="5"/>
        <v>0</v>
      </c>
      <c r="I20" s="147">
        <f t="shared" ca="1" si="5"/>
        <v>0</v>
      </c>
      <c r="K20" s="147">
        <f ca="1">WorkingCapital!K21</f>
        <v>0</v>
      </c>
      <c r="L20" s="147">
        <f ca="1">WorkingCapital!L21</f>
        <v>0</v>
      </c>
      <c r="M20" s="147">
        <f ca="1">WorkingCapital!M21</f>
        <v>0</v>
      </c>
      <c r="N20" s="147">
        <f ca="1">WorkingCapital!N21</f>
        <v>0</v>
      </c>
      <c r="O20" s="147">
        <f ca="1">WorkingCapital!O21</f>
        <v>0</v>
      </c>
      <c r="P20" s="147">
        <f ca="1">WorkingCapital!P21</f>
        <v>0</v>
      </c>
      <c r="Q20" s="147">
        <f ca="1">WorkingCapital!Q21</f>
        <v>0</v>
      </c>
      <c r="R20" s="147">
        <f ca="1">WorkingCapital!R21</f>
        <v>0</v>
      </c>
      <c r="S20" s="147">
        <f ca="1">WorkingCapital!S21</f>
        <v>0</v>
      </c>
      <c r="T20" s="147">
        <f ca="1">WorkingCapital!T21</f>
        <v>0</v>
      </c>
      <c r="U20" s="147">
        <f ca="1">WorkingCapital!U21</f>
        <v>0</v>
      </c>
      <c r="V20" s="147">
        <f ca="1">WorkingCapital!V21</f>
        <v>0</v>
      </c>
      <c r="W20" s="147">
        <f ca="1">WorkingCapital!W21</f>
        <v>0</v>
      </c>
      <c r="X20" s="147">
        <f ca="1">WorkingCapital!X21</f>
        <v>0</v>
      </c>
      <c r="Y20" s="147">
        <f ca="1">WorkingCapital!Y21</f>
        <v>0</v>
      </c>
      <c r="Z20" s="147">
        <f ca="1">WorkingCapital!Z21</f>
        <v>0</v>
      </c>
      <c r="AA20" s="147">
        <f ca="1">WorkingCapital!AA21</f>
        <v>0</v>
      </c>
      <c r="AB20" s="147">
        <f ca="1">WorkingCapital!AB21</f>
        <v>0</v>
      </c>
      <c r="AC20" s="147">
        <f ca="1">WorkingCapital!AC21</f>
        <v>0</v>
      </c>
      <c r="AD20" s="147">
        <f ca="1">WorkingCapital!AD21</f>
        <v>0</v>
      </c>
      <c r="AE20" s="147">
        <f ca="1">WorkingCapital!AE21</f>
        <v>0</v>
      </c>
      <c r="AF20" s="147">
        <f ca="1">WorkingCapital!AF21</f>
        <v>0</v>
      </c>
      <c r="AG20" s="147">
        <f ca="1">WorkingCapital!AG21</f>
        <v>0</v>
      </c>
      <c r="AH20" s="147">
        <f ca="1">WorkingCapital!AH21</f>
        <v>0</v>
      </c>
      <c r="AI20" s="147">
        <f ca="1">WorkingCapital!AI21</f>
        <v>0</v>
      </c>
      <c r="AJ20" s="147">
        <f ca="1">WorkingCapital!AJ21</f>
        <v>0</v>
      </c>
      <c r="AK20" s="147">
        <f ca="1">WorkingCapital!AK21</f>
        <v>0</v>
      </c>
      <c r="AL20" s="147">
        <f ca="1">WorkingCapital!AL21</f>
        <v>0</v>
      </c>
      <c r="AM20" s="147">
        <f ca="1">WorkingCapital!AM21</f>
        <v>0</v>
      </c>
      <c r="AN20" s="147">
        <f ca="1">WorkingCapital!AN21</f>
        <v>0</v>
      </c>
      <c r="AO20" s="147">
        <f ca="1">WorkingCapital!AO21</f>
        <v>0</v>
      </c>
      <c r="AP20" s="147">
        <f ca="1">WorkingCapital!AP21</f>
        <v>0</v>
      </c>
      <c r="AQ20" s="147">
        <f ca="1">WorkingCapital!AQ21</f>
        <v>0</v>
      </c>
      <c r="AR20" s="147">
        <f ca="1">WorkingCapital!AR21</f>
        <v>0</v>
      </c>
      <c r="AS20" s="147">
        <f ca="1">WorkingCapital!AS21</f>
        <v>0</v>
      </c>
      <c r="AT20" s="147">
        <f ca="1">WorkingCapital!AT21</f>
        <v>0</v>
      </c>
      <c r="AU20" s="147">
        <f ca="1">WorkingCapital!AU21</f>
        <v>0</v>
      </c>
      <c r="AV20" s="147">
        <f ca="1">WorkingCapital!AV21</f>
        <v>0</v>
      </c>
      <c r="AW20" s="147">
        <f ca="1">WorkingCapital!AW21</f>
        <v>0</v>
      </c>
      <c r="AX20" s="147">
        <f ca="1">WorkingCapital!AX21</f>
        <v>0</v>
      </c>
      <c r="AY20" s="147">
        <f ca="1">WorkingCapital!AY21</f>
        <v>0</v>
      </c>
      <c r="AZ20" s="147">
        <f ca="1">WorkingCapital!AZ21</f>
        <v>0</v>
      </c>
      <c r="BA20" s="147">
        <f ca="1">WorkingCapital!BA21</f>
        <v>0</v>
      </c>
      <c r="BB20" s="147">
        <f ca="1">WorkingCapital!BB21</f>
        <v>0</v>
      </c>
      <c r="BC20" s="147">
        <f ca="1">WorkingCapital!BC21</f>
        <v>0</v>
      </c>
      <c r="BD20" s="147">
        <f ca="1">WorkingCapital!BD21</f>
        <v>0</v>
      </c>
      <c r="BE20" s="147">
        <f ca="1">WorkingCapital!BE21</f>
        <v>0</v>
      </c>
      <c r="BF20" s="147">
        <f ca="1">WorkingCapital!BF21</f>
        <v>0</v>
      </c>
      <c r="BG20" s="147">
        <f ca="1">WorkingCapital!BG21</f>
        <v>0</v>
      </c>
      <c r="BH20" s="147">
        <f ca="1">WorkingCapital!BH21</f>
        <v>0</v>
      </c>
      <c r="BI20" s="147">
        <f ca="1">WorkingCapital!BI21</f>
        <v>0</v>
      </c>
      <c r="BJ20" s="147">
        <f ca="1">WorkingCapital!BJ21</f>
        <v>0</v>
      </c>
      <c r="BK20" s="147">
        <f ca="1">WorkingCapital!BK21</f>
        <v>0</v>
      </c>
      <c r="BL20" s="147">
        <f ca="1">WorkingCapital!BL21</f>
        <v>0</v>
      </c>
      <c r="BM20" s="147">
        <f ca="1">WorkingCapital!BM21</f>
        <v>0</v>
      </c>
      <c r="BN20" s="147">
        <f ca="1">WorkingCapital!BN21</f>
        <v>0</v>
      </c>
      <c r="BO20" s="147">
        <f ca="1">WorkingCapital!BO21</f>
        <v>0</v>
      </c>
      <c r="BP20" s="147">
        <f ca="1">WorkingCapital!BP21</f>
        <v>0</v>
      </c>
      <c r="BQ20" s="147">
        <f ca="1">WorkingCapital!BQ21</f>
        <v>0</v>
      </c>
      <c r="BR20" s="147">
        <f ca="1">WorkingCapital!BR21</f>
        <v>0</v>
      </c>
    </row>
    <row r="21" spans="1:70" s="147" customFormat="1" ht="13.2" x14ac:dyDescent="0.25">
      <c r="A21" s="211"/>
      <c r="B21" s="250" t="str">
        <f>KeyInputs!F26</f>
        <v>Insert Business Line2</v>
      </c>
      <c r="D21" s="231" t="str">
        <f>unit</f>
        <v>£</v>
      </c>
      <c r="E21" s="147">
        <f t="shared" ca="1" si="5"/>
        <v>0</v>
      </c>
      <c r="F21" s="147">
        <f t="shared" ca="1" si="5"/>
        <v>0</v>
      </c>
      <c r="G21" s="147">
        <f t="shared" ca="1" si="5"/>
        <v>0</v>
      </c>
      <c r="H21" s="147">
        <f t="shared" ca="1" si="5"/>
        <v>0</v>
      </c>
      <c r="I21" s="147">
        <f t="shared" ca="1" si="5"/>
        <v>0</v>
      </c>
      <c r="K21" s="147">
        <f ca="1">WorkingCapital!K32</f>
        <v>0</v>
      </c>
      <c r="L21" s="147">
        <f ca="1">WorkingCapital!L32</f>
        <v>0</v>
      </c>
      <c r="M21" s="147">
        <f ca="1">WorkingCapital!M32</f>
        <v>0</v>
      </c>
      <c r="N21" s="147">
        <f ca="1">WorkingCapital!N32</f>
        <v>0</v>
      </c>
      <c r="O21" s="147">
        <f ca="1">WorkingCapital!O32</f>
        <v>0</v>
      </c>
      <c r="P21" s="147">
        <f ca="1">WorkingCapital!P32</f>
        <v>0</v>
      </c>
      <c r="Q21" s="147">
        <f ca="1">WorkingCapital!Q32</f>
        <v>0</v>
      </c>
      <c r="R21" s="147">
        <f ca="1">WorkingCapital!R32</f>
        <v>0</v>
      </c>
      <c r="S21" s="147">
        <f ca="1">WorkingCapital!S32</f>
        <v>0</v>
      </c>
      <c r="T21" s="147">
        <f ca="1">WorkingCapital!T32</f>
        <v>0</v>
      </c>
      <c r="U21" s="147">
        <f ca="1">WorkingCapital!U32</f>
        <v>0</v>
      </c>
      <c r="V21" s="147">
        <f ca="1">WorkingCapital!V32</f>
        <v>0</v>
      </c>
      <c r="W21" s="147">
        <f ca="1">WorkingCapital!W32</f>
        <v>0</v>
      </c>
      <c r="X21" s="147">
        <f ca="1">WorkingCapital!X32</f>
        <v>0</v>
      </c>
      <c r="Y21" s="147">
        <f ca="1">WorkingCapital!Y32</f>
        <v>0</v>
      </c>
      <c r="Z21" s="147">
        <f ca="1">WorkingCapital!Z32</f>
        <v>0</v>
      </c>
      <c r="AA21" s="147">
        <f ca="1">WorkingCapital!AA32</f>
        <v>0</v>
      </c>
      <c r="AB21" s="147">
        <f ca="1">WorkingCapital!AB32</f>
        <v>0</v>
      </c>
      <c r="AC21" s="147">
        <f ca="1">WorkingCapital!AC32</f>
        <v>0</v>
      </c>
      <c r="AD21" s="147">
        <f ca="1">WorkingCapital!AD32</f>
        <v>0</v>
      </c>
      <c r="AE21" s="147">
        <f ca="1">WorkingCapital!AE32</f>
        <v>0</v>
      </c>
      <c r="AF21" s="147">
        <f ca="1">WorkingCapital!AF32</f>
        <v>0</v>
      </c>
      <c r="AG21" s="147">
        <f ca="1">WorkingCapital!AG32</f>
        <v>0</v>
      </c>
      <c r="AH21" s="147">
        <f ca="1">WorkingCapital!AH32</f>
        <v>0</v>
      </c>
      <c r="AI21" s="147">
        <f ca="1">WorkingCapital!AI32</f>
        <v>0</v>
      </c>
      <c r="AJ21" s="147">
        <f ca="1">WorkingCapital!AJ32</f>
        <v>0</v>
      </c>
      <c r="AK21" s="147">
        <f ca="1">WorkingCapital!AK32</f>
        <v>0</v>
      </c>
      <c r="AL21" s="147">
        <f ca="1">WorkingCapital!AL32</f>
        <v>0</v>
      </c>
      <c r="AM21" s="147">
        <f ca="1">WorkingCapital!AM32</f>
        <v>0</v>
      </c>
      <c r="AN21" s="147">
        <f ca="1">WorkingCapital!AN32</f>
        <v>0</v>
      </c>
      <c r="AO21" s="147">
        <f ca="1">WorkingCapital!AO32</f>
        <v>0</v>
      </c>
      <c r="AP21" s="147">
        <f ca="1">WorkingCapital!AP32</f>
        <v>0</v>
      </c>
      <c r="AQ21" s="147">
        <f ca="1">WorkingCapital!AQ32</f>
        <v>0</v>
      </c>
      <c r="AR21" s="147">
        <f ca="1">WorkingCapital!AR32</f>
        <v>0</v>
      </c>
      <c r="AS21" s="147">
        <f ca="1">WorkingCapital!AS32</f>
        <v>0</v>
      </c>
      <c r="AT21" s="147">
        <f ca="1">WorkingCapital!AT32</f>
        <v>0</v>
      </c>
      <c r="AU21" s="147">
        <f ca="1">WorkingCapital!AU32</f>
        <v>0</v>
      </c>
      <c r="AV21" s="147">
        <f ca="1">WorkingCapital!AV32</f>
        <v>0</v>
      </c>
      <c r="AW21" s="147">
        <f ca="1">WorkingCapital!AW32</f>
        <v>0</v>
      </c>
      <c r="AX21" s="147">
        <f ca="1">WorkingCapital!AX32</f>
        <v>0</v>
      </c>
      <c r="AY21" s="147">
        <f ca="1">WorkingCapital!AY32</f>
        <v>0</v>
      </c>
      <c r="AZ21" s="147">
        <f ca="1">WorkingCapital!AZ32</f>
        <v>0</v>
      </c>
      <c r="BA21" s="147">
        <f ca="1">WorkingCapital!BA32</f>
        <v>0</v>
      </c>
      <c r="BB21" s="147">
        <f ca="1">WorkingCapital!BB32</f>
        <v>0</v>
      </c>
      <c r="BC21" s="147">
        <f ca="1">WorkingCapital!BC32</f>
        <v>0</v>
      </c>
      <c r="BD21" s="147">
        <f ca="1">WorkingCapital!BD32</f>
        <v>0</v>
      </c>
      <c r="BE21" s="147">
        <f ca="1">WorkingCapital!BE32</f>
        <v>0</v>
      </c>
      <c r="BF21" s="147">
        <f ca="1">WorkingCapital!BF32</f>
        <v>0</v>
      </c>
      <c r="BG21" s="147">
        <f ca="1">WorkingCapital!BG32</f>
        <v>0</v>
      </c>
      <c r="BH21" s="147">
        <f ca="1">WorkingCapital!BH32</f>
        <v>0</v>
      </c>
      <c r="BI21" s="147">
        <f ca="1">WorkingCapital!BI32</f>
        <v>0</v>
      </c>
      <c r="BJ21" s="147">
        <f ca="1">WorkingCapital!BJ32</f>
        <v>0</v>
      </c>
      <c r="BK21" s="147">
        <f ca="1">WorkingCapital!BK32</f>
        <v>0</v>
      </c>
      <c r="BL21" s="147">
        <f ca="1">WorkingCapital!BL32</f>
        <v>0</v>
      </c>
      <c r="BM21" s="147">
        <f ca="1">WorkingCapital!BM32</f>
        <v>0</v>
      </c>
      <c r="BN21" s="147">
        <f ca="1">WorkingCapital!BN32</f>
        <v>0</v>
      </c>
      <c r="BO21" s="147">
        <f ca="1">WorkingCapital!BO32</f>
        <v>0</v>
      </c>
      <c r="BP21" s="147">
        <f ca="1">WorkingCapital!BP32</f>
        <v>0</v>
      </c>
      <c r="BQ21" s="147">
        <f ca="1">WorkingCapital!BQ32</f>
        <v>0</v>
      </c>
      <c r="BR21" s="147">
        <f ca="1">WorkingCapital!BR32</f>
        <v>0</v>
      </c>
    </row>
    <row r="22" spans="1:70" s="147" customFormat="1" ht="13.2" x14ac:dyDescent="0.25">
      <c r="A22" s="211"/>
      <c r="B22" s="250" t="str">
        <f>KeyInputs!F31</f>
        <v>Insert Business Line3</v>
      </c>
      <c r="D22" s="231" t="str">
        <f>unit</f>
        <v>£</v>
      </c>
      <c r="E22" s="147">
        <f t="shared" ca="1" si="5"/>
        <v>0</v>
      </c>
      <c r="F22" s="147">
        <f t="shared" ca="1" si="5"/>
        <v>0</v>
      </c>
      <c r="G22" s="147">
        <f t="shared" ca="1" si="5"/>
        <v>0</v>
      </c>
      <c r="H22" s="147">
        <f t="shared" ca="1" si="5"/>
        <v>0</v>
      </c>
      <c r="I22" s="147">
        <f t="shared" ca="1" si="5"/>
        <v>0</v>
      </c>
      <c r="K22" s="147">
        <f ca="1">WorkingCapital!K43</f>
        <v>0</v>
      </c>
      <c r="L22" s="147">
        <f ca="1">WorkingCapital!L43</f>
        <v>0</v>
      </c>
      <c r="M22" s="147">
        <f ca="1">WorkingCapital!M43</f>
        <v>0</v>
      </c>
      <c r="N22" s="147">
        <f ca="1">WorkingCapital!N43</f>
        <v>0</v>
      </c>
      <c r="O22" s="147">
        <f ca="1">WorkingCapital!O43</f>
        <v>0</v>
      </c>
      <c r="P22" s="147">
        <f ca="1">WorkingCapital!P43</f>
        <v>0</v>
      </c>
      <c r="Q22" s="147">
        <f ca="1">WorkingCapital!Q43</f>
        <v>0</v>
      </c>
      <c r="R22" s="147">
        <f ca="1">WorkingCapital!R43</f>
        <v>0</v>
      </c>
      <c r="S22" s="147">
        <f ca="1">WorkingCapital!S43</f>
        <v>0</v>
      </c>
      <c r="T22" s="147">
        <f ca="1">WorkingCapital!T43</f>
        <v>0</v>
      </c>
      <c r="U22" s="147">
        <f ca="1">WorkingCapital!U43</f>
        <v>0</v>
      </c>
      <c r="V22" s="147">
        <f ca="1">WorkingCapital!V43</f>
        <v>0</v>
      </c>
      <c r="W22" s="147">
        <f ca="1">WorkingCapital!W43</f>
        <v>0</v>
      </c>
      <c r="X22" s="147">
        <f ca="1">WorkingCapital!X43</f>
        <v>0</v>
      </c>
      <c r="Y22" s="147">
        <f ca="1">WorkingCapital!Y43</f>
        <v>0</v>
      </c>
      <c r="Z22" s="147">
        <f ca="1">WorkingCapital!Z43</f>
        <v>0</v>
      </c>
      <c r="AA22" s="147">
        <f ca="1">WorkingCapital!AA43</f>
        <v>0</v>
      </c>
      <c r="AB22" s="147">
        <f ca="1">WorkingCapital!AB43</f>
        <v>0</v>
      </c>
      <c r="AC22" s="147">
        <f ca="1">WorkingCapital!AC43</f>
        <v>0</v>
      </c>
      <c r="AD22" s="147">
        <f ca="1">WorkingCapital!AD43</f>
        <v>0</v>
      </c>
      <c r="AE22" s="147">
        <f ca="1">WorkingCapital!AE43</f>
        <v>0</v>
      </c>
      <c r="AF22" s="147">
        <f ca="1">WorkingCapital!AF43</f>
        <v>0</v>
      </c>
      <c r="AG22" s="147">
        <f ca="1">WorkingCapital!AG43</f>
        <v>0</v>
      </c>
      <c r="AH22" s="147">
        <f ca="1">WorkingCapital!AH43</f>
        <v>0</v>
      </c>
      <c r="AI22" s="147">
        <f ca="1">WorkingCapital!AI43</f>
        <v>0</v>
      </c>
      <c r="AJ22" s="147">
        <f ca="1">WorkingCapital!AJ43</f>
        <v>0</v>
      </c>
      <c r="AK22" s="147">
        <f ca="1">WorkingCapital!AK43</f>
        <v>0</v>
      </c>
      <c r="AL22" s="147">
        <f ca="1">WorkingCapital!AL43</f>
        <v>0</v>
      </c>
      <c r="AM22" s="147">
        <f ca="1">WorkingCapital!AM43</f>
        <v>0</v>
      </c>
      <c r="AN22" s="147">
        <f ca="1">WorkingCapital!AN43</f>
        <v>0</v>
      </c>
      <c r="AO22" s="147">
        <f ca="1">WorkingCapital!AO43</f>
        <v>0</v>
      </c>
      <c r="AP22" s="147">
        <f ca="1">WorkingCapital!AP43</f>
        <v>0</v>
      </c>
      <c r="AQ22" s="147">
        <f ca="1">WorkingCapital!AQ43</f>
        <v>0</v>
      </c>
      <c r="AR22" s="147">
        <f ca="1">WorkingCapital!AR43</f>
        <v>0</v>
      </c>
      <c r="AS22" s="147">
        <f ca="1">WorkingCapital!AS43</f>
        <v>0</v>
      </c>
      <c r="AT22" s="147">
        <f ca="1">WorkingCapital!AT43</f>
        <v>0</v>
      </c>
      <c r="AU22" s="147">
        <f ca="1">WorkingCapital!AU43</f>
        <v>0</v>
      </c>
      <c r="AV22" s="147">
        <f ca="1">WorkingCapital!AV43</f>
        <v>0</v>
      </c>
      <c r="AW22" s="147">
        <f ca="1">WorkingCapital!AW43</f>
        <v>0</v>
      </c>
      <c r="AX22" s="147">
        <f ca="1">WorkingCapital!AX43</f>
        <v>0</v>
      </c>
      <c r="AY22" s="147">
        <f ca="1">WorkingCapital!AY43</f>
        <v>0</v>
      </c>
      <c r="AZ22" s="147">
        <f ca="1">WorkingCapital!AZ43</f>
        <v>0</v>
      </c>
      <c r="BA22" s="147">
        <f ca="1">WorkingCapital!BA43</f>
        <v>0</v>
      </c>
      <c r="BB22" s="147">
        <f ca="1">WorkingCapital!BB43</f>
        <v>0</v>
      </c>
      <c r="BC22" s="147">
        <f ca="1">WorkingCapital!BC43</f>
        <v>0</v>
      </c>
      <c r="BD22" s="147">
        <f ca="1">WorkingCapital!BD43</f>
        <v>0</v>
      </c>
      <c r="BE22" s="147">
        <f ca="1">WorkingCapital!BE43</f>
        <v>0</v>
      </c>
      <c r="BF22" s="147">
        <f ca="1">WorkingCapital!BF43</f>
        <v>0</v>
      </c>
      <c r="BG22" s="147">
        <f ca="1">WorkingCapital!BG43</f>
        <v>0</v>
      </c>
      <c r="BH22" s="147">
        <f ca="1">WorkingCapital!BH43</f>
        <v>0</v>
      </c>
      <c r="BI22" s="147">
        <f ca="1">WorkingCapital!BI43</f>
        <v>0</v>
      </c>
      <c r="BJ22" s="147">
        <f ca="1">WorkingCapital!BJ43</f>
        <v>0</v>
      </c>
      <c r="BK22" s="147">
        <f ca="1">WorkingCapital!BK43</f>
        <v>0</v>
      </c>
      <c r="BL22" s="147">
        <f ca="1">WorkingCapital!BL43</f>
        <v>0</v>
      </c>
      <c r="BM22" s="147">
        <f ca="1">WorkingCapital!BM43</f>
        <v>0</v>
      </c>
      <c r="BN22" s="147">
        <f ca="1">WorkingCapital!BN43</f>
        <v>0</v>
      </c>
      <c r="BO22" s="147">
        <f ca="1">WorkingCapital!BO43</f>
        <v>0</v>
      </c>
      <c r="BP22" s="147">
        <f ca="1">WorkingCapital!BP43</f>
        <v>0</v>
      </c>
      <c r="BQ22" s="147">
        <f ca="1">WorkingCapital!BQ43</f>
        <v>0</v>
      </c>
      <c r="BR22" s="147">
        <f ca="1">WorkingCapital!BR43</f>
        <v>0</v>
      </c>
    </row>
    <row r="23" spans="1:70" s="147" customFormat="1" ht="13.2" x14ac:dyDescent="0.25">
      <c r="A23" s="211"/>
      <c r="F23" s="212"/>
    </row>
    <row r="24" spans="1:70" s="147" customFormat="1" ht="13.2" x14ac:dyDescent="0.25">
      <c r="B24" s="147" t="s">
        <v>283</v>
      </c>
      <c r="D24" s="231" t="str">
        <f>unit</f>
        <v>£</v>
      </c>
      <c r="E24" s="147">
        <f ca="1">INDEX($K24:$BR24,0,MATCH(E$8,$K$8:$BR$8,0))</f>
        <v>0</v>
      </c>
      <c r="F24" s="147">
        <f t="shared" ca="1" si="1"/>
        <v>0</v>
      </c>
      <c r="G24" s="147">
        <f t="shared" ca="1" si="1"/>
        <v>0</v>
      </c>
      <c r="H24" s="147">
        <f t="shared" ca="1" si="1"/>
        <v>0</v>
      </c>
      <c r="I24" s="147">
        <f t="shared" ca="1" si="1"/>
        <v>0</v>
      </c>
      <c r="K24" s="147">
        <f ca="1">SUM(K25:K27)</f>
        <v>0</v>
      </c>
      <c r="L24" s="147">
        <f t="shared" ref="L24:BR24" ca="1" si="6">SUM(L25:L27)</f>
        <v>0</v>
      </c>
      <c r="M24" s="147">
        <f t="shared" ca="1" si="6"/>
        <v>0</v>
      </c>
      <c r="N24" s="147">
        <f t="shared" ca="1" si="6"/>
        <v>0</v>
      </c>
      <c r="O24" s="147">
        <f t="shared" ca="1" si="6"/>
        <v>0</v>
      </c>
      <c r="P24" s="147">
        <f t="shared" ca="1" si="6"/>
        <v>0</v>
      </c>
      <c r="Q24" s="147">
        <f t="shared" ca="1" si="6"/>
        <v>0</v>
      </c>
      <c r="R24" s="147">
        <f t="shared" ca="1" si="6"/>
        <v>0</v>
      </c>
      <c r="S24" s="147">
        <f t="shared" ca="1" si="6"/>
        <v>0</v>
      </c>
      <c r="T24" s="147">
        <f t="shared" ca="1" si="6"/>
        <v>0</v>
      </c>
      <c r="U24" s="147">
        <f t="shared" ca="1" si="6"/>
        <v>0</v>
      </c>
      <c r="V24" s="147">
        <f t="shared" ca="1" si="6"/>
        <v>0</v>
      </c>
      <c r="W24" s="147">
        <f t="shared" ca="1" si="6"/>
        <v>0</v>
      </c>
      <c r="X24" s="147">
        <f t="shared" ca="1" si="6"/>
        <v>0</v>
      </c>
      <c r="Y24" s="147">
        <f t="shared" ca="1" si="6"/>
        <v>0</v>
      </c>
      <c r="Z24" s="147">
        <f t="shared" ca="1" si="6"/>
        <v>0</v>
      </c>
      <c r="AA24" s="147">
        <f t="shared" ca="1" si="6"/>
        <v>0</v>
      </c>
      <c r="AB24" s="147">
        <f t="shared" ca="1" si="6"/>
        <v>0</v>
      </c>
      <c r="AC24" s="147">
        <f t="shared" ca="1" si="6"/>
        <v>0</v>
      </c>
      <c r="AD24" s="147">
        <f t="shared" ca="1" si="6"/>
        <v>0</v>
      </c>
      <c r="AE24" s="147">
        <f t="shared" ca="1" si="6"/>
        <v>0</v>
      </c>
      <c r="AF24" s="147">
        <f t="shared" ca="1" si="6"/>
        <v>0</v>
      </c>
      <c r="AG24" s="147">
        <f t="shared" ca="1" si="6"/>
        <v>0</v>
      </c>
      <c r="AH24" s="147">
        <f t="shared" ca="1" si="6"/>
        <v>0</v>
      </c>
      <c r="AI24" s="147">
        <f t="shared" ca="1" si="6"/>
        <v>0</v>
      </c>
      <c r="AJ24" s="147">
        <f t="shared" ca="1" si="6"/>
        <v>0</v>
      </c>
      <c r="AK24" s="147">
        <f t="shared" ca="1" si="6"/>
        <v>0</v>
      </c>
      <c r="AL24" s="147">
        <f t="shared" ca="1" si="6"/>
        <v>0</v>
      </c>
      <c r="AM24" s="147">
        <f t="shared" ca="1" si="6"/>
        <v>0</v>
      </c>
      <c r="AN24" s="147">
        <f t="shared" ca="1" si="6"/>
        <v>0</v>
      </c>
      <c r="AO24" s="147">
        <f t="shared" ca="1" si="6"/>
        <v>0</v>
      </c>
      <c r="AP24" s="147">
        <f t="shared" ca="1" si="6"/>
        <v>0</v>
      </c>
      <c r="AQ24" s="147">
        <f t="shared" ca="1" si="6"/>
        <v>0</v>
      </c>
      <c r="AR24" s="147">
        <f t="shared" ca="1" si="6"/>
        <v>0</v>
      </c>
      <c r="AS24" s="147">
        <f t="shared" ca="1" si="6"/>
        <v>0</v>
      </c>
      <c r="AT24" s="147">
        <f t="shared" ca="1" si="6"/>
        <v>0</v>
      </c>
      <c r="AU24" s="147">
        <f t="shared" ca="1" si="6"/>
        <v>0</v>
      </c>
      <c r="AV24" s="147">
        <f t="shared" ca="1" si="6"/>
        <v>0</v>
      </c>
      <c r="AW24" s="147">
        <f t="shared" ca="1" si="6"/>
        <v>0</v>
      </c>
      <c r="AX24" s="147">
        <f t="shared" ca="1" si="6"/>
        <v>0</v>
      </c>
      <c r="AY24" s="147">
        <f t="shared" ca="1" si="6"/>
        <v>0</v>
      </c>
      <c r="AZ24" s="147">
        <f t="shared" ca="1" si="6"/>
        <v>0</v>
      </c>
      <c r="BA24" s="147">
        <f t="shared" ca="1" si="6"/>
        <v>0</v>
      </c>
      <c r="BB24" s="147">
        <f t="shared" ca="1" si="6"/>
        <v>0</v>
      </c>
      <c r="BC24" s="147">
        <f t="shared" ca="1" si="6"/>
        <v>0</v>
      </c>
      <c r="BD24" s="147">
        <f t="shared" ca="1" si="6"/>
        <v>0</v>
      </c>
      <c r="BE24" s="147">
        <f t="shared" ca="1" si="6"/>
        <v>0</v>
      </c>
      <c r="BF24" s="147">
        <f t="shared" ca="1" si="6"/>
        <v>0</v>
      </c>
      <c r="BG24" s="147">
        <f t="shared" ca="1" si="6"/>
        <v>0</v>
      </c>
      <c r="BH24" s="147">
        <f t="shared" ca="1" si="6"/>
        <v>0</v>
      </c>
      <c r="BI24" s="147">
        <f t="shared" ca="1" si="6"/>
        <v>0</v>
      </c>
      <c r="BJ24" s="147">
        <f t="shared" ca="1" si="6"/>
        <v>0</v>
      </c>
      <c r="BK24" s="147">
        <f t="shared" ca="1" si="6"/>
        <v>0</v>
      </c>
      <c r="BL24" s="147">
        <f t="shared" ca="1" si="6"/>
        <v>0</v>
      </c>
      <c r="BM24" s="147">
        <f t="shared" ca="1" si="6"/>
        <v>0</v>
      </c>
      <c r="BN24" s="147">
        <f t="shared" ca="1" si="6"/>
        <v>0</v>
      </c>
      <c r="BO24" s="147">
        <f t="shared" ca="1" si="6"/>
        <v>0</v>
      </c>
      <c r="BP24" s="147">
        <f t="shared" ca="1" si="6"/>
        <v>0</v>
      </c>
      <c r="BQ24" s="147">
        <f t="shared" ca="1" si="6"/>
        <v>0</v>
      </c>
      <c r="BR24" s="147">
        <f t="shared" ca="1" si="6"/>
        <v>0</v>
      </c>
    </row>
    <row r="25" spans="1:70" s="147" customFormat="1" ht="13.2" x14ac:dyDescent="0.25">
      <c r="A25" s="211"/>
      <c r="B25" s="250" t="str">
        <f>B20</f>
        <v>Test</v>
      </c>
      <c r="D25" s="231" t="str">
        <f>unit</f>
        <v>£</v>
      </c>
      <c r="E25" s="147">
        <f t="shared" ref="E25:E27" ca="1" si="7">INDEX($K25:$BR25,0,MATCH(E$8,$K$8:$BR$8,0))</f>
        <v>0</v>
      </c>
      <c r="F25" s="147">
        <f t="shared" ca="1" si="1"/>
        <v>0</v>
      </c>
      <c r="G25" s="147">
        <f t="shared" ca="1" si="1"/>
        <v>0</v>
      </c>
      <c r="H25" s="147">
        <f t="shared" ca="1" si="1"/>
        <v>0</v>
      </c>
      <c r="I25" s="147">
        <f t="shared" ca="1" si="1"/>
        <v>0</v>
      </c>
      <c r="K25" s="147">
        <f ca="1">WorkingCapital!K56</f>
        <v>0</v>
      </c>
      <c r="L25" s="147">
        <f ca="1">WorkingCapital!L56</f>
        <v>0</v>
      </c>
      <c r="M25" s="147">
        <f ca="1">WorkingCapital!M56</f>
        <v>0</v>
      </c>
      <c r="N25" s="147">
        <f ca="1">WorkingCapital!N56</f>
        <v>0</v>
      </c>
      <c r="O25" s="147">
        <f ca="1">WorkingCapital!O56</f>
        <v>0</v>
      </c>
      <c r="P25" s="147">
        <f ca="1">WorkingCapital!P56</f>
        <v>0</v>
      </c>
      <c r="Q25" s="147">
        <f ca="1">WorkingCapital!Q56</f>
        <v>0</v>
      </c>
      <c r="R25" s="147">
        <f ca="1">WorkingCapital!R56</f>
        <v>0</v>
      </c>
      <c r="S25" s="147">
        <f ca="1">WorkingCapital!S56</f>
        <v>0</v>
      </c>
      <c r="T25" s="147">
        <f ca="1">WorkingCapital!T56</f>
        <v>0</v>
      </c>
      <c r="U25" s="147">
        <f ca="1">WorkingCapital!U56</f>
        <v>0</v>
      </c>
      <c r="V25" s="147">
        <f ca="1">WorkingCapital!V56</f>
        <v>0</v>
      </c>
      <c r="W25" s="147">
        <f ca="1">WorkingCapital!W56</f>
        <v>0</v>
      </c>
      <c r="X25" s="147">
        <f ca="1">WorkingCapital!X56</f>
        <v>0</v>
      </c>
      <c r="Y25" s="147">
        <f ca="1">WorkingCapital!Y56</f>
        <v>0</v>
      </c>
      <c r="Z25" s="147">
        <f ca="1">WorkingCapital!Z56</f>
        <v>0</v>
      </c>
      <c r="AA25" s="147">
        <f ca="1">WorkingCapital!AA56</f>
        <v>0</v>
      </c>
      <c r="AB25" s="147">
        <f ca="1">WorkingCapital!AB56</f>
        <v>0</v>
      </c>
      <c r="AC25" s="147">
        <f ca="1">WorkingCapital!AC56</f>
        <v>0</v>
      </c>
      <c r="AD25" s="147">
        <f ca="1">WorkingCapital!AD56</f>
        <v>0</v>
      </c>
      <c r="AE25" s="147">
        <f ca="1">WorkingCapital!AE56</f>
        <v>0</v>
      </c>
      <c r="AF25" s="147">
        <f ca="1">WorkingCapital!AF56</f>
        <v>0</v>
      </c>
      <c r="AG25" s="147">
        <f ca="1">WorkingCapital!AG56</f>
        <v>0</v>
      </c>
      <c r="AH25" s="147">
        <f ca="1">WorkingCapital!AH56</f>
        <v>0</v>
      </c>
      <c r="AI25" s="147">
        <f ca="1">WorkingCapital!AI56</f>
        <v>0</v>
      </c>
      <c r="AJ25" s="147">
        <f ca="1">WorkingCapital!AJ56</f>
        <v>0</v>
      </c>
      <c r="AK25" s="147">
        <f ca="1">WorkingCapital!AK56</f>
        <v>0</v>
      </c>
      <c r="AL25" s="147">
        <f ca="1">WorkingCapital!AL56</f>
        <v>0</v>
      </c>
      <c r="AM25" s="147">
        <f ca="1">WorkingCapital!AM56</f>
        <v>0</v>
      </c>
      <c r="AN25" s="147">
        <f ca="1">WorkingCapital!AN56</f>
        <v>0</v>
      </c>
      <c r="AO25" s="147">
        <f ca="1">WorkingCapital!AO56</f>
        <v>0</v>
      </c>
      <c r="AP25" s="147">
        <f ca="1">WorkingCapital!AP56</f>
        <v>0</v>
      </c>
      <c r="AQ25" s="147">
        <f ca="1">WorkingCapital!AQ56</f>
        <v>0</v>
      </c>
      <c r="AR25" s="147">
        <f ca="1">WorkingCapital!AR56</f>
        <v>0</v>
      </c>
      <c r="AS25" s="147">
        <f ca="1">WorkingCapital!AS56</f>
        <v>0</v>
      </c>
      <c r="AT25" s="147">
        <f ca="1">WorkingCapital!AT56</f>
        <v>0</v>
      </c>
      <c r="AU25" s="147">
        <f ca="1">WorkingCapital!AU56</f>
        <v>0</v>
      </c>
      <c r="AV25" s="147">
        <f ca="1">WorkingCapital!AV56</f>
        <v>0</v>
      </c>
      <c r="AW25" s="147">
        <f ca="1">WorkingCapital!AW56</f>
        <v>0</v>
      </c>
      <c r="AX25" s="147">
        <f ca="1">WorkingCapital!AX56</f>
        <v>0</v>
      </c>
      <c r="AY25" s="147">
        <f ca="1">WorkingCapital!AY56</f>
        <v>0</v>
      </c>
      <c r="AZ25" s="147">
        <f ca="1">WorkingCapital!AZ56</f>
        <v>0</v>
      </c>
      <c r="BA25" s="147">
        <f ca="1">WorkingCapital!BA56</f>
        <v>0</v>
      </c>
      <c r="BB25" s="147">
        <f ca="1">WorkingCapital!BB56</f>
        <v>0</v>
      </c>
      <c r="BC25" s="147">
        <f ca="1">WorkingCapital!BC56</f>
        <v>0</v>
      </c>
      <c r="BD25" s="147">
        <f ca="1">WorkingCapital!BD56</f>
        <v>0</v>
      </c>
      <c r="BE25" s="147">
        <f ca="1">WorkingCapital!BE56</f>
        <v>0</v>
      </c>
      <c r="BF25" s="147">
        <f ca="1">WorkingCapital!BF56</f>
        <v>0</v>
      </c>
      <c r="BG25" s="147">
        <f ca="1">WorkingCapital!BG56</f>
        <v>0</v>
      </c>
      <c r="BH25" s="147">
        <f ca="1">WorkingCapital!BH56</f>
        <v>0</v>
      </c>
      <c r="BI25" s="147">
        <f ca="1">WorkingCapital!BI56</f>
        <v>0</v>
      </c>
      <c r="BJ25" s="147">
        <f ca="1">WorkingCapital!BJ56</f>
        <v>0</v>
      </c>
      <c r="BK25" s="147">
        <f ca="1">WorkingCapital!BK56</f>
        <v>0</v>
      </c>
      <c r="BL25" s="147">
        <f ca="1">WorkingCapital!BL56</f>
        <v>0</v>
      </c>
      <c r="BM25" s="147">
        <f ca="1">WorkingCapital!BM56</f>
        <v>0</v>
      </c>
      <c r="BN25" s="147">
        <f ca="1">WorkingCapital!BN56</f>
        <v>0</v>
      </c>
      <c r="BO25" s="147">
        <f ca="1">WorkingCapital!BO56</f>
        <v>0</v>
      </c>
      <c r="BP25" s="147">
        <f ca="1">WorkingCapital!BP56</f>
        <v>0</v>
      </c>
      <c r="BQ25" s="147">
        <f ca="1">WorkingCapital!BQ56</f>
        <v>0</v>
      </c>
      <c r="BR25" s="147">
        <f ca="1">WorkingCapital!BR56</f>
        <v>0</v>
      </c>
    </row>
    <row r="26" spans="1:70" s="147" customFormat="1" ht="13.2" x14ac:dyDescent="0.25">
      <c r="A26" s="211"/>
      <c r="B26" s="250" t="str">
        <f t="shared" ref="B26:B27" si="8">B21</f>
        <v>Insert Business Line2</v>
      </c>
      <c r="D26" s="231" t="str">
        <f>unit</f>
        <v>£</v>
      </c>
      <c r="E26" s="147">
        <f t="shared" ca="1" si="7"/>
        <v>0</v>
      </c>
      <c r="F26" s="147">
        <f t="shared" ca="1" si="1"/>
        <v>0</v>
      </c>
      <c r="G26" s="147">
        <f t="shared" ca="1" si="1"/>
        <v>0</v>
      </c>
      <c r="H26" s="147">
        <f t="shared" ca="1" si="1"/>
        <v>0</v>
      </c>
      <c r="I26" s="147">
        <f t="shared" ca="1" si="1"/>
        <v>0</v>
      </c>
      <c r="K26" s="147">
        <f ca="1">WorkingCapital!K67</f>
        <v>0</v>
      </c>
      <c r="L26" s="147">
        <f ca="1">WorkingCapital!L67</f>
        <v>0</v>
      </c>
      <c r="M26" s="147">
        <f ca="1">WorkingCapital!M67</f>
        <v>0</v>
      </c>
      <c r="N26" s="147">
        <f ca="1">WorkingCapital!N67</f>
        <v>0</v>
      </c>
      <c r="O26" s="147">
        <f ca="1">WorkingCapital!O67</f>
        <v>0</v>
      </c>
      <c r="P26" s="147">
        <f ca="1">WorkingCapital!P67</f>
        <v>0</v>
      </c>
      <c r="Q26" s="147">
        <f ca="1">WorkingCapital!Q67</f>
        <v>0</v>
      </c>
      <c r="R26" s="147">
        <f ca="1">WorkingCapital!R67</f>
        <v>0</v>
      </c>
      <c r="S26" s="147">
        <f ca="1">WorkingCapital!S67</f>
        <v>0</v>
      </c>
      <c r="T26" s="147">
        <f ca="1">WorkingCapital!T67</f>
        <v>0</v>
      </c>
      <c r="U26" s="147">
        <f ca="1">WorkingCapital!U67</f>
        <v>0</v>
      </c>
      <c r="V26" s="147">
        <f ca="1">WorkingCapital!V67</f>
        <v>0</v>
      </c>
      <c r="W26" s="147">
        <f ca="1">WorkingCapital!W67</f>
        <v>0</v>
      </c>
      <c r="X26" s="147">
        <f ca="1">WorkingCapital!X67</f>
        <v>0</v>
      </c>
      <c r="Y26" s="147">
        <f ca="1">WorkingCapital!Y67</f>
        <v>0</v>
      </c>
      <c r="Z26" s="147">
        <f ca="1">WorkingCapital!Z67</f>
        <v>0</v>
      </c>
      <c r="AA26" s="147">
        <f ca="1">WorkingCapital!AA67</f>
        <v>0</v>
      </c>
      <c r="AB26" s="147">
        <f ca="1">WorkingCapital!AB67</f>
        <v>0</v>
      </c>
      <c r="AC26" s="147">
        <f ca="1">WorkingCapital!AC67</f>
        <v>0</v>
      </c>
      <c r="AD26" s="147">
        <f ca="1">WorkingCapital!AD67</f>
        <v>0</v>
      </c>
      <c r="AE26" s="147">
        <f ca="1">WorkingCapital!AE67</f>
        <v>0</v>
      </c>
      <c r="AF26" s="147">
        <f ca="1">WorkingCapital!AF67</f>
        <v>0</v>
      </c>
      <c r="AG26" s="147">
        <f ca="1">WorkingCapital!AG67</f>
        <v>0</v>
      </c>
      <c r="AH26" s="147">
        <f ca="1">WorkingCapital!AH67</f>
        <v>0</v>
      </c>
      <c r="AI26" s="147">
        <f ca="1">WorkingCapital!AI67</f>
        <v>0</v>
      </c>
      <c r="AJ26" s="147">
        <f ca="1">WorkingCapital!AJ67</f>
        <v>0</v>
      </c>
      <c r="AK26" s="147">
        <f ca="1">WorkingCapital!AK67</f>
        <v>0</v>
      </c>
      <c r="AL26" s="147">
        <f ca="1">WorkingCapital!AL67</f>
        <v>0</v>
      </c>
      <c r="AM26" s="147">
        <f ca="1">WorkingCapital!AM67</f>
        <v>0</v>
      </c>
      <c r="AN26" s="147">
        <f ca="1">WorkingCapital!AN67</f>
        <v>0</v>
      </c>
      <c r="AO26" s="147">
        <f ca="1">WorkingCapital!AO67</f>
        <v>0</v>
      </c>
      <c r="AP26" s="147">
        <f ca="1">WorkingCapital!AP67</f>
        <v>0</v>
      </c>
      <c r="AQ26" s="147">
        <f ca="1">WorkingCapital!AQ67</f>
        <v>0</v>
      </c>
      <c r="AR26" s="147">
        <f ca="1">WorkingCapital!AR67</f>
        <v>0</v>
      </c>
      <c r="AS26" s="147">
        <f ca="1">WorkingCapital!AS67</f>
        <v>0</v>
      </c>
      <c r="AT26" s="147">
        <f ca="1">WorkingCapital!AT67</f>
        <v>0</v>
      </c>
      <c r="AU26" s="147">
        <f ca="1">WorkingCapital!AU67</f>
        <v>0</v>
      </c>
      <c r="AV26" s="147">
        <f ca="1">WorkingCapital!AV67</f>
        <v>0</v>
      </c>
      <c r="AW26" s="147">
        <f ca="1">WorkingCapital!AW67</f>
        <v>0</v>
      </c>
      <c r="AX26" s="147">
        <f ca="1">WorkingCapital!AX67</f>
        <v>0</v>
      </c>
      <c r="AY26" s="147">
        <f ca="1">WorkingCapital!AY67</f>
        <v>0</v>
      </c>
      <c r="AZ26" s="147">
        <f ca="1">WorkingCapital!AZ67</f>
        <v>0</v>
      </c>
      <c r="BA26" s="147">
        <f ca="1">WorkingCapital!BA67</f>
        <v>0</v>
      </c>
      <c r="BB26" s="147">
        <f ca="1">WorkingCapital!BB67</f>
        <v>0</v>
      </c>
      <c r="BC26" s="147">
        <f ca="1">WorkingCapital!BC67</f>
        <v>0</v>
      </c>
      <c r="BD26" s="147">
        <f ca="1">WorkingCapital!BD67</f>
        <v>0</v>
      </c>
      <c r="BE26" s="147">
        <f ca="1">WorkingCapital!BE67</f>
        <v>0</v>
      </c>
      <c r="BF26" s="147">
        <f ca="1">WorkingCapital!BF67</f>
        <v>0</v>
      </c>
      <c r="BG26" s="147">
        <f ca="1">WorkingCapital!BG67</f>
        <v>0</v>
      </c>
      <c r="BH26" s="147">
        <f ca="1">WorkingCapital!BH67</f>
        <v>0</v>
      </c>
      <c r="BI26" s="147">
        <f ca="1">WorkingCapital!BI67</f>
        <v>0</v>
      </c>
      <c r="BJ26" s="147">
        <f ca="1">WorkingCapital!BJ67</f>
        <v>0</v>
      </c>
      <c r="BK26" s="147">
        <f ca="1">WorkingCapital!BK67</f>
        <v>0</v>
      </c>
      <c r="BL26" s="147">
        <f ca="1">WorkingCapital!BL67</f>
        <v>0</v>
      </c>
      <c r="BM26" s="147">
        <f ca="1">WorkingCapital!BM67</f>
        <v>0</v>
      </c>
      <c r="BN26" s="147">
        <f ca="1">WorkingCapital!BN67</f>
        <v>0</v>
      </c>
      <c r="BO26" s="147">
        <f ca="1">WorkingCapital!BO67</f>
        <v>0</v>
      </c>
      <c r="BP26" s="147">
        <f ca="1">WorkingCapital!BP67</f>
        <v>0</v>
      </c>
      <c r="BQ26" s="147">
        <f ca="1">WorkingCapital!BQ67</f>
        <v>0</v>
      </c>
      <c r="BR26" s="147">
        <f ca="1">WorkingCapital!BR67</f>
        <v>0</v>
      </c>
    </row>
    <row r="27" spans="1:70" s="147" customFormat="1" ht="13.2" x14ac:dyDescent="0.25">
      <c r="A27" s="211"/>
      <c r="B27" s="250" t="str">
        <f t="shared" si="8"/>
        <v>Insert Business Line3</v>
      </c>
      <c r="D27" s="231" t="str">
        <f>unit</f>
        <v>£</v>
      </c>
      <c r="E27" s="147">
        <f t="shared" ca="1" si="7"/>
        <v>0</v>
      </c>
      <c r="F27" s="147">
        <f t="shared" ca="1" si="1"/>
        <v>0</v>
      </c>
      <c r="G27" s="147">
        <f t="shared" ca="1" si="1"/>
        <v>0</v>
      </c>
      <c r="H27" s="147">
        <f t="shared" ca="1" si="1"/>
        <v>0</v>
      </c>
      <c r="I27" s="147">
        <f t="shared" ca="1" si="1"/>
        <v>0</v>
      </c>
      <c r="K27" s="147">
        <f ca="1">WorkingCapital!K78</f>
        <v>0</v>
      </c>
      <c r="L27" s="147">
        <f ca="1">WorkingCapital!L78</f>
        <v>0</v>
      </c>
      <c r="M27" s="147">
        <f ca="1">WorkingCapital!M78</f>
        <v>0</v>
      </c>
      <c r="N27" s="147">
        <f ca="1">WorkingCapital!N78</f>
        <v>0</v>
      </c>
      <c r="O27" s="147">
        <f ca="1">WorkingCapital!O78</f>
        <v>0</v>
      </c>
      <c r="P27" s="147">
        <f ca="1">WorkingCapital!P78</f>
        <v>0</v>
      </c>
      <c r="Q27" s="147">
        <f ca="1">WorkingCapital!Q78</f>
        <v>0</v>
      </c>
      <c r="R27" s="147">
        <f ca="1">WorkingCapital!R78</f>
        <v>0</v>
      </c>
      <c r="S27" s="147">
        <f ca="1">WorkingCapital!S78</f>
        <v>0</v>
      </c>
      <c r="T27" s="147">
        <f ca="1">WorkingCapital!T78</f>
        <v>0</v>
      </c>
      <c r="U27" s="147">
        <f ca="1">WorkingCapital!U78</f>
        <v>0</v>
      </c>
      <c r="V27" s="147">
        <f ca="1">WorkingCapital!V78</f>
        <v>0</v>
      </c>
      <c r="W27" s="147">
        <f ca="1">WorkingCapital!W78</f>
        <v>0</v>
      </c>
      <c r="X27" s="147">
        <f ca="1">WorkingCapital!X78</f>
        <v>0</v>
      </c>
      <c r="Y27" s="147">
        <f ca="1">WorkingCapital!Y78</f>
        <v>0</v>
      </c>
      <c r="Z27" s="147">
        <f ca="1">WorkingCapital!Z78</f>
        <v>0</v>
      </c>
      <c r="AA27" s="147">
        <f ca="1">WorkingCapital!AA78</f>
        <v>0</v>
      </c>
      <c r="AB27" s="147">
        <f ca="1">WorkingCapital!AB78</f>
        <v>0</v>
      </c>
      <c r="AC27" s="147">
        <f ca="1">WorkingCapital!AC78</f>
        <v>0</v>
      </c>
      <c r="AD27" s="147">
        <f ca="1">WorkingCapital!AD78</f>
        <v>0</v>
      </c>
      <c r="AE27" s="147">
        <f ca="1">WorkingCapital!AE78</f>
        <v>0</v>
      </c>
      <c r="AF27" s="147">
        <f ca="1">WorkingCapital!AF78</f>
        <v>0</v>
      </c>
      <c r="AG27" s="147">
        <f ca="1">WorkingCapital!AG78</f>
        <v>0</v>
      </c>
      <c r="AH27" s="147">
        <f ca="1">WorkingCapital!AH78</f>
        <v>0</v>
      </c>
      <c r="AI27" s="147">
        <f ca="1">WorkingCapital!AI78</f>
        <v>0</v>
      </c>
      <c r="AJ27" s="147">
        <f ca="1">WorkingCapital!AJ78</f>
        <v>0</v>
      </c>
      <c r="AK27" s="147">
        <f ca="1">WorkingCapital!AK78</f>
        <v>0</v>
      </c>
      <c r="AL27" s="147">
        <f ca="1">WorkingCapital!AL78</f>
        <v>0</v>
      </c>
      <c r="AM27" s="147">
        <f ca="1">WorkingCapital!AM78</f>
        <v>0</v>
      </c>
      <c r="AN27" s="147">
        <f ca="1">WorkingCapital!AN78</f>
        <v>0</v>
      </c>
      <c r="AO27" s="147">
        <f ca="1">WorkingCapital!AO78</f>
        <v>0</v>
      </c>
      <c r="AP27" s="147">
        <f ca="1">WorkingCapital!AP78</f>
        <v>0</v>
      </c>
      <c r="AQ27" s="147">
        <f ca="1">WorkingCapital!AQ78</f>
        <v>0</v>
      </c>
      <c r="AR27" s="147">
        <f ca="1">WorkingCapital!AR78</f>
        <v>0</v>
      </c>
      <c r="AS27" s="147">
        <f ca="1">WorkingCapital!AS78</f>
        <v>0</v>
      </c>
      <c r="AT27" s="147">
        <f ca="1">WorkingCapital!AT78</f>
        <v>0</v>
      </c>
      <c r="AU27" s="147">
        <f ca="1">WorkingCapital!AU78</f>
        <v>0</v>
      </c>
      <c r="AV27" s="147">
        <f ca="1">WorkingCapital!AV78</f>
        <v>0</v>
      </c>
      <c r="AW27" s="147">
        <f ca="1">WorkingCapital!AW78</f>
        <v>0</v>
      </c>
      <c r="AX27" s="147">
        <f ca="1">WorkingCapital!AX78</f>
        <v>0</v>
      </c>
      <c r="AY27" s="147">
        <f ca="1">WorkingCapital!AY78</f>
        <v>0</v>
      </c>
      <c r="AZ27" s="147">
        <f ca="1">WorkingCapital!AZ78</f>
        <v>0</v>
      </c>
      <c r="BA27" s="147">
        <f ca="1">WorkingCapital!BA78</f>
        <v>0</v>
      </c>
      <c r="BB27" s="147">
        <f ca="1">WorkingCapital!BB78</f>
        <v>0</v>
      </c>
      <c r="BC27" s="147">
        <f ca="1">WorkingCapital!BC78</f>
        <v>0</v>
      </c>
      <c r="BD27" s="147">
        <f ca="1">WorkingCapital!BD78</f>
        <v>0</v>
      </c>
      <c r="BE27" s="147">
        <f ca="1">WorkingCapital!BE78</f>
        <v>0</v>
      </c>
      <c r="BF27" s="147">
        <f ca="1">WorkingCapital!BF78</f>
        <v>0</v>
      </c>
      <c r="BG27" s="147">
        <f ca="1">WorkingCapital!BG78</f>
        <v>0</v>
      </c>
      <c r="BH27" s="147">
        <f ca="1">WorkingCapital!BH78</f>
        <v>0</v>
      </c>
      <c r="BI27" s="147">
        <f ca="1">WorkingCapital!BI78</f>
        <v>0</v>
      </c>
      <c r="BJ27" s="147">
        <f ca="1">WorkingCapital!BJ78</f>
        <v>0</v>
      </c>
      <c r="BK27" s="147">
        <f ca="1">WorkingCapital!BK78</f>
        <v>0</v>
      </c>
      <c r="BL27" s="147">
        <f ca="1">WorkingCapital!BL78</f>
        <v>0</v>
      </c>
      <c r="BM27" s="147">
        <f ca="1">WorkingCapital!BM78</f>
        <v>0</v>
      </c>
      <c r="BN27" s="147">
        <f ca="1">WorkingCapital!BN78</f>
        <v>0</v>
      </c>
      <c r="BO27" s="147">
        <f ca="1">WorkingCapital!BO78</f>
        <v>0</v>
      </c>
      <c r="BP27" s="147">
        <f ca="1">WorkingCapital!BP78</f>
        <v>0</v>
      </c>
      <c r="BQ27" s="147">
        <f ca="1">WorkingCapital!BQ78</f>
        <v>0</v>
      </c>
      <c r="BR27" s="147">
        <f ca="1">WorkingCapital!BR78</f>
        <v>0</v>
      </c>
    </row>
    <row r="28" spans="1:70" s="147" customFormat="1" ht="13.2" x14ac:dyDescent="0.25">
      <c r="A28" s="211"/>
      <c r="D28" s="231"/>
    </row>
    <row r="29" spans="1:70" s="147" customFormat="1" ht="13.2" x14ac:dyDescent="0.25">
      <c r="A29" s="211"/>
      <c r="B29" s="147" t="s">
        <v>284</v>
      </c>
      <c r="D29" s="231" t="str">
        <f>unit</f>
        <v>£</v>
      </c>
      <c r="E29" s="147">
        <f ca="1">INDEX($K29:$BR29,0,MATCH(E$8,$K$8:$BR$8,0))</f>
        <v>0</v>
      </c>
      <c r="F29" s="147">
        <f t="shared" ca="1" si="1"/>
        <v>0</v>
      </c>
      <c r="G29" s="147">
        <f t="shared" ca="1" si="1"/>
        <v>0</v>
      </c>
      <c r="H29" s="147">
        <f t="shared" ca="1" si="1"/>
        <v>0</v>
      </c>
      <c r="I29" s="147">
        <f t="shared" ca="1" si="1"/>
        <v>0</v>
      </c>
      <c r="K29" s="147">
        <f ca="1">MAX('Outputs - Cashflow'!K$41,0)</f>
        <v>0</v>
      </c>
      <c r="L29" s="147">
        <f ca="1">MAX('Outputs - Cashflow'!L$41,0)</f>
        <v>0</v>
      </c>
      <c r="M29" s="147">
        <f ca="1">MAX('Outputs - Cashflow'!M$41,0)</f>
        <v>0</v>
      </c>
      <c r="N29" s="147">
        <f ca="1">MAX('Outputs - Cashflow'!N$41,0)</f>
        <v>0</v>
      </c>
      <c r="O29" s="147">
        <f ca="1">MAX('Outputs - Cashflow'!O$41,0)</f>
        <v>0</v>
      </c>
      <c r="P29" s="147">
        <f ca="1">MAX('Outputs - Cashflow'!P$41,0)</f>
        <v>0</v>
      </c>
      <c r="Q29" s="147">
        <f ca="1">MAX('Outputs - Cashflow'!Q$41,0)</f>
        <v>0</v>
      </c>
      <c r="R29" s="147">
        <f ca="1">MAX('Outputs - Cashflow'!R$41,0)</f>
        <v>0</v>
      </c>
      <c r="S29" s="147">
        <f ca="1">MAX('Outputs - Cashflow'!S$41,0)</f>
        <v>0</v>
      </c>
      <c r="T29" s="147">
        <f ca="1">MAX('Outputs - Cashflow'!T$41,0)</f>
        <v>0</v>
      </c>
      <c r="U29" s="147">
        <f ca="1">MAX('Outputs - Cashflow'!U$41,0)</f>
        <v>0</v>
      </c>
      <c r="V29" s="147">
        <f ca="1">MAX('Outputs - Cashflow'!V$41,0)</f>
        <v>0</v>
      </c>
      <c r="W29" s="147">
        <f ca="1">MAX('Outputs - Cashflow'!W$41,0)</f>
        <v>0</v>
      </c>
      <c r="X29" s="147">
        <f ca="1">MAX('Outputs - Cashflow'!X$41,0)</f>
        <v>0</v>
      </c>
      <c r="Y29" s="147">
        <f ca="1">MAX('Outputs - Cashflow'!Y$41,0)</f>
        <v>0</v>
      </c>
      <c r="Z29" s="147">
        <f ca="1">MAX('Outputs - Cashflow'!Z$41,0)</f>
        <v>0</v>
      </c>
      <c r="AA29" s="147">
        <f ca="1">MAX('Outputs - Cashflow'!AA$41,0)</f>
        <v>0</v>
      </c>
      <c r="AB29" s="147">
        <f ca="1">MAX('Outputs - Cashflow'!AB$41,0)</f>
        <v>0</v>
      </c>
      <c r="AC29" s="147">
        <f ca="1">MAX('Outputs - Cashflow'!AC$41,0)</f>
        <v>0</v>
      </c>
      <c r="AD29" s="147">
        <f ca="1">MAX('Outputs - Cashflow'!AD$41,0)</f>
        <v>0</v>
      </c>
      <c r="AE29" s="147">
        <f ca="1">MAX('Outputs - Cashflow'!AE$41,0)</f>
        <v>0</v>
      </c>
      <c r="AF29" s="147">
        <f ca="1">MAX('Outputs - Cashflow'!AF$41,0)</f>
        <v>0</v>
      </c>
      <c r="AG29" s="147">
        <f ca="1">MAX('Outputs - Cashflow'!AG$41,0)</f>
        <v>0</v>
      </c>
      <c r="AH29" s="147">
        <f ca="1">MAX('Outputs - Cashflow'!AH$41,0)</f>
        <v>0</v>
      </c>
      <c r="AI29" s="147">
        <f ca="1">MAX('Outputs - Cashflow'!AI$41,0)</f>
        <v>0</v>
      </c>
      <c r="AJ29" s="147">
        <f ca="1">MAX('Outputs - Cashflow'!AJ$41,0)</f>
        <v>0</v>
      </c>
      <c r="AK29" s="147">
        <f ca="1">MAX('Outputs - Cashflow'!AK$41,0)</f>
        <v>0</v>
      </c>
      <c r="AL29" s="147">
        <f ca="1">MAX('Outputs - Cashflow'!AL$41,0)</f>
        <v>0</v>
      </c>
      <c r="AM29" s="147">
        <f ca="1">MAX('Outputs - Cashflow'!AM$41,0)</f>
        <v>0</v>
      </c>
      <c r="AN29" s="147">
        <f ca="1">MAX('Outputs - Cashflow'!AN$41,0)</f>
        <v>0</v>
      </c>
      <c r="AO29" s="147">
        <f ca="1">MAX('Outputs - Cashflow'!AO$41,0)</f>
        <v>0</v>
      </c>
      <c r="AP29" s="147">
        <f ca="1">MAX('Outputs - Cashflow'!AP$41,0)</f>
        <v>0</v>
      </c>
      <c r="AQ29" s="147">
        <f ca="1">MAX('Outputs - Cashflow'!AQ$41,0)</f>
        <v>0</v>
      </c>
      <c r="AR29" s="147">
        <f ca="1">MAX('Outputs - Cashflow'!AR$41,0)</f>
        <v>0</v>
      </c>
      <c r="AS29" s="147">
        <f ca="1">MAX('Outputs - Cashflow'!AS$41,0)</f>
        <v>0</v>
      </c>
      <c r="AT29" s="147">
        <f ca="1">MAX('Outputs - Cashflow'!AT$41,0)</f>
        <v>0</v>
      </c>
      <c r="AU29" s="147">
        <f ca="1">MAX('Outputs - Cashflow'!AU$41,0)</f>
        <v>0</v>
      </c>
      <c r="AV29" s="147">
        <f ca="1">MAX('Outputs - Cashflow'!AV$41,0)</f>
        <v>0</v>
      </c>
      <c r="AW29" s="147">
        <f ca="1">MAX('Outputs - Cashflow'!AW$41,0)</f>
        <v>0</v>
      </c>
      <c r="AX29" s="147">
        <f ca="1">MAX('Outputs - Cashflow'!AX$41,0)</f>
        <v>0</v>
      </c>
      <c r="AY29" s="147">
        <f ca="1">MAX('Outputs - Cashflow'!AY$41,0)</f>
        <v>0</v>
      </c>
      <c r="AZ29" s="147">
        <f ca="1">MAX('Outputs - Cashflow'!AZ$41,0)</f>
        <v>0</v>
      </c>
      <c r="BA29" s="147">
        <f ca="1">MAX('Outputs - Cashflow'!BA$41,0)</f>
        <v>0</v>
      </c>
      <c r="BB29" s="147">
        <f ca="1">MAX('Outputs - Cashflow'!BB$41,0)</f>
        <v>0</v>
      </c>
      <c r="BC29" s="147">
        <f ca="1">MAX('Outputs - Cashflow'!BC$41,0)</f>
        <v>0</v>
      </c>
      <c r="BD29" s="147">
        <f ca="1">MAX('Outputs - Cashflow'!BD$41,0)</f>
        <v>0</v>
      </c>
      <c r="BE29" s="147">
        <f ca="1">MAX('Outputs - Cashflow'!BE$41,0)</f>
        <v>0</v>
      </c>
      <c r="BF29" s="147">
        <f ca="1">MAX('Outputs - Cashflow'!BF$41,0)</f>
        <v>0</v>
      </c>
      <c r="BG29" s="147">
        <f ca="1">MAX('Outputs - Cashflow'!BG$41,0)</f>
        <v>0</v>
      </c>
      <c r="BH29" s="147">
        <f ca="1">MAX('Outputs - Cashflow'!BH$41,0)</f>
        <v>0</v>
      </c>
      <c r="BI29" s="147">
        <f ca="1">MAX('Outputs - Cashflow'!BI$41,0)</f>
        <v>0</v>
      </c>
      <c r="BJ29" s="147">
        <f ca="1">MAX('Outputs - Cashflow'!BJ$41,0)</f>
        <v>0</v>
      </c>
      <c r="BK29" s="147">
        <f ca="1">MAX('Outputs - Cashflow'!BK$41,0)</f>
        <v>0</v>
      </c>
      <c r="BL29" s="147">
        <f ca="1">MAX('Outputs - Cashflow'!BL$41,0)</f>
        <v>0</v>
      </c>
      <c r="BM29" s="147">
        <f ca="1">MAX('Outputs - Cashflow'!BM$41,0)</f>
        <v>0</v>
      </c>
      <c r="BN29" s="147">
        <f ca="1">MAX('Outputs - Cashflow'!BN$41,0)</f>
        <v>0</v>
      </c>
      <c r="BO29" s="147">
        <f ca="1">MAX('Outputs - Cashflow'!BO$41,0)</f>
        <v>0</v>
      </c>
      <c r="BP29" s="147">
        <f ca="1">MAX('Outputs - Cashflow'!BP$41,0)</f>
        <v>0</v>
      </c>
      <c r="BQ29" s="147">
        <f ca="1">MAX('Outputs - Cashflow'!BQ$41,0)</f>
        <v>0</v>
      </c>
      <c r="BR29" s="147">
        <f ca="1">MAX('Outputs - Cashflow'!BR$41,0)</f>
        <v>0</v>
      </c>
    </row>
    <row r="30" spans="1:70" s="147" customFormat="1" ht="13.2" x14ac:dyDescent="0.25">
      <c r="A30" s="211"/>
      <c r="F30" s="212"/>
    </row>
    <row r="31" spans="1:70" s="147" customFormat="1" ht="13.2" x14ac:dyDescent="0.25">
      <c r="A31" s="211"/>
      <c r="B31" s="147" t="s">
        <v>285</v>
      </c>
      <c r="D31" s="231" t="str">
        <f t="shared" ref="D31:D37" si="9">unit</f>
        <v>£</v>
      </c>
      <c r="E31" s="147">
        <f t="shared" ref="E31:E37" ca="1" si="10">INDEX($K31:$BR31,0,MATCH(E$8,$K$8:$BR$8,0))</f>
        <v>0</v>
      </c>
      <c r="F31" s="147">
        <f t="shared" ca="1" si="1"/>
        <v>0</v>
      </c>
      <c r="G31" s="147">
        <f t="shared" ca="1" si="1"/>
        <v>0</v>
      </c>
      <c r="H31" s="147">
        <f t="shared" ca="1" si="1"/>
        <v>0</v>
      </c>
      <c r="I31" s="147">
        <f t="shared" ca="1" si="1"/>
        <v>0</v>
      </c>
      <c r="K31" s="147">
        <f ca="1">MIN('Outputs - Cashflow'!K$41,0)</f>
        <v>0</v>
      </c>
      <c r="L31" s="147">
        <f ca="1">MIN('Outputs - Cashflow'!L$41,0)</f>
        <v>0</v>
      </c>
      <c r="M31" s="147">
        <f ca="1">MIN('Outputs - Cashflow'!M$41,0)</f>
        <v>0</v>
      </c>
      <c r="N31" s="147">
        <f ca="1">MIN('Outputs - Cashflow'!N$41,0)</f>
        <v>0</v>
      </c>
      <c r="O31" s="147">
        <f ca="1">MIN('Outputs - Cashflow'!O$41,0)</f>
        <v>0</v>
      </c>
      <c r="P31" s="147">
        <f ca="1">MIN('Outputs - Cashflow'!P$41,0)</f>
        <v>0</v>
      </c>
      <c r="Q31" s="147">
        <f ca="1">MIN('Outputs - Cashflow'!Q$41,0)</f>
        <v>0</v>
      </c>
      <c r="R31" s="147">
        <f ca="1">MIN('Outputs - Cashflow'!R$41,0)</f>
        <v>0</v>
      </c>
      <c r="S31" s="147">
        <f ca="1">MIN('Outputs - Cashflow'!S$41,0)</f>
        <v>0</v>
      </c>
      <c r="T31" s="147">
        <f ca="1">MIN('Outputs - Cashflow'!T$41,0)</f>
        <v>0</v>
      </c>
      <c r="U31" s="147">
        <f ca="1">MIN('Outputs - Cashflow'!U$41,0)</f>
        <v>0</v>
      </c>
      <c r="V31" s="147">
        <f ca="1">MIN('Outputs - Cashflow'!V$41,0)</f>
        <v>0</v>
      </c>
      <c r="W31" s="147">
        <f ca="1">MIN('Outputs - Cashflow'!W$41,0)</f>
        <v>0</v>
      </c>
      <c r="X31" s="147">
        <f ca="1">MIN('Outputs - Cashflow'!X$41,0)</f>
        <v>0</v>
      </c>
      <c r="Y31" s="147">
        <f ca="1">MIN('Outputs - Cashflow'!Y$41,0)</f>
        <v>0</v>
      </c>
      <c r="Z31" s="147">
        <f ca="1">MIN('Outputs - Cashflow'!Z$41,0)</f>
        <v>0</v>
      </c>
      <c r="AA31" s="147">
        <f ca="1">MIN('Outputs - Cashflow'!AA$41,0)</f>
        <v>0</v>
      </c>
      <c r="AB31" s="147">
        <f ca="1">MIN('Outputs - Cashflow'!AB$41,0)</f>
        <v>0</v>
      </c>
      <c r="AC31" s="147">
        <f ca="1">MIN('Outputs - Cashflow'!AC$41,0)</f>
        <v>0</v>
      </c>
      <c r="AD31" s="147">
        <f ca="1">MIN('Outputs - Cashflow'!AD$41,0)</f>
        <v>0</v>
      </c>
      <c r="AE31" s="147">
        <f ca="1">MIN('Outputs - Cashflow'!AE$41,0)</f>
        <v>0</v>
      </c>
      <c r="AF31" s="147">
        <f ca="1">MIN('Outputs - Cashflow'!AF$41,0)</f>
        <v>0</v>
      </c>
      <c r="AG31" s="147">
        <f ca="1">MIN('Outputs - Cashflow'!AG$41,0)</f>
        <v>0</v>
      </c>
      <c r="AH31" s="147">
        <f ca="1">MIN('Outputs - Cashflow'!AH$41,0)</f>
        <v>0</v>
      </c>
      <c r="AI31" s="147">
        <f ca="1">MIN('Outputs - Cashflow'!AI$41,0)</f>
        <v>0</v>
      </c>
      <c r="AJ31" s="147">
        <f ca="1">MIN('Outputs - Cashflow'!AJ$41,0)</f>
        <v>0</v>
      </c>
      <c r="AK31" s="147">
        <f ca="1">MIN('Outputs - Cashflow'!AK$41,0)</f>
        <v>0</v>
      </c>
      <c r="AL31" s="147">
        <f ca="1">MIN('Outputs - Cashflow'!AL$41,0)</f>
        <v>0</v>
      </c>
      <c r="AM31" s="147">
        <f ca="1">MIN('Outputs - Cashflow'!AM$41,0)</f>
        <v>0</v>
      </c>
      <c r="AN31" s="147">
        <f ca="1">MIN('Outputs - Cashflow'!AN$41,0)</f>
        <v>0</v>
      </c>
      <c r="AO31" s="147">
        <f ca="1">MIN('Outputs - Cashflow'!AO$41,0)</f>
        <v>0</v>
      </c>
      <c r="AP31" s="147">
        <f ca="1">MIN('Outputs - Cashflow'!AP$41,0)</f>
        <v>0</v>
      </c>
      <c r="AQ31" s="147">
        <f ca="1">MIN('Outputs - Cashflow'!AQ$41,0)</f>
        <v>0</v>
      </c>
      <c r="AR31" s="147">
        <f ca="1">MIN('Outputs - Cashflow'!AR$41,0)</f>
        <v>0</v>
      </c>
      <c r="AS31" s="147">
        <f ca="1">MIN('Outputs - Cashflow'!AS$41,0)</f>
        <v>0</v>
      </c>
      <c r="AT31" s="147">
        <f ca="1">MIN('Outputs - Cashflow'!AT$41,0)</f>
        <v>0</v>
      </c>
      <c r="AU31" s="147">
        <f ca="1">MIN('Outputs - Cashflow'!AU$41,0)</f>
        <v>0</v>
      </c>
      <c r="AV31" s="147">
        <f ca="1">MIN('Outputs - Cashflow'!AV$41,0)</f>
        <v>0</v>
      </c>
      <c r="AW31" s="147">
        <f ca="1">MIN('Outputs - Cashflow'!AW$41,0)</f>
        <v>0</v>
      </c>
      <c r="AX31" s="147">
        <f ca="1">MIN('Outputs - Cashflow'!AX$41,0)</f>
        <v>0</v>
      </c>
      <c r="AY31" s="147">
        <f ca="1">MIN('Outputs - Cashflow'!AY$41,0)</f>
        <v>0</v>
      </c>
      <c r="AZ31" s="147">
        <f ca="1">MIN('Outputs - Cashflow'!AZ$41,0)</f>
        <v>0</v>
      </c>
      <c r="BA31" s="147">
        <f ca="1">MIN('Outputs - Cashflow'!BA$41,0)</f>
        <v>0</v>
      </c>
      <c r="BB31" s="147">
        <f ca="1">MIN('Outputs - Cashflow'!BB$41,0)</f>
        <v>0</v>
      </c>
      <c r="BC31" s="147">
        <f ca="1">MIN('Outputs - Cashflow'!BC$41,0)</f>
        <v>0</v>
      </c>
      <c r="BD31" s="147">
        <f ca="1">MIN('Outputs - Cashflow'!BD$41,0)</f>
        <v>0</v>
      </c>
      <c r="BE31" s="147">
        <f ca="1">MIN('Outputs - Cashflow'!BE$41,0)</f>
        <v>0</v>
      </c>
      <c r="BF31" s="147">
        <f ca="1">MIN('Outputs - Cashflow'!BF$41,0)</f>
        <v>0</v>
      </c>
      <c r="BG31" s="147">
        <f ca="1">MIN('Outputs - Cashflow'!BG$41,0)</f>
        <v>0</v>
      </c>
      <c r="BH31" s="147">
        <f ca="1">MIN('Outputs - Cashflow'!BH$41,0)</f>
        <v>0</v>
      </c>
      <c r="BI31" s="147">
        <f ca="1">MIN('Outputs - Cashflow'!BI$41,0)</f>
        <v>0</v>
      </c>
      <c r="BJ31" s="147">
        <f ca="1">MIN('Outputs - Cashflow'!BJ$41,0)</f>
        <v>0</v>
      </c>
      <c r="BK31" s="147">
        <f ca="1">MIN('Outputs - Cashflow'!BK$41,0)</f>
        <v>0</v>
      </c>
      <c r="BL31" s="147">
        <f ca="1">MIN('Outputs - Cashflow'!BL$41,0)</f>
        <v>0</v>
      </c>
      <c r="BM31" s="147">
        <f ca="1">MIN('Outputs - Cashflow'!BM$41,0)</f>
        <v>0</v>
      </c>
      <c r="BN31" s="147">
        <f ca="1">MIN('Outputs - Cashflow'!BN$41,0)</f>
        <v>0</v>
      </c>
      <c r="BO31" s="147">
        <f ca="1">MIN('Outputs - Cashflow'!BO$41,0)</f>
        <v>0</v>
      </c>
      <c r="BP31" s="147">
        <f ca="1">MIN('Outputs - Cashflow'!BP$41,0)</f>
        <v>0</v>
      </c>
      <c r="BQ31" s="147">
        <f ca="1">MIN('Outputs - Cashflow'!BQ$41,0)</f>
        <v>0</v>
      </c>
      <c r="BR31" s="147">
        <f ca="1">MIN('Outputs - Cashflow'!BR$41,0)</f>
        <v>0</v>
      </c>
    </row>
    <row r="32" spans="1:70" s="147" customFormat="1" ht="13.2" x14ac:dyDescent="0.25">
      <c r="A32" s="211"/>
      <c r="B32" s="147" t="s">
        <v>212</v>
      </c>
      <c r="D32" s="231" t="str">
        <f t="shared" si="9"/>
        <v>£</v>
      </c>
      <c r="E32" s="147">
        <f t="shared" ca="1" si="10"/>
        <v>0</v>
      </c>
      <c r="F32" s="147">
        <f t="shared" ca="1" si="1"/>
        <v>0</v>
      </c>
      <c r="G32" s="147">
        <f t="shared" ca="1" si="1"/>
        <v>0</v>
      </c>
      <c r="H32" s="147">
        <f t="shared" ca="1" si="1"/>
        <v>0</v>
      </c>
      <c r="I32" s="147">
        <f t="shared" ca="1" si="1"/>
        <v>0</v>
      </c>
      <c r="K32" s="147">
        <f ca="1">WorkingCapital!K$91</f>
        <v>0</v>
      </c>
      <c r="L32" s="147">
        <f ca="1">WorkingCapital!L$91</f>
        <v>0</v>
      </c>
      <c r="M32" s="147">
        <f ca="1">WorkingCapital!M$91</f>
        <v>0</v>
      </c>
      <c r="N32" s="147">
        <f ca="1">WorkingCapital!N$91</f>
        <v>0</v>
      </c>
      <c r="O32" s="147">
        <f ca="1">WorkingCapital!O$91</f>
        <v>0</v>
      </c>
      <c r="P32" s="147">
        <f ca="1">WorkingCapital!P$91</f>
        <v>0</v>
      </c>
      <c r="Q32" s="147">
        <f ca="1">WorkingCapital!Q$91</f>
        <v>0</v>
      </c>
      <c r="R32" s="147">
        <f ca="1">WorkingCapital!R$91</f>
        <v>0</v>
      </c>
      <c r="S32" s="147">
        <f ca="1">WorkingCapital!S$91</f>
        <v>0</v>
      </c>
      <c r="T32" s="147">
        <f ca="1">WorkingCapital!T$91</f>
        <v>0</v>
      </c>
      <c r="U32" s="147">
        <f ca="1">WorkingCapital!U$91</f>
        <v>0</v>
      </c>
      <c r="V32" s="147">
        <f ca="1">WorkingCapital!V$91</f>
        <v>0</v>
      </c>
      <c r="W32" s="147">
        <f ca="1">WorkingCapital!W$91</f>
        <v>0</v>
      </c>
      <c r="X32" s="147">
        <f ca="1">WorkingCapital!X$91</f>
        <v>0</v>
      </c>
      <c r="Y32" s="147">
        <f ca="1">WorkingCapital!Y$91</f>
        <v>0</v>
      </c>
      <c r="Z32" s="147">
        <f ca="1">WorkingCapital!Z$91</f>
        <v>0</v>
      </c>
      <c r="AA32" s="147">
        <f ca="1">WorkingCapital!AA$91</f>
        <v>0</v>
      </c>
      <c r="AB32" s="147">
        <f ca="1">WorkingCapital!AB$91</f>
        <v>0</v>
      </c>
      <c r="AC32" s="147">
        <f ca="1">WorkingCapital!AC$91</f>
        <v>0</v>
      </c>
      <c r="AD32" s="147">
        <f ca="1">WorkingCapital!AD$91</f>
        <v>0</v>
      </c>
      <c r="AE32" s="147">
        <f ca="1">WorkingCapital!AE$91</f>
        <v>0</v>
      </c>
      <c r="AF32" s="147">
        <f ca="1">WorkingCapital!AF$91</f>
        <v>0</v>
      </c>
      <c r="AG32" s="147">
        <f ca="1">WorkingCapital!AG$91</f>
        <v>0</v>
      </c>
      <c r="AH32" s="147">
        <f ca="1">WorkingCapital!AH$91</f>
        <v>0</v>
      </c>
      <c r="AI32" s="147">
        <f ca="1">WorkingCapital!AI$91</f>
        <v>0</v>
      </c>
      <c r="AJ32" s="147">
        <f ca="1">WorkingCapital!AJ$91</f>
        <v>0</v>
      </c>
      <c r="AK32" s="147">
        <f ca="1">WorkingCapital!AK$91</f>
        <v>0</v>
      </c>
      <c r="AL32" s="147">
        <f ca="1">WorkingCapital!AL$91</f>
        <v>0</v>
      </c>
      <c r="AM32" s="147">
        <f ca="1">WorkingCapital!AM$91</f>
        <v>0</v>
      </c>
      <c r="AN32" s="147">
        <f ca="1">WorkingCapital!AN$91</f>
        <v>0</v>
      </c>
      <c r="AO32" s="147">
        <f ca="1">WorkingCapital!AO$91</f>
        <v>0</v>
      </c>
      <c r="AP32" s="147">
        <f ca="1">WorkingCapital!AP$91</f>
        <v>0</v>
      </c>
      <c r="AQ32" s="147">
        <f ca="1">WorkingCapital!AQ$91</f>
        <v>0</v>
      </c>
      <c r="AR32" s="147">
        <f ca="1">WorkingCapital!AR$91</f>
        <v>0</v>
      </c>
      <c r="AS32" s="147">
        <f ca="1">WorkingCapital!AS$91</f>
        <v>0</v>
      </c>
      <c r="AT32" s="147">
        <f ca="1">WorkingCapital!AT$91</f>
        <v>0</v>
      </c>
      <c r="AU32" s="147">
        <f ca="1">WorkingCapital!AU$91</f>
        <v>0</v>
      </c>
      <c r="AV32" s="147">
        <f ca="1">WorkingCapital!AV$91</f>
        <v>0</v>
      </c>
      <c r="AW32" s="147">
        <f ca="1">WorkingCapital!AW$91</f>
        <v>0</v>
      </c>
      <c r="AX32" s="147">
        <f ca="1">WorkingCapital!AX$91</f>
        <v>0</v>
      </c>
      <c r="AY32" s="147">
        <f ca="1">WorkingCapital!AY$91</f>
        <v>0</v>
      </c>
      <c r="AZ32" s="147">
        <f ca="1">WorkingCapital!AZ$91</f>
        <v>0</v>
      </c>
      <c r="BA32" s="147">
        <f ca="1">WorkingCapital!BA$91</f>
        <v>0</v>
      </c>
      <c r="BB32" s="147">
        <f ca="1">WorkingCapital!BB$91</f>
        <v>0</v>
      </c>
      <c r="BC32" s="147">
        <f ca="1">WorkingCapital!BC$91</f>
        <v>0</v>
      </c>
      <c r="BD32" s="147">
        <f ca="1">WorkingCapital!BD$91</f>
        <v>0</v>
      </c>
      <c r="BE32" s="147">
        <f ca="1">WorkingCapital!BE$91</f>
        <v>0</v>
      </c>
      <c r="BF32" s="147">
        <f ca="1">WorkingCapital!BF$91</f>
        <v>0</v>
      </c>
      <c r="BG32" s="147">
        <f ca="1">WorkingCapital!BG$91</f>
        <v>0</v>
      </c>
      <c r="BH32" s="147">
        <f ca="1">WorkingCapital!BH$91</f>
        <v>0</v>
      </c>
      <c r="BI32" s="147">
        <f ca="1">WorkingCapital!BI$91</f>
        <v>0</v>
      </c>
      <c r="BJ32" s="147">
        <f ca="1">WorkingCapital!BJ$91</f>
        <v>0</v>
      </c>
      <c r="BK32" s="147">
        <f ca="1">WorkingCapital!BK$91</f>
        <v>0</v>
      </c>
      <c r="BL32" s="147">
        <f ca="1">WorkingCapital!BL$91</f>
        <v>0</v>
      </c>
      <c r="BM32" s="147">
        <f ca="1">WorkingCapital!BM$91</f>
        <v>0</v>
      </c>
      <c r="BN32" s="147">
        <f ca="1">WorkingCapital!BN$91</f>
        <v>0</v>
      </c>
      <c r="BO32" s="147">
        <f ca="1">WorkingCapital!BO$91</f>
        <v>0</v>
      </c>
      <c r="BP32" s="147">
        <f ca="1">WorkingCapital!BP$91</f>
        <v>0</v>
      </c>
      <c r="BQ32" s="147">
        <f ca="1">WorkingCapital!BQ$91</f>
        <v>0</v>
      </c>
      <c r="BR32" s="147">
        <f ca="1">WorkingCapital!BR$91</f>
        <v>0</v>
      </c>
    </row>
    <row r="33" spans="1:70" s="147" customFormat="1" ht="13.2" x14ac:dyDescent="0.25">
      <c r="A33" s="211"/>
      <c r="B33" s="211" t="s">
        <v>463</v>
      </c>
      <c r="D33" s="231" t="str">
        <f t="shared" si="9"/>
        <v>£</v>
      </c>
      <c r="E33" s="147">
        <f t="shared" si="10"/>
        <v>0</v>
      </c>
      <c r="F33" s="147">
        <f t="shared" si="1"/>
        <v>0</v>
      </c>
      <c r="G33" s="147">
        <f t="shared" si="1"/>
        <v>0</v>
      </c>
      <c r="H33" s="147">
        <f t="shared" si="1"/>
        <v>0</v>
      </c>
      <c r="I33" s="147">
        <f t="shared" si="1"/>
        <v>0</v>
      </c>
      <c r="K33" s="147">
        <f>WorkingCapital!K108*-1</f>
        <v>0</v>
      </c>
      <c r="L33" s="147">
        <f>WorkingCapital!L108*-1</f>
        <v>0</v>
      </c>
      <c r="M33" s="147">
        <f>WorkingCapital!M108*-1</f>
        <v>0</v>
      </c>
      <c r="N33" s="147">
        <f>WorkingCapital!N108*-1</f>
        <v>0</v>
      </c>
      <c r="O33" s="147">
        <f>WorkingCapital!O108*-1</f>
        <v>0</v>
      </c>
      <c r="P33" s="147">
        <f>WorkingCapital!P108*-1</f>
        <v>0</v>
      </c>
      <c r="Q33" s="147">
        <f>WorkingCapital!Q108*-1</f>
        <v>0</v>
      </c>
      <c r="R33" s="147">
        <f>WorkingCapital!R108*-1</f>
        <v>0</v>
      </c>
      <c r="S33" s="147">
        <f>WorkingCapital!S108*-1</f>
        <v>0</v>
      </c>
      <c r="T33" s="147">
        <f>WorkingCapital!T108*-1</f>
        <v>0</v>
      </c>
      <c r="U33" s="147">
        <f>WorkingCapital!U108*-1</f>
        <v>0</v>
      </c>
      <c r="V33" s="147">
        <f>WorkingCapital!V108*-1</f>
        <v>0</v>
      </c>
      <c r="W33" s="147">
        <f>WorkingCapital!W108*-1</f>
        <v>0</v>
      </c>
      <c r="X33" s="147">
        <f>WorkingCapital!X108*-1</f>
        <v>0</v>
      </c>
      <c r="Y33" s="147">
        <f>WorkingCapital!Y108*-1</f>
        <v>0</v>
      </c>
      <c r="Z33" s="147">
        <f>WorkingCapital!Z108*-1</f>
        <v>0</v>
      </c>
      <c r="AA33" s="147">
        <f>WorkingCapital!AA108*-1</f>
        <v>0</v>
      </c>
      <c r="AB33" s="147">
        <f>WorkingCapital!AB108*-1</f>
        <v>0</v>
      </c>
      <c r="AC33" s="147">
        <f>WorkingCapital!AC108*-1</f>
        <v>0</v>
      </c>
      <c r="AD33" s="147">
        <f>WorkingCapital!AD108*-1</f>
        <v>0</v>
      </c>
      <c r="AE33" s="147">
        <f>WorkingCapital!AE108*-1</f>
        <v>0</v>
      </c>
      <c r="AF33" s="147">
        <f>WorkingCapital!AF108*-1</f>
        <v>0</v>
      </c>
      <c r="AG33" s="147">
        <f>WorkingCapital!AG108*-1</f>
        <v>0</v>
      </c>
      <c r="AH33" s="147">
        <f>WorkingCapital!AH108*-1</f>
        <v>0</v>
      </c>
      <c r="AI33" s="147">
        <f>WorkingCapital!AI108*-1</f>
        <v>0</v>
      </c>
      <c r="AJ33" s="147">
        <f>WorkingCapital!AJ108*-1</f>
        <v>0</v>
      </c>
      <c r="AK33" s="147">
        <f>WorkingCapital!AK108*-1</f>
        <v>0</v>
      </c>
      <c r="AL33" s="147">
        <f>WorkingCapital!AL108*-1</f>
        <v>0</v>
      </c>
      <c r="AM33" s="147">
        <f>WorkingCapital!AM108*-1</f>
        <v>0</v>
      </c>
      <c r="AN33" s="147">
        <f>WorkingCapital!AN108*-1</f>
        <v>0</v>
      </c>
      <c r="AO33" s="147">
        <f>WorkingCapital!AO108*-1</f>
        <v>0</v>
      </c>
      <c r="AP33" s="147">
        <f>WorkingCapital!AP108*-1</f>
        <v>0</v>
      </c>
      <c r="AQ33" s="147">
        <f>WorkingCapital!AQ108*-1</f>
        <v>0</v>
      </c>
      <c r="AR33" s="147">
        <f>WorkingCapital!AR108*-1</f>
        <v>0</v>
      </c>
      <c r="AS33" s="147">
        <f>WorkingCapital!AS108*-1</f>
        <v>0</v>
      </c>
      <c r="AT33" s="147">
        <f>WorkingCapital!AT108*-1</f>
        <v>0</v>
      </c>
      <c r="AU33" s="147">
        <f>WorkingCapital!AU108*-1</f>
        <v>0</v>
      </c>
      <c r="AV33" s="147">
        <f>WorkingCapital!AV108*-1</f>
        <v>0</v>
      </c>
      <c r="AW33" s="147">
        <f>WorkingCapital!AW108*-1</f>
        <v>0</v>
      </c>
      <c r="AX33" s="147">
        <f>WorkingCapital!AX108*-1</f>
        <v>0</v>
      </c>
      <c r="AY33" s="147">
        <f>WorkingCapital!AY108*-1</f>
        <v>0</v>
      </c>
      <c r="AZ33" s="147">
        <f>WorkingCapital!AZ108*-1</f>
        <v>0</v>
      </c>
      <c r="BA33" s="147">
        <f>WorkingCapital!BA108*-1</f>
        <v>0</v>
      </c>
      <c r="BB33" s="147">
        <f>WorkingCapital!BB108*-1</f>
        <v>0</v>
      </c>
      <c r="BC33" s="147">
        <f>WorkingCapital!BC108*-1</f>
        <v>0</v>
      </c>
      <c r="BD33" s="147">
        <f>WorkingCapital!BD108*-1</f>
        <v>0</v>
      </c>
      <c r="BE33" s="147">
        <f>WorkingCapital!BE108*-1</f>
        <v>0</v>
      </c>
      <c r="BF33" s="147">
        <f>WorkingCapital!BF108*-1</f>
        <v>0</v>
      </c>
      <c r="BG33" s="147">
        <f>WorkingCapital!BG108*-1</f>
        <v>0</v>
      </c>
      <c r="BH33" s="147">
        <f>WorkingCapital!BH108*-1</f>
        <v>0</v>
      </c>
      <c r="BI33" s="147">
        <f>WorkingCapital!BI108*-1</f>
        <v>0</v>
      </c>
      <c r="BJ33" s="147">
        <f>WorkingCapital!BJ108*-1</f>
        <v>0</v>
      </c>
      <c r="BK33" s="147">
        <f>WorkingCapital!BK108*-1</f>
        <v>0</v>
      </c>
      <c r="BL33" s="147">
        <f>WorkingCapital!BL108*-1</f>
        <v>0</v>
      </c>
      <c r="BM33" s="147">
        <f>WorkingCapital!BM108*-1</f>
        <v>0</v>
      </c>
      <c r="BN33" s="147">
        <f>WorkingCapital!BN108*-1</f>
        <v>0</v>
      </c>
      <c r="BO33" s="147">
        <f>WorkingCapital!BO108*-1</f>
        <v>0</v>
      </c>
      <c r="BP33" s="147">
        <f>WorkingCapital!BP108*-1</f>
        <v>0</v>
      </c>
      <c r="BQ33" s="147">
        <f>WorkingCapital!BQ108*-1</f>
        <v>0</v>
      </c>
      <c r="BR33" s="147">
        <f>WorkingCapital!BR108*-1</f>
        <v>0</v>
      </c>
    </row>
    <row r="34" spans="1:70" s="147" customFormat="1" ht="13.2" x14ac:dyDescent="0.25">
      <c r="A34" s="211"/>
      <c r="B34" s="147" t="s">
        <v>286</v>
      </c>
      <c r="D34" s="231" t="str">
        <f t="shared" si="9"/>
        <v>£</v>
      </c>
      <c r="E34" s="147">
        <f t="shared" si="10"/>
        <v>0</v>
      </c>
      <c r="F34" s="147">
        <f t="shared" si="1"/>
        <v>0</v>
      </c>
      <c r="G34" s="147">
        <f t="shared" si="1"/>
        <v>0</v>
      </c>
      <c r="H34" s="147">
        <f t="shared" si="1"/>
        <v>0</v>
      </c>
      <c r="I34" s="147">
        <f t="shared" si="1"/>
        <v>0</v>
      </c>
      <c r="K34" s="147">
        <f>DebtFinancing!K$24</f>
        <v>0</v>
      </c>
      <c r="L34" s="147">
        <f>DebtFinancing!L$24</f>
        <v>0</v>
      </c>
      <c r="M34" s="147">
        <f>DebtFinancing!M$24</f>
        <v>0</v>
      </c>
      <c r="N34" s="147">
        <f>DebtFinancing!N$24</f>
        <v>0</v>
      </c>
      <c r="O34" s="147">
        <f>DebtFinancing!O$24</f>
        <v>0</v>
      </c>
      <c r="P34" s="147">
        <f>DebtFinancing!P$24</f>
        <v>0</v>
      </c>
      <c r="Q34" s="147">
        <f>DebtFinancing!Q$24</f>
        <v>0</v>
      </c>
      <c r="R34" s="147">
        <f>DebtFinancing!R$24</f>
        <v>0</v>
      </c>
      <c r="S34" s="147">
        <f>DebtFinancing!S$24</f>
        <v>0</v>
      </c>
      <c r="T34" s="147">
        <f>DebtFinancing!T$24</f>
        <v>0</v>
      </c>
      <c r="U34" s="147">
        <f>DebtFinancing!U$24</f>
        <v>0</v>
      </c>
      <c r="V34" s="147">
        <f>DebtFinancing!V$24</f>
        <v>0</v>
      </c>
      <c r="W34" s="147">
        <f>DebtFinancing!W$24</f>
        <v>0</v>
      </c>
      <c r="X34" s="147">
        <f>DebtFinancing!X$24</f>
        <v>0</v>
      </c>
      <c r="Y34" s="147">
        <f>DebtFinancing!Y$24</f>
        <v>0</v>
      </c>
      <c r="Z34" s="147">
        <f>DebtFinancing!Z$24</f>
        <v>0</v>
      </c>
      <c r="AA34" s="147">
        <f>DebtFinancing!AA$24</f>
        <v>0</v>
      </c>
      <c r="AB34" s="147">
        <f>DebtFinancing!AB$24</f>
        <v>0</v>
      </c>
      <c r="AC34" s="147">
        <f>DebtFinancing!AC$24</f>
        <v>0</v>
      </c>
      <c r="AD34" s="147">
        <f>DebtFinancing!AD$24</f>
        <v>0</v>
      </c>
      <c r="AE34" s="147">
        <f>DebtFinancing!AE$24</f>
        <v>0</v>
      </c>
      <c r="AF34" s="147">
        <f>DebtFinancing!AF$24</f>
        <v>0</v>
      </c>
      <c r="AG34" s="147">
        <f>DebtFinancing!AG$24</f>
        <v>0</v>
      </c>
      <c r="AH34" s="147">
        <f>DebtFinancing!AH$24</f>
        <v>0</v>
      </c>
      <c r="AI34" s="147">
        <f>DebtFinancing!AI$24</f>
        <v>0</v>
      </c>
      <c r="AJ34" s="147">
        <f>DebtFinancing!AJ$24</f>
        <v>0</v>
      </c>
      <c r="AK34" s="147">
        <f>DebtFinancing!AK$24</f>
        <v>0</v>
      </c>
      <c r="AL34" s="147">
        <f>DebtFinancing!AL$24</f>
        <v>0</v>
      </c>
      <c r="AM34" s="147">
        <f>DebtFinancing!AM$24</f>
        <v>0</v>
      </c>
      <c r="AN34" s="147">
        <f>DebtFinancing!AN$24</f>
        <v>0</v>
      </c>
      <c r="AO34" s="147">
        <f>DebtFinancing!AO$24</f>
        <v>0</v>
      </c>
      <c r="AP34" s="147">
        <f>DebtFinancing!AP$24</f>
        <v>0</v>
      </c>
      <c r="AQ34" s="147">
        <f>DebtFinancing!AQ$24</f>
        <v>0</v>
      </c>
      <c r="AR34" s="147">
        <f>DebtFinancing!AR$24</f>
        <v>0</v>
      </c>
      <c r="AS34" s="147">
        <f>DebtFinancing!AS$24</f>
        <v>0</v>
      </c>
      <c r="AT34" s="147">
        <f>DebtFinancing!AT$24</f>
        <v>0</v>
      </c>
      <c r="AU34" s="147">
        <f>DebtFinancing!AU$24</f>
        <v>0</v>
      </c>
      <c r="AV34" s="147">
        <f>DebtFinancing!AV$24</f>
        <v>0</v>
      </c>
      <c r="AW34" s="147">
        <f>DebtFinancing!AW$24</f>
        <v>0</v>
      </c>
      <c r="AX34" s="147">
        <f>DebtFinancing!AX$24</f>
        <v>0</v>
      </c>
      <c r="AY34" s="147">
        <f>DebtFinancing!AY$24</f>
        <v>0</v>
      </c>
      <c r="AZ34" s="147">
        <f>DebtFinancing!AZ$24</f>
        <v>0</v>
      </c>
      <c r="BA34" s="147">
        <f>DebtFinancing!BA$24</f>
        <v>0</v>
      </c>
      <c r="BB34" s="147">
        <f>DebtFinancing!BB$24</f>
        <v>0</v>
      </c>
      <c r="BC34" s="147">
        <f>DebtFinancing!BC$24</f>
        <v>0</v>
      </c>
      <c r="BD34" s="147">
        <f>DebtFinancing!BD$24</f>
        <v>0</v>
      </c>
      <c r="BE34" s="147">
        <f>DebtFinancing!BE$24</f>
        <v>0</v>
      </c>
      <c r="BF34" s="147">
        <f>DebtFinancing!BF$24</f>
        <v>0</v>
      </c>
      <c r="BG34" s="147">
        <f>DebtFinancing!BG$24</f>
        <v>0</v>
      </c>
      <c r="BH34" s="147">
        <f>DebtFinancing!BH$24</f>
        <v>0</v>
      </c>
      <c r="BI34" s="147">
        <f>DebtFinancing!BI$24</f>
        <v>0</v>
      </c>
      <c r="BJ34" s="147">
        <f>DebtFinancing!BJ$24</f>
        <v>0</v>
      </c>
      <c r="BK34" s="147">
        <f>DebtFinancing!BK$24</f>
        <v>0</v>
      </c>
      <c r="BL34" s="147">
        <f>DebtFinancing!BL$24</f>
        <v>0</v>
      </c>
      <c r="BM34" s="147">
        <f>DebtFinancing!BM$24</f>
        <v>0</v>
      </c>
      <c r="BN34" s="147">
        <f>DebtFinancing!BN$24</f>
        <v>0</v>
      </c>
      <c r="BO34" s="147">
        <f>DebtFinancing!BO$24</f>
        <v>0</v>
      </c>
      <c r="BP34" s="147">
        <f>DebtFinancing!BP$24</f>
        <v>0</v>
      </c>
      <c r="BQ34" s="147">
        <f>DebtFinancing!BQ$24</f>
        <v>0</v>
      </c>
      <c r="BR34" s="147">
        <f>DebtFinancing!BR$24</f>
        <v>0</v>
      </c>
    </row>
    <row r="35" spans="1:70" s="147" customFormat="1" ht="13.2" x14ac:dyDescent="0.25">
      <c r="A35" s="211"/>
      <c r="B35" s="147" t="s">
        <v>287</v>
      </c>
      <c r="D35" s="231" t="str">
        <f t="shared" si="9"/>
        <v>£</v>
      </c>
      <c r="E35" s="147">
        <f t="shared" si="10"/>
        <v>0</v>
      </c>
      <c r="F35" s="147">
        <f t="shared" si="1"/>
        <v>0</v>
      </c>
      <c r="G35" s="147">
        <f t="shared" si="1"/>
        <v>0</v>
      </c>
      <c r="H35" s="147">
        <f t="shared" si="1"/>
        <v>0</v>
      </c>
      <c r="I35" s="147">
        <f t="shared" si="1"/>
        <v>0</v>
      </c>
      <c r="K35" s="147">
        <f>DebtFinancing!K$17</f>
        <v>0</v>
      </c>
      <c r="L35" s="147">
        <f>DebtFinancing!L$17</f>
        <v>0</v>
      </c>
      <c r="M35" s="147">
        <f>DebtFinancing!M$17</f>
        <v>0</v>
      </c>
      <c r="N35" s="147">
        <f>DebtFinancing!N$17</f>
        <v>0</v>
      </c>
      <c r="O35" s="147">
        <f>DebtFinancing!O$17</f>
        <v>0</v>
      </c>
      <c r="P35" s="147">
        <f>DebtFinancing!P$17</f>
        <v>0</v>
      </c>
      <c r="Q35" s="147">
        <f>DebtFinancing!Q$17</f>
        <v>0</v>
      </c>
      <c r="R35" s="147">
        <f>DebtFinancing!R$17</f>
        <v>0</v>
      </c>
      <c r="S35" s="147">
        <f>DebtFinancing!S$17</f>
        <v>0</v>
      </c>
      <c r="T35" s="147">
        <f>DebtFinancing!T$17</f>
        <v>0</v>
      </c>
      <c r="U35" s="147">
        <f>DebtFinancing!U$17</f>
        <v>0</v>
      </c>
      <c r="V35" s="147">
        <f>DebtFinancing!V$17</f>
        <v>0</v>
      </c>
      <c r="W35" s="147">
        <f>DebtFinancing!W$17</f>
        <v>0</v>
      </c>
      <c r="X35" s="147">
        <f>DebtFinancing!X$17</f>
        <v>0</v>
      </c>
      <c r="Y35" s="147">
        <f>DebtFinancing!Y$17</f>
        <v>0</v>
      </c>
      <c r="Z35" s="147">
        <f>DebtFinancing!Z$17</f>
        <v>0</v>
      </c>
      <c r="AA35" s="147">
        <f>DebtFinancing!AA$17</f>
        <v>0</v>
      </c>
      <c r="AB35" s="147">
        <f>DebtFinancing!AB$17</f>
        <v>0</v>
      </c>
      <c r="AC35" s="147">
        <f>DebtFinancing!AC$17</f>
        <v>0</v>
      </c>
      <c r="AD35" s="147">
        <f>DebtFinancing!AD$17</f>
        <v>0</v>
      </c>
      <c r="AE35" s="147">
        <f>DebtFinancing!AE$17</f>
        <v>0</v>
      </c>
      <c r="AF35" s="147">
        <f>DebtFinancing!AF$17</f>
        <v>0</v>
      </c>
      <c r="AG35" s="147">
        <f>DebtFinancing!AG$17</f>
        <v>0</v>
      </c>
      <c r="AH35" s="147">
        <f>DebtFinancing!AH$17</f>
        <v>0</v>
      </c>
      <c r="AI35" s="147">
        <f>DebtFinancing!AI$17</f>
        <v>0</v>
      </c>
      <c r="AJ35" s="147">
        <f>DebtFinancing!AJ$17</f>
        <v>0</v>
      </c>
      <c r="AK35" s="147">
        <f>DebtFinancing!AK$17</f>
        <v>0</v>
      </c>
      <c r="AL35" s="147">
        <f>DebtFinancing!AL$17</f>
        <v>0</v>
      </c>
      <c r="AM35" s="147">
        <f>DebtFinancing!AM$17</f>
        <v>0</v>
      </c>
      <c r="AN35" s="147">
        <f>DebtFinancing!AN$17</f>
        <v>0</v>
      </c>
      <c r="AO35" s="147">
        <f>DebtFinancing!AO$17</f>
        <v>0</v>
      </c>
      <c r="AP35" s="147">
        <f>DebtFinancing!AP$17</f>
        <v>0</v>
      </c>
      <c r="AQ35" s="147">
        <f>DebtFinancing!AQ$17</f>
        <v>0</v>
      </c>
      <c r="AR35" s="147">
        <f>DebtFinancing!AR$17</f>
        <v>0</v>
      </c>
      <c r="AS35" s="147">
        <f>DebtFinancing!AS$17</f>
        <v>0</v>
      </c>
      <c r="AT35" s="147">
        <f>DebtFinancing!AT$17</f>
        <v>0</v>
      </c>
      <c r="AU35" s="147">
        <f>DebtFinancing!AU$17</f>
        <v>0</v>
      </c>
      <c r="AV35" s="147">
        <f>DebtFinancing!AV$17</f>
        <v>0</v>
      </c>
      <c r="AW35" s="147">
        <f>DebtFinancing!AW$17</f>
        <v>0</v>
      </c>
      <c r="AX35" s="147">
        <f>DebtFinancing!AX$17</f>
        <v>0</v>
      </c>
      <c r="AY35" s="147">
        <f>DebtFinancing!AY$17</f>
        <v>0</v>
      </c>
      <c r="AZ35" s="147">
        <f>DebtFinancing!AZ$17</f>
        <v>0</v>
      </c>
      <c r="BA35" s="147">
        <f>DebtFinancing!BA$17</f>
        <v>0</v>
      </c>
      <c r="BB35" s="147">
        <f>DebtFinancing!BB$17</f>
        <v>0</v>
      </c>
      <c r="BC35" s="147">
        <f>DebtFinancing!BC$17</f>
        <v>0</v>
      </c>
      <c r="BD35" s="147">
        <f>DebtFinancing!BD$17</f>
        <v>0</v>
      </c>
      <c r="BE35" s="147">
        <f>DebtFinancing!BE$17</f>
        <v>0</v>
      </c>
      <c r="BF35" s="147">
        <f>DebtFinancing!BF$17</f>
        <v>0</v>
      </c>
      <c r="BG35" s="147">
        <f>DebtFinancing!BG$17</f>
        <v>0</v>
      </c>
      <c r="BH35" s="147">
        <f>DebtFinancing!BH$17</f>
        <v>0</v>
      </c>
      <c r="BI35" s="147">
        <f>DebtFinancing!BI$17</f>
        <v>0</v>
      </c>
      <c r="BJ35" s="147">
        <f>DebtFinancing!BJ$17</f>
        <v>0</v>
      </c>
      <c r="BK35" s="147">
        <f>DebtFinancing!BK$17</f>
        <v>0</v>
      </c>
      <c r="BL35" s="147">
        <f>DebtFinancing!BL$17</f>
        <v>0</v>
      </c>
      <c r="BM35" s="147">
        <f>DebtFinancing!BM$17</f>
        <v>0</v>
      </c>
      <c r="BN35" s="147">
        <f>DebtFinancing!BN$17</f>
        <v>0</v>
      </c>
      <c r="BO35" s="147">
        <f>DebtFinancing!BO$17</f>
        <v>0</v>
      </c>
      <c r="BP35" s="147">
        <f>DebtFinancing!BP$17</f>
        <v>0</v>
      </c>
      <c r="BQ35" s="147">
        <f>DebtFinancing!BQ$17</f>
        <v>0</v>
      </c>
      <c r="BR35" s="147">
        <f>DebtFinancing!BR$17</f>
        <v>0</v>
      </c>
    </row>
    <row r="36" spans="1:70" s="147" customFormat="1" ht="13.2" x14ac:dyDescent="0.25">
      <c r="A36" s="211"/>
      <c r="B36" s="147" t="s">
        <v>377</v>
      </c>
      <c r="D36" s="231" t="str">
        <f t="shared" si="9"/>
        <v>£</v>
      </c>
      <c r="E36" s="147">
        <f t="shared" si="10"/>
        <v>0</v>
      </c>
      <c r="F36" s="147">
        <f t="shared" si="1"/>
        <v>0</v>
      </c>
      <c r="G36" s="147">
        <f t="shared" si="1"/>
        <v>0</v>
      </c>
      <c r="H36" s="147">
        <f t="shared" si="1"/>
        <v>0</v>
      </c>
      <c r="I36" s="147">
        <f t="shared" si="1"/>
        <v>0</v>
      </c>
      <c r="K36" s="147">
        <f>GrantIncome!K17</f>
        <v>0</v>
      </c>
      <c r="L36" s="147">
        <f>GrantIncome!L17</f>
        <v>0</v>
      </c>
      <c r="M36" s="147">
        <f>GrantIncome!M17</f>
        <v>0</v>
      </c>
      <c r="N36" s="147">
        <f>GrantIncome!N17</f>
        <v>0</v>
      </c>
      <c r="O36" s="147">
        <f>GrantIncome!O17</f>
        <v>0</v>
      </c>
      <c r="P36" s="147">
        <f>GrantIncome!P17</f>
        <v>0</v>
      </c>
      <c r="Q36" s="147">
        <f>GrantIncome!Q17</f>
        <v>0</v>
      </c>
      <c r="R36" s="147">
        <f>GrantIncome!R17</f>
        <v>0</v>
      </c>
      <c r="S36" s="147">
        <f>GrantIncome!S17</f>
        <v>0</v>
      </c>
      <c r="T36" s="147">
        <f>GrantIncome!T17</f>
        <v>0</v>
      </c>
      <c r="U36" s="147">
        <f>GrantIncome!U17</f>
        <v>0</v>
      </c>
      <c r="V36" s="147">
        <f>GrantIncome!V17</f>
        <v>0</v>
      </c>
      <c r="W36" s="147">
        <f>GrantIncome!W17</f>
        <v>0</v>
      </c>
      <c r="X36" s="147">
        <f>GrantIncome!X17</f>
        <v>0</v>
      </c>
      <c r="Y36" s="147">
        <f>GrantIncome!Y17</f>
        <v>0</v>
      </c>
      <c r="Z36" s="147">
        <f>GrantIncome!Z17</f>
        <v>0</v>
      </c>
      <c r="AA36" s="147">
        <f>GrantIncome!AA17</f>
        <v>0</v>
      </c>
      <c r="AB36" s="147">
        <f>GrantIncome!AB17</f>
        <v>0</v>
      </c>
      <c r="AC36" s="147">
        <f>GrantIncome!AC17</f>
        <v>0</v>
      </c>
      <c r="AD36" s="147">
        <f>GrantIncome!AD17</f>
        <v>0</v>
      </c>
      <c r="AE36" s="147">
        <f>GrantIncome!AE17</f>
        <v>0</v>
      </c>
      <c r="AF36" s="147">
        <f>GrantIncome!AF17</f>
        <v>0</v>
      </c>
      <c r="AG36" s="147">
        <f>GrantIncome!AG17</f>
        <v>0</v>
      </c>
      <c r="AH36" s="147">
        <f>GrantIncome!AH17</f>
        <v>0</v>
      </c>
      <c r="AI36" s="147">
        <f>GrantIncome!AI17</f>
        <v>0</v>
      </c>
      <c r="AJ36" s="147">
        <f>GrantIncome!AJ17</f>
        <v>0</v>
      </c>
      <c r="AK36" s="147">
        <f>GrantIncome!AK17</f>
        <v>0</v>
      </c>
      <c r="AL36" s="147">
        <f>GrantIncome!AL17</f>
        <v>0</v>
      </c>
      <c r="AM36" s="147">
        <f>GrantIncome!AM17</f>
        <v>0</v>
      </c>
      <c r="AN36" s="147">
        <f>GrantIncome!AN17</f>
        <v>0</v>
      </c>
      <c r="AO36" s="147">
        <f>GrantIncome!AO17</f>
        <v>0</v>
      </c>
      <c r="AP36" s="147">
        <f>GrantIncome!AP17</f>
        <v>0</v>
      </c>
      <c r="AQ36" s="147">
        <f>GrantIncome!AQ17</f>
        <v>0</v>
      </c>
      <c r="AR36" s="147">
        <f>GrantIncome!AR17</f>
        <v>0</v>
      </c>
      <c r="AS36" s="147">
        <f>GrantIncome!AS17</f>
        <v>0</v>
      </c>
      <c r="AT36" s="147">
        <f>GrantIncome!AT17</f>
        <v>0</v>
      </c>
      <c r="AU36" s="147">
        <f>GrantIncome!AU17</f>
        <v>0</v>
      </c>
      <c r="AV36" s="147">
        <f>GrantIncome!AV17</f>
        <v>0</v>
      </c>
      <c r="AW36" s="147">
        <f>GrantIncome!AW17</f>
        <v>0</v>
      </c>
      <c r="AX36" s="147">
        <f>GrantIncome!AX17</f>
        <v>0</v>
      </c>
      <c r="AY36" s="147">
        <f>GrantIncome!AY17</f>
        <v>0</v>
      </c>
      <c r="AZ36" s="147">
        <f>GrantIncome!AZ17</f>
        <v>0</v>
      </c>
      <c r="BA36" s="147">
        <f>GrantIncome!BA17</f>
        <v>0</v>
      </c>
      <c r="BB36" s="147">
        <f>GrantIncome!BB17</f>
        <v>0</v>
      </c>
      <c r="BC36" s="147">
        <f>GrantIncome!BC17</f>
        <v>0</v>
      </c>
      <c r="BD36" s="147">
        <f>GrantIncome!BD17</f>
        <v>0</v>
      </c>
      <c r="BE36" s="147">
        <f>GrantIncome!BE17</f>
        <v>0</v>
      </c>
      <c r="BF36" s="147">
        <f>GrantIncome!BF17</f>
        <v>0</v>
      </c>
      <c r="BG36" s="147">
        <f>GrantIncome!BG17</f>
        <v>0</v>
      </c>
      <c r="BH36" s="147">
        <f>GrantIncome!BH17</f>
        <v>0</v>
      </c>
      <c r="BI36" s="147">
        <f>GrantIncome!BI17</f>
        <v>0</v>
      </c>
      <c r="BJ36" s="147">
        <f>GrantIncome!BJ17</f>
        <v>0</v>
      </c>
      <c r="BK36" s="147">
        <f>GrantIncome!BK17</f>
        <v>0</v>
      </c>
      <c r="BL36" s="147">
        <f>GrantIncome!BL17</f>
        <v>0</v>
      </c>
      <c r="BM36" s="147">
        <f>GrantIncome!BM17</f>
        <v>0</v>
      </c>
      <c r="BN36" s="147">
        <f>GrantIncome!BN17</f>
        <v>0</v>
      </c>
      <c r="BO36" s="147">
        <f>GrantIncome!BO17</f>
        <v>0</v>
      </c>
      <c r="BP36" s="147">
        <f>GrantIncome!BP17</f>
        <v>0</v>
      </c>
      <c r="BQ36" s="147">
        <f>GrantIncome!BQ17</f>
        <v>0</v>
      </c>
      <c r="BR36" s="147">
        <f>GrantIncome!BR17</f>
        <v>0</v>
      </c>
    </row>
    <row r="37" spans="1:70" s="147" customFormat="1" ht="13.2" x14ac:dyDescent="0.25">
      <c r="A37" s="211"/>
      <c r="B37" s="147" t="s">
        <v>268</v>
      </c>
      <c r="D37" s="231" t="str">
        <f t="shared" si="9"/>
        <v>£</v>
      </c>
      <c r="E37" s="147">
        <f t="shared" ca="1" si="10"/>
        <v>0</v>
      </c>
      <c r="F37" s="147">
        <f t="shared" ca="1" si="1"/>
        <v>0</v>
      </c>
      <c r="G37" s="147">
        <f t="shared" ca="1" si="1"/>
        <v>0</v>
      </c>
      <c r="H37" s="147">
        <f t="shared" ca="1" si="1"/>
        <v>0</v>
      </c>
      <c r="I37" s="147">
        <f t="shared" ca="1" si="1"/>
        <v>0</v>
      </c>
      <c r="K37" s="147">
        <f ca="1">TAX!K$44</f>
        <v>0</v>
      </c>
      <c r="L37" s="147">
        <f ca="1">TAX!L$44</f>
        <v>0</v>
      </c>
      <c r="M37" s="147">
        <f ca="1">TAX!M$44</f>
        <v>0</v>
      </c>
      <c r="N37" s="147">
        <f ca="1">TAX!N$44</f>
        <v>0</v>
      </c>
      <c r="O37" s="147">
        <f ca="1">TAX!O$44</f>
        <v>0</v>
      </c>
      <c r="P37" s="147">
        <f ca="1">TAX!P$44</f>
        <v>0</v>
      </c>
      <c r="Q37" s="147">
        <f ca="1">TAX!Q$44</f>
        <v>0</v>
      </c>
      <c r="R37" s="147">
        <f ca="1">TAX!R$44</f>
        <v>0</v>
      </c>
      <c r="S37" s="147">
        <f ca="1">TAX!S$44</f>
        <v>0</v>
      </c>
      <c r="T37" s="147">
        <f ca="1">TAX!T$44</f>
        <v>0</v>
      </c>
      <c r="U37" s="147">
        <f ca="1">TAX!U$44</f>
        <v>0</v>
      </c>
      <c r="V37" s="147">
        <f ca="1">TAX!V$44</f>
        <v>0</v>
      </c>
      <c r="W37" s="147">
        <f ca="1">TAX!W$44</f>
        <v>0</v>
      </c>
      <c r="X37" s="147">
        <f ca="1">TAX!X$44</f>
        <v>0</v>
      </c>
      <c r="Y37" s="147">
        <f ca="1">TAX!Y$44</f>
        <v>0</v>
      </c>
      <c r="Z37" s="147">
        <f ca="1">TAX!Z$44</f>
        <v>0</v>
      </c>
      <c r="AA37" s="147">
        <f ca="1">TAX!AA$44</f>
        <v>0</v>
      </c>
      <c r="AB37" s="147">
        <f ca="1">TAX!AB$44</f>
        <v>0</v>
      </c>
      <c r="AC37" s="147">
        <f ca="1">TAX!AC$44</f>
        <v>0</v>
      </c>
      <c r="AD37" s="147">
        <f ca="1">TAX!AD$44</f>
        <v>0</v>
      </c>
      <c r="AE37" s="147">
        <f ca="1">TAX!AE$44</f>
        <v>0</v>
      </c>
      <c r="AF37" s="147">
        <f ca="1">TAX!AF$44</f>
        <v>0</v>
      </c>
      <c r="AG37" s="147">
        <f ca="1">TAX!AG$44</f>
        <v>0</v>
      </c>
      <c r="AH37" s="147">
        <f ca="1">TAX!AH$44</f>
        <v>0</v>
      </c>
      <c r="AI37" s="147">
        <f ca="1">TAX!AI$44</f>
        <v>0</v>
      </c>
      <c r="AJ37" s="147">
        <f ca="1">TAX!AJ$44</f>
        <v>0</v>
      </c>
      <c r="AK37" s="147">
        <f ca="1">TAX!AK$44</f>
        <v>0</v>
      </c>
      <c r="AL37" s="147">
        <f ca="1">TAX!AL$44</f>
        <v>0</v>
      </c>
      <c r="AM37" s="147">
        <f ca="1">TAX!AM$44</f>
        <v>0</v>
      </c>
      <c r="AN37" s="147">
        <f ca="1">TAX!AN$44</f>
        <v>0</v>
      </c>
      <c r="AO37" s="147">
        <f ca="1">TAX!AO$44</f>
        <v>0</v>
      </c>
      <c r="AP37" s="147">
        <f ca="1">TAX!AP$44</f>
        <v>0</v>
      </c>
      <c r="AQ37" s="147">
        <f ca="1">TAX!AQ$44</f>
        <v>0</v>
      </c>
      <c r="AR37" s="147">
        <f ca="1">TAX!AR$44</f>
        <v>0</v>
      </c>
      <c r="AS37" s="147">
        <f ca="1">TAX!AS$44</f>
        <v>0</v>
      </c>
      <c r="AT37" s="147">
        <f ca="1">TAX!AT$44</f>
        <v>0</v>
      </c>
      <c r="AU37" s="147">
        <f ca="1">TAX!AU$44</f>
        <v>0</v>
      </c>
      <c r="AV37" s="147">
        <f ca="1">TAX!AV$44</f>
        <v>0</v>
      </c>
      <c r="AW37" s="147">
        <f ca="1">TAX!AW$44</f>
        <v>0</v>
      </c>
      <c r="AX37" s="147">
        <f ca="1">TAX!AX$44</f>
        <v>0</v>
      </c>
      <c r="AY37" s="147">
        <f ca="1">TAX!AY$44</f>
        <v>0</v>
      </c>
      <c r="AZ37" s="147">
        <f ca="1">TAX!AZ$44</f>
        <v>0</v>
      </c>
      <c r="BA37" s="147">
        <f ca="1">TAX!BA$44</f>
        <v>0</v>
      </c>
      <c r="BB37" s="147">
        <f ca="1">TAX!BB$44</f>
        <v>0</v>
      </c>
      <c r="BC37" s="147">
        <f ca="1">TAX!BC$44</f>
        <v>0</v>
      </c>
      <c r="BD37" s="147">
        <f ca="1">TAX!BD$44</f>
        <v>0</v>
      </c>
      <c r="BE37" s="147">
        <f ca="1">TAX!BE$44</f>
        <v>0</v>
      </c>
      <c r="BF37" s="147">
        <f ca="1">TAX!BF$44</f>
        <v>0</v>
      </c>
      <c r="BG37" s="147">
        <f ca="1">TAX!BG$44</f>
        <v>0</v>
      </c>
      <c r="BH37" s="147">
        <f ca="1">TAX!BH$44</f>
        <v>0</v>
      </c>
      <c r="BI37" s="147">
        <f ca="1">TAX!BI$44</f>
        <v>0</v>
      </c>
      <c r="BJ37" s="147">
        <f ca="1">TAX!BJ$44</f>
        <v>0</v>
      </c>
      <c r="BK37" s="147">
        <f ca="1">TAX!BK$44</f>
        <v>0</v>
      </c>
      <c r="BL37" s="147">
        <f ca="1">TAX!BL$44</f>
        <v>0</v>
      </c>
      <c r="BM37" s="147">
        <f ca="1">TAX!BM$44</f>
        <v>0</v>
      </c>
      <c r="BN37" s="147">
        <f ca="1">TAX!BN$44</f>
        <v>0</v>
      </c>
      <c r="BO37" s="147">
        <f ca="1">TAX!BO$44</f>
        <v>0</v>
      </c>
      <c r="BP37" s="147">
        <f ca="1">TAX!BP$44</f>
        <v>0</v>
      </c>
      <c r="BQ37" s="147">
        <f ca="1">TAX!BQ$44</f>
        <v>0</v>
      </c>
      <c r="BR37" s="147">
        <f ca="1">TAX!BR$44</f>
        <v>0</v>
      </c>
    </row>
    <row r="38" spans="1:70" s="147" customFormat="1" ht="13.2" x14ac:dyDescent="0.25">
      <c r="A38" s="211"/>
      <c r="F38" s="212"/>
    </row>
    <row r="39" spans="1:70" s="211" customFormat="1" thickBot="1" x14ac:dyDescent="0.3">
      <c r="B39" s="211" t="s">
        <v>288</v>
      </c>
      <c r="D39" s="248" t="str">
        <f>unit</f>
        <v>£</v>
      </c>
      <c r="E39" s="234">
        <f ca="1">SUM(E12,E19,E24,E29,E31:E37)</f>
        <v>0</v>
      </c>
      <c r="F39" s="234">
        <f ca="1">SUM(F12,F19,F24,F29,F31:F37)</f>
        <v>0</v>
      </c>
      <c r="G39" s="234">
        <f ca="1">SUM(G12,G19,G24,G29,G31:G37)</f>
        <v>0</v>
      </c>
      <c r="H39" s="234">
        <f ca="1">SUM(H12,H19,H24,H29,H31:H37)</f>
        <v>0</v>
      </c>
      <c r="I39" s="234">
        <f ca="1">SUM(I12,I19,I24,I29,I31:I37)</f>
        <v>0</v>
      </c>
      <c r="K39" s="234">
        <f t="shared" ref="K39:AP39" ca="1" si="11">SUM(K12,K19,K24,K29,K31:K37)</f>
        <v>0</v>
      </c>
      <c r="L39" s="234">
        <f t="shared" ca="1" si="11"/>
        <v>0</v>
      </c>
      <c r="M39" s="234">
        <f t="shared" ca="1" si="11"/>
        <v>0</v>
      </c>
      <c r="N39" s="234">
        <f t="shared" ca="1" si="11"/>
        <v>0</v>
      </c>
      <c r="O39" s="234">
        <f t="shared" ca="1" si="11"/>
        <v>0</v>
      </c>
      <c r="P39" s="234">
        <f t="shared" ca="1" si="11"/>
        <v>0</v>
      </c>
      <c r="Q39" s="234">
        <f t="shared" ca="1" si="11"/>
        <v>0</v>
      </c>
      <c r="R39" s="234">
        <f t="shared" ca="1" si="11"/>
        <v>0</v>
      </c>
      <c r="S39" s="234">
        <f t="shared" ca="1" si="11"/>
        <v>0</v>
      </c>
      <c r="T39" s="234">
        <f t="shared" ca="1" si="11"/>
        <v>0</v>
      </c>
      <c r="U39" s="234">
        <f t="shared" ca="1" si="11"/>
        <v>0</v>
      </c>
      <c r="V39" s="234">
        <f t="shared" ca="1" si="11"/>
        <v>0</v>
      </c>
      <c r="W39" s="234">
        <f t="shared" ca="1" si="11"/>
        <v>0</v>
      </c>
      <c r="X39" s="234">
        <f t="shared" ca="1" si="11"/>
        <v>0</v>
      </c>
      <c r="Y39" s="234">
        <f t="shared" ca="1" si="11"/>
        <v>0</v>
      </c>
      <c r="Z39" s="234">
        <f t="shared" ca="1" si="11"/>
        <v>0</v>
      </c>
      <c r="AA39" s="234">
        <f t="shared" ca="1" si="11"/>
        <v>0</v>
      </c>
      <c r="AB39" s="234">
        <f t="shared" ca="1" si="11"/>
        <v>0</v>
      </c>
      <c r="AC39" s="234">
        <f t="shared" ca="1" si="11"/>
        <v>0</v>
      </c>
      <c r="AD39" s="234">
        <f t="shared" ca="1" si="11"/>
        <v>0</v>
      </c>
      <c r="AE39" s="234">
        <f t="shared" ca="1" si="11"/>
        <v>0</v>
      </c>
      <c r="AF39" s="234">
        <f t="shared" ca="1" si="11"/>
        <v>0</v>
      </c>
      <c r="AG39" s="234">
        <f t="shared" ca="1" si="11"/>
        <v>0</v>
      </c>
      <c r="AH39" s="234">
        <f t="shared" ca="1" si="11"/>
        <v>0</v>
      </c>
      <c r="AI39" s="234">
        <f t="shared" ca="1" si="11"/>
        <v>0</v>
      </c>
      <c r="AJ39" s="234">
        <f t="shared" ca="1" si="11"/>
        <v>0</v>
      </c>
      <c r="AK39" s="234">
        <f t="shared" ca="1" si="11"/>
        <v>0</v>
      </c>
      <c r="AL39" s="234">
        <f t="shared" ca="1" si="11"/>
        <v>0</v>
      </c>
      <c r="AM39" s="234">
        <f t="shared" ca="1" si="11"/>
        <v>0</v>
      </c>
      <c r="AN39" s="234">
        <f t="shared" ca="1" si="11"/>
        <v>0</v>
      </c>
      <c r="AO39" s="234">
        <f t="shared" ca="1" si="11"/>
        <v>0</v>
      </c>
      <c r="AP39" s="234">
        <f t="shared" ca="1" si="11"/>
        <v>0</v>
      </c>
      <c r="AQ39" s="234">
        <f t="shared" ref="AQ39:BR39" ca="1" si="12">SUM(AQ12,AQ19,AQ24,AQ29,AQ31:AQ37)</f>
        <v>0</v>
      </c>
      <c r="AR39" s="234">
        <f t="shared" ca="1" si="12"/>
        <v>0</v>
      </c>
      <c r="AS39" s="234">
        <f t="shared" ca="1" si="12"/>
        <v>0</v>
      </c>
      <c r="AT39" s="234">
        <f t="shared" ca="1" si="12"/>
        <v>0</v>
      </c>
      <c r="AU39" s="234">
        <f t="shared" ca="1" si="12"/>
        <v>0</v>
      </c>
      <c r="AV39" s="234">
        <f t="shared" ca="1" si="12"/>
        <v>0</v>
      </c>
      <c r="AW39" s="234">
        <f t="shared" ca="1" si="12"/>
        <v>0</v>
      </c>
      <c r="AX39" s="234">
        <f t="shared" ca="1" si="12"/>
        <v>0</v>
      </c>
      <c r="AY39" s="234">
        <f t="shared" ca="1" si="12"/>
        <v>0</v>
      </c>
      <c r="AZ39" s="234">
        <f t="shared" ca="1" si="12"/>
        <v>0</v>
      </c>
      <c r="BA39" s="234">
        <f t="shared" ca="1" si="12"/>
        <v>0</v>
      </c>
      <c r="BB39" s="234">
        <f t="shared" ca="1" si="12"/>
        <v>0</v>
      </c>
      <c r="BC39" s="234">
        <f t="shared" ca="1" si="12"/>
        <v>0</v>
      </c>
      <c r="BD39" s="234">
        <f t="shared" ca="1" si="12"/>
        <v>0</v>
      </c>
      <c r="BE39" s="234">
        <f t="shared" ca="1" si="12"/>
        <v>0</v>
      </c>
      <c r="BF39" s="234">
        <f t="shared" ca="1" si="12"/>
        <v>0</v>
      </c>
      <c r="BG39" s="234">
        <f t="shared" ca="1" si="12"/>
        <v>0</v>
      </c>
      <c r="BH39" s="234">
        <f t="shared" ca="1" si="12"/>
        <v>0</v>
      </c>
      <c r="BI39" s="234">
        <f t="shared" ca="1" si="12"/>
        <v>0</v>
      </c>
      <c r="BJ39" s="234">
        <f t="shared" ca="1" si="12"/>
        <v>0</v>
      </c>
      <c r="BK39" s="234">
        <f t="shared" ca="1" si="12"/>
        <v>0</v>
      </c>
      <c r="BL39" s="234">
        <f t="shared" ca="1" si="12"/>
        <v>0</v>
      </c>
      <c r="BM39" s="234">
        <f t="shared" ca="1" si="12"/>
        <v>0</v>
      </c>
      <c r="BN39" s="234">
        <f t="shared" ca="1" si="12"/>
        <v>0</v>
      </c>
      <c r="BO39" s="234">
        <f t="shared" ca="1" si="12"/>
        <v>0</v>
      </c>
      <c r="BP39" s="234">
        <f t="shared" ca="1" si="12"/>
        <v>0</v>
      </c>
      <c r="BQ39" s="234">
        <f t="shared" ca="1" si="12"/>
        <v>0</v>
      </c>
      <c r="BR39" s="234">
        <f t="shared" ca="1" si="12"/>
        <v>0</v>
      </c>
    </row>
    <row r="40" spans="1:70" s="147" customFormat="1" thickTop="1" x14ac:dyDescent="0.25">
      <c r="A40" s="211"/>
      <c r="F40" s="212"/>
    </row>
    <row r="41" spans="1:70" s="147" customFormat="1" ht="13.2" x14ac:dyDescent="0.25">
      <c r="A41" s="211"/>
      <c r="B41" s="147" t="s">
        <v>289</v>
      </c>
      <c r="D41" s="231" t="str">
        <f>unit</f>
        <v>£</v>
      </c>
      <c r="E41" s="147">
        <f>INDEX($K41:$BR41,0,MATCH(E$8,$K$8:$BR$8,0))</f>
        <v>0</v>
      </c>
      <c r="F41" s="147">
        <f t="shared" ref="F41:I42" si="13">INDEX($K41:$BR41,0,MATCH(F$8,$K$8:$BR$8,0))</f>
        <v>0</v>
      </c>
      <c r="G41" s="147">
        <f t="shared" si="13"/>
        <v>0</v>
      </c>
      <c r="H41" s="147">
        <f t="shared" si="13"/>
        <v>0</v>
      </c>
      <c r="I41" s="147">
        <f t="shared" si="13"/>
        <v>0</v>
      </c>
      <c r="K41" s="216">
        <f>KeyInputs!G140+EquityFinancing!K22</f>
        <v>0</v>
      </c>
      <c r="L41" s="147">
        <f>K41+EquityFinancing!L22</f>
        <v>0</v>
      </c>
      <c r="M41" s="147">
        <f>L41+EquityFinancing!M22</f>
        <v>0</v>
      </c>
      <c r="N41" s="147">
        <f>M41+EquityFinancing!N22</f>
        <v>0</v>
      </c>
      <c r="O41" s="147">
        <f>N41+EquityFinancing!O22</f>
        <v>0</v>
      </c>
      <c r="P41" s="147">
        <f>O41+EquityFinancing!P22</f>
        <v>0</v>
      </c>
      <c r="Q41" s="147">
        <f>P41+EquityFinancing!Q22</f>
        <v>0</v>
      </c>
      <c r="R41" s="147">
        <f>Q41+EquityFinancing!R22</f>
        <v>0</v>
      </c>
      <c r="S41" s="147">
        <f>R41+EquityFinancing!S22</f>
        <v>0</v>
      </c>
      <c r="T41" s="147">
        <f>S41+EquityFinancing!T22</f>
        <v>0</v>
      </c>
      <c r="U41" s="147">
        <f>T41+EquityFinancing!U22</f>
        <v>0</v>
      </c>
      <c r="V41" s="147">
        <f>U41+EquityFinancing!V22</f>
        <v>0</v>
      </c>
      <c r="W41" s="147">
        <f>V41+EquityFinancing!W22</f>
        <v>0</v>
      </c>
      <c r="X41" s="147">
        <f>W41+EquityFinancing!X22</f>
        <v>0</v>
      </c>
      <c r="Y41" s="147">
        <f>X41+EquityFinancing!Y22</f>
        <v>0</v>
      </c>
      <c r="Z41" s="147">
        <f>Y41+EquityFinancing!Z22</f>
        <v>0</v>
      </c>
      <c r="AA41" s="147">
        <f>Z41+EquityFinancing!AA22</f>
        <v>0</v>
      </c>
      <c r="AB41" s="147">
        <f>AA41+EquityFinancing!AB22</f>
        <v>0</v>
      </c>
      <c r="AC41" s="147">
        <f>AB41+EquityFinancing!AC22</f>
        <v>0</v>
      </c>
      <c r="AD41" s="147">
        <f>AC41+EquityFinancing!AD22</f>
        <v>0</v>
      </c>
      <c r="AE41" s="147">
        <f>AD41+EquityFinancing!AE22</f>
        <v>0</v>
      </c>
      <c r="AF41" s="147">
        <f>AE41+EquityFinancing!AF22</f>
        <v>0</v>
      </c>
      <c r="AG41" s="147">
        <f>AF41+EquityFinancing!AG22</f>
        <v>0</v>
      </c>
      <c r="AH41" s="147">
        <f>AG41+EquityFinancing!AH22</f>
        <v>0</v>
      </c>
      <c r="AI41" s="147">
        <f>AH41+EquityFinancing!AI22</f>
        <v>0</v>
      </c>
      <c r="AJ41" s="147">
        <f>AI41+EquityFinancing!AJ22</f>
        <v>0</v>
      </c>
      <c r="AK41" s="147">
        <f>AJ41+EquityFinancing!AK22</f>
        <v>0</v>
      </c>
      <c r="AL41" s="147">
        <f>AK41+EquityFinancing!AL22</f>
        <v>0</v>
      </c>
      <c r="AM41" s="147">
        <f>AL41+EquityFinancing!AM22</f>
        <v>0</v>
      </c>
      <c r="AN41" s="147">
        <f>AM41+EquityFinancing!AN22</f>
        <v>0</v>
      </c>
      <c r="AO41" s="147">
        <f>AN41+EquityFinancing!AO22</f>
        <v>0</v>
      </c>
      <c r="AP41" s="147">
        <f>AO41+EquityFinancing!AP22</f>
        <v>0</v>
      </c>
      <c r="AQ41" s="147">
        <f>AP41+EquityFinancing!AQ22</f>
        <v>0</v>
      </c>
      <c r="AR41" s="147">
        <f>AQ41+EquityFinancing!AR22</f>
        <v>0</v>
      </c>
      <c r="AS41" s="147">
        <f>AR41+EquityFinancing!AS22</f>
        <v>0</v>
      </c>
      <c r="AT41" s="147">
        <f>AS41+EquityFinancing!AT22</f>
        <v>0</v>
      </c>
      <c r="AU41" s="147">
        <f>AT41+EquityFinancing!AU22</f>
        <v>0</v>
      </c>
      <c r="AV41" s="147">
        <f>AU41+EquityFinancing!AV22</f>
        <v>0</v>
      </c>
      <c r="AW41" s="147">
        <f>AV41+EquityFinancing!AW22</f>
        <v>0</v>
      </c>
      <c r="AX41" s="147">
        <f>AW41+EquityFinancing!AX22</f>
        <v>0</v>
      </c>
      <c r="AY41" s="147">
        <f>AX41+EquityFinancing!AY22</f>
        <v>0</v>
      </c>
      <c r="AZ41" s="147">
        <f>AY41+EquityFinancing!AZ22</f>
        <v>0</v>
      </c>
      <c r="BA41" s="147">
        <f>AZ41+EquityFinancing!BA22</f>
        <v>0</v>
      </c>
      <c r="BB41" s="147">
        <f>BA41+EquityFinancing!BB22</f>
        <v>0</v>
      </c>
      <c r="BC41" s="147">
        <f>BB41+EquityFinancing!BC22</f>
        <v>0</v>
      </c>
      <c r="BD41" s="147">
        <f>BC41+EquityFinancing!BD22</f>
        <v>0</v>
      </c>
      <c r="BE41" s="147">
        <f>BD41+EquityFinancing!BE22</f>
        <v>0</v>
      </c>
      <c r="BF41" s="147">
        <f>BE41+EquityFinancing!BF22</f>
        <v>0</v>
      </c>
      <c r="BG41" s="147">
        <f>BF41+EquityFinancing!BG22</f>
        <v>0</v>
      </c>
      <c r="BH41" s="147">
        <f>BG41+EquityFinancing!BH22</f>
        <v>0</v>
      </c>
      <c r="BI41" s="147">
        <f>BH41+EquityFinancing!BI22</f>
        <v>0</v>
      </c>
      <c r="BJ41" s="147">
        <f>BI41+EquityFinancing!BJ22</f>
        <v>0</v>
      </c>
      <c r="BK41" s="147">
        <f>BJ41+EquityFinancing!BK22</f>
        <v>0</v>
      </c>
      <c r="BL41" s="147">
        <f>BK41+EquityFinancing!BL22</f>
        <v>0</v>
      </c>
      <c r="BM41" s="147">
        <f>BL41+EquityFinancing!BM22</f>
        <v>0</v>
      </c>
      <c r="BN41" s="147">
        <f>BM41+EquityFinancing!BN22</f>
        <v>0</v>
      </c>
      <c r="BO41" s="147">
        <f>BN41+EquityFinancing!BO22</f>
        <v>0</v>
      </c>
      <c r="BP41" s="147">
        <f>BO41+EquityFinancing!BP22</f>
        <v>0</v>
      </c>
      <c r="BQ41" s="147">
        <f>BP41+EquityFinancing!BQ22</f>
        <v>0</v>
      </c>
      <c r="BR41" s="147">
        <f>BQ41+EquityFinancing!BR22</f>
        <v>0</v>
      </c>
    </row>
    <row r="42" spans="1:70" s="147" customFormat="1" ht="13.2" x14ac:dyDescent="0.25">
      <c r="A42" s="211"/>
      <c r="B42" s="147" t="s">
        <v>290</v>
      </c>
      <c r="D42" s="231" t="str">
        <f>unit</f>
        <v>£</v>
      </c>
      <c r="E42" s="147">
        <f ca="1">INDEX($K42:$BR42,0,MATCH(E$8,$K$8:$BR$8,0))</f>
        <v>0</v>
      </c>
      <c r="F42" s="147">
        <f t="shared" ca="1" si="13"/>
        <v>0</v>
      </c>
      <c r="G42" s="147">
        <f t="shared" ca="1" si="13"/>
        <v>0</v>
      </c>
      <c r="H42" s="147">
        <f t="shared" ca="1" si="13"/>
        <v>0</v>
      </c>
      <c r="I42" s="147">
        <f t="shared" ca="1" si="13"/>
        <v>0</v>
      </c>
      <c r="J42" s="224"/>
      <c r="K42" s="147">
        <f ca="1">'Outputs - P&amp;L'!K48</f>
        <v>0</v>
      </c>
      <c r="L42" s="147">
        <f ca="1">'Outputs - P&amp;L'!L48</f>
        <v>0</v>
      </c>
      <c r="M42" s="147">
        <f ca="1">'Outputs - P&amp;L'!M48</f>
        <v>0</v>
      </c>
      <c r="N42" s="147">
        <f ca="1">'Outputs - P&amp;L'!N48</f>
        <v>0</v>
      </c>
      <c r="O42" s="147">
        <f ca="1">'Outputs - P&amp;L'!O48</f>
        <v>0</v>
      </c>
      <c r="P42" s="147">
        <f ca="1">'Outputs - P&amp;L'!P48</f>
        <v>0</v>
      </c>
      <c r="Q42" s="147">
        <f ca="1">'Outputs - P&amp;L'!Q48</f>
        <v>0</v>
      </c>
      <c r="R42" s="147">
        <f ca="1">'Outputs - P&amp;L'!R48</f>
        <v>0</v>
      </c>
      <c r="S42" s="147">
        <f ca="1">'Outputs - P&amp;L'!S48</f>
        <v>0</v>
      </c>
      <c r="T42" s="147">
        <f ca="1">'Outputs - P&amp;L'!T48</f>
        <v>0</v>
      </c>
      <c r="U42" s="147">
        <f ca="1">'Outputs - P&amp;L'!U48</f>
        <v>0</v>
      </c>
      <c r="V42" s="147">
        <f ca="1">'Outputs - P&amp;L'!V48</f>
        <v>0</v>
      </c>
      <c r="W42" s="147">
        <f ca="1">'Outputs - P&amp;L'!W48</f>
        <v>0</v>
      </c>
      <c r="X42" s="147">
        <f ca="1">'Outputs - P&amp;L'!X48</f>
        <v>0</v>
      </c>
      <c r="Y42" s="147">
        <f ca="1">'Outputs - P&amp;L'!Y48</f>
        <v>0</v>
      </c>
      <c r="Z42" s="147">
        <f ca="1">'Outputs - P&amp;L'!Z48</f>
        <v>0</v>
      </c>
      <c r="AA42" s="147">
        <f ca="1">'Outputs - P&amp;L'!AA48</f>
        <v>0</v>
      </c>
      <c r="AB42" s="147">
        <f ca="1">'Outputs - P&amp;L'!AB48</f>
        <v>0</v>
      </c>
      <c r="AC42" s="147">
        <f ca="1">'Outputs - P&amp;L'!AC48</f>
        <v>0</v>
      </c>
      <c r="AD42" s="147">
        <f ca="1">'Outputs - P&amp;L'!AD48</f>
        <v>0</v>
      </c>
      <c r="AE42" s="147">
        <f ca="1">'Outputs - P&amp;L'!AE48</f>
        <v>0</v>
      </c>
      <c r="AF42" s="147">
        <f ca="1">'Outputs - P&amp;L'!AF48</f>
        <v>0</v>
      </c>
      <c r="AG42" s="147">
        <f ca="1">'Outputs - P&amp;L'!AG48</f>
        <v>0</v>
      </c>
      <c r="AH42" s="147">
        <f ca="1">'Outputs - P&amp;L'!AH48</f>
        <v>0</v>
      </c>
      <c r="AI42" s="147">
        <f ca="1">'Outputs - P&amp;L'!AI48</f>
        <v>0</v>
      </c>
      <c r="AJ42" s="147">
        <f ca="1">'Outputs - P&amp;L'!AJ48</f>
        <v>0</v>
      </c>
      <c r="AK42" s="147">
        <f ca="1">'Outputs - P&amp;L'!AK48</f>
        <v>0</v>
      </c>
      <c r="AL42" s="147">
        <f ca="1">'Outputs - P&amp;L'!AL48</f>
        <v>0</v>
      </c>
      <c r="AM42" s="147">
        <f ca="1">'Outputs - P&amp;L'!AM48</f>
        <v>0</v>
      </c>
      <c r="AN42" s="147">
        <f ca="1">'Outputs - P&amp;L'!AN48</f>
        <v>0</v>
      </c>
      <c r="AO42" s="147">
        <f ca="1">'Outputs - P&amp;L'!AO48</f>
        <v>0</v>
      </c>
      <c r="AP42" s="147">
        <f ca="1">'Outputs - P&amp;L'!AP48</f>
        <v>0</v>
      </c>
      <c r="AQ42" s="147">
        <f ca="1">'Outputs - P&amp;L'!AQ48</f>
        <v>0</v>
      </c>
      <c r="AR42" s="147">
        <f ca="1">'Outputs - P&amp;L'!AR48</f>
        <v>0</v>
      </c>
      <c r="AS42" s="147">
        <f ca="1">'Outputs - P&amp;L'!AS48</f>
        <v>0</v>
      </c>
      <c r="AT42" s="147">
        <f ca="1">'Outputs - P&amp;L'!AT48</f>
        <v>0</v>
      </c>
      <c r="AU42" s="147">
        <f ca="1">'Outputs - P&amp;L'!AU48</f>
        <v>0</v>
      </c>
      <c r="AV42" s="147">
        <f ca="1">'Outputs - P&amp;L'!AV48</f>
        <v>0</v>
      </c>
      <c r="AW42" s="147">
        <f ca="1">'Outputs - P&amp;L'!AW48</f>
        <v>0</v>
      </c>
      <c r="AX42" s="147">
        <f ca="1">'Outputs - P&amp;L'!AX48</f>
        <v>0</v>
      </c>
      <c r="AY42" s="147">
        <f ca="1">'Outputs - P&amp;L'!AY48</f>
        <v>0</v>
      </c>
      <c r="AZ42" s="147">
        <f ca="1">'Outputs - P&amp;L'!AZ48</f>
        <v>0</v>
      </c>
      <c r="BA42" s="147">
        <f ca="1">'Outputs - P&amp;L'!BA48</f>
        <v>0</v>
      </c>
      <c r="BB42" s="147">
        <f ca="1">'Outputs - P&amp;L'!BB48</f>
        <v>0</v>
      </c>
      <c r="BC42" s="147">
        <f ca="1">'Outputs - P&amp;L'!BC48</f>
        <v>0</v>
      </c>
      <c r="BD42" s="147">
        <f ca="1">'Outputs - P&amp;L'!BD48</f>
        <v>0</v>
      </c>
      <c r="BE42" s="147">
        <f ca="1">'Outputs - P&amp;L'!BE48</f>
        <v>0</v>
      </c>
      <c r="BF42" s="147">
        <f ca="1">'Outputs - P&amp;L'!BF48</f>
        <v>0</v>
      </c>
      <c r="BG42" s="147">
        <f ca="1">'Outputs - P&amp;L'!BG48</f>
        <v>0</v>
      </c>
      <c r="BH42" s="147">
        <f ca="1">'Outputs - P&amp;L'!BH48</f>
        <v>0</v>
      </c>
      <c r="BI42" s="147">
        <f ca="1">'Outputs - P&amp;L'!BI48</f>
        <v>0</v>
      </c>
      <c r="BJ42" s="147">
        <f ca="1">'Outputs - P&amp;L'!BJ48</f>
        <v>0</v>
      </c>
      <c r="BK42" s="147">
        <f ca="1">'Outputs - P&amp;L'!BK48</f>
        <v>0</v>
      </c>
      <c r="BL42" s="147">
        <f ca="1">'Outputs - P&amp;L'!BL48</f>
        <v>0</v>
      </c>
      <c r="BM42" s="147">
        <f ca="1">'Outputs - P&amp;L'!BM48</f>
        <v>0</v>
      </c>
      <c r="BN42" s="147">
        <f ca="1">'Outputs - P&amp;L'!BN48</f>
        <v>0</v>
      </c>
      <c r="BO42" s="147">
        <f ca="1">'Outputs - P&amp;L'!BO48</f>
        <v>0</v>
      </c>
      <c r="BP42" s="147">
        <f ca="1">'Outputs - P&amp;L'!BP48</f>
        <v>0</v>
      </c>
      <c r="BQ42" s="147">
        <f ca="1">'Outputs - P&amp;L'!BQ48</f>
        <v>0</v>
      </c>
      <c r="BR42" s="147">
        <f ca="1">'Outputs - P&amp;L'!BR48</f>
        <v>0</v>
      </c>
    </row>
    <row r="43" spans="1:70" s="147" customFormat="1" ht="13.2" x14ac:dyDescent="0.25">
      <c r="A43" s="211"/>
      <c r="F43" s="212"/>
    </row>
    <row r="44" spans="1:70" s="211" customFormat="1" thickBot="1" x14ac:dyDescent="0.3">
      <c r="B44" s="211" t="s">
        <v>291</v>
      </c>
      <c r="D44" s="248" t="str">
        <f>unit</f>
        <v>£</v>
      </c>
      <c r="E44" s="234">
        <f t="shared" ref="E44:I44" ca="1" si="14">SUM(E41:E43)</f>
        <v>0</v>
      </c>
      <c r="F44" s="234">
        <f t="shared" ca="1" si="14"/>
        <v>0</v>
      </c>
      <c r="G44" s="234">
        <f t="shared" ca="1" si="14"/>
        <v>0</v>
      </c>
      <c r="H44" s="234">
        <f t="shared" ca="1" si="14"/>
        <v>0</v>
      </c>
      <c r="I44" s="234">
        <f t="shared" ca="1" si="14"/>
        <v>0</v>
      </c>
      <c r="K44" s="234">
        <f t="shared" ref="K44:BR44" ca="1" si="15">SUM(K41:K43)</f>
        <v>0</v>
      </c>
      <c r="L44" s="234">
        <f t="shared" ca="1" si="15"/>
        <v>0</v>
      </c>
      <c r="M44" s="234">
        <f t="shared" ca="1" si="15"/>
        <v>0</v>
      </c>
      <c r="N44" s="234">
        <f t="shared" ca="1" si="15"/>
        <v>0</v>
      </c>
      <c r="O44" s="234">
        <f t="shared" ca="1" si="15"/>
        <v>0</v>
      </c>
      <c r="P44" s="234">
        <f t="shared" ca="1" si="15"/>
        <v>0</v>
      </c>
      <c r="Q44" s="234">
        <f t="shared" ca="1" si="15"/>
        <v>0</v>
      </c>
      <c r="R44" s="234">
        <f t="shared" ca="1" si="15"/>
        <v>0</v>
      </c>
      <c r="S44" s="234">
        <f t="shared" ca="1" si="15"/>
        <v>0</v>
      </c>
      <c r="T44" s="234">
        <f t="shared" ca="1" si="15"/>
        <v>0</v>
      </c>
      <c r="U44" s="234">
        <f t="shared" ca="1" si="15"/>
        <v>0</v>
      </c>
      <c r="V44" s="234">
        <f t="shared" ca="1" si="15"/>
        <v>0</v>
      </c>
      <c r="W44" s="234">
        <f t="shared" ca="1" si="15"/>
        <v>0</v>
      </c>
      <c r="X44" s="234">
        <f t="shared" ca="1" si="15"/>
        <v>0</v>
      </c>
      <c r="Y44" s="234">
        <f t="shared" ca="1" si="15"/>
        <v>0</v>
      </c>
      <c r="Z44" s="234">
        <f t="shared" ca="1" si="15"/>
        <v>0</v>
      </c>
      <c r="AA44" s="234">
        <f t="shared" ca="1" si="15"/>
        <v>0</v>
      </c>
      <c r="AB44" s="234">
        <f t="shared" ca="1" si="15"/>
        <v>0</v>
      </c>
      <c r="AC44" s="234">
        <f t="shared" ca="1" si="15"/>
        <v>0</v>
      </c>
      <c r="AD44" s="234">
        <f t="shared" ca="1" si="15"/>
        <v>0</v>
      </c>
      <c r="AE44" s="234">
        <f t="shared" ca="1" si="15"/>
        <v>0</v>
      </c>
      <c r="AF44" s="234">
        <f t="shared" ca="1" si="15"/>
        <v>0</v>
      </c>
      <c r="AG44" s="234">
        <f t="shared" ca="1" si="15"/>
        <v>0</v>
      </c>
      <c r="AH44" s="234">
        <f t="shared" ca="1" si="15"/>
        <v>0</v>
      </c>
      <c r="AI44" s="234">
        <f t="shared" ca="1" si="15"/>
        <v>0</v>
      </c>
      <c r="AJ44" s="234">
        <f t="shared" ca="1" si="15"/>
        <v>0</v>
      </c>
      <c r="AK44" s="234">
        <f t="shared" ca="1" si="15"/>
        <v>0</v>
      </c>
      <c r="AL44" s="234">
        <f t="shared" ca="1" si="15"/>
        <v>0</v>
      </c>
      <c r="AM44" s="234">
        <f t="shared" ca="1" si="15"/>
        <v>0</v>
      </c>
      <c r="AN44" s="234">
        <f t="shared" ca="1" si="15"/>
        <v>0</v>
      </c>
      <c r="AO44" s="234">
        <f t="shared" ca="1" si="15"/>
        <v>0</v>
      </c>
      <c r="AP44" s="234">
        <f t="shared" ca="1" si="15"/>
        <v>0</v>
      </c>
      <c r="AQ44" s="234">
        <f t="shared" ca="1" si="15"/>
        <v>0</v>
      </c>
      <c r="AR44" s="234">
        <f t="shared" ca="1" si="15"/>
        <v>0</v>
      </c>
      <c r="AS44" s="234">
        <f t="shared" ca="1" si="15"/>
        <v>0</v>
      </c>
      <c r="AT44" s="234">
        <f t="shared" ca="1" si="15"/>
        <v>0</v>
      </c>
      <c r="AU44" s="234">
        <f t="shared" ca="1" si="15"/>
        <v>0</v>
      </c>
      <c r="AV44" s="234">
        <f t="shared" ca="1" si="15"/>
        <v>0</v>
      </c>
      <c r="AW44" s="234">
        <f t="shared" ca="1" si="15"/>
        <v>0</v>
      </c>
      <c r="AX44" s="234">
        <f t="shared" ca="1" si="15"/>
        <v>0</v>
      </c>
      <c r="AY44" s="234">
        <f t="shared" ca="1" si="15"/>
        <v>0</v>
      </c>
      <c r="AZ44" s="234">
        <f t="shared" ca="1" si="15"/>
        <v>0</v>
      </c>
      <c r="BA44" s="234">
        <f t="shared" ca="1" si="15"/>
        <v>0</v>
      </c>
      <c r="BB44" s="234">
        <f t="shared" ca="1" si="15"/>
        <v>0</v>
      </c>
      <c r="BC44" s="234">
        <f t="shared" ca="1" si="15"/>
        <v>0</v>
      </c>
      <c r="BD44" s="234">
        <f t="shared" ca="1" si="15"/>
        <v>0</v>
      </c>
      <c r="BE44" s="234">
        <f t="shared" ca="1" si="15"/>
        <v>0</v>
      </c>
      <c r="BF44" s="234">
        <f t="shared" ca="1" si="15"/>
        <v>0</v>
      </c>
      <c r="BG44" s="234">
        <f t="shared" ca="1" si="15"/>
        <v>0</v>
      </c>
      <c r="BH44" s="234">
        <f t="shared" ca="1" si="15"/>
        <v>0</v>
      </c>
      <c r="BI44" s="234">
        <f t="shared" ca="1" si="15"/>
        <v>0</v>
      </c>
      <c r="BJ44" s="234">
        <f t="shared" ca="1" si="15"/>
        <v>0</v>
      </c>
      <c r="BK44" s="234">
        <f t="shared" ca="1" si="15"/>
        <v>0</v>
      </c>
      <c r="BL44" s="234">
        <f t="shared" ca="1" si="15"/>
        <v>0</v>
      </c>
      <c r="BM44" s="234">
        <f t="shared" ca="1" si="15"/>
        <v>0</v>
      </c>
      <c r="BN44" s="234">
        <f t="shared" ca="1" si="15"/>
        <v>0</v>
      </c>
      <c r="BO44" s="234">
        <f t="shared" ca="1" si="15"/>
        <v>0</v>
      </c>
      <c r="BP44" s="234">
        <f t="shared" ca="1" si="15"/>
        <v>0</v>
      </c>
      <c r="BQ44" s="234">
        <f t="shared" ca="1" si="15"/>
        <v>0</v>
      </c>
      <c r="BR44" s="234">
        <f t="shared" ca="1" si="15"/>
        <v>0</v>
      </c>
    </row>
    <row r="45" spans="1:70" s="147" customFormat="1" thickTop="1" x14ac:dyDescent="0.25">
      <c r="A45" s="211"/>
      <c r="F45" s="212"/>
    </row>
    <row r="46" spans="1:70" s="147" customFormat="1" ht="13.2" x14ac:dyDescent="0.25">
      <c r="A46" s="211"/>
      <c r="B46" s="211" t="s">
        <v>300</v>
      </c>
      <c r="E46" s="239">
        <f ca="1">IF(ABS(E44-E39)&gt;Tolerance,1,0)</f>
        <v>0</v>
      </c>
      <c r="F46" s="239">
        <f ca="1">IF(ABS(F44-F39)&gt;Tolerance,1,0)</f>
        <v>0</v>
      </c>
      <c r="G46" s="239">
        <f ca="1">IF(ABS(G44-G39)&gt;Tolerance,1,0)</f>
        <v>0</v>
      </c>
      <c r="H46" s="239">
        <f ca="1">IF(ABS(H44-H39)&gt;Tolerance,1,0)</f>
        <v>0</v>
      </c>
      <c r="I46" s="239">
        <f ca="1">IF(ABS(I44-I39)&gt;Tolerance,1,0)</f>
        <v>0</v>
      </c>
      <c r="K46" s="239">
        <f t="shared" ref="K46:BR46" ca="1" si="16">IF(ABS(K44-K39)&gt;Tolerance,1,0)</f>
        <v>0</v>
      </c>
      <c r="L46" s="239">
        <f t="shared" ca="1" si="16"/>
        <v>0</v>
      </c>
      <c r="M46" s="239">
        <f t="shared" ca="1" si="16"/>
        <v>0</v>
      </c>
      <c r="N46" s="239">
        <f t="shared" ca="1" si="16"/>
        <v>0</v>
      </c>
      <c r="O46" s="239">
        <f t="shared" ca="1" si="16"/>
        <v>0</v>
      </c>
      <c r="P46" s="239">
        <f t="shared" ca="1" si="16"/>
        <v>0</v>
      </c>
      <c r="Q46" s="239">
        <f t="shared" ca="1" si="16"/>
        <v>0</v>
      </c>
      <c r="R46" s="239">
        <f t="shared" ca="1" si="16"/>
        <v>0</v>
      </c>
      <c r="S46" s="239">
        <f t="shared" ca="1" si="16"/>
        <v>0</v>
      </c>
      <c r="T46" s="239">
        <f t="shared" ca="1" si="16"/>
        <v>0</v>
      </c>
      <c r="U46" s="239">
        <f t="shared" ca="1" si="16"/>
        <v>0</v>
      </c>
      <c r="V46" s="239">
        <f t="shared" ca="1" si="16"/>
        <v>0</v>
      </c>
      <c r="W46" s="239">
        <f t="shared" ca="1" si="16"/>
        <v>0</v>
      </c>
      <c r="X46" s="239">
        <f t="shared" ca="1" si="16"/>
        <v>0</v>
      </c>
      <c r="Y46" s="239">
        <f t="shared" ca="1" si="16"/>
        <v>0</v>
      </c>
      <c r="Z46" s="239">
        <f t="shared" ca="1" si="16"/>
        <v>0</v>
      </c>
      <c r="AA46" s="239">
        <f t="shared" ca="1" si="16"/>
        <v>0</v>
      </c>
      <c r="AB46" s="239">
        <f t="shared" ca="1" si="16"/>
        <v>0</v>
      </c>
      <c r="AC46" s="239">
        <f t="shared" ca="1" si="16"/>
        <v>0</v>
      </c>
      <c r="AD46" s="239">
        <f t="shared" ca="1" si="16"/>
        <v>0</v>
      </c>
      <c r="AE46" s="239">
        <f t="shared" ca="1" si="16"/>
        <v>0</v>
      </c>
      <c r="AF46" s="239">
        <f t="shared" ca="1" si="16"/>
        <v>0</v>
      </c>
      <c r="AG46" s="239">
        <f t="shared" ca="1" si="16"/>
        <v>0</v>
      </c>
      <c r="AH46" s="239">
        <f t="shared" ca="1" si="16"/>
        <v>0</v>
      </c>
      <c r="AI46" s="239">
        <f t="shared" ca="1" si="16"/>
        <v>0</v>
      </c>
      <c r="AJ46" s="239">
        <f t="shared" ca="1" si="16"/>
        <v>0</v>
      </c>
      <c r="AK46" s="239">
        <f t="shared" ca="1" si="16"/>
        <v>0</v>
      </c>
      <c r="AL46" s="239">
        <f t="shared" ca="1" si="16"/>
        <v>0</v>
      </c>
      <c r="AM46" s="239">
        <f t="shared" ca="1" si="16"/>
        <v>0</v>
      </c>
      <c r="AN46" s="239">
        <f t="shared" ca="1" si="16"/>
        <v>0</v>
      </c>
      <c r="AO46" s="239">
        <f t="shared" ca="1" si="16"/>
        <v>0</v>
      </c>
      <c r="AP46" s="239">
        <f t="shared" ca="1" si="16"/>
        <v>0</v>
      </c>
      <c r="AQ46" s="239">
        <f t="shared" ca="1" si="16"/>
        <v>0</v>
      </c>
      <c r="AR46" s="239">
        <f t="shared" ca="1" si="16"/>
        <v>0</v>
      </c>
      <c r="AS46" s="239">
        <f t="shared" ca="1" si="16"/>
        <v>0</v>
      </c>
      <c r="AT46" s="239">
        <f t="shared" ca="1" si="16"/>
        <v>0</v>
      </c>
      <c r="AU46" s="239">
        <f t="shared" ca="1" si="16"/>
        <v>0</v>
      </c>
      <c r="AV46" s="239">
        <f t="shared" ca="1" si="16"/>
        <v>0</v>
      </c>
      <c r="AW46" s="239">
        <f t="shared" ca="1" si="16"/>
        <v>0</v>
      </c>
      <c r="AX46" s="239">
        <f t="shared" ca="1" si="16"/>
        <v>0</v>
      </c>
      <c r="AY46" s="239">
        <f t="shared" ca="1" si="16"/>
        <v>0</v>
      </c>
      <c r="AZ46" s="239">
        <f t="shared" ca="1" si="16"/>
        <v>0</v>
      </c>
      <c r="BA46" s="239">
        <f t="shared" ca="1" si="16"/>
        <v>0</v>
      </c>
      <c r="BB46" s="239">
        <f t="shared" ca="1" si="16"/>
        <v>0</v>
      </c>
      <c r="BC46" s="239">
        <f t="shared" ca="1" si="16"/>
        <v>0</v>
      </c>
      <c r="BD46" s="239">
        <f t="shared" ca="1" si="16"/>
        <v>0</v>
      </c>
      <c r="BE46" s="239">
        <f t="shared" ca="1" si="16"/>
        <v>0</v>
      </c>
      <c r="BF46" s="239">
        <f t="shared" ca="1" si="16"/>
        <v>0</v>
      </c>
      <c r="BG46" s="239">
        <f t="shared" ca="1" si="16"/>
        <v>0</v>
      </c>
      <c r="BH46" s="239">
        <f t="shared" ca="1" si="16"/>
        <v>0</v>
      </c>
      <c r="BI46" s="239">
        <f t="shared" ca="1" si="16"/>
        <v>0</v>
      </c>
      <c r="BJ46" s="239">
        <f t="shared" ca="1" si="16"/>
        <v>0</v>
      </c>
      <c r="BK46" s="239">
        <f t="shared" ca="1" si="16"/>
        <v>0</v>
      </c>
      <c r="BL46" s="239">
        <f t="shared" ca="1" si="16"/>
        <v>0</v>
      </c>
      <c r="BM46" s="239">
        <f t="shared" ca="1" si="16"/>
        <v>0</v>
      </c>
      <c r="BN46" s="239">
        <f t="shared" ca="1" si="16"/>
        <v>0</v>
      </c>
      <c r="BO46" s="239">
        <f t="shared" ca="1" si="16"/>
        <v>0</v>
      </c>
      <c r="BP46" s="239">
        <f t="shared" ca="1" si="16"/>
        <v>0</v>
      </c>
      <c r="BQ46" s="239">
        <f t="shared" ca="1" si="16"/>
        <v>0</v>
      </c>
      <c r="BR46" s="239">
        <f t="shared" ca="1" si="16"/>
        <v>0</v>
      </c>
    </row>
    <row r="47" spans="1:70" s="147" customFormat="1" ht="13.2" x14ac:dyDescent="0.25">
      <c r="A47" s="211"/>
      <c r="F47" s="212"/>
    </row>
    <row r="48" spans="1:70" s="166" customFormat="1" ht="15.6" x14ac:dyDescent="0.3">
      <c r="A48" s="166" t="s">
        <v>217</v>
      </c>
    </row>
  </sheetData>
  <pageMargins left="0.70866141732283472" right="0.70866141732283472" top="0.74803149606299213" bottom="0.74803149606299213" header="0.31496062992125984" footer="0.31496062992125984"/>
  <pageSetup paperSize="9" scale="55" orientation="landscape"/>
  <headerFooter>
    <oddFooter>&amp;LPage &amp;P&amp;C&amp;F&amp;RDate &amp;D Time &amp;T</oddFooter>
  </headerFooter>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BZ44"/>
  <sheetViews>
    <sheetView showGridLines="0" zoomScale="80" zoomScaleNormal="80" zoomScalePageLayoutView="80" workbookViewId="0">
      <pane xSplit="10" ySplit="8" topLeftCell="K9" activePane="bottomRight" state="frozen"/>
      <selection activeCell="C10" sqref="C10"/>
      <selection pane="topRight" activeCell="C10" sqref="C10"/>
      <selection pane="bottomLeft" activeCell="C10" sqref="C10"/>
      <selection pane="bottomRight" activeCell="D36" sqref="D36"/>
    </sheetView>
  </sheetViews>
  <sheetFormatPr defaultColWidth="0" defaultRowHeight="13.8" x14ac:dyDescent="0.25"/>
  <cols>
    <col min="1" max="1" width="3.44140625" style="138" customWidth="1"/>
    <col min="2" max="2" width="35.109375" style="138" bestFit="1" customWidth="1"/>
    <col min="3" max="3" width="2.6640625" style="138" customWidth="1"/>
    <col min="4" max="4" width="9.44140625" style="138" customWidth="1"/>
    <col min="5" max="6" width="10" style="138" bestFit="1" customWidth="1"/>
    <col min="7" max="7" width="13.44140625" style="138" customWidth="1"/>
    <col min="8" max="8" width="15.44140625" style="138" customWidth="1"/>
    <col min="9" max="9" width="14.44140625" style="138" customWidth="1"/>
    <col min="10" max="10" width="12.44140625" style="138" customWidth="1"/>
    <col min="11" max="70" width="11.109375" style="138" customWidth="1"/>
    <col min="71" max="71" width="3" style="138" customWidth="1"/>
    <col min="72" max="72" width="9.109375" style="71" customWidth="1"/>
    <col min="73" max="78" width="9.109375" style="138" customWidth="1"/>
    <col min="79" max="16384" width="9.109375" style="138" hidden="1"/>
  </cols>
  <sheetData>
    <row r="1" spans="1:78" s="285" customFormat="1" ht="13.2" x14ac:dyDescent="0.25"/>
    <row r="2" spans="1:78" s="285" customFormat="1" ht="13.2" x14ac:dyDescent="0.25"/>
    <row r="3" spans="1:78" s="285" customFormat="1" ht="13.2" x14ac:dyDescent="0.25">
      <c r="A3" s="286" t="str">
        <f>IF(KeyInputs!$F$14=0,"Company Name",KeyInputs!$F$14)</f>
        <v>Company Name</v>
      </c>
    </row>
    <row r="4" spans="1:78" s="285" customFormat="1" ht="13.2" x14ac:dyDescent="0.25">
      <c r="A4" s="285" t="s">
        <v>273</v>
      </c>
    </row>
    <row r="5" spans="1:78" s="285" customFormat="1" ht="13.2" x14ac:dyDescent="0.25">
      <c r="D5" s="287" t="str">
        <f>KeyInputs!D5</f>
        <v>Year</v>
      </c>
      <c r="E5" s="287">
        <f>KeyInputs!H5</f>
        <v>2015</v>
      </c>
      <c r="F5" s="287">
        <f>KeyInputs!I5</f>
        <v>2016</v>
      </c>
      <c r="G5" s="287">
        <f>KeyInputs!J5</f>
        <v>2017</v>
      </c>
      <c r="H5" s="287">
        <f>KeyInputs!K5</f>
        <v>2018</v>
      </c>
      <c r="I5" s="287">
        <f>KeyInputs!L5</f>
        <v>2019</v>
      </c>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8" customFormat="1" ht="13.2" x14ac:dyDescent="0.25">
      <c r="D6" s="287" t="str">
        <f>KeyInputs!D6</f>
        <v>Period number</v>
      </c>
      <c r="E6" s="287">
        <f>KeyInputs!H6</f>
        <v>1</v>
      </c>
      <c r="F6" s="287">
        <f>KeyInputs!I6</f>
        <v>2</v>
      </c>
      <c r="G6" s="287">
        <f>KeyInputs!J6</f>
        <v>3</v>
      </c>
      <c r="H6" s="287">
        <f>KeyInputs!K6</f>
        <v>4</v>
      </c>
      <c r="I6" s="287">
        <f>KeyInputs!L6</f>
        <v>5</v>
      </c>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8" customFormat="1" ht="13.2" x14ac:dyDescent="0.25">
      <c r="D7" s="287" t="str">
        <f>KeyInputs!D7</f>
        <v>Period starts</v>
      </c>
      <c r="E7" s="294">
        <f>KeyInputs!H7</f>
        <v>42005</v>
      </c>
      <c r="F7" s="294">
        <f>KeyInputs!I7</f>
        <v>42370</v>
      </c>
      <c r="G7" s="294">
        <f>KeyInputs!J7</f>
        <v>42736</v>
      </c>
      <c r="H7" s="294">
        <f>KeyInputs!K7</f>
        <v>43101</v>
      </c>
      <c r="I7" s="294">
        <f>KeyInputs!L7</f>
        <v>43466</v>
      </c>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2" customFormat="1" ht="13.2"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88"/>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8"/>
      <c r="BT8" s="288"/>
      <c r="BU8" s="288"/>
      <c r="BV8" s="288"/>
      <c r="BW8" s="288"/>
      <c r="BX8" s="288"/>
      <c r="BY8" s="288"/>
      <c r="BZ8" s="288"/>
    </row>
    <row r="9" spans="1:78" s="128" customFormat="1" ht="13.2" x14ac:dyDescent="0.25">
      <c r="D9" s="125"/>
      <c r="E9" s="164"/>
      <c r="F9" s="164"/>
      <c r="G9" s="164"/>
      <c r="H9" s="164"/>
      <c r="I9" s="164"/>
      <c r="K9" s="164"/>
      <c r="L9" s="164"/>
      <c r="M9" s="164"/>
      <c r="N9" s="164"/>
      <c r="O9" s="164"/>
      <c r="P9" s="164"/>
      <c r="Q9" s="164"/>
      <c r="R9" s="164"/>
      <c r="S9" s="164"/>
      <c r="T9" s="164"/>
      <c r="U9" s="164"/>
      <c r="V9" s="164"/>
      <c r="W9" s="164"/>
      <c r="X9" s="164"/>
      <c r="Y9" s="164"/>
      <c r="Z9" s="164"/>
      <c r="AA9" s="164"/>
      <c r="AB9" s="164"/>
      <c r="AC9" s="164"/>
      <c r="AD9" s="164"/>
      <c r="AE9" s="164"/>
      <c r="AF9" s="164"/>
      <c r="AG9" s="164"/>
      <c r="AH9" s="164"/>
      <c r="AI9" s="164"/>
      <c r="AJ9" s="164"/>
      <c r="AK9" s="164"/>
      <c r="AL9" s="164"/>
      <c r="AM9" s="164"/>
      <c r="AN9" s="164"/>
      <c r="AO9" s="164"/>
      <c r="AP9" s="164"/>
      <c r="AQ9" s="164"/>
      <c r="AR9" s="164"/>
      <c r="AS9" s="164"/>
      <c r="AT9" s="164"/>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row>
    <row r="10" spans="1:78" s="166" customFormat="1" ht="15.6" x14ac:dyDescent="0.3">
      <c r="A10" s="166">
        <f>Header1</f>
        <v>1</v>
      </c>
      <c r="B10" s="166" t="s">
        <v>273</v>
      </c>
    </row>
    <row r="11" spans="1:78" s="147" customFormat="1" ht="13.2" x14ac:dyDescent="0.25">
      <c r="A11" s="211"/>
      <c r="F11" s="212"/>
    </row>
    <row r="12" spans="1:78" s="211" customFormat="1" ht="13.2" x14ac:dyDescent="0.25">
      <c r="B12" s="211" t="s">
        <v>178</v>
      </c>
      <c r="D12" s="231" t="str">
        <f>unit</f>
        <v>£</v>
      </c>
      <c r="E12" s="211">
        <f>SUMIF($K$5:$BR$5,E$5,$K12:$BR12)</f>
        <v>0</v>
      </c>
      <c r="F12" s="211">
        <f t="shared" ref="F12:I12" si="0">SUMIF($K$5:$BR$5,F$5,$K12:$BR12)</f>
        <v>0</v>
      </c>
      <c r="G12" s="211">
        <f t="shared" si="0"/>
        <v>0</v>
      </c>
      <c r="H12" s="211">
        <f t="shared" si="0"/>
        <v>0</v>
      </c>
      <c r="I12" s="211">
        <f t="shared" si="0"/>
        <v>0</v>
      </c>
      <c r="K12" s="211">
        <f>'Outputs - P&amp;L'!K$32</f>
        <v>0</v>
      </c>
      <c r="L12" s="211">
        <f>'Outputs - P&amp;L'!L$32</f>
        <v>0</v>
      </c>
      <c r="M12" s="211">
        <f>'Outputs - P&amp;L'!M$32</f>
        <v>0</v>
      </c>
      <c r="N12" s="211">
        <f>'Outputs - P&amp;L'!N$32</f>
        <v>0</v>
      </c>
      <c r="O12" s="211">
        <f>'Outputs - P&amp;L'!O$32</f>
        <v>0</v>
      </c>
      <c r="P12" s="211">
        <f>'Outputs - P&amp;L'!P$32</f>
        <v>0</v>
      </c>
      <c r="Q12" s="211">
        <f>'Outputs - P&amp;L'!Q$32</f>
        <v>0</v>
      </c>
      <c r="R12" s="211">
        <f>'Outputs - P&amp;L'!R$32</f>
        <v>0</v>
      </c>
      <c r="S12" s="211">
        <f>'Outputs - P&amp;L'!S$32</f>
        <v>0</v>
      </c>
      <c r="T12" s="211">
        <f>'Outputs - P&amp;L'!T$32</f>
        <v>0</v>
      </c>
      <c r="U12" s="211">
        <f>'Outputs - P&amp;L'!U$32</f>
        <v>0</v>
      </c>
      <c r="V12" s="211">
        <f>'Outputs - P&amp;L'!V$32</f>
        <v>0</v>
      </c>
      <c r="W12" s="211">
        <f>'Outputs - P&amp;L'!W$32</f>
        <v>0</v>
      </c>
      <c r="X12" s="211">
        <f>'Outputs - P&amp;L'!X$32</f>
        <v>0</v>
      </c>
      <c r="Y12" s="211">
        <f>'Outputs - P&amp;L'!Y$32</f>
        <v>0</v>
      </c>
      <c r="Z12" s="211">
        <f>'Outputs - P&amp;L'!Z$32</f>
        <v>0</v>
      </c>
      <c r="AA12" s="211">
        <f>'Outputs - P&amp;L'!AA$32</f>
        <v>0</v>
      </c>
      <c r="AB12" s="211">
        <f>'Outputs - P&amp;L'!AB$32</f>
        <v>0</v>
      </c>
      <c r="AC12" s="211">
        <f>'Outputs - P&amp;L'!AC$32</f>
        <v>0</v>
      </c>
      <c r="AD12" s="211">
        <f>'Outputs - P&amp;L'!AD$32</f>
        <v>0</v>
      </c>
      <c r="AE12" s="211">
        <f>'Outputs - P&amp;L'!AE$32</f>
        <v>0</v>
      </c>
      <c r="AF12" s="211">
        <f>'Outputs - P&amp;L'!AF$32</f>
        <v>0</v>
      </c>
      <c r="AG12" s="211">
        <f>'Outputs - P&amp;L'!AG$32</f>
        <v>0</v>
      </c>
      <c r="AH12" s="211">
        <f>'Outputs - P&amp;L'!AH$32</f>
        <v>0</v>
      </c>
      <c r="AI12" s="211">
        <f>'Outputs - P&amp;L'!AI$32</f>
        <v>0</v>
      </c>
      <c r="AJ12" s="211">
        <f>'Outputs - P&amp;L'!AJ$32</f>
        <v>0</v>
      </c>
      <c r="AK12" s="211">
        <f>'Outputs - P&amp;L'!AK$32</f>
        <v>0</v>
      </c>
      <c r="AL12" s="211">
        <f>'Outputs - P&amp;L'!AL$32</f>
        <v>0</v>
      </c>
      <c r="AM12" s="211">
        <f>'Outputs - P&amp;L'!AM$32</f>
        <v>0</v>
      </c>
      <c r="AN12" s="211">
        <f>'Outputs - P&amp;L'!AN$32</f>
        <v>0</v>
      </c>
      <c r="AO12" s="211">
        <f>'Outputs - P&amp;L'!AO$32</f>
        <v>0</v>
      </c>
      <c r="AP12" s="211">
        <f>'Outputs - P&amp;L'!AP$32</f>
        <v>0</v>
      </c>
      <c r="AQ12" s="211">
        <f>'Outputs - P&amp;L'!AQ$32</f>
        <v>0</v>
      </c>
      <c r="AR12" s="211">
        <f>'Outputs - P&amp;L'!AR$32</f>
        <v>0</v>
      </c>
      <c r="AS12" s="211">
        <f>'Outputs - P&amp;L'!AS$32</f>
        <v>0</v>
      </c>
      <c r="AT12" s="211">
        <f>'Outputs - P&amp;L'!AT$32</f>
        <v>0</v>
      </c>
      <c r="AU12" s="211">
        <f>'Outputs - P&amp;L'!AU$32</f>
        <v>0</v>
      </c>
      <c r="AV12" s="211">
        <f>'Outputs - P&amp;L'!AV$32</f>
        <v>0</v>
      </c>
      <c r="AW12" s="211">
        <f>'Outputs - P&amp;L'!AW$32</f>
        <v>0</v>
      </c>
      <c r="AX12" s="211">
        <f>'Outputs - P&amp;L'!AX$32</f>
        <v>0</v>
      </c>
      <c r="AY12" s="211">
        <f>'Outputs - P&amp;L'!AY$32</f>
        <v>0</v>
      </c>
      <c r="AZ12" s="211">
        <f>'Outputs - P&amp;L'!AZ$32</f>
        <v>0</v>
      </c>
      <c r="BA12" s="211">
        <f>'Outputs - P&amp;L'!BA$32</f>
        <v>0</v>
      </c>
      <c r="BB12" s="211">
        <f>'Outputs - P&amp;L'!BB$32</f>
        <v>0</v>
      </c>
      <c r="BC12" s="211">
        <f>'Outputs - P&amp;L'!BC$32</f>
        <v>0</v>
      </c>
      <c r="BD12" s="211">
        <f>'Outputs - P&amp;L'!BD$32</f>
        <v>0</v>
      </c>
      <c r="BE12" s="211">
        <f>'Outputs - P&amp;L'!BE$32</f>
        <v>0</v>
      </c>
      <c r="BF12" s="211">
        <f>'Outputs - P&amp;L'!BF$32</f>
        <v>0</v>
      </c>
      <c r="BG12" s="211">
        <f>'Outputs - P&amp;L'!BG$32</f>
        <v>0</v>
      </c>
      <c r="BH12" s="211">
        <f>'Outputs - P&amp;L'!BH$32</f>
        <v>0</v>
      </c>
      <c r="BI12" s="211">
        <f>'Outputs - P&amp;L'!BI$32</f>
        <v>0</v>
      </c>
      <c r="BJ12" s="211">
        <f>'Outputs - P&amp;L'!BJ$32</f>
        <v>0</v>
      </c>
      <c r="BK12" s="211">
        <f>'Outputs - P&amp;L'!BK$32</f>
        <v>0</v>
      </c>
      <c r="BL12" s="211">
        <f>'Outputs - P&amp;L'!BL$32</f>
        <v>0</v>
      </c>
      <c r="BM12" s="211">
        <f>'Outputs - P&amp;L'!BM$32</f>
        <v>0</v>
      </c>
      <c r="BN12" s="211">
        <f>'Outputs - P&amp;L'!BN$32</f>
        <v>0</v>
      </c>
      <c r="BO12" s="211">
        <f>'Outputs - P&amp;L'!BO$32</f>
        <v>0</v>
      </c>
      <c r="BP12" s="211">
        <f>'Outputs - P&amp;L'!BP$32</f>
        <v>0</v>
      </c>
      <c r="BQ12" s="211">
        <f>'Outputs - P&amp;L'!BQ$32</f>
        <v>0</v>
      </c>
      <c r="BR12" s="211">
        <f>'Outputs - P&amp;L'!BR$32</f>
        <v>0</v>
      </c>
    </row>
    <row r="13" spans="1:78" s="147" customFormat="1" ht="13.2" x14ac:dyDescent="0.25">
      <c r="A13" s="211"/>
      <c r="F13" s="212"/>
    </row>
    <row r="14" spans="1:78" s="147" customFormat="1" ht="13.2" x14ac:dyDescent="0.25">
      <c r="A14" s="211"/>
      <c r="B14" s="147" t="s">
        <v>274</v>
      </c>
      <c r="D14" s="231" t="str">
        <f t="shared" ref="D14:D19" si="1">unit</f>
        <v>£</v>
      </c>
      <c r="E14" s="147">
        <f>SUMIF($K$5:$BR$5,E$5,$K14:$BR14)</f>
        <v>0</v>
      </c>
      <c r="F14" s="147">
        <f t="shared" ref="F14:I14" si="2">SUMIF($K$5:$BR$5,F$5,$K14:$BR14)</f>
        <v>0</v>
      </c>
      <c r="G14" s="147">
        <f t="shared" si="2"/>
        <v>0</v>
      </c>
      <c r="H14" s="147">
        <f t="shared" si="2"/>
        <v>0</v>
      </c>
      <c r="I14" s="147">
        <f t="shared" si="2"/>
        <v>0</v>
      </c>
      <c r="K14" s="147">
        <f>-'Outputs - P&amp;L'!K$31</f>
        <v>0</v>
      </c>
      <c r="L14" s="147">
        <f>-'Outputs - P&amp;L'!L$31</f>
        <v>0</v>
      </c>
      <c r="M14" s="147">
        <f>-'Outputs - P&amp;L'!M$31</f>
        <v>0</v>
      </c>
      <c r="N14" s="147">
        <f>-'Outputs - P&amp;L'!N$31</f>
        <v>0</v>
      </c>
      <c r="O14" s="147">
        <f>-'Outputs - P&amp;L'!O$31</f>
        <v>0</v>
      </c>
      <c r="P14" s="147">
        <f>-'Outputs - P&amp;L'!P$31</f>
        <v>0</v>
      </c>
      <c r="Q14" s="147">
        <f>-'Outputs - P&amp;L'!Q$31</f>
        <v>0</v>
      </c>
      <c r="R14" s="147">
        <f>-'Outputs - P&amp;L'!R$31</f>
        <v>0</v>
      </c>
      <c r="S14" s="147">
        <f>-'Outputs - P&amp;L'!S$31</f>
        <v>0</v>
      </c>
      <c r="T14" s="147">
        <f>-'Outputs - P&amp;L'!T$31</f>
        <v>0</v>
      </c>
      <c r="U14" s="147">
        <f>-'Outputs - P&amp;L'!U$31</f>
        <v>0</v>
      </c>
      <c r="V14" s="147">
        <f>-'Outputs - P&amp;L'!V$31</f>
        <v>0</v>
      </c>
      <c r="W14" s="147">
        <f>-'Outputs - P&amp;L'!W$31</f>
        <v>0</v>
      </c>
      <c r="X14" s="147">
        <f>-'Outputs - P&amp;L'!X$31</f>
        <v>0</v>
      </c>
      <c r="Y14" s="147">
        <f>-'Outputs - P&amp;L'!Y$31</f>
        <v>0</v>
      </c>
      <c r="Z14" s="147">
        <f>-'Outputs - P&amp;L'!Z$31</f>
        <v>0</v>
      </c>
      <c r="AA14" s="147">
        <f>-'Outputs - P&amp;L'!AA$31</f>
        <v>0</v>
      </c>
      <c r="AB14" s="147">
        <f>-'Outputs - P&amp;L'!AB$31</f>
        <v>0</v>
      </c>
      <c r="AC14" s="147">
        <f>-'Outputs - P&amp;L'!AC$31</f>
        <v>0</v>
      </c>
      <c r="AD14" s="147">
        <f>-'Outputs - P&amp;L'!AD$31</f>
        <v>0</v>
      </c>
      <c r="AE14" s="147">
        <f>-'Outputs - P&amp;L'!AE$31</f>
        <v>0</v>
      </c>
      <c r="AF14" s="147">
        <f>-'Outputs - P&amp;L'!AF$31</f>
        <v>0</v>
      </c>
      <c r="AG14" s="147">
        <f>-'Outputs - P&amp;L'!AG$31</f>
        <v>0</v>
      </c>
      <c r="AH14" s="147">
        <f>-'Outputs - P&amp;L'!AH$31</f>
        <v>0</v>
      </c>
      <c r="AI14" s="147">
        <f>-'Outputs - P&amp;L'!AI$31</f>
        <v>0</v>
      </c>
      <c r="AJ14" s="147">
        <f>-'Outputs - P&amp;L'!AJ$31</f>
        <v>0</v>
      </c>
      <c r="AK14" s="147">
        <f>-'Outputs - P&amp;L'!AK$31</f>
        <v>0</v>
      </c>
      <c r="AL14" s="147">
        <f>-'Outputs - P&amp;L'!AL$31</f>
        <v>0</v>
      </c>
      <c r="AM14" s="147">
        <f>-'Outputs - P&amp;L'!AM$31</f>
        <v>0</v>
      </c>
      <c r="AN14" s="147">
        <f>-'Outputs - P&amp;L'!AN$31</f>
        <v>0</v>
      </c>
      <c r="AO14" s="147">
        <f>-'Outputs - P&amp;L'!AO$31</f>
        <v>0</v>
      </c>
      <c r="AP14" s="147">
        <f>-'Outputs - P&amp;L'!AP$31</f>
        <v>0</v>
      </c>
      <c r="AQ14" s="147">
        <f>-'Outputs - P&amp;L'!AQ$31</f>
        <v>0</v>
      </c>
      <c r="AR14" s="147">
        <f>-'Outputs - P&amp;L'!AR$31</f>
        <v>0</v>
      </c>
      <c r="AS14" s="147">
        <f>-'Outputs - P&amp;L'!AS$31</f>
        <v>0</v>
      </c>
      <c r="AT14" s="147">
        <f>-'Outputs - P&amp;L'!AT$31</f>
        <v>0</v>
      </c>
      <c r="AU14" s="147">
        <f>-'Outputs - P&amp;L'!AU$31</f>
        <v>0</v>
      </c>
      <c r="AV14" s="147">
        <f>-'Outputs - P&amp;L'!AV$31</f>
        <v>0</v>
      </c>
      <c r="AW14" s="147">
        <f>-'Outputs - P&amp;L'!AW$31</f>
        <v>0</v>
      </c>
      <c r="AX14" s="147">
        <f>-'Outputs - P&amp;L'!AX$31</f>
        <v>0</v>
      </c>
      <c r="AY14" s="147">
        <f>-'Outputs - P&amp;L'!AY$31</f>
        <v>0</v>
      </c>
      <c r="AZ14" s="147">
        <f>-'Outputs - P&amp;L'!AZ$31</f>
        <v>0</v>
      </c>
      <c r="BA14" s="147">
        <f>-'Outputs - P&amp;L'!BA$31</f>
        <v>0</v>
      </c>
      <c r="BB14" s="147">
        <f>-'Outputs - P&amp;L'!BB$31</f>
        <v>0</v>
      </c>
      <c r="BC14" s="147">
        <f>-'Outputs - P&amp;L'!BC$31</f>
        <v>0</v>
      </c>
      <c r="BD14" s="147">
        <f>-'Outputs - P&amp;L'!BD$31</f>
        <v>0</v>
      </c>
      <c r="BE14" s="147">
        <f>-'Outputs - P&amp;L'!BE$31</f>
        <v>0</v>
      </c>
      <c r="BF14" s="147">
        <f>-'Outputs - P&amp;L'!BF$31</f>
        <v>0</v>
      </c>
      <c r="BG14" s="147">
        <f>-'Outputs - P&amp;L'!BG$31</f>
        <v>0</v>
      </c>
      <c r="BH14" s="147">
        <f>-'Outputs - P&amp;L'!BH$31</f>
        <v>0</v>
      </c>
      <c r="BI14" s="147">
        <f>-'Outputs - P&amp;L'!BI$31</f>
        <v>0</v>
      </c>
      <c r="BJ14" s="147">
        <f>-'Outputs - P&amp;L'!BJ$31</f>
        <v>0</v>
      </c>
      <c r="BK14" s="147">
        <f>-'Outputs - P&amp;L'!BK$31</f>
        <v>0</v>
      </c>
      <c r="BL14" s="147">
        <f>-'Outputs - P&amp;L'!BL$31</f>
        <v>0</v>
      </c>
      <c r="BM14" s="147">
        <f>-'Outputs - P&amp;L'!BM$31</f>
        <v>0</v>
      </c>
      <c r="BN14" s="147">
        <f>-'Outputs - P&amp;L'!BN$31</f>
        <v>0</v>
      </c>
      <c r="BO14" s="147">
        <f>-'Outputs - P&amp;L'!BO$31</f>
        <v>0</v>
      </c>
      <c r="BP14" s="147">
        <f>-'Outputs - P&amp;L'!BP$31</f>
        <v>0</v>
      </c>
      <c r="BQ14" s="147">
        <f>-'Outputs - P&amp;L'!BQ$31</f>
        <v>0</v>
      </c>
      <c r="BR14" s="147">
        <f>-'Outputs - P&amp;L'!BR$31</f>
        <v>0</v>
      </c>
    </row>
    <row r="15" spans="1:78" s="147" customFormat="1" ht="13.2" x14ac:dyDescent="0.25">
      <c r="A15" s="211"/>
      <c r="B15" s="147" t="s">
        <v>297</v>
      </c>
      <c r="D15" s="231" t="str">
        <f t="shared" si="1"/>
        <v>£</v>
      </c>
      <c r="E15" s="147">
        <f t="shared" ref="E15:I18" ca="1" si="3">SUMIF($K$5:$BR$5,E$5,$K15:$BR15)</f>
        <v>0</v>
      </c>
      <c r="F15" s="147">
        <f t="shared" ca="1" si="3"/>
        <v>0</v>
      </c>
      <c r="G15" s="147">
        <f t="shared" ca="1" si="3"/>
        <v>0</v>
      </c>
      <c r="H15" s="147">
        <f t="shared" ca="1" si="3"/>
        <v>0</v>
      </c>
      <c r="I15" s="147">
        <f t="shared" ca="1" si="3"/>
        <v>0</v>
      </c>
      <c r="K15" s="147">
        <f ca="1">WorkingCapital!K23+WorkingCapital!K34+WorkingCapital!K45</f>
        <v>0</v>
      </c>
      <c r="L15" s="147">
        <f ca="1">WorkingCapital!L23+WorkingCapital!L34+WorkingCapital!L45</f>
        <v>0</v>
      </c>
      <c r="M15" s="147">
        <f ca="1">WorkingCapital!M23+WorkingCapital!M34+WorkingCapital!M45</f>
        <v>0</v>
      </c>
      <c r="N15" s="147">
        <f ca="1">WorkingCapital!N23+WorkingCapital!N34+WorkingCapital!N45</f>
        <v>0</v>
      </c>
      <c r="O15" s="147">
        <f ca="1">WorkingCapital!O23+WorkingCapital!O34+WorkingCapital!O45</f>
        <v>0</v>
      </c>
      <c r="P15" s="147">
        <f ca="1">WorkingCapital!P23+WorkingCapital!P34+WorkingCapital!P45</f>
        <v>0</v>
      </c>
      <c r="Q15" s="147">
        <f ca="1">WorkingCapital!Q23+WorkingCapital!Q34+WorkingCapital!Q45</f>
        <v>0</v>
      </c>
      <c r="R15" s="147">
        <f ca="1">WorkingCapital!R23+WorkingCapital!R34+WorkingCapital!R45</f>
        <v>0</v>
      </c>
      <c r="S15" s="147">
        <f ca="1">WorkingCapital!S23+WorkingCapital!S34+WorkingCapital!S45</f>
        <v>0</v>
      </c>
      <c r="T15" s="147">
        <f ca="1">WorkingCapital!T23+WorkingCapital!T34+WorkingCapital!T45</f>
        <v>0</v>
      </c>
      <c r="U15" s="147">
        <f ca="1">WorkingCapital!U23+WorkingCapital!U34+WorkingCapital!U45</f>
        <v>0</v>
      </c>
      <c r="V15" s="147">
        <f ca="1">WorkingCapital!V23+WorkingCapital!V34+WorkingCapital!V45</f>
        <v>0</v>
      </c>
      <c r="W15" s="147">
        <f ca="1">WorkingCapital!W23+WorkingCapital!W34+WorkingCapital!W45</f>
        <v>0</v>
      </c>
      <c r="X15" s="147">
        <f ca="1">WorkingCapital!X23+WorkingCapital!X34+WorkingCapital!X45</f>
        <v>0</v>
      </c>
      <c r="Y15" s="147">
        <f ca="1">WorkingCapital!Y23+WorkingCapital!Y34+WorkingCapital!Y45</f>
        <v>0</v>
      </c>
      <c r="Z15" s="147">
        <f ca="1">WorkingCapital!Z23+WorkingCapital!Z34+WorkingCapital!Z45</f>
        <v>0</v>
      </c>
      <c r="AA15" s="147">
        <f ca="1">WorkingCapital!AA23+WorkingCapital!AA34+WorkingCapital!AA45</f>
        <v>0</v>
      </c>
      <c r="AB15" s="147">
        <f ca="1">WorkingCapital!AB23+WorkingCapital!AB34+WorkingCapital!AB45</f>
        <v>0</v>
      </c>
      <c r="AC15" s="147">
        <f ca="1">WorkingCapital!AC23+WorkingCapital!AC34+WorkingCapital!AC45</f>
        <v>0</v>
      </c>
      <c r="AD15" s="147">
        <f ca="1">WorkingCapital!AD23+WorkingCapital!AD34+WorkingCapital!AD45</f>
        <v>0</v>
      </c>
      <c r="AE15" s="147">
        <f ca="1">WorkingCapital!AE23+WorkingCapital!AE34+WorkingCapital!AE45</f>
        <v>0</v>
      </c>
      <c r="AF15" s="147">
        <f ca="1">WorkingCapital!AF23+WorkingCapital!AF34+WorkingCapital!AF45</f>
        <v>0</v>
      </c>
      <c r="AG15" s="147">
        <f ca="1">WorkingCapital!AG23+WorkingCapital!AG34+WorkingCapital!AG45</f>
        <v>0</v>
      </c>
      <c r="AH15" s="147">
        <f ca="1">WorkingCapital!AH23+WorkingCapital!AH34+WorkingCapital!AH45</f>
        <v>0</v>
      </c>
      <c r="AI15" s="147">
        <f ca="1">WorkingCapital!AI23+WorkingCapital!AI34+WorkingCapital!AI45</f>
        <v>0</v>
      </c>
      <c r="AJ15" s="147">
        <f ca="1">WorkingCapital!AJ23+WorkingCapital!AJ34+WorkingCapital!AJ45</f>
        <v>0</v>
      </c>
      <c r="AK15" s="147">
        <f ca="1">WorkingCapital!AK23+WorkingCapital!AK34+WorkingCapital!AK45</f>
        <v>0</v>
      </c>
      <c r="AL15" s="147">
        <f ca="1">WorkingCapital!AL23+WorkingCapital!AL34+WorkingCapital!AL45</f>
        <v>0</v>
      </c>
      <c r="AM15" s="147">
        <f ca="1">WorkingCapital!AM23+WorkingCapital!AM34+WorkingCapital!AM45</f>
        <v>0</v>
      </c>
      <c r="AN15" s="147">
        <f ca="1">WorkingCapital!AN23+WorkingCapital!AN34+WorkingCapital!AN45</f>
        <v>0</v>
      </c>
      <c r="AO15" s="147">
        <f ca="1">WorkingCapital!AO23+WorkingCapital!AO34+WorkingCapital!AO45</f>
        <v>0</v>
      </c>
      <c r="AP15" s="147">
        <f ca="1">WorkingCapital!AP23+WorkingCapital!AP34+WorkingCapital!AP45</f>
        <v>0</v>
      </c>
      <c r="AQ15" s="147">
        <f ca="1">WorkingCapital!AQ23+WorkingCapital!AQ34+WorkingCapital!AQ45</f>
        <v>0</v>
      </c>
      <c r="AR15" s="147">
        <f ca="1">WorkingCapital!AR23+WorkingCapital!AR34+WorkingCapital!AR45</f>
        <v>0</v>
      </c>
      <c r="AS15" s="147">
        <f ca="1">WorkingCapital!AS23+WorkingCapital!AS34+WorkingCapital!AS45</f>
        <v>0</v>
      </c>
      <c r="AT15" s="147">
        <f ca="1">WorkingCapital!AT23+WorkingCapital!AT34+WorkingCapital!AT45</f>
        <v>0</v>
      </c>
      <c r="AU15" s="147">
        <f ca="1">WorkingCapital!AU23+WorkingCapital!AU34+WorkingCapital!AU45</f>
        <v>0</v>
      </c>
      <c r="AV15" s="147">
        <f ca="1">WorkingCapital!AV23+WorkingCapital!AV34+WorkingCapital!AV45</f>
        <v>0</v>
      </c>
      <c r="AW15" s="147">
        <f ca="1">WorkingCapital!AW23+WorkingCapital!AW34+WorkingCapital!AW45</f>
        <v>0</v>
      </c>
      <c r="AX15" s="147">
        <f ca="1">WorkingCapital!AX23+WorkingCapital!AX34+WorkingCapital!AX45</f>
        <v>0</v>
      </c>
      <c r="AY15" s="147">
        <f ca="1">WorkingCapital!AY23+WorkingCapital!AY34+WorkingCapital!AY45</f>
        <v>0</v>
      </c>
      <c r="AZ15" s="147">
        <f ca="1">WorkingCapital!AZ23+WorkingCapital!AZ34+WorkingCapital!AZ45</f>
        <v>0</v>
      </c>
      <c r="BA15" s="147">
        <f ca="1">WorkingCapital!BA23+WorkingCapital!BA34+WorkingCapital!BA45</f>
        <v>0</v>
      </c>
      <c r="BB15" s="147">
        <f ca="1">WorkingCapital!BB23+WorkingCapital!BB34+WorkingCapital!BB45</f>
        <v>0</v>
      </c>
      <c r="BC15" s="147">
        <f ca="1">WorkingCapital!BC23+WorkingCapital!BC34+WorkingCapital!BC45</f>
        <v>0</v>
      </c>
      <c r="BD15" s="147">
        <f ca="1">WorkingCapital!BD23+WorkingCapital!BD34+WorkingCapital!BD45</f>
        <v>0</v>
      </c>
      <c r="BE15" s="147">
        <f ca="1">WorkingCapital!BE23+WorkingCapital!BE34+WorkingCapital!BE45</f>
        <v>0</v>
      </c>
      <c r="BF15" s="147">
        <f ca="1">WorkingCapital!BF23+WorkingCapital!BF34+WorkingCapital!BF45</f>
        <v>0</v>
      </c>
      <c r="BG15" s="147">
        <f ca="1">WorkingCapital!BG23+WorkingCapital!BG34+WorkingCapital!BG45</f>
        <v>0</v>
      </c>
      <c r="BH15" s="147">
        <f ca="1">WorkingCapital!BH23+WorkingCapital!BH34+WorkingCapital!BH45</f>
        <v>0</v>
      </c>
      <c r="BI15" s="147">
        <f ca="1">WorkingCapital!BI23+WorkingCapital!BI34+WorkingCapital!BI45</f>
        <v>0</v>
      </c>
      <c r="BJ15" s="147">
        <f ca="1">WorkingCapital!BJ23+WorkingCapital!BJ34+WorkingCapital!BJ45</f>
        <v>0</v>
      </c>
      <c r="BK15" s="147">
        <f ca="1">WorkingCapital!BK23+WorkingCapital!BK34+WorkingCapital!BK45</f>
        <v>0</v>
      </c>
      <c r="BL15" s="147">
        <f ca="1">WorkingCapital!BL23+WorkingCapital!BL34+WorkingCapital!BL45</f>
        <v>0</v>
      </c>
      <c r="BM15" s="147">
        <f ca="1">WorkingCapital!BM23+WorkingCapital!BM34+WorkingCapital!BM45</f>
        <v>0</v>
      </c>
      <c r="BN15" s="147">
        <f ca="1">WorkingCapital!BN23+WorkingCapital!BN34+WorkingCapital!BN45</f>
        <v>0</v>
      </c>
      <c r="BO15" s="147">
        <f ca="1">WorkingCapital!BO23+WorkingCapital!BO34+WorkingCapital!BO45</f>
        <v>0</v>
      </c>
      <c r="BP15" s="147">
        <f ca="1">WorkingCapital!BP23+WorkingCapital!BP34+WorkingCapital!BP45</f>
        <v>0</v>
      </c>
      <c r="BQ15" s="147">
        <f ca="1">WorkingCapital!BQ23+WorkingCapital!BQ34+WorkingCapital!BQ45</f>
        <v>0</v>
      </c>
      <c r="BR15" s="147">
        <f ca="1">WorkingCapital!BR23+WorkingCapital!BR34+WorkingCapital!BR45</f>
        <v>0</v>
      </c>
    </row>
    <row r="16" spans="1:78" s="147" customFormat="1" ht="13.2" x14ac:dyDescent="0.25">
      <c r="A16" s="211"/>
      <c r="B16" s="147" t="s">
        <v>275</v>
      </c>
      <c r="D16" s="231" t="str">
        <f t="shared" si="1"/>
        <v>£</v>
      </c>
      <c r="E16" s="147">
        <f t="shared" ca="1" si="3"/>
        <v>0</v>
      </c>
      <c r="F16" s="147">
        <f t="shared" ca="1" si="3"/>
        <v>0</v>
      </c>
      <c r="G16" s="147">
        <f t="shared" ca="1" si="3"/>
        <v>0</v>
      </c>
      <c r="H16" s="147">
        <f t="shared" ca="1" si="3"/>
        <v>0</v>
      </c>
      <c r="I16" s="147">
        <f t="shared" ca="1" si="3"/>
        <v>0</v>
      </c>
      <c r="K16" s="147">
        <f ca="1">WorkingCapital!K58+WorkingCapital!K69+WorkingCapital!K80</f>
        <v>0</v>
      </c>
      <c r="L16" s="147">
        <f ca="1">WorkingCapital!L58+WorkingCapital!L69+WorkingCapital!L80</f>
        <v>0</v>
      </c>
      <c r="M16" s="147">
        <f ca="1">WorkingCapital!M58+WorkingCapital!M69+WorkingCapital!M80</f>
        <v>0</v>
      </c>
      <c r="N16" s="147">
        <f ca="1">WorkingCapital!N58+WorkingCapital!N69+WorkingCapital!N80</f>
        <v>0</v>
      </c>
      <c r="O16" s="147">
        <f ca="1">WorkingCapital!O58+WorkingCapital!O69+WorkingCapital!O80</f>
        <v>0</v>
      </c>
      <c r="P16" s="147">
        <f ca="1">WorkingCapital!P58+WorkingCapital!P69+WorkingCapital!P80</f>
        <v>0</v>
      </c>
      <c r="Q16" s="147">
        <f ca="1">WorkingCapital!Q58+WorkingCapital!Q69+WorkingCapital!Q80</f>
        <v>0</v>
      </c>
      <c r="R16" s="147">
        <f ca="1">WorkingCapital!R58+WorkingCapital!R69+WorkingCapital!R80</f>
        <v>0</v>
      </c>
      <c r="S16" s="147">
        <f ca="1">WorkingCapital!S58+WorkingCapital!S69+WorkingCapital!S80</f>
        <v>0</v>
      </c>
      <c r="T16" s="147">
        <f ca="1">WorkingCapital!T58+WorkingCapital!T69+WorkingCapital!T80</f>
        <v>0</v>
      </c>
      <c r="U16" s="147">
        <f ca="1">WorkingCapital!U58+WorkingCapital!U69+WorkingCapital!U80</f>
        <v>0</v>
      </c>
      <c r="V16" s="147">
        <f ca="1">WorkingCapital!V58+WorkingCapital!V69+WorkingCapital!V80</f>
        <v>0</v>
      </c>
      <c r="W16" s="147">
        <f ca="1">WorkingCapital!W58+WorkingCapital!W69+WorkingCapital!W80</f>
        <v>0</v>
      </c>
      <c r="X16" s="147">
        <f ca="1">WorkingCapital!X58+WorkingCapital!X69+WorkingCapital!X80</f>
        <v>0</v>
      </c>
      <c r="Y16" s="147">
        <f ca="1">WorkingCapital!Y58+WorkingCapital!Y69+WorkingCapital!Y80</f>
        <v>0</v>
      </c>
      <c r="Z16" s="147">
        <f ca="1">WorkingCapital!Z58+WorkingCapital!Z69+WorkingCapital!Z80</f>
        <v>0</v>
      </c>
      <c r="AA16" s="147">
        <f ca="1">WorkingCapital!AA58+WorkingCapital!AA69+WorkingCapital!AA80</f>
        <v>0</v>
      </c>
      <c r="AB16" s="147">
        <f ca="1">WorkingCapital!AB58+WorkingCapital!AB69+WorkingCapital!AB80</f>
        <v>0</v>
      </c>
      <c r="AC16" s="147">
        <f ca="1">WorkingCapital!AC58+WorkingCapital!AC69+WorkingCapital!AC80</f>
        <v>0</v>
      </c>
      <c r="AD16" s="147">
        <f ca="1">WorkingCapital!AD58+WorkingCapital!AD69+WorkingCapital!AD80</f>
        <v>0</v>
      </c>
      <c r="AE16" s="147">
        <f ca="1">WorkingCapital!AE58+WorkingCapital!AE69+WorkingCapital!AE80</f>
        <v>0</v>
      </c>
      <c r="AF16" s="147">
        <f ca="1">WorkingCapital!AF58+WorkingCapital!AF69+WorkingCapital!AF80</f>
        <v>0</v>
      </c>
      <c r="AG16" s="147">
        <f ca="1">WorkingCapital!AG58+WorkingCapital!AG69+WorkingCapital!AG80</f>
        <v>0</v>
      </c>
      <c r="AH16" s="147">
        <f ca="1">WorkingCapital!AH58+WorkingCapital!AH69+WorkingCapital!AH80</f>
        <v>0</v>
      </c>
      <c r="AI16" s="147">
        <f ca="1">WorkingCapital!AI58+WorkingCapital!AI69+WorkingCapital!AI80</f>
        <v>0</v>
      </c>
      <c r="AJ16" s="147">
        <f ca="1">WorkingCapital!AJ58+WorkingCapital!AJ69+WorkingCapital!AJ80</f>
        <v>0</v>
      </c>
      <c r="AK16" s="147">
        <f ca="1">WorkingCapital!AK58+WorkingCapital!AK69+WorkingCapital!AK80</f>
        <v>0</v>
      </c>
      <c r="AL16" s="147">
        <f ca="1">WorkingCapital!AL58+WorkingCapital!AL69+WorkingCapital!AL80</f>
        <v>0</v>
      </c>
      <c r="AM16" s="147">
        <f ca="1">WorkingCapital!AM58+WorkingCapital!AM69+WorkingCapital!AM80</f>
        <v>0</v>
      </c>
      <c r="AN16" s="147">
        <f ca="1">WorkingCapital!AN58+WorkingCapital!AN69+WorkingCapital!AN80</f>
        <v>0</v>
      </c>
      <c r="AO16" s="147">
        <f ca="1">WorkingCapital!AO58+WorkingCapital!AO69+WorkingCapital!AO80</f>
        <v>0</v>
      </c>
      <c r="AP16" s="147">
        <f ca="1">WorkingCapital!AP58+WorkingCapital!AP69+WorkingCapital!AP80</f>
        <v>0</v>
      </c>
      <c r="AQ16" s="147">
        <f ca="1">WorkingCapital!AQ58+WorkingCapital!AQ69+WorkingCapital!AQ80</f>
        <v>0</v>
      </c>
      <c r="AR16" s="147">
        <f ca="1">WorkingCapital!AR58+WorkingCapital!AR69+WorkingCapital!AR80</f>
        <v>0</v>
      </c>
      <c r="AS16" s="147">
        <f ca="1">WorkingCapital!AS58+WorkingCapital!AS69+WorkingCapital!AS80</f>
        <v>0</v>
      </c>
      <c r="AT16" s="147">
        <f ca="1">WorkingCapital!AT58+WorkingCapital!AT69+WorkingCapital!AT80</f>
        <v>0</v>
      </c>
      <c r="AU16" s="147">
        <f ca="1">WorkingCapital!AU58+WorkingCapital!AU69+WorkingCapital!AU80</f>
        <v>0</v>
      </c>
      <c r="AV16" s="147">
        <f ca="1">WorkingCapital!AV58+WorkingCapital!AV69+WorkingCapital!AV80</f>
        <v>0</v>
      </c>
      <c r="AW16" s="147">
        <f ca="1">WorkingCapital!AW58+WorkingCapital!AW69+WorkingCapital!AW80</f>
        <v>0</v>
      </c>
      <c r="AX16" s="147">
        <f ca="1">WorkingCapital!AX58+WorkingCapital!AX69+WorkingCapital!AX80</f>
        <v>0</v>
      </c>
      <c r="AY16" s="147">
        <f ca="1">WorkingCapital!AY58+WorkingCapital!AY69+WorkingCapital!AY80</f>
        <v>0</v>
      </c>
      <c r="AZ16" s="147">
        <f ca="1">WorkingCapital!AZ58+WorkingCapital!AZ69+WorkingCapital!AZ80</f>
        <v>0</v>
      </c>
      <c r="BA16" s="147">
        <f ca="1">WorkingCapital!BA58+WorkingCapital!BA69+WorkingCapital!BA80</f>
        <v>0</v>
      </c>
      <c r="BB16" s="147">
        <f ca="1">WorkingCapital!BB58+WorkingCapital!BB69+WorkingCapital!BB80</f>
        <v>0</v>
      </c>
      <c r="BC16" s="147">
        <f ca="1">WorkingCapital!BC58+WorkingCapital!BC69+WorkingCapital!BC80</f>
        <v>0</v>
      </c>
      <c r="BD16" s="147">
        <f ca="1">WorkingCapital!BD58+WorkingCapital!BD69+WorkingCapital!BD80</f>
        <v>0</v>
      </c>
      <c r="BE16" s="147">
        <f ca="1">WorkingCapital!BE58+WorkingCapital!BE69+WorkingCapital!BE80</f>
        <v>0</v>
      </c>
      <c r="BF16" s="147">
        <f ca="1">WorkingCapital!BF58+WorkingCapital!BF69+WorkingCapital!BF80</f>
        <v>0</v>
      </c>
      <c r="BG16" s="147">
        <f ca="1">WorkingCapital!BG58+WorkingCapital!BG69+WorkingCapital!BG80</f>
        <v>0</v>
      </c>
      <c r="BH16" s="147">
        <f ca="1">WorkingCapital!BH58+WorkingCapital!BH69+WorkingCapital!BH80</f>
        <v>0</v>
      </c>
      <c r="BI16" s="147">
        <f ca="1">WorkingCapital!BI58+WorkingCapital!BI69+WorkingCapital!BI80</f>
        <v>0</v>
      </c>
      <c r="BJ16" s="147">
        <f ca="1">WorkingCapital!BJ58+WorkingCapital!BJ69+WorkingCapital!BJ80</f>
        <v>0</v>
      </c>
      <c r="BK16" s="147">
        <f ca="1">WorkingCapital!BK58+WorkingCapital!BK69+WorkingCapital!BK80</f>
        <v>0</v>
      </c>
      <c r="BL16" s="147">
        <f ca="1">WorkingCapital!BL58+WorkingCapital!BL69+WorkingCapital!BL80</f>
        <v>0</v>
      </c>
      <c r="BM16" s="147">
        <f ca="1">WorkingCapital!BM58+WorkingCapital!BM69+WorkingCapital!BM80</f>
        <v>0</v>
      </c>
      <c r="BN16" s="147">
        <f ca="1">WorkingCapital!BN58+WorkingCapital!BN69+WorkingCapital!BN80</f>
        <v>0</v>
      </c>
      <c r="BO16" s="147">
        <f ca="1">WorkingCapital!BO58+WorkingCapital!BO69+WorkingCapital!BO80</f>
        <v>0</v>
      </c>
      <c r="BP16" s="147">
        <f ca="1">WorkingCapital!BP58+WorkingCapital!BP69+WorkingCapital!BP80</f>
        <v>0</v>
      </c>
      <c r="BQ16" s="147">
        <f ca="1">WorkingCapital!BQ58+WorkingCapital!BQ69+WorkingCapital!BQ80</f>
        <v>0</v>
      </c>
      <c r="BR16" s="147">
        <f ca="1">WorkingCapital!BR58+WorkingCapital!BR69+WorkingCapital!BR80</f>
        <v>0</v>
      </c>
    </row>
    <row r="17" spans="1:70" s="147" customFormat="1" ht="13.2" x14ac:dyDescent="0.25">
      <c r="A17" s="211"/>
      <c r="B17" s="147" t="s">
        <v>298</v>
      </c>
      <c r="D17" s="231" t="str">
        <f t="shared" si="1"/>
        <v>£</v>
      </c>
      <c r="E17" s="147">
        <f t="shared" ca="1" si="3"/>
        <v>0</v>
      </c>
      <c r="F17" s="147">
        <f t="shared" ca="1" si="3"/>
        <v>0</v>
      </c>
      <c r="G17" s="147">
        <f t="shared" ca="1" si="3"/>
        <v>0</v>
      </c>
      <c r="H17" s="147">
        <f t="shared" ca="1" si="3"/>
        <v>0</v>
      </c>
      <c r="I17" s="147">
        <f t="shared" ca="1" si="3"/>
        <v>0</v>
      </c>
      <c r="K17" s="147">
        <f ca="1">WorkingCapital!K93</f>
        <v>0</v>
      </c>
      <c r="L17" s="147">
        <f ca="1">WorkingCapital!L93</f>
        <v>0</v>
      </c>
      <c r="M17" s="147">
        <f ca="1">WorkingCapital!M93</f>
        <v>0</v>
      </c>
      <c r="N17" s="147">
        <f ca="1">WorkingCapital!N93</f>
        <v>0</v>
      </c>
      <c r="O17" s="147">
        <f ca="1">WorkingCapital!O93</f>
        <v>0</v>
      </c>
      <c r="P17" s="147">
        <f ca="1">WorkingCapital!P93</f>
        <v>0</v>
      </c>
      <c r="Q17" s="147">
        <f ca="1">WorkingCapital!Q93</f>
        <v>0</v>
      </c>
      <c r="R17" s="147">
        <f ca="1">WorkingCapital!R93</f>
        <v>0</v>
      </c>
      <c r="S17" s="147">
        <f ca="1">WorkingCapital!S93</f>
        <v>0</v>
      </c>
      <c r="T17" s="147">
        <f ca="1">WorkingCapital!T93</f>
        <v>0</v>
      </c>
      <c r="U17" s="147">
        <f ca="1">WorkingCapital!U93</f>
        <v>0</v>
      </c>
      <c r="V17" s="147">
        <f ca="1">WorkingCapital!V93</f>
        <v>0</v>
      </c>
      <c r="W17" s="147">
        <f ca="1">WorkingCapital!W93</f>
        <v>0</v>
      </c>
      <c r="X17" s="147">
        <f ca="1">WorkingCapital!X93</f>
        <v>0</v>
      </c>
      <c r="Y17" s="147">
        <f ca="1">WorkingCapital!Y93</f>
        <v>0</v>
      </c>
      <c r="Z17" s="147">
        <f ca="1">WorkingCapital!Z93</f>
        <v>0</v>
      </c>
      <c r="AA17" s="147">
        <f ca="1">WorkingCapital!AA93</f>
        <v>0</v>
      </c>
      <c r="AB17" s="147">
        <f ca="1">WorkingCapital!AB93</f>
        <v>0</v>
      </c>
      <c r="AC17" s="147">
        <f ca="1">WorkingCapital!AC93</f>
        <v>0</v>
      </c>
      <c r="AD17" s="147">
        <f ca="1">WorkingCapital!AD93</f>
        <v>0</v>
      </c>
      <c r="AE17" s="147">
        <f ca="1">WorkingCapital!AE93</f>
        <v>0</v>
      </c>
      <c r="AF17" s="147">
        <f ca="1">WorkingCapital!AF93</f>
        <v>0</v>
      </c>
      <c r="AG17" s="147">
        <f ca="1">WorkingCapital!AG93</f>
        <v>0</v>
      </c>
      <c r="AH17" s="147">
        <f ca="1">WorkingCapital!AH93</f>
        <v>0</v>
      </c>
      <c r="AI17" s="147">
        <f ca="1">WorkingCapital!AI93</f>
        <v>0</v>
      </c>
      <c r="AJ17" s="147">
        <f ca="1">WorkingCapital!AJ93</f>
        <v>0</v>
      </c>
      <c r="AK17" s="147">
        <f ca="1">WorkingCapital!AK93</f>
        <v>0</v>
      </c>
      <c r="AL17" s="147">
        <f ca="1">WorkingCapital!AL93</f>
        <v>0</v>
      </c>
      <c r="AM17" s="147">
        <f ca="1">WorkingCapital!AM93</f>
        <v>0</v>
      </c>
      <c r="AN17" s="147">
        <f ca="1">WorkingCapital!AN93</f>
        <v>0</v>
      </c>
      <c r="AO17" s="147">
        <f ca="1">WorkingCapital!AO93</f>
        <v>0</v>
      </c>
      <c r="AP17" s="147">
        <f ca="1">WorkingCapital!AP93</f>
        <v>0</v>
      </c>
      <c r="AQ17" s="147">
        <f ca="1">WorkingCapital!AQ93</f>
        <v>0</v>
      </c>
      <c r="AR17" s="147">
        <f ca="1">WorkingCapital!AR93</f>
        <v>0</v>
      </c>
      <c r="AS17" s="147">
        <f ca="1">WorkingCapital!AS93</f>
        <v>0</v>
      </c>
      <c r="AT17" s="147">
        <f ca="1">WorkingCapital!AT93</f>
        <v>0</v>
      </c>
      <c r="AU17" s="147">
        <f ca="1">WorkingCapital!AU93</f>
        <v>0</v>
      </c>
      <c r="AV17" s="147">
        <f ca="1">WorkingCapital!AV93</f>
        <v>0</v>
      </c>
      <c r="AW17" s="147">
        <f ca="1">WorkingCapital!AW93</f>
        <v>0</v>
      </c>
      <c r="AX17" s="147">
        <f ca="1">WorkingCapital!AX93</f>
        <v>0</v>
      </c>
      <c r="AY17" s="147">
        <f ca="1">WorkingCapital!AY93</f>
        <v>0</v>
      </c>
      <c r="AZ17" s="147">
        <f ca="1">WorkingCapital!AZ93</f>
        <v>0</v>
      </c>
      <c r="BA17" s="147">
        <f ca="1">WorkingCapital!BA93</f>
        <v>0</v>
      </c>
      <c r="BB17" s="147">
        <f ca="1">WorkingCapital!BB93</f>
        <v>0</v>
      </c>
      <c r="BC17" s="147">
        <f ca="1">WorkingCapital!BC93</f>
        <v>0</v>
      </c>
      <c r="BD17" s="147">
        <f ca="1">WorkingCapital!BD93</f>
        <v>0</v>
      </c>
      <c r="BE17" s="147">
        <f ca="1">WorkingCapital!BE93</f>
        <v>0</v>
      </c>
      <c r="BF17" s="147">
        <f ca="1">WorkingCapital!BF93</f>
        <v>0</v>
      </c>
      <c r="BG17" s="147">
        <f ca="1">WorkingCapital!BG93</f>
        <v>0</v>
      </c>
      <c r="BH17" s="147">
        <f ca="1">WorkingCapital!BH93</f>
        <v>0</v>
      </c>
      <c r="BI17" s="147">
        <f ca="1">WorkingCapital!BI93</f>
        <v>0</v>
      </c>
      <c r="BJ17" s="147">
        <f ca="1">WorkingCapital!BJ93</f>
        <v>0</v>
      </c>
      <c r="BK17" s="147">
        <f ca="1">WorkingCapital!BK93</f>
        <v>0</v>
      </c>
      <c r="BL17" s="147">
        <f ca="1">WorkingCapital!BL93</f>
        <v>0</v>
      </c>
      <c r="BM17" s="147">
        <f ca="1">WorkingCapital!BM93</f>
        <v>0</v>
      </c>
      <c r="BN17" s="147">
        <f ca="1">WorkingCapital!BN93</f>
        <v>0</v>
      </c>
      <c r="BO17" s="147">
        <f ca="1">WorkingCapital!BO93</f>
        <v>0</v>
      </c>
      <c r="BP17" s="147">
        <f ca="1">WorkingCapital!BP93</f>
        <v>0</v>
      </c>
      <c r="BQ17" s="147">
        <f ca="1">WorkingCapital!BQ93</f>
        <v>0</v>
      </c>
      <c r="BR17" s="147">
        <f ca="1">WorkingCapital!BR93</f>
        <v>0</v>
      </c>
    </row>
    <row r="18" spans="1:70" s="147" customFormat="1" ht="13.2" x14ac:dyDescent="0.25">
      <c r="A18" s="211"/>
      <c r="B18" s="147" t="s">
        <v>421</v>
      </c>
      <c r="D18" s="231" t="str">
        <f t="shared" si="1"/>
        <v>£</v>
      </c>
      <c r="E18" s="147">
        <f t="shared" si="3"/>
        <v>0</v>
      </c>
      <c r="F18" s="147">
        <f t="shared" si="3"/>
        <v>0</v>
      </c>
      <c r="G18" s="147">
        <f t="shared" si="3"/>
        <v>0</v>
      </c>
      <c r="H18" s="147">
        <f t="shared" si="3"/>
        <v>0</v>
      </c>
      <c r="I18" s="147">
        <f t="shared" si="3"/>
        <v>0</v>
      </c>
      <c r="K18" s="147">
        <f>WorkingCapital!K110</f>
        <v>0</v>
      </c>
      <c r="L18" s="147">
        <f>WorkingCapital!L110</f>
        <v>0</v>
      </c>
      <c r="M18" s="147">
        <f>WorkingCapital!M110</f>
        <v>0</v>
      </c>
      <c r="N18" s="147">
        <f>WorkingCapital!N110</f>
        <v>0</v>
      </c>
      <c r="O18" s="147">
        <f>WorkingCapital!O110</f>
        <v>0</v>
      </c>
      <c r="P18" s="147">
        <f>WorkingCapital!P110</f>
        <v>0</v>
      </c>
      <c r="Q18" s="147">
        <f>WorkingCapital!Q110</f>
        <v>0</v>
      </c>
      <c r="R18" s="147">
        <f>WorkingCapital!R110</f>
        <v>0</v>
      </c>
      <c r="S18" s="147">
        <f>WorkingCapital!S110</f>
        <v>0</v>
      </c>
      <c r="T18" s="147">
        <f>WorkingCapital!T110</f>
        <v>0</v>
      </c>
      <c r="U18" s="147">
        <f>WorkingCapital!U110</f>
        <v>0</v>
      </c>
      <c r="V18" s="147">
        <f>WorkingCapital!V110</f>
        <v>0</v>
      </c>
      <c r="W18" s="147">
        <f>WorkingCapital!W110</f>
        <v>0</v>
      </c>
      <c r="X18" s="147">
        <f>WorkingCapital!X110</f>
        <v>0</v>
      </c>
      <c r="Y18" s="147">
        <f>WorkingCapital!Y110</f>
        <v>0</v>
      </c>
      <c r="Z18" s="147">
        <f>WorkingCapital!Z110</f>
        <v>0</v>
      </c>
      <c r="AA18" s="147">
        <f>WorkingCapital!AA110</f>
        <v>0</v>
      </c>
      <c r="AB18" s="147">
        <f>WorkingCapital!AB110</f>
        <v>0</v>
      </c>
      <c r="AC18" s="147">
        <f>WorkingCapital!AC110</f>
        <v>0</v>
      </c>
      <c r="AD18" s="147">
        <f>WorkingCapital!AD110</f>
        <v>0</v>
      </c>
      <c r="AE18" s="147">
        <f>WorkingCapital!AE110</f>
        <v>0</v>
      </c>
      <c r="AF18" s="147">
        <f>WorkingCapital!AF110</f>
        <v>0</v>
      </c>
      <c r="AG18" s="147">
        <f>WorkingCapital!AG110</f>
        <v>0</v>
      </c>
      <c r="AH18" s="147">
        <f>WorkingCapital!AH110</f>
        <v>0</v>
      </c>
      <c r="AI18" s="147">
        <f>WorkingCapital!AI110</f>
        <v>0</v>
      </c>
      <c r="AJ18" s="147">
        <f>WorkingCapital!AJ110</f>
        <v>0</v>
      </c>
      <c r="AK18" s="147">
        <f>WorkingCapital!AK110</f>
        <v>0</v>
      </c>
      <c r="AL18" s="147">
        <f>WorkingCapital!AL110</f>
        <v>0</v>
      </c>
      <c r="AM18" s="147">
        <f>WorkingCapital!AM110</f>
        <v>0</v>
      </c>
      <c r="AN18" s="147">
        <f>WorkingCapital!AN110</f>
        <v>0</v>
      </c>
      <c r="AO18" s="147">
        <f>WorkingCapital!AO110</f>
        <v>0</v>
      </c>
      <c r="AP18" s="147">
        <f>WorkingCapital!AP110</f>
        <v>0</v>
      </c>
      <c r="AQ18" s="147">
        <f>WorkingCapital!AQ110</f>
        <v>0</v>
      </c>
      <c r="AR18" s="147">
        <f>WorkingCapital!AR110</f>
        <v>0</v>
      </c>
      <c r="AS18" s="147">
        <f>WorkingCapital!AS110</f>
        <v>0</v>
      </c>
      <c r="AT18" s="147">
        <f>WorkingCapital!AT110</f>
        <v>0</v>
      </c>
      <c r="AU18" s="147">
        <f>WorkingCapital!AU110</f>
        <v>0</v>
      </c>
      <c r="AV18" s="147">
        <f>WorkingCapital!AV110</f>
        <v>0</v>
      </c>
      <c r="AW18" s="147">
        <f>WorkingCapital!AW110</f>
        <v>0</v>
      </c>
      <c r="AX18" s="147">
        <f>WorkingCapital!AX110</f>
        <v>0</v>
      </c>
      <c r="AY18" s="147">
        <f>WorkingCapital!AY110</f>
        <v>0</v>
      </c>
      <c r="AZ18" s="147">
        <f>WorkingCapital!AZ110</f>
        <v>0</v>
      </c>
      <c r="BA18" s="147">
        <f>WorkingCapital!BA110</f>
        <v>0</v>
      </c>
      <c r="BB18" s="147">
        <f>WorkingCapital!BB110</f>
        <v>0</v>
      </c>
      <c r="BC18" s="147">
        <f>WorkingCapital!BC110</f>
        <v>0</v>
      </c>
      <c r="BD18" s="147">
        <f>WorkingCapital!BD110</f>
        <v>0</v>
      </c>
      <c r="BE18" s="147">
        <f>WorkingCapital!BE110</f>
        <v>0</v>
      </c>
      <c r="BF18" s="147">
        <f>WorkingCapital!BF110</f>
        <v>0</v>
      </c>
      <c r="BG18" s="147">
        <f>WorkingCapital!BG110</f>
        <v>0</v>
      </c>
      <c r="BH18" s="147">
        <f>WorkingCapital!BH110</f>
        <v>0</v>
      </c>
      <c r="BI18" s="147">
        <f>WorkingCapital!BI110</f>
        <v>0</v>
      </c>
      <c r="BJ18" s="147">
        <f>WorkingCapital!BJ110</f>
        <v>0</v>
      </c>
      <c r="BK18" s="147">
        <f>WorkingCapital!BK110</f>
        <v>0</v>
      </c>
      <c r="BL18" s="147">
        <f>WorkingCapital!BL110</f>
        <v>0</v>
      </c>
      <c r="BM18" s="147">
        <f>WorkingCapital!BM110</f>
        <v>0</v>
      </c>
      <c r="BN18" s="147">
        <f>WorkingCapital!BN110</f>
        <v>0</v>
      </c>
      <c r="BO18" s="147">
        <f>WorkingCapital!BO110</f>
        <v>0</v>
      </c>
      <c r="BP18" s="147">
        <f>WorkingCapital!BP110</f>
        <v>0</v>
      </c>
      <c r="BQ18" s="147">
        <f>WorkingCapital!BQ110</f>
        <v>0</v>
      </c>
      <c r="BR18" s="147">
        <f>WorkingCapital!BR110</f>
        <v>0</v>
      </c>
    </row>
    <row r="19" spans="1:70" s="211" customFormat="1" ht="13.2" x14ac:dyDescent="0.25">
      <c r="B19" s="211" t="s">
        <v>276</v>
      </c>
      <c r="D19" s="248" t="str">
        <f t="shared" si="1"/>
        <v>£</v>
      </c>
      <c r="E19" s="211">
        <f ca="1">SUM(E12:E18)</f>
        <v>0</v>
      </c>
      <c r="F19" s="211">
        <f t="shared" ref="F19:I19" ca="1" si="4">SUM(F12:F18)</f>
        <v>0</v>
      </c>
      <c r="G19" s="211">
        <f t="shared" ca="1" si="4"/>
        <v>0</v>
      </c>
      <c r="H19" s="211">
        <f t="shared" ca="1" si="4"/>
        <v>0</v>
      </c>
      <c r="I19" s="211">
        <f t="shared" ca="1" si="4"/>
        <v>0</v>
      </c>
      <c r="K19" s="211">
        <f t="shared" ref="K19" ca="1" si="5">SUM(K12:K18)</f>
        <v>0</v>
      </c>
      <c r="L19" s="211">
        <f t="shared" ref="L19" ca="1" si="6">SUM(L12:L18)</f>
        <v>0</v>
      </c>
      <c r="M19" s="211">
        <f t="shared" ref="M19" ca="1" si="7">SUM(M12:M18)</f>
        <v>0</v>
      </c>
      <c r="N19" s="211">
        <f t="shared" ref="N19" ca="1" si="8">SUM(N12:N18)</f>
        <v>0</v>
      </c>
      <c r="O19" s="211">
        <f t="shared" ref="O19" ca="1" si="9">SUM(O12:O18)</f>
        <v>0</v>
      </c>
      <c r="P19" s="211">
        <f t="shared" ref="P19" ca="1" si="10">SUM(P12:P18)</f>
        <v>0</v>
      </c>
      <c r="Q19" s="211">
        <f t="shared" ref="Q19" ca="1" si="11">SUM(Q12:Q18)</f>
        <v>0</v>
      </c>
      <c r="R19" s="211">
        <f t="shared" ref="R19" ca="1" si="12">SUM(R12:R18)</f>
        <v>0</v>
      </c>
      <c r="S19" s="211">
        <f t="shared" ref="S19" ca="1" si="13">SUM(S12:S18)</f>
        <v>0</v>
      </c>
      <c r="T19" s="211">
        <f t="shared" ref="T19" ca="1" si="14">SUM(T12:T18)</f>
        <v>0</v>
      </c>
      <c r="U19" s="211">
        <f t="shared" ref="U19" ca="1" si="15">SUM(U12:U18)</f>
        <v>0</v>
      </c>
      <c r="V19" s="211">
        <f t="shared" ref="V19" ca="1" si="16">SUM(V12:V18)</f>
        <v>0</v>
      </c>
      <c r="W19" s="211">
        <f t="shared" ref="W19" ca="1" si="17">SUM(W12:W18)</f>
        <v>0</v>
      </c>
      <c r="X19" s="211">
        <f t="shared" ref="X19" ca="1" si="18">SUM(X12:X18)</f>
        <v>0</v>
      </c>
      <c r="Y19" s="211">
        <f t="shared" ref="Y19" ca="1" si="19">SUM(Y12:Y18)</f>
        <v>0</v>
      </c>
      <c r="Z19" s="211">
        <f t="shared" ref="Z19" ca="1" si="20">SUM(Z12:Z18)</f>
        <v>0</v>
      </c>
      <c r="AA19" s="211">
        <f t="shared" ref="AA19" ca="1" si="21">SUM(AA12:AA18)</f>
        <v>0</v>
      </c>
      <c r="AB19" s="211">
        <f t="shared" ref="AB19" ca="1" si="22">SUM(AB12:AB18)</f>
        <v>0</v>
      </c>
      <c r="AC19" s="211">
        <f t="shared" ref="AC19" ca="1" si="23">SUM(AC12:AC18)</f>
        <v>0</v>
      </c>
      <c r="AD19" s="211">
        <f t="shared" ref="AD19" ca="1" si="24">SUM(AD12:AD18)</f>
        <v>0</v>
      </c>
      <c r="AE19" s="211">
        <f t="shared" ref="AE19" ca="1" si="25">SUM(AE12:AE18)</f>
        <v>0</v>
      </c>
      <c r="AF19" s="211">
        <f t="shared" ref="AF19" ca="1" si="26">SUM(AF12:AF18)</f>
        <v>0</v>
      </c>
      <c r="AG19" s="211">
        <f t="shared" ref="AG19" ca="1" si="27">SUM(AG12:AG18)</f>
        <v>0</v>
      </c>
      <c r="AH19" s="211">
        <f t="shared" ref="AH19" ca="1" si="28">SUM(AH12:AH18)</f>
        <v>0</v>
      </c>
      <c r="AI19" s="211">
        <f t="shared" ref="AI19" ca="1" si="29">SUM(AI12:AI18)</f>
        <v>0</v>
      </c>
      <c r="AJ19" s="211">
        <f t="shared" ref="AJ19" ca="1" si="30">SUM(AJ12:AJ18)</f>
        <v>0</v>
      </c>
      <c r="AK19" s="211">
        <f t="shared" ref="AK19" ca="1" si="31">SUM(AK12:AK18)</f>
        <v>0</v>
      </c>
      <c r="AL19" s="211">
        <f t="shared" ref="AL19" ca="1" si="32">SUM(AL12:AL18)</f>
        <v>0</v>
      </c>
      <c r="AM19" s="211">
        <f t="shared" ref="AM19" ca="1" si="33">SUM(AM12:AM18)</f>
        <v>0</v>
      </c>
      <c r="AN19" s="211">
        <f t="shared" ref="AN19" ca="1" si="34">SUM(AN12:AN18)</f>
        <v>0</v>
      </c>
      <c r="AO19" s="211">
        <f t="shared" ref="AO19" ca="1" si="35">SUM(AO12:AO18)</f>
        <v>0</v>
      </c>
      <c r="AP19" s="211">
        <f t="shared" ref="AP19" ca="1" si="36">SUM(AP12:AP18)</f>
        <v>0</v>
      </c>
      <c r="AQ19" s="211">
        <f t="shared" ref="AQ19" ca="1" si="37">SUM(AQ12:AQ18)</f>
        <v>0</v>
      </c>
      <c r="AR19" s="211">
        <f t="shared" ref="AR19" ca="1" si="38">SUM(AR12:AR18)</f>
        <v>0</v>
      </c>
      <c r="AS19" s="211">
        <f t="shared" ref="AS19" ca="1" si="39">SUM(AS12:AS18)</f>
        <v>0</v>
      </c>
      <c r="AT19" s="211">
        <f t="shared" ref="AT19" ca="1" si="40">SUM(AT12:AT18)</f>
        <v>0</v>
      </c>
      <c r="AU19" s="211">
        <f t="shared" ref="AU19" ca="1" si="41">SUM(AU12:AU18)</f>
        <v>0</v>
      </c>
      <c r="AV19" s="211">
        <f t="shared" ref="AV19" ca="1" si="42">SUM(AV12:AV18)</f>
        <v>0</v>
      </c>
      <c r="AW19" s="211">
        <f t="shared" ref="AW19" ca="1" si="43">SUM(AW12:AW18)</f>
        <v>0</v>
      </c>
      <c r="AX19" s="211">
        <f t="shared" ref="AX19" ca="1" si="44">SUM(AX12:AX18)</f>
        <v>0</v>
      </c>
      <c r="AY19" s="211">
        <f t="shared" ref="AY19" ca="1" si="45">SUM(AY12:AY18)</f>
        <v>0</v>
      </c>
      <c r="AZ19" s="211">
        <f t="shared" ref="AZ19" ca="1" si="46">SUM(AZ12:AZ18)</f>
        <v>0</v>
      </c>
      <c r="BA19" s="211">
        <f t="shared" ref="BA19" ca="1" si="47">SUM(BA12:BA18)</f>
        <v>0</v>
      </c>
      <c r="BB19" s="211">
        <f t="shared" ref="BB19" ca="1" si="48">SUM(BB12:BB18)</f>
        <v>0</v>
      </c>
      <c r="BC19" s="211">
        <f t="shared" ref="BC19" ca="1" si="49">SUM(BC12:BC18)</f>
        <v>0</v>
      </c>
      <c r="BD19" s="211">
        <f t="shared" ref="BD19" ca="1" si="50">SUM(BD12:BD18)</f>
        <v>0</v>
      </c>
      <c r="BE19" s="211">
        <f t="shared" ref="BE19" ca="1" si="51">SUM(BE12:BE18)</f>
        <v>0</v>
      </c>
      <c r="BF19" s="211">
        <f t="shared" ref="BF19" ca="1" si="52">SUM(BF12:BF18)</f>
        <v>0</v>
      </c>
      <c r="BG19" s="211">
        <f t="shared" ref="BG19" ca="1" si="53">SUM(BG12:BG18)</f>
        <v>0</v>
      </c>
      <c r="BH19" s="211">
        <f t="shared" ref="BH19" ca="1" si="54">SUM(BH12:BH18)</f>
        <v>0</v>
      </c>
      <c r="BI19" s="211">
        <f t="shared" ref="BI19" ca="1" si="55">SUM(BI12:BI18)</f>
        <v>0</v>
      </c>
      <c r="BJ19" s="211">
        <f t="shared" ref="BJ19" ca="1" si="56">SUM(BJ12:BJ18)</f>
        <v>0</v>
      </c>
      <c r="BK19" s="211">
        <f t="shared" ref="BK19" ca="1" si="57">SUM(BK12:BK18)</f>
        <v>0</v>
      </c>
      <c r="BL19" s="211">
        <f t="shared" ref="BL19" ca="1" si="58">SUM(BL12:BL18)</f>
        <v>0</v>
      </c>
      <c r="BM19" s="211">
        <f t="shared" ref="BM19" ca="1" si="59">SUM(BM12:BM18)</f>
        <v>0</v>
      </c>
      <c r="BN19" s="211">
        <f t="shared" ref="BN19" ca="1" si="60">SUM(BN12:BN18)</f>
        <v>0</v>
      </c>
      <c r="BO19" s="211">
        <f t="shared" ref="BO19" ca="1" si="61">SUM(BO12:BO18)</f>
        <v>0</v>
      </c>
      <c r="BP19" s="211">
        <f t="shared" ref="BP19" ca="1" si="62">SUM(BP12:BP18)</f>
        <v>0</v>
      </c>
      <c r="BQ19" s="211">
        <f t="shared" ref="BQ19" ca="1" si="63">SUM(BQ12:BQ18)</f>
        <v>0</v>
      </c>
      <c r="BR19" s="211">
        <f t="shared" ref="BR19" ca="1" si="64">SUM(BR12:BR18)</f>
        <v>0</v>
      </c>
    </row>
    <row r="20" spans="1:70" s="147" customFormat="1" ht="13.2" x14ac:dyDescent="0.25">
      <c r="A20" s="211"/>
      <c r="F20" s="212"/>
    </row>
    <row r="21" spans="1:70" s="147" customFormat="1" ht="13.2" x14ac:dyDescent="0.25">
      <c r="A21" s="211"/>
      <c r="B21" s="147" t="s">
        <v>232</v>
      </c>
      <c r="D21" s="231" t="str">
        <f>unit</f>
        <v>£</v>
      </c>
      <c r="E21" s="147">
        <f>SUMIF($K$5:$BR$5,E$5,$K21:$BR21)</f>
        <v>0</v>
      </c>
      <c r="F21" s="147">
        <f t="shared" ref="E21:I26" si="65">SUMIF($K$5:$BR$5,F$5,$K21:$BR21)</f>
        <v>0</v>
      </c>
      <c r="G21" s="147">
        <f t="shared" si="65"/>
        <v>0</v>
      </c>
      <c r="H21" s="147">
        <f t="shared" si="65"/>
        <v>0</v>
      </c>
      <c r="I21" s="147">
        <f t="shared" si="65"/>
        <v>0</v>
      </c>
      <c r="K21" s="147">
        <f>-SUM(Capex!K13:K17)</f>
        <v>0</v>
      </c>
      <c r="L21" s="147">
        <f>-SUM(Capex!L13:L17)</f>
        <v>0</v>
      </c>
      <c r="M21" s="147">
        <f>-SUM(Capex!M13:M17)</f>
        <v>0</v>
      </c>
      <c r="N21" s="147">
        <f>-SUM(Capex!N13:N17)</f>
        <v>0</v>
      </c>
      <c r="O21" s="147">
        <f>-SUM(Capex!O13:O17)</f>
        <v>0</v>
      </c>
      <c r="P21" s="147">
        <f>-SUM(Capex!P13:P17)</f>
        <v>0</v>
      </c>
      <c r="Q21" s="147">
        <f>-SUM(Capex!Q13:Q17)</f>
        <v>0</v>
      </c>
      <c r="R21" s="147">
        <f>-SUM(Capex!R13:R17)</f>
        <v>0</v>
      </c>
      <c r="S21" s="147">
        <f>-SUM(Capex!S13:S17)</f>
        <v>0</v>
      </c>
      <c r="T21" s="147">
        <f>-SUM(Capex!T13:T17)</f>
        <v>0</v>
      </c>
      <c r="U21" s="147">
        <f>-SUM(Capex!U13:U17)</f>
        <v>0</v>
      </c>
      <c r="V21" s="147">
        <f>-SUM(Capex!V13:V17)</f>
        <v>0</v>
      </c>
      <c r="W21" s="147">
        <f>-SUM(Capex!W13:W17)</f>
        <v>0</v>
      </c>
      <c r="X21" s="147">
        <f>-SUM(Capex!X13:X17)</f>
        <v>0</v>
      </c>
      <c r="Y21" s="147">
        <f>-SUM(Capex!Y13:Y17)</f>
        <v>0</v>
      </c>
      <c r="Z21" s="147">
        <f>-SUM(Capex!Z13:Z17)</f>
        <v>0</v>
      </c>
      <c r="AA21" s="147">
        <f>-SUM(Capex!AA13:AA17)</f>
        <v>0</v>
      </c>
      <c r="AB21" s="147">
        <f>-SUM(Capex!AB13:AB17)</f>
        <v>0</v>
      </c>
      <c r="AC21" s="147">
        <f>-SUM(Capex!AC13:AC17)</f>
        <v>0</v>
      </c>
      <c r="AD21" s="147">
        <f>-SUM(Capex!AD13:AD17)</f>
        <v>0</v>
      </c>
      <c r="AE21" s="147">
        <f>-SUM(Capex!AE13:AE17)</f>
        <v>0</v>
      </c>
      <c r="AF21" s="147">
        <f>-SUM(Capex!AF13:AF17)</f>
        <v>0</v>
      </c>
      <c r="AG21" s="147">
        <f>-SUM(Capex!AG13:AG17)</f>
        <v>0</v>
      </c>
      <c r="AH21" s="147">
        <f>-SUM(Capex!AH13:AH17)</f>
        <v>0</v>
      </c>
      <c r="AI21" s="147">
        <f>-SUM(Capex!AI13:AI17)</f>
        <v>0</v>
      </c>
      <c r="AJ21" s="147">
        <f>-SUM(Capex!AJ13:AJ17)</f>
        <v>0</v>
      </c>
      <c r="AK21" s="147">
        <f>-SUM(Capex!AK13:AK17)</f>
        <v>0</v>
      </c>
      <c r="AL21" s="147">
        <f>-SUM(Capex!AL13:AL17)</f>
        <v>0</v>
      </c>
      <c r="AM21" s="147">
        <f>-SUM(Capex!AM13:AM17)</f>
        <v>0</v>
      </c>
      <c r="AN21" s="147">
        <f>-SUM(Capex!AN13:AN17)</f>
        <v>0</v>
      </c>
      <c r="AO21" s="147">
        <f>-SUM(Capex!AO13:AO17)</f>
        <v>0</v>
      </c>
      <c r="AP21" s="147">
        <f>-SUM(Capex!AP13:AP17)</f>
        <v>0</v>
      </c>
      <c r="AQ21" s="147">
        <f>-SUM(Capex!AQ13:AQ17)</f>
        <v>0</v>
      </c>
      <c r="AR21" s="147">
        <f>-SUM(Capex!AR13:AR17)</f>
        <v>0</v>
      </c>
      <c r="AS21" s="147">
        <f>-SUM(Capex!AS13:AS17)</f>
        <v>0</v>
      </c>
      <c r="AT21" s="147">
        <f>-SUM(Capex!AT13:AT17)</f>
        <v>0</v>
      </c>
      <c r="AU21" s="147">
        <f>-SUM(Capex!AU13:AU17)</f>
        <v>0</v>
      </c>
      <c r="AV21" s="147">
        <f>-SUM(Capex!AV13:AV17)</f>
        <v>0</v>
      </c>
      <c r="AW21" s="147">
        <f>-SUM(Capex!AW13:AW17)</f>
        <v>0</v>
      </c>
      <c r="AX21" s="147">
        <f>-SUM(Capex!AX13:AX17)</f>
        <v>0</v>
      </c>
      <c r="AY21" s="147">
        <f>-SUM(Capex!AY13:AY17)</f>
        <v>0</v>
      </c>
      <c r="AZ21" s="147">
        <f>-SUM(Capex!AZ13:AZ17)</f>
        <v>0</v>
      </c>
      <c r="BA21" s="147">
        <f>-SUM(Capex!BA13:BA17)</f>
        <v>0</v>
      </c>
      <c r="BB21" s="147">
        <f>-SUM(Capex!BB13:BB17)</f>
        <v>0</v>
      </c>
      <c r="BC21" s="147">
        <f>-SUM(Capex!BC13:BC17)</f>
        <v>0</v>
      </c>
      <c r="BD21" s="147">
        <f>-SUM(Capex!BD13:BD17)</f>
        <v>0</v>
      </c>
      <c r="BE21" s="147">
        <f>-SUM(Capex!BE13:BE17)</f>
        <v>0</v>
      </c>
      <c r="BF21" s="147">
        <f>-SUM(Capex!BF13:BF17)</f>
        <v>0</v>
      </c>
      <c r="BG21" s="147">
        <f>-SUM(Capex!BG13:BG17)</f>
        <v>0</v>
      </c>
      <c r="BH21" s="147">
        <f>-SUM(Capex!BH13:BH17)</f>
        <v>0</v>
      </c>
      <c r="BI21" s="147">
        <f>-SUM(Capex!BI13:BI17)</f>
        <v>0</v>
      </c>
      <c r="BJ21" s="147">
        <f>-SUM(Capex!BJ13:BJ17)</f>
        <v>0</v>
      </c>
      <c r="BK21" s="147">
        <f>-SUM(Capex!BK13:BK17)</f>
        <v>0</v>
      </c>
      <c r="BL21" s="147">
        <f>-SUM(Capex!BL13:BL17)</f>
        <v>0</v>
      </c>
      <c r="BM21" s="147">
        <f>-SUM(Capex!BM13:BM17)</f>
        <v>0</v>
      </c>
      <c r="BN21" s="147">
        <f>-SUM(Capex!BN13:BN17)</f>
        <v>0</v>
      </c>
      <c r="BO21" s="147">
        <f>-SUM(Capex!BO13:BO17)</f>
        <v>0</v>
      </c>
      <c r="BP21" s="147">
        <f>-SUM(Capex!BP13:BP17)</f>
        <v>0</v>
      </c>
      <c r="BQ21" s="147">
        <f>-SUM(Capex!BQ13:BQ17)</f>
        <v>0</v>
      </c>
      <c r="BR21" s="147">
        <f>-SUM(Capex!BR13:BR17)</f>
        <v>0</v>
      </c>
    </row>
    <row r="22" spans="1:70" s="147" customFormat="1" ht="13.2" x14ac:dyDescent="0.25">
      <c r="A22" s="211"/>
      <c r="B22" s="147" t="s">
        <v>277</v>
      </c>
      <c r="D22" s="231" t="str">
        <f>unit</f>
        <v>£</v>
      </c>
      <c r="E22" s="147">
        <f t="shared" si="65"/>
        <v>0</v>
      </c>
      <c r="F22" s="147">
        <f t="shared" si="65"/>
        <v>0</v>
      </c>
      <c r="G22" s="147">
        <f t="shared" si="65"/>
        <v>0</v>
      </c>
      <c r="H22" s="147">
        <f t="shared" si="65"/>
        <v>0</v>
      </c>
      <c r="I22" s="147">
        <f t="shared" si="65"/>
        <v>0</v>
      </c>
      <c r="K22" s="147">
        <f>-SUM(Capex!K21:K25)</f>
        <v>0</v>
      </c>
      <c r="L22" s="147">
        <f>-SUM(Capex!L21:L25)</f>
        <v>0</v>
      </c>
      <c r="M22" s="147">
        <f>-SUM(Capex!M21:M25)</f>
        <v>0</v>
      </c>
      <c r="N22" s="147">
        <f>-SUM(Capex!N21:N25)</f>
        <v>0</v>
      </c>
      <c r="O22" s="147">
        <f>-SUM(Capex!O21:O25)</f>
        <v>0</v>
      </c>
      <c r="P22" s="147">
        <f>-SUM(Capex!P21:P25)</f>
        <v>0</v>
      </c>
      <c r="Q22" s="147">
        <f>-SUM(Capex!Q21:Q25)</f>
        <v>0</v>
      </c>
      <c r="R22" s="147">
        <f>-SUM(Capex!R21:R25)</f>
        <v>0</v>
      </c>
      <c r="S22" s="147">
        <f>-SUM(Capex!S21:S25)</f>
        <v>0</v>
      </c>
      <c r="T22" s="147">
        <f>-SUM(Capex!T21:T25)</f>
        <v>0</v>
      </c>
      <c r="U22" s="147">
        <f>-SUM(Capex!U21:U25)</f>
        <v>0</v>
      </c>
      <c r="V22" s="147">
        <f>-SUM(Capex!V21:V25)</f>
        <v>0</v>
      </c>
      <c r="W22" s="147">
        <f>-SUM(Capex!W21:W25)</f>
        <v>0</v>
      </c>
      <c r="X22" s="147">
        <f>-SUM(Capex!X21:X25)</f>
        <v>0</v>
      </c>
      <c r="Y22" s="147">
        <f>-SUM(Capex!Y21:Y25)</f>
        <v>0</v>
      </c>
      <c r="Z22" s="147">
        <f>-SUM(Capex!Z21:Z25)</f>
        <v>0</v>
      </c>
      <c r="AA22" s="147">
        <f>-SUM(Capex!AA21:AA25)</f>
        <v>0</v>
      </c>
      <c r="AB22" s="147">
        <f>-SUM(Capex!AB21:AB25)</f>
        <v>0</v>
      </c>
      <c r="AC22" s="147">
        <f>-SUM(Capex!AC21:AC25)</f>
        <v>0</v>
      </c>
      <c r="AD22" s="147">
        <f>-SUM(Capex!AD21:AD25)</f>
        <v>0</v>
      </c>
      <c r="AE22" s="147">
        <f>-SUM(Capex!AE21:AE25)</f>
        <v>0</v>
      </c>
      <c r="AF22" s="147">
        <f>-SUM(Capex!AF21:AF25)</f>
        <v>0</v>
      </c>
      <c r="AG22" s="147">
        <f>-SUM(Capex!AG21:AG25)</f>
        <v>0</v>
      </c>
      <c r="AH22" s="147">
        <f>-SUM(Capex!AH21:AH25)</f>
        <v>0</v>
      </c>
      <c r="AI22" s="147">
        <f>-SUM(Capex!AI21:AI25)</f>
        <v>0</v>
      </c>
      <c r="AJ22" s="147">
        <f>-SUM(Capex!AJ21:AJ25)</f>
        <v>0</v>
      </c>
      <c r="AK22" s="147">
        <f>-SUM(Capex!AK21:AK25)</f>
        <v>0</v>
      </c>
      <c r="AL22" s="147">
        <f>-SUM(Capex!AL21:AL25)</f>
        <v>0</v>
      </c>
      <c r="AM22" s="147">
        <f>-SUM(Capex!AM21:AM25)</f>
        <v>0</v>
      </c>
      <c r="AN22" s="147">
        <f>-SUM(Capex!AN21:AN25)</f>
        <v>0</v>
      </c>
      <c r="AO22" s="147">
        <f>-SUM(Capex!AO21:AO25)</f>
        <v>0</v>
      </c>
      <c r="AP22" s="147">
        <f>-SUM(Capex!AP21:AP25)</f>
        <v>0</v>
      </c>
      <c r="AQ22" s="147">
        <f>-SUM(Capex!AQ21:AQ25)</f>
        <v>0</v>
      </c>
      <c r="AR22" s="147">
        <f>-SUM(Capex!AR21:AR25)</f>
        <v>0</v>
      </c>
      <c r="AS22" s="147">
        <f>-SUM(Capex!AS21:AS25)</f>
        <v>0</v>
      </c>
      <c r="AT22" s="147">
        <f>-SUM(Capex!AT21:AT25)</f>
        <v>0</v>
      </c>
      <c r="AU22" s="147">
        <f>-SUM(Capex!AU21:AU25)</f>
        <v>0</v>
      </c>
      <c r="AV22" s="147">
        <f>-SUM(Capex!AV21:AV25)</f>
        <v>0</v>
      </c>
      <c r="AW22" s="147">
        <f>-SUM(Capex!AW21:AW25)</f>
        <v>0</v>
      </c>
      <c r="AX22" s="147">
        <f>-SUM(Capex!AX21:AX25)</f>
        <v>0</v>
      </c>
      <c r="AY22" s="147">
        <f>-SUM(Capex!AY21:AY25)</f>
        <v>0</v>
      </c>
      <c r="AZ22" s="147">
        <f>-SUM(Capex!AZ21:AZ25)</f>
        <v>0</v>
      </c>
      <c r="BA22" s="147">
        <f>-SUM(Capex!BA21:BA25)</f>
        <v>0</v>
      </c>
      <c r="BB22" s="147">
        <f>-SUM(Capex!BB21:BB25)</f>
        <v>0</v>
      </c>
      <c r="BC22" s="147">
        <f>-SUM(Capex!BC21:BC25)</f>
        <v>0</v>
      </c>
      <c r="BD22" s="147">
        <f>-SUM(Capex!BD21:BD25)</f>
        <v>0</v>
      </c>
      <c r="BE22" s="147">
        <f>-SUM(Capex!BE21:BE25)</f>
        <v>0</v>
      </c>
      <c r="BF22" s="147">
        <f>-SUM(Capex!BF21:BF25)</f>
        <v>0</v>
      </c>
      <c r="BG22" s="147">
        <f>-SUM(Capex!BG21:BG25)</f>
        <v>0</v>
      </c>
      <c r="BH22" s="147">
        <f>-SUM(Capex!BH21:BH25)</f>
        <v>0</v>
      </c>
      <c r="BI22" s="147">
        <f>-SUM(Capex!BI21:BI25)</f>
        <v>0</v>
      </c>
      <c r="BJ22" s="147">
        <f>-SUM(Capex!BJ21:BJ25)</f>
        <v>0</v>
      </c>
      <c r="BK22" s="147">
        <f>-SUM(Capex!BK21:BK25)</f>
        <v>0</v>
      </c>
      <c r="BL22" s="147">
        <f>-SUM(Capex!BL21:BL25)</f>
        <v>0</v>
      </c>
      <c r="BM22" s="147">
        <f>-SUM(Capex!BM21:BM25)</f>
        <v>0</v>
      </c>
      <c r="BN22" s="147">
        <f>-SUM(Capex!BN21:BN25)</f>
        <v>0</v>
      </c>
      <c r="BO22" s="147">
        <f>-SUM(Capex!BO21:BO25)</f>
        <v>0</v>
      </c>
      <c r="BP22" s="147">
        <f>-SUM(Capex!BP21:BP25)</f>
        <v>0</v>
      </c>
      <c r="BQ22" s="147">
        <f>-SUM(Capex!BQ21:BQ25)</f>
        <v>0</v>
      </c>
      <c r="BR22" s="147">
        <f>-SUM(Capex!BR21:BR25)</f>
        <v>0</v>
      </c>
    </row>
    <row r="23" spans="1:70" s="147" customFormat="1" ht="13.2" x14ac:dyDescent="0.25">
      <c r="A23" s="211"/>
      <c r="F23" s="212"/>
    </row>
    <row r="24" spans="1:70" s="147" customFormat="1" ht="13.2" x14ac:dyDescent="0.25">
      <c r="A24" s="211"/>
      <c r="B24" s="147" t="s">
        <v>299</v>
      </c>
      <c r="D24" s="231" t="str">
        <f>unit</f>
        <v>£</v>
      </c>
      <c r="E24" s="147">
        <f t="shared" si="65"/>
        <v>0</v>
      </c>
      <c r="F24" s="147">
        <f t="shared" si="65"/>
        <v>0</v>
      </c>
      <c r="G24" s="147">
        <f t="shared" si="65"/>
        <v>0</v>
      </c>
      <c r="H24" s="147">
        <f t="shared" si="65"/>
        <v>0</v>
      </c>
      <c r="I24" s="147">
        <f t="shared" si="65"/>
        <v>0</v>
      </c>
      <c r="K24" s="147">
        <f>-GrantIncome!K15</f>
        <v>0</v>
      </c>
      <c r="L24" s="147">
        <f>-GrantIncome!L15</f>
        <v>0</v>
      </c>
      <c r="M24" s="147">
        <f>-GrantIncome!M15</f>
        <v>0</v>
      </c>
      <c r="N24" s="147">
        <f>-GrantIncome!N15</f>
        <v>0</v>
      </c>
      <c r="O24" s="147">
        <f>-GrantIncome!O15</f>
        <v>0</v>
      </c>
      <c r="P24" s="147">
        <f>-GrantIncome!P15</f>
        <v>0</v>
      </c>
      <c r="Q24" s="147">
        <f>-GrantIncome!Q15</f>
        <v>0</v>
      </c>
      <c r="R24" s="147">
        <f>-GrantIncome!R15</f>
        <v>0</v>
      </c>
      <c r="S24" s="147">
        <f>-GrantIncome!S15</f>
        <v>0</v>
      </c>
      <c r="T24" s="147">
        <f>-GrantIncome!T15</f>
        <v>0</v>
      </c>
      <c r="U24" s="147">
        <f>-GrantIncome!U15</f>
        <v>0</v>
      </c>
      <c r="V24" s="147">
        <f>-GrantIncome!V15</f>
        <v>0</v>
      </c>
      <c r="W24" s="147">
        <f>-GrantIncome!W15</f>
        <v>0</v>
      </c>
      <c r="X24" s="147">
        <f>-GrantIncome!X15</f>
        <v>0</v>
      </c>
      <c r="Y24" s="147">
        <f>-GrantIncome!Y15</f>
        <v>0</v>
      </c>
      <c r="Z24" s="147">
        <f>-GrantIncome!Z15</f>
        <v>0</v>
      </c>
      <c r="AA24" s="147">
        <f>-GrantIncome!AA15</f>
        <v>0</v>
      </c>
      <c r="AB24" s="147">
        <f>-GrantIncome!AB15</f>
        <v>0</v>
      </c>
      <c r="AC24" s="147">
        <f>-GrantIncome!AC15</f>
        <v>0</v>
      </c>
      <c r="AD24" s="147">
        <f>-GrantIncome!AD15</f>
        <v>0</v>
      </c>
      <c r="AE24" s="147">
        <f>-GrantIncome!AE15</f>
        <v>0</v>
      </c>
      <c r="AF24" s="147">
        <f>-GrantIncome!AF15</f>
        <v>0</v>
      </c>
      <c r="AG24" s="147">
        <f>-GrantIncome!AG15</f>
        <v>0</v>
      </c>
      <c r="AH24" s="147">
        <f>-GrantIncome!AH15</f>
        <v>0</v>
      </c>
      <c r="AI24" s="147">
        <f>-GrantIncome!AI15</f>
        <v>0</v>
      </c>
      <c r="AJ24" s="147">
        <f>-GrantIncome!AJ15</f>
        <v>0</v>
      </c>
      <c r="AK24" s="147">
        <f>-GrantIncome!AK15</f>
        <v>0</v>
      </c>
      <c r="AL24" s="147">
        <f>-GrantIncome!AL15</f>
        <v>0</v>
      </c>
      <c r="AM24" s="147">
        <f>-GrantIncome!AM15</f>
        <v>0</v>
      </c>
      <c r="AN24" s="147">
        <f>-GrantIncome!AN15</f>
        <v>0</v>
      </c>
      <c r="AO24" s="147">
        <f>-GrantIncome!AO15</f>
        <v>0</v>
      </c>
      <c r="AP24" s="147">
        <f>-GrantIncome!AP15</f>
        <v>0</v>
      </c>
      <c r="AQ24" s="147">
        <f>-GrantIncome!AQ15</f>
        <v>0</v>
      </c>
      <c r="AR24" s="147">
        <f>-GrantIncome!AR15</f>
        <v>0</v>
      </c>
      <c r="AS24" s="147">
        <f>-GrantIncome!AS15</f>
        <v>0</v>
      </c>
      <c r="AT24" s="147">
        <f>-GrantIncome!AT15</f>
        <v>0</v>
      </c>
      <c r="AU24" s="147">
        <f>-GrantIncome!AU15</f>
        <v>0</v>
      </c>
      <c r="AV24" s="147">
        <f>-GrantIncome!AV15</f>
        <v>0</v>
      </c>
      <c r="AW24" s="147">
        <f>-GrantIncome!AW15</f>
        <v>0</v>
      </c>
      <c r="AX24" s="147">
        <f>-GrantIncome!AX15</f>
        <v>0</v>
      </c>
      <c r="AY24" s="147">
        <f>-GrantIncome!AY15</f>
        <v>0</v>
      </c>
      <c r="AZ24" s="147">
        <f>-GrantIncome!AZ15</f>
        <v>0</v>
      </c>
      <c r="BA24" s="147">
        <f>-GrantIncome!BA15</f>
        <v>0</v>
      </c>
      <c r="BB24" s="147">
        <f>-GrantIncome!BB15</f>
        <v>0</v>
      </c>
      <c r="BC24" s="147">
        <f>-GrantIncome!BC15</f>
        <v>0</v>
      </c>
      <c r="BD24" s="147">
        <f>-GrantIncome!BD15</f>
        <v>0</v>
      </c>
      <c r="BE24" s="147">
        <f>-GrantIncome!BE15</f>
        <v>0</v>
      </c>
      <c r="BF24" s="147">
        <f>-GrantIncome!BF15</f>
        <v>0</v>
      </c>
      <c r="BG24" s="147">
        <f>-GrantIncome!BG15</f>
        <v>0</v>
      </c>
      <c r="BH24" s="147">
        <f>-GrantIncome!BH15</f>
        <v>0</v>
      </c>
      <c r="BI24" s="147">
        <f>-GrantIncome!BI15</f>
        <v>0</v>
      </c>
      <c r="BJ24" s="147">
        <f>-GrantIncome!BJ15</f>
        <v>0</v>
      </c>
      <c r="BK24" s="147">
        <f>-GrantIncome!BK15</f>
        <v>0</v>
      </c>
      <c r="BL24" s="147">
        <f>-GrantIncome!BL15</f>
        <v>0</v>
      </c>
      <c r="BM24" s="147">
        <f>-GrantIncome!BM15</f>
        <v>0</v>
      </c>
      <c r="BN24" s="147">
        <f>-GrantIncome!BN15</f>
        <v>0</v>
      </c>
      <c r="BO24" s="147">
        <f>-GrantIncome!BO15</f>
        <v>0</v>
      </c>
      <c r="BP24" s="147">
        <f>-GrantIncome!BP15</f>
        <v>0</v>
      </c>
      <c r="BQ24" s="147">
        <f>-GrantIncome!BQ15</f>
        <v>0</v>
      </c>
      <c r="BR24" s="147">
        <f>-GrantIncome!BR15</f>
        <v>0</v>
      </c>
    </row>
    <row r="25" spans="1:70" s="147" customFormat="1" ht="13.2" x14ac:dyDescent="0.25">
      <c r="A25" s="211"/>
      <c r="B25" s="147" t="s">
        <v>393</v>
      </c>
      <c r="D25" s="231" t="str">
        <f>unit</f>
        <v>£</v>
      </c>
      <c r="E25" s="147">
        <f t="shared" si="65"/>
        <v>0</v>
      </c>
      <c r="F25" s="147">
        <f t="shared" si="65"/>
        <v>0</v>
      </c>
      <c r="G25" s="147">
        <f t="shared" si="65"/>
        <v>0</v>
      </c>
      <c r="H25" s="147">
        <f t="shared" si="65"/>
        <v>0</v>
      </c>
      <c r="I25" s="147">
        <f t="shared" si="65"/>
        <v>0</v>
      </c>
      <c r="K25" s="147">
        <f>'Other income'!K32</f>
        <v>0</v>
      </c>
      <c r="L25" s="147">
        <f>'Other income'!L32</f>
        <v>0</v>
      </c>
      <c r="M25" s="147">
        <f>'Other income'!M32</f>
        <v>0</v>
      </c>
      <c r="N25" s="147">
        <f>'Other income'!N32</f>
        <v>0</v>
      </c>
      <c r="O25" s="147">
        <f>'Other income'!O32</f>
        <v>0</v>
      </c>
      <c r="P25" s="147">
        <f>'Other income'!P32</f>
        <v>0</v>
      </c>
      <c r="Q25" s="147">
        <f>'Other income'!Q32</f>
        <v>0</v>
      </c>
      <c r="R25" s="147">
        <f>'Other income'!R32</f>
        <v>0</v>
      </c>
      <c r="S25" s="147">
        <f>'Other income'!S32</f>
        <v>0</v>
      </c>
      <c r="T25" s="147">
        <f>'Other income'!T32</f>
        <v>0</v>
      </c>
      <c r="U25" s="147">
        <f>'Other income'!U32</f>
        <v>0</v>
      </c>
      <c r="V25" s="147">
        <f>'Other income'!V32</f>
        <v>0</v>
      </c>
      <c r="W25" s="147">
        <f>'Other income'!W32</f>
        <v>0</v>
      </c>
      <c r="X25" s="147">
        <f>'Other income'!X32</f>
        <v>0</v>
      </c>
      <c r="Y25" s="147">
        <f>'Other income'!Y32</f>
        <v>0</v>
      </c>
      <c r="Z25" s="147">
        <f>'Other income'!Z32</f>
        <v>0</v>
      </c>
      <c r="AA25" s="147">
        <f>'Other income'!AA32</f>
        <v>0</v>
      </c>
      <c r="AB25" s="147">
        <f>'Other income'!AB32</f>
        <v>0</v>
      </c>
      <c r="AC25" s="147">
        <f>'Other income'!AC32</f>
        <v>0</v>
      </c>
      <c r="AD25" s="147">
        <f>'Other income'!AD32</f>
        <v>0</v>
      </c>
      <c r="AE25" s="147">
        <f>'Other income'!AE32</f>
        <v>0</v>
      </c>
      <c r="AF25" s="147">
        <f>'Other income'!AF32</f>
        <v>0</v>
      </c>
      <c r="AG25" s="147">
        <f>'Other income'!AG32</f>
        <v>0</v>
      </c>
      <c r="AH25" s="147">
        <f>'Other income'!AH32</f>
        <v>0</v>
      </c>
      <c r="AI25" s="147">
        <f>'Other income'!AI32</f>
        <v>0</v>
      </c>
      <c r="AJ25" s="147">
        <f>'Other income'!AJ32</f>
        <v>0</v>
      </c>
      <c r="AK25" s="147">
        <f>'Other income'!AK32</f>
        <v>0</v>
      </c>
      <c r="AL25" s="147">
        <f>'Other income'!AL32</f>
        <v>0</v>
      </c>
      <c r="AM25" s="147">
        <f>'Other income'!AM32</f>
        <v>0</v>
      </c>
      <c r="AN25" s="147">
        <f>'Other income'!AN32</f>
        <v>0</v>
      </c>
      <c r="AO25" s="147">
        <f>'Other income'!AO32</f>
        <v>0</v>
      </c>
      <c r="AP25" s="147">
        <f>'Other income'!AP32</f>
        <v>0</v>
      </c>
      <c r="AQ25" s="147">
        <f>'Other income'!AQ32</f>
        <v>0</v>
      </c>
      <c r="AR25" s="147">
        <f>'Other income'!AR32</f>
        <v>0</v>
      </c>
      <c r="AS25" s="147">
        <f>'Other income'!AS32</f>
        <v>0</v>
      </c>
      <c r="AT25" s="147">
        <f>'Other income'!AT32</f>
        <v>0</v>
      </c>
      <c r="AU25" s="147">
        <f>'Other income'!AU32</f>
        <v>0</v>
      </c>
      <c r="AV25" s="147">
        <f>'Other income'!AV32</f>
        <v>0</v>
      </c>
      <c r="AW25" s="147">
        <f>'Other income'!AW32</f>
        <v>0</v>
      </c>
      <c r="AX25" s="147">
        <f>'Other income'!AX32</f>
        <v>0</v>
      </c>
      <c r="AY25" s="147">
        <f>'Other income'!AY32</f>
        <v>0</v>
      </c>
      <c r="AZ25" s="147">
        <f>'Other income'!AZ32</f>
        <v>0</v>
      </c>
      <c r="BA25" s="147">
        <f>'Other income'!BA32</f>
        <v>0</v>
      </c>
      <c r="BB25" s="147">
        <f>'Other income'!BB32</f>
        <v>0</v>
      </c>
      <c r="BC25" s="147">
        <f>'Other income'!BC32</f>
        <v>0</v>
      </c>
      <c r="BD25" s="147">
        <f>'Other income'!BD32</f>
        <v>0</v>
      </c>
      <c r="BE25" s="147">
        <f>'Other income'!BE32</f>
        <v>0</v>
      </c>
      <c r="BF25" s="147">
        <f>'Other income'!BF32</f>
        <v>0</v>
      </c>
      <c r="BG25" s="147">
        <f>'Other income'!BG32</f>
        <v>0</v>
      </c>
      <c r="BH25" s="147">
        <f>'Other income'!BH32</f>
        <v>0</v>
      </c>
      <c r="BI25" s="147">
        <f>'Other income'!BI32</f>
        <v>0</v>
      </c>
      <c r="BJ25" s="147">
        <f>'Other income'!BJ32</f>
        <v>0</v>
      </c>
      <c r="BK25" s="147">
        <f>'Other income'!BK32</f>
        <v>0</v>
      </c>
      <c r="BL25" s="147">
        <f>'Other income'!BL32</f>
        <v>0</v>
      </c>
      <c r="BM25" s="147">
        <f>'Other income'!BM32</f>
        <v>0</v>
      </c>
      <c r="BN25" s="147">
        <f>'Other income'!BN32</f>
        <v>0</v>
      </c>
      <c r="BO25" s="147">
        <f>'Other income'!BO32</f>
        <v>0</v>
      </c>
      <c r="BP25" s="147">
        <f>'Other income'!BP32</f>
        <v>0</v>
      </c>
      <c r="BQ25" s="147">
        <f>'Other income'!BQ32</f>
        <v>0</v>
      </c>
      <c r="BR25" s="147">
        <f>'Other income'!BR32</f>
        <v>0</v>
      </c>
    </row>
    <row r="26" spans="1:70" s="147" customFormat="1" ht="13.2" x14ac:dyDescent="0.25">
      <c r="A26" s="211"/>
      <c r="B26" s="147" t="s">
        <v>367</v>
      </c>
      <c r="D26" s="231" t="str">
        <f>unit</f>
        <v>£</v>
      </c>
      <c r="E26" s="147">
        <f t="shared" si="65"/>
        <v>0</v>
      </c>
      <c r="F26" s="147">
        <f t="shared" si="65"/>
        <v>0</v>
      </c>
      <c r="G26" s="147">
        <f t="shared" si="65"/>
        <v>0</v>
      </c>
      <c r="H26" s="147">
        <f t="shared" si="65"/>
        <v>0</v>
      </c>
      <c r="I26" s="147">
        <f t="shared" si="65"/>
        <v>0</v>
      </c>
      <c r="K26" s="147">
        <f>EquityFinancing!K22</f>
        <v>0</v>
      </c>
      <c r="L26" s="147">
        <f>EquityFinancing!L22</f>
        <v>0</v>
      </c>
      <c r="M26" s="147">
        <f>EquityFinancing!M22</f>
        <v>0</v>
      </c>
      <c r="N26" s="147">
        <f>EquityFinancing!N22</f>
        <v>0</v>
      </c>
      <c r="O26" s="147">
        <f>EquityFinancing!O22</f>
        <v>0</v>
      </c>
      <c r="P26" s="147">
        <f>EquityFinancing!P22</f>
        <v>0</v>
      </c>
      <c r="Q26" s="147">
        <f>EquityFinancing!Q22</f>
        <v>0</v>
      </c>
      <c r="R26" s="147">
        <f>EquityFinancing!R22</f>
        <v>0</v>
      </c>
      <c r="S26" s="147">
        <f>EquityFinancing!S22</f>
        <v>0</v>
      </c>
      <c r="T26" s="147">
        <f>EquityFinancing!T22</f>
        <v>0</v>
      </c>
      <c r="U26" s="147">
        <f>EquityFinancing!U22</f>
        <v>0</v>
      </c>
      <c r="V26" s="147">
        <f>EquityFinancing!V22</f>
        <v>0</v>
      </c>
      <c r="W26" s="147">
        <f>EquityFinancing!W22</f>
        <v>0</v>
      </c>
      <c r="X26" s="147">
        <f>EquityFinancing!X22</f>
        <v>0</v>
      </c>
      <c r="Y26" s="147">
        <f>EquityFinancing!Y22</f>
        <v>0</v>
      </c>
      <c r="Z26" s="147">
        <f>EquityFinancing!Z22</f>
        <v>0</v>
      </c>
      <c r="AA26" s="147">
        <f>EquityFinancing!AA22</f>
        <v>0</v>
      </c>
      <c r="AB26" s="147">
        <f>EquityFinancing!AB22</f>
        <v>0</v>
      </c>
      <c r="AC26" s="147">
        <f>EquityFinancing!AC22</f>
        <v>0</v>
      </c>
      <c r="AD26" s="147">
        <f>EquityFinancing!AD22</f>
        <v>0</v>
      </c>
      <c r="AE26" s="147">
        <f>EquityFinancing!AE22</f>
        <v>0</v>
      </c>
      <c r="AF26" s="147">
        <f>EquityFinancing!AF22</f>
        <v>0</v>
      </c>
      <c r="AG26" s="147">
        <f>EquityFinancing!AG22</f>
        <v>0</v>
      </c>
      <c r="AH26" s="147">
        <f>EquityFinancing!AH22</f>
        <v>0</v>
      </c>
      <c r="AI26" s="147">
        <f>EquityFinancing!AI22</f>
        <v>0</v>
      </c>
      <c r="AJ26" s="147">
        <f>EquityFinancing!AJ22</f>
        <v>0</v>
      </c>
      <c r="AK26" s="147">
        <f>EquityFinancing!AK22</f>
        <v>0</v>
      </c>
      <c r="AL26" s="147">
        <f>EquityFinancing!AL22</f>
        <v>0</v>
      </c>
      <c r="AM26" s="147">
        <f>EquityFinancing!AM22</f>
        <v>0</v>
      </c>
      <c r="AN26" s="147">
        <f>EquityFinancing!AN22</f>
        <v>0</v>
      </c>
      <c r="AO26" s="147">
        <f>EquityFinancing!AO22</f>
        <v>0</v>
      </c>
      <c r="AP26" s="147">
        <f>EquityFinancing!AP22</f>
        <v>0</v>
      </c>
      <c r="AQ26" s="147">
        <f>EquityFinancing!AQ22</f>
        <v>0</v>
      </c>
      <c r="AR26" s="147">
        <f>EquityFinancing!AR22</f>
        <v>0</v>
      </c>
      <c r="AS26" s="147">
        <f>EquityFinancing!AS22</f>
        <v>0</v>
      </c>
      <c r="AT26" s="147">
        <f>EquityFinancing!AT22</f>
        <v>0</v>
      </c>
      <c r="AU26" s="147">
        <f>EquityFinancing!AU22</f>
        <v>0</v>
      </c>
      <c r="AV26" s="147">
        <f>EquityFinancing!AV22</f>
        <v>0</v>
      </c>
      <c r="AW26" s="147">
        <f>EquityFinancing!AW22</f>
        <v>0</v>
      </c>
      <c r="AX26" s="147">
        <f>EquityFinancing!AX22</f>
        <v>0</v>
      </c>
      <c r="AY26" s="147">
        <f>EquityFinancing!AY22</f>
        <v>0</v>
      </c>
      <c r="AZ26" s="147">
        <f>EquityFinancing!AZ22</f>
        <v>0</v>
      </c>
      <c r="BA26" s="147">
        <f>EquityFinancing!BA22</f>
        <v>0</v>
      </c>
      <c r="BB26" s="147">
        <f>EquityFinancing!BB22</f>
        <v>0</v>
      </c>
      <c r="BC26" s="147">
        <f>EquityFinancing!BC22</f>
        <v>0</v>
      </c>
      <c r="BD26" s="147">
        <f>EquityFinancing!BD22</f>
        <v>0</v>
      </c>
      <c r="BE26" s="147">
        <f>EquityFinancing!BE22</f>
        <v>0</v>
      </c>
      <c r="BF26" s="147">
        <f>EquityFinancing!BF22</f>
        <v>0</v>
      </c>
      <c r="BG26" s="147">
        <f>EquityFinancing!BG22</f>
        <v>0</v>
      </c>
      <c r="BH26" s="147">
        <f>EquityFinancing!BH22</f>
        <v>0</v>
      </c>
      <c r="BI26" s="147">
        <f>EquityFinancing!BI22</f>
        <v>0</v>
      </c>
      <c r="BJ26" s="147">
        <f>EquityFinancing!BJ22</f>
        <v>0</v>
      </c>
      <c r="BK26" s="147">
        <f>EquityFinancing!BK22</f>
        <v>0</v>
      </c>
      <c r="BL26" s="147">
        <f>EquityFinancing!BL22</f>
        <v>0</v>
      </c>
      <c r="BM26" s="147">
        <f>EquityFinancing!BM22</f>
        <v>0</v>
      </c>
      <c r="BN26" s="147">
        <f>EquityFinancing!BN22</f>
        <v>0</v>
      </c>
      <c r="BO26" s="147">
        <f>EquityFinancing!BO22</f>
        <v>0</v>
      </c>
      <c r="BP26" s="147">
        <f>EquityFinancing!BP22</f>
        <v>0</v>
      </c>
      <c r="BQ26" s="147">
        <f>EquityFinancing!BQ22</f>
        <v>0</v>
      </c>
      <c r="BR26" s="147">
        <f>EquityFinancing!BR22</f>
        <v>0</v>
      </c>
    </row>
    <row r="27" spans="1:70" s="147" customFormat="1" ht="13.2" x14ac:dyDescent="0.25">
      <c r="A27" s="211"/>
      <c r="B27" s="147" t="s">
        <v>278</v>
      </c>
      <c r="D27" s="231" t="str">
        <f>unit</f>
        <v>£</v>
      </c>
      <c r="E27" s="147">
        <f>SUMIF($K$5:$BR$5,E$5,$K27:$BR27)</f>
        <v>0</v>
      </c>
      <c r="F27" s="147">
        <f t="shared" ref="F27:I28" si="66">SUMIF($K$5:$BR$5,F$5,$K27:$BR27)</f>
        <v>0</v>
      </c>
      <c r="G27" s="147">
        <f t="shared" si="66"/>
        <v>0</v>
      </c>
      <c r="H27" s="147">
        <f t="shared" si="66"/>
        <v>0</v>
      </c>
      <c r="I27" s="147">
        <f t="shared" si="66"/>
        <v>0</v>
      </c>
      <c r="K27" s="147">
        <f>-DebtFinancing!K15</f>
        <v>0</v>
      </c>
      <c r="L27" s="147">
        <f>-DebtFinancing!L15</f>
        <v>0</v>
      </c>
      <c r="M27" s="147">
        <f>-DebtFinancing!M15</f>
        <v>0</v>
      </c>
      <c r="N27" s="147">
        <f>-DebtFinancing!N15</f>
        <v>0</v>
      </c>
      <c r="O27" s="147">
        <f>-DebtFinancing!O15</f>
        <v>0</v>
      </c>
      <c r="P27" s="147">
        <f>-DebtFinancing!P15</f>
        <v>0</v>
      </c>
      <c r="Q27" s="147">
        <f>-DebtFinancing!Q15</f>
        <v>0</v>
      </c>
      <c r="R27" s="147">
        <f>-DebtFinancing!R15</f>
        <v>0</v>
      </c>
      <c r="S27" s="147">
        <f>-DebtFinancing!S15</f>
        <v>0</v>
      </c>
      <c r="T27" s="147">
        <f>-DebtFinancing!T15</f>
        <v>0</v>
      </c>
      <c r="U27" s="147">
        <f>-DebtFinancing!U15</f>
        <v>0</v>
      </c>
      <c r="V27" s="147">
        <f>-DebtFinancing!V15</f>
        <v>0</v>
      </c>
      <c r="W27" s="147">
        <f>-DebtFinancing!W15</f>
        <v>0</v>
      </c>
      <c r="X27" s="147">
        <f>-DebtFinancing!X15</f>
        <v>0</v>
      </c>
      <c r="Y27" s="147">
        <f>-DebtFinancing!Y15</f>
        <v>0</v>
      </c>
      <c r="Z27" s="147">
        <f>-DebtFinancing!Z15</f>
        <v>0</v>
      </c>
      <c r="AA27" s="147">
        <f>-DebtFinancing!AA15</f>
        <v>0</v>
      </c>
      <c r="AB27" s="147">
        <f>-DebtFinancing!AB15</f>
        <v>0</v>
      </c>
      <c r="AC27" s="147">
        <f>-DebtFinancing!AC15</f>
        <v>0</v>
      </c>
      <c r="AD27" s="147">
        <f>-DebtFinancing!AD15</f>
        <v>0</v>
      </c>
      <c r="AE27" s="147">
        <f>-DebtFinancing!AE15</f>
        <v>0</v>
      </c>
      <c r="AF27" s="147">
        <f>-DebtFinancing!AF15</f>
        <v>0</v>
      </c>
      <c r="AG27" s="147">
        <f>-DebtFinancing!AG15</f>
        <v>0</v>
      </c>
      <c r="AH27" s="147">
        <f>-DebtFinancing!AH15</f>
        <v>0</v>
      </c>
      <c r="AI27" s="147">
        <f>-DebtFinancing!AI15</f>
        <v>0</v>
      </c>
      <c r="AJ27" s="147">
        <f>-DebtFinancing!AJ15</f>
        <v>0</v>
      </c>
      <c r="AK27" s="147">
        <f>-DebtFinancing!AK15</f>
        <v>0</v>
      </c>
      <c r="AL27" s="147">
        <f>-DebtFinancing!AL15</f>
        <v>0</v>
      </c>
      <c r="AM27" s="147">
        <f>-DebtFinancing!AM15</f>
        <v>0</v>
      </c>
      <c r="AN27" s="147">
        <f>-DebtFinancing!AN15</f>
        <v>0</v>
      </c>
      <c r="AO27" s="147">
        <f>-DebtFinancing!AO15</f>
        <v>0</v>
      </c>
      <c r="AP27" s="147">
        <f>-DebtFinancing!AP15</f>
        <v>0</v>
      </c>
      <c r="AQ27" s="147">
        <f>-DebtFinancing!AQ15</f>
        <v>0</v>
      </c>
      <c r="AR27" s="147">
        <f>-DebtFinancing!AR15</f>
        <v>0</v>
      </c>
      <c r="AS27" s="147">
        <f>-DebtFinancing!AS15</f>
        <v>0</v>
      </c>
      <c r="AT27" s="147">
        <f>-DebtFinancing!AT15</f>
        <v>0</v>
      </c>
      <c r="AU27" s="147">
        <f>-DebtFinancing!AU15</f>
        <v>0</v>
      </c>
      <c r="AV27" s="147">
        <f>-DebtFinancing!AV15</f>
        <v>0</v>
      </c>
      <c r="AW27" s="147">
        <f>-DebtFinancing!AW15</f>
        <v>0</v>
      </c>
      <c r="AX27" s="147">
        <f>-DebtFinancing!AX15</f>
        <v>0</v>
      </c>
      <c r="AY27" s="147">
        <f>-DebtFinancing!AY15</f>
        <v>0</v>
      </c>
      <c r="AZ27" s="147">
        <f>-DebtFinancing!AZ15</f>
        <v>0</v>
      </c>
      <c r="BA27" s="147">
        <f>-DebtFinancing!BA15</f>
        <v>0</v>
      </c>
      <c r="BB27" s="147">
        <f>-DebtFinancing!BB15</f>
        <v>0</v>
      </c>
      <c r="BC27" s="147">
        <f>-DebtFinancing!BC15</f>
        <v>0</v>
      </c>
      <c r="BD27" s="147">
        <f>-DebtFinancing!BD15</f>
        <v>0</v>
      </c>
      <c r="BE27" s="147">
        <f>-DebtFinancing!BE15</f>
        <v>0</v>
      </c>
      <c r="BF27" s="147">
        <f>-DebtFinancing!BF15</f>
        <v>0</v>
      </c>
      <c r="BG27" s="147">
        <f>-DebtFinancing!BG15</f>
        <v>0</v>
      </c>
      <c r="BH27" s="147">
        <f>-DebtFinancing!BH15</f>
        <v>0</v>
      </c>
      <c r="BI27" s="147">
        <f>-DebtFinancing!BI15</f>
        <v>0</v>
      </c>
      <c r="BJ27" s="147">
        <f>-DebtFinancing!BJ15</f>
        <v>0</v>
      </c>
      <c r="BK27" s="147">
        <f>-DebtFinancing!BK15</f>
        <v>0</v>
      </c>
      <c r="BL27" s="147">
        <f>-DebtFinancing!BL15</f>
        <v>0</v>
      </c>
      <c r="BM27" s="147">
        <f>-DebtFinancing!BM15</f>
        <v>0</v>
      </c>
      <c r="BN27" s="147">
        <f>-DebtFinancing!BN15</f>
        <v>0</v>
      </c>
      <c r="BO27" s="147">
        <f>-DebtFinancing!BO15</f>
        <v>0</v>
      </c>
      <c r="BP27" s="147">
        <f>-DebtFinancing!BP15</f>
        <v>0</v>
      </c>
      <c r="BQ27" s="147">
        <f>-DebtFinancing!BQ15</f>
        <v>0</v>
      </c>
      <c r="BR27" s="147">
        <f>-DebtFinancing!BR15</f>
        <v>0</v>
      </c>
    </row>
    <row r="28" spans="1:70" s="147" customFormat="1" ht="13.2" x14ac:dyDescent="0.25">
      <c r="A28" s="211"/>
      <c r="B28" s="147" t="s">
        <v>279</v>
      </c>
      <c r="D28" s="231" t="str">
        <f>unit</f>
        <v>£</v>
      </c>
      <c r="E28" s="147">
        <f>SUMIF($K$5:$BR$5,E$5,$K28:$BR28)</f>
        <v>0</v>
      </c>
      <c r="F28" s="147">
        <f t="shared" si="66"/>
        <v>0</v>
      </c>
      <c r="G28" s="147">
        <f t="shared" si="66"/>
        <v>0</v>
      </c>
      <c r="H28" s="147">
        <f t="shared" si="66"/>
        <v>0</v>
      </c>
      <c r="I28" s="147">
        <f t="shared" si="66"/>
        <v>0</v>
      </c>
      <c r="K28" s="147">
        <f>-DebtFinancing!K16</f>
        <v>0</v>
      </c>
      <c r="L28" s="147">
        <f>-DebtFinancing!L16</f>
        <v>0</v>
      </c>
      <c r="M28" s="147">
        <f>-DebtFinancing!M16</f>
        <v>0</v>
      </c>
      <c r="N28" s="147">
        <f>-DebtFinancing!N16</f>
        <v>0</v>
      </c>
      <c r="O28" s="147">
        <f>-DebtFinancing!O16</f>
        <v>0</v>
      </c>
      <c r="P28" s="147">
        <f>-DebtFinancing!P16</f>
        <v>0</v>
      </c>
      <c r="Q28" s="147">
        <f>-DebtFinancing!Q16</f>
        <v>0</v>
      </c>
      <c r="R28" s="147">
        <f>-DebtFinancing!R16</f>
        <v>0</v>
      </c>
      <c r="S28" s="147">
        <f>-DebtFinancing!S16</f>
        <v>0</v>
      </c>
      <c r="T28" s="147">
        <f>-DebtFinancing!T16</f>
        <v>0</v>
      </c>
      <c r="U28" s="147">
        <f>-DebtFinancing!U16</f>
        <v>0</v>
      </c>
      <c r="V28" s="147">
        <f>-DebtFinancing!V16</f>
        <v>0</v>
      </c>
      <c r="W28" s="147">
        <f>-DebtFinancing!W16</f>
        <v>0</v>
      </c>
      <c r="X28" s="147">
        <f>-DebtFinancing!X16</f>
        <v>0</v>
      </c>
      <c r="Y28" s="147">
        <f>-DebtFinancing!Y16</f>
        <v>0</v>
      </c>
      <c r="Z28" s="147">
        <f>-DebtFinancing!Z16</f>
        <v>0</v>
      </c>
      <c r="AA28" s="147">
        <f>-DebtFinancing!AA16</f>
        <v>0</v>
      </c>
      <c r="AB28" s="147">
        <f>-DebtFinancing!AB16</f>
        <v>0</v>
      </c>
      <c r="AC28" s="147">
        <f>-DebtFinancing!AC16</f>
        <v>0</v>
      </c>
      <c r="AD28" s="147">
        <f>-DebtFinancing!AD16</f>
        <v>0</v>
      </c>
      <c r="AE28" s="147">
        <f>-DebtFinancing!AE16</f>
        <v>0</v>
      </c>
      <c r="AF28" s="147">
        <f>-DebtFinancing!AF16</f>
        <v>0</v>
      </c>
      <c r="AG28" s="147">
        <f>-DebtFinancing!AG16</f>
        <v>0</v>
      </c>
      <c r="AH28" s="147">
        <f>-DebtFinancing!AH16</f>
        <v>0</v>
      </c>
      <c r="AI28" s="147">
        <f>-DebtFinancing!AI16</f>
        <v>0</v>
      </c>
      <c r="AJ28" s="147">
        <f>-DebtFinancing!AJ16</f>
        <v>0</v>
      </c>
      <c r="AK28" s="147">
        <f>-DebtFinancing!AK16</f>
        <v>0</v>
      </c>
      <c r="AL28" s="147">
        <f>-DebtFinancing!AL16</f>
        <v>0</v>
      </c>
      <c r="AM28" s="147">
        <f>-DebtFinancing!AM16</f>
        <v>0</v>
      </c>
      <c r="AN28" s="147">
        <f>-DebtFinancing!AN16</f>
        <v>0</v>
      </c>
      <c r="AO28" s="147">
        <f>-DebtFinancing!AO16</f>
        <v>0</v>
      </c>
      <c r="AP28" s="147">
        <f>-DebtFinancing!AP16</f>
        <v>0</v>
      </c>
      <c r="AQ28" s="147">
        <f>-DebtFinancing!AQ16</f>
        <v>0</v>
      </c>
      <c r="AR28" s="147">
        <f>-DebtFinancing!AR16</f>
        <v>0</v>
      </c>
      <c r="AS28" s="147">
        <f>-DebtFinancing!AS16</f>
        <v>0</v>
      </c>
      <c r="AT28" s="147">
        <f>-DebtFinancing!AT16</f>
        <v>0</v>
      </c>
      <c r="AU28" s="147">
        <f>-DebtFinancing!AU16</f>
        <v>0</v>
      </c>
      <c r="AV28" s="147">
        <f>-DebtFinancing!AV16</f>
        <v>0</v>
      </c>
      <c r="AW28" s="147">
        <f>-DebtFinancing!AW16</f>
        <v>0</v>
      </c>
      <c r="AX28" s="147">
        <f>-DebtFinancing!AX16</f>
        <v>0</v>
      </c>
      <c r="AY28" s="147">
        <f>-DebtFinancing!AY16</f>
        <v>0</v>
      </c>
      <c r="AZ28" s="147">
        <f>-DebtFinancing!AZ16</f>
        <v>0</v>
      </c>
      <c r="BA28" s="147">
        <f>-DebtFinancing!BA16</f>
        <v>0</v>
      </c>
      <c r="BB28" s="147">
        <f>-DebtFinancing!BB16</f>
        <v>0</v>
      </c>
      <c r="BC28" s="147">
        <f>-DebtFinancing!BC16</f>
        <v>0</v>
      </c>
      <c r="BD28" s="147">
        <f>-DebtFinancing!BD16</f>
        <v>0</v>
      </c>
      <c r="BE28" s="147">
        <f>-DebtFinancing!BE16</f>
        <v>0</v>
      </c>
      <c r="BF28" s="147">
        <f>-DebtFinancing!BF16</f>
        <v>0</v>
      </c>
      <c r="BG28" s="147">
        <f>-DebtFinancing!BG16</f>
        <v>0</v>
      </c>
      <c r="BH28" s="147">
        <f>-DebtFinancing!BH16</f>
        <v>0</v>
      </c>
      <c r="BI28" s="147">
        <f>-DebtFinancing!BI16</f>
        <v>0</v>
      </c>
      <c r="BJ28" s="147">
        <f>-DebtFinancing!BJ16</f>
        <v>0</v>
      </c>
      <c r="BK28" s="147">
        <f>-DebtFinancing!BK16</f>
        <v>0</v>
      </c>
      <c r="BL28" s="147">
        <f>-DebtFinancing!BL16</f>
        <v>0</v>
      </c>
      <c r="BM28" s="147">
        <f>-DebtFinancing!BM16</f>
        <v>0</v>
      </c>
      <c r="BN28" s="147">
        <f>-DebtFinancing!BN16</f>
        <v>0</v>
      </c>
      <c r="BO28" s="147">
        <f>-DebtFinancing!BO16</f>
        <v>0</v>
      </c>
      <c r="BP28" s="147">
        <f>-DebtFinancing!BP16</f>
        <v>0</v>
      </c>
      <c r="BQ28" s="147">
        <f>-DebtFinancing!BQ16</f>
        <v>0</v>
      </c>
      <c r="BR28" s="147">
        <f>-DebtFinancing!BR16</f>
        <v>0</v>
      </c>
    </row>
    <row r="29" spans="1:70" s="147" customFormat="1" ht="13.2" x14ac:dyDescent="0.25">
      <c r="A29" s="211"/>
      <c r="F29" s="212"/>
    </row>
    <row r="30" spans="1:70" s="147" customFormat="1" ht="13.2" x14ac:dyDescent="0.25">
      <c r="A30" s="211"/>
      <c r="B30" s="147" t="s">
        <v>266</v>
      </c>
      <c r="D30" s="231" t="str">
        <f>unit</f>
        <v>£</v>
      </c>
      <c r="E30" s="147">
        <f>SUMIF($K$5:$BR$5,E$5,$K30:$BR30)</f>
        <v>0</v>
      </c>
      <c r="F30" s="147">
        <f t="shared" ref="F30:I30" si="67">SUMIF($K$5:$BR$5,F$5,$K30:$BR30)</f>
        <v>0</v>
      </c>
      <c r="G30" s="147">
        <f t="shared" si="67"/>
        <v>0</v>
      </c>
      <c r="H30" s="147">
        <f t="shared" si="67"/>
        <v>0</v>
      </c>
      <c r="I30" s="147">
        <f t="shared" si="67"/>
        <v>0</v>
      </c>
      <c r="K30" s="147">
        <f>-DebtFinancing!K23</f>
        <v>0</v>
      </c>
      <c r="L30" s="147">
        <f>-DebtFinancing!L23</f>
        <v>0</v>
      </c>
      <c r="M30" s="147">
        <f>-DebtFinancing!M23</f>
        <v>0</v>
      </c>
      <c r="N30" s="147">
        <f>-DebtFinancing!N23</f>
        <v>0</v>
      </c>
      <c r="O30" s="147">
        <f>-DebtFinancing!O23</f>
        <v>0</v>
      </c>
      <c r="P30" s="147">
        <f>-DebtFinancing!P23</f>
        <v>0</v>
      </c>
      <c r="Q30" s="147">
        <f>-DebtFinancing!Q23</f>
        <v>0</v>
      </c>
      <c r="R30" s="147">
        <f>-DebtFinancing!R23</f>
        <v>0</v>
      </c>
      <c r="S30" s="147">
        <f>-DebtFinancing!S23</f>
        <v>0</v>
      </c>
      <c r="T30" s="147">
        <f>-DebtFinancing!T23</f>
        <v>0</v>
      </c>
      <c r="U30" s="147">
        <f>-DebtFinancing!U23</f>
        <v>0</v>
      </c>
      <c r="V30" s="147">
        <f>-DebtFinancing!V23</f>
        <v>0</v>
      </c>
      <c r="W30" s="147">
        <f>-DebtFinancing!W23</f>
        <v>0</v>
      </c>
      <c r="X30" s="147">
        <f>-DebtFinancing!X23</f>
        <v>0</v>
      </c>
      <c r="Y30" s="147">
        <f>-DebtFinancing!Y23</f>
        <v>0</v>
      </c>
      <c r="Z30" s="147">
        <f>-DebtFinancing!Z23</f>
        <v>0</v>
      </c>
      <c r="AA30" s="147">
        <f>-DebtFinancing!AA23</f>
        <v>0</v>
      </c>
      <c r="AB30" s="147">
        <f>-DebtFinancing!AB23</f>
        <v>0</v>
      </c>
      <c r="AC30" s="147">
        <f>-DebtFinancing!AC23</f>
        <v>0</v>
      </c>
      <c r="AD30" s="147">
        <f>-DebtFinancing!AD23</f>
        <v>0</v>
      </c>
      <c r="AE30" s="147">
        <f>-DebtFinancing!AE23</f>
        <v>0</v>
      </c>
      <c r="AF30" s="147">
        <f>-DebtFinancing!AF23</f>
        <v>0</v>
      </c>
      <c r="AG30" s="147">
        <f>-DebtFinancing!AG23</f>
        <v>0</v>
      </c>
      <c r="AH30" s="147">
        <f>-DebtFinancing!AH23</f>
        <v>0</v>
      </c>
      <c r="AI30" s="147">
        <f>-DebtFinancing!AI23</f>
        <v>0</v>
      </c>
      <c r="AJ30" s="147">
        <f>-DebtFinancing!AJ23</f>
        <v>0</v>
      </c>
      <c r="AK30" s="147">
        <f>-DebtFinancing!AK23</f>
        <v>0</v>
      </c>
      <c r="AL30" s="147">
        <f>-DebtFinancing!AL23</f>
        <v>0</v>
      </c>
      <c r="AM30" s="147">
        <f>-DebtFinancing!AM23</f>
        <v>0</v>
      </c>
      <c r="AN30" s="147">
        <f>-DebtFinancing!AN23</f>
        <v>0</v>
      </c>
      <c r="AO30" s="147">
        <f>-DebtFinancing!AO23</f>
        <v>0</v>
      </c>
      <c r="AP30" s="147">
        <f>-DebtFinancing!AP23</f>
        <v>0</v>
      </c>
      <c r="AQ30" s="147">
        <f>-DebtFinancing!AQ23</f>
        <v>0</v>
      </c>
      <c r="AR30" s="147">
        <f>-DebtFinancing!AR23</f>
        <v>0</v>
      </c>
      <c r="AS30" s="147">
        <f>-DebtFinancing!AS23</f>
        <v>0</v>
      </c>
      <c r="AT30" s="147">
        <f>-DebtFinancing!AT23</f>
        <v>0</v>
      </c>
      <c r="AU30" s="147">
        <f>-DebtFinancing!AU23</f>
        <v>0</v>
      </c>
      <c r="AV30" s="147">
        <f>-DebtFinancing!AV23</f>
        <v>0</v>
      </c>
      <c r="AW30" s="147">
        <f>-DebtFinancing!AW23</f>
        <v>0</v>
      </c>
      <c r="AX30" s="147">
        <f>-DebtFinancing!AX23</f>
        <v>0</v>
      </c>
      <c r="AY30" s="147">
        <f>-DebtFinancing!AY23</f>
        <v>0</v>
      </c>
      <c r="AZ30" s="147">
        <f>-DebtFinancing!AZ23</f>
        <v>0</v>
      </c>
      <c r="BA30" s="147">
        <f>-DebtFinancing!BA23</f>
        <v>0</v>
      </c>
      <c r="BB30" s="147">
        <f>-DebtFinancing!BB23</f>
        <v>0</v>
      </c>
      <c r="BC30" s="147">
        <f>-DebtFinancing!BC23</f>
        <v>0</v>
      </c>
      <c r="BD30" s="147">
        <f>-DebtFinancing!BD23</f>
        <v>0</v>
      </c>
      <c r="BE30" s="147">
        <f>-DebtFinancing!BE23</f>
        <v>0</v>
      </c>
      <c r="BF30" s="147">
        <f>-DebtFinancing!BF23</f>
        <v>0</v>
      </c>
      <c r="BG30" s="147">
        <f>-DebtFinancing!BG23</f>
        <v>0</v>
      </c>
      <c r="BH30" s="147">
        <f>-DebtFinancing!BH23</f>
        <v>0</v>
      </c>
      <c r="BI30" s="147">
        <f>-DebtFinancing!BI23</f>
        <v>0</v>
      </c>
      <c r="BJ30" s="147">
        <f>-DebtFinancing!BJ23</f>
        <v>0</v>
      </c>
      <c r="BK30" s="147">
        <f>-DebtFinancing!BK23</f>
        <v>0</v>
      </c>
      <c r="BL30" s="147">
        <f>-DebtFinancing!BL23</f>
        <v>0</v>
      </c>
      <c r="BM30" s="147">
        <f>-DebtFinancing!BM23</f>
        <v>0</v>
      </c>
      <c r="BN30" s="147">
        <f>-DebtFinancing!BN23</f>
        <v>0</v>
      </c>
      <c r="BO30" s="147">
        <f>-DebtFinancing!BO23</f>
        <v>0</v>
      </c>
      <c r="BP30" s="147">
        <f>-DebtFinancing!BP23</f>
        <v>0</v>
      </c>
      <c r="BQ30" s="147">
        <f>-DebtFinancing!BQ23</f>
        <v>0</v>
      </c>
      <c r="BR30" s="147">
        <f>-DebtFinancing!BR23</f>
        <v>0</v>
      </c>
    </row>
    <row r="31" spans="1:70" s="147" customFormat="1" ht="13.2" x14ac:dyDescent="0.25">
      <c r="A31" s="211"/>
      <c r="F31" s="212"/>
    </row>
    <row r="32" spans="1:70" s="147" customFormat="1" ht="13.2" x14ac:dyDescent="0.25">
      <c r="A32" s="211"/>
      <c r="B32" s="147" t="s">
        <v>44</v>
      </c>
      <c r="D32" s="231" t="str">
        <f>unit</f>
        <v>£</v>
      </c>
      <c r="E32" s="147">
        <f ca="1">SUMIF($K$5:$BR$5,E$5,$K32:$BR32)</f>
        <v>0</v>
      </c>
      <c r="F32" s="147">
        <f t="shared" ref="F32:I34" ca="1" si="68">SUMIF($K$5:$BR$5,F$5,$K32:$BR32)</f>
        <v>0</v>
      </c>
      <c r="G32" s="147">
        <f t="shared" ca="1" si="68"/>
        <v>0</v>
      </c>
      <c r="H32" s="147">
        <f t="shared" ca="1" si="68"/>
        <v>0</v>
      </c>
      <c r="I32" s="147">
        <f t="shared" ca="1" si="68"/>
        <v>0</v>
      </c>
      <c r="K32" s="147">
        <f>-TAX!K43</f>
        <v>0</v>
      </c>
      <c r="L32" s="147">
        <f ca="1">-TAX!L43</f>
        <v>0</v>
      </c>
      <c r="M32" s="147">
        <f ca="1">-TAX!M43</f>
        <v>0</v>
      </c>
      <c r="N32" s="147">
        <f ca="1">-TAX!N43</f>
        <v>0</v>
      </c>
      <c r="O32" s="147">
        <f ca="1">-TAX!O43</f>
        <v>0</v>
      </c>
      <c r="P32" s="147">
        <f ca="1">-TAX!P43</f>
        <v>0</v>
      </c>
      <c r="Q32" s="147">
        <f ca="1">-TAX!Q43</f>
        <v>0</v>
      </c>
      <c r="R32" s="147">
        <f ca="1">-TAX!R43</f>
        <v>0</v>
      </c>
      <c r="S32" s="147">
        <f ca="1">-TAX!S43</f>
        <v>0</v>
      </c>
      <c r="T32" s="147">
        <f ca="1">-TAX!T43</f>
        <v>0</v>
      </c>
      <c r="U32" s="147">
        <f ca="1">-TAX!U43</f>
        <v>0</v>
      </c>
      <c r="V32" s="147">
        <f ca="1">-TAX!V43</f>
        <v>0</v>
      </c>
      <c r="W32" s="147">
        <f ca="1">-TAX!W43</f>
        <v>0</v>
      </c>
      <c r="X32" s="147">
        <f ca="1">-TAX!X43</f>
        <v>0</v>
      </c>
      <c r="Y32" s="147">
        <f ca="1">-TAX!Y43</f>
        <v>0</v>
      </c>
      <c r="Z32" s="147">
        <f ca="1">-TAX!Z43</f>
        <v>0</v>
      </c>
      <c r="AA32" s="147">
        <f ca="1">-TAX!AA43</f>
        <v>0</v>
      </c>
      <c r="AB32" s="147">
        <f ca="1">-TAX!AB43</f>
        <v>0</v>
      </c>
      <c r="AC32" s="147">
        <f ca="1">-TAX!AC43</f>
        <v>0</v>
      </c>
      <c r="AD32" s="147">
        <f ca="1">-TAX!AD43</f>
        <v>0</v>
      </c>
      <c r="AE32" s="147">
        <f ca="1">-TAX!AE43</f>
        <v>0</v>
      </c>
      <c r="AF32" s="147">
        <f ca="1">-TAX!AF43</f>
        <v>0</v>
      </c>
      <c r="AG32" s="147">
        <f ca="1">-TAX!AG43</f>
        <v>0</v>
      </c>
      <c r="AH32" s="147">
        <f ca="1">-TAX!AH43</f>
        <v>0</v>
      </c>
      <c r="AI32" s="147">
        <f ca="1">-TAX!AI43</f>
        <v>0</v>
      </c>
      <c r="AJ32" s="147">
        <f ca="1">-TAX!AJ43</f>
        <v>0</v>
      </c>
      <c r="AK32" s="147">
        <f ca="1">-TAX!AK43</f>
        <v>0</v>
      </c>
      <c r="AL32" s="147">
        <f ca="1">-TAX!AL43</f>
        <v>0</v>
      </c>
      <c r="AM32" s="147">
        <f ca="1">-TAX!AM43</f>
        <v>0</v>
      </c>
      <c r="AN32" s="147">
        <f ca="1">-TAX!AN43</f>
        <v>0</v>
      </c>
      <c r="AO32" s="147">
        <f ca="1">-TAX!AO43</f>
        <v>0</v>
      </c>
      <c r="AP32" s="147">
        <f ca="1">-TAX!AP43</f>
        <v>0</v>
      </c>
      <c r="AQ32" s="147">
        <f ca="1">-TAX!AQ43</f>
        <v>0</v>
      </c>
      <c r="AR32" s="147">
        <f ca="1">-TAX!AR43</f>
        <v>0</v>
      </c>
      <c r="AS32" s="147">
        <f ca="1">-TAX!AS43</f>
        <v>0</v>
      </c>
      <c r="AT32" s="147">
        <f ca="1">-TAX!AT43</f>
        <v>0</v>
      </c>
      <c r="AU32" s="147">
        <f ca="1">-TAX!AU43</f>
        <v>0</v>
      </c>
      <c r="AV32" s="147">
        <f ca="1">-TAX!AV43</f>
        <v>0</v>
      </c>
      <c r="AW32" s="147">
        <f ca="1">-TAX!AW43</f>
        <v>0</v>
      </c>
      <c r="AX32" s="147">
        <f ca="1">-TAX!AX43</f>
        <v>0</v>
      </c>
      <c r="AY32" s="147">
        <f ca="1">-TAX!AY43</f>
        <v>0</v>
      </c>
      <c r="AZ32" s="147">
        <f ca="1">-TAX!AZ43</f>
        <v>0</v>
      </c>
      <c r="BA32" s="147">
        <f ca="1">-TAX!BA43</f>
        <v>0</v>
      </c>
      <c r="BB32" s="147">
        <f ca="1">-TAX!BB43</f>
        <v>0</v>
      </c>
      <c r="BC32" s="147">
        <f ca="1">-TAX!BC43</f>
        <v>0</v>
      </c>
      <c r="BD32" s="147">
        <f ca="1">-TAX!BD43</f>
        <v>0</v>
      </c>
      <c r="BE32" s="147">
        <f ca="1">-TAX!BE43</f>
        <v>0</v>
      </c>
      <c r="BF32" s="147">
        <f ca="1">-TAX!BF43</f>
        <v>0</v>
      </c>
      <c r="BG32" s="147">
        <f ca="1">-TAX!BG43</f>
        <v>0</v>
      </c>
      <c r="BH32" s="147">
        <f ca="1">-TAX!BH43</f>
        <v>0</v>
      </c>
      <c r="BI32" s="147">
        <f ca="1">-TAX!BI43</f>
        <v>0</v>
      </c>
      <c r="BJ32" s="147">
        <f ca="1">-TAX!BJ43</f>
        <v>0</v>
      </c>
      <c r="BK32" s="147">
        <f ca="1">-TAX!BK43</f>
        <v>0</v>
      </c>
      <c r="BL32" s="147">
        <f ca="1">-TAX!BL43</f>
        <v>0</v>
      </c>
      <c r="BM32" s="147">
        <f ca="1">-TAX!BM43</f>
        <v>0</v>
      </c>
      <c r="BN32" s="147">
        <f ca="1">-TAX!BN43</f>
        <v>0</v>
      </c>
      <c r="BO32" s="147">
        <f ca="1">-TAX!BO43</f>
        <v>0</v>
      </c>
      <c r="BP32" s="147">
        <f ca="1">-TAX!BP43</f>
        <v>0</v>
      </c>
      <c r="BQ32" s="147">
        <f ca="1">-TAX!BQ43</f>
        <v>0</v>
      </c>
      <c r="BR32" s="147">
        <f ca="1">-TAX!BR43</f>
        <v>0</v>
      </c>
    </row>
    <row r="33" spans="1:78" s="147" customFormat="1" ht="13.2" x14ac:dyDescent="0.25">
      <c r="A33" s="211"/>
      <c r="D33" s="231"/>
    </row>
    <row r="34" spans="1:78" s="147" customFormat="1" ht="13.2" x14ac:dyDescent="0.25">
      <c r="A34" s="211"/>
      <c r="B34" s="147" t="s">
        <v>337</v>
      </c>
      <c r="D34" s="231" t="str">
        <f>unit</f>
        <v>£</v>
      </c>
      <c r="E34" s="147">
        <f>SUMIF($K$5:$BR$5,E$5,$K34:$BR34)</f>
        <v>0</v>
      </c>
      <c r="F34" s="147">
        <f t="shared" si="68"/>
        <v>0</v>
      </c>
      <c r="G34" s="147">
        <f t="shared" si="68"/>
        <v>0</v>
      </c>
      <c r="H34" s="147">
        <f t="shared" si="68"/>
        <v>0</v>
      </c>
      <c r="I34" s="147">
        <f t="shared" si="68"/>
        <v>0</v>
      </c>
      <c r="K34" s="147">
        <f>'Outputs - P&amp;L'!K43</f>
        <v>0</v>
      </c>
      <c r="L34" s="147">
        <f>'Outputs - P&amp;L'!L43</f>
        <v>0</v>
      </c>
      <c r="M34" s="147">
        <f>'Outputs - P&amp;L'!M43</f>
        <v>0</v>
      </c>
      <c r="N34" s="147">
        <f>'Outputs - P&amp;L'!N43</f>
        <v>0</v>
      </c>
      <c r="O34" s="147">
        <f>'Outputs - P&amp;L'!O43</f>
        <v>0</v>
      </c>
      <c r="P34" s="147">
        <f>'Outputs - P&amp;L'!P43</f>
        <v>0</v>
      </c>
      <c r="Q34" s="147">
        <f>'Outputs - P&amp;L'!Q43</f>
        <v>0</v>
      </c>
      <c r="R34" s="147">
        <f>'Outputs - P&amp;L'!R43</f>
        <v>0</v>
      </c>
      <c r="S34" s="147">
        <f>'Outputs - P&amp;L'!S43</f>
        <v>0</v>
      </c>
      <c r="T34" s="147">
        <f>'Outputs - P&amp;L'!T43</f>
        <v>0</v>
      </c>
      <c r="U34" s="147">
        <f>'Outputs - P&amp;L'!U43</f>
        <v>0</v>
      </c>
      <c r="V34" s="147">
        <f>'Outputs - P&amp;L'!V43</f>
        <v>0</v>
      </c>
      <c r="W34" s="147">
        <f>'Outputs - P&amp;L'!W43</f>
        <v>0</v>
      </c>
      <c r="X34" s="147">
        <f>'Outputs - P&amp;L'!X43</f>
        <v>0</v>
      </c>
      <c r="Y34" s="147">
        <f>'Outputs - P&amp;L'!Y43</f>
        <v>0</v>
      </c>
      <c r="Z34" s="147">
        <f>'Outputs - P&amp;L'!Z43</f>
        <v>0</v>
      </c>
      <c r="AA34" s="147">
        <f>'Outputs - P&amp;L'!AA43</f>
        <v>0</v>
      </c>
      <c r="AB34" s="147">
        <f>'Outputs - P&amp;L'!AB43</f>
        <v>0</v>
      </c>
      <c r="AC34" s="147">
        <f>'Outputs - P&amp;L'!AC43</f>
        <v>0</v>
      </c>
      <c r="AD34" s="147">
        <f>'Outputs - P&amp;L'!AD43</f>
        <v>0</v>
      </c>
      <c r="AE34" s="147">
        <f>'Outputs - P&amp;L'!AE43</f>
        <v>0</v>
      </c>
      <c r="AF34" s="147">
        <f>'Outputs - P&amp;L'!AF43</f>
        <v>0</v>
      </c>
      <c r="AG34" s="147">
        <f>'Outputs - P&amp;L'!AG43</f>
        <v>0</v>
      </c>
      <c r="AH34" s="147">
        <f>'Outputs - P&amp;L'!AH43</f>
        <v>0</v>
      </c>
      <c r="AI34" s="147">
        <f>'Outputs - P&amp;L'!AI43</f>
        <v>0</v>
      </c>
      <c r="AJ34" s="147">
        <f>'Outputs - P&amp;L'!AJ43</f>
        <v>0</v>
      </c>
      <c r="AK34" s="147">
        <f>'Outputs - P&amp;L'!AK43</f>
        <v>0</v>
      </c>
      <c r="AL34" s="147">
        <f>'Outputs - P&amp;L'!AL43</f>
        <v>0</v>
      </c>
      <c r="AM34" s="147">
        <f>'Outputs - P&amp;L'!AM43</f>
        <v>0</v>
      </c>
      <c r="AN34" s="147">
        <f>'Outputs - P&amp;L'!AN43</f>
        <v>0</v>
      </c>
      <c r="AO34" s="147">
        <f>'Outputs - P&amp;L'!AO43</f>
        <v>0</v>
      </c>
      <c r="AP34" s="147">
        <f>'Outputs - P&amp;L'!AP43</f>
        <v>0</v>
      </c>
      <c r="AQ34" s="147">
        <f>'Outputs - P&amp;L'!AQ43</f>
        <v>0</v>
      </c>
      <c r="AR34" s="147">
        <f>'Outputs - P&amp;L'!AR43</f>
        <v>0</v>
      </c>
      <c r="AS34" s="147">
        <f>'Outputs - P&amp;L'!AS43</f>
        <v>0</v>
      </c>
      <c r="AT34" s="147">
        <f>'Outputs - P&amp;L'!AT43</f>
        <v>0</v>
      </c>
      <c r="AU34" s="147">
        <f>'Outputs - P&amp;L'!AU43</f>
        <v>0</v>
      </c>
      <c r="AV34" s="147">
        <f>'Outputs - P&amp;L'!AV43</f>
        <v>0</v>
      </c>
      <c r="AW34" s="147">
        <f>'Outputs - P&amp;L'!AW43</f>
        <v>0</v>
      </c>
      <c r="AX34" s="147">
        <f>'Outputs - P&amp;L'!AX43</f>
        <v>0</v>
      </c>
      <c r="AY34" s="147">
        <f>'Outputs - P&amp;L'!AY43</f>
        <v>0</v>
      </c>
      <c r="AZ34" s="147">
        <f>'Outputs - P&amp;L'!AZ43</f>
        <v>0</v>
      </c>
      <c r="BA34" s="147">
        <f>'Outputs - P&amp;L'!BA43</f>
        <v>0</v>
      </c>
      <c r="BB34" s="147">
        <f>'Outputs - P&amp;L'!BB43</f>
        <v>0</v>
      </c>
      <c r="BC34" s="147">
        <f>'Outputs - P&amp;L'!BC43</f>
        <v>0</v>
      </c>
      <c r="BD34" s="147">
        <f>'Outputs - P&amp;L'!BD43</f>
        <v>0</v>
      </c>
      <c r="BE34" s="147">
        <f>'Outputs - P&amp;L'!BE43</f>
        <v>0</v>
      </c>
      <c r="BF34" s="147">
        <f>'Outputs - P&amp;L'!BF43</f>
        <v>0</v>
      </c>
      <c r="BG34" s="147">
        <f>'Outputs - P&amp;L'!BG43</f>
        <v>0</v>
      </c>
      <c r="BH34" s="147">
        <f>'Outputs - P&amp;L'!BH43</f>
        <v>0</v>
      </c>
      <c r="BI34" s="147">
        <f>'Outputs - P&amp;L'!BI43</f>
        <v>0</v>
      </c>
      <c r="BJ34" s="147">
        <f>'Outputs - P&amp;L'!BJ43</f>
        <v>0</v>
      </c>
      <c r="BK34" s="147">
        <f>'Outputs - P&amp;L'!BK43</f>
        <v>0</v>
      </c>
      <c r="BL34" s="147">
        <f>'Outputs - P&amp;L'!BL43</f>
        <v>0</v>
      </c>
      <c r="BM34" s="147">
        <f>'Outputs - P&amp;L'!BM43</f>
        <v>0</v>
      </c>
      <c r="BN34" s="147">
        <f>'Outputs - P&amp;L'!BN43</f>
        <v>0</v>
      </c>
      <c r="BO34" s="147">
        <f>'Outputs - P&amp;L'!BO43</f>
        <v>0</v>
      </c>
      <c r="BP34" s="147">
        <f>'Outputs - P&amp;L'!BP43</f>
        <v>0</v>
      </c>
      <c r="BQ34" s="147">
        <f>'Outputs - P&amp;L'!BQ43</f>
        <v>0</v>
      </c>
      <c r="BR34" s="147">
        <f>'Outputs - P&amp;L'!BR43</f>
        <v>0</v>
      </c>
    </row>
    <row r="35" spans="1:78" s="147" customFormat="1" ht="13.2" x14ac:dyDescent="0.25">
      <c r="A35" s="211"/>
      <c r="F35" s="212"/>
    </row>
    <row r="36" spans="1:78" s="211" customFormat="1" ht="13.2" x14ac:dyDescent="0.25">
      <c r="B36" s="211" t="s">
        <v>280</v>
      </c>
      <c r="D36" s="248" t="str">
        <f>unit</f>
        <v>£</v>
      </c>
      <c r="E36" s="211">
        <f ca="1">SUM(E19:E35)</f>
        <v>0</v>
      </c>
      <c r="F36" s="211">
        <f t="shared" ref="F36:I36" ca="1" si="69">SUM(F19:F35)</f>
        <v>0</v>
      </c>
      <c r="G36" s="211">
        <f t="shared" ca="1" si="69"/>
        <v>0</v>
      </c>
      <c r="H36" s="211">
        <f t="shared" ca="1" si="69"/>
        <v>0</v>
      </c>
      <c r="I36" s="211">
        <f t="shared" ca="1" si="69"/>
        <v>0</v>
      </c>
      <c r="K36" s="211">
        <f ca="1">SUM(K19:K35)</f>
        <v>0</v>
      </c>
      <c r="L36" s="211">
        <f t="shared" ref="L36:BR36" ca="1" si="70">SUM(L19:L35)</f>
        <v>0</v>
      </c>
      <c r="M36" s="211">
        <f t="shared" ca="1" si="70"/>
        <v>0</v>
      </c>
      <c r="N36" s="211">
        <f t="shared" ca="1" si="70"/>
        <v>0</v>
      </c>
      <c r="O36" s="211">
        <f t="shared" ca="1" si="70"/>
        <v>0</v>
      </c>
      <c r="P36" s="211">
        <f t="shared" ca="1" si="70"/>
        <v>0</v>
      </c>
      <c r="Q36" s="211">
        <f t="shared" ca="1" si="70"/>
        <v>0</v>
      </c>
      <c r="R36" s="211">
        <f t="shared" ca="1" si="70"/>
        <v>0</v>
      </c>
      <c r="S36" s="211">
        <f t="shared" ca="1" si="70"/>
        <v>0</v>
      </c>
      <c r="T36" s="211">
        <f t="shared" ca="1" si="70"/>
        <v>0</v>
      </c>
      <c r="U36" s="211">
        <f t="shared" ca="1" si="70"/>
        <v>0</v>
      </c>
      <c r="V36" s="211">
        <f t="shared" ca="1" si="70"/>
        <v>0</v>
      </c>
      <c r="W36" s="211">
        <f t="shared" ca="1" si="70"/>
        <v>0</v>
      </c>
      <c r="X36" s="211">
        <f t="shared" ca="1" si="70"/>
        <v>0</v>
      </c>
      <c r="Y36" s="211">
        <f t="shared" ca="1" si="70"/>
        <v>0</v>
      </c>
      <c r="Z36" s="211">
        <f t="shared" ca="1" si="70"/>
        <v>0</v>
      </c>
      <c r="AA36" s="211">
        <f t="shared" ca="1" si="70"/>
        <v>0</v>
      </c>
      <c r="AB36" s="211">
        <f t="shared" ca="1" si="70"/>
        <v>0</v>
      </c>
      <c r="AC36" s="211">
        <f t="shared" ca="1" si="70"/>
        <v>0</v>
      </c>
      <c r="AD36" s="211">
        <f t="shared" ca="1" si="70"/>
        <v>0</v>
      </c>
      <c r="AE36" s="211">
        <f t="shared" ca="1" si="70"/>
        <v>0</v>
      </c>
      <c r="AF36" s="211">
        <f t="shared" ca="1" si="70"/>
        <v>0</v>
      </c>
      <c r="AG36" s="211">
        <f t="shared" ca="1" si="70"/>
        <v>0</v>
      </c>
      <c r="AH36" s="211">
        <f t="shared" ca="1" si="70"/>
        <v>0</v>
      </c>
      <c r="AI36" s="211">
        <f t="shared" ca="1" si="70"/>
        <v>0</v>
      </c>
      <c r="AJ36" s="211">
        <f t="shared" ca="1" si="70"/>
        <v>0</v>
      </c>
      <c r="AK36" s="211">
        <f t="shared" ca="1" si="70"/>
        <v>0</v>
      </c>
      <c r="AL36" s="211">
        <f t="shared" ca="1" si="70"/>
        <v>0</v>
      </c>
      <c r="AM36" s="211">
        <f t="shared" ca="1" si="70"/>
        <v>0</v>
      </c>
      <c r="AN36" s="211">
        <f t="shared" ca="1" si="70"/>
        <v>0</v>
      </c>
      <c r="AO36" s="211">
        <f t="shared" ca="1" si="70"/>
        <v>0</v>
      </c>
      <c r="AP36" s="211">
        <f t="shared" ca="1" si="70"/>
        <v>0</v>
      </c>
      <c r="AQ36" s="211">
        <f t="shared" ca="1" si="70"/>
        <v>0</v>
      </c>
      <c r="AR36" s="211">
        <f t="shared" ca="1" si="70"/>
        <v>0</v>
      </c>
      <c r="AS36" s="211">
        <f t="shared" ca="1" si="70"/>
        <v>0</v>
      </c>
      <c r="AT36" s="211">
        <f t="shared" ca="1" si="70"/>
        <v>0</v>
      </c>
      <c r="AU36" s="211">
        <f t="shared" ca="1" si="70"/>
        <v>0</v>
      </c>
      <c r="AV36" s="211">
        <f t="shared" ca="1" si="70"/>
        <v>0</v>
      </c>
      <c r="AW36" s="211">
        <f t="shared" ca="1" si="70"/>
        <v>0</v>
      </c>
      <c r="AX36" s="211">
        <f t="shared" ca="1" si="70"/>
        <v>0</v>
      </c>
      <c r="AY36" s="211">
        <f t="shared" ca="1" si="70"/>
        <v>0</v>
      </c>
      <c r="AZ36" s="211">
        <f t="shared" ca="1" si="70"/>
        <v>0</v>
      </c>
      <c r="BA36" s="211">
        <f t="shared" ca="1" si="70"/>
        <v>0</v>
      </c>
      <c r="BB36" s="211">
        <f t="shared" ca="1" si="70"/>
        <v>0</v>
      </c>
      <c r="BC36" s="211">
        <f t="shared" ca="1" si="70"/>
        <v>0</v>
      </c>
      <c r="BD36" s="211">
        <f t="shared" ca="1" si="70"/>
        <v>0</v>
      </c>
      <c r="BE36" s="211">
        <f t="shared" ca="1" si="70"/>
        <v>0</v>
      </c>
      <c r="BF36" s="211">
        <f t="shared" ca="1" si="70"/>
        <v>0</v>
      </c>
      <c r="BG36" s="211">
        <f t="shared" ca="1" si="70"/>
        <v>0</v>
      </c>
      <c r="BH36" s="211">
        <f t="shared" ca="1" si="70"/>
        <v>0</v>
      </c>
      <c r="BI36" s="211">
        <f t="shared" ca="1" si="70"/>
        <v>0</v>
      </c>
      <c r="BJ36" s="211">
        <f t="shared" ca="1" si="70"/>
        <v>0</v>
      </c>
      <c r="BK36" s="211">
        <f t="shared" ca="1" si="70"/>
        <v>0</v>
      </c>
      <c r="BL36" s="211">
        <f t="shared" ca="1" si="70"/>
        <v>0</v>
      </c>
      <c r="BM36" s="211">
        <f t="shared" ca="1" si="70"/>
        <v>0</v>
      </c>
      <c r="BN36" s="211">
        <f t="shared" ca="1" si="70"/>
        <v>0</v>
      </c>
      <c r="BO36" s="211">
        <f t="shared" ca="1" si="70"/>
        <v>0</v>
      </c>
      <c r="BP36" s="211">
        <f t="shared" ca="1" si="70"/>
        <v>0</v>
      </c>
      <c r="BQ36" s="211">
        <f t="shared" ca="1" si="70"/>
        <v>0</v>
      </c>
      <c r="BR36" s="211">
        <f t="shared" ca="1" si="70"/>
        <v>0</v>
      </c>
    </row>
    <row r="37" spans="1:78" s="147" customFormat="1" ht="13.2" x14ac:dyDescent="0.25">
      <c r="A37" s="211"/>
      <c r="F37" s="212"/>
    </row>
    <row r="38" spans="1:78" s="147" customFormat="1" ht="13.2" x14ac:dyDescent="0.25">
      <c r="A38" s="211"/>
      <c r="B38" s="147" t="s">
        <v>281</v>
      </c>
      <c r="D38" s="231" t="str">
        <f>unit</f>
        <v>£</v>
      </c>
      <c r="E38" s="147">
        <f>D41</f>
        <v>0</v>
      </c>
      <c r="F38" s="147">
        <f t="shared" ref="F38:I38" ca="1" si="71">E41</f>
        <v>0</v>
      </c>
      <c r="G38" s="147">
        <f t="shared" ca="1" si="71"/>
        <v>0</v>
      </c>
      <c r="H38" s="147">
        <f t="shared" ca="1" si="71"/>
        <v>0</v>
      </c>
      <c r="I38" s="147">
        <f t="shared" ca="1" si="71"/>
        <v>0</v>
      </c>
      <c r="K38" s="223">
        <f>J39</f>
        <v>0</v>
      </c>
      <c r="L38" s="223">
        <f ca="1">K41</f>
        <v>0</v>
      </c>
      <c r="M38" s="223">
        <f t="shared" ref="M38:BR38" ca="1" si="72">L41</f>
        <v>0</v>
      </c>
      <c r="N38" s="223">
        <f t="shared" ca="1" si="72"/>
        <v>0</v>
      </c>
      <c r="O38" s="223">
        <f t="shared" ca="1" si="72"/>
        <v>0</v>
      </c>
      <c r="P38" s="223">
        <f t="shared" ca="1" si="72"/>
        <v>0</v>
      </c>
      <c r="Q38" s="223">
        <f t="shared" ca="1" si="72"/>
        <v>0</v>
      </c>
      <c r="R38" s="223">
        <f t="shared" ca="1" si="72"/>
        <v>0</v>
      </c>
      <c r="S38" s="223">
        <f t="shared" ca="1" si="72"/>
        <v>0</v>
      </c>
      <c r="T38" s="223">
        <f t="shared" ca="1" si="72"/>
        <v>0</v>
      </c>
      <c r="U38" s="223">
        <f t="shared" ca="1" si="72"/>
        <v>0</v>
      </c>
      <c r="V38" s="223">
        <f t="shared" ca="1" si="72"/>
        <v>0</v>
      </c>
      <c r="W38" s="223">
        <f t="shared" ca="1" si="72"/>
        <v>0</v>
      </c>
      <c r="X38" s="223">
        <f t="shared" ca="1" si="72"/>
        <v>0</v>
      </c>
      <c r="Y38" s="223">
        <f t="shared" ca="1" si="72"/>
        <v>0</v>
      </c>
      <c r="Z38" s="223">
        <f t="shared" ca="1" si="72"/>
        <v>0</v>
      </c>
      <c r="AA38" s="223">
        <f t="shared" ca="1" si="72"/>
        <v>0</v>
      </c>
      <c r="AB38" s="223">
        <f t="shared" ca="1" si="72"/>
        <v>0</v>
      </c>
      <c r="AC38" s="223">
        <f t="shared" ca="1" si="72"/>
        <v>0</v>
      </c>
      <c r="AD38" s="223">
        <f t="shared" ca="1" si="72"/>
        <v>0</v>
      </c>
      <c r="AE38" s="223">
        <f t="shared" ca="1" si="72"/>
        <v>0</v>
      </c>
      <c r="AF38" s="223">
        <f t="shared" ca="1" si="72"/>
        <v>0</v>
      </c>
      <c r="AG38" s="223">
        <f t="shared" ca="1" si="72"/>
        <v>0</v>
      </c>
      <c r="AH38" s="223">
        <f t="shared" ca="1" si="72"/>
        <v>0</v>
      </c>
      <c r="AI38" s="223">
        <f t="shared" ca="1" si="72"/>
        <v>0</v>
      </c>
      <c r="AJ38" s="223">
        <f t="shared" ca="1" si="72"/>
        <v>0</v>
      </c>
      <c r="AK38" s="223">
        <f t="shared" ca="1" si="72"/>
        <v>0</v>
      </c>
      <c r="AL38" s="223">
        <f t="shared" ca="1" si="72"/>
        <v>0</v>
      </c>
      <c r="AM38" s="223">
        <f t="shared" ca="1" si="72"/>
        <v>0</v>
      </c>
      <c r="AN38" s="223">
        <f t="shared" ca="1" si="72"/>
        <v>0</v>
      </c>
      <c r="AO38" s="223">
        <f t="shared" ca="1" si="72"/>
        <v>0</v>
      </c>
      <c r="AP38" s="223">
        <f t="shared" ca="1" si="72"/>
        <v>0</v>
      </c>
      <c r="AQ38" s="223">
        <f t="shared" ca="1" si="72"/>
        <v>0</v>
      </c>
      <c r="AR38" s="223">
        <f t="shared" ca="1" si="72"/>
        <v>0</v>
      </c>
      <c r="AS38" s="223">
        <f t="shared" ca="1" si="72"/>
        <v>0</v>
      </c>
      <c r="AT38" s="223">
        <f t="shared" ca="1" si="72"/>
        <v>0</v>
      </c>
      <c r="AU38" s="223">
        <f t="shared" ca="1" si="72"/>
        <v>0</v>
      </c>
      <c r="AV38" s="223">
        <f t="shared" ca="1" si="72"/>
        <v>0</v>
      </c>
      <c r="AW38" s="223">
        <f t="shared" ca="1" si="72"/>
        <v>0</v>
      </c>
      <c r="AX38" s="223">
        <f t="shared" ca="1" si="72"/>
        <v>0</v>
      </c>
      <c r="AY38" s="223">
        <f t="shared" ca="1" si="72"/>
        <v>0</v>
      </c>
      <c r="AZ38" s="223">
        <f t="shared" ca="1" si="72"/>
        <v>0</v>
      </c>
      <c r="BA38" s="223">
        <f t="shared" ca="1" si="72"/>
        <v>0</v>
      </c>
      <c r="BB38" s="223">
        <f t="shared" ca="1" si="72"/>
        <v>0</v>
      </c>
      <c r="BC38" s="223">
        <f t="shared" ca="1" si="72"/>
        <v>0</v>
      </c>
      <c r="BD38" s="223">
        <f t="shared" ca="1" si="72"/>
        <v>0</v>
      </c>
      <c r="BE38" s="223">
        <f t="shared" ca="1" si="72"/>
        <v>0</v>
      </c>
      <c r="BF38" s="223">
        <f t="shared" ca="1" si="72"/>
        <v>0</v>
      </c>
      <c r="BG38" s="223">
        <f t="shared" ca="1" si="72"/>
        <v>0</v>
      </c>
      <c r="BH38" s="223">
        <f t="shared" ca="1" si="72"/>
        <v>0</v>
      </c>
      <c r="BI38" s="223">
        <f t="shared" ca="1" si="72"/>
        <v>0</v>
      </c>
      <c r="BJ38" s="223">
        <f t="shared" ca="1" si="72"/>
        <v>0</v>
      </c>
      <c r="BK38" s="223">
        <f t="shared" ca="1" si="72"/>
        <v>0</v>
      </c>
      <c r="BL38" s="223">
        <f t="shared" ca="1" si="72"/>
        <v>0</v>
      </c>
      <c r="BM38" s="223">
        <f t="shared" ca="1" si="72"/>
        <v>0</v>
      </c>
      <c r="BN38" s="223">
        <f t="shared" ca="1" si="72"/>
        <v>0</v>
      </c>
      <c r="BO38" s="223">
        <f t="shared" ca="1" si="72"/>
        <v>0</v>
      </c>
      <c r="BP38" s="223">
        <f t="shared" ca="1" si="72"/>
        <v>0</v>
      </c>
      <c r="BQ38" s="223">
        <f t="shared" ca="1" si="72"/>
        <v>0</v>
      </c>
      <c r="BR38" s="223">
        <f t="shared" ca="1" si="72"/>
        <v>0</v>
      </c>
    </row>
    <row r="39" spans="1:78" s="211" customFormat="1" thickBot="1" x14ac:dyDescent="0.3">
      <c r="B39" s="211" t="s">
        <v>385</v>
      </c>
      <c r="D39" s="268">
        <f>KeyInputs!G128+KeyInputs!G130</f>
        <v>0</v>
      </c>
      <c r="E39" s="247">
        <f ca="1">SUM(E36:E38)</f>
        <v>0</v>
      </c>
      <c r="F39" s="247">
        <f ca="1">SUM(F36:F38)</f>
        <v>0</v>
      </c>
      <c r="G39" s="247">
        <f t="shared" ref="G39:I39" ca="1" si="73">SUM(G36:G38)</f>
        <v>0</v>
      </c>
      <c r="H39" s="247">
        <f t="shared" ca="1" si="73"/>
        <v>0</v>
      </c>
      <c r="I39" s="247">
        <f t="shared" ca="1" si="73"/>
        <v>0</v>
      </c>
      <c r="J39" s="216">
        <f>D39</f>
        <v>0</v>
      </c>
      <c r="K39" s="234">
        <f t="shared" ref="K39:BR39" ca="1" si="74">SUM(K36:K38)</f>
        <v>0</v>
      </c>
      <c r="L39" s="234">
        <f t="shared" ca="1" si="74"/>
        <v>0</v>
      </c>
      <c r="M39" s="234">
        <f t="shared" ca="1" si="74"/>
        <v>0</v>
      </c>
      <c r="N39" s="234">
        <f t="shared" ca="1" si="74"/>
        <v>0</v>
      </c>
      <c r="O39" s="234">
        <f t="shared" ca="1" si="74"/>
        <v>0</v>
      </c>
      <c r="P39" s="234">
        <f t="shared" ca="1" si="74"/>
        <v>0</v>
      </c>
      <c r="Q39" s="234">
        <f t="shared" ca="1" si="74"/>
        <v>0</v>
      </c>
      <c r="R39" s="234">
        <f t="shared" ca="1" si="74"/>
        <v>0</v>
      </c>
      <c r="S39" s="234">
        <f t="shared" ca="1" si="74"/>
        <v>0</v>
      </c>
      <c r="T39" s="234">
        <f t="shared" ca="1" si="74"/>
        <v>0</v>
      </c>
      <c r="U39" s="234">
        <f t="shared" ca="1" si="74"/>
        <v>0</v>
      </c>
      <c r="V39" s="234">
        <f t="shared" ca="1" si="74"/>
        <v>0</v>
      </c>
      <c r="W39" s="234">
        <f t="shared" ca="1" si="74"/>
        <v>0</v>
      </c>
      <c r="X39" s="234">
        <f t="shared" ca="1" si="74"/>
        <v>0</v>
      </c>
      <c r="Y39" s="234">
        <f t="shared" ca="1" si="74"/>
        <v>0</v>
      </c>
      <c r="Z39" s="234">
        <f t="shared" ca="1" si="74"/>
        <v>0</v>
      </c>
      <c r="AA39" s="234">
        <f t="shared" ca="1" si="74"/>
        <v>0</v>
      </c>
      <c r="AB39" s="234">
        <f t="shared" ca="1" si="74"/>
        <v>0</v>
      </c>
      <c r="AC39" s="234">
        <f t="shared" ca="1" si="74"/>
        <v>0</v>
      </c>
      <c r="AD39" s="234">
        <f t="shared" ca="1" si="74"/>
        <v>0</v>
      </c>
      <c r="AE39" s="234">
        <f t="shared" ca="1" si="74"/>
        <v>0</v>
      </c>
      <c r="AF39" s="234">
        <f t="shared" ca="1" si="74"/>
        <v>0</v>
      </c>
      <c r="AG39" s="234">
        <f t="shared" ca="1" si="74"/>
        <v>0</v>
      </c>
      <c r="AH39" s="234">
        <f t="shared" ca="1" si="74"/>
        <v>0</v>
      </c>
      <c r="AI39" s="234">
        <f t="shared" ca="1" si="74"/>
        <v>0</v>
      </c>
      <c r="AJ39" s="234">
        <f t="shared" ca="1" si="74"/>
        <v>0</v>
      </c>
      <c r="AK39" s="234">
        <f t="shared" ca="1" si="74"/>
        <v>0</v>
      </c>
      <c r="AL39" s="234">
        <f t="shared" ca="1" si="74"/>
        <v>0</v>
      </c>
      <c r="AM39" s="234">
        <f t="shared" ca="1" si="74"/>
        <v>0</v>
      </c>
      <c r="AN39" s="234">
        <f t="shared" ca="1" si="74"/>
        <v>0</v>
      </c>
      <c r="AO39" s="234">
        <f t="shared" ca="1" si="74"/>
        <v>0</v>
      </c>
      <c r="AP39" s="234">
        <f t="shared" ca="1" si="74"/>
        <v>0</v>
      </c>
      <c r="AQ39" s="234">
        <f t="shared" ca="1" si="74"/>
        <v>0</v>
      </c>
      <c r="AR39" s="234">
        <f t="shared" ca="1" si="74"/>
        <v>0</v>
      </c>
      <c r="AS39" s="234">
        <f t="shared" ca="1" si="74"/>
        <v>0</v>
      </c>
      <c r="AT39" s="234">
        <f t="shared" ca="1" si="74"/>
        <v>0</v>
      </c>
      <c r="AU39" s="234">
        <f t="shared" ca="1" si="74"/>
        <v>0</v>
      </c>
      <c r="AV39" s="234">
        <f t="shared" ca="1" si="74"/>
        <v>0</v>
      </c>
      <c r="AW39" s="234">
        <f t="shared" ca="1" si="74"/>
        <v>0</v>
      </c>
      <c r="AX39" s="234">
        <f t="shared" ca="1" si="74"/>
        <v>0</v>
      </c>
      <c r="AY39" s="234">
        <f t="shared" ca="1" si="74"/>
        <v>0</v>
      </c>
      <c r="AZ39" s="234">
        <f t="shared" ca="1" si="74"/>
        <v>0</v>
      </c>
      <c r="BA39" s="234">
        <f t="shared" ca="1" si="74"/>
        <v>0</v>
      </c>
      <c r="BB39" s="234">
        <f t="shared" ca="1" si="74"/>
        <v>0</v>
      </c>
      <c r="BC39" s="234">
        <f t="shared" ca="1" si="74"/>
        <v>0</v>
      </c>
      <c r="BD39" s="234">
        <f t="shared" ca="1" si="74"/>
        <v>0</v>
      </c>
      <c r="BE39" s="234">
        <f t="shared" ca="1" si="74"/>
        <v>0</v>
      </c>
      <c r="BF39" s="234">
        <f t="shared" ca="1" si="74"/>
        <v>0</v>
      </c>
      <c r="BG39" s="234">
        <f t="shared" ca="1" si="74"/>
        <v>0</v>
      </c>
      <c r="BH39" s="234">
        <f t="shared" ca="1" si="74"/>
        <v>0</v>
      </c>
      <c r="BI39" s="234">
        <f t="shared" ca="1" si="74"/>
        <v>0</v>
      </c>
      <c r="BJ39" s="234">
        <f t="shared" ca="1" si="74"/>
        <v>0</v>
      </c>
      <c r="BK39" s="234">
        <f t="shared" ca="1" si="74"/>
        <v>0</v>
      </c>
      <c r="BL39" s="234">
        <f t="shared" ca="1" si="74"/>
        <v>0</v>
      </c>
      <c r="BM39" s="234">
        <f t="shared" ca="1" si="74"/>
        <v>0</v>
      </c>
      <c r="BN39" s="234">
        <f t="shared" ca="1" si="74"/>
        <v>0</v>
      </c>
      <c r="BO39" s="234">
        <f t="shared" ca="1" si="74"/>
        <v>0</v>
      </c>
      <c r="BP39" s="234">
        <f t="shared" ca="1" si="74"/>
        <v>0</v>
      </c>
      <c r="BQ39" s="234">
        <f t="shared" ca="1" si="74"/>
        <v>0</v>
      </c>
      <c r="BR39" s="234">
        <f t="shared" ca="1" si="74"/>
        <v>0</v>
      </c>
    </row>
    <row r="40" spans="1:78" s="147" customFormat="1" thickTop="1" x14ac:dyDescent="0.25">
      <c r="A40" s="211"/>
      <c r="B40" s="147" t="s">
        <v>387</v>
      </c>
      <c r="E40" s="147">
        <f ca="1">SUMIF($K$5:$BR$5,E$5,$K40:$BR40)</f>
        <v>0</v>
      </c>
      <c r="F40" s="147">
        <f t="shared" ref="F40:I40" ca="1" si="75">SUMIF($K$5:$BR$5,F$5,$K40:$BR40)</f>
        <v>0</v>
      </c>
      <c r="G40" s="147">
        <f t="shared" ca="1" si="75"/>
        <v>0</v>
      </c>
      <c r="H40" s="147">
        <f t="shared" ca="1" si="75"/>
        <v>0</v>
      </c>
      <c r="I40" s="147">
        <f t="shared" ca="1" si="75"/>
        <v>0</v>
      </c>
      <c r="K40" s="147">
        <f ca="1">IF(K39&lt;0,K39*KeyInputs!$F$80,'Outputs - Cashflow'!K39*KeyInputs!$F$81)/12</f>
        <v>0</v>
      </c>
      <c r="L40" s="147">
        <f ca="1">IF(L39&lt;0,L39*KeyInputs!$F$80,'Outputs - Cashflow'!L39*KeyInputs!$F$81)/12</f>
        <v>0</v>
      </c>
      <c r="M40" s="147">
        <f ca="1">IF(M39&lt;0,M39*KeyInputs!$F$80,'Outputs - Cashflow'!M39*KeyInputs!$F$81)/12</f>
        <v>0</v>
      </c>
      <c r="N40" s="147">
        <f ca="1">IF(N39&lt;0,N39*KeyInputs!$F$80,'Outputs - Cashflow'!N39*KeyInputs!$F$81)/12</f>
        <v>0</v>
      </c>
      <c r="O40" s="147">
        <f ca="1">IF(O39&lt;0,O39*KeyInputs!$F$80,'Outputs - Cashflow'!O39*KeyInputs!$F$81)/12</f>
        <v>0</v>
      </c>
      <c r="P40" s="147">
        <f ca="1">IF(P39&lt;0,P39*KeyInputs!$F$80,'Outputs - Cashflow'!P39*KeyInputs!$F$81)/12</f>
        <v>0</v>
      </c>
      <c r="Q40" s="147">
        <f ca="1">IF(Q39&lt;0,Q39*KeyInputs!$F$80,'Outputs - Cashflow'!Q39*KeyInputs!$F$81)/12</f>
        <v>0</v>
      </c>
      <c r="R40" s="147">
        <f ca="1">IF(R39&lt;0,R39*KeyInputs!$F$80,'Outputs - Cashflow'!R39*KeyInputs!$F$81)/12</f>
        <v>0</v>
      </c>
      <c r="S40" s="147">
        <f ca="1">IF(S39&lt;0,S39*KeyInputs!$F$80,'Outputs - Cashflow'!S39*KeyInputs!$F$81)/12</f>
        <v>0</v>
      </c>
      <c r="T40" s="147">
        <f ca="1">IF(T39&lt;0,T39*KeyInputs!$F$80,'Outputs - Cashflow'!T39*KeyInputs!$F$81)/12</f>
        <v>0</v>
      </c>
      <c r="U40" s="147">
        <f ca="1">IF(U39&lt;0,U39*KeyInputs!$F$80,'Outputs - Cashflow'!U39*KeyInputs!$F$81)/12</f>
        <v>0</v>
      </c>
      <c r="V40" s="147">
        <f ca="1">IF(V39&lt;0,V39*KeyInputs!$F$80,'Outputs - Cashflow'!V39*KeyInputs!$F$81)/12</f>
        <v>0</v>
      </c>
      <c r="W40" s="147">
        <f ca="1">IF(W39&lt;0,W39*KeyInputs!$F$80,'Outputs - Cashflow'!W39*KeyInputs!$F$81)/12</f>
        <v>0</v>
      </c>
      <c r="X40" s="147">
        <f ca="1">IF(X39&lt;0,X39*KeyInputs!$F$80,'Outputs - Cashflow'!X39*KeyInputs!$F$81)/12</f>
        <v>0</v>
      </c>
      <c r="Y40" s="147">
        <f ca="1">IF(Y39&lt;0,Y39*KeyInputs!$F$80,'Outputs - Cashflow'!Y39*KeyInputs!$F$81)/12</f>
        <v>0</v>
      </c>
      <c r="Z40" s="147">
        <f ca="1">IF(Z39&lt;0,Z39*KeyInputs!$F$80,'Outputs - Cashflow'!Z39*KeyInputs!$F$81)/12</f>
        <v>0</v>
      </c>
      <c r="AA40" s="147">
        <f ca="1">IF(AA39&lt;0,AA39*KeyInputs!$F$80,'Outputs - Cashflow'!AA39*KeyInputs!$F$81)/12</f>
        <v>0</v>
      </c>
      <c r="AB40" s="147">
        <f ca="1">IF(AB39&lt;0,AB39*KeyInputs!$F$80,'Outputs - Cashflow'!AB39*KeyInputs!$F$81)/12</f>
        <v>0</v>
      </c>
      <c r="AC40" s="147">
        <f ca="1">IF(AC39&lt;0,AC39*KeyInputs!$F$80,'Outputs - Cashflow'!AC39*KeyInputs!$F$81)/12</f>
        <v>0</v>
      </c>
      <c r="AD40" s="147">
        <f ca="1">IF(AD39&lt;0,AD39*KeyInputs!$F$80,'Outputs - Cashflow'!AD39*KeyInputs!$F$81)/12</f>
        <v>0</v>
      </c>
      <c r="AE40" s="147">
        <f ca="1">IF(AE39&lt;0,AE39*KeyInputs!$F$80,'Outputs - Cashflow'!AE39*KeyInputs!$F$81)/12</f>
        <v>0</v>
      </c>
      <c r="AF40" s="147">
        <f ca="1">IF(AF39&lt;0,AF39*KeyInputs!$F$80,'Outputs - Cashflow'!AF39*KeyInputs!$F$81)/12</f>
        <v>0</v>
      </c>
      <c r="AG40" s="147">
        <f ca="1">IF(AG39&lt;0,AG39*KeyInputs!$F$80,'Outputs - Cashflow'!AG39*KeyInputs!$F$81)/12</f>
        <v>0</v>
      </c>
      <c r="AH40" s="147">
        <f ca="1">IF(AH39&lt;0,AH39*KeyInputs!$F$80,'Outputs - Cashflow'!AH39*KeyInputs!$F$81)/12</f>
        <v>0</v>
      </c>
      <c r="AI40" s="147">
        <f ca="1">IF(AI39&lt;0,AI39*KeyInputs!$F$80,'Outputs - Cashflow'!AI39*KeyInputs!$F$81)/12</f>
        <v>0</v>
      </c>
      <c r="AJ40" s="147">
        <f ca="1">IF(AJ39&lt;0,AJ39*KeyInputs!$F$80,'Outputs - Cashflow'!AJ39*KeyInputs!$F$81)/12</f>
        <v>0</v>
      </c>
      <c r="AK40" s="147">
        <f ca="1">IF(AK39&lt;0,AK39*KeyInputs!$F$80,'Outputs - Cashflow'!AK39*KeyInputs!$F$81)/12</f>
        <v>0</v>
      </c>
      <c r="AL40" s="147">
        <f ca="1">IF(AL39&lt;0,AL39*KeyInputs!$F$80,'Outputs - Cashflow'!AL39*KeyInputs!$F$81)/12</f>
        <v>0</v>
      </c>
      <c r="AM40" s="147">
        <f ca="1">IF(AM39&lt;0,AM39*KeyInputs!$F$80,'Outputs - Cashflow'!AM39*KeyInputs!$F$81)/12</f>
        <v>0</v>
      </c>
      <c r="AN40" s="147">
        <f ca="1">IF(AN39&lt;0,AN39*KeyInputs!$F$80,'Outputs - Cashflow'!AN39*KeyInputs!$F$81)/12</f>
        <v>0</v>
      </c>
      <c r="AO40" s="147">
        <f ca="1">IF(AO39&lt;0,AO39*KeyInputs!$F$80,'Outputs - Cashflow'!AO39*KeyInputs!$F$81)/12</f>
        <v>0</v>
      </c>
      <c r="AP40" s="147">
        <f ca="1">IF(AP39&lt;0,AP39*KeyInputs!$F$80,'Outputs - Cashflow'!AP39*KeyInputs!$F$81)/12</f>
        <v>0</v>
      </c>
      <c r="AQ40" s="147">
        <f ca="1">IF(AQ39&lt;0,AQ39*KeyInputs!$F$80,'Outputs - Cashflow'!AQ39*KeyInputs!$F$81)/12</f>
        <v>0</v>
      </c>
      <c r="AR40" s="147">
        <f ca="1">IF(AR39&lt;0,AR39*KeyInputs!$F$80,'Outputs - Cashflow'!AR39*KeyInputs!$F$81)/12</f>
        <v>0</v>
      </c>
      <c r="AS40" s="147">
        <f ca="1">IF(AS39&lt;0,AS39*KeyInputs!$F$80,'Outputs - Cashflow'!AS39*KeyInputs!$F$81)/12</f>
        <v>0</v>
      </c>
      <c r="AT40" s="147">
        <f ca="1">IF(AT39&lt;0,AT39*KeyInputs!$F$80,'Outputs - Cashflow'!AT39*KeyInputs!$F$81)/12</f>
        <v>0</v>
      </c>
      <c r="AU40" s="147">
        <f ca="1">IF(AU39&lt;0,AU39*KeyInputs!$F$80,'Outputs - Cashflow'!AU39*KeyInputs!$F$81)/12</f>
        <v>0</v>
      </c>
      <c r="AV40" s="147">
        <f ca="1">IF(AV39&lt;0,AV39*KeyInputs!$F$80,'Outputs - Cashflow'!AV39*KeyInputs!$F$81)/12</f>
        <v>0</v>
      </c>
      <c r="AW40" s="147">
        <f ca="1">IF(AW39&lt;0,AW39*KeyInputs!$F$80,'Outputs - Cashflow'!AW39*KeyInputs!$F$81)/12</f>
        <v>0</v>
      </c>
      <c r="AX40" s="147">
        <f ca="1">IF(AX39&lt;0,AX39*KeyInputs!$F$80,'Outputs - Cashflow'!AX39*KeyInputs!$F$81)/12</f>
        <v>0</v>
      </c>
      <c r="AY40" s="147">
        <f ca="1">IF(AY39&lt;0,AY39*KeyInputs!$F$80,'Outputs - Cashflow'!AY39*KeyInputs!$F$81)/12</f>
        <v>0</v>
      </c>
      <c r="AZ40" s="147">
        <f ca="1">IF(AZ39&lt;0,AZ39*KeyInputs!$F$80,'Outputs - Cashflow'!AZ39*KeyInputs!$F$81)/12</f>
        <v>0</v>
      </c>
      <c r="BA40" s="147">
        <f ca="1">IF(BA39&lt;0,BA39*KeyInputs!$F$80,'Outputs - Cashflow'!BA39*KeyInputs!$F$81)/12</f>
        <v>0</v>
      </c>
      <c r="BB40" s="147">
        <f ca="1">IF(BB39&lt;0,BB39*KeyInputs!$F$80,'Outputs - Cashflow'!BB39*KeyInputs!$F$81)/12</f>
        <v>0</v>
      </c>
      <c r="BC40" s="147">
        <f ca="1">IF(BC39&lt;0,BC39*KeyInputs!$F$80,'Outputs - Cashflow'!BC39*KeyInputs!$F$81)/12</f>
        <v>0</v>
      </c>
      <c r="BD40" s="147">
        <f ca="1">IF(BD39&lt;0,BD39*KeyInputs!$F$80,'Outputs - Cashflow'!BD39*KeyInputs!$F$81)/12</f>
        <v>0</v>
      </c>
      <c r="BE40" s="147">
        <f ca="1">IF(BE39&lt;0,BE39*KeyInputs!$F$80,'Outputs - Cashflow'!BE39*KeyInputs!$F$81)/12</f>
        <v>0</v>
      </c>
      <c r="BF40" s="147">
        <f ca="1">IF(BF39&lt;0,BF39*KeyInputs!$F$80,'Outputs - Cashflow'!BF39*KeyInputs!$F$81)/12</f>
        <v>0</v>
      </c>
      <c r="BG40" s="147">
        <f ca="1">IF(BG39&lt;0,BG39*KeyInputs!$F$80,'Outputs - Cashflow'!BG39*KeyInputs!$F$81)/12</f>
        <v>0</v>
      </c>
      <c r="BH40" s="147">
        <f ca="1">IF(BH39&lt;0,BH39*KeyInputs!$F$80,'Outputs - Cashflow'!BH39*KeyInputs!$F$81)/12</f>
        <v>0</v>
      </c>
      <c r="BI40" s="147">
        <f ca="1">IF(BI39&lt;0,BI39*KeyInputs!$F$80,'Outputs - Cashflow'!BI39*KeyInputs!$F$81)/12</f>
        <v>0</v>
      </c>
      <c r="BJ40" s="147">
        <f ca="1">IF(BJ39&lt;0,BJ39*KeyInputs!$F$80,'Outputs - Cashflow'!BJ39*KeyInputs!$F$81)/12</f>
        <v>0</v>
      </c>
      <c r="BK40" s="147">
        <f ca="1">IF(BK39&lt;0,BK39*KeyInputs!$F$80,'Outputs - Cashflow'!BK39*KeyInputs!$F$81)/12</f>
        <v>0</v>
      </c>
      <c r="BL40" s="147">
        <f ca="1">IF(BL39&lt;0,BL39*KeyInputs!$F$80,'Outputs - Cashflow'!BL39*KeyInputs!$F$81)/12</f>
        <v>0</v>
      </c>
      <c r="BM40" s="147">
        <f ca="1">IF(BM39&lt;0,BM39*KeyInputs!$F$80,'Outputs - Cashflow'!BM39*KeyInputs!$F$81)/12</f>
        <v>0</v>
      </c>
      <c r="BN40" s="147">
        <f ca="1">IF(BN39&lt;0,BN39*KeyInputs!$F$80,'Outputs - Cashflow'!BN39*KeyInputs!$F$81)/12</f>
        <v>0</v>
      </c>
      <c r="BO40" s="147">
        <f ca="1">IF(BO39&lt;0,BO39*KeyInputs!$F$80,'Outputs - Cashflow'!BO39*KeyInputs!$F$81)/12</f>
        <v>0</v>
      </c>
      <c r="BP40" s="147">
        <f ca="1">IF(BP39&lt;0,BP39*KeyInputs!$F$80,'Outputs - Cashflow'!BP39*KeyInputs!$F$81)/12</f>
        <v>0</v>
      </c>
      <c r="BQ40" s="147">
        <f ca="1">IF(BQ39&lt;0,BQ39*KeyInputs!$F$80,'Outputs - Cashflow'!BQ39*KeyInputs!$F$81)/12</f>
        <v>0</v>
      </c>
      <c r="BR40" s="147">
        <f ca="1">IF(BR39&lt;0,BR39*KeyInputs!$F$80,'Outputs - Cashflow'!BR39*KeyInputs!$F$81)/12</f>
        <v>0</v>
      </c>
    </row>
    <row r="41" spans="1:78" s="147" customFormat="1" ht="13.2" x14ac:dyDescent="0.25">
      <c r="A41" s="211"/>
      <c r="B41" s="211" t="s">
        <v>388</v>
      </c>
      <c r="C41" s="211"/>
      <c r="D41" s="268">
        <f>KeyInputs!G128</f>
        <v>0</v>
      </c>
      <c r="E41" s="247">
        <f ca="1">SUM(E39:E40)</f>
        <v>0</v>
      </c>
      <c r="F41" s="247">
        <f t="shared" ref="F41:I41" ca="1" si="76">SUM(F39:F40)</f>
        <v>0</v>
      </c>
      <c r="G41" s="247">
        <f t="shared" ca="1" si="76"/>
        <v>0</v>
      </c>
      <c r="H41" s="247">
        <f t="shared" ca="1" si="76"/>
        <v>0</v>
      </c>
      <c r="I41" s="247">
        <f t="shared" ca="1" si="76"/>
        <v>0</v>
      </c>
      <c r="J41" s="216">
        <f>D41</f>
        <v>0</v>
      </c>
      <c r="K41" s="247">
        <f t="shared" ref="K41" ca="1" si="77">SUM(K39:K40)</f>
        <v>0</v>
      </c>
      <c r="L41" s="247">
        <f t="shared" ref="L41" ca="1" si="78">SUM(L39:L40)</f>
        <v>0</v>
      </c>
      <c r="M41" s="247">
        <f t="shared" ref="M41" ca="1" si="79">SUM(M39:M40)</f>
        <v>0</v>
      </c>
      <c r="N41" s="247">
        <f t="shared" ref="N41" ca="1" si="80">SUM(N39:N40)</f>
        <v>0</v>
      </c>
      <c r="O41" s="247">
        <f t="shared" ref="O41" ca="1" si="81">SUM(O39:O40)</f>
        <v>0</v>
      </c>
      <c r="P41" s="247">
        <f t="shared" ref="P41" ca="1" si="82">SUM(P39:P40)</f>
        <v>0</v>
      </c>
      <c r="Q41" s="247">
        <f t="shared" ref="Q41" ca="1" si="83">SUM(Q39:Q40)</f>
        <v>0</v>
      </c>
      <c r="R41" s="247">
        <f t="shared" ref="R41" ca="1" si="84">SUM(R39:R40)</f>
        <v>0</v>
      </c>
      <c r="S41" s="247">
        <f t="shared" ref="S41" ca="1" si="85">SUM(S39:S40)</f>
        <v>0</v>
      </c>
      <c r="T41" s="247">
        <f t="shared" ref="T41" ca="1" si="86">SUM(T39:T40)</f>
        <v>0</v>
      </c>
      <c r="U41" s="247">
        <f t="shared" ref="U41" ca="1" si="87">SUM(U39:U40)</f>
        <v>0</v>
      </c>
      <c r="V41" s="247">
        <f t="shared" ref="V41" ca="1" si="88">SUM(V39:V40)</f>
        <v>0</v>
      </c>
      <c r="W41" s="247">
        <f t="shared" ref="W41" ca="1" si="89">SUM(W39:W40)</f>
        <v>0</v>
      </c>
      <c r="X41" s="247">
        <f t="shared" ref="X41" ca="1" si="90">SUM(X39:X40)</f>
        <v>0</v>
      </c>
      <c r="Y41" s="247">
        <f t="shared" ref="Y41" ca="1" si="91">SUM(Y39:Y40)</f>
        <v>0</v>
      </c>
      <c r="Z41" s="247">
        <f t="shared" ref="Z41" ca="1" si="92">SUM(Z39:Z40)</f>
        <v>0</v>
      </c>
      <c r="AA41" s="247">
        <f t="shared" ref="AA41" ca="1" si="93">SUM(AA39:AA40)</f>
        <v>0</v>
      </c>
      <c r="AB41" s="247">
        <f t="shared" ref="AB41" ca="1" si="94">SUM(AB39:AB40)</f>
        <v>0</v>
      </c>
      <c r="AC41" s="247">
        <f t="shared" ref="AC41" ca="1" si="95">SUM(AC39:AC40)</f>
        <v>0</v>
      </c>
      <c r="AD41" s="247">
        <f t="shared" ref="AD41" ca="1" si="96">SUM(AD39:AD40)</f>
        <v>0</v>
      </c>
      <c r="AE41" s="247">
        <f t="shared" ref="AE41" ca="1" si="97">SUM(AE39:AE40)</f>
        <v>0</v>
      </c>
      <c r="AF41" s="247">
        <f t="shared" ref="AF41" ca="1" si="98">SUM(AF39:AF40)</f>
        <v>0</v>
      </c>
      <c r="AG41" s="247">
        <f t="shared" ref="AG41" ca="1" si="99">SUM(AG39:AG40)</f>
        <v>0</v>
      </c>
      <c r="AH41" s="247">
        <f t="shared" ref="AH41" ca="1" si="100">SUM(AH39:AH40)</f>
        <v>0</v>
      </c>
      <c r="AI41" s="247">
        <f t="shared" ref="AI41" ca="1" si="101">SUM(AI39:AI40)</f>
        <v>0</v>
      </c>
      <c r="AJ41" s="247">
        <f t="shared" ref="AJ41" ca="1" si="102">SUM(AJ39:AJ40)</f>
        <v>0</v>
      </c>
      <c r="AK41" s="247">
        <f t="shared" ref="AK41" ca="1" si="103">SUM(AK39:AK40)</f>
        <v>0</v>
      </c>
      <c r="AL41" s="247">
        <f t="shared" ref="AL41" ca="1" si="104">SUM(AL39:AL40)</f>
        <v>0</v>
      </c>
      <c r="AM41" s="247">
        <f t="shared" ref="AM41" ca="1" si="105">SUM(AM39:AM40)</f>
        <v>0</v>
      </c>
      <c r="AN41" s="247">
        <f t="shared" ref="AN41" ca="1" si="106">SUM(AN39:AN40)</f>
        <v>0</v>
      </c>
      <c r="AO41" s="247">
        <f t="shared" ref="AO41" ca="1" si="107">SUM(AO39:AO40)</f>
        <v>0</v>
      </c>
      <c r="AP41" s="247">
        <f t="shared" ref="AP41" ca="1" si="108">SUM(AP39:AP40)</f>
        <v>0</v>
      </c>
      <c r="AQ41" s="247">
        <f t="shared" ref="AQ41" ca="1" si="109">SUM(AQ39:AQ40)</f>
        <v>0</v>
      </c>
      <c r="AR41" s="247">
        <f t="shared" ref="AR41" ca="1" si="110">SUM(AR39:AR40)</f>
        <v>0</v>
      </c>
      <c r="AS41" s="247">
        <f t="shared" ref="AS41" ca="1" si="111">SUM(AS39:AS40)</f>
        <v>0</v>
      </c>
      <c r="AT41" s="247">
        <f t="shared" ref="AT41" ca="1" si="112">SUM(AT39:AT40)</f>
        <v>0</v>
      </c>
      <c r="AU41" s="247">
        <f t="shared" ref="AU41" ca="1" si="113">SUM(AU39:AU40)</f>
        <v>0</v>
      </c>
      <c r="AV41" s="247">
        <f t="shared" ref="AV41" ca="1" si="114">SUM(AV39:AV40)</f>
        <v>0</v>
      </c>
      <c r="AW41" s="247">
        <f t="shared" ref="AW41" ca="1" si="115">SUM(AW39:AW40)</f>
        <v>0</v>
      </c>
      <c r="AX41" s="247">
        <f t="shared" ref="AX41" ca="1" si="116">SUM(AX39:AX40)</f>
        <v>0</v>
      </c>
      <c r="AY41" s="247">
        <f t="shared" ref="AY41" ca="1" si="117">SUM(AY39:AY40)</f>
        <v>0</v>
      </c>
      <c r="AZ41" s="247">
        <f t="shared" ref="AZ41" ca="1" si="118">SUM(AZ39:AZ40)</f>
        <v>0</v>
      </c>
      <c r="BA41" s="247">
        <f t="shared" ref="BA41" ca="1" si="119">SUM(BA39:BA40)</f>
        <v>0</v>
      </c>
      <c r="BB41" s="247">
        <f t="shared" ref="BB41" ca="1" si="120">SUM(BB39:BB40)</f>
        <v>0</v>
      </c>
      <c r="BC41" s="247">
        <f t="shared" ref="BC41" ca="1" si="121">SUM(BC39:BC40)</f>
        <v>0</v>
      </c>
      <c r="BD41" s="247">
        <f t="shared" ref="BD41" ca="1" si="122">SUM(BD39:BD40)</f>
        <v>0</v>
      </c>
      <c r="BE41" s="247">
        <f t="shared" ref="BE41" ca="1" si="123">SUM(BE39:BE40)</f>
        <v>0</v>
      </c>
      <c r="BF41" s="247">
        <f t="shared" ref="BF41" ca="1" si="124">SUM(BF39:BF40)</f>
        <v>0</v>
      </c>
      <c r="BG41" s="247">
        <f t="shared" ref="BG41" ca="1" si="125">SUM(BG39:BG40)</f>
        <v>0</v>
      </c>
      <c r="BH41" s="247">
        <f t="shared" ref="BH41" ca="1" si="126">SUM(BH39:BH40)</f>
        <v>0</v>
      </c>
      <c r="BI41" s="247">
        <f t="shared" ref="BI41" ca="1" si="127">SUM(BI39:BI40)</f>
        <v>0</v>
      </c>
      <c r="BJ41" s="247">
        <f t="shared" ref="BJ41" ca="1" si="128">SUM(BJ39:BJ40)</f>
        <v>0</v>
      </c>
      <c r="BK41" s="247">
        <f t="shared" ref="BK41" ca="1" si="129">SUM(BK39:BK40)</f>
        <v>0</v>
      </c>
      <c r="BL41" s="247">
        <f t="shared" ref="BL41" ca="1" si="130">SUM(BL39:BL40)</f>
        <v>0</v>
      </c>
      <c r="BM41" s="247">
        <f t="shared" ref="BM41" ca="1" si="131">SUM(BM39:BM40)</f>
        <v>0</v>
      </c>
      <c r="BN41" s="247">
        <f t="shared" ref="BN41" ca="1" si="132">SUM(BN39:BN40)</f>
        <v>0</v>
      </c>
      <c r="BO41" s="247">
        <f t="shared" ref="BO41" ca="1" si="133">SUM(BO39:BO40)</f>
        <v>0</v>
      </c>
      <c r="BP41" s="247">
        <f t="shared" ref="BP41" ca="1" si="134">SUM(BP39:BP40)</f>
        <v>0</v>
      </c>
      <c r="BQ41" s="247">
        <f t="shared" ref="BQ41" ca="1" si="135">SUM(BQ39:BQ40)</f>
        <v>0</v>
      </c>
      <c r="BR41" s="247">
        <f t="shared" ref="BR41" ca="1" si="136">SUM(BR39:BR40)</f>
        <v>0</v>
      </c>
      <c r="BS41" s="211"/>
      <c r="BT41" s="211"/>
      <c r="BU41" s="211"/>
      <c r="BV41" s="211"/>
      <c r="BW41" s="211"/>
      <c r="BX41" s="211"/>
      <c r="BY41" s="211"/>
      <c r="BZ41" s="211"/>
    </row>
    <row r="42" spans="1:78" s="147" customFormat="1" ht="13.2" x14ac:dyDescent="0.25">
      <c r="A42" s="211"/>
      <c r="F42" s="212"/>
    </row>
    <row r="43" spans="1:78" s="147" customFormat="1" ht="13.2" x14ac:dyDescent="0.25">
      <c r="A43" s="211"/>
      <c r="F43" s="212"/>
    </row>
    <row r="44" spans="1:78" s="166" customFormat="1" ht="15.6" x14ac:dyDescent="0.3">
      <c r="A44" s="166" t="s">
        <v>217</v>
      </c>
    </row>
  </sheetData>
  <pageMargins left="0.70866141732283472" right="0.70866141732283472" top="0.74803149606299213" bottom="0.74803149606299213" header="0.31496062992125984" footer="0.31496062992125984"/>
  <pageSetup paperSize="9" scale="55" orientation="landscape"/>
  <headerFooter>
    <oddFooter>&amp;LPage &amp;P&amp;C&amp;F&amp;RDate &amp;D Time &amp;T</oddFoot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CO130"/>
  <sheetViews>
    <sheetView showGridLines="0" zoomScale="70" zoomScaleNormal="70" zoomScalePageLayoutView="70" workbookViewId="0">
      <pane ySplit="10" topLeftCell="A11" activePane="bottomLeft" state="frozen"/>
      <selection activeCell="C10" sqref="C10"/>
      <selection pane="bottomLeft" activeCell="T102" sqref="T102"/>
    </sheetView>
  </sheetViews>
  <sheetFormatPr defaultColWidth="0" defaultRowHeight="13.8" outlineLevelRow="1" x14ac:dyDescent="0.25"/>
  <cols>
    <col min="1" max="1" width="3.44140625" style="138" customWidth="1"/>
    <col min="2" max="2" width="31" style="138" customWidth="1"/>
    <col min="3" max="3" width="2.6640625" style="138" customWidth="1"/>
    <col min="4" max="4" width="13.109375" style="138" bestFit="1" customWidth="1"/>
    <col min="5" max="7" width="10" style="138" bestFit="1" customWidth="1"/>
    <col min="8" max="8" width="11" style="138" bestFit="1" customWidth="1"/>
    <col min="9" max="10" width="11.44140625" style="138" bestFit="1" customWidth="1"/>
    <col min="11" max="12" width="10" style="138" bestFit="1" customWidth="1"/>
    <col min="13" max="13" width="7.88671875" style="138" bestFit="1" customWidth="1"/>
    <col min="14" max="16" width="10" style="138" bestFit="1" customWidth="1"/>
    <col min="17" max="17" width="11" style="138" bestFit="1" customWidth="1"/>
    <col min="18" max="19" width="11.44140625" style="138" bestFit="1" customWidth="1"/>
    <col min="20" max="21" width="10" style="138" bestFit="1" customWidth="1"/>
    <col min="22" max="22" width="7.88671875" style="138" bestFit="1" customWidth="1"/>
    <col min="23" max="30" width="10" style="138" bestFit="1" customWidth="1"/>
    <col min="31" max="32" width="9.109375" style="138" customWidth="1"/>
    <col min="33" max="93" width="0" style="138" hidden="1" customWidth="1"/>
    <col min="94" max="16384" width="9.109375" style="138" hidden="1"/>
  </cols>
  <sheetData>
    <row r="1" spans="1:81" s="285" customFormat="1" ht="13.2" x14ac:dyDescent="0.25"/>
    <row r="2" spans="1:81" s="285" customFormat="1" ht="13.2" x14ac:dyDescent="0.25"/>
    <row r="3" spans="1:81" s="285" customFormat="1" ht="13.2" x14ac:dyDescent="0.25">
      <c r="A3" s="286" t="str">
        <f>IF(KeyInputs!$F$14=0,"Company Name",KeyInputs!$F$14)</f>
        <v>Company Name</v>
      </c>
    </row>
    <row r="4" spans="1:81" s="285" customFormat="1" ht="13.2" x14ac:dyDescent="0.25">
      <c r="A4" s="285" t="s">
        <v>179</v>
      </c>
    </row>
    <row r="5" spans="1:81" s="285" customFormat="1" ht="13.2" x14ac:dyDescent="0.25">
      <c r="D5" s="287" t="str">
        <f>KeyInputs!D5</f>
        <v>Year</v>
      </c>
      <c r="E5" s="287">
        <f>KeyInputs!E5</f>
        <v>2012</v>
      </c>
      <c r="F5" s="287">
        <f>KeyInputs!F5</f>
        <v>2013</v>
      </c>
      <c r="G5" s="287">
        <f>KeyInputs!G5</f>
        <v>2014</v>
      </c>
      <c r="H5" s="287">
        <f>KeyInputs!H5</f>
        <v>2015</v>
      </c>
      <c r="I5" s="287">
        <f>KeyInputs!I5</f>
        <v>2016</v>
      </c>
      <c r="J5" s="287">
        <f>KeyInputs!J5</f>
        <v>2017</v>
      </c>
      <c r="K5" s="287">
        <f>KeyInputs!K5</f>
        <v>2018</v>
      </c>
      <c r="L5" s="287">
        <f>KeyInputs!L5</f>
        <v>2019</v>
      </c>
      <c r="N5" s="287">
        <f>E5</f>
        <v>2012</v>
      </c>
      <c r="O5" s="287">
        <f>F5</f>
        <v>2013</v>
      </c>
      <c r="P5" s="287">
        <f t="shared" ref="P5:U8" si="0">G5</f>
        <v>2014</v>
      </c>
      <c r="Q5" s="287">
        <f t="shared" si="0"/>
        <v>2015</v>
      </c>
      <c r="R5" s="287">
        <f t="shared" si="0"/>
        <v>2016</v>
      </c>
      <c r="S5" s="287">
        <f t="shared" si="0"/>
        <v>2017</v>
      </c>
      <c r="T5" s="287">
        <f t="shared" si="0"/>
        <v>2018</v>
      </c>
      <c r="U5" s="287">
        <f t="shared" si="0"/>
        <v>2019</v>
      </c>
      <c r="W5" s="287">
        <f>N5</f>
        <v>2012</v>
      </c>
      <c r="X5" s="287">
        <f>O5</f>
        <v>2013</v>
      </c>
      <c r="Y5" s="287">
        <f t="shared" ref="Y5:Y8" si="1">P5</f>
        <v>2014</v>
      </c>
      <c r="Z5" s="287">
        <f t="shared" ref="Z5:Z8" si="2">Q5</f>
        <v>2015</v>
      </c>
      <c r="AA5" s="287">
        <f t="shared" ref="AA5:AA8" si="3">R5</f>
        <v>2016</v>
      </c>
      <c r="AB5" s="287">
        <f t="shared" ref="AB5:AB8" si="4">S5</f>
        <v>2017</v>
      </c>
      <c r="AC5" s="287">
        <f t="shared" ref="AC5:AC8" si="5">T5</f>
        <v>2018</v>
      </c>
      <c r="AD5" s="287">
        <f t="shared" ref="AD5:AD8" si="6">U5</f>
        <v>2019</v>
      </c>
    </row>
    <row r="6" spans="1:81" s="288" customFormat="1" ht="13.2" x14ac:dyDescent="0.25">
      <c r="D6" s="287" t="str">
        <f>KeyInputs!D6</f>
        <v>Period number</v>
      </c>
      <c r="E6" s="287">
        <f>KeyInputs!E6</f>
        <v>-2</v>
      </c>
      <c r="F6" s="287">
        <f>KeyInputs!F6</f>
        <v>-1</v>
      </c>
      <c r="G6" s="287">
        <f>KeyInputs!G6</f>
        <v>0</v>
      </c>
      <c r="H6" s="287">
        <f>KeyInputs!H6</f>
        <v>1</v>
      </c>
      <c r="I6" s="287">
        <f>KeyInputs!I6</f>
        <v>2</v>
      </c>
      <c r="J6" s="287">
        <f>KeyInputs!J6</f>
        <v>3</v>
      </c>
      <c r="K6" s="287">
        <f>KeyInputs!K6</f>
        <v>4</v>
      </c>
      <c r="L6" s="287">
        <f>KeyInputs!L6</f>
        <v>5</v>
      </c>
      <c r="N6" s="287">
        <f t="shared" ref="N6:O8" si="7">E6</f>
        <v>-2</v>
      </c>
      <c r="O6" s="287">
        <f t="shared" si="7"/>
        <v>-1</v>
      </c>
      <c r="P6" s="287">
        <f t="shared" si="0"/>
        <v>0</v>
      </c>
      <c r="Q6" s="287">
        <f t="shared" si="0"/>
        <v>1</v>
      </c>
      <c r="R6" s="287">
        <f t="shared" si="0"/>
        <v>2</v>
      </c>
      <c r="S6" s="287">
        <f t="shared" si="0"/>
        <v>3</v>
      </c>
      <c r="T6" s="287">
        <f t="shared" si="0"/>
        <v>4</v>
      </c>
      <c r="U6" s="287">
        <f t="shared" si="0"/>
        <v>5</v>
      </c>
      <c r="W6" s="287">
        <f t="shared" ref="W6:X8" si="8">N6</f>
        <v>-2</v>
      </c>
      <c r="X6" s="287">
        <f t="shared" si="8"/>
        <v>-1</v>
      </c>
      <c r="Y6" s="287">
        <f t="shared" si="1"/>
        <v>0</v>
      </c>
      <c r="Z6" s="287">
        <f t="shared" si="2"/>
        <v>1</v>
      </c>
      <c r="AA6" s="287">
        <f t="shared" si="3"/>
        <v>2</v>
      </c>
      <c r="AB6" s="287">
        <f t="shared" si="4"/>
        <v>3</v>
      </c>
      <c r="AC6" s="287">
        <f t="shared" si="5"/>
        <v>4</v>
      </c>
      <c r="AD6" s="287">
        <f t="shared" si="6"/>
        <v>5</v>
      </c>
    </row>
    <row r="7" spans="1:81" s="288" customFormat="1" ht="13.2" x14ac:dyDescent="0.25">
      <c r="D7" s="287" t="str">
        <f>KeyInputs!D7</f>
        <v>Period starts</v>
      </c>
      <c r="E7" s="294">
        <f>KeyInputs!E7</f>
        <v>40909</v>
      </c>
      <c r="F7" s="294">
        <f>KeyInputs!F7</f>
        <v>41275</v>
      </c>
      <c r="G7" s="294">
        <f>KeyInputs!G7</f>
        <v>41640</v>
      </c>
      <c r="H7" s="294">
        <f>KeyInputs!H7</f>
        <v>42005</v>
      </c>
      <c r="I7" s="294">
        <f>KeyInputs!I7</f>
        <v>42370</v>
      </c>
      <c r="J7" s="294">
        <f>KeyInputs!J7</f>
        <v>42736</v>
      </c>
      <c r="K7" s="294">
        <f>KeyInputs!K7</f>
        <v>43101</v>
      </c>
      <c r="L7" s="294">
        <f>KeyInputs!L7</f>
        <v>43466</v>
      </c>
      <c r="N7" s="294">
        <f t="shared" si="7"/>
        <v>40909</v>
      </c>
      <c r="O7" s="294">
        <f t="shared" si="7"/>
        <v>41275</v>
      </c>
      <c r="P7" s="294">
        <f t="shared" si="0"/>
        <v>41640</v>
      </c>
      <c r="Q7" s="294">
        <f t="shared" si="0"/>
        <v>42005</v>
      </c>
      <c r="R7" s="294">
        <f t="shared" si="0"/>
        <v>42370</v>
      </c>
      <c r="S7" s="294">
        <f t="shared" si="0"/>
        <v>42736</v>
      </c>
      <c r="T7" s="294">
        <f t="shared" si="0"/>
        <v>43101</v>
      </c>
      <c r="U7" s="294">
        <f t="shared" si="0"/>
        <v>43466</v>
      </c>
      <c r="W7" s="294">
        <f t="shared" si="8"/>
        <v>40909</v>
      </c>
      <c r="X7" s="294">
        <f t="shared" si="8"/>
        <v>41275</v>
      </c>
      <c r="Y7" s="294">
        <f t="shared" si="1"/>
        <v>41640</v>
      </c>
      <c r="Z7" s="294">
        <f t="shared" si="2"/>
        <v>42005</v>
      </c>
      <c r="AA7" s="294">
        <f t="shared" si="3"/>
        <v>42370</v>
      </c>
      <c r="AB7" s="294">
        <f t="shared" si="4"/>
        <v>42736</v>
      </c>
      <c r="AC7" s="294">
        <f t="shared" si="5"/>
        <v>43101</v>
      </c>
      <c r="AD7" s="294">
        <f t="shared" si="6"/>
        <v>43466</v>
      </c>
    </row>
    <row r="8" spans="1:81" s="292" customFormat="1" ht="13.2" x14ac:dyDescent="0.25">
      <c r="B8" s="291" t="str">
        <f ca="1">IF(Check!$C$12=0,"All checks are OK","There are "&amp;Check!$C$12&amp;" error/errors")</f>
        <v>All checks are OK</v>
      </c>
      <c r="D8" s="287" t="str">
        <f>KeyInputs!D8</f>
        <v>Period ends</v>
      </c>
      <c r="E8" s="294">
        <f>KeyInputs!E8</f>
        <v>41274</v>
      </c>
      <c r="F8" s="294">
        <f>KeyInputs!F8</f>
        <v>41639</v>
      </c>
      <c r="G8" s="294">
        <f>KeyInputs!G8</f>
        <v>42004</v>
      </c>
      <c r="H8" s="294">
        <f>KeyInputs!H8</f>
        <v>42369</v>
      </c>
      <c r="I8" s="294">
        <f>KeyInputs!I8</f>
        <v>42735</v>
      </c>
      <c r="J8" s="294">
        <f>KeyInputs!J8</f>
        <v>43100</v>
      </c>
      <c r="K8" s="294">
        <f>KeyInputs!K8</f>
        <v>43465</v>
      </c>
      <c r="L8" s="294">
        <f>KeyInputs!L8</f>
        <v>43830</v>
      </c>
      <c r="M8" s="288"/>
      <c r="N8" s="294">
        <f t="shared" si="7"/>
        <v>41274</v>
      </c>
      <c r="O8" s="294">
        <f t="shared" si="7"/>
        <v>41639</v>
      </c>
      <c r="P8" s="294">
        <f t="shared" si="0"/>
        <v>42004</v>
      </c>
      <c r="Q8" s="294">
        <f t="shared" si="0"/>
        <v>42369</v>
      </c>
      <c r="R8" s="294">
        <f t="shared" si="0"/>
        <v>42735</v>
      </c>
      <c r="S8" s="294">
        <f t="shared" si="0"/>
        <v>43100</v>
      </c>
      <c r="T8" s="294">
        <f t="shared" si="0"/>
        <v>43465</v>
      </c>
      <c r="U8" s="294">
        <f t="shared" si="0"/>
        <v>43830</v>
      </c>
      <c r="V8" s="288"/>
      <c r="W8" s="294">
        <f t="shared" si="8"/>
        <v>41274</v>
      </c>
      <c r="X8" s="294">
        <f t="shared" si="8"/>
        <v>41639</v>
      </c>
      <c r="Y8" s="294">
        <f t="shared" si="1"/>
        <v>42004</v>
      </c>
      <c r="Z8" s="294">
        <f t="shared" si="2"/>
        <v>42369</v>
      </c>
      <c r="AA8" s="294">
        <f t="shared" si="3"/>
        <v>42735</v>
      </c>
      <c r="AB8" s="294">
        <f t="shared" si="4"/>
        <v>43100</v>
      </c>
      <c r="AC8" s="294">
        <f t="shared" si="5"/>
        <v>43465</v>
      </c>
      <c r="AD8" s="294">
        <f t="shared" si="6"/>
        <v>43830</v>
      </c>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c r="BK8" s="288"/>
      <c r="BL8" s="288"/>
      <c r="BM8" s="288"/>
      <c r="BN8" s="288"/>
      <c r="BO8" s="288"/>
      <c r="BP8" s="288"/>
      <c r="BQ8" s="288"/>
      <c r="BR8" s="288"/>
      <c r="BS8" s="288"/>
      <c r="BT8" s="288"/>
      <c r="BU8" s="288"/>
      <c r="BV8" s="288"/>
      <c r="BW8" s="288"/>
      <c r="BX8" s="288"/>
      <c r="BY8" s="288"/>
      <c r="BZ8" s="288"/>
      <c r="CA8" s="288"/>
      <c r="CB8" s="288"/>
      <c r="CC8" s="288"/>
    </row>
    <row r="9" spans="1:81" s="128" customFormat="1" ht="13.2" x14ac:dyDescent="0.25">
      <c r="D9" s="125"/>
      <c r="E9" s="164"/>
      <c r="F9" s="164"/>
      <c r="G9" s="164"/>
      <c r="H9" s="164"/>
      <c r="I9" s="164"/>
      <c r="J9" s="164"/>
      <c r="K9" s="164"/>
      <c r="L9" s="164"/>
      <c r="N9" s="164"/>
      <c r="O9" s="164"/>
      <c r="P9" s="164"/>
      <c r="Q9" s="164"/>
      <c r="R9" s="164"/>
      <c r="S9" s="164"/>
      <c r="T9" s="164"/>
      <c r="U9" s="164"/>
      <c r="W9" s="164"/>
      <c r="X9" s="164"/>
      <c r="Y9" s="164"/>
      <c r="Z9" s="164"/>
      <c r="AA9" s="164"/>
      <c r="AB9" s="164"/>
      <c r="AC9" s="164"/>
      <c r="AD9" s="164"/>
    </row>
    <row r="10" spans="1:81" s="128" customFormat="1" ht="21" x14ac:dyDescent="0.4">
      <c r="B10" s="281" t="s">
        <v>346</v>
      </c>
      <c r="D10" s="125"/>
      <c r="E10" s="164"/>
      <c r="F10" s="164"/>
      <c r="G10" s="164"/>
      <c r="H10" s="164"/>
      <c r="I10" s="164"/>
      <c r="J10" s="164"/>
      <c r="K10" s="164"/>
      <c r="L10" s="164"/>
      <c r="N10" s="281" t="s">
        <v>347</v>
      </c>
      <c r="O10" s="281"/>
      <c r="P10" s="164"/>
      <c r="Q10" s="164"/>
      <c r="R10" s="164"/>
      <c r="S10" s="164"/>
      <c r="T10" s="164"/>
      <c r="U10" s="164"/>
      <c r="W10" s="281" t="s">
        <v>348</v>
      </c>
      <c r="X10" s="281"/>
      <c r="Y10" s="164"/>
      <c r="Z10" s="164"/>
      <c r="AA10" s="164"/>
      <c r="AB10" s="164"/>
      <c r="AC10" s="164"/>
      <c r="AD10" s="164"/>
    </row>
    <row r="11" spans="1:81" s="128" customFormat="1" ht="13.2" x14ac:dyDescent="0.25">
      <c r="D11" s="125"/>
      <c r="E11" s="164"/>
      <c r="F11" s="164"/>
      <c r="G11" s="164"/>
      <c r="H11" s="164"/>
      <c r="I11" s="164"/>
      <c r="J11" s="164"/>
      <c r="K11" s="164"/>
      <c r="L11" s="164"/>
      <c r="N11" s="164"/>
      <c r="O11" s="164"/>
      <c r="P11" s="164"/>
      <c r="Q11" s="164"/>
      <c r="R11" s="164"/>
      <c r="S11" s="164"/>
      <c r="T11" s="164"/>
      <c r="U11" s="164"/>
      <c r="W11" s="164"/>
      <c r="X11" s="164"/>
      <c r="Y11" s="164"/>
      <c r="Z11" s="164"/>
      <c r="AA11" s="164"/>
      <c r="AB11" s="164"/>
      <c r="AC11" s="164"/>
      <c r="AD11" s="164"/>
    </row>
    <row r="12" spans="1:81" s="166" customFormat="1" ht="15.6" x14ac:dyDescent="0.3">
      <c r="A12" s="166">
        <f>Header1</f>
        <v>1</v>
      </c>
      <c r="B12" s="166" t="s">
        <v>264</v>
      </c>
    </row>
    <row r="13" spans="1:81" s="147" customFormat="1" ht="13.2" x14ac:dyDescent="0.25">
      <c r="A13" s="211"/>
      <c r="I13" s="212"/>
      <c r="R13" s="212"/>
      <c r="AA13" s="212"/>
    </row>
    <row r="14" spans="1:81" s="147" customFormat="1" ht="13.2" x14ac:dyDescent="0.25">
      <c r="B14" s="147" t="s">
        <v>265</v>
      </c>
      <c r="D14" s="231" t="str">
        <f>unit</f>
        <v>£</v>
      </c>
      <c r="E14" s="147">
        <f t="shared" ref="E14:G14" si="9">SUM(E15:E17)</f>
        <v>0</v>
      </c>
      <c r="F14" s="147">
        <f t="shared" si="9"/>
        <v>0</v>
      </c>
      <c r="G14" s="147">
        <f t="shared" si="9"/>
        <v>0</v>
      </c>
      <c r="H14" s="147">
        <f>SUM(H15:H17)</f>
        <v>0</v>
      </c>
      <c r="I14" s="147">
        <f t="shared" ref="I14:L14" si="10">SUM(I15:I17)</f>
        <v>0</v>
      </c>
      <c r="J14" s="147">
        <f t="shared" si="10"/>
        <v>0</v>
      </c>
      <c r="K14" s="147">
        <f t="shared" si="10"/>
        <v>0</v>
      </c>
      <c r="L14" s="147">
        <f t="shared" si="10"/>
        <v>0</v>
      </c>
      <c r="N14" s="147">
        <f>'Outputs - Summary'!E12</f>
        <v>0</v>
      </c>
      <c r="O14" s="147">
        <f>'Outputs - Summary'!F12</f>
        <v>0</v>
      </c>
      <c r="P14" s="147">
        <f>'Outputs - Summary'!G12</f>
        <v>0</v>
      </c>
      <c r="Q14" s="147">
        <f>'Outputs - Summary'!H12</f>
        <v>0</v>
      </c>
      <c r="R14" s="147">
        <f>'Outputs - Summary'!I12</f>
        <v>0</v>
      </c>
      <c r="S14" s="147">
        <f>'Outputs - Summary'!J12</f>
        <v>0</v>
      </c>
      <c r="T14" s="147">
        <f>'Outputs - Summary'!K12</f>
        <v>0</v>
      </c>
      <c r="U14" s="147">
        <f>'Outputs - Summary'!L12</f>
        <v>0</v>
      </c>
      <c r="W14" s="147">
        <f>N14-E14</f>
        <v>0</v>
      </c>
      <c r="X14" s="147">
        <f>O14-F14</f>
        <v>0</v>
      </c>
      <c r="Y14" s="147">
        <f t="shared" ref="Y14:Y17" si="11">P14-G14</f>
        <v>0</v>
      </c>
      <c r="Z14" s="147">
        <f t="shared" ref="Z14:Z17" si="12">Q14-H14</f>
        <v>0</v>
      </c>
      <c r="AA14" s="147">
        <f t="shared" ref="AA14:AA17" si="13">R14-I14</f>
        <v>0</v>
      </c>
      <c r="AB14" s="147">
        <f t="shared" ref="AB14:AB17" si="14">S14-J14</f>
        <v>0</v>
      </c>
      <c r="AC14" s="147">
        <f t="shared" ref="AC14:AC17" si="15">T14-K14</f>
        <v>0</v>
      </c>
      <c r="AD14" s="147">
        <f t="shared" ref="AD14:AD17" si="16">U14-L14</f>
        <v>0</v>
      </c>
    </row>
    <row r="15" spans="1:81" s="147" customFormat="1" ht="13.2" outlineLevel="1" x14ac:dyDescent="0.25">
      <c r="A15" s="211"/>
      <c r="B15" s="250" t="str">
        <f>KeyInputs!F21</f>
        <v>Test</v>
      </c>
      <c r="D15" s="231" t="str">
        <f>unit</f>
        <v>£</v>
      </c>
      <c r="E15" s="147">
        <f>KeyInputs!E156</f>
        <v>0</v>
      </c>
      <c r="F15" s="147">
        <f>KeyInputs!F156</f>
        <v>0</v>
      </c>
      <c r="G15" s="147">
        <f>KeyInputs!G156</f>
        <v>0</v>
      </c>
      <c r="H15" s="147">
        <f>'Outputs - P&amp;L'!E13</f>
        <v>0</v>
      </c>
      <c r="I15" s="147">
        <f>'Outputs - P&amp;L'!F13</f>
        <v>0</v>
      </c>
      <c r="J15" s="147">
        <f>'Outputs - P&amp;L'!G13</f>
        <v>0</v>
      </c>
      <c r="K15" s="147">
        <f>'Outputs - P&amp;L'!H13</f>
        <v>0</v>
      </c>
      <c r="L15" s="147">
        <f>'Outputs - P&amp;L'!I13</f>
        <v>0</v>
      </c>
      <c r="N15" s="147">
        <f>'Outputs - Summary'!E13</f>
        <v>0</v>
      </c>
      <c r="O15" s="147">
        <f>'Outputs - Summary'!F13</f>
        <v>0</v>
      </c>
      <c r="P15" s="147">
        <f>'Outputs - Summary'!G13</f>
        <v>0</v>
      </c>
      <c r="Q15" s="147">
        <f>'Outputs - Summary'!H13</f>
        <v>0</v>
      </c>
      <c r="R15" s="147">
        <f>'Outputs - Summary'!I13</f>
        <v>0</v>
      </c>
      <c r="S15" s="147">
        <f>'Outputs - Summary'!J13</f>
        <v>0</v>
      </c>
      <c r="T15" s="147">
        <f>'Outputs - Summary'!K13</f>
        <v>0</v>
      </c>
      <c r="U15" s="147">
        <f>'Outputs - Summary'!L13</f>
        <v>0</v>
      </c>
      <c r="W15" s="147">
        <f t="shared" ref="W15:X17" si="17">N15-E15</f>
        <v>0</v>
      </c>
      <c r="X15" s="147">
        <f t="shared" si="17"/>
        <v>0</v>
      </c>
      <c r="Y15" s="147">
        <f t="shared" si="11"/>
        <v>0</v>
      </c>
      <c r="Z15" s="147">
        <f t="shared" si="12"/>
        <v>0</v>
      </c>
      <c r="AA15" s="147">
        <f t="shared" si="13"/>
        <v>0</v>
      </c>
      <c r="AB15" s="147">
        <f t="shared" si="14"/>
        <v>0</v>
      </c>
      <c r="AC15" s="147">
        <f t="shared" si="15"/>
        <v>0</v>
      </c>
      <c r="AD15" s="147">
        <f t="shared" si="16"/>
        <v>0</v>
      </c>
    </row>
    <row r="16" spans="1:81" s="147" customFormat="1" ht="13.2" outlineLevel="1" x14ac:dyDescent="0.25">
      <c r="A16" s="211"/>
      <c r="B16" s="250" t="str">
        <f>KeyInputs!F26</f>
        <v>Insert Business Line2</v>
      </c>
      <c r="D16" s="231" t="str">
        <f>unit</f>
        <v>£</v>
      </c>
      <c r="E16" s="147">
        <f>KeyInputs!E157</f>
        <v>0</v>
      </c>
      <c r="F16" s="147">
        <f>KeyInputs!F157</f>
        <v>0</v>
      </c>
      <c r="G16" s="147">
        <f>KeyInputs!G157</f>
        <v>0</v>
      </c>
      <c r="H16" s="147">
        <f>'Outputs - P&amp;L'!E14</f>
        <v>0</v>
      </c>
      <c r="I16" s="147">
        <f>'Outputs - P&amp;L'!F14</f>
        <v>0</v>
      </c>
      <c r="J16" s="147">
        <f>'Outputs - P&amp;L'!G14</f>
        <v>0</v>
      </c>
      <c r="K16" s="147">
        <f>'Outputs - P&amp;L'!H14</f>
        <v>0</v>
      </c>
      <c r="L16" s="147">
        <f>'Outputs - P&amp;L'!I14</f>
        <v>0</v>
      </c>
      <c r="N16" s="147">
        <f>'Outputs - Summary'!E14</f>
        <v>0</v>
      </c>
      <c r="O16" s="147">
        <f>'Outputs - Summary'!F14</f>
        <v>0</v>
      </c>
      <c r="P16" s="147">
        <f>'Outputs - Summary'!G14</f>
        <v>0</v>
      </c>
      <c r="Q16" s="147">
        <f>'Outputs - Summary'!H14</f>
        <v>0</v>
      </c>
      <c r="R16" s="147">
        <f>'Outputs - Summary'!I14</f>
        <v>0</v>
      </c>
      <c r="S16" s="147">
        <f>'Outputs - Summary'!J14</f>
        <v>0</v>
      </c>
      <c r="T16" s="147">
        <f>'Outputs - Summary'!K14</f>
        <v>0</v>
      </c>
      <c r="U16" s="147">
        <f>'Outputs - Summary'!L14</f>
        <v>0</v>
      </c>
      <c r="W16" s="147">
        <f t="shared" si="17"/>
        <v>0</v>
      </c>
      <c r="X16" s="147">
        <f t="shared" si="17"/>
        <v>0</v>
      </c>
      <c r="Y16" s="147">
        <f t="shared" si="11"/>
        <v>0</v>
      </c>
      <c r="Z16" s="147">
        <f t="shared" si="12"/>
        <v>0</v>
      </c>
      <c r="AA16" s="147">
        <f t="shared" si="13"/>
        <v>0</v>
      </c>
      <c r="AB16" s="147">
        <f t="shared" si="14"/>
        <v>0</v>
      </c>
      <c r="AC16" s="147">
        <f t="shared" si="15"/>
        <v>0</v>
      </c>
      <c r="AD16" s="147">
        <f t="shared" si="16"/>
        <v>0</v>
      </c>
    </row>
    <row r="17" spans="1:30" s="147" customFormat="1" ht="13.2" outlineLevel="1" x14ac:dyDescent="0.25">
      <c r="A17" s="211"/>
      <c r="B17" s="250" t="str">
        <f>KeyInputs!F31</f>
        <v>Insert Business Line3</v>
      </c>
      <c r="D17" s="231" t="str">
        <f>unit</f>
        <v>£</v>
      </c>
      <c r="E17" s="147">
        <f>KeyInputs!E158</f>
        <v>0</v>
      </c>
      <c r="F17" s="147">
        <f>KeyInputs!F158</f>
        <v>0</v>
      </c>
      <c r="G17" s="147">
        <f>KeyInputs!G158</f>
        <v>0</v>
      </c>
      <c r="H17" s="147">
        <f>'Outputs - P&amp;L'!E15</f>
        <v>0</v>
      </c>
      <c r="I17" s="147">
        <f>'Outputs - P&amp;L'!F15</f>
        <v>0</v>
      </c>
      <c r="J17" s="147">
        <f>'Outputs - P&amp;L'!G15</f>
        <v>0</v>
      </c>
      <c r="K17" s="147">
        <f>'Outputs - P&amp;L'!H15</f>
        <v>0</v>
      </c>
      <c r="L17" s="147">
        <f>'Outputs - P&amp;L'!I15</f>
        <v>0</v>
      </c>
      <c r="N17" s="147">
        <f>'Outputs - Summary'!E15</f>
        <v>0</v>
      </c>
      <c r="O17" s="147">
        <f>'Outputs - Summary'!F15</f>
        <v>0</v>
      </c>
      <c r="P17" s="147">
        <f>'Outputs - Summary'!G15</f>
        <v>0</v>
      </c>
      <c r="Q17" s="147">
        <f>'Outputs - Summary'!H15</f>
        <v>0</v>
      </c>
      <c r="R17" s="147">
        <f>'Outputs - Summary'!I15</f>
        <v>0</v>
      </c>
      <c r="S17" s="147">
        <f>'Outputs - Summary'!J15</f>
        <v>0</v>
      </c>
      <c r="T17" s="147">
        <f>'Outputs - Summary'!K15</f>
        <v>0</v>
      </c>
      <c r="U17" s="147">
        <f>'Outputs - Summary'!L15</f>
        <v>0</v>
      </c>
      <c r="W17" s="147">
        <f t="shared" si="17"/>
        <v>0</v>
      </c>
      <c r="X17" s="147">
        <f t="shared" si="17"/>
        <v>0</v>
      </c>
      <c r="Y17" s="147">
        <f t="shared" si="11"/>
        <v>0</v>
      </c>
      <c r="Z17" s="147">
        <f t="shared" si="12"/>
        <v>0</v>
      </c>
      <c r="AA17" s="147">
        <f t="shared" si="13"/>
        <v>0</v>
      </c>
      <c r="AB17" s="147">
        <f t="shared" si="14"/>
        <v>0</v>
      </c>
      <c r="AC17" s="147">
        <f t="shared" si="15"/>
        <v>0</v>
      </c>
      <c r="AD17" s="147">
        <f t="shared" si="16"/>
        <v>0</v>
      </c>
    </row>
    <row r="18" spans="1:30" s="147" customFormat="1" ht="13.2" outlineLevel="1" x14ac:dyDescent="0.25">
      <c r="A18" s="211"/>
      <c r="D18" s="231"/>
    </row>
    <row r="19" spans="1:30" s="147" customFormat="1" ht="13.2" x14ac:dyDescent="0.25">
      <c r="A19" s="211"/>
      <c r="B19" s="147" t="s">
        <v>148</v>
      </c>
      <c r="D19" s="231" t="str">
        <f>unit</f>
        <v>£</v>
      </c>
      <c r="E19" s="211">
        <f t="shared" ref="E19:G19" si="18">SUM(E20:E22)</f>
        <v>0</v>
      </c>
      <c r="F19" s="211">
        <f t="shared" si="18"/>
        <v>0</v>
      </c>
      <c r="G19" s="211">
        <f t="shared" si="18"/>
        <v>0</v>
      </c>
      <c r="H19" s="211">
        <f>SUM(H20:H22)</f>
        <v>0</v>
      </c>
      <c r="I19" s="211">
        <f t="shared" ref="I19:L19" si="19">SUM(I20:I22)</f>
        <v>0</v>
      </c>
      <c r="J19" s="211">
        <f t="shared" si="19"/>
        <v>0</v>
      </c>
      <c r="K19" s="211">
        <f t="shared" si="19"/>
        <v>0</v>
      </c>
      <c r="L19" s="211">
        <f t="shared" si="19"/>
        <v>0</v>
      </c>
      <c r="N19" s="211">
        <f>'Outputs - Summary'!E17</f>
        <v>0</v>
      </c>
      <c r="O19" s="211">
        <f>'Outputs - Summary'!F17</f>
        <v>0</v>
      </c>
      <c r="P19" s="211">
        <f>'Outputs - Summary'!G17</f>
        <v>0</v>
      </c>
      <c r="Q19" s="211">
        <f>'Outputs - Summary'!H17</f>
        <v>0</v>
      </c>
      <c r="R19" s="211">
        <f>'Outputs - Summary'!I17</f>
        <v>0</v>
      </c>
      <c r="S19" s="211">
        <f>'Outputs - Summary'!J17</f>
        <v>0</v>
      </c>
      <c r="T19" s="211">
        <f>'Outputs - Summary'!K17</f>
        <v>0</v>
      </c>
      <c r="U19" s="211">
        <f>'Outputs - Summary'!L17</f>
        <v>0</v>
      </c>
      <c r="W19" s="211">
        <f t="shared" ref="W19:X22" si="20">N19-E19</f>
        <v>0</v>
      </c>
      <c r="X19" s="211">
        <f t="shared" si="20"/>
        <v>0</v>
      </c>
      <c r="Y19" s="211">
        <f t="shared" ref="Y19:Y22" si="21">P19-G19</f>
        <v>0</v>
      </c>
      <c r="Z19" s="211">
        <f t="shared" ref="Z19:Z22" si="22">Q19-H19</f>
        <v>0</v>
      </c>
      <c r="AA19" s="211">
        <f t="shared" ref="AA19:AA22" si="23">R19-I19</f>
        <v>0</v>
      </c>
      <c r="AB19" s="211">
        <f t="shared" ref="AB19:AB22" si="24">S19-J19</f>
        <v>0</v>
      </c>
      <c r="AC19" s="211">
        <f t="shared" ref="AC19:AC22" si="25">T19-K19</f>
        <v>0</v>
      </c>
      <c r="AD19" s="211">
        <f t="shared" ref="AD19:AD22" si="26">U19-L19</f>
        <v>0</v>
      </c>
    </row>
    <row r="20" spans="1:30" s="147" customFormat="1" ht="13.2" outlineLevel="1" x14ac:dyDescent="0.25">
      <c r="A20" s="211"/>
      <c r="B20" s="250" t="str">
        <f>B15</f>
        <v>Test</v>
      </c>
      <c r="D20" s="231" t="str">
        <f>unit</f>
        <v>£</v>
      </c>
      <c r="E20" s="147">
        <f>KeyInputs!E161</f>
        <v>0</v>
      </c>
      <c r="F20" s="147">
        <f>KeyInputs!F161</f>
        <v>0</v>
      </c>
      <c r="G20" s="147">
        <f>KeyInputs!G161</f>
        <v>0</v>
      </c>
      <c r="H20" s="147">
        <f>'Outputs - P&amp;L'!E18</f>
        <v>0</v>
      </c>
      <c r="I20" s="147">
        <f>'Outputs - P&amp;L'!F18</f>
        <v>0</v>
      </c>
      <c r="J20" s="147">
        <f>'Outputs - P&amp;L'!G18</f>
        <v>0</v>
      </c>
      <c r="K20" s="147">
        <f>'Outputs - P&amp;L'!H18</f>
        <v>0</v>
      </c>
      <c r="L20" s="147">
        <f>'Outputs - P&amp;L'!I18</f>
        <v>0</v>
      </c>
      <c r="N20" s="147">
        <f>'Outputs - Summary'!E18</f>
        <v>0</v>
      </c>
      <c r="O20" s="147">
        <f>'Outputs - Summary'!F18</f>
        <v>0</v>
      </c>
      <c r="P20" s="147">
        <f>'Outputs - Summary'!G18</f>
        <v>0</v>
      </c>
      <c r="Q20" s="147">
        <f>'Outputs - Summary'!H18</f>
        <v>0</v>
      </c>
      <c r="R20" s="147">
        <f>'Outputs - Summary'!I18</f>
        <v>0</v>
      </c>
      <c r="S20" s="147">
        <f>'Outputs - Summary'!J18</f>
        <v>0</v>
      </c>
      <c r="T20" s="147">
        <f>'Outputs - Summary'!K18</f>
        <v>0</v>
      </c>
      <c r="U20" s="147">
        <f>'Outputs - Summary'!L18</f>
        <v>0</v>
      </c>
      <c r="W20" s="147">
        <f t="shared" si="20"/>
        <v>0</v>
      </c>
      <c r="X20" s="147">
        <f t="shared" si="20"/>
        <v>0</v>
      </c>
      <c r="Y20" s="147">
        <f t="shared" si="21"/>
        <v>0</v>
      </c>
      <c r="Z20" s="147">
        <f t="shared" si="22"/>
        <v>0</v>
      </c>
      <c r="AA20" s="147">
        <f t="shared" si="23"/>
        <v>0</v>
      </c>
      <c r="AB20" s="147">
        <f t="shared" si="24"/>
        <v>0</v>
      </c>
      <c r="AC20" s="147">
        <f t="shared" si="25"/>
        <v>0</v>
      </c>
      <c r="AD20" s="147">
        <f t="shared" si="26"/>
        <v>0</v>
      </c>
    </row>
    <row r="21" spans="1:30" s="147" customFormat="1" ht="13.2" outlineLevel="1" x14ac:dyDescent="0.25">
      <c r="A21" s="211"/>
      <c r="B21" s="250" t="str">
        <f t="shared" ref="B21:B22" si="27">B16</f>
        <v>Insert Business Line2</v>
      </c>
      <c r="D21" s="231" t="str">
        <f>unit</f>
        <v>£</v>
      </c>
      <c r="E21" s="147">
        <f>KeyInputs!E162</f>
        <v>0</v>
      </c>
      <c r="F21" s="147">
        <f>KeyInputs!F162</f>
        <v>0</v>
      </c>
      <c r="G21" s="147">
        <f>KeyInputs!G162</f>
        <v>0</v>
      </c>
      <c r="H21" s="147">
        <f>'Outputs - P&amp;L'!E19</f>
        <v>0</v>
      </c>
      <c r="I21" s="147">
        <f>'Outputs - P&amp;L'!F19</f>
        <v>0</v>
      </c>
      <c r="J21" s="147">
        <f>'Outputs - P&amp;L'!G19</f>
        <v>0</v>
      </c>
      <c r="K21" s="147">
        <f>'Outputs - P&amp;L'!H19</f>
        <v>0</v>
      </c>
      <c r="L21" s="147">
        <f>'Outputs - P&amp;L'!I19</f>
        <v>0</v>
      </c>
      <c r="N21" s="147">
        <f>'Outputs - Summary'!E19</f>
        <v>0</v>
      </c>
      <c r="O21" s="147">
        <f>'Outputs - Summary'!F19</f>
        <v>0</v>
      </c>
      <c r="P21" s="147">
        <f>'Outputs - Summary'!G19</f>
        <v>0</v>
      </c>
      <c r="Q21" s="147">
        <f>'Outputs - Summary'!H19</f>
        <v>0</v>
      </c>
      <c r="R21" s="147">
        <f>'Outputs - Summary'!I19</f>
        <v>0</v>
      </c>
      <c r="S21" s="147">
        <f>'Outputs - Summary'!J19</f>
        <v>0</v>
      </c>
      <c r="T21" s="147">
        <f>'Outputs - Summary'!K19</f>
        <v>0</v>
      </c>
      <c r="U21" s="147">
        <f>'Outputs - Summary'!L19</f>
        <v>0</v>
      </c>
      <c r="W21" s="147">
        <f t="shared" si="20"/>
        <v>0</v>
      </c>
      <c r="X21" s="147">
        <f t="shared" si="20"/>
        <v>0</v>
      </c>
      <c r="Y21" s="147">
        <f t="shared" si="21"/>
        <v>0</v>
      </c>
      <c r="Z21" s="147">
        <f t="shared" si="22"/>
        <v>0</v>
      </c>
      <c r="AA21" s="147">
        <f t="shared" si="23"/>
        <v>0</v>
      </c>
      <c r="AB21" s="147">
        <f t="shared" si="24"/>
        <v>0</v>
      </c>
      <c r="AC21" s="147">
        <f t="shared" si="25"/>
        <v>0</v>
      </c>
      <c r="AD21" s="147">
        <f t="shared" si="26"/>
        <v>0</v>
      </c>
    </row>
    <row r="22" spans="1:30" s="147" customFormat="1" ht="13.2" outlineLevel="1" x14ac:dyDescent="0.25">
      <c r="A22" s="211"/>
      <c r="B22" s="250" t="str">
        <f t="shared" si="27"/>
        <v>Insert Business Line3</v>
      </c>
      <c r="D22" s="231" t="str">
        <f>unit</f>
        <v>£</v>
      </c>
      <c r="E22" s="147">
        <f>KeyInputs!E163</f>
        <v>0</v>
      </c>
      <c r="F22" s="147">
        <f>KeyInputs!F163</f>
        <v>0</v>
      </c>
      <c r="G22" s="147">
        <f>KeyInputs!G163</f>
        <v>0</v>
      </c>
      <c r="H22" s="147">
        <f>'Outputs - P&amp;L'!E20</f>
        <v>0</v>
      </c>
      <c r="I22" s="147">
        <f>'Outputs - P&amp;L'!F20</f>
        <v>0</v>
      </c>
      <c r="J22" s="147">
        <f>'Outputs - P&amp;L'!G20</f>
        <v>0</v>
      </c>
      <c r="K22" s="147">
        <f>'Outputs - P&amp;L'!H20</f>
        <v>0</v>
      </c>
      <c r="L22" s="147">
        <f>'Outputs - P&amp;L'!I20</f>
        <v>0</v>
      </c>
      <c r="N22" s="147">
        <f>'Outputs - Summary'!E20</f>
        <v>0</v>
      </c>
      <c r="O22" s="147">
        <f>'Outputs - Summary'!F20</f>
        <v>0</v>
      </c>
      <c r="P22" s="147">
        <f>'Outputs - Summary'!G20</f>
        <v>0</v>
      </c>
      <c r="Q22" s="147">
        <f>'Outputs - Summary'!H20</f>
        <v>0</v>
      </c>
      <c r="R22" s="147">
        <f>'Outputs - Summary'!I20</f>
        <v>0</v>
      </c>
      <c r="S22" s="147">
        <f>'Outputs - Summary'!J20</f>
        <v>0</v>
      </c>
      <c r="T22" s="147">
        <f>'Outputs - Summary'!K20</f>
        <v>0</v>
      </c>
      <c r="U22" s="147">
        <f>'Outputs - Summary'!L20</f>
        <v>0</v>
      </c>
      <c r="W22" s="147">
        <f t="shared" si="20"/>
        <v>0</v>
      </c>
      <c r="X22" s="147">
        <f t="shared" si="20"/>
        <v>0</v>
      </c>
      <c r="Y22" s="147">
        <f t="shared" si="21"/>
        <v>0</v>
      </c>
      <c r="Z22" s="147">
        <f t="shared" si="22"/>
        <v>0</v>
      </c>
      <c r="AA22" s="147">
        <f t="shared" si="23"/>
        <v>0</v>
      </c>
      <c r="AB22" s="147">
        <f t="shared" si="24"/>
        <v>0</v>
      </c>
      <c r="AC22" s="147">
        <f t="shared" si="25"/>
        <v>0</v>
      </c>
      <c r="AD22" s="147">
        <f t="shared" si="26"/>
        <v>0</v>
      </c>
    </row>
    <row r="23" spans="1:30" s="147" customFormat="1" ht="13.2" outlineLevel="1" x14ac:dyDescent="0.25">
      <c r="A23" s="211"/>
      <c r="D23" s="231"/>
    </row>
    <row r="24" spans="1:30" s="147" customFormat="1" ht="13.2" x14ac:dyDescent="0.25">
      <c r="A24" s="211"/>
      <c r="B24" s="147" t="s">
        <v>293</v>
      </c>
      <c r="D24" s="231" t="str">
        <f>unit</f>
        <v>£</v>
      </c>
      <c r="E24" s="211">
        <f t="shared" ref="E24:G24" si="28">SUM(E25:E27)</f>
        <v>0</v>
      </c>
      <c r="F24" s="211">
        <f t="shared" si="28"/>
        <v>0</v>
      </c>
      <c r="G24" s="211">
        <f t="shared" si="28"/>
        <v>0</v>
      </c>
      <c r="H24" s="211">
        <f>SUM(H25:H27)</f>
        <v>0</v>
      </c>
      <c r="I24" s="211">
        <f t="shared" ref="I24:L24" si="29">SUM(I25:I27)</f>
        <v>0</v>
      </c>
      <c r="J24" s="211">
        <f t="shared" si="29"/>
        <v>0</v>
      </c>
      <c r="K24" s="211">
        <f t="shared" si="29"/>
        <v>0</v>
      </c>
      <c r="L24" s="211">
        <f t="shared" si="29"/>
        <v>0</v>
      </c>
      <c r="N24" s="211">
        <f>'Outputs - Summary'!E22</f>
        <v>0</v>
      </c>
      <c r="O24" s="211">
        <f>'Outputs - Summary'!F22</f>
        <v>0</v>
      </c>
      <c r="P24" s="211">
        <f>'Outputs - Summary'!G22</f>
        <v>0</v>
      </c>
      <c r="Q24" s="211">
        <f>'Outputs - Summary'!H22</f>
        <v>0</v>
      </c>
      <c r="R24" s="211">
        <f>'Outputs - Summary'!I22</f>
        <v>0</v>
      </c>
      <c r="S24" s="211">
        <f>'Outputs - Summary'!J22</f>
        <v>0</v>
      </c>
      <c r="T24" s="211">
        <f>'Outputs - Summary'!K22</f>
        <v>0</v>
      </c>
      <c r="U24" s="211">
        <f>'Outputs - Summary'!L22</f>
        <v>0</v>
      </c>
      <c r="W24" s="211">
        <f t="shared" ref="W24:X27" si="30">N24-E24</f>
        <v>0</v>
      </c>
      <c r="X24" s="211">
        <f t="shared" si="30"/>
        <v>0</v>
      </c>
      <c r="Y24" s="211">
        <f t="shared" ref="Y24:Y27" si="31">P24-G24</f>
        <v>0</v>
      </c>
      <c r="Z24" s="211">
        <f t="shared" ref="Z24:Z27" si="32">Q24-H24</f>
        <v>0</v>
      </c>
      <c r="AA24" s="211">
        <f t="shared" ref="AA24:AA27" si="33">R24-I24</f>
        <v>0</v>
      </c>
      <c r="AB24" s="211">
        <f t="shared" ref="AB24:AB27" si="34">S24-J24</f>
        <v>0</v>
      </c>
      <c r="AC24" s="211">
        <f t="shared" ref="AC24:AC27" si="35">T24-K24</f>
        <v>0</v>
      </c>
      <c r="AD24" s="211">
        <f t="shared" ref="AD24:AD27" si="36">U24-L24</f>
        <v>0</v>
      </c>
    </row>
    <row r="25" spans="1:30" s="147" customFormat="1" ht="13.2" outlineLevel="1" x14ac:dyDescent="0.25">
      <c r="A25" s="211"/>
      <c r="B25" s="250" t="str">
        <f>B15</f>
        <v>Test</v>
      </c>
      <c r="D25" s="231" t="str">
        <f>unit</f>
        <v>£</v>
      </c>
      <c r="E25" s="147">
        <f>KeyInputs!E166</f>
        <v>0</v>
      </c>
      <c r="F25" s="147">
        <f>KeyInputs!F166</f>
        <v>0</v>
      </c>
      <c r="G25" s="147">
        <f>KeyInputs!G166</f>
        <v>0</v>
      </c>
      <c r="H25" s="147">
        <f>'Outputs - P&amp;L'!E23</f>
        <v>0</v>
      </c>
      <c r="I25" s="147">
        <f>'Outputs - P&amp;L'!F23</f>
        <v>0</v>
      </c>
      <c r="J25" s="147">
        <f>'Outputs - P&amp;L'!G23</f>
        <v>0</v>
      </c>
      <c r="K25" s="147">
        <f>'Outputs - P&amp;L'!H23</f>
        <v>0</v>
      </c>
      <c r="L25" s="147">
        <f>'Outputs - P&amp;L'!I23</f>
        <v>0</v>
      </c>
      <c r="N25" s="147">
        <f>'Outputs - Summary'!E23</f>
        <v>0</v>
      </c>
      <c r="O25" s="147">
        <f>'Outputs - Summary'!F23</f>
        <v>0</v>
      </c>
      <c r="P25" s="147">
        <f>'Outputs - Summary'!G23</f>
        <v>0</v>
      </c>
      <c r="Q25" s="147">
        <f>'Outputs - Summary'!H23</f>
        <v>0</v>
      </c>
      <c r="R25" s="147">
        <f>'Outputs - Summary'!I23</f>
        <v>0</v>
      </c>
      <c r="S25" s="147">
        <f>'Outputs - Summary'!J23</f>
        <v>0</v>
      </c>
      <c r="T25" s="147">
        <f>'Outputs - Summary'!K23</f>
        <v>0</v>
      </c>
      <c r="U25" s="147">
        <f>'Outputs - Summary'!L23</f>
        <v>0</v>
      </c>
      <c r="W25" s="147">
        <f t="shared" si="30"/>
        <v>0</v>
      </c>
      <c r="X25" s="147">
        <f t="shared" si="30"/>
        <v>0</v>
      </c>
      <c r="Y25" s="147">
        <f t="shared" si="31"/>
        <v>0</v>
      </c>
      <c r="Z25" s="147">
        <f t="shared" si="32"/>
        <v>0</v>
      </c>
      <c r="AA25" s="147">
        <f t="shared" si="33"/>
        <v>0</v>
      </c>
      <c r="AB25" s="147">
        <f t="shared" si="34"/>
        <v>0</v>
      </c>
      <c r="AC25" s="147">
        <f t="shared" si="35"/>
        <v>0</v>
      </c>
      <c r="AD25" s="147">
        <f t="shared" si="36"/>
        <v>0</v>
      </c>
    </row>
    <row r="26" spans="1:30" s="147" customFormat="1" ht="13.2" outlineLevel="1" x14ac:dyDescent="0.25">
      <c r="A26" s="211"/>
      <c r="B26" s="250" t="str">
        <f t="shared" ref="B26:B27" si="37">B16</f>
        <v>Insert Business Line2</v>
      </c>
      <c r="D26" s="231" t="str">
        <f>unit</f>
        <v>£</v>
      </c>
      <c r="E26" s="147">
        <f>KeyInputs!E167</f>
        <v>0</v>
      </c>
      <c r="F26" s="147">
        <f>KeyInputs!F167</f>
        <v>0</v>
      </c>
      <c r="G26" s="147">
        <f>KeyInputs!G167</f>
        <v>0</v>
      </c>
      <c r="H26" s="147">
        <f>'Outputs - P&amp;L'!E24</f>
        <v>0</v>
      </c>
      <c r="I26" s="147">
        <f>'Outputs - P&amp;L'!F24</f>
        <v>0</v>
      </c>
      <c r="J26" s="147">
        <f>'Outputs - P&amp;L'!G24</f>
        <v>0</v>
      </c>
      <c r="K26" s="147">
        <f>'Outputs - P&amp;L'!H24</f>
        <v>0</v>
      </c>
      <c r="L26" s="147">
        <f>'Outputs - P&amp;L'!I24</f>
        <v>0</v>
      </c>
      <c r="N26" s="147">
        <f>'Outputs - Summary'!E24</f>
        <v>0</v>
      </c>
      <c r="O26" s="147">
        <f>'Outputs - Summary'!F24</f>
        <v>0</v>
      </c>
      <c r="P26" s="147">
        <f>'Outputs - Summary'!G24</f>
        <v>0</v>
      </c>
      <c r="Q26" s="147">
        <f>'Outputs - Summary'!H24</f>
        <v>0</v>
      </c>
      <c r="R26" s="147">
        <f>'Outputs - Summary'!I24</f>
        <v>0</v>
      </c>
      <c r="S26" s="147">
        <f>'Outputs - Summary'!J24</f>
        <v>0</v>
      </c>
      <c r="T26" s="147">
        <f>'Outputs - Summary'!K24</f>
        <v>0</v>
      </c>
      <c r="U26" s="147">
        <f>'Outputs - Summary'!L24</f>
        <v>0</v>
      </c>
      <c r="W26" s="147">
        <f t="shared" si="30"/>
        <v>0</v>
      </c>
      <c r="X26" s="147">
        <f t="shared" si="30"/>
        <v>0</v>
      </c>
      <c r="Y26" s="147">
        <f t="shared" si="31"/>
        <v>0</v>
      </c>
      <c r="Z26" s="147">
        <f t="shared" si="32"/>
        <v>0</v>
      </c>
      <c r="AA26" s="147">
        <f t="shared" si="33"/>
        <v>0</v>
      </c>
      <c r="AB26" s="147">
        <f t="shared" si="34"/>
        <v>0</v>
      </c>
      <c r="AC26" s="147">
        <f t="shared" si="35"/>
        <v>0</v>
      </c>
      <c r="AD26" s="147">
        <f t="shared" si="36"/>
        <v>0</v>
      </c>
    </row>
    <row r="27" spans="1:30" s="147" customFormat="1" ht="13.2" outlineLevel="1" x14ac:dyDescent="0.25">
      <c r="A27" s="211"/>
      <c r="B27" s="250" t="str">
        <f t="shared" si="37"/>
        <v>Insert Business Line3</v>
      </c>
      <c r="D27" s="231" t="str">
        <f>unit</f>
        <v>£</v>
      </c>
      <c r="E27" s="147">
        <f>KeyInputs!E168</f>
        <v>0</v>
      </c>
      <c r="F27" s="147">
        <f>KeyInputs!F168</f>
        <v>0</v>
      </c>
      <c r="G27" s="147">
        <f>KeyInputs!G168</f>
        <v>0</v>
      </c>
      <c r="H27" s="147">
        <f>'Outputs - P&amp;L'!E25</f>
        <v>0</v>
      </c>
      <c r="I27" s="147">
        <f>'Outputs - P&amp;L'!F25</f>
        <v>0</v>
      </c>
      <c r="J27" s="147">
        <f>'Outputs - P&amp;L'!G25</f>
        <v>0</v>
      </c>
      <c r="K27" s="147">
        <f>'Outputs - P&amp;L'!H25</f>
        <v>0</v>
      </c>
      <c r="L27" s="147">
        <f>'Outputs - P&amp;L'!I25</f>
        <v>0</v>
      </c>
      <c r="N27" s="147">
        <f>'Outputs - Summary'!E25</f>
        <v>0</v>
      </c>
      <c r="O27" s="147">
        <f>'Outputs - Summary'!F25</f>
        <v>0</v>
      </c>
      <c r="P27" s="147">
        <f>'Outputs - Summary'!G25</f>
        <v>0</v>
      </c>
      <c r="Q27" s="147">
        <f>'Outputs - Summary'!H25</f>
        <v>0</v>
      </c>
      <c r="R27" s="147">
        <f>'Outputs - Summary'!I25</f>
        <v>0</v>
      </c>
      <c r="S27" s="147">
        <f>'Outputs - Summary'!J25</f>
        <v>0</v>
      </c>
      <c r="T27" s="147">
        <f>'Outputs - Summary'!K25</f>
        <v>0</v>
      </c>
      <c r="U27" s="147">
        <f>'Outputs - Summary'!L25</f>
        <v>0</v>
      </c>
      <c r="W27" s="147">
        <f t="shared" si="30"/>
        <v>0</v>
      </c>
      <c r="X27" s="147">
        <f t="shared" si="30"/>
        <v>0</v>
      </c>
      <c r="Y27" s="147">
        <f t="shared" si="31"/>
        <v>0</v>
      </c>
      <c r="Z27" s="147">
        <f t="shared" si="32"/>
        <v>0</v>
      </c>
      <c r="AA27" s="147">
        <f t="shared" si="33"/>
        <v>0</v>
      </c>
      <c r="AB27" s="147">
        <f t="shared" si="34"/>
        <v>0</v>
      </c>
      <c r="AC27" s="147">
        <f t="shared" si="35"/>
        <v>0</v>
      </c>
      <c r="AD27" s="147">
        <f t="shared" si="36"/>
        <v>0</v>
      </c>
    </row>
    <row r="28" spans="1:30" s="147" customFormat="1" ht="13.2" outlineLevel="1" x14ac:dyDescent="0.25">
      <c r="A28" s="211"/>
      <c r="D28" s="231"/>
    </row>
    <row r="29" spans="1:30" s="211" customFormat="1" ht="13.2" x14ac:dyDescent="0.25">
      <c r="B29" s="211" t="s">
        <v>177</v>
      </c>
      <c r="D29" s="231" t="str">
        <f>unit</f>
        <v>£</v>
      </c>
      <c r="E29" s="211">
        <f t="shared" ref="E29" si="38">SUM(E14,E19,E24)</f>
        <v>0</v>
      </c>
      <c r="F29" s="211">
        <f t="shared" ref="F29:G29" si="39">SUM(F14,F19,F24)</f>
        <v>0</v>
      </c>
      <c r="G29" s="211">
        <f t="shared" si="39"/>
        <v>0</v>
      </c>
      <c r="H29" s="211">
        <f>SUM(H14,H19,H24)</f>
        <v>0</v>
      </c>
      <c r="I29" s="211">
        <f t="shared" ref="I29:L29" si="40">SUM(I14,I19,I24)</f>
        <v>0</v>
      </c>
      <c r="J29" s="211">
        <f t="shared" si="40"/>
        <v>0</v>
      </c>
      <c r="K29" s="211">
        <f t="shared" si="40"/>
        <v>0</v>
      </c>
      <c r="L29" s="211">
        <f t="shared" si="40"/>
        <v>0</v>
      </c>
      <c r="N29" s="211">
        <f>'Outputs - Summary'!E27</f>
        <v>0</v>
      </c>
      <c r="O29" s="211">
        <f>'Outputs - Summary'!F27</f>
        <v>0</v>
      </c>
      <c r="P29" s="211">
        <f>'Outputs - Summary'!G27</f>
        <v>0</v>
      </c>
      <c r="Q29" s="211">
        <f>'Outputs - Summary'!H27</f>
        <v>0</v>
      </c>
      <c r="R29" s="211">
        <f>'Outputs - Summary'!I27</f>
        <v>0</v>
      </c>
      <c r="S29" s="211">
        <f>'Outputs - Summary'!J27</f>
        <v>0</v>
      </c>
      <c r="T29" s="211">
        <f>'Outputs - Summary'!K27</f>
        <v>0</v>
      </c>
      <c r="U29" s="211">
        <f>'Outputs - Summary'!L27</f>
        <v>0</v>
      </c>
      <c r="W29" s="211">
        <f>N29-E29</f>
        <v>0</v>
      </c>
      <c r="X29" s="211">
        <f>O29-F29</f>
        <v>0</v>
      </c>
      <c r="Y29" s="211">
        <f t="shared" ref="Y29" si="41">P29-G29</f>
        <v>0</v>
      </c>
      <c r="Z29" s="211">
        <f t="shared" ref="Z29" si="42">Q29-H29</f>
        <v>0</v>
      </c>
      <c r="AA29" s="211">
        <f t="shared" ref="AA29" si="43">R29-I29</f>
        <v>0</v>
      </c>
      <c r="AB29" s="211">
        <f t="shared" ref="AB29" si="44">S29-J29</f>
        <v>0</v>
      </c>
      <c r="AC29" s="211">
        <f t="shared" ref="AC29" si="45">T29-K29</f>
        <v>0</v>
      </c>
      <c r="AD29" s="211">
        <f t="shared" ref="AD29" si="46">U29-L29</f>
        <v>0</v>
      </c>
    </row>
    <row r="30" spans="1:30" s="147" customFormat="1" ht="13.2" x14ac:dyDescent="0.25">
      <c r="A30" s="211"/>
      <c r="I30" s="212"/>
      <c r="R30" s="212"/>
      <c r="AA30" s="212"/>
    </row>
    <row r="31" spans="1:30" s="147" customFormat="1" ht="13.2" x14ac:dyDescent="0.25">
      <c r="A31" s="211"/>
      <c r="B31" s="147" t="s">
        <v>294</v>
      </c>
      <c r="D31" s="231" t="str">
        <f>unit</f>
        <v>£</v>
      </c>
      <c r="E31" s="147">
        <f>KeyInputs!E172</f>
        <v>0</v>
      </c>
      <c r="F31" s="147">
        <f>KeyInputs!F172</f>
        <v>0</v>
      </c>
      <c r="G31" s="147">
        <f>KeyInputs!G172</f>
        <v>0</v>
      </c>
      <c r="H31" s="147">
        <f>'Outputs - P&amp;L'!E29</f>
        <v>0</v>
      </c>
      <c r="I31" s="147">
        <f>'Outputs - P&amp;L'!F29</f>
        <v>0</v>
      </c>
      <c r="J31" s="147">
        <f>'Outputs - P&amp;L'!G29</f>
        <v>0</v>
      </c>
      <c r="K31" s="147">
        <f>'Outputs - P&amp;L'!H29</f>
        <v>0</v>
      </c>
      <c r="L31" s="147">
        <f>'Outputs - P&amp;L'!I29</f>
        <v>0</v>
      </c>
      <c r="N31" s="147">
        <f>'Outputs - Summary'!E29</f>
        <v>0</v>
      </c>
      <c r="O31" s="147">
        <f>'Outputs - Summary'!F29</f>
        <v>0</v>
      </c>
      <c r="P31" s="147">
        <f>'Outputs - Summary'!G29</f>
        <v>0</v>
      </c>
      <c r="Q31" s="147">
        <f>'Outputs - Summary'!H29</f>
        <v>0</v>
      </c>
      <c r="R31" s="147">
        <f>'Outputs - Summary'!I29</f>
        <v>0</v>
      </c>
      <c r="S31" s="147">
        <f>'Outputs - Summary'!J29</f>
        <v>0</v>
      </c>
      <c r="T31" s="147">
        <f>'Outputs - Summary'!K29</f>
        <v>0</v>
      </c>
      <c r="U31" s="147">
        <f>'Outputs - Summary'!L29</f>
        <v>0</v>
      </c>
      <c r="W31" s="147">
        <f t="shared" ref="W31:X34" si="47">N31-E31</f>
        <v>0</v>
      </c>
      <c r="X31" s="147">
        <f t="shared" si="47"/>
        <v>0</v>
      </c>
      <c r="Y31" s="147">
        <f t="shared" ref="Y31:Y34" si="48">P31-G31</f>
        <v>0</v>
      </c>
      <c r="Z31" s="147">
        <f t="shared" ref="Z31:Z34" si="49">Q31-H31</f>
        <v>0</v>
      </c>
      <c r="AA31" s="147">
        <f t="shared" ref="AA31:AA34" si="50">R31-I31</f>
        <v>0</v>
      </c>
      <c r="AB31" s="147">
        <f t="shared" ref="AB31:AB34" si="51">S31-J31</f>
        <v>0</v>
      </c>
      <c r="AC31" s="147">
        <f t="shared" ref="AC31:AC34" si="52">T31-K31</f>
        <v>0</v>
      </c>
      <c r="AD31" s="147">
        <f t="shared" ref="AD31:AD34" si="53">U31-L31</f>
        <v>0</v>
      </c>
    </row>
    <row r="32" spans="1:30" s="147" customFormat="1" ht="13.2" x14ac:dyDescent="0.25">
      <c r="A32" s="211"/>
      <c r="B32" s="147" t="s">
        <v>162</v>
      </c>
      <c r="D32" s="231" t="str">
        <f>unit</f>
        <v>£</v>
      </c>
      <c r="E32" s="147">
        <f>KeyInputs!E173</f>
        <v>0</v>
      </c>
      <c r="F32" s="147">
        <f>KeyInputs!F173</f>
        <v>0</v>
      </c>
      <c r="G32" s="147">
        <f>KeyInputs!G173</f>
        <v>0</v>
      </c>
      <c r="H32" s="147">
        <f>'Outputs - P&amp;L'!E30</f>
        <v>0</v>
      </c>
      <c r="I32" s="147">
        <f>'Outputs - P&amp;L'!F30</f>
        <v>0</v>
      </c>
      <c r="J32" s="147">
        <f>'Outputs - P&amp;L'!G30</f>
        <v>0</v>
      </c>
      <c r="K32" s="147">
        <f>'Outputs - P&amp;L'!H30</f>
        <v>0</v>
      </c>
      <c r="L32" s="147">
        <f>'Outputs - P&amp;L'!I30</f>
        <v>0</v>
      </c>
      <c r="N32" s="147">
        <f>'Outputs - Summary'!E30</f>
        <v>0</v>
      </c>
      <c r="O32" s="147">
        <f>'Outputs - Summary'!F30</f>
        <v>0</v>
      </c>
      <c r="P32" s="147">
        <f>'Outputs - Summary'!G30</f>
        <v>0</v>
      </c>
      <c r="Q32" s="147">
        <f>'Outputs - Summary'!H30</f>
        <v>0</v>
      </c>
      <c r="R32" s="147">
        <f>'Outputs - Summary'!I30</f>
        <v>0</v>
      </c>
      <c r="S32" s="147">
        <f>'Outputs - Summary'!J30</f>
        <v>0</v>
      </c>
      <c r="T32" s="147">
        <f>'Outputs - Summary'!K30</f>
        <v>0</v>
      </c>
      <c r="U32" s="147">
        <f>'Outputs - Summary'!L30</f>
        <v>0</v>
      </c>
      <c r="W32" s="147">
        <f t="shared" si="47"/>
        <v>0</v>
      </c>
      <c r="X32" s="147">
        <f t="shared" si="47"/>
        <v>0</v>
      </c>
      <c r="Y32" s="147">
        <f t="shared" si="48"/>
        <v>0</v>
      </c>
      <c r="Z32" s="147">
        <f t="shared" si="49"/>
        <v>0</v>
      </c>
      <c r="AA32" s="147">
        <f t="shared" si="50"/>
        <v>0</v>
      </c>
      <c r="AB32" s="147">
        <f t="shared" si="51"/>
        <v>0</v>
      </c>
      <c r="AC32" s="147">
        <f t="shared" si="52"/>
        <v>0</v>
      </c>
      <c r="AD32" s="147">
        <f t="shared" si="53"/>
        <v>0</v>
      </c>
    </row>
    <row r="33" spans="1:30" s="147" customFormat="1" ht="13.2" x14ac:dyDescent="0.25">
      <c r="A33" s="211"/>
      <c r="B33" s="147" t="s">
        <v>24</v>
      </c>
      <c r="D33" s="231" t="str">
        <f>unit</f>
        <v>£</v>
      </c>
      <c r="E33" s="147">
        <f>KeyInputs!E174</f>
        <v>0</v>
      </c>
      <c r="F33" s="147">
        <f>KeyInputs!F174</f>
        <v>0</v>
      </c>
      <c r="G33" s="147">
        <f>KeyInputs!G174</f>
        <v>0</v>
      </c>
      <c r="H33" s="147">
        <f>'Outputs - P&amp;L'!E31</f>
        <v>0</v>
      </c>
      <c r="I33" s="147">
        <f>'Outputs - P&amp;L'!F31</f>
        <v>0</v>
      </c>
      <c r="J33" s="147">
        <f>'Outputs - P&amp;L'!G31</f>
        <v>0</v>
      </c>
      <c r="K33" s="147">
        <f>'Outputs - P&amp;L'!H31</f>
        <v>0</v>
      </c>
      <c r="L33" s="147">
        <f>'Outputs - P&amp;L'!I31</f>
        <v>0</v>
      </c>
      <c r="N33" s="147">
        <f>'Outputs - Summary'!E31</f>
        <v>0</v>
      </c>
      <c r="O33" s="147">
        <f>'Outputs - Summary'!F31</f>
        <v>0</v>
      </c>
      <c r="P33" s="147">
        <f>'Outputs - Summary'!G31</f>
        <v>0</v>
      </c>
      <c r="Q33" s="147">
        <f>'Outputs - Summary'!H31</f>
        <v>0</v>
      </c>
      <c r="R33" s="147">
        <f>'Outputs - Summary'!I31</f>
        <v>0</v>
      </c>
      <c r="S33" s="147">
        <f>'Outputs - Summary'!J31</f>
        <v>0</v>
      </c>
      <c r="T33" s="147">
        <f>'Outputs - Summary'!K31</f>
        <v>0</v>
      </c>
      <c r="U33" s="147">
        <f>'Outputs - Summary'!L31</f>
        <v>0</v>
      </c>
      <c r="W33" s="147">
        <f t="shared" si="47"/>
        <v>0</v>
      </c>
      <c r="X33" s="147">
        <f t="shared" si="47"/>
        <v>0</v>
      </c>
      <c r="Y33" s="147">
        <f t="shared" si="48"/>
        <v>0</v>
      </c>
      <c r="Z33" s="147">
        <f t="shared" si="49"/>
        <v>0</v>
      </c>
      <c r="AA33" s="147">
        <f t="shared" si="50"/>
        <v>0</v>
      </c>
      <c r="AB33" s="147">
        <f t="shared" si="51"/>
        <v>0</v>
      </c>
      <c r="AC33" s="147">
        <f t="shared" si="52"/>
        <v>0</v>
      </c>
      <c r="AD33" s="147">
        <f t="shared" si="53"/>
        <v>0</v>
      </c>
    </row>
    <row r="34" spans="1:30" s="211" customFormat="1" ht="13.2" x14ac:dyDescent="0.25">
      <c r="B34" s="211" t="s">
        <v>178</v>
      </c>
      <c r="D34" s="231" t="str">
        <f>unit</f>
        <v>£</v>
      </c>
      <c r="E34" s="211">
        <f t="shared" ref="E34:G34" si="54">SUM(E29:E33)</f>
        <v>0</v>
      </c>
      <c r="F34" s="211">
        <f t="shared" si="54"/>
        <v>0</v>
      </c>
      <c r="G34" s="211">
        <f t="shared" si="54"/>
        <v>0</v>
      </c>
      <c r="H34" s="211">
        <f>SUM(H29:H33)</f>
        <v>0</v>
      </c>
      <c r="I34" s="211">
        <f t="shared" ref="I34:L34" si="55">SUM(I29:I33)</f>
        <v>0</v>
      </c>
      <c r="J34" s="211">
        <f t="shared" si="55"/>
        <v>0</v>
      </c>
      <c r="K34" s="211">
        <f t="shared" si="55"/>
        <v>0</v>
      </c>
      <c r="L34" s="211">
        <f t="shared" si="55"/>
        <v>0</v>
      </c>
      <c r="N34" s="211">
        <f>'Outputs - Summary'!E32</f>
        <v>0</v>
      </c>
      <c r="O34" s="211">
        <f>'Outputs - Summary'!F32</f>
        <v>0</v>
      </c>
      <c r="P34" s="211">
        <f>'Outputs - Summary'!G32</f>
        <v>0</v>
      </c>
      <c r="Q34" s="211">
        <f>'Outputs - Summary'!H32</f>
        <v>0</v>
      </c>
      <c r="R34" s="211">
        <f>'Outputs - Summary'!I32</f>
        <v>0</v>
      </c>
      <c r="S34" s="211">
        <f>'Outputs - Summary'!J32</f>
        <v>0</v>
      </c>
      <c r="T34" s="211">
        <f>'Outputs - Summary'!K32</f>
        <v>0</v>
      </c>
      <c r="U34" s="211">
        <f>'Outputs - Summary'!L32</f>
        <v>0</v>
      </c>
      <c r="W34" s="211">
        <f t="shared" si="47"/>
        <v>0</v>
      </c>
      <c r="X34" s="211">
        <f t="shared" si="47"/>
        <v>0</v>
      </c>
      <c r="Y34" s="211">
        <f t="shared" si="48"/>
        <v>0</v>
      </c>
      <c r="Z34" s="211">
        <f t="shared" si="49"/>
        <v>0</v>
      </c>
      <c r="AA34" s="211">
        <f t="shared" si="50"/>
        <v>0</v>
      </c>
      <c r="AB34" s="211">
        <f t="shared" si="51"/>
        <v>0</v>
      </c>
      <c r="AC34" s="211">
        <f t="shared" si="52"/>
        <v>0</v>
      </c>
      <c r="AD34" s="211">
        <f t="shared" si="53"/>
        <v>0</v>
      </c>
    </row>
    <row r="35" spans="1:30" s="147" customFormat="1" ht="13.2" x14ac:dyDescent="0.25">
      <c r="A35" s="211"/>
      <c r="I35" s="212"/>
      <c r="R35" s="212"/>
      <c r="AA35" s="212"/>
    </row>
    <row r="36" spans="1:30" s="147" customFormat="1" ht="13.2" x14ac:dyDescent="0.25">
      <c r="A36" s="211"/>
      <c r="B36" s="147" t="s">
        <v>295</v>
      </c>
      <c r="D36" s="231" t="str">
        <f>unit</f>
        <v>£</v>
      </c>
      <c r="E36" s="147">
        <f>KeyInputs!E177</f>
        <v>0</v>
      </c>
      <c r="F36" s="147">
        <f>KeyInputs!F177</f>
        <v>0</v>
      </c>
      <c r="G36" s="147">
        <f>KeyInputs!G177</f>
        <v>0</v>
      </c>
      <c r="H36" s="147">
        <f>'Outputs - P&amp;L'!E34</f>
        <v>0</v>
      </c>
      <c r="I36" s="147">
        <f>'Outputs - P&amp;L'!F34</f>
        <v>0</v>
      </c>
      <c r="J36" s="147">
        <f>'Outputs - P&amp;L'!G34</f>
        <v>0</v>
      </c>
      <c r="K36" s="147">
        <f>'Outputs - P&amp;L'!H34</f>
        <v>0</v>
      </c>
      <c r="L36" s="147">
        <f>'Outputs - P&amp;L'!I34</f>
        <v>0</v>
      </c>
      <c r="N36" s="147">
        <f>'Outputs - Summary'!E34</f>
        <v>0</v>
      </c>
      <c r="O36" s="147">
        <f>'Outputs - Summary'!F34</f>
        <v>0</v>
      </c>
      <c r="P36" s="147">
        <f>'Outputs - Summary'!G34</f>
        <v>0</v>
      </c>
      <c r="Q36" s="147">
        <f>'Outputs - Summary'!H34</f>
        <v>0</v>
      </c>
      <c r="R36" s="147">
        <f>'Outputs - Summary'!I34</f>
        <v>0</v>
      </c>
      <c r="S36" s="147">
        <f>'Outputs - Summary'!J34</f>
        <v>0</v>
      </c>
      <c r="T36" s="147">
        <f>'Outputs - Summary'!K34</f>
        <v>0</v>
      </c>
      <c r="U36" s="147">
        <f>'Outputs - Summary'!L34</f>
        <v>0</v>
      </c>
      <c r="W36" s="147">
        <f t="shared" ref="W36:X39" si="56">N36-E36</f>
        <v>0</v>
      </c>
      <c r="X36" s="147">
        <f t="shared" si="56"/>
        <v>0</v>
      </c>
      <c r="Y36" s="147">
        <f t="shared" ref="Y36:Y39" si="57">P36-G36</f>
        <v>0</v>
      </c>
      <c r="Z36" s="147">
        <f t="shared" ref="Z36:Z39" si="58">Q36-H36</f>
        <v>0</v>
      </c>
      <c r="AA36" s="147">
        <f t="shared" ref="AA36:AA39" si="59">R36-I36</f>
        <v>0</v>
      </c>
      <c r="AB36" s="147">
        <f t="shared" ref="AB36:AB39" si="60">S36-J36</f>
        <v>0</v>
      </c>
      <c r="AC36" s="147">
        <f t="shared" ref="AC36:AC39" si="61">T36-K36</f>
        <v>0</v>
      </c>
      <c r="AD36" s="147">
        <f t="shared" ref="AD36:AD39" si="62">U36-L36</f>
        <v>0</v>
      </c>
    </row>
    <row r="37" spans="1:30" s="147" customFormat="1" ht="13.2" x14ac:dyDescent="0.25">
      <c r="A37" s="211"/>
      <c r="B37" s="147" t="s">
        <v>266</v>
      </c>
      <c r="D37" s="231" t="str">
        <f>unit</f>
        <v>£</v>
      </c>
      <c r="E37" s="147">
        <f>KeyInputs!E179</f>
        <v>0</v>
      </c>
      <c r="F37" s="147">
        <f>KeyInputs!F179</f>
        <v>0</v>
      </c>
      <c r="G37" s="147">
        <f>KeyInputs!G179</f>
        <v>0</v>
      </c>
      <c r="H37" s="147">
        <f>'Outputs - P&amp;L'!E36</f>
        <v>0</v>
      </c>
      <c r="I37" s="147">
        <f>'Outputs - P&amp;L'!F36</f>
        <v>0</v>
      </c>
      <c r="J37" s="147">
        <f>'Outputs - P&amp;L'!G36</f>
        <v>0</v>
      </c>
      <c r="K37" s="147">
        <f>'Outputs - P&amp;L'!H36</f>
        <v>0</v>
      </c>
      <c r="L37" s="147">
        <f>'Outputs - P&amp;L'!I36</f>
        <v>0</v>
      </c>
      <c r="N37" s="147">
        <f>'Outputs - Summary'!E36</f>
        <v>0</v>
      </c>
      <c r="O37" s="147">
        <f>'Outputs - Summary'!F36</f>
        <v>0</v>
      </c>
      <c r="P37" s="147">
        <f>'Outputs - Summary'!G36</f>
        <v>0</v>
      </c>
      <c r="Q37" s="147">
        <f>'Outputs - Summary'!H36</f>
        <v>0</v>
      </c>
      <c r="R37" s="147">
        <f>'Outputs - Summary'!I36</f>
        <v>0</v>
      </c>
      <c r="S37" s="147">
        <f>'Outputs - Summary'!J36</f>
        <v>0</v>
      </c>
      <c r="T37" s="147">
        <f>'Outputs - Summary'!K36</f>
        <v>0</v>
      </c>
      <c r="U37" s="147">
        <f>'Outputs - Summary'!L36</f>
        <v>0</v>
      </c>
      <c r="W37" s="147">
        <f t="shared" si="56"/>
        <v>0</v>
      </c>
      <c r="X37" s="147">
        <f t="shared" si="56"/>
        <v>0</v>
      </c>
      <c r="Y37" s="147">
        <f t="shared" si="57"/>
        <v>0</v>
      </c>
      <c r="Z37" s="147">
        <f t="shared" si="58"/>
        <v>0</v>
      </c>
      <c r="AA37" s="147">
        <f t="shared" si="59"/>
        <v>0</v>
      </c>
      <c r="AB37" s="147">
        <f t="shared" si="60"/>
        <v>0</v>
      </c>
      <c r="AC37" s="147">
        <f t="shared" si="61"/>
        <v>0</v>
      </c>
      <c r="AD37" s="147">
        <f t="shared" si="62"/>
        <v>0</v>
      </c>
    </row>
    <row r="38" spans="1:30" s="147" customFormat="1" ht="13.2" x14ac:dyDescent="0.25">
      <c r="A38" s="211"/>
      <c r="B38" s="147" t="s">
        <v>383</v>
      </c>
      <c r="D38" s="231"/>
      <c r="E38" s="147">
        <f>KeyInputs!E180</f>
        <v>0</v>
      </c>
      <c r="F38" s="147">
        <f>KeyInputs!F180</f>
        <v>0</v>
      </c>
      <c r="G38" s="147">
        <f>KeyInputs!G180</f>
        <v>0</v>
      </c>
      <c r="H38" s="147">
        <f ca="1">'Outputs - P&amp;L'!E37</f>
        <v>0</v>
      </c>
      <c r="I38" s="147">
        <f ca="1">'Outputs - P&amp;L'!F37</f>
        <v>0</v>
      </c>
      <c r="J38" s="147">
        <f ca="1">'Outputs - P&amp;L'!G37</f>
        <v>0</v>
      </c>
      <c r="K38" s="147">
        <f ca="1">'Outputs - P&amp;L'!H37</f>
        <v>0</v>
      </c>
      <c r="L38" s="147">
        <f ca="1">'Outputs - P&amp;L'!I37</f>
        <v>0</v>
      </c>
      <c r="N38" s="147">
        <f>'Outputs - Summary'!E37</f>
        <v>0</v>
      </c>
      <c r="O38" s="147">
        <f>'Outputs - Summary'!F37</f>
        <v>0</v>
      </c>
      <c r="P38" s="147">
        <f>'Outputs - Summary'!G37</f>
        <v>0</v>
      </c>
      <c r="Q38" s="147">
        <f ca="1">'Outputs - Summary'!H37</f>
        <v>0</v>
      </c>
      <c r="R38" s="147">
        <f ca="1">'Outputs - Summary'!I37</f>
        <v>0</v>
      </c>
      <c r="S38" s="147">
        <f ca="1">'Outputs - Summary'!J37</f>
        <v>0</v>
      </c>
      <c r="T38" s="147">
        <f ca="1">'Outputs - Summary'!K37</f>
        <v>0</v>
      </c>
      <c r="U38" s="147">
        <f ca="1">'Outputs - Summary'!L37</f>
        <v>0</v>
      </c>
    </row>
    <row r="39" spans="1:30" s="211" customFormat="1" ht="13.2" x14ac:dyDescent="0.25">
      <c r="B39" s="211" t="s">
        <v>267</v>
      </c>
      <c r="D39" s="231" t="str">
        <f>unit</f>
        <v>£</v>
      </c>
      <c r="E39" s="211">
        <f>SUM(E34:E38)</f>
        <v>0</v>
      </c>
      <c r="F39" s="211">
        <f t="shared" ref="F39:L39" si="63">SUM(F34:F38)</f>
        <v>0</v>
      </c>
      <c r="G39" s="211">
        <f t="shared" si="63"/>
        <v>0</v>
      </c>
      <c r="H39" s="211">
        <f t="shared" ca="1" si="63"/>
        <v>0</v>
      </c>
      <c r="I39" s="211">
        <f t="shared" ca="1" si="63"/>
        <v>0</v>
      </c>
      <c r="J39" s="211">
        <f t="shared" ca="1" si="63"/>
        <v>0</v>
      </c>
      <c r="K39" s="211">
        <f t="shared" ca="1" si="63"/>
        <v>0</v>
      </c>
      <c r="L39" s="211">
        <f t="shared" ca="1" si="63"/>
        <v>0</v>
      </c>
      <c r="N39" s="211">
        <f>SUM(N34:N38)</f>
        <v>0</v>
      </c>
      <c r="O39" s="211">
        <f t="shared" ref="O39" si="64">SUM(O34:O38)</f>
        <v>0</v>
      </c>
      <c r="P39" s="211">
        <f t="shared" ref="P39" si="65">SUM(P34:P38)</f>
        <v>0</v>
      </c>
      <c r="Q39" s="211">
        <f t="shared" ref="Q39" ca="1" si="66">SUM(Q34:Q38)</f>
        <v>0</v>
      </c>
      <c r="R39" s="211">
        <f t="shared" ref="R39" ca="1" si="67">SUM(R34:R38)</f>
        <v>0</v>
      </c>
      <c r="S39" s="211">
        <f t="shared" ref="S39" ca="1" si="68">SUM(S34:S38)</f>
        <v>0</v>
      </c>
      <c r="T39" s="211">
        <f t="shared" ref="T39" ca="1" si="69">SUM(T34:T38)</f>
        <v>0</v>
      </c>
      <c r="U39" s="211">
        <f t="shared" ref="U39" ca="1" si="70">SUM(U34:U38)</f>
        <v>0</v>
      </c>
      <c r="W39" s="211">
        <f t="shared" si="56"/>
        <v>0</v>
      </c>
      <c r="X39" s="211">
        <f t="shared" si="56"/>
        <v>0</v>
      </c>
      <c r="Y39" s="211">
        <f t="shared" si="57"/>
        <v>0</v>
      </c>
      <c r="Z39" s="211">
        <f t="shared" ca="1" si="58"/>
        <v>0</v>
      </c>
      <c r="AA39" s="211">
        <f t="shared" ca="1" si="59"/>
        <v>0</v>
      </c>
      <c r="AB39" s="211">
        <f t="shared" ca="1" si="60"/>
        <v>0</v>
      </c>
      <c r="AC39" s="211">
        <f t="shared" ca="1" si="61"/>
        <v>0</v>
      </c>
      <c r="AD39" s="211">
        <f t="shared" ca="1" si="62"/>
        <v>0</v>
      </c>
    </row>
    <row r="40" spans="1:30" s="147" customFormat="1" ht="13.2" x14ac:dyDescent="0.25">
      <c r="A40" s="211"/>
      <c r="I40" s="212"/>
      <c r="R40" s="212"/>
      <c r="AA40" s="212"/>
    </row>
    <row r="41" spans="1:30" s="147" customFormat="1" ht="13.2" x14ac:dyDescent="0.25">
      <c r="A41" s="211"/>
      <c r="B41" s="147" t="s">
        <v>268</v>
      </c>
      <c r="D41" s="231" t="str">
        <f>unit</f>
        <v>£</v>
      </c>
      <c r="E41" s="147">
        <f>KeyInputs!E183</f>
        <v>0</v>
      </c>
      <c r="F41" s="147">
        <f>KeyInputs!F183</f>
        <v>0</v>
      </c>
      <c r="G41" s="147">
        <f>KeyInputs!G183</f>
        <v>0</v>
      </c>
      <c r="H41" s="147">
        <f ca="1">'Outputs - P&amp;L'!E40</f>
        <v>0</v>
      </c>
      <c r="I41" s="147">
        <f ca="1">'Outputs - P&amp;L'!F40</f>
        <v>0</v>
      </c>
      <c r="J41" s="147">
        <f ca="1">'Outputs - P&amp;L'!G40</f>
        <v>0</v>
      </c>
      <c r="K41" s="147">
        <f ca="1">'Outputs - P&amp;L'!H40</f>
        <v>0</v>
      </c>
      <c r="L41" s="147">
        <f ca="1">'Outputs - P&amp;L'!I40</f>
        <v>0</v>
      </c>
      <c r="N41" s="147">
        <f>'Outputs - Summary'!E40</f>
        <v>0</v>
      </c>
      <c r="O41" s="147">
        <f>'Outputs - Summary'!F40</f>
        <v>0</v>
      </c>
      <c r="P41" s="147">
        <f>'Outputs - Summary'!G40</f>
        <v>0</v>
      </c>
      <c r="Q41" s="147">
        <f ca="1">'Outputs - Summary'!H40</f>
        <v>0</v>
      </c>
      <c r="R41" s="147">
        <f ca="1">'Outputs - Summary'!I40</f>
        <v>0</v>
      </c>
      <c r="S41" s="147">
        <f ca="1">'Outputs - Summary'!J40</f>
        <v>0</v>
      </c>
      <c r="T41" s="147">
        <f ca="1">'Outputs - Summary'!K40</f>
        <v>0</v>
      </c>
      <c r="U41" s="147">
        <f ca="1">'Outputs - Summary'!L40</f>
        <v>0</v>
      </c>
      <c r="W41" s="147">
        <f t="shared" ref="W41:X42" si="71">N41-E41</f>
        <v>0</v>
      </c>
      <c r="X41" s="147">
        <f t="shared" si="71"/>
        <v>0</v>
      </c>
      <c r="Y41" s="147">
        <f t="shared" ref="Y41:Y42" si="72">P41-G41</f>
        <v>0</v>
      </c>
      <c r="Z41" s="147">
        <f t="shared" ref="Z41:Z42" ca="1" si="73">Q41-H41</f>
        <v>0</v>
      </c>
      <c r="AA41" s="147">
        <f t="shared" ref="AA41:AA42" ca="1" si="74">R41-I41</f>
        <v>0</v>
      </c>
      <c r="AB41" s="147">
        <f t="shared" ref="AB41:AB42" ca="1" si="75">S41-J41</f>
        <v>0</v>
      </c>
      <c r="AC41" s="147">
        <f t="shared" ref="AC41:AC42" ca="1" si="76">T41-K41</f>
        <v>0</v>
      </c>
      <c r="AD41" s="147">
        <f t="shared" ref="AD41:AD42" ca="1" si="77">U41-L41</f>
        <v>0</v>
      </c>
    </row>
    <row r="42" spans="1:30" s="211" customFormat="1" ht="13.2" x14ac:dyDescent="0.25">
      <c r="B42" s="211" t="s">
        <v>269</v>
      </c>
      <c r="D42" s="231" t="str">
        <f>unit</f>
        <v>£</v>
      </c>
      <c r="E42" s="211">
        <f t="shared" ref="E42:G42" si="78">SUM(E39:E41)</f>
        <v>0</v>
      </c>
      <c r="F42" s="211">
        <f t="shared" si="78"/>
        <v>0</v>
      </c>
      <c r="G42" s="211">
        <f t="shared" si="78"/>
        <v>0</v>
      </c>
      <c r="H42" s="211">
        <f ca="1">SUM(H39:H41)</f>
        <v>0</v>
      </c>
      <c r="I42" s="211">
        <f ca="1">SUM(I39:I41)</f>
        <v>0</v>
      </c>
      <c r="J42" s="211">
        <f ca="1">SUM(J39:J41)</f>
        <v>0</v>
      </c>
      <c r="K42" s="211">
        <f ca="1">SUM(K39:K41)</f>
        <v>0</v>
      </c>
      <c r="L42" s="211">
        <f ca="1">SUM(L39:L41)</f>
        <v>0</v>
      </c>
      <c r="N42" s="211">
        <f>'Outputs - Summary'!E41</f>
        <v>0</v>
      </c>
      <c r="O42" s="211">
        <f>'Outputs - Summary'!F41</f>
        <v>0</v>
      </c>
      <c r="P42" s="211">
        <f>'Outputs - Summary'!G41</f>
        <v>0</v>
      </c>
      <c r="Q42" s="211">
        <f ca="1">'Outputs - Summary'!H41</f>
        <v>0</v>
      </c>
      <c r="R42" s="211">
        <f ca="1">'Outputs - Summary'!I41</f>
        <v>0</v>
      </c>
      <c r="S42" s="211">
        <f ca="1">'Outputs - Summary'!J41</f>
        <v>0</v>
      </c>
      <c r="T42" s="211">
        <f ca="1">'Outputs - Summary'!K41</f>
        <v>0</v>
      </c>
      <c r="U42" s="211">
        <f ca="1">'Outputs - Summary'!L41</f>
        <v>0</v>
      </c>
      <c r="W42" s="211">
        <f t="shared" si="71"/>
        <v>0</v>
      </c>
      <c r="X42" s="211">
        <f t="shared" si="71"/>
        <v>0</v>
      </c>
      <c r="Y42" s="211">
        <f t="shared" si="72"/>
        <v>0</v>
      </c>
      <c r="Z42" s="211">
        <f t="shared" ca="1" si="73"/>
        <v>0</v>
      </c>
      <c r="AA42" s="211">
        <f t="shared" ca="1" si="74"/>
        <v>0</v>
      </c>
      <c r="AB42" s="211">
        <f t="shared" ca="1" si="75"/>
        <v>0</v>
      </c>
      <c r="AC42" s="211">
        <f t="shared" ca="1" si="76"/>
        <v>0</v>
      </c>
      <c r="AD42" s="211">
        <f t="shared" ca="1" si="77"/>
        <v>0</v>
      </c>
    </row>
    <row r="43" spans="1:30" s="147" customFormat="1" ht="13.2" x14ac:dyDescent="0.25">
      <c r="A43" s="211"/>
      <c r="I43" s="212"/>
      <c r="R43" s="212"/>
      <c r="AA43" s="212"/>
    </row>
    <row r="44" spans="1:30" s="147" customFormat="1" ht="13.2" x14ac:dyDescent="0.25">
      <c r="A44" s="211"/>
      <c r="B44" s="266" t="s">
        <v>45</v>
      </c>
      <c r="D44" s="231" t="str">
        <f>unit</f>
        <v>£</v>
      </c>
      <c r="E44" s="147">
        <f>KeyInputs!E186</f>
        <v>0</v>
      </c>
      <c r="F44" s="147">
        <f>KeyInputs!F186</f>
        <v>0</v>
      </c>
      <c r="G44" s="147">
        <f>KeyInputs!G186</f>
        <v>0</v>
      </c>
      <c r="H44" s="147">
        <f>'Outputs - P&amp;L'!E43</f>
        <v>0</v>
      </c>
      <c r="I44" s="147">
        <f>'Outputs - P&amp;L'!F43</f>
        <v>0</v>
      </c>
      <c r="J44" s="147">
        <f>'Outputs - P&amp;L'!G43</f>
        <v>0</v>
      </c>
      <c r="K44" s="147">
        <f>'Outputs - P&amp;L'!H43</f>
        <v>0</v>
      </c>
      <c r="L44" s="147">
        <f>'Outputs - P&amp;L'!I43</f>
        <v>0</v>
      </c>
      <c r="N44" s="147">
        <f>'Outputs - Summary'!E43</f>
        <v>0</v>
      </c>
      <c r="O44" s="147">
        <f>'Outputs - Summary'!F43</f>
        <v>0</v>
      </c>
      <c r="P44" s="147">
        <f>'Outputs - Summary'!G43</f>
        <v>0</v>
      </c>
      <c r="Q44" s="147">
        <f>'Outputs - Summary'!H43</f>
        <v>0</v>
      </c>
      <c r="R44" s="147">
        <f>'Outputs - Summary'!I43</f>
        <v>0</v>
      </c>
      <c r="S44" s="147">
        <f>'Outputs - Summary'!J43</f>
        <v>0</v>
      </c>
      <c r="T44" s="147">
        <f>'Outputs - Summary'!K43</f>
        <v>0</v>
      </c>
      <c r="U44" s="147">
        <f>'Outputs - Summary'!L43</f>
        <v>0</v>
      </c>
      <c r="W44" s="147">
        <f>N44-E44</f>
        <v>0</v>
      </c>
      <c r="X44" s="147">
        <f>O44-F44</f>
        <v>0</v>
      </c>
      <c r="Y44" s="147">
        <f t="shared" ref="Y44" si="79">P44-G44</f>
        <v>0</v>
      </c>
      <c r="Z44" s="147">
        <f t="shared" ref="Z44" si="80">Q44-H44</f>
        <v>0</v>
      </c>
      <c r="AA44" s="147">
        <f t="shared" ref="AA44" si="81">R44-I44</f>
        <v>0</v>
      </c>
      <c r="AB44" s="147">
        <f t="shared" ref="AB44" si="82">S44-J44</f>
        <v>0</v>
      </c>
      <c r="AC44" s="147">
        <f t="shared" ref="AC44" si="83">T44-K44</f>
        <v>0</v>
      </c>
      <c r="AD44" s="147">
        <f t="shared" ref="AD44" si="84">U44-L44</f>
        <v>0</v>
      </c>
    </row>
    <row r="45" spans="1:30" s="147" customFormat="1" ht="13.2" x14ac:dyDescent="0.25">
      <c r="A45" s="211"/>
      <c r="I45" s="212"/>
      <c r="R45" s="212"/>
      <c r="AA45" s="212"/>
    </row>
    <row r="46" spans="1:30" s="211" customFormat="1" thickBot="1" x14ac:dyDescent="0.3">
      <c r="B46" s="211" t="s">
        <v>270</v>
      </c>
      <c r="D46" s="231" t="str">
        <f>unit</f>
        <v>£</v>
      </c>
      <c r="E46" s="234">
        <f t="shared" ref="E46" si="85">SUM(E42:E44)</f>
        <v>0</v>
      </c>
      <c r="F46" s="234">
        <f t="shared" ref="F46:G46" si="86">SUM(F42:F44)</f>
        <v>0</v>
      </c>
      <c r="G46" s="234">
        <f t="shared" si="86"/>
        <v>0</v>
      </c>
      <c r="H46" s="234">
        <f ca="1">SUM(H42:H44)</f>
        <v>0</v>
      </c>
      <c r="I46" s="234">
        <f t="shared" ref="I46:L46" ca="1" si="87">SUM(I42:I44)</f>
        <v>0</v>
      </c>
      <c r="J46" s="234">
        <f t="shared" ca="1" si="87"/>
        <v>0</v>
      </c>
      <c r="K46" s="234">
        <f t="shared" ca="1" si="87"/>
        <v>0</v>
      </c>
      <c r="L46" s="234">
        <f t="shared" ca="1" si="87"/>
        <v>0</v>
      </c>
      <c r="N46" s="234">
        <f>'Outputs - Summary'!E45</f>
        <v>0</v>
      </c>
      <c r="O46" s="234">
        <f>'Outputs - Summary'!F45</f>
        <v>0</v>
      </c>
      <c r="P46" s="234">
        <f>'Outputs - Summary'!G45</f>
        <v>0</v>
      </c>
      <c r="Q46" s="234">
        <f ca="1">'Outputs - Summary'!H45</f>
        <v>0</v>
      </c>
      <c r="R46" s="234">
        <f ca="1">'Outputs - Summary'!I45</f>
        <v>0</v>
      </c>
      <c r="S46" s="234">
        <f ca="1">'Outputs - Summary'!J45</f>
        <v>0</v>
      </c>
      <c r="T46" s="234">
        <f ca="1">'Outputs - Summary'!K45</f>
        <v>0</v>
      </c>
      <c r="U46" s="234">
        <f ca="1">'Outputs - Summary'!L45</f>
        <v>0</v>
      </c>
      <c r="W46" s="234">
        <f>N46-E46</f>
        <v>0</v>
      </c>
      <c r="X46" s="234">
        <f>O46-F46</f>
        <v>0</v>
      </c>
      <c r="Y46" s="234">
        <f t="shared" ref="Y46" si="88">P46-G46</f>
        <v>0</v>
      </c>
      <c r="Z46" s="234">
        <f t="shared" ref="Z46" ca="1" si="89">Q46-H46</f>
        <v>0</v>
      </c>
      <c r="AA46" s="234">
        <f t="shared" ref="AA46" ca="1" si="90">R46-I46</f>
        <v>0</v>
      </c>
      <c r="AB46" s="234">
        <f t="shared" ref="AB46" ca="1" si="91">S46-J46</f>
        <v>0</v>
      </c>
      <c r="AC46" s="234">
        <f t="shared" ref="AC46" ca="1" si="92">T46-K46</f>
        <v>0</v>
      </c>
      <c r="AD46" s="234">
        <f t="shared" ref="AD46" ca="1" si="93">U46-L46</f>
        <v>0</v>
      </c>
    </row>
    <row r="47" spans="1:30" s="147" customFormat="1" thickTop="1" x14ac:dyDescent="0.25">
      <c r="A47" s="211"/>
      <c r="I47" s="212"/>
      <c r="R47" s="212"/>
      <c r="AA47" s="212"/>
    </row>
    <row r="48" spans="1:30" s="147" customFormat="1" ht="13.2" x14ac:dyDescent="0.25">
      <c r="A48" s="211"/>
      <c r="B48" s="211" t="s">
        <v>185</v>
      </c>
      <c r="I48" s="212"/>
      <c r="R48" s="212"/>
      <c r="AA48" s="212"/>
    </row>
    <row r="49" spans="1:84" s="147" customFormat="1" ht="13.2" x14ac:dyDescent="0.25">
      <c r="A49" s="211"/>
      <c r="B49" s="116" t="s">
        <v>188</v>
      </c>
      <c r="C49" s="276"/>
      <c r="D49" s="280" t="s">
        <v>345</v>
      </c>
      <c r="E49" s="278" t="s">
        <v>187</v>
      </c>
      <c r="F49" s="278" t="s">
        <v>187</v>
      </c>
      <c r="G49" s="277" t="e">
        <f>(G14-F14)/F14*100</f>
        <v>#DIV/0!</v>
      </c>
      <c r="H49" s="277" t="e">
        <f t="shared" ref="H49:L49" si="94">(H14-G14)/G14*100</f>
        <v>#DIV/0!</v>
      </c>
      <c r="I49" s="277" t="e">
        <f t="shared" si="94"/>
        <v>#DIV/0!</v>
      </c>
      <c r="J49" s="277" t="e">
        <f t="shared" si="94"/>
        <v>#DIV/0!</v>
      </c>
      <c r="K49" s="277" t="e">
        <f t="shared" si="94"/>
        <v>#DIV/0!</v>
      </c>
      <c r="L49" s="277" t="e">
        <f t="shared" si="94"/>
        <v>#DIV/0!</v>
      </c>
      <c r="N49" s="278" t="str">
        <f>'Outputs - Summary'!E50</f>
        <v>na</v>
      </c>
      <c r="O49" s="278" t="e">
        <f>'Outputs - Summary'!F50</f>
        <v>#DIV/0!</v>
      </c>
      <c r="P49" s="277" t="e">
        <f>'Outputs - Summary'!G50</f>
        <v>#DIV/0!</v>
      </c>
      <c r="Q49" s="277" t="e">
        <f>'Outputs - Summary'!H50</f>
        <v>#DIV/0!</v>
      </c>
      <c r="R49" s="277" t="e">
        <f>'Outputs - Summary'!I50</f>
        <v>#DIV/0!</v>
      </c>
      <c r="S49" s="277" t="e">
        <f>'Outputs - Summary'!J50</f>
        <v>#DIV/0!</v>
      </c>
      <c r="T49" s="277" t="e">
        <f>'Outputs - Summary'!K50</f>
        <v>#DIV/0!</v>
      </c>
      <c r="U49" s="277" t="e">
        <f>'Outputs - Summary'!L50</f>
        <v>#DIV/0!</v>
      </c>
      <c r="W49" s="278" t="s">
        <v>187</v>
      </c>
      <c r="X49" s="278" t="s">
        <v>187</v>
      </c>
      <c r="Y49" s="277" t="e">
        <f t="shared" ref="Y49:Y56" si="95">P49-G49</f>
        <v>#DIV/0!</v>
      </c>
      <c r="Z49" s="277" t="e">
        <f t="shared" ref="Z49:Z56" si="96">Q49-H49</f>
        <v>#DIV/0!</v>
      </c>
      <c r="AA49" s="277" t="e">
        <f t="shared" ref="AA49:AA56" si="97">R49-I49</f>
        <v>#DIV/0!</v>
      </c>
      <c r="AB49" s="277" t="e">
        <f t="shared" ref="AB49:AB56" si="98">S49-J49</f>
        <v>#DIV/0!</v>
      </c>
      <c r="AC49" s="277" t="e">
        <f t="shared" ref="AC49:AC56" si="99">T49-K49</f>
        <v>#DIV/0!</v>
      </c>
      <c r="AD49" s="277" t="e">
        <f t="shared" ref="AD49:AD56" si="100">U49-L49</f>
        <v>#DIV/0!</v>
      </c>
    </row>
    <row r="50" spans="1:84" s="147" customFormat="1" ht="13.2" x14ac:dyDescent="0.25">
      <c r="A50" s="211"/>
      <c r="B50" s="116" t="s">
        <v>344</v>
      </c>
      <c r="C50" s="276"/>
      <c r="D50" s="280" t="s">
        <v>345</v>
      </c>
      <c r="E50" s="277" t="e">
        <f>E29/E14*100</f>
        <v>#DIV/0!</v>
      </c>
      <c r="F50" s="277" t="e">
        <f>F29/F14*100</f>
        <v>#DIV/0!</v>
      </c>
      <c r="G50" s="277" t="e">
        <f>G29/G14*100</f>
        <v>#DIV/0!</v>
      </c>
      <c r="H50" s="277" t="e">
        <f t="shared" ref="H50:L50" si="101">H29/H14*100</f>
        <v>#DIV/0!</v>
      </c>
      <c r="I50" s="277" t="e">
        <f t="shared" si="101"/>
        <v>#DIV/0!</v>
      </c>
      <c r="J50" s="277" t="e">
        <f t="shared" si="101"/>
        <v>#DIV/0!</v>
      </c>
      <c r="K50" s="277" t="e">
        <f t="shared" si="101"/>
        <v>#DIV/0!</v>
      </c>
      <c r="L50" s="277" t="e">
        <f t="shared" si="101"/>
        <v>#DIV/0!</v>
      </c>
      <c r="N50" s="277" t="e">
        <f>'Outputs - Summary'!E51</f>
        <v>#DIV/0!</v>
      </c>
      <c r="O50" s="277" t="e">
        <f>'Outputs - Summary'!F51</f>
        <v>#DIV/0!</v>
      </c>
      <c r="P50" s="277" t="e">
        <f>'Outputs - Summary'!G51</f>
        <v>#DIV/0!</v>
      </c>
      <c r="Q50" s="277" t="e">
        <f>'Outputs - Summary'!H51</f>
        <v>#DIV/0!</v>
      </c>
      <c r="R50" s="277" t="e">
        <f>'Outputs - Summary'!I51</f>
        <v>#DIV/0!</v>
      </c>
      <c r="S50" s="277" t="e">
        <f>'Outputs - Summary'!J51</f>
        <v>#DIV/0!</v>
      </c>
      <c r="T50" s="277" t="e">
        <f>'Outputs - Summary'!K51</f>
        <v>#DIV/0!</v>
      </c>
      <c r="U50" s="277" t="e">
        <f>'Outputs - Summary'!L51</f>
        <v>#DIV/0!</v>
      </c>
      <c r="W50" s="277" t="e">
        <f t="shared" ref="W50:X56" si="102">N50-E50</f>
        <v>#DIV/0!</v>
      </c>
      <c r="X50" s="277" t="e">
        <f t="shared" si="102"/>
        <v>#DIV/0!</v>
      </c>
      <c r="Y50" s="277" t="e">
        <f t="shared" si="95"/>
        <v>#DIV/0!</v>
      </c>
      <c r="Z50" s="277" t="e">
        <f t="shared" si="96"/>
        <v>#DIV/0!</v>
      </c>
      <c r="AA50" s="277" t="e">
        <f t="shared" si="97"/>
        <v>#DIV/0!</v>
      </c>
      <c r="AB50" s="277" t="e">
        <f t="shared" si="98"/>
        <v>#DIV/0!</v>
      </c>
      <c r="AC50" s="277" t="e">
        <f t="shared" si="99"/>
        <v>#DIV/0!</v>
      </c>
      <c r="AD50" s="277" t="e">
        <f t="shared" si="100"/>
        <v>#DIV/0!</v>
      </c>
    </row>
    <row r="51" spans="1:84" s="147" customFormat="1" ht="13.2" x14ac:dyDescent="0.25">
      <c r="A51" s="211"/>
      <c r="B51" s="116" t="s">
        <v>186</v>
      </c>
      <c r="C51" s="276"/>
      <c r="D51" s="280" t="s">
        <v>345</v>
      </c>
      <c r="E51" s="278" t="s">
        <v>187</v>
      </c>
      <c r="F51" s="278" t="s">
        <v>187</v>
      </c>
      <c r="G51" s="277" t="e">
        <f>(G29-F29)/F29*100</f>
        <v>#DIV/0!</v>
      </c>
      <c r="H51" s="277" t="e">
        <f t="shared" ref="H51:L51" si="103">(H29-G29)/G29*100</f>
        <v>#DIV/0!</v>
      </c>
      <c r="I51" s="277" t="e">
        <f t="shared" si="103"/>
        <v>#DIV/0!</v>
      </c>
      <c r="J51" s="277" t="e">
        <f t="shared" si="103"/>
        <v>#DIV/0!</v>
      </c>
      <c r="K51" s="277" t="e">
        <f t="shared" si="103"/>
        <v>#DIV/0!</v>
      </c>
      <c r="L51" s="277" t="e">
        <f t="shared" si="103"/>
        <v>#DIV/0!</v>
      </c>
      <c r="N51" s="278" t="str">
        <f>'Outputs - Summary'!E52</f>
        <v>na</v>
      </c>
      <c r="O51" s="278" t="e">
        <f>'Outputs - Summary'!F52</f>
        <v>#DIV/0!</v>
      </c>
      <c r="P51" s="277" t="e">
        <f>'Outputs - Summary'!G52</f>
        <v>#DIV/0!</v>
      </c>
      <c r="Q51" s="277" t="e">
        <f>'Outputs - Summary'!H52</f>
        <v>#DIV/0!</v>
      </c>
      <c r="R51" s="277" t="e">
        <f>'Outputs - Summary'!I52</f>
        <v>#DIV/0!</v>
      </c>
      <c r="S51" s="277" t="e">
        <f>'Outputs - Summary'!J52</f>
        <v>#DIV/0!</v>
      </c>
      <c r="T51" s="277" t="e">
        <f>'Outputs - Summary'!K52</f>
        <v>#DIV/0!</v>
      </c>
      <c r="U51" s="277" t="e">
        <f>'Outputs - Summary'!L52</f>
        <v>#DIV/0!</v>
      </c>
      <c r="W51" s="278" t="s">
        <v>187</v>
      </c>
      <c r="X51" s="278" t="s">
        <v>187</v>
      </c>
      <c r="Y51" s="277" t="e">
        <f t="shared" si="95"/>
        <v>#DIV/0!</v>
      </c>
      <c r="Z51" s="277" t="e">
        <f t="shared" si="96"/>
        <v>#DIV/0!</v>
      </c>
      <c r="AA51" s="277" t="e">
        <f t="shared" si="97"/>
        <v>#DIV/0!</v>
      </c>
      <c r="AB51" s="277" t="e">
        <f t="shared" si="98"/>
        <v>#DIV/0!</v>
      </c>
      <c r="AC51" s="277" t="e">
        <f t="shared" si="99"/>
        <v>#DIV/0!</v>
      </c>
      <c r="AD51" s="277" t="e">
        <f t="shared" si="100"/>
        <v>#DIV/0!</v>
      </c>
    </row>
    <row r="52" spans="1:84" s="147" customFormat="1" ht="13.2" x14ac:dyDescent="0.25">
      <c r="A52" s="211"/>
      <c r="B52" s="116" t="s">
        <v>189</v>
      </c>
      <c r="C52" s="276"/>
      <c r="D52" s="280" t="s">
        <v>345</v>
      </c>
      <c r="E52" s="277" t="e">
        <f>E34/E14*100</f>
        <v>#DIV/0!</v>
      </c>
      <c r="F52" s="277" t="e">
        <f>F34/F14*100</f>
        <v>#DIV/0!</v>
      </c>
      <c r="G52" s="277" t="e">
        <f>G34/G14*100</f>
        <v>#DIV/0!</v>
      </c>
      <c r="H52" s="277" t="e">
        <f t="shared" ref="H52:L52" si="104">H34/H14*100</f>
        <v>#DIV/0!</v>
      </c>
      <c r="I52" s="277" t="e">
        <f t="shared" si="104"/>
        <v>#DIV/0!</v>
      </c>
      <c r="J52" s="277" t="e">
        <f t="shared" si="104"/>
        <v>#DIV/0!</v>
      </c>
      <c r="K52" s="277" t="e">
        <f t="shared" si="104"/>
        <v>#DIV/0!</v>
      </c>
      <c r="L52" s="277" t="e">
        <f t="shared" si="104"/>
        <v>#DIV/0!</v>
      </c>
      <c r="N52" s="277" t="e">
        <f>'Outputs - Summary'!E53</f>
        <v>#DIV/0!</v>
      </c>
      <c r="O52" s="277" t="e">
        <f>'Outputs - Summary'!F53</f>
        <v>#DIV/0!</v>
      </c>
      <c r="P52" s="277" t="e">
        <f>'Outputs - Summary'!G53</f>
        <v>#DIV/0!</v>
      </c>
      <c r="Q52" s="277" t="e">
        <f>'Outputs - Summary'!H53</f>
        <v>#DIV/0!</v>
      </c>
      <c r="R52" s="277" t="e">
        <f>'Outputs - Summary'!I53</f>
        <v>#DIV/0!</v>
      </c>
      <c r="S52" s="277" t="e">
        <f>'Outputs - Summary'!J53</f>
        <v>#DIV/0!</v>
      </c>
      <c r="T52" s="277" t="e">
        <f>'Outputs - Summary'!K53</f>
        <v>#DIV/0!</v>
      </c>
      <c r="U52" s="277" t="e">
        <f>'Outputs - Summary'!L53</f>
        <v>#DIV/0!</v>
      </c>
      <c r="W52" s="277" t="e">
        <f t="shared" si="102"/>
        <v>#DIV/0!</v>
      </c>
      <c r="X52" s="277" t="e">
        <f t="shared" si="102"/>
        <v>#DIV/0!</v>
      </c>
      <c r="Y52" s="277" t="e">
        <f t="shared" si="95"/>
        <v>#DIV/0!</v>
      </c>
      <c r="Z52" s="277" t="e">
        <f t="shared" si="96"/>
        <v>#DIV/0!</v>
      </c>
      <c r="AA52" s="277" t="e">
        <f t="shared" si="97"/>
        <v>#DIV/0!</v>
      </c>
      <c r="AB52" s="277" t="e">
        <f t="shared" si="98"/>
        <v>#DIV/0!</v>
      </c>
      <c r="AC52" s="277" t="e">
        <f t="shared" si="99"/>
        <v>#DIV/0!</v>
      </c>
      <c r="AD52" s="277" t="e">
        <f t="shared" si="100"/>
        <v>#DIV/0!</v>
      </c>
    </row>
    <row r="53" spans="1:84" s="147" customFormat="1" ht="13.2" x14ac:dyDescent="0.25">
      <c r="A53" s="211"/>
      <c r="B53" s="116" t="s">
        <v>343</v>
      </c>
      <c r="C53" s="276"/>
      <c r="D53" s="276"/>
      <c r="E53" s="277"/>
      <c r="F53" s="277"/>
      <c r="G53" s="277"/>
      <c r="H53" s="277"/>
      <c r="I53" s="277"/>
      <c r="J53" s="277"/>
      <c r="K53" s="277"/>
      <c r="L53" s="277"/>
      <c r="N53" s="277">
        <f>'Outputs - Summary'!E54</f>
        <v>0</v>
      </c>
      <c r="O53" s="277">
        <f>'Outputs - Summary'!F54</f>
        <v>0</v>
      </c>
      <c r="P53" s="277">
        <f>'Outputs - Summary'!G54</f>
        <v>0</v>
      </c>
      <c r="Q53" s="277">
        <f>'Outputs - Summary'!H54</f>
        <v>0</v>
      </c>
      <c r="R53" s="277">
        <f>'Outputs - Summary'!I54</f>
        <v>0</v>
      </c>
      <c r="S53" s="277">
        <f>'Outputs - Summary'!J54</f>
        <v>0</v>
      </c>
      <c r="T53" s="277">
        <f>'Outputs - Summary'!K54</f>
        <v>0</v>
      </c>
      <c r="U53" s="277">
        <f>'Outputs - Summary'!L54</f>
        <v>0</v>
      </c>
      <c r="W53" s="277">
        <f t="shared" si="102"/>
        <v>0</v>
      </c>
      <c r="X53" s="277">
        <f t="shared" si="102"/>
        <v>0</v>
      </c>
      <c r="Y53" s="277">
        <f t="shared" si="95"/>
        <v>0</v>
      </c>
      <c r="Z53" s="277">
        <f t="shared" si="96"/>
        <v>0</v>
      </c>
      <c r="AA53" s="277">
        <f t="shared" si="97"/>
        <v>0</v>
      </c>
      <c r="AB53" s="277">
        <f t="shared" si="98"/>
        <v>0</v>
      </c>
      <c r="AC53" s="277">
        <f t="shared" si="99"/>
        <v>0</v>
      </c>
      <c r="AD53" s="277">
        <f t="shared" si="100"/>
        <v>0</v>
      </c>
    </row>
    <row r="54" spans="1:84" s="147" customFormat="1" ht="13.2" x14ac:dyDescent="0.25">
      <c r="A54" s="211"/>
      <c r="B54" s="279" t="str">
        <f>KeyInputs!F21</f>
        <v>Test</v>
      </c>
      <c r="C54" s="276"/>
      <c r="D54" s="276"/>
      <c r="E54" s="277"/>
      <c r="F54" s="277"/>
      <c r="G54" s="277"/>
      <c r="H54" s="277">
        <f>SUM(Revenue!E35:E37)</f>
        <v>0</v>
      </c>
      <c r="I54" s="277">
        <f>SUM(Revenue!F35:F37)</f>
        <v>0</v>
      </c>
      <c r="J54" s="277">
        <f>SUM(Revenue!G35:G37)</f>
        <v>0</v>
      </c>
      <c r="K54" s="277">
        <f>SUM(Revenue!H35:H37)</f>
        <v>0</v>
      </c>
      <c r="L54" s="277">
        <f>SUM(Revenue!I35:I37)</f>
        <v>0</v>
      </c>
      <c r="N54" s="277">
        <f>'Outputs - Summary'!E55</f>
        <v>0</v>
      </c>
      <c r="O54" s="277">
        <f>'Outputs - Summary'!F55</f>
        <v>0</v>
      </c>
      <c r="P54" s="277">
        <f>'Outputs - Summary'!G55</f>
        <v>0</v>
      </c>
      <c r="Q54" s="277">
        <f>'Outputs - Summary'!H55</f>
        <v>0</v>
      </c>
      <c r="R54" s="277">
        <f>'Outputs - Summary'!I55</f>
        <v>0</v>
      </c>
      <c r="S54" s="277">
        <f>'Outputs - Summary'!J55</f>
        <v>0</v>
      </c>
      <c r="T54" s="277">
        <f>'Outputs - Summary'!K55</f>
        <v>0</v>
      </c>
      <c r="U54" s="277">
        <f>'Outputs - Summary'!L55</f>
        <v>0</v>
      </c>
      <c r="W54" s="277">
        <f t="shared" si="102"/>
        <v>0</v>
      </c>
      <c r="X54" s="277">
        <f t="shared" si="102"/>
        <v>0</v>
      </c>
      <c r="Y54" s="277">
        <f t="shared" si="95"/>
        <v>0</v>
      </c>
      <c r="Z54" s="277">
        <f t="shared" si="96"/>
        <v>0</v>
      </c>
      <c r="AA54" s="277">
        <f t="shared" si="97"/>
        <v>0</v>
      </c>
      <c r="AB54" s="277">
        <f t="shared" si="98"/>
        <v>0</v>
      </c>
      <c r="AC54" s="277">
        <f t="shared" si="99"/>
        <v>0</v>
      </c>
      <c r="AD54" s="277">
        <f t="shared" si="100"/>
        <v>0</v>
      </c>
    </row>
    <row r="55" spans="1:84" s="147" customFormat="1" ht="13.2" x14ac:dyDescent="0.25">
      <c r="A55" s="211"/>
      <c r="B55" s="279" t="str">
        <f>KeyInputs!F26</f>
        <v>Insert Business Line2</v>
      </c>
      <c r="C55" s="276"/>
      <c r="D55" s="276"/>
      <c r="E55" s="277"/>
      <c r="F55" s="277"/>
      <c r="G55" s="277"/>
      <c r="H55" s="277">
        <f>SUM(Revenue!E40:E42)</f>
        <v>0</v>
      </c>
      <c r="I55" s="277">
        <f>SUM(Revenue!F40:F42)</f>
        <v>0</v>
      </c>
      <c r="J55" s="277">
        <f>SUM(Revenue!G40:G42)</f>
        <v>0</v>
      </c>
      <c r="K55" s="277">
        <f>SUM(Revenue!H40:H42)</f>
        <v>0</v>
      </c>
      <c r="L55" s="277">
        <f>SUM(Revenue!I40:I42)</f>
        <v>0</v>
      </c>
      <c r="N55" s="277">
        <f>'Outputs - Summary'!E56</f>
        <v>0</v>
      </c>
      <c r="O55" s="277">
        <f>'Outputs - Summary'!F56</f>
        <v>0</v>
      </c>
      <c r="P55" s="277">
        <f>'Outputs - Summary'!G56</f>
        <v>0</v>
      </c>
      <c r="Q55" s="277">
        <f>'Outputs - Summary'!H56</f>
        <v>0</v>
      </c>
      <c r="R55" s="277">
        <f>'Outputs - Summary'!I56</f>
        <v>0</v>
      </c>
      <c r="S55" s="277">
        <f>'Outputs - Summary'!J56</f>
        <v>0</v>
      </c>
      <c r="T55" s="277">
        <f>'Outputs - Summary'!K56</f>
        <v>0</v>
      </c>
      <c r="U55" s="277">
        <f>'Outputs - Summary'!L56</f>
        <v>0</v>
      </c>
      <c r="W55" s="277">
        <f t="shared" si="102"/>
        <v>0</v>
      </c>
      <c r="X55" s="277">
        <f t="shared" si="102"/>
        <v>0</v>
      </c>
      <c r="Y55" s="277">
        <f t="shared" si="95"/>
        <v>0</v>
      </c>
      <c r="Z55" s="277">
        <f t="shared" si="96"/>
        <v>0</v>
      </c>
      <c r="AA55" s="277">
        <f t="shared" si="97"/>
        <v>0</v>
      </c>
      <c r="AB55" s="277">
        <f t="shared" si="98"/>
        <v>0</v>
      </c>
      <c r="AC55" s="277">
        <f t="shared" si="99"/>
        <v>0</v>
      </c>
      <c r="AD55" s="277">
        <f t="shared" si="100"/>
        <v>0</v>
      </c>
    </row>
    <row r="56" spans="1:84" s="147" customFormat="1" ht="13.2" x14ac:dyDescent="0.25">
      <c r="A56" s="211"/>
      <c r="B56" s="279" t="str">
        <f>KeyInputs!F31</f>
        <v>Insert Business Line3</v>
      </c>
      <c r="C56" s="276"/>
      <c r="D56" s="276"/>
      <c r="E56" s="277"/>
      <c r="F56" s="277"/>
      <c r="G56" s="277"/>
      <c r="H56" s="277">
        <f>SUM(Revenue!E45:E47)</f>
        <v>0</v>
      </c>
      <c r="I56" s="277">
        <f>SUM(Revenue!F45:F47)</f>
        <v>0</v>
      </c>
      <c r="J56" s="277">
        <f>SUM(Revenue!G45:G47)</f>
        <v>0</v>
      </c>
      <c r="K56" s="277">
        <f>SUM(Revenue!H45:H47)</f>
        <v>0</v>
      </c>
      <c r="L56" s="277">
        <f>SUM(Revenue!I45:I47)</f>
        <v>0</v>
      </c>
      <c r="N56" s="277">
        <f>'Outputs - Summary'!E57</f>
        <v>0</v>
      </c>
      <c r="O56" s="277">
        <f>'Outputs - Summary'!F57</f>
        <v>0</v>
      </c>
      <c r="P56" s="277">
        <f>'Outputs - Summary'!G57</f>
        <v>0</v>
      </c>
      <c r="Q56" s="277">
        <f>'Outputs - Summary'!H57</f>
        <v>0</v>
      </c>
      <c r="R56" s="277">
        <f>'Outputs - Summary'!I57</f>
        <v>0</v>
      </c>
      <c r="S56" s="277">
        <f>'Outputs - Summary'!J57</f>
        <v>0</v>
      </c>
      <c r="T56" s="277">
        <f>'Outputs - Summary'!K57</f>
        <v>0</v>
      </c>
      <c r="U56" s="277">
        <f>'Outputs - Summary'!L57</f>
        <v>0</v>
      </c>
      <c r="W56" s="277">
        <f t="shared" si="102"/>
        <v>0</v>
      </c>
      <c r="X56" s="277">
        <f t="shared" si="102"/>
        <v>0</v>
      </c>
      <c r="Y56" s="277">
        <f t="shared" si="95"/>
        <v>0</v>
      </c>
      <c r="Z56" s="277">
        <f t="shared" si="96"/>
        <v>0</v>
      </c>
      <c r="AA56" s="277">
        <f t="shared" si="97"/>
        <v>0</v>
      </c>
      <c r="AB56" s="277">
        <f t="shared" si="98"/>
        <v>0</v>
      </c>
      <c r="AC56" s="277">
        <f t="shared" si="99"/>
        <v>0</v>
      </c>
      <c r="AD56" s="277">
        <f t="shared" si="100"/>
        <v>0</v>
      </c>
    </row>
    <row r="57" spans="1:84" s="147" customFormat="1" ht="13.2" x14ac:dyDescent="0.25">
      <c r="A57" s="211"/>
      <c r="B57" s="116"/>
      <c r="C57" s="276"/>
      <c r="D57" s="276"/>
      <c r="E57" s="277"/>
      <c r="F57" s="277"/>
      <c r="G57" s="277"/>
      <c r="H57" s="277"/>
      <c r="I57" s="277"/>
      <c r="J57" s="277"/>
      <c r="K57" s="277"/>
      <c r="L57" s="277"/>
      <c r="N57" s="277"/>
      <c r="O57" s="277"/>
      <c r="P57" s="277"/>
      <c r="Q57" s="277"/>
      <c r="R57" s="277"/>
      <c r="S57" s="277"/>
      <c r="T57" s="277"/>
      <c r="U57" s="277"/>
      <c r="W57" s="277"/>
      <c r="X57" s="277"/>
      <c r="Y57" s="277"/>
      <c r="Z57" s="277"/>
      <c r="AA57" s="277"/>
      <c r="AB57" s="277"/>
      <c r="AC57" s="277"/>
      <c r="AD57" s="277"/>
    </row>
    <row r="58" spans="1:84" s="147" customFormat="1" ht="13.2" x14ac:dyDescent="0.25">
      <c r="A58" s="211"/>
      <c r="I58" s="212"/>
      <c r="R58" s="212"/>
      <c r="AA58" s="212"/>
    </row>
    <row r="59" spans="1:84" s="166" customFormat="1" ht="15.6" x14ac:dyDescent="0.3">
      <c r="A59" s="166">
        <f>Header1</f>
        <v>2</v>
      </c>
      <c r="B59" s="166" t="s">
        <v>46</v>
      </c>
    </row>
    <row r="60" spans="1:84" s="147" customFormat="1" ht="13.2" x14ac:dyDescent="0.25">
      <c r="A60" s="211"/>
      <c r="I60" s="212"/>
      <c r="R60" s="212"/>
      <c r="AA60" s="212"/>
    </row>
    <row r="61" spans="1:84" s="147" customFormat="1" ht="13.2" x14ac:dyDescent="0.25">
      <c r="B61" s="147" t="s">
        <v>224</v>
      </c>
      <c r="D61" s="231" t="str">
        <f t="shared" ref="D61:D66" si="105">unit</f>
        <v>£</v>
      </c>
      <c r="E61" s="147">
        <f t="shared" ref="E61:G61" si="106">SUM(E62:E65)</f>
        <v>0</v>
      </c>
      <c r="F61" s="147">
        <f t="shared" si="106"/>
        <v>0</v>
      </c>
      <c r="G61" s="147">
        <f t="shared" si="106"/>
        <v>0</v>
      </c>
      <c r="H61" s="147">
        <f>SUM(H62:H65)</f>
        <v>0</v>
      </c>
      <c r="I61" s="147">
        <f t="shared" ref="I61:L61" si="107">SUM(I62:I65)</f>
        <v>0</v>
      </c>
      <c r="J61" s="147">
        <f t="shared" si="107"/>
        <v>0</v>
      </c>
      <c r="K61" s="147">
        <f t="shared" si="107"/>
        <v>0</v>
      </c>
      <c r="L61" s="147">
        <f t="shared" si="107"/>
        <v>0</v>
      </c>
      <c r="N61" s="147">
        <f>'Outputs - Summary'!E62</f>
        <v>0</v>
      </c>
      <c r="O61" s="147">
        <f>'Outputs - Summary'!F62</f>
        <v>0</v>
      </c>
      <c r="P61" s="147">
        <f>'Outputs - Summary'!G62</f>
        <v>0</v>
      </c>
      <c r="Q61" s="147">
        <f>'Outputs - Summary'!H62</f>
        <v>0</v>
      </c>
      <c r="R61" s="147">
        <f>'Outputs - Summary'!I62</f>
        <v>0</v>
      </c>
      <c r="S61" s="147">
        <f>'Outputs - Summary'!J62</f>
        <v>0</v>
      </c>
      <c r="T61" s="147">
        <f>'Outputs - Summary'!K62</f>
        <v>0</v>
      </c>
      <c r="U61" s="147">
        <f>'Outputs - Summary'!L62</f>
        <v>0</v>
      </c>
      <c r="W61" s="147">
        <f t="shared" ref="W61:X79" si="108">N61-E61</f>
        <v>0</v>
      </c>
      <c r="X61" s="147">
        <f t="shared" si="108"/>
        <v>0</v>
      </c>
      <c r="Y61" s="147">
        <f t="shared" ref="Y61:Y79" si="109">P61-G61</f>
        <v>0</v>
      </c>
      <c r="Z61" s="147">
        <f t="shared" ref="Z61:Z79" si="110">Q61-H61</f>
        <v>0</v>
      </c>
      <c r="AA61" s="147">
        <f t="shared" ref="AA61:AA79" si="111">R61-I61</f>
        <v>0</v>
      </c>
      <c r="AB61" s="147">
        <f t="shared" ref="AB61:AB79" si="112">S61-J61</f>
        <v>0</v>
      </c>
      <c r="AC61" s="147">
        <f t="shared" ref="AC61:AC79" si="113">T61-K61</f>
        <v>0</v>
      </c>
      <c r="AD61" s="147">
        <f t="shared" ref="AD61:AD79" si="114">U61-L61</f>
        <v>0</v>
      </c>
      <c r="AG61" s="147">
        <f t="shared" ref="AG61:CF61" si="115">SUM(AG62:AG66)</f>
        <v>0</v>
      </c>
      <c r="AH61" s="147">
        <f t="shared" si="115"/>
        <v>0</v>
      </c>
      <c r="AI61" s="147">
        <f t="shared" si="115"/>
        <v>0</v>
      </c>
      <c r="AJ61" s="147">
        <f t="shared" si="115"/>
        <v>0</v>
      </c>
      <c r="AK61" s="147">
        <f t="shared" si="115"/>
        <v>0</v>
      </c>
      <c r="AL61" s="147">
        <f t="shared" si="115"/>
        <v>0</v>
      </c>
      <c r="AM61" s="147">
        <f t="shared" si="115"/>
        <v>0</v>
      </c>
      <c r="AN61" s="147">
        <f t="shared" si="115"/>
        <v>0</v>
      </c>
      <c r="AO61" s="147">
        <f t="shared" si="115"/>
        <v>0</v>
      </c>
      <c r="AP61" s="147">
        <f t="shared" si="115"/>
        <v>0</v>
      </c>
      <c r="AQ61" s="147">
        <f t="shared" si="115"/>
        <v>0</v>
      </c>
      <c r="AR61" s="147">
        <f t="shared" si="115"/>
        <v>0</v>
      </c>
      <c r="AS61" s="147">
        <f t="shared" si="115"/>
        <v>0</v>
      </c>
      <c r="AT61" s="147">
        <f t="shared" si="115"/>
        <v>0</v>
      </c>
      <c r="AU61" s="147">
        <f t="shared" si="115"/>
        <v>0</v>
      </c>
      <c r="AV61" s="147">
        <f t="shared" si="115"/>
        <v>0</v>
      </c>
      <c r="AW61" s="147">
        <f t="shared" si="115"/>
        <v>0</v>
      </c>
      <c r="AX61" s="147">
        <f t="shared" si="115"/>
        <v>0</v>
      </c>
      <c r="AY61" s="147">
        <f t="shared" si="115"/>
        <v>0</v>
      </c>
      <c r="AZ61" s="147">
        <f t="shared" si="115"/>
        <v>0</v>
      </c>
      <c r="BA61" s="147">
        <f t="shared" si="115"/>
        <v>0</v>
      </c>
      <c r="BB61" s="147">
        <f t="shared" si="115"/>
        <v>0</v>
      </c>
      <c r="BC61" s="147">
        <f t="shared" si="115"/>
        <v>0</v>
      </c>
      <c r="BD61" s="147">
        <f t="shared" si="115"/>
        <v>0</v>
      </c>
      <c r="BE61" s="147">
        <f t="shared" si="115"/>
        <v>0</v>
      </c>
      <c r="BF61" s="147">
        <f t="shared" si="115"/>
        <v>0</v>
      </c>
      <c r="BG61" s="147">
        <f t="shared" si="115"/>
        <v>0</v>
      </c>
      <c r="BH61" s="147">
        <f t="shared" si="115"/>
        <v>0</v>
      </c>
      <c r="BI61" s="147">
        <f t="shared" si="115"/>
        <v>0</v>
      </c>
      <c r="BJ61" s="147">
        <f t="shared" si="115"/>
        <v>0</v>
      </c>
      <c r="BK61" s="147">
        <f t="shared" si="115"/>
        <v>0</v>
      </c>
      <c r="BL61" s="147">
        <f t="shared" si="115"/>
        <v>0</v>
      </c>
      <c r="BM61" s="147">
        <f t="shared" si="115"/>
        <v>0</v>
      </c>
      <c r="BN61" s="147">
        <f t="shared" si="115"/>
        <v>0</v>
      </c>
      <c r="BO61" s="147">
        <f t="shared" si="115"/>
        <v>0</v>
      </c>
      <c r="BP61" s="147">
        <f t="shared" si="115"/>
        <v>0</v>
      </c>
      <c r="BQ61" s="147">
        <f t="shared" si="115"/>
        <v>0</v>
      </c>
      <c r="BR61" s="147">
        <f t="shared" si="115"/>
        <v>0</v>
      </c>
      <c r="BS61" s="147">
        <f t="shared" si="115"/>
        <v>0</v>
      </c>
      <c r="BT61" s="147">
        <f t="shared" si="115"/>
        <v>0</v>
      </c>
      <c r="BU61" s="147">
        <f t="shared" si="115"/>
        <v>0</v>
      </c>
      <c r="BV61" s="147">
        <f t="shared" si="115"/>
        <v>0</v>
      </c>
      <c r="BW61" s="147">
        <f t="shared" si="115"/>
        <v>0</v>
      </c>
      <c r="BX61" s="147">
        <f t="shared" si="115"/>
        <v>0</v>
      </c>
      <c r="BY61" s="147">
        <f t="shared" si="115"/>
        <v>0</v>
      </c>
      <c r="BZ61" s="147">
        <f t="shared" si="115"/>
        <v>0</v>
      </c>
      <c r="CA61" s="147">
        <f t="shared" si="115"/>
        <v>0</v>
      </c>
      <c r="CB61" s="147">
        <f t="shared" si="115"/>
        <v>0</v>
      </c>
      <c r="CC61" s="147">
        <f t="shared" si="115"/>
        <v>0</v>
      </c>
      <c r="CD61" s="147">
        <f t="shared" si="115"/>
        <v>0</v>
      </c>
      <c r="CE61" s="147">
        <f t="shared" si="115"/>
        <v>0</v>
      </c>
      <c r="CF61" s="147">
        <f t="shared" si="115"/>
        <v>0</v>
      </c>
    </row>
    <row r="62" spans="1:84" s="147" customFormat="1" ht="13.2" hidden="1" outlineLevel="1" x14ac:dyDescent="0.25">
      <c r="A62" s="211"/>
      <c r="B62" s="250" t="str">
        <f>KeyInputs!C112</f>
        <v>ICT equipement</v>
      </c>
      <c r="D62" s="231" t="str">
        <f t="shared" si="105"/>
        <v>£</v>
      </c>
      <c r="E62" s="147">
        <f>KeyInputs!E112</f>
        <v>0</v>
      </c>
      <c r="F62" s="147">
        <f>KeyInputs!F112</f>
        <v>0</v>
      </c>
      <c r="G62" s="147">
        <f>KeyInputs!G112</f>
        <v>0</v>
      </c>
      <c r="H62" s="147">
        <f>'Outputs - BalanceSheet'!E13</f>
        <v>0</v>
      </c>
      <c r="I62" s="147">
        <f>'Outputs - BalanceSheet'!F13</f>
        <v>0</v>
      </c>
      <c r="J62" s="147">
        <f>'Outputs - BalanceSheet'!G13</f>
        <v>0</v>
      </c>
      <c r="K62" s="147">
        <f>'Outputs - BalanceSheet'!H13</f>
        <v>0</v>
      </c>
      <c r="L62" s="147">
        <f>'Outputs - BalanceSheet'!I13</f>
        <v>0</v>
      </c>
      <c r="N62" s="147">
        <f>'Outputs - Summary'!E63</f>
        <v>0</v>
      </c>
      <c r="O62" s="147">
        <f>'Outputs - Summary'!F63</f>
        <v>0</v>
      </c>
      <c r="P62" s="147">
        <f>'Outputs - Summary'!G63</f>
        <v>0</v>
      </c>
      <c r="Q62" s="147">
        <f>'Outputs - Summary'!H63</f>
        <v>0</v>
      </c>
      <c r="R62" s="147">
        <f>'Outputs - Summary'!I63</f>
        <v>0</v>
      </c>
      <c r="S62" s="147">
        <f>'Outputs - Summary'!J63</f>
        <v>0</v>
      </c>
      <c r="T62" s="147">
        <f>'Outputs - Summary'!K63</f>
        <v>0</v>
      </c>
      <c r="U62" s="147">
        <f>'Outputs - Summary'!L63</f>
        <v>0</v>
      </c>
      <c r="W62" s="147">
        <f t="shared" si="108"/>
        <v>0</v>
      </c>
      <c r="X62" s="147">
        <f t="shared" si="108"/>
        <v>0</v>
      </c>
      <c r="Y62" s="147">
        <f t="shared" si="109"/>
        <v>0</v>
      </c>
      <c r="Z62" s="147">
        <f t="shared" si="110"/>
        <v>0</v>
      </c>
      <c r="AA62" s="147">
        <f t="shared" si="111"/>
        <v>0</v>
      </c>
      <c r="AB62" s="147">
        <f t="shared" si="112"/>
        <v>0</v>
      </c>
      <c r="AC62" s="147">
        <f t="shared" si="113"/>
        <v>0</v>
      </c>
      <c r="AD62" s="147">
        <f t="shared" si="114"/>
        <v>0</v>
      </c>
      <c r="AG62" s="147">
        <f>Capex!S73</f>
        <v>0</v>
      </c>
      <c r="AH62" s="147">
        <f>Capex!T73</f>
        <v>0</v>
      </c>
      <c r="AI62" s="147">
        <f>Capex!U73</f>
        <v>0</v>
      </c>
      <c r="AJ62" s="147">
        <f>Capex!V73</f>
        <v>0</v>
      </c>
      <c r="AK62" s="147">
        <f>Capex!W73</f>
        <v>0</v>
      </c>
      <c r="AL62" s="147">
        <f>Capex!X73</f>
        <v>0</v>
      </c>
      <c r="AM62" s="147">
        <f>Capex!Y73</f>
        <v>0</v>
      </c>
      <c r="AN62" s="147">
        <f>Capex!Z73</f>
        <v>0</v>
      </c>
      <c r="AO62" s="147">
        <f>Capex!AA73</f>
        <v>0</v>
      </c>
      <c r="AP62" s="147">
        <f>Capex!AB73</f>
        <v>0</v>
      </c>
      <c r="AQ62" s="147">
        <f>Capex!AC73</f>
        <v>0</v>
      </c>
      <c r="AR62" s="147">
        <f>Capex!AD73</f>
        <v>0</v>
      </c>
      <c r="AS62" s="147">
        <f>Capex!AE73</f>
        <v>0</v>
      </c>
      <c r="AT62" s="147">
        <f>Capex!AF73</f>
        <v>0</v>
      </c>
      <c r="AU62" s="147">
        <f>Capex!AG73</f>
        <v>0</v>
      </c>
      <c r="AV62" s="147">
        <f>Capex!AH73</f>
        <v>0</v>
      </c>
      <c r="AW62" s="147">
        <f>Capex!AI73</f>
        <v>0</v>
      </c>
      <c r="AX62" s="147">
        <f>Capex!AJ73</f>
        <v>0</v>
      </c>
      <c r="AY62" s="147">
        <f>Capex!AK73</f>
        <v>0</v>
      </c>
      <c r="AZ62" s="147">
        <f>Capex!AL73</f>
        <v>0</v>
      </c>
      <c r="BA62" s="147">
        <f>Capex!AM73</f>
        <v>0</v>
      </c>
      <c r="BB62" s="147">
        <f>Capex!AN73</f>
        <v>0</v>
      </c>
      <c r="BC62" s="147">
        <f>Capex!AO73</f>
        <v>0</v>
      </c>
      <c r="BD62" s="147">
        <f>Capex!AP73</f>
        <v>0</v>
      </c>
      <c r="BE62" s="147">
        <f>Capex!AQ73</f>
        <v>0</v>
      </c>
      <c r="BF62" s="147">
        <f>Capex!AR73</f>
        <v>0</v>
      </c>
      <c r="BG62" s="147">
        <f>Capex!AS73</f>
        <v>0</v>
      </c>
      <c r="BH62" s="147">
        <f>Capex!AT73</f>
        <v>0</v>
      </c>
      <c r="BI62" s="147">
        <f>Capex!AU73</f>
        <v>0</v>
      </c>
      <c r="BJ62" s="147">
        <f>Capex!AV73</f>
        <v>0</v>
      </c>
      <c r="BK62" s="147">
        <f>Capex!AW73</f>
        <v>0</v>
      </c>
      <c r="BL62" s="147">
        <f>Capex!AX73</f>
        <v>0</v>
      </c>
      <c r="BM62" s="147">
        <f>Capex!AY73</f>
        <v>0</v>
      </c>
      <c r="BN62" s="147">
        <f>Capex!AZ73</f>
        <v>0</v>
      </c>
      <c r="BO62" s="147">
        <f>Capex!BA73</f>
        <v>0</v>
      </c>
      <c r="BP62" s="147">
        <f>Capex!BB73</f>
        <v>0</v>
      </c>
      <c r="BQ62" s="147">
        <f>Capex!BC73</f>
        <v>0</v>
      </c>
      <c r="BR62" s="147">
        <f>Capex!BD73</f>
        <v>0</v>
      </c>
      <c r="BS62" s="147">
        <f>Capex!BE73</f>
        <v>0</v>
      </c>
      <c r="BT62" s="147">
        <f>Capex!BF73</f>
        <v>0</v>
      </c>
      <c r="BU62" s="147">
        <f>Capex!BG73</f>
        <v>0</v>
      </c>
      <c r="BV62" s="147">
        <f>Capex!BH73</f>
        <v>0</v>
      </c>
      <c r="BW62" s="147">
        <f>Capex!BI73</f>
        <v>0</v>
      </c>
      <c r="BX62" s="147">
        <f>Capex!BJ73</f>
        <v>0</v>
      </c>
      <c r="BY62" s="147">
        <f>Capex!BK73</f>
        <v>0</v>
      </c>
      <c r="BZ62" s="147">
        <f>Capex!BL73</f>
        <v>0</v>
      </c>
      <c r="CA62" s="147">
        <f>Capex!BM73</f>
        <v>0</v>
      </c>
      <c r="CB62" s="147">
        <f>Capex!BN73</f>
        <v>0</v>
      </c>
      <c r="CC62" s="147">
        <f>Capex!BO73</f>
        <v>0</v>
      </c>
      <c r="CD62" s="147">
        <f>Capex!BP73</f>
        <v>0</v>
      </c>
      <c r="CE62" s="147">
        <f>Capex!BQ73</f>
        <v>0</v>
      </c>
      <c r="CF62" s="147">
        <f>Capex!BR73</f>
        <v>0</v>
      </c>
    </row>
    <row r="63" spans="1:84" s="147" customFormat="1" ht="13.2" hidden="1" outlineLevel="1" x14ac:dyDescent="0.25">
      <c r="A63" s="211"/>
      <c r="B63" s="250" t="str">
        <f>KeyInputs!C113</f>
        <v>F&amp;F</v>
      </c>
      <c r="D63" s="231" t="str">
        <f t="shared" si="105"/>
        <v>£</v>
      </c>
      <c r="E63" s="147">
        <f>KeyInputs!E113</f>
        <v>0</v>
      </c>
      <c r="F63" s="147">
        <f>KeyInputs!F113</f>
        <v>0</v>
      </c>
      <c r="G63" s="147">
        <f>KeyInputs!G113</f>
        <v>0</v>
      </c>
      <c r="H63" s="147">
        <f>'Outputs - BalanceSheet'!E14</f>
        <v>0</v>
      </c>
      <c r="I63" s="147">
        <f>'Outputs - BalanceSheet'!F14</f>
        <v>0</v>
      </c>
      <c r="J63" s="147">
        <f>'Outputs - BalanceSheet'!G14</f>
        <v>0</v>
      </c>
      <c r="K63" s="147">
        <f>'Outputs - BalanceSheet'!H14</f>
        <v>0</v>
      </c>
      <c r="L63" s="147">
        <f>'Outputs - BalanceSheet'!I14</f>
        <v>0</v>
      </c>
      <c r="N63" s="147">
        <f>'Outputs - Summary'!E64</f>
        <v>0</v>
      </c>
      <c r="O63" s="147">
        <f>'Outputs - Summary'!F64</f>
        <v>0</v>
      </c>
      <c r="P63" s="147">
        <f>'Outputs - Summary'!G64</f>
        <v>0</v>
      </c>
      <c r="Q63" s="147">
        <f>'Outputs - Summary'!H64</f>
        <v>0</v>
      </c>
      <c r="R63" s="147">
        <f>'Outputs - Summary'!I64</f>
        <v>0</v>
      </c>
      <c r="S63" s="147">
        <f>'Outputs - Summary'!J64</f>
        <v>0</v>
      </c>
      <c r="T63" s="147">
        <f>'Outputs - Summary'!K64</f>
        <v>0</v>
      </c>
      <c r="U63" s="147">
        <f>'Outputs - Summary'!L64</f>
        <v>0</v>
      </c>
      <c r="W63" s="147">
        <f t="shared" si="108"/>
        <v>0</v>
      </c>
      <c r="X63" s="147">
        <f t="shared" si="108"/>
        <v>0</v>
      </c>
      <c r="Y63" s="147">
        <f t="shared" si="109"/>
        <v>0</v>
      </c>
      <c r="Z63" s="147">
        <f t="shared" si="110"/>
        <v>0</v>
      </c>
      <c r="AA63" s="147">
        <f t="shared" si="111"/>
        <v>0</v>
      </c>
      <c r="AB63" s="147">
        <f t="shared" si="112"/>
        <v>0</v>
      </c>
      <c r="AC63" s="147">
        <f t="shared" si="113"/>
        <v>0</v>
      </c>
      <c r="AD63" s="147">
        <f t="shared" si="114"/>
        <v>0</v>
      </c>
      <c r="AG63" s="147">
        <f>Capex!S83</f>
        <v>0</v>
      </c>
      <c r="AH63" s="147">
        <f>Capex!T83</f>
        <v>0</v>
      </c>
      <c r="AI63" s="147">
        <f>Capex!U83</f>
        <v>0</v>
      </c>
      <c r="AJ63" s="147">
        <f>Capex!V83</f>
        <v>0</v>
      </c>
      <c r="AK63" s="147">
        <f>Capex!W83</f>
        <v>0</v>
      </c>
      <c r="AL63" s="147">
        <f>Capex!X83</f>
        <v>0</v>
      </c>
      <c r="AM63" s="147">
        <f>Capex!Y83</f>
        <v>0</v>
      </c>
      <c r="AN63" s="147">
        <f>Capex!Z83</f>
        <v>0</v>
      </c>
      <c r="AO63" s="147">
        <f>Capex!AA83</f>
        <v>0</v>
      </c>
      <c r="AP63" s="147">
        <f>Capex!AB83</f>
        <v>0</v>
      </c>
      <c r="AQ63" s="147">
        <f>Capex!AC83</f>
        <v>0</v>
      </c>
      <c r="AR63" s="147">
        <f>Capex!AD83</f>
        <v>0</v>
      </c>
      <c r="AS63" s="147">
        <f>Capex!AE83</f>
        <v>0</v>
      </c>
      <c r="AT63" s="147">
        <f>Capex!AF83</f>
        <v>0</v>
      </c>
      <c r="AU63" s="147">
        <f>Capex!AG83</f>
        <v>0</v>
      </c>
      <c r="AV63" s="147">
        <f>Capex!AH83</f>
        <v>0</v>
      </c>
      <c r="AW63" s="147">
        <f>Capex!AI83</f>
        <v>0</v>
      </c>
      <c r="AX63" s="147">
        <f>Capex!AJ83</f>
        <v>0</v>
      </c>
      <c r="AY63" s="147">
        <f>Capex!AK83</f>
        <v>0</v>
      </c>
      <c r="AZ63" s="147">
        <f>Capex!AL83</f>
        <v>0</v>
      </c>
      <c r="BA63" s="147">
        <f>Capex!AM83</f>
        <v>0</v>
      </c>
      <c r="BB63" s="147">
        <f>Capex!AN83</f>
        <v>0</v>
      </c>
      <c r="BC63" s="147">
        <f>Capex!AO83</f>
        <v>0</v>
      </c>
      <c r="BD63" s="147">
        <f>Capex!AP83</f>
        <v>0</v>
      </c>
      <c r="BE63" s="147">
        <f>Capex!AQ83</f>
        <v>0</v>
      </c>
      <c r="BF63" s="147">
        <f>Capex!AR83</f>
        <v>0</v>
      </c>
      <c r="BG63" s="147">
        <f>Capex!AS83</f>
        <v>0</v>
      </c>
      <c r="BH63" s="147">
        <f>Capex!AT83</f>
        <v>0</v>
      </c>
      <c r="BI63" s="147">
        <f>Capex!AU83</f>
        <v>0</v>
      </c>
      <c r="BJ63" s="147">
        <f>Capex!AV83</f>
        <v>0</v>
      </c>
      <c r="BK63" s="147">
        <f>Capex!AW83</f>
        <v>0</v>
      </c>
      <c r="BL63" s="147">
        <f>Capex!AX83</f>
        <v>0</v>
      </c>
      <c r="BM63" s="147">
        <f>Capex!AY83</f>
        <v>0</v>
      </c>
      <c r="BN63" s="147">
        <f>Capex!AZ83</f>
        <v>0</v>
      </c>
      <c r="BO63" s="147">
        <f>Capex!BA83</f>
        <v>0</v>
      </c>
      <c r="BP63" s="147">
        <f>Capex!BB83</f>
        <v>0</v>
      </c>
      <c r="BQ63" s="147">
        <f>Capex!BC83</f>
        <v>0</v>
      </c>
      <c r="BR63" s="147">
        <f>Capex!BD83</f>
        <v>0</v>
      </c>
      <c r="BS63" s="147">
        <f>Capex!BE83</f>
        <v>0</v>
      </c>
      <c r="BT63" s="147">
        <f>Capex!BF83</f>
        <v>0</v>
      </c>
      <c r="BU63" s="147">
        <f>Capex!BG83</f>
        <v>0</v>
      </c>
      <c r="BV63" s="147">
        <f>Capex!BH83</f>
        <v>0</v>
      </c>
      <c r="BW63" s="147">
        <f>Capex!BI83</f>
        <v>0</v>
      </c>
      <c r="BX63" s="147">
        <f>Capex!BJ83</f>
        <v>0</v>
      </c>
      <c r="BY63" s="147">
        <f>Capex!BK83</f>
        <v>0</v>
      </c>
      <c r="BZ63" s="147">
        <f>Capex!BL83</f>
        <v>0</v>
      </c>
      <c r="CA63" s="147">
        <f>Capex!BM83</f>
        <v>0</v>
      </c>
      <c r="CB63" s="147">
        <f>Capex!BN83</f>
        <v>0</v>
      </c>
      <c r="CC63" s="147">
        <f>Capex!BO83</f>
        <v>0</v>
      </c>
      <c r="CD63" s="147">
        <f>Capex!BP83</f>
        <v>0</v>
      </c>
      <c r="CE63" s="147">
        <f>Capex!BQ83</f>
        <v>0</v>
      </c>
      <c r="CF63" s="147">
        <f>Capex!BR83</f>
        <v>0</v>
      </c>
    </row>
    <row r="64" spans="1:84" s="147" customFormat="1" ht="13.2" hidden="1" outlineLevel="1" x14ac:dyDescent="0.25">
      <c r="A64" s="211"/>
      <c r="B64" s="250" t="str">
        <f>KeyInputs!C114</f>
        <v xml:space="preserve">Property </v>
      </c>
      <c r="D64" s="231" t="str">
        <f t="shared" si="105"/>
        <v>£</v>
      </c>
      <c r="E64" s="147">
        <f>KeyInputs!E114</f>
        <v>0</v>
      </c>
      <c r="F64" s="147">
        <f>KeyInputs!F114</f>
        <v>0</v>
      </c>
      <c r="G64" s="147">
        <f>KeyInputs!G114</f>
        <v>0</v>
      </c>
      <c r="H64" s="147">
        <f>'Outputs - BalanceSheet'!E15</f>
        <v>0</v>
      </c>
      <c r="I64" s="147">
        <f>'Outputs - BalanceSheet'!F15</f>
        <v>0</v>
      </c>
      <c r="J64" s="147">
        <f>'Outputs - BalanceSheet'!G15</f>
        <v>0</v>
      </c>
      <c r="K64" s="147">
        <f>'Outputs - BalanceSheet'!H15</f>
        <v>0</v>
      </c>
      <c r="L64" s="147">
        <f>'Outputs - BalanceSheet'!I15</f>
        <v>0</v>
      </c>
      <c r="N64" s="147">
        <f>'Outputs - Summary'!E65</f>
        <v>0</v>
      </c>
      <c r="O64" s="147">
        <f>'Outputs - Summary'!F65</f>
        <v>0</v>
      </c>
      <c r="P64" s="147">
        <f>'Outputs - Summary'!G65</f>
        <v>0</v>
      </c>
      <c r="Q64" s="147">
        <f>'Outputs - Summary'!H65</f>
        <v>0</v>
      </c>
      <c r="R64" s="147">
        <f>'Outputs - Summary'!I65</f>
        <v>0</v>
      </c>
      <c r="S64" s="147">
        <f>'Outputs - Summary'!J65</f>
        <v>0</v>
      </c>
      <c r="T64" s="147">
        <f>'Outputs - Summary'!K65</f>
        <v>0</v>
      </c>
      <c r="U64" s="147">
        <f>'Outputs - Summary'!L65</f>
        <v>0</v>
      </c>
      <c r="W64" s="147">
        <f t="shared" si="108"/>
        <v>0</v>
      </c>
      <c r="X64" s="147">
        <f t="shared" si="108"/>
        <v>0</v>
      </c>
      <c r="Y64" s="147">
        <f t="shared" si="109"/>
        <v>0</v>
      </c>
      <c r="Z64" s="147">
        <f t="shared" si="110"/>
        <v>0</v>
      </c>
      <c r="AA64" s="147">
        <f t="shared" si="111"/>
        <v>0</v>
      </c>
      <c r="AB64" s="147">
        <f t="shared" si="112"/>
        <v>0</v>
      </c>
      <c r="AC64" s="147">
        <f t="shared" si="113"/>
        <v>0</v>
      </c>
      <c r="AD64" s="147">
        <f t="shared" si="114"/>
        <v>0</v>
      </c>
      <c r="AG64" s="147">
        <f>Capex!S93</f>
        <v>0</v>
      </c>
      <c r="AH64" s="147">
        <f>Capex!T93</f>
        <v>0</v>
      </c>
      <c r="AI64" s="147">
        <f>Capex!U93</f>
        <v>0</v>
      </c>
      <c r="AJ64" s="147">
        <f>Capex!V93</f>
        <v>0</v>
      </c>
      <c r="AK64" s="147">
        <f>Capex!W93</f>
        <v>0</v>
      </c>
      <c r="AL64" s="147">
        <f>Capex!X93</f>
        <v>0</v>
      </c>
      <c r="AM64" s="147">
        <f>Capex!Y93</f>
        <v>0</v>
      </c>
      <c r="AN64" s="147">
        <f>Capex!Z93</f>
        <v>0</v>
      </c>
      <c r="AO64" s="147">
        <f>Capex!AA93</f>
        <v>0</v>
      </c>
      <c r="AP64" s="147">
        <f>Capex!AB93</f>
        <v>0</v>
      </c>
      <c r="AQ64" s="147">
        <f>Capex!AC93</f>
        <v>0</v>
      </c>
      <c r="AR64" s="147">
        <f>Capex!AD93</f>
        <v>0</v>
      </c>
      <c r="AS64" s="147">
        <f>Capex!AE93</f>
        <v>0</v>
      </c>
      <c r="AT64" s="147">
        <f>Capex!AF93</f>
        <v>0</v>
      </c>
      <c r="AU64" s="147">
        <f>Capex!AG93</f>
        <v>0</v>
      </c>
      <c r="AV64" s="147">
        <f>Capex!AH93</f>
        <v>0</v>
      </c>
      <c r="AW64" s="147">
        <f>Capex!AI93</f>
        <v>0</v>
      </c>
      <c r="AX64" s="147">
        <f>Capex!AJ93</f>
        <v>0</v>
      </c>
      <c r="AY64" s="147">
        <f>Capex!AK93</f>
        <v>0</v>
      </c>
      <c r="AZ64" s="147">
        <f>Capex!AL93</f>
        <v>0</v>
      </c>
      <c r="BA64" s="147">
        <f>Capex!AM93</f>
        <v>0</v>
      </c>
      <c r="BB64" s="147">
        <f>Capex!AN93</f>
        <v>0</v>
      </c>
      <c r="BC64" s="147">
        <f>Capex!AO93</f>
        <v>0</v>
      </c>
      <c r="BD64" s="147">
        <f>Capex!AP93</f>
        <v>0</v>
      </c>
      <c r="BE64" s="147">
        <f>Capex!AQ93</f>
        <v>0</v>
      </c>
      <c r="BF64" s="147">
        <f>Capex!AR93</f>
        <v>0</v>
      </c>
      <c r="BG64" s="147">
        <f>Capex!AS93</f>
        <v>0</v>
      </c>
      <c r="BH64" s="147">
        <f>Capex!AT93</f>
        <v>0</v>
      </c>
      <c r="BI64" s="147">
        <f>Capex!AU93</f>
        <v>0</v>
      </c>
      <c r="BJ64" s="147">
        <f>Capex!AV93</f>
        <v>0</v>
      </c>
      <c r="BK64" s="147">
        <f>Capex!AW93</f>
        <v>0</v>
      </c>
      <c r="BL64" s="147">
        <f>Capex!AX93</f>
        <v>0</v>
      </c>
      <c r="BM64" s="147">
        <f>Capex!AY93</f>
        <v>0</v>
      </c>
      <c r="BN64" s="147">
        <f>Capex!AZ93</f>
        <v>0</v>
      </c>
      <c r="BO64" s="147">
        <f>Capex!BA93</f>
        <v>0</v>
      </c>
      <c r="BP64" s="147">
        <f>Capex!BB93</f>
        <v>0</v>
      </c>
      <c r="BQ64" s="147">
        <f>Capex!BC93</f>
        <v>0</v>
      </c>
      <c r="BR64" s="147">
        <f>Capex!BD93</f>
        <v>0</v>
      </c>
      <c r="BS64" s="147">
        <f>Capex!BE93</f>
        <v>0</v>
      </c>
      <c r="BT64" s="147">
        <f>Capex!BF93</f>
        <v>0</v>
      </c>
      <c r="BU64" s="147">
        <f>Capex!BG93</f>
        <v>0</v>
      </c>
      <c r="BV64" s="147">
        <f>Capex!BH93</f>
        <v>0</v>
      </c>
      <c r="BW64" s="147">
        <f>Capex!BI93</f>
        <v>0</v>
      </c>
      <c r="BX64" s="147">
        <f>Capex!BJ93</f>
        <v>0</v>
      </c>
      <c r="BY64" s="147">
        <f>Capex!BK93</f>
        <v>0</v>
      </c>
      <c r="BZ64" s="147">
        <f>Capex!BL93</f>
        <v>0</v>
      </c>
      <c r="CA64" s="147">
        <f>Capex!BM93</f>
        <v>0</v>
      </c>
      <c r="CB64" s="147">
        <f>Capex!BN93</f>
        <v>0</v>
      </c>
      <c r="CC64" s="147">
        <f>Capex!BO93</f>
        <v>0</v>
      </c>
      <c r="CD64" s="147">
        <f>Capex!BP93</f>
        <v>0</v>
      </c>
      <c r="CE64" s="147">
        <f>Capex!BQ93</f>
        <v>0</v>
      </c>
      <c r="CF64" s="147">
        <f>Capex!BR93</f>
        <v>0</v>
      </c>
    </row>
    <row r="65" spans="1:84" s="147" customFormat="1" ht="13.2" hidden="1" outlineLevel="1" x14ac:dyDescent="0.25">
      <c r="A65" s="211"/>
      <c r="B65" s="250" t="str">
        <f>KeyInputs!C115</f>
        <v>Vehicles</v>
      </c>
      <c r="D65" s="231" t="str">
        <f t="shared" si="105"/>
        <v>£</v>
      </c>
      <c r="E65" s="147">
        <f>KeyInputs!E115</f>
        <v>0</v>
      </c>
      <c r="F65" s="147">
        <f>KeyInputs!F115</f>
        <v>0</v>
      </c>
      <c r="G65" s="147">
        <f>KeyInputs!G115</f>
        <v>0</v>
      </c>
      <c r="H65" s="147">
        <f>'Outputs - BalanceSheet'!E16</f>
        <v>0</v>
      </c>
      <c r="I65" s="147">
        <f>'Outputs - BalanceSheet'!F16</f>
        <v>0</v>
      </c>
      <c r="J65" s="147">
        <f>'Outputs - BalanceSheet'!G16</f>
        <v>0</v>
      </c>
      <c r="K65" s="147">
        <f>'Outputs - BalanceSheet'!H16</f>
        <v>0</v>
      </c>
      <c r="L65" s="147">
        <f>'Outputs - BalanceSheet'!I16</f>
        <v>0</v>
      </c>
      <c r="N65" s="147">
        <f>'Outputs - Summary'!E66</f>
        <v>0</v>
      </c>
      <c r="O65" s="147">
        <f>'Outputs - Summary'!F66</f>
        <v>0</v>
      </c>
      <c r="P65" s="147">
        <f>'Outputs - Summary'!G66</f>
        <v>0</v>
      </c>
      <c r="Q65" s="147">
        <f>'Outputs - Summary'!H66</f>
        <v>0</v>
      </c>
      <c r="R65" s="147">
        <f>'Outputs - Summary'!I66</f>
        <v>0</v>
      </c>
      <c r="S65" s="147">
        <f>'Outputs - Summary'!J66</f>
        <v>0</v>
      </c>
      <c r="T65" s="147">
        <f>'Outputs - Summary'!K66</f>
        <v>0</v>
      </c>
      <c r="U65" s="147">
        <f>'Outputs - Summary'!L66</f>
        <v>0</v>
      </c>
      <c r="W65" s="147">
        <f t="shared" si="108"/>
        <v>0</v>
      </c>
      <c r="X65" s="147">
        <f t="shared" si="108"/>
        <v>0</v>
      </c>
      <c r="Y65" s="147">
        <f t="shared" si="109"/>
        <v>0</v>
      </c>
      <c r="Z65" s="147">
        <f t="shared" si="110"/>
        <v>0</v>
      </c>
      <c r="AA65" s="147">
        <f t="shared" si="111"/>
        <v>0</v>
      </c>
      <c r="AB65" s="147">
        <f t="shared" si="112"/>
        <v>0</v>
      </c>
      <c r="AC65" s="147">
        <f t="shared" si="113"/>
        <v>0</v>
      </c>
      <c r="AD65" s="147">
        <f t="shared" si="114"/>
        <v>0</v>
      </c>
      <c r="AG65" s="147">
        <f>Capex!S103</f>
        <v>0</v>
      </c>
      <c r="AH65" s="147">
        <f>Capex!T103</f>
        <v>0</v>
      </c>
      <c r="AI65" s="147">
        <f>Capex!U103</f>
        <v>0</v>
      </c>
      <c r="AJ65" s="147">
        <f>Capex!V103</f>
        <v>0</v>
      </c>
      <c r="AK65" s="147">
        <f>Capex!W103</f>
        <v>0</v>
      </c>
      <c r="AL65" s="147">
        <f>Capex!X103</f>
        <v>0</v>
      </c>
      <c r="AM65" s="147">
        <f>Capex!Y103</f>
        <v>0</v>
      </c>
      <c r="AN65" s="147">
        <f>Capex!Z103</f>
        <v>0</v>
      </c>
      <c r="AO65" s="147">
        <f>Capex!AA103</f>
        <v>0</v>
      </c>
      <c r="AP65" s="147">
        <f>Capex!AB103</f>
        <v>0</v>
      </c>
      <c r="AQ65" s="147">
        <f>Capex!AC103</f>
        <v>0</v>
      </c>
      <c r="AR65" s="147">
        <f>Capex!AD103</f>
        <v>0</v>
      </c>
      <c r="AS65" s="147">
        <f>Capex!AE103</f>
        <v>0</v>
      </c>
      <c r="AT65" s="147">
        <f>Capex!AF103</f>
        <v>0</v>
      </c>
      <c r="AU65" s="147">
        <f>Capex!AG103</f>
        <v>0</v>
      </c>
      <c r="AV65" s="147">
        <f>Capex!AH103</f>
        <v>0</v>
      </c>
      <c r="AW65" s="147">
        <f>Capex!AI103</f>
        <v>0</v>
      </c>
      <c r="AX65" s="147">
        <f>Capex!AJ103</f>
        <v>0</v>
      </c>
      <c r="AY65" s="147">
        <f>Capex!AK103</f>
        <v>0</v>
      </c>
      <c r="AZ65" s="147">
        <f>Capex!AL103</f>
        <v>0</v>
      </c>
      <c r="BA65" s="147">
        <f>Capex!AM103</f>
        <v>0</v>
      </c>
      <c r="BB65" s="147">
        <f>Capex!AN103</f>
        <v>0</v>
      </c>
      <c r="BC65" s="147">
        <f>Capex!AO103</f>
        <v>0</v>
      </c>
      <c r="BD65" s="147">
        <f>Capex!AP103</f>
        <v>0</v>
      </c>
      <c r="BE65" s="147">
        <f>Capex!AQ103</f>
        <v>0</v>
      </c>
      <c r="BF65" s="147">
        <f>Capex!AR103</f>
        <v>0</v>
      </c>
      <c r="BG65" s="147">
        <f>Capex!AS103</f>
        <v>0</v>
      </c>
      <c r="BH65" s="147">
        <f>Capex!AT103</f>
        <v>0</v>
      </c>
      <c r="BI65" s="147">
        <f>Capex!AU103</f>
        <v>0</v>
      </c>
      <c r="BJ65" s="147">
        <f>Capex!AV103</f>
        <v>0</v>
      </c>
      <c r="BK65" s="147">
        <f>Capex!AW103</f>
        <v>0</v>
      </c>
      <c r="BL65" s="147">
        <f>Capex!AX103</f>
        <v>0</v>
      </c>
      <c r="BM65" s="147">
        <f>Capex!AY103</f>
        <v>0</v>
      </c>
      <c r="BN65" s="147">
        <f>Capex!AZ103</f>
        <v>0</v>
      </c>
      <c r="BO65" s="147">
        <f>Capex!BA103</f>
        <v>0</v>
      </c>
      <c r="BP65" s="147">
        <f>Capex!BB103</f>
        <v>0</v>
      </c>
      <c r="BQ65" s="147">
        <f>Capex!BC103</f>
        <v>0</v>
      </c>
      <c r="BR65" s="147">
        <f>Capex!BD103</f>
        <v>0</v>
      </c>
      <c r="BS65" s="147">
        <f>Capex!BE103</f>
        <v>0</v>
      </c>
      <c r="BT65" s="147">
        <f>Capex!BF103</f>
        <v>0</v>
      </c>
      <c r="BU65" s="147">
        <f>Capex!BG103</f>
        <v>0</v>
      </c>
      <c r="BV65" s="147">
        <f>Capex!BH103</f>
        <v>0</v>
      </c>
      <c r="BW65" s="147">
        <f>Capex!BI103</f>
        <v>0</v>
      </c>
      <c r="BX65" s="147">
        <f>Capex!BJ103</f>
        <v>0</v>
      </c>
      <c r="BY65" s="147">
        <f>Capex!BK103</f>
        <v>0</v>
      </c>
      <c r="BZ65" s="147">
        <f>Capex!BL103</f>
        <v>0</v>
      </c>
      <c r="CA65" s="147">
        <f>Capex!BM103</f>
        <v>0</v>
      </c>
      <c r="CB65" s="147">
        <f>Capex!BN103</f>
        <v>0</v>
      </c>
      <c r="CC65" s="147">
        <f>Capex!BO103</f>
        <v>0</v>
      </c>
      <c r="CD65" s="147">
        <f>Capex!BP103</f>
        <v>0</v>
      </c>
      <c r="CE65" s="147">
        <f>Capex!BQ103</f>
        <v>0</v>
      </c>
      <c r="CF65" s="147">
        <f>Capex!BR103</f>
        <v>0</v>
      </c>
    </row>
    <row r="66" spans="1:84" s="147" customFormat="1" ht="13.2" hidden="1" outlineLevel="1" x14ac:dyDescent="0.25">
      <c r="A66" s="211"/>
      <c r="B66" s="250" t="str">
        <f>KeyInputs!C116</f>
        <v>n/a</v>
      </c>
      <c r="D66" s="231" t="str">
        <f t="shared" si="105"/>
        <v>£</v>
      </c>
      <c r="E66" s="147">
        <f>KeyInputs!E116</f>
        <v>0</v>
      </c>
      <c r="F66" s="147">
        <f>KeyInputs!F116</f>
        <v>0</v>
      </c>
      <c r="G66" s="147">
        <f>KeyInputs!G116</f>
        <v>0</v>
      </c>
      <c r="H66" s="147">
        <f>'Outputs - BalanceSheet'!E17</f>
        <v>0</v>
      </c>
      <c r="I66" s="147">
        <f>'Outputs - BalanceSheet'!F17</f>
        <v>0</v>
      </c>
      <c r="J66" s="147">
        <f>'Outputs - BalanceSheet'!G17</f>
        <v>0</v>
      </c>
      <c r="K66" s="147">
        <f>'Outputs - BalanceSheet'!H17</f>
        <v>0</v>
      </c>
      <c r="L66" s="147">
        <f>'Outputs - BalanceSheet'!I17</f>
        <v>0</v>
      </c>
      <c r="N66" s="147">
        <f>'Outputs - Summary'!E67</f>
        <v>0</v>
      </c>
      <c r="O66" s="147">
        <f>'Outputs - Summary'!F67</f>
        <v>0</v>
      </c>
      <c r="P66" s="147">
        <f>'Outputs - Summary'!G67</f>
        <v>0</v>
      </c>
      <c r="Q66" s="147">
        <f>'Outputs - Summary'!H67</f>
        <v>0</v>
      </c>
      <c r="R66" s="147">
        <f>'Outputs - Summary'!I67</f>
        <v>0</v>
      </c>
      <c r="S66" s="147">
        <f>'Outputs - Summary'!J67</f>
        <v>0</v>
      </c>
      <c r="T66" s="147">
        <f>'Outputs - Summary'!K67</f>
        <v>0</v>
      </c>
      <c r="U66" s="147">
        <f>'Outputs - Summary'!L67</f>
        <v>0</v>
      </c>
      <c r="W66" s="147">
        <f t="shared" si="108"/>
        <v>0</v>
      </c>
      <c r="X66" s="147">
        <f t="shared" si="108"/>
        <v>0</v>
      </c>
      <c r="Y66" s="147">
        <f t="shared" si="109"/>
        <v>0</v>
      </c>
      <c r="Z66" s="147">
        <f t="shared" si="110"/>
        <v>0</v>
      </c>
      <c r="AA66" s="147">
        <f t="shared" si="111"/>
        <v>0</v>
      </c>
      <c r="AB66" s="147">
        <f t="shared" si="112"/>
        <v>0</v>
      </c>
      <c r="AC66" s="147">
        <f t="shared" si="113"/>
        <v>0</v>
      </c>
      <c r="AD66" s="147">
        <f t="shared" si="114"/>
        <v>0</v>
      </c>
      <c r="AG66" s="147">
        <f>Capex!S113</f>
        <v>0</v>
      </c>
      <c r="AH66" s="147">
        <f>Capex!T113</f>
        <v>0</v>
      </c>
      <c r="AI66" s="147">
        <f>Capex!U113</f>
        <v>0</v>
      </c>
      <c r="AJ66" s="147">
        <f>Capex!V113</f>
        <v>0</v>
      </c>
      <c r="AK66" s="147">
        <f>Capex!W113</f>
        <v>0</v>
      </c>
      <c r="AL66" s="147">
        <f>Capex!X113</f>
        <v>0</v>
      </c>
      <c r="AM66" s="147">
        <f>Capex!Y113</f>
        <v>0</v>
      </c>
      <c r="AN66" s="147">
        <f>Capex!Z113</f>
        <v>0</v>
      </c>
      <c r="AO66" s="147">
        <f>Capex!AA113</f>
        <v>0</v>
      </c>
      <c r="AP66" s="147">
        <f>Capex!AB113</f>
        <v>0</v>
      </c>
      <c r="AQ66" s="147">
        <f>Capex!AC113</f>
        <v>0</v>
      </c>
      <c r="AR66" s="147">
        <f>Capex!AD113</f>
        <v>0</v>
      </c>
      <c r="AS66" s="147">
        <f>Capex!AE113</f>
        <v>0</v>
      </c>
      <c r="AT66" s="147">
        <f>Capex!AF113</f>
        <v>0</v>
      </c>
      <c r="AU66" s="147">
        <f>Capex!AG113</f>
        <v>0</v>
      </c>
      <c r="AV66" s="147">
        <f>Capex!AH113</f>
        <v>0</v>
      </c>
      <c r="AW66" s="147">
        <f>Capex!AI113</f>
        <v>0</v>
      </c>
      <c r="AX66" s="147">
        <f>Capex!AJ113</f>
        <v>0</v>
      </c>
      <c r="AY66" s="147">
        <f>Capex!AK113</f>
        <v>0</v>
      </c>
      <c r="AZ66" s="147">
        <f>Capex!AL113</f>
        <v>0</v>
      </c>
      <c r="BA66" s="147">
        <f>Capex!AM113</f>
        <v>0</v>
      </c>
      <c r="BB66" s="147">
        <f>Capex!AN113</f>
        <v>0</v>
      </c>
      <c r="BC66" s="147">
        <f>Capex!AO113</f>
        <v>0</v>
      </c>
      <c r="BD66" s="147">
        <f>Capex!AP113</f>
        <v>0</v>
      </c>
      <c r="BE66" s="147">
        <f>Capex!AQ113</f>
        <v>0</v>
      </c>
      <c r="BF66" s="147">
        <f>Capex!AR113</f>
        <v>0</v>
      </c>
      <c r="BG66" s="147">
        <f>Capex!AS113</f>
        <v>0</v>
      </c>
      <c r="BH66" s="147">
        <f>Capex!AT113</f>
        <v>0</v>
      </c>
      <c r="BI66" s="147">
        <f>Capex!AU113</f>
        <v>0</v>
      </c>
      <c r="BJ66" s="147">
        <f>Capex!AV113</f>
        <v>0</v>
      </c>
      <c r="BK66" s="147">
        <f>Capex!AW113</f>
        <v>0</v>
      </c>
      <c r="BL66" s="147">
        <f>Capex!AX113</f>
        <v>0</v>
      </c>
      <c r="BM66" s="147">
        <f>Capex!AY113</f>
        <v>0</v>
      </c>
      <c r="BN66" s="147">
        <f>Capex!AZ113</f>
        <v>0</v>
      </c>
      <c r="BO66" s="147">
        <f>Capex!BA113</f>
        <v>0</v>
      </c>
      <c r="BP66" s="147">
        <f>Capex!BB113</f>
        <v>0</v>
      </c>
      <c r="BQ66" s="147">
        <f>Capex!BC113</f>
        <v>0</v>
      </c>
      <c r="BR66" s="147">
        <f>Capex!BD113</f>
        <v>0</v>
      </c>
      <c r="BS66" s="147">
        <f>Capex!BE113</f>
        <v>0</v>
      </c>
      <c r="BT66" s="147">
        <f>Capex!BF113</f>
        <v>0</v>
      </c>
      <c r="BU66" s="147">
        <f>Capex!BG113</f>
        <v>0</v>
      </c>
      <c r="BV66" s="147">
        <f>Capex!BH113</f>
        <v>0</v>
      </c>
      <c r="BW66" s="147">
        <f>Capex!BI113</f>
        <v>0</v>
      </c>
      <c r="BX66" s="147">
        <f>Capex!BJ113</f>
        <v>0</v>
      </c>
      <c r="BY66" s="147">
        <f>Capex!BK113</f>
        <v>0</v>
      </c>
      <c r="BZ66" s="147">
        <f>Capex!BL113</f>
        <v>0</v>
      </c>
      <c r="CA66" s="147">
        <f>Capex!BM113</f>
        <v>0</v>
      </c>
      <c r="CB66" s="147">
        <f>Capex!BN113</f>
        <v>0</v>
      </c>
      <c r="CC66" s="147">
        <f>Capex!BO113</f>
        <v>0</v>
      </c>
      <c r="CD66" s="147">
        <f>Capex!BP113</f>
        <v>0</v>
      </c>
      <c r="CE66" s="147">
        <f>Capex!BQ113</f>
        <v>0</v>
      </c>
      <c r="CF66" s="147">
        <f>Capex!BR113</f>
        <v>0</v>
      </c>
    </row>
    <row r="67" spans="1:84" s="147" customFormat="1" ht="13.2" hidden="1" outlineLevel="1" x14ac:dyDescent="0.25">
      <c r="A67" s="211"/>
      <c r="I67" s="212"/>
      <c r="N67" s="147">
        <f>'Outputs - Summary'!E68</f>
        <v>0</v>
      </c>
      <c r="O67" s="147">
        <f>'Outputs - Summary'!F68</f>
        <v>0</v>
      </c>
      <c r="P67" s="147">
        <f>'Outputs - Summary'!G68</f>
        <v>0</v>
      </c>
      <c r="Q67" s="147">
        <f>'Outputs - Summary'!H68</f>
        <v>0</v>
      </c>
      <c r="R67" s="212">
        <f>'Outputs - Summary'!I68</f>
        <v>0</v>
      </c>
      <c r="S67" s="147">
        <f>'Outputs - Summary'!J68</f>
        <v>0</v>
      </c>
      <c r="T67" s="147">
        <f>'Outputs - Summary'!K68</f>
        <v>0</v>
      </c>
      <c r="U67" s="147">
        <f>'Outputs - Summary'!L68</f>
        <v>0</v>
      </c>
      <c r="W67" s="147">
        <f t="shared" si="108"/>
        <v>0</v>
      </c>
      <c r="X67" s="147">
        <f t="shared" si="108"/>
        <v>0</v>
      </c>
      <c r="Y67" s="147">
        <f t="shared" si="109"/>
        <v>0</v>
      </c>
      <c r="Z67" s="147">
        <f t="shared" si="110"/>
        <v>0</v>
      </c>
      <c r="AA67" s="212">
        <f t="shared" si="111"/>
        <v>0</v>
      </c>
      <c r="AB67" s="147">
        <f t="shared" si="112"/>
        <v>0</v>
      </c>
      <c r="AC67" s="147">
        <f t="shared" si="113"/>
        <v>0</v>
      </c>
      <c r="AD67" s="147">
        <f t="shared" si="114"/>
        <v>0</v>
      </c>
    </row>
    <row r="68" spans="1:84" s="147" customFormat="1" ht="13.2" collapsed="1" x14ac:dyDescent="0.25">
      <c r="B68" s="147" t="s">
        <v>196</v>
      </c>
      <c r="D68" s="231" t="str">
        <f>unit</f>
        <v>£</v>
      </c>
      <c r="E68" s="147">
        <f t="shared" ref="E68:G68" si="116">SUM(E69:E71)</f>
        <v>0</v>
      </c>
      <c r="F68" s="147">
        <f t="shared" si="116"/>
        <v>0</v>
      </c>
      <c r="G68" s="147">
        <f t="shared" si="116"/>
        <v>0</v>
      </c>
      <c r="H68" s="147">
        <f ca="1">SUM(H69:H71)</f>
        <v>0</v>
      </c>
      <c r="I68" s="147">
        <f t="shared" ref="I68:L68" ca="1" si="117">SUM(I69:I71)</f>
        <v>0</v>
      </c>
      <c r="J68" s="147">
        <f t="shared" ca="1" si="117"/>
        <v>0</v>
      </c>
      <c r="K68" s="147">
        <f t="shared" ca="1" si="117"/>
        <v>0</v>
      </c>
      <c r="L68" s="147">
        <f t="shared" ca="1" si="117"/>
        <v>0</v>
      </c>
      <c r="N68" s="147">
        <f>'Outputs - Summary'!E69</f>
        <v>0</v>
      </c>
      <c r="O68" s="147">
        <f>'Outputs - Summary'!F69</f>
        <v>0</v>
      </c>
      <c r="P68" s="147">
        <f>'Outputs - Summary'!G69</f>
        <v>0</v>
      </c>
      <c r="Q68" s="147">
        <f ca="1">'Outputs - Summary'!H69</f>
        <v>0</v>
      </c>
      <c r="R68" s="147">
        <f ca="1">'Outputs - Summary'!I69</f>
        <v>0</v>
      </c>
      <c r="S68" s="147">
        <f ca="1">'Outputs - Summary'!J69</f>
        <v>0</v>
      </c>
      <c r="T68" s="147">
        <f ca="1">'Outputs - Summary'!K69</f>
        <v>0</v>
      </c>
      <c r="U68" s="147">
        <f ca="1">'Outputs - Summary'!L69</f>
        <v>0</v>
      </c>
      <c r="W68" s="147">
        <f t="shared" si="108"/>
        <v>0</v>
      </c>
      <c r="X68" s="147">
        <f t="shared" si="108"/>
        <v>0</v>
      </c>
      <c r="Y68" s="147">
        <f t="shared" si="109"/>
        <v>0</v>
      </c>
      <c r="Z68" s="147">
        <f t="shared" ca="1" si="110"/>
        <v>0</v>
      </c>
      <c r="AA68" s="147">
        <f t="shared" ca="1" si="111"/>
        <v>0</v>
      </c>
      <c r="AB68" s="147">
        <f t="shared" ca="1" si="112"/>
        <v>0</v>
      </c>
      <c r="AC68" s="147">
        <f t="shared" ca="1" si="113"/>
        <v>0</v>
      </c>
      <c r="AD68" s="147">
        <f t="shared" ca="1" si="114"/>
        <v>0</v>
      </c>
      <c r="AG68" s="147">
        <f t="shared" ref="AG68:CF68" si="118">SUM(AG69:AG71)</f>
        <v>0</v>
      </c>
      <c r="AH68" s="147">
        <f t="shared" si="118"/>
        <v>0</v>
      </c>
      <c r="AI68" s="147">
        <f t="shared" si="118"/>
        <v>0</v>
      </c>
      <c r="AJ68" s="147">
        <f t="shared" si="118"/>
        <v>0</v>
      </c>
      <c r="AK68" s="147">
        <f t="shared" si="118"/>
        <v>0</v>
      </c>
      <c r="AL68" s="147">
        <f t="shared" si="118"/>
        <v>0</v>
      </c>
      <c r="AM68" s="147">
        <f t="shared" si="118"/>
        <v>0</v>
      </c>
      <c r="AN68" s="147">
        <f t="shared" si="118"/>
        <v>0</v>
      </c>
      <c r="AO68" s="147">
        <f t="shared" si="118"/>
        <v>0</v>
      </c>
      <c r="AP68" s="147">
        <f t="shared" si="118"/>
        <v>0</v>
      </c>
      <c r="AQ68" s="147">
        <f t="shared" si="118"/>
        <v>0</v>
      </c>
      <c r="AR68" s="147">
        <f t="shared" si="118"/>
        <v>0</v>
      </c>
      <c r="AS68" s="147">
        <f t="shared" si="118"/>
        <v>0</v>
      </c>
      <c r="AT68" s="147">
        <f t="shared" si="118"/>
        <v>0</v>
      </c>
      <c r="AU68" s="147">
        <f t="shared" si="118"/>
        <v>0</v>
      </c>
      <c r="AV68" s="147">
        <f t="shared" si="118"/>
        <v>0</v>
      </c>
      <c r="AW68" s="147">
        <f t="shared" si="118"/>
        <v>0</v>
      </c>
      <c r="AX68" s="147">
        <f t="shared" si="118"/>
        <v>0</v>
      </c>
      <c r="AY68" s="147">
        <f t="shared" si="118"/>
        <v>0</v>
      </c>
      <c r="AZ68" s="147">
        <f t="shared" si="118"/>
        <v>0</v>
      </c>
      <c r="BA68" s="147">
        <f t="shared" si="118"/>
        <v>0</v>
      </c>
      <c r="BB68" s="147">
        <f t="shared" si="118"/>
        <v>0</v>
      </c>
      <c r="BC68" s="147">
        <f t="shared" si="118"/>
        <v>0</v>
      </c>
      <c r="BD68" s="147">
        <f t="shared" si="118"/>
        <v>0</v>
      </c>
      <c r="BE68" s="147">
        <f t="shared" si="118"/>
        <v>0</v>
      </c>
      <c r="BF68" s="147">
        <f t="shared" si="118"/>
        <v>0</v>
      </c>
      <c r="BG68" s="147">
        <f t="shared" si="118"/>
        <v>0</v>
      </c>
      <c r="BH68" s="147">
        <f t="shared" si="118"/>
        <v>0</v>
      </c>
      <c r="BI68" s="147">
        <f t="shared" si="118"/>
        <v>0</v>
      </c>
      <c r="BJ68" s="147">
        <f t="shared" si="118"/>
        <v>0</v>
      </c>
      <c r="BK68" s="147">
        <f t="shared" si="118"/>
        <v>0</v>
      </c>
      <c r="BL68" s="147">
        <f t="shared" si="118"/>
        <v>0</v>
      </c>
      <c r="BM68" s="147">
        <f t="shared" si="118"/>
        <v>0</v>
      </c>
      <c r="BN68" s="147">
        <f t="shared" si="118"/>
        <v>0</v>
      </c>
      <c r="BO68" s="147">
        <f t="shared" si="118"/>
        <v>0</v>
      </c>
      <c r="BP68" s="147">
        <f t="shared" si="118"/>
        <v>0</v>
      </c>
      <c r="BQ68" s="147">
        <f t="shared" si="118"/>
        <v>0</v>
      </c>
      <c r="BR68" s="147">
        <f t="shared" si="118"/>
        <v>0</v>
      </c>
      <c r="BS68" s="147">
        <f t="shared" si="118"/>
        <v>0</v>
      </c>
      <c r="BT68" s="147">
        <f t="shared" si="118"/>
        <v>0</v>
      </c>
      <c r="BU68" s="147">
        <f t="shared" si="118"/>
        <v>0</v>
      </c>
      <c r="BV68" s="147">
        <f t="shared" si="118"/>
        <v>0</v>
      </c>
      <c r="BW68" s="147">
        <f t="shared" si="118"/>
        <v>0</v>
      </c>
      <c r="BX68" s="147">
        <f t="shared" si="118"/>
        <v>0</v>
      </c>
      <c r="BY68" s="147">
        <f t="shared" si="118"/>
        <v>0</v>
      </c>
      <c r="BZ68" s="147">
        <f t="shared" si="118"/>
        <v>0</v>
      </c>
      <c r="CA68" s="147">
        <f t="shared" si="118"/>
        <v>0</v>
      </c>
      <c r="CB68" s="147">
        <f t="shared" si="118"/>
        <v>0</v>
      </c>
      <c r="CC68" s="147">
        <f t="shared" si="118"/>
        <v>0</v>
      </c>
      <c r="CD68" s="147">
        <f t="shared" si="118"/>
        <v>0</v>
      </c>
      <c r="CE68" s="147">
        <f t="shared" si="118"/>
        <v>0</v>
      </c>
      <c r="CF68" s="147">
        <f t="shared" si="118"/>
        <v>0</v>
      </c>
    </row>
    <row r="69" spans="1:84" s="147" customFormat="1" ht="13.2" hidden="1" outlineLevel="1" x14ac:dyDescent="0.25">
      <c r="A69" s="211"/>
      <c r="B69" s="250" t="str">
        <f>KeyInputs!C119</f>
        <v>Test</v>
      </c>
      <c r="D69" s="231" t="str">
        <f>unit</f>
        <v>£</v>
      </c>
      <c r="E69" s="147">
        <f>KeyInputs!E119</f>
        <v>0</v>
      </c>
      <c r="F69" s="147">
        <f>KeyInputs!F119</f>
        <v>0</v>
      </c>
      <c r="G69" s="147">
        <f>KeyInputs!G119</f>
        <v>0</v>
      </c>
      <c r="H69" s="147">
        <f ca="1">'Outputs - BalanceSheet'!E20</f>
        <v>0</v>
      </c>
      <c r="I69" s="147">
        <f ca="1">'Outputs - BalanceSheet'!F20</f>
        <v>0</v>
      </c>
      <c r="J69" s="147">
        <f ca="1">'Outputs - BalanceSheet'!G20</f>
        <v>0</v>
      </c>
      <c r="K69" s="147">
        <f ca="1">'Outputs - BalanceSheet'!H20</f>
        <v>0</v>
      </c>
      <c r="L69" s="147">
        <f ca="1">'Outputs - BalanceSheet'!I20</f>
        <v>0</v>
      </c>
      <c r="N69" s="147">
        <f>'Outputs - Summary'!E70</f>
        <v>0</v>
      </c>
      <c r="O69" s="147">
        <f>'Outputs - Summary'!F70</f>
        <v>0</v>
      </c>
      <c r="P69" s="147">
        <f>'Outputs - Summary'!G70</f>
        <v>0</v>
      </c>
      <c r="Q69" s="147">
        <f ca="1">'Outputs - Summary'!H70</f>
        <v>0</v>
      </c>
      <c r="R69" s="147">
        <f ca="1">'Outputs - Summary'!I70</f>
        <v>0</v>
      </c>
      <c r="S69" s="147">
        <f ca="1">'Outputs - Summary'!J70</f>
        <v>0</v>
      </c>
      <c r="T69" s="147">
        <f ca="1">'Outputs - Summary'!K70</f>
        <v>0</v>
      </c>
      <c r="U69" s="147">
        <f ca="1">'Outputs - Summary'!L70</f>
        <v>0</v>
      </c>
      <c r="W69" s="147">
        <f t="shared" si="108"/>
        <v>0</v>
      </c>
      <c r="X69" s="147">
        <f t="shared" si="108"/>
        <v>0</v>
      </c>
      <c r="Y69" s="147">
        <f t="shared" si="109"/>
        <v>0</v>
      </c>
      <c r="Z69" s="147">
        <f t="shared" ca="1" si="110"/>
        <v>0</v>
      </c>
      <c r="AA69" s="147">
        <f t="shared" ca="1" si="111"/>
        <v>0</v>
      </c>
      <c r="AB69" s="147">
        <f t="shared" ca="1" si="112"/>
        <v>0</v>
      </c>
      <c r="AC69" s="147">
        <f t="shared" ca="1" si="113"/>
        <v>0</v>
      </c>
      <c r="AD69" s="147">
        <f t="shared" ca="1" si="114"/>
        <v>0</v>
      </c>
      <c r="AG69" s="147">
        <f>WorkingCapital!S57</f>
        <v>0</v>
      </c>
      <c r="AH69" s="147">
        <f>WorkingCapital!T57</f>
        <v>0</v>
      </c>
      <c r="AI69" s="147">
        <f>WorkingCapital!U57</f>
        <v>0</v>
      </c>
      <c r="AJ69" s="147">
        <f>WorkingCapital!V57</f>
        <v>0</v>
      </c>
      <c r="AK69" s="147">
        <f>WorkingCapital!W57</f>
        <v>0</v>
      </c>
      <c r="AL69" s="147">
        <f>WorkingCapital!X57</f>
        <v>0</v>
      </c>
      <c r="AM69" s="147">
        <f>WorkingCapital!Y57</f>
        <v>0</v>
      </c>
      <c r="AN69" s="147">
        <f>WorkingCapital!Z57</f>
        <v>0</v>
      </c>
      <c r="AO69" s="147">
        <f>WorkingCapital!AA57</f>
        <v>0</v>
      </c>
      <c r="AP69" s="147">
        <f>WorkingCapital!AB57</f>
        <v>0</v>
      </c>
      <c r="AQ69" s="147">
        <f>WorkingCapital!AC57</f>
        <v>0</v>
      </c>
      <c r="AR69" s="147">
        <f>WorkingCapital!AD57</f>
        <v>0</v>
      </c>
      <c r="AS69" s="147">
        <f>WorkingCapital!AE57</f>
        <v>0</v>
      </c>
      <c r="AT69" s="147">
        <f>WorkingCapital!AF57</f>
        <v>0</v>
      </c>
      <c r="AU69" s="147">
        <f>WorkingCapital!AG57</f>
        <v>0</v>
      </c>
      <c r="AV69" s="147">
        <f>WorkingCapital!AH57</f>
        <v>0</v>
      </c>
      <c r="AW69" s="147">
        <f>WorkingCapital!AI57</f>
        <v>0</v>
      </c>
      <c r="AX69" s="147">
        <f>WorkingCapital!AJ57</f>
        <v>0</v>
      </c>
      <c r="AY69" s="147">
        <f>WorkingCapital!AK57</f>
        <v>0</v>
      </c>
      <c r="AZ69" s="147">
        <f>WorkingCapital!AL57</f>
        <v>0</v>
      </c>
      <c r="BA69" s="147">
        <f>WorkingCapital!AM57</f>
        <v>0</v>
      </c>
      <c r="BB69" s="147">
        <f>WorkingCapital!AN57</f>
        <v>0</v>
      </c>
      <c r="BC69" s="147">
        <f>WorkingCapital!AO57</f>
        <v>0</v>
      </c>
      <c r="BD69" s="147">
        <f>WorkingCapital!AP57</f>
        <v>0</v>
      </c>
      <c r="BE69" s="147">
        <f>WorkingCapital!AQ57</f>
        <v>0</v>
      </c>
      <c r="BF69" s="147">
        <f>WorkingCapital!AR57</f>
        <v>0</v>
      </c>
      <c r="BG69" s="147">
        <f>WorkingCapital!AS57</f>
        <v>0</v>
      </c>
      <c r="BH69" s="147">
        <f>WorkingCapital!AT57</f>
        <v>0</v>
      </c>
      <c r="BI69" s="147">
        <f>WorkingCapital!AU57</f>
        <v>0</v>
      </c>
      <c r="BJ69" s="147">
        <f>WorkingCapital!AV57</f>
        <v>0</v>
      </c>
      <c r="BK69" s="147">
        <f>WorkingCapital!AW57</f>
        <v>0</v>
      </c>
      <c r="BL69" s="147">
        <f>WorkingCapital!AX57</f>
        <v>0</v>
      </c>
      <c r="BM69" s="147">
        <f>WorkingCapital!AY57</f>
        <v>0</v>
      </c>
      <c r="BN69" s="147">
        <f>WorkingCapital!AZ57</f>
        <v>0</v>
      </c>
      <c r="BO69" s="147">
        <f>WorkingCapital!BA57</f>
        <v>0</v>
      </c>
      <c r="BP69" s="147">
        <f>WorkingCapital!BB57</f>
        <v>0</v>
      </c>
      <c r="BQ69" s="147">
        <f>WorkingCapital!BC57</f>
        <v>0</v>
      </c>
      <c r="BR69" s="147">
        <f>WorkingCapital!BD57</f>
        <v>0</v>
      </c>
      <c r="BS69" s="147">
        <f>WorkingCapital!BE57</f>
        <v>0</v>
      </c>
      <c r="BT69" s="147">
        <f>WorkingCapital!BF57</f>
        <v>0</v>
      </c>
      <c r="BU69" s="147">
        <f>WorkingCapital!BG57</f>
        <v>0</v>
      </c>
      <c r="BV69" s="147">
        <f>WorkingCapital!BH57</f>
        <v>0</v>
      </c>
      <c r="BW69" s="147">
        <f>WorkingCapital!BI57</f>
        <v>0</v>
      </c>
      <c r="BX69" s="147">
        <f>WorkingCapital!BJ57</f>
        <v>0</v>
      </c>
      <c r="BY69" s="147">
        <f>WorkingCapital!BK57</f>
        <v>0</v>
      </c>
      <c r="BZ69" s="147">
        <f>WorkingCapital!BL57</f>
        <v>0</v>
      </c>
      <c r="CA69" s="147">
        <f>WorkingCapital!BM57</f>
        <v>0</v>
      </c>
      <c r="CB69" s="147">
        <f>WorkingCapital!BN57</f>
        <v>0</v>
      </c>
      <c r="CC69" s="147">
        <f>WorkingCapital!BO57</f>
        <v>0</v>
      </c>
      <c r="CD69" s="147">
        <f>WorkingCapital!BP57</f>
        <v>0</v>
      </c>
      <c r="CE69" s="147">
        <f>WorkingCapital!BQ57</f>
        <v>0</v>
      </c>
      <c r="CF69" s="147">
        <f>WorkingCapital!BR57</f>
        <v>0</v>
      </c>
    </row>
    <row r="70" spans="1:84" s="147" customFormat="1" ht="13.2" hidden="1" outlineLevel="1" x14ac:dyDescent="0.25">
      <c r="A70" s="211"/>
      <c r="B70" s="250" t="str">
        <f>KeyInputs!C120</f>
        <v>Insert Business Line2</v>
      </c>
      <c r="D70" s="231" t="str">
        <f>unit</f>
        <v>£</v>
      </c>
      <c r="E70" s="147">
        <f>KeyInputs!E120</f>
        <v>0</v>
      </c>
      <c r="F70" s="147">
        <f>KeyInputs!F120</f>
        <v>0</v>
      </c>
      <c r="G70" s="147">
        <f>KeyInputs!G120</f>
        <v>0</v>
      </c>
      <c r="H70" s="147">
        <f ca="1">'Outputs - BalanceSheet'!E21</f>
        <v>0</v>
      </c>
      <c r="I70" s="147">
        <f ca="1">'Outputs - BalanceSheet'!F21</f>
        <v>0</v>
      </c>
      <c r="J70" s="147">
        <f ca="1">'Outputs - BalanceSheet'!G21</f>
        <v>0</v>
      </c>
      <c r="K70" s="147">
        <f ca="1">'Outputs - BalanceSheet'!H21</f>
        <v>0</v>
      </c>
      <c r="L70" s="147">
        <f ca="1">'Outputs - BalanceSheet'!I21</f>
        <v>0</v>
      </c>
      <c r="N70" s="147">
        <f>'Outputs - Summary'!E71</f>
        <v>0</v>
      </c>
      <c r="O70" s="147">
        <f>'Outputs - Summary'!F71</f>
        <v>0</v>
      </c>
      <c r="P70" s="147">
        <f>'Outputs - Summary'!G71</f>
        <v>0</v>
      </c>
      <c r="Q70" s="147">
        <f ca="1">'Outputs - Summary'!H71</f>
        <v>0</v>
      </c>
      <c r="R70" s="147">
        <f ca="1">'Outputs - Summary'!I71</f>
        <v>0</v>
      </c>
      <c r="S70" s="147">
        <f ca="1">'Outputs - Summary'!J71</f>
        <v>0</v>
      </c>
      <c r="T70" s="147">
        <f ca="1">'Outputs - Summary'!K71</f>
        <v>0</v>
      </c>
      <c r="U70" s="147">
        <f ca="1">'Outputs - Summary'!L71</f>
        <v>0</v>
      </c>
      <c r="W70" s="147">
        <f t="shared" si="108"/>
        <v>0</v>
      </c>
      <c r="X70" s="147">
        <f t="shared" si="108"/>
        <v>0</v>
      </c>
      <c r="Y70" s="147">
        <f t="shared" si="109"/>
        <v>0</v>
      </c>
      <c r="Z70" s="147">
        <f t="shared" ca="1" si="110"/>
        <v>0</v>
      </c>
      <c r="AA70" s="147">
        <f t="shared" ca="1" si="111"/>
        <v>0</v>
      </c>
      <c r="AB70" s="147">
        <f t="shared" ca="1" si="112"/>
        <v>0</v>
      </c>
      <c r="AC70" s="147">
        <f t="shared" ca="1" si="113"/>
        <v>0</v>
      </c>
      <c r="AD70" s="147">
        <f t="shared" ca="1" si="114"/>
        <v>0</v>
      </c>
      <c r="AG70" s="147">
        <f>WorkingCapital!S68</f>
        <v>0</v>
      </c>
      <c r="AH70" s="147">
        <f>WorkingCapital!T68</f>
        <v>0</v>
      </c>
      <c r="AI70" s="147">
        <f>WorkingCapital!U68</f>
        <v>0</v>
      </c>
      <c r="AJ70" s="147">
        <f>WorkingCapital!V68</f>
        <v>0</v>
      </c>
      <c r="AK70" s="147">
        <f>WorkingCapital!W68</f>
        <v>0</v>
      </c>
      <c r="AL70" s="147">
        <f>WorkingCapital!X68</f>
        <v>0</v>
      </c>
      <c r="AM70" s="147">
        <f>WorkingCapital!Y68</f>
        <v>0</v>
      </c>
      <c r="AN70" s="147">
        <f>WorkingCapital!Z68</f>
        <v>0</v>
      </c>
      <c r="AO70" s="147">
        <f>WorkingCapital!AA68</f>
        <v>0</v>
      </c>
      <c r="AP70" s="147">
        <f>WorkingCapital!AB68</f>
        <v>0</v>
      </c>
      <c r="AQ70" s="147">
        <f>WorkingCapital!AC68</f>
        <v>0</v>
      </c>
      <c r="AR70" s="147">
        <f>WorkingCapital!AD68</f>
        <v>0</v>
      </c>
      <c r="AS70" s="147">
        <f>WorkingCapital!AE68</f>
        <v>0</v>
      </c>
      <c r="AT70" s="147">
        <f>WorkingCapital!AF68</f>
        <v>0</v>
      </c>
      <c r="AU70" s="147">
        <f>WorkingCapital!AG68</f>
        <v>0</v>
      </c>
      <c r="AV70" s="147">
        <f>WorkingCapital!AH68</f>
        <v>0</v>
      </c>
      <c r="AW70" s="147">
        <f>WorkingCapital!AI68</f>
        <v>0</v>
      </c>
      <c r="AX70" s="147">
        <f>WorkingCapital!AJ68</f>
        <v>0</v>
      </c>
      <c r="AY70" s="147">
        <f>WorkingCapital!AK68</f>
        <v>0</v>
      </c>
      <c r="AZ70" s="147">
        <f>WorkingCapital!AL68</f>
        <v>0</v>
      </c>
      <c r="BA70" s="147">
        <f>WorkingCapital!AM68</f>
        <v>0</v>
      </c>
      <c r="BB70" s="147">
        <f>WorkingCapital!AN68</f>
        <v>0</v>
      </c>
      <c r="BC70" s="147">
        <f>WorkingCapital!AO68</f>
        <v>0</v>
      </c>
      <c r="BD70" s="147">
        <f>WorkingCapital!AP68</f>
        <v>0</v>
      </c>
      <c r="BE70" s="147">
        <f>WorkingCapital!AQ68</f>
        <v>0</v>
      </c>
      <c r="BF70" s="147">
        <f>WorkingCapital!AR68</f>
        <v>0</v>
      </c>
      <c r="BG70" s="147">
        <f>WorkingCapital!AS68</f>
        <v>0</v>
      </c>
      <c r="BH70" s="147">
        <f>WorkingCapital!AT68</f>
        <v>0</v>
      </c>
      <c r="BI70" s="147">
        <f>WorkingCapital!AU68</f>
        <v>0</v>
      </c>
      <c r="BJ70" s="147">
        <f>WorkingCapital!AV68</f>
        <v>0</v>
      </c>
      <c r="BK70" s="147">
        <f>WorkingCapital!AW68</f>
        <v>0</v>
      </c>
      <c r="BL70" s="147">
        <f>WorkingCapital!AX68</f>
        <v>0</v>
      </c>
      <c r="BM70" s="147">
        <f>WorkingCapital!AY68</f>
        <v>0</v>
      </c>
      <c r="BN70" s="147">
        <f>WorkingCapital!AZ68</f>
        <v>0</v>
      </c>
      <c r="BO70" s="147">
        <f>WorkingCapital!BA68</f>
        <v>0</v>
      </c>
      <c r="BP70" s="147">
        <f>WorkingCapital!BB68</f>
        <v>0</v>
      </c>
      <c r="BQ70" s="147">
        <f>WorkingCapital!BC68</f>
        <v>0</v>
      </c>
      <c r="BR70" s="147">
        <f>WorkingCapital!BD68</f>
        <v>0</v>
      </c>
      <c r="BS70" s="147">
        <f>WorkingCapital!BE68</f>
        <v>0</v>
      </c>
      <c r="BT70" s="147">
        <f>WorkingCapital!BF68</f>
        <v>0</v>
      </c>
      <c r="BU70" s="147">
        <f>WorkingCapital!BG68</f>
        <v>0</v>
      </c>
      <c r="BV70" s="147">
        <f>WorkingCapital!BH68</f>
        <v>0</v>
      </c>
      <c r="BW70" s="147">
        <f>WorkingCapital!BI68</f>
        <v>0</v>
      </c>
      <c r="BX70" s="147">
        <f>WorkingCapital!BJ68</f>
        <v>0</v>
      </c>
      <c r="BY70" s="147">
        <f>WorkingCapital!BK68</f>
        <v>0</v>
      </c>
      <c r="BZ70" s="147">
        <f>WorkingCapital!BL68</f>
        <v>0</v>
      </c>
      <c r="CA70" s="147">
        <f>WorkingCapital!BM68</f>
        <v>0</v>
      </c>
      <c r="CB70" s="147">
        <f>WorkingCapital!BN68</f>
        <v>0</v>
      </c>
      <c r="CC70" s="147">
        <f>WorkingCapital!BO68</f>
        <v>0</v>
      </c>
      <c r="CD70" s="147">
        <f>WorkingCapital!BP68</f>
        <v>0</v>
      </c>
      <c r="CE70" s="147">
        <f>WorkingCapital!BQ68</f>
        <v>0</v>
      </c>
      <c r="CF70" s="147">
        <f>WorkingCapital!BR68</f>
        <v>0</v>
      </c>
    </row>
    <row r="71" spans="1:84" s="147" customFormat="1" ht="13.2" hidden="1" outlineLevel="1" x14ac:dyDescent="0.25">
      <c r="A71" s="211"/>
      <c r="B71" s="250" t="str">
        <f>KeyInputs!C121</f>
        <v>Insert Business Line3</v>
      </c>
      <c r="D71" s="231" t="str">
        <f>unit</f>
        <v>£</v>
      </c>
      <c r="E71" s="147">
        <f>KeyInputs!E121</f>
        <v>0</v>
      </c>
      <c r="F71" s="147">
        <f>KeyInputs!F121</f>
        <v>0</v>
      </c>
      <c r="G71" s="147">
        <f>KeyInputs!G121</f>
        <v>0</v>
      </c>
      <c r="H71" s="147">
        <f ca="1">'Outputs - BalanceSheet'!E22</f>
        <v>0</v>
      </c>
      <c r="I71" s="147">
        <f ca="1">'Outputs - BalanceSheet'!F22</f>
        <v>0</v>
      </c>
      <c r="J71" s="147">
        <f ca="1">'Outputs - BalanceSheet'!G22</f>
        <v>0</v>
      </c>
      <c r="K71" s="147">
        <f ca="1">'Outputs - BalanceSheet'!H22</f>
        <v>0</v>
      </c>
      <c r="L71" s="147">
        <f ca="1">'Outputs - BalanceSheet'!I22</f>
        <v>0</v>
      </c>
      <c r="N71" s="147">
        <f>'Outputs - Summary'!E72</f>
        <v>0</v>
      </c>
      <c r="O71" s="147">
        <f>'Outputs - Summary'!F72</f>
        <v>0</v>
      </c>
      <c r="P71" s="147">
        <f>'Outputs - Summary'!G72</f>
        <v>0</v>
      </c>
      <c r="Q71" s="147">
        <f ca="1">'Outputs - Summary'!H72</f>
        <v>0</v>
      </c>
      <c r="R71" s="147">
        <f ca="1">'Outputs - Summary'!I72</f>
        <v>0</v>
      </c>
      <c r="S71" s="147">
        <f ca="1">'Outputs - Summary'!J72</f>
        <v>0</v>
      </c>
      <c r="T71" s="147">
        <f ca="1">'Outputs - Summary'!K72</f>
        <v>0</v>
      </c>
      <c r="U71" s="147">
        <f ca="1">'Outputs - Summary'!L72</f>
        <v>0</v>
      </c>
      <c r="W71" s="147">
        <f t="shared" si="108"/>
        <v>0</v>
      </c>
      <c r="X71" s="147">
        <f t="shared" si="108"/>
        <v>0</v>
      </c>
      <c r="Y71" s="147">
        <f t="shared" si="109"/>
        <v>0</v>
      </c>
      <c r="Z71" s="147">
        <f t="shared" ca="1" si="110"/>
        <v>0</v>
      </c>
      <c r="AA71" s="147">
        <f t="shared" ca="1" si="111"/>
        <v>0</v>
      </c>
      <c r="AB71" s="147">
        <f t="shared" ca="1" si="112"/>
        <v>0</v>
      </c>
      <c r="AC71" s="147">
        <f t="shared" ca="1" si="113"/>
        <v>0</v>
      </c>
      <c r="AD71" s="147">
        <f t="shared" ca="1" si="114"/>
        <v>0</v>
      </c>
      <c r="AG71" s="147">
        <f>WorkingCapital!S79</f>
        <v>0</v>
      </c>
      <c r="AH71" s="147">
        <f>WorkingCapital!T79</f>
        <v>0</v>
      </c>
      <c r="AI71" s="147">
        <f>WorkingCapital!U79</f>
        <v>0</v>
      </c>
      <c r="AJ71" s="147">
        <f>WorkingCapital!V79</f>
        <v>0</v>
      </c>
      <c r="AK71" s="147">
        <f>WorkingCapital!W79</f>
        <v>0</v>
      </c>
      <c r="AL71" s="147">
        <f>WorkingCapital!X79</f>
        <v>0</v>
      </c>
      <c r="AM71" s="147">
        <f>WorkingCapital!Y79</f>
        <v>0</v>
      </c>
      <c r="AN71" s="147">
        <f>WorkingCapital!Z79</f>
        <v>0</v>
      </c>
      <c r="AO71" s="147">
        <f>WorkingCapital!AA79</f>
        <v>0</v>
      </c>
      <c r="AP71" s="147">
        <f>WorkingCapital!AB79</f>
        <v>0</v>
      </c>
      <c r="AQ71" s="147">
        <f>WorkingCapital!AC79</f>
        <v>0</v>
      </c>
      <c r="AR71" s="147">
        <f>WorkingCapital!AD79</f>
        <v>0</v>
      </c>
      <c r="AS71" s="147">
        <f>WorkingCapital!AE79</f>
        <v>0</v>
      </c>
      <c r="AT71" s="147">
        <f>WorkingCapital!AF79</f>
        <v>0</v>
      </c>
      <c r="AU71" s="147">
        <f>WorkingCapital!AG79</f>
        <v>0</v>
      </c>
      <c r="AV71" s="147">
        <f>WorkingCapital!AH79</f>
        <v>0</v>
      </c>
      <c r="AW71" s="147">
        <f>WorkingCapital!AI79</f>
        <v>0</v>
      </c>
      <c r="AX71" s="147">
        <f>WorkingCapital!AJ79</f>
        <v>0</v>
      </c>
      <c r="AY71" s="147">
        <f>WorkingCapital!AK79</f>
        <v>0</v>
      </c>
      <c r="AZ71" s="147">
        <f>WorkingCapital!AL79</f>
        <v>0</v>
      </c>
      <c r="BA71" s="147">
        <f>WorkingCapital!AM79</f>
        <v>0</v>
      </c>
      <c r="BB71" s="147">
        <f>WorkingCapital!AN79</f>
        <v>0</v>
      </c>
      <c r="BC71" s="147">
        <f>WorkingCapital!AO79</f>
        <v>0</v>
      </c>
      <c r="BD71" s="147">
        <f>WorkingCapital!AP79</f>
        <v>0</v>
      </c>
      <c r="BE71" s="147">
        <f>WorkingCapital!AQ79</f>
        <v>0</v>
      </c>
      <c r="BF71" s="147">
        <f>WorkingCapital!AR79</f>
        <v>0</v>
      </c>
      <c r="BG71" s="147">
        <f>WorkingCapital!AS79</f>
        <v>0</v>
      </c>
      <c r="BH71" s="147">
        <f>WorkingCapital!AT79</f>
        <v>0</v>
      </c>
      <c r="BI71" s="147">
        <f>WorkingCapital!AU79</f>
        <v>0</v>
      </c>
      <c r="BJ71" s="147">
        <f>WorkingCapital!AV79</f>
        <v>0</v>
      </c>
      <c r="BK71" s="147">
        <f>WorkingCapital!AW79</f>
        <v>0</v>
      </c>
      <c r="BL71" s="147">
        <f>WorkingCapital!AX79</f>
        <v>0</v>
      </c>
      <c r="BM71" s="147">
        <f>WorkingCapital!AY79</f>
        <v>0</v>
      </c>
      <c r="BN71" s="147">
        <f>WorkingCapital!AZ79</f>
        <v>0</v>
      </c>
      <c r="BO71" s="147">
        <f>WorkingCapital!BA79</f>
        <v>0</v>
      </c>
      <c r="BP71" s="147">
        <f>WorkingCapital!BB79</f>
        <v>0</v>
      </c>
      <c r="BQ71" s="147">
        <f>WorkingCapital!BC79</f>
        <v>0</v>
      </c>
      <c r="BR71" s="147">
        <f>WorkingCapital!BD79</f>
        <v>0</v>
      </c>
      <c r="BS71" s="147">
        <f>WorkingCapital!BE79</f>
        <v>0</v>
      </c>
      <c r="BT71" s="147">
        <f>WorkingCapital!BF79</f>
        <v>0</v>
      </c>
      <c r="BU71" s="147">
        <f>WorkingCapital!BG79</f>
        <v>0</v>
      </c>
      <c r="BV71" s="147">
        <f>WorkingCapital!BH79</f>
        <v>0</v>
      </c>
      <c r="BW71" s="147">
        <f>WorkingCapital!BI79</f>
        <v>0</v>
      </c>
      <c r="BX71" s="147">
        <f>WorkingCapital!BJ79</f>
        <v>0</v>
      </c>
      <c r="BY71" s="147">
        <f>WorkingCapital!BK79</f>
        <v>0</v>
      </c>
      <c r="BZ71" s="147">
        <f>WorkingCapital!BL79</f>
        <v>0</v>
      </c>
      <c r="CA71" s="147">
        <f>WorkingCapital!BM79</f>
        <v>0</v>
      </c>
      <c r="CB71" s="147">
        <f>WorkingCapital!BN79</f>
        <v>0</v>
      </c>
      <c r="CC71" s="147">
        <f>WorkingCapital!BO79</f>
        <v>0</v>
      </c>
      <c r="CD71" s="147">
        <f>WorkingCapital!BP79</f>
        <v>0</v>
      </c>
      <c r="CE71" s="147">
        <f>WorkingCapital!BQ79</f>
        <v>0</v>
      </c>
      <c r="CF71" s="147">
        <f>WorkingCapital!BR79</f>
        <v>0</v>
      </c>
    </row>
    <row r="72" spans="1:84" s="147" customFormat="1" ht="13.2" hidden="1" outlineLevel="1" x14ac:dyDescent="0.25">
      <c r="A72" s="211"/>
      <c r="I72" s="212"/>
      <c r="N72" s="147">
        <f>'Outputs - Summary'!E73</f>
        <v>0</v>
      </c>
      <c r="O72" s="147">
        <f>'Outputs - Summary'!F73</f>
        <v>0</v>
      </c>
      <c r="P72" s="147">
        <f>'Outputs - Summary'!G73</f>
        <v>0</v>
      </c>
      <c r="Q72" s="147">
        <f>'Outputs - Summary'!H73</f>
        <v>0</v>
      </c>
      <c r="R72" s="212">
        <f>'Outputs - Summary'!I73</f>
        <v>0</v>
      </c>
      <c r="S72" s="147">
        <f>'Outputs - Summary'!J73</f>
        <v>0</v>
      </c>
      <c r="T72" s="147">
        <f>'Outputs - Summary'!K73</f>
        <v>0</v>
      </c>
      <c r="U72" s="147">
        <f>'Outputs - Summary'!L73</f>
        <v>0</v>
      </c>
      <c r="W72" s="147">
        <f t="shared" si="108"/>
        <v>0</v>
      </c>
      <c r="X72" s="147">
        <f t="shared" si="108"/>
        <v>0</v>
      </c>
      <c r="Y72" s="147">
        <f t="shared" si="109"/>
        <v>0</v>
      </c>
      <c r="Z72" s="147">
        <f t="shared" si="110"/>
        <v>0</v>
      </c>
      <c r="AA72" s="212">
        <f t="shared" si="111"/>
        <v>0</v>
      </c>
      <c r="AB72" s="147">
        <f t="shared" si="112"/>
        <v>0</v>
      </c>
      <c r="AC72" s="147">
        <f t="shared" si="113"/>
        <v>0</v>
      </c>
      <c r="AD72" s="147">
        <f t="shared" si="114"/>
        <v>0</v>
      </c>
    </row>
    <row r="73" spans="1:84" s="147" customFormat="1" ht="13.2" collapsed="1" x14ac:dyDescent="0.25">
      <c r="B73" s="147" t="s">
        <v>283</v>
      </c>
      <c r="D73" s="231" t="str">
        <f>unit</f>
        <v>£</v>
      </c>
      <c r="E73" s="147">
        <f t="shared" ref="E73:G73" si="119">SUM(E74:E76)</f>
        <v>0</v>
      </c>
      <c r="F73" s="147">
        <f t="shared" si="119"/>
        <v>0</v>
      </c>
      <c r="G73" s="147">
        <f t="shared" si="119"/>
        <v>0</v>
      </c>
      <c r="H73" s="147">
        <f ca="1">SUM(H74:H76)</f>
        <v>0</v>
      </c>
      <c r="I73" s="147">
        <f t="shared" ref="I73:L73" ca="1" si="120">SUM(I74:I76)</f>
        <v>0</v>
      </c>
      <c r="J73" s="147">
        <f t="shared" ca="1" si="120"/>
        <v>0</v>
      </c>
      <c r="K73" s="147">
        <f t="shared" ca="1" si="120"/>
        <v>0</v>
      </c>
      <c r="L73" s="147">
        <f t="shared" ca="1" si="120"/>
        <v>0</v>
      </c>
      <c r="N73" s="147">
        <f>'Outputs - Summary'!E74</f>
        <v>0</v>
      </c>
      <c r="O73" s="147">
        <f>'Outputs - Summary'!F74</f>
        <v>0</v>
      </c>
      <c r="P73" s="147">
        <f>'Outputs - Summary'!G74</f>
        <v>0</v>
      </c>
      <c r="Q73" s="147">
        <f ca="1">'Outputs - Summary'!H74</f>
        <v>0</v>
      </c>
      <c r="R73" s="147">
        <f ca="1">'Outputs - Summary'!I74</f>
        <v>0</v>
      </c>
      <c r="S73" s="147">
        <f ca="1">'Outputs - Summary'!J74</f>
        <v>0</v>
      </c>
      <c r="T73" s="147">
        <f ca="1">'Outputs - Summary'!K74</f>
        <v>0</v>
      </c>
      <c r="U73" s="147">
        <f ca="1">'Outputs - Summary'!L74</f>
        <v>0</v>
      </c>
      <c r="W73" s="147">
        <f t="shared" si="108"/>
        <v>0</v>
      </c>
      <c r="X73" s="147">
        <f t="shared" si="108"/>
        <v>0</v>
      </c>
      <c r="Y73" s="147">
        <f t="shared" si="109"/>
        <v>0</v>
      </c>
      <c r="Z73" s="147">
        <f t="shared" ca="1" si="110"/>
        <v>0</v>
      </c>
      <c r="AA73" s="147">
        <f t="shared" ca="1" si="111"/>
        <v>0</v>
      </c>
      <c r="AB73" s="147">
        <f t="shared" ca="1" si="112"/>
        <v>0</v>
      </c>
      <c r="AC73" s="147">
        <f t="shared" ca="1" si="113"/>
        <v>0</v>
      </c>
      <c r="AD73" s="147">
        <f t="shared" ca="1" si="114"/>
        <v>0</v>
      </c>
      <c r="AG73" s="147">
        <f t="shared" ref="AG73:CF73" si="121">SUM(AG74:AG76)</f>
        <v>0</v>
      </c>
      <c r="AH73" s="147">
        <f t="shared" si="121"/>
        <v>0</v>
      </c>
      <c r="AI73" s="147">
        <f t="shared" si="121"/>
        <v>0</v>
      </c>
      <c r="AJ73" s="147">
        <f t="shared" si="121"/>
        <v>0</v>
      </c>
      <c r="AK73" s="147">
        <f t="shared" si="121"/>
        <v>0</v>
      </c>
      <c r="AL73" s="147">
        <f t="shared" si="121"/>
        <v>0</v>
      </c>
      <c r="AM73" s="147">
        <f t="shared" si="121"/>
        <v>0</v>
      </c>
      <c r="AN73" s="147">
        <f t="shared" si="121"/>
        <v>0</v>
      </c>
      <c r="AO73" s="147">
        <f t="shared" si="121"/>
        <v>0</v>
      </c>
      <c r="AP73" s="147">
        <f t="shared" si="121"/>
        <v>0</v>
      </c>
      <c r="AQ73" s="147">
        <f t="shared" si="121"/>
        <v>0</v>
      </c>
      <c r="AR73" s="147">
        <f t="shared" si="121"/>
        <v>0</v>
      </c>
      <c r="AS73" s="147">
        <f t="shared" si="121"/>
        <v>0</v>
      </c>
      <c r="AT73" s="147">
        <f t="shared" si="121"/>
        <v>0</v>
      </c>
      <c r="AU73" s="147">
        <f t="shared" si="121"/>
        <v>0</v>
      </c>
      <c r="AV73" s="147">
        <f t="shared" si="121"/>
        <v>0</v>
      </c>
      <c r="AW73" s="147">
        <f t="shared" si="121"/>
        <v>0</v>
      </c>
      <c r="AX73" s="147">
        <f t="shared" si="121"/>
        <v>0</v>
      </c>
      <c r="AY73" s="147">
        <f t="shared" si="121"/>
        <v>0</v>
      </c>
      <c r="AZ73" s="147">
        <f t="shared" si="121"/>
        <v>0</v>
      </c>
      <c r="BA73" s="147">
        <f t="shared" si="121"/>
        <v>0</v>
      </c>
      <c r="BB73" s="147">
        <f t="shared" si="121"/>
        <v>0</v>
      </c>
      <c r="BC73" s="147">
        <f t="shared" si="121"/>
        <v>0</v>
      </c>
      <c r="BD73" s="147">
        <f t="shared" si="121"/>
        <v>0</v>
      </c>
      <c r="BE73" s="147">
        <f t="shared" si="121"/>
        <v>0</v>
      </c>
      <c r="BF73" s="147">
        <f t="shared" si="121"/>
        <v>0</v>
      </c>
      <c r="BG73" s="147">
        <f t="shared" si="121"/>
        <v>0</v>
      </c>
      <c r="BH73" s="147">
        <f t="shared" si="121"/>
        <v>0</v>
      </c>
      <c r="BI73" s="147">
        <f t="shared" si="121"/>
        <v>0</v>
      </c>
      <c r="BJ73" s="147">
        <f t="shared" si="121"/>
        <v>0</v>
      </c>
      <c r="BK73" s="147">
        <f t="shared" si="121"/>
        <v>0</v>
      </c>
      <c r="BL73" s="147">
        <f t="shared" si="121"/>
        <v>0</v>
      </c>
      <c r="BM73" s="147">
        <f t="shared" si="121"/>
        <v>0</v>
      </c>
      <c r="BN73" s="147">
        <f t="shared" si="121"/>
        <v>0</v>
      </c>
      <c r="BO73" s="147">
        <f t="shared" si="121"/>
        <v>0</v>
      </c>
      <c r="BP73" s="147">
        <f t="shared" si="121"/>
        <v>0</v>
      </c>
      <c r="BQ73" s="147">
        <f t="shared" si="121"/>
        <v>0</v>
      </c>
      <c r="BR73" s="147">
        <f t="shared" si="121"/>
        <v>0</v>
      </c>
      <c r="BS73" s="147">
        <f t="shared" si="121"/>
        <v>0</v>
      </c>
      <c r="BT73" s="147">
        <f t="shared" si="121"/>
        <v>0</v>
      </c>
      <c r="BU73" s="147">
        <f t="shared" si="121"/>
        <v>0</v>
      </c>
      <c r="BV73" s="147">
        <f t="shared" si="121"/>
        <v>0</v>
      </c>
      <c r="BW73" s="147">
        <f t="shared" si="121"/>
        <v>0</v>
      </c>
      <c r="BX73" s="147">
        <f t="shared" si="121"/>
        <v>0</v>
      </c>
      <c r="BY73" s="147">
        <f t="shared" si="121"/>
        <v>0</v>
      </c>
      <c r="BZ73" s="147">
        <f t="shared" si="121"/>
        <v>0</v>
      </c>
      <c r="CA73" s="147">
        <f t="shared" si="121"/>
        <v>0</v>
      </c>
      <c r="CB73" s="147">
        <f t="shared" si="121"/>
        <v>0</v>
      </c>
      <c r="CC73" s="147">
        <f t="shared" si="121"/>
        <v>0</v>
      </c>
      <c r="CD73" s="147">
        <f t="shared" si="121"/>
        <v>0</v>
      </c>
      <c r="CE73" s="147">
        <f t="shared" si="121"/>
        <v>0</v>
      </c>
      <c r="CF73" s="147">
        <f t="shared" si="121"/>
        <v>0</v>
      </c>
    </row>
    <row r="74" spans="1:84" s="147" customFormat="1" ht="13.2" hidden="1" outlineLevel="1" x14ac:dyDescent="0.25">
      <c r="A74" s="211"/>
      <c r="B74" s="250" t="str">
        <f>B69</f>
        <v>Test</v>
      </c>
      <c r="D74" s="231" t="str">
        <f>unit</f>
        <v>£</v>
      </c>
      <c r="E74" s="147">
        <f>KeyInputs!E124</f>
        <v>0</v>
      </c>
      <c r="F74" s="147">
        <f>KeyInputs!F124</f>
        <v>0</v>
      </c>
      <c r="G74" s="147">
        <f>KeyInputs!G124</f>
        <v>0</v>
      </c>
      <c r="H74" s="147">
        <f ca="1">'Outputs - BalanceSheet'!E25</f>
        <v>0</v>
      </c>
      <c r="I74" s="147">
        <f ca="1">'Outputs - BalanceSheet'!F25</f>
        <v>0</v>
      </c>
      <c r="J74" s="147">
        <f ca="1">'Outputs - BalanceSheet'!G25</f>
        <v>0</v>
      </c>
      <c r="K74" s="147">
        <f ca="1">'Outputs - BalanceSheet'!H25</f>
        <v>0</v>
      </c>
      <c r="L74" s="147">
        <f ca="1">'Outputs - BalanceSheet'!I25</f>
        <v>0</v>
      </c>
      <c r="N74" s="147">
        <f>'Outputs - Summary'!E75</f>
        <v>0</v>
      </c>
      <c r="O74" s="147">
        <f>'Outputs - Summary'!F75</f>
        <v>0</v>
      </c>
      <c r="P74" s="147">
        <f>'Outputs - Summary'!G75</f>
        <v>0</v>
      </c>
      <c r="Q74" s="147">
        <f ca="1">'Outputs - Summary'!H75</f>
        <v>0</v>
      </c>
      <c r="R74" s="147">
        <f ca="1">'Outputs - Summary'!I75</f>
        <v>0</v>
      </c>
      <c r="S74" s="147">
        <f ca="1">'Outputs - Summary'!J75</f>
        <v>0</v>
      </c>
      <c r="T74" s="147">
        <f ca="1">'Outputs - Summary'!K75</f>
        <v>0</v>
      </c>
      <c r="U74" s="147">
        <f ca="1">'Outputs - Summary'!L75</f>
        <v>0</v>
      </c>
      <c r="W74" s="147">
        <f t="shared" si="108"/>
        <v>0</v>
      </c>
      <c r="X74" s="147">
        <f t="shared" si="108"/>
        <v>0</v>
      </c>
      <c r="Y74" s="147">
        <f t="shared" si="109"/>
        <v>0</v>
      </c>
      <c r="Z74" s="147">
        <f t="shared" ca="1" si="110"/>
        <v>0</v>
      </c>
      <c r="AA74" s="147">
        <f t="shared" ca="1" si="111"/>
        <v>0</v>
      </c>
      <c r="AB74" s="147">
        <f t="shared" ca="1" si="112"/>
        <v>0</v>
      </c>
      <c r="AC74" s="147">
        <f t="shared" ca="1" si="113"/>
        <v>0</v>
      </c>
      <c r="AD74" s="147">
        <f t="shared" ca="1" si="114"/>
        <v>0</v>
      </c>
      <c r="AG74" s="147">
        <f>WorkingCapital!S94</f>
        <v>0</v>
      </c>
      <c r="AH74" s="147">
        <f>WorkingCapital!T94</f>
        <v>0</v>
      </c>
      <c r="AI74" s="147">
        <f>WorkingCapital!U94</f>
        <v>0</v>
      </c>
      <c r="AJ74" s="147">
        <f>WorkingCapital!V94</f>
        <v>0</v>
      </c>
      <c r="AK74" s="147">
        <f>WorkingCapital!W94</f>
        <v>0</v>
      </c>
      <c r="AL74" s="147">
        <f>WorkingCapital!X94</f>
        <v>0</v>
      </c>
      <c r="AM74" s="147">
        <f>WorkingCapital!Y94</f>
        <v>0</v>
      </c>
      <c r="AN74" s="147">
        <f>WorkingCapital!Z94</f>
        <v>0</v>
      </c>
      <c r="AO74" s="147">
        <f>WorkingCapital!AA94</f>
        <v>0</v>
      </c>
      <c r="AP74" s="147">
        <f>WorkingCapital!AB94</f>
        <v>0</v>
      </c>
      <c r="AQ74" s="147">
        <f>WorkingCapital!AC94</f>
        <v>0</v>
      </c>
      <c r="AR74" s="147">
        <f>WorkingCapital!AD94</f>
        <v>0</v>
      </c>
      <c r="AS74" s="147">
        <f>WorkingCapital!AE94</f>
        <v>0</v>
      </c>
      <c r="AT74" s="147">
        <f>WorkingCapital!AF94</f>
        <v>0</v>
      </c>
      <c r="AU74" s="147">
        <f>WorkingCapital!AG94</f>
        <v>0</v>
      </c>
      <c r="AV74" s="147">
        <f>WorkingCapital!AH94</f>
        <v>0</v>
      </c>
      <c r="AW74" s="147">
        <f>WorkingCapital!AI94</f>
        <v>0</v>
      </c>
      <c r="AX74" s="147">
        <f>WorkingCapital!AJ94</f>
        <v>0</v>
      </c>
      <c r="AY74" s="147">
        <f>WorkingCapital!AK94</f>
        <v>0</v>
      </c>
      <c r="AZ74" s="147">
        <f>WorkingCapital!AL94</f>
        <v>0</v>
      </c>
      <c r="BA74" s="147">
        <f>WorkingCapital!AM94</f>
        <v>0</v>
      </c>
      <c r="BB74" s="147">
        <f>WorkingCapital!AN94</f>
        <v>0</v>
      </c>
      <c r="BC74" s="147">
        <f>WorkingCapital!AO94</f>
        <v>0</v>
      </c>
      <c r="BD74" s="147">
        <f>WorkingCapital!AP94</f>
        <v>0</v>
      </c>
      <c r="BE74" s="147">
        <f>WorkingCapital!AQ94</f>
        <v>0</v>
      </c>
      <c r="BF74" s="147">
        <f>WorkingCapital!AR94</f>
        <v>0</v>
      </c>
      <c r="BG74" s="147">
        <f>WorkingCapital!AS94</f>
        <v>0</v>
      </c>
      <c r="BH74" s="147">
        <f>WorkingCapital!AT94</f>
        <v>0</v>
      </c>
      <c r="BI74" s="147">
        <f>WorkingCapital!AU94</f>
        <v>0</v>
      </c>
      <c r="BJ74" s="147">
        <f>WorkingCapital!AV94</f>
        <v>0</v>
      </c>
      <c r="BK74" s="147">
        <f>WorkingCapital!AW94</f>
        <v>0</v>
      </c>
      <c r="BL74" s="147">
        <f>WorkingCapital!AX94</f>
        <v>0</v>
      </c>
      <c r="BM74" s="147">
        <f>WorkingCapital!AY94</f>
        <v>0</v>
      </c>
      <c r="BN74" s="147">
        <f>WorkingCapital!AZ94</f>
        <v>0</v>
      </c>
      <c r="BO74" s="147">
        <f>WorkingCapital!BA94</f>
        <v>0</v>
      </c>
      <c r="BP74" s="147">
        <f>WorkingCapital!BB94</f>
        <v>0</v>
      </c>
      <c r="BQ74" s="147">
        <f>WorkingCapital!BC94</f>
        <v>0</v>
      </c>
      <c r="BR74" s="147">
        <f>WorkingCapital!BD94</f>
        <v>0</v>
      </c>
      <c r="BS74" s="147">
        <f>WorkingCapital!BE94</f>
        <v>0</v>
      </c>
      <c r="BT74" s="147">
        <f>WorkingCapital!BF94</f>
        <v>0</v>
      </c>
      <c r="BU74" s="147">
        <f>WorkingCapital!BG94</f>
        <v>0</v>
      </c>
      <c r="BV74" s="147">
        <f>WorkingCapital!BH94</f>
        <v>0</v>
      </c>
      <c r="BW74" s="147">
        <f>WorkingCapital!BI94</f>
        <v>0</v>
      </c>
      <c r="BX74" s="147">
        <f>WorkingCapital!BJ94</f>
        <v>0</v>
      </c>
      <c r="BY74" s="147">
        <f>WorkingCapital!BK94</f>
        <v>0</v>
      </c>
      <c r="BZ74" s="147">
        <f>WorkingCapital!BL94</f>
        <v>0</v>
      </c>
      <c r="CA74" s="147">
        <f>WorkingCapital!BM94</f>
        <v>0</v>
      </c>
      <c r="CB74" s="147">
        <f>WorkingCapital!BN94</f>
        <v>0</v>
      </c>
      <c r="CC74" s="147">
        <f>WorkingCapital!BO94</f>
        <v>0</v>
      </c>
      <c r="CD74" s="147">
        <f>WorkingCapital!BP94</f>
        <v>0</v>
      </c>
      <c r="CE74" s="147">
        <f>WorkingCapital!BQ94</f>
        <v>0</v>
      </c>
      <c r="CF74" s="147">
        <f>WorkingCapital!BR94</f>
        <v>0</v>
      </c>
    </row>
    <row r="75" spans="1:84" s="147" customFormat="1" ht="13.2" hidden="1" outlineLevel="1" x14ac:dyDescent="0.25">
      <c r="A75" s="211"/>
      <c r="B75" s="250" t="str">
        <f t="shared" ref="B75:B76" si="122">B70</f>
        <v>Insert Business Line2</v>
      </c>
      <c r="D75" s="231" t="str">
        <f>unit</f>
        <v>£</v>
      </c>
      <c r="E75" s="147">
        <f>KeyInputs!E125</f>
        <v>0</v>
      </c>
      <c r="F75" s="147">
        <f>KeyInputs!F125</f>
        <v>0</v>
      </c>
      <c r="G75" s="147">
        <f>KeyInputs!G125</f>
        <v>0</v>
      </c>
      <c r="H75" s="147">
        <f ca="1">'Outputs - BalanceSheet'!E26</f>
        <v>0</v>
      </c>
      <c r="I75" s="147">
        <f ca="1">'Outputs - BalanceSheet'!F26</f>
        <v>0</v>
      </c>
      <c r="J75" s="147">
        <f ca="1">'Outputs - BalanceSheet'!G26</f>
        <v>0</v>
      </c>
      <c r="K75" s="147">
        <f ca="1">'Outputs - BalanceSheet'!H26</f>
        <v>0</v>
      </c>
      <c r="L75" s="147">
        <f ca="1">'Outputs - BalanceSheet'!I26</f>
        <v>0</v>
      </c>
      <c r="N75" s="147">
        <f>'Outputs - Summary'!E76</f>
        <v>0</v>
      </c>
      <c r="O75" s="147">
        <f>'Outputs - Summary'!F76</f>
        <v>0</v>
      </c>
      <c r="P75" s="147">
        <f>'Outputs - Summary'!G76</f>
        <v>0</v>
      </c>
      <c r="Q75" s="147">
        <f ca="1">'Outputs - Summary'!H76</f>
        <v>0</v>
      </c>
      <c r="R75" s="147">
        <f ca="1">'Outputs - Summary'!I76</f>
        <v>0</v>
      </c>
      <c r="S75" s="147">
        <f ca="1">'Outputs - Summary'!J76</f>
        <v>0</v>
      </c>
      <c r="T75" s="147">
        <f ca="1">'Outputs - Summary'!K76</f>
        <v>0</v>
      </c>
      <c r="U75" s="147">
        <f ca="1">'Outputs - Summary'!L76</f>
        <v>0</v>
      </c>
      <c r="W75" s="147">
        <f t="shared" si="108"/>
        <v>0</v>
      </c>
      <c r="X75" s="147">
        <f t="shared" si="108"/>
        <v>0</v>
      </c>
      <c r="Y75" s="147">
        <f t="shared" si="109"/>
        <v>0</v>
      </c>
      <c r="Z75" s="147">
        <f t="shared" ca="1" si="110"/>
        <v>0</v>
      </c>
      <c r="AA75" s="147">
        <f t="shared" ca="1" si="111"/>
        <v>0</v>
      </c>
      <c r="AB75" s="147">
        <f t="shared" ca="1" si="112"/>
        <v>0</v>
      </c>
      <c r="AC75" s="147">
        <f t="shared" ca="1" si="113"/>
        <v>0</v>
      </c>
      <c r="AD75" s="147">
        <f t="shared" ca="1" si="114"/>
        <v>0</v>
      </c>
      <c r="AG75" s="147">
        <f>WorkingCapital!S112</f>
        <v>0</v>
      </c>
      <c r="AH75" s="147">
        <f>WorkingCapital!T112</f>
        <v>0</v>
      </c>
      <c r="AI75" s="147">
        <f>WorkingCapital!U112</f>
        <v>0</v>
      </c>
      <c r="AJ75" s="147">
        <f>WorkingCapital!V112</f>
        <v>0</v>
      </c>
      <c r="AK75" s="147">
        <f>WorkingCapital!W112</f>
        <v>0</v>
      </c>
      <c r="AL75" s="147">
        <f>WorkingCapital!X112</f>
        <v>0</v>
      </c>
      <c r="AM75" s="147">
        <f>WorkingCapital!Y112</f>
        <v>0</v>
      </c>
      <c r="AN75" s="147">
        <f>WorkingCapital!Z112</f>
        <v>0</v>
      </c>
      <c r="AO75" s="147">
        <f>WorkingCapital!AA112</f>
        <v>0</v>
      </c>
      <c r="AP75" s="147">
        <f>WorkingCapital!AB112</f>
        <v>0</v>
      </c>
      <c r="AQ75" s="147">
        <f>WorkingCapital!AC112</f>
        <v>0</v>
      </c>
      <c r="AR75" s="147">
        <f>WorkingCapital!AD112</f>
        <v>0</v>
      </c>
      <c r="AS75" s="147">
        <f>WorkingCapital!AE112</f>
        <v>0</v>
      </c>
      <c r="AT75" s="147">
        <f>WorkingCapital!AF112</f>
        <v>0</v>
      </c>
      <c r="AU75" s="147">
        <f>WorkingCapital!AG112</f>
        <v>0</v>
      </c>
      <c r="AV75" s="147">
        <f>WorkingCapital!AH112</f>
        <v>0</v>
      </c>
      <c r="AW75" s="147">
        <f>WorkingCapital!AI112</f>
        <v>0</v>
      </c>
      <c r="AX75" s="147">
        <f>WorkingCapital!AJ112</f>
        <v>0</v>
      </c>
      <c r="AY75" s="147">
        <f>WorkingCapital!AK112</f>
        <v>0</v>
      </c>
      <c r="AZ75" s="147">
        <f>WorkingCapital!AL112</f>
        <v>0</v>
      </c>
      <c r="BA75" s="147">
        <f>WorkingCapital!AM112</f>
        <v>0</v>
      </c>
      <c r="BB75" s="147">
        <f>WorkingCapital!AN112</f>
        <v>0</v>
      </c>
      <c r="BC75" s="147">
        <f>WorkingCapital!AO112</f>
        <v>0</v>
      </c>
      <c r="BD75" s="147">
        <f>WorkingCapital!AP112</f>
        <v>0</v>
      </c>
      <c r="BE75" s="147">
        <f>WorkingCapital!AQ112</f>
        <v>0</v>
      </c>
      <c r="BF75" s="147">
        <f>WorkingCapital!AR112</f>
        <v>0</v>
      </c>
      <c r="BG75" s="147">
        <f>WorkingCapital!AS112</f>
        <v>0</v>
      </c>
      <c r="BH75" s="147">
        <f>WorkingCapital!AT112</f>
        <v>0</v>
      </c>
      <c r="BI75" s="147">
        <f>WorkingCapital!AU112</f>
        <v>0</v>
      </c>
      <c r="BJ75" s="147">
        <f>WorkingCapital!AV112</f>
        <v>0</v>
      </c>
      <c r="BK75" s="147">
        <f>WorkingCapital!AW112</f>
        <v>0</v>
      </c>
      <c r="BL75" s="147">
        <f>WorkingCapital!AX112</f>
        <v>0</v>
      </c>
      <c r="BM75" s="147">
        <f>WorkingCapital!AY112</f>
        <v>0</v>
      </c>
      <c r="BN75" s="147">
        <f>WorkingCapital!AZ112</f>
        <v>0</v>
      </c>
      <c r="BO75" s="147">
        <f>WorkingCapital!BA112</f>
        <v>0</v>
      </c>
      <c r="BP75" s="147">
        <f>WorkingCapital!BB112</f>
        <v>0</v>
      </c>
      <c r="BQ75" s="147">
        <f>WorkingCapital!BC112</f>
        <v>0</v>
      </c>
      <c r="BR75" s="147">
        <f>WorkingCapital!BD112</f>
        <v>0</v>
      </c>
      <c r="BS75" s="147">
        <f>WorkingCapital!BE112</f>
        <v>0</v>
      </c>
      <c r="BT75" s="147">
        <f>WorkingCapital!BF112</f>
        <v>0</v>
      </c>
      <c r="BU75" s="147">
        <f>WorkingCapital!BG112</f>
        <v>0</v>
      </c>
      <c r="BV75" s="147">
        <f>WorkingCapital!BH112</f>
        <v>0</v>
      </c>
      <c r="BW75" s="147">
        <f>WorkingCapital!BI112</f>
        <v>0</v>
      </c>
      <c r="BX75" s="147">
        <f>WorkingCapital!BJ112</f>
        <v>0</v>
      </c>
      <c r="BY75" s="147">
        <f>WorkingCapital!BK112</f>
        <v>0</v>
      </c>
      <c r="BZ75" s="147">
        <f>WorkingCapital!BL112</f>
        <v>0</v>
      </c>
      <c r="CA75" s="147">
        <f>WorkingCapital!BM112</f>
        <v>0</v>
      </c>
      <c r="CB75" s="147">
        <f>WorkingCapital!BN112</f>
        <v>0</v>
      </c>
      <c r="CC75" s="147">
        <f>WorkingCapital!BO112</f>
        <v>0</v>
      </c>
      <c r="CD75" s="147">
        <f>WorkingCapital!BP112</f>
        <v>0</v>
      </c>
      <c r="CE75" s="147">
        <f>WorkingCapital!BQ112</f>
        <v>0</v>
      </c>
      <c r="CF75" s="147">
        <f>WorkingCapital!BR112</f>
        <v>0</v>
      </c>
    </row>
    <row r="76" spans="1:84" s="147" customFormat="1" ht="13.2" hidden="1" outlineLevel="1" x14ac:dyDescent="0.25">
      <c r="A76" s="211"/>
      <c r="B76" s="250" t="str">
        <f t="shared" si="122"/>
        <v>Insert Business Line3</v>
      </c>
      <c r="D76" s="231" t="str">
        <f>unit</f>
        <v>£</v>
      </c>
      <c r="E76" s="147">
        <f>KeyInputs!E126</f>
        <v>0</v>
      </c>
      <c r="F76" s="147">
        <f>KeyInputs!F126</f>
        <v>0</v>
      </c>
      <c r="G76" s="147">
        <f>KeyInputs!G126</f>
        <v>0</v>
      </c>
      <c r="H76" s="147">
        <f ca="1">'Outputs - BalanceSheet'!E27</f>
        <v>0</v>
      </c>
      <c r="I76" s="147">
        <f ca="1">'Outputs - BalanceSheet'!F27</f>
        <v>0</v>
      </c>
      <c r="J76" s="147">
        <f ca="1">'Outputs - BalanceSheet'!G27</f>
        <v>0</v>
      </c>
      <c r="K76" s="147">
        <f ca="1">'Outputs - BalanceSheet'!H27</f>
        <v>0</v>
      </c>
      <c r="L76" s="147">
        <f ca="1">'Outputs - BalanceSheet'!I27</f>
        <v>0</v>
      </c>
      <c r="N76" s="147">
        <f>'Outputs - Summary'!E77</f>
        <v>0</v>
      </c>
      <c r="O76" s="147">
        <f>'Outputs - Summary'!F77</f>
        <v>0</v>
      </c>
      <c r="P76" s="147">
        <f>'Outputs - Summary'!G77</f>
        <v>0</v>
      </c>
      <c r="Q76" s="147">
        <f ca="1">'Outputs - Summary'!H77</f>
        <v>0</v>
      </c>
      <c r="R76" s="147">
        <f ca="1">'Outputs - Summary'!I77</f>
        <v>0</v>
      </c>
      <c r="S76" s="147">
        <f ca="1">'Outputs - Summary'!J77</f>
        <v>0</v>
      </c>
      <c r="T76" s="147">
        <f ca="1">'Outputs - Summary'!K77</f>
        <v>0</v>
      </c>
      <c r="U76" s="147">
        <f ca="1">'Outputs - Summary'!L77</f>
        <v>0</v>
      </c>
      <c r="W76" s="147">
        <f t="shared" si="108"/>
        <v>0</v>
      </c>
      <c r="X76" s="147">
        <f t="shared" si="108"/>
        <v>0</v>
      </c>
      <c r="Y76" s="147">
        <f t="shared" si="109"/>
        <v>0</v>
      </c>
      <c r="Z76" s="147">
        <f t="shared" ca="1" si="110"/>
        <v>0</v>
      </c>
      <c r="AA76" s="147">
        <f t="shared" ca="1" si="111"/>
        <v>0</v>
      </c>
      <c r="AB76" s="147">
        <f t="shared" ca="1" si="112"/>
        <v>0</v>
      </c>
      <c r="AC76" s="147">
        <f t="shared" ca="1" si="113"/>
        <v>0</v>
      </c>
      <c r="AD76" s="147">
        <f t="shared" ca="1" si="114"/>
        <v>0</v>
      </c>
      <c r="AG76" s="147">
        <f>WorkingCapital!S123</f>
        <v>0</v>
      </c>
      <c r="AH76" s="147">
        <f>WorkingCapital!T123</f>
        <v>0</v>
      </c>
      <c r="AI76" s="147">
        <f>WorkingCapital!U123</f>
        <v>0</v>
      </c>
      <c r="AJ76" s="147">
        <f>WorkingCapital!V123</f>
        <v>0</v>
      </c>
      <c r="AK76" s="147">
        <f>WorkingCapital!W123</f>
        <v>0</v>
      </c>
      <c r="AL76" s="147">
        <f>WorkingCapital!X123</f>
        <v>0</v>
      </c>
      <c r="AM76" s="147">
        <f>WorkingCapital!Y123</f>
        <v>0</v>
      </c>
      <c r="AN76" s="147">
        <f>WorkingCapital!Z123</f>
        <v>0</v>
      </c>
      <c r="AO76" s="147">
        <f>WorkingCapital!AA123</f>
        <v>0</v>
      </c>
      <c r="AP76" s="147">
        <f>WorkingCapital!AB123</f>
        <v>0</v>
      </c>
      <c r="AQ76" s="147">
        <f>WorkingCapital!AC123</f>
        <v>0</v>
      </c>
      <c r="AR76" s="147">
        <f>WorkingCapital!AD123</f>
        <v>0</v>
      </c>
      <c r="AS76" s="147">
        <f>WorkingCapital!AE123</f>
        <v>0</v>
      </c>
      <c r="AT76" s="147">
        <f>WorkingCapital!AF123</f>
        <v>0</v>
      </c>
      <c r="AU76" s="147">
        <f>WorkingCapital!AG123</f>
        <v>0</v>
      </c>
      <c r="AV76" s="147">
        <f>WorkingCapital!AH123</f>
        <v>0</v>
      </c>
      <c r="AW76" s="147">
        <f>WorkingCapital!AI123</f>
        <v>0</v>
      </c>
      <c r="AX76" s="147">
        <f>WorkingCapital!AJ123</f>
        <v>0</v>
      </c>
      <c r="AY76" s="147">
        <f>WorkingCapital!AK123</f>
        <v>0</v>
      </c>
      <c r="AZ76" s="147">
        <f>WorkingCapital!AL123</f>
        <v>0</v>
      </c>
      <c r="BA76" s="147">
        <f>WorkingCapital!AM123</f>
        <v>0</v>
      </c>
      <c r="BB76" s="147">
        <f>WorkingCapital!AN123</f>
        <v>0</v>
      </c>
      <c r="BC76" s="147">
        <f>WorkingCapital!AO123</f>
        <v>0</v>
      </c>
      <c r="BD76" s="147">
        <f>WorkingCapital!AP123</f>
        <v>0</v>
      </c>
      <c r="BE76" s="147">
        <f>WorkingCapital!AQ123</f>
        <v>0</v>
      </c>
      <c r="BF76" s="147">
        <f>WorkingCapital!AR123</f>
        <v>0</v>
      </c>
      <c r="BG76" s="147">
        <f>WorkingCapital!AS123</f>
        <v>0</v>
      </c>
      <c r="BH76" s="147">
        <f>WorkingCapital!AT123</f>
        <v>0</v>
      </c>
      <c r="BI76" s="147">
        <f>WorkingCapital!AU123</f>
        <v>0</v>
      </c>
      <c r="BJ76" s="147">
        <f>WorkingCapital!AV123</f>
        <v>0</v>
      </c>
      <c r="BK76" s="147">
        <f>WorkingCapital!AW123</f>
        <v>0</v>
      </c>
      <c r="BL76" s="147">
        <f>WorkingCapital!AX123</f>
        <v>0</v>
      </c>
      <c r="BM76" s="147">
        <f>WorkingCapital!AY123</f>
        <v>0</v>
      </c>
      <c r="BN76" s="147">
        <f>WorkingCapital!AZ123</f>
        <v>0</v>
      </c>
      <c r="BO76" s="147">
        <f>WorkingCapital!BA123</f>
        <v>0</v>
      </c>
      <c r="BP76" s="147">
        <f>WorkingCapital!BB123</f>
        <v>0</v>
      </c>
      <c r="BQ76" s="147">
        <f>WorkingCapital!BC123</f>
        <v>0</v>
      </c>
      <c r="BR76" s="147">
        <f>WorkingCapital!BD123</f>
        <v>0</v>
      </c>
      <c r="BS76" s="147">
        <f>WorkingCapital!BE123</f>
        <v>0</v>
      </c>
      <c r="BT76" s="147">
        <f>WorkingCapital!BF123</f>
        <v>0</v>
      </c>
      <c r="BU76" s="147">
        <f>WorkingCapital!BG123</f>
        <v>0</v>
      </c>
      <c r="BV76" s="147">
        <f>WorkingCapital!BH123</f>
        <v>0</v>
      </c>
      <c r="BW76" s="147">
        <f>WorkingCapital!BI123</f>
        <v>0</v>
      </c>
      <c r="BX76" s="147">
        <f>WorkingCapital!BJ123</f>
        <v>0</v>
      </c>
      <c r="BY76" s="147">
        <f>WorkingCapital!BK123</f>
        <v>0</v>
      </c>
      <c r="BZ76" s="147">
        <f>WorkingCapital!BL123</f>
        <v>0</v>
      </c>
      <c r="CA76" s="147">
        <f>WorkingCapital!BM123</f>
        <v>0</v>
      </c>
      <c r="CB76" s="147">
        <f>WorkingCapital!BN123</f>
        <v>0</v>
      </c>
      <c r="CC76" s="147">
        <f>WorkingCapital!BO123</f>
        <v>0</v>
      </c>
      <c r="CD76" s="147">
        <f>WorkingCapital!BP123</f>
        <v>0</v>
      </c>
      <c r="CE76" s="147">
        <f>WorkingCapital!BQ123</f>
        <v>0</v>
      </c>
      <c r="CF76" s="147">
        <f>WorkingCapital!BR123</f>
        <v>0</v>
      </c>
    </row>
    <row r="77" spans="1:84" s="147" customFormat="1" ht="13.2" hidden="1" outlineLevel="1" x14ac:dyDescent="0.25">
      <c r="A77" s="211"/>
      <c r="D77" s="231"/>
      <c r="N77" s="147">
        <f>'Outputs - Summary'!E78</f>
        <v>0</v>
      </c>
      <c r="O77" s="147">
        <f>'Outputs - Summary'!F78</f>
        <v>0</v>
      </c>
      <c r="P77" s="147">
        <f>'Outputs - Summary'!G78</f>
        <v>0</v>
      </c>
      <c r="Q77" s="147">
        <f>'Outputs - Summary'!H78</f>
        <v>0</v>
      </c>
      <c r="R77" s="147">
        <f>'Outputs - Summary'!I78</f>
        <v>0</v>
      </c>
      <c r="S77" s="147">
        <f>'Outputs - Summary'!J78</f>
        <v>0</v>
      </c>
      <c r="T77" s="147">
        <f>'Outputs - Summary'!K78</f>
        <v>0</v>
      </c>
      <c r="U77" s="147">
        <f>'Outputs - Summary'!L78</f>
        <v>0</v>
      </c>
      <c r="W77" s="147">
        <f t="shared" si="108"/>
        <v>0</v>
      </c>
      <c r="X77" s="147">
        <f t="shared" si="108"/>
        <v>0</v>
      </c>
      <c r="Y77" s="147">
        <f t="shared" si="109"/>
        <v>0</v>
      </c>
      <c r="Z77" s="147">
        <f t="shared" si="110"/>
        <v>0</v>
      </c>
      <c r="AA77" s="147">
        <f t="shared" si="111"/>
        <v>0</v>
      </c>
      <c r="AB77" s="147">
        <f t="shared" si="112"/>
        <v>0</v>
      </c>
      <c r="AC77" s="147">
        <f t="shared" si="113"/>
        <v>0</v>
      </c>
      <c r="AD77" s="147">
        <f t="shared" si="114"/>
        <v>0</v>
      </c>
    </row>
    <row r="78" spans="1:84" s="147" customFormat="1" ht="13.2" collapsed="1" x14ac:dyDescent="0.25">
      <c r="A78" s="211"/>
      <c r="B78" s="147" t="s">
        <v>284</v>
      </c>
      <c r="D78" s="231" t="str">
        <f>unit</f>
        <v>£</v>
      </c>
      <c r="E78" s="147">
        <f>KeyInputs!E128</f>
        <v>0</v>
      </c>
      <c r="F78" s="147">
        <f>KeyInputs!F128</f>
        <v>0</v>
      </c>
      <c r="G78" s="147">
        <f>KeyInputs!G128</f>
        <v>0</v>
      </c>
      <c r="H78" s="147">
        <f ca="1">'Outputs - BalanceSheet'!E29</f>
        <v>0</v>
      </c>
      <c r="I78" s="147">
        <f ca="1">'Outputs - BalanceSheet'!F29</f>
        <v>0</v>
      </c>
      <c r="J78" s="147">
        <f ca="1">'Outputs - BalanceSheet'!G29</f>
        <v>0</v>
      </c>
      <c r="K78" s="147">
        <f ca="1">'Outputs - BalanceSheet'!H29</f>
        <v>0</v>
      </c>
      <c r="L78" s="147">
        <f ca="1">'Outputs - BalanceSheet'!I29</f>
        <v>0</v>
      </c>
      <c r="N78" s="147">
        <f>'Outputs - Summary'!E79</f>
        <v>0</v>
      </c>
      <c r="O78" s="147">
        <f>'Outputs - Summary'!F79</f>
        <v>0</v>
      </c>
      <c r="P78" s="147">
        <f>'Outputs - Summary'!G79</f>
        <v>0</v>
      </c>
      <c r="Q78" s="147">
        <f ca="1">'Outputs - Summary'!H79</f>
        <v>0</v>
      </c>
      <c r="R78" s="147">
        <f ca="1">'Outputs - Summary'!I79</f>
        <v>0</v>
      </c>
      <c r="S78" s="147">
        <f ca="1">'Outputs - Summary'!J79</f>
        <v>0</v>
      </c>
      <c r="T78" s="147">
        <f ca="1">'Outputs - Summary'!K79</f>
        <v>0</v>
      </c>
      <c r="U78" s="147">
        <f ca="1">'Outputs - Summary'!L79</f>
        <v>0</v>
      </c>
      <c r="W78" s="147">
        <f t="shared" si="108"/>
        <v>0</v>
      </c>
      <c r="X78" s="147">
        <f t="shared" si="108"/>
        <v>0</v>
      </c>
      <c r="Y78" s="147">
        <f t="shared" si="109"/>
        <v>0</v>
      </c>
      <c r="Z78" s="147">
        <f t="shared" ca="1" si="110"/>
        <v>0</v>
      </c>
      <c r="AA78" s="147">
        <f t="shared" ca="1" si="111"/>
        <v>0</v>
      </c>
      <c r="AB78" s="147">
        <f t="shared" ca="1" si="112"/>
        <v>0</v>
      </c>
      <c r="AC78" s="147">
        <f t="shared" ca="1" si="113"/>
        <v>0</v>
      </c>
      <c r="AD78" s="147">
        <f t="shared" ca="1" si="114"/>
        <v>0</v>
      </c>
      <c r="AG78" s="147">
        <f ca="1">MAX('Outputs - Cashflow'!S$39,0)</f>
        <v>0</v>
      </c>
      <c r="AH78" s="147">
        <f ca="1">MAX('Outputs - Cashflow'!T$39,0)</f>
        <v>0</v>
      </c>
      <c r="AI78" s="147">
        <f ca="1">MAX('Outputs - Cashflow'!U$39,0)</f>
        <v>0</v>
      </c>
      <c r="AJ78" s="147">
        <f ca="1">MAX('Outputs - Cashflow'!V$39,0)</f>
        <v>0</v>
      </c>
      <c r="AK78" s="147">
        <f ca="1">MAX('Outputs - Cashflow'!W$39,0)</f>
        <v>0</v>
      </c>
      <c r="AL78" s="147">
        <f ca="1">MAX('Outputs - Cashflow'!X$39,0)</f>
        <v>0</v>
      </c>
      <c r="AM78" s="147">
        <f ca="1">MAX('Outputs - Cashflow'!Y$39,0)</f>
        <v>0</v>
      </c>
      <c r="AN78" s="147">
        <f ca="1">MAX('Outputs - Cashflow'!Z$39,0)</f>
        <v>0</v>
      </c>
      <c r="AO78" s="147">
        <f ca="1">MAX('Outputs - Cashflow'!AA$39,0)</f>
        <v>0</v>
      </c>
      <c r="AP78" s="147">
        <f ca="1">MAX('Outputs - Cashflow'!AB$39,0)</f>
        <v>0</v>
      </c>
      <c r="AQ78" s="147">
        <f ca="1">MAX('Outputs - Cashflow'!AC$39,0)</f>
        <v>0</v>
      </c>
      <c r="AR78" s="147">
        <f ca="1">MAX('Outputs - Cashflow'!AD$39,0)</f>
        <v>0</v>
      </c>
      <c r="AS78" s="147">
        <f ca="1">MAX('Outputs - Cashflow'!AE$39,0)</f>
        <v>0</v>
      </c>
      <c r="AT78" s="147">
        <f ca="1">MAX('Outputs - Cashflow'!AF$39,0)</f>
        <v>0</v>
      </c>
      <c r="AU78" s="147">
        <f ca="1">MAX('Outputs - Cashflow'!AG$39,0)</f>
        <v>0</v>
      </c>
      <c r="AV78" s="147">
        <f ca="1">MAX('Outputs - Cashflow'!AH$39,0)</f>
        <v>0</v>
      </c>
      <c r="AW78" s="147">
        <f ca="1">MAX('Outputs - Cashflow'!AI$39,0)</f>
        <v>0</v>
      </c>
      <c r="AX78" s="147">
        <f ca="1">MAX('Outputs - Cashflow'!AJ$39,0)</f>
        <v>0</v>
      </c>
      <c r="AY78" s="147">
        <f ca="1">MAX('Outputs - Cashflow'!AK$39,0)</f>
        <v>0</v>
      </c>
      <c r="AZ78" s="147">
        <f ca="1">MAX('Outputs - Cashflow'!AL$39,0)</f>
        <v>0</v>
      </c>
      <c r="BA78" s="147">
        <f ca="1">MAX('Outputs - Cashflow'!AM$39,0)</f>
        <v>0</v>
      </c>
      <c r="BB78" s="147">
        <f ca="1">MAX('Outputs - Cashflow'!AN$39,0)</f>
        <v>0</v>
      </c>
      <c r="BC78" s="147">
        <f ca="1">MAX('Outputs - Cashflow'!AO$39,0)</f>
        <v>0</v>
      </c>
      <c r="BD78" s="147">
        <f ca="1">MAX('Outputs - Cashflow'!AP$39,0)</f>
        <v>0</v>
      </c>
      <c r="BE78" s="147">
        <f ca="1">MAX('Outputs - Cashflow'!AQ$39,0)</f>
        <v>0</v>
      </c>
      <c r="BF78" s="147">
        <f ca="1">MAX('Outputs - Cashflow'!AR$39,0)</f>
        <v>0</v>
      </c>
      <c r="BG78" s="147">
        <f ca="1">MAX('Outputs - Cashflow'!AS$39,0)</f>
        <v>0</v>
      </c>
      <c r="BH78" s="147">
        <f ca="1">MAX('Outputs - Cashflow'!AT$39,0)</f>
        <v>0</v>
      </c>
      <c r="BI78" s="147">
        <f ca="1">MAX('Outputs - Cashflow'!AU$39,0)</f>
        <v>0</v>
      </c>
      <c r="BJ78" s="147">
        <f ca="1">MAX('Outputs - Cashflow'!AV$39,0)</f>
        <v>0</v>
      </c>
      <c r="BK78" s="147">
        <f ca="1">MAX('Outputs - Cashflow'!AW$39,0)</f>
        <v>0</v>
      </c>
      <c r="BL78" s="147">
        <f ca="1">MAX('Outputs - Cashflow'!AX$39,0)</f>
        <v>0</v>
      </c>
      <c r="BM78" s="147">
        <f ca="1">MAX('Outputs - Cashflow'!AY$39,0)</f>
        <v>0</v>
      </c>
      <c r="BN78" s="147">
        <f ca="1">MAX('Outputs - Cashflow'!AZ$39,0)</f>
        <v>0</v>
      </c>
      <c r="BO78" s="147">
        <f ca="1">MAX('Outputs - Cashflow'!BA$39,0)</f>
        <v>0</v>
      </c>
      <c r="BP78" s="147">
        <f ca="1">MAX('Outputs - Cashflow'!BB$39,0)</f>
        <v>0</v>
      </c>
      <c r="BQ78" s="147">
        <f ca="1">MAX('Outputs - Cashflow'!BC$39,0)</f>
        <v>0</v>
      </c>
      <c r="BR78" s="147">
        <f ca="1">MAX('Outputs - Cashflow'!BD$39,0)</f>
        <v>0</v>
      </c>
      <c r="BS78" s="147">
        <f ca="1">MAX('Outputs - Cashflow'!BE$39,0)</f>
        <v>0</v>
      </c>
      <c r="BT78" s="147">
        <f ca="1">MAX('Outputs - Cashflow'!BF$39,0)</f>
        <v>0</v>
      </c>
      <c r="BU78" s="147">
        <f ca="1">MAX('Outputs - Cashflow'!BG$39,0)</f>
        <v>0</v>
      </c>
      <c r="BV78" s="147">
        <f ca="1">MAX('Outputs - Cashflow'!BH$39,0)</f>
        <v>0</v>
      </c>
      <c r="BW78" s="147">
        <f ca="1">MAX('Outputs - Cashflow'!BI$39,0)</f>
        <v>0</v>
      </c>
      <c r="BX78" s="147">
        <f ca="1">MAX('Outputs - Cashflow'!BJ$39,0)</f>
        <v>0</v>
      </c>
      <c r="BY78" s="147">
        <f ca="1">MAX('Outputs - Cashflow'!BK$39,0)</f>
        <v>0</v>
      </c>
      <c r="BZ78" s="147">
        <f ca="1">MAX('Outputs - Cashflow'!BL$39,0)</f>
        <v>0</v>
      </c>
      <c r="CA78" s="147">
        <f ca="1">MAX('Outputs - Cashflow'!BM$39,0)</f>
        <v>0</v>
      </c>
      <c r="CB78" s="147">
        <f ca="1">MAX('Outputs - Cashflow'!BN$39,0)</f>
        <v>0</v>
      </c>
      <c r="CC78" s="147">
        <f ca="1">MAX('Outputs - Cashflow'!BO$39,0)</f>
        <v>0</v>
      </c>
      <c r="CD78" s="147">
        <f ca="1">MAX('Outputs - Cashflow'!BP$39,0)</f>
        <v>0</v>
      </c>
      <c r="CE78" s="147">
        <f ca="1">MAX('Outputs - Cashflow'!BQ$39,0)</f>
        <v>0</v>
      </c>
      <c r="CF78" s="147">
        <f ca="1">MAX('Outputs - Cashflow'!BR$39,0)</f>
        <v>0</v>
      </c>
    </row>
    <row r="79" spans="1:84" s="147" customFormat="1" ht="13.2" x14ac:dyDescent="0.25">
      <c r="A79" s="211"/>
      <c r="B79" s="211" t="s">
        <v>342</v>
      </c>
      <c r="C79" s="211"/>
      <c r="D79" s="211"/>
      <c r="E79" s="211">
        <f>SUM(E61:E78)</f>
        <v>0</v>
      </c>
      <c r="F79" s="211">
        <f>SUM(F61:F78)</f>
        <v>0</v>
      </c>
      <c r="G79" s="211">
        <f t="shared" ref="G79:L79" si="123">SUM(G61:G78)</f>
        <v>0</v>
      </c>
      <c r="H79" s="211">
        <f t="shared" ca="1" si="123"/>
        <v>0</v>
      </c>
      <c r="I79" s="211">
        <f t="shared" ca="1" si="123"/>
        <v>0</v>
      </c>
      <c r="J79" s="211">
        <f t="shared" ca="1" si="123"/>
        <v>0</v>
      </c>
      <c r="K79" s="211">
        <f t="shared" ca="1" si="123"/>
        <v>0</v>
      </c>
      <c r="L79" s="211">
        <f t="shared" ca="1" si="123"/>
        <v>0</v>
      </c>
      <c r="M79" s="211"/>
      <c r="N79" s="211">
        <f>'Outputs - Summary'!E80</f>
        <v>0</v>
      </c>
      <c r="O79" s="211">
        <f>'Outputs - Summary'!F80</f>
        <v>0</v>
      </c>
      <c r="P79" s="211">
        <f>'Outputs - Summary'!G80</f>
        <v>0</v>
      </c>
      <c r="Q79" s="211">
        <f ca="1">'Outputs - Summary'!H80</f>
        <v>0</v>
      </c>
      <c r="R79" s="211">
        <f ca="1">'Outputs - Summary'!I80</f>
        <v>0</v>
      </c>
      <c r="S79" s="211">
        <f ca="1">'Outputs - Summary'!J80</f>
        <v>0</v>
      </c>
      <c r="T79" s="211">
        <f ca="1">'Outputs - Summary'!K80</f>
        <v>0</v>
      </c>
      <c r="U79" s="211">
        <f ca="1">'Outputs - Summary'!L80</f>
        <v>0</v>
      </c>
      <c r="V79" s="211"/>
      <c r="W79" s="211">
        <f t="shared" si="108"/>
        <v>0</v>
      </c>
      <c r="X79" s="211">
        <f t="shared" si="108"/>
        <v>0</v>
      </c>
      <c r="Y79" s="211">
        <f t="shared" si="109"/>
        <v>0</v>
      </c>
      <c r="Z79" s="211">
        <f t="shared" ca="1" si="110"/>
        <v>0</v>
      </c>
      <c r="AA79" s="211">
        <f t="shared" ca="1" si="111"/>
        <v>0</v>
      </c>
      <c r="AB79" s="211">
        <f t="shared" ca="1" si="112"/>
        <v>0</v>
      </c>
      <c r="AC79" s="211">
        <f t="shared" ca="1" si="113"/>
        <v>0</v>
      </c>
      <c r="AD79" s="211">
        <f t="shared" ca="1" si="114"/>
        <v>0</v>
      </c>
      <c r="AE79" s="211"/>
      <c r="AF79" s="211"/>
    </row>
    <row r="80" spans="1:84" s="147" customFormat="1" ht="13.2" x14ac:dyDescent="0.25">
      <c r="A80" s="211"/>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row>
    <row r="81" spans="1:84" s="147" customFormat="1" ht="13.2" x14ac:dyDescent="0.25">
      <c r="A81" s="211"/>
      <c r="B81" s="147" t="s">
        <v>285</v>
      </c>
      <c r="D81" s="231" t="str">
        <f t="shared" ref="D81:D86" si="124">unit</f>
        <v>£</v>
      </c>
      <c r="E81" s="147">
        <f>KeyInputs!E130</f>
        <v>0</v>
      </c>
      <c r="F81" s="147">
        <f>KeyInputs!F130</f>
        <v>0</v>
      </c>
      <c r="G81" s="147">
        <f>KeyInputs!G130</f>
        <v>0</v>
      </c>
      <c r="H81" s="147">
        <f ca="1">'Outputs - BalanceSheet'!E31</f>
        <v>0</v>
      </c>
      <c r="I81" s="147">
        <f ca="1">'Outputs - BalanceSheet'!F31</f>
        <v>0</v>
      </c>
      <c r="J81" s="147">
        <f ca="1">'Outputs - BalanceSheet'!G31</f>
        <v>0</v>
      </c>
      <c r="K81" s="147">
        <f ca="1">'Outputs - BalanceSheet'!H31</f>
        <v>0</v>
      </c>
      <c r="L81" s="147">
        <f ca="1">'Outputs - BalanceSheet'!I31</f>
        <v>0</v>
      </c>
      <c r="N81" s="147">
        <f>'Outputs - Summary'!E82</f>
        <v>0</v>
      </c>
      <c r="O81" s="147">
        <f>'Outputs - Summary'!F82</f>
        <v>0</v>
      </c>
      <c r="P81" s="147">
        <f>'Outputs - Summary'!G82</f>
        <v>0</v>
      </c>
      <c r="Q81" s="147">
        <f ca="1">'Outputs - Summary'!H82</f>
        <v>0</v>
      </c>
      <c r="R81" s="147">
        <f ca="1">'Outputs - Summary'!I82</f>
        <v>0</v>
      </c>
      <c r="S81" s="147">
        <f ca="1">'Outputs - Summary'!J82</f>
        <v>0</v>
      </c>
      <c r="T81" s="147">
        <f ca="1">'Outputs - Summary'!K82</f>
        <v>0</v>
      </c>
      <c r="U81" s="147">
        <f ca="1">'Outputs - Summary'!L82</f>
        <v>0</v>
      </c>
      <c r="W81" s="147">
        <f t="shared" ref="W81:X88" si="125">N81-E81</f>
        <v>0</v>
      </c>
      <c r="X81" s="147">
        <f t="shared" si="125"/>
        <v>0</v>
      </c>
      <c r="Y81" s="147">
        <f t="shared" ref="Y81:Y88" si="126">P81-G81</f>
        <v>0</v>
      </c>
      <c r="Z81" s="147">
        <f t="shared" ref="Z81:Z88" ca="1" si="127">Q81-H81</f>
        <v>0</v>
      </c>
      <c r="AA81" s="147">
        <f t="shared" ref="AA81:AA88" ca="1" si="128">R81-I81</f>
        <v>0</v>
      </c>
      <c r="AB81" s="147">
        <f t="shared" ref="AB81:AB88" ca="1" si="129">S81-J81</f>
        <v>0</v>
      </c>
      <c r="AC81" s="147">
        <f t="shared" ref="AC81:AC88" ca="1" si="130">T81-K81</f>
        <v>0</v>
      </c>
      <c r="AD81" s="147">
        <f t="shared" ref="AD81:AD88" ca="1" si="131">U81-L81</f>
        <v>0</v>
      </c>
      <c r="AG81" s="147">
        <f ca="1">MIN('Outputs - Cashflow'!S$39,0)</f>
        <v>0</v>
      </c>
      <c r="AH81" s="147">
        <f ca="1">MIN('Outputs - Cashflow'!T$39,0)</f>
        <v>0</v>
      </c>
      <c r="AI81" s="147">
        <f ca="1">MIN('Outputs - Cashflow'!U$39,0)</f>
        <v>0</v>
      </c>
      <c r="AJ81" s="147">
        <f ca="1">MIN('Outputs - Cashflow'!V$39,0)</f>
        <v>0</v>
      </c>
      <c r="AK81" s="147">
        <f ca="1">MIN('Outputs - Cashflow'!W$39,0)</f>
        <v>0</v>
      </c>
      <c r="AL81" s="147">
        <f ca="1">MIN('Outputs - Cashflow'!X$39,0)</f>
        <v>0</v>
      </c>
      <c r="AM81" s="147">
        <f ca="1">MIN('Outputs - Cashflow'!Y$39,0)</f>
        <v>0</v>
      </c>
      <c r="AN81" s="147">
        <f ca="1">MIN('Outputs - Cashflow'!Z$39,0)</f>
        <v>0</v>
      </c>
      <c r="AO81" s="147">
        <f ca="1">MIN('Outputs - Cashflow'!AA$39,0)</f>
        <v>0</v>
      </c>
      <c r="AP81" s="147">
        <f ca="1">MIN('Outputs - Cashflow'!AB$39,0)</f>
        <v>0</v>
      </c>
      <c r="AQ81" s="147">
        <f ca="1">MIN('Outputs - Cashflow'!AC$39,0)</f>
        <v>0</v>
      </c>
      <c r="AR81" s="147">
        <f ca="1">MIN('Outputs - Cashflow'!AD$39,0)</f>
        <v>0</v>
      </c>
      <c r="AS81" s="147">
        <f ca="1">MIN('Outputs - Cashflow'!AE$39,0)</f>
        <v>0</v>
      </c>
      <c r="AT81" s="147">
        <f ca="1">MIN('Outputs - Cashflow'!AF$39,0)</f>
        <v>0</v>
      </c>
      <c r="AU81" s="147">
        <f ca="1">MIN('Outputs - Cashflow'!AG$39,0)</f>
        <v>0</v>
      </c>
      <c r="AV81" s="147">
        <f ca="1">MIN('Outputs - Cashflow'!AH$39,0)</f>
        <v>0</v>
      </c>
      <c r="AW81" s="147">
        <f ca="1">MIN('Outputs - Cashflow'!AI$39,0)</f>
        <v>0</v>
      </c>
      <c r="AX81" s="147">
        <f ca="1">MIN('Outputs - Cashflow'!AJ$39,0)</f>
        <v>0</v>
      </c>
      <c r="AY81" s="147">
        <f ca="1">MIN('Outputs - Cashflow'!AK$39,0)</f>
        <v>0</v>
      </c>
      <c r="AZ81" s="147">
        <f ca="1">MIN('Outputs - Cashflow'!AL$39,0)</f>
        <v>0</v>
      </c>
      <c r="BA81" s="147">
        <f ca="1">MIN('Outputs - Cashflow'!AM$39,0)</f>
        <v>0</v>
      </c>
      <c r="BB81" s="147">
        <f ca="1">MIN('Outputs - Cashflow'!AN$39,0)</f>
        <v>0</v>
      </c>
      <c r="BC81" s="147">
        <f ca="1">MIN('Outputs - Cashflow'!AO$39,0)</f>
        <v>0</v>
      </c>
      <c r="BD81" s="147">
        <f ca="1">MIN('Outputs - Cashflow'!AP$39,0)</f>
        <v>0</v>
      </c>
      <c r="BE81" s="147">
        <f ca="1">MIN('Outputs - Cashflow'!AQ$39,0)</f>
        <v>0</v>
      </c>
      <c r="BF81" s="147">
        <f ca="1">MIN('Outputs - Cashflow'!AR$39,0)</f>
        <v>0</v>
      </c>
      <c r="BG81" s="147">
        <f ca="1">MIN('Outputs - Cashflow'!AS$39,0)</f>
        <v>0</v>
      </c>
      <c r="BH81" s="147">
        <f ca="1">MIN('Outputs - Cashflow'!AT$39,0)</f>
        <v>0</v>
      </c>
      <c r="BI81" s="147">
        <f ca="1">MIN('Outputs - Cashflow'!AU$39,0)</f>
        <v>0</v>
      </c>
      <c r="BJ81" s="147">
        <f ca="1">MIN('Outputs - Cashflow'!AV$39,0)</f>
        <v>0</v>
      </c>
      <c r="BK81" s="147">
        <f ca="1">MIN('Outputs - Cashflow'!AW$39,0)</f>
        <v>0</v>
      </c>
      <c r="BL81" s="147">
        <f ca="1">MIN('Outputs - Cashflow'!AX$39,0)</f>
        <v>0</v>
      </c>
      <c r="BM81" s="147">
        <f ca="1">MIN('Outputs - Cashflow'!AY$39,0)</f>
        <v>0</v>
      </c>
      <c r="BN81" s="147">
        <f ca="1">MIN('Outputs - Cashflow'!AZ$39,0)</f>
        <v>0</v>
      </c>
      <c r="BO81" s="147">
        <f ca="1">MIN('Outputs - Cashflow'!BA$39,0)</f>
        <v>0</v>
      </c>
      <c r="BP81" s="147">
        <f ca="1">MIN('Outputs - Cashflow'!BB$39,0)</f>
        <v>0</v>
      </c>
      <c r="BQ81" s="147">
        <f ca="1">MIN('Outputs - Cashflow'!BC$39,0)</f>
        <v>0</v>
      </c>
      <c r="BR81" s="147">
        <f ca="1">MIN('Outputs - Cashflow'!BD$39,0)</f>
        <v>0</v>
      </c>
      <c r="BS81" s="147">
        <f ca="1">MIN('Outputs - Cashflow'!BE$39,0)</f>
        <v>0</v>
      </c>
      <c r="BT81" s="147">
        <f ca="1">MIN('Outputs - Cashflow'!BF$39,0)</f>
        <v>0</v>
      </c>
      <c r="BU81" s="147">
        <f ca="1">MIN('Outputs - Cashflow'!BG$39,0)</f>
        <v>0</v>
      </c>
      <c r="BV81" s="147">
        <f ca="1">MIN('Outputs - Cashflow'!BH$39,0)</f>
        <v>0</v>
      </c>
      <c r="BW81" s="147">
        <f ca="1">MIN('Outputs - Cashflow'!BI$39,0)</f>
        <v>0</v>
      </c>
      <c r="BX81" s="147">
        <f ca="1">MIN('Outputs - Cashflow'!BJ$39,0)</f>
        <v>0</v>
      </c>
      <c r="BY81" s="147">
        <f ca="1">MIN('Outputs - Cashflow'!BK$39,0)</f>
        <v>0</v>
      </c>
      <c r="BZ81" s="147">
        <f ca="1">MIN('Outputs - Cashflow'!BL$39,0)</f>
        <v>0</v>
      </c>
      <c r="CA81" s="147">
        <f ca="1">MIN('Outputs - Cashflow'!BM$39,0)</f>
        <v>0</v>
      </c>
      <c r="CB81" s="147">
        <f ca="1">MIN('Outputs - Cashflow'!BN$39,0)</f>
        <v>0</v>
      </c>
      <c r="CC81" s="147">
        <f ca="1">MIN('Outputs - Cashflow'!BO$39,0)</f>
        <v>0</v>
      </c>
      <c r="CD81" s="147">
        <f ca="1">MIN('Outputs - Cashflow'!BP$39,0)</f>
        <v>0</v>
      </c>
      <c r="CE81" s="147">
        <f ca="1">MIN('Outputs - Cashflow'!BQ$39,0)</f>
        <v>0</v>
      </c>
      <c r="CF81" s="147">
        <f ca="1">MIN('Outputs - Cashflow'!BR$39,0)</f>
        <v>0</v>
      </c>
    </row>
    <row r="82" spans="1:84" s="147" customFormat="1" ht="13.2" x14ac:dyDescent="0.25">
      <c r="A82" s="211"/>
      <c r="B82" s="147" t="s">
        <v>212</v>
      </c>
      <c r="D82" s="231" t="str">
        <f t="shared" si="124"/>
        <v>£</v>
      </c>
      <c r="E82" s="147">
        <f>KeyInputs!E131</f>
        <v>0</v>
      </c>
      <c r="F82" s="147">
        <f>KeyInputs!F131</f>
        <v>0</v>
      </c>
      <c r="G82" s="147">
        <f>KeyInputs!G131</f>
        <v>0</v>
      </c>
      <c r="H82" s="147">
        <f ca="1">'Outputs - BalanceSheet'!E32</f>
        <v>0</v>
      </c>
      <c r="I82" s="147">
        <f ca="1">'Outputs - BalanceSheet'!F32</f>
        <v>0</v>
      </c>
      <c r="J82" s="147">
        <f ca="1">'Outputs - BalanceSheet'!G32</f>
        <v>0</v>
      </c>
      <c r="K82" s="147">
        <f ca="1">'Outputs - BalanceSheet'!H32</f>
        <v>0</v>
      </c>
      <c r="L82" s="147">
        <f ca="1">'Outputs - BalanceSheet'!I32</f>
        <v>0</v>
      </c>
      <c r="N82" s="147">
        <f>'Outputs - Summary'!E83</f>
        <v>0</v>
      </c>
      <c r="O82" s="147">
        <f>'Outputs - Summary'!F83</f>
        <v>0</v>
      </c>
      <c r="P82" s="147">
        <f>'Outputs - Summary'!G83</f>
        <v>0</v>
      </c>
      <c r="Q82" s="147">
        <f ca="1">'Outputs - Summary'!H83</f>
        <v>0</v>
      </c>
      <c r="R82" s="147">
        <f ca="1">'Outputs - Summary'!I83</f>
        <v>0</v>
      </c>
      <c r="S82" s="147">
        <f ca="1">'Outputs - Summary'!J83</f>
        <v>0</v>
      </c>
      <c r="T82" s="147">
        <f ca="1">'Outputs - Summary'!K83</f>
        <v>0</v>
      </c>
      <c r="U82" s="147">
        <f ca="1">'Outputs - Summary'!L83</f>
        <v>0</v>
      </c>
      <c r="W82" s="147">
        <f t="shared" si="125"/>
        <v>0</v>
      </c>
      <c r="X82" s="147">
        <f t="shared" si="125"/>
        <v>0</v>
      </c>
      <c r="Y82" s="147">
        <f t="shared" si="126"/>
        <v>0</v>
      </c>
      <c r="Z82" s="147">
        <f t="shared" ca="1" si="127"/>
        <v>0</v>
      </c>
      <c r="AA82" s="147">
        <f t="shared" ca="1" si="128"/>
        <v>0</v>
      </c>
      <c r="AB82" s="147">
        <f t="shared" ca="1" si="129"/>
        <v>0</v>
      </c>
      <c r="AC82" s="147">
        <f t="shared" ca="1" si="130"/>
        <v>0</v>
      </c>
      <c r="AD82" s="147">
        <f t="shared" ca="1" si="131"/>
        <v>0</v>
      </c>
      <c r="AG82" s="147">
        <f ca="1">WorkingCapital!S$91</f>
        <v>0</v>
      </c>
      <c r="AH82" s="147">
        <f ca="1">WorkingCapital!T$91</f>
        <v>0</v>
      </c>
      <c r="AI82" s="147">
        <f ca="1">WorkingCapital!U$91</f>
        <v>0</v>
      </c>
      <c r="AJ82" s="147">
        <f ca="1">WorkingCapital!V$91</f>
        <v>0</v>
      </c>
      <c r="AK82" s="147">
        <f ca="1">WorkingCapital!W$91</f>
        <v>0</v>
      </c>
      <c r="AL82" s="147">
        <f ca="1">WorkingCapital!X$91</f>
        <v>0</v>
      </c>
      <c r="AM82" s="147">
        <f ca="1">WorkingCapital!Y$91</f>
        <v>0</v>
      </c>
      <c r="AN82" s="147">
        <f ca="1">WorkingCapital!Z$91</f>
        <v>0</v>
      </c>
      <c r="AO82" s="147">
        <f ca="1">WorkingCapital!AA$91</f>
        <v>0</v>
      </c>
      <c r="AP82" s="147">
        <f ca="1">WorkingCapital!AB$91</f>
        <v>0</v>
      </c>
      <c r="AQ82" s="147">
        <f ca="1">WorkingCapital!AC$91</f>
        <v>0</v>
      </c>
      <c r="AR82" s="147">
        <f ca="1">WorkingCapital!AD$91</f>
        <v>0</v>
      </c>
      <c r="AS82" s="147">
        <f ca="1">WorkingCapital!AE$91</f>
        <v>0</v>
      </c>
      <c r="AT82" s="147">
        <f ca="1">WorkingCapital!AF$91</f>
        <v>0</v>
      </c>
      <c r="AU82" s="147">
        <f ca="1">WorkingCapital!AG$91</f>
        <v>0</v>
      </c>
      <c r="AV82" s="147">
        <f ca="1">WorkingCapital!AH$91</f>
        <v>0</v>
      </c>
      <c r="AW82" s="147">
        <f ca="1">WorkingCapital!AI$91</f>
        <v>0</v>
      </c>
      <c r="AX82" s="147">
        <f ca="1">WorkingCapital!AJ$91</f>
        <v>0</v>
      </c>
      <c r="AY82" s="147">
        <f ca="1">WorkingCapital!AK$91</f>
        <v>0</v>
      </c>
      <c r="AZ82" s="147">
        <f ca="1">WorkingCapital!AL$91</f>
        <v>0</v>
      </c>
      <c r="BA82" s="147">
        <f ca="1">WorkingCapital!AM$91</f>
        <v>0</v>
      </c>
      <c r="BB82" s="147">
        <f ca="1">WorkingCapital!AN$91</f>
        <v>0</v>
      </c>
      <c r="BC82" s="147">
        <f ca="1">WorkingCapital!AO$91</f>
        <v>0</v>
      </c>
      <c r="BD82" s="147">
        <f ca="1">WorkingCapital!AP$91</f>
        <v>0</v>
      </c>
      <c r="BE82" s="147">
        <f ca="1">WorkingCapital!AQ$91</f>
        <v>0</v>
      </c>
      <c r="BF82" s="147">
        <f ca="1">WorkingCapital!AR$91</f>
        <v>0</v>
      </c>
      <c r="BG82" s="147">
        <f ca="1">WorkingCapital!AS$91</f>
        <v>0</v>
      </c>
      <c r="BH82" s="147">
        <f ca="1">WorkingCapital!AT$91</f>
        <v>0</v>
      </c>
      <c r="BI82" s="147">
        <f ca="1">WorkingCapital!AU$91</f>
        <v>0</v>
      </c>
      <c r="BJ82" s="147">
        <f ca="1">WorkingCapital!AV$91</f>
        <v>0</v>
      </c>
      <c r="BK82" s="147">
        <f ca="1">WorkingCapital!AW$91</f>
        <v>0</v>
      </c>
      <c r="BL82" s="147">
        <f ca="1">WorkingCapital!AX$91</f>
        <v>0</v>
      </c>
      <c r="BM82" s="147">
        <f ca="1">WorkingCapital!AY$91</f>
        <v>0</v>
      </c>
      <c r="BN82" s="147">
        <f ca="1">WorkingCapital!AZ$91</f>
        <v>0</v>
      </c>
      <c r="BO82" s="147">
        <f ca="1">WorkingCapital!BA$91</f>
        <v>0</v>
      </c>
      <c r="BP82" s="147">
        <f ca="1">WorkingCapital!BB$91</f>
        <v>0</v>
      </c>
      <c r="BQ82" s="147">
        <f ca="1">WorkingCapital!BC$91</f>
        <v>0</v>
      </c>
      <c r="BR82" s="147">
        <f ca="1">WorkingCapital!BD$91</f>
        <v>0</v>
      </c>
      <c r="BS82" s="147">
        <f ca="1">WorkingCapital!BE$91</f>
        <v>0</v>
      </c>
      <c r="BT82" s="147">
        <f ca="1">WorkingCapital!BF$91</f>
        <v>0</v>
      </c>
      <c r="BU82" s="147">
        <f ca="1">WorkingCapital!BG$91</f>
        <v>0</v>
      </c>
      <c r="BV82" s="147">
        <f ca="1">WorkingCapital!BH$91</f>
        <v>0</v>
      </c>
      <c r="BW82" s="147">
        <f ca="1">WorkingCapital!BI$91</f>
        <v>0</v>
      </c>
      <c r="BX82" s="147">
        <f ca="1">WorkingCapital!BJ$91</f>
        <v>0</v>
      </c>
      <c r="BY82" s="147">
        <f ca="1">WorkingCapital!BK$91</f>
        <v>0</v>
      </c>
      <c r="BZ82" s="147">
        <f ca="1">WorkingCapital!BL$91</f>
        <v>0</v>
      </c>
      <c r="CA82" s="147">
        <f ca="1">WorkingCapital!BM$91</f>
        <v>0</v>
      </c>
      <c r="CB82" s="147">
        <f ca="1">WorkingCapital!BN$91</f>
        <v>0</v>
      </c>
      <c r="CC82" s="147">
        <f ca="1">WorkingCapital!BO$91</f>
        <v>0</v>
      </c>
      <c r="CD82" s="147">
        <f ca="1">WorkingCapital!BP$91</f>
        <v>0</v>
      </c>
      <c r="CE82" s="147">
        <f ca="1">WorkingCapital!BQ$91</f>
        <v>0</v>
      </c>
      <c r="CF82" s="147">
        <f ca="1">WorkingCapital!BR$91</f>
        <v>0</v>
      </c>
    </row>
    <row r="83" spans="1:84" s="147" customFormat="1" ht="13.2" x14ac:dyDescent="0.25">
      <c r="A83" s="211"/>
      <c r="B83" s="147" t="s">
        <v>415</v>
      </c>
      <c r="D83" s="231" t="str">
        <f t="shared" si="124"/>
        <v>£</v>
      </c>
      <c r="E83" s="147">
        <f>KeyInputs!E132</f>
        <v>0</v>
      </c>
      <c r="F83" s="147">
        <f>KeyInputs!F132</f>
        <v>0</v>
      </c>
      <c r="G83" s="147">
        <f>KeyInputs!G132</f>
        <v>0</v>
      </c>
      <c r="H83" s="147">
        <f>'Outputs - BalanceSheet'!E33</f>
        <v>0</v>
      </c>
      <c r="I83" s="147">
        <f>'Outputs - BalanceSheet'!F33</f>
        <v>0</v>
      </c>
      <c r="J83" s="147">
        <f>'Outputs - BalanceSheet'!G33</f>
        <v>0</v>
      </c>
      <c r="K83" s="147">
        <f>'Outputs - BalanceSheet'!H33</f>
        <v>0</v>
      </c>
      <c r="L83" s="147">
        <f>'Outputs - BalanceSheet'!I33</f>
        <v>0</v>
      </c>
      <c r="N83" s="147">
        <f>'Outputs - Summary'!E84</f>
        <v>0</v>
      </c>
      <c r="O83" s="147">
        <f>'Outputs - Summary'!F84</f>
        <v>0</v>
      </c>
      <c r="P83" s="147">
        <f>'Outputs - Summary'!G84</f>
        <v>0</v>
      </c>
      <c r="Q83" s="147">
        <f>'Outputs - Summary'!H84</f>
        <v>0</v>
      </c>
      <c r="R83" s="147">
        <f>'Outputs - Summary'!I84</f>
        <v>0</v>
      </c>
      <c r="S83" s="147">
        <f>'Outputs - Summary'!J84</f>
        <v>0</v>
      </c>
      <c r="T83" s="147">
        <f>'Outputs - Summary'!K84</f>
        <v>0</v>
      </c>
      <c r="U83" s="147">
        <f>'Outputs - Summary'!L84</f>
        <v>0</v>
      </c>
      <c r="W83" s="147">
        <f t="shared" ref="W83" si="132">N83-E83</f>
        <v>0</v>
      </c>
      <c r="X83" s="147">
        <f t="shared" ref="X83" si="133">O83-F83</f>
        <v>0</v>
      </c>
      <c r="Y83" s="147">
        <f t="shared" ref="Y83" si="134">P83-G83</f>
        <v>0</v>
      </c>
      <c r="Z83" s="147">
        <f t="shared" ref="Z83" si="135">Q83-H83</f>
        <v>0</v>
      </c>
      <c r="AA83" s="147">
        <f t="shared" ref="AA83" si="136">R83-I83</f>
        <v>0</v>
      </c>
      <c r="AB83" s="147">
        <f t="shared" ref="AB83" si="137">S83-J83</f>
        <v>0</v>
      </c>
      <c r="AC83" s="147">
        <f t="shared" ref="AC83" si="138">T83-K83</f>
        <v>0</v>
      </c>
      <c r="AD83" s="147">
        <f t="shared" ref="AD83" si="139">U83-L83</f>
        <v>0</v>
      </c>
      <c r="AG83" s="147">
        <f ca="1">WorkingCapital!S$91</f>
        <v>0</v>
      </c>
      <c r="AH83" s="147">
        <f ca="1">WorkingCapital!T$91</f>
        <v>0</v>
      </c>
      <c r="AI83" s="147">
        <f ca="1">WorkingCapital!U$91</f>
        <v>0</v>
      </c>
      <c r="AJ83" s="147">
        <f ca="1">WorkingCapital!V$91</f>
        <v>0</v>
      </c>
      <c r="AK83" s="147">
        <f ca="1">WorkingCapital!W$91</f>
        <v>0</v>
      </c>
      <c r="AL83" s="147">
        <f ca="1">WorkingCapital!X$91</f>
        <v>0</v>
      </c>
      <c r="AM83" s="147">
        <f ca="1">WorkingCapital!Y$91</f>
        <v>0</v>
      </c>
      <c r="AN83" s="147">
        <f ca="1">WorkingCapital!Z$91</f>
        <v>0</v>
      </c>
      <c r="AO83" s="147">
        <f ca="1">WorkingCapital!AA$91</f>
        <v>0</v>
      </c>
      <c r="AP83" s="147">
        <f ca="1">WorkingCapital!AB$91</f>
        <v>0</v>
      </c>
      <c r="AQ83" s="147">
        <f ca="1">WorkingCapital!AC$91</f>
        <v>0</v>
      </c>
      <c r="AR83" s="147">
        <f ca="1">WorkingCapital!AD$91</f>
        <v>0</v>
      </c>
      <c r="AS83" s="147">
        <f ca="1">WorkingCapital!AE$91</f>
        <v>0</v>
      </c>
      <c r="AT83" s="147">
        <f ca="1">WorkingCapital!AF$91</f>
        <v>0</v>
      </c>
      <c r="AU83" s="147">
        <f ca="1">WorkingCapital!AG$91</f>
        <v>0</v>
      </c>
      <c r="AV83" s="147">
        <f ca="1">WorkingCapital!AH$91</f>
        <v>0</v>
      </c>
      <c r="AW83" s="147">
        <f ca="1">WorkingCapital!AI$91</f>
        <v>0</v>
      </c>
      <c r="AX83" s="147">
        <f ca="1">WorkingCapital!AJ$91</f>
        <v>0</v>
      </c>
      <c r="AY83" s="147">
        <f ca="1">WorkingCapital!AK$91</f>
        <v>0</v>
      </c>
      <c r="AZ83" s="147">
        <f ca="1">WorkingCapital!AL$91</f>
        <v>0</v>
      </c>
      <c r="BA83" s="147">
        <f ca="1">WorkingCapital!AM$91</f>
        <v>0</v>
      </c>
      <c r="BB83" s="147">
        <f ca="1">WorkingCapital!AN$91</f>
        <v>0</v>
      </c>
      <c r="BC83" s="147">
        <f ca="1">WorkingCapital!AO$91</f>
        <v>0</v>
      </c>
      <c r="BD83" s="147">
        <f ca="1">WorkingCapital!AP$91</f>
        <v>0</v>
      </c>
      <c r="BE83" s="147">
        <f ca="1">WorkingCapital!AQ$91</f>
        <v>0</v>
      </c>
      <c r="BF83" s="147">
        <f ca="1">WorkingCapital!AR$91</f>
        <v>0</v>
      </c>
      <c r="BG83" s="147">
        <f ca="1">WorkingCapital!AS$91</f>
        <v>0</v>
      </c>
      <c r="BH83" s="147">
        <f ca="1">WorkingCapital!AT$91</f>
        <v>0</v>
      </c>
      <c r="BI83" s="147">
        <f ca="1">WorkingCapital!AU$91</f>
        <v>0</v>
      </c>
      <c r="BJ83" s="147">
        <f ca="1">WorkingCapital!AV$91</f>
        <v>0</v>
      </c>
      <c r="BK83" s="147">
        <f ca="1">WorkingCapital!AW$91</f>
        <v>0</v>
      </c>
      <c r="BL83" s="147">
        <f ca="1">WorkingCapital!AX$91</f>
        <v>0</v>
      </c>
      <c r="BM83" s="147">
        <f ca="1">WorkingCapital!AY$91</f>
        <v>0</v>
      </c>
      <c r="BN83" s="147">
        <f ca="1">WorkingCapital!AZ$91</f>
        <v>0</v>
      </c>
      <c r="BO83" s="147">
        <f ca="1">WorkingCapital!BA$91</f>
        <v>0</v>
      </c>
      <c r="BP83" s="147">
        <f ca="1">WorkingCapital!BB$91</f>
        <v>0</v>
      </c>
      <c r="BQ83" s="147">
        <f ca="1">WorkingCapital!BC$91</f>
        <v>0</v>
      </c>
      <c r="BR83" s="147">
        <f ca="1">WorkingCapital!BD$91</f>
        <v>0</v>
      </c>
      <c r="BS83" s="147">
        <f ca="1">WorkingCapital!BE$91</f>
        <v>0</v>
      </c>
      <c r="BT83" s="147">
        <f ca="1">WorkingCapital!BF$91</f>
        <v>0</v>
      </c>
      <c r="BU83" s="147">
        <f ca="1">WorkingCapital!BG$91</f>
        <v>0</v>
      </c>
      <c r="BV83" s="147">
        <f ca="1">WorkingCapital!BH$91</f>
        <v>0</v>
      </c>
      <c r="BW83" s="147">
        <f ca="1">WorkingCapital!BI$91</f>
        <v>0</v>
      </c>
      <c r="BX83" s="147">
        <f ca="1">WorkingCapital!BJ$91</f>
        <v>0</v>
      </c>
      <c r="BY83" s="147">
        <f ca="1">WorkingCapital!BK$91</f>
        <v>0</v>
      </c>
      <c r="BZ83" s="147">
        <f ca="1">WorkingCapital!BL$91</f>
        <v>0</v>
      </c>
      <c r="CA83" s="147">
        <f ca="1">WorkingCapital!BM$91</f>
        <v>0</v>
      </c>
      <c r="CB83" s="147">
        <f ca="1">WorkingCapital!BN$91</f>
        <v>0</v>
      </c>
      <c r="CC83" s="147">
        <f ca="1">WorkingCapital!BO$91</f>
        <v>0</v>
      </c>
      <c r="CD83" s="147">
        <f ca="1">WorkingCapital!BP$91</f>
        <v>0</v>
      </c>
      <c r="CE83" s="147">
        <f ca="1">WorkingCapital!BQ$91</f>
        <v>0</v>
      </c>
      <c r="CF83" s="147">
        <f ca="1">WorkingCapital!BR$91</f>
        <v>0</v>
      </c>
    </row>
    <row r="84" spans="1:84" s="147" customFormat="1" ht="13.2" x14ac:dyDescent="0.25">
      <c r="A84" s="211"/>
      <c r="B84" s="147" t="s">
        <v>286</v>
      </c>
      <c r="D84" s="231" t="str">
        <f t="shared" si="124"/>
        <v>£</v>
      </c>
      <c r="E84" s="147">
        <f>KeyInputs!E133</f>
        <v>0</v>
      </c>
      <c r="F84" s="147">
        <f>KeyInputs!F133</f>
        <v>0</v>
      </c>
      <c r="G84" s="147">
        <f>KeyInputs!G133</f>
        <v>0</v>
      </c>
      <c r="H84" s="147">
        <f>'Outputs - BalanceSheet'!E34</f>
        <v>0</v>
      </c>
      <c r="I84" s="147">
        <f>'Outputs - BalanceSheet'!F34</f>
        <v>0</v>
      </c>
      <c r="J84" s="147">
        <f>'Outputs - BalanceSheet'!G34</f>
        <v>0</v>
      </c>
      <c r="K84" s="147">
        <f>'Outputs - BalanceSheet'!H34</f>
        <v>0</v>
      </c>
      <c r="L84" s="147">
        <f>'Outputs - BalanceSheet'!I34</f>
        <v>0</v>
      </c>
      <c r="N84" s="147">
        <f>'Outputs - Summary'!E85</f>
        <v>0</v>
      </c>
      <c r="O84" s="147">
        <f>'Outputs - Summary'!F85</f>
        <v>0</v>
      </c>
      <c r="P84" s="147">
        <f>'Outputs - Summary'!G85</f>
        <v>0</v>
      </c>
      <c r="Q84" s="147">
        <f>'Outputs - Summary'!H85</f>
        <v>0</v>
      </c>
      <c r="R84" s="147">
        <f>'Outputs - Summary'!I85</f>
        <v>0</v>
      </c>
      <c r="S84" s="147">
        <f>'Outputs - Summary'!J85</f>
        <v>0</v>
      </c>
      <c r="T84" s="147">
        <f>'Outputs - Summary'!K85</f>
        <v>0</v>
      </c>
      <c r="U84" s="147">
        <f>'Outputs - Summary'!L85</f>
        <v>0</v>
      </c>
      <c r="W84" s="147">
        <f t="shared" si="125"/>
        <v>0</v>
      </c>
      <c r="X84" s="147">
        <f t="shared" si="125"/>
        <v>0</v>
      </c>
      <c r="Y84" s="147">
        <f t="shared" si="126"/>
        <v>0</v>
      </c>
      <c r="Z84" s="147">
        <f t="shared" si="127"/>
        <v>0</v>
      </c>
      <c r="AA84" s="147">
        <f t="shared" si="128"/>
        <v>0</v>
      </c>
      <c r="AB84" s="147">
        <f t="shared" si="129"/>
        <v>0</v>
      </c>
      <c r="AC84" s="147">
        <f t="shared" si="130"/>
        <v>0</v>
      </c>
      <c r="AD84" s="147">
        <f t="shared" si="131"/>
        <v>0</v>
      </c>
      <c r="AG84" s="147">
        <f>DebtFinancing!S$24</f>
        <v>0</v>
      </c>
      <c r="AH84" s="147">
        <f>DebtFinancing!T$24</f>
        <v>0</v>
      </c>
      <c r="AI84" s="147">
        <f>DebtFinancing!U$24</f>
        <v>0</v>
      </c>
      <c r="AJ84" s="147">
        <f>DebtFinancing!V$24</f>
        <v>0</v>
      </c>
      <c r="AK84" s="147">
        <f>DebtFinancing!W$24</f>
        <v>0</v>
      </c>
      <c r="AL84" s="147">
        <f>DebtFinancing!X$24</f>
        <v>0</v>
      </c>
      <c r="AM84" s="147">
        <f>DebtFinancing!Y$24</f>
        <v>0</v>
      </c>
      <c r="AN84" s="147">
        <f>DebtFinancing!Z$24</f>
        <v>0</v>
      </c>
      <c r="AO84" s="147">
        <f>DebtFinancing!AA$24</f>
        <v>0</v>
      </c>
      <c r="AP84" s="147">
        <f>DebtFinancing!AB$24</f>
        <v>0</v>
      </c>
      <c r="AQ84" s="147">
        <f>DebtFinancing!AC$24</f>
        <v>0</v>
      </c>
      <c r="AR84" s="147">
        <f>DebtFinancing!AD$24</f>
        <v>0</v>
      </c>
      <c r="AS84" s="147">
        <f>DebtFinancing!AE$24</f>
        <v>0</v>
      </c>
      <c r="AT84" s="147">
        <f>DebtFinancing!AF$24</f>
        <v>0</v>
      </c>
      <c r="AU84" s="147">
        <f>DebtFinancing!AG$24</f>
        <v>0</v>
      </c>
      <c r="AV84" s="147">
        <f>DebtFinancing!AH$24</f>
        <v>0</v>
      </c>
      <c r="AW84" s="147">
        <f>DebtFinancing!AI$24</f>
        <v>0</v>
      </c>
      <c r="AX84" s="147">
        <f>DebtFinancing!AJ$24</f>
        <v>0</v>
      </c>
      <c r="AY84" s="147">
        <f>DebtFinancing!AK$24</f>
        <v>0</v>
      </c>
      <c r="AZ84" s="147">
        <f>DebtFinancing!AL$24</f>
        <v>0</v>
      </c>
      <c r="BA84" s="147">
        <f>DebtFinancing!AM$24</f>
        <v>0</v>
      </c>
      <c r="BB84" s="147">
        <f>DebtFinancing!AN$24</f>
        <v>0</v>
      </c>
      <c r="BC84" s="147">
        <f>DebtFinancing!AO$24</f>
        <v>0</v>
      </c>
      <c r="BD84" s="147">
        <f>DebtFinancing!AP$24</f>
        <v>0</v>
      </c>
      <c r="BE84" s="147">
        <f>DebtFinancing!AQ$24</f>
        <v>0</v>
      </c>
      <c r="BF84" s="147">
        <f>DebtFinancing!AR$24</f>
        <v>0</v>
      </c>
      <c r="BG84" s="147">
        <f>DebtFinancing!AS$24</f>
        <v>0</v>
      </c>
      <c r="BH84" s="147">
        <f>DebtFinancing!AT$24</f>
        <v>0</v>
      </c>
      <c r="BI84" s="147">
        <f>DebtFinancing!AU$24</f>
        <v>0</v>
      </c>
      <c r="BJ84" s="147">
        <f>DebtFinancing!AV$24</f>
        <v>0</v>
      </c>
      <c r="BK84" s="147">
        <f>DebtFinancing!AW$24</f>
        <v>0</v>
      </c>
      <c r="BL84" s="147">
        <f>DebtFinancing!AX$24</f>
        <v>0</v>
      </c>
      <c r="BM84" s="147">
        <f>DebtFinancing!AY$24</f>
        <v>0</v>
      </c>
      <c r="BN84" s="147">
        <f>DebtFinancing!AZ$24</f>
        <v>0</v>
      </c>
      <c r="BO84" s="147">
        <f>DebtFinancing!BA$24</f>
        <v>0</v>
      </c>
      <c r="BP84" s="147">
        <f>DebtFinancing!BB$24</f>
        <v>0</v>
      </c>
      <c r="BQ84" s="147">
        <f>DebtFinancing!BC$24</f>
        <v>0</v>
      </c>
      <c r="BR84" s="147">
        <f>DebtFinancing!BD$24</f>
        <v>0</v>
      </c>
      <c r="BS84" s="147">
        <f>DebtFinancing!BE$24</f>
        <v>0</v>
      </c>
      <c r="BT84" s="147">
        <f>DebtFinancing!BF$24</f>
        <v>0</v>
      </c>
      <c r="BU84" s="147">
        <f>DebtFinancing!BG$24</f>
        <v>0</v>
      </c>
      <c r="BV84" s="147">
        <f>DebtFinancing!BH$24</f>
        <v>0</v>
      </c>
      <c r="BW84" s="147">
        <f>DebtFinancing!BI$24</f>
        <v>0</v>
      </c>
      <c r="BX84" s="147">
        <f>DebtFinancing!BJ$24</f>
        <v>0</v>
      </c>
      <c r="BY84" s="147">
        <f>DebtFinancing!BK$24</f>
        <v>0</v>
      </c>
      <c r="BZ84" s="147">
        <f>DebtFinancing!BL$24</f>
        <v>0</v>
      </c>
      <c r="CA84" s="147">
        <f>DebtFinancing!BM$24</f>
        <v>0</v>
      </c>
      <c r="CB84" s="147">
        <f>DebtFinancing!BN$24</f>
        <v>0</v>
      </c>
      <c r="CC84" s="147">
        <f>DebtFinancing!BO$24</f>
        <v>0</v>
      </c>
      <c r="CD84" s="147">
        <f>DebtFinancing!BP$24</f>
        <v>0</v>
      </c>
      <c r="CE84" s="147">
        <f>DebtFinancing!BQ$24</f>
        <v>0</v>
      </c>
      <c r="CF84" s="147">
        <f>DebtFinancing!BR$24</f>
        <v>0</v>
      </c>
    </row>
    <row r="85" spans="1:84" s="147" customFormat="1" ht="13.2" x14ac:dyDescent="0.25">
      <c r="A85" s="211"/>
      <c r="B85" s="147" t="s">
        <v>287</v>
      </c>
      <c r="D85" s="231" t="str">
        <f t="shared" si="124"/>
        <v>£</v>
      </c>
      <c r="E85" s="147">
        <f>KeyInputs!E134</f>
        <v>0</v>
      </c>
      <c r="F85" s="147">
        <f>KeyInputs!F134</f>
        <v>0</v>
      </c>
      <c r="G85" s="147">
        <f>KeyInputs!G134</f>
        <v>0</v>
      </c>
      <c r="H85" s="147">
        <f>'Outputs - BalanceSheet'!E35</f>
        <v>0</v>
      </c>
      <c r="I85" s="147">
        <f>'Outputs - BalanceSheet'!F35</f>
        <v>0</v>
      </c>
      <c r="J85" s="147">
        <f>'Outputs - BalanceSheet'!G35</f>
        <v>0</v>
      </c>
      <c r="K85" s="147">
        <f>'Outputs - BalanceSheet'!H35</f>
        <v>0</v>
      </c>
      <c r="L85" s="147">
        <f>'Outputs - BalanceSheet'!I35</f>
        <v>0</v>
      </c>
      <c r="N85" s="147">
        <f>'Outputs - Summary'!E86</f>
        <v>0</v>
      </c>
      <c r="O85" s="147">
        <f>'Outputs - Summary'!F86</f>
        <v>0</v>
      </c>
      <c r="P85" s="147">
        <f>'Outputs - Summary'!G86</f>
        <v>0</v>
      </c>
      <c r="Q85" s="147">
        <f>'Outputs - Summary'!H86</f>
        <v>0</v>
      </c>
      <c r="R85" s="147">
        <f>'Outputs - Summary'!I86</f>
        <v>0</v>
      </c>
      <c r="S85" s="147">
        <f>'Outputs - Summary'!J86</f>
        <v>0</v>
      </c>
      <c r="T85" s="147">
        <f>'Outputs - Summary'!K86</f>
        <v>0</v>
      </c>
      <c r="U85" s="147">
        <f>'Outputs - Summary'!L86</f>
        <v>0</v>
      </c>
      <c r="W85" s="147">
        <f t="shared" si="125"/>
        <v>0</v>
      </c>
      <c r="X85" s="147">
        <f t="shared" si="125"/>
        <v>0</v>
      </c>
      <c r="Y85" s="147">
        <f t="shared" si="126"/>
        <v>0</v>
      </c>
      <c r="Z85" s="147">
        <f t="shared" si="127"/>
        <v>0</v>
      </c>
      <c r="AA85" s="147">
        <f t="shared" si="128"/>
        <v>0</v>
      </c>
      <c r="AB85" s="147">
        <f t="shared" si="129"/>
        <v>0</v>
      </c>
      <c r="AC85" s="147">
        <f t="shared" si="130"/>
        <v>0</v>
      </c>
      <c r="AD85" s="147">
        <f t="shared" si="131"/>
        <v>0</v>
      </c>
      <c r="AG85" s="147">
        <f>DebtFinancing!S$17</f>
        <v>0</v>
      </c>
      <c r="AH85" s="147">
        <f>DebtFinancing!T$17</f>
        <v>0</v>
      </c>
      <c r="AI85" s="147">
        <f>DebtFinancing!U$17</f>
        <v>0</v>
      </c>
      <c r="AJ85" s="147">
        <f>DebtFinancing!V$17</f>
        <v>0</v>
      </c>
      <c r="AK85" s="147">
        <f>DebtFinancing!W$17</f>
        <v>0</v>
      </c>
      <c r="AL85" s="147">
        <f>DebtFinancing!X$17</f>
        <v>0</v>
      </c>
      <c r="AM85" s="147">
        <f>DebtFinancing!Y$17</f>
        <v>0</v>
      </c>
      <c r="AN85" s="147">
        <f>DebtFinancing!Z$17</f>
        <v>0</v>
      </c>
      <c r="AO85" s="147">
        <f>DebtFinancing!AA$17</f>
        <v>0</v>
      </c>
      <c r="AP85" s="147">
        <f>DebtFinancing!AB$17</f>
        <v>0</v>
      </c>
      <c r="AQ85" s="147">
        <f>DebtFinancing!AC$17</f>
        <v>0</v>
      </c>
      <c r="AR85" s="147">
        <f>DebtFinancing!AD$17</f>
        <v>0</v>
      </c>
      <c r="AS85" s="147">
        <f>DebtFinancing!AE$17</f>
        <v>0</v>
      </c>
      <c r="AT85" s="147">
        <f>DebtFinancing!AF$17</f>
        <v>0</v>
      </c>
      <c r="AU85" s="147">
        <f>DebtFinancing!AG$17</f>
        <v>0</v>
      </c>
      <c r="AV85" s="147">
        <f>DebtFinancing!AH$17</f>
        <v>0</v>
      </c>
      <c r="AW85" s="147">
        <f>DebtFinancing!AI$17</f>
        <v>0</v>
      </c>
      <c r="AX85" s="147">
        <f>DebtFinancing!AJ$17</f>
        <v>0</v>
      </c>
      <c r="AY85" s="147">
        <f>DebtFinancing!AK$17</f>
        <v>0</v>
      </c>
      <c r="AZ85" s="147">
        <f>DebtFinancing!AL$17</f>
        <v>0</v>
      </c>
      <c r="BA85" s="147">
        <f>DebtFinancing!AM$17</f>
        <v>0</v>
      </c>
      <c r="BB85" s="147">
        <f>DebtFinancing!AN$17</f>
        <v>0</v>
      </c>
      <c r="BC85" s="147">
        <f>DebtFinancing!AO$17</f>
        <v>0</v>
      </c>
      <c r="BD85" s="147">
        <f>DebtFinancing!AP$17</f>
        <v>0</v>
      </c>
      <c r="BE85" s="147">
        <f>DebtFinancing!AQ$17</f>
        <v>0</v>
      </c>
      <c r="BF85" s="147">
        <f>DebtFinancing!AR$17</f>
        <v>0</v>
      </c>
      <c r="BG85" s="147">
        <f>DebtFinancing!AS$17</f>
        <v>0</v>
      </c>
      <c r="BH85" s="147">
        <f>DebtFinancing!AT$17</f>
        <v>0</v>
      </c>
      <c r="BI85" s="147">
        <f>DebtFinancing!AU$17</f>
        <v>0</v>
      </c>
      <c r="BJ85" s="147">
        <f>DebtFinancing!AV$17</f>
        <v>0</v>
      </c>
      <c r="BK85" s="147">
        <f>DebtFinancing!AW$17</f>
        <v>0</v>
      </c>
      <c r="BL85" s="147">
        <f>DebtFinancing!AX$17</f>
        <v>0</v>
      </c>
      <c r="BM85" s="147">
        <f>DebtFinancing!AY$17</f>
        <v>0</v>
      </c>
      <c r="BN85" s="147">
        <f>DebtFinancing!AZ$17</f>
        <v>0</v>
      </c>
      <c r="BO85" s="147">
        <f>DebtFinancing!BA$17</f>
        <v>0</v>
      </c>
      <c r="BP85" s="147">
        <f>DebtFinancing!BB$17</f>
        <v>0</v>
      </c>
      <c r="BQ85" s="147">
        <f>DebtFinancing!BC$17</f>
        <v>0</v>
      </c>
      <c r="BR85" s="147">
        <f>DebtFinancing!BD$17</f>
        <v>0</v>
      </c>
      <c r="BS85" s="147">
        <f>DebtFinancing!BE$17</f>
        <v>0</v>
      </c>
      <c r="BT85" s="147">
        <f>DebtFinancing!BF$17</f>
        <v>0</v>
      </c>
      <c r="BU85" s="147">
        <f>DebtFinancing!BG$17</f>
        <v>0</v>
      </c>
      <c r="BV85" s="147">
        <f>DebtFinancing!BH$17</f>
        <v>0</v>
      </c>
      <c r="BW85" s="147">
        <f>DebtFinancing!BI$17</f>
        <v>0</v>
      </c>
      <c r="BX85" s="147">
        <f>DebtFinancing!BJ$17</f>
        <v>0</v>
      </c>
      <c r="BY85" s="147">
        <f>DebtFinancing!BK$17</f>
        <v>0</v>
      </c>
      <c r="BZ85" s="147">
        <f>DebtFinancing!BL$17</f>
        <v>0</v>
      </c>
      <c r="CA85" s="147">
        <f>DebtFinancing!BM$17</f>
        <v>0</v>
      </c>
      <c r="CB85" s="147">
        <f>DebtFinancing!BN$17</f>
        <v>0</v>
      </c>
      <c r="CC85" s="147">
        <f>DebtFinancing!BO$17</f>
        <v>0</v>
      </c>
      <c r="CD85" s="147">
        <f>DebtFinancing!BP$17</f>
        <v>0</v>
      </c>
      <c r="CE85" s="147">
        <f>DebtFinancing!BQ$17</f>
        <v>0</v>
      </c>
      <c r="CF85" s="147">
        <f>DebtFinancing!BR$17</f>
        <v>0</v>
      </c>
    </row>
    <row r="86" spans="1:84" s="147" customFormat="1" ht="13.2" x14ac:dyDescent="0.25">
      <c r="A86" s="211"/>
      <c r="B86" s="147" t="s">
        <v>268</v>
      </c>
      <c r="D86" s="231" t="str">
        <f t="shared" si="124"/>
        <v>£</v>
      </c>
      <c r="E86" s="147">
        <f>KeyInputs!E136</f>
        <v>0</v>
      </c>
      <c r="F86" s="147">
        <f>KeyInputs!F136</f>
        <v>0</v>
      </c>
      <c r="G86" s="147">
        <f>KeyInputs!G136</f>
        <v>0</v>
      </c>
      <c r="H86" s="147">
        <f ca="1">'Outputs - BalanceSheet'!E37</f>
        <v>0</v>
      </c>
      <c r="I86" s="147">
        <f ca="1">'Outputs - BalanceSheet'!F37</f>
        <v>0</v>
      </c>
      <c r="J86" s="147">
        <f ca="1">'Outputs - BalanceSheet'!G37</f>
        <v>0</v>
      </c>
      <c r="K86" s="147">
        <f ca="1">'Outputs - BalanceSheet'!H37</f>
        <v>0</v>
      </c>
      <c r="L86" s="147">
        <f ca="1">'Outputs - BalanceSheet'!I37</f>
        <v>0</v>
      </c>
      <c r="N86" s="147">
        <f>'Outputs - Summary'!E88</f>
        <v>0</v>
      </c>
      <c r="O86" s="147">
        <f>'Outputs - Summary'!F88</f>
        <v>0</v>
      </c>
      <c r="P86" s="147">
        <f>'Outputs - Summary'!G88</f>
        <v>0</v>
      </c>
      <c r="Q86" s="147">
        <f ca="1">'Outputs - Summary'!H88</f>
        <v>0</v>
      </c>
      <c r="R86" s="147">
        <f ca="1">'Outputs - Summary'!I88</f>
        <v>0</v>
      </c>
      <c r="S86" s="147">
        <f ca="1">'Outputs - Summary'!J88</f>
        <v>0</v>
      </c>
      <c r="T86" s="147">
        <f ca="1">'Outputs - Summary'!K88</f>
        <v>0</v>
      </c>
      <c r="U86" s="147">
        <f ca="1">'Outputs - Summary'!L88</f>
        <v>0</v>
      </c>
      <c r="W86" s="147">
        <f t="shared" si="125"/>
        <v>0</v>
      </c>
      <c r="X86" s="147">
        <f t="shared" si="125"/>
        <v>0</v>
      </c>
      <c r="Y86" s="147">
        <f t="shared" si="126"/>
        <v>0</v>
      </c>
      <c r="Z86" s="147">
        <f t="shared" ca="1" si="127"/>
        <v>0</v>
      </c>
      <c r="AA86" s="147">
        <f t="shared" ca="1" si="128"/>
        <v>0</v>
      </c>
      <c r="AB86" s="147">
        <f t="shared" ca="1" si="129"/>
        <v>0</v>
      </c>
      <c r="AC86" s="147">
        <f t="shared" ca="1" si="130"/>
        <v>0</v>
      </c>
      <c r="AD86" s="147">
        <f t="shared" ca="1" si="131"/>
        <v>0</v>
      </c>
      <c r="AG86" s="147">
        <f ca="1">TAX!S$44</f>
        <v>0</v>
      </c>
      <c r="AH86" s="147">
        <f ca="1">TAX!T$44</f>
        <v>0</v>
      </c>
      <c r="AI86" s="147">
        <f ca="1">TAX!U$44</f>
        <v>0</v>
      </c>
      <c r="AJ86" s="147">
        <f ca="1">TAX!V$44</f>
        <v>0</v>
      </c>
      <c r="AK86" s="147">
        <f ca="1">TAX!W$44</f>
        <v>0</v>
      </c>
      <c r="AL86" s="147">
        <f ca="1">TAX!X$44</f>
        <v>0</v>
      </c>
      <c r="AM86" s="147">
        <f ca="1">TAX!Y$44</f>
        <v>0</v>
      </c>
      <c r="AN86" s="147">
        <f ca="1">TAX!Z$44</f>
        <v>0</v>
      </c>
      <c r="AO86" s="147">
        <f ca="1">TAX!AA$44</f>
        <v>0</v>
      </c>
      <c r="AP86" s="147">
        <f ca="1">TAX!AB$44</f>
        <v>0</v>
      </c>
      <c r="AQ86" s="147">
        <f ca="1">TAX!AC$44</f>
        <v>0</v>
      </c>
      <c r="AR86" s="147">
        <f ca="1">TAX!AD$44</f>
        <v>0</v>
      </c>
      <c r="AS86" s="147">
        <f ca="1">TAX!AE$44</f>
        <v>0</v>
      </c>
      <c r="AT86" s="147">
        <f ca="1">TAX!AF$44</f>
        <v>0</v>
      </c>
      <c r="AU86" s="147">
        <f ca="1">TAX!AG$44</f>
        <v>0</v>
      </c>
      <c r="AV86" s="147">
        <f ca="1">TAX!AH$44</f>
        <v>0</v>
      </c>
      <c r="AW86" s="147">
        <f ca="1">TAX!AI$44</f>
        <v>0</v>
      </c>
      <c r="AX86" s="147">
        <f ca="1">TAX!AJ$44</f>
        <v>0</v>
      </c>
      <c r="AY86" s="147">
        <f ca="1">TAX!AK$44</f>
        <v>0</v>
      </c>
      <c r="AZ86" s="147">
        <f ca="1">TAX!AL$44</f>
        <v>0</v>
      </c>
      <c r="BA86" s="147">
        <f ca="1">TAX!AM$44</f>
        <v>0</v>
      </c>
      <c r="BB86" s="147">
        <f ca="1">TAX!AN$44</f>
        <v>0</v>
      </c>
      <c r="BC86" s="147">
        <f ca="1">TAX!AO$44</f>
        <v>0</v>
      </c>
      <c r="BD86" s="147">
        <f ca="1">TAX!AP$44</f>
        <v>0</v>
      </c>
      <c r="BE86" s="147">
        <f ca="1">TAX!AQ$44</f>
        <v>0</v>
      </c>
      <c r="BF86" s="147">
        <f ca="1">TAX!AR$44</f>
        <v>0</v>
      </c>
      <c r="BG86" s="147">
        <f ca="1">TAX!AS$44</f>
        <v>0</v>
      </c>
      <c r="BH86" s="147">
        <f ca="1">TAX!AT$44</f>
        <v>0</v>
      </c>
      <c r="BI86" s="147">
        <f ca="1">TAX!AU$44</f>
        <v>0</v>
      </c>
      <c r="BJ86" s="147">
        <f ca="1">TAX!AV$44</f>
        <v>0</v>
      </c>
      <c r="BK86" s="147">
        <f ca="1">TAX!AW$44</f>
        <v>0</v>
      </c>
      <c r="BL86" s="147">
        <f ca="1">TAX!AX$44</f>
        <v>0</v>
      </c>
      <c r="BM86" s="147">
        <f ca="1">TAX!AY$44</f>
        <v>0</v>
      </c>
      <c r="BN86" s="147">
        <f ca="1">TAX!AZ$44</f>
        <v>0</v>
      </c>
      <c r="BO86" s="147">
        <f ca="1">TAX!BA$44</f>
        <v>0</v>
      </c>
      <c r="BP86" s="147">
        <f ca="1">TAX!BB$44</f>
        <v>0</v>
      </c>
      <c r="BQ86" s="147">
        <f ca="1">TAX!BC$44</f>
        <v>0</v>
      </c>
      <c r="BR86" s="147">
        <f ca="1">TAX!BD$44</f>
        <v>0</v>
      </c>
      <c r="BS86" s="147">
        <f ca="1">TAX!BE$44</f>
        <v>0</v>
      </c>
      <c r="BT86" s="147">
        <f ca="1">TAX!BF$44</f>
        <v>0</v>
      </c>
      <c r="BU86" s="147">
        <f ca="1">TAX!BG$44</f>
        <v>0</v>
      </c>
      <c r="BV86" s="147">
        <f ca="1">TAX!BH$44</f>
        <v>0</v>
      </c>
      <c r="BW86" s="147">
        <f ca="1">TAX!BI$44</f>
        <v>0</v>
      </c>
      <c r="BX86" s="147">
        <f ca="1">TAX!BJ$44</f>
        <v>0</v>
      </c>
      <c r="BY86" s="147">
        <f ca="1">TAX!BK$44</f>
        <v>0</v>
      </c>
      <c r="BZ86" s="147">
        <f ca="1">TAX!BL$44</f>
        <v>0</v>
      </c>
      <c r="CA86" s="147">
        <f ca="1">TAX!BM$44</f>
        <v>0</v>
      </c>
      <c r="CB86" s="147">
        <f ca="1">TAX!BN$44</f>
        <v>0</v>
      </c>
      <c r="CC86" s="147">
        <f ca="1">TAX!BO$44</f>
        <v>0</v>
      </c>
      <c r="CD86" s="147">
        <f ca="1">TAX!BP$44</f>
        <v>0</v>
      </c>
      <c r="CE86" s="147">
        <f ca="1">TAX!BQ$44</f>
        <v>0</v>
      </c>
      <c r="CF86" s="147">
        <f ca="1">TAX!BR$44</f>
        <v>0</v>
      </c>
    </row>
    <row r="87" spans="1:84" s="147" customFormat="1" ht="13.2" x14ac:dyDescent="0.25">
      <c r="A87" s="211"/>
      <c r="I87" s="212"/>
      <c r="N87" s="147">
        <f>'Outputs - Summary'!E89</f>
        <v>0</v>
      </c>
      <c r="O87" s="147">
        <f>'Outputs - Summary'!F89</f>
        <v>0</v>
      </c>
      <c r="P87" s="147">
        <f>'Outputs - Summary'!G89</f>
        <v>0</v>
      </c>
      <c r="Q87" s="147">
        <f>'Outputs - Summary'!H89</f>
        <v>0</v>
      </c>
      <c r="R87" s="212">
        <f>'Outputs - Summary'!I89</f>
        <v>0</v>
      </c>
      <c r="S87" s="147">
        <f>'Outputs - Summary'!J89</f>
        <v>0</v>
      </c>
      <c r="T87" s="147">
        <f>'Outputs - Summary'!K89</f>
        <v>0</v>
      </c>
      <c r="U87" s="147">
        <f>'Outputs - Summary'!L89</f>
        <v>0</v>
      </c>
      <c r="W87" s="147">
        <f t="shared" si="125"/>
        <v>0</v>
      </c>
      <c r="X87" s="147">
        <f t="shared" si="125"/>
        <v>0</v>
      </c>
      <c r="Y87" s="147">
        <f t="shared" si="126"/>
        <v>0</v>
      </c>
      <c r="Z87" s="147">
        <f t="shared" si="127"/>
        <v>0</v>
      </c>
      <c r="AA87" s="212">
        <f t="shared" si="128"/>
        <v>0</v>
      </c>
      <c r="AB87" s="147">
        <f t="shared" si="129"/>
        <v>0</v>
      </c>
      <c r="AC87" s="147">
        <f t="shared" si="130"/>
        <v>0</v>
      </c>
      <c r="AD87" s="147">
        <f t="shared" si="131"/>
        <v>0</v>
      </c>
    </row>
    <row r="88" spans="1:84" s="211" customFormat="1" thickBot="1" x14ac:dyDescent="0.3">
      <c r="B88" s="211" t="s">
        <v>288</v>
      </c>
      <c r="D88" s="248" t="str">
        <f>unit</f>
        <v>£</v>
      </c>
      <c r="E88" s="234">
        <f t="shared" ref="E88" si="140">SUM(E61,E68,E73,E78,E81:E86)</f>
        <v>0</v>
      </c>
      <c r="F88" s="234">
        <f t="shared" ref="F88:G88" si="141">SUM(F61,F68,F73,F78,F81:F86)</f>
        <v>0</v>
      </c>
      <c r="G88" s="234">
        <f t="shared" si="141"/>
        <v>0</v>
      </c>
      <c r="H88" s="234">
        <f ca="1">SUM(H61,H68,H73,H78,H81:H86)</f>
        <v>0</v>
      </c>
      <c r="I88" s="234">
        <f t="shared" ref="I88:L88" ca="1" si="142">SUM(I61,I68,I73,I78,I81:I86)</f>
        <v>0</v>
      </c>
      <c r="J88" s="234">
        <f t="shared" ca="1" si="142"/>
        <v>0</v>
      </c>
      <c r="K88" s="234">
        <f t="shared" ca="1" si="142"/>
        <v>0</v>
      </c>
      <c r="L88" s="234">
        <f t="shared" ca="1" si="142"/>
        <v>0</v>
      </c>
      <c r="N88" s="234">
        <f>'Outputs - Summary'!E90</f>
        <v>0</v>
      </c>
      <c r="O88" s="234">
        <f>'Outputs - Summary'!F90</f>
        <v>0</v>
      </c>
      <c r="P88" s="234">
        <f>'Outputs - Summary'!G90</f>
        <v>0</v>
      </c>
      <c r="Q88" s="234">
        <f ca="1">'Outputs - Summary'!H90</f>
        <v>0</v>
      </c>
      <c r="R88" s="234">
        <f ca="1">'Outputs - Summary'!I90</f>
        <v>0</v>
      </c>
      <c r="S88" s="234">
        <f ca="1">'Outputs - Summary'!J90</f>
        <v>0</v>
      </c>
      <c r="T88" s="234">
        <f ca="1">'Outputs - Summary'!K90</f>
        <v>0</v>
      </c>
      <c r="U88" s="234">
        <f ca="1">'Outputs - Summary'!L90</f>
        <v>0</v>
      </c>
      <c r="W88" s="234">
        <f t="shared" si="125"/>
        <v>0</v>
      </c>
      <c r="X88" s="234">
        <f t="shared" si="125"/>
        <v>0</v>
      </c>
      <c r="Y88" s="234">
        <f t="shared" si="126"/>
        <v>0</v>
      </c>
      <c r="Z88" s="234">
        <f t="shared" ca="1" si="127"/>
        <v>0</v>
      </c>
      <c r="AA88" s="234">
        <f t="shared" ca="1" si="128"/>
        <v>0</v>
      </c>
      <c r="AB88" s="234">
        <f t="shared" ca="1" si="129"/>
        <v>0</v>
      </c>
      <c r="AC88" s="234">
        <f t="shared" ca="1" si="130"/>
        <v>0</v>
      </c>
      <c r="AD88" s="234">
        <f t="shared" ca="1" si="131"/>
        <v>0</v>
      </c>
      <c r="AE88" s="275"/>
      <c r="AF88" s="275"/>
      <c r="AG88" s="234">
        <f t="shared" ref="AG88:BL88" ca="1" si="143">SUM(AG61,AG68,AG73,AG78,AG81:AG86)</f>
        <v>0</v>
      </c>
      <c r="AH88" s="234">
        <f t="shared" ca="1" si="143"/>
        <v>0</v>
      </c>
      <c r="AI88" s="234">
        <f t="shared" ca="1" si="143"/>
        <v>0</v>
      </c>
      <c r="AJ88" s="234">
        <f t="shared" ca="1" si="143"/>
        <v>0</v>
      </c>
      <c r="AK88" s="234">
        <f t="shared" ca="1" si="143"/>
        <v>0</v>
      </c>
      <c r="AL88" s="234">
        <f t="shared" ca="1" si="143"/>
        <v>0</v>
      </c>
      <c r="AM88" s="234">
        <f t="shared" ca="1" si="143"/>
        <v>0</v>
      </c>
      <c r="AN88" s="234">
        <f t="shared" ca="1" si="143"/>
        <v>0</v>
      </c>
      <c r="AO88" s="234">
        <f t="shared" ca="1" si="143"/>
        <v>0</v>
      </c>
      <c r="AP88" s="234">
        <f t="shared" ca="1" si="143"/>
        <v>0</v>
      </c>
      <c r="AQ88" s="234">
        <f t="shared" ca="1" si="143"/>
        <v>0</v>
      </c>
      <c r="AR88" s="234">
        <f t="shared" ca="1" si="143"/>
        <v>0</v>
      </c>
      <c r="AS88" s="234">
        <f t="shared" ca="1" si="143"/>
        <v>0</v>
      </c>
      <c r="AT88" s="234">
        <f t="shared" ca="1" si="143"/>
        <v>0</v>
      </c>
      <c r="AU88" s="234">
        <f t="shared" ca="1" si="143"/>
        <v>0</v>
      </c>
      <c r="AV88" s="234">
        <f t="shared" ca="1" si="143"/>
        <v>0</v>
      </c>
      <c r="AW88" s="234">
        <f t="shared" ca="1" si="143"/>
        <v>0</v>
      </c>
      <c r="AX88" s="234">
        <f t="shared" ca="1" si="143"/>
        <v>0</v>
      </c>
      <c r="AY88" s="234">
        <f t="shared" ca="1" si="143"/>
        <v>0</v>
      </c>
      <c r="AZ88" s="234">
        <f t="shared" ca="1" si="143"/>
        <v>0</v>
      </c>
      <c r="BA88" s="234">
        <f t="shared" ca="1" si="143"/>
        <v>0</v>
      </c>
      <c r="BB88" s="234">
        <f t="shared" ca="1" si="143"/>
        <v>0</v>
      </c>
      <c r="BC88" s="234">
        <f t="shared" ca="1" si="143"/>
        <v>0</v>
      </c>
      <c r="BD88" s="234">
        <f t="shared" ca="1" si="143"/>
        <v>0</v>
      </c>
      <c r="BE88" s="234">
        <f t="shared" ca="1" si="143"/>
        <v>0</v>
      </c>
      <c r="BF88" s="234">
        <f t="shared" ca="1" si="143"/>
        <v>0</v>
      </c>
      <c r="BG88" s="234">
        <f t="shared" ca="1" si="143"/>
        <v>0</v>
      </c>
      <c r="BH88" s="234">
        <f t="shared" ca="1" si="143"/>
        <v>0</v>
      </c>
      <c r="BI88" s="234">
        <f t="shared" ca="1" si="143"/>
        <v>0</v>
      </c>
      <c r="BJ88" s="234">
        <f t="shared" ca="1" si="143"/>
        <v>0</v>
      </c>
      <c r="BK88" s="234">
        <f t="shared" ca="1" si="143"/>
        <v>0</v>
      </c>
      <c r="BL88" s="234">
        <f t="shared" ca="1" si="143"/>
        <v>0</v>
      </c>
      <c r="BM88" s="234">
        <f t="shared" ref="BM88:CF88" ca="1" si="144">SUM(BM61,BM68,BM73,BM78,BM81:BM86)</f>
        <v>0</v>
      </c>
      <c r="BN88" s="234">
        <f t="shared" ca="1" si="144"/>
        <v>0</v>
      </c>
      <c r="BO88" s="234">
        <f t="shared" ca="1" si="144"/>
        <v>0</v>
      </c>
      <c r="BP88" s="234">
        <f t="shared" ca="1" si="144"/>
        <v>0</v>
      </c>
      <c r="BQ88" s="234">
        <f t="shared" ca="1" si="144"/>
        <v>0</v>
      </c>
      <c r="BR88" s="234">
        <f t="shared" ca="1" si="144"/>
        <v>0</v>
      </c>
      <c r="BS88" s="234">
        <f t="shared" ca="1" si="144"/>
        <v>0</v>
      </c>
      <c r="BT88" s="234">
        <f t="shared" ca="1" si="144"/>
        <v>0</v>
      </c>
      <c r="BU88" s="234">
        <f t="shared" ca="1" si="144"/>
        <v>0</v>
      </c>
      <c r="BV88" s="234">
        <f t="shared" ca="1" si="144"/>
        <v>0</v>
      </c>
      <c r="BW88" s="234">
        <f t="shared" ca="1" si="144"/>
        <v>0</v>
      </c>
      <c r="BX88" s="234">
        <f t="shared" ca="1" si="144"/>
        <v>0</v>
      </c>
      <c r="BY88" s="234">
        <f t="shared" ca="1" si="144"/>
        <v>0</v>
      </c>
      <c r="BZ88" s="234">
        <f t="shared" ca="1" si="144"/>
        <v>0</v>
      </c>
      <c r="CA88" s="234">
        <f t="shared" ca="1" si="144"/>
        <v>0</v>
      </c>
      <c r="CB88" s="234">
        <f t="shared" ca="1" si="144"/>
        <v>0</v>
      </c>
      <c r="CC88" s="234">
        <f t="shared" ca="1" si="144"/>
        <v>0</v>
      </c>
      <c r="CD88" s="234">
        <f t="shared" ca="1" si="144"/>
        <v>0</v>
      </c>
      <c r="CE88" s="234">
        <f t="shared" ca="1" si="144"/>
        <v>0</v>
      </c>
      <c r="CF88" s="234">
        <f t="shared" ca="1" si="144"/>
        <v>0</v>
      </c>
    </row>
    <row r="89" spans="1:84" s="147" customFormat="1" thickTop="1" x14ac:dyDescent="0.25">
      <c r="A89" s="211"/>
      <c r="I89" s="212"/>
      <c r="R89" s="212"/>
      <c r="AA89" s="212"/>
    </row>
    <row r="90" spans="1:84" s="147" customFormat="1" ht="13.2" x14ac:dyDescent="0.25">
      <c r="A90" s="211"/>
      <c r="B90" s="147" t="s">
        <v>289</v>
      </c>
      <c r="D90" s="231" t="str">
        <f>unit</f>
        <v>£</v>
      </c>
      <c r="E90" s="147">
        <f>KeyInputs!E140</f>
        <v>0</v>
      </c>
      <c r="F90" s="147">
        <f>KeyInputs!F140</f>
        <v>0</v>
      </c>
      <c r="G90" s="147">
        <f>KeyInputs!G140</f>
        <v>0</v>
      </c>
      <c r="H90" s="147">
        <f>'Outputs - BalanceSheet'!E41</f>
        <v>0</v>
      </c>
      <c r="I90" s="147">
        <f>'Outputs - BalanceSheet'!F41</f>
        <v>0</v>
      </c>
      <c r="J90" s="147">
        <f>'Outputs - BalanceSheet'!G41</f>
        <v>0</v>
      </c>
      <c r="K90" s="147">
        <f>'Outputs - BalanceSheet'!H41</f>
        <v>0</v>
      </c>
      <c r="L90" s="147">
        <f>'Outputs - BalanceSheet'!I41</f>
        <v>0</v>
      </c>
      <c r="N90" s="147">
        <f>'Outputs - Summary'!E92</f>
        <v>0</v>
      </c>
      <c r="O90" s="147">
        <f>'Outputs - Summary'!F92</f>
        <v>0</v>
      </c>
      <c r="P90" s="147">
        <f>'Outputs - Summary'!G92</f>
        <v>0</v>
      </c>
      <c r="Q90" s="147">
        <f>'Outputs - Summary'!H92</f>
        <v>0</v>
      </c>
      <c r="R90" s="147">
        <f>'Outputs - Summary'!I92</f>
        <v>0</v>
      </c>
      <c r="S90" s="147">
        <f>'Outputs - Summary'!J92</f>
        <v>0</v>
      </c>
      <c r="T90" s="147">
        <f>'Outputs - Summary'!K92</f>
        <v>0</v>
      </c>
      <c r="U90" s="147">
        <f>'Outputs - Summary'!L92</f>
        <v>0</v>
      </c>
      <c r="W90" s="147">
        <f t="shared" ref="W90:X91" si="145">N90-E90</f>
        <v>0</v>
      </c>
      <c r="X90" s="147">
        <f t="shared" si="145"/>
        <v>0</v>
      </c>
      <c r="Y90" s="147">
        <f t="shared" ref="Y90:Y91" si="146">P90-G90</f>
        <v>0</v>
      </c>
      <c r="Z90" s="147">
        <f t="shared" ref="Z90:Z91" si="147">Q90-H90</f>
        <v>0</v>
      </c>
      <c r="AA90" s="147">
        <f t="shared" ref="AA90:AA91" si="148">R90-I90</f>
        <v>0</v>
      </c>
      <c r="AB90" s="147">
        <f t="shared" ref="AB90:AB91" si="149">S90-J90</f>
        <v>0</v>
      </c>
      <c r="AC90" s="147">
        <f t="shared" ref="AC90:AC91" si="150">T90-K90</f>
        <v>0</v>
      </c>
      <c r="AD90" s="147">
        <f t="shared" ref="AD90:AD91" si="151">U90-L90</f>
        <v>0</v>
      </c>
      <c r="AG90" s="147">
        <f t="shared" ref="AG90:CF90" si="152">AF90</f>
        <v>0</v>
      </c>
      <c r="AH90" s="147">
        <f t="shared" si="152"/>
        <v>0</v>
      </c>
      <c r="AI90" s="147">
        <f t="shared" si="152"/>
        <v>0</v>
      </c>
      <c r="AJ90" s="147">
        <f t="shared" si="152"/>
        <v>0</v>
      </c>
      <c r="AK90" s="147">
        <f t="shared" si="152"/>
        <v>0</v>
      </c>
      <c r="AL90" s="147">
        <f t="shared" si="152"/>
        <v>0</v>
      </c>
      <c r="AM90" s="147">
        <f t="shared" si="152"/>
        <v>0</v>
      </c>
      <c r="AN90" s="147">
        <f t="shared" si="152"/>
        <v>0</v>
      </c>
      <c r="AO90" s="147">
        <f t="shared" si="152"/>
        <v>0</v>
      </c>
      <c r="AP90" s="147">
        <f t="shared" si="152"/>
        <v>0</v>
      </c>
      <c r="AQ90" s="147">
        <f t="shared" si="152"/>
        <v>0</v>
      </c>
      <c r="AR90" s="147">
        <f t="shared" si="152"/>
        <v>0</v>
      </c>
      <c r="AS90" s="147">
        <f t="shared" si="152"/>
        <v>0</v>
      </c>
      <c r="AT90" s="147">
        <f t="shared" si="152"/>
        <v>0</v>
      </c>
      <c r="AU90" s="147">
        <f t="shared" si="152"/>
        <v>0</v>
      </c>
      <c r="AV90" s="147">
        <f t="shared" si="152"/>
        <v>0</v>
      </c>
      <c r="AW90" s="147">
        <f t="shared" si="152"/>
        <v>0</v>
      </c>
      <c r="AX90" s="147">
        <f t="shared" si="152"/>
        <v>0</v>
      </c>
      <c r="AY90" s="147">
        <f t="shared" si="152"/>
        <v>0</v>
      </c>
      <c r="AZ90" s="147">
        <f t="shared" si="152"/>
        <v>0</v>
      </c>
      <c r="BA90" s="147">
        <f t="shared" si="152"/>
        <v>0</v>
      </c>
      <c r="BB90" s="147">
        <f t="shared" si="152"/>
        <v>0</v>
      </c>
      <c r="BC90" s="147">
        <f t="shared" si="152"/>
        <v>0</v>
      </c>
      <c r="BD90" s="147">
        <f t="shared" si="152"/>
        <v>0</v>
      </c>
      <c r="BE90" s="147">
        <f t="shared" si="152"/>
        <v>0</v>
      </c>
      <c r="BF90" s="147">
        <f t="shared" si="152"/>
        <v>0</v>
      </c>
      <c r="BG90" s="147">
        <f t="shared" si="152"/>
        <v>0</v>
      </c>
      <c r="BH90" s="147">
        <f t="shared" si="152"/>
        <v>0</v>
      </c>
      <c r="BI90" s="147">
        <f t="shared" si="152"/>
        <v>0</v>
      </c>
      <c r="BJ90" s="147">
        <f t="shared" si="152"/>
        <v>0</v>
      </c>
      <c r="BK90" s="147">
        <f t="shared" si="152"/>
        <v>0</v>
      </c>
      <c r="BL90" s="147">
        <f t="shared" si="152"/>
        <v>0</v>
      </c>
      <c r="BM90" s="147">
        <f t="shared" si="152"/>
        <v>0</v>
      </c>
      <c r="BN90" s="147">
        <f t="shared" si="152"/>
        <v>0</v>
      </c>
      <c r="BO90" s="147">
        <f t="shared" si="152"/>
        <v>0</v>
      </c>
      <c r="BP90" s="147">
        <f t="shared" si="152"/>
        <v>0</v>
      </c>
      <c r="BQ90" s="147">
        <f t="shared" si="152"/>
        <v>0</v>
      </c>
      <c r="BR90" s="147">
        <f t="shared" si="152"/>
        <v>0</v>
      </c>
      <c r="BS90" s="147">
        <f t="shared" si="152"/>
        <v>0</v>
      </c>
      <c r="BT90" s="147">
        <f t="shared" si="152"/>
        <v>0</v>
      </c>
      <c r="BU90" s="147">
        <f t="shared" si="152"/>
        <v>0</v>
      </c>
      <c r="BV90" s="147">
        <f t="shared" si="152"/>
        <v>0</v>
      </c>
      <c r="BW90" s="147">
        <f t="shared" si="152"/>
        <v>0</v>
      </c>
      <c r="BX90" s="147">
        <f t="shared" si="152"/>
        <v>0</v>
      </c>
      <c r="BY90" s="147">
        <f t="shared" si="152"/>
        <v>0</v>
      </c>
      <c r="BZ90" s="147">
        <f t="shared" si="152"/>
        <v>0</v>
      </c>
      <c r="CA90" s="147">
        <f t="shared" si="152"/>
        <v>0</v>
      </c>
      <c r="CB90" s="147">
        <f t="shared" si="152"/>
        <v>0</v>
      </c>
      <c r="CC90" s="147">
        <f t="shared" si="152"/>
        <v>0</v>
      </c>
      <c r="CD90" s="147">
        <f t="shared" si="152"/>
        <v>0</v>
      </c>
      <c r="CE90" s="147">
        <f t="shared" si="152"/>
        <v>0</v>
      </c>
      <c r="CF90" s="147">
        <f t="shared" si="152"/>
        <v>0</v>
      </c>
    </row>
    <row r="91" spans="1:84" s="147" customFormat="1" ht="13.2" x14ac:dyDescent="0.25">
      <c r="A91" s="211"/>
      <c r="B91" s="147" t="s">
        <v>290</v>
      </c>
      <c r="D91" s="231" t="str">
        <f>unit</f>
        <v>£</v>
      </c>
      <c r="E91" s="147">
        <f>KeyInputs!E141</f>
        <v>0</v>
      </c>
      <c r="F91" s="147">
        <f>KeyInputs!F141</f>
        <v>0</v>
      </c>
      <c r="G91" s="147">
        <f>KeyInputs!G141</f>
        <v>0</v>
      </c>
      <c r="H91" s="147">
        <f ca="1">'Outputs - BalanceSheet'!E42</f>
        <v>0</v>
      </c>
      <c r="I91" s="147">
        <f ca="1">'Outputs - BalanceSheet'!F42</f>
        <v>0</v>
      </c>
      <c r="J91" s="147">
        <f ca="1">'Outputs - BalanceSheet'!G42</f>
        <v>0</v>
      </c>
      <c r="K91" s="147">
        <f ca="1">'Outputs - BalanceSheet'!H42</f>
        <v>0</v>
      </c>
      <c r="L91" s="147">
        <f ca="1">'Outputs - BalanceSheet'!I42</f>
        <v>0</v>
      </c>
      <c r="M91" s="224"/>
      <c r="N91" s="147">
        <f>'Outputs - Summary'!E93</f>
        <v>0</v>
      </c>
      <c r="O91" s="147">
        <f>'Outputs - Summary'!F93</f>
        <v>0</v>
      </c>
      <c r="P91" s="147">
        <f>'Outputs - Summary'!G93</f>
        <v>0</v>
      </c>
      <c r="Q91" s="147">
        <f ca="1">'Outputs - Summary'!H93</f>
        <v>0</v>
      </c>
      <c r="R91" s="147">
        <f ca="1">'Outputs - Summary'!I93</f>
        <v>0</v>
      </c>
      <c r="S91" s="147">
        <f ca="1">'Outputs - Summary'!J93</f>
        <v>0</v>
      </c>
      <c r="T91" s="147">
        <f ca="1">'Outputs - Summary'!K93</f>
        <v>0</v>
      </c>
      <c r="U91" s="147">
        <f ca="1">'Outputs - Summary'!L93</f>
        <v>0</v>
      </c>
      <c r="V91" s="224"/>
      <c r="W91" s="147">
        <f t="shared" si="145"/>
        <v>0</v>
      </c>
      <c r="X91" s="147">
        <f t="shared" si="145"/>
        <v>0</v>
      </c>
      <c r="Y91" s="147">
        <f t="shared" si="146"/>
        <v>0</v>
      </c>
      <c r="Z91" s="147">
        <f t="shared" ca="1" si="147"/>
        <v>0</v>
      </c>
      <c r="AA91" s="147">
        <f t="shared" ca="1" si="148"/>
        <v>0</v>
      </c>
      <c r="AB91" s="147">
        <f t="shared" ca="1" si="149"/>
        <v>0</v>
      </c>
      <c r="AC91" s="147">
        <f t="shared" ca="1" si="150"/>
        <v>0</v>
      </c>
      <c r="AD91" s="147">
        <f t="shared" ca="1" si="151"/>
        <v>0</v>
      </c>
      <c r="AG91" s="147">
        <f>'Outputs - P&amp;L'!S84</f>
        <v>0</v>
      </c>
      <c r="AH91" s="147">
        <f>'Outputs - P&amp;L'!T84</f>
        <v>0</v>
      </c>
      <c r="AI91" s="147">
        <f>'Outputs - P&amp;L'!U84</f>
        <v>0</v>
      </c>
      <c r="AJ91" s="147">
        <f>'Outputs - P&amp;L'!V84</f>
        <v>0</v>
      </c>
      <c r="AK91" s="147">
        <f>'Outputs - P&amp;L'!W84</f>
        <v>0</v>
      </c>
      <c r="AL91" s="147">
        <f>'Outputs - P&amp;L'!X84</f>
        <v>0</v>
      </c>
      <c r="AM91" s="147">
        <f>'Outputs - P&amp;L'!Y84</f>
        <v>0</v>
      </c>
      <c r="AN91" s="147">
        <f>'Outputs - P&amp;L'!Z84</f>
        <v>0</v>
      </c>
      <c r="AO91" s="147">
        <f>'Outputs - P&amp;L'!AA84</f>
        <v>0</v>
      </c>
      <c r="AP91" s="147">
        <f>'Outputs - P&amp;L'!AB84</f>
        <v>0</v>
      </c>
      <c r="AQ91" s="147">
        <f>'Outputs - P&amp;L'!AC84</f>
        <v>0</v>
      </c>
      <c r="AR91" s="147">
        <f>'Outputs - P&amp;L'!AD84</f>
        <v>0</v>
      </c>
      <c r="AS91" s="147">
        <f>'Outputs - P&amp;L'!AE84</f>
        <v>0</v>
      </c>
      <c r="AT91" s="147">
        <f>'Outputs - P&amp;L'!AF84</f>
        <v>0</v>
      </c>
      <c r="AU91" s="147">
        <f>'Outputs - P&amp;L'!AG84</f>
        <v>0</v>
      </c>
      <c r="AV91" s="147">
        <f>'Outputs - P&amp;L'!AH84</f>
        <v>0</v>
      </c>
      <c r="AW91" s="147">
        <f>'Outputs - P&amp;L'!AI84</f>
        <v>0</v>
      </c>
      <c r="AX91" s="147">
        <f>'Outputs - P&amp;L'!AJ84</f>
        <v>0</v>
      </c>
      <c r="AY91" s="147">
        <f>'Outputs - P&amp;L'!AK84</f>
        <v>0</v>
      </c>
      <c r="AZ91" s="147">
        <f>'Outputs - P&amp;L'!AL84</f>
        <v>0</v>
      </c>
      <c r="BA91" s="147">
        <f>'Outputs - P&amp;L'!AM84</f>
        <v>0</v>
      </c>
      <c r="BB91" s="147">
        <f>'Outputs - P&amp;L'!AN84</f>
        <v>0</v>
      </c>
      <c r="BC91" s="147">
        <f>'Outputs - P&amp;L'!AO84</f>
        <v>0</v>
      </c>
      <c r="BD91" s="147">
        <f>'Outputs - P&amp;L'!AP84</f>
        <v>0</v>
      </c>
      <c r="BE91" s="147">
        <f>'Outputs - P&amp;L'!AQ84</f>
        <v>0</v>
      </c>
      <c r="BF91" s="147">
        <f>'Outputs - P&amp;L'!AR84</f>
        <v>0</v>
      </c>
      <c r="BG91" s="147">
        <f>'Outputs - P&amp;L'!AS84</f>
        <v>0</v>
      </c>
      <c r="BH91" s="147">
        <f>'Outputs - P&amp;L'!AT84</f>
        <v>0</v>
      </c>
      <c r="BI91" s="147">
        <f>'Outputs - P&amp;L'!AU84</f>
        <v>0</v>
      </c>
      <c r="BJ91" s="147">
        <f>'Outputs - P&amp;L'!AV84</f>
        <v>0</v>
      </c>
      <c r="BK91" s="147">
        <f>'Outputs - P&amp;L'!AW84</f>
        <v>0</v>
      </c>
      <c r="BL91" s="147">
        <f>'Outputs - P&amp;L'!AX84</f>
        <v>0</v>
      </c>
      <c r="BM91" s="147">
        <f>'Outputs - P&amp;L'!AY84</f>
        <v>0</v>
      </c>
      <c r="BN91" s="147">
        <f>'Outputs - P&amp;L'!AZ84</f>
        <v>0</v>
      </c>
      <c r="BO91" s="147">
        <f>'Outputs - P&amp;L'!BA84</f>
        <v>0</v>
      </c>
      <c r="BP91" s="147">
        <f>'Outputs - P&amp;L'!BB84</f>
        <v>0</v>
      </c>
      <c r="BQ91" s="147">
        <f>'Outputs - P&amp;L'!BC84</f>
        <v>0</v>
      </c>
      <c r="BR91" s="147">
        <f>'Outputs - P&amp;L'!BD84</f>
        <v>0</v>
      </c>
      <c r="BS91" s="147">
        <f>'Outputs - P&amp;L'!BE84</f>
        <v>0</v>
      </c>
      <c r="BT91" s="147">
        <f>'Outputs - P&amp;L'!BF84</f>
        <v>0</v>
      </c>
      <c r="BU91" s="147">
        <f>'Outputs - P&amp;L'!BG84</f>
        <v>0</v>
      </c>
      <c r="BV91" s="147">
        <f>'Outputs - P&amp;L'!BH84</f>
        <v>0</v>
      </c>
      <c r="BW91" s="147">
        <f>'Outputs - P&amp;L'!BI84</f>
        <v>0</v>
      </c>
      <c r="BX91" s="147">
        <f>'Outputs - P&amp;L'!BJ84</f>
        <v>0</v>
      </c>
      <c r="BY91" s="147">
        <f>'Outputs - P&amp;L'!BK84</f>
        <v>0</v>
      </c>
      <c r="BZ91" s="147">
        <f>'Outputs - P&amp;L'!BL84</f>
        <v>0</v>
      </c>
      <c r="CA91" s="147">
        <f>'Outputs - P&amp;L'!BM84</f>
        <v>0</v>
      </c>
      <c r="CB91" s="147">
        <f>'Outputs - P&amp;L'!BN84</f>
        <v>0</v>
      </c>
      <c r="CC91" s="147">
        <f>'Outputs - P&amp;L'!BO84</f>
        <v>0</v>
      </c>
      <c r="CD91" s="147">
        <f>'Outputs - P&amp;L'!BP84</f>
        <v>0</v>
      </c>
      <c r="CE91" s="147">
        <f>'Outputs - P&amp;L'!BQ84</f>
        <v>0</v>
      </c>
      <c r="CF91" s="147">
        <f>'Outputs - P&amp;L'!BR84</f>
        <v>0</v>
      </c>
    </row>
    <row r="92" spans="1:84" s="147" customFormat="1" ht="13.2" x14ac:dyDescent="0.25">
      <c r="A92" s="211"/>
      <c r="I92" s="212"/>
      <c r="R92" s="212"/>
      <c r="AA92" s="212"/>
    </row>
    <row r="93" spans="1:84" s="211" customFormat="1" thickBot="1" x14ac:dyDescent="0.3">
      <c r="B93" s="211" t="s">
        <v>291</v>
      </c>
      <c r="D93" s="248" t="str">
        <f>unit</f>
        <v>£</v>
      </c>
      <c r="E93" s="234">
        <f t="shared" ref="E93" si="153">SUM(E90:E92)</f>
        <v>0</v>
      </c>
      <c r="F93" s="234">
        <f t="shared" ref="F93:L93" si="154">SUM(F90:F92)</f>
        <v>0</v>
      </c>
      <c r="G93" s="234">
        <f t="shared" si="154"/>
        <v>0</v>
      </c>
      <c r="H93" s="234">
        <f t="shared" ca="1" si="154"/>
        <v>0</v>
      </c>
      <c r="I93" s="234">
        <f t="shared" ca="1" si="154"/>
        <v>0</v>
      </c>
      <c r="J93" s="234">
        <f t="shared" ca="1" si="154"/>
        <v>0</v>
      </c>
      <c r="K93" s="234">
        <f t="shared" ca="1" si="154"/>
        <v>0</v>
      </c>
      <c r="L93" s="234">
        <f t="shared" ca="1" si="154"/>
        <v>0</v>
      </c>
      <c r="N93" s="234">
        <f>'Outputs - Summary'!E95</f>
        <v>0</v>
      </c>
      <c r="O93" s="234">
        <f>'Outputs - Summary'!F95</f>
        <v>0</v>
      </c>
      <c r="P93" s="234">
        <f>'Outputs - Summary'!G95</f>
        <v>0</v>
      </c>
      <c r="Q93" s="234">
        <f ca="1">'Outputs - Summary'!H95</f>
        <v>0</v>
      </c>
      <c r="R93" s="234">
        <f ca="1">'Outputs - Summary'!I95</f>
        <v>0</v>
      </c>
      <c r="S93" s="234">
        <f ca="1">'Outputs - Summary'!J95</f>
        <v>0</v>
      </c>
      <c r="T93" s="234">
        <f ca="1">'Outputs - Summary'!K95</f>
        <v>0</v>
      </c>
      <c r="U93" s="234">
        <f ca="1">'Outputs - Summary'!L95</f>
        <v>0</v>
      </c>
      <c r="W93" s="234">
        <f>N93-E93</f>
        <v>0</v>
      </c>
      <c r="X93" s="234">
        <f>O93-F93</f>
        <v>0</v>
      </c>
      <c r="Y93" s="234">
        <f t="shared" ref="Y93" si="155">P93-G93</f>
        <v>0</v>
      </c>
      <c r="Z93" s="234">
        <f t="shared" ref="Z93" ca="1" si="156">Q93-H93</f>
        <v>0</v>
      </c>
      <c r="AA93" s="234">
        <f t="shared" ref="AA93" ca="1" si="157">R93-I93</f>
        <v>0</v>
      </c>
      <c r="AB93" s="234">
        <f t="shared" ref="AB93" ca="1" si="158">S93-J93</f>
        <v>0</v>
      </c>
      <c r="AC93" s="234">
        <f t="shared" ref="AC93" ca="1" si="159">T93-K93</f>
        <v>0</v>
      </c>
      <c r="AD93" s="234">
        <f t="shared" ref="AD93" ca="1" si="160">U93-L93</f>
        <v>0</v>
      </c>
      <c r="AE93" s="275"/>
      <c r="AF93" s="275"/>
      <c r="AG93" s="234">
        <f t="shared" ref="AG93:CF93" si="161">SUM(AG90:AG92)</f>
        <v>0</v>
      </c>
      <c r="AH93" s="234">
        <f t="shared" si="161"/>
        <v>0</v>
      </c>
      <c r="AI93" s="234">
        <f t="shared" si="161"/>
        <v>0</v>
      </c>
      <c r="AJ93" s="234">
        <f t="shared" si="161"/>
        <v>0</v>
      </c>
      <c r="AK93" s="234">
        <f t="shared" si="161"/>
        <v>0</v>
      </c>
      <c r="AL93" s="234">
        <f t="shared" si="161"/>
        <v>0</v>
      </c>
      <c r="AM93" s="234">
        <f t="shared" si="161"/>
        <v>0</v>
      </c>
      <c r="AN93" s="234">
        <f t="shared" si="161"/>
        <v>0</v>
      </c>
      <c r="AO93" s="234">
        <f t="shared" si="161"/>
        <v>0</v>
      </c>
      <c r="AP93" s="234">
        <f t="shared" si="161"/>
        <v>0</v>
      </c>
      <c r="AQ93" s="234">
        <f t="shared" si="161"/>
        <v>0</v>
      </c>
      <c r="AR93" s="234">
        <f t="shared" si="161"/>
        <v>0</v>
      </c>
      <c r="AS93" s="234">
        <f t="shared" si="161"/>
        <v>0</v>
      </c>
      <c r="AT93" s="234">
        <f t="shared" si="161"/>
        <v>0</v>
      </c>
      <c r="AU93" s="234">
        <f t="shared" si="161"/>
        <v>0</v>
      </c>
      <c r="AV93" s="234">
        <f t="shared" si="161"/>
        <v>0</v>
      </c>
      <c r="AW93" s="234">
        <f t="shared" si="161"/>
        <v>0</v>
      </c>
      <c r="AX93" s="234">
        <f t="shared" si="161"/>
        <v>0</v>
      </c>
      <c r="AY93" s="234">
        <f t="shared" si="161"/>
        <v>0</v>
      </c>
      <c r="AZ93" s="234">
        <f t="shared" si="161"/>
        <v>0</v>
      </c>
      <c r="BA93" s="234">
        <f t="shared" si="161"/>
        <v>0</v>
      </c>
      <c r="BB93" s="234">
        <f t="shared" si="161"/>
        <v>0</v>
      </c>
      <c r="BC93" s="234">
        <f t="shared" si="161"/>
        <v>0</v>
      </c>
      <c r="BD93" s="234">
        <f t="shared" si="161"/>
        <v>0</v>
      </c>
      <c r="BE93" s="234">
        <f t="shared" si="161"/>
        <v>0</v>
      </c>
      <c r="BF93" s="234">
        <f t="shared" si="161"/>
        <v>0</v>
      </c>
      <c r="BG93" s="234">
        <f t="shared" si="161"/>
        <v>0</v>
      </c>
      <c r="BH93" s="234">
        <f t="shared" si="161"/>
        <v>0</v>
      </c>
      <c r="BI93" s="234">
        <f t="shared" si="161"/>
        <v>0</v>
      </c>
      <c r="BJ93" s="234">
        <f t="shared" si="161"/>
        <v>0</v>
      </c>
      <c r="BK93" s="234">
        <f t="shared" si="161"/>
        <v>0</v>
      </c>
      <c r="BL93" s="234">
        <f t="shared" si="161"/>
        <v>0</v>
      </c>
      <c r="BM93" s="234">
        <f t="shared" si="161"/>
        <v>0</v>
      </c>
      <c r="BN93" s="234">
        <f t="shared" si="161"/>
        <v>0</v>
      </c>
      <c r="BO93" s="234">
        <f t="shared" si="161"/>
        <v>0</v>
      </c>
      <c r="BP93" s="234">
        <f t="shared" si="161"/>
        <v>0</v>
      </c>
      <c r="BQ93" s="234">
        <f t="shared" si="161"/>
        <v>0</v>
      </c>
      <c r="BR93" s="234">
        <f t="shared" si="161"/>
        <v>0</v>
      </c>
      <c r="BS93" s="234">
        <f t="shared" si="161"/>
        <v>0</v>
      </c>
      <c r="BT93" s="234">
        <f t="shared" si="161"/>
        <v>0</v>
      </c>
      <c r="BU93" s="234">
        <f t="shared" si="161"/>
        <v>0</v>
      </c>
      <c r="BV93" s="234">
        <f t="shared" si="161"/>
        <v>0</v>
      </c>
      <c r="BW93" s="234">
        <f t="shared" si="161"/>
        <v>0</v>
      </c>
      <c r="BX93" s="234">
        <f t="shared" si="161"/>
        <v>0</v>
      </c>
      <c r="BY93" s="234">
        <f t="shared" si="161"/>
        <v>0</v>
      </c>
      <c r="BZ93" s="234">
        <f t="shared" si="161"/>
        <v>0</v>
      </c>
      <c r="CA93" s="234">
        <f t="shared" si="161"/>
        <v>0</v>
      </c>
      <c r="CB93" s="234">
        <f t="shared" si="161"/>
        <v>0</v>
      </c>
      <c r="CC93" s="234">
        <f t="shared" si="161"/>
        <v>0</v>
      </c>
      <c r="CD93" s="234">
        <f t="shared" si="161"/>
        <v>0</v>
      </c>
      <c r="CE93" s="234">
        <f t="shared" si="161"/>
        <v>0</v>
      </c>
      <c r="CF93" s="234">
        <f t="shared" si="161"/>
        <v>0</v>
      </c>
    </row>
    <row r="94" spans="1:84" s="211" customFormat="1" ht="14.4" thickTop="1" thickBot="1" x14ac:dyDescent="0.3">
      <c r="D94" s="248"/>
      <c r="E94" s="234"/>
      <c r="F94" s="234"/>
      <c r="G94" s="234"/>
      <c r="H94" s="234"/>
      <c r="I94" s="234"/>
      <c r="J94" s="234"/>
      <c r="K94" s="234"/>
      <c r="L94" s="234"/>
      <c r="N94" s="234"/>
      <c r="O94" s="234"/>
      <c r="P94" s="234"/>
      <c r="Q94" s="234"/>
      <c r="R94" s="234"/>
      <c r="S94" s="234"/>
      <c r="T94" s="234"/>
      <c r="U94" s="234"/>
      <c r="W94" s="234"/>
      <c r="X94" s="234"/>
      <c r="Y94" s="234"/>
      <c r="Z94" s="234"/>
      <c r="AA94" s="234"/>
      <c r="AB94" s="234"/>
      <c r="AC94" s="234"/>
      <c r="AD94" s="234"/>
      <c r="AE94" s="275"/>
      <c r="AF94" s="275"/>
      <c r="AG94" s="234"/>
      <c r="AH94" s="234"/>
      <c r="AI94" s="234"/>
      <c r="AJ94" s="234"/>
      <c r="AK94" s="234"/>
      <c r="AL94" s="234"/>
      <c r="AM94" s="234"/>
      <c r="AN94" s="234"/>
      <c r="AO94" s="234"/>
      <c r="AP94" s="234"/>
      <c r="AQ94" s="234"/>
      <c r="AR94" s="234"/>
      <c r="AS94" s="234"/>
      <c r="AT94" s="234"/>
      <c r="AU94" s="234"/>
      <c r="AV94" s="234"/>
      <c r="AW94" s="234"/>
      <c r="AX94" s="234"/>
      <c r="AY94" s="234"/>
      <c r="AZ94" s="234"/>
      <c r="BA94" s="234"/>
      <c r="BB94" s="234"/>
      <c r="BC94" s="234"/>
      <c r="BD94" s="234"/>
      <c r="BE94" s="234"/>
      <c r="BF94" s="234"/>
      <c r="BG94" s="234"/>
      <c r="BH94" s="234"/>
      <c r="BI94" s="234"/>
      <c r="BJ94" s="234"/>
      <c r="BK94" s="234"/>
      <c r="BL94" s="234"/>
      <c r="BM94" s="234"/>
      <c r="BN94" s="234"/>
      <c r="BO94" s="234"/>
      <c r="BP94" s="234"/>
      <c r="BQ94" s="234"/>
      <c r="BR94" s="234"/>
      <c r="BS94" s="234"/>
      <c r="BT94" s="234"/>
      <c r="BU94" s="234"/>
      <c r="BV94" s="234"/>
      <c r="BW94" s="234"/>
      <c r="BX94" s="234"/>
      <c r="BY94" s="234"/>
      <c r="BZ94" s="234"/>
      <c r="CA94" s="234"/>
      <c r="CB94" s="234"/>
      <c r="CC94" s="234"/>
      <c r="CD94" s="234"/>
      <c r="CE94" s="234"/>
      <c r="CF94" s="234"/>
    </row>
    <row r="95" spans="1:84" s="166" customFormat="1" ht="16.2" thickTop="1" x14ac:dyDescent="0.3">
      <c r="A95" s="166">
        <f>Header1</f>
        <v>3</v>
      </c>
      <c r="B95" s="166" t="s">
        <v>273</v>
      </c>
    </row>
    <row r="96" spans="1:84" s="147" customFormat="1" ht="13.2" x14ac:dyDescent="0.25">
      <c r="A96" s="211"/>
      <c r="I96" s="212"/>
      <c r="R96" s="212"/>
      <c r="AA96" s="212"/>
    </row>
    <row r="97" spans="1:30" s="147" customFormat="1" ht="13.2" x14ac:dyDescent="0.25">
      <c r="A97" s="211"/>
      <c r="B97" s="211" t="s">
        <v>178</v>
      </c>
      <c r="D97" s="231" t="str">
        <f t="shared" ref="D97" si="162">unit</f>
        <v>£</v>
      </c>
      <c r="E97" s="147">
        <f>KeyInputs!E196</f>
        <v>0</v>
      </c>
      <c r="F97" s="147">
        <f>KeyInputs!F196</f>
        <v>0</v>
      </c>
      <c r="G97" s="147">
        <f>KeyInputs!G196</f>
        <v>0</v>
      </c>
      <c r="H97" s="211">
        <f>'Outputs - Cashflow'!E12</f>
        <v>0</v>
      </c>
      <c r="I97" s="211">
        <f>'Outputs - Cashflow'!F12</f>
        <v>0</v>
      </c>
      <c r="J97" s="211">
        <f>'Outputs - Cashflow'!G12</f>
        <v>0</v>
      </c>
      <c r="K97" s="211">
        <f>'Outputs - Cashflow'!H12</f>
        <v>0</v>
      </c>
      <c r="L97" s="211">
        <f>'Outputs - Cashflow'!I12</f>
        <v>0</v>
      </c>
      <c r="N97" s="147">
        <f>'Outputs - Summary'!E99</f>
        <v>0</v>
      </c>
      <c r="O97" s="147">
        <f>'Outputs - Summary'!F99</f>
        <v>0</v>
      </c>
      <c r="P97" s="147">
        <f>'Outputs - Summary'!G99</f>
        <v>0</v>
      </c>
      <c r="Q97" s="211">
        <f>'Outputs - Summary'!H99</f>
        <v>0</v>
      </c>
      <c r="R97" s="211">
        <f>'Outputs - Summary'!I99</f>
        <v>0</v>
      </c>
      <c r="S97" s="211">
        <f>'Outputs - Summary'!J99</f>
        <v>0</v>
      </c>
      <c r="T97" s="211">
        <f>'Outputs - Summary'!K99</f>
        <v>0</v>
      </c>
      <c r="U97" s="211">
        <f>'Outputs - Summary'!L99</f>
        <v>0</v>
      </c>
      <c r="W97" s="147">
        <f>N97-E97</f>
        <v>0</v>
      </c>
      <c r="X97" s="147">
        <f>O97-F97</f>
        <v>0</v>
      </c>
      <c r="Y97" s="147">
        <f t="shared" ref="Y97" si="163">P97-G97</f>
        <v>0</v>
      </c>
      <c r="Z97" s="211">
        <f t="shared" ref="Z97" si="164">Q97-H97</f>
        <v>0</v>
      </c>
      <c r="AA97" s="211">
        <f t="shared" ref="AA97" si="165">R97-I97</f>
        <v>0</v>
      </c>
      <c r="AB97" s="211">
        <f t="shared" ref="AB97" si="166">S97-J97</f>
        <v>0</v>
      </c>
      <c r="AC97" s="211">
        <f t="shared" ref="AC97" si="167">T97-K97</f>
        <v>0</v>
      </c>
      <c r="AD97" s="211">
        <f t="shared" ref="AD97" si="168">U97-L97</f>
        <v>0</v>
      </c>
    </row>
    <row r="98" spans="1:30" s="147" customFormat="1" ht="13.2" x14ac:dyDescent="0.25">
      <c r="A98" s="211"/>
      <c r="I98" s="212"/>
      <c r="R98" s="212"/>
      <c r="AA98" s="212"/>
    </row>
    <row r="99" spans="1:30" s="147" customFormat="1" ht="13.2" x14ac:dyDescent="0.25">
      <c r="A99" s="211"/>
      <c r="B99" s="147" t="s">
        <v>274</v>
      </c>
      <c r="D99" s="231" t="str">
        <f t="shared" ref="D99:D104" si="169">unit</f>
        <v>£</v>
      </c>
      <c r="E99" s="147">
        <f>KeyInputs!E198</f>
        <v>0</v>
      </c>
      <c r="F99" s="147">
        <f>KeyInputs!F198</f>
        <v>0</v>
      </c>
      <c r="G99" s="147">
        <f>KeyInputs!G198</f>
        <v>0</v>
      </c>
      <c r="H99" s="147">
        <f>'Outputs - Cashflow'!E14</f>
        <v>0</v>
      </c>
      <c r="I99" s="147">
        <f>'Outputs - Cashflow'!F14</f>
        <v>0</v>
      </c>
      <c r="J99" s="147">
        <f>'Outputs - Cashflow'!G14</f>
        <v>0</v>
      </c>
      <c r="K99" s="147">
        <f>'Outputs - Cashflow'!H14</f>
        <v>0</v>
      </c>
      <c r="L99" s="147">
        <f>'Outputs - Cashflow'!I14</f>
        <v>0</v>
      </c>
      <c r="N99" s="147">
        <f>'Outputs - Summary'!E101</f>
        <v>0</v>
      </c>
      <c r="O99" s="147">
        <f>'Outputs - Summary'!F101</f>
        <v>0</v>
      </c>
      <c r="P99" s="147">
        <f>'Outputs - Summary'!G101</f>
        <v>0</v>
      </c>
      <c r="Q99" s="147">
        <f>'Outputs - Summary'!H101</f>
        <v>0</v>
      </c>
      <c r="R99" s="147">
        <f>'Outputs - Summary'!I101</f>
        <v>0</v>
      </c>
      <c r="S99" s="147">
        <f>'Outputs - Summary'!J101</f>
        <v>0</v>
      </c>
      <c r="T99" s="147">
        <f>'Outputs - Summary'!K101</f>
        <v>0</v>
      </c>
      <c r="U99" s="147">
        <f>'Outputs - Summary'!L101</f>
        <v>0</v>
      </c>
      <c r="W99" s="147">
        <f t="shared" ref="W99:X104" si="170">N99-E99</f>
        <v>0</v>
      </c>
      <c r="X99" s="147">
        <f t="shared" si="170"/>
        <v>0</v>
      </c>
      <c r="Y99" s="147">
        <f t="shared" ref="Y99:Y104" si="171">P99-G99</f>
        <v>0</v>
      </c>
      <c r="Z99" s="147">
        <f t="shared" ref="Z99:Z104" si="172">Q99-H99</f>
        <v>0</v>
      </c>
      <c r="AA99" s="147">
        <f t="shared" ref="AA99:AA104" si="173">R99-I99</f>
        <v>0</v>
      </c>
      <c r="AB99" s="147">
        <f t="shared" ref="AB99:AB104" si="174">S99-J99</f>
        <v>0</v>
      </c>
      <c r="AC99" s="147">
        <f t="shared" ref="AC99:AC104" si="175">T99-K99</f>
        <v>0</v>
      </c>
      <c r="AD99" s="147">
        <f t="shared" ref="AD99:AD104" si="176">U99-L99</f>
        <v>0</v>
      </c>
    </row>
    <row r="100" spans="1:30" s="147" customFormat="1" ht="13.2" x14ac:dyDescent="0.25">
      <c r="A100" s="211"/>
      <c r="B100" s="147" t="s">
        <v>297</v>
      </c>
      <c r="D100" s="231" t="str">
        <f t="shared" si="169"/>
        <v>£</v>
      </c>
      <c r="E100" s="147">
        <f>KeyInputs!E199</f>
        <v>0</v>
      </c>
      <c r="F100" s="147">
        <f>KeyInputs!F199</f>
        <v>0</v>
      </c>
      <c r="G100" s="147">
        <f>KeyInputs!G199</f>
        <v>0</v>
      </c>
      <c r="H100" s="147">
        <f ca="1">'Outputs - Cashflow'!E15</f>
        <v>0</v>
      </c>
      <c r="I100" s="147">
        <f ca="1">'Outputs - Cashflow'!F15</f>
        <v>0</v>
      </c>
      <c r="J100" s="147">
        <f ca="1">'Outputs - Cashflow'!G15</f>
        <v>0</v>
      </c>
      <c r="K100" s="147">
        <f ca="1">'Outputs - Cashflow'!H15</f>
        <v>0</v>
      </c>
      <c r="L100" s="147">
        <f ca="1">'Outputs - Cashflow'!I15</f>
        <v>0</v>
      </c>
      <c r="N100" s="147">
        <f>'Outputs - Summary'!E102</f>
        <v>0</v>
      </c>
      <c r="O100" s="147">
        <f>'Outputs - Summary'!F102</f>
        <v>0</v>
      </c>
      <c r="P100" s="147">
        <f>'Outputs - Summary'!G102</f>
        <v>0</v>
      </c>
      <c r="Q100" s="147">
        <f ca="1">'Outputs - Summary'!H102</f>
        <v>0</v>
      </c>
      <c r="R100" s="147">
        <f ca="1">'Outputs - Summary'!I102</f>
        <v>0</v>
      </c>
      <c r="S100" s="147">
        <f ca="1">'Outputs - Summary'!J102</f>
        <v>0</v>
      </c>
      <c r="T100" s="147">
        <f ca="1">'Outputs - Summary'!K102</f>
        <v>0</v>
      </c>
      <c r="U100" s="147">
        <f ca="1">'Outputs - Summary'!L102</f>
        <v>0</v>
      </c>
      <c r="W100" s="147">
        <f t="shared" si="170"/>
        <v>0</v>
      </c>
      <c r="X100" s="147">
        <f t="shared" si="170"/>
        <v>0</v>
      </c>
      <c r="Y100" s="147">
        <f t="shared" si="171"/>
        <v>0</v>
      </c>
      <c r="Z100" s="147">
        <f t="shared" ca="1" si="172"/>
        <v>0</v>
      </c>
      <c r="AA100" s="147">
        <f t="shared" ca="1" si="173"/>
        <v>0</v>
      </c>
      <c r="AB100" s="147">
        <f t="shared" ca="1" si="174"/>
        <v>0</v>
      </c>
      <c r="AC100" s="147">
        <f t="shared" ca="1" si="175"/>
        <v>0</v>
      </c>
      <c r="AD100" s="147">
        <f t="shared" ca="1" si="176"/>
        <v>0</v>
      </c>
    </row>
    <row r="101" spans="1:30" s="147" customFormat="1" ht="13.2" x14ac:dyDescent="0.25">
      <c r="A101" s="211"/>
      <c r="B101" s="147" t="s">
        <v>275</v>
      </c>
      <c r="D101" s="231" t="str">
        <f t="shared" si="169"/>
        <v>£</v>
      </c>
      <c r="E101" s="147">
        <f>KeyInputs!E200</f>
        <v>0</v>
      </c>
      <c r="F101" s="147">
        <f>KeyInputs!F200</f>
        <v>0</v>
      </c>
      <c r="G101" s="147">
        <f>KeyInputs!G200</f>
        <v>0</v>
      </c>
      <c r="H101" s="147">
        <f ca="1">'Outputs - Cashflow'!E16</f>
        <v>0</v>
      </c>
      <c r="I101" s="147">
        <f ca="1">'Outputs - Cashflow'!F16</f>
        <v>0</v>
      </c>
      <c r="J101" s="147">
        <f ca="1">'Outputs - Cashflow'!G16</f>
        <v>0</v>
      </c>
      <c r="K101" s="147">
        <f ca="1">'Outputs - Cashflow'!H16</f>
        <v>0</v>
      </c>
      <c r="L101" s="147">
        <f ca="1">'Outputs - Cashflow'!I16</f>
        <v>0</v>
      </c>
      <c r="N101" s="147">
        <f>'Outputs - Summary'!E103</f>
        <v>0</v>
      </c>
      <c r="O101" s="147">
        <f>'Outputs - Summary'!F103</f>
        <v>0</v>
      </c>
      <c r="P101" s="147">
        <f>'Outputs - Summary'!G103</f>
        <v>0</v>
      </c>
      <c r="Q101" s="147">
        <f ca="1">'Outputs - Summary'!H103</f>
        <v>0</v>
      </c>
      <c r="R101" s="147">
        <f ca="1">'Outputs - Summary'!I103</f>
        <v>0</v>
      </c>
      <c r="S101" s="147">
        <f ca="1">'Outputs - Summary'!J103</f>
        <v>0</v>
      </c>
      <c r="T101" s="147">
        <f ca="1">'Outputs - Summary'!K103</f>
        <v>0</v>
      </c>
      <c r="U101" s="147">
        <f ca="1">'Outputs - Summary'!L103</f>
        <v>0</v>
      </c>
      <c r="W101" s="147">
        <f t="shared" si="170"/>
        <v>0</v>
      </c>
      <c r="X101" s="147">
        <f t="shared" si="170"/>
        <v>0</v>
      </c>
      <c r="Y101" s="147">
        <f t="shared" si="171"/>
        <v>0</v>
      </c>
      <c r="Z101" s="147">
        <f t="shared" ca="1" si="172"/>
        <v>0</v>
      </c>
      <c r="AA101" s="147">
        <f t="shared" ca="1" si="173"/>
        <v>0</v>
      </c>
      <c r="AB101" s="147">
        <f t="shared" ca="1" si="174"/>
        <v>0</v>
      </c>
      <c r="AC101" s="147">
        <f t="shared" ca="1" si="175"/>
        <v>0</v>
      </c>
      <c r="AD101" s="147">
        <f t="shared" ca="1" si="176"/>
        <v>0</v>
      </c>
    </row>
    <row r="102" spans="1:30" s="147" customFormat="1" ht="13.2" x14ac:dyDescent="0.25">
      <c r="A102" s="211"/>
      <c r="B102" s="147" t="s">
        <v>298</v>
      </c>
      <c r="D102" s="231" t="str">
        <f t="shared" si="169"/>
        <v>£</v>
      </c>
      <c r="E102" s="147">
        <f>KeyInputs!E201</f>
        <v>0</v>
      </c>
      <c r="F102" s="147">
        <f>KeyInputs!F201</f>
        <v>0</v>
      </c>
      <c r="G102" s="147">
        <f>KeyInputs!G201</f>
        <v>0</v>
      </c>
      <c r="H102" s="147">
        <f ca="1">'Outputs - Cashflow'!E17</f>
        <v>0</v>
      </c>
      <c r="I102" s="147">
        <f ca="1">'Outputs - Cashflow'!F17</f>
        <v>0</v>
      </c>
      <c r="J102" s="147">
        <f ca="1">'Outputs - Cashflow'!G17</f>
        <v>0</v>
      </c>
      <c r="K102" s="147">
        <f ca="1">'Outputs - Cashflow'!H17</f>
        <v>0</v>
      </c>
      <c r="L102" s="147">
        <f ca="1">'Outputs - Cashflow'!I17</f>
        <v>0</v>
      </c>
      <c r="N102" s="147">
        <f>'Outputs - Summary'!E104</f>
        <v>0</v>
      </c>
      <c r="O102" s="147">
        <f>'Outputs - Summary'!F104</f>
        <v>0</v>
      </c>
      <c r="P102" s="147">
        <f>'Outputs - Summary'!G104</f>
        <v>0</v>
      </c>
      <c r="Q102" s="147">
        <f ca="1">'Outputs - Summary'!H104</f>
        <v>0</v>
      </c>
      <c r="R102" s="147">
        <f ca="1">'Outputs - Summary'!I104</f>
        <v>0</v>
      </c>
      <c r="S102" s="147">
        <f ca="1">'Outputs - Summary'!J104</f>
        <v>0</v>
      </c>
      <c r="T102" s="147">
        <f ca="1">'Outputs - Summary'!K104</f>
        <v>0</v>
      </c>
      <c r="U102" s="147">
        <f ca="1">'Outputs - Summary'!L104</f>
        <v>0</v>
      </c>
      <c r="W102" s="147">
        <f t="shared" si="170"/>
        <v>0</v>
      </c>
      <c r="X102" s="147">
        <f t="shared" si="170"/>
        <v>0</v>
      </c>
      <c r="Y102" s="147">
        <f t="shared" si="171"/>
        <v>0</v>
      </c>
      <c r="Z102" s="147">
        <f t="shared" ca="1" si="172"/>
        <v>0</v>
      </c>
      <c r="AA102" s="147">
        <f t="shared" ca="1" si="173"/>
        <v>0</v>
      </c>
      <c r="AB102" s="147">
        <f t="shared" ca="1" si="174"/>
        <v>0</v>
      </c>
      <c r="AC102" s="147">
        <f t="shared" ca="1" si="175"/>
        <v>0</v>
      </c>
      <c r="AD102" s="147">
        <f t="shared" ca="1" si="176"/>
        <v>0</v>
      </c>
    </row>
    <row r="103" spans="1:30" s="147" customFormat="1" ht="13.2" x14ac:dyDescent="0.25">
      <c r="A103" s="211"/>
      <c r="B103" s="147" t="s">
        <v>421</v>
      </c>
      <c r="D103" s="231" t="str">
        <f t="shared" si="169"/>
        <v>£</v>
      </c>
      <c r="E103" s="147">
        <f>KeyInputs!E202</f>
        <v>0</v>
      </c>
      <c r="F103" s="147">
        <f>KeyInputs!F202</f>
        <v>0</v>
      </c>
      <c r="G103" s="147">
        <f>KeyInputs!G202</f>
        <v>0</v>
      </c>
      <c r="H103" s="147">
        <f>'Outputs - Cashflow'!E18</f>
        <v>0</v>
      </c>
      <c r="I103" s="147">
        <f>'Outputs - Cashflow'!F18</f>
        <v>0</v>
      </c>
      <c r="J103" s="147">
        <f>'Outputs - Cashflow'!G18</f>
        <v>0</v>
      </c>
      <c r="K103" s="147">
        <f>'Outputs - Cashflow'!H18</f>
        <v>0</v>
      </c>
      <c r="L103" s="147">
        <f>'Outputs - Cashflow'!I18</f>
        <v>0</v>
      </c>
      <c r="N103" s="147">
        <f>'Outputs - Summary'!E105</f>
        <v>0</v>
      </c>
      <c r="O103" s="147">
        <f>'Outputs - Summary'!F105</f>
        <v>0</v>
      </c>
      <c r="P103" s="147">
        <f>'Outputs - Summary'!G105</f>
        <v>0</v>
      </c>
      <c r="Q103" s="147">
        <f>'Outputs - Summary'!H105</f>
        <v>0</v>
      </c>
      <c r="R103" s="147">
        <f>'Outputs - Summary'!I105</f>
        <v>0</v>
      </c>
      <c r="S103" s="147">
        <f>'Outputs - Summary'!J105</f>
        <v>0</v>
      </c>
      <c r="T103" s="147">
        <f>'Outputs - Summary'!K105</f>
        <v>0</v>
      </c>
      <c r="U103" s="147">
        <f>'Outputs - Summary'!L105</f>
        <v>0</v>
      </c>
      <c r="W103" s="147">
        <f t="shared" ref="W103" si="177">N103-E103</f>
        <v>0</v>
      </c>
      <c r="X103" s="147">
        <f t="shared" ref="X103" si="178">O103-F103</f>
        <v>0</v>
      </c>
      <c r="Y103" s="147">
        <f t="shared" ref="Y103" si="179">P103-G103</f>
        <v>0</v>
      </c>
      <c r="Z103" s="147">
        <f t="shared" ref="Z103" si="180">Q103-H103</f>
        <v>0</v>
      </c>
      <c r="AA103" s="147">
        <f t="shared" ref="AA103" si="181">R103-I103</f>
        <v>0</v>
      </c>
      <c r="AB103" s="147">
        <f t="shared" ref="AB103" si="182">S103-J103</f>
        <v>0</v>
      </c>
      <c r="AC103" s="147">
        <f t="shared" ref="AC103" si="183">T103-K103</f>
        <v>0</v>
      </c>
      <c r="AD103" s="147">
        <f t="shared" ref="AD103" si="184">U103-L103</f>
        <v>0</v>
      </c>
    </row>
    <row r="104" spans="1:30" s="147" customFormat="1" ht="13.2" x14ac:dyDescent="0.25">
      <c r="A104" s="211"/>
      <c r="B104" s="211" t="s">
        <v>276</v>
      </c>
      <c r="D104" s="231" t="str">
        <f t="shared" si="169"/>
        <v>£</v>
      </c>
      <c r="E104" s="211">
        <f>SUM(E97:E103)</f>
        <v>0</v>
      </c>
      <c r="F104" s="211">
        <f t="shared" ref="F104:L104" si="185">SUM(F97:F103)</f>
        <v>0</v>
      </c>
      <c r="G104" s="211">
        <f t="shared" si="185"/>
        <v>0</v>
      </c>
      <c r="H104" s="211">
        <f t="shared" ca="1" si="185"/>
        <v>0</v>
      </c>
      <c r="I104" s="211">
        <f t="shared" ca="1" si="185"/>
        <v>0</v>
      </c>
      <c r="J104" s="211">
        <f t="shared" ca="1" si="185"/>
        <v>0</v>
      </c>
      <c r="K104" s="211">
        <f t="shared" ca="1" si="185"/>
        <v>0</v>
      </c>
      <c r="L104" s="211">
        <f t="shared" ca="1" si="185"/>
        <v>0</v>
      </c>
      <c r="N104" s="211">
        <f>SUM(N97:N103)</f>
        <v>0</v>
      </c>
      <c r="O104" s="211">
        <f t="shared" ref="O104" si="186">SUM(O97:O103)</f>
        <v>0</v>
      </c>
      <c r="P104" s="211">
        <f t="shared" ref="P104" si="187">SUM(P97:P103)</f>
        <v>0</v>
      </c>
      <c r="Q104" s="211">
        <f t="shared" ref="Q104" ca="1" si="188">SUM(Q97:Q103)</f>
        <v>0</v>
      </c>
      <c r="R104" s="211">
        <f t="shared" ref="R104" ca="1" si="189">SUM(R97:R103)</f>
        <v>0</v>
      </c>
      <c r="S104" s="211">
        <f t="shared" ref="S104" ca="1" si="190">SUM(S97:S103)</f>
        <v>0</v>
      </c>
      <c r="T104" s="211">
        <f t="shared" ref="T104" ca="1" si="191">SUM(T97:T103)</f>
        <v>0</v>
      </c>
      <c r="U104" s="211">
        <f t="shared" ref="U104" ca="1" si="192">SUM(U97:U103)</f>
        <v>0</v>
      </c>
      <c r="W104" s="211">
        <f t="shared" si="170"/>
        <v>0</v>
      </c>
      <c r="X104" s="211">
        <f t="shared" si="170"/>
        <v>0</v>
      </c>
      <c r="Y104" s="211">
        <f t="shared" si="171"/>
        <v>0</v>
      </c>
      <c r="Z104" s="211">
        <f t="shared" ca="1" si="172"/>
        <v>0</v>
      </c>
      <c r="AA104" s="211">
        <f t="shared" ca="1" si="173"/>
        <v>0</v>
      </c>
      <c r="AB104" s="211">
        <f t="shared" ca="1" si="174"/>
        <v>0</v>
      </c>
      <c r="AC104" s="211">
        <f t="shared" ca="1" si="175"/>
        <v>0</v>
      </c>
      <c r="AD104" s="211">
        <f t="shared" ca="1" si="176"/>
        <v>0</v>
      </c>
    </row>
    <row r="105" spans="1:30" s="147" customFormat="1" ht="13.2" x14ac:dyDescent="0.25">
      <c r="A105" s="211"/>
      <c r="I105" s="212"/>
      <c r="R105" s="212"/>
      <c r="AA105" s="212"/>
    </row>
    <row r="106" spans="1:30" s="147" customFormat="1" ht="13.2" x14ac:dyDescent="0.25">
      <c r="A106" s="211"/>
      <c r="B106" s="147" t="s">
        <v>232</v>
      </c>
      <c r="D106" s="231" t="str">
        <f t="shared" ref="D106:D107" si="193">unit</f>
        <v>£</v>
      </c>
      <c r="E106" s="147">
        <f>KeyInputs!E205</f>
        <v>0</v>
      </c>
      <c r="F106" s="147">
        <f>KeyInputs!F205</f>
        <v>0</v>
      </c>
      <c r="G106" s="147">
        <f>KeyInputs!G205</f>
        <v>0</v>
      </c>
      <c r="H106" s="147">
        <f>'Outputs - Cashflow'!E21</f>
        <v>0</v>
      </c>
      <c r="I106" s="147">
        <f>'Outputs - Cashflow'!F21</f>
        <v>0</v>
      </c>
      <c r="J106" s="147">
        <f>'Outputs - Cashflow'!G21</f>
        <v>0</v>
      </c>
      <c r="K106" s="147">
        <f>'Outputs - Cashflow'!H21</f>
        <v>0</v>
      </c>
      <c r="L106" s="147">
        <f>'Outputs - Cashflow'!I21</f>
        <v>0</v>
      </c>
      <c r="N106" s="147">
        <f>'Outputs - Summary'!E108</f>
        <v>0</v>
      </c>
      <c r="O106" s="147">
        <f>'Outputs - Summary'!F108</f>
        <v>0</v>
      </c>
      <c r="P106" s="147">
        <f>'Outputs - Summary'!G108</f>
        <v>0</v>
      </c>
      <c r="Q106" s="147">
        <f>'Outputs - Summary'!H108</f>
        <v>0</v>
      </c>
      <c r="R106" s="147">
        <f>'Outputs - Summary'!I108</f>
        <v>0</v>
      </c>
      <c r="S106" s="147">
        <f>'Outputs - Summary'!J108</f>
        <v>0</v>
      </c>
      <c r="T106" s="147">
        <f>'Outputs - Summary'!K108</f>
        <v>0</v>
      </c>
      <c r="U106" s="147">
        <f>'Outputs - Summary'!L108</f>
        <v>0</v>
      </c>
      <c r="W106" s="147">
        <f t="shared" ref="W106:X120" si="194">N106-E106</f>
        <v>0</v>
      </c>
      <c r="X106" s="147">
        <f t="shared" si="194"/>
        <v>0</v>
      </c>
      <c r="Y106" s="147">
        <f t="shared" ref="Y106:Y120" si="195">P106-G106</f>
        <v>0</v>
      </c>
      <c r="Z106" s="147">
        <f t="shared" ref="Z106:Z120" si="196">Q106-H106</f>
        <v>0</v>
      </c>
      <c r="AA106" s="147">
        <f t="shared" ref="AA106:AA120" si="197">R106-I106</f>
        <v>0</v>
      </c>
      <c r="AB106" s="147">
        <f t="shared" ref="AB106:AB120" si="198">S106-J106</f>
        <v>0</v>
      </c>
      <c r="AC106" s="147">
        <f t="shared" ref="AC106:AC120" si="199">T106-K106</f>
        <v>0</v>
      </c>
      <c r="AD106" s="147">
        <f t="shared" ref="AD106:AD120" si="200">U106-L106</f>
        <v>0</v>
      </c>
    </row>
    <row r="107" spans="1:30" s="147" customFormat="1" ht="13.2" x14ac:dyDescent="0.25">
      <c r="A107" s="211"/>
      <c r="B107" s="147" t="s">
        <v>277</v>
      </c>
      <c r="D107" s="231" t="str">
        <f t="shared" si="193"/>
        <v>£</v>
      </c>
      <c r="E107" s="147">
        <f>KeyInputs!E206</f>
        <v>0</v>
      </c>
      <c r="F107" s="147">
        <f>KeyInputs!F206</f>
        <v>0</v>
      </c>
      <c r="G107" s="147">
        <f>KeyInputs!G206</f>
        <v>0</v>
      </c>
      <c r="H107" s="147">
        <f>'Outputs - Cashflow'!E22</f>
        <v>0</v>
      </c>
      <c r="I107" s="147">
        <f>'Outputs - Cashflow'!F22</f>
        <v>0</v>
      </c>
      <c r="J107" s="147">
        <f>'Outputs - Cashflow'!G22</f>
        <v>0</v>
      </c>
      <c r="K107" s="147">
        <f>'Outputs - Cashflow'!H22</f>
        <v>0</v>
      </c>
      <c r="L107" s="147">
        <f>'Outputs - Cashflow'!I22</f>
        <v>0</v>
      </c>
      <c r="N107" s="147">
        <f>'Outputs - Summary'!E109</f>
        <v>0</v>
      </c>
      <c r="O107" s="147">
        <f>'Outputs - Summary'!F109</f>
        <v>0</v>
      </c>
      <c r="P107" s="147">
        <f>'Outputs - Summary'!G109</f>
        <v>0</v>
      </c>
      <c r="Q107" s="147">
        <f>'Outputs - Summary'!H109</f>
        <v>0</v>
      </c>
      <c r="R107" s="147">
        <f>'Outputs - Summary'!I109</f>
        <v>0</v>
      </c>
      <c r="S107" s="147">
        <f>'Outputs - Summary'!J109</f>
        <v>0</v>
      </c>
      <c r="T107" s="147">
        <f>'Outputs - Summary'!K109</f>
        <v>0</v>
      </c>
      <c r="U107" s="147">
        <f>'Outputs - Summary'!L109</f>
        <v>0</v>
      </c>
      <c r="W107" s="147">
        <f t="shared" si="194"/>
        <v>0</v>
      </c>
      <c r="X107" s="147">
        <f t="shared" si="194"/>
        <v>0</v>
      </c>
      <c r="Y107" s="147">
        <f t="shared" si="195"/>
        <v>0</v>
      </c>
      <c r="Z107" s="147">
        <f t="shared" si="196"/>
        <v>0</v>
      </c>
      <c r="AA107" s="147">
        <f t="shared" si="197"/>
        <v>0</v>
      </c>
      <c r="AB107" s="147">
        <f t="shared" si="198"/>
        <v>0</v>
      </c>
      <c r="AC107" s="147">
        <f t="shared" si="199"/>
        <v>0</v>
      </c>
      <c r="AD107" s="147">
        <f t="shared" si="200"/>
        <v>0</v>
      </c>
    </row>
    <row r="108" spans="1:30" s="147" customFormat="1" ht="13.2" hidden="1" outlineLevel="1" x14ac:dyDescent="0.25">
      <c r="A108" s="211"/>
      <c r="I108" s="212"/>
      <c r="N108" s="147">
        <f>'Outputs - Summary'!E110</f>
        <v>0</v>
      </c>
      <c r="O108" s="147">
        <f>'Outputs - Summary'!F110</f>
        <v>0</v>
      </c>
      <c r="P108" s="147">
        <f>'Outputs - Summary'!G110</f>
        <v>0</v>
      </c>
      <c r="Q108" s="147">
        <f>'Outputs - Summary'!H110</f>
        <v>0</v>
      </c>
      <c r="R108" s="212">
        <f>'Outputs - Summary'!I110</f>
        <v>0</v>
      </c>
      <c r="S108" s="147">
        <f>'Outputs - Summary'!J110</f>
        <v>0</v>
      </c>
      <c r="T108" s="147">
        <f>'Outputs - Summary'!K110</f>
        <v>0</v>
      </c>
      <c r="U108" s="147">
        <f>'Outputs - Summary'!L110</f>
        <v>0</v>
      </c>
      <c r="W108" s="147">
        <f t="shared" si="194"/>
        <v>0</v>
      </c>
      <c r="X108" s="147">
        <f t="shared" si="194"/>
        <v>0</v>
      </c>
      <c r="Y108" s="147">
        <f t="shared" si="195"/>
        <v>0</v>
      </c>
      <c r="Z108" s="147">
        <f t="shared" si="196"/>
        <v>0</v>
      </c>
      <c r="AA108" s="212">
        <f t="shared" si="197"/>
        <v>0</v>
      </c>
      <c r="AB108" s="147">
        <f t="shared" si="198"/>
        <v>0</v>
      </c>
      <c r="AC108" s="147">
        <f t="shared" si="199"/>
        <v>0</v>
      </c>
      <c r="AD108" s="147">
        <f t="shared" si="200"/>
        <v>0</v>
      </c>
    </row>
    <row r="109" spans="1:30" s="147" customFormat="1" ht="13.2" collapsed="1" x14ac:dyDescent="0.25">
      <c r="A109" s="211"/>
      <c r="B109" s="147" t="s">
        <v>299</v>
      </c>
      <c r="D109" s="231" t="str">
        <f t="shared" ref="D109" si="201">unit</f>
        <v>£</v>
      </c>
      <c r="E109" s="147">
        <f>KeyInputs!E208</f>
        <v>0</v>
      </c>
      <c r="F109" s="147">
        <f>KeyInputs!F208</f>
        <v>0</v>
      </c>
      <c r="G109" s="147">
        <f>KeyInputs!G208</f>
        <v>0</v>
      </c>
      <c r="H109" s="147">
        <f>'Outputs - Cashflow'!E24</f>
        <v>0</v>
      </c>
      <c r="I109" s="147">
        <f>'Outputs - Cashflow'!F24</f>
        <v>0</v>
      </c>
      <c r="J109" s="147">
        <f>'Outputs - Cashflow'!G24</f>
        <v>0</v>
      </c>
      <c r="K109" s="147">
        <f>'Outputs - Cashflow'!H24</f>
        <v>0</v>
      </c>
      <c r="L109" s="147">
        <f>'Outputs - Cashflow'!I24</f>
        <v>0</v>
      </c>
      <c r="N109" s="147">
        <f>'Outputs - Summary'!E111</f>
        <v>0</v>
      </c>
      <c r="O109" s="147">
        <f>'Outputs - Summary'!F111</f>
        <v>0</v>
      </c>
      <c r="P109" s="147">
        <f>'Outputs - Summary'!G111</f>
        <v>0</v>
      </c>
      <c r="Q109" s="147">
        <f>'Outputs - Summary'!H111</f>
        <v>0</v>
      </c>
      <c r="R109" s="147">
        <f>'Outputs - Summary'!I111</f>
        <v>0</v>
      </c>
      <c r="S109" s="147">
        <f>'Outputs - Summary'!J111</f>
        <v>0</v>
      </c>
      <c r="T109" s="147">
        <f>'Outputs - Summary'!K111</f>
        <v>0</v>
      </c>
      <c r="U109" s="147">
        <f>'Outputs - Summary'!L111</f>
        <v>0</v>
      </c>
      <c r="W109" s="147">
        <f t="shared" si="194"/>
        <v>0</v>
      </c>
      <c r="X109" s="147">
        <f t="shared" si="194"/>
        <v>0</v>
      </c>
      <c r="Y109" s="147">
        <f t="shared" si="195"/>
        <v>0</v>
      </c>
      <c r="Z109" s="147">
        <f t="shared" si="196"/>
        <v>0</v>
      </c>
      <c r="AA109" s="147">
        <f t="shared" si="197"/>
        <v>0</v>
      </c>
      <c r="AB109" s="147">
        <f t="shared" si="198"/>
        <v>0</v>
      </c>
      <c r="AC109" s="147">
        <f t="shared" si="199"/>
        <v>0</v>
      </c>
      <c r="AD109" s="147">
        <f t="shared" si="200"/>
        <v>0</v>
      </c>
    </row>
    <row r="110" spans="1:30" s="147" customFormat="1" ht="13.2" hidden="1" outlineLevel="1" x14ac:dyDescent="0.25">
      <c r="A110" s="211"/>
      <c r="I110" s="212"/>
      <c r="N110" s="147">
        <f>'Outputs - Summary'!E112</f>
        <v>0</v>
      </c>
      <c r="O110" s="147">
        <f>'Outputs - Summary'!F112</f>
        <v>0</v>
      </c>
      <c r="P110" s="147">
        <f>'Outputs - Summary'!G112</f>
        <v>0</v>
      </c>
      <c r="Q110" s="147">
        <f>'Outputs - Summary'!H112</f>
        <v>0</v>
      </c>
      <c r="R110" s="212">
        <f>'Outputs - Summary'!I112</f>
        <v>0</v>
      </c>
      <c r="S110" s="147">
        <f>'Outputs - Summary'!J112</f>
        <v>0</v>
      </c>
      <c r="T110" s="147">
        <f>'Outputs - Summary'!K112</f>
        <v>0</v>
      </c>
      <c r="U110" s="147">
        <f>'Outputs - Summary'!L112</f>
        <v>0</v>
      </c>
      <c r="W110" s="147">
        <f t="shared" si="194"/>
        <v>0</v>
      </c>
      <c r="X110" s="147">
        <f t="shared" si="194"/>
        <v>0</v>
      </c>
      <c r="Y110" s="147">
        <f t="shared" si="195"/>
        <v>0</v>
      </c>
      <c r="Z110" s="147">
        <f t="shared" si="196"/>
        <v>0</v>
      </c>
      <c r="AA110" s="212">
        <f t="shared" si="197"/>
        <v>0</v>
      </c>
      <c r="AB110" s="147">
        <f t="shared" si="198"/>
        <v>0</v>
      </c>
      <c r="AC110" s="147">
        <f t="shared" si="199"/>
        <v>0</v>
      </c>
      <c r="AD110" s="147">
        <f t="shared" si="200"/>
        <v>0</v>
      </c>
    </row>
    <row r="111" spans="1:30" s="147" customFormat="1" ht="13.2" collapsed="1" x14ac:dyDescent="0.25">
      <c r="A111" s="211"/>
      <c r="B111" s="147" t="s">
        <v>278</v>
      </c>
      <c r="D111" s="231" t="str">
        <f t="shared" ref="D111:D112" si="202">unit</f>
        <v>£</v>
      </c>
      <c r="E111" s="147">
        <f>KeyInputs!E210</f>
        <v>0</v>
      </c>
      <c r="F111" s="147">
        <f>KeyInputs!F210</f>
        <v>0</v>
      </c>
      <c r="G111" s="147">
        <f>KeyInputs!G210</f>
        <v>0</v>
      </c>
      <c r="H111" s="147">
        <f>'Outputs - Cashflow'!E27</f>
        <v>0</v>
      </c>
      <c r="I111" s="147">
        <f>'Outputs - Cashflow'!F27</f>
        <v>0</v>
      </c>
      <c r="J111" s="147">
        <f>'Outputs - Cashflow'!G27</f>
        <v>0</v>
      </c>
      <c r="K111" s="147">
        <f>'Outputs - Cashflow'!H27</f>
        <v>0</v>
      </c>
      <c r="L111" s="147">
        <f>'Outputs - Cashflow'!I27</f>
        <v>0</v>
      </c>
      <c r="N111" s="147">
        <f>'Outputs - Summary'!E115</f>
        <v>0</v>
      </c>
      <c r="O111" s="147">
        <f>'Outputs - Summary'!F115</f>
        <v>0</v>
      </c>
      <c r="P111" s="147">
        <f>'Outputs - Summary'!G115</f>
        <v>0</v>
      </c>
      <c r="Q111" s="147">
        <f>'Outputs - Summary'!H115</f>
        <v>0</v>
      </c>
      <c r="R111" s="147">
        <f>'Outputs - Summary'!I115</f>
        <v>0</v>
      </c>
      <c r="S111" s="147">
        <f>'Outputs - Summary'!J115</f>
        <v>0</v>
      </c>
      <c r="T111" s="147">
        <f>'Outputs - Summary'!K115</f>
        <v>0</v>
      </c>
      <c r="U111" s="147">
        <f>'Outputs - Summary'!L115</f>
        <v>0</v>
      </c>
      <c r="W111" s="147">
        <f t="shared" si="194"/>
        <v>0</v>
      </c>
      <c r="X111" s="147">
        <f t="shared" si="194"/>
        <v>0</v>
      </c>
      <c r="Y111" s="147">
        <f t="shared" si="195"/>
        <v>0</v>
      </c>
      <c r="Z111" s="147">
        <f t="shared" si="196"/>
        <v>0</v>
      </c>
      <c r="AA111" s="147">
        <f t="shared" si="197"/>
        <v>0</v>
      </c>
      <c r="AB111" s="147">
        <f t="shared" si="198"/>
        <v>0</v>
      </c>
      <c r="AC111" s="147">
        <f t="shared" si="199"/>
        <v>0</v>
      </c>
      <c r="AD111" s="147">
        <f t="shared" si="200"/>
        <v>0</v>
      </c>
    </row>
    <row r="112" spans="1:30" s="147" customFormat="1" ht="13.2" x14ac:dyDescent="0.25">
      <c r="A112" s="211"/>
      <c r="B112" s="147" t="s">
        <v>279</v>
      </c>
      <c r="D112" s="231" t="str">
        <f t="shared" si="202"/>
        <v>£</v>
      </c>
      <c r="E112" s="147">
        <f>KeyInputs!E211</f>
        <v>0</v>
      </c>
      <c r="F112" s="147">
        <f>KeyInputs!F211</f>
        <v>0</v>
      </c>
      <c r="G112" s="147">
        <f>KeyInputs!G211</f>
        <v>0</v>
      </c>
      <c r="H112" s="147">
        <f>'Outputs - Cashflow'!E28</f>
        <v>0</v>
      </c>
      <c r="I112" s="147">
        <f>'Outputs - Cashflow'!F28</f>
        <v>0</v>
      </c>
      <c r="J112" s="147">
        <f>'Outputs - Cashflow'!G28</f>
        <v>0</v>
      </c>
      <c r="K112" s="147">
        <f>'Outputs - Cashflow'!H28</f>
        <v>0</v>
      </c>
      <c r="L112" s="147">
        <f>'Outputs - Cashflow'!I28</f>
        <v>0</v>
      </c>
      <c r="N112" s="147">
        <f>'Outputs - Summary'!E116</f>
        <v>0</v>
      </c>
      <c r="O112" s="147">
        <f>'Outputs - Summary'!F116</f>
        <v>0</v>
      </c>
      <c r="P112" s="147">
        <f>'Outputs - Summary'!G116</f>
        <v>0</v>
      </c>
      <c r="Q112" s="147">
        <f>'Outputs - Summary'!H116</f>
        <v>0</v>
      </c>
      <c r="R112" s="147">
        <f>'Outputs - Summary'!I116</f>
        <v>0</v>
      </c>
      <c r="S112" s="147">
        <f>'Outputs - Summary'!J116</f>
        <v>0</v>
      </c>
      <c r="T112" s="147">
        <f>'Outputs - Summary'!K116</f>
        <v>0</v>
      </c>
      <c r="U112" s="147">
        <f>'Outputs - Summary'!L116</f>
        <v>0</v>
      </c>
      <c r="W112" s="147">
        <f t="shared" si="194"/>
        <v>0</v>
      </c>
      <c r="X112" s="147">
        <f t="shared" si="194"/>
        <v>0</v>
      </c>
      <c r="Y112" s="147">
        <f t="shared" si="195"/>
        <v>0</v>
      </c>
      <c r="Z112" s="147">
        <f t="shared" si="196"/>
        <v>0</v>
      </c>
      <c r="AA112" s="147">
        <f t="shared" si="197"/>
        <v>0</v>
      </c>
      <c r="AB112" s="147">
        <f t="shared" si="198"/>
        <v>0</v>
      </c>
      <c r="AC112" s="147">
        <f t="shared" si="199"/>
        <v>0</v>
      </c>
      <c r="AD112" s="147">
        <f t="shared" si="200"/>
        <v>0</v>
      </c>
    </row>
    <row r="113" spans="1:30" s="147" customFormat="1" ht="13.2" hidden="1" outlineLevel="1" x14ac:dyDescent="0.25">
      <c r="A113" s="211"/>
      <c r="I113" s="212"/>
      <c r="N113" s="147">
        <f>'Outputs - Summary'!E117</f>
        <v>0</v>
      </c>
      <c r="O113" s="147">
        <f>'Outputs - Summary'!F117</f>
        <v>0</v>
      </c>
      <c r="P113" s="147">
        <f>'Outputs - Summary'!G117</f>
        <v>0</v>
      </c>
      <c r="Q113" s="147">
        <f>'Outputs - Summary'!H117</f>
        <v>0</v>
      </c>
      <c r="R113" s="212">
        <f>'Outputs - Summary'!I117</f>
        <v>0</v>
      </c>
      <c r="S113" s="147">
        <f>'Outputs - Summary'!J117</f>
        <v>0</v>
      </c>
      <c r="T113" s="147">
        <f>'Outputs - Summary'!K117</f>
        <v>0</v>
      </c>
      <c r="U113" s="147">
        <f>'Outputs - Summary'!L117</f>
        <v>0</v>
      </c>
      <c r="W113" s="147">
        <f t="shared" si="194"/>
        <v>0</v>
      </c>
      <c r="X113" s="147">
        <f t="shared" si="194"/>
        <v>0</v>
      </c>
      <c r="Y113" s="147">
        <f t="shared" si="195"/>
        <v>0</v>
      </c>
      <c r="Z113" s="147">
        <f t="shared" si="196"/>
        <v>0</v>
      </c>
      <c r="AA113" s="212">
        <f t="shared" si="197"/>
        <v>0</v>
      </c>
      <c r="AB113" s="147">
        <f t="shared" si="198"/>
        <v>0</v>
      </c>
      <c r="AC113" s="147">
        <f t="shared" si="199"/>
        <v>0</v>
      </c>
      <c r="AD113" s="147">
        <f t="shared" si="200"/>
        <v>0</v>
      </c>
    </row>
    <row r="114" spans="1:30" s="147" customFormat="1" ht="13.2" collapsed="1" x14ac:dyDescent="0.25">
      <c r="A114" s="211"/>
      <c r="B114" s="147" t="s">
        <v>266</v>
      </c>
      <c r="D114" s="231" t="str">
        <f t="shared" ref="D114" si="203">unit</f>
        <v>£</v>
      </c>
      <c r="E114" s="147">
        <f>KeyInputs!E213</f>
        <v>0</v>
      </c>
      <c r="F114" s="147">
        <f>KeyInputs!F213</f>
        <v>0</v>
      </c>
      <c r="G114" s="147">
        <f>KeyInputs!G213</f>
        <v>0</v>
      </c>
      <c r="H114" s="147">
        <f>'Outputs - Cashflow'!E30</f>
        <v>0</v>
      </c>
      <c r="I114" s="147">
        <f>'Outputs - Cashflow'!F30</f>
        <v>0</v>
      </c>
      <c r="J114" s="147">
        <f>'Outputs - Cashflow'!G30</f>
        <v>0</v>
      </c>
      <c r="K114" s="147">
        <f>'Outputs - Cashflow'!H30</f>
        <v>0</v>
      </c>
      <c r="L114" s="147">
        <f>'Outputs - Cashflow'!I30</f>
        <v>0</v>
      </c>
      <c r="N114" s="147">
        <f>'Outputs - Summary'!E118</f>
        <v>0</v>
      </c>
      <c r="O114" s="147">
        <f>'Outputs - Summary'!F118</f>
        <v>0</v>
      </c>
      <c r="P114" s="147">
        <f>'Outputs - Summary'!G118</f>
        <v>0</v>
      </c>
      <c r="Q114" s="147">
        <f>'Outputs - Summary'!H118</f>
        <v>0</v>
      </c>
      <c r="R114" s="147">
        <f>'Outputs - Summary'!I118</f>
        <v>0</v>
      </c>
      <c r="S114" s="147">
        <f>'Outputs - Summary'!J118</f>
        <v>0</v>
      </c>
      <c r="T114" s="147">
        <f>'Outputs - Summary'!K118</f>
        <v>0</v>
      </c>
      <c r="U114" s="147">
        <f>'Outputs - Summary'!L118</f>
        <v>0</v>
      </c>
      <c r="W114" s="147">
        <f t="shared" si="194"/>
        <v>0</v>
      </c>
      <c r="X114" s="147">
        <f t="shared" si="194"/>
        <v>0</v>
      </c>
      <c r="Y114" s="147">
        <f t="shared" si="195"/>
        <v>0</v>
      </c>
      <c r="Z114" s="147">
        <f t="shared" si="196"/>
        <v>0</v>
      </c>
      <c r="AA114" s="147">
        <f t="shared" si="197"/>
        <v>0</v>
      </c>
      <c r="AB114" s="147">
        <f t="shared" si="198"/>
        <v>0</v>
      </c>
      <c r="AC114" s="147">
        <f t="shared" si="199"/>
        <v>0</v>
      </c>
      <c r="AD114" s="147">
        <f t="shared" si="200"/>
        <v>0</v>
      </c>
    </row>
    <row r="115" spans="1:30" s="147" customFormat="1" ht="13.2" hidden="1" outlineLevel="1" x14ac:dyDescent="0.25">
      <c r="A115" s="211"/>
      <c r="I115" s="212"/>
      <c r="N115" s="147">
        <f>'Outputs - Summary'!E119</f>
        <v>0</v>
      </c>
      <c r="O115" s="147">
        <f>'Outputs - Summary'!F119</f>
        <v>0</v>
      </c>
      <c r="P115" s="147">
        <f>'Outputs - Summary'!G119</f>
        <v>0</v>
      </c>
      <c r="Q115" s="147">
        <f>'Outputs - Summary'!H119</f>
        <v>0</v>
      </c>
      <c r="R115" s="212">
        <f>'Outputs - Summary'!I119</f>
        <v>0</v>
      </c>
      <c r="S115" s="147">
        <f>'Outputs - Summary'!J119</f>
        <v>0</v>
      </c>
      <c r="T115" s="147">
        <f>'Outputs - Summary'!K119</f>
        <v>0</v>
      </c>
      <c r="U115" s="147">
        <f>'Outputs - Summary'!L119</f>
        <v>0</v>
      </c>
      <c r="W115" s="147">
        <f t="shared" si="194"/>
        <v>0</v>
      </c>
      <c r="X115" s="147">
        <f t="shared" si="194"/>
        <v>0</v>
      </c>
      <c r="Y115" s="147">
        <f t="shared" si="195"/>
        <v>0</v>
      </c>
      <c r="Z115" s="147">
        <f t="shared" si="196"/>
        <v>0</v>
      </c>
      <c r="AA115" s="212">
        <f t="shared" si="197"/>
        <v>0</v>
      </c>
      <c r="AB115" s="147">
        <f t="shared" si="198"/>
        <v>0</v>
      </c>
      <c r="AC115" s="147">
        <f t="shared" si="199"/>
        <v>0</v>
      </c>
      <c r="AD115" s="147">
        <f t="shared" si="200"/>
        <v>0</v>
      </c>
    </row>
    <row r="116" spans="1:30" s="147" customFormat="1" ht="13.2" collapsed="1" x14ac:dyDescent="0.25">
      <c r="A116" s="211"/>
      <c r="B116" s="147" t="s">
        <v>44</v>
      </c>
      <c r="D116" s="231" t="str">
        <f t="shared" ref="D116" si="204">unit</f>
        <v>£</v>
      </c>
      <c r="E116" s="147">
        <f>KeyInputs!E215</f>
        <v>0</v>
      </c>
      <c r="F116" s="147">
        <f>KeyInputs!F215</f>
        <v>0</v>
      </c>
      <c r="G116" s="147">
        <f>KeyInputs!G215</f>
        <v>0</v>
      </c>
      <c r="H116" s="147">
        <f ca="1">'Outputs - Cashflow'!E32</f>
        <v>0</v>
      </c>
      <c r="I116" s="147">
        <f ca="1">'Outputs - Cashflow'!F32</f>
        <v>0</v>
      </c>
      <c r="J116" s="147">
        <f ca="1">'Outputs - Cashflow'!G32</f>
        <v>0</v>
      </c>
      <c r="K116" s="147">
        <f ca="1">'Outputs - Cashflow'!H32</f>
        <v>0</v>
      </c>
      <c r="L116" s="147">
        <f ca="1">'Outputs - Cashflow'!I32</f>
        <v>0</v>
      </c>
      <c r="N116" s="147">
        <f>'Outputs - Summary'!E120</f>
        <v>0</v>
      </c>
      <c r="O116" s="147">
        <f>'Outputs - Summary'!F120</f>
        <v>0</v>
      </c>
      <c r="P116" s="147">
        <f>'Outputs - Summary'!G120</f>
        <v>0</v>
      </c>
      <c r="Q116" s="147">
        <f ca="1">'Outputs - Summary'!H120</f>
        <v>0</v>
      </c>
      <c r="R116" s="147">
        <f ca="1">'Outputs - Summary'!I120</f>
        <v>0</v>
      </c>
      <c r="S116" s="147">
        <f ca="1">'Outputs - Summary'!J120</f>
        <v>0</v>
      </c>
      <c r="T116" s="147">
        <f ca="1">'Outputs - Summary'!K120</f>
        <v>0</v>
      </c>
      <c r="U116" s="147">
        <f ca="1">'Outputs - Summary'!L120</f>
        <v>0</v>
      </c>
      <c r="W116" s="147">
        <f t="shared" si="194"/>
        <v>0</v>
      </c>
      <c r="X116" s="147">
        <f t="shared" si="194"/>
        <v>0</v>
      </c>
      <c r="Y116" s="147">
        <f t="shared" si="195"/>
        <v>0</v>
      </c>
      <c r="Z116" s="147">
        <f t="shared" ca="1" si="196"/>
        <v>0</v>
      </c>
      <c r="AA116" s="147">
        <f t="shared" ca="1" si="197"/>
        <v>0</v>
      </c>
      <c r="AB116" s="147">
        <f t="shared" ca="1" si="198"/>
        <v>0</v>
      </c>
      <c r="AC116" s="147">
        <f t="shared" ca="1" si="199"/>
        <v>0</v>
      </c>
      <c r="AD116" s="147">
        <f t="shared" ca="1" si="200"/>
        <v>0</v>
      </c>
    </row>
    <row r="117" spans="1:30" s="147" customFormat="1" ht="13.2" hidden="1" outlineLevel="1" x14ac:dyDescent="0.25">
      <c r="A117" s="211"/>
      <c r="I117" s="212"/>
      <c r="N117" s="147">
        <f>'Outputs - Summary'!E121</f>
        <v>0</v>
      </c>
      <c r="O117" s="147">
        <f>'Outputs - Summary'!F121</f>
        <v>0</v>
      </c>
      <c r="P117" s="147">
        <f>'Outputs - Summary'!G121</f>
        <v>0</v>
      </c>
      <c r="Q117" s="147">
        <f>'Outputs - Summary'!H121</f>
        <v>0</v>
      </c>
      <c r="R117" s="212">
        <f>'Outputs - Summary'!I121</f>
        <v>0</v>
      </c>
      <c r="S117" s="147">
        <f>'Outputs - Summary'!J121</f>
        <v>0</v>
      </c>
      <c r="T117" s="147">
        <f>'Outputs - Summary'!K121</f>
        <v>0</v>
      </c>
      <c r="U117" s="147">
        <f>'Outputs - Summary'!L121</f>
        <v>0</v>
      </c>
      <c r="W117" s="147">
        <f t="shared" si="194"/>
        <v>0</v>
      </c>
      <c r="X117" s="147">
        <f t="shared" si="194"/>
        <v>0</v>
      </c>
      <c r="Y117" s="147">
        <f t="shared" si="195"/>
        <v>0</v>
      </c>
      <c r="Z117" s="147">
        <f t="shared" si="196"/>
        <v>0</v>
      </c>
      <c r="AA117" s="212">
        <f t="shared" si="197"/>
        <v>0</v>
      </c>
      <c r="AB117" s="147">
        <f t="shared" si="198"/>
        <v>0</v>
      </c>
      <c r="AC117" s="147">
        <f t="shared" si="199"/>
        <v>0</v>
      </c>
      <c r="AD117" s="147">
        <f t="shared" si="200"/>
        <v>0</v>
      </c>
    </row>
    <row r="118" spans="1:30" s="147" customFormat="1" ht="13.2" collapsed="1" x14ac:dyDescent="0.25">
      <c r="A118" s="211"/>
      <c r="B118" s="147" t="s">
        <v>337</v>
      </c>
      <c r="D118" s="231" t="str">
        <f t="shared" ref="D118" si="205">unit</f>
        <v>£</v>
      </c>
      <c r="E118" s="147">
        <f>KeyInputs!E217</f>
        <v>0</v>
      </c>
      <c r="F118" s="147">
        <f>KeyInputs!F217</f>
        <v>0</v>
      </c>
      <c r="G118" s="147">
        <f>KeyInputs!G217</f>
        <v>0</v>
      </c>
      <c r="H118" s="147">
        <f>'Outputs - Cashflow'!E34</f>
        <v>0</v>
      </c>
      <c r="I118" s="147">
        <f>'Outputs - Cashflow'!F34</f>
        <v>0</v>
      </c>
      <c r="J118" s="147">
        <f>'Outputs - Cashflow'!G34</f>
        <v>0</v>
      </c>
      <c r="K118" s="147">
        <f>'Outputs - Cashflow'!H34</f>
        <v>0</v>
      </c>
      <c r="L118" s="147">
        <f>'Outputs - Cashflow'!I34</f>
        <v>0</v>
      </c>
      <c r="N118" s="147">
        <f>'Outputs - Summary'!E122</f>
        <v>0</v>
      </c>
      <c r="O118" s="147">
        <f>'Outputs - Summary'!F122</f>
        <v>0</v>
      </c>
      <c r="P118" s="147">
        <f>'Outputs - Summary'!G122</f>
        <v>0</v>
      </c>
      <c r="Q118" s="147">
        <f>'Outputs - Summary'!H122</f>
        <v>0</v>
      </c>
      <c r="R118" s="147">
        <f>'Outputs - Summary'!I122</f>
        <v>0</v>
      </c>
      <c r="S118" s="147">
        <f>'Outputs - Summary'!J122</f>
        <v>0</v>
      </c>
      <c r="T118" s="147">
        <f>'Outputs - Summary'!K122</f>
        <v>0</v>
      </c>
      <c r="U118" s="147">
        <f>'Outputs - Summary'!L122</f>
        <v>0</v>
      </c>
      <c r="W118" s="147">
        <f t="shared" si="194"/>
        <v>0</v>
      </c>
      <c r="X118" s="147">
        <f t="shared" si="194"/>
        <v>0</v>
      </c>
      <c r="Y118" s="147">
        <f t="shared" si="195"/>
        <v>0</v>
      </c>
      <c r="Z118" s="147">
        <f t="shared" si="196"/>
        <v>0</v>
      </c>
      <c r="AA118" s="147">
        <f t="shared" si="197"/>
        <v>0</v>
      </c>
      <c r="AB118" s="147">
        <f t="shared" si="198"/>
        <v>0</v>
      </c>
      <c r="AC118" s="147">
        <f t="shared" si="199"/>
        <v>0</v>
      </c>
      <c r="AD118" s="147">
        <f t="shared" si="200"/>
        <v>0</v>
      </c>
    </row>
    <row r="119" spans="1:30" s="147" customFormat="1" ht="13.2" hidden="1" outlineLevel="1" x14ac:dyDescent="0.25">
      <c r="A119" s="211"/>
      <c r="I119" s="212"/>
      <c r="N119" s="147">
        <f>'Outputs - Summary'!E123</f>
        <v>0</v>
      </c>
      <c r="O119" s="147">
        <f>'Outputs - Summary'!F123</f>
        <v>0</v>
      </c>
      <c r="P119" s="147">
        <f>'Outputs - Summary'!G123</f>
        <v>0</v>
      </c>
      <c r="Q119" s="147">
        <f>'Outputs - Summary'!H123</f>
        <v>0</v>
      </c>
      <c r="R119" s="212">
        <f>'Outputs - Summary'!I123</f>
        <v>0</v>
      </c>
      <c r="S119" s="147">
        <f>'Outputs - Summary'!J123</f>
        <v>0</v>
      </c>
      <c r="T119" s="147">
        <f>'Outputs - Summary'!K123</f>
        <v>0</v>
      </c>
      <c r="U119" s="147">
        <f>'Outputs - Summary'!L123</f>
        <v>0</v>
      </c>
      <c r="W119" s="147">
        <f t="shared" si="194"/>
        <v>0</v>
      </c>
      <c r="X119" s="147">
        <f t="shared" si="194"/>
        <v>0</v>
      </c>
      <c r="Y119" s="147">
        <f t="shared" si="195"/>
        <v>0</v>
      </c>
      <c r="Z119" s="147">
        <f t="shared" si="196"/>
        <v>0</v>
      </c>
      <c r="AA119" s="212">
        <f t="shared" si="197"/>
        <v>0</v>
      </c>
      <c r="AB119" s="147">
        <f t="shared" si="198"/>
        <v>0</v>
      </c>
      <c r="AC119" s="147">
        <f t="shared" si="199"/>
        <v>0</v>
      </c>
      <c r="AD119" s="147">
        <f t="shared" si="200"/>
        <v>0</v>
      </c>
    </row>
    <row r="120" spans="1:30" s="147" customFormat="1" collapsed="1" thickBot="1" x14ac:dyDescent="0.3">
      <c r="A120" s="211"/>
      <c r="B120" s="211" t="s">
        <v>280</v>
      </c>
      <c r="D120" s="231" t="str">
        <f t="shared" ref="D120" si="206">unit</f>
        <v>£</v>
      </c>
      <c r="E120" s="234">
        <f t="shared" ref="E120:G120" si="207">SUM(E104:E119)</f>
        <v>0</v>
      </c>
      <c r="F120" s="234">
        <f t="shared" si="207"/>
        <v>0</v>
      </c>
      <c r="G120" s="234">
        <f t="shared" si="207"/>
        <v>0</v>
      </c>
      <c r="H120" s="234">
        <f ca="1">SUM(H104:H119)</f>
        <v>0</v>
      </c>
      <c r="I120" s="234">
        <f t="shared" ref="I120:L120" ca="1" si="208">SUM(I104:I119)</f>
        <v>0</v>
      </c>
      <c r="J120" s="234">
        <f t="shared" ca="1" si="208"/>
        <v>0</v>
      </c>
      <c r="K120" s="234">
        <f t="shared" ca="1" si="208"/>
        <v>0</v>
      </c>
      <c r="L120" s="234">
        <f t="shared" ca="1" si="208"/>
        <v>0</v>
      </c>
      <c r="N120" s="234">
        <f>'Outputs - Summary'!E124</f>
        <v>0</v>
      </c>
      <c r="O120" s="234">
        <f>'Outputs - Summary'!F124</f>
        <v>0</v>
      </c>
      <c r="P120" s="234">
        <f>'Outputs - Summary'!G124</f>
        <v>0</v>
      </c>
      <c r="Q120" s="234">
        <f ca="1">'Outputs - Summary'!H124</f>
        <v>0</v>
      </c>
      <c r="R120" s="234">
        <f ca="1">'Outputs - Summary'!I124</f>
        <v>0</v>
      </c>
      <c r="S120" s="234">
        <f ca="1">'Outputs - Summary'!J124</f>
        <v>0</v>
      </c>
      <c r="T120" s="234">
        <f ca="1">'Outputs - Summary'!K124</f>
        <v>0</v>
      </c>
      <c r="U120" s="234">
        <f ca="1">'Outputs - Summary'!L124</f>
        <v>0</v>
      </c>
      <c r="W120" s="234">
        <f t="shared" si="194"/>
        <v>0</v>
      </c>
      <c r="X120" s="234">
        <f t="shared" si="194"/>
        <v>0</v>
      </c>
      <c r="Y120" s="234">
        <f t="shared" si="195"/>
        <v>0</v>
      </c>
      <c r="Z120" s="234">
        <f t="shared" ca="1" si="196"/>
        <v>0</v>
      </c>
      <c r="AA120" s="234">
        <f t="shared" ca="1" si="197"/>
        <v>0</v>
      </c>
      <c r="AB120" s="234">
        <f t="shared" ca="1" si="198"/>
        <v>0</v>
      </c>
      <c r="AC120" s="234">
        <f t="shared" ca="1" si="199"/>
        <v>0</v>
      </c>
      <c r="AD120" s="234">
        <f t="shared" ca="1" si="200"/>
        <v>0</v>
      </c>
    </row>
    <row r="121" spans="1:30" s="147" customFormat="1" hidden="1" outlineLevel="1" thickTop="1" x14ac:dyDescent="0.25">
      <c r="A121" s="211"/>
      <c r="I121" s="212"/>
      <c r="N121" s="147">
        <f>'Outputs - Summary'!E125</f>
        <v>0</v>
      </c>
      <c r="O121" s="147">
        <f>'Outputs - Summary'!F125</f>
        <v>0</v>
      </c>
      <c r="P121" s="147">
        <f>'Outputs - Summary'!G125</f>
        <v>0</v>
      </c>
      <c r="Q121" s="147">
        <f>'Outputs - Summary'!H125</f>
        <v>0</v>
      </c>
      <c r="R121" s="212">
        <f>'Outputs - Summary'!I125</f>
        <v>0</v>
      </c>
      <c r="S121" s="147">
        <f>'Outputs - Summary'!J125</f>
        <v>0</v>
      </c>
      <c r="T121" s="147">
        <f>'Outputs - Summary'!K125</f>
        <v>0</v>
      </c>
      <c r="U121" s="147">
        <f>'Outputs - Summary'!L125</f>
        <v>0</v>
      </c>
      <c r="AA121" s="212"/>
    </row>
    <row r="122" spans="1:30" s="147" customFormat="1" collapsed="1" thickTop="1" x14ac:dyDescent="0.25">
      <c r="A122" s="211"/>
      <c r="B122" s="147" t="s">
        <v>281</v>
      </c>
      <c r="D122" s="231" t="str">
        <f t="shared" ref="D122:D123" si="209">unit</f>
        <v>£</v>
      </c>
      <c r="E122" s="211">
        <f t="shared" ref="E122:G122" si="210">SUM(E106:E121)</f>
        <v>0</v>
      </c>
      <c r="F122" s="211">
        <f t="shared" si="210"/>
        <v>0</v>
      </c>
      <c r="G122" s="211">
        <f t="shared" si="210"/>
        <v>0</v>
      </c>
      <c r="H122" s="147">
        <f>'Outputs - Cashflow'!E38</f>
        <v>0</v>
      </c>
      <c r="I122" s="147">
        <f ca="1">'Outputs - Cashflow'!F38</f>
        <v>0</v>
      </c>
      <c r="J122" s="147">
        <f ca="1">'Outputs - Cashflow'!G38</f>
        <v>0</v>
      </c>
      <c r="K122" s="147">
        <f ca="1">'Outputs - Cashflow'!H38</f>
        <v>0</v>
      </c>
      <c r="L122" s="147">
        <f ca="1">'Outputs - Cashflow'!I38</f>
        <v>0</v>
      </c>
      <c r="N122" s="211">
        <f>'Outputs - Summary'!E126</f>
        <v>0</v>
      </c>
      <c r="O122" s="211">
        <f>'Outputs - Summary'!F126</f>
        <v>0</v>
      </c>
      <c r="P122" s="211">
        <f>'Outputs - Summary'!G126</f>
        <v>0</v>
      </c>
      <c r="Q122" s="147">
        <f>'Outputs - Summary'!H126</f>
        <v>0</v>
      </c>
      <c r="R122" s="147">
        <f ca="1">'Outputs - Summary'!I126</f>
        <v>0</v>
      </c>
      <c r="S122" s="147">
        <f ca="1">'Outputs - Summary'!J126</f>
        <v>0</v>
      </c>
      <c r="T122" s="147">
        <f ca="1">'Outputs - Summary'!K126</f>
        <v>0</v>
      </c>
      <c r="U122" s="147">
        <f ca="1">'Outputs - Summary'!L126</f>
        <v>0</v>
      </c>
      <c r="W122" s="211"/>
      <c r="X122" s="211"/>
      <c r="Y122" s="211"/>
    </row>
    <row r="123" spans="1:30" s="147" customFormat="1" thickBot="1" x14ac:dyDescent="0.3">
      <c r="A123" s="211"/>
      <c r="B123" s="211" t="s">
        <v>282</v>
      </c>
      <c r="C123" s="211"/>
      <c r="D123" s="231" t="str">
        <f t="shared" si="209"/>
        <v>£</v>
      </c>
      <c r="E123" s="234">
        <f t="shared" ref="E123:G123" si="211">SUM(E120:E122)</f>
        <v>0</v>
      </c>
      <c r="F123" s="234">
        <f t="shared" si="211"/>
        <v>0</v>
      </c>
      <c r="G123" s="234">
        <f t="shared" si="211"/>
        <v>0</v>
      </c>
      <c r="H123" s="234">
        <f ca="1">SUM(H120:H122)</f>
        <v>0</v>
      </c>
      <c r="I123" s="234">
        <f t="shared" ref="I123:L123" ca="1" si="212">SUM(I120:I122)</f>
        <v>0</v>
      </c>
      <c r="J123" s="234">
        <f t="shared" ca="1" si="212"/>
        <v>0</v>
      </c>
      <c r="K123" s="234">
        <f t="shared" ca="1" si="212"/>
        <v>0</v>
      </c>
      <c r="L123" s="234">
        <f t="shared" ca="1" si="212"/>
        <v>0</v>
      </c>
      <c r="N123" s="234">
        <f>'Outputs - Summary'!E127</f>
        <v>0</v>
      </c>
      <c r="O123" s="234">
        <f>'Outputs - Summary'!F127</f>
        <v>0</v>
      </c>
      <c r="P123" s="234">
        <f>'Outputs - Summary'!G127</f>
        <v>0</v>
      </c>
      <c r="Q123" s="234">
        <f ca="1">'Outputs - Summary'!H127</f>
        <v>0</v>
      </c>
      <c r="R123" s="234">
        <f ca="1">'Outputs - Summary'!I127</f>
        <v>0</v>
      </c>
      <c r="S123" s="234">
        <f ca="1">'Outputs - Summary'!J127</f>
        <v>0</v>
      </c>
      <c r="T123" s="234">
        <f ca="1">'Outputs - Summary'!K127</f>
        <v>0</v>
      </c>
      <c r="U123" s="234">
        <f ca="1">'Outputs - Summary'!L127</f>
        <v>0</v>
      </c>
      <c r="W123" s="234"/>
      <c r="X123" s="234"/>
      <c r="Y123" s="234"/>
      <c r="Z123" s="234"/>
      <c r="AA123" s="234"/>
      <c r="AB123" s="234"/>
      <c r="AC123" s="234"/>
      <c r="AD123" s="234"/>
    </row>
    <row r="124" spans="1:30" s="147" customFormat="1" ht="14.4" thickTop="1" thickBot="1" x14ac:dyDescent="0.3">
      <c r="A124" s="211"/>
      <c r="B124" s="147" t="s">
        <v>387</v>
      </c>
      <c r="C124" s="211"/>
      <c r="D124" s="231"/>
      <c r="E124" s="234">
        <f>'Outputs - Summary'!E128</f>
        <v>0</v>
      </c>
      <c r="F124" s="234">
        <f>'Outputs - Summary'!F128</f>
        <v>0</v>
      </c>
      <c r="G124" s="234">
        <f>'Outputs - Summary'!G128</f>
        <v>0</v>
      </c>
      <c r="H124" s="234">
        <f ca="1">'Outputs - Summary'!H128</f>
        <v>0</v>
      </c>
      <c r="I124" s="234">
        <f ca="1">'Outputs - Summary'!I128</f>
        <v>0</v>
      </c>
      <c r="J124" s="234">
        <f ca="1">'Outputs - Summary'!J128</f>
        <v>0</v>
      </c>
      <c r="K124" s="234">
        <f ca="1">'Outputs - Summary'!K128</f>
        <v>0</v>
      </c>
      <c r="L124" s="234">
        <f ca="1">'Outputs - Summary'!L128</f>
        <v>0</v>
      </c>
      <c r="N124" s="234"/>
      <c r="O124" s="234"/>
      <c r="P124" s="234"/>
      <c r="Q124" s="234"/>
      <c r="R124" s="234"/>
      <c r="S124" s="234"/>
      <c r="T124" s="234"/>
      <c r="U124" s="234"/>
      <c r="W124" s="234"/>
      <c r="X124" s="234"/>
      <c r="Y124" s="234"/>
      <c r="Z124" s="234"/>
      <c r="AA124" s="234"/>
      <c r="AB124" s="234"/>
      <c r="AC124" s="234"/>
      <c r="AD124" s="234"/>
    </row>
    <row r="125" spans="1:30" s="147" customFormat="1" ht="14.4" thickTop="1" thickBot="1" x14ac:dyDescent="0.3">
      <c r="A125" s="211"/>
      <c r="B125" s="211" t="s">
        <v>388</v>
      </c>
      <c r="C125" s="211"/>
      <c r="D125" s="231"/>
      <c r="E125" s="234">
        <f>'Outputs - Summary'!E129</f>
        <v>0</v>
      </c>
      <c r="F125" s="234">
        <f>'Outputs - Summary'!F129</f>
        <v>0</v>
      </c>
      <c r="G125" s="234">
        <f>'Outputs - Summary'!G129</f>
        <v>0</v>
      </c>
      <c r="H125" s="234">
        <f ca="1">'Outputs - Summary'!H129</f>
        <v>0</v>
      </c>
      <c r="I125" s="234">
        <f ca="1">'Outputs - Summary'!I129</f>
        <v>0</v>
      </c>
      <c r="J125" s="234">
        <f ca="1">'Outputs - Summary'!J129</f>
        <v>0</v>
      </c>
      <c r="K125" s="234">
        <f ca="1">'Outputs - Summary'!K129</f>
        <v>0</v>
      </c>
      <c r="L125" s="234">
        <f ca="1">'Outputs - Summary'!L129</f>
        <v>0</v>
      </c>
      <c r="N125" s="234"/>
      <c r="O125" s="234"/>
      <c r="P125" s="234"/>
      <c r="Q125" s="234"/>
      <c r="R125" s="234"/>
      <c r="S125" s="234"/>
      <c r="T125" s="234"/>
      <c r="U125" s="234"/>
      <c r="W125" s="234"/>
      <c r="X125" s="234"/>
      <c r="Y125" s="234"/>
      <c r="Z125" s="234"/>
      <c r="AA125" s="234"/>
      <c r="AB125" s="234"/>
      <c r="AC125" s="234"/>
      <c r="AD125" s="234"/>
    </row>
    <row r="126" spans="1:30" s="147" customFormat="1" thickTop="1" x14ac:dyDescent="0.25">
      <c r="A126" s="211"/>
      <c r="I126" s="212"/>
      <c r="R126" s="212"/>
      <c r="AA126" s="212"/>
    </row>
    <row r="127" spans="1:30" s="147" customFormat="1" ht="13.2" x14ac:dyDescent="0.25">
      <c r="A127" s="211"/>
      <c r="B127" s="211" t="s">
        <v>185</v>
      </c>
      <c r="I127" s="212"/>
      <c r="R127" s="212"/>
      <c r="AA127" s="212"/>
    </row>
    <row r="128" spans="1:30" s="147" customFormat="1" ht="13.2" x14ac:dyDescent="0.25">
      <c r="A128" s="211"/>
      <c r="B128" s="116" t="s">
        <v>190</v>
      </c>
      <c r="C128" s="276"/>
      <c r="D128" s="280" t="s">
        <v>345</v>
      </c>
      <c r="E128" s="267" t="str">
        <f>IFERROR(E120/E97,"-")</f>
        <v>-</v>
      </c>
      <c r="F128" s="267" t="str">
        <f>IFERROR(F120/F97,"-")</f>
        <v>-</v>
      </c>
      <c r="G128" s="267" t="str">
        <f t="shared" ref="G128:L128" si="213">IFERROR(G120/G97,"-")</f>
        <v>-</v>
      </c>
      <c r="H128" s="267" t="str">
        <f t="shared" ca="1" si="213"/>
        <v>-</v>
      </c>
      <c r="I128" s="267" t="str">
        <f t="shared" ca="1" si="213"/>
        <v>-</v>
      </c>
      <c r="J128" s="267" t="str">
        <f t="shared" ca="1" si="213"/>
        <v>-</v>
      </c>
      <c r="K128" s="267" t="str">
        <f t="shared" ca="1" si="213"/>
        <v>-</v>
      </c>
      <c r="L128" s="267" t="str">
        <f t="shared" ca="1" si="213"/>
        <v>-</v>
      </c>
      <c r="N128" s="267" t="str">
        <f>'Outputs - Summary'!E132</f>
        <v>-</v>
      </c>
      <c r="O128" s="267" t="str">
        <f>'Outputs - Summary'!F132</f>
        <v>-</v>
      </c>
      <c r="P128" s="267" t="str">
        <f>'Outputs - Summary'!G132</f>
        <v>-</v>
      </c>
      <c r="Q128" s="267" t="str">
        <f ca="1">'Outputs - Summary'!H132</f>
        <v>-</v>
      </c>
      <c r="R128" s="267" t="str">
        <f ca="1">'Outputs - Summary'!I132</f>
        <v>-</v>
      </c>
      <c r="S128" s="267" t="str">
        <f ca="1">'Outputs - Summary'!J132</f>
        <v>-</v>
      </c>
      <c r="T128" s="267" t="str">
        <f ca="1">'Outputs - Summary'!K132</f>
        <v>-</v>
      </c>
      <c r="U128" s="267" t="str">
        <f ca="1">'Outputs - Summary'!L132</f>
        <v>-</v>
      </c>
      <c r="W128" s="267" t="e">
        <f t="shared" ref="W128:X128" si="214">N128-E128</f>
        <v>#VALUE!</v>
      </c>
      <c r="X128" s="267" t="e">
        <f t="shared" si="214"/>
        <v>#VALUE!</v>
      </c>
      <c r="Y128" s="267" t="e">
        <f t="shared" ref="Y128" si="215">P128-G128</f>
        <v>#VALUE!</v>
      </c>
      <c r="Z128" s="267" t="e">
        <f t="shared" ref="Z128" ca="1" si="216">Q128-H128</f>
        <v>#VALUE!</v>
      </c>
      <c r="AA128" s="267" t="e">
        <f t="shared" ref="AA128" ca="1" si="217">R128-I128</f>
        <v>#VALUE!</v>
      </c>
      <c r="AB128" s="267" t="e">
        <f t="shared" ref="AB128" ca="1" si="218">S128-J128</f>
        <v>#VALUE!</v>
      </c>
      <c r="AC128" s="267" t="e">
        <f t="shared" ref="AC128" ca="1" si="219">T128-K128</f>
        <v>#VALUE!</v>
      </c>
      <c r="AD128" s="267" t="e">
        <f t="shared" ref="AD128" ca="1" si="220">U128-L128</f>
        <v>#VALUE!</v>
      </c>
    </row>
    <row r="129" spans="1:27" s="147" customFormat="1" ht="13.2" x14ac:dyDescent="0.25">
      <c r="A129" s="211"/>
      <c r="I129" s="212"/>
      <c r="R129" s="212"/>
      <c r="AA129" s="212"/>
    </row>
    <row r="130" spans="1:27" s="166" customFormat="1" ht="15.6" x14ac:dyDescent="0.3">
      <c r="A130" s="166" t="s">
        <v>217</v>
      </c>
    </row>
  </sheetData>
  <pageMargins left="0.70866141732283472" right="0.70866141732283472" top="0.74803149606299213" bottom="0.74803149606299213" header="0.31496062992125984" footer="0.31496062992125984"/>
  <pageSetup paperSize="9" scale="55" orientation="landscape"/>
  <headerFooter>
    <oddFooter>&amp;LPage &amp;P&amp;C&amp;F&amp;RDate &amp;D Time &amp;T</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L39"/>
  <sheetViews>
    <sheetView zoomScale="70" zoomScaleNormal="70" workbookViewId="0">
      <selection activeCell="N13" sqref="N13"/>
    </sheetView>
  </sheetViews>
  <sheetFormatPr defaultRowHeight="14.4" x14ac:dyDescent="0.3"/>
  <cols>
    <col min="1" max="1" width="3.44140625" style="138" customWidth="1"/>
    <col min="2" max="2" width="31" style="138" customWidth="1"/>
    <col min="3" max="3" width="2.6640625" style="138" customWidth="1"/>
    <col min="4" max="4" width="13.109375" style="138" bestFit="1" customWidth="1"/>
    <col min="5" max="12" width="13" style="138" customWidth="1"/>
  </cols>
  <sheetData>
    <row r="1" spans="1:12" x14ac:dyDescent="0.3">
      <c r="A1" s="322"/>
      <c r="B1" s="322"/>
      <c r="C1" s="322"/>
      <c r="D1" s="322"/>
      <c r="E1" s="322"/>
      <c r="F1" s="322"/>
      <c r="G1" s="322"/>
      <c r="H1" s="322"/>
      <c r="I1" s="322"/>
      <c r="J1" s="322"/>
      <c r="K1" s="322"/>
      <c r="L1" s="322"/>
    </row>
    <row r="2" spans="1:12" x14ac:dyDescent="0.3">
      <c r="A2" s="322"/>
      <c r="B2" s="322"/>
      <c r="C2" s="322"/>
      <c r="D2" s="322"/>
      <c r="E2" s="322"/>
      <c r="F2"/>
      <c r="G2" s="322"/>
      <c r="H2" s="322"/>
      <c r="I2" s="322"/>
      <c r="J2" s="322"/>
      <c r="K2" s="322"/>
      <c r="L2" s="322"/>
    </row>
    <row r="3" spans="1:12" x14ac:dyDescent="0.3">
      <c r="A3" s="326" t="str">
        <f>IF(KeyInputs!$F$14=0,"Company Name",KeyInputs!$F$14)</f>
        <v>Company Name</v>
      </c>
      <c r="B3" s="322"/>
      <c r="C3" s="322"/>
      <c r="D3" s="322"/>
      <c r="E3" s="322"/>
      <c r="F3" s="322"/>
      <c r="G3" s="322"/>
      <c r="H3" s="322"/>
      <c r="I3" s="322"/>
      <c r="J3" s="322"/>
      <c r="K3" s="322"/>
      <c r="L3" s="322"/>
    </row>
    <row r="4" spans="1:12" x14ac:dyDescent="0.3">
      <c r="A4" s="322" t="s">
        <v>96</v>
      </c>
      <c r="B4" s="322"/>
      <c r="C4" s="322"/>
      <c r="D4" s="322"/>
      <c r="E4" s="322"/>
      <c r="F4" s="322"/>
      <c r="G4" s="322"/>
      <c r="H4" s="322"/>
      <c r="I4" s="322"/>
      <c r="J4" s="322"/>
      <c r="K4" s="322"/>
      <c r="L4" s="322"/>
    </row>
    <row r="5" spans="1:12" x14ac:dyDescent="0.3">
      <c r="A5" s="322"/>
      <c r="B5" s="322"/>
      <c r="C5" s="322"/>
      <c r="D5" s="327" t="str">
        <f>'Outputs - Summary'!D5</f>
        <v>Year</v>
      </c>
      <c r="E5" s="327">
        <f>'Outputs - Summary'!E5</f>
        <v>2012</v>
      </c>
      <c r="F5" s="327">
        <f>'Outputs - Summary'!F5</f>
        <v>2013</v>
      </c>
      <c r="G5" s="327">
        <f>'Outputs - Summary'!G5</f>
        <v>2014</v>
      </c>
      <c r="H5" s="327">
        <f>'Outputs - Summary'!H5</f>
        <v>2015</v>
      </c>
      <c r="I5" s="327">
        <f>'Outputs - Summary'!I5</f>
        <v>2016</v>
      </c>
      <c r="J5" s="327">
        <f>'Outputs - Summary'!J5</f>
        <v>2017</v>
      </c>
      <c r="K5" s="327">
        <f>'Outputs - Summary'!K5</f>
        <v>2018</v>
      </c>
      <c r="L5" s="327">
        <f>'Outputs - Summary'!L5</f>
        <v>2019</v>
      </c>
    </row>
    <row r="6" spans="1:12" x14ac:dyDescent="0.3">
      <c r="A6" s="328"/>
      <c r="B6" s="328"/>
      <c r="C6" s="328"/>
      <c r="D6" s="327" t="str">
        <f>'Outputs - Summary'!D6</f>
        <v>Period number</v>
      </c>
      <c r="E6" s="327">
        <f>'Outputs - Summary'!E6</f>
        <v>-2</v>
      </c>
      <c r="F6" s="327">
        <f>'Outputs - Summary'!F6</f>
        <v>-1</v>
      </c>
      <c r="G6" s="327">
        <f>'Outputs - Summary'!G6</f>
        <v>0</v>
      </c>
      <c r="H6" s="327">
        <f>'Outputs - Summary'!H6</f>
        <v>1</v>
      </c>
      <c r="I6" s="327">
        <f>'Outputs - Summary'!I6</f>
        <v>2</v>
      </c>
      <c r="J6" s="327">
        <f>'Outputs - Summary'!J6</f>
        <v>3</v>
      </c>
      <c r="K6" s="327">
        <f>'Outputs - Summary'!K6</f>
        <v>4</v>
      </c>
      <c r="L6" s="327">
        <f>'Outputs - Summary'!L6</f>
        <v>5</v>
      </c>
    </row>
    <row r="7" spans="1:12" x14ac:dyDescent="0.3">
      <c r="A7" s="328"/>
      <c r="B7" s="328"/>
      <c r="C7" s="328"/>
      <c r="D7" s="327" t="str">
        <f>'Outputs - Summary'!D7</f>
        <v>Period starts</v>
      </c>
      <c r="E7" s="329">
        <f>'Outputs - Summary'!E7</f>
        <v>40909</v>
      </c>
      <c r="F7" s="329">
        <f>'Outputs - Summary'!F7</f>
        <v>41275</v>
      </c>
      <c r="G7" s="329">
        <f>'Outputs - Summary'!G7</f>
        <v>41640</v>
      </c>
      <c r="H7" s="329">
        <f>'Outputs - Summary'!H7</f>
        <v>42005</v>
      </c>
      <c r="I7" s="329">
        <f>'Outputs - Summary'!I7</f>
        <v>42370</v>
      </c>
      <c r="J7" s="329">
        <f>'Outputs - Summary'!J7</f>
        <v>42736</v>
      </c>
      <c r="K7" s="329">
        <f>'Outputs - Summary'!K7</f>
        <v>43101</v>
      </c>
      <c r="L7" s="329">
        <f>'Outputs - Summary'!L7</f>
        <v>43466</v>
      </c>
    </row>
    <row r="8" spans="1:12" x14ac:dyDescent="0.3">
      <c r="A8" s="292"/>
      <c r="B8" s="291" t="str">
        <f ca="1">IF(Check!$C$12=0,"All checks are OK","There are "&amp;Check!$C$12&amp;" error/errors")</f>
        <v>All checks are OK</v>
      </c>
      <c r="C8" s="292"/>
      <c r="D8" s="327" t="str">
        <f>'Outputs - Summary'!D8</f>
        <v>Period ends</v>
      </c>
      <c r="E8" s="329">
        <f>'Outputs - Summary'!E8</f>
        <v>41274</v>
      </c>
      <c r="F8" s="329">
        <f>'Outputs - Summary'!F8</f>
        <v>41639</v>
      </c>
      <c r="G8" s="329">
        <f>'Outputs - Summary'!G8</f>
        <v>42004</v>
      </c>
      <c r="H8" s="329">
        <f>'Outputs - Summary'!H8</f>
        <v>42369</v>
      </c>
      <c r="I8" s="329">
        <f>'Outputs - Summary'!I8</f>
        <v>42735</v>
      </c>
      <c r="J8" s="329">
        <f>'Outputs - Summary'!J8</f>
        <v>43100</v>
      </c>
      <c r="K8" s="329">
        <f>'Outputs - Summary'!K8</f>
        <v>43465</v>
      </c>
      <c r="L8" s="329">
        <f>'Outputs - Summary'!L8</f>
        <v>43830</v>
      </c>
    </row>
    <row r="9" spans="1:12" x14ac:dyDescent="0.3">
      <c r="A9" s="128"/>
      <c r="B9" s="128"/>
      <c r="C9" s="128"/>
      <c r="D9" s="125"/>
      <c r="E9" s="125"/>
      <c r="F9" s="164"/>
      <c r="G9" s="164"/>
      <c r="H9" s="164"/>
      <c r="I9" s="164"/>
      <c r="J9" s="164"/>
      <c r="K9" s="164"/>
      <c r="L9" s="164"/>
    </row>
    <row r="10" spans="1:12" ht="15.6" x14ac:dyDescent="0.3">
      <c r="A10" s="166"/>
      <c r="B10" s="166" t="s">
        <v>474</v>
      </c>
      <c r="C10" s="166"/>
      <c r="D10" s="166"/>
      <c r="E10" s="166"/>
      <c r="F10" s="166"/>
      <c r="G10" s="166"/>
      <c r="H10" s="166"/>
      <c r="I10" s="166"/>
      <c r="J10" s="166"/>
      <c r="K10" s="166"/>
      <c r="L10" s="166"/>
    </row>
    <row r="11" spans="1:12" x14ac:dyDescent="0.3">
      <c r="A11" s="211"/>
      <c r="B11" s="147"/>
      <c r="C11" s="147"/>
      <c r="D11" s="147"/>
      <c r="E11" s="147"/>
      <c r="F11" s="147"/>
      <c r="G11" s="147"/>
      <c r="H11" s="147"/>
      <c r="I11" s="212"/>
      <c r="J11" s="147"/>
      <c r="K11" s="147"/>
      <c r="L11" s="147"/>
    </row>
    <row r="12" spans="1:12" x14ac:dyDescent="0.3">
      <c r="A12" s="211"/>
      <c r="B12" s="147" t="s">
        <v>475</v>
      </c>
      <c r="C12" s="147"/>
      <c r="D12" s="147"/>
      <c r="E12" s="330" t="e">
        <f>'Outputs - Summary'!E27/'Outputs - Summary'!E12</f>
        <v>#DIV/0!</v>
      </c>
      <c r="F12" s="330" t="e">
        <f>'Outputs - Summary'!F27/'Outputs - Summary'!F12</f>
        <v>#DIV/0!</v>
      </c>
      <c r="G12" s="330" t="e">
        <f>'Outputs - Summary'!G27/'Outputs - Summary'!G12</f>
        <v>#DIV/0!</v>
      </c>
      <c r="H12" s="330" t="e">
        <f>'Outputs - Summary'!H27/'Outputs - Summary'!H12</f>
        <v>#DIV/0!</v>
      </c>
      <c r="I12" s="330" t="e">
        <f>'Outputs - Summary'!I27/'Outputs - Summary'!I12</f>
        <v>#DIV/0!</v>
      </c>
      <c r="J12" s="330" t="e">
        <f>'Outputs - Summary'!J27/'Outputs - Summary'!J12</f>
        <v>#DIV/0!</v>
      </c>
      <c r="K12" s="330" t="e">
        <f>'Outputs - Summary'!K27/'Outputs - Summary'!K12</f>
        <v>#DIV/0!</v>
      </c>
      <c r="L12" s="330" t="e">
        <f>'Outputs - Summary'!L27/'Outputs - Summary'!L12</f>
        <v>#DIV/0!</v>
      </c>
    </row>
    <row r="13" spans="1:12" x14ac:dyDescent="0.3">
      <c r="A13" s="211"/>
      <c r="B13" s="147" t="s">
        <v>476</v>
      </c>
      <c r="C13" s="147"/>
      <c r="D13" s="147"/>
      <c r="E13" s="330" t="e">
        <f>'Outputs - Summary'!E32/'Outputs - Summary'!E12</f>
        <v>#DIV/0!</v>
      </c>
      <c r="F13" s="330" t="e">
        <f>'Outputs - Summary'!F32/'Outputs - Summary'!F12</f>
        <v>#DIV/0!</v>
      </c>
      <c r="G13" s="330" t="e">
        <f>'Outputs - Summary'!G32/'Outputs - Summary'!G12</f>
        <v>#DIV/0!</v>
      </c>
      <c r="H13" s="330" t="e">
        <f>'Outputs - Summary'!H32/'Outputs - Summary'!H12</f>
        <v>#DIV/0!</v>
      </c>
      <c r="I13" s="330" t="e">
        <f>'Outputs - Summary'!I32/'Outputs - Summary'!I12</f>
        <v>#DIV/0!</v>
      </c>
      <c r="J13" s="330" t="e">
        <f>'Outputs - Summary'!J32/'Outputs - Summary'!J12</f>
        <v>#DIV/0!</v>
      </c>
      <c r="K13" s="330" t="e">
        <f>'Outputs - Summary'!K32/'Outputs - Summary'!K12</f>
        <v>#DIV/0!</v>
      </c>
      <c r="L13" s="330" t="e">
        <f>'Outputs - Summary'!L32/'Outputs - Summary'!L12</f>
        <v>#DIV/0!</v>
      </c>
    </row>
    <row r="14" spans="1:12" x14ac:dyDescent="0.3">
      <c r="A14" s="211"/>
      <c r="B14" s="147"/>
      <c r="C14" s="147"/>
      <c r="D14" s="147"/>
      <c r="E14" s="330"/>
      <c r="F14" s="330"/>
      <c r="G14" s="330"/>
      <c r="H14" s="330"/>
      <c r="I14" s="330"/>
      <c r="J14" s="330"/>
      <c r="K14" s="330"/>
      <c r="L14" s="330"/>
    </row>
    <row r="15" spans="1:12" x14ac:dyDescent="0.3">
      <c r="A15" s="211"/>
      <c r="B15" s="147" t="s">
        <v>477</v>
      </c>
      <c r="C15" s="147"/>
      <c r="D15" s="147"/>
      <c r="E15" s="330" t="e">
        <f>'Outputs - Summary'!E22/'Outputs - Summary'!E12</f>
        <v>#DIV/0!</v>
      </c>
      <c r="F15" s="330" t="e">
        <f>'Outputs - Summary'!F22/'Outputs - Summary'!F12</f>
        <v>#DIV/0!</v>
      </c>
      <c r="G15" s="330" t="e">
        <f>'Outputs - Summary'!G22/'Outputs - Summary'!G12</f>
        <v>#DIV/0!</v>
      </c>
      <c r="H15" s="330" t="e">
        <f>'Outputs - Summary'!H22/'Outputs - Summary'!H12</f>
        <v>#DIV/0!</v>
      </c>
      <c r="I15" s="330" t="e">
        <f>'Outputs - Summary'!I22/'Outputs - Summary'!I12</f>
        <v>#DIV/0!</v>
      </c>
      <c r="J15" s="330" t="e">
        <f>'Outputs - Summary'!J22/'Outputs - Summary'!J12</f>
        <v>#DIV/0!</v>
      </c>
      <c r="K15" s="330" t="e">
        <f>'Outputs - Summary'!K22/'Outputs - Summary'!K12</f>
        <v>#DIV/0!</v>
      </c>
      <c r="L15" s="330" t="e">
        <f>'Outputs - Summary'!L22/'Outputs - Summary'!L12</f>
        <v>#DIV/0!</v>
      </c>
    </row>
    <row r="16" spans="1:12" x14ac:dyDescent="0.3">
      <c r="A16" s="211"/>
      <c r="B16" s="147" t="s">
        <v>478</v>
      </c>
      <c r="C16" s="147"/>
      <c r="D16" s="147"/>
      <c r="E16" s="330" t="e">
        <f>'Outputs - Summary'!E17/'Outputs - Summary'!E12</f>
        <v>#DIV/0!</v>
      </c>
      <c r="F16" s="330" t="e">
        <f>'Outputs - Summary'!F17/'Outputs - Summary'!F12</f>
        <v>#DIV/0!</v>
      </c>
      <c r="G16" s="330" t="e">
        <f>'Outputs - Summary'!G17/'Outputs - Summary'!G12</f>
        <v>#DIV/0!</v>
      </c>
      <c r="H16" s="330" t="e">
        <f>'Outputs - Summary'!H17/'Outputs - Summary'!H12</f>
        <v>#DIV/0!</v>
      </c>
      <c r="I16" s="330" t="e">
        <f>'Outputs - Summary'!I17/'Outputs - Summary'!I12</f>
        <v>#DIV/0!</v>
      </c>
      <c r="J16" s="330" t="e">
        <f>'Outputs - Summary'!J17/'Outputs - Summary'!J12</f>
        <v>#DIV/0!</v>
      </c>
      <c r="K16" s="330" t="e">
        <f>'Outputs - Summary'!K17/'Outputs - Summary'!K12</f>
        <v>#DIV/0!</v>
      </c>
      <c r="L16" s="330" t="e">
        <f>'Outputs - Summary'!L17/'Outputs - Summary'!L12</f>
        <v>#DIV/0!</v>
      </c>
    </row>
    <row r="17" spans="1:12" x14ac:dyDescent="0.3">
      <c r="A17" s="211"/>
      <c r="B17" s="147" t="s">
        <v>479</v>
      </c>
      <c r="C17" s="147"/>
      <c r="D17" s="147"/>
      <c r="E17" s="330" t="e">
        <f>'Outputs - Summary'!E29/'Outputs - Summary'!E12</f>
        <v>#DIV/0!</v>
      </c>
      <c r="F17" s="330" t="e">
        <f>'Outputs - Summary'!F29/'Outputs - Summary'!F12</f>
        <v>#DIV/0!</v>
      </c>
      <c r="G17" s="330" t="e">
        <f>'Outputs - Summary'!G29/'Outputs - Summary'!G12</f>
        <v>#DIV/0!</v>
      </c>
      <c r="H17" s="330" t="e">
        <f>'Outputs - Summary'!H29/'Outputs - Summary'!H12</f>
        <v>#DIV/0!</v>
      </c>
      <c r="I17" s="330" t="e">
        <f>'Outputs - Summary'!I29/'Outputs - Summary'!I12</f>
        <v>#DIV/0!</v>
      </c>
      <c r="J17" s="330" t="e">
        <f>'Outputs - Summary'!J29/'Outputs - Summary'!J12</f>
        <v>#DIV/0!</v>
      </c>
      <c r="K17" s="330" t="e">
        <f>'Outputs - Summary'!K29/'Outputs - Summary'!K12</f>
        <v>#DIV/0!</v>
      </c>
      <c r="L17" s="330" t="e">
        <f>'Outputs - Summary'!L29/'Outputs - Summary'!L12</f>
        <v>#DIV/0!</v>
      </c>
    </row>
    <row r="18" spans="1:12" x14ac:dyDescent="0.3">
      <c r="A18" s="211"/>
      <c r="B18" s="147" t="s">
        <v>480</v>
      </c>
      <c r="C18" s="147"/>
      <c r="D18" s="147"/>
      <c r="E18" s="330" t="e">
        <f>'Outputs - Summary'!E30/'Outputs - Summary'!E12</f>
        <v>#DIV/0!</v>
      </c>
      <c r="F18" s="330" t="e">
        <f>'Outputs - Summary'!F30/'Outputs - Summary'!F12</f>
        <v>#DIV/0!</v>
      </c>
      <c r="G18" s="330" t="e">
        <f>'Outputs - Summary'!G30/'Outputs - Summary'!G12</f>
        <v>#DIV/0!</v>
      </c>
      <c r="H18" s="330" t="e">
        <f>'Outputs - Summary'!H30/'Outputs - Summary'!H12</f>
        <v>#DIV/0!</v>
      </c>
      <c r="I18" s="330" t="e">
        <f>'Outputs - Summary'!I30/'Outputs - Summary'!I12</f>
        <v>#DIV/0!</v>
      </c>
      <c r="J18" s="330" t="e">
        <f>'Outputs - Summary'!J30/'Outputs - Summary'!J12</f>
        <v>#DIV/0!</v>
      </c>
      <c r="K18" s="330" t="e">
        <f>'Outputs - Summary'!K30/'Outputs - Summary'!K12</f>
        <v>#DIV/0!</v>
      </c>
      <c r="L18" s="330" t="e">
        <f>'Outputs - Summary'!L30/'Outputs - Summary'!L12</f>
        <v>#DIV/0!</v>
      </c>
    </row>
    <row r="19" spans="1:12" x14ac:dyDescent="0.3">
      <c r="A19" s="211"/>
      <c r="B19" s="147"/>
      <c r="C19" s="147"/>
      <c r="D19" s="147"/>
      <c r="E19" s="330"/>
      <c r="F19" s="330"/>
      <c r="G19" s="330"/>
      <c r="H19" s="330"/>
      <c r="I19" s="330"/>
      <c r="J19" s="330"/>
      <c r="K19" s="330"/>
      <c r="L19" s="330"/>
    </row>
    <row r="20" spans="1:12" x14ac:dyDescent="0.3">
      <c r="A20" s="211"/>
      <c r="B20" s="211" t="s">
        <v>481</v>
      </c>
      <c r="C20" s="147"/>
      <c r="D20" s="147"/>
      <c r="E20" s="330"/>
      <c r="F20" s="330"/>
      <c r="G20" s="330"/>
      <c r="H20" s="330"/>
      <c r="I20" s="331"/>
      <c r="J20" s="330"/>
      <c r="K20" s="330"/>
      <c r="L20" s="330"/>
    </row>
    <row r="21" spans="1:12" x14ac:dyDescent="0.3">
      <c r="A21" s="211"/>
      <c r="B21" s="306" t="s">
        <v>188</v>
      </c>
      <c r="C21" s="276"/>
      <c r="D21" s="280"/>
      <c r="E21" s="333" t="s">
        <v>187</v>
      </c>
      <c r="F21" s="333" t="e">
        <f>('Outputs - Summary'!F12-'Outputs - Summary'!E12)/'Outputs - Summary'!E12</f>
        <v>#DIV/0!</v>
      </c>
      <c r="G21" s="333" t="e">
        <f>('Outputs - Summary'!G12-'Outputs - Summary'!F12)/'Outputs - Summary'!F12</f>
        <v>#DIV/0!</v>
      </c>
      <c r="H21" s="333" t="e">
        <f>('Outputs - Summary'!H12-'Outputs - Summary'!G12)/'Outputs - Summary'!G12</f>
        <v>#DIV/0!</v>
      </c>
      <c r="I21" s="333" t="e">
        <f>('Outputs - Summary'!I12-'Outputs - Summary'!H12)/'Outputs - Summary'!H12</f>
        <v>#DIV/0!</v>
      </c>
      <c r="J21" s="333" t="e">
        <f>('Outputs - Summary'!J12-'Outputs - Summary'!I12)/'Outputs - Summary'!I12</f>
        <v>#DIV/0!</v>
      </c>
      <c r="K21" s="333" t="e">
        <f>('Outputs - Summary'!K12-'Outputs - Summary'!J12)/'Outputs - Summary'!J12</f>
        <v>#DIV/0!</v>
      </c>
      <c r="L21" s="333" t="e">
        <f>('Outputs - Summary'!L12-'Outputs - Summary'!K12)/'Outputs - Summary'!K12</f>
        <v>#DIV/0!</v>
      </c>
    </row>
    <row r="22" spans="1:12" x14ac:dyDescent="0.3">
      <c r="A22" s="211"/>
      <c r="B22" s="306" t="s">
        <v>186</v>
      </c>
      <c r="C22" s="276"/>
      <c r="D22" s="280"/>
      <c r="E22" s="333" t="s">
        <v>187</v>
      </c>
      <c r="F22" s="333" t="e">
        <f>('Outputs - Summary'!F27-'Outputs - Summary'!E27)/'Outputs - Summary'!E27</f>
        <v>#DIV/0!</v>
      </c>
      <c r="G22" s="333" t="e">
        <f>('Outputs - Summary'!G27-'Outputs - Summary'!F27)/'Outputs - Summary'!F27</f>
        <v>#DIV/0!</v>
      </c>
      <c r="H22" s="333" t="e">
        <f>('Outputs - Summary'!H27-'Outputs - Summary'!G27)/'Outputs - Summary'!G27</f>
        <v>#DIV/0!</v>
      </c>
      <c r="I22" s="333" t="e">
        <f>('Outputs - Summary'!I27-'Outputs - Summary'!H27)/'Outputs - Summary'!H27</f>
        <v>#DIV/0!</v>
      </c>
      <c r="J22" s="333" t="e">
        <f>('Outputs - Summary'!J27-'Outputs - Summary'!I27)/'Outputs - Summary'!I27</f>
        <v>#DIV/0!</v>
      </c>
      <c r="K22" s="333" t="e">
        <f>('Outputs - Summary'!K27-'Outputs - Summary'!J27)/'Outputs - Summary'!J27</f>
        <v>#DIV/0!</v>
      </c>
      <c r="L22" s="333" t="e">
        <f>('Outputs - Summary'!L27-'Outputs - Summary'!K27)/'Outputs - Summary'!K27</f>
        <v>#DIV/0!</v>
      </c>
    </row>
    <row r="23" spans="1:12" x14ac:dyDescent="0.3">
      <c r="A23" s="211"/>
      <c r="B23" s="147"/>
      <c r="C23" s="147"/>
      <c r="D23" s="147"/>
      <c r="E23" s="147"/>
      <c r="F23" s="147"/>
      <c r="G23" s="147"/>
      <c r="H23" s="147"/>
      <c r="I23" s="212"/>
      <c r="J23" s="147"/>
      <c r="K23" s="147"/>
      <c r="L23" s="147"/>
    </row>
    <row r="24" spans="1:12" ht="15.6" x14ac:dyDescent="0.3">
      <c r="A24" s="166"/>
      <c r="B24" s="166" t="s">
        <v>482</v>
      </c>
      <c r="C24" s="166"/>
      <c r="D24" s="166"/>
      <c r="E24" s="166"/>
      <c r="F24" s="166"/>
      <c r="G24" s="166"/>
      <c r="H24" s="166"/>
      <c r="I24" s="166"/>
      <c r="J24" s="166"/>
      <c r="K24" s="166"/>
      <c r="L24" s="166"/>
    </row>
    <row r="25" spans="1:12" x14ac:dyDescent="0.3">
      <c r="A25" s="211"/>
      <c r="B25" s="147"/>
      <c r="C25" s="147"/>
      <c r="D25" s="147"/>
      <c r="E25" s="147"/>
      <c r="F25" s="147"/>
      <c r="G25" s="147"/>
      <c r="H25" s="147"/>
      <c r="I25" s="212"/>
      <c r="J25" s="147"/>
      <c r="K25" s="147"/>
      <c r="L25" s="147"/>
    </row>
    <row r="26" spans="1:12" x14ac:dyDescent="0.3">
      <c r="A26" s="147"/>
      <c r="B26" s="147" t="s">
        <v>97</v>
      </c>
      <c r="C26" s="147"/>
      <c r="D26" s="231"/>
      <c r="E26" s="147" t="e">
        <f>('Outputs - Summary'!E80/(SUM('Outputs - Summary'!E82:E88)))</f>
        <v>#DIV/0!</v>
      </c>
      <c r="F26" s="147" t="e">
        <f>('Outputs - Summary'!F80/(SUM('Outputs - Summary'!F82:F88)))</f>
        <v>#DIV/0!</v>
      </c>
      <c r="G26" s="147" t="e">
        <f>('Outputs - Summary'!G80/(SUM('Outputs - Summary'!G82:G88)))</f>
        <v>#DIV/0!</v>
      </c>
      <c r="H26" s="147" t="e">
        <f ca="1">('Outputs - Summary'!H80/(SUM('Outputs - Summary'!H82:H88)))</f>
        <v>#DIV/0!</v>
      </c>
      <c r="I26" s="147" t="e">
        <f ca="1">('Outputs - Summary'!I80/(SUM('Outputs - Summary'!I82:I88)))</f>
        <v>#DIV/0!</v>
      </c>
      <c r="J26" s="147" t="e">
        <f ca="1">('Outputs - Summary'!J80/(SUM('Outputs - Summary'!J82:J88)))</f>
        <v>#DIV/0!</v>
      </c>
      <c r="K26" s="147" t="e">
        <f ca="1">('Outputs - Summary'!K80/(SUM('Outputs - Summary'!K82:K88)))</f>
        <v>#DIV/0!</v>
      </c>
      <c r="L26" s="147" t="e">
        <f ca="1">('Outputs - Summary'!L80/(SUM('Outputs - Summary'!L82:L88)))</f>
        <v>#DIV/0!</v>
      </c>
    </row>
    <row r="27" spans="1:12" x14ac:dyDescent="0.3">
      <c r="A27" s="211"/>
      <c r="B27" s="332" t="s">
        <v>116</v>
      </c>
      <c r="C27" s="147"/>
      <c r="D27" s="231"/>
      <c r="E27" s="147" t="e">
        <f>('Outputs - Summary'!E79+'Outputs - Summary'!E69)/SUM('Outputs - Summary'!E82:E88)</f>
        <v>#DIV/0!</v>
      </c>
      <c r="F27" s="147" t="e">
        <f>('Outputs - Summary'!F79+'Outputs - Summary'!F69)/SUM('Outputs - Summary'!F82:F88)</f>
        <v>#DIV/0!</v>
      </c>
      <c r="G27" s="147" t="e">
        <f>('Outputs - Summary'!G79+'Outputs - Summary'!G69)/SUM('Outputs - Summary'!G82:G88)</f>
        <v>#DIV/0!</v>
      </c>
      <c r="H27" s="147" t="e">
        <f ca="1">('Outputs - Summary'!H79+'Outputs - Summary'!H69)/SUM('Outputs - Summary'!H82:H88)</f>
        <v>#DIV/0!</v>
      </c>
      <c r="I27" s="147" t="e">
        <f ca="1">('Outputs - Summary'!I79+'Outputs - Summary'!I69)/SUM('Outputs - Summary'!I82:I88)</f>
        <v>#DIV/0!</v>
      </c>
      <c r="J27" s="147" t="e">
        <f ca="1">('Outputs - Summary'!J79+'Outputs - Summary'!J69)/SUM('Outputs - Summary'!J82:J88)</f>
        <v>#DIV/0!</v>
      </c>
      <c r="K27" s="147" t="e">
        <f ca="1">('Outputs - Summary'!K79+'Outputs - Summary'!K69)/SUM('Outputs - Summary'!K82:K88)</f>
        <v>#DIV/0!</v>
      </c>
      <c r="L27" s="147" t="e">
        <f ca="1">('Outputs - Summary'!L79+'Outputs - Summary'!L69)/SUM('Outputs - Summary'!L82:L88)</f>
        <v>#DIV/0!</v>
      </c>
    </row>
    <row r="28" spans="1:12" x14ac:dyDescent="0.3">
      <c r="A28" s="211"/>
      <c r="B28" s="332" t="s">
        <v>98</v>
      </c>
      <c r="C28" s="147"/>
      <c r="D28" s="231"/>
      <c r="E28" s="147" t="e">
        <f>'Outputs - Summary'!E79/SUM('Outputs - Summary'!E82:E88)</f>
        <v>#DIV/0!</v>
      </c>
      <c r="F28" s="147" t="e">
        <f>'Outputs - Summary'!F79/SUM('Outputs - Summary'!F82:F88)</f>
        <v>#DIV/0!</v>
      </c>
      <c r="G28" s="147" t="e">
        <f>'Outputs - Summary'!G79/SUM('Outputs - Summary'!G82:G88)</f>
        <v>#DIV/0!</v>
      </c>
      <c r="H28" s="147" t="e">
        <f ca="1">'Outputs - Summary'!H79/SUM('Outputs - Summary'!H82:H88)</f>
        <v>#DIV/0!</v>
      </c>
      <c r="I28" s="147" t="e">
        <f ca="1">'Outputs - Summary'!I79/SUM('Outputs - Summary'!I82:I88)</f>
        <v>#DIV/0!</v>
      </c>
      <c r="J28" s="147" t="e">
        <f ca="1">'Outputs - Summary'!J79/SUM('Outputs - Summary'!J82:J88)</f>
        <v>#DIV/0!</v>
      </c>
      <c r="K28" s="147" t="e">
        <f ca="1">'Outputs - Summary'!K79/SUM('Outputs - Summary'!K82:K88)</f>
        <v>#DIV/0!</v>
      </c>
      <c r="L28" s="147" t="e">
        <f ca="1">'Outputs - Summary'!L79/SUM('Outputs - Summary'!L82:L88)</f>
        <v>#DIV/0!</v>
      </c>
    </row>
    <row r="29" spans="1:12" x14ac:dyDescent="0.3">
      <c r="A29" s="211"/>
      <c r="B29" s="332" t="s">
        <v>100</v>
      </c>
      <c r="C29" s="147"/>
      <c r="D29" s="231"/>
      <c r="E29" s="147"/>
      <c r="F29" s="147"/>
      <c r="G29" s="147"/>
      <c r="H29" s="147"/>
      <c r="I29" s="147"/>
      <c r="J29" s="147"/>
      <c r="K29" s="147"/>
      <c r="L29" s="147"/>
    </row>
    <row r="30" spans="1:12" x14ac:dyDescent="0.3">
      <c r="A30" s="211"/>
      <c r="B30" s="332" t="s">
        <v>101</v>
      </c>
      <c r="C30" s="147"/>
      <c r="D30" s="231"/>
      <c r="E30" s="147"/>
      <c r="F30" s="147"/>
      <c r="G30" s="147"/>
      <c r="H30" s="147"/>
      <c r="I30" s="147"/>
      <c r="J30" s="147"/>
      <c r="K30" s="147"/>
      <c r="L30" s="147"/>
    </row>
    <row r="31" spans="1:12" x14ac:dyDescent="0.3">
      <c r="A31" s="211"/>
      <c r="B31" s="332" t="s">
        <v>102</v>
      </c>
      <c r="C31" s="147"/>
      <c r="D31" s="231"/>
      <c r="E31" s="147"/>
      <c r="F31" s="147"/>
      <c r="G31" s="147"/>
      <c r="H31" s="147"/>
      <c r="I31" s="147"/>
      <c r="J31" s="147"/>
      <c r="K31" s="147"/>
      <c r="L31" s="147"/>
    </row>
    <row r="32" spans="1:12" x14ac:dyDescent="0.3">
      <c r="A32" s="211"/>
      <c r="B32" s="147" t="s">
        <v>99</v>
      </c>
      <c r="C32" s="147"/>
      <c r="D32" s="147"/>
      <c r="E32" s="147"/>
      <c r="F32" s="147"/>
      <c r="G32" s="147"/>
      <c r="H32" s="147"/>
      <c r="I32" s="212"/>
      <c r="J32" s="147"/>
      <c r="K32" s="147"/>
      <c r="L32" s="147"/>
    </row>
    <row r="33" spans="1:12" x14ac:dyDescent="0.3">
      <c r="A33" s="211"/>
      <c r="B33" s="147"/>
      <c r="C33" s="147"/>
      <c r="D33" s="147"/>
      <c r="E33" s="147"/>
      <c r="F33" s="147"/>
      <c r="G33" s="147"/>
      <c r="H33" s="147"/>
      <c r="I33" s="212"/>
      <c r="J33" s="147"/>
      <c r="K33" s="147"/>
      <c r="L33" s="147"/>
    </row>
    <row r="34" spans="1:12" ht="15.6" x14ac:dyDescent="0.3">
      <c r="A34" s="166" t="s">
        <v>217</v>
      </c>
      <c r="B34" s="166"/>
      <c r="C34" s="166"/>
      <c r="D34" s="166"/>
      <c r="E34" s="166"/>
      <c r="F34" s="166"/>
      <c r="G34" s="166"/>
      <c r="H34" s="166"/>
      <c r="I34" s="166"/>
      <c r="J34" s="166"/>
      <c r="K34" s="166"/>
      <c r="L34" s="166"/>
    </row>
    <row r="37" spans="1:12" x14ac:dyDescent="0.3">
      <c r="H37" s="284"/>
      <c r="I37" s="284"/>
      <c r="J37" s="284"/>
      <c r="K37" s="284"/>
      <c r="L37" s="284"/>
    </row>
    <row r="38" spans="1:12" x14ac:dyDescent="0.3">
      <c r="H38" s="284"/>
      <c r="I38" s="284"/>
      <c r="J38" s="284"/>
      <c r="K38" s="284"/>
      <c r="L38" s="284"/>
    </row>
    <row r="39" spans="1:12" x14ac:dyDescent="0.3">
      <c r="H39" s="284"/>
      <c r="I39" s="284"/>
      <c r="J39" s="284"/>
      <c r="K39" s="284"/>
      <c r="L39" s="28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tabColor rgb="FFFFFF00"/>
  </sheetPr>
  <dimension ref="A1:CD226"/>
  <sheetViews>
    <sheetView zoomScale="80" zoomScaleNormal="80" zoomScalePageLayoutView="80" workbookViewId="0">
      <pane xSplit="13" ySplit="8" topLeftCell="N64" activePane="bottomRight" state="frozen"/>
      <selection activeCell="C10" sqref="C10"/>
      <selection pane="topRight" activeCell="C10" sqref="C10"/>
      <selection pane="bottomLeft" activeCell="C10" sqref="C10"/>
      <selection pane="bottomRight" activeCell="G70" sqref="G70:G78"/>
    </sheetView>
  </sheetViews>
  <sheetFormatPr defaultColWidth="0" defaultRowHeight="13.2" x14ac:dyDescent="0.25"/>
  <cols>
    <col min="1" max="1" width="5.109375" style="66" customWidth="1"/>
    <col min="2" max="2" width="6.44140625" style="66" customWidth="1"/>
    <col min="3" max="3" width="25.88671875" style="66" customWidth="1"/>
    <col min="4" max="4" width="20.44140625" style="66" bestFit="1" customWidth="1"/>
    <col min="5" max="7" width="20.44140625" style="66" customWidth="1"/>
    <col min="8" max="8" width="20.44140625" style="66" bestFit="1" customWidth="1"/>
    <col min="9" max="10" width="17" style="66" customWidth="1"/>
    <col min="11" max="11" width="15.109375" style="66" customWidth="1"/>
    <col min="12" max="12" width="17.109375" style="66" customWidth="1"/>
    <col min="13" max="13" width="9.109375" style="66" customWidth="1"/>
    <col min="14" max="14" width="10.109375" style="66" bestFit="1" customWidth="1"/>
    <col min="15" max="15" width="10.44140625" style="66" customWidth="1"/>
    <col min="16" max="16" width="10.33203125" style="66" customWidth="1"/>
    <col min="17" max="17" width="10" style="66" customWidth="1"/>
    <col min="18" max="19" width="10.33203125" style="66" customWidth="1"/>
    <col min="20" max="20" width="10" style="66" customWidth="1"/>
    <col min="21" max="23" width="10.109375" style="66" customWidth="1"/>
    <col min="24" max="24" width="10.44140625" style="66" customWidth="1"/>
    <col min="25" max="25" width="10" style="66" customWidth="1"/>
    <col min="26" max="26" width="9.33203125" style="66" customWidth="1"/>
    <col min="27" max="27" width="10.44140625" style="66" customWidth="1"/>
    <col min="28" max="28" width="10.33203125" style="66" customWidth="1"/>
    <col min="29" max="29" width="10" style="66" customWidth="1"/>
    <col min="30" max="31" width="10.33203125" style="66" customWidth="1"/>
    <col min="32" max="32" width="10" style="66" customWidth="1"/>
    <col min="33" max="35" width="10.109375" style="66" customWidth="1"/>
    <col min="36" max="36" width="10.44140625" style="66" customWidth="1"/>
    <col min="37" max="37" width="10" style="66" customWidth="1"/>
    <col min="38" max="38" width="9.33203125" style="66" customWidth="1"/>
    <col min="39" max="39" width="10.44140625" style="66" customWidth="1"/>
    <col min="40" max="40" width="10.33203125" style="66" customWidth="1"/>
    <col min="41" max="41" width="10" style="66" customWidth="1"/>
    <col min="42" max="43" width="10.33203125" style="66" customWidth="1"/>
    <col min="44" max="44" width="10" style="66" customWidth="1"/>
    <col min="45" max="47" width="10.109375" style="66" customWidth="1"/>
    <col min="48" max="48" width="10.44140625" style="66" customWidth="1"/>
    <col min="49" max="49" width="10" style="66" customWidth="1"/>
    <col min="50" max="50" width="9.33203125" style="66" customWidth="1"/>
    <col min="51" max="51" width="10.44140625" style="66" customWidth="1"/>
    <col min="52" max="52" width="10.33203125" style="66" customWidth="1"/>
    <col min="53" max="53" width="10" style="66" customWidth="1"/>
    <col min="54" max="55" width="10.33203125" style="66" customWidth="1"/>
    <col min="56" max="56" width="10" style="66" customWidth="1"/>
    <col min="57" max="59" width="10.109375" style="66" customWidth="1"/>
    <col min="60" max="60" width="10.44140625" style="66" customWidth="1"/>
    <col min="61" max="61" width="10" style="66" customWidth="1"/>
    <col min="62" max="62" width="9.33203125" style="66" customWidth="1"/>
    <col min="63" max="63" width="10.44140625" style="66" customWidth="1"/>
    <col min="64" max="64" width="10.33203125" style="66" customWidth="1"/>
    <col min="65" max="65" width="10" style="66" customWidth="1"/>
    <col min="66" max="67" width="10.33203125" style="66" customWidth="1"/>
    <col min="68" max="68" width="10" style="66" customWidth="1"/>
    <col min="69" max="71" width="10.109375" style="66" customWidth="1"/>
    <col min="72" max="72" width="10.44140625" style="66" customWidth="1"/>
    <col min="73" max="73" width="10" style="66" customWidth="1"/>
    <col min="74" max="81" width="9.109375" style="66" customWidth="1"/>
    <col min="82" max="82" width="9.109375" style="66" hidden="1" customWidth="1" collapsed="1"/>
    <col min="83" max="16384" width="9.109375" style="66" hidden="1"/>
  </cols>
  <sheetData>
    <row r="1" spans="1:79" s="285" customFormat="1" x14ac:dyDescent="0.25"/>
    <row r="2" spans="1:79" s="285" customFormat="1" x14ac:dyDescent="0.25"/>
    <row r="3" spans="1:79" s="285" customFormat="1" x14ac:dyDescent="0.25">
      <c r="A3" s="286" t="str">
        <f>IF(KeyInputs!$F$14=0,"Company Name",KeyInputs!$F$14)</f>
        <v>Company Name</v>
      </c>
    </row>
    <row r="4" spans="1:79" s="285" customFormat="1" x14ac:dyDescent="0.25">
      <c r="A4" s="285" t="s">
        <v>5</v>
      </c>
    </row>
    <row r="5" spans="1:79" s="285" customFormat="1" x14ac:dyDescent="0.25">
      <c r="A5" s="322" t="s">
        <v>483</v>
      </c>
      <c r="C5" s="325"/>
      <c r="D5" s="287" t="s">
        <v>203</v>
      </c>
      <c r="E5" s="287">
        <f t="shared" ref="E5:G6" si="0">F5-1</f>
        <v>2012</v>
      </c>
      <c r="F5" s="287">
        <f t="shared" si="0"/>
        <v>2013</v>
      </c>
      <c r="G5" s="287">
        <f t="shared" si="0"/>
        <v>2014</v>
      </c>
      <c r="H5" s="285">
        <f>F16</f>
        <v>2015</v>
      </c>
      <c r="I5" s="285">
        <f>H5+1</f>
        <v>2016</v>
      </c>
      <c r="J5" s="285">
        <f>I5+1</f>
        <v>2017</v>
      </c>
      <c r="K5" s="285">
        <f>J5+1</f>
        <v>2018</v>
      </c>
      <c r="L5" s="285">
        <f>K5+1</f>
        <v>2019</v>
      </c>
      <c r="N5" s="285">
        <f t="shared" ref="N5:Y5" si="1">$H$5</f>
        <v>2015</v>
      </c>
      <c r="O5" s="285">
        <f t="shared" si="1"/>
        <v>2015</v>
      </c>
      <c r="P5" s="285">
        <f t="shared" si="1"/>
        <v>2015</v>
      </c>
      <c r="Q5" s="285">
        <f t="shared" si="1"/>
        <v>2015</v>
      </c>
      <c r="R5" s="285">
        <f t="shared" si="1"/>
        <v>2015</v>
      </c>
      <c r="S5" s="285">
        <f t="shared" si="1"/>
        <v>2015</v>
      </c>
      <c r="T5" s="285">
        <f t="shared" si="1"/>
        <v>2015</v>
      </c>
      <c r="U5" s="285">
        <f t="shared" si="1"/>
        <v>2015</v>
      </c>
      <c r="V5" s="285">
        <f t="shared" si="1"/>
        <v>2015</v>
      </c>
      <c r="W5" s="285">
        <f t="shared" si="1"/>
        <v>2015</v>
      </c>
      <c r="X5" s="285">
        <f t="shared" si="1"/>
        <v>2015</v>
      </c>
      <c r="Y5" s="285">
        <f t="shared" si="1"/>
        <v>2015</v>
      </c>
      <c r="Z5" s="285">
        <f t="shared" ref="Z5:AK5" si="2">$I$5</f>
        <v>2016</v>
      </c>
      <c r="AA5" s="285">
        <f t="shared" si="2"/>
        <v>2016</v>
      </c>
      <c r="AB5" s="285">
        <f t="shared" si="2"/>
        <v>2016</v>
      </c>
      <c r="AC5" s="285">
        <f t="shared" si="2"/>
        <v>2016</v>
      </c>
      <c r="AD5" s="285">
        <f t="shared" si="2"/>
        <v>2016</v>
      </c>
      <c r="AE5" s="285">
        <f t="shared" si="2"/>
        <v>2016</v>
      </c>
      <c r="AF5" s="285">
        <f t="shared" si="2"/>
        <v>2016</v>
      </c>
      <c r="AG5" s="285">
        <f t="shared" si="2"/>
        <v>2016</v>
      </c>
      <c r="AH5" s="285">
        <f t="shared" si="2"/>
        <v>2016</v>
      </c>
      <c r="AI5" s="285">
        <f t="shared" si="2"/>
        <v>2016</v>
      </c>
      <c r="AJ5" s="285">
        <f t="shared" si="2"/>
        <v>2016</v>
      </c>
      <c r="AK5" s="285">
        <f t="shared" si="2"/>
        <v>2016</v>
      </c>
      <c r="AL5" s="285">
        <f t="shared" ref="AL5:AW5" si="3">$J$5</f>
        <v>2017</v>
      </c>
      <c r="AM5" s="285">
        <f t="shared" si="3"/>
        <v>2017</v>
      </c>
      <c r="AN5" s="285">
        <f t="shared" si="3"/>
        <v>2017</v>
      </c>
      <c r="AO5" s="285">
        <f t="shared" si="3"/>
        <v>2017</v>
      </c>
      <c r="AP5" s="285">
        <f t="shared" si="3"/>
        <v>2017</v>
      </c>
      <c r="AQ5" s="285">
        <f t="shared" si="3"/>
        <v>2017</v>
      </c>
      <c r="AR5" s="285">
        <f t="shared" si="3"/>
        <v>2017</v>
      </c>
      <c r="AS5" s="285">
        <f t="shared" si="3"/>
        <v>2017</v>
      </c>
      <c r="AT5" s="285">
        <f t="shared" si="3"/>
        <v>2017</v>
      </c>
      <c r="AU5" s="285">
        <f t="shared" si="3"/>
        <v>2017</v>
      </c>
      <c r="AV5" s="285">
        <f t="shared" si="3"/>
        <v>2017</v>
      </c>
      <c r="AW5" s="285">
        <f t="shared" si="3"/>
        <v>2017</v>
      </c>
      <c r="AX5" s="285">
        <f t="shared" ref="AX5:BI5" si="4">$K$5</f>
        <v>2018</v>
      </c>
      <c r="AY5" s="285">
        <f t="shared" si="4"/>
        <v>2018</v>
      </c>
      <c r="AZ5" s="285">
        <f t="shared" si="4"/>
        <v>2018</v>
      </c>
      <c r="BA5" s="285">
        <f t="shared" si="4"/>
        <v>2018</v>
      </c>
      <c r="BB5" s="285">
        <f t="shared" si="4"/>
        <v>2018</v>
      </c>
      <c r="BC5" s="285">
        <f t="shared" si="4"/>
        <v>2018</v>
      </c>
      <c r="BD5" s="285">
        <f t="shared" si="4"/>
        <v>2018</v>
      </c>
      <c r="BE5" s="285">
        <f t="shared" si="4"/>
        <v>2018</v>
      </c>
      <c r="BF5" s="285">
        <f t="shared" si="4"/>
        <v>2018</v>
      </c>
      <c r="BG5" s="285">
        <f t="shared" si="4"/>
        <v>2018</v>
      </c>
      <c r="BH5" s="285">
        <f t="shared" si="4"/>
        <v>2018</v>
      </c>
      <c r="BI5" s="285">
        <f t="shared" si="4"/>
        <v>2018</v>
      </c>
      <c r="BJ5" s="285">
        <f t="shared" ref="BJ5:BU5" si="5">$L$5</f>
        <v>2019</v>
      </c>
      <c r="BK5" s="285">
        <f t="shared" si="5"/>
        <v>2019</v>
      </c>
      <c r="BL5" s="285">
        <f t="shared" si="5"/>
        <v>2019</v>
      </c>
      <c r="BM5" s="285">
        <f t="shared" si="5"/>
        <v>2019</v>
      </c>
      <c r="BN5" s="285">
        <f t="shared" si="5"/>
        <v>2019</v>
      </c>
      <c r="BO5" s="285">
        <f t="shared" si="5"/>
        <v>2019</v>
      </c>
      <c r="BP5" s="285">
        <f t="shared" si="5"/>
        <v>2019</v>
      </c>
      <c r="BQ5" s="285">
        <f t="shared" si="5"/>
        <v>2019</v>
      </c>
      <c r="BR5" s="285">
        <f t="shared" si="5"/>
        <v>2019</v>
      </c>
      <c r="BS5" s="285">
        <f t="shared" si="5"/>
        <v>2019</v>
      </c>
      <c r="BT5" s="285">
        <f t="shared" si="5"/>
        <v>2019</v>
      </c>
      <c r="BU5" s="285">
        <f t="shared" si="5"/>
        <v>2019</v>
      </c>
    </row>
    <row r="6" spans="1:79" s="285" customFormat="1" x14ac:dyDescent="0.25">
      <c r="D6" s="287" t="s">
        <v>204</v>
      </c>
      <c r="E6" s="287">
        <f t="shared" si="0"/>
        <v>-2</v>
      </c>
      <c r="F6" s="287">
        <f t="shared" si="0"/>
        <v>-1</v>
      </c>
      <c r="G6" s="287">
        <f t="shared" si="0"/>
        <v>0</v>
      </c>
      <c r="H6" s="285">
        <v>1</v>
      </c>
      <c r="I6" s="285">
        <v>2</v>
      </c>
      <c r="J6" s="285">
        <v>3</v>
      </c>
      <c r="K6" s="285">
        <v>4</v>
      </c>
      <c r="L6" s="285">
        <v>5</v>
      </c>
      <c r="N6" s="299">
        <v>1</v>
      </c>
      <c r="O6" s="299">
        <v>2</v>
      </c>
      <c r="P6" s="299">
        <v>3</v>
      </c>
      <c r="Q6" s="299">
        <v>4</v>
      </c>
      <c r="R6" s="299">
        <v>5</v>
      </c>
      <c r="S6" s="299">
        <v>6</v>
      </c>
      <c r="T6" s="299">
        <v>7</v>
      </c>
      <c r="U6" s="299">
        <v>8</v>
      </c>
      <c r="V6" s="299">
        <v>9</v>
      </c>
      <c r="W6" s="299">
        <v>10</v>
      </c>
      <c r="X6" s="299">
        <v>11</v>
      </c>
      <c r="Y6" s="299">
        <v>12</v>
      </c>
      <c r="Z6" s="299">
        <v>13</v>
      </c>
      <c r="AA6" s="299">
        <v>14</v>
      </c>
      <c r="AB6" s="299">
        <v>15</v>
      </c>
      <c r="AC6" s="299">
        <v>16</v>
      </c>
      <c r="AD6" s="299">
        <v>17</v>
      </c>
      <c r="AE6" s="299">
        <v>18</v>
      </c>
      <c r="AF6" s="299">
        <v>19</v>
      </c>
      <c r="AG6" s="299">
        <v>20</v>
      </c>
      <c r="AH6" s="299">
        <v>21</v>
      </c>
      <c r="AI6" s="299">
        <v>22</v>
      </c>
      <c r="AJ6" s="299">
        <v>23</v>
      </c>
      <c r="AK6" s="299">
        <v>24</v>
      </c>
      <c r="AL6" s="299">
        <v>25</v>
      </c>
      <c r="AM6" s="299">
        <v>26</v>
      </c>
      <c r="AN6" s="299">
        <v>27</v>
      </c>
      <c r="AO6" s="299">
        <v>28</v>
      </c>
      <c r="AP6" s="299">
        <v>29</v>
      </c>
      <c r="AQ6" s="299">
        <v>30</v>
      </c>
      <c r="AR6" s="299">
        <v>31</v>
      </c>
      <c r="AS6" s="299">
        <v>32</v>
      </c>
      <c r="AT6" s="299">
        <v>33</v>
      </c>
      <c r="AU6" s="299">
        <v>34</v>
      </c>
      <c r="AV6" s="299">
        <v>35</v>
      </c>
      <c r="AW6" s="299">
        <v>36</v>
      </c>
      <c r="AX6" s="299">
        <v>37</v>
      </c>
      <c r="AY6" s="299">
        <v>38</v>
      </c>
      <c r="AZ6" s="299">
        <v>39</v>
      </c>
      <c r="BA6" s="299">
        <v>40</v>
      </c>
      <c r="BB6" s="299">
        <v>41</v>
      </c>
      <c r="BC6" s="299">
        <v>42</v>
      </c>
      <c r="BD6" s="299">
        <v>43</v>
      </c>
      <c r="BE6" s="299">
        <v>44</v>
      </c>
      <c r="BF6" s="299">
        <v>45</v>
      </c>
      <c r="BG6" s="299">
        <v>46</v>
      </c>
      <c r="BH6" s="299">
        <v>47</v>
      </c>
      <c r="BI6" s="299">
        <v>48</v>
      </c>
      <c r="BJ6" s="299">
        <v>49</v>
      </c>
      <c r="BK6" s="299">
        <v>50</v>
      </c>
      <c r="BL6" s="299">
        <v>51</v>
      </c>
      <c r="BM6" s="299">
        <v>52</v>
      </c>
      <c r="BN6" s="299">
        <v>53</v>
      </c>
      <c r="BO6" s="299">
        <v>54</v>
      </c>
      <c r="BP6" s="299">
        <v>55</v>
      </c>
      <c r="BQ6" s="299">
        <v>56</v>
      </c>
      <c r="BR6" s="299">
        <v>57</v>
      </c>
      <c r="BS6" s="299">
        <v>58</v>
      </c>
      <c r="BT6" s="299">
        <v>59</v>
      </c>
      <c r="BU6" s="299">
        <v>60</v>
      </c>
    </row>
    <row r="7" spans="1:79" s="285" customFormat="1" x14ac:dyDescent="0.25">
      <c r="D7" s="287" t="s">
        <v>206</v>
      </c>
      <c r="E7" s="294">
        <f t="shared" ref="E7:F7" si="6">EDATE(E8,-12)+1</f>
        <v>40909</v>
      </c>
      <c r="F7" s="294">
        <f t="shared" si="6"/>
        <v>41275</v>
      </c>
      <c r="G7" s="294">
        <f>EDATE(G8,-12)+1</f>
        <v>41640</v>
      </c>
      <c r="H7" s="289">
        <f>$F$17</f>
        <v>42005</v>
      </c>
      <c r="I7" s="289">
        <f>H8+1</f>
        <v>42370</v>
      </c>
      <c r="J7" s="289">
        <f t="shared" ref="J7:L7" si="7">I8+1</f>
        <v>42736</v>
      </c>
      <c r="K7" s="289">
        <f t="shared" si="7"/>
        <v>43101</v>
      </c>
      <c r="L7" s="289">
        <f t="shared" si="7"/>
        <v>43466</v>
      </c>
      <c r="N7" s="289">
        <f>$F$17</f>
        <v>42005</v>
      </c>
      <c r="O7" s="289">
        <f>N8+1</f>
        <v>42036</v>
      </c>
      <c r="P7" s="289">
        <f t="shared" ref="P7:BU7" si="8">O8+1</f>
        <v>42064</v>
      </c>
      <c r="Q7" s="289">
        <f t="shared" si="8"/>
        <v>42095</v>
      </c>
      <c r="R7" s="289">
        <f t="shared" si="8"/>
        <v>42125</v>
      </c>
      <c r="S7" s="289">
        <f t="shared" si="8"/>
        <v>42156</v>
      </c>
      <c r="T7" s="289">
        <f t="shared" si="8"/>
        <v>42186</v>
      </c>
      <c r="U7" s="289">
        <f t="shared" si="8"/>
        <v>42217</v>
      </c>
      <c r="V7" s="289">
        <f t="shared" si="8"/>
        <v>42248</v>
      </c>
      <c r="W7" s="289">
        <f t="shared" si="8"/>
        <v>42278</v>
      </c>
      <c r="X7" s="289">
        <f t="shared" si="8"/>
        <v>42309</v>
      </c>
      <c r="Y7" s="289">
        <f t="shared" si="8"/>
        <v>42339</v>
      </c>
      <c r="Z7" s="289">
        <f t="shared" si="8"/>
        <v>42370</v>
      </c>
      <c r="AA7" s="289">
        <f t="shared" si="8"/>
        <v>42401</v>
      </c>
      <c r="AB7" s="289">
        <f t="shared" si="8"/>
        <v>42430</v>
      </c>
      <c r="AC7" s="289">
        <f t="shared" si="8"/>
        <v>42461</v>
      </c>
      <c r="AD7" s="289">
        <f t="shared" si="8"/>
        <v>42491</v>
      </c>
      <c r="AE7" s="289">
        <f t="shared" si="8"/>
        <v>42522</v>
      </c>
      <c r="AF7" s="289">
        <f t="shared" si="8"/>
        <v>42552</v>
      </c>
      <c r="AG7" s="289">
        <f t="shared" si="8"/>
        <v>42583</v>
      </c>
      <c r="AH7" s="289">
        <f t="shared" si="8"/>
        <v>42614</v>
      </c>
      <c r="AI7" s="289">
        <f t="shared" si="8"/>
        <v>42644</v>
      </c>
      <c r="AJ7" s="289">
        <f t="shared" si="8"/>
        <v>42675</v>
      </c>
      <c r="AK7" s="289">
        <f t="shared" si="8"/>
        <v>42705</v>
      </c>
      <c r="AL7" s="289">
        <f t="shared" si="8"/>
        <v>42736</v>
      </c>
      <c r="AM7" s="289">
        <f t="shared" si="8"/>
        <v>42767</v>
      </c>
      <c r="AN7" s="289">
        <f t="shared" si="8"/>
        <v>42795</v>
      </c>
      <c r="AO7" s="289">
        <f t="shared" si="8"/>
        <v>42826</v>
      </c>
      <c r="AP7" s="289">
        <f t="shared" si="8"/>
        <v>42856</v>
      </c>
      <c r="AQ7" s="289">
        <f t="shared" si="8"/>
        <v>42887</v>
      </c>
      <c r="AR7" s="289">
        <f t="shared" si="8"/>
        <v>42917</v>
      </c>
      <c r="AS7" s="289">
        <f t="shared" si="8"/>
        <v>42948</v>
      </c>
      <c r="AT7" s="289">
        <f t="shared" si="8"/>
        <v>42979</v>
      </c>
      <c r="AU7" s="289">
        <f t="shared" si="8"/>
        <v>43009</v>
      </c>
      <c r="AV7" s="289">
        <f t="shared" si="8"/>
        <v>43040</v>
      </c>
      <c r="AW7" s="289">
        <f t="shared" si="8"/>
        <v>43070</v>
      </c>
      <c r="AX7" s="289">
        <f t="shared" si="8"/>
        <v>43101</v>
      </c>
      <c r="AY7" s="289">
        <f t="shared" si="8"/>
        <v>43132</v>
      </c>
      <c r="AZ7" s="289">
        <f t="shared" si="8"/>
        <v>43160</v>
      </c>
      <c r="BA7" s="289">
        <f t="shared" si="8"/>
        <v>43191</v>
      </c>
      <c r="BB7" s="289">
        <f t="shared" si="8"/>
        <v>43221</v>
      </c>
      <c r="BC7" s="289">
        <f t="shared" si="8"/>
        <v>43252</v>
      </c>
      <c r="BD7" s="289">
        <f t="shared" si="8"/>
        <v>43282</v>
      </c>
      <c r="BE7" s="289">
        <f t="shared" si="8"/>
        <v>43313</v>
      </c>
      <c r="BF7" s="289">
        <f t="shared" si="8"/>
        <v>43344</v>
      </c>
      <c r="BG7" s="289">
        <f t="shared" si="8"/>
        <v>43374</v>
      </c>
      <c r="BH7" s="289">
        <f t="shared" si="8"/>
        <v>43405</v>
      </c>
      <c r="BI7" s="289">
        <f t="shared" si="8"/>
        <v>43435</v>
      </c>
      <c r="BJ7" s="289">
        <f t="shared" si="8"/>
        <v>43466</v>
      </c>
      <c r="BK7" s="289">
        <f t="shared" si="8"/>
        <v>43497</v>
      </c>
      <c r="BL7" s="289">
        <f t="shared" si="8"/>
        <v>43525</v>
      </c>
      <c r="BM7" s="289">
        <f t="shared" si="8"/>
        <v>43556</v>
      </c>
      <c r="BN7" s="289">
        <f t="shared" si="8"/>
        <v>43586</v>
      </c>
      <c r="BO7" s="289">
        <f t="shared" si="8"/>
        <v>43617</v>
      </c>
      <c r="BP7" s="289">
        <f t="shared" si="8"/>
        <v>43647</v>
      </c>
      <c r="BQ7" s="289">
        <f t="shared" si="8"/>
        <v>43678</v>
      </c>
      <c r="BR7" s="289">
        <f t="shared" si="8"/>
        <v>43709</v>
      </c>
      <c r="BS7" s="289">
        <f t="shared" si="8"/>
        <v>43739</v>
      </c>
      <c r="BT7" s="289">
        <f t="shared" si="8"/>
        <v>43770</v>
      </c>
      <c r="BU7" s="289">
        <f t="shared" si="8"/>
        <v>43800</v>
      </c>
    </row>
    <row r="8" spans="1:79" s="290" customFormat="1" x14ac:dyDescent="0.25">
      <c r="B8" s="291" t="str">
        <f ca="1">IF(Check!$C$12=0,"All checks are OK","There are "&amp;Check!$C$12&amp;" error/errors")</f>
        <v>All checks are OK</v>
      </c>
      <c r="D8" s="287" t="s">
        <v>205</v>
      </c>
      <c r="E8" s="289">
        <f t="shared" ref="E8:F8" si="9">F7-1</f>
        <v>41274</v>
      </c>
      <c r="F8" s="289">
        <f t="shared" si="9"/>
        <v>41639</v>
      </c>
      <c r="G8" s="289">
        <f>H7-1</f>
        <v>42004</v>
      </c>
      <c r="H8" s="289">
        <f>EDATE(H7,12)-1</f>
        <v>42369</v>
      </c>
      <c r="I8" s="289">
        <f>EDATE(I7,12)-1</f>
        <v>42735</v>
      </c>
      <c r="J8" s="289">
        <f t="shared" ref="J8:L8" si="10">EDATE(J7,12)-1</f>
        <v>43100</v>
      </c>
      <c r="K8" s="289">
        <f t="shared" si="10"/>
        <v>43465</v>
      </c>
      <c r="L8" s="289">
        <f t="shared" si="10"/>
        <v>43830</v>
      </c>
      <c r="M8" s="285"/>
      <c r="N8" s="289">
        <f>EOMONTH(N7,0)</f>
        <v>42035</v>
      </c>
      <c r="O8" s="289">
        <f>EOMONTH(O7,0)</f>
        <v>42063</v>
      </c>
      <c r="P8" s="289">
        <f t="shared" ref="P8:BU8" si="11">EOMONTH(P7,0)</f>
        <v>42094</v>
      </c>
      <c r="Q8" s="289">
        <f t="shared" si="11"/>
        <v>42124</v>
      </c>
      <c r="R8" s="289">
        <f t="shared" si="11"/>
        <v>42155</v>
      </c>
      <c r="S8" s="289">
        <f t="shared" si="11"/>
        <v>42185</v>
      </c>
      <c r="T8" s="289">
        <f t="shared" si="11"/>
        <v>42216</v>
      </c>
      <c r="U8" s="289">
        <f t="shared" si="11"/>
        <v>42247</v>
      </c>
      <c r="V8" s="289">
        <f t="shared" si="11"/>
        <v>42277</v>
      </c>
      <c r="W8" s="289">
        <f t="shared" si="11"/>
        <v>42308</v>
      </c>
      <c r="X8" s="289">
        <f t="shared" si="11"/>
        <v>42338</v>
      </c>
      <c r="Y8" s="289">
        <f t="shared" si="11"/>
        <v>42369</v>
      </c>
      <c r="Z8" s="289">
        <f t="shared" si="11"/>
        <v>42400</v>
      </c>
      <c r="AA8" s="289">
        <f t="shared" si="11"/>
        <v>42429</v>
      </c>
      <c r="AB8" s="289">
        <f t="shared" si="11"/>
        <v>42460</v>
      </c>
      <c r="AC8" s="289">
        <f t="shared" si="11"/>
        <v>42490</v>
      </c>
      <c r="AD8" s="289">
        <f t="shared" si="11"/>
        <v>42521</v>
      </c>
      <c r="AE8" s="289">
        <f t="shared" si="11"/>
        <v>42551</v>
      </c>
      <c r="AF8" s="289">
        <f t="shared" si="11"/>
        <v>42582</v>
      </c>
      <c r="AG8" s="289">
        <f t="shared" si="11"/>
        <v>42613</v>
      </c>
      <c r="AH8" s="289">
        <f t="shared" si="11"/>
        <v>42643</v>
      </c>
      <c r="AI8" s="289">
        <f t="shared" si="11"/>
        <v>42674</v>
      </c>
      <c r="AJ8" s="289">
        <f t="shared" si="11"/>
        <v>42704</v>
      </c>
      <c r="AK8" s="289">
        <f t="shared" si="11"/>
        <v>42735</v>
      </c>
      <c r="AL8" s="289">
        <f t="shared" si="11"/>
        <v>42766</v>
      </c>
      <c r="AM8" s="289">
        <f t="shared" si="11"/>
        <v>42794</v>
      </c>
      <c r="AN8" s="289">
        <f t="shared" si="11"/>
        <v>42825</v>
      </c>
      <c r="AO8" s="289">
        <f t="shared" si="11"/>
        <v>42855</v>
      </c>
      <c r="AP8" s="289">
        <f t="shared" si="11"/>
        <v>42886</v>
      </c>
      <c r="AQ8" s="289">
        <f t="shared" si="11"/>
        <v>42916</v>
      </c>
      <c r="AR8" s="289">
        <f t="shared" si="11"/>
        <v>42947</v>
      </c>
      <c r="AS8" s="289">
        <f t="shared" si="11"/>
        <v>42978</v>
      </c>
      <c r="AT8" s="289">
        <f t="shared" si="11"/>
        <v>43008</v>
      </c>
      <c r="AU8" s="289">
        <f t="shared" si="11"/>
        <v>43039</v>
      </c>
      <c r="AV8" s="289">
        <f t="shared" si="11"/>
        <v>43069</v>
      </c>
      <c r="AW8" s="289">
        <f t="shared" si="11"/>
        <v>43100</v>
      </c>
      <c r="AX8" s="289">
        <f t="shared" si="11"/>
        <v>43131</v>
      </c>
      <c r="AY8" s="289">
        <f t="shared" si="11"/>
        <v>43159</v>
      </c>
      <c r="AZ8" s="289">
        <f t="shared" si="11"/>
        <v>43190</v>
      </c>
      <c r="BA8" s="289">
        <f t="shared" si="11"/>
        <v>43220</v>
      </c>
      <c r="BB8" s="289">
        <f t="shared" si="11"/>
        <v>43251</v>
      </c>
      <c r="BC8" s="289">
        <f t="shared" si="11"/>
        <v>43281</v>
      </c>
      <c r="BD8" s="289">
        <f t="shared" si="11"/>
        <v>43312</v>
      </c>
      <c r="BE8" s="289">
        <f t="shared" si="11"/>
        <v>43343</v>
      </c>
      <c r="BF8" s="289">
        <f t="shared" si="11"/>
        <v>43373</v>
      </c>
      <c r="BG8" s="289">
        <f t="shared" si="11"/>
        <v>43404</v>
      </c>
      <c r="BH8" s="289">
        <f t="shared" si="11"/>
        <v>43434</v>
      </c>
      <c r="BI8" s="289">
        <f t="shared" si="11"/>
        <v>43465</v>
      </c>
      <c r="BJ8" s="289">
        <f t="shared" si="11"/>
        <v>43496</v>
      </c>
      <c r="BK8" s="289">
        <f t="shared" si="11"/>
        <v>43524</v>
      </c>
      <c r="BL8" s="289">
        <f t="shared" si="11"/>
        <v>43555</v>
      </c>
      <c r="BM8" s="289">
        <f t="shared" si="11"/>
        <v>43585</v>
      </c>
      <c r="BN8" s="289">
        <f t="shared" si="11"/>
        <v>43616</v>
      </c>
      <c r="BO8" s="289">
        <f t="shared" si="11"/>
        <v>43646</v>
      </c>
      <c r="BP8" s="289">
        <f t="shared" si="11"/>
        <v>43677</v>
      </c>
      <c r="BQ8" s="289">
        <f t="shared" si="11"/>
        <v>43708</v>
      </c>
      <c r="BR8" s="289">
        <f t="shared" si="11"/>
        <v>43738</v>
      </c>
      <c r="BS8" s="289">
        <f t="shared" si="11"/>
        <v>43769</v>
      </c>
      <c r="BT8" s="289">
        <f t="shared" si="11"/>
        <v>43799</v>
      </c>
      <c r="BU8" s="289">
        <f t="shared" si="11"/>
        <v>43830</v>
      </c>
      <c r="BV8" s="285"/>
      <c r="BW8" s="285"/>
      <c r="BX8" s="285"/>
      <c r="BY8" s="285"/>
      <c r="BZ8" s="285"/>
      <c r="CA8" s="285"/>
    </row>
    <row r="9" spans="1:79" ht="19.5" customHeight="1" x14ac:dyDescent="0.25">
      <c r="G9" s="289"/>
    </row>
    <row r="10" spans="1:79" s="142" customFormat="1" ht="15.6" x14ac:dyDescent="0.3">
      <c r="A10" s="142">
        <f>Header1</f>
        <v>1</v>
      </c>
      <c r="B10" s="142" t="s">
        <v>221</v>
      </c>
    </row>
    <row r="11" spans="1:79" ht="19.5" customHeight="1" x14ac:dyDescent="0.25"/>
    <row r="12" spans="1:79" s="143" customFormat="1" ht="13.8" x14ac:dyDescent="0.25">
      <c r="B12" s="143" t="str">
        <f>Header2</f>
        <v>1.1</v>
      </c>
      <c r="C12" s="143" t="s">
        <v>236</v>
      </c>
    </row>
    <row r="14" spans="1:79" s="143" customFormat="1" ht="13.8" x14ac:dyDescent="0.25">
      <c r="C14" s="162" t="s">
        <v>2</v>
      </c>
      <c r="F14" s="311"/>
    </row>
    <row r="16" spans="1:79" ht="13.8" x14ac:dyDescent="0.25">
      <c r="B16" s="143"/>
      <c r="C16" s="66" t="s">
        <v>202</v>
      </c>
      <c r="F16" s="108">
        <v>2015</v>
      </c>
    </row>
    <row r="17" spans="2:14" ht="13.8" x14ac:dyDescent="0.25">
      <c r="B17" s="143"/>
      <c r="C17" s="66" t="s">
        <v>201</v>
      </c>
      <c r="F17" s="314">
        <v>42005</v>
      </c>
    </row>
    <row r="18" spans="2:14" x14ac:dyDescent="0.25">
      <c r="J18" s="74"/>
      <c r="K18" s="74"/>
      <c r="L18" s="74"/>
      <c r="M18" s="74"/>
      <c r="N18" s="74"/>
    </row>
    <row r="19" spans="2:14" x14ac:dyDescent="0.25">
      <c r="C19" s="139" t="s">
        <v>239</v>
      </c>
      <c r="F19" s="106">
        <v>3</v>
      </c>
      <c r="J19" s="74"/>
      <c r="K19" s="74"/>
      <c r="L19" s="74"/>
      <c r="M19" s="74"/>
      <c r="N19" s="74"/>
    </row>
    <row r="20" spans="2:14" x14ac:dyDescent="0.25">
      <c r="J20" s="74"/>
      <c r="K20" s="74"/>
      <c r="L20" s="74"/>
      <c r="M20" s="74"/>
      <c r="N20" s="74"/>
    </row>
    <row r="21" spans="2:14" x14ac:dyDescent="0.25">
      <c r="C21" s="66" t="s">
        <v>105</v>
      </c>
      <c r="F21" s="313" t="s">
        <v>460</v>
      </c>
      <c r="I21" s="74"/>
      <c r="J21" s="111"/>
      <c r="K21" s="111"/>
      <c r="L21" s="111"/>
      <c r="M21" s="111"/>
      <c r="N21" s="111"/>
    </row>
    <row r="22" spans="2:14" x14ac:dyDescent="0.25">
      <c r="D22" s="66" t="s">
        <v>71</v>
      </c>
      <c r="F22" s="313" t="s">
        <v>473</v>
      </c>
      <c r="I22" s="111"/>
      <c r="J22" s="111"/>
      <c r="K22" s="111"/>
      <c r="L22" s="111"/>
      <c r="M22" s="111"/>
      <c r="N22" s="111"/>
    </row>
    <row r="23" spans="2:14" x14ac:dyDescent="0.25">
      <c r="D23" s="66" t="s">
        <v>72</v>
      </c>
      <c r="F23" s="313" t="s">
        <v>430</v>
      </c>
      <c r="I23" s="111"/>
      <c r="J23" s="111"/>
      <c r="K23" s="111"/>
      <c r="L23" s="111"/>
      <c r="M23" s="111"/>
      <c r="N23" s="111"/>
    </row>
    <row r="24" spans="2:14" x14ac:dyDescent="0.25">
      <c r="D24" s="66" t="s">
        <v>73</v>
      </c>
      <c r="F24" s="313" t="s">
        <v>431</v>
      </c>
      <c r="I24" s="111"/>
    </row>
    <row r="25" spans="2:14" x14ac:dyDescent="0.25">
      <c r="F25" s="82"/>
      <c r="J25" s="74"/>
      <c r="K25" s="74"/>
      <c r="L25" s="74"/>
      <c r="M25" s="74"/>
      <c r="N25" s="74"/>
    </row>
    <row r="26" spans="2:14" x14ac:dyDescent="0.25">
      <c r="C26" s="66" t="s">
        <v>0</v>
      </c>
      <c r="F26" s="106" t="s">
        <v>151</v>
      </c>
      <c r="I26" s="74"/>
      <c r="J26" s="111"/>
      <c r="K26" s="111"/>
      <c r="L26" s="111"/>
      <c r="M26" s="111"/>
      <c r="N26" s="111"/>
    </row>
    <row r="27" spans="2:14" x14ac:dyDescent="0.25">
      <c r="D27" s="66" t="s">
        <v>74</v>
      </c>
      <c r="F27" s="106" t="s">
        <v>152</v>
      </c>
      <c r="I27" s="111"/>
      <c r="J27" s="111"/>
      <c r="K27" s="111"/>
      <c r="L27" s="111"/>
      <c r="M27" s="111"/>
      <c r="N27" s="111"/>
    </row>
    <row r="28" spans="2:14" x14ac:dyDescent="0.25">
      <c r="D28" s="66" t="s">
        <v>75</v>
      </c>
      <c r="F28" s="106" t="s">
        <v>153</v>
      </c>
      <c r="I28" s="111"/>
      <c r="J28" s="111"/>
      <c r="K28" s="111"/>
      <c r="L28" s="111"/>
      <c r="M28" s="111"/>
      <c r="N28" s="111"/>
    </row>
    <row r="29" spans="2:14" x14ac:dyDescent="0.25">
      <c r="D29" s="66" t="s">
        <v>76</v>
      </c>
      <c r="F29" s="106" t="s">
        <v>154</v>
      </c>
      <c r="I29" s="111"/>
    </row>
    <row r="31" spans="2:14" x14ac:dyDescent="0.25">
      <c r="C31" s="66" t="s">
        <v>1</v>
      </c>
      <c r="F31" s="106" t="s">
        <v>155</v>
      </c>
      <c r="J31" s="111"/>
      <c r="K31" s="111"/>
      <c r="L31" s="111"/>
      <c r="M31" s="111"/>
      <c r="N31" s="111"/>
    </row>
    <row r="32" spans="2:14" x14ac:dyDescent="0.25">
      <c r="D32" s="66" t="s">
        <v>77</v>
      </c>
      <c r="F32" s="106" t="s">
        <v>156</v>
      </c>
      <c r="I32" s="111"/>
      <c r="J32" s="111"/>
      <c r="K32" s="111"/>
      <c r="L32" s="111"/>
      <c r="M32" s="111"/>
      <c r="N32" s="111"/>
    </row>
    <row r="33" spans="2:14" x14ac:dyDescent="0.25">
      <c r="D33" s="66" t="s">
        <v>78</v>
      </c>
      <c r="F33" s="106" t="s">
        <v>157</v>
      </c>
      <c r="I33" s="111"/>
      <c r="J33" s="111"/>
      <c r="K33" s="111"/>
      <c r="L33" s="111"/>
      <c r="M33" s="111"/>
      <c r="N33" s="111"/>
    </row>
    <row r="34" spans="2:14" x14ac:dyDescent="0.25">
      <c r="D34" s="66" t="s">
        <v>79</v>
      </c>
      <c r="F34" s="106" t="s">
        <v>158</v>
      </c>
      <c r="I34" s="111"/>
    </row>
    <row r="36" spans="2:14" s="143" customFormat="1" ht="13.8" x14ac:dyDescent="0.25">
      <c r="B36" s="143" t="str">
        <f>Header2</f>
        <v>1.2</v>
      </c>
      <c r="C36" s="143" t="s">
        <v>221</v>
      </c>
    </row>
    <row r="38" spans="2:14" x14ac:dyDescent="0.25">
      <c r="C38" s="139" t="s">
        <v>240</v>
      </c>
      <c r="F38" s="313" t="s">
        <v>241</v>
      </c>
    </row>
    <row r="40" spans="2:14" x14ac:dyDescent="0.25">
      <c r="C40" s="139" t="s">
        <v>301</v>
      </c>
      <c r="F40" s="238">
        <v>0.01</v>
      </c>
    </row>
    <row r="42" spans="2:14" s="143" customFormat="1" ht="13.8" x14ac:dyDescent="0.25">
      <c r="B42" s="143" t="str">
        <f>Header2</f>
        <v>1.3</v>
      </c>
      <c r="C42" s="143" t="s">
        <v>237</v>
      </c>
    </row>
    <row r="43" spans="2:14" x14ac:dyDescent="0.25">
      <c r="H43" s="110"/>
    </row>
    <row r="44" spans="2:14" x14ac:dyDescent="0.25">
      <c r="C44" s="210" t="s">
        <v>27</v>
      </c>
    </row>
    <row r="45" spans="2:14" x14ac:dyDescent="0.25">
      <c r="D45" s="242" t="str">
        <f>F21</f>
        <v>Test</v>
      </c>
      <c r="E45" s="242"/>
      <c r="F45" s="106">
        <v>0</v>
      </c>
      <c r="G45" s="66" t="s">
        <v>52</v>
      </c>
    </row>
    <row r="46" spans="2:14" x14ac:dyDescent="0.25">
      <c r="D46" s="242" t="str">
        <f>F26</f>
        <v>Insert Business Line2</v>
      </c>
      <c r="E46" s="242"/>
      <c r="F46" s="106">
        <v>0</v>
      </c>
      <c r="G46" s="66" t="s">
        <v>52</v>
      </c>
    </row>
    <row r="47" spans="2:14" x14ac:dyDescent="0.25">
      <c r="D47" s="242" t="str">
        <f>F31</f>
        <v>Insert Business Line3</v>
      </c>
      <c r="E47" s="242"/>
      <c r="F47" s="106">
        <v>0</v>
      </c>
      <c r="G47" s="66" t="s">
        <v>52</v>
      </c>
    </row>
    <row r="49" spans="2:10" x14ac:dyDescent="0.25">
      <c r="C49" s="66" t="s">
        <v>28</v>
      </c>
      <c r="F49" s="313">
        <v>0</v>
      </c>
      <c r="G49" s="66" t="s">
        <v>54</v>
      </c>
    </row>
    <row r="51" spans="2:10" x14ac:dyDescent="0.25">
      <c r="C51" s="66" t="s">
        <v>49</v>
      </c>
    </row>
    <row r="52" spans="2:10" x14ac:dyDescent="0.25">
      <c r="D52" s="66" t="str">
        <f>F21</f>
        <v>Test</v>
      </c>
      <c r="F52" s="313">
        <v>0</v>
      </c>
      <c r="G52" s="66" t="s">
        <v>53</v>
      </c>
      <c r="J52" s="301"/>
    </row>
    <row r="53" spans="2:10" x14ac:dyDescent="0.25">
      <c r="D53" s="66" t="str">
        <f>F26</f>
        <v>Insert Business Line2</v>
      </c>
      <c r="F53" s="106">
        <v>0</v>
      </c>
      <c r="G53" s="66" t="s">
        <v>53</v>
      </c>
    </row>
    <row r="54" spans="2:10" x14ac:dyDescent="0.25">
      <c r="D54" s="66" t="str">
        <f>F31</f>
        <v>Insert Business Line3</v>
      </c>
      <c r="F54" s="106">
        <v>0</v>
      </c>
      <c r="G54" s="66" t="s">
        <v>53</v>
      </c>
    </row>
    <row r="56" spans="2:10" x14ac:dyDescent="0.25">
      <c r="C56" s="66" t="s">
        <v>219</v>
      </c>
      <c r="F56" s="106">
        <v>3</v>
      </c>
      <c r="G56" s="66" t="s">
        <v>220</v>
      </c>
    </row>
    <row r="58" spans="2:10" s="143" customFormat="1" ht="13.8" x14ac:dyDescent="0.25">
      <c r="B58" s="143" t="str">
        <f>Header2</f>
        <v>1.4</v>
      </c>
      <c r="C58" s="143" t="s">
        <v>238</v>
      </c>
    </row>
    <row r="60" spans="2:10" x14ac:dyDescent="0.25">
      <c r="F60" s="161" t="s">
        <v>235</v>
      </c>
      <c r="G60" s="283" t="s">
        <v>350</v>
      </c>
    </row>
    <row r="61" spans="2:10" x14ac:dyDescent="0.25">
      <c r="D61" s="207" t="s">
        <v>30</v>
      </c>
      <c r="E61" s="207"/>
      <c r="F61" s="160" t="s">
        <v>233</v>
      </c>
      <c r="G61" s="106">
        <v>3</v>
      </c>
    </row>
    <row r="62" spans="2:10" x14ac:dyDescent="0.25">
      <c r="D62" s="207" t="s">
        <v>31</v>
      </c>
      <c r="E62" s="207"/>
      <c r="F62" s="160" t="s">
        <v>35</v>
      </c>
      <c r="G62" s="106">
        <v>5</v>
      </c>
    </row>
    <row r="63" spans="2:10" x14ac:dyDescent="0.25">
      <c r="D63" s="207" t="s">
        <v>32</v>
      </c>
      <c r="E63" s="207"/>
      <c r="F63" s="160" t="s">
        <v>234</v>
      </c>
      <c r="G63" s="106">
        <v>25</v>
      </c>
    </row>
    <row r="64" spans="2:10" x14ac:dyDescent="0.25">
      <c r="D64" s="207" t="s">
        <v>33</v>
      </c>
      <c r="E64" s="207"/>
      <c r="F64" s="160" t="s">
        <v>36</v>
      </c>
      <c r="G64" s="106">
        <v>3</v>
      </c>
    </row>
    <row r="65" spans="2:11" x14ac:dyDescent="0.25">
      <c r="D65" s="207" t="s">
        <v>34</v>
      </c>
      <c r="E65" s="207"/>
      <c r="F65" s="160" t="s">
        <v>3</v>
      </c>
      <c r="G65" s="106">
        <v>4</v>
      </c>
    </row>
    <row r="68" spans="2:11" s="143" customFormat="1" ht="13.8" x14ac:dyDescent="0.25">
      <c r="B68" s="143" t="str">
        <f>Header2</f>
        <v>1.5</v>
      </c>
      <c r="C68" s="143" t="s">
        <v>390</v>
      </c>
    </row>
    <row r="70" spans="2:11" x14ac:dyDescent="0.25">
      <c r="C70" s="139" t="s">
        <v>244</v>
      </c>
      <c r="F70" s="209" t="s">
        <v>223</v>
      </c>
      <c r="G70" s="160" t="s">
        <v>37</v>
      </c>
      <c r="H70" s="160" t="s">
        <v>38</v>
      </c>
      <c r="I70" s="160" t="s">
        <v>39</v>
      </c>
      <c r="J70" s="160" t="s">
        <v>40</v>
      </c>
      <c r="K70" s="160" t="s">
        <v>41</v>
      </c>
    </row>
    <row r="71" spans="2:11" x14ac:dyDescent="0.25">
      <c r="C71" s="139" t="s">
        <v>249</v>
      </c>
      <c r="D71" s="301" t="s">
        <v>389</v>
      </c>
      <c r="F71" s="310" t="s">
        <v>187</v>
      </c>
      <c r="G71" s="209">
        <v>0</v>
      </c>
      <c r="H71" s="209">
        <v>0</v>
      </c>
      <c r="I71" s="209">
        <v>0</v>
      </c>
      <c r="J71" s="209">
        <v>0</v>
      </c>
      <c r="K71" s="209">
        <v>0</v>
      </c>
    </row>
    <row r="72" spans="2:11" x14ac:dyDescent="0.25">
      <c r="C72" s="139" t="s">
        <v>257</v>
      </c>
      <c r="D72" s="301" t="s">
        <v>392</v>
      </c>
      <c r="F72" s="312">
        <f>F17</f>
        <v>42005</v>
      </c>
      <c r="G72" s="225">
        <v>41365</v>
      </c>
      <c r="H72" s="225">
        <v>41456</v>
      </c>
      <c r="I72" s="225">
        <v>41821</v>
      </c>
      <c r="J72" s="225">
        <v>41821</v>
      </c>
      <c r="K72" s="225">
        <v>42186</v>
      </c>
    </row>
    <row r="73" spans="2:11" x14ac:dyDescent="0.25">
      <c r="C73" s="269" t="s">
        <v>376</v>
      </c>
      <c r="F73" s="209">
        <v>5</v>
      </c>
      <c r="G73" s="209">
        <v>2</v>
      </c>
      <c r="H73" s="209">
        <v>5</v>
      </c>
      <c r="I73" s="209">
        <v>5</v>
      </c>
      <c r="J73" s="209">
        <v>5</v>
      </c>
      <c r="K73" s="209">
        <v>5</v>
      </c>
    </row>
    <row r="74" spans="2:11" x14ac:dyDescent="0.25">
      <c r="C74" s="323" t="s">
        <v>467</v>
      </c>
      <c r="D74" s="301" t="s">
        <v>472</v>
      </c>
      <c r="F74" s="209">
        <v>1</v>
      </c>
      <c r="G74" s="209">
        <v>1</v>
      </c>
      <c r="H74" s="209">
        <v>1</v>
      </c>
      <c r="I74" s="209">
        <v>1</v>
      </c>
      <c r="J74" s="209">
        <v>1</v>
      </c>
      <c r="K74" s="209">
        <v>1</v>
      </c>
    </row>
    <row r="75" spans="2:11" x14ac:dyDescent="0.25">
      <c r="C75" s="323" t="s">
        <v>258</v>
      </c>
      <c r="D75" s="301" t="s">
        <v>472</v>
      </c>
      <c r="F75" s="209">
        <v>1</v>
      </c>
      <c r="G75" s="209">
        <v>1</v>
      </c>
      <c r="H75" s="209">
        <v>1</v>
      </c>
      <c r="I75" s="209">
        <v>1</v>
      </c>
      <c r="J75" s="209">
        <v>1</v>
      </c>
      <c r="K75" s="209">
        <v>1</v>
      </c>
    </row>
    <row r="76" spans="2:11" x14ac:dyDescent="0.25">
      <c r="C76" s="269" t="s">
        <v>334</v>
      </c>
      <c r="F76" s="270">
        <v>5.0000000000000001E-3</v>
      </c>
      <c r="G76" s="270">
        <v>5.0000000000000001E-3</v>
      </c>
      <c r="H76" s="270">
        <v>5.0000000000000001E-3</v>
      </c>
      <c r="I76" s="270">
        <v>5.0000000000000001E-3</v>
      </c>
      <c r="J76" s="270">
        <v>5.0000000000000001E-3</v>
      </c>
      <c r="K76" s="270">
        <v>5.0000000000000001E-3</v>
      </c>
    </row>
    <row r="77" spans="2:11" x14ac:dyDescent="0.25">
      <c r="C77" s="269" t="s">
        <v>333</v>
      </c>
      <c r="F77" s="270">
        <v>4.4999999999999998E-2</v>
      </c>
      <c r="G77" s="270">
        <v>0.03</v>
      </c>
      <c r="H77" s="270">
        <v>0.03</v>
      </c>
      <c r="I77" s="270">
        <v>0.03</v>
      </c>
      <c r="J77" s="270">
        <v>0.03</v>
      </c>
      <c r="K77" s="270">
        <v>0.03</v>
      </c>
    </row>
    <row r="78" spans="2:11" x14ac:dyDescent="0.25">
      <c r="C78" s="155" t="s">
        <v>247</v>
      </c>
      <c r="F78" s="271">
        <f>F77+F76</f>
        <v>4.9999999999999996E-2</v>
      </c>
      <c r="G78" s="271">
        <f t="shared" ref="G78:K78" si="12">G77+G76</f>
        <v>3.4999999999999996E-2</v>
      </c>
      <c r="H78" s="271">
        <f t="shared" si="12"/>
        <v>3.4999999999999996E-2</v>
      </c>
      <c r="I78" s="271">
        <f t="shared" si="12"/>
        <v>3.4999999999999996E-2</v>
      </c>
      <c r="J78" s="271">
        <f t="shared" si="12"/>
        <v>3.4999999999999996E-2</v>
      </c>
      <c r="K78" s="271">
        <f t="shared" si="12"/>
        <v>3.4999999999999996E-2</v>
      </c>
    </row>
    <row r="79" spans="2:11" ht="13.8" x14ac:dyDescent="0.25">
      <c r="C79" s="155"/>
      <c r="F79" s="143"/>
      <c r="G79" s="143"/>
      <c r="H79" s="143"/>
      <c r="I79" s="143"/>
      <c r="J79" s="143"/>
      <c r="K79" s="143"/>
    </row>
    <row r="80" spans="2:11" ht="13.8" x14ac:dyDescent="0.25">
      <c r="C80" s="269" t="s">
        <v>384</v>
      </c>
      <c r="F80" s="270">
        <v>0</v>
      </c>
      <c r="G80" s="143"/>
      <c r="H80" s="143"/>
      <c r="I80" s="143"/>
      <c r="J80" s="143"/>
      <c r="K80" s="143"/>
    </row>
    <row r="81" spans="2:13" x14ac:dyDescent="0.25">
      <c r="C81" s="269" t="s">
        <v>386</v>
      </c>
      <c r="F81" s="270">
        <v>0</v>
      </c>
      <c r="G81" s="300"/>
      <c r="H81" s="300"/>
      <c r="I81" s="300"/>
      <c r="J81" s="300"/>
      <c r="K81" s="300"/>
    </row>
    <row r="83" spans="2:13" s="143" customFormat="1" ht="13.8" x14ac:dyDescent="0.25">
      <c r="B83" s="143" t="str">
        <f>Header2</f>
        <v>1.6</v>
      </c>
      <c r="C83" s="143" t="s">
        <v>295</v>
      </c>
    </row>
    <row r="85" spans="2:13" x14ac:dyDescent="0.25">
      <c r="C85" s="139" t="s">
        <v>244</v>
      </c>
      <c r="F85" s="209" t="s">
        <v>370</v>
      </c>
      <c r="G85" s="160" t="s">
        <v>371</v>
      </c>
      <c r="H85" s="160" t="s">
        <v>372</v>
      </c>
      <c r="I85" s="160" t="s">
        <v>373</v>
      </c>
      <c r="J85" s="160" t="s">
        <v>374</v>
      </c>
      <c r="K85" s="160" t="s">
        <v>375</v>
      </c>
    </row>
    <row r="86" spans="2:13" x14ac:dyDescent="0.25">
      <c r="C86" s="139" t="s">
        <v>249</v>
      </c>
      <c r="D86" s="301" t="s">
        <v>389</v>
      </c>
      <c r="F86" s="74" t="s">
        <v>187</v>
      </c>
      <c r="G86" s="209"/>
      <c r="H86" s="209"/>
      <c r="I86" s="209"/>
      <c r="J86" s="209"/>
      <c r="K86" s="209"/>
    </row>
    <row r="87" spans="2:13" x14ac:dyDescent="0.25">
      <c r="C87" s="139" t="s">
        <v>257</v>
      </c>
      <c r="D87" s="301" t="s">
        <v>392</v>
      </c>
      <c r="F87" s="312">
        <f>F17</f>
        <v>42005</v>
      </c>
      <c r="G87" s="302">
        <v>41395</v>
      </c>
      <c r="H87" s="302">
        <v>41548</v>
      </c>
      <c r="I87" s="225">
        <v>41456</v>
      </c>
      <c r="J87" s="225">
        <v>41974</v>
      </c>
      <c r="K87" s="225">
        <v>42186</v>
      </c>
    </row>
    <row r="88" spans="2:13" x14ac:dyDescent="0.25">
      <c r="C88" s="269" t="s">
        <v>351</v>
      </c>
      <c r="F88" s="209">
        <v>5</v>
      </c>
      <c r="G88" s="209">
        <v>5</v>
      </c>
      <c r="H88" s="209">
        <v>5</v>
      </c>
      <c r="I88" s="209">
        <v>5</v>
      </c>
      <c r="J88" s="209">
        <v>5</v>
      </c>
      <c r="K88" s="209">
        <v>5</v>
      </c>
    </row>
    <row r="90" spans="2:13" s="143" customFormat="1" ht="13.8" x14ac:dyDescent="0.25">
      <c r="B90" s="143" t="str">
        <f>Header2</f>
        <v>1.7</v>
      </c>
      <c r="C90" s="143" t="s">
        <v>318</v>
      </c>
    </row>
    <row r="92" spans="2:13" x14ac:dyDescent="0.25">
      <c r="C92" s="241" t="s">
        <v>322</v>
      </c>
      <c r="F92" s="107">
        <v>0.13800000000000001</v>
      </c>
      <c r="G92" s="66" t="s">
        <v>6</v>
      </c>
    </row>
    <row r="93" spans="2:13" s="304" customFormat="1" x14ac:dyDescent="0.25">
      <c r="F93" s="310"/>
    </row>
    <row r="94" spans="2:13" s="304" customFormat="1" x14ac:dyDescent="0.25">
      <c r="C94" s="304" t="s">
        <v>428</v>
      </c>
      <c r="F94" s="311">
        <v>0</v>
      </c>
      <c r="G94" s="304" t="s">
        <v>6</v>
      </c>
    </row>
    <row r="95" spans="2:13" x14ac:dyDescent="0.25">
      <c r="F95" s="74"/>
    </row>
    <row r="96" spans="2:13" x14ac:dyDescent="0.25">
      <c r="C96" s="241" t="s">
        <v>321</v>
      </c>
      <c r="F96" s="107">
        <v>0.2</v>
      </c>
      <c r="G96" s="66" t="s">
        <v>7</v>
      </c>
      <c r="M96" s="109"/>
    </row>
    <row r="97" spans="1:7" x14ac:dyDescent="0.25">
      <c r="F97" s="110"/>
    </row>
    <row r="98" spans="1:7" x14ac:dyDescent="0.25">
      <c r="C98" s="304" t="s">
        <v>484</v>
      </c>
      <c r="F98" s="314">
        <v>42094</v>
      </c>
    </row>
    <row r="99" spans="1:7" x14ac:dyDescent="0.25">
      <c r="F99" s="110"/>
    </row>
    <row r="100" spans="1:7" ht="13.8" x14ac:dyDescent="0.25">
      <c r="B100" s="143"/>
      <c r="C100" s="66" t="s">
        <v>183</v>
      </c>
      <c r="F100" s="107">
        <v>0.2</v>
      </c>
    </row>
    <row r="101" spans="1:7" ht="13.8" x14ac:dyDescent="0.25">
      <c r="B101" s="143"/>
      <c r="C101" s="304" t="s">
        <v>422</v>
      </c>
      <c r="F101" s="209">
        <v>3</v>
      </c>
    </row>
    <row r="103" spans="1:7" x14ac:dyDescent="0.25">
      <c r="C103" s="255" t="s">
        <v>314</v>
      </c>
      <c r="D103" s="74" t="str">
        <f>unit</f>
        <v>£</v>
      </c>
      <c r="E103" s="74"/>
      <c r="F103" s="209">
        <v>0</v>
      </c>
    </row>
    <row r="105" spans="1:7" s="142" customFormat="1" ht="15.6" x14ac:dyDescent="0.3">
      <c r="A105" s="142">
        <f>Header1</f>
        <v>2</v>
      </c>
      <c r="B105" s="142" t="s">
        <v>331</v>
      </c>
    </row>
    <row r="107" spans="1:7" x14ac:dyDescent="0.25">
      <c r="C107" s="255" t="s">
        <v>203</v>
      </c>
      <c r="E107" s="66">
        <f>$E$5</f>
        <v>2012</v>
      </c>
      <c r="F107" s="66">
        <f>$F$5</f>
        <v>2013</v>
      </c>
      <c r="G107" s="66">
        <f>$G$5</f>
        <v>2014</v>
      </c>
    </row>
    <row r="108" spans="1:7" x14ac:dyDescent="0.25">
      <c r="C108" s="255" t="s">
        <v>206</v>
      </c>
      <c r="E108" s="221">
        <f>$E$7</f>
        <v>40909</v>
      </c>
      <c r="F108" s="221">
        <f>$F$7</f>
        <v>41275</v>
      </c>
      <c r="G108" s="221">
        <f>$G$7</f>
        <v>41640</v>
      </c>
    </row>
    <row r="109" spans="1:7" x14ac:dyDescent="0.25">
      <c r="C109" s="255" t="s">
        <v>205</v>
      </c>
      <c r="E109" s="221">
        <f>$E$8</f>
        <v>41274</v>
      </c>
      <c r="F109" s="221">
        <f>$F$8</f>
        <v>41639</v>
      </c>
      <c r="G109" s="221">
        <f>$G$8</f>
        <v>42004</v>
      </c>
    </row>
    <row r="111" spans="1:7" ht="14.4" x14ac:dyDescent="0.3">
      <c r="C111" s="147" t="s">
        <v>224</v>
      </c>
      <c r="D111" s="231" t="str">
        <f t="shared" ref="D111:D116" si="13">unit</f>
        <v>£</v>
      </c>
      <c r="E111" s="256">
        <f>SUM(E112:E116)</f>
        <v>0</v>
      </c>
      <c r="F111" s="256">
        <f>SUM(F112:F116)</f>
        <v>0</v>
      </c>
      <c r="G111" s="256">
        <f>SUM(G112:G116)</f>
        <v>0</v>
      </c>
    </row>
    <row r="112" spans="1:7" x14ac:dyDescent="0.25">
      <c r="C112" s="250" t="str">
        <f>KeyInputs!F61</f>
        <v>ICT equipement</v>
      </c>
      <c r="D112" s="231" t="str">
        <f t="shared" si="13"/>
        <v>£</v>
      </c>
      <c r="E112" s="257"/>
      <c r="F112" s="257"/>
      <c r="G112" s="257">
        <v>0</v>
      </c>
    </row>
    <row r="113" spans="3:7" x14ac:dyDescent="0.25">
      <c r="C113" s="250" t="str">
        <f>KeyInputs!F62</f>
        <v>F&amp;F</v>
      </c>
      <c r="D113" s="231" t="str">
        <f t="shared" si="13"/>
        <v>£</v>
      </c>
      <c r="E113" s="257"/>
      <c r="F113" s="257"/>
      <c r="G113" s="257">
        <v>0</v>
      </c>
    </row>
    <row r="114" spans="3:7" x14ac:dyDescent="0.25">
      <c r="C114" s="250" t="str">
        <f>KeyInputs!F63</f>
        <v xml:space="preserve">Property </v>
      </c>
      <c r="D114" s="231" t="str">
        <f t="shared" si="13"/>
        <v>£</v>
      </c>
      <c r="E114" s="257"/>
      <c r="F114" s="257"/>
      <c r="G114" s="257">
        <v>0</v>
      </c>
    </row>
    <row r="115" spans="3:7" x14ac:dyDescent="0.25">
      <c r="C115" s="250" t="str">
        <f>KeyInputs!F64</f>
        <v>Vehicles</v>
      </c>
      <c r="D115" s="231" t="str">
        <f t="shared" si="13"/>
        <v>£</v>
      </c>
      <c r="E115" s="257"/>
      <c r="F115" s="257"/>
      <c r="G115" s="257">
        <v>0</v>
      </c>
    </row>
    <row r="116" spans="3:7" x14ac:dyDescent="0.25">
      <c r="C116" s="250" t="str">
        <f>KeyInputs!F65</f>
        <v>n/a</v>
      </c>
      <c r="D116" s="231" t="str">
        <f t="shared" si="13"/>
        <v>£</v>
      </c>
      <c r="E116" s="257"/>
      <c r="F116" s="257"/>
      <c r="G116" s="257">
        <v>0</v>
      </c>
    </row>
    <row r="117" spans="3:7" ht="14.4" x14ac:dyDescent="0.3">
      <c r="C117" s="147"/>
      <c r="D117" s="147"/>
      <c r="E117"/>
      <c r="F117"/>
      <c r="G117"/>
    </row>
    <row r="118" spans="3:7" ht="14.4" x14ac:dyDescent="0.3">
      <c r="C118" s="147" t="s">
        <v>196</v>
      </c>
      <c r="D118" s="231" t="str">
        <f>unit</f>
        <v>£</v>
      </c>
      <c r="E118" s="256">
        <f>SUM(E119:E121)</f>
        <v>0</v>
      </c>
      <c r="F118" s="256">
        <f>SUM(F119:F121)</f>
        <v>0</v>
      </c>
      <c r="G118" s="256">
        <f>SUM(G119:G121)</f>
        <v>0</v>
      </c>
    </row>
    <row r="119" spans="3:7" x14ac:dyDescent="0.25">
      <c r="C119" s="250" t="str">
        <f>WorkingCapital!C14</f>
        <v>Test</v>
      </c>
      <c r="D119" s="231" t="str">
        <f>unit</f>
        <v>£</v>
      </c>
      <c r="E119" s="257"/>
      <c r="F119" s="257"/>
      <c r="G119" s="257">
        <v>0</v>
      </c>
    </row>
    <row r="120" spans="3:7" x14ac:dyDescent="0.25">
      <c r="C120" s="250" t="str">
        <f>WorkingCapital!C25</f>
        <v>Insert Business Line2</v>
      </c>
      <c r="D120" s="231" t="str">
        <f>unit</f>
        <v>£</v>
      </c>
      <c r="E120" s="257"/>
      <c r="F120" s="257"/>
      <c r="G120" s="257"/>
    </row>
    <row r="121" spans="3:7" x14ac:dyDescent="0.25">
      <c r="C121" s="250" t="str">
        <f>WorkingCapital!C36</f>
        <v>Insert Business Line3</v>
      </c>
      <c r="D121" s="231" t="str">
        <f>unit</f>
        <v>£</v>
      </c>
      <c r="E121" s="257"/>
      <c r="F121" s="257"/>
      <c r="G121" s="257">
        <v>0</v>
      </c>
    </row>
    <row r="122" spans="3:7" ht="14.4" x14ac:dyDescent="0.3">
      <c r="C122" s="147"/>
      <c r="D122" s="147"/>
      <c r="E122"/>
      <c r="F122"/>
      <c r="G122"/>
    </row>
    <row r="123" spans="3:7" ht="14.4" x14ac:dyDescent="0.3">
      <c r="C123" s="147" t="s">
        <v>283</v>
      </c>
      <c r="D123" s="231" t="str">
        <f>unit</f>
        <v>£</v>
      </c>
      <c r="E123" s="256">
        <f>SUM(E124:E126)</f>
        <v>0</v>
      </c>
      <c r="F123" s="256">
        <f>SUM(F124:F126)</f>
        <v>0</v>
      </c>
      <c r="G123" s="256">
        <f>SUM(G124:G126)</f>
        <v>0</v>
      </c>
    </row>
    <row r="124" spans="3:7" x14ac:dyDescent="0.25">
      <c r="C124" s="250" t="str">
        <f>WorkingCapital!C49</f>
        <v>Test</v>
      </c>
      <c r="D124" s="231" t="str">
        <f>unit</f>
        <v>£</v>
      </c>
      <c r="E124" s="257"/>
      <c r="F124" s="257"/>
      <c r="G124" s="257">
        <v>0</v>
      </c>
    </row>
    <row r="125" spans="3:7" x14ac:dyDescent="0.25">
      <c r="C125" s="250" t="str">
        <f>WorkingCapital!C60</f>
        <v>Insert Business Line2</v>
      </c>
      <c r="D125" s="231" t="str">
        <f>unit</f>
        <v>£</v>
      </c>
      <c r="E125" s="257"/>
      <c r="F125" s="257"/>
      <c r="G125" s="257">
        <v>0</v>
      </c>
    </row>
    <row r="126" spans="3:7" x14ac:dyDescent="0.25">
      <c r="C126" s="250" t="str">
        <f>WorkingCapital!C71</f>
        <v>Insert Business Line3</v>
      </c>
      <c r="D126" s="231" t="str">
        <f>unit</f>
        <v>£</v>
      </c>
      <c r="E126" s="257"/>
      <c r="F126" s="257"/>
      <c r="G126" s="257">
        <v>0</v>
      </c>
    </row>
    <row r="127" spans="3:7" ht="14.4" x14ac:dyDescent="0.3">
      <c r="C127" s="147"/>
      <c r="D127" s="231"/>
      <c r="E127"/>
      <c r="F127"/>
      <c r="G127"/>
    </row>
    <row r="128" spans="3:7" x14ac:dyDescent="0.25">
      <c r="C128" s="147" t="s">
        <v>284</v>
      </c>
      <c r="D128" s="231" t="str">
        <f>unit</f>
        <v>£</v>
      </c>
      <c r="E128" s="257"/>
      <c r="F128" s="257">
        <v>0</v>
      </c>
      <c r="G128" s="315"/>
    </row>
    <row r="129" spans="3:7" ht="14.4" x14ac:dyDescent="0.3">
      <c r="C129" s="147"/>
      <c r="D129" s="147"/>
      <c r="E129"/>
      <c r="F129"/>
      <c r="G129"/>
    </row>
    <row r="130" spans="3:7" x14ac:dyDescent="0.25">
      <c r="C130" s="147" t="s">
        <v>285</v>
      </c>
      <c r="D130" s="231" t="str">
        <f t="shared" ref="D130:D136" si="14">unit</f>
        <v>£</v>
      </c>
      <c r="E130" s="257"/>
      <c r="F130" s="257">
        <v>0</v>
      </c>
      <c r="G130" s="257">
        <v>0</v>
      </c>
    </row>
    <row r="131" spans="3:7" x14ac:dyDescent="0.25">
      <c r="C131" s="147" t="s">
        <v>212</v>
      </c>
      <c r="D131" s="231" t="str">
        <f t="shared" si="14"/>
        <v>£</v>
      </c>
      <c r="E131" s="257"/>
      <c r="F131" s="257"/>
      <c r="G131" s="257"/>
    </row>
    <row r="132" spans="3:7" x14ac:dyDescent="0.25">
      <c r="C132" s="147" t="s">
        <v>415</v>
      </c>
      <c r="D132" s="231" t="str">
        <f t="shared" si="14"/>
        <v>£</v>
      </c>
      <c r="E132" s="257"/>
      <c r="F132" s="257"/>
      <c r="G132" s="257"/>
    </row>
    <row r="133" spans="3:7" x14ac:dyDescent="0.25">
      <c r="C133" s="147" t="s">
        <v>286</v>
      </c>
      <c r="D133" s="231" t="str">
        <f t="shared" si="14"/>
        <v>£</v>
      </c>
      <c r="E133" s="257"/>
      <c r="F133" s="257"/>
      <c r="G133" s="257">
        <v>0</v>
      </c>
    </row>
    <row r="134" spans="3:7" x14ac:dyDescent="0.25">
      <c r="C134" s="147" t="s">
        <v>287</v>
      </c>
      <c r="D134" s="231" t="str">
        <f t="shared" si="14"/>
        <v>£</v>
      </c>
      <c r="E134" s="257"/>
      <c r="F134" s="257"/>
      <c r="G134" s="257">
        <v>0</v>
      </c>
    </row>
    <row r="135" spans="3:7" x14ac:dyDescent="0.25">
      <c r="C135" s="147" t="s">
        <v>377</v>
      </c>
      <c r="D135" s="231" t="str">
        <f t="shared" si="14"/>
        <v>£</v>
      </c>
      <c r="E135" s="257"/>
      <c r="F135" s="257"/>
      <c r="G135" s="257">
        <v>0</v>
      </c>
    </row>
    <row r="136" spans="3:7" x14ac:dyDescent="0.25">
      <c r="C136" s="147" t="s">
        <v>268</v>
      </c>
      <c r="D136" s="231" t="str">
        <f t="shared" si="14"/>
        <v>£</v>
      </c>
      <c r="E136" s="257"/>
      <c r="F136" s="257"/>
      <c r="G136" s="257">
        <v>0</v>
      </c>
    </row>
    <row r="137" spans="3:7" ht="14.4" x14ac:dyDescent="0.3">
      <c r="C137" s="147"/>
      <c r="D137" s="147"/>
      <c r="E137"/>
      <c r="F137"/>
      <c r="G137"/>
    </row>
    <row r="138" spans="3:7" ht="14.4" x14ac:dyDescent="0.3">
      <c r="C138" s="211" t="s">
        <v>288</v>
      </c>
      <c r="D138" s="248" t="str">
        <f>unit</f>
        <v>£</v>
      </c>
      <c r="E138" s="258">
        <f>SUM(E130:E137,E128,E123,E118,E111)</f>
        <v>0</v>
      </c>
      <c r="F138" s="258">
        <f>SUM(F130:F137,F128,F123,F118,F111)</f>
        <v>0</v>
      </c>
      <c r="G138" s="258">
        <f>SUM(G130:G137,G128,G123,G118,G111)</f>
        <v>0</v>
      </c>
    </row>
    <row r="139" spans="3:7" ht="14.4" x14ac:dyDescent="0.3">
      <c r="C139" s="147"/>
      <c r="D139" s="147"/>
      <c r="E139"/>
      <c r="F139"/>
      <c r="G139"/>
    </row>
    <row r="140" spans="3:7" x14ac:dyDescent="0.25">
      <c r="C140" s="147" t="s">
        <v>289</v>
      </c>
      <c r="D140" s="231" t="str">
        <f>unit</f>
        <v>£</v>
      </c>
      <c r="E140" s="257"/>
      <c r="F140" s="257"/>
      <c r="G140" s="257"/>
    </row>
    <row r="141" spans="3:7" x14ac:dyDescent="0.25">
      <c r="C141" s="147" t="s">
        <v>290</v>
      </c>
      <c r="D141" s="231" t="str">
        <f>unit</f>
        <v>£</v>
      </c>
      <c r="E141" s="257"/>
      <c r="F141" s="257"/>
      <c r="G141" s="257"/>
    </row>
    <row r="142" spans="3:7" ht="14.4" x14ac:dyDescent="0.3">
      <c r="C142" s="147"/>
      <c r="D142" s="147"/>
      <c r="E142"/>
      <c r="F142"/>
      <c r="G142"/>
    </row>
    <row r="143" spans="3:7" ht="14.4" x14ac:dyDescent="0.3">
      <c r="C143" s="211" t="s">
        <v>291</v>
      </c>
      <c r="D143" s="248" t="str">
        <f>unit</f>
        <v>£</v>
      </c>
      <c r="E143" s="258">
        <f>SUM(E140:E142)</f>
        <v>0</v>
      </c>
      <c r="F143" s="258">
        <f>SUM(F140:F142)</f>
        <v>0</v>
      </c>
      <c r="G143" s="258">
        <f>SUM(G140:G142)</f>
        <v>0</v>
      </c>
    </row>
    <row r="144" spans="3:7" ht="14.4" x14ac:dyDescent="0.3">
      <c r="C144" s="147"/>
      <c r="D144" s="147"/>
      <c r="E144"/>
      <c r="F144"/>
      <c r="G144"/>
    </row>
    <row r="145" spans="1:8" x14ac:dyDescent="0.25">
      <c r="C145" s="211" t="s">
        <v>338</v>
      </c>
      <c r="D145" s="147"/>
      <c r="E145" s="253">
        <f>IF(ABS(E138-E143)&gt;Tolerance,1,0)</f>
        <v>0</v>
      </c>
      <c r="F145" s="253">
        <f>IF(ABS(F138-F143)&gt;Tolerance,1,0)</f>
        <v>0</v>
      </c>
      <c r="G145" s="253">
        <f>IF(ABS(G138-G143)&gt;Tolerance,1,0)</f>
        <v>0</v>
      </c>
    </row>
    <row r="146" spans="1:8" x14ac:dyDescent="0.25">
      <c r="C146" s="211" t="s">
        <v>339</v>
      </c>
      <c r="D146" s="147"/>
      <c r="E146" s="274" t="s">
        <v>187</v>
      </c>
      <c r="F146" s="274" t="str">
        <f>IF(F141-E141=F188,"OK","ERROR")</f>
        <v>OK</v>
      </c>
      <c r="G146" s="274" t="str">
        <f>IF(G141-F141=G188,"OK","ERROR")</f>
        <v>OK</v>
      </c>
    </row>
    <row r="147" spans="1:8" x14ac:dyDescent="0.25">
      <c r="C147" s="211" t="s">
        <v>341</v>
      </c>
      <c r="D147" s="147"/>
      <c r="E147" s="274" t="s">
        <v>187</v>
      </c>
      <c r="F147" s="274" t="str">
        <f>IF(SUM(F128:F130)-SUM(E128:E130)=F219,"OK","ERROR")</f>
        <v>OK</v>
      </c>
      <c r="G147" s="274" t="str">
        <f>IF(SUM(G128:G130)-SUM(F128:F130)=G219,"OK","ERROR")</f>
        <v>OK</v>
      </c>
    </row>
    <row r="148" spans="1:8" x14ac:dyDescent="0.25">
      <c r="C148" s="211"/>
      <c r="D148" s="147"/>
      <c r="E148" s="147"/>
      <c r="F148" s="147"/>
      <c r="G148" s="147"/>
      <c r="H148" s="253"/>
    </row>
    <row r="149" spans="1:8" s="142" customFormat="1" ht="15.6" x14ac:dyDescent="0.3">
      <c r="A149" s="142">
        <f>Header1</f>
        <v>3</v>
      </c>
      <c r="B149" s="142" t="s">
        <v>335</v>
      </c>
    </row>
    <row r="151" spans="1:8" x14ac:dyDescent="0.25">
      <c r="C151" s="255" t="s">
        <v>203</v>
      </c>
      <c r="E151" s="66">
        <f>$E$5</f>
        <v>2012</v>
      </c>
      <c r="F151" s="66">
        <f>$F$5</f>
        <v>2013</v>
      </c>
      <c r="G151" s="66">
        <f>$G$5</f>
        <v>2014</v>
      </c>
    </row>
    <row r="152" spans="1:8" x14ac:dyDescent="0.25">
      <c r="C152" s="255" t="s">
        <v>206</v>
      </c>
      <c r="E152" s="221">
        <f>$E$7</f>
        <v>40909</v>
      </c>
      <c r="F152" s="221">
        <f>$F$7</f>
        <v>41275</v>
      </c>
      <c r="G152" s="221">
        <f>$G$7</f>
        <v>41640</v>
      </c>
    </row>
    <row r="153" spans="1:8" x14ac:dyDescent="0.25">
      <c r="C153" s="255" t="s">
        <v>205</v>
      </c>
      <c r="E153" s="221">
        <f>$E$8</f>
        <v>41274</v>
      </c>
      <c r="F153" s="221">
        <f>$F$8</f>
        <v>41639</v>
      </c>
      <c r="G153" s="221">
        <f>$G$8</f>
        <v>42004</v>
      </c>
    </row>
    <row r="154" spans="1:8" x14ac:dyDescent="0.25">
      <c r="C154" s="255"/>
      <c r="E154" s="221"/>
      <c r="F154" s="221"/>
      <c r="G154" s="221"/>
    </row>
    <row r="155" spans="1:8" x14ac:dyDescent="0.25">
      <c r="C155" s="147" t="s">
        <v>265</v>
      </c>
      <c r="D155" s="231" t="str">
        <f>unit</f>
        <v>£</v>
      </c>
      <c r="E155" s="272">
        <f>SUM(E156:E158)</f>
        <v>0</v>
      </c>
      <c r="F155" s="272">
        <f>SUM(F156:F158)</f>
        <v>0</v>
      </c>
      <c r="G155" s="272">
        <f t="shared" ref="G155" si="15">SUM(G156:G158)</f>
        <v>0</v>
      </c>
    </row>
    <row r="156" spans="1:8" x14ac:dyDescent="0.25">
      <c r="C156" s="249" t="str">
        <f>F21</f>
        <v>Test</v>
      </c>
      <c r="D156" s="231" t="str">
        <f>unit</f>
        <v>£</v>
      </c>
      <c r="E156" s="257"/>
      <c r="F156" s="257"/>
      <c r="G156" s="257">
        <v>0</v>
      </c>
    </row>
    <row r="157" spans="1:8" x14ac:dyDescent="0.25">
      <c r="C157" s="249" t="str">
        <f>F26</f>
        <v>Insert Business Line2</v>
      </c>
      <c r="D157" s="231" t="str">
        <f>unit</f>
        <v>£</v>
      </c>
      <c r="E157" s="257"/>
      <c r="F157" s="257"/>
      <c r="G157" s="257"/>
    </row>
    <row r="158" spans="1:8" x14ac:dyDescent="0.25">
      <c r="C158" s="249" t="str">
        <f>F31</f>
        <v>Insert Business Line3</v>
      </c>
      <c r="D158" s="231" t="str">
        <f>unit</f>
        <v>£</v>
      </c>
      <c r="E158" s="257"/>
      <c r="F158" s="257"/>
      <c r="G158" s="257"/>
    </row>
    <row r="159" spans="1:8" x14ac:dyDescent="0.25">
      <c r="C159" s="147"/>
    </row>
    <row r="160" spans="1:8" x14ac:dyDescent="0.25">
      <c r="C160" s="147" t="s">
        <v>148</v>
      </c>
      <c r="D160" s="231" t="str">
        <f>unit</f>
        <v>£</v>
      </c>
      <c r="E160" s="272">
        <f>SUM(E161:E163)</f>
        <v>0</v>
      </c>
      <c r="F160" s="272">
        <f>SUM(F161:F163)</f>
        <v>0</v>
      </c>
      <c r="G160" s="272">
        <f t="shared" ref="G160" si="16">SUM(G161:G163)</f>
        <v>0</v>
      </c>
    </row>
    <row r="161" spans="3:7" x14ac:dyDescent="0.25">
      <c r="C161" s="249" t="str">
        <f>C156</f>
        <v>Test</v>
      </c>
      <c r="D161" s="231" t="str">
        <f>unit</f>
        <v>£</v>
      </c>
      <c r="E161" s="257"/>
      <c r="F161" s="257"/>
      <c r="G161" s="257"/>
    </row>
    <row r="162" spans="3:7" x14ac:dyDescent="0.25">
      <c r="C162" s="249" t="str">
        <f t="shared" ref="C162:C163" si="17">C157</f>
        <v>Insert Business Line2</v>
      </c>
      <c r="D162" s="231" t="str">
        <f>unit</f>
        <v>£</v>
      </c>
      <c r="E162" s="257"/>
      <c r="F162" s="257"/>
      <c r="G162" s="257"/>
    </row>
    <row r="163" spans="3:7" x14ac:dyDescent="0.25">
      <c r="C163" s="249" t="str">
        <f t="shared" si="17"/>
        <v>Insert Business Line3</v>
      </c>
      <c r="D163" s="231" t="str">
        <f>unit</f>
        <v>£</v>
      </c>
      <c r="E163" s="257"/>
      <c r="F163" s="257"/>
      <c r="G163" s="257"/>
    </row>
    <row r="164" spans="3:7" x14ac:dyDescent="0.25">
      <c r="C164" s="147"/>
    </row>
    <row r="165" spans="3:7" x14ac:dyDescent="0.25">
      <c r="C165" s="147" t="s">
        <v>293</v>
      </c>
      <c r="D165" s="231" t="str">
        <f>unit</f>
        <v>£</v>
      </c>
      <c r="E165" s="272">
        <f>SUM(E166:E168)</f>
        <v>0</v>
      </c>
      <c r="F165" s="272">
        <f>SUM(F166:F168)</f>
        <v>0</v>
      </c>
      <c r="G165" s="272">
        <f t="shared" ref="G165" si="18">SUM(G166:G168)</f>
        <v>0</v>
      </c>
    </row>
    <row r="166" spans="3:7" x14ac:dyDescent="0.25">
      <c r="C166" s="249" t="str">
        <f>C156</f>
        <v>Test</v>
      </c>
      <c r="D166" s="231" t="str">
        <f>unit</f>
        <v>£</v>
      </c>
      <c r="E166" s="257"/>
      <c r="F166" s="257"/>
      <c r="G166" s="257"/>
    </row>
    <row r="167" spans="3:7" x14ac:dyDescent="0.25">
      <c r="C167" s="249" t="str">
        <f t="shared" ref="C167:C168" si="19">C157</f>
        <v>Insert Business Line2</v>
      </c>
      <c r="D167" s="231" t="str">
        <f>unit</f>
        <v>£</v>
      </c>
      <c r="E167" s="257"/>
      <c r="F167" s="257"/>
      <c r="G167" s="257"/>
    </row>
    <row r="168" spans="3:7" x14ac:dyDescent="0.25">
      <c r="C168" s="249" t="str">
        <f t="shared" si="19"/>
        <v>Insert Business Line3</v>
      </c>
      <c r="D168" s="231" t="str">
        <f>unit</f>
        <v>£</v>
      </c>
      <c r="E168" s="257"/>
      <c r="F168" s="257"/>
      <c r="G168" s="257"/>
    </row>
    <row r="169" spans="3:7" x14ac:dyDescent="0.25">
      <c r="C169" s="147"/>
    </row>
    <row r="170" spans="3:7" x14ac:dyDescent="0.25">
      <c r="C170" s="211" t="s">
        <v>177</v>
      </c>
      <c r="D170" s="231" t="str">
        <f>unit</f>
        <v>£</v>
      </c>
      <c r="E170" s="272">
        <f>E165+E160+E155</f>
        <v>0</v>
      </c>
      <c r="F170" s="272">
        <f>F165+F160+F155</f>
        <v>0</v>
      </c>
      <c r="G170" s="272">
        <f t="shared" ref="G170" si="20">G165+G160+G155</f>
        <v>0</v>
      </c>
    </row>
    <row r="171" spans="3:7" x14ac:dyDescent="0.25">
      <c r="C171" s="147"/>
    </row>
    <row r="172" spans="3:7" x14ac:dyDescent="0.25">
      <c r="C172" s="147" t="s">
        <v>294</v>
      </c>
      <c r="D172" s="231" t="str">
        <f>unit</f>
        <v>£</v>
      </c>
      <c r="E172" s="257"/>
      <c r="F172" s="257"/>
      <c r="G172" s="257"/>
    </row>
    <row r="173" spans="3:7" x14ac:dyDescent="0.25">
      <c r="C173" s="147" t="s">
        <v>162</v>
      </c>
      <c r="D173" s="231" t="str">
        <f>unit</f>
        <v>£</v>
      </c>
      <c r="E173" s="257"/>
      <c r="F173" s="257"/>
      <c r="G173" s="257"/>
    </row>
    <row r="174" spans="3:7" x14ac:dyDescent="0.25">
      <c r="C174" s="147" t="s">
        <v>24</v>
      </c>
      <c r="D174" s="231" t="str">
        <f>unit</f>
        <v>£</v>
      </c>
      <c r="E174" s="257"/>
      <c r="F174" s="257"/>
      <c r="G174" s="257"/>
    </row>
    <row r="175" spans="3:7" x14ac:dyDescent="0.25">
      <c r="C175" s="211" t="s">
        <v>178</v>
      </c>
      <c r="D175" s="231" t="str">
        <f>unit</f>
        <v>£</v>
      </c>
      <c r="E175" s="272">
        <f>SUM(E170:E174)</f>
        <v>0</v>
      </c>
      <c r="F175" s="272">
        <f>SUM(F170:F174)</f>
        <v>0</v>
      </c>
      <c r="G175" s="272">
        <f t="shared" ref="G175" si="21">SUM(G170:G174)</f>
        <v>0</v>
      </c>
    </row>
    <row r="176" spans="3:7" x14ac:dyDescent="0.25">
      <c r="C176" s="147"/>
    </row>
    <row r="177" spans="1:7" x14ac:dyDescent="0.25">
      <c r="C177" s="147" t="s">
        <v>295</v>
      </c>
      <c r="D177" s="231" t="str">
        <f>unit</f>
        <v>£</v>
      </c>
      <c r="E177" s="257"/>
      <c r="F177" s="257"/>
      <c r="G177" s="257">
        <v>0</v>
      </c>
    </row>
    <row r="178" spans="1:7" x14ac:dyDescent="0.25">
      <c r="C178" s="147" t="s">
        <v>393</v>
      </c>
      <c r="D178" s="231" t="str">
        <f>unit</f>
        <v>£</v>
      </c>
      <c r="E178" s="257"/>
      <c r="F178" s="257"/>
      <c r="G178" s="257"/>
    </row>
    <row r="179" spans="1:7" x14ac:dyDescent="0.25">
      <c r="C179" s="147" t="s">
        <v>266</v>
      </c>
      <c r="D179" s="231" t="str">
        <f>unit</f>
        <v>£</v>
      </c>
      <c r="E179" s="257"/>
      <c r="F179" s="257"/>
      <c r="G179" s="257"/>
    </row>
    <row r="180" spans="1:7" x14ac:dyDescent="0.25">
      <c r="C180" s="147" t="s">
        <v>383</v>
      </c>
      <c r="D180" s="231"/>
      <c r="E180" s="257"/>
      <c r="F180" s="257"/>
      <c r="G180" s="257"/>
    </row>
    <row r="181" spans="1:7" x14ac:dyDescent="0.25">
      <c r="C181" s="211" t="s">
        <v>267</v>
      </c>
      <c r="D181" s="231" t="str">
        <f>unit</f>
        <v>£</v>
      </c>
      <c r="E181" s="272">
        <f>SUM(E175:E180)</f>
        <v>0</v>
      </c>
      <c r="F181" s="272">
        <f>SUM(F175:F180)</f>
        <v>0</v>
      </c>
      <c r="G181" s="316">
        <f>SUM(G175:G180)</f>
        <v>0</v>
      </c>
    </row>
    <row r="182" spans="1:7" x14ac:dyDescent="0.25">
      <c r="C182" s="147"/>
    </row>
    <row r="183" spans="1:7" x14ac:dyDescent="0.25">
      <c r="C183" s="147" t="s">
        <v>268</v>
      </c>
      <c r="D183" s="231" t="str">
        <f>unit</f>
        <v>£</v>
      </c>
      <c r="E183" s="257">
        <v>0</v>
      </c>
      <c r="F183" s="257">
        <v>0</v>
      </c>
      <c r="G183" s="257">
        <v>0</v>
      </c>
    </row>
    <row r="184" spans="1:7" x14ac:dyDescent="0.25">
      <c r="C184" s="211" t="s">
        <v>269</v>
      </c>
      <c r="D184" s="231" t="str">
        <f>unit</f>
        <v>£</v>
      </c>
      <c r="E184" s="272">
        <f>SUM(E181:E183)</f>
        <v>0</v>
      </c>
      <c r="F184" s="272">
        <f>SUM(F181:F183)</f>
        <v>0</v>
      </c>
      <c r="G184" s="272">
        <f>SUM(G181:G183)</f>
        <v>0</v>
      </c>
    </row>
    <row r="185" spans="1:7" x14ac:dyDescent="0.25">
      <c r="C185" s="147"/>
    </row>
    <row r="186" spans="1:7" x14ac:dyDescent="0.25">
      <c r="C186" s="266" t="s">
        <v>45</v>
      </c>
      <c r="D186" s="231" t="str">
        <f>unit</f>
        <v>£</v>
      </c>
      <c r="E186" s="257"/>
      <c r="F186" s="257"/>
      <c r="G186" s="257"/>
    </row>
    <row r="187" spans="1:7" x14ac:dyDescent="0.25">
      <c r="C187" s="147"/>
    </row>
    <row r="188" spans="1:7" x14ac:dyDescent="0.25">
      <c r="C188" s="211" t="s">
        <v>270</v>
      </c>
      <c r="D188" s="231" t="str">
        <f>unit</f>
        <v>£</v>
      </c>
      <c r="E188" s="272">
        <f>SUM(E184:E187)</f>
        <v>0</v>
      </c>
      <c r="F188" s="272">
        <f>SUM(F184:F187)</f>
        <v>0</v>
      </c>
      <c r="G188" s="272">
        <f t="shared" ref="G188" si="22">SUM(G184:G187)</f>
        <v>0</v>
      </c>
    </row>
    <row r="189" spans="1:7" x14ac:dyDescent="0.25">
      <c r="C189" s="147"/>
    </row>
    <row r="190" spans="1:7" s="142" customFormat="1" ht="15.6" x14ac:dyDescent="0.3">
      <c r="A190" s="142">
        <f>Header1</f>
        <v>4</v>
      </c>
      <c r="B190" s="142" t="s">
        <v>340</v>
      </c>
    </row>
    <row r="192" spans="1:7" x14ac:dyDescent="0.25">
      <c r="C192" s="255" t="s">
        <v>203</v>
      </c>
      <c r="E192" s="66">
        <f>$E$5</f>
        <v>2012</v>
      </c>
      <c r="F192" s="66">
        <f>$F$5</f>
        <v>2013</v>
      </c>
      <c r="G192" s="66">
        <f>$G$5</f>
        <v>2014</v>
      </c>
    </row>
    <row r="193" spans="3:7" x14ac:dyDescent="0.25">
      <c r="C193" s="255" t="s">
        <v>206</v>
      </c>
      <c r="E193" s="221">
        <f>$E$7</f>
        <v>40909</v>
      </c>
      <c r="F193" s="221">
        <f>$F$7</f>
        <v>41275</v>
      </c>
      <c r="G193" s="221">
        <f>$G$7</f>
        <v>41640</v>
      </c>
    </row>
    <row r="194" spans="3:7" x14ac:dyDescent="0.25">
      <c r="C194" s="255" t="s">
        <v>205</v>
      </c>
      <c r="E194" s="221">
        <f>$E$8</f>
        <v>41274</v>
      </c>
      <c r="F194" s="221">
        <f>$F$8</f>
        <v>41639</v>
      </c>
      <c r="G194" s="221">
        <f>$G$8</f>
        <v>42004</v>
      </c>
    </row>
    <row r="195" spans="3:7" x14ac:dyDescent="0.25">
      <c r="C195" s="255"/>
      <c r="E195" s="221"/>
      <c r="F195" s="221"/>
      <c r="G195" s="221"/>
    </row>
    <row r="196" spans="3:7" x14ac:dyDescent="0.25">
      <c r="C196" s="211" t="s">
        <v>178</v>
      </c>
      <c r="D196" s="231" t="str">
        <f>unit</f>
        <v>£</v>
      </c>
      <c r="E196" s="272">
        <f>E175</f>
        <v>0</v>
      </c>
      <c r="F196" s="272">
        <f>F175</f>
        <v>0</v>
      </c>
      <c r="G196" s="272">
        <f t="shared" ref="G196" si="23">G175</f>
        <v>0</v>
      </c>
    </row>
    <row r="197" spans="3:7" x14ac:dyDescent="0.25">
      <c r="C197" s="147"/>
    </row>
    <row r="198" spans="3:7" x14ac:dyDescent="0.25">
      <c r="C198" s="147" t="s">
        <v>274</v>
      </c>
      <c r="D198" s="231" t="str">
        <f t="shared" ref="D198:D203" si="24">unit</f>
        <v>£</v>
      </c>
      <c r="E198" s="257">
        <v>0</v>
      </c>
      <c r="F198" s="257">
        <v>0</v>
      </c>
      <c r="G198" s="257">
        <v>0</v>
      </c>
    </row>
    <row r="199" spans="3:7" x14ac:dyDescent="0.25">
      <c r="C199" s="147" t="s">
        <v>297</v>
      </c>
      <c r="D199" s="231" t="str">
        <f t="shared" si="24"/>
        <v>£</v>
      </c>
      <c r="E199" s="257">
        <v>0</v>
      </c>
      <c r="F199" s="257">
        <v>0</v>
      </c>
      <c r="G199" s="257">
        <v>0</v>
      </c>
    </row>
    <row r="200" spans="3:7" x14ac:dyDescent="0.25">
      <c r="C200" s="147" t="s">
        <v>275</v>
      </c>
      <c r="D200" s="231" t="str">
        <f t="shared" si="24"/>
        <v>£</v>
      </c>
      <c r="E200" s="257">
        <v>0</v>
      </c>
      <c r="F200" s="257">
        <v>0</v>
      </c>
      <c r="G200" s="257">
        <v>0</v>
      </c>
    </row>
    <row r="201" spans="3:7" x14ac:dyDescent="0.25">
      <c r="C201" s="147" t="s">
        <v>298</v>
      </c>
      <c r="D201" s="231" t="str">
        <f t="shared" si="24"/>
        <v>£</v>
      </c>
      <c r="E201" s="257">
        <v>0</v>
      </c>
      <c r="F201" s="257">
        <v>0</v>
      </c>
      <c r="G201" s="257">
        <v>0</v>
      </c>
    </row>
    <row r="202" spans="3:7" x14ac:dyDescent="0.25">
      <c r="C202" s="147" t="s">
        <v>421</v>
      </c>
      <c r="D202" s="231" t="str">
        <f t="shared" si="24"/>
        <v>£</v>
      </c>
      <c r="E202" s="257">
        <v>0</v>
      </c>
      <c r="F202" s="257">
        <v>0</v>
      </c>
      <c r="G202" s="257">
        <v>0</v>
      </c>
    </row>
    <row r="203" spans="3:7" x14ac:dyDescent="0.25">
      <c r="C203" s="211" t="s">
        <v>276</v>
      </c>
      <c r="D203" s="231" t="str">
        <f t="shared" si="24"/>
        <v>£</v>
      </c>
      <c r="E203" s="272">
        <f>SUM(E196:E202)</f>
        <v>0</v>
      </c>
      <c r="F203" s="272">
        <f>SUM(F196:F202)</f>
        <v>0</v>
      </c>
      <c r="G203" s="272">
        <f>SUM(G196:G202)</f>
        <v>0</v>
      </c>
    </row>
    <row r="204" spans="3:7" x14ac:dyDescent="0.25">
      <c r="C204" s="147"/>
    </row>
    <row r="205" spans="3:7" x14ac:dyDescent="0.25">
      <c r="C205" s="147" t="s">
        <v>232</v>
      </c>
      <c r="D205" s="231" t="str">
        <f>unit</f>
        <v>£</v>
      </c>
      <c r="E205" s="257">
        <v>0</v>
      </c>
      <c r="F205" s="257">
        <v>0</v>
      </c>
      <c r="G205" s="257">
        <v>0</v>
      </c>
    </row>
    <row r="206" spans="3:7" x14ac:dyDescent="0.25">
      <c r="C206" s="147" t="s">
        <v>277</v>
      </c>
      <c r="D206" s="231" t="str">
        <f>unit</f>
        <v>£</v>
      </c>
      <c r="E206" s="257">
        <v>0</v>
      </c>
      <c r="F206" s="257">
        <v>0</v>
      </c>
      <c r="G206" s="257">
        <v>0</v>
      </c>
    </row>
    <row r="207" spans="3:7" x14ac:dyDescent="0.25">
      <c r="C207" s="147"/>
    </row>
    <row r="208" spans="3:7" x14ac:dyDescent="0.25">
      <c r="C208" s="147" t="s">
        <v>299</v>
      </c>
      <c r="D208" s="231" t="str">
        <f>unit</f>
        <v>£</v>
      </c>
      <c r="E208" s="257">
        <v>0</v>
      </c>
      <c r="F208" s="257">
        <v>0</v>
      </c>
      <c r="G208" s="257">
        <v>0</v>
      </c>
    </row>
    <row r="209" spans="3:7" x14ac:dyDescent="0.25">
      <c r="C209" s="147"/>
    </row>
    <row r="210" spans="3:7" x14ac:dyDescent="0.25">
      <c r="C210" s="147" t="s">
        <v>278</v>
      </c>
      <c r="D210" s="231" t="str">
        <f>unit</f>
        <v>£</v>
      </c>
      <c r="E210" s="257">
        <v>0</v>
      </c>
      <c r="F210" s="257">
        <v>0</v>
      </c>
      <c r="G210" s="315">
        <v>0</v>
      </c>
    </row>
    <row r="211" spans="3:7" x14ac:dyDescent="0.25">
      <c r="C211" s="147" t="s">
        <v>279</v>
      </c>
      <c r="D211" s="231" t="str">
        <f>unit</f>
        <v>£</v>
      </c>
      <c r="E211" s="257">
        <v>0</v>
      </c>
      <c r="F211" s="257">
        <v>0</v>
      </c>
      <c r="G211" s="257">
        <v>0</v>
      </c>
    </row>
    <row r="212" spans="3:7" x14ac:dyDescent="0.25">
      <c r="C212" s="147"/>
    </row>
    <row r="213" spans="3:7" x14ac:dyDescent="0.25">
      <c r="C213" s="147" t="s">
        <v>266</v>
      </c>
      <c r="D213" s="231" t="str">
        <f>unit</f>
        <v>£</v>
      </c>
      <c r="E213" s="257">
        <v>0</v>
      </c>
      <c r="F213" s="257">
        <v>0</v>
      </c>
      <c r="G213" s="257">
        <v>0</v>
      </c>
    </row>
    <row r="214" spans="3:7" x14ac:dyDescent="0.25">
      <c r="C214" s="147"/>
    </row>
    <row r="215" spans="3:7" x14ac:dyDescent="0.25">
      <c r="C215" s="147" t="s">
        <v>44</v>
      </c>
      <c r="D215" s="231" t="str">
        <f>unit</f>
        <v>£</v>
      </c>
      <c r="E215" s="257">
        <v>0</v>
      </c>
      <c r="F215" s="257">
        <v>0</v>
      </c>
      <c r="G215" s="257">
        <v>0</v>
      </c>
    </row>
    <row r="216" spans="3:7" x14ac:dyDescent="0.25">
      <c r="C216" s="147"/>
    </row>
    <row r="217" spans="3:7" x14ac:dyDescent="0.25">
      <c r="C217" s="147" t="s">
        <v>337</v>
      </c>
      <c r="D217" s="231" t="str">
        <f>unit</f>
        <v>£</v>
      </c>
      <c r="E217" s="257">
        <v>0</v>
      </c>
      <c r="F217" s="257">
        <v>0</v>
      </c>
      <c r="G217" s="257">
        <v>0</v>
      </c>
    </row>
    <row r="218" spans="3:7" x14ac:dyDescent="0.25">
      <c r="C218" s="147"/>
    </row>
    <row r="219" spans="3:7" x14ac:dyDescent="0.25">
      <c r="C219" s="211" t="s">
        <v>280</v>
      </c>
      <c r="D219" s="231" t="str">
        <f>unit</f>
        <v>£</v>
      </c>
      <c r="E219" s="272">
        <f>SUM(E203:E218)</f>
        <v>0</v>
      </c>
      <c r="F219" s="272">
        <f>SUM(F203:F218)</f>
        <v>0</v>
      </c>
      <c r="G219" s="316">
        <f t="shared" ref="G219" si="25">SUM(G203:G218)</f>
        <v>0</v>
      </c>
    </row>
    <row r="220" spans="3:7" x14ac:dyDescent="0.25">
      <c r="C220" s="147"/>
      <c r="E220" s="272"/>
      <c r="F220" s="272"/>
      <c r="G220" s="272"/>
    </row>
    <row r="221" spans="3:7" x14ac:dyDescent="0.25">
      <c r="C221" s="147" t="s">
        <v>281</v>
      </c>
      <c r="D221" s="231" t="str">
        <f>unit</f>
        <v>£</v>
      </c>
      <c r="E221" s="257">
        <v>0</v>
      </c>
      <c r="F221" s="257">
        <v>0</v>
      </c>
      <c r="G221" s="257">
        <v>0</v>
      </c>
    </row>
    <row r="222" spans="3:7" x14ac:dyDescent="0.25">
      <c r="C222" s="211" t="s">
        <v>282</v>
      </c>
      <c r="D222" s="231" t="str">
        <f>unit</f>
        <v>£</v>
      </c>
      <c r="E222" s="272">
        <f>SUM(E219:E221)</f>
        <v>0</v>
      </c>
      <c r="F222" s="272">
        <f>SUM(F219:F221)</f>
        <v>0</v>
      </c>
      <c r="G222" s="272">
        <f t="shared" ref="G222" si="26">SUM(G219:G221)</f>
        <v>0</v>
      </c>
    </row>
    <row r="223" spans="3:7" x14ac:dyDescent="0.25">
      <c r="C223" s="147" t="s">
        <v>387</v>
      </c>
      <c r="E223" s="257">
        <v>0</v>
      </c>
      <c r="F223" s="257">
        <v>0</v>
      </c>
      <c r="G223" s="257">
        <v>0</v>
      </c>
    </row>
    <row r="224" spans="3:7" x14ac:dyDescent="0.25">
      <c r="C224" s="211" t="s">
        <v>388</v>
      </c>
      <c r="E224" s="272">
        <f>SUM(E222:E223)</f>
        <v>0</v>
      </c>
      <c r="F224" s="272">
        <f t="shared" ref="F224:G224" si="27">SUM(F222:F223)</f>
        <v>0</v>
      </c>
      <c r="G224" s="272">
        <f t="shared" si="27"/>
        <v>0</v>
      </c>
    </row>
    <row r="225" spans="1:3" x14ac:dyDescent="0.25">
      <c r="C225" s="211"/>
    </row>
    <row r="226" spans="1:3" s="142" customFormat="1" ht="15.6" x14ac:dyDescent="0.3">
      <c r="A226" s="142" t="s">
        <v>217</v>
      </c>
    </row>
  </sheetData>
  <pageMargins left="0.7" right="0.7" top="0.75" bottom="0.75" header="0.3" footer="0.3"/>
  <legacy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BZ58"/>
  <sheetViews>
    <sheetView zoomScale="86" zoomScaleNormal="86" zoomScalePageLayoutView="86" workbookViewId="0">
      <pane xSplit="10" ySplit="8" topLeftCell="K9" activePane="bottomRight" state="frozen"/>
      <selection activeCell="C10" sqref="C10"/>
      <selection pane="topRight" activeCell="C10" sqref="C10"/>
      <selection pane="bottomLeft" activeCell="C10" sqref="C10"/>
      <selection pane="bottomRight" activeCell="E15" sqref="E15"/>
    </sheetView>
  </sheetViews>
  <sheetFormatPr defaultColWidth="0" defaultRowHeight="13.2" outlineLevelRow="1" x14ac:dyDescent="0.25"/>
  <cols>
    <col min="1" max="1" width="3.44140625" style="66" customWidth="1"/>
    <col min="2" max="2" width="22" style="66" customWidth="1"/>
    <col min="3" max="3" width="19.44140625" style="66" bestFit="1" customWidth="1"/>
    <col min="4" max="4" width="13.109375" style="66" bestFit="1" customWidth="1"/>
    <col min="5" max="9" width="9.33203125" style="66" bestFit="1" customWidth="1"/>
    <col min="10" max="10" width="4.33203125" style="66" customWidth="1"/>
    <col min="11" max="11" width="9.109375" style="66" customWidth="1"/>
    <col min="12" max="12" width="9.6640625" style="66" bestFit="1" customWidth="1"/>
    <col min="13" max="13" width="9.44140625" style="66" bestFit="1" customWidth="1"/>
    <col min="14" max="14" width="9.33203125" style="66" bestFit="1" customWidth="1"/>
    <col min="15" max="22" width="10.109375" style="66" customWidth="1"/>
    <col min="23" max="34" width="9.109375" style="66" customWidth="1"/>
    <col min="35" max="35" width="9.33203125" style="66" customWidth="1"/>
    <col min="36" max="46" width="10.109375" style="66" customWidth="1"/>
    <col min="47" max="47" width="9.33203125" style="66" customWidth="1"/>
    <col min="48" max="58" width="10.109375" style="66" customWidth="1"/>
    <col min="59" max="59" width="9.33203125" style="66" customWidth="1"/>
    <col min="60" max="70" width="10.109375" style="66" customWidth="1"/>
    <col min="71" max="71" width="9.109375" style="66" customWidth="1"/>
    <col min="72" max="72" width="28.33203125" style="67" customWidth="1"/>
    <col min="73" max="77" width="11.33203125" style="67" customWidth="1"/>
    <col min="78" max="78" width="9.109375" style="66" customWidth="1"/>
    <col min="79" max="16384" width="0" style="66" hidden="1"/>
  </cols>
  <sheetData>
    <row r="1" spans="1:78" s="285" customFormat="1" x14ac:dyDescent="0.25">
      <c r="BT1" s="288"/>
      <c r="BU1" s="288"/>
      <c r="BV1" s="288"/>
      <c r="BW1" s="288"/>
      <c r="BX1" s="288"/>
      <c r="BY1" s="288"/>
    </row>
    <row r="2" spans="1:78" s="285" customFormat="1" x14ac:dyDescent="0.25">
      <c r="BT2" s="288"/>
      <c r="BU2" s="295"/>
      <c r="BV2" s="295"/>
      <c r="BW2" s="295"/>
      <c r="BX2" s="295"/>
      <c r="BY2" s="295"/>
    </row>
    <row r="3" spans="1:78" s="285" customFormat="1" x14ac:dyDescent="0.25">
      <c r="A3" s="286" t="str">
        <f>IF(KeyInputs!$F$14=0,"Company Name",KeyInputs!$F$14)</f>
        <v>Company Name</v>
      </c>
      <c r="BT3" s="288"/>
      <c r="BU3" s="296"/>
      <c r="BV3" s="296"/>
      <c r="BW3" s="296"/>
      <c r="BX3" s="296"/>
      <c r="BY3" s="296"/>
    </row>
    <row r="4" spans="1:78" s="285" customFormat="1" x14ac:dyDescent="0.25">
      <c r="A4" s="285" t="s">
        <v>179</v>
      </c>
      <c r="BT4" s="288"/>
      <c r="BU4" s="296"/>
      <c r="BV4" s="296"/>
      <c r="BW4" s="296"/>
      <c r="BX4" s="296"/>
      <c r="BY4" s="296"/>
    </row>
    <row r="5" spans="1:78" s="285" customFormat="1" x14ac:dyDescent="0.25">
      <c r="D5" s="297" t="str">
        <f>KeyInputs!D5</f>
        <v>Year</v>
      </c>
      <c r="E5" s="288">
        <f>KeyInputs!H5</f>
        <v>2015</v>
      </c>
      <c r="F5" s="288">
        <f>KeyInputs!I5</f>
        <v>2016</v>
      </c>
      <c r="G5" s="288">
        <f>KeyInputs!J5</f>
        <v>2017</v>
      </c>
      <c r="H5" s="288">
        <f>KeyInputs!K5</f>
        <v>2018</v>
      </c>
      <c r="I5" s="288">
        <f>KeyInputs!L5</f>
        <v>2019</v>
      </c>
      <c r="K5" s="288">
        <f>KeyInputs!N5</f>
        <v>2015</v>
      </c>
      <c r="L5" s="288">
        <f>KeyInputs!O5</f>
        <v>2015</v>
      </c>
      <c r="M5" s="288">
        <f>KeyInputs!P5</f>
        <v>2015</v>
      </c>
      <c r="N5" s="288">
        <f>KeyInputs!Q5</f>
        <v>2015</v>
      </c>
      <c r="O5" s="288">
        <f>KeyInputs!R5</f>
        <v>2015</v>
      </c>
      <c r="P5" s="288">
        <f>KeyInputs!S5</f>
        <v>2015</v>
      </c>
      <c r="Q5" s="288">
        <f>KeyInputs!T5</f>
        <v>2015</v>
      </c>
      <c r="R5" s="288">
        <f>KeyInputs!U5</f>
        <v>2015</v>
      </c>
      <c r="S5" s="288">
        <f>KeyInputs!V5</f>
        <v>2015</v>
      </c>
      <c r="T5" s="288">
        <f>KeyInputs!W5</f>
        <v>2015</v>
      </c>
      <c r="U5" s="288">
        <f>KeyInputs!X5</f>
        <v>2015</v>
      </c>
      <c r="V5" s="288">
        <f>KeyInputs!Y5</f>
        <v>2015</v>
      </c>
      <c r="W5" s="288">
        <f>KeyInputs!Z5</f>
        <v>2016</v>
      </c>
      <c r="X5" s="288">
        <f>KeyInputs!AA5</f>
        <v>2016</v>
      </c>
      <c r="Y5" s="288">
        <f>KeyInputs!AB5</f>
        <v>2016</v>
      </c>
      <c r="Z5" s="288">
        <f>KeyInputs!AC5</f>
        <v>2016</v>
      </c>
      <c r="AA5" s="288">
        <f>KeyInputs!AD5</f>
        <v>2016</v>
      </c>
      <c r="AB5" s="288">
        <f>KeyInputs!AE5</f>
        <v>2016</v>
      </c>
      <c r="AC5" s="288">
        <f>KeyInputs!AF5</f>
        <v>2016</v>
      </c>
      <c r="AD5" s="288">
        <f>KeyInputs!AG5</f>
        <v>2016</v>
      </c>
      <c r="AE5" s="288">
        <f>KeyInputs!AH5</f>
        <v>2016</v>
      </c>
      <c r="AF5" s="288">
        <f>KeyInputs!AI5</f>
        <v>2016</v>
      </c>
      <c r="AG5" s="288">
        <f>KeyInputs!AJ5</f>
        <v>2016</v>
      </c>
      <c r="AH5" s="288">
        <f>KeyInputs!AK5</f>
        <v>2016</v>
      </c>
      <c r="AI5" s="288">
        <f>KeyInputs!AL5</f>
        <v>2017</v>
      </c>
      <c r="AJ5" s="288">
        <f>KeyInputs!AM5</f>
        <v>2017</v>
      </c>
      <c r="AK5" s="288">
        <f>KeyInputs!AN5</f>
        <v>2017</v>
      </c>
      <c r="AL5" s="288">
        <f>KeyInputs!AO5</f>
        <v>2017</v>
      </c>
      <c r="AM5" s="288">
        <f>KeyInputs!AP5</f>
        <v>2017</v>
      </c>
      <c r="AN5" s="288">
        <f>KeyInputs!AQ5</f>
        <v>2017</v>
      </c>
      <c r="AO5" s="288">
        <f>KeyInputs!AR5</f>
        <v>2017</v>
      </c>
      <c r="AP5" s="288">
        <f>KeyInputs!AS5</f>
        <v>2017</v>
      </c>
      <c r="AQ5" s="288">
        <f>KeyInputs!AT5</f>
        <v>2017</v>
      </c>
      <c r="AR5" s="288">
        <f>KeyInputs!AU5</f>
        <v>2017</v>
      </c>
      <c r="AS5" s="288">
        <f>KeyInputs!AV5</f>
        <v>2017</v>
      </c>
      <c r="AT5" s="288">
        <f>KeyInputs!AW5</f>
        <v>2017</v>
      </c>
      <c r="AU5" s="288">
        <f>KeyInputs!AX5</f>
        <v>2018</v>
      </c>
      <c r="AV5" s="288">
        <f>KeyInputs!AY5</f>
        <v>2018</v>
      </c>
      <c r="AW5" s="288">
        <f>KeyInputs!AZ5</f>
        <v>2018</v>
      </c>
      <c r="AX5" s="288">
        <f>KeyInputs!BA5</f>
        <v>2018</v>
      </c>
      <c r="AY5" s="288">
        <f>KeyInputs!BB5</f>
        <v>2018</v>
      </c>
      <c r="AZ5" s="288">
        <f>KeyInputs!BC5</f>
        <v>2018</v>
      </c>
      <c r="BA5" s="288">
        <f>KeyInputs!BD5</f>
        <v>2018</v>
      </c>
      <c r="BB5" s="288">
        <f>KeyInputs!BE5</f>
        <v>2018</v>
      </c>
      <c r="BC5" s="288">
        <f>KeyInputs!BF5</f>
        <v>2018</v>
      </c>
      <c r="BD5" s="288">
        <f>KeyInputs!BG5</f>
        <v>2018</v>
      </c>
      <c r="BE5" s="288">
        <f>KeyInputs!BH5</f>
        <v>2018</v>
      </c>
      <c r="BF5" s="288">
        <f>KeyInputs!BI5</f>
        <v>2018</v>
      </c>
      <c r="BG5" s="288">
        <f>KeyInputs!BJ5</f>
        <v>2019</v>
      </c>
      <c r="BH5" s="288">
        <f>KeyInputs!BK5</f>
        <v>2019</v>
      </c>
      <c r="BI5" s="288">
        <f>KeyInputs!BL5</f>
        <v>2019</v>
      </c>
      <c r="BJ5" s="288">
        <f>KeyInputs!BM5</f>
        <v>2019</v>
      </c>
      <c r="BK5" s="288">
        <f>KeyInputs!BN5</f>
        <v>2019</v>
      </c>
      <c r="BL5" s="288">
        <f>KeyInputs!BO5</f>
        <v>2019</v>
      </c>
      <c r="BM5" s="288">
        <f>KeyInputs!BP5</f>
        <v>2019</v>
      </c>
      <c r="BN5" s="288">
        <f>KeyInputs!BQ5</f>
        <v>2019</v>
      </c>
      <c r="BO5" s="288">
        <f>KeyInputs!BR5</f>
        <v>2019</v>
      </c>
      <c r="BP5" s="288">
        <f>KeyInputs!BS5</f>
        <v>2019</v>
      </c>
      <c r="BQ5" s="288">
        <f>KeyInputs!BT5</f>
        <v>2019</v>
      </c>
      <c r="BR5" s="288">
        <f>KeyInputs!BU5</f>
        <v>2019</v>
      </c>
      <c r="BT5" s="288"/>
      <c r="BU5" s="296"/>
      <c r="BV5" s="296"/>
      <c r="BW5" s="296"/>
      <c r="BX5" s="296"/>
      <c r="BY5" s="296"/>
    </row>
    <row r="6" spans="1:78" s="285" customFormat="1" x14ac:dyDescent="0.25">
      <c r="D6" s="297" t="str">
        <f>KeyInputs!D6</f>
        <v>Period number</v>
      </c>
      <c r="E6" s="285">
        <f>KeyInputs!H6</f>
        <v>1</v>
      </c>
      <c r="F6" s="285">
        <f>KeyInputs!I6</f>
        <v>2</v>
      </c>
      <c r="G6" s="285">
        <f>KeyInputs!J6</f>
        <v>3</v>
      </c>
      <c r="H6" s="285">
        <f>KeyInputs!K6</f>
        <v>4</v>
      </c>
      <c r="I6" s="285">
        <f>KeyInputs!L6</f>
        <v>5</v>
      </c>
      <c r="J6" s="288"/>
      <c r="K6" s="288">
        <f>KeyInputs!N6</f>
        <v>1</v>
      </c>
      <c r="L6" s="288">
        <f>KeyInputs!O6</f>
        <v>2</v>
      </c>
      <c r="M6" s="288">
        <f>KeyInputs!P6</f>
        <v>3</v>
      </c>
      <c r="N6" s="288">
        <f>KeyInputs!Q6</f>
        <v>4</v>
      </c>
      <c r="O6" s="288">
        <f>KeyInputs!R6</f>
        <v>5</v>
      </c>
      <c r="P6" s="288">
        <f>KeyInputs!S6</f>
        <v>6</v>
      </c>
      <c r="Q6" s="288">
        <f>KeyInputs!T6</f>
        <v>7</v>
      </c>
      <c r="R6" s="288">
        <f>KeyInputs!U6</f>
        <v>8</v>
      </c>
      <c r="S6" s="288">
        <f>KeyInputs!V6</f>
        <v>9</v>
      </c>
      <c r="T6" s="288">
        <f>KeyInputs!W6</f>
        <v>10</v>
      </c>
      <c r="U6" s="288">
        <f>KeyInputs!X6</f>
        <v>11</v>
      </c>
      <c r="V6" s="288">
        <f>KeyInputs!Y6</f>
        <v>12</v>
      </c>
      <c r="W6" s="288">
        <f>KeyInputs!Z6</f>
        <v>13</v>
      </c>
      <c r="X6" s="288">
        <f>KeyInputs!AA6</f>
        <v>14</v>
      </c>
      <c r="Y6" s="288">
        <f>KeyInputs!AB6</f>
        <v>15</v>
      </c>
      <c r="Z6" s="288">
        <f>KeyInputs!AC6</f>
        <v>16</v>
      </c>
      <c r="AA6" s="288">
        <f>KeyInputs!AD6</f>
        <v>17</v>
      </c>
      <c r="AB6" s="288">
        <f>KeyInputs!AE6</f>
        <v>18</v>
      </c>
      <c r="AC6" s="288">
        <f>KeyInputs!AF6</f>
        <v>19</v>
      </c>
      <c r="AD6" s="288">
        <f>KeyInputs!AG6</f>
        <v>20</v>
      </c>
      <c r="AE6" s="288">
        <f>KeyInputs!AH6</f>
        <v>21</v>
      </c>
      <c r="AF6" s="288">
        <f>KeyInputs!AI6</f>
        <v>22</v>
      </c>
      <c r="AG6" s="288">
        <f>KeyInputs!AJ6</f>
        <v>23</v>
      </c>
      <c r="AH6" s="288">
        <f>KeyInputs!AK6</f>
        <v>24</v>
      </c>
      <c r="AI6" s="288">
        <f>KeyInputs!AL6</f>
        <v>25</v>
      </c>
      <c r="AJ6" s="288">
        <f>KeyInputs!AM6</f>
        <v>26</v>
      </c>
      <c r="AK6" s="288">
        <f>KeyInputs!AN6</f>
        <v>27</v>
      </c>
      <c r="AL6" s="288">
        <f>KeyInputs!AO6</f>
        <v>28</v>
      </c>
      <c r="AM6" s="288">
        <f>KeyInputs!AP6</f>
        <v>29</v>
      </c>
      <c r="AN6" s="288">
        <f>KeyInputs!AQ6</f>
        <v>30</v>
      </c>
      <c r="AO6" s="288">
        <f>KeyInputs!AR6</f>
        <v>31</v>
      </c>
      <c r="AP6" s="288">
        <f>KeyInputs!AS6</f>
        <v>32</v>
      </c>
      <c r="AQ6" s="288">
        <f>KeyInputs!AT6</f>
        <v>33</v>
      </c>
      <c r="AR6" s="288">
        <f>KeyInputs!AU6</f>
        <v>34</v>
      </c>
      <c r="AS6" s="288">
        <f>KeyInputs!AV6</f>
        <v>35</v>
      </c>
      <c r="AT6" s="288">
        <f>KeyInputs!AW6</f>
        <v>36</v>
      </c>
      <c r="AU6" s="288">
        <f>KeyInputs!AX6</f>
        <v>37</v>
      </c>
      <c r="AV6" s="288">
        <f>KeyInputs!AY6</f>
        <v>38</v>
      </c>
      <c r="AW6" s="288">
        <f>KeyInputs!AZ6</f>
        <v>39</v>
      </c>
      <c r="AX6" s="288">
        <f>KeyInputs!BA6</f>
        <v>40</v>
      </c>
      <c r="AY6" s="288">
        <f>KeyInputs!BB6</f>
        <v>41</v>
      </c>
      <c r="AZ6" s="288">
        <f>KeyInputs!BC6</f>
        <v>42</v>
      </c>
      <c r="BA6" s="288">
        <f>KeyInputs!BD6</f>
        <v>43</v>
      </c>
      <c r="BB6" s="288">
        <f>KeyInputs!BE6</f>
        <v>44</v>
      </c>
      <c r="BC6" s="288">
        <f>KeyInputs!BF6</f>
        <v>45</v>
      </c>
      <c r="BD6" s="288">
        <f>KeyInputs!BG6</f>
        <v>46</v>
      </c>
      <c r="BE6" s="288">
        <f>KeyInputs!BH6</f>
        <v>47</v>
      </c>
      <c r="BF6" s="288">
        <f>KeyInputs!BI6</f>
        <v>48</v>
      </c>
      <c r="BG6" s="288">
        <f>KeyInputs!BJ6</f>
        <v>49</v>
      </c>
      <c r="BH6" s="288">
        <f>KeyInputs!BK6</f>
        <v>50</v>
      </c>
      <c r="BI6" s="288">
        <f>KeyInputs!BL6</f>
        <v>51</v>
      </c>
      <c r="BJ6" s="288">
        <f>KeyInputs!BM6</f>
        <v>52</v>
      </c>
      <c r="BK6" s="288">
        <f>KeyInputs!BN6</f>
        <v>53</v>
      </c>
      <c r="BL6" s="288">
        <f>KeyInputs!BO6</f>
        <v>54</v>
      </c>
      <c r="BM6" s="288">
        <f>KeyInputs!BP6</f>
        <v>55</v>
      </c>
      <c r="BN6" s="288">
        <f>KeyInputs!BQ6</f>
        <v>56</v>
      </c>
      <c r="BO6" s="288">
        <f>KeyInputs!BR6</f>
        <v>57</v>
      </c>
      <c r="BP6" s="288">
        <f>KeyInputs!BS6</f>
        <v>58</v>
      </c>
      <c r="BQ6" s="288">
        <f>KeyInputs!BT6</f>
        <v>59</v>
      </c>
      <c r="BR6" s="288">
        <f>KeyInputs!BU6</f>
        <v>60</v>
      </c>
      <c r="BS6" s="288"/>
      <c r="BT6" s="288"/>
      <c r="BU6" s="296"/>
      <c r="BV6" s="296"/>
      <c r="BW6" s="296"/>
      <c r="BX6" s="296"/>
      <c r="BY6" s="296"/>
    </row>
    <row r="7" spans="1:78" s="285" customFormat="1" x14ac:dyDescent="0.25">
      <c r="D7" s="297" t="str">
        <f>KeyInputs!D7</f>
        <v>Period starts</v>
      </c>
      <c r="E7" s="298">
        <f>KeyInputs!H7</f>
        <v>42005</v>
      </c>
      <c r="F7" s="298">
        <f>KeyInputs!I7</f>
        <v>42370</v>
      </c>
      <c r="G7" s="298">
        <f>KeyInputs!J7</f>
        <v>42736</v>
      </c>
      <c r="H7" s="298">
        <f>KeyInputs!K7</f>
        <v>43101</v>
      </c>
      <c r="I7" s="298">
        <f>KeyInputs!L7</f>
        <v>43466</v>
      </c>
      <c r="J7" s="288"/>
      <c r="K7" s="298">
        <f>KeyInputs!N7</f>
        <v>42005</v>
      </c>
      <c r="L7" s="298">
        <f>KeyInputs!O7</f>
        <v>42036</v>
      </c>
      <c r="M7" s="298">
        <f>KeyInputs!P7</f>
        <v>42064</v>
      </c>
      <c r="N7" s="298">
        <f>KeyInputs!Q7</f>
        <v>42095</v>
      </c>
      <c r="O7" s="298">
        <f>KeyInputs!R7</f>
        <v>42125</v>
      </c>
      <c r="P7" s="298">
        <f>KeyInputs!S7</f>
        <v>42156</v>
      </c>
      <c r="Q7" s="298">
        <f>KeyInputs!T7</f>
        <v>42186</v>
      </c>
      <c r="R7" s="298">
        <f>KeyInputs!U7</f>
        <v>42217</v>
      </c>
      <c r="S7" s="298">
        <f>KeyInputs!V7</f>
        <v>42248</v>
      </c>
      <c r="T7" s="298">
        <f>KeyInputs!W7</f>
        <v>42278</v>
      </c>
      <c r="U7" s="298">
        <f>KeyInputs!X7</f>
        <v>42309</v>
      </c>
      <c r="V7" s="298">
        <f>KeyInputs!Y7</f>
        <v>42339</v>
      </c>
      <c r="W7" s="298">
        <f>KeyInputs!Z7</f>
        <v>42370</v>
      </c>
      <c r="X7" s="298">
        <f>KeyInputs!AA7</f>
        <v>42401</v>
      </c>
      <c r="Y7" s="298">
        <f>KeyInputs!AB7</f>
        <v>42430</v>
      </c>
      <c r="Z7" s="298">
        <f>KeyInputs!AC7</f>
        <v>42461</v>
      </c>
      <c r="AA7" s="298">
        <f>KeyInputs!AD7</f>
        <v>42491</v>
      </c>
      <c r="AB7" s="298">
        <f>KeyInputs!AE7</f>
        <v>42522</v>
      </c>
      <c r="AC7" s="298">
        <f>KeyInputs!AF7</f>
        <v>42552</v>
      </c>
      <c r="AD7" s="298">
        <f>KeyInputs!AG7</f>
        <v>42583</v>
      </c>
      <c r="AE7" s="298">
        <f>KeyInputs!AH7</f>
        <v>42614</v>
      </c>
      <c r="AF7" s="298">
        <f>KeyInputs!AI7</f>
        <v>42644</v>
      </c>
      <c r="AG7" s="298">
        <f>KeyInputs!AJ7</f>
        <v>42675</v>
      </c>
      <c r="AH7" s="298">
        <f>KeyInputs!AK7</f>
        <v>42705</v>
      </c>
      <c r="AI7" s="298">
        <f>KeyInputs!AL7</f>
        <v>42736</v>
      </c>
      <c r="AJ7" s="298">
        <f>KeyInputs!AM7</f>
        <v>42767</v>
      </c>
      <c r="AK7" s="298">
        <f>KeyInputs!AN7</f>
        <v>42795</v>
      </c>
      <c r="AL7" s="298">
        <f>KeyInputs!AO7</f>
        <v>42826</v>
      </c>
      <c r="AM7" s="298">
        <f>KeyInputs!AP7</f>
        <v>42856</v>
      </c>
      <c r="AN7" s="298">
        <f>KeyInputs!AQ7</f>
        <v>42887</v>
      </c>
      <c r="AO7" s="298">
        <f>KeyInputs!AR7</f>
        <v>42917</v>
      </c>
      <c r="AP7" s="298">
        <f>KeyInputs!AS7</f>
        <v>42948</v>
      </c>
      <c r="AQ7" s="298">
        <f>KeyInputs!AT7</f>
        <v>42979</v>
      </c>
      <c r="AR7" s="298">
        <f>KeyInputs!AU7</f>
        <v>43009</v>
      </c>
      <c r="AS7" s="298">
        <f>KeyInputs!AV7</f>
        <v>43040</v>
      </c>
      <c r="AT7" s="298">
        <f>KeyInputs!AW7</f>
        <v>43070</v>
      </c>
      <c r="AU7" s="298">
        <f>KeyInputs!AX7</f>
        <v>43101</v>
      </c>
      <c r="AV7" s="298">
        <f>KeyInputs!AY7</f>
        <v>43132</v>
      </c>
      <c r="AW7" s="298">
        <f>KeyInputs!AZ7</f>
        <v>43160</v>
      </c>
      <c r="AX7" s="298">
        <f>KeyInputs!BA7</f>
        <v>43191</v>
      </c>
      <c r="AY7" s="298">
        <f>KeyInputs!BB7</f>
        <v>43221</v>
      </c>
      <c r="AZ7" s="298">
        <f>KeyInputs!BC7</f>
        <v>43252</v>
      </c>
      <c r="BA7" s="298">
        <f>KeyInputs!BD7</f>
        <v>43282</v>
      </c>
      <c r="BB7" s="298">
        <f>KeyInputs!BE7</f>
        <v>43313</v>
      </c>
      <c r="BC7" s="298">
        <f>KeyInputs!BF7</f>
        <v>43344</v>
      </c>
      <c r="BD7" s="298">
        <f>KeyInputs!BG7</f>
        <v>43374</v>
      </c>
      <c r="BE7" s="298">
        <f>KeyInputs!BH7</f>
        <v>43405</v>
      </c>
      <c r="BF7" s="298">
        <f>KeyInputs!BI7</f>
        <v>43435</v>
      </c>
      <c r="BG7" s="298">
        <f>KeyInputs!BJ7</f>
        <v>43466</v>
      </c>
      <c r="BH7" s="298">
        <f>KeyInputs!BK7</f>
        <v>43497</v>
      </c>
      <c r="BI7" s="298">
        <f>KeyInputs!BL7</f>
        <v>43525</v>
      </c>
      <c r="BJ7" s="298">
        <f>KeyInputs!BM7</f>
        <v>43556</v>
      </c>
      <c r="BK7" s="298">
        <f>KeyInputs!BN7</f>
        <v>43586</v>
      </c>
      <c r="BL7" s="298">
        <f>KeyInputs!BO7</f>
        <v>43617</v>
      </c>
      <c r="BM7" s="298">
        <f>KeyInputs!BP7</f>
        <v>43647</v>
      </c>
      <c r="BN7" s="298">
        <f>KeyInputs!BQ7</f>
        <v>43678</v>
      </c>
      <c r="BO7" s="298">
        <f>KeyInputs!BR7</f>
        <v>43709</v>
      </c>
      <c r="BP7" s="298">
        <f>KeyInputs!BS7</f>
        <v>43739</v>
      </c>
      <c r="BQ7" s="298">
        <f>KeyInputs!BT7</f>
        <v>43770</v>
      </c>
      <c r="BR7" s="298">
        <f>KeyInputs!BU7</f>
        <v>43800</v>
      </c>
      <c r="BS7" s="288"/>
      <c r="BT7" s="288"/>
      <c r="BU7" s="296"/>
      <c r="BV7" s="296"/>
      <c r="BW7" s="296"/>
      <c r="BX7" s="296"/>
      <c r="BY7" s="296"/>
    </row>
    <row r="8" spans="1:78" s="290" customFormat="1" x14ac:dyDescent="0.25">
      <c r="B8" s="291" t="str">
        <f ca="1">IF(Check!$C$12=0,"All checks are OK","There are "&amp;Check!$C$12&amp;" error/errors")</f>
        <v>All checks are OK</v>
      </c>
      <c r="D8" s="297" t="str">
        <f>KeyInputs!D8</f>
        <v>Period ends</v>
      </c>
      <c r="E8" s="298">
        <f>KeyInputs!H8</f>
        <v>42369</v>
      </c>
      <c r="F8" s="298">
        <f>KeyInputs!I8</f>
        <v>42735</v>
      </c>
      <c r="G8" s="298">
        <f>KeyInputs!J8</f>
        <v>43100</v>
      </c>
      <c r="H8" s="298">
        <f>KeyInputs!K8</f>
        <v>43465</v>
      </c>
      <c r="I8" s="298">
        <f>KeyInputs!L8</f>
        <v>43830</v>
      </c>
      <c r="J8" s="288"/>
      <c r="K8" s="298">
        <f>KeyInputs!N8</f>
        <v>42035</v>
      </c>
      <c r="L8" s="298">
        <f>KeyInputs!O8</f>
        <v>42063</v>
      </c>
      <c r="M8" s="298">
        <f>KeyInputs!P8</f>
        <v>42094</v>
      </c>
      <c r="N8" s="298">
        <f>KeyInputs!Q8</f>
        <v>42124</v>
      </c>
      <c r="O8" s="298">
        <f>KeyInputs!R8</f>
        <v>42155</v>
      </c>
      <c r="P8" s="298">
        <f>KeyInputs!S8</f>
        <v>42185</v>
      </c>
      <c r="Q8" s="298">
        <f>KeyInputs!T8</f>
        <v>42216</v>
      </c>
      <c r="R8" s="298">
        <f>KeyInputs!U8</f>
        <v>42247</v>
      </c>
      <c r="S8" s="298">
        <f>KeyInputs!V8</f>
        <v>42277</v>
      </c>
      <c r="T8" s="298">
        <f>KeyInputs!W8</f>
        <v>42308</v>
      </c>
      <c r="U8" s="298">
        <f>KeyInputs!X8</f>
        <v>42338</v>
      </c>
      <c r="V8" s="298">
        <f>KeyInputs!Y8</f>
        <v>42369</v>
      </c>
      <c r="W8" s="298">
        <f>KeyInputs!Z8</f>
        <v>42400</v>
      </c>
      <c r="X8" s="298">
        <f>KeyInputs!AA8</f>
        <v>42429</v>
      </c>
      <c r="Y8" s="298">
        <f>KeyInputs!AB8</f>
        <v>42460</v>
      </c>
      <c r="Z8" s="298">
        <f>KeyInputs!AC8</f>
        <v>42490</v>
      </c>
      <c r="AA8" s="298">
        <f>KeyInputs!AD8</f>
        <v>42521</v>
      </c>
      <c r="AB8" s="298">
        <f>KeyInputs!AE8</f>
        <v>42551</v>
      </c>
      <c r="AC8" s="298">
        <f>KeyInputs!AF8</f>
        <v>42582</v>
      </c>
      <c r="AD8" s="298">
        <f>KeyInputs!AG8</f>
        <v>42613</v>
      </c>
      <c r="AE8" s="298">
        <f>KeyInputs!AH8</f>
        <v>42643</v>
      </c>
      <c r="AF8" s="298">
        <f>KeyInputs!AI8</f>
        <v>42674</v>
      </c>
      <c r="AG8" s="298">
        <f>KeyInputs!AJ8</f>
        <v>42704</v>
      </c>
      <c r="AH8" s="298">
        <f>KeyInputs!AK8</f>
        <v>42735</v>
      </c>
      <c r="AI8" s="298">
        <f>KeyInputs!AL8</f>
        <v>42766</v>
      </c>
      <c r="AJ8" s="298">
        <f>KeyInputs!AM8</f>
        <v>42794</v>
      </c>
      <c r="AK8" s="298">
        <f>KeyInputs!AN8</f>
        <v>42825</v>
      </c>
      <c r="AL8" s="298">
        <f>KeyInputs!AO8</f>
        <v>42855</v>
      </c>
      <c r="AM8" s="298">
        <f>KeyInputs!AP8</f>
        <v>42886</v>
      </c>
      <c r="AN8" s="298">
        <f>KeyInputs!AQ8</f>
        <v>42916</v>
      </c>
      <c r="AO8" s="298">
        <f>KeyInputs!AR8</f>
        <v>42947</v>
      </c>
      <c r="AP8" s="298">
        <f>KeyInputs!AS8</f>
        <v>42978</v>
      </c>
      <c r="AQ8" s="298">
        <f>KeyInputs!AT8</f>
        <v>43008</v>
      </c>
      <c r="AR8" s="298">
        <f>KeyInputs!AU8</f>
        <v>43039</v>
      </c>
      <c r="AS8" s="298">
        <f>KeyInputs!AV8</f>
        <v>43069</v>
      </c>
      <c r="AT8" s="298">
        <f>KeyInputs!AW8</f>
        <v>43100</v>
      </c>
      <c r="AU8" s="298">
        <f>KeyInputs!AX8</f>
        <v>43131</v>
      </c>
      <c r="AV8" s="298">
        <f>KeyInputs!AY8</f>
        <v>43159</v>
      </c>
      <c r="AW8" s="298">
        <f>KeyInputs!AZ8</f>
        <v>43190</v>
      </c>
      <c r="AX8" s="298">
        <f>KeyInputs!BA8</f>
        <v>43220</v>
      </c>
      <c r="AY8" s="298">
        <f>KeyInputs!BB8</f>
        <v>43251</v>
      </c>
      <c r="AZ8" s="298">
        <f>KeyInputs!BC8</f>
        <v>43281</v>
      </c>
      <c r="BA8" s="298">
        <f>KeyInputs!BD8</f>
        <v>43312</v>
      </c>
      <c r="BB8" s="298">
        <f>KeyInputs!BE8</f>
        <v>43343</v>
      </c>
      <c r="BC8" s="298">
        <f>KeyInputs!BF8</f>
        <v>43373</v>
      </c>
      <c r="BD8" s="298">
        <f>KeyInputs!BG8</f>
        <v>43404</v>
      </c>
      <c r="BE8" s="298">
        <f>KeyInputs!BH8</f>
        <v>43434</v>
      </c>
      <c r="BF8" s="298">
        <f>KeyInputs!BI8</f>
        <v>43465</v>
      </c>
      <c r="BG8" s="298">
        <f>KeyInputs!BJ8</f>
        <v>43496</v>
      </c>
      <c r="BH8" s="298">
        <f>KeyInputs!BK8</f>
        <v>43524</v>
      </c>
      <c r="BI8" s="298">
        <f>KeyInputs!BL8</f>
        <v>43555</v>
      </c>
      <c r="BJ8" s="298">
        <f>KeyInputs!BM8</f>
        <v>43585</v>
      </c>
      <c r="BK8" s="298">
        <f>KeyInputs!BN8</f>
        <v>43616</v>
      </c>
      <c r="BL8" s="298">
        <f>KeyInputs!BO8</f>
        <v>43646</v>
      </c>
      <c r="BM8" s="298">
        <f>KeyInputs!BP8</f>
        <v>43677</v>
      </c>
      <c r="BN8" s="298">
        <f>KeyInputs!BQ8</f>
        <v>43708</v>
      </c>
      <c r="BO8" s="298">
        <f>KeyInputs!BR8</f>
        <v>43738</v>
      </c>
      <c r="BP8" s="298">
        <f>KeyInputs!BS8</f>
        <v>43769</v>
      </c>
      <c r="BQ8" s="298">
        <f>KeyInputs!BT8</f>
        <v>43799</v>
      </c>
      <c r="BR8" s="298">
        <f>KeyInputs!BU8</f>
        <v>43830</v>
      </c>
      <c r="BS8" s="288"/>
      <c r="BT8" s="288"/>
      <c r="BU8" s="296"/>
      <c r="BV8" s="296"/>
      <c r="BW8" s="296"/>
      <c r="BX8" s="296"/>
      <c r="BY8" s="296"/>
      <c r="BZ8" s="285"/>
    </row>
    <row r="9" spans="1:78" s="82" customFormat="1" x14ac:dyDescent="0.25">
      <c r="A9" s="114" t="s">
        <v>163</v>
      </c>
      <c r="B9" s="115"/>
      <c r="C9" s="115"/>
      <c r="D9" s="77"/>
      <c r="E9" s="77"/>
      <c r="F9" s="77"/>
      <c r="G9" s="77"/>
      <c r="H9" s="77"/>
      <c r="I9" s="77"/>
      <c r="J9" s="77"/>
      <c r="K9" s="78"/>
      <c r="L9" s="79"/>
      <c r="M9" s="79"/>
      <c r="N9" s="79"/>
      <c r="O9" s="79"/>
      <c r="P9" s="79"/>
      <c r="Q9" s="79"/>
      <c r="R9" s="79"/>
      <c r="S9" s="79"/>
      <c r="T9" s="79"/>
      <c r="U9" s="79"/>
      <c r="V9" s="79"/>
      <c r="W9" s="78"/>
      <c r="X9" s="79"/>
      <c r="Y9" s="79"/>
      <c r="Z9" s="79"/>
      <c r="AA9" s="79"/>
      <c r="AB9" s="79"/>
      <c r="AC9" s="79"/>
      <c r="AD9" s="79"/>
      <c r="AE9" s="79"/>
      <c r="AF9" s="79"/>
      <c r="AG9" s="79"/>
      <c r="AH9" s="79"/>
      <c r="AI9" s="78"/>
      <c r="AJ9" s="79"/>
      <c r="AK9" s="79"/>
      <c r="AL9" s="79"/>
      <c r="AM9" s="79"/>
      <c r="AN9" s="79"/>
      <c r="AO9" s="79"/>
      <c r="AP9" s="79"/>
      <c r="AQ9" s="79"/>
      <c r="AR9" s="79"/>
      <c r="AS9" s="79"/>
      <c r="AT9" s="79"/>
      <c r="AU9" s="78"/>
      <c r="AV9" s="79"/>
      <c r="AW9" s="79"/>
      <c r="AX9" s="79"/>
      <c r="AY9" s="79"/>
      <c r="AZ9" s="79"/>
      <c r="BA9" s="79"/>
      <c r="BB9" s="79"/>
      <c r="BC9" s="79"/>
      <c r="BD9" s="79"/>
      <c r="BE9" s="79"/>
      <c r="BF9" s="79"/>
      <c r="BG9" s="78"/>
      <c r="BH9" s="79"/>
      <c r="BI9" s="79"/>
      <c r="BJ9" s="79"/>
      <c r="BK9" s="79"/>
      <c r="BL9" s="79"/>
      <c r="BM9" s="79"/>
      <c r="BN9" s="79"/>
      <c r="BO9" s="79"/>
      <c r="BP9" s="79"/>
      <c r="BQ9" s="79"/>
      <c r="BR9" s="79"/>
      <c r="BT9" s="77"/>
      <c r="BU9" s="251"/>
      <c r="BV9" s="251"/>
      <c r="BW9" s="251"/>
      <c r="BX9" s="251"/>
      <c r="BY9" s="251"/>
    </row>
    <row r="10" spans="1:78" s="82" customFormat="1" x14ac:dyDescent="0.25">
      <c r="A10" s="101"/>
      <c r="B10" s="102" t="s">
        <v>164</v>
      </c>
      <c r="C10" s="88" t="str">
        <f>Revenue!C35</f>
        <v>Insert Product Group 1</v>
      </c>
      <c r="D10" s="67"/>
      <c r="E10" s="67"/>
      <c r="F10" s="67"/>
      <c r="G10" s="67"/>
      <c r="H10" s="67"/>
      <c r="I10" s="67"/>
      <c r="J10" s="67"/>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T10" s="67"/>
      <c r="BU10" s="252"/>
      <c r="BV10" s="252"/>
      <c r="BW10" s="252"/>
      <c r="BX10" s="252"/>
      <c r="BY10" s="252"/>
    </row>
    <row r="11" spans="1:78" s="82" customFormat="1" x14ac:dyDescent="0.25">
      <c r="A11" s="101"/>
      <c r="B11" s="102" t="s">
        <v>165</v>
      </c>
      <c r="C11" s="88" t="s">
        <v>166</v>
      </c>
      <c r="D11" s="67"/>
      <c r="E11" s="67"/>
      <c r="F11" s="67"/>
      <c r="G11" s="67"/>
      <c r="H11" s="67"/>
      <c r="I11" s="67"/>
      <c r="J11" s="67"/>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T11" s="77"/>
      <c r="BU11" s="251"/>
      <c r="BV11" s="251"/>
      <c r="BW11" s="251"/>
      <c r="BX11" s="251"/>
      <c r="BY11" s="251"/>
    </row>
    <row r="12" spans="1:78" s="82" customFormat="1" x14ac:dyDescent="0.25">
      <c r="A12" s="101"/>
      <c r="B12" s="102"/>
      <c r="C12" s="67"/>
      <c r="D12" s="67"/>
      <c r="E12" s="67"/>
      <c r="F12" s="67"/>
      <c r="G12" s="67"/>
      <c r="H12" s="67"/>
      <c r="I12" s="67"/>
      <c r="J12" s="67"/>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T12" s="77"/>
      <c r="BU12" s="77"/>
      <c r="BV12" s="77"/>
      <c r="BW12" s="77"/>
      <c r="BX12" s="77"/>
      <c r="BY12" s="77"/>
    </row>
    <row r="13" spans="1:78" s="82" customFormat="1" x14ac:dyDescent="0.25">
      <c r="A13" s="101"/>
      <c r="B13" s="102" t="s">
        <v>170</v>
      </c>
      <c r="C13" s="88" t="s">
        <v>167</v>
      </c>
      <c r="D13" s="67"/>
      <c r="E13" s="94">
        <f>SUMIF($K$5:$BR$5,E$5,$K13:$BR13)</f>
        <v>0</v>
      </c>
      <c r="F13" s="94">
        <f>SUMIF($K$5:$BR$5,F$5,$K13:$BR13)</f>
        <v>0</v>
      </c>
      <c r="G13" s="94">
        <f>SUMIF($K$5:$BR$5,G$5,$K13:$BR13)</f>
        <v>0</v>
      </c>
      <c r="H13" s="94">
        <f>SUMIF($K$5:$BR$5,H$5,$K13:$BR13)</f>
        <v>0</v>
      </c>
      <c r="I13" s="94">
        <f>SUMIF($K$5:$BR$5,I$5,$K13:$BR13)</f>
        <v>0</v>
      </c>
      <c r="J13" s="67"/>
      <c r="K13" s="94">
        <f>INDEX($K$15:$BR$17,MATCH($C$13,$B$15:$B$17,0),0)</f>
        <v>0</v>
      </c>
      <c r="L13" s="94">
        <f t="shared" ref="L13:BR13" si="0">INDEX($K$15:$BR$17,MATCH($C$13,$B$15:$B$17,0),0)</f>
        <v>0</v>
      </c>
      <c r="M13" s="94">
        <f t="shared" si="0"/>
        <v>0</v>
      </c>
      <c r="N13" s="94">
        <f t="shared" si="0"/>
        <v>0</v>
      </c>
      <c r="O13" s="94">
        <f t="shared" si="0"/>
        <v>0</v>
      </c>
      <c r="P13" s="94">
        <f t="shared" si="0"/>
        <v>0</v>
      </c>
      <c r="Q13" s="94">
        <f t="shared" si="0"/>
        <v>0</v>
      </c>
      <c r="R13" s="94">
        <f t="shared" si="0"/>
        <v>0</v>
      </c>
      <c r="S13" s="94">
        <f t="shared" si="0"/>
        <v>0</v>
      </c>
      <c r="T13" s="94">
        <f t="shared" si="0"/>
        <v>0</v>
      </c>
      <c r="U13" s="94">
        <f t="shared" si="0"/>
        <v>0</v>
      </c>
      <c r="V13" s="94">
        <f t="shared" si="0"/>
        <v>0</v>
      </c>
      <c r="W13" s="94">
        <f t="shared" si="0"/>
        <v>0</v>
      </c>
      <c r="X13" s="94">
        <f t="shared" si="0"/>
        <v>0</v>
      </c>
      <c r="Y13" s="94">
        <f t="shared" si="0"/>
        <v>0</v>
      </c>
      <c r="Z13" s="94">
        <f t="shared" si="0"/>
        <v>0</v>
      </c>
      <c r="AA13" s="94">
        <f t="shared" si="0"/>
        <v>0</v>
      </c>
      <c r="AB13" s="94">
        <f t="shared" si="0"/>
        <v>0</v>
      </c>
      <c r="AC13" s="94">
        <f t="shared" si="0"/>
        <v>0</v>
      </c>
      <c r="AD13" s="94">
        <f t="shared" si="0"/>
        <v>0</v>
      </c>
      <c r="AE13" s="94">
        <f t="shared" si="0"/>
        <v>0</v>
      </c>
      <c r="AF13" s="94">
        <f t="shared" si="0"/>
        <v>0</v>
      </c>
      <c r="AG13" s="94">
        <f t="shared" si="0"/>
        <v>0</v>
      </c>
      <c r="AH13" s="94">
        <f t="shared" si="0"/>
        <v>0</v>
      </c>
      <c r="AI13" s="94">
        <f t="shared" si="0"/>
        <v>0</v>
      </c>
      <c r="AJ13" s="94">
        <f t="shared" si="0"/>
        <v>0</v>
      </c>
      <c r="AK13" s="94">
        <f t="shared" si="0"/>
        <v>0</v>
      </c>
      <c r="AL13" s="94">
        <f t="shared" si="0"/>
        <v>0</v>
      </c>
      <c r="AM13" s="94">
        <f t="shared" si="0"/>
        <v>0</v>
      </c>
      <c r="AN13" s="94">
        <f t="shared" si="0"/>
        <v>0</v>
      </c>
      <c r="AO13" s="94">
        <f t="shared" si="0"/>
        <v>0</v>
      </c>
      <c r="AP13" s="94">
        <f t="shared" si="0"/>
        <v>0</v>
      </c>
      <c r="AQ13" s="94">
        <f t="shared" si="0"/>
        <v>0</v>
      </c>
      <c r="AR13" s="94">
        <f t="shared" si="0"/>
        <v>0</v>
      </c>
      <c r="AS13" s="94">
        <f t="shared" si="0"/>
        <v>0</v>
      </c>
      <c r="AT13" s="94">
        <f t="shared" si="0"/>
        <v>0</v>
      </c>
      <c r="AU13" s="94">
        <f t="shared" si="0"/>
        <v>0</v>
      </c>
      <c r="AV13" s="94">
        <f t="shared" si="0"/>
        <v>0</v>
      </c>
      <c r="AW13" s="94">
        <f t="shared" si="0"/>
        <v>0</v>
      </c>
      <c r="AX13" s="94">
        <f t="shared" si="0"/>
        <v>0</v>
      </c>
      <c r="AY13" s="94">
        <f t="shared" si="0"/>
        <v>0</v>
      </c>
      <c r="AZ13" s="94">
        <f t="shared" si="0"/>
        <v>0</v>
      </c>
      <c r="BA13" s="94">
        <f t="shared" si="0"/>
        <v>0</v>
      </c>
      <c r="BB13" s="94">
        <f t="shared" si="0"/>
        <v>0</v>
      </c>
      <c r="BC13" s="94">
        <f t="shared" si="0"/>
        <v>0</v>
      </c>
      <c r="BD13" s="94">
        <f t="shared" si="0"/>
        <v>0</v>
      </c>
      <c r="BE13" s="94">
        <f t="shared" si="0"/>
        <v>0</v>
      </c>
      <c r="BF13" s="94">
        <f t="shared" si="0"/>
        <v>0</v>
      </c>
      <c r="BG13" s="94">
        <f t="shared" si="0"/>
        <v>0</v>
      </c>
      <c r="BH13" s="94">
        <f t="shared" si="0"/>
        <v>0</v>
      </c>
      <c r="BI13" s="94">
        <f t="shared" si="0"/>
        <v>0</v>
      </c>
      <c r="BJ13" s="94">
        <f t="shared" si="0"/>
        <v>0</v>
      </c>
      <c r="BK13" s="94">
        <f t="shared" si="0"/>
        <v>0</v>
      </c>
      <c r="BL13" s="94">
        <f t="shared" si="0"/>
        <v>0</v>
      </c>
      <c r="BM13" s="94">
        <f t="shared" si="0"/>
        <v>0</v>
      </c>
      <c r="BN13" s="94">
        <f t="shared" si="0"/>
        <v>0</v>
      </c>
      <c r="BO13" s="94">
        <f t="shared" si="0"/>
        <v>0</v>
      </c>
      <c r="BP13" s="94">
        <f t="shared" si="0"/>
        <v>0</v>
      </c>
      <c r="BQ13" s="94">
        <f t="shared" si="0"/>
        <v>0</v>
      </c>
      <c r="BR13" s="94">
        <f t="shared" si="0"/>
        <v>0</v>
      </c>
      <c r="BT13" s="77"/>
      <c r="BU13" s="77"/>
      <c r="BV13" s="77"/>
      <c r="BW13" s="77"/>
      <c r="BX13" s="77"/>
      <c r="BY13" s="77"/>
    </row>
    <row r="14" spans="1:78" s="82" customFormat="1" ht="15" customHeight="1" outlineLevel="1" x14ac:dyDescent="0.25">
      <c r="A14" s="101"/>
      <c r="B14" s="67"/>
      <c r="C14" s="67"/>
      <c r="D14" s="67"/>
      <c r="E14" s="94"/>
      <c r="F14" s="94"/>
      <c r="G14" s="94"/>
      <c r="H14" s="94"/>
      <c r="I14" s="94"/>
      <c r="J14" s="67"/>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T14" s="77"/>
      <c r="BU14" s="77"/>
      <c r="BV14" s="77"/>
      <c r="BW14" s="77"/>
      <c r="BX14" s="77"/>
      <c r="BY14" s="77"/>
    </row>
    <row r="15" spans="1:78" s="82" customFormat="1" ht="15" customHeight="1" outlineLevel="1" x14ac:dyDescent="0.25">
      <c r="A15" s="101"/>
      <c r="B15" s="116" t="s">
        <v>168</v>
      </c>
      <c r="C15" s="87">
        <v>0.1</v>
      </c>
      <c r="D15" s="116"/>
      <c r="E15" s="94">
        <f t="shared" ref="E15:I17" si="1">SUMIF($K$5:$BR$5,E$5,$K15:$BR15)</f>
        <v>0</v>
      </c>
      <c r="F15" s="94">
        <f t="shared" si="1"/>
        <v>0</v>
      </c>
      <c r="G15" s="94">
        <f t="shared" si="1"/>
        <v>0</v>
      </c>
      <c r="H15" s="94">
        <f t="shared" si="1"/>
        <v>0</v>
      </c>
      <c r="I15" s="94">
        <f t="shared" si="1"/>
        <v>0</v>
      </c>
      <c r="J15" s="116"/>
      <c r="K15" s="94">
        <f>K16*(1+$C15)</f>
        <v>0</v>
      </c>
      <c r="L15" s="94">
        <f t="shared" ref="L15:BR15" si="2">L16*(1+$C15)</f>
        <v>0</v>
      </c>
      <c r="M15" s="94">
        <f t="shared" si="2"/>
        <v>0</v>
      </c>
      <c r="N15" s="94">
        <f t="shared" si="2"/>
        <v>0</v>
      </c>
      <c r="O15" s="94">
        <f t="shared" si="2"/>
        <v>0</v>
      </c>
      <c r="P15" s="94">
        <f t="shared" si="2"/>
        <v>0</v>
      </c>
      <c r="Q15" s="94">
        <f t="shared" si="2"/>
        <v>0</v>
      </c>
      <c r="R15" s="94">
        <f t="shared" si="2"/>
        <v>0</v>
      </c>
      <c r="S15" s="94">
        <f t="shared" si="2"/>
        <v>0</v>
      </c>
      <c r="T15" s="94">
        <f t="shared" si="2"/>
        <v>0</v>
      </c>
      <c r="U15" s="94">
        <f t="shared" si="2"/>
        <v>0</v>
      </c>
      <c r="V15" s="94">
        <f t="shared" si="2"/>
        <v>0</v>
      </c>
      <c r="W15" s="94">
        <f t="shared" si="2"/>
        <v>0</v>
      </c>
      <c r="X15" s="94">
        <f t="shared" si="2"/>
        <v>0</v>
      </c>
      <c r="Y15" s="94">
        <f t="shared" si="2"/>
        <v>0</v>
      </c>
      <c r="Z15" s="94">
        <f t="shared" si="2"/>
        <v>0</v>
      </c>
      <c r="AA15" s="94">
        <f t="shared" si="2"/>
        <v>0</v>
      </c>
      <c r="AB15" s="94">
        <f t="shared" si="2"/>
        <v>0</v>
      </c>
      <c r="AC15" s="94">
        <f t="shared" si="2"/>
        <v>0</v>
      </c>
      <c r="AD15" s="94">
        <f t="shared" si="2"/>
        <v>0</v>
      </c>
      <c r="AE15" s="94">
        <f t="shared" si="2"/>
        <v>0</v>
      </c>
      <c r="AF15" s="94">
        <f t="shared" si="2"/>
        <v>0</v>
      </c>
      <c r="AG15" s="94">
        <f t="shared" si="2"/>
        <v>0</v>
      </c>
      <c r="AH15" s="94">
        <f t="shared" si="2"/>
        <v>0</v>
      </c>
      <c r="AI15" s="94">
        <f t="shared" si="2"/>
        <v>0</v>
      </c>
      <c r="AJ15" s="94">
        <f t="shared" si="2"/>
        <v>0</v>
      </c>
      <c r="AK15" s="94">
        <f t="shared" si="2"/>
        <v>0</v>
      </c>
      <c r="AL15" s="94">
        <f t="shared" si="2"/>
        <v>0</v>
      </c>
      <c r="AM15" s="94">
        <f t="shared" si="2"/>
        <v>0</v>
      </c>
      <c r="AN15" s="94">
        <f t="shared" si="2"/>
        <v>0</v>
      </c>
      <c r="AO15" s="94">
        <f t="shared" si="2"/>
        <v>0</v>
      </c>
      <c r="AP15" s="94">
        <f t="shared" si="2"/>
        <v>0</v>
      </c>
      <c r="AQ15" s="94">
        <f t="shared" si="2"/>
        <v>0</v>
      </c>
      <c r="AR15" s="94">
        <f t="shared" si="2"/>
        <v>0</v>
      </c>
      <c r="AS15" s="94">
        <f t="shared" si="2"/>
        <v>0</v>
      </c>
      <c r="AT15" s="94">
        <f t="shared" si="2"/>
        <v>0</v>
      </c>
      <c r="AU15" s="94">
        <f t="shared" si="2"/>
        <v>0</v>
      </c>
      <c r="AV15" s="94">
        <f t="shared" si="2"/>
        <v>0</v>
      </c>
      <c r="AW15" s="94">
        <f t="shared" si="2"/>
        <v>0</v>
      </c>
      <c r="AX15" s="94">
        <f t="shared" si="2"/>
        <v>0</v>
      </c>
      <c r="AY15" s="94">
        <f t="shared" si="2"/>
        <v>0</v>
      </c>
      <c r="AZ15" s="94">
        <f t="shared" si="2"/>
        <v>0</v>
      </c>
      <c r="BA15" s="94">
        <f t="shared" si="2"/>
        <v>0</v>
      </c>
      <c r="BB15" s="94">
        <f t="shared" si="2"/>
        <v>0</v>
      </c>
      <c r="BC15" s="94">
        <f t="shared" si="2"/>
        <v>0</v>
      </c>
      <c r="BD15" s="94">
        <f t="shared" si="2"/>
        <v>0</v>
      </c>
      <c r="BE15" s="94">
        <f t="shared" si="2"/>
        <v>0</v>
      </c>
      <c r="BF15" s="94">
        <f t="shared" si="2"/>
        <v>0</v>
      </c>
      <c r="BG15" s="94">
        <f t="shared" si="2"/>
        <v>0</v>
      </c>
      <c r="BH15" s="94">
        <f t="shared" si="2"/>
        <v>0</v>
      </c>
      <c r="BI15" s="94">
        <f t="shared" si="2"/>
        <v>0</v>
      </c>
      <c r="BJ15" s="94">
        <f t="shared" si="2"/>
        <v>0</v>
      </c>
      <c r="BK15" s="94">
        <f t="shared" si="2"/>
        <v>0</v>
      </c>
      <c r="BL15" s="94">
        <f t="shared" si="2"/>
        <v>0</v>
      </c>
      <c r="BM15" s="94">
        <f t="shared" si="2"/>
        <v>0</v>
      </c>
      <c r="BN15" s="94">
        <f t="shared" si="2"/>
        <v>0</v>
      </c>
      <c r="BO15" s="94">
        <f t="shared" si="2"/>
        <v>0</v>
      </c>
      <c r="BP15" s="94">
        <f t="shared" si="2"/>
        <v>0</v>
      </c>
      <c r="BQ15" s="94">
        <f t="shared" si="2"/>
        <v>0</v>
      </c>
      <c r="BR15" s="94">
        <f t="shared" si="2"/>
        <v>0</v>
      </c>
      <c r="BT15" s="77"/>
      <c r="BU15" s="77"/>
      <c r="BV15" s="77"/>
      <c r="BW15" s="77"/>
      <c r="BX15" s="77"/>
      <c r="BY15" s="77"/>
    </row>
    <row r="16" spans="1:78" ht="15" customHeight="1" outlineLevel="1" x14ac:dyDescent="0.25">
      <c r="A16" s="101"/>
      <c r="B16" s="116" t="s">
        <v>167</v>
      </c>
      <c r="C16" s="87">
        <v>0</v>
      </c>
      <c r="D16" s="116"/>
      <c r="E16" s="94">
        <f t="shared" si="1"/>
        <v>0</v>
      </c>
      <c r="F16" s="94">
        <f t="shared" si="1"/>
        <v>0</v>
      </c>
      <c r="G16" s="94">
        <f t="shared" si="1"/>
        <v>0</v>
      </c>
      <c r="H16" s="94">
        <f t="shared" si="1"/>
        <v>0</v>
      </c>
      <c r="I16" s="94">
        <f t="shared" si="1"/>
        <v>0</v>
      </c>
      <c r="J16" s="116"/>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120"/>
      <c r="BR16" s="88"/>
    </row>
    <row r="17" spans="1:77" s="82" customFormat="1" ht="15" customHeight="1" outlineLevel="1" x14ac:dyDescent="0.25">
      <c r="A17" s="101"/>
      <c r="B17" s="116" t="s">
        <v>169</v>
      </c>
      <c r="C17" s="87">
        <v>-0.1</v>
      </c>
      <c r="D17" s="116"/>
      <c r="E17" s="94">
        <f t="shared" si="1"/>
        <v>0</v>
      </c>
      <c r="F17" s="94">
        <f t="shared" si="1"/>
        <v>0</v>
      </c>
      <c r="G17" s="94">
        <f t="shared" si="1"/>
        <v>0</v>
      </c>
      <c r="H17" s="94">
        <f t="shared" si="1"/>
        <v>0</v>
      </c>
      <c r="I17" s="94">
        <f t="shared" si="1"/>
        <v>0</v>
      </c>
      <c r="J17" s="116"/>
      <c r="K17" s="94">
        <f>K16*(1+$C17)</f>
        <v>0</v>
      </c>
      <c r="L17" s="94">
        <f t="shared" ref="L17:BR17" si="3">L16*(1+$C17)</f>
        <v>0</v>
      </c>
      <c r="M17" s="94">
        <f t="shared" si="3"/>
        <v>0</v>
      </c>
      <c r="N17" s="94">
        <f t="shared" si="3"/>
        <v>0</v>
      </c>
      <c r="O17" s="94">
        <f t="shared" si="3"/>
        <v>0</v>
      </c>
      <c r="P17" s="94">
        <f t="shared" si="3"/>
        <v>0</v>
      </c>
      <c r="Q17" s="94">
        <f t="shared" si="3"/>
        <v>0</v>
      </c>
      <c r="R17" s="94">
        <f t="shared" si="3"/>
        <v>0</v>
      </c>
      <c r="S17" s="94">
        <f t="shared" si="3"/>
        <v>0</v>
      </c>
      <c r="T17" s="94">
        <f t="shared" si="3"/>
        <v>0</v>
      </c>
      <c r="U17" s="94">
        <f t="shared" si="3"/>
        <v>0</v>
      </c>
      <c r="V17" s="94">
        <f t="shared" si="3"/>
        <v>0</v>
      </c>
      <c r="W17" s="94">
        <f t="shared" si="3"/>
        <v>0</v>
      </c>
      <c r="X17" s="94">
        <f t="shared" si="3"/>
        <v>0</v>
      </c>
      <c r="Y17" s="94">
        <f t="shared" si="3"/>
        <v>0</v>
      </c>
      <c r="Z17" s="94">
        <f t="shared" si="3"/>
        <v>0</v>
      </c>
      <c r="AA17" s="94">
        <f t="shared" si="3"/>
        <v>0</v>
      </c>
      <c r="AB17" s="94">
        <f t="shared" si="3"/>
        <v>0</v>
      </c>
      <c r="AC17" s="94">
        <f t="shared" si="3"/>
        <v>0</v>
      </c>
      <c r="AD17" s="94">
        <f t="shared" si="3"/>
        <v>0</v>
      </c>
      <c r="AE17" s="94">
        <f t="shared" si="3"/>
        <v>0</v>
      </c>
      <c r="AF17" s="94">
        <f t="shared" si="3"/>
        <v>0</v>
      </c>
      <c r="AG17" s="94">
        <f t="shared" si="3"/>
        <v>0</v>
      </c>
      <c r="AH17" s="94">
        <f t="shared" si="3"/>
        <v>0</v>
      </c>
      <c r="AI17" s="94">
        <f t="shared" si="3"/>
        <v>0</v>
      </c>
      <c r="AJ17" s="94">
        <f t="shared" si="3"/>
        <v>0</v>
      </c>
      <c r="AK17" s="94">
        <f t="shared" si="3"/>
        <v>0</v>
      </c>
      <c r="AL17" s="94">
        <f t="shared" si="3"/>
        <v>0</v>
      </c>
      <c r="AM17" s="94">
        <f t="shared" si="3"/>
        <v>0</v>
      </c>
      <c r="AN17" s="94">
        <f t="shared" si="3"/>
        <v>0</v>
      </c>
      <c r="AO17" s="94">
        <f t="shared" si="3"/>
        <v>0</v>
      </c>
      <c r="AP17" s="94">
        <f t="shared" si="3"/>
        <v>0</v>
      </c>
      <c r="AQ17" s="94">
        <f t="shared" si="3"/>
        <v>0</v>
      </c>
      <c r="AR17" s="94">
        <f t="shared" si="3"/>
        <v>0</v>
      </c>
      <c r="AS17" s="94">
        <f t="shared" si="3"/>
        <v>0</v>
      </c>
      <c r="AT17" s="94">
        <f t="shared" si="3"/>
        <v>0</v>
      </c>
      <c r="AU17" s="94">
        <f t="shared" si="3"/>
        <v>0</v>
      </c>
      <c r="AV17" s="94">
        <f t="shared" si="3"/>
        <v>0</v>
      </c>
      <c r="AW17" s="94">
        <f t="shared" si="3"/>
        <v>0</v>
      </c>
      <c r="AX17" s="94">
        <f t="shared" si="3"/>
        <v>0</v>
      </c>
      <c r="AY17" s="94">
        <f t="shared" si="3"/>
        <v>0</v>
      </c>
      <c r="AZ17" s="94">
        <f t="shared" si="3"/>
        <v>0</v>
      </c>
      <c r="BA17" s="94">
        <f t="shared" si="3"/>
        <v>0</v>
      </c>
      <c r="BB17" s="94">
        <f t="shared" si="3"/>
        <v>0</v>
      </c>
      <c r="BC17" s="94">
        <f t="shared" si="3"/>
        <v>0</v>
      </c>
      <c r="BD17" s="94">
        <f t="shared" si="3"/>
        <v>0</v>
      </c>
      <c r="BE17" s="94">
        <f t="shared" si="3"/>
        <v>0</v>
      </c>
      <c r="BF17" s="94">
        <f t="shared" si="3"/>
        <v>0</v>
      </c>
      <c r="BG17" s="94">
        <f t="shared" si="3"/>
        <v>0</v>
      </c>
      <c r="BH17" s="94">
        <f t="shared" si="3"/>
        <v>0</v>
      </c>
      <c r="BI17" s="94">
        <f t="shared" si="3"/>
        <v>0</v>
      </c>
      <c r="BJ17" s="94">
        <f t="shared" si="3"/>
        <v>0</v>
      </c>
      <c r="BK17" s="94">
        <f t="shared" si="3"/>
        <v>0</v>
      </c>
      <c r="BL17" s="94">
        <f t="shared" si="3"/>
        <v>0</v>
      </c>
      <c r="BM17" s="94">
        <f t="shared" si="3"/>
        <v>0</v>
      </c>
      <c r="BN17" s="94">
        <f t="shared" si="3"/>
        <v>0</v>
      </c>
      <c r="BO17" s="94">
        <f t="shared" si="3"/>
        <v>0</v>
      </c>
      <c r="BP17" s="94">
        <f t="shared" si="3"/>
        <v>0</v>
      </c>
      <c r="BQ17" s="94">
        <f t="shared" si="3"/>
        <v>0</v>
      </c>
      <c r="BR17" s="94">
        <f t="shared" si="3"/>
        <v>0</v>
      </c>
      <c r="BT17" s="77"/>
      <c r="BU17" s="77"/>
      <c r="BV17" s="77"/>
      <c r="BW17" s="77"/>
      <c r="BX17" s="77"/>
      <c r="BY17" s="77"/>
    </row>
    <row r="18" spans="1:77" x14ac:dyDescent="0.25">
      <c r="A18" s="117"/>
      <c r="B18" s="118"/>
      <c r="C18" s="118"/>
      <c r="D18" s="118"/>
      <c r="E18" s="112"/>
      <c r="F18" s="112"/>
      <c r="G18" s="112"/>
      <c r="H18" s="112"/>
      <c r="I18" s="112"/>
      <c r="J18" s="118"/>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row>
    <row r="19" spans="1:77" x14ac:dyDescent="0.25">
      <c r="A19" s="114" t="s">
        <v>173</v>
      </c>
      <c r="B19" s="115"/>
      <c r="C19" s="115"/>
      <c r="D19" s="115"/>
      <c r="E19" s="113"/>
      <c r="F19" s="113"/>
      <c r="G19" s="113"/>
      <c r="H19" s="113"/>
      <c r="I19" s="113"/>
      <c r="J19" s="115"/>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c r="BB19" s="113"/>
      <c r="BC19" s="113"/>
      <c r="BD19" s="113"/>
      <c r="BE19" s="113"/>
      <c r="BF19" s="113"/>
      <c r="BG19" s="113"/>
      <c r="BH19" s="113"/>
      <c r="BI19" s="113"/>
      <c r="BJ19" s="113"/>
      <c r="BK19" s="113"/>
      <c r="BL19" s="113"/>
      <c r="BM19" s="113"/>
      <c r="BN19" s="113"/>
      <c r="BO19" s="113"/>
      <c r="BP19" s="113"/>
      <c r="BQ19" s="113"/>
      <c r="BR19" s="121"/>
    </row>
    <row r="20" spans="1:77" x14ac:dyDescent="0.25">
      <c r="A20" s="101"/>
      <c r="B20" s="102" t="s">
        <v>164</v>
      </c>
      <c r="C20" s="88" t="str">
        <f>KeyInputs!F22</f>
        <v>Insert Product Group 1</v>
      </c>
      <c r="D20" s="67"/>
      <c r="E20" s="94"/>
      <c r="F20" s="94"/>
      <c r="G20" s="94"/>
      <c r="H20" s="94"/>
      <c r="I20" s="94"/>
      <c r="J20" s="67"/>
      <c r="K20" s="94"/>
      <c r="L20" s="94"/>
      <c r="M20" s="94"/>
      <c r="N20" s="94"/>
      <c r="O20" s="94"/>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c r="BC20" s="94"/>
      <c r="BD20" s="94"/>
      <c r="BE20" s="94"/>
      <c r="BF20" s="94"/>
      <c r="BG20" s="94"/>
      <c r="BH20" s="94"/>
      <c r="BI20" s="94"/>
      <c r="BJ20" s="94"/>
      <c r="BK20" s="94"/>
      <c r="BL20" s="94"/>
      <c r="BM20" s="94"/>
      <c r="BN20" s="94"/>
      <c r="BO20" s="94"/>
      <c r="BP20" s="94"/>
      <c r="BQ20" s="94"/>
      <c r="BR20" s="94"/>
    </row>
    <row r="21" spans="1:77" x14ac:dyDescent="0.25">
      <c r="A21" s="101"/>
      <c r="B21" s="102" t="s">
        <v>165</v>
      </c>
      <c r="C21" s="88" t="s">
        <v>160</v>
      </c>
      <c r="D21" s="67"/>
      <c r="E21" s="94"/>
      <c r="F21" s="94"/>
      <c r="G21" s="94"/>
      <c r="H21" s="94"/>
      <c r="I21" s="94"/>
      <c r="J21" s="67"/>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c r="BC21" s="94"/>
      <c r="BD21" s="94"/>
      <c r="BE21" s="94"/>
      <c r="BF21" s="94"/>
      <c r="BG21" s="94"/>
      <c r="BH21" s="94"/>
      <c r="BI21" s="94"/>
      <c r="BJ21" s="94"/>
      <c r="BK21" s="94"/>
      <c r="BL21" s="94"/>
      <c r="BM21" s="94"/>
      <c r="BN21" s="94"/>
      <c r="BO21" s="94"/>
      <c r="BP21" s="94"/>
      <c r="BQ21" s="94"/>
      <c r="BR21" s="94"/>
    </row>
    <row r="22" spans="1:77" x14ac:dyDescent="0.25">
      <c r="A22" s="101"/>
      <c r="B22" s="102"/>
      <c r="C22" s="67"/>
      <c r="D22" s="67"/>
      <c r="E22" s="94"/>
      <c r="F22" s="94"/>
      <c r="G22" s="94"/>
      <c r="H22" s="94"/>
      <c r="I22" s="94"/>
      <c r="J22" s="67"/>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row>
    <row r="23" spans="1:77" x14ac:dyDescent="0.25">
      <c r="A23" s="101"/>
      <c r="B23" s="102" t="s">
        <v>170</v>
      </c>
      <c r="C23" s="88" t="s">
        <v>167</v>
      </c>
      <c r="D23" s="67"/>
      <c r="E23" s="94">
        <f>SUMIF($K$5:$BR$5,E$5,$K23:$BR23)</f>
        <v>0</v>
      </c>
      <c r="F23" s="94">
        <f>SUMIF($K$5:$BR$5,F$5,$K23:$BR23)</f>
        <v>0</v>
      </c>
      <c r="G23" s="94">
        <f>SUMIF($K$5:$BR$5,G$5,$K23:$BR23)</f>
        <v>0</v>
      </c>
      <c r="H23" s="94">
        <f>SUMIF($K$5:$BR$5,H$5,$K23:$BR23)</f>
        <v>0</v>
      </c>
      <c r="I23" s="94">
        <f>SUMIF($K$5:$BR$5,I$5,$K23:$BR23)</f>
        <v>0</v>
      </c>
      <c r="J23" s="67"/>
      <c r="K23" s="94">
        <f>INDEX($K$25:$BR$27,MATCH($C$23,$B$25:$B$27,0),0)</f>
        <v>0</v>
      </c>
      <c r="L23" s="94">
        <f t="shared" ref="L23:BR23" si="4">INDEX($K$25:$BR$27,MATCH($C$23,$B$25:$B$27,0),0)</f>
        <v>0</v>
      </c>
      <c r="M23" s="94">
        <f t="shared" si="4"/>
        <v>0</v>
      </c>
      <c r="N23" s="94">
        <f t="shared" si="4"/>
        <v>0</v>
      </c>
      <c r="O23" s="94">
        <f t="shared" si="4"/>
        <v>0</v>
      </c>
      <c r="P23" s="94">
        <f t="shared" si="4"/>
        <v>0</v>
      </c>
      <c r="Q23" s="94">
        <f t="shared" si="4"/>
        <v>0</v>
      </c>
      <c r="R23" s="94">
        <f t="shared" si="4"/>
        <v>0</v>
      </c>
      <c r="S23" s="94">
        <f t="shared" si="4"/>
        <v>0</v>
      </c>
      <c r="T23" s="94">
        <f t="shared" si="4"/>
        <v>0</v>
      </c>
      <c r="U23" s="94">
        <f t="shared" si="4"/>
        <v>0</v>
      </c>
      <c r="V23" s="94">
        <f t="shared" si="4"/>
        <v>0</v>
      </c>
      <c r="W23" s="94">
        <f t="shared" si="4"/>
        <v>0</v>
      </c>
      <c r="X23" s="94">
        <f t="shared" si="4"/>
        <v>0</v>
      </c>
      <c r="Y23" s="94">
        <f t="shared" si="4"/>
        <v>0</v>
      </c>
      <c r="Z23" s="94">
        <f t="shared" si="4"/>
        <v>0</v>
      </c>
      <c r="AA23" s="94">
        <f t="shared" si="4"/>
        <v>0</v>
      </c>
      <c r="AB23" s="94">
        <f t="shared" si="4"/>
        <v>0</v>
      </c>
      <c r="AC23" s="94">
        <f t="shared" si="4"/>
        <v>0</v>
      </c>
      <c r="AD23" s="94">
        <f t="shared" si="4"/>
        <v>0</v>
      </c>
      <c r="AE23" s="94">
        <f t="shared" si="4"/>
        <v>0</v>
      </c>
      <c r="AF23" s="94">
        <f t="shared" si="4"/>
        <v>0</v>
      </c>
      <c r="AG23" s="94">
        <f t="shared" si="4"/>
        <v>0</v>
      </c>
      <c r="AH23" s="94">
        <f t="shared" si="4"/>
        <v>0</v>
      </c>
      <c r="AI23" s="94">
        <f t="shared" si="4"/>
        <v>0</v>
      </c>
      <c r="AJ23" s="94">
        <f t="shared" si="4"/>
        <v>0</v>
      </c>
      <c r="AK23" s="94">
        <f t="shared" si="4"/>
        <v>0</v>
      </c>
      <c r="AL23" s="94">
        <f t="shared" si="4"/>
        <v>0</v>
      </c>
      <c r="AM23" s="94">
        <f t="shared" si="4"/>
        <v>0</v>
      </c>
      <c r="AN23" s="94">
        <f t="shared" si="4"/>
        <v>0</v>
      </c>
      <c r="AO23" s="94">
        <f t="shared" si="4"/>
        <v>0</v>
      </c>
      <c r="AP23" s="94">
        <f t="shared" si="4"/>
        <v>0</v>
      </c>
      <c r="AQ23" s="94">
        <f t="shared" si="4"/>
        <v>0</v>
      </c>
      <c r="AR23" s="94">
        <f t="shared" si="4"/>
        <v>0</v>
      </c>
      <c r="AS23" s="94">
        <f t="shared" si="4"/>
        <v>0</v>
      </c>
      <c r="AT23" s="94">
        <f t="shared" si="4"/>
        <v>0</v>
      </c>
      <c r="AU23" s="94">
        <f t="shared" si="4"/>
        <v>0</v>
      </c>
      <c r="AV23" s="94">
        <f t="shared" si="4"/>
        <v>0</v>
      </c>
      <c r="AW23" s="94">
        <f t="shared" si="4"/>
        <v>0</v>
      </c>
      <c r="AX23" s="94">
        <f t="shared" si="4"/>
        <v>0</v>
      </c>
      <c r="AY23" s="94">
        <f t="shared" si="4"/>
        <v>0</v>
      </c>
      <c r="AZ23" s="94">
        <f t="shared" si="4"/>
        <v>0</v>
      </c>
      <c r="BA23" s="94">
        <f t="shared" si="4"/>
        <v>0</v>
      </c>
      <c r="BB23" s="94">
        <f t="shared" si="4"/>
        <v>0</v>
      </c>
      <c r="BC23" s="94">
        <f t="shared" si="4"/>
        <v>0</v>
      </c>
      <c r="BD23" s="94">
        <f t="shared" si="4"/>
        <v>0</v>
      </c>
      <c r="BE23" s="94">
        <f t="shared" si="4"/>
        <v>0</v>
      </c>
      <c r="BF23" s="94">
        <f t="shared" si="4"/>
        <v>0</v>
      </c>
      <c r="BG23" s="94">
        <f t="shared" si="4"/>
        <v>0</v>
      </c>
      <c r="BH23" s="94">
        <f t="shared" si="4"/>
        <v>0</v>
      </c>
      <c r="BI23" s="94">
        <f t="shared" si="4"/>
        <v>0</v>
      </c>
      <c r="BJ23" s="94">
        <f t="shared" si="4"/>
        <v>0</v>
      </c>
      <c r="BK23" s="94">
        <f t="shared" si="4"/>
        <v>0</v>
      </c>
      <c r="BL23" s="94">
        <f t="shared" si="4"/>
        <v>0</v>
      </c>
      <c r="BM23" s="94">
        <f t="shared" si="4"/>
        <v>0</v>
      </c>
      <c r="BN23" s="94">
        <f t="shared" si="4"/>
        <v>0</v>
      </c>
      <c r="BO23" s="94">
        <f t="shared" si="4"/>
        <v>0</v>
      </c>
      <c r="BP23" s="94">
        <f t="shared" si="4"/>
        <v>0</v>
      </c>
      <c r="BQ23" s="94">
        <f t="shared" si="4"/>
        <v>0</v>
      </c>
      <c r="BR23" s="94">
        <f t="shared" si="4"/>
        <v>0</v>
      </c>
    </row>
    <row r="24" spans="1:77" ht="15" customHeight="1" outlineLevel="1" x14ac:dyDescent="0.25">
      <c r="A24" s="101"/>
      <c r="B24" s="67"/>
      <c r="C24" s="67"/>
      <c r="D24" s="67"/>
      <c r="E24" s="94"/>
      <c r="F24" s="94"/>
      <c r="G24" s="94"/>
      <c r="H24" s="94"/>
      <c r="I24" s="94"/>
      <c r="J24" s="67"/>
      <c r="K24" s="94"/>
      <c r="L24" s="94"/>
      <c r="M24" s="94"/>
      <c r="N24" s="94"/>
      <c r="O24" s="94"/>
      <c r="P24" s="94"/>
      <c r="Q24" s="94"/>
      <c r="R24" s="94"/>
      <c r="S24" s="94"/>
      <c r="T24" s="94"/>
      <c r="U24" s="94"/>
      <c r="V24" s="94"/>
      <c r="W24" s="94"/>
      <c r="X24" s="94"/>
      <c r="Y24" s="94"/>
      <c r="Z24" s="94"/>
      <c r="AA24" s="94"/>
      <c r="AB24" s="94"/>
      <c r="AC24" s="94"/>
      <c r="AD24" s="94"/>
      <c r="AE24" s="94"/>
      <c r="AF24" s="94"/>
      <c r="AG24" s="94"/>
      <c r="AH24" s="94"/>
      <c r="AI24" s="94"/>
      <c r="AJ24" s="94"/>
      <c r="AK24" s="94"/>
      <c r="AL24" s="94"/>
      <c r="AM24" s="94"/>
      <c r="AN24" s="94"/>
      <c r="AO24" s="94"/>
      <c r="AP24" s="94"/>
      <c r="AQ24" s="94"/>
      <c r="AR24" s="94"/>
      <c r="AS24" s="94"/>
      <c r="AT24" s="94"/>
      <c r="AU24" s="94"/>
      <c r="AV24" s="94"/>
      <c r="AW24" s="94"/>
      <c r="AX24" s="94"/>
      <c r="AY24" s="94"/>
      <c r="AZ24" s="94"/>
      <c r="BA24" s="94"/>
      <c r="BB24" s="94"/>
      <c r="BC24" s="94"/>
      <c r="BD24" s="94"/>
      <c r="BE24" s="94"/>
      <c r="BF24" s="94"/>
      <c r="BG24" s="94"/>
      <c r="BH24" s="94"/>
      <c r="BI24" s="94"/>
      <c r="BJ24" s="94"/>
      <c r="BK24" s="94"/>
      <c r="BL24" s="94"/>
      <c r="BM24" s="94"/>
      <c r="BN24" s="94"/>
      <c r="BO24" s="94"/>
      <c r="BP24" s="94"/>
      <c r="BQ24" s="94"/>
      <c r="BR24" s="94"/>
    </row>
    <row r="25" spans="1:77" ht="15" customHeight="1" outlineLevel="1" x14ac:dyDescent="0.25">
      <c r="A25" s="101"/>
      <c r="B25" s="116" t="s">
        <v>168</v>
      </c>
      <c r="C25" s="87">
        <v>0.1</v>
      </c>
      <c r="D25" s="116"/>
      <c r="E25" s="94">
        <f t="shared" ref="E25:I27" si="5">SUMIF($K$5:$BR$5,E$5,$K25:$BR25)</f>
        <v>0</v>
      </c>
      <c r="F25" s="94">
        <f t="shared" si="5"/>
        <v>0</v>
      </c>
      <c r="G25" s="94">
        <f t="shared" si="5"/>
        <v>0</v>
      </c>
      <c r="H25" s="94">
        <f t="shared" si="5"/>
        <v>0</v>
      </c>
      <c r="I25" s="94">
        <f t="shared" si="5"/>
        <v>0</v>
      </c>
      <c r="J25" s="116"/>
      <c r="K25" s="94">
        <f t="shared" ref="K25:AP25" si="6">K26*(1+$C25)</f>
        <v>0</v>
      </c>
      <c r="L25" s="94">
        <f t="shared" si="6"/>
        <v>0</v>
      </c>
      <c r="M25" s="94">
        <f t="shared" si="6"/>
        <v>0</v>
      </c>
      <c r="N25" s="94">
        <f t="shared" si="6"/>
        <v>0</v>
      </c>
      <c r="O25" s="94">
        <f t="shared" si="6"/>
        <v>0</v>
      </c>
      <c r="P25" s="94">
        <f t="shared" si="6"/>
        <v>0</v>
      </c>
      <c r="Q25" s="94">
        <f t="shared" si="6"/>
        <v>0</v>
      </c>
      <c r="R25" s="94">
        <f t="shared" si="6"/>
        <v>0</v>
      </c>
      <c r="S25" s="94">
        <f t="shared" si="6"/>
        <v>0</v>
      </c>
      <c r="T25" s="94">
        <f t="shared" si="6"/>
        <v>0</v>
      </c>
      <c r="U25" s="94">
        <f t="shared" si="6"/>
        <v>0</v>
      </c>
      <c r="V25" s="94">
        <f t="shared" si="6"/>
        <v>0</v>
      </c>
      <c r="W25" s="94">
        <f t="shared" si="6"/>
        <v>0</v>
      </c>
      <c r="X25" s="94">
        <f t="shared" si="6"/>
        <v>0</v>
      </c>
      <c r="Y25" s="94">
        <f t="shared" si="6"/>
        <v>0</v>
      </c>
      <c r="Z25" s="94">
        <f t="shared" si="6"/>
        <v>0</v>
      </c>
      <c r="AA25" s="94">
        <f t="shared" si="6"/>
        <v>0</v>
      </c>
      <c r="AB25" s="94">
        <f t="shared" si="6"/>
        <v>0</v>
      </c>
      <c r="AC25" s="94">
        <f t="shared" si="6"/>
        <v>0</v>
      </c>
      <c r="AD25" s="94">
        <f t="shared" si="6"/>
        <v>0</v>
      </c>
      <c r="AE25" s="94">
        <f t="shared" si="6"/>
        <v>0</v>
      </c>
      <c r="AF25" s="94">
        <f t="shared" si="6"/>
        <v>0</v>
      </c>
      <c r="AG25" s="94">
        <f t="shared" si="6"/>
        <v>0</v>
      </c>
      <c r="AH25" s="94">
        <f t="shared" si="6"/>
        <v>0</v>
      </c>
      <c r="AI25" s="94">
        <f t="shared" si="6"/>
        <v>0</v>
      </c>
      <c r="AJ25" s="94">
        <f t="shared" si="6"/>
        <v>0</v>
      </c>
      <c r="AK25" s="94">
        <f t="shared" si="6"/>
        <v>0</v>
      </c>
      <c r="AL25" s="94">
        <f t="shared" si="6"/>
        <v>0</v>
      </c>
      <c r="AM25" s="94">
        <f t="shared" si="6"/>
        <v>0</v>
      </c>
      <c r="AN25" s="94">
        <f t="shared" si="6"/>
        <v>0</v>
      </c>
      <c r="AO25" s="94">
        <f t="shared" si="6"/>
        <v>0</v>
      </c>
      <c r="AP25" s="94">
        <f t="shared" si="6"/>
        <v>0</v>
      </c>
      <c r="AQ25" s="94">
        <f t="shared" ref="AQ25:BR25" si="7">AQ26*(1+$C25)</f>
        <v>0</v>
      </c>
      <c r="AR25" s="94">
        <f t="shared" si="7"/>
        <v>0</v>
      </c>
      <c r="AS25" s="94">
        <f t="shared" si="7"/>
        <v>0</v>
      </c>
      <c r="AT25" s="94">
        <f t="shared" si="7"/>
        <v>0</v>
      </c>
      <c r="AU25" s="94">
        <f t="shared" si="7"/>
        <v>0</v>
      </c>
      <c r="AV25" s="94">
        <f t="shared" si="7"/>
        <v>0</v>
      </c>
      <c r="AW25" s="94">
        <f t="shared" si="7"/>
        <v>0</v>
      </c>
      <c r="AX25" s="94">
        <f t="shared" si="7"/>
        <v>0</v>
      </c>
      <c r="AY25" s="94">
        <f t="shared" si="7"/>
        <v>0</v>
      </c>
      <c r="AZ25" s="94">
        <f t="shared" si="7"/>
        <v>0</v>
      </c>
      <c r="BA25" s="94">
        <f t="shared" si="7"/>
        <v>0</v>
      </c>
      <c r="BB25" s="94">
        <f t="shared" si="7"/>
        <v>0</v>
      </c>
      <c r="BC25" s="94">
        <f t="shared" si="7"/>
        <v>0</v>
      </c>
      <c r="BD25" s="94">
        <f t="shared" si="7"/>
        <v>0</v>
      </c>
      <c r="BE25" s="94">
        <f t="shared" si="7"/>
        <v>0</v>
      </c>
      <c r="BF25" s="94">
        <f t="shared" si="7"/>
        <v>0</v>
      </c>
      <c r="BG25" s="94">
        <f t="shared" si="7"/>
        <v>0</v>
      </c>
      <c r="BH25" s="94">
        <f t="shared" si="7"/>
        <v>0</v>
      </c>
      <c r="BI25" s="94">
        <f t="shared" si="7"/>
        <v>0</v>
      </c>
      <c r="BJ25" s="94">
        <f t="shared" si="7"/>
        <v>0</v>
      </c>
      <c r="BK25" s="94">
        <f t="shared" si="7"/>
        <v>0</v>
      </c>
      <c r="BL25" s="94">
        <f t="shared" si="7"/>
        <v>0</v>
      </c>
      <c r="BM25" s="94">
        <f t="shared" si="7"/>
        <v>0</v>
      </c>
      <c r="BN25" s="94">
        <f t="shared" si="7"/>
        <v>0</v>
      </c>
      <c r="BO25" s="94">
        <f t="shared" si="7"/>
        <v>0</v>
      </c>
      <c r="BP25" s="94">
        <f t="shared" si="7"/>
        <v>0</v>
      </c>
      <c r="BQ25" s="94">
        <f t="shared" si="7"/>
        <v>0</v>
      </c>
      <c r="BR25" s="94">
        <f t="shared" si="7"/>
        <v>0</v>
      </c>
    </row>
    <row r="26" spans="1:77" ht="15" customHeight="1" outlineLevel="1" x14ac:dyDescent="0.25">
      <c r="A26" s="101"/>
      <c r="B26" s="116" t="s">
        <v>167</v>
      </c>
      <c r="C26" s="87">
        <v>0</v>
      </c>
      <c r="D26" s="116"/>
      <c r="E26" s="94">
        <f t="shared" si="5"/>
        <v>0</v>
      </c>
      <c r="F26" s="94">
        <f t="shared" si="5"/>
        <v>0</v>
      </c>
      <c r="G26" s="94">
        <f t="shared" si="5"/>
        <v>0</v>
      </c>
      <c r="H26" s="94">
        <f t="shared" si="5"/>
        <v>0</v>
      </c>
      <c r="I26" s="94">
        <f t="shared" si="5"/>
        <v>0</v>
      </c>
      <c r="J26" s="116"/>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120"/>
      <c r="BR26" s="88"/>
    </row>
    <row r="27" spans="1:77" ht="15" customHeight="1" outlineLevel="1" x14ac:dyDescent="0.25">
      <c r="A27" s="101"/>
      <c r="B27" s="116" t="s">
        <v>169</v>
      </c>
      <c r="C27" s="87">
        <v>-0.1</v>
      </c>
      <c r="D27" s="116"/>
      <c r="E27" s="94">
        <f t="shared" si="5"/>
        <v>0</v>
      </c>
      <c r="F27" s="94">
        <f t="shared" si="5"/>
        <v>0</v>
      </c>
      <c r="G27" s="94">
        <f t="shared" si="5"/>
        <v>0</v>
      </c>
      <c r="H27" s="94">
        <f t="shared" si="5"/>
        <v>0</v>
      </c>
      <c r="I27" s="94">
        <f t="shared" si="5"/>
        <v>0</v>
      </c>
      <c r="J27" s="116"/>
      <c r="K27" s="94">
        <f t="shared" ref="K27:AP27" si="8">K26*(1+$C27)</f>
        <v>0</v>
      </c>
      <c r="L27" s="94">
        <f t="shared" si="8"/>
        <v>0</v>
      </c>
      <c r="M27" s="94">
        <f t="shared" si="8"/>
        <v>0</v>
      </c>
      <c r="N27" s="94">
        <f t="shared" si="8"/>
        <v>0</v>
      </c>
      <c r="O27" s="94">
        <f t="shared" si="8"/>
        <v>0</v>
      </c>
      <c r="P27" s="94">
        <f t="shared" si="8"/>
        <v>0</v>
      </c>
      <c r="Q27" s="94">
        <f t="shared" si="8"/>
        <v>0</v>
      </c>
      <c r="R27" s="94">
        <f t="shared" si="8"/>
        <v>0</v>
      </c>
      <c r="S27" s="94">
        <f t="shared" si="8"/>
        <v>0</v>
      </c>
      <c r="T27" s="94">
        <f t="shared" si="8"/>
        <v>0</v>
      </c>
      <c r="U27" s="94">
        <f t="shared" si="8"/>
        <v>0</v>
      </c>
      <c r="V27" s="94">
        <f t="shared" si="8"/>
        <v>0</v>
      </c>
      <c r="W27" s="94">
        <f t="shared" si="8"/>
        <v>0</v>
      </c>
      <c r="X27" s="94">
        <f t="shared" si="8"/>
        <v>0</v>
      </c>
      <c r="Y27" s="94">
        <f t="shared" si="8"/>
        <v>0</v>
      </c>
      <c r="Z27" s="94">
        <f t="shared" si="8"/>
        <v>0</v>
      </c>
      <c r="AA27" s="94">
        <f t="shared" si="8"/>
        <v>0</v>
      </c>
      <c r="AB27" s="94">
        <f t="shared" si="8"/>
        <v>0</v>
      </c>
      <c r="AC27" s="94">
        <f t="shared" si="8"/>
        <v>0</v>
      </c>
      <c r="AD27" s="94">
        <f t="shared" si="8"/>
        <v>0</v>
      </c>
      <c r="AE27" s="94">
        <f t="shared" si="8"/>
        <v>0</v>
      </c>
      <c r="AF27" s="94">
        <f t="shared" si="8"/>
        <v>0</v>
      </c>
      <c r="AG27" s="94">
        <f t="shared" si="8"/>
        <v>0</v>
      </c>
      <c r="AH27" s="94">
        <f t="shared" si="8"/>
        <v>0</v>
      </c>
      <c r="AI27" s="94">
        <f t="shared" si="8"/>
        <v>0</v>
      </c>
      <c r="AJ27" s="94">
        <f t="shared" si="8"/>
        <v>0</v>
      </c>
      <c r="AK27" s="94">
        <f t="shared" si="8"/>
        <v>0</v>
      </c>
      <c r="AL27" s="94">
        <f t="shared" si="8"/>
        <v>0</v>
      </c>
      <c r="AM27" s="94">
        <f t="shared" si="8"/>
        <v>0</v>
      </c>
      <c r="AN27" s="94">
        <f t="shared" si="8"/>
        <v>0</v>
      </c>
      <c r="AO27" s="94">
        <f t="shared" si="8"/>
        <v>0</v>
      </c>
      <c r="AP27" s="94">
        <f t="shared" si="8"/>
        <v>0</v>
      </c>
      <c r="AQ27" s="94">
        <f t="shared" ref="AQ27:BR27" si="9">AQ26*(1+$C27)</f>
        <v>0</v>
      </c>
      <c r="AR27" s="94">
        <f t="shared" si="9"/>
        <v>0</v>
      </c>
      <c r="AS27" s="94">
        <f t="shared" si="9"/>
        <v>0</v>
      </c>
      <c r="AT27" s="94">
        <f t="shared" si="9"/>
        <v>0</v>
      </c>
      <c r="AU27" s="94">
        <f t="shared" si="9"/>
        <v>0</v>
      </c>
      <c r="AV27" s="94">
        <f t="shared" si="9"/>
        <v>0</v>
      </c>
      <c r="AW27" s="94">
        <f t="shared" si="9"/>
        <v>0</v>
      </c>
      <c r="AX27" s="94">
        <f t="shared" si="9"/>
        <v>0</v>
      </c>
      <c r="AY27" s="94">
        <f t="shared" si="9"/>
        <v>0</v>
      </c>
      <c r="AZ27" s="94">
        <f t="shared" si="9"/>
        <v>0</v>
      </c>
      <c r="BA27" s="94">
        <f t="shared" si="9"/>
        <v>0</v>
      </c>
      <c r="BB27" s="94">
        <f t="shared" si="9"/>
        <v>0</v>
      </c>
      <c r="BC27" s="94">
        <f t="shared" si="9"/>
        <v>0</v>
      </c>
      <c r="BD27" s="94">
        <f t="shared" si="9"/>
        <v>0</v>
      </c>
      <c r="BE27" s="94">
        <f t="shared" si="9"/>
        <v>0</v>
      </c>
      <c r="BF27" s="94">
        <f t="shared" si="9"/>
        <v>0</v>
      </c>
      <c r="BG27" s="94">
        <f t="shared" si="9"/>
        <v>0</v>
      </c>
      <c r="BH27" s="94">
        <f t="shared" si="9"/>
        <v>0</v>
      </c>
      <c r="BI27" s="94">
        <f t="shared" si="9"/>
        <v>0</v>
      </c>
      <c r="BJ27" s="94">
        <f t="shared" si="9"/>
        <v>0</v>
      </c>
      <c r="BK27" s="94">
        <f t="shared" si="9"/>
        <v>0</v>
      </c>
      <c r="BL27" s="94">
        <f t="shared" si="9"/>
        <v>0</v>
      </c>
      <c r="BM27" s="94">
        <f t="shared" si="9"/>
        <v>0</v>
      </c>
      <c r="BN27" s="94">
        <f t="shared" si="9"/>
        <v>0</v>
      </c>
      <c r="BO27" s="94">
        <f t="shared" si="9"/>
        <v>0</v>
      </c>
      <c r="BP27" s="94">
        <f t="shared" si="9"/>
        <v>0</v>
      </c>
      <c r="BQ27" s="94">
        <f t="shared" si="9"/>
        <v>0</v>
      </c>
      <c r="BR27" s="94">
        <f t="shared" si="9"/>
        <v>0</v>
      </c>
    </row>
    <row r="28" spans="1:77" x14ac:dyDescent="0.25">
      <c r="A28" s="117"/>
      <c r="B28" s="118"/>
      <c r="C28" s="118"/>
      <c r="D28" s="118"/>
      <c r="E28" s="112"/>
      <c r="F28" s="112"/>
      <c r="G28" s="112"/>
      <c r="H28" s="112"/>
      <c r="I28" s="112"/>
      <c r="J28" s="118"/>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row>
    <row r="29" spans="1:77" x14ac:dyDescent="0.25">
      <c r="A29" s="114" t="s">
        <v>174</v>
      </c>
      <c r="B29" s="115"/>
      <c r="C29" s="115"/>
      <c r="D29" s="115"/>
      <c r="E29" s="113"/>
      <c r="F29" s="113"/>
      <c r="G29" s="113"/>
      <c r="H29" s="113"/>
      <c r="I29" s="113"/>
      <c r="J29" s="115"/>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c r="BM29" s="113"/>
      <c r="BN29" s="113"/>
      <c r="BO29" s="113"/>
      <c r="BP29" s="113"/>
      <c r="BQ29" s="113"/>
      <c r="BR29" s="121"/>
    </row>
    <row r="30" spans="1:77" x14ac:dyDescent="0.25">
      <c r="A30" s="101"/>
      <c r="B30" s="102" t="s">
        <v>164</v>
      </c>
      <c r="C30" s="88" t="s">
        <v>171</v>
      </c>
      <c r="D30" s="67"/>
      <c r="E30" s="94"/>
      <c r="F30" s="94"/>
      <c r="G30" s="94"/>
      <c r="H30" s="94"/>
      <c r="I30" s="94"/>
      <c r="J30" s="67"/>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row>
    <row r="31" spans="1:77" x14ac:dyDescent="0.25">
      <c r="A31" s="101"/>
      <c r="B31" s="102" t="s">
        <v>165</v>
      </c>
      <c r="C31" s="88" t="s">
        <v>172</v>
      </c>
      <c r="D31" s="67"/>
      <c r="E31" s="94"/>
      <c r="F31" s="94"/>
      <c r="G31" s="94"/>
      <c r="H31" s="94"/>
      <c r="I31" s="94"/>
      <c r="J31" s="67"/>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row>
    <row r="32" spans="1:77" x14ac:dyDescent="0.25">
      <c r="A32" s="101"/>
      <c r="B32" s="102"/>
      <c r="C32" s="67"/>
      <c r="D32" s="67"/>
      <c r="E32" s="94"/>
      <c r="F32" s="94"/>
      <c r="G32" s="94"/>
      <c r="H32" s="94"/>
      <c r="I32" s="94"/>
      <c r="J32" s="67"/>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row>
    <row r="33" spans="1:70" x14ac:dyDescent="0.25">
      <c r="A33" s="101"/>
      <c r="B33" s="102" t="s">
        <v>170</v>
      </c>
      <c r="C33" s="88" t="s">
        <v>167</v>
      </c>
      <c r="D33" s="67"/>
      <c r="E33" s="94">
        <f>SUMIF($K$5:$BR$5,E$5,$K33:$BR33)</f>
        <v>0</v>
      </c>
      <c r="F33" s="94">
        <f>SUMIF($K$5:$BR$5,F$5,$K33:$BR33)</f>
        <v>0</v>
      </c>
      <c r="G33" s="94">
        <f>SUMIF($K$5:$BR$5,G$5,$K33:$BR33)</f>
        <v>0</v>
      </c>
      <c r="H33" s="94">
        <f>SUMIF($K$5:$BR$5,H$5,$K33:$BR33)</f>
        <v>0</v>
      </c>
      <c r="I33" s="94">
        <f>SUMIF($K$5:$BR$5,I$5,$K33:$BR33)</f>
        <v>0</v>
      </c>
      <c r="J33" s="67"/>
      <c r="K33" s="94">
        <f>INDEX($K$35:$BR$37,MATCH($C$33,$B$35:$B$37,0),0)</f>
        <v>0</v>
      </c>
      <c r="L33" s="94">
        <f t="shared" ref="L33:BR33" si="10">INDEX($K$35:$BR$37,MATCH($C$33,$B$35:$B$37,0),0)</f>
        <v>0</v>
      </c>
      <c r="M33" s="94">
        <f t="shared" si="10"/>
        <v>0</v>
      </c>
      <c r="N33" s="94">
        <f t="shared" si="10"/>
        <v>0</v>
      </c>
      <c r="O33" s="94">
        <f t="shared" si="10"/>
        <v>0</v>
      </c>
      <c r="P33" s="94">
        <f t="shared" si="10"/>
        <v>0</v>
      </c>
      <c r="Q33" s="94">
        <f t="shared" si="10"/>
        <v>0</v>
      </c>
      <c r="R33" s="94">
        <f t="shared" si="10"/>
        <v>0</v>
      </c>
      <c r="S33" s="94">
        <f t="shared" si="10"/>
        <v>0</v>
      </c>
      <c r="T33" s="94">
        <f t="shared" si="10"/>
        <v>0</v>
      </c>
      <c r="U33" s="94">
        <f t="shared" si="10"/>
        <v>0</v>
      </c>
      <c r="V33" s="94">
        <f t="shared" si="10"/>
        <v>0</v>
      </c>
      <c r="W33" s="94">
        <f t="shared" si="10"/>
        <v>0</v>
      </c>
      <c r="X33" s="94">
        <f t="shared" si="10"/>
        <v>0</v>
      </c>
      <c r="Y33" s="94">
        <f t="shared" si="10"/>
        <v>0</v>
      </c>
      <c r="Z33" s="94">
        <f t="shared" si="10"/>
        <v>0</v>
      </c>
      <c r="AA33" s="94">
        <f t="shared" si="10"/>
        <v>0</v>
      </c>
      <c r="AB33" s="94">
        <f t="shared" si="10"/>
        <v>0</v>
      </c>
      <c r="AC33" s="94">
        <f t="shared" si="10"/>
        <v>0</v>
      </c>
      <c r="AD33" s="94">
        <f t="shared" si="10"/>
        <v>0</v>
      </c>
      <c r="AE33" s="94">
        <f t="shared" si="10"/>
        <v>0</v>
      </c>
      <c r="AF33" s="94">
        <f t="shared" si="10"/>
        <v>0</v>
      </c>
      <c r="AG33" s="94">
        <f t="shared" si="10"/>
        <v>0</v>
      </c>
      <c r="AH33" s="94">
        <f t="shared" si="10"/>
        <v>0</v>
      </c>
      <c r="AI33" s="94">
        <f t="shared" si="10"/>
        <v>0</v>
      </c>
      <c r="AJ33" s="94">
        <f t="shared" si="10"/>
        <v>0</v>
      </c>
      <c r="AK33" s="94">
        <f t="shared" si="10"/>
        <v>0</v>
      </c>
      <c r="AL33" s="94">
        <f t="shared" si="10"/>
        <v>0</v>
      </c>
      <c r="AM33" s="94">
        <f t="shared" si="10"/>
        <v>0</v>
      </c>
      <c r="AN33" s="94">
        <f t="shared" si="10"/>
        <v>0</v>
      </c>
      <c r="AO33" s="94">
        <f t="shared" si="10"/>
        <v>0</v>
      </c>
      <c r="AP33" s="94">
        <f t="shared" si="10"/>
        <v>0</v>
      </c>
      <c r="AQ33" s="94">
        <f t="shared" si="10"/>
        <v>0</v>
      </c>
      <c r="AR33" s="94">
        <f t="shared" si="10"/>
        <v>0</v>
      </c>
      <c r="AS33" s="94">
        <f t="shared" si="10"/>
        <v>0</v>
      </c>
      <c r="AT33" s="94">
        <f t="shared" si="10"/>
        <v>0</v>
      </c>
      <c r="AU33" s="94">
        <f t="shared" si="10"/>
        <v>0</v>
      </c>
      <c r="AV33" s="94">
        <f t="shared" si="10"/>
        <v>0</v>
      </c>
      <c r="AW33" s="94">
        <f t="shared" si="10"/>
        <v>0</v>
      </c>
      <c r="AX33" s="94">
        <f t="shared" si="10"/>
        <v>0</v>
      </c>
      <c r="AY33" s="94">
        <f t="shared" si="10"/>
        <v>0</v>
      </c>
      <c r="AZ33" s="94">
        <f t="shared" si="10"/>
        <v>0</v>
      </c>
      <c r="BA33" s="94">
        <f t="shared" si="10"/>
        <v>0</v>
      </c>
      <c r="BB33" s="94">
        <f t="shared" si="10"/>
        <v>0</v>
      </c>
      <c r="BC33" s="94">
        <f t="shared" si="10"/>
        <v>0</v>
      </c>
      <c r="BD33" s="94">
        <f t="shared" si="10"/>
        <v>0</v>
      </c>
      <c r="BE33" s="94">
        <f t="shared" si="10"/>
        <v>0</v>
      </c>
      <c r="BF33" s="94">
        <f t="shared" si="10"/>
        <v>0</v>
      </c>
      <c r="BG33" s="94">
        <f t="shared" si="10"/>
        <v>0</v>
      </c>
      <c r="BH33" s="94">
        <f t="shared" si="10"/>
        <v>0</v>
      </c>
      <c r="BI33" s="94">
        <f t="shared" si="10"/>
        <v>0</v>
      </c>
      <c r="BJ33" s="94">
        <f t="shared" si="10"/>
        <v>0</v>
      </c>
      <c r="BK33" s="94">
        <f t="shared" si="10"/>
        <v>0</v>
      </c>
      <c r="BL33" s="94">
        <f t="shared" si="10"/>
        <v>0</v>
      </c>
      <c r="BM33" s="94">
        <f t="shared" si="10"/>
        <v>0</v>
      </c>
      <c r="BN33" s="94">
        <f t="shared" si="10"/>
        <v>0</v>
      </c>
      <c r="BO33" s="94">
        <f t="shared" si="10"/>
        <v>0</v>
      </c>
      <c r="BP33" s="94">
        <f t="shared" si="10"/>
        <v>0</v>
      </c>
      <c r="BQ33" s="94">
        <f t="shared" si="10"/>
        <v>0</v>
      </c>
      <c r="BR33" s="94">
        <f t="shared" si="10"/>
        <v>0</v>
      </c>
    </row>
    <row r="34" spans="1:70" ht="15" customHeight="1" outlineLevel="1" x14ac:dyDescent="0.25">
      <c r="A34" s="101"/>
      <c r="B34" s="67"/>
      <c r="C34" s="67"/>
      <c r="D34" s="67"/>
      <c r="E34" s="94"/>
      <c r="F34" s="94"/>
      <c r="G34" s="94"/>
      <c r="H34" s="94"/>
      <c r="I34" s="94"/>
      <c r="J34" s="67"/>
      <c r="K34" s="94"/>
      <c r="L34" s="94"/>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row>
    <row r="35" spans="1:70" ht="15" customHeight="1" outlineLevel="1" x14ac:dyDescent="0.25">
      <c r="A35" s="101"/>
      <c r="B35" s="116" t="s">
        <v>168</v>
      </c>
      <c r="C35" s="87">
        <v>0.1</v>
      </c>
      <c r="D35" s="116"/>
      <c r="E35" s="94">
        <f t="shared" ref="E35:I37" si="11">SUMIF($K$5:$BR$5,E$5,$K35:$BR35)</f>
        <v>0</v>
      </c>
      <c r="F35" s="94">
        <f t="shared" si="11"/>
        <v>0</v>
      </c>
      <c r="G35" s="94">
        <f t="shared" si="11"/>
        <v>0</v>
      </c>
      <c r="H35" s="94">
        <f t="shared" si="11"/>
        <v>0</v>
      </c>
      <c r="I35" s="94">
        <f t="shared" si="11"/>
        <v>0</v>
      </c>
      <c r="J35" s="116"/>
      <c r="K35" s="94">
        <f t="shared" ref="K35:AP35" si="12">K36*(1+$C35)</f>
        <v>0</v>
      </c>
      <c r="L35" s="94">
        <f t="shared" si="12"/>
        <v>0</v>
      </c>
      <c r="M35" s="94">
        <f t="shared" si="12"/>
        <v>0</v>
      </c>
      <c r="N35" s="94">
        <f t="shared" si="12"/>
        <v>0</v>
      </c>
      <c r="O35" s="94">
        <f t="shared" si="12"/>
        <v>0</v>
      </c>
      <c r="P35" s="94">
        <f t="shared" si="12"/>
        <v>0</v>
      </c>
      <c r="Q35" s="94">
        <f t="shared" si="12"/>
        <v>0</v>
      </c>
      <c r="R35" s="94">
        <f t="shared" si="12"/>
        <v>0</v>
      </c>
      <c r="S35" s="94">
        <f t="shared" si="12"/>
        <v>0</v>
      </c>
      <c r="T35" s="94">
        <f t="shared" si="12"/>
        <v>0</v>
      </c>
      <c r="U35" s="94">
        <f t="shared" si="12"/>
        <v>0</v>
      </c>
      <c r="V35" s="94">
        <f t="shared" si="12"/>
        <v>0</v>
      </c>
      <c r="W35" s="94">
        <f t="shared" si="12"/>
        <v>0</v>
      </c>
      <c r="X35" s="94">
        <f t="shared" si="12"/>
        <v>0</v>
      </c>
      <c r="Y35" s="94">
        <f t="shared" si="12"/>
        <v>0</v>
      </c>
      <c r="Z35" s="94">
        <f t="shared" si="12"/>
        <v>0</v>
      </c>
      <c r="AA35" s="94">
        <f t="shared" si="12"/>
        <v>0</v>
      </c>
      <c r="AB35" s="94">
        <f t="shared" si="12"/>
        <v>0</v>
      </c>
      <c r="AC35" s="94">
        <f t="shared" si="12"/>
        <v>0</v>
      </c>
      <c r="AD35" s="94">
        <f t="shared" si="12"/>
        <v>0</v>
      </c>
      <c r="AE35" s="94">
        <f t="shared" si="12"/>
        <v>0</v>
      </c>
      <c r="AF35" s="94">
        <f t="shared" si="12"/>
        <v>0</v>
      </c>
      <c r="AG35" s="94">
        <f t="shared" si="12"/>
        <v>0</v>
      </c>
      <c r="AH35" s="94">
        <f t="shared" si="12"/>
        <v>0</v>
      </c>
      <c r="AI35" s="94">
        <f t="shared" si="12"/>
        <v>0</v>
      </c>
      <c r="AJ35" s="94">
        <f t="shared" si="12"/>
        <v>0</v>
      </c>
      <c r="AK35" s="94">
        <f t="shared" si="12"/>
        <v>0</v>
      </c>
      <c r="AL35" s="94">
        <f t="shared" si="12"/>
        <v>0</v>
      </c>
      <c r="AM35" s="94">
        <f t="shared" si="12"/>
        <v>0</v>
      </c>
      <c r="AN35" s="94">
        <f t="shared" si="12"/>
        <v>0</v>
      </c>
      <c r="AO35" s="94">
        <f t="shared" si="12"/>
        <v>0</v>
      </c>
      <c r="AP35" s="94">
        <f t="shared" si="12"/>
        <v>0</v>
      </c>
      <c r="AQ35" s="94">
        <f t="shared" ref="AQ35:BR35" si="13">AQ36*(1+$C35)</f>
        <v>0</v>
      </c>
      <c r="AR35" s="94">
        <f t="shared" si="13"/>
        <v>0</v>
      </c>
      <c r="AS35" s="94">
        <f t="shared" si="13"/>
        <v>0</v>
      </c>
      <c r="AT35" s="94">
        <f t="shared" si="13"/>
        <v>0</v>
      </c>
      <c r="AU35" s="94">
        <f t="shared" si="13"/>
        <v>0</v>
      </c>
      <c r="AV35" s="94">
        <f t="shared" si="13"/>
        <v>0</v>
      </c>
      <c r="AW35" s="94">
        <f t="shared" si="13"/>
        <v>0</v>
      </c>
      <c r="AX35" s="94">
        <f t="shared" si="13"/>
        <v>0</v>
      </c>
      <c r="AY35" s="94">
        <f t="shared" si="13"/>
        <v>0</v>
      </c>
      <c r="AZ35" s="94">
        <f t="shared" si="13"/>
        <v>0</v>
      </c>
      <c r="BA35" s="94">
        <f t="shared" si="13"/>
        <v>0</v>
      </c>
      <c r="BB35" s="94">
        <f t="shared" si="13"/>
        <v>0</v>
      </c>
      <c r="BC35" s="94">
        <f t="shared" si="13"/>
        <v>0</v>
      </c>
      <c r="BD35" s="94">
        <f t="shared" si="13"/>
        <v>0</v>
      </c>
      <c r="BE35" s="94">
        <f t="shared" si="13"/>
        <v>0</v>
      </c>
      <c r="BF35" s="94">
        <f t="shared" si="13"/>
        <v>0</v>
      </c>
      <c r="BG35" s="94">
        <f t="shared" si="13"/>
        <v>0</v>
      </c>
      <c r="BH35" s="94">
        <f t="shared" si="13"/>
        <v>0</v>
      </c>
      <c r="BI35" s="94">
        <f t="shared" si="13"/>
        <v>0</v>
      </c>
      <c r="BJ35" s="94">
        <f t="shared" si="13"/>
        <v>0</v>
      </c>
      <c r="BK35" s="94">
        <f t="shared" si="13"/>
        <v>0</v>
      </c>
      <c r="BL35" s="94">
        <f t="shared" si="13"/>
        <v>0</v>
      </c>
      <c r="BM35" s="94">
        <f t="shared" si="13"/>
        <v>0</v>
      </c>
      <c r="BN35" s="94">
        <f t="shared" si="13"/>
        <v>0</v>
      </c>
      <c r="BO35" s="94">
        <f t="shared" si="13"/>
        <v>0</v>
      </c>
      <c r="BP35" s="94">
        <f t="shared" si="13"/>
        <v>0</v>
      </c>
      <c r="BQ35" s="94">
        <f t="shared" si="13"/>
        <v>0</v>
      </c>
      <c r="BR35" s="94">
        <f t="shared" si="13"/>
        <v>0</v>
      </c>
    </row>
    <row r="36" spans="1:70" ht="15" customHeight="1" outlineLevel="1" x14ac:dyDescent="0.25">
      <c r="A36" s="101"/>
      <c r="B36" s="116" t="s">
        <v>167</v>
      </c>
      <c r="C36" s="87">
        <v>0</v>
      </c>
      <c r="D36" s="116"/>
      <c r="E36" s="94">
        <f t="shared" si="11"/>
        <v>0</v>
      </c>
      <c r="F36" s="94">
        <f t="shared" si="11"/>
        <v>0</v>
      </c>
      <c r="G36" s="94">
        <f t="shared" si="11"/>
        <v>0</v>
      </c>
      <c r="H36" s="94">
        <f t="shared" si="11"/>
        <v>0</v>
      </c>
      <c r="I36" s="94">
        <f t="shared" si="11"/>
        <v>0</v>
      </c>
      <c r="J36" s="116"/>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row>
    <row r="37" spans="1:70" ht="15" customHeight="1" outlineLevel="1" x14ac:dyDescent="0.25">
      <c r="A37" s="101"/>
      <c r="B37" s="116" t="s">
        <v>169</v>
      </c>
      <c r="C37" s="87">
        <v>-0.1</v>
      </c>
      <c r="D37" s="116"/>
      <c r="E37" s="94">
        <f t="shared" si="11"/>
        <v>0</v>
      </c>
      <c r="F37" s="94">
        <f t="shared" si="11"/>
        <v>0</v>
      </c>
      <c r="G37" s="94">
        <f t="shared" si="11"/>
        <v>0</v>
      </c>
      <c r="H37" s="94">
        <f t="shared" si="11"/>
        <v>0</v>
      </c>
      <c r="I37" s="94">
        <f t="shared" si="11"/>
        <v>0</v>
      </c>
      <c r="J37" s="116"/>
      <c r="K37" s="94">
        <f t="shared" ref="K37:AP37" si="14">K36*(1+$C37)</f>
        <v>0</v>
      </c>
      <c r="L37" s="94">
        <f t="shared" si="14"/>
        <v>0</v>
      </c>
      <c r="M37" s="94">
        <f t="shared" si="14"/>
        <v>0</v>
      </c>
      <c r="N37" s="94">
        <f t="shared" si="14"/>
        <v>0</v>
      </c>
      <c r="O37" s="94">
        <f t="shared" si="14"/>
        <v>0</v>
      </c>
      <c r="P37" s="94">
        <f t="shared" si="14"/>
        <v>0</v>
      </c>
      <c r="Q37" s="94">
        <f t="shared" si="14"/>
        <v>0</v>
      </c>
      <c r="R37" s="94">
        <f t="shared" si="14"/>
        <v>0</v>
      </c>
      <c r="S37" s="94">
        <f t="shared" si="14"/>
        <v>0</v>
      </c>
      <c r="T37" s="94">
        <f t="shared" si="14"/>
        <v>0</v>
      </c>
      <c r="U37" s="94">
        <f t="shared" si="14"/>
        <v>0</v>
      </c>
      <c r="V37" s="94">
        <f t="shared" si="14"/>
        <v>0</v>
      </c>
      <c r="W37" s="94">
        <f t="shared" si="14"/>
        <v>0</v>
      </c>
      <c r="X37" s="94">
        <f t="shared" si="14"/>
        <v>0</v>
      </c>
      <c r="Y37" s="94">
        <f t="shared" si="14"/>
        <v>0</v>
      </c>
      <c r="Z37" s="94">
        <f t="shared" si="14"/>
        <v>0</v>
      </c>
      <c r="AA37" s="94">
        <f t="shared" si="14"/>
        <v>0</v>
      </c>
      <c r="AB37" s="94">
        <f t="shared" si="14"/>
        <v>0</v>
      </c>
      <c r="AC37" s="94">
        <f t="shared" si="14"/>
        <v>0</v>
      </c>
      <c r="AD37" s="94">
        <f t="shared" si="14"/>
        <v>0</v>
      </c>
      <c r="AE37" s="94">
        <f t="shared" si="14"/>
        <v>0</v>
      </c>
      <c r="AF37" s="94">
        <f t="shared" si="14"/>
        <v>0</v>
      </c>
      <c r="AG37" s="94">
        <f t="shared" si="14"/>
        <v>0</v>
      </c>
      <c r="AH37" s="94">
        <f t="shared" si="14"/>
        <v>0</v>
      </c>
      <c r="AI37" s="94">
        <f t="shared" si="14"/>
        <v>0</v>
      </c>
      <c r="AJ37" s="94">
        <f t="shared" si="14"/>
        <v>0</v>
      </c>
      <c r="AK37" s="94">
        <f t="shared" si="14"/>
        <v>0</v>
      </c>
      <c r="AL37" s="94">
        <f t="shared" si="14"/>
        <v>0</v>
      </c>
      <c r="AM37" s="94">
        <f t="shared" si="14"/>
        <v>0</v>
      </c>
      <c r="AN37" s="94">
        <f t="shared" si="14"/>
        <v>0</v>
      </c>
      <c r="AO37" s="94">
        <f t="shared" si="14"/>
        <v>0</v>
      </c>
      <c r="AP37" s="94">
        <f t="shared" si="14"/>
        <v>0</v>
      </c>
      <c r="AQ37" s="94">
        <f t="shared" ref="AQ37:BR37" si="15">AQ36*(1+$C37)</f>
        <v>0</v>
      </c>
      <c r="AR37" s="94">
        <f t="shared" si="15"/>
        <v>0</v>
      </c>
      <c r="AS37" s="94">
        <f t="shared" si="15"/>
        <v>0</v>
      </c>
      <c r="AT37" s="94">
        <f t="shared" si="15"/>
        <v>0</v>
      </c>
      <c r="AU37" s="94">
        <f t="shared" si="15"/>
        <v>0</v>
      </c>
      <c r="AV37" s="94">
        <f t="shared" si="15"/>
        <v>0</v>
      </c>
      <c r="AW37" s="94">
        <f t="shared" si="15"/>
        <v>0</v>
      </c>
      <c r="AX37" s="94">
        <f t="shared" si="15"/>
        <v>0</v>
      </c>
      <c r="AY37" s="94">
        <f t="shared" si="15"/>
        <v>0</v>
      </c>
      <c r="AZ37" s="94">
        <f t="shared" si="15"/>
        <v>0</v>
      </c>
      <c r="BA37" s="94">
        <f t="shared" si="15"/>
        <v>0</v>
      </c>
      <c r="BB37" s="94">
        <f t="shared" si="15"/>
        <v>0</v>
      </c>
      <c r="BC37" s="94">
        <f t="shared" si="15"/>
        <v>0</v>
      </c>
      <c r="BD37" s="94">
        <f t="shared" si="15"/>
        <v>0</v>
      </c>
      <c r="BE37" s="94">
        <f t="shared" si="15"/>
        <v>0</v>
      </c>
      <c r="BF37" s="94">
        <f t="shared" si="15"/>
        <v>0</v>
      </c>
      <c r="BG37" s="94">
        <f t="shared" si="15"/>
        <v>0</v>
      </c>
      <c r="BH37" s="94">
        <f t="shared" si="15"/>
        <v>0</v>
      </c>
      <c r="BI37" s="94">
        <f t="shared" si="15"/>
        <v>0</v>
      </c>
      <c r="BJ37" s="94">
        <f t="shared" si="15"/>
        <v>0</v>
      </c>
      <c r="BK37" s="94">
        <f t="shared" si="15"/>
        <v>0</v>
      </c>
      <c r="BL37" s="94">
        <f t="shared" si="15"/>
        <v>0</v>
      </c>
      <c r="BM37" s="94">
        <f t="shared" si="15"/>
        <v>0</v>
      </c>
      <c r="BN37" s="94">
        <f t="shared" si="15"/>
        <v>0</v>
      </c>
      <c r="BO37" s="94">
        <f t="shared" si="15"/>
        <v>0</v>
      </c>
      <c r="BP37" s="94">
        <f t="shared" si="15"/>
        <v>0</v>
      </c>
      <c r="BQ37" s="94">
        <f t="shared" si="15"/>
        <v>0</v>
      </c>
      <c r="BR37" s="94">
        <f t="shared" si="15"/>
        <v>0</v>
      </c>
    </row>
    <row r="38" spans="1:70" x14ac:dyDescent="0.25">
      <c r="A38" s="117"/>
      <c r="B38" s="118"/>
      <c r="C38" s="118"/>
      <c r="D38" s="118"/>
      <c r="E38" s="112"/>
      <c r="F38" s="112"/>
      <c r="G38" s="112"/>
      <c r="H38" s="112"/>
      <c r="I38" s="112"/>
      <c r="J38" s="118"/>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112"/>
      <c r="BK38" s="112"/>
      <c r="BL38" s="112"/>
      <c r="BM38" s="112"/>
      <c r="BN38" s="112"/>
      <c r="BO38" s="112"/>
      <c r="BP38" s="112"/>
      <c r="BQ38" s="112"/>
      <c r="BR38" s="112"/>
    </row>
    <row r="39" spans="1:70" x14ac:dyDescent="0.25">
      <c r="A39" s="114" t="s">
        <v>175</v>
      </c>
      <c r="B39" s="115"/>
      <c r="C39" s="115"/>
      <c r="D39" s="115"/>
      <c r="E39" s="113"/>
      <c r="F39" s="113"/>
      <c r="G39" s="113"/>
      <c r="H39" s="113"/>
      <c r="I39" s="113"/>
      <c r="J39" s="115"/>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113"/>
      <c r="AX39" s="113"/>
      <c r="AY39" s="113"/>
      <c r="AZ39" s="113"/>
      <c r="BA39" s="113"/>
      <c r="BB39" s="113"/>
      <c r="BC39" s="113"/>
      <c r="BD39" s="113"/>
      <c r="BE39" s="113"/>
      <c r="BF39" s="113"/>
      <c r="BG39" s="113"/>
      <c r="BH39" s="113"/>
      <c r="BI39" s="113"/>
      <c r="BJ39" s="113"/>
      <c r="BK39" s="113"/>
      <c r="BL39" s="113"/>
      <c r="BM39" s="113"/>
      <c r="BN39" s="113"/>
      <c r="BO39" s="113"/>
      <c r="BP39" s="113"/>
      <c r="BQ39" s="113"/>
      <c r="BR39" s="121"/>
    </row>
    <row r="40" spans="1:70" x14ac:dyDescent="0.25">
      <c r="A40" s="101"/>
      <c r="B40" s="102" t="s">
        <v>164</v>
      </c>
      <c r="C40" s="88" t="s">
        <v>171</v>
      </c>
      <c r="D40" s="67"/>
      <c r="E40" s="94"/>
      <c r="F40" s="94"/>
      <c r="G40" s="94"/>
      <c r="H40" s="94"/>
      <c r="I40" s="94"/>
      <c r="J40" s="67"/>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row>
    <row r="41" spans="1:70" x14ac:dyDescent="0.25">
      <c r="A41" s="101"/>
      <c r="B41" s="102" t="s">
        <v>165</v>
      </c>
      <c r="C41" s="88" t="s">
        <v>172</v>
      </c>
      <c r="D41" s="67"/>
      <c r="E41" s="94"/>
      <c r="F41" s="94"/>
      <c r="G41" s="94"/>
      <c r="H41" s="94"/>
      <c r="I41" s="94"/>
      <c r="J41" s="67"/>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row>
    <row r="42" spans="1:70" x14ac:dyDescent="0.25">
      <c r="A42" s="101"/>
      <c r="B42" s="102"/>
      <c r="C42" s="67"/>
      <c r="D42" s="67"/>
      <c r="E42" s="94"/>
      <c r="F42" s="94"/>
      <c r="G42" s="94"/>
      <c r="H42" s="94"/>
      <c r="I42" s="94"/>
      <c r="J42" s="67"/>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row>
    <row r="43" spans="1:70" x14ac:dyDescent="0.25">
      <c r="A43" s="101"/>
      <c r="B43" s="102" t="s">
        <v>170</v>
      </c>
      <c r="C43" s="88" t="s">
        <v>167</v>
      </c>
      <c r="D43" s="67"/>
      <c r="E43" s="94">
        <f>SUMIF($K$5:$BR$5,E$5,$K43:$BR43)</f>
        <v>0</v>
      </c>
      <c r="F43" s="94">
        <f>SUMIF($K$5:$BR$5,F$5,$K43:$BR43)</f>
        <v>0</v>
      </c>
      <c r="G43" s="94">
        <f>SUMIF($K$5:$BR$5,G$5,$K43:$BR43)</f>
        <v>0</v>
      </c>
      <c r="H43" s="94">
        <f>SUMIF($K$5:$BR$5,H$5,$K43:$BR43)</f>
        <v>0</v>
      </c>
      <c r="I43" s="94">
        <f>SUMIF($K$5:$BR$5,I$5,$K43:$BR43)</f>
        <v>0</v>
      </c>
      <c r="J43" s="67"/>
      <c r="K43" s="94">
        <f>INDEX($K$45:$BR$47,MATCH($C$43,$B$45:$B$47,0),0)</f>
        <v>0</v>
      </c>
      <c r="L43" s="94">
        <f t="shared" ref="L43:BR43" si="16">INDEX($K$45:$BR$47,MATCH($C$43,$B$45:$B$47,0),0)</f>
        <v>0</v>
      </c>
      <c r="M43" s="94">
        <f t="shared" si="16"/>
        <v>0</v>
      </c>
      <c r="N43" s="94">
        <f t="shared" si="16"/>
        <v>0</v>
      </c>
      <c r="O43" s="94">
        <f t="shared" si="16"/>
        <v>0</v>
      </c>
      <c r="P43" s="94">
        <f t="shared" si="16"/>
        <v>0</v>
      </c>
      <c r="Q43" s="94">
        <f t="shared" si="16"/>
        <v>0</v>
      </c>
      <c r="R43" s="94">
        <f t="shared" si="16"/>
        <v>0</v>
      </c>
      <c r="S43" s="94">
        <f t="shared" si="16"/>
        <v>0</v>
      </c>
      <c r="T43" s="94">
        <f t="shared" si="16"/>
        <v>0</v>
      </c>
      <c r="U43" s="94">
        <f t="shared" si="16"/>
        <v>0</v>
      </c>
      <c r="V43" s="94">
        <f t="shared" si="16"/>
        <v>0</v>
      </c>
      <c r="W43" s="94">
        <f t="shared" si="16"/>
        <v>0</v>
      </c>
      <c r="X43" s="94">
        <f t="shared" si="16"/>
        <v>0</v>
      </c>
      <c r="Y43" s="94">
        <f t="shared" si="16"/>
        <v>0</v>
      </c>
      <c r="Z43" s="94">
        <f t="shared" si="16"/>
        <v>0</v>
      </c>
      <c r="AA43" s="94">
        <f t="shared" si="16"/>
        <v>0</v>
      </c>
      <c r="AB43" s="94">
        <f t="shared" si="16"/>
        <v>0</v>
      </c>
      <c r="AC43" s="94">
        <f t="shared" si="16"/>
        <v>0</v>
      </c>
      <c r="AD43" s="94">
        <f t="shared" si="16"/>
        <v>0</v>
      </c>
      <c r="AE43" s="94">
        <f t="shared" si="16"/>
        <v>0</v>
      </c>
      <c r="AF43" s="94">
        <f t="shared" si="16"/>
        <v>0</v>
      </c>
      <c r="AG43" s="94">
        <f t="shared" si="16"/>
        <v>0</v>
      </c>
      <c r="AH43" s="94">
        <f t="shared" si="16"/>
        <v>0</v>
      </c>
      <c r="AI43" s="94">
        <f t="shared" si="16"/>
        <v>0</v>
      </c>
      <c r="AJ43" s="94">
        <f t="shared" si="16"/>
        <v>0</v>
      </c>
      <c r="AK43" s="94">
        <f t="shared" si="16"/>
        <v>0</v>
      </c>
      <c r="AL43" s="94">
        <f t="shared" si="16"/>
        <v>0</v>
      </c>
      <c r="AM43" s="94">
        <f t="shared" si="16"/>
        <v>0</v>
      </c>
      <c r="AN43" s="94">
        <f t="shared" si="16"/>
        <v>0</v>
      </c>
      <c r="AO43" s="94">
        <f t="shared" si="16"/>
        <v>0</v>
      </c>
      <c r="AP43" s="94">
        <f t="shared" si="16"/>
        <v>0</v>
      </c>
      <c r="AQ43" s="94">
        <f t="shared" si="16"/>
        <v>0</v>
      </c>
      <c r="AR43" s="94">
        <f t="shared" si="16"/>
        <v>0</v>
      </c>
      <c r="AS43" s="94">
        <f t="shared" si="16"/>
        <v>0</v>
      </c>
      <c r="AT43" s="94">
        <f t="shared" si="16"/>
        <v>0</v>
      </c>
      <c r="AU43" s="94">
        <f t="shared" si="16"/>
        <v>0</v>
      </c>
      <c r="AV43" s="94">
        <f t="shared" si="16"/>
        <v>0</v>
      </c>
      <c r="AW43" s="94">
        <f t="shared" si="16"/>
        <v>0</v>
      </c>
      <c r="AX43" s="94">
        <f t="shared" si="16"/>
        <v>0</v>
      </c>
      <c r="AY43" s="94">
        <f t="shared" si="16"/>
        <v>0</v>
      </c>
      <c r="AZ43" s="94">
        <f t="shared" si="16"/>
        <v>0</v>
      </c>
      <c r="BA43" s="94">
        <f t="shared" si="16"/>
        <v>0</v>
      </c>
      <c r="BB43" s="94">
        <f t="shared" si="16"/>
        <v>0</v>
      </c>
      <c r="BC43" s="94">
        <f t="shared" si="16"/>
        <v>0</v>
      </c>
      <c r="BD43" s="94">
        <f t="shared" si="16"/>
        <v>0</v>
      </c>
      <c r="BE43" s="94">
        <f t="shared" si="16"/>
        <v>0</v>
      </c>
      <c r="BF43" s="94">
        <f t="shared" si="16"/>
        <v>0</v>
      </c>
      <c r="BG43" s="94">
        <f t="shared" si="16"/>
        <v>0</v>
      </c>
      <c r="BH43" s="94">
        <f t="shared" si="16"/>
        <v>0</v>
      </c>
      <c r="BI43" s="94">
        <f t="shared" si="16"/>
        <v>0</v>
      </c>
      <c r="BJ43" s="94">
        <f t="shared" si="16"/>
        <v>0</v>
      </c>
      <c r="BK43" s="94">
        <f t="shared" si="16"/>
        <v>0</v>
      </c>
      <c r="BL43" s="94">
        <f t="shared" si="16"/>
        <v>0</v>
      </c>
      <c r="BM43" s="94">
        <f t="shared" si="16"/>
        <v>0</v>
      </c>
      <c r="BN43" s="94">
        <f t="shared" si="16"/>
        <v>0</v>
      </c>
      <c r="BO43" s="94">
        <f t="shared" si="16"/>
        <v>0</v>
      </c>
      <c r="BP43" s="94">
        <f t="shared" si="16"/>
        <v>0</v>
      </c>
      <c r="BQ43" s="94">
        <f t="shared" si="16"/>
        <v>0</v>
      </c>
      <c r="BR43" s="94">
        <f t="shared" si="16"/>
        <v>0</v>
      </c>
    </row>
    <row r="44" spans="1:70" ht="15" customHeight="1" outlineLevel="1" x14ac:dyDescent="0.25">
      <c r="A44" s="101"/>
      <c r="B44" s="67"/>
      <c r="C44" s="67"/>
      <c r="D44" s="67"/>
      <c r="E44" s="94"/>
      <c r="F44" s="94"/>
      <c r="G44" s="94"/>
      <c r="H44" s="94"/>
      <c r="I44" s="94"/>
      <c r="J44" s="67"/>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row>
    <row r="45" spans="1:70" ht="15" customHeight="1" outlineLevel="1" x14ac:dyDescent="0.25">
      <c r="A45" s="101"/>
      <c r="B45" s="116" t="s">
        <v>168</v>
      </c>
      <c r="C45" s="87">
        <v>0.1</v>
      </c>
      <c r="D45" s="116"/>
      <c r="E45" s="94">
        <f t="shared" ref="E45:I47" si="17">SUMIF($K$5:$BR$5,E$5,$K45:$BR45)</f>
        <v>0</v>
      </c>
      <c r="F45" s="94">
        <f t="shared" si="17"/>
        <v>0</v>
      </c>
      <c r="G45" s="94">
        <f t="shared" si="17"/>
        <v>0</v>
      </c>
      <c r="H45" s="94">
        <f t="shared" si="17"/>
        <v>0</v>
      </c>
      <c r="I45" s="94">
        <f t="shared" si="17"/>
        <v>0</v>
      </c>
      <c r="J45" s="116"/>
      <c r="K45" s="94">
        <f t="shared" ref="K45:AP45" si="18">K46*(1+$C45)</f>
        <v>0</v>
      </c>
      <c r="L45" s="94">
        <f t="shared" si="18"/>
        <v>0</v>
      </c>
      <c r="M45" s="94">
        <f t="shared" si="18"/>
        <v>0</v>
      </c>
      <c r="N45" s="94">
        <f t="shared" si="18"/>
        <v>0</v>
      </c>
      <c r="O45" s="94">
        <f t="shared" si="18"/>
        <v>0</v>
      </c>
      <c r="P45" s="94">
        <f t="shared" si="18"/>
        <v>0</v>
      </c>
      <c r="Q45" s="94">
        <f t="shared" si="18"/>
        <v>0</v>
      </c>
      <c r="R45" s="94">
        <f t="shared" si="18"/>
        <v>0</v>
      </c>
      <c r="S45" s="94">
        <f t="shared" si="18"/>
        <v>0</v>
      </c>
      <c r="T45" s="94">
        <f t="shared" si="18"/>
        <v>0</v>
      </c>
      <c r="U45" s="94">
        <f t="shared" si="18"/>
        <v>0</v>
      </c>
      <c r="V45" s="94">
        <f t="shared" si="18"/>
        <v>0</v>
      </c>
      <c r="W45" s="94">
        <f t="shared" si="18"/>
        <v>0</v>
      </c>
      <c r="X45" s="94">
        <f t="shared" si="18"/>
        <v>0</v>
      </c>
      <c r="Y45" s="94">
        <f t="shared" si="18"/>
        <v>0</v>
      </c>
      <c r="Z45" s="94">
        <f t="shared" si="18"/>
        <v>0</v>
      </c>
      <c r="AA45" s="94">
        <f t="shared" si="18"/>
        <v>0</v>
      </c>
      <c r="AB45" s="94">
        <f t="shared" si="18"/>
        <v>0</v>
      </c>
      <c r="AC45" s="94">
        <f t="shared" si="18"/>
        <v>0</v>
      </c>
      <c r="AD45" s="94">
        <f t="shared" si="18"/>
        <v>0</v>
      </c>
      <c r="AE45" s="94">
        <f t="shared" si="18"/>
        <v>0</v>
      </c>
      <c r="AF45" s="94">
        <f t="shared" si="18"/>
        <v>0</v>
      </c>
      <c r="AG45" s="94">
        <f t="shared" si="18"/>
        <v>0</v>
      </c>
      <c r="AH45" s="94">
        <f t="shared" si="18"/>
        <v>0</v>
      </c>
      <c r="AI45" s="94">
        <f t="shared" si="18"/>
        <v>0</v>
      </c>
      <c r="AJ45" s="94">
        <f t="shared" si="18"/>
        <v>0</v>
      </c>
      <c r="AK45" s="94">
        <f t="shared" si="18"/>
        <v>0</v>
      </c>
      <c r="AL45" s="94">
        <f t="shared" si="18"/>
        <v>0</v>
      </c>
      <c r="AM45" s="94">
        <f t="shared" si="18"/>
        <v>0</v>
      </c>
      <c r="AN45" s="94">
        <f t="shared" si="18"/>
        <v>0</v>
      </c>
      <c r="AO45" s="94">
        <f t="shared" si="18"/>
        <v>0</v>
      </c>
      <c r="AP45" s="94">
        <f t="shared" si="18"/>
        <v>0</v>
      </c>
      <c r="AQ45" s="94">
        <f t="shared" ref="AQ45:BR45" si="19">AQ46*(1+$C45)</f>
        <v>0</v>
      </c>
      <c r="AR45" s="94">
        <f t="shared" si="19"/>
        <v>0</v>
      </c>
      <c r="AS45" s="94">
        <f t="shared" si="19"/>
        <v>0</v>
      </c>
      <c r="AT45" s="94">
        <f t="shared" si="19"/>
        <v>0</v>
      </c>
      <c r="AU45" s="94">
        <f t="shared" si="19"/>
        <v>0</v>
      </c>
      <c r="AV45" s="94">
        <f t="shared" si="19"/>
        <v>0</v>
      </c>
      <c r="AW45" s="94">
        <f t="shared" si="19"/>
        <v>0</v>
      </c>
      <c r="AX45" s="94">
        <f t="shared" si="19"/>
        <v>0</v>
      </c>
      <c r="AY45" s="94">
        <f t="shared" si="19"/>
        <v>0</v>
      </c>
      <c r="AZ45" s="94">
        <f t="shared" si="19"/>
        <v>0</v>
      </c>
      <c r="BA45" s="94">
        <f t="shared" si="19"/>
        <v>0</v>
      </c>
      <c r="BB45" s="94">
        <f t="shared" si="19"/>
        <v>0</v>
      </c>
      <c r="BC45" s="94">
        <f t="shared" si="19"/>
        <v>0</v>
      </c>
      <c r="BD45" s="94">
        <f t="shared" si="19"/>
        <v>0</v>
      </c>
      <c r="BE45" s="94">
        <f t="shared" si="19"/>
        <v>0</v>
      </c>
      <c r="BF45" s="94">
        <f t="shared" si="19"/>
        <v>0</v>
      </c>
      <c r="BG45" s="94">
        <f t="shared" si="19"/>
        <v>0</v>
      </c>
      <c r="BH45" s="94">
        <f t="shared" si="19"/>
        <v>0</v>
      </c>
      <c r="BI45" s="94">
        <f t="shared" si="19"/>
        <v>0</v>
      </c>
      <c r="BJ45" s="94">
        <f t="shared" si="19"/>
        <v>0</v>
      </c>
      <c r="BK45" s="94">
        <f t="shared" si="19"/>
        <v>0</v>
      </c>
      <c r="BL45" s="94">
        <f t="shared" si="19"/>
        <v>0</v>
      </c>
      <c r="BM45" s="94">
        <f t="shared" si="19"/>
        <v>0</v>
      </c>
      <c r="BN45" s="94">
        <f t="shared" si="19"/>
        <v>0</v>
      </c>
      <c r="BO45" s="94">
        <f t="shared" si="19"/>
        <v>0</v>
      </c>
      <c r="BP45" s="94">
        <f t="shared" si="19"/>
        <v>0</v>
      </c>
      <c r="BQ45" s="94">
        <f t="shared" si="19"/>
        <v>0</v>
      </c>
      <c r="BR45" s="94">
        <f t="shared" si="19"/>
        <v>0</v>
      </c>
    </row>
    <row r="46" spans="1:70" ht="15" customHeight="1" outlineLevel="1" x14ac:dyDescent="0.25">
      <c r="A46" s="101"/>
      <c r="B46" s="116" t="s">
        <v>167</v>
      </c>
      <c r="C46" s="87">
        <v>0</v>
      </c>
      <c r="D46" s="116"/>
      <c r="E46" s="94">
        <f t="shared" si="17"/>
        <v>0</v>
      </c>
      <c r="F46" s="94">
        <f t="shared" si="17"/>
        <v>0</v>
      </c>
      <c r="G46" s="94">
        <f t="shared" si="17"/>
        <v>0</v>
      </c>
      <c r="H46" s="94">
        <f t="shared" si="17"/>
        <v>0</v>
      </c>
      <c r="I46" s="94">
        <f t="shared" si="17"/>
        <v>0</v>
      </c>
      <c r="J46" s="116"/>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row>
    <row r="47" spans="1:70" ht="15" customHeight="1" outlineLevel="1" x14ac:dyDescent="0.25">
      <c r="A47" s="101"/>
      <c r="B47" s="116" t="s">
        <v>169</v>
      </c>
      <c r="C47" s="87">
        <v>-0.1</v>
      </c>
      <c r="D47" s="116"/>
      <c r="E47" s="94">
        <f t="shared" si="17"/>
        <v>0</v>
      </c>
      <c r="F47" s="94">
        <f t="shared" si="17"/>
        <v>0</v>
      </c>
      <c r="G47" s="94">
        <f t="shared" si="17"/>
        <v>0</v>
      </c>
      <c r="H47" s="94">
        <f t="shared" si="17"/>
        <v>0</v>
      </c>
      <c r="I47" s="94">
        <f t="shared" si="17"/>
        <v>0</v>
      </c>
      <c r="J47" s="116"/>
      <c r="K47" s="94">
        <f t="shared" ref="K47:AP47" si="20">K46*(1+$C47)</f>
        <v>0</v>
      </c>
      <c r="L47" s="94">
        <f t="shared" si="20"/>
        <v>0</v>
      </c>
      <c r="M47" s="94">
        <f t="shared" si="20"/>
        <v>0</v>
      </c>
      <c r="N47" s="94">
        <f t="shared" si="20"/>
        <v>0</v>
      </c>
      <c r="O47" s="94">
        <f t="shared" si="20"/>
        <v>0</v>
      </c>
      <c r="P47" s="94">
        <f t="shared" si="20"/>
        <v>0</v>
      </c>
      <c r="Q47" s="94">
        <f t="shared" si="20"/>
        <v>0</v>
      </c>
      <c r="R47" s="94">
        <f t="shared" si="20"/>
        <v>0</v>
      </c>
      <c r="S47" s="94">
        <f t="shared" si="20"/>
        <v>0</v>
      </c>
      <c r="T47" s="94">
        <f t="shared" si="20"/>
        <v>0</v>
      </c>
      <c r="U47" s="94">
        <f t="shared" si="20"/>
        <v>0</v>
      </c>
      <c r="V47" s="94">
        <f t="shared" si="20"/>
        <v>0</v>
      </c>
      <c r="W47" s="94">
        <f t="shared" si="20"/>
        <v>0</v>
      </c>
      <c r="X47" s="94">
        <f t="shared" si="20"/>
        <v>0</v>
      </c>
      <c r="Y47" s="94">
        <f t="shared" si="20"/>
        <v>0</v>
      </c>
      <c r="Z47" s="94">
        <f t="shared" si="20"/>
        <v>0</v>
      </c>
      <c r="AA47" s="94">
        <f t="shared" si="20"/>
        <v>0</v>
      </c>
      <c r="AB47" s="94">
        <f t="shared" si="20"/>
        <v>0</v>
      </c>
      <c r="AC47" s="94">
        <f t="shared" si="20"/>
        <v>0</v>
      </c>
      <c r="AD47" s="94">
        <f t="shared" si="20"/>
        <v>0</v>
      </c>
      <c r="AE47" s="94">
        <f t="shared" si="20"/>
        <v>0</v>
      </c>
      <c r="AF47" s="94">
        <f t="shared" si="20"/>
        <v>0</v>
      </c>
      <c r="AG47" s="94">
        <f t="shared" si="20"/>
        <v>0</v>
      </c>
      <c r="AH47" s="94">
        <f t="shared" si="20"/>
        <v>0</v>
      </c>
      <c r="AI47" s="94">
        <f t="shared" si="20"/>
        <v>0</v>
      </c>
      <c r="AJ47" s="94">
        <f t="shared" si="20"/>
        <v>0</v>
      </c>
      <c r="AK47" s="94">
        <f t="shared" si="20"/>
        <v>0</v>
      </c>
      <c r="AL47" s="94">
        <f t="shared" si="20"/>
        <v>0</v>
      </c>
      <c r="AM47" s="94">
        <f t="shared" si="20"/>
        <v>0</v>
      </c>
      <c r="AN47" s="94">
        <f t="shared" si="20"/>
        <v>0</v>
      </c>
      <c r="AO47" s="94">
        <f t="shared" si="20"/>
        <v>0</v>
      </c>
      <c r="AP47" s="94">
        <f t="shared" si="20"/>
        <v>0</v>
      </c>
      <c r="AQ47" s="94">
        <f t="shared" ref="AQ47:BR47" si="21">AQ46*(1+$C47)</f>
        <v>0</v>
      </c>
      <c r="AR47" s="94">
        <f t="shared" si="21"/>
        <v>0</v>
      </c>
      <c r="AS47" s="94">
        <f t="shared" si="21"/>
        <v>0</v>
      </c>
      <c r="AT47" s="94">
        <f t="shared" si="21"/>
        <v>0</v>
      </c>
      <c r="AU47" s="94">
        <f t="shared" si="21"/>
        <v>0</v>
      </c>
      <c r="AV47" s="94">
        <f t="shared" si="21"/>
        <v>0</v>
      </c>
      <c r="AW47" s="94">
        <f t="shared" si="21"/>
        <v>0</v>
      </c>
      <c r="AX47" s="94">
        <f t="shared" si="21"/>
        <v>0</v>
      </c>
      <c r="AY47" s="94">
        <f t="shared" si="21"/>
        <v>0</v>
      </c>
      <c r="AZ47" s="94">
        <f t="shared" si="21"/>
        <v>0</v>
      </c>
      <c r="BA47" s="94">
        <f t="shared" si="21"/>
        <v>0</v>
      </c>
      <c r="BB47" s="94">
        <f t="shared" si="21"/>
        <v>0</v>
      </c>
      <c r="BC47" s="94">
        <f t="shared" si="21"/>
        <v>0</v>
      </c>
      <c r="BD47" s="94">
        <f t="shared" si="21"/>
        <v>0</v>
      </c>
      <c r="BE47" s="94">
        <f t="shared" si="21"/>
        <v>0</v>
      </c>
      <c r="BF47" s="94">
        <f t="shared" si="21"/>
        <v>0</v>
      </c>
      <c r="BG47" s="94">
        <f t="shared" si="21"/>
        <v>0</v>
      </c>
      <c r="BH47" s="94">
        <f t="shared" si="21"/>
        <v>0</v>
      </c>
      <c r="BI47" s="94">
        <f t="shared" si="21"/>
        <v>0</v>
      </c>
      <c r="BJ47" s="94">
        <f t="shared" si="21"/>
        <v>0</v>
      </c>
      <c r="BK47" s="94">
        <f t="shared" si="21"/>
        <v>0</v>
      </c>
      <c r="BL47" s="94">
        <f t="shared" si="21"/>
        <v>0</v>
      </c>
      <c r="BM47" s="94">
        <f t="shared" si="21"/>
        <v>0</v>
      </c>
      <c r="BN47" s="94">
        <f t="shared" si="21"/>
        <v>0</v>
      </c>
      <c r="BO47" s="94">
        <f t="shared" si="21"/>
        <v>0</v>
      </c>
      <c r="BP47" s="94">
        <f t="shared" si="21"/>
        <v>0</v>
      </c>
      <c r="BQ47" s="94">
        <f t="shared" si="21"/>
        <v>0</v>
      </c>
      <c r="BR47" s="94">
        <f t="shared" si="21"/>
        <v>0</v>
      </c>
    </row>
    <row r="48" spans="1:70" x14ac:dyDescent="0.25">
      <c r="A48" s="117"/>
      <c r="B48" s="118"/>
      <c r="C48" s="118"/>
      <c r="D48" s="118"/>
      <c r="E48" s="112"/>
      <c r="F48" s="112"/>
      <c r="G48" s="112"/>
      <c r="H48" s="112"/>
      <c r="I48" s="112"/>
      <c r="J48" s="118"/>
      <c r="K48" s="112"/>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12"/>
      <c r="BL48" s="112"/>
      <c r="BM48" s="112"/>
      <c r="BN48" s="112"/>
      <c r="BO48" s="112"/>
      <c r="BP48" s="112"/>
      <c r="BQ48" s="112"/>
      <c r="BR48" s="112"/>
    </row>
    <row r="49" spans="1:70" x14ac:dyDescent="0.25">
      <c r="A49" s="114" t="s">
        <v>176</v>
      </c>
      <c r="B49" s="115"/>
      <c r="C49" s="115"/>
      <c r="D49" s="115"/>
      <c r="E49" s="113"/>
      <c r="F49" s="113"/>
      <c r="G49" s="113"/>
      <c r="H49" s="113"/>
      <c r="I49" s="113"/>
      <c r="J49" s="115"/>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3"/>
      <c r="BP49" s="113"/>
      <c r="BQ49" s="113"/>
      <c r="BR49" s="121"/>
    </row>
    <row r="50" spans="1:70" x14ac:dyDescent="0.25">
      <c r="A50" s="101"/>
      <c r="B50" s="102" t="s">
        <v>164</v>
      </c>
      <c r="C50" s="88" t="s">
        <v>171</v>
      </c>
      <c r="D50" s="67"/>
      <c r="E50" s="94"/>
      <c r="F50" s="94"/>
      <c r="G50" s="94"/>
      <c r="H50" s="94"/>
      <c r="I50" s="94"/>
      <c r="J50" s="67"/>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row>
    <row r="51" spans="1:70" x14ac:dyDescent="0.25">
      <c r="A51" s="101"/>
      <c r="B51" s="102" t="s">
        <v>165</v>
      </c>
      <c r="C51" s="88" t="s">
        <v>172</v>
      </c>
      <c r="D51" s="67"/>
      <c r="E51" s="94"/>
      <c r="F51" s="94"/>
      <c r="G51" s="94"/>
      <c r="H51" s="94"/>
      <c r="I51" s="94"/>
      <c r="J51" s="67"/>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row>
    <row r="52" spans="1:70" x14ac:dyDescent="0.25">
      <c r="A52" s="101"/>
      <c r="B52" s="102"/>
      <c r="C52" s="67"/>
      <c r="D52" s="67"/>
      <c r="E52" s="94"/>
      <c r="F52" s="94"/>
      <c r="G52" s="94"/>
      <c r="H52" s="94"/>
      <c r="I52" s="94"/>
      <c r="J52" s="67"/>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row>
    <row r="53" spans="1:70" x14ac:dyDescent="0.25">
      <c r="A53" s="101"/>
      <c r="B53" s="102" t="s">
        <v>170</v>
      </c>
      <c r="C53" s="88" t="s">
        <v>167</v>
      </c>
      <c r="D53" s="67"/>
      <c r="E53" s="94">
        <f>SUMIF($K$5:$BR$5,E$5,$K53:$BR53)</f>
        <v>0</v>
      </c>
      <c r="F53" s="94">
        <f>SUMIF($K$5:$BR$5,F$5,$K53:$BR53)</f>
        <v>0</v>
      </c>
      <c r="G53" s="94">
        <f>SUMIF($K$5:$BR$5,G$5,$K53:$BR53)</f>
        <v>0</v>
      </c>
      <c r="H53" s="94">
        <f>SUMIF($K$5:$BR$5,H$5,$K53:$BR53)</f>
        <v>0</v>
      </c>
      <c r="I53" s="94">
        <f>SUMIF($K$5:$BR$5,I$5,$K53:$BR53)</f>
        <v>0</v>
      </c>
      <c r="J53" s="67"/>
      <c r="K53" s="94">
        <f>INDEX($K$55:$BR$57,MATCH($C$53,$B$55:$B$57,0),0)</f>
        <v>0</v>
      </c>
      <c r="L53" s="94">
        <f t="shared" ref="L53:BR53" si="22">INDEX($K$55:$BR$57,MATCH($C$53,$B$55:$B$57,0),0)</f>
        <v>0</v>
      </c>
      <c r="M53" s="94">
        <f t="shared" si="22"/>
        <v>0</v>
      </c>
      <c r="N53" s="94">
        <f t="shared" si="22"/>
        <v>0</v>
      </c>
      <c r="O53" s="94">
        <f t="shared" si="22"/>
        <v>0</v>
      </c>
      <c r="P53" s="94">
        <f t="shared" si="22"/>
        <v>0</v>
      </c>
      <c r="Q53" s="94">
        <f t="shared" si="22"/>
        <v>0</v>
      </c>
      <c r="R53" s="94">
        <f t="shared" si="22"/>
        <v>0</v>
      </c>
      <c r="S53" s="94">
        <f t="shared" si="22"/>
        <v>0</v>
      </c>
      <c r="T53" s="94">
        <f t="shared" si="22"/>
        <v>0</v>
      </c>
      <c r="U53" s="94">
        <f t="shared" si="22"/>
        <v>0</v>
      </c>
      <c r="V53" s="94">
        <f t="shared" si="22"/>
        <v>0</v>
      </c>
      <c r="W53" s="94">
        <f t="shared" si="22"/>
        <v>0</v>
      </c>
      <c r="X53" s="94">
        <f t="shared" si="22"/>
        <v>0</v>
      </c>
      <c r="Y53" s="94">
        <f t="shared" si="22"/>
        <v>0</v>
      </c>
      <c r="Z53" s="94">
        <f t="shared" si="22"/>
        <v>0</v>
      </c>
      <c r="AA53" s="94">
        <f t="shared" si="22"/>
        <v>0</v>
      </c>
      <c r="AB53" s="94">
        <f t="shared" si="22"/>
        <v>0</v>
      </c>
      <c r="AC53" s="94">
        <f t="shared" si="22"/>
        <v>0</v>
      </c>
      <c r="AD53" s="94">
        <f t="shared" si="22"/>
        <v>0</v>
      </c>
      <c r="AE53" s="94">
        <f t="shared" si="22"/>
        <v>0</v>
      </c>
      <c r="AF53" s="94">
        <f t="shared" si="22"/>
        <v>0</v>
      </c>
      <c r="AG53" s="94">
        <f t="shared" si="22"/>
        <v>0</v>
      </c>
      <c r="AH53" s="94">
        <f t="shared" si="22"/>
        <v>0</v>
      </c>
      <c r="AI53" s="94">
        <f t="shared" si="22"/>
        <v>0</v>
      </c>
      <c r="AJ53" s="94">
        <f t="shared" si="22"/>
        <v>0</v>
      </c>
      <c r="AK53" s="94">
        <f t="shared" si="22"/>
        <v>0</v>
      </c>
      <c r="AL53" s="94">
        <f t="shared" si="22"/>
        <v>0</v>
      </c>
      <c r="AM53" s="94">
        <f t="shared" si="22"/>
        <v>0</v>
      </c>
      <c r="AN53" s="94">
        <f t="shared" si="22"/>
        <v>0</v>
      </c>
      <c r="AO53" s="94">
        <f t="shared" si="22"/>
        <v>0</v>
      </c>
      <c r="AP53" s="94">
        <f t="shared" si="22"/>
        <v>0</v>
      </c>
      <c r="AQ53" s="94">
        <f t="shared" si="22"/>
        <v>0</v>
      </c>
      <c r="AR53" s="94">
        <f t="shared" si="22"/>
        <v>0</v>
      </c>
      <c r="AS53" s="94">
        <f t="shared" si="22"/>
        <v>0</v>
      </c>
      <c r="AT53" s="94">
        <f t="shared" si="22"/>
        <v>0</v>
      </c>
      <c r="AU53" s="94">
        <f t="shared" si="22"/>
        <v>0</v>
      </c>
      <c r="AV53" s="94">
        <f t="shared" si="22"/>
        <v>0</v>
      </c>
      <c r="AW53" s="94">
        <f t="shared" si="22"/>
        <v>0</v>
      </c>
      <c r="AX53" s="94">
        <f t="shared" si="22"/>
        <v>0</v>
      </c>
      <c r="AY53" s="94">
        <f t="shared" si="22"/>
        <v>0</v>
      </c>
      <c r="AZ53" s="94">
        <f t="shared" si="22"/>
        <v>0</v>
      </c>
      <c r="BA53" s="94">
        <f t="shared" si="22"/>
        <v>0</v>
      </c>
      <c r="BB53" s="94">
        <f t="shared" si="22"/>
        <v>0</v>
      </c>
      <c r="BC53" s="94">
        <f t="shared" si="22"/>
        <v>0</v>
      </c>
      <c r="BD53" s="94">
        <f t="shared" si="22"/>
        <v>0</v>
      </c>
      <c r="BE53" s="94">
        <f t="shared" si="22"/>
        <v>0</v>
      </c>
      <c r="BF53" s="94">
        <f t="shared" si="22"/>
        <v>0</v>
      </c>
      <c r="BG53" s="94">
        <f t="shared" si="22"/>
        <v>0</v>
      </c>
      <c r="BH53" s="94">
        <f t="shared" si="22"/>
        <v>0</v>
      </c>
      <c r="BI53" s="94">
        <f t="shared" si="22"/>
        <v>0</v>
      </c>
      <c r="BJ53" s="94">
        <f t="shared" si="22"/>
        <v>0</v>
      </c>
      <c r="BK53" s="94">
        <f t="shared" si="22"/>
        <v>0</v>
      </c>
      <c r="BL53" s="94">
        <f t="shared" si="22"/>
        <v>0</v>
      </c>
      <c r="BM53" s="94">
        <f t="shared" si="22"/>
        <v>0</v>
      </c>
      <c r="BN53" s="94">
        <f t="shared" si="22"/>
        <v>0</v>
      </c>
      <c r="BO53" s="94">
        <f t="shared" si="22"/>
        <v>0</v>
      </c>
      <c r="BP53" s="94">
        <f t="shared" si="22"/>
        <v>0</v>
      </c>
      <c r="BQ53" s="94">
        <f t="shared" si="22"/>
        <v>0</v>
      </c>
      <c r="BR53" s="94">
        <f t="shared" si="22"/>
        <v>0</v>
      </c>
    </row>
    <row r="54" spans="1:70" ht="15" customHeight="1" outlineLevel="1" x14ac:dyDescent="0.25">
      <c r="A54" s="101"/>
      <c r="B54" s="67"/>
      <c r="C54" s="67"/>
      <c r="D54" s="67"/>
      <c r="E54" s="94"/>
      <c r="F54" s="94"/>
      <c r="G54" s="94"/>
      <c r="H54" s="94"/>
      <c r="I54" s="94"/>
      <c r="J54" s="67"/>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row>
    <row r="55" spans="1:70" ht="15" customHeight="1" outlineLevel="1" x14ac:dyDescent="0.25">
      <c r="A55" s="101"/>
      <c r="B55" s="116" t="s">
        <v>168</v>
      </c>
      <c r="C55" s="87">
        <v>0.1</v>
      </c>
      <c r="D55" s="116"/>
      <c r="E55" s="94">
        <f t="shared" ref="E55:I57" si="23">SUMIF($K$5:$BR$5,E$5,$K55:$BR55)</f>
        <v>0</v>
      </c>
      <c r="F55" s="94">
        <f t="shared" si="23"/>
        <v>0</v>
      </c>
      <c r="G55" s="94">
        <f t="shared" si="23"/>
        <v>0</v>
      </c>
      <c r="H55" s="94">
        <f t="shared" si="23"/>
        <v>0</v>
      </c>
      <c r="I55" s="94">
        <f t="shared" si="23"/>
        <v>0</v>
      </c>
      <c r="J55" s="116"/>
      <c r="K55" s="94">
        <f t="shared" ref="K55:AP55" si="24">K56*(1+$C55)</f>
        <v>0</v>
      </c>
      <c r="L55" s="94">
        <f t="shared" si="24"/>
        <v>0</v>
      </c>
      <c r="M55" s="94">
        <f t="shared" si="24"/>
        <v>0</v>
      </c>
      <c r="N55" s="94">
        <f t="shared" si="24"/>
        <v>0</v>
      </c>
      <c r="O55" s="94">
        <f t="shared" si="24"/>
        <v>0</v>
      </c>
      <c r="P55" s="94">
        <f t="shared" si="24"/>
        <v>0</v>
      </c>
      <c r="Q55" s="94">
        <f t="shared" si="24"/>
        <v>0</v>
      </c>
      <c r="R55" s="94">
        <f t="shared" si="24"/>
        <v>0</v>
      </c>
      <c r="S55" s="94">
        <f t="shared" si="24"/>
        <v>0</v>
      </c>
      <c r="T55" s="94">
        <f t="shared" si="24"/>
        <v>0</v>
      </c>
      <c r="U55" s="94">
        <f t="shared" si="24"/>
        <v>0</v>
      </c>
      <c r="V55" s="94">
        <f t="shared" si="24"/>
        <v>0</v>
      </c>
      <c r="W55" s="94">
        <f t="shared" si="24"/>
        <v>0</v>
      </c>
      <c r="X55" s="94">
        <f t="shared" si="24"/>
        <v>0</v>
      </c>
      <c r="Y55" s="94">
        <f t="shared" si="24"/>
        <v>0</v>
      </c>
      <c r="Z55" s="94">
        <f t="shared" si="24"/>
        <v>0</v>
      </c>
      <c r="AA55" s="94">
        <f t="shared" si="24"/>
        <v>0</v>
      </c>
      <c r="AB55" s="94">
        <f t="shared" si="24"/>
        <v>0</v>
      </c>
      <c r="AC55" s="94">
        <f t="shared" si="24"/>
        <v>0</v>
      </c>
      <c r="AD55" s="94">
        <f t="shared" si="24"/>
        <v>0</v>
      </c>
      <c r="AE55" s="94">
        <f t="shared" si="24"/>
        <v>0</v>
      </c>
      <c r="AF55" s="94">
        <f t="shared" si="24"/>
        <v>0</v>
      </c>
      <c r="AG55" s="94">
        <f t="shared" si="24"/>
        <v>0</v>
      </c>
      <c r="AH55" s="94">
        <f t="shared" si="24"/>
        <v>0</v>
      </c>
      <c r="AI55" s="94">
        <f t="shared" si="24"/>
        <v>0</v>
      </c>
      <c r="AJ55" s="94">
        <f t="shared" si="24"/>
        <v>0</v>
      </c>
      <c r="AK55" s="94">
        <f t="shared" si="24"/>
        <v>0</v>
      </c>
      <c r="AL55" s="94">
        <f t="shared" si="24"/>
        <v>0</v>
      </c>
      <c r="AM55" s="94">
        <f t="shared" si="24"/>
        <v>0</v>
      </c>
      <c r="AN55" s="94">
        <f t="shared" si="24"/>
        <v>0</v>
      </c>
      <c r="AO55" s="94">
        <f t="shared" si="24"/>
        <v>0</v>
      </c>
      <c r="AP55" s="94">
        <f t="shared" si="24"/>
        <v>0</v>
      </c>
      <c r="AQ55" s="94">
        <f t="shared" ref="AQ55:BR55" si="25">AQ56*(1+$C55)</f>
        <v>0</v>
      </c>
      <c r="AR55" s="94">
        <f t="shared" si="25"/>
        <v>0</v>
      </c>
      <c r="AS55" s="94">
        <f t="shared" si="25"/>
        <v>0</v>
      </c>
      <c r="AT55" s="94">
        <f t="shared" si="25"/>
        <v>0</v>
      </c>
      <c r="AU55" s="94">
        <f t="shared" si="25"/>
        <v>0</v>
      </c>
      <c r="AV55" s="94">
        <f t="shared" si="25"/>
        <v>0</v>
      </c>
      <c r="AW55" s="94">
        <f t="shared" si="25"/>
        <v>0</v>
      </c>
      <c r="AX55" s="94">
        <f t="shared" si="25"/>
        <v>0</v>
      </c>
      <c r="AY55" s="94">
        <f t="shared" si="25"/>
        <v>0</v>
      </c>
      <c r="AZ55" s="94">
        <f t="shared" si="25"/>
        <v>0</v>
      </c>
      <c r="BA55" s="94">
        <f t="shared" si="25"/>
        <v>0</v>
      </c>
      <c r="BB55" s="94">
        <f t="shared" si="25"/>
        <v>0</v>
      </c>
      <c r="BC55" s="94">
        <f t="shared" si="25"/>
        <v>0</v>
      </c>
      <c r="BD55" s="94">
        <f t="shared" si="25"/>
        <v>0</v>
      </c>
      <c r="BE55" s="94">
        <f t="shared" si="25"/>
        <v>0</v>
      </c>
      <c r="BF55" s="94">
        <f t="shared" si="25"/>
        <v>0</v>
      </c>
      <c r="BG55" s="94">
        <f t="shared" si="25"/>
        <v>0</v>
      </c>
      <c r="BH55" s="94">
        <f t="shared" si="25"/>
        <v>0</v>
      </c>
      <c r="BI55" s="94">
        <f t="shared" si="25"/>
        <v>0</v>
      </c>
      <c r="BJ55" s="94">
        <f t="shared" si="25"/>
        <v>0</v>
      </c>
      <c r="BK55" s="94">
        <f t="shared" si="25"/>
        <v>0</v>
      </c>
      <c r="BL55" s="94">
        <f t="shared" si="25"/>
        <v>0</v>
      </c>
      <c r="BM55" s="94">
        <f t="shared" si="25"/>
        <v>0</v>
      </c>
      <c r="BN55" s="94">
        <f t="shared" si="25"/>
        <v>0</v>
      </c>
      <c r="BO55" s="94">
        <f t="shared" si="25"/>
        <v>0</v>
      </c>
      <c r="BP55" s="94">
        <f t="shared" si="25"/>
        <v>0</v>
      </c>
      <c r="BQ55" s="94">
        <f t="shared" si="25"/>
        <v>0</v>
      </c>
      <c r="BR55" s="94">
        <f t="shared" si="25"/>
        <v>0</v>
      </c>
    </row>
    <row r="56" spans="1:70" ht="15" customHeight="1" outlineLevel="1" x14ac:dyDescent="0.25">
      <c r="A56" s="101"/>
      <c r="B56" s="116" t="s">
        <v>167</v>
      </c>
      <c r="C56" s="87">
        <v>0</v>
      </c>
      <c r="D56" s="116"/>
      <c r="E56" s="94">
        <f t="shared" si="23"/>
        <v>0</v>
      </c>
      <c r="F56" s="94">
        <f t="shared" si="23"/>
        <v>0</v>
      </c>
      <c r="G56" s="94">
        <f t="shared" si="23"/>
        <v>0</v>
      </c>
      <c r="H56" s="94">
        <f t="shared" si="23"/>
        <v>0</v>
      </c>
      <c r="I56" s="94">
        <f t="shared" si="23"/>
        <v>0</v>
      </c>
      <c r="J56" s="116"/>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row>
    <row r="57" spans="1:70" ht="15" customHeight="1" outlineLevel="1" x14ac:dyDescent="0.25">
      <c r="A57" s="101"/>
      <c r="B57" s="116" t="s">
        <v>169</v>
      </c>
      <c r="C57" s="87">
        <v>-0.1</v>
      </c>
      <c r="D57" s="116"/>
      <c r="E57" s="94">
        <f t="shared" si="23"/>
        <v>0</v>
      </c>
      <c r="F57" s="94">
        <f t="shared" si="23"/>
        <v>0</v>
      </c>
      <c r="G57" s="94">
        <f t="shared" si="23"/>
        <v>0</v>
      </c>
      <c r="H57" s="94">
        <f t="shared" si="23"/>
        <v>0</v>
      </c>
      <c r="I57" s="94">
        <f t="shared" si="23"/>
        <v>0</v>
      </c>
      <c r="J57" s="116"/>
      <c r="K57" s="94">
        <f t="shared" ref="K57:AP57" si="26">K56*(1+$C57)</f>
        <v>0</v>
      </c>
      <c r="L57" s="94">
        <f t="shared" si="26"/>
        <v>0</v>
      </c>
      <c r="M57" s="94">
        <f t="shared" si="26"/>
        <v>0</v>
      </c>
      <c r="N57" s="94">
        <f t="shared" si="26"/>
        <v>0</v>
      </c>
      <c r="O57" s="94">
        <f t="shared" si="26"/>
        <v>0</v>
      </c>
      <c r="P57" s="94">
        <f t="shared" si="26"/>
        <v>0</v>
      </c>
      <c r="Q57" s="94">
        <f t="shared" si="26"/>
        <v>0</v>
      </c>
      <c r="R57" s="94">
        <f t="shared" si="26"/>
        <v>0</v>
      </c>
      <c r="S57" s="94">
        <f t="shared" si="26"/>
        <v>0</v>
      </c>
      <c r="T57" s="94">
        <f t="shared" si="26"/>
        <v>0</v>
      </c>
      <c r="U57" s="94">
        <f t="shared" si="26"/>
        <v>0</v>
      </c>
      <c r="V57" s="94">
        <f t="shared" si="26"/>
        <v>0</v>
      </c>
      <c r="W57" s="94">
        <f t="shared" si="26"/>
        <v>0</v>
      </c>
      <c r="X57" s="94">
        <f t="shared" si="26"/>
        <v>0</v>
      </c>
      <c r="Y57" s="94">
        <f t="shared" si="26"/>
        <v>0</v>
      </c>
      <c r="Z57" s="94">
        <f t="shared" si="26"/>
        <v>0</v>
      </c>
      <c r="AA57" s="94">
        <f t="shared" si="26"/>
        <v>0</v>
      </c>
      <c r="AB57" s="94">
        <f t="shared" si="26"/>
        <v>0</v>
      </c>
      <c r="AC57" s="94">
        <f t="shared" si="26"/>
        <v>0</v>
      </c>
      <c r="AD57" s="94">
        <f t="shared" si="26"/>
        <v>0</v>
      </c>
      <c r="AE57" s="94">
        <f t="shared" si="26"/>
        <v>0</v>
      </c>
      <c r="AF57" s="94">
        <f t="shared" si="26"/>
        <v>0</v>
      </c>
      <c r="AG57" s="94">
        <f t="shared" si="26"/>
        <v>0</v>
      </c>
      <c r="AH57" s="94">
        <f t="shared" si="26"/>
        <v>0</v>
      </c>
      <c r="AI57" s="94">
        <f t="shared" si="26"/>
        <v>0</v>
      </c>
      <c r="AJ57" s="94">
        <f t="shared" si="26"/>
        <v>0</v>
      </c>
      <c r="AK57" s="94">
        <f t="shared" si="26"/>
        <v>0</v>
      </c>
      <c r="AL57" s="94">
        <f t="shared" si="26"/>
        <v>0</v>
      </c>
      <c r="AM57" s="94">
        <f t="shared" si="26"/>
        <v>0</v>
      </c>
      <c r="AN57" s="94">
        <f t="shared" si="26"/>
        <v>0</v>
      </c>
      <c r="AO57" s="94">
        <f t="shared" si="26"/>
        <v>0</v>
      </c>
      <c r="AP57" s="94">
        <f t="shared" si="26"/>
        <v>0</v>
      </c>
      <c r="AQ57" s="94">
        <f t="shared" ref="AQ57:BR57" si="27">AQ56*(1+$C57)</f>
        <v>0</v>
      </c>
      <c r="AR57" s="94">
        <f t="shared" si="27"/>
        <v>0</v>
      </c>
      <c r="AS57" s="94">
        <f t="shared" si="27"/>
        <v>0</v>
      </c>
      <c r="AT57" s="94">
        <f t="shared" si="27"/>
        <v>0</v>
      </c>
      <c r="AU57" s="94">
        <f t="shared" si="27"/>
        <v>0</v>
      </c>
      <c r="AV57" s="94">
        <f t="shared" si="27"/>
        <v>0</v>
      </c>
      <c r="AW57" s="94">
        <f t="shared" si="27"/>
        <v>0</v>
      </c>
      <c r="AX57" s="94">
        <f t="shared" si="27"/>
        <v>0</v>
      </c>
      <c r="AY57" s="94">
        <f t="shared" si="27"/>
        <v>0</v>
      </c>
      <c r="AZ57" s="94">
        <f t="shared" si="27"/>
        <v>0</v>
      </c>
      <c r="BA57" s="94">
        <f t="shared" si="27"/>
        <v>0</v>
      </c>
      <c r="BB57" s="94">
        <f t="shared" si="27"/>
        <v>0</v>
      </c>
      <c r="BC57" s="94">
        <f t="shared" si="27"/>
        <v>0</v>
      </c>
      <c r="BD57" s="94">
        <f t="shared" si="27"/>
        <v>0</v>
      </c>
      <c r="BE57" s="94">
        <f t="shared" si="27"/>
        <v>0</v>
      </c>
      <c r="BF57" s="94">
        <f t="shared" si="27"/>
        <v>0</v>
      </c>
      <c r="BG57" s="94">
        <f t="shared" si="27"/>
        <v>0</v>
      </c>
      <c r="BH57" s="94">
        <f t="shared" si="27"/>
        <v>0</v>
      </c>
      <c r="BI57" s="94">
        <f t="shared" si="27"/>
        <v>0</v>
      </c>
      <c r="BJ57" s="94">
        <f t="shared" si="27"/>
        <v>0</v>
      </c>
      <c r="BK57" s="94">
        <f t="shared" si="27"/>
        <v>0</v>
      </c>
      <c r="BL57" s="94">
        <f t="shared" si="27"/>
        <v>0</v>
      </c>
      <c r="BM57" s="94">
        <f t="shared" si="27"/>
        <v>0</v>
      </c>
      <c r="BN57" s="94">
        <f t="shared" si="27"/>
        <v>0</v>
      </c>
      <c r="BO57" s="94">
        <f t="shared" si="27"/>
        <v>0</v>
      </c>
      <c r="BP57" s="94">
        <f t="shared" si="27"/>
        <v>0</v>
      </c>
      <c r="BQ57" s="94">
        <f t="shared" si="27"/>
        <v>0</v>
      </c>
      <c r="BR57" s="94">
        <f t="shared" si="27"/>
        <v>0</v>
      </c>
    </row>
    <row r="58" spans="1:70" x14ac:dyDescent="0.25">
      <c r="A58" s="117"/>
      <c r="B58" s="118"/>
      <c r="C58" s="118"/>
      <c r="D58" s="118"/>
      <c r="E58" s="119"/>
      <c r="F58" s="119"/>
      <c r="G58" s="119"/>
      <c r="H58" s="119"/>
      <c r="I58" s="119"/>
      <c r="J58" s="118"/>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2"/>
    </row>
  </sheetData>
  <dataValidations count="1">
    <dataValidation type="list" allowBlank="1" showInputMessage="1" showErrorMessage="1" sqref="C13 C23 C33 C43 C53" xr:uid="{00000000-0002-0000-0900-000000000000}">
      <formula1>B15:B17</formula1>
    </dataValidation>
  </dataValidation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BH17"/>
  <sheetViews>
    <sheetView workbookViewId="0">
      <selection activeCell="B2" sqref="B2"/>
    </sheetView>
  </sheetViews>
  <sheetFormatPr defaultColWidth="8.88671875" defaultRowHeight="14.4" x14ac:dyDescent="0.3"/>
  <sheetData>
    <row r="1" spans="1:60" x14ac:dyDescent="0.3">
      <c r="B1" t="s">
        <v>82</v>
      </c>
    </row>
    <row r="2" spans="1:60" x14ac:dyDescent="0.3">
      <c r="A2" t="s">
        <v>83</v>
      </c>
    </row>
    <row r="3" spans="1:60" x14ac:dyDescent="0.3">
      <c r="A3" t="s">
        <v>84</v>
      </c>
    </row>
    <row r="4" spans="1:60" x14ac:dyDescent="0.3">
      <c r="A4" t="s">
        <v>85</v>
      </c>
    </row>
    <row r="5" spans="1:60" x14ac:dyDescent="0.3">
      <c r="A5" t="s">
        <v>86</v>
      </c>
    </row>
    <row r="6" spans="1:60" x14ac:dyDescent="0.3">
      <c r="A6" t="s">
        <v>87</v>
      </c>
    </row>
    <row r="7" spans="1:60" x14ac:dyDescent="0.3">
      <c r="A7" t="s">
        <v>88</v>
      </c>
    </row>
    <row r="8" spans="1:60" x14ac:dyDescent="0.3">
      <c r="A8" t="s">
        <v>89</v>
      </c>
    </row>
    <row r="9" spans="1:60" x14ac:dyDescent="0.3">
      <c r="A9" t="s">
        <v>90</v>
      </c>
    </row>
    <row r="10" spans="1:60" x14ac:dyDescent="0.3">
      <c r="A10" t="s">
        <v>91</v>
      </c>
    </row>
    <row r="11" spans="1:60" x14ac:dyDescent="0.3">
      <c r="A11" t="s">
        <v>92</v>
      </c>
      <c r="M11" t="s">
        <v>94</v>
      </c>
    </row>
    <row r="12" spans="1:60" x14ac:dyDescent="0.3">
      <c r="A12" t="s">
        <v>93</v>
      </c>
    </row>
    <row r="14" spans="1:60" x14ac:dyDescent="0.3">
      <c r="A14" t="s">
        <v>82</v>
      </c>
      <c r="B14" t="s">
        <v>83</v>
      </c>
      <c r="C14" t="s">
        <v>84</v>
      </c>
      <c r="D14" t="s">
        <v>85</v>
      </c>
      <c r="E14" t="s">
        <v>86</v>
      </c>
      <c r="F14" t="s">
        <v>87</v>
      </c>
      <c r="G14" t="s">
        <v>88</v>
      </c>
      <c r="H14" t="s">
        <v>89</v>
      </c>
      <c r="I14" t="s">
        <v>90</v>
      </c>
      <c r="J14" t="s">
        <v>91</v>
      </c>
      <c r="K14" t="s">
        <v>92</v>
      </c>
      <c r="L14" t="s">
        <v>93</v>
      </c>
      <c r="M14" t="s">
        <v>82</v>
      </c>
      <c r="N14" t="s">
        <v>83</v>
      </c>
      <c r="O14" t="s">
        <v>84</v>
      </c>
      <c r="P14" t="s">
        <v>85</v>
      </c>
      <c r="Q14" t="s">
        <v>86</v>
      </c>
      <c r="R14" t="s">
        <v>87</v>
      </c>
      <c r="S14" t="s">
        <v>88</v>
      </c>
      <c r="T14" t="s">
        <v>89</v>
      </c>
      <c r="U14" t="s">
        <v>90</v>
      </c>
      <c r="V14" t="s">
        <v>91</v>
      </c>
      <c r="W14" t="s">
        <v>92</v>
      </c>
      <c r="X14" t="s">
        <v>93</v>
      </c>
      <c r="Y14" t="s">
        <v>82</v>
      </c>
      <c r="Z14" t="s">
        <v>83</v>
      </c>
      <c r="AA14" t="s">
        <v>84</v>
      </c>
      <c r="AB14" t="s">
        <v>85</v>
      </c>
      <c r="AC14" t="s">
        <v>86</v>
      </c>
      <c r="AD14" t="s">
        <v>87</v>
      </c>
      <c r="AE14" t="s">
        <v>88</v>
      </c>
      <c r="AF14" t="s">
        <v>89</v>
      </c>
      <c r="AG14" t="s">
        <v>90</v>
      </c>
      <c r="AH14" t="s">
        <v>91</v>
      </c>
      <c r="AI14" t="s">
        <v>92</v>
      </c>
      <c r="AJ14" t="s">
        <v>93</v>
      </c>
      <c r="AK14" t="s">
        <v>82</v>
      </c>
      <c r="AL14" t="s">
        <v>83</v>
      </c>
      <c r="AM14" t="s">
        <v>84</v>
      </c>
      <c r="AN14" t="s">
        <v>85</v>
      </c>
      <c r="AO14" t="s">
        <v>86</v>
      </c>
      <c r="AP14" t="s">
        <v>87</v>
      </c>
      <c r="AQ14" t="s">
        <v>88</v>
      </c>
      <c r="AR14" t="s">
        <v>89</v>
      </c>
      <c r="AS14" t="s">
        <v>90</v>
      </c>
      <c r="AT14" t="s">
        <v>91</v>
      </c>
      <c r="AU14" t="s">
        <v>92</v>
      </c>
      <c r="AV14" t="s">
        <v>93</v>
      </c>
      <c r="AW14" t="s">
        <v>82</v>
      </c>
      <c r="AX14" t="s">
        <v>83</v>
      </c>
      <c r="AY14" t="s">
        <v>84</v>
      </c>
      <c r="AZ14" t="s">
        <v>85</v>
      </c>
      <c r="BA14" t="s">
        <v>86</v>
      </c>
      <c r="BB14" t="s">
        <v>87</v>
      </c>
      <c r="BC14" t="s">
        <v>88</v>
      </c>
      <c r="BD14" t="s">
        <v>89</v>
      </c>
      <c r="BE14" t="s">
        <v>90</v>
      </c>
      <c r="BF14" t="s">
        <v>91</v>
      </c>
      <c r="BG14" t="s">
        <v>92</v>
      </c>
      <c r="BH14" t="s">
        <v>93</v>
      </c>
    </row>
    <row r="15" spans="1:60" x14ac:dyDescent="0.3">
      <c r="A15">
        <v>1</v>
      </c>
      <c r="B15">
        <f>A15+1</f>
        <v>2</v>
      </c>
      <c r="C15">
        <f t="shared" ref="C15:X15" si="0">B15+1</f>
        <v>3</v>
      </c>
      <c r="D15">
        <f t="shared" si="0"/>
        <v>4</v>
      </c>
      <c r="E15">
        <f t="shared" si="0"/>
        <v>5</v>
      </c>
      <c r="F15">
        <f t="shared" si="0"/>
        <v>6</v>
      </c>
      <c r="G15">
        <f t="shared" si="0"/>
        <v>7</v>
      </c>
      <c r="H15">
        <f t="shared" si="0"/>
        <v>8</v>
      </c>
      <c r="I15">
        <f t="shared" si="0"/>
        <v>9</v>
      </c>
      <c r="J15">
        <f t="shared" si="0"/>
        <v>10</v>
      </c>
      <c r="K15">
        <f t="shared" si="0"/>
        <v>11</v>
      </c>
      <c r="L15">
        <f t="shared" si="0"/>
        <v>12</v>
      </c>
      <c r="M15">
        <f t="shared" si="0"/>
        <v>13</v>
      </c>
      <c r="N15">
        <f t="shared" si="0"/>
        <v>14</v>
      </c>
      <c r="O15">
        <f t="shared" si="0"/>
        <v>15</v>
      </c>
      <c r="P15">
        <f t="shared" si="0"/>
        <v>16</v>
      </c>
      <c r="Q15">
        <f t="shared" si="0"/>
        <v>17</v>
      </c>
      <c r="R15">
        <f t="shared" si="0"/>
        <v>18</v>
      </c>
      <c r="S15">
        <f t="shared" si="0"/>
        <v>19</v>
      </c>
      <c r="T15">
        <f t="shared" si="0"/>
        <v>20</v>
      </c>
      <c r="U15">
        <f t="shared" si="0"/>
        <v>21</v>
      </c>
      <c r="V15">
        <f t="shared" si="0"/>
        <v>22</v>
      </c>
      <c r="W15">
        <f t="shared" si="0"/>
        <v>23</v>
      </c>
      <c r="X15">
        <f t="shared" si="0"/>
        <v>24</v>
      </c>
      <c r="Y15">
        <f t="shared" ref="Y15:BH15" si="1">X15+1</f>
        <v>25</v>
      </c>
      <c r="Z15">
        <f t="shared" si="1"/>
        <v>26</v>
      </c>
      <c r="AA15">
        <f t="shared" si="1"/>
        <v>27</v>
      </c>
      <c r="AB15">
        <f t="shared" si="1"/>
        <v>28</v>
      </c>
      <c r="AC15">
        <f t="shared" si="1"/>
        <v>29</v>
      </c>
      <c r="AD15">
        <f t="shared" si="1"/>
        <v>30</v>
      </c>
      <c r="AE15">
        <f t="shared" si="1"/>
        <v>31</v>
      </c>
      <c r="AF15">
        <f t="shared" si="1"/>
        <v>32</v>
      </c>
      <c r="AG15">
        <f t="shared" si="1"/>
        <v>33</v>
      </c>
      <c r="AH15">
        <f t="shared" si="1"/>
        <v>34</v>
      </c>
      <c r="AI15">
        <f t="shared" si="1"/>
        <v>35</v>
      </c>
      <c r="AJ15">
        <f t="shared" si="1"/>
        <v>36</v>
      </c>
      <c r="AK15">
        <f t="shared" si="1"/>
        <v>37</v>
      </c>
      <c r="AL15">
        <f t="shared" si="1"/>
        <v>38</v>
      </c>
      <c r="AM15">
        <f t="shared" si="1"/>
        <v>39</v>
      </c>
      <c r="AN15">
        <f t="shared" si="1"/>
        <v>40</v>
      </c>
      <c r="AO15">
        <f t="shared" si="1"/>
        <v>41</v>
      </c>
      <c r="AP15">
        <f t="shared" si="1"/>
        <v>42</v>
      </c>
      <c r="AQ15">
        <f t="shared" si="1"/>
        <v>43</v>
      </c>
      <c r="AR15">
        <f t="shared" si="1"/>
        <v>44</v>
      </c>
      <c r="AS15">
        <f t="shared" si="1"/>
        <v>45</v>
      </c>
      <c r="AT15">
        <f t="shared" si="1"/>
        <v>46</v>
      </c>
      <c r="AU15">
        <f t="shared" si="1"/>
        <v>47</v>
      </c>
      <c r="AV15">
        <f t="shared" si="1"/>
        <v>48</v>
      </c>
      <c r="AW15">
        <f t="shared" si="1"/>
        <v>49</v>
      </c>
      <c r="AX15">
        <f t="shared" si="1"/>
        <v>50</v>
      </c>
      <c r="AY15">
        <f t="shared" si="1"/>
        <v>51</v>
      </c>
      <c r="AZ15">
        <f t="shared" si="1"/>
        <v>52</v>
      </c>
      <c r="BA15">
        <f t="shared" si="1"/>
        <v>53</v>
      </c>
      <c r="BB15">
        <f t="shared" si="1"/>
        <v>54</v>
      </c>
      <c r="BC15">
        <f t="shared" si="1"/>
        <v>55</v>
      </c>
      <c r="BD15">
        <f t="shared" si="1"/>
        <v>56</v>
      </c>
      <c r="BE15">
        <f t="shared" si="1"/>
        <v>57</v>
      </c>
      <c r="BF15">
        <f t="shared" si="1"/>
        <v>58</v>
      </c>
      <c r="BG15">
        <f t="shared" si="1"/>
        <v>59</v>
      </c>
      <c r="BH15">
        <f t="shared" si="1"/>
        <v>60</v>
      </c>
    </row>
    <row r="16" spans="1:60" x14ac:dyDescent="0.3">
      <c r="A16" t="str">
        <f>ADDRESS(3,4)</f>
        <v>$D$3</v>
      </c>
    </row>
    <row r="17" spans="1:1" x14ac:dyDescent="0.3">
      <c r="A17" t="e">
        <f ca="1">OFFSET(A14,,HLOOKUP(KeyInputs!#REF!,A14:L15,2,FALSE))</f>
        <v>#REF!</v>
      </c>
    </row>
  </sheetData>
  <pageMargins left="0.7" right="0.7" top="0.75" bottom="0.75" header="0.3" footer="0.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1:AN21"/>
  <sheetViews>
    <sheetView workbookViewId="0">
      <pane xSplit="2" ySplit="5" topLeftCell="C6" activePane="bottomRight" state="frozen"/>
      <selection pane="topRight" activeCell="C1" sqref="C1"/>
      <selection pane="bottomLeft" activeCell="A6" sqref="A6"/>
      <selection pane="bottomRight" activeCell="C21" sqref="C21"/>
    </sheetView>
  </sheetViews>
  <sheetFormatPr defaultColWidth="8.88671875" defaultRowHeight="14.4" x14ac:dyDescent="0.3"/>
  <cols>
    <col min="1" max="1" width="2.44140625" customWidth="1"/>
    <col min="2" max="2" width="22" customWidth="1"/>
  </cols>
  <sheetData>
    <row r="1" spans="1:40" ht="18" x14ac:dyDescent="0.35">
      <c r="A1" s="4">
        <f>KeyInputs!F14</f>
        <v>0</v>
      </c>
    </row>
    <row r="2" spans="1:40" ht="18" x14ac:dyDescent="0.35">
      <c r="A2" s="4" t="s">
        <v>104</v>
      </c>
    </row>
    <row r="4" spans="1:40" x14ac:dyDescent="0.3">
      <c r="C4" s="336">
        <f>KeyInputs!F17</f>
        <v>42005</v>
      </c>
      <c r="D4" s="337"/>
      <c r="E4" s="337"/>
      <c r="F4" s="337"/>
      <c r="G4" s="337"/>
      <c r="H4" s="337"/>
      <c r="I4" s="337"/>
      <c r="J4" s="337"/>
      <c r="K4" s="337"/>
      <c r="L4" s="337"/>
      <c r="M4" s="337"/>
      <c r="N4" s="338"/>
      <c r="P4" s="336">
        <f>KeyInputs!F17+1</f>
        <v>42006</v>
      </c>
      <c r="Q4" s="337"/>
      <c r="R4" s="337"/>
      <c r="S4" s="337"/>
      <c r="T4" s="337"/>
      <c r="U4" s="337"/>
      <c r="V4" s="337"/>
      <c r="W4" s="337"/>
      <c r="X4" s="337"/>
      <c r="Y4" s="337"/>
      <c r="Z4" s="337"/>
      <c r="AA4" s="338"/>
      <c r="AC4" s="336">
        <f>KeyInputs!F17+2</f>
        <v>42007</v>
      </c>
      <c r="AD4" s="337"/>
      <c r="AE4" s="337"/>
      <c r="AF4" s="337"/>
      <c r="AG4" s="337"/>
      <c r="AH4" s="337"/>
      <c r="AI4" s="337"/>
      <c r="AJ4" s="337"/>
      <c r="AK4" s="337"/>
      <c r="AL4" s="337"/>
      <c r="AM4" s="337"/>
      <c r="AN4" s="338"/>
    </row>
    <row r="5" spans="1:40" x14ac:dyDescent="0.3">
      <c r="C5" s="31" t="e">
        <f>KeyInputs!#REF!</f>
        <v>#REF!</v>
      </c>
      <c r="D5" s="32" t="e">
        <f ca="1">OFFSET(Worksheet!$A$14,,(HLOOKUP(KeyInputs!#REF!,Worksheet!$A$14:$L$15,2,FALSE)))</f>
        <v>#REF!</v>
      </c>
      <c r="E5" s="32" t="e">
        <f ca="1">OFFSET(Worksheet!$A$14,,(HLOOKUP(KeyInputs!#REF!,Worksheet!$A$14:$L$15,2,FALSE))+Worksheet!A15)</f>
        <v>#REF!</v>
      </c>
      <c r="F5" s="32" t="e">
        <f ca="1">OFFSET(Worksheet!$A$14,,(HLOOKUP(KeyInputs!#REF!,Worksheet!$A$14:$L$15,2,FALSE))+Worksheet!B15)</f>
        <v>#REF!</v>
      </c>
      <c r="G5" s="32" t="e">
        <f ca="1">OFFSET(Worksheet!$A$14,,(HLOOKUP(KeyInputs!#REF!,Worksheet!$A$14:$L$15,2,FALSE))+Worksheet!C15)</f>
        <v>#REF!</v>
      </c>
      <c r="H5" s="32" t="e">
        <f ca="1">OFFSET(Worksheet!$A$14,,(HLOOKUP(KeyInputs!#REF!,Worksheet!$A$14:$L$15,2,FALSE))+Worksheet!D15)</f>
        <v>#REF!</v>
      </c>
      <c r="I5" s="32" t="e">
        <f ca="1">OFFSET(Worksheet!$A$14,,(HLOOKUP(KeyInputs!#REF!,Worksheet!$A$14:$L$15,2,FALSE))+Worksheet!E15)</f>
        <v>#REF!</v>
      </c>
      <c r="J5" s="32" t="e">
        <f ca="1">OFFSET(Worksheet!$A$14,,(HLOOKUP(KeyInputs!#REF!,Worksheet!$A$14:$L$15,2,FALSE))+Worksheet!F15)</f>
        <v>#REF!</v>
      </c>
      <c r="K5" s="32" t="e">
        <f ca="1">OFFSET(Worksheet!$A$14,,(HLOOKUP(KeyInputs!#REF!,Worksheet!$A$14:$L$15,2,FALSE))+Worksheet!G15)</f>
        <v>#REF!</v>
      </c>
      <c r="L5" s="32" t="e">
        <f ca="1">OFFSET(Worksheet!$A$14,,(HLOOKUP(KeyInputs!#REF!,Worksheet!$A$14:$L$15,2,FALSE))+Worksheet!H15)</f>
        <v>#REF!</v>
      </c>
      <c r="M5" s="32" t="e">
        <f ca="1">OFFSET(Worksheet!$A$14,,(HLOOKUP(KeyInputs!#REF!,Worksheet!$A$14:$L$15,2,FALSE))+Worksheet!I15)</f>
        <v>#REF!</v>
      </c>
      <c r="N5" s="32" t="e">
        <f ca="1">OFFSET(Worksheet!$A$14,,(HLOOKUP(KeyInputs!#REF!,Worksheet!$A$14:$L$15,2,FALSE))+Worksheet!J15)</f>
        <v>#REF!</v>
      </c>
      <c r="P5" s="31" t="e">
        <f>KeyInputs!#REF!</f>
        <v>#REF!</v>
      </c>
      <c r="Q5" s="32" t="e">
        <f ca="1">OFFSET(Worksheet!$A$14,,(HLOOKUP(KeyInputs!#REF!,Worksheet!$A$14:$L$15,2,FALSE)))</f>
        <v>#REF!</v>
      </c>
      <c r="R5" s="32" t="e">
        <f ca="1">OFFSET(Worksheet!$A$14,,(HLOOKUP(KeyInputs!#REF!,Worksheet!$A$14:$L$15,2,FALSE))+Worksheet!A15)</f>
        <v>#REF!</v>
      </c>
      <c r="S5" s="32" t="e">
        <f ca="1">OFFSET(Worksheet!$A$14,,(HLOOKUP(KeyInputs!#REF!,Worksheet!$A$14:$L$15,2,FALSE))+Worksheet!B15)</f>
        <v>#REF!</v>
      </c>
      <c r="T5" s="32" t="e">
        <f ca="1">OFFSET(Worksheet!$A$14,,(HLOOKUP(KeyInputs!#REF!,Worksheet!$A$14:$L$15,2,FALSE))+Worksheet!C15)</f>
        <v>#REF!</v>
      </c>
      <c r="U5" s="32" t="e">
        <f ca="1">OFFSET(Worksheet!$A$14,,(HLOOKUP(KeyInputs!#REF!,Worksheet!$A$14:$L$15,2,FALSE))+Worksheet!D15)</f>
        <v>#REF!</v>
      </c>
      <c r="V5" s="32" t="e">
        <f ca="1">OFFSET(Worksheet!$A$14,,(HLOOKUP(KeyInputs!#REF!,Worksheet!$A$14:$L$15,2,FALSE))+Worksheet!E15)</f>
        <v>#REF!</v>
      </c>
      <c r="W5" s="32" t="e">
        <f ca="1">OFFSET(Worksheet!$A$14,,(HLOOKUP(KeyInputs!#REF!,Worksheet!$A$14:$L$15,2,FALSE))+Worksheet!F15)</f>
        <v>#REF!</v>
      </c>
      <c r="X5" s="32" t="e">
        <f ca="1">OFFSET(Worksheet!$A$14,,(HLOOKUP(KeyInputs!#REF!,Worksheet!$A$14:$L$15,2,FALSE))+Worksheet!G15)</f>
        <v>#REF!</v>
      </c>
      <c r="Y5" s="32" t="e">
        <f ca="1">OFFSET(Worksheet!$A$14,,(HLOOKUP(KeyInputs!#REF!,Worksheet!$A$14:$L$15,2,FALSE))+Worksheet!H15)</f>
        <v>#REF!</v>
      </c>
      <c r="Z5" s="32" t="e">
        <f ca="1">OFFSET(Worksheet!$A$14,,(HLOOKUP(KeyInputs!#REF!,Worksheet!$A$14:$L$15,2,FALSE))+Worksheet!I15)</f>
        <v>#REF!</v>
      </c>
      <c r="AA5" s="32" t="e">
        <f ca="1">OFFSET(Worksheet!$A$14,,(HLOOKUP(KeyInputs!#REF!,Worksheet!$A$14:$L$15,2,FALSE))+Worksheet!J15)</f>
        <v>#REF!</v>
      </c>
      <c r="AC5" s="31" t="e">
        <f>KeyInputs!#REF!</f>
        <v>#REF!</v>
      </c>
      <c r="AD5" s="32" t="e">
        <f ca="1">OFFSET(Worksheet!$A$14,,(HLOOKUP(KeyInputs!#REF!,Worksheet!$A$14:$L$15,2,FALSE)))</f>
        <v>#REF!</v>
      </c>
      <c r="AE5" s="32" t="e">
        <f ca="1">OFFSET(Worksheet!$A$14,,(HLOOKUP(KeyInputs!#REF!,Worksheet!$A$14:$L$15,2,FALSE))+Worksheet!A15)</f>
        <v>#REF!</v>
      </c>
      <c r="AF5" s="32" t="e">
        <f ca="1">OFFSET(Worksheet!$A$14,,(HLOOKUP(KeyInputs!#REF!,Worksheet!$A$14:$L$15,2,FALSE))+Worksheet!B15)</f>
        <v>#REF!</v>
      </c>
      <c r="AG5" s="32" t="e">
        <f ca="1">OFFSET(Worksheet!$A$14,,(HLOOKUP(KeyInputs!#REF!,Worksheet!$A$14:$L$15,2,FALSE))+Worksheet!C15)</f>
        <v>#REF!</v>
      </c>
      <c r="AH5" s="32" t="e">
        <f ca="1">OFFSET(Worksheet!$A$14,,(HLOOKUP(KeyInputs!#REF!,Worksheet!$A$14:$L$15,2,FALSE))+Worksheet!D15)</f>
        <v>#REF!</v>
      </c>
      <c r="AI5" s="32" t="e">
        <f ca="1">OFFSET(Worksheet!$A$14,,(HLOOKUP(KeyInputs!#REF!,Worksheet!$A$14:$L$15,2,FALSE))+Worksheet!E15)</f>
        <v>#REF!</v>
      </c>
      <c r="AJ5" s="32" t="e">
        <f ca="1">OFFSET(Worksheet!$A$14,,(HLOOKUP(KeyInputs!#REF!,Worksheet!$A$14:$L$15,2,FALSE))+Worksheet!F15)</f>
        <v>#REF!</v>
      </c>
      <c r="AK5" s="32" t="e">
        <f ca="1">OFFSET(Worksheet!$A$14,,(HLOOKUP(KeyInputs!#REF!,Worksheet!$A$14:$L$15,2,FALSE))+Worksheet!G15)</f>
        <v>#REF!</v>
      </c>
      <c r="AL5" s="32" t="e">
        <f ca="1">OFFSET(Worksheet!$A$14,,(HLOOKUP(KeyInputs!#REF!,Worksheet!$A$14:$L$15,2,FALSE))+Worksheet!H15)</f>
        <v>#REF!</v>
      </c>
      <c r="AM5" s="32" t="e">
        <f ca="1">OFFSET(Worksheet!$A$14,,(HLOOKUP(KeyInputs!#REF!,Worksheet!$A$14:$L$15,2,FALSE))+Worksheet!I15)</f>
        <v>#REF!</v>
      </c>
      <c r="AN5" s="32" t="e">
        <f ca="1">OFFSET(Worksheet!$A$14,,(HLOOKUP(KeyInputs!#REF!,Worksheet!$A$14:$L$15,2,FALSE))+Worksheet!J15)</f>
        <v>#REF!</v>
      </c>
    </row>
    <row r="6" spans="1:40" x14ac:dyDescent="0.3">
      <c r="A6" s="2" t="str">
        <f>KeyInputs!F21</f>
        <v>Test</v>
      </c>
    </row>
    <row r="7" spans="1:40" x14ac:dyDescent="0.3">
      <c r="B7" t="str">
        <f>KeyInputs!F22</f>
        <v>Insert Product Group 1</v>
      </c>
      <c r="C7" s="37">
        <v>11531.115722681134</v>
      </c>
      <c r="D7" s="37">
        <v>11531.115722681134</v>
      </c>
      <c r="E7" s="37">
        <v>11531.115722681134</v>
      </c>
      <c r="F7" s="37">
        <v>14483.952422549071</v>
      </c>
      <c r="G7" s="37">
        <v>14483.952422549071</v>
      </c>
      <c r="H7" s="37">
        <v>14483.952422549071</v>
      </c>
      <c r="I7" s="37">
        <v>20481.009549940434</v>
      </c>
      <c r="J7" s="37">
        <v>24936.109060219911</v>
      </c>
      <c r="K7" s="37">
        <v>28431.393855967843</v>
      </c>
      <c r="L7" s="37">
        <v>35099.39385596785</v>
      </c>
      <c r="M7" s="37">
        <v>47096.186701511375</v>
      </c>
      <c r="N7" s="37">
        <v>34099.884334735951</v>
      </c>
      <c r="O7" s="25"/>
      <c r="P7" s="37">
        <v>34099.884334735951</v>
      </c>
      <c r="Q7" s="37">
        <v>34099.884334735951</v>
      </c>
      <c r="R7" s="37">
        <v>38613.63805714692</v>
      </c>
      <c r="S7" s="37">
        <v>38613.63805714692</v>
      </c>
      <c r="T7" s="37">
        <v>42429.822524040072</v>
      </c>
      <c r="U7" s="37">
        <v>42429.822524040072</v>
      </c>
      <c r="V7" s="37">
        <v>47009.243884311858</v>
      </c>
      <c r="W7" s="37">
        <v>47009.243884311858</v>
      </c>
      <c r="X7" s="37">
        <v>52504.549516637999</v>
      </c>
      <c r="Y7" s="37">
        <v>52504.549516637999</v>
      </c>
      <c r="Z7" s="37">
        <v>52504.549516637999</v>
      </c>
      <c r="AA7" s="37">
        <v>52504.549516637999</v>
      </c>
      <c r="AB7" s="25"/>
      <c r="AC7" s="1"/>
      <c r="AD7" s="1"/>
      <c r="AE7" s="1"/>
      <c r="AF7" s="1"/>
      <c r="AG7" s="1"/>
      <c r="AH7" s="1"/>
      <c r="AI7" s="1"/>
      <c r="AJ7" s="1"/>
      <c r="AK7" s="1"/>
      <c r="AL7" s="1"/>
      <c r="AM7" s="1"/>
      <c r="AN7" s="1"/>
    </row>
    <row r="8" spans="1:40" x14ac:dyDescent="0.3">
      <c r="B8" t="str">
        <f>KeyInputs!F23</f>
        <v>Insert Product Group 2</v>
      </c>
      <c r="C8" s="1"/>
      <c r="D8" s="1"/>
      <c r="E8" s="1"/>
      <c r="F8" s="1"/>
      <c r="G8" s="1"/>
      <c r="H8" s="1"/>
      <c r="I8" s="1"/>
      <c r="J8" s="1"/>
      <c r="K8" s="1"/>
      <c r="L8" s="1"/>
      <c r="M8" s="1"/>
      <c r="N8" s="1"/>
      <c r="P8" s="1"/>
      <c r="Q8" s="1"/>
      <c r="R8" s="1"/>
      <c r="S8" s="1"/>
      <c r="T8" s="1"/>
      <c r="U8" s="1"/>
      <c r="V8" s="1"/>
      <c r="W8" s="1"/>
      <c r="X8" s="1"/>
      <c r="Y8" s="1"/>
      <c r="Z8" s="1"/>
      <c r="AA8" s="1"/>
      <c r="AC8" s="1"/>
      <c r="AD8" s="1"/>
      <c r="AE8" s="1"/>
      <c r="AF8" s="1"/>
      <c r="AG8" s="1"/>
      <c r="AH8" s="1"/>
      <c r="AI8" s="1"/>
      <c r="AJ8" s="1"/>
      <c r="AK8" s="1"/>
      <c r="AL8" s="1"/>
      <c r="AM8" s="1"/>
      <c r="AN8" s="1"/>
    </row>
    <row r="9" spans="1:40" x14ac:dyDescent="0.3">
      <c r="B9" t="str">
        <f>KeyInputs!F24</f>
        <v>Insert Product Group 3</v>
      </c>
      <c r="C9" s="1"/>
      <c r="D9" s="1"/>
      <c r="E9" s="1"/>
      <c r="F9" s="1"/>
      <c r="G9" s="1"/>
      <c r="H9" s="1"/>
      <c r="I9" s="1"/>
      <c r="J9" s="1"/>
      <c r="K9" s="1"/>
      <c r="L9" s="1"/>
      <c r="M9" s="1"/>
      <c r="N9" s="1"/>
      <c r="P9" s="1"/>
      <c r="Q9" s="1"/>
      <c r="R9" s="1"/>
      <c r="S9" s="1"/>
      <c r="T9" s="1"/>
      <c r="U9" s="1"/>
      <c r="V9" s="1"/>
      <c r="W9" s="1"/>
      <c r="X9" s="1"/>
      <c r="Y9" s="1"/>
      <c r="Z9" s="1"/>
      <c r="AA9" s="1"/>
      <c r="AC9" s="1"/>
      <c r="AD9" s="1"/>
      <c r="AE9" s="1"/>
      <c r="AF9" s="1"/>
      <c r="AG9" s="1"/>
      <c r="AH9" s="1"/>
      <c r="AI9" s="1"/>
      <c r="AJ9" s="1"/>
      <c r="AK9" s="1"/>
      <c r="AL9" s="1"/>
      <c r="AM9" s="1"/>
      <c r="AN9" s="1"/>
    </row>
    <row r="11" spans="1:40" x14ac:dyDescent="0.3">
      <c r="A11" s="2" t="str">
        <f>KeyInputs!F26</f>
        <v>Insert Business Line2</v>
      </c>
    </row>
    <row r="12" spans="1:40" x14ac:dyDescent="0.3">
      <c r="B12" t="str">
        <f>KeyInputs!F27</f>
        <v>Insert Product Group4</v>
      </c>
      <c r="C12" s="1"/>
      <c r="D12" s="1"/>
      <c r="E12" s="1"/>
      <c r="F12" s="1"/>
      <c r="G12" s="1"/>
      <c r="H12" s="1"/>
      <c r="I12" s="1"/>
      <c r="J12" s="1"/>
      <c r="K12" s="1"/>
      <c r="L12" s="1"/>
      <c r="M12" s="1"/>
      <c r="N12" s="1"/>
      <c r="P12" s="1"/>
      <c r="Q12" s="1"/>
      <c r="R12" s="1"/>
      <c r="S12" s="1"/>
      <c r="T12" s="1"/>
      <c r="U12" s="1"/>
      <c r="V12" s="1"/>
      <c r="W12" s="1"/>
      <c r="X12" s="1"/>
      <c r="Y12" s="1"/>
      <c r="Z12" s="1"/>
      <c r="AA12" s="1"/>
      <c r="AC12" s="1"/>
      <c r="AD12" s="1"/>
      <c r="AE12" s="1"/>
      <c r="AF12" s="1"/>
      <c r="AG12" s="1"/>
      <c r="AH12" s="1"/>
      <c r="AI12" s="1"/>
      <c r="AJ12" s="1"/>
      <c r="AK12" s="1"/>
      <c r="AL12" s="1"/>
      <c r="AM12" s="1"/>
      <c r="AN12" s="1"/>
    </row>
    <row r="13" spans="1:40" x14ac:dyDescent="0.3">
      <c r="B13" t="str">
        <f>KeyInputs!F28</f>
        <v>Insert Product Group5</v>
      </c>
      <c r="C13" s="1"/>
      <c r="D13" s="1"/>
      <c r="E13" s="1"/>
      <c r="F13" s="1"/>
      <c r="G13" s="1"/>
      <c r="H13" s="1"/>
      <c r="I13" s="1"/>
      <c r="J13" s="1"/>
      <c r="K13" s="1"/>
      <c r="L13" s="1"/>
      <c r="M13" s="1"/>
      <c r="N13" s="1"/>
      <c r="P13" s="1"/>
      <c r="Q13" s="1"/>
      <c r="R13" s="1"/>
      <c r="S13" s="1"/>
      <c r="T13" s="1"/>
      <c r="U13" s="1"/>
      <c r="V13" s="1"/>
      <c r="W13" s="1"/>
      <c r="X13" s="1"/>
      <c r="Y13" s="1"/>
      <c r="Z13" s="1"/>
      <c r="AA13" s="1"/>
      <c r="AC13" s="1"/>
      <c r="AD13" s="1"/>
      <c r="AE13" s="1"/>
      <c r="AF13" s="1"/>
      <c r="AG13" s="1"/>
      <c r="AH13" s="1"/>
      <c r="AI13" s="1"/>
      <c r="AJ13" s="1"/>
      <c r="AK13" s="1"/>
      <c r="AL13" s="1"/>
      <c r="AM13" s="1"/>
      <c r="AN13" s="1"/>
    </row>
    <row r="14" spans="1:40" x14ac:dyDescent="0.3">
      <c r="B14" t="str">
        <f>KeyInputs!F29</f>
        <v>Insert Product Group6</v>
      </c>
      <c r="C14" s="1"/>
      <c r="D14" s="1"/>
      <c r="E14" s="1"/>
      <c r="F14" s="1"/>
      <c r="G14" s="1"/>
      <c r="H14" s="1"/>
      <c r="I14" s="1"/>
      <c r="J14" s="1"/>
      <c r="K14" s="1"/>
      <c r="L14" s="1"/>
      <c r="M14" s="1"/>
      <c r="N14" s="1"/>
      <c r="P14" s="1"/>
      <c r="Q14" s="1"/>
      <c r="R14" s="1"/>
      <c r="S14" s="1"/>
      <c r="T14" s="1"/>
      <c r="U14" s="1"/>
      <c r="V14" s="1"/>
      <c r="W14" s="1"/>
      <c r="X14" s="1"/>
      <c r="Y14" s="1"/>
      <c r="Z14" s="1"/>
      <c r="AA14" s="1"/>
      <c r="AC14" s="1"/>
      <c r="AD14" s="1"/>
      <c r="AE14" s="1"/>
      <c r="AF14" s="1"/>
      <c r="AG14" s="1"/>
      <c r="AH14" s="1"/>
      <c r="AI14" s="1"/>
      <c r="AJ14" s="1"/>
      <c r="AK14" s="1"/>
      <c r="AL14" s="1"/>
      <c r="AM14" s="1"/>
      <c r="AN14" s="1"/>
    </row>
    <row r="16" spans="1:40" x14ac:dyDescent="0.3">
      <c r="A16" s="2" t="str">
        <f>KeyInputs!F31</f>
        <v>Insert Business Line3</v>
      </c>
    </row>
    <row r="17" spans="2:40" x14ac:dyDescent="0.3">
      <c r="B17" t="str">
        <f>KeyInputs!F32</f>
        <v>Insert Product Group7</v>
      </c>
      <c r="C17" s="1"/>
      <c r="D17" s="1"/>
      <c r="E17" s="1"/>
      <c r="F17" s="1"/>
      <c r="G17" s="1"/>
      <c r="H17" s="1"/>
      <c r="I17" s="1"/>
      <c r="J17" s="1"/>
      <c r="K17" s="1"/>
      <c r="L17" s="1"/>
      <c r="M17" s="1"/>
      <c r="N17" s="1"/>
      <c r="P17" s="1"/>
      <c r="Q17" s="1"/>
      <c r="R17" s="1"/>
      <c r="S17" s="1"/>
      <c r="T17" s="1"/>
      <c r="U17" s="1"/>
      <c r="V17" s="1"/>
      <c r="W17" s="1"/>
      <c r="X17" s="1"/>
      <c r="Y17" s="1"/>
      <c r="Z17" s="1"/>
      <c r="AA17" s="1"/>
      <c r="AC17" s="1"/>
      <c r="AD17" s="1"/>
      <c r="AE17" s="1"/>
      <c r="AF17" s="1"/>
      <c r="AG17" s="1"/>
      <c r="AH17" s="1"/>
      <c r="AI17" s="1"/>
      <c r="AJ17" s="1"/>
      <c r="AK17" s="1"/>
      <c r="AL17" s="1"/>
      <c r="AM17" s="1"/>
      <c r="AN17" s="1"/>
    </row>
    <row r="18" spans="2:40" x14ac:dyDescent="0.3">
      <c r="B18" t="str">
        <f>KeyInputs!F33</f>
        <v>Insert Product Group8</v>
      </c>
      <c r="C18" s="1"/>
      <c r="D18" s="1"/>
      <c r="E18" s="1"/>
      <c r="F18" s="1"/>
      <c r="G18" s="1"/>
      <c r="H18" s="1"/>
      <c r="I18" s="1"/>
      <c r="J18" s="1"/>
      <c r="K18" s="1"/>
      <c r="L18" s="1"/>
      <c r="M18" s="1"/>
      <c r="N18" s="1"/>
      <c r="P18" s="1"/>
      <c r="Q18" s="1"/>
      <c r="R18" s="1"/>
      <c r="S18" s="1"/>
      <c r="T18" s="1"/>
      <c r="U18" s="1"/>
      <c r="V18" s="1"/>
      <c r="W18" s="1"/>
      <c r="X18" s="1"/>
      <c r="Y18" s="1"/>
      <c r="Z18" s="1"/>
      <c r="AA18" s="1"/>
      <c r="AC18" s="1"/>
      <c r="AD18" s="1"/>
      <c r="AE18" s="1"/>
      <c r="AF18" s="1"/>
      <c r="AG18" s="1"/>
      <c r="AH18" s="1"/>
      <c r="AI18" s="1"/>
      <c r="AJ18" s="1"/>
      <c r="AK18" s="1"/>
      <c r="AL18" s="1"/>
      <c r="AM18" s="1"/>
      <c r="AN18" s="1"/>
    </row>
    <row r="19" spans="2:40" x14ac:dyDescent="0.3">
      <c r="B19" t="str">
        <f>KeyInputs!F34</f>
        <v>Insert Product Group9</v>
      </c>
      <c r="C19" s="1"/>
      <c r="D19" s="1"/>
      <c r="E19" s="1"/>
      <c r="F19" s="1"/>
      <c r="G19" s="1"/>
      <c r="H19" s="1"/>
      <c r="I19" s="1"/>
      <c r="J19" s="1"/>
      <c r="K19" s="1"/>
      <c r="L19" s="1"/>
      <c r="M19" s="1"/>
      <c r="N19" s="1"/>
      <c r="P19" s="1"/>
      <c r="Q19" s="1"/>
      <c r="R19" s="1"/>
      <c r="S19" s="1"/>
      <c r="T19" s="1"/>
      <c r="U19" s="1"/>
      <c r="V19" s="1"/>
      <c r="W19" s="1"/>
      <c r="X19" s="1"/>
      <c r="Y19" s="1"/>
      <c r="Z19" s="1"/>
      <c r="AA19" s="1"/>
      <c r="AC19" s="1"/>
      <c r="AD19" s="1"/>
      <c r="AE19" s="1"/>
      <c r="AF19" s="1"/>
      <c r="AG19" s="1"/>
      <c r="AH19" s="1"/>
      <c r="AI19" s="1"/>
      <c r="AJ19" s="1"/>
      <c r="AK19" s="1"/>
      <c r="AL19" s="1"/>
      <c r="AM19" s="1"/>
      <c r="AN19" s="1"/>
    </row>
    <row r="21" spans="2:40" x14ac:dyDescent="0.3">
      <c r="C21" s="26">
        <f>SUM(C7:C19)</f>
        <v>11531.115722681134</v>
      </c>
      <c r="D21" s="26">
        <f t="shared" ref="D21:AN21" si="0">SUM(D7:D19)</f>
        <v>11531.115722681134</v>
      </c>
      <c r="E21" s="26">
        <f t="shared" si="0"/>
        <v>11531.115722681134</v>
      </c>
      <c r="F21" s="26">
        <f t="shared" si="0"/>
        <v>14483.952422549071</v>
      </c>
      <c r="G21" s="26">
        <f t="shared" si="0"/>
        <v>14483.952422549071</v>
      </c>
      <c r="H21" s="26">
        <f t="shared" si="0"/>
        <v>14483.952422549071</v>
      </c>
      <c r="I21" s="26">
        <f t="shared" si="0"/>
        <v>20481.009549940434</v>
      </c>
      <c r="J21" s="26">
        <f t="shared" si="0"/>
        <v>24936.109060219911</v>
      </c>
      <c r="K21" s="26">
        <f t="shared" si="0"/>
        <v>28431.393855967843</v>
      </c>
      <c r="L21" s="26">
        <f t="shared" si="0"/>
        <v>35099.39385596785</v>
      </c>
      <c r="M21" s="26">
        <f t="shared" si="0"/>
        <v>47096.186701511375</v>
      </c>
      <c r="N21" s="26">
        <f t="shared" si="0"/>
        <v>34099.884334735951</v>
      </c>
      <c r="O21" s="26"/>
      <c r="P21" s="26">
        <f t="shared" si="0"/>
        <v>34099.884334735951</v>
      </c>
      <c r="Q21" s="26">
        <f t="shared" si="0"/>
        <v>34099.884334735951</v>
      </c>
      <c r="R21" s="26">
        <f t="shared" si="0"/>
        <v>38613.63805714692</v>
      </c>
      <c r="S21" s="26">
        <f t="shared" si="0"/>
        <v>38613.63805714692</v>
      </c>
      <c r="T21" s="26">
        <f t="shared" si="0"/>
        <v>42429.822524040072</v>
      </c>
      <c r="U21" s="26">
        <f t="shared" si="0"/>
        <v>42429.822524040072</v>
      </c>
      <c r="V21" s="26">
        <f t="shared" si="0"/>
        <v>47009.243884311858</v>
      </c>
      <c r="W21" s="26">
        <f t="shared" si="0"/>
        <v>47009.243884311858</v>
      </c>
      <c r="X21" s="26">
        <f t="shared" si="0"/>
        <v>52504.549516637999</v>
      </c>
      <c r="Y21" s="26">
        <f t="shared" si="0"/>
        <v>52504.549516637999</v>
      </c>
      <c r="Z21" s="26">
        <f t="shared" si="0"/>
        <v>52504.549516637999</v>
      </c>
      <c r="AA21" s="26">
        <f t="shared" si="0"/>
        <v>52504.549516637999</v>
      </c>
      <c r="AB21" s="26"/>
      <c r="AC21" s="26">
        <f t="shared" si="0"/>
        <v>0</v>
      </c>
      <c r="AD21" s="26">
        <f t="shared" si="0"/>
        <v>0</v>
      </c>
      <c r="AE21" s="26">
        <f t="shared" si="0"/>
        <v>0</v>
      </c>
      <c r="AF21" s="26">
        <f t="shared" si="0"/>
        <v>0</v>
      </c>
      <c r="AG21" s="26">
        <f t="shared" si="0"/>
        <v>0</v>
      </c>
      <c r="AH21" s="26">
        <f t="shared" si="0"/>
        <v>0</v>
      </c>
      <c r="AI21" s="26">
        <f t="shared" si="0"/>
        <v>0</v>
      </c>
      <c r="AJ21" s="26">
        <f t="shared" si="0"/>
        <v>0</v>
      </c>
      <c r="AK21" s="26">
        <f t="shared" si="0"/>
        <v>0</v>
      </c>
      <c r="AL21" s="26">
        <f t="shared" si="0"/>
        <v>0</v>
      </c>
      <c r="AM21" s="26">
        <f t="shared" si="0"/>
        <v>0</v>
      </c>
      <c r="AN21" s="26">
        <f t="shared" si="0"/>
        <v>0</v>
      </c>
    </row>
  </sheetData>
  <mergeCells count="3">
    <mergeCell ref="C4:N4"/>
    <mergeCell ref="P4:AA4"/>
    <mergeCell ref="AC4:AN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2"/>
  <sheetViews>
    <sheetView workbookViewId="0">
      <selection activeCell="E18" sqref="E18"/>
    </sheetView>
  </sheetViews>
  <sheetFormatPr defaultColWidth="8.88671875" defaultRowHeight="14.4" x14ac:dyDescent="0.3"/>
  <cols>
    <col min="1" max="1" width="2.44140625" customWidth="1"/>
    <col min="2" max="2" width="22" customWidth="1"/>
    <col min="6" max="14" width="10.109375" bestFit="1" customWidth="1"/>
    <col min="29" max="29" width="9.33203125" bestFit="1" customWidth="1"/>
    <col min="30" max="40" width="10.109375" bestFit="1" customWidth="1"/>
  </cols>
  <sheetData>
    <row r="1" spans="1:1" ht="18" x14ac:dyDescent="0.35">
      <c r="A1" s="4">
        <f>KeyInputs!F14</f>
        <v>0</v>
      </c>
    </row>
    <row r="2" spans="1:1" ht="18" x14ac:dyDescent="0.35">
      <c r="A2" s="4" t="s">
        <v>147</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N31"/>
  <sheetViews>
    <sheetView workbookViewId="0">
      <pane xSplit="2" ySplit="5" topLeftCell="C6" activePane="bottomRight" state="frozen"/>
      <selection pane="topRight" activeCell="C1" sqref="C1"/>
      <selection pane="bottomLeft" activeCell="A6" sqref="A6"/>
      <selection pane="bottomRight" activeCell="H25" sqref="H25"/>
    </sheetView>
  </sheetViews>
  <sheetFormatPr defaultColWidth="8.88671875" defaultRowHeight="14.4" x14ac:dyDescent="0.3"/>
  <cols>
    <col min="1" max="1" width="2.44140625" customWidth="1"/>
    <col min="2" max="2" width="22" customWidth="1"/>
    <col min="6" max="14" width="10.109375" bestFit="1" customWidth="1"/>
    <col min="29" max="29" width="9.33203125" bestFit="1" customWidth="1"/>
    <col min="30" max="40" width="10.109375" bestFit="1" customWidth="1"/>
  </cols>
  <sheetData>
    <row r="1" spans="1:40" ht="18" x14ac:dyDescent="0.35">
      <c r="A1" s="4">
        <f>KeyInputs!F14</f>
        <v>0</v>
      </c>
    </row>
    <row r="2" spans="1:40" ht="18" x14ac:dyDescent="0.35">
      <c r="A2" s="4" t="s">
        <v>143</v>
      </c>
    </row>
    <row r="4" spans="1:40" x14ac:dyDescent="0.3">
      <c r="C4" s="336">
        <f>KeyInputs!F17</f>
        <v>42005</v>
      </c>
      <c r="D4" s="337"/>
      <c r="E4" s="337"/>
      <c r="F4" s="337"/>
      <c r="G4" s="337"/>
      <c r="H4" s="337"/>
      <c r="I4" s="337"/>
      <c r="J4" s="337"/>
      <c r="K4" s="337"/>
      <c r="L4" s="337"/>
      <c r="M4" s="337"/>
      <c r="N4" s="338"/>
      <c r="P4" s="336">
        <f>KeyInputs!F17+1</f>
        <v>42006</v>
      </c>
      <c r="Q4" s="337"/>
      <c r="R4" s="337"/>
      <c r="S4" s="337"/>
      <c r="T4" s="337"/>
      <c r="U4" s="337"/>
      <c r="V4" s="337"/>
      <c r="W4" s="337"/>
      <c r="X4" s="337"/>
      <c r="Y4" s="337"/>
      <c r="Z4" s="337"/>
      <c r="AA4" s="338"/>
      <c r="AC4" s="336">
        <f>KeyInputs!F17+2</f>
        <v>42007</v>
      </c>
      <c r="AD4" s="337"/>
      <c r="AE4" s="337"/>
      <c r="AF4" s="337"/>
      <c r="AG4" s="337"/>
      <c r="AH4" s="337"/>
      <c r="AI4" s="337"/>
      <c r="AJ4" s="337"/>
      <c r="AK4" s="337"/>
      <c r="AL4" s="337"/>
      <c r="AM4" s="337"/>
      <c r="AN4" s="338"/>
    </row>
    <row r="5" spans="1:40" x14ac:dyDescent="0.3">
      <c r="C5" s="31" t="e">
        <f>KeyInputs!#REF!</f>
        <v>#REF!</v>
      </c>
      <c r="D5" s="32" t="e">
        <f ca="1">OFFSET(Worksheet!$A$14,,(HLOOKUP(KeyInputs!#REF!,Worksheet!$A$14:$L$15,2,FALSE)))</f>
        <v>#REF!</v>
      </c>
      <c r="E5" s="32" t="e">
        <f ca="1">OFFSET(Worksheet!$A$14,,(HLOOKUP(KeyInputs!#REF!,Worksheet!$A$14:$L$15,2,FALSE))+Worksheet!A15)</f>
        <v>#REF!</v>
      </c>
      <c r="F5" s="32" t="e">
        <f ca="1">OFFSET(Worksheet!$A$14,,(HLOOKUP(KeyInputs!#REF!,Worksheet!$A$14:$L$15,2,FALSE))+Worksheet!B15)</f>
        <v>#REF!</v>
      </c>
      <c r="G5" s="32" t="e">
        <f ca="1">OFFSET(Worksheet!$A$14,,(HLOOKUP(KeyInputs!#REF!,Worksheet!$A$14:$L$15,2,FALSE))+Worksheet!C15)</f>
        <v>#REF!</v>
      </c>
      <c r="H5" s="32" t="e">
        <f ca="1">OFFSET(Worksheet!$A$14,,(HLOOKUP(KeyInputs!#REF!,Worksheet!$A$14:$L$15,2,FALSE))+Worksheet!D15)</f>
        <v>#REF!</v>
      </c>
      <c r="I5" s="32" t="e">
        <f ca="1">OFFSET(Worksheet!$A$14,,(HLOOKUP(KeyInputs!#REF!,Worksheet!$A$14:$L$15,2,FALSE))+Worksheet!E15)</f>
        <v>#REF!</v>
      </c>
      <c r="J5" s="32" t="e">
        <f ca="1">OFFSET(Worksheet!$A$14,,(HLOOKUP(KeyInputs!#REF!,Worksheet!$A$14:$L$15,2,FALSE))+Worksheet!F15)</f>
        <v>#REF!</v>
      </c>
      <c r="K5" s="32" t="e">
        <f ca="1">OFFSET(Worksheet!$A$14,,(HLOOKUP(KeyInputs!#REF!,Worksheet!$A$14:$L$15,2,FALSE))+Worksheet!G15)</f>
        <v>#REF!</v>
      </c>
      <c r="L5" s="32" t="e">
        <f ca="1">OFFSET(Worksheet!$A$14,,(HLOOKUP(KeyInputs!#REF!,Worksheet!$A$14:$L$15,2,FALSE))+Worksheet!H15)</f>
        <v>#REF!</v>
      </c>
      <c r="M5" s="32" t="e">
        <f ca="1">OFFSET(Worksheet!$A$14,,(HLOOKUP(KeyInputs!#REF!,Worksheet!$A$14:$L$15,2,FALSE))+Worksheet!I15)</f>
        <v>#REF!</v>
      </c>
      <c r="N5" s="32" t="e">
        <f ca="1">OFFSET(Worksheet!$A$14,,(HLOOKUP(KeyInputs!#REF!,Worksheet!$A$14:$L$15,2,FALSE))+Worksheet!J15)</f>
        <v>#REF!</v>
      </c>
      <c r="P5" s="31" t="e">
        <f>KeyInputs!#REF!</f>
        <v>#REF!</v>
      </c>
      <c r="Q5" s="32" t="e">
        <f ca="1">OFFSET(Worksheet!$A$14,,(HLOOKUP(KeyInputs!#REF!,Worksheet!$A$14:$L$15,2,FALSE)))</f>
        <v>#REF!</v>
      </c>
      <c r="R5" s="32" t="e">
        <f ca="1">OFFSET(Worksheet!$A$14,,(HLOOKUP(KeyInputs!#REF!,Worksheet!$A$14:$L$15,2,FALSE))+Worksheet!A15)</f>
        <v>#REF!</v>
      </c>
      <c r="S5" s="32" t="e">
        <f ca="1">OFFSET(Worksheet!$A$14,,(HLOOKUP(KeyInputs!#REF!,Worksheet!$A$14:$L$15,2,FALSE))+Worksheet!B15)</f>
        <v>#REF!</v>
      </c>
      <c r="T5" s="32" t="e">
        <f ca="1">OFFSET(Worksheet!$A$14,,(HLOOKUP(KeyInputs!#REF!,Worksheet!$A$14:$L$15,2,FALSE))+Worksheet!C15)</f>
        <v>#REF!</v>
      </c>
      <c r="U5" s="32" t="e">
        <f ca="1">OFFSET(Worksheet!$A$14,,(HLOOKUP(KeyInputs!#REF!,Worksheet!$A$14:$L$15,2,FALSE))+Worksheet!D15)</f>
        <v>#REF!</v>
      </c>
      <c r="V5" s="32" t="e">
        <f ca="1">OFFSET(Worksheet!$A$14,,(HLOOKUP(KeyInputs!#REF!,Worksheet!$A$14:$L$15,2,FALSE))+Worksheet!E15)</f>
        <v>#REF!</v>
      </c>
      <c r="W5" s="32" t="e">
        <f ca="1">OFFSET(Worksheet!$A$14,,(HLOOKUP(KeyInputs!#REF!,Worksheet!$A$14:$L$15,2,FALSE))+Worksheet!F15)</f>
        <v>#REF!</v>
      </c>
      <c r="X5" s="32" t="e">
        <f ca="1">OFFSET(Worksheet!$A$14,,(HLOOKUP(KeyInputs!#REF!,Worksheet!$A$14:$L$15,2,FALSE))+Worksheet!G15)</f>
        <v>#REF!</v>
      </c>
      <c r="Y5" s="32" t="e">
        <f ca="1">OFFSET(Worksheet!$A$14,,(HLOOKUP(KeyInputs!#REF!,Worksheet!$A$14:$L$15,2,FALSE))+Worksheet!H15)</f>
        <v>#REF!</v>
      </c>
      <c r="Z5" s="32" t="e">
        <f ca="1">OFFSET(Worksheet!$A$14,,(HLOOKUP(KeyInputs!#REF!,Worksheet!$A$14:$L$15,2,FALSE))+Worksheet!I15)</f>
        <v>#REF!</v>
      </c>
      <c r="AA5" s="32" t="e">
        <f ca="1">OFFSET(Worksheet!$A$14,,(HLOOKUP(KeyInputs!#REF!,Worksheet!$A$14:$L$15,2,FALSE))+Worksheet!J15)</f>
        <v>#REF!</v>
      </c>
      <c r="AC5" s="31" t="e">
        <f>KeyInputs!#REF!</f>
        <v>#REF!</v>
      </c>
      <c r="AD5" s="32" t="e">
        <f ca="1">OFFSET(Worksheet!$A$14,,(HLOOKUP(KeyInputs!#REF!,Worksheet!$A$14:$L$15,2,FALSE)))</f>
        <v>#REF!</v>
      </c>
      <c r="AE5" s="32" t="e">
        <f ca="1">OFFSET(Worksheet!$A$14,,(HLOOKUP(KeyInputs!#REF!,Worksheet!$A$14:$L$15,2,FALSE))+Worksheet!A15)</f>
        <v>#REF!</v>
      </c>
      <c r="AF5" s="32" t="e">
        <f ca="1">OFFSET(Worksheet!$A$14,,(HLOOKUP(KeyInputs!#REF!,Worksheet!$A$14:$L$15,2,FALSE))+Worksheet!B15)</f>
        <v>#REF!</v>
      </c>
      <c r="AG5" s="32" t="e">
        <f ca="1">OFFSET(Worksheet!$A$14,,(HLOOKUP(KeyInputs!#REF!,Worksheet!$A$14:$L$15,2,FALSE))+Worksheet!C15)</f>
        <v>#REF!</v>
      </c>
      <c r="AH5" s="32" t="e">
        <f ca="1">OFFSET(Worksheet!$A$14,,(HLOOKUP(KeyInputs!#REF!,Worksheet!$A$14:$L$15,2,FALSE))+Worksheet!D15)</f>
        <v>#REF!</v>
      </c>
      <c r="AI5" s="32" t="e">
        <f ca="1">OFFSET(Worksheet!$A$14,,(HLOOKUP(KeyInputs!#REF!,Worksheet!$A$14:$L$15,2,FALSE))+Worksheet!E15)</f>
        <v>#REF!</v>
      </c>
      <c r="AJ5" s="32" t="e">
        <f ca="1">OFFSET(Worksheet!$A$14,,(HLOOKUP(KeyInputs!#REF!,Worksheet!$A$14:$L$15,2,FALSE))+Worksheet!F15)</f>
        <v>#REF!</v>
      </c>
      <c r="AK5" s="32" t="e">
        <f ca="1">OFFSET(Worksheet!$A$14,,(HLOOKUP(KeyInputs!#REF!,Worksheet!$A$14:$L$15,2,FALSE))+Worksheet!G15)</f>
        <v>#REF!</v>
      </c>
      <c r="AL5" s="32" t="e">
        <f ca="1">OFFSET(Worksheet!$A$14,,(HLOOKUP(KeyInputs!#REF!,Worksheet!$A$14:$L$15,2,FALSE))+Worksheet!H15)</f>
        <v>#REF!</v>
      </c>
      <c r="AM5" s="32" t="e">
        <f ca="1">OFFSET(Worksheet!$A$14,,(HLOOKUP(KeyInputs!#REF!,Worksheet!$A$14:$L$15,2,FALSE))+Worksheet!I15)</f>
        <v>#REF!</v>
      </c>
      <c r="AN5" s="32" t="e">
        <f ca="1">OFFSET(Worksheet!$A$14,,(HLOOKUP(KeyInputs!#REF!,Worksheet!$A$14:$L$15,2,FALSE))+Worksheet!J15)</f>
        <v>#REF!</v>
      </c>
    </row>
    <row r="6" spans="1:40" x14ac:dyDescent="0.3">
      <c r="A6" s="2"/>
    </row>
    <row r="7" spans="1:40" x14ac:dyDescent="0.3">
      <c r="B7" t="s">
        <v>125</v>
      </c>
      <c r="C7" s="52">
        <f t="shared" ref="C7:C12" si="0">($C22*C$18)+($C22*($E22-1)*C$18/12*C$19)</f>
        <v>3487.5</v>
      </c>
      <c r="D7" s="52">
        <f t="shared" ref="D7:N7" si="1">($C$22*D18)+($C$22*($E$22-1)*D18/12*D19)</f>
        <v>3627</v>
      </c>
      <c r="E7" s="52">
        <f t="shared" si="1"/>
        <v>3766.5</v>
      </c>
      <c r="F7" s="52">
        <f t="shared" si="1"/>
        <v>3906</v>
      </c>
      <c r="G7" s="52">
        <f t="shared" si="1"/>
        <v>2247.5</v>
      </c>
      <c r="H7" s="52">
        <f t="shared" si="1"/>
        <v>2325</v>
      </c>
      <c r="I7" s="52">
        <f t="shared" si="1"/>
        <v>2402.5</v>
      </c>
      <c r="J7" s="52">
        <f t="shared" si="1"/>
        <v>4464</v>
      </c>
      <c r="K7" s="52">
        <f t="shared" si="1"/>
        <v>4603.5</v>
      </c>
      <c r="L7" s="52">
        <f t="shared" si="1"/>
        <v>4743</v>
      </c>
      <c r="M7" s="52">
        <f t="shared" si="1"/>
        <v>5967.5</v>
      </c>
      <c r="N7" s="52">
        <f t="shared" si="1"/>
        <v>6138</v>
      </c>
      <c r="O7" s="27"/>
      <c r="P7" s="52">
        <f>($C22*$E22*P$18)+($C22*($F22-$E22)*P$18/12*P$19)</f>
        <v>5301</v>
      </c>
      <c r="Q7" s="52">
        <f t="shared" ref="Q7:AA7" si="2">($C22*$E22*Q$18)+($C22*($F22-$E22)*Q$18/12*Q$19)</f>
        <v>5580</v>
      </c>
      <c r="R7" s="52">
        <f t="shared" si="2"/>
        <v>5859</v>
      </c>
      <c r="S7" s="52">
        <f t="shared" si="2"/>
        <v>6138</v>
      </c>
      <c r="T7" s="52">
        <f t="shared" si="2"/>
        <v>3565</v>
      </c>
      <c r="U7" s="52">
        <f t="shared" si="2"/>
        <v>3720</v>
      </c>
      <c r="V7" s="52">
        <f t="shared" si="2"/>
        <v>3875</v>
      </c>
      <c r="W7" s="52">
        <f t="shared" si="2"/>
        <v>7254</v>
      </c>
      <c r="X7" s="52">
        <f t="shared" si="2"/>
        <v>7533</v>
      </c>
      <c r="Y7" s="52">
        <f t="shared" si="2"/>
        <v>7812</v>
      </c>
      <c r="Z7" s="52">
        <f t="shared" si="2"/>
        <v>8091</v>
      </c>
      <c r="AA7" s="52">
        <f t="shared" si="2"/>
        <v>8370</v>
      </c>
      <c r="AB7" s="27"/>
      <c r="AC7" s="52">
        <f>($C22*$F22*AC$18)+($C22*($G22-$F22)*AC$18/12*AC$19)</f>
        <v>8509.5</v>
      </c>
      <c r="AD7" s="52">
        <f t="shared" ref="AD7:AN7" si="3">($C22*$F22*AD$18)+($C22*($G22-$F22)*AD$18/12*AD$19)</f>
        <v>8649</v>
      </c>
      <c r="AE7" s="52">
        <f t="shared" si="3"/>
        <v>8788.5</v>
      </c>
      <c r="AF7" s="52">
        <f t="shared" si="3"/>
        <v>8928</v>
      </c>
      <c r="AG7" s="52">
        <f t="shared" si="3"/>
        <v>5037.5</v>
      </c>
      <c r="AH7" s="52">
        <f t="shared" si="3"/>
        <v>5115</v>
      </c>
      <c r="AI7" s="52">
        <f t="shared" si="3"/>
        <v>5192.5</v>
      </c>
      <c r="AJ7" s="52">
        <f t="shared" si="3"/>
        <v>9486</v>
      </c>
      <c r="AK7" s="52">
        <f t="shared" si="3"/>
        <v>9625.5</v>
      </c>
      <c r="AL7" s="52">
        <f t="shared" si="3"/>
        <v>9765</v>
      </c>
      <c r="AM7" s="52">
        <f t="shared" si="3"/>
        <v>9904.5</v>
      </c>
      <c r="AN7" s="52">
        <f t="shared" si="3"/>
        <v>10044</v>
      </c>
    </row>
    <row r="8" spans="1:40" x14ac:dyDescent="0.3">
      <c r="B8" t="s">
        <v>126</v>
      </c>
      <c r="C8" s="52">
        <f t="shared" si="0"/>
        <v>1433.25</v>
      </c>
      <c r="D8" s="52">
        <f t="shared" ref="D8:N8" si="4">($C23*D$18)+($C23*($E23-1)*D$18/12*D$19)</f>
        <v>1543.5</v>
      </c>
      <c r="E8" s="52">
        <f t="shared" si="4"/>
        <v>1653.75</v>
      </c>
      <c r="F8" s="52">
        <f t="shared" si="4"/>
        <v>1764</v>
      </c>
      <c r="G8" s="52">
        <f t="shared" si="4"/>
        <v>1041.25</v>
      </c>
      <c r="H8" s="52">
        <f t="shared" si="4"/>
        <v>1102.5</v>
      </c>
      <c r="I8" s="52">
        <f t="shared" si="4"/>
        <v>1163.75</v>
      </c>
      <c r="J8" s="52">
        <f t="shared" si="4"/>
        <v>2205</v>
      </c>
      <c r="K8" s="52">
        <f t="shared" si="4"/>
        <v>2315.25</v>
      </c>
      <c r="L8" s="52">
        <f t="shared" si="4"/>
        <v>2425.5</v>
      </c>
      <c r="M8" s="52">
        <f t="shared" si="4"/>
        <v>3099.25</v>
      </c>
      <c r="N8" s="52">
        <f t="shared" si="4"/>
        <v>3234</v>
      </c>
      <c r="O8" s="25"/>
      <c r="P8" s="52">
        <f t="shared" ref="P8:AA16" si="5">($C23*$E23*P$18)+($C23*($F23-$E23)*P$18/12*P$19)</f>
        <v>2646</v>
      </c>
      <c r="Q8" s="52">
        <f t="shared" si="5"/>
        <v>2646</v>
      </c>
      <c r="R8" s="52">
        <f t="shared" si="5"/>
        <v>2646</v>
      </c>
      <c r="S8" s="52">
        <f t="shared" si="5"/>
        <v>2646</v>
      </c>
      <c r="T8" s="52">
        <f t="shared" si="5"/>
        <v>1470</v>
      </c>
      <c r="U8" s="52">
        <f t="shared" si="5"/>
        <v>1470</v>
      </c>
      <c r="V8" s="52">
        <f t="shared" si="5"/>
        <v>1470</v>
      </c>
      <c r="W8" s="52">
        <f t="shared" si="5"/>
        <v>2646</v>
      </c>
      <c r="X8" s="52">
        <f t="shared" si="5"/>
        <v>2646</v>
      </c>
      <c r="Y8" s="52">
        <f t="shared" si="5"/>
        <v>2646</v>
      </c>
      <c r="Z8" s="52">
        <f t="shared" si="5"/>
        <v>2646</v>
      </c>
      <c r="AA8" s="52">
        <f t="shared" si="5"/>
        <v>2646</v>
      </c>
      <c r="AB8" s="25"/>
      <c r="AC8" s="52">
        <f t="shared" ref="AC8:AN16" si="6">($C23*$F23*AC$18)+($C23*($G23-$F23)*AC$18/12*AC$19)</f>
        <v>2701.125</v>
      </c>
      <c r="AD8" s="52">
        <f t="shared" si="6"/>
        <v>2756.25</v>
      </c>
      <c r="AE8" s="52">
        <f t="shared" si="6"/>
        <v>2811.375</v>
      </c>
      <c r="AF8" s="52">
        <f t="shared" si="6"/>
        <v>2866.5</v>
      </c>
      <c r="AG8" s="52">
        <f t="shared" si="6"/>
        <v>1623.125</v>
      </c>
      <c r="AH8" s="52">
        <f t="shared" si="6"/>
        <v>1653.75</v>
      </c>
      <c r="AI8" s="52">
        <f t="shared" si="6"/>
        <v>1684.375</v>
      </c>
      <c r="AJ8" s="52">
        <f t="shared" si="6"/>
        <v>3087</v>
      </c>
      <c r="AK8" s="52">
        <f t="shared" si="6"/>
        <v>3142.125</v>
      </c>
      <c r="AL8" s="52">
        <f t="shared" si="6"/>
        <v>3197.25</v>
      </c>
      <c r="AM8" s="52">
        <f t="shared" si="6"/>
        <v>3252.375</v>
      </c>
      <c r="AN8" s="52">
        <f t="shared" si="6"/>
        <v>3307.5</v>
      </c>
    </row>
    <row r="9" spans="1:40" x14ac:dyDescent="0.3">
      <c r="B9" t="s">
        <v>134</v>
      </c>
      <c r="C9" s="52">
        <f t="shared" si="0"/>
        <v>199.5</v>
      </c>
      <c r="D9" s="52">
        <f t="shared" ref="D9:N9" si="7">($C24*D$18)+($C24*($E24-1)*D$18/12*D$19)</f>
        <v>228</v>
      </c>
      <c r="E9" s="52">
        <f t="shared" si="7"/>
        <v>256.5</v>
      </c>
      <c r="F9" s="52">
        <f t="shared" si="7"/>
        <v>285</v>
      </c>
      <c r="G9" s="52">
        <f t="shared" si="7"/>
        <v>174.16666666666669</v>
      </c>
      <c r="H9" s="52">
        <f t="shared" si="7"/>
        <v>190</v>
      </c>
      <c r="I9" s="52">
        <f t="shared" si="7"/>
        <v>205.83333333333334</v>
      </c>
      <c r="J9" s="52">
        <f t="shared" si="7"/>
        <v>399</v>
      </c>
      <c r="K9" s="52">
        <f t="shared" si="7"/>
        <v>427.5</v>
      </c>
      <c r="L9" s="52">
        <f t="shared" si="7"/>
        <v>456</v>
      </c>
      <c r="M9" s="52">
        <f t="shared" si="7"/>
        <v>592.16666666666674</v>
      </c>
      <c r="N9" s="52">
        <f t="shared" si="7"/>
        <v>627</v>
      </c>
      <c r="O9" s="25"/>
      <c r="P9" s="52">
        <f t="shared" si="5"/>
        <v>527.25</v>
      </c>
      <c r="Q9" s="52">
        <f t="shared" si="5"/>
        <v>541.5</v>
      </c>
      <c r="R9" s="52">
        <f t="shared" si="5"/>
        <v>555.75</v>
      </c>
      <c r="S9" s="52">
        <f t="shared" si="5"/>
        <v>570</v>
      </c>
      <c r="T9" s="52">
        <f t="shared" si="5"/>
        <v>324.58333333333331</v>
      </c>
      <c r="U9" s="52">
        <f t="shared" si="5"/>
        <v>332.5</v>
      </c>
      <c r="V9" s="52">
        <f t="shared" si="5"/>
        <v>340.41666666666669</v>
      </c>
      <c r="W9" s="52">
        <f t="shared" si="5"/>
        <v>627</v>
      </c>
      <c r="X9" s="52">
        <f t="shared" si="5"/>
        <v>641.25</v>
      </c>
      <c r="Y9" s="52">
        <f t="shared" si="5"/>
        <v>655.5</v>
      </c>
      <c r="Z9" s="52">
        <f t="shared" si="5"/>
        <v>669.75</v>
      </c>
      <c r="AA9" s="52">
        <f t="shared" si="5"/>
        <v>684</v>
      </c>
      <c r="AB9" s="25"/>
      <c r="AC9" s="52">
        <f t="shared" si="6"/>
        <v>698.25</v>
      </c>
      <c r="AD9" s="52">
        <f t="shared" si="6"/>
        <v>712.5</v>
      </c>
      <c r="AE9" s="52">
        <f t="shared" si="6"/>
        <v>726.75</v>
      </c>
      <c r="AF9" s="52">
        <f t="shared" si="6"/>
        <v>741</v>
      </c>
      <c r="AG9" s="52">
        <f t="shared" si="6"/>
        <v>419.58333333333331</v>
      </c>
      <c r="AH9" s="52">
        <f t="shared" si="6"/>
        <v>427.5</v>
      </c>
      <c r="AI9" s="52">
        <f t="shared" si="6"/>
        <v>435.41666666666669</v>
      </c>
      <c r="AJ9" s="52">
        <f t="shared" si="6"/>
        <v>798</v>
      </c>
      <c r="AK9" s="52">
        <f t="shared" si="6"/>
        <v>812.25</v>
      </c>
      <c r="AL9" s="52">
        <f t="shared" si="6"/>
        <v>826.5</v>
      </c>
      <c r="AM9" s="52">
        <f t="shared" si="6"/>
        <v>840.75</v>
      </c>
      <c r="AN9" s="52">
        <f t="shared" si="6"/>
        <v>855</v>
      </c>
    </row>
    <row r="10" spans="1:40" x14ac:dyDescent="0.3">
      <c r="B10" t="s">
        <v>127</v>
      </c>
      <c r="C10" s="52">
        <f t="shared" si="0"/>
        <v>6720</v>
      </c>
      <c r="D10" s="52">
        <f t="shared" ref="D10:N10" si="8">($C25*D$18)+($C25*($E25-1)*D$18/12*D$19)</f>
        <v>7680</v>
      </c>
      <c r="E10" s="52">
        <f t="shared" si="8"/>
        <v>8640</v>
      </c>
      <c r="F10" s="52">
        <f t="shared" si="8"/>
        <v>9600</v>
      </c>
      <c r="G10" s="52">
        <f t="shared" si="8"/>
        <v>5866.666666666667</v>
      </c>
      <c r="H10" s="52">
        <f t="shared" si="8"/>
        <v>6400</v>
      </c>
      <c r="I10" s="52">
        <f t="shared" si="8"/>
        <v>6933.3333333333339</v>
      </c>
      <c r="J10" s="52">
        <f t="shared" si="8"/>
        <v>13440</v>
      </c>
      <c r="K10" s="52">
        <f t="shared" si="8"/>
        <v>14400</v>
      </c>
      <c r="L10" s="52">
        <f t="shared" si="8"/>
        <v>15360</v>
      </c>
      <c r="M10" s="52">
        <f t="shared" si="8"/>
        <v>19946.666666666664</v>
      </c>
      <c r="N10" s="52">
        <f t="shared" si="8"/>
        <v>21120</v>
      </c>
      <c r="O10" s="25"/>
      <c r="P10" s="52">
        <f t="shared" si="5"/>
        <v>17520</v>
      </c>
      <c r="Q10" s="52">
        <f t="shared" si="5"/>
        <v>17760</v>
      </c>
      <c r="R10" s="52">
        <f t="shared" si="5"/>
        <v>18000</v>
      </c>
      <c r="S10" s="52">
        <f t="shared" si="5"/>
        <v>18240</v>
      </c>
      <c r="T10" s="52">
        <f t="shared" si="5"/>
        <v>10266.666666666666</v>
      </c>
      <c r="U10" s="52">
        <f t="shared" si="5"/>
        <v>10400</v>
      </c>
      <c r="V10" s="52">
        <f t="shared" si="5"/>
        <v>10533.333333333334</v>
      </c>
      <c r="W10" s="52">
        <f t="shared" si="5"/>
        <v>19200</v>
      </c>
      <c r="X10" s="52">
        <f t="shared" si="5"/>
        <v>19440</v>
      </c>
      <c r="Y10" s="52">
        <f t="shared" si="5"/>
        <v>19680</v>
      </c>
      <c r="Z10" s="52">
        <f t="shared" si="5"/>
        <v>19920</v>
      </c>
      <c r="AA10" s="52">
        <f t="shared" si="5"/>
        <v>20160</v>
      </c>
      <c r="AB10" s="25"/>
      <c r="AC10" s="52">
        <f t="shared" si="6"/>
        <v>20400</v>
      </c>
      <c r="AD10" s="52">
        <f t="shared" si="6"/>
        <v>20640</v>
      </c>
      <c r="AE10" s="52">
        <f t="shared" si="6"/>
        <v>20880</v>
      </c>
      <c r="AF10" s="52">
        <f t="shared" si="6"/>
        <v>21120</v>
      </c>
      <c r="AG10" s="52">
        <f t="shared" si="6"/>
        <v>11866.666666666666</v>
      </c>
      <c r="AH10" s="52">
        <f t="shared" si="6"/>
        <v>12000</v>
      </c>
      <c r="AI10" s="52">
        <f t="shared" si="6"/>
        <v>12133.333333333334</v>
      </c>
      <c r="AJ10" s="52">
        <f t="shared" si="6"/>
        <v>22080</v>
      </c>
      <c r="AK10" s="52">
        <f t="shared" si="6"/>
        <v>22320</v>
      </c>
      <c r="AL10" s="52">
        <f t="shared" si="6"/>
        <v>22560</v>
      </c>
      <c r="AM10" s="52">
        <f t="shared" si="6"/>
        <v>22800</v>
      </c>
      <c r="AN10" s="52">
        <f t="shared" si="6"/>
        <v>23040</v>
      </c>
    </row>
    <row r="11" spans="1:40" x14ac:dyDescent="0.3">
      <c r="A11" s="2"/>
      <c r="B11" t="s">
        <v>128</v>
      </c>
      <c r="C11" s="52">
        <f t="shared" si="0"/>
        <v>2636.25</v>
      </c>
      <c r="D11" s="52">
        <f t="shared" ref="D11:N11" si="9">($C26*D$18)+($C26*($E26-1)*D$18/12*D$19)</f>
        <v>3607.5</v>
      </c>
      <c r="E11" s="52">
        <f t="shared" si="9"/>
        <v>4578.75</v>
      </c>
      <c r="F11" s="52">
        <f t="shared" si="9"/>
        <v>5550</v>
      </c>
      <c r="G11" s="52">
        <f t="shared" si="9"/>
        <v>3622.916666666667</v>
      </c>
      <c r="H11" s="52">
        <f t="shared" si="9"/>
        <v>4162.5</v>
      </c>
      <c r="I11" s="52">
        <f t="shared" si="9"/>
        <v>4702.0833333333339</v>
      </c>
      <c r="J11" s="52">
        <f t="shared" si="9"/>
        <v>9435</v>
      </c>
      <c r="K11" s="52">
        <f t="shared" si="9"/>
        <v>10406.25</v>
      </c>
      <c r="L11" s="52">
        <f t="shared" si="9"/>
        <v>11377.5</v>
      </c>
      <c r="M11" s="52">
        <f t="shared" si="9"/>
        <v>15092.916666666666</v>
      </c>
      <c r="N11" s="52">
        <f t="shared" si="9"/>
        <v>16280</v>
      </c>
      <c r="O11" s="25"/>
      <c r="P11" s="52">
        <f t="shared" si="5"/>
        <v>13320</v>
      </c>
      <c r="Q11" s="52">
        <f t="shared" si="5"/>
        <v>13320</v>
      </c>
      <c r="R11" s="52">
        <f t="shared" si="5"/>
        <v>13320</v>
      </c>
      <c r="S11" s="52">
        <f t="shared" si="5"/>
        <v>13320</v>
      </c>
      <c r="T11" s="52">
        <f t="shared" si="5"/>
        <v>7400</v>
      </c>
      <c r="U11" s="52">
        <f t="shared" si="5"/>
        <v>7400</v>
      </c>
      <c r="V11" s="52">
        <f t="shared" si="5"/>
        <v>7400</v>
      </c>
      <c r="W11" s="52">
        <f t="shared" si="5"/>
        <v>13320</v>
      </c>
      <c r="X11" s="52">
        <f t="shared" si="5"/>
        <v>13320</v>
      </c>
      <c r="Y11" s="52">
        <f t="shared" si="5"/>
        <v>13320</v>
      </c>
      <c r="Z11" s="52">
        <f t="shared" si="5"/>
        <v>13320</v>
      </c>
      <c r="AA11" s="52">
        <f t="shared" si="5"/>
        <v>13320</v>
      </c>
      <c r="AB11" s="25"/>
      <c r="AC11" s="52">
        <f t="shared" si="6"/>
        <v>13320</v>
      </c>
      <c r="AD11" s="52">
        <f t="shared" si="6"/>
        <v>13320</v>
      </c>
      <c r="AE11" s="52">
        <f t="shared" si="6"/>
        <v>13320</v>
      </c>
      <c r="AF11" s="52">
        <f t="shared" si="6"/>
        <v>13320</v>
      </c>
      <c r="AG11" s="52">
        <f t="shared" si="6"/>
        <v>7400</v>
      </c>
      <c r="AH11" s="52">
        <f t="shared" si="6"/>
        <v>7400</v>
      </c>
      <c r="AI11" s="52">
        <f t="shared" si="6"/>
        <v>7400</v>
      </c>
      <c r="AJ11" s="52">
        <f t="shared" si="6"/>
        <v>13320</v>
      </c>
      <c r="AK11" s="52">
        <f t="shared" si="6"/>
        <v>13320</v>
      </c>
      <c r="AL11" s="52">
        <f t="shared" si="6"/>
        <v>13320</v>
      </c>
      <c r="AM11" s="52">
        <f t="shared" si="6"/>
        <v>13320</v>
      </c>
      <c r="AN11" s="52">
        <f t="shared" si="6"/>
        <v>13320</v>
      </c>
    </row>
    <row r="12" spans="1:40" x14ac:dyDescent="0.3">
      <c r="B12" t="s">
        <v>129</v>
      </c>
      <c r="C12" s="52">
        <f t="shared" si="0"/>
        <v>238.5</v>
      </c>
      <c r="D12" s="52">
        <f t="shared" ref="D12:N12" si="10">($C27*D$18)+($C27*($E27-1)*D$18/12*D$19)</f>
        <v>238.5</v>
      </c>
      <c r="E12" s="52">
        <f t="shared" si="10"/>
        <v>238.5</v>
      </c>
      <c r="F12" s="52">
        <f t="shared" si="10"/>
        <v>238.5</v>
      </c>
      <c r="G12" s="52">
        <f t="shared" si="10"/>
        <v>132.5</v>
      </c>
      <c r="H12" s="52">
        <f t="shared" si="10"/>
        <v>132.5</v>
      </c>
      <c r="I12" s="52">
        <f t="shared" si="10"/>
        <v>132.5</v>
      </c>
      <c r="J12" s="52">
        <f t="shared" si="10"/>
        <v>238.5</v>
      </c>
      <c r="K12" s="52">
        <f t="shared" si="10"/>
        <v>238.5</v>
      </c>
      <c r="L12" s="52">
        <f t="shared" si="10"/>
        <v>238.5</v>
      </c>
      <c r="M12" s="52">
        <f t="shared" si="10"/>
        <v>291.5</v>
      </c>
      <c r="N12" s="52">
        <f t="shared" si="10"/>
        <v>291.5</v>
      </c>
      <c r="O12" s="25"/>
      <c r="P12" s="52">
        <f t="shared" si="5"/>
        <v>258.375</v>
      </c>
      <c r="Q12" s="52">
        <f t="shared" si="5"/>
        <v>278.25</v>
      </c>
      <c r="R12" s="52">
        <f t="shared" si="5"/>
        <v>298.125</v>
      </c>
      <c r="S12" s="52">
        <f t="shared" si="5"/>
        <v>318</v>
      </c>
      <c r="T12" s="52">
        <f t="shared" si="5"/>
        <v>187.70833333333331</v>
      </c>
      <c r="U12" s="52">
        <f t="shared" si="5"/>
        <v>198.75</v>
      </c>
      <c r="V12" s="52">
        <f t="shared" si="5"/>
        <v>209.79166666666666</v>
      </c>
      <c r="W12" s="52">
        <f t="shared" si="5"/>
        <v>397.5</v>
      </c>
      <c r="X12" s="52">
        <f t="shared" si="5"/>
        <v>417.375</v>
      </c>
      <c r="Y12" s="52">
        <f t="shared" si="5"/>
        <v>437.25</v>
      </c>
      <c r="Z12" s="52">
        <f t="shared" si="5"/>
        <v>457.125</v>
      </c>
      <c r="AA12" s="52">
        <f t="shared" si="5"/>
        <v>477</v>
      </c>
      <c r="AB12" s="25"/>
      <c r="AC12" s="52">
        <f t="shared" si="6"/>
        <v>477</v>
      </c>
      <c r="AD12" s="52">
        <f t="shared" si="6"/>
        <v>477</v>
      </c>
      <c r="AE12" s="52">
        <f t="shared" si="6"/>
        <v>477</v>
      </c>
      <c r="AF12" s="52">
        <f t="shared" si="6"/>
        <v>477</v>
      </c>
      <c r="AG12" s="52">
        <f t="shared" si="6"/>
        <v>265</v>
      </c>
      <c r="AH12" s="52">
        <f t="shared" si="6"/>
        <v>265</v>
      </c>
      <c r="AI12" s="52">
        <f t="shared" si="6"/>
        <v>265</v>
      </c>
      <c r="AJ12" s="52">
        <f t="shared" si="6"/>
        <v>477</v>
      </c>
      <c r="AK12" s="52">
        <f t="shared" si="6"/>
        <v>477</v>
      </c>
      <c r="AL12" s="52">
        <f t="shared" si="6"/>
        <v>477</v>
      </c>
      <c r="AM12" s="52">
        <f t="shared" si="6"/>
        <v>477</v>
      </c>
      <c r="AN12" s="52">
        <f t="shared" si="6"/>
        <v>477</v>
      </c>
    </row>
    <row r="13" spans="1:40" x14ac:dyDescent="0.3">
      <c r="C13" s="52"/>
      <c r="D13" s="52"/>
      <c r="E13" s="52"/>
      <c r="F13" s="52"/>
      <c r="G13" s="52"/>
      <c r="H13" s="52"/>
      <c r="I13" s="52"/>
      <c r="J13" s="52"/>
      <c r="K13" s="52"/>
      <c r="L13" s="52"/>
      <c r="M13" s="52"/>
      <c r="N13" s="52"/>
      <c r="O13" s="25"/>
      <c r="P13" s="52"/>
      <c r="Q13" s="52"/>
      <c r="R13" s="52"/>
      <c r="S13" s="52"/>
      <c r="T13" s="52"/>
      <c r="U13" s="52"/>
      <c r="V13" s="52"/>
      <c r="W13" s="52"/>
      <c r="X13" s="52"/>
      <c r="Y13" s="52"/>
      <c r="Z13" s="52"/>
      <c r="AA13" s="52"/>
      <c r="AB13" s="25"/>
      <c r="AC13" s="52"/>
      <c r="AD13" s="16"/>
      <c r="AE13" s="16"/>
      <c r="AF13" s="16"/>
      <c r="AG13" s="16"/>
      <c r="AH13" s="16"/>
      <c r="AI13" s="16"/>
      <c r="AJ13" s="16"/>
      <c r="AK13" s="16"/>
      <c r="AL13" s="16"/>
      <c r="AM13" s="16"/>
      <c r="AN13" s="16"/>
    </row>
    <row r="14" spans="1:40" x14ac:dyDescent="0.3">
      <c r="B14" t="s">
        <v>130</v>
      </c>
      <c r="C14" s="52">
        <f t="shared" ref="C14:N14" si="11">($C29*C$18)+($C29*($E29-1)*C$18/12*C$19)</f>
        <v>1350</v>
      </c>
      <c r="D14" s="52">
        <f t="shared" si="11"/>
        <v>1350</v>
      </c>
      <c r="E14" s="52">
        <f t="shared" si="11"/>
        <v>1350</v>
      </c>
      <c r="F14" s="52">
        <f t="shared" si="11"/>
        <v>1350</v>
      </c>
      <c r="G14" s="52">
        <f t="shared" si="11"/>
        <v>750</v>
      </c>
      <c r="H14" s="52">
        <f t="shared" si="11"/>
        <v>750</v>
      </c>
      <c r="I14" s="52">
        <f t="shared" si="11"/>
        <v>750</v>
      </c>
      <c r="J14" s="52">
        <f t="shared" si="11"/>
        <v>1350</v>
      </c>
      <c r="K14" s="52">
        <f t="shared" si="11"/>
        <v>1350</v>
      </c>
      <c r="L14" s="52">
        <f t="shared" si="11"/>
        <v>1350</v>
      </c>
      <c r="M14" s="52">
        <f t="shared" si="11"/>
        <v>1650</v>
      </c>
      <c r="N14" s="52">
        <f t="shared" si="11"/>
        <v>1650</v>
      </c>
      <c r="O14" s="25"/>
      <c r="P14" s="52">
        <f t="shared" si="5"/>
        <v>1406.25</v>
      </c>
      <c r="Q14" s="52">
        <f t="shared" si="5"/>
        <v>1462.5</v>
      </c>
      <c r="R14" s="52">
        <f t="shared" si="5"/>
        <v>1518.75</v>
      </c>
      <c r="S14" s="52">
        <f t="shared" si="5"/>
        <v>1575</v>
      </c>
      <c r="T14" s="52">
        <f t="shared" si="5"/>
        <v>906.25</v>
      </c>
      <c r="U14" s="52">
        <f t="shared" si="5"/>
        <v>937.5</v>
      </c>
      <c r="V14" s="52">
        <f t="shared" si="5"/>
        <v>968.75</v>
      </c>
      <c r="W14" s="52">
        <f t="shared" si="5"/>
        <v>1800</v>
      </c>
      <c r="X14" s="52">
        <f t="shared" si="5"/>
        <v>1856.25</v>
      </c>
      <c r="Y14" s="52">
        <f t="shared" si="5"/>
        <v>1912.5</v>
      </c>
      <c r="Z14" s="52">
        <f t="shared" si="5"/>
        <v>1968.75</v>
      </c>
      <c r="AA14" s="52">
        <f t="shared" si="5"/>
        <v>2025</v>
      </c>
      <c r="AB14" s="25"/>
      <c r="AC14" s="52">
        <f t="shared" si="6"/>
        <v>2081.25</v>
      </c>
      <c r="AD14" s="52">
        <f t="shared" ref="AD14:AN14" si="12">($C29*$F29*AD$18)+($C29*($G29-$F29)*AD$18/12*AD$19)</f>
        <v>2137.5</v>
      </c>
      <c r="AE14" s="52">
        <f t="shared" si="12"/>
        <v>2193.75</v>
      </c>
      <c r="AF14" s="52">
        <f t="shared" si="12"/>
        <v>2250</v>
      </c>
      <c r="AG14" s="52">
        <f t="shared" si="12"/>
        <v>1281.25</v>
      </c>
      <c r="AH14" s="52">
        <f t="shared" si="12"/>
        <v>1312.5</v>
      </c>
      <c r="AI14" s="52">
        <f t="shared" si="12"/>
        <v>1343.75</v>
      </c>
      <c r="AJ14" s="52">
        <f t="shared" si="12"/>
        <v>2475</v>
      </c>
      <c r="AK14" s="52">
        <f t="shared" si="12"/>
        <v>2531.25</v>
      </c>
      <c r="AL14" s="52">
        <f t="shared" si="12"/>
        <v>2587.5</v>
      </c>
      <c r="AM14" s="52">
        <f t="shared" si="12"/>
        <v>2643.75</v>
      </c>
      <c r="AN14" s="52">
        <f t="shared" si="12"/>
        <v>2700</v>
      </c>
    </row>
    <row r="15" spans="1:40" x14ac:dyDescent="0.3">
      <c r="B15" t="s">
        <v>131</v>
      </c>
      <c r="C15" s="52">
        <f t="shared" ref="C15:N15" si="13">($C30*C$18)+($C30*($E30-1)*C$18/12*C$19)</f>
        <v>900</v>
      </c>
      <c r="D15" s="52">
        <f t="shared" si="13"/>
        <v>900</v>
      </c>
      <c r="E15" s="52">
        <f t="shared" si="13"/>
        <v>900</v>
      </c>
      <c r="F15" s="52">
        <f t="shared" si="13"/>
        <v>900</v>
      </c>
      <c r="G15" s="52">
        <f t="shared" si="13"/>
        <v>500</v>
      </c>
      <c r="H15" s="52">
        <f t="shared" si="13"/>
        <v>500</v>
      </c>
      <c r="I15" s="52">
        <f t="shared" si="13"/>
        <v>500</v>
      </c>
      <c r="J15" s="52">
        <f t="shared" si="13"/>
        <v>900</v>
      </c>
      <c r="K15" s="52">
        <f t="shared" si="13"/>
        <v>900</v>
      </c>
      <c r="L15" s="52">
        <f t="shared" si="13"/>
        <v>900</v>
      </c>
      <c r="M15" s="52">
        <f t="shared" si="13"/>
        <v>1100</v>
      </c>
      <c r="N15" s="52">
        <f t="shared" si="13"/>
        <v>1100</v>
      </c>
      <c r="O15" s="25"/>
      <c r="P15" s="52">
        <f t="shared" si="5"/>
        <v>949.5</v>
      </c>
      <c r="Q15" s="52">
        <f t="shared" si="5"/>
        <v>999</v>
      </c>
      <c r="R15" s="52">
        <f t="shared" si="5"/>
        <v>1048.5</v>
      </c>
      <c r="S15" s="52">
        <f t="shared" si="5"/>
        <v>1098</v>
      </c>
      <c r="T15" s="52">
        <f t="shared" si="5"/>
        <v>637.5</v>
      </c>
      <c r="U15" s="52">
        <f t="shared" si="5"/>
        <v>665</v>
      </c>
      <c r="V15" s="52">
        <f t="shared" si="5"/>
        <v>692.5</v>
      </c>
      <c r="W15" s="52">
        <f t="shared" si="5"/>
        <v>1296</v>
      </c>
      <c r="X15" s="52">
        <f t="shared" si="5"/>
        <v>1345.5</v>
      </c>
      <c r="Y15" s="52">
        <f t="shared" si="5"/>
        <v>1395</v>
      </c>
      <c r="Z15" s="52">
        <f t="shared" si="5"/>
        <v>1444.5</v>
      </c>
      <c r="AA15" s="52">
        <f t="shared" si="5"/>
        <v>1494</v>
      </c>
      <c r="AB15" s="25"/>
      <c r="AC15" s="52">
        <f t="shared" si="6"/>
        <v>1519.5</v>
      </c>
      <c r="AD15" s="52">
        <f t="shared" ref="AD15:AN15" si="14">($C30*$F30*AD$18)+($C30*($G30-$F30)*AD$18/12*AD$19)</f>
        <v>1545</v>
      </c>
      <c r="AE15" s="52">
        <f t="shared" si="14"/>
        <v>1570.5</v>
      </c>
      <c r="AF15" s="52">
        <f t="shared" si="14"/>
        <v>1596</v>
      </c>
      <c r="AG15" s="52">
        <f t="shared" si="14"/>
        <v>900.83333333333337</v>
      </c>
      <c r="AH15" s="52">
        <f t="shared" si="14"/>
        <v>915</v>
      </c>
      <c r="AI15" s="52">
        <f t="shared" si="14"/>
        <v>929.16666666666674</v>
      </c>
      <c r="AJ15" s="52">
        <f t="shared" si="14"/>
        <v>1698</v>
      </c>
      <c r="AK15" s="52">
        <f t="shared" si="14"/>
        <v>1723.5</v>
      </c>
      <c r="AL15" s="52">
        <f t="shared" si="14"/>
        <v>1749</v>
      </c>
      <c r="AM15" s="52">
        <f t="shared" si="14"/>
        <v>1774.5</v>
      </c>
      <c r="AN15" s="52">
        <f t="shared" si="14"/>
        <v>1800</v>
      </c>
    </row>
    <row r="16" spans="1:40" x14ac:dyDescent="0.3">
      <c r="A16" s="2"/>
      <c r="B16" t="s">
        <v>132</v>
      </c>
      <c r="C16" s="52">
        <f t="shared" ref="C16:N16" si="15">($C31*C$18)+($C31*($E31-1)*C$18/12*C$19)</f>
        <v>450</v>
      </c>
      <c r="D16" s="52">
        <f t="shared" si="15"/>
        <v>450</v>
      </c>
      <c r="E16" s="52">
        <f t="shared" si="15"/>
        <v>450</v>
      </c>
      <c r="F16" s="52">
        <f t="shared" si="15"/>
        <v>450</v>
      </c>
      <c r="G16" s="52">
        <f t="shared" si="15"/>
        <v>250</v>
      </c>
      <c r="H16" s="52">
        <f t="shared" si="15"/>
        <v>250</v>
      </c>
      <c r="I16" s="52">
        <f t="shared" si="15"/>
        <v>250</v>
      </c>
      <c r="J16" s="52">
        <f t="shared" si="15"/>
        <v>450</v>
      </c>
      <c r="K16" s="52">
        <f t="shared" si="15"/>
        <v>450</v>
      </c>
      <c r="L16" s="52">
        <f t="shared" si="15"/>
        <v>450</v>
      </c>
      <c r="M16" s="52">
        <f t="shared" si="15"/>
        <v>550</v>
      </c>
      <c r="N16" s="52">
        <f t="shared" si="15"/>
        <v>550</v>
      </c>
      <c r="O16" s="25"/>
      <c r="P16" s="52">
        <f t="shared" si="5"/>
        <v>487.5</v>
      </c>
      <c r="Q16" s="52">
        <f t="shared" si="5"/>
        <v>525</v>
      </c>
      <c r="R16" s="52">
        <f t="shared" si="5"/>
        <v>562.5</v>
      </c>
      <c r="S16" s="52">
        <f t="shared" si="5"/>
        <v>600</v>
      </c>
      <c r="T16" s="52">
        <f t="shared" si="5"/>
        <v>354.16666666666663</v>
      </c>
      <c r="U16" s="52">
        <f t="shared" si="5"/>
        <v>375</v>
      </c>
      <c r="V16" s="52">
        <f t="shared" si="5"/>
        <v>395.83333333333331</v>
      </c>
      <c r="W16" s="52">
        <f t="shared" si="5"/>
        <v>750</v>
      </c>
      <c r="X16" s="52">
        <f t="shared" si="5"/>
        <v>787.5</v>
      </c>
      <c r="Y16" s="52">
        <f t="shared" si="5"/>
        <v>825</v>
      </c>
      <c r="Z16" s="52">
        <f t="shared" si="5"/>
        <v>862.5</v>
      </c>
      <c r="AA16" s="52">
        <f t="shared" si="5"/>
        <v>900</v>
      </c>
      <c r="AB16" s="25"/>
      <c r="AC16" s="52">
        <f t="shared" si="6"/>
        <v>937.5</v>
      </c>
      <c r="AD16" s="52">
        <f t="shared" ref="AD16:AN16" si="16">($C31*$F31*AD$18)+($C31*($G31-$F31)*AD$18/12*AD$19)</f>
        <v>975</v>
      </c>
      <c r="AE16" s="52">
        <f t="shared" si="16"/>
        <v>1012.5</v>
      </c>
      <c r="AF16" s="52">
        <f t="shared" si="16"/>
        <v>1050</v>
      </c>
      <c r="AG16" s="52">
        <f t="shared" si="16"/>
        <v>604.16666666666663</v>
      </c>
      <c r="AH16" s="52">
        <f t="shared" si="16"/>
        <v>625</v>
      </c>
      <c r="AI16" s="52">
        <f t="shared" si="16"/>
        <v>645.83333333333326</v>
      </c>
      <c r="AJ16" s="52">
        <f t="shared" si="16"/>
        <v>1200</v>
      </c>
      <c r="AK16" s="52">
        <f t="shared" si="16"/>
        <v>1237.5</v>
      </c>
      <c r="AL16" s="52">
        <f t="shared" si="16"/>
        <v>1275</v>
      </c>
      <c r="AM16" s="52">
        <f t="shared" si="16"/>
        <v>1312.5</v>
      </c>
      <c r="AN16" s="52">
        <f t="shared" si="16"/>
        <v>1350</v>
      </c>
    </row>
    <row r="17" spans="2:40" x14ac:dyDescent="0.3">
      <c r="B17" s="3" t="s">
        <v>133</v>
      </c>
      <c r="C17" s="53">
        <f>SUM(C7:C16)</f>
        <v>17415</v>
      </c>
      <c r="D17" s="53">
        <f t="shared" ref="D17:N17" si="17">SUM(D7:D16)</f>
        <v>19624.5</v>
      </c>
      <c r="E17" s="53">
        <f t="shared" si="17"/>
        <v>21834</v>
      </c>
      <c r="F17" s="53">
        <f t="shared" si="17"/>
        <v>24043.5</v>
      </c>
      <c r="G17" s="53">
        <f t="shared" si="17"/>
        <v>14585</v>
      </c>
      <c r="H17" s="53">
        <f t="shared" si="17"/>
        <v>15812.5</v>
      </c>
      <c r="I17" s="53">
        <f t="shared" si="17"/>
        <v>17040</v>
      </c>
      <c r="J17" s="53">
        <f t="shared" si="17"/>
        <v>32881.5</v>
      </c>
      <c r="K17" s="53">
        <f t="shared" si="17"/>
        <v>35091</v>
      </c>
      <c r="L17" s="53">
        <f t="shared" si="17"/>
        <v>37300.5</v>
      </c>
      <c r="M17" s="53">
        <f t="shared" si="17"/>
        <v>48289.999999999993</v>
      </c>
      <c r="N17" s="53">
        <f t="shared" si="17"/>
        <v>50990.5</v>
      </c>
      <c r="O17" s="53"/>
      <c r="P17" s="53">
        <f t="shared" ref="P17:AA17" si="18">SUM(P7:P16)</f>
        <v>42415.875</v>
      </c>
      <c r="Q17" s="53">
        <f t="shared" si="18"/>
        <v>43112.25</v>
      </c>
      <c r="R17" s="53">
        <f t="shared" si="18"/>
        <v>43808.625</v>
      </c>
      <c r="S17" s="53">
        <f t="shared" si="18"/>
        <v>44505</v>
      </c>
      <c r="T17" s="53">
        <f t="shared" si="18"/>
        <v>25111.875</v>
      </c>
      <c r="U17" s="53">
        <f t="shared" si="18"/>
        <v>25498.75</v>
      </c>
      <c r="V17" s="53">
        <f t="shared" si="18"/>
        <v>25885.625</v>
      </c>
      <c r="W17" s="53">
        <f t="shared" si="18"/>
        <v>47290.5</v>
      </c>
      <c r="X17" s="53">
        <f t="shared" si="18"/>
        <v>47986.875</v>
      </c>
      <c r="Y17" s="53">
        <f t="shared" si="18"/>
        <v>48683.25</v>
      </c>
      <c r="Z17" s="53">
        <f t="shared" si="18"/>
        <v>49379.625</v>
      </c>
      <c r="AA17" s="53">
        <f t="shared" si="18"/>
        <v>50076</v>
      </c>
      <c r="AB17" s="53"/>
      <c r="AC17" s="53">
        <f t="shared" ref="AC17:AN17" si="19">SUM(AC7:AC16)</f>
        <v>50644.125</v>
      </c>
      <c r="AD17" s="53">
        <f t="shared" si="19"/>
        <v>51212.25</v>
      </c>
      <c r="AE17" s="53">
        <f t="shared" si="19"/>
        <v>51780.375</v>
      </c>
      <c r="AF17" s="53">
        <f t="shared" si="19"/>
        <v>52348.5</v>
      </c>
      <c r="AG17" s="53">
        <f t="shared" si="19"/>
        <v>29398.125</v>
      </c>
      <c r="AH17" s="53">
        <f t="shared" si="19"/>
        <v>29713.75</v>
      </c>
      <c r="AI17" s="53">
        <f t="shared" si="19"/>
        <v>30029.375</v>
      </c>
      <c r="AJ17" s="53">
        <f t="shared" si="19"/>
        <v>54621</v>
      </c>
      <c r="AK17" s="53">
        <f t="shared" si="19"/>
        <v>55189.125</v>
      </c>
      <c r="AL17" s="53">
        <f t="shared" si="19"/>
        <v>55757.25</v>
      </c>
      <c r="AM17" s="53">
        <f t="shared" si="19"/>
        <v>56325.375</v>
      </c>
      <c r="AN17" s="53">
        <f t="shared" si="19"/>
        <v>56893.5</v>
      </c>
    </row>
    <row r="18" spans="2:40" x14ac:dyDescent="0.3">
      <c r="C18" s="54">
        <v>0.09</v>
      </c>
      <c r="D18" s="54">
        <v>0.09</v>
      </c>
      <c r="E18" s="54">
        <v>0.09</v>
      </c>
      <c r="F18" s="54">
        <v>0.09</v>
      </c>
      <c r="G18" s="54">
        <v>0.05</v>
      </c>
      <c r="H18" s="54">
        <v>0.05</v>
      </c>
      <c r="I18" s="54">
        <v>0.05</v>
      </c>
      <c r="J18" s="54">
        <v>0.09</v>
      </c>
      <c r="K18" s="54">
        <v>0.09</v>
      </c>
      <c r="L18" s="54">
        <v>0.09</v>
      </c>
      <c r="M18" s="54">
        <v>0.11</v>
      </c>
      <c r="N18" s="54">
        <v>0.11</v>
      </c>
      <c r="O18" s="25"/>
      <c r="P18" s="54">
        <v>0.09</v>
      </c>
      <c r="Q18" s="54">
        <v>0.09</v>
      </c>
      <c r="R18" s="54">
        <v>0.09</v>
      </c>
      <c r="S18" s="54">
        <v>0.09</v>
      </c>
      <c r="T18" s="54">
        <v>0.05</v>
      </c>
      <c r="U18" s="54">
        <v>0.05</v>
      </c>
      <c r="V18" s="54">
        <v>0.05</v>
      </c>
      <c r="W18" s="54">
        <v>0.09</v>
      </c>
      <c r="X18" s="54">
        <v>0.09</v>
      </c>
      <c r="Y18" s="54">
        <v>0.09</v>
      </c>
      <c r="Z18" s="54">
        <v>0.09</v>
      </c>
      <c r="AA18" s="54">
        <v>0.09</v>
      </c>
      <c r="AB18" s="25"/>
      <c r="AC18" s="54">
        <v>0.09</v>
      </c>
      <c r="AD18" s="54">
        <v>0.09</v>
      </c>
      <c r="AE18" s="54">
        <v>0.09</v>
      </c>
      <c r="AF18" s="54">
        <v>0.09</v>
      </c>
      <c r="AG18" s="54">
        <v>0.05</v>
      </c>
      <c r="AH18" s="54">
        <v>0.05</v>
      </c>
      <c r="AI18" s="54">
        <v>0.05</v>
      </c>
      <c r="AJ18" s="54">
        <v>0.09</v>
      </c>
      <c r="AK18" s="54">
        <v>0.09</v>
      </c>
      <c r="AL18" s="54">
        <v>0.09</v>
      </c>
      <c r="AM18" s="54">
        <v>0.09</v>
      </c>
      <c r="AN18" s="54">
        <v>0.09</v>
      </c>
    </row>
    <row r="19" spans="2:40" x14ac:dyDescent="0.3">
      <c r="C19" s="25">
        <v>1</v>
      </c>
      <c r="D19" s="25">
        <v>2</v>
      </c>
      <c r="E19" s="25">
        <v>3</v>
      </c>
      <c r="F19" s="25">
        <v>4</v>
      </c>
      <c r="G19" s="25">
        <v>5</v>
      </c>
      <c r="H19" s="25">
        <v>6</v>
      </c>
      <c r="I19" s="25">
        <v>7</v>
      </c>
      <c r="J19" s="25">
        <v>8</v>
      </c>
      <c r="K19" s="25">
        <v>9</v>
      </c>
      <c r="L19" s="25">
        <v>10</v>
      </c>
      <c r="M19" s="25">
        <v>11</v>
      </c>
      <c r="N19" s="25">
        <v>12</v>
      </c>
      <c r="O19" s="25"/>
      <c r="P19" s="16">
        <v>1</v>
      </c>
      <c r="Q19" s="16">
        <v>2</v>
      </c>
      <c r="R19" s="16">
        <v>3</v>
      </c>
      <c r="S19" s="16">
        <v>4</v>
      </c>
      <c r="T19" s="16">
        <v>5</v>
      </c>
      <c r="U19" s="16">
        <v>6</v>
      </c>
      <c r="V19" s="16">
        <v>7</v>
      </c>
      <c r="W19" s="16">
        <v>8</v>
      </c>
      <c r="X19" s="16">
        <v>9</v>
      </c>
      <c r="Y19" s="16">
        <v>10</v>
      </c>
      <c r="Z19" s="16">
        <v>11</v>
      </c>
      <c r="AA19" s="16">
        <v>12</v>
      </c>
      <c r="AB19" s="25"/>
      <c r="AC19" s="16">
        <v>1</v>
      </c>
      <c r="AD19" s="16">
        <v>2</v>
      </c>
      <c r="AE19" s="16">
        <v>3</v>
      </c>
      <c r="AF19" s="16">
        <v>4</v>
      </c>
      <c r="AG19" s="16">
        <v>5</v>
      </c>
      <c r="AH19" s="16">
        <v>6</v>
      </c>
      <c r="AI19" s="16">
        <v>7</v>
      </c>
      <c r="AJ19" s="16">
        <v>8</v>
      </c>
      <c r="AK19" s="16">
        <v>9</v>
      </c>
      <c r="AL19" s="16">
        <v>10</v>
      </c>
      <c r="AM19" s="16">
        <v>11</v>
      </c>
      <c r="AN19" s="16">
        <v>12</v>
      </c>
    </row>
    <row r="20" spans="2:40" x14ac:dyDescent="0.3">
      <c r="C20" s="25"/>
      <c r="D20" s="25"/>
      <c r="E20" s="25"/>
      <c r="F20" s="25"/>
      <c r="G20" s="25"/>
      <c r="H20" s="25"/>
      <c r="I20" s="25"/>
      <c r="J20" s="25"/>
      <c r="K20" s="25"/>
      <c r="L20" s="25"/>
      <c r="M20" s="25"/>
      <c r="N20" s="25"/>
      <c r="O20" s="25"/>
      <c r="P20" s="16"/>
      <c r="Q20" s="16"/>
      <c r="R20" s="16"/>
      <c r="S20" s="16"/>
      <c r="T20" s="16"/>
      <c r="U20" s="16"/>
      <c r="V20" s="16"/>
      <c r="W20" s="16"/>
      <c r="X20" s="16"/>
      <c r="Y20" s="16"/>
      <c r="Z20" s="16"/>
      <c r="AA20" s="16"/>
      <c r="AB20" s="25"/>
      <c r="AC20" s="16"/>
      <c r="AD20" s="16"/>
      <c r="AE20" s="16"/>
      <c r="AF20" s="16"/>
      <c r="AG20" s="16"/>
      <c r="AH20" s="16"/>
      <c r="AI20" s="16"/>
      <c r="AJ20" s="16"/>
      <c r="AK20" s="16"/>
      <c r="AL20" s="16"/>
      <c r="AM20" s="16"/>
      <c r="AN20" s="16"/>
    </row>
    <row r="21" spans="2:40" x14ac:dyDescent="0.3">
      <c r="C21" s="51" t="s">
        <v>142</v>
      </c>
      <c r="D21" s="51" t="s">
        <v>138</v>
      </c>
      <c r="E21" s="51" t="s">
        <v>139</v>
      </c>
      <c r="F21" s="51" t="s">
        <v>140</v>
      </c>
      <c r="G21" s="51" t="s">
        <v>141</v>
      </c>
      <c r="K21" s="51" t="s">
        <v>135</v>
      </c>
      <c r="L21" s="51" t="s">
        <v>136</v>
      </c>
      <c r="M21" s="51" t="s">
        <v>137</v>
      </c>
    </row>
    <row r="22" spans="2:40" x14ac:dyDescent="0.3">
      <c r="B22" t="s">
        <v>125</v>
      </c>
      <c r="C22" s="1">
        <v>37200</v>
      </c>
      <c r="D22" s="1">
        <v>1</v>
      </c>
      <c r="E22" s="1">
        <v>1.5</v>
      </c>
      <c r="F22" s="1">
        <v>2.5</v>
      </c>
      <c r="G22" s="1">
        <v>3</v>
      </c>
      <c r="J22" s="3" t="s">
        <v>133</v>
      </c>
      <c r="K22" s="42">
        <f>SUM(C17:N17)</f>
        <v>334908</v>
      </c>
      <c r="L22" s="42">
        <f>SUM(P17:AA17)</f>
        <v>493754.25</v>
      </c>
      <c r="M22" s="42">
        <f>SUM(AC17:AN17)</f>
        <v>573912.75</v>
      </c>
    </row>
    <row r="23" spans="2:40" x14ac:dyDescent="0.3">
      <c r="B23" t="s">
        <v>126</v>
      </c>
      <c r="C23" s="1">
        <v>14700</v>
      </c>
      <c r="D23" s="1">
        <v>1</v>
      </c>
      <c r="E23" s="1">
        <v>2</v>
      </c>
      <c r="F23" s="1">
        <v>2</v>
      </c>
      <c r="G23" s="1">
        <v>2.5</v>
      </c>
    </row>
    <row r="24" spans="2:40" x14ac:dyDescent="0.3">
      <c r="B24" t="s">
        <v>134</v>
      </c>
      <c r="C24" s="1">
        <v>1900</v>
      </c>
      <c r="D24" s="1">
        <v>0</v>
      </c>
      <c r="E24" s="1">
        <v>3</v>
      </c>
      <c r="F24" s="1">
        <v>4</v>
      </c>
      <c r="G24" s="1">
        <v>5</v>
      </c>
    </row>
    <row r="25" spans="2:40" x14ac:dyDescent="0.3">
      <c r="B25" t="s">
        <v>127</v>
      </c>
      <c r="C25" s="1">
        <v>64000</v>
      </c>
      <c r="D25" s="1">
        <v>1</v>
      </c>
      <c r="E25" s="1">
        <v>3</v>
      </c>
      <c r="F25" s="1">
        <v>3.5</v>
      </c>
      <c r="G25" s="1">
        <v>4</v>
      </c>
    </row>
    <row r="26" spans="2:40" x14ac:dyDescent="0.3">
      <c r="B26" t="s">
        <v>128</v>
      </c>
      <c r="C26" s="1">
        <v>18500</v>
      </c>
      <c r="D26" s="1">
        <v>1</v>
      </c>
      <c r="E26" s="1">
        <v>8</v>
      </c>
      <c r="F26" s="1">
        <v>8</v>
      </c>
      <c r="G26" s="1">
        <v>8</v>
      </c>
    </row>
    <row r="27" spans="2:40" x14ac:dyDescent="0.3">
      <c r="B27" t="s">
        <v>129</v>
      </c>
      <c r="C27" s="1">
        <v>2650</v>
      </c>
      <c r="D27" s="1"/>
      <c r="E27" s="1">
        <v>1</v>
      </c>
      <c r="F27" s="1">
        <v>2</v>
      </c>
      <c r="G27" s="1">
        <v>2</v>
      </c>
    </row>
    <row r="28" spans="2:40" x14ac:dyDescent="0.3">
      <c r="C28" s="25"/>
      <c r="D28" s="25"/>
      <c r="E28" s="25"/>
      <c r="F28" s="25"/>
      <c r="G28" s="25"/>
    </row>
    <row r="29" spans="2:40" x14ac:dyDescent="0.3">
      <c r="B29" t="s">
        <v>130</v>
      </c>
      <c r="C29" s="1">
        <v>15000</v>
      </c>
      <c r="D29" s="1">
        <v>0</v>
      </c>
      <c r="E29" s="1">
        <v>1</v>
      </c>
      <c r="F29" s="1">
        <v>1.5</v>
      </c>
      <c r="G29" s="1">
        <v>2</v>
      </c>
    </row>
    <row r="30" spans="2:40" x14ac:dyDescent="0.3">
      <c r="B30" t="s">
        <v>131</v>
      </c>
      <c r="C30" s="1">
        <v>10000</v>
      </c>
      <c r="D30" s="1">
        <v>0</v>
      </c>
      <c r="E30" s="1">
        <v>1</v>
      </c>
      <c r="F30" s="1">
        <v>1.66</v>
      </c>
      <c r="G30" s="1">
        <v>2</v>
      </c>
    </row>
    <row r="31" spans="2:40" x14ac:dyDescent="0.3">
      <c r="B31" t="s">
        <v>132</v>
      </c>
      <c r="C31" s="1">
        <v>5000</v>
      </c>
      <c r="D31" s="1">
        <v>0</v>
      </c>
      <c r="E31" s="1">
        <v>1</v>
      </c>
      <c r="F31" s="1">
        <v>2</v>
      </c>
      <c r="G31" s="1">
        <v>3</v>
      </c>
    </row>
  </sheetData>
  <mergeCells count="3">
    <mergeCell ref="C4:N4"/>
    <mergeCell ref="P4:AA4"/>
    <mergeCell ref="AC4:AN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N31"/>
  <sheetViews>
    <sheetView workbookViewId="0">
      <pane xSplit="2" ySplit="5" topLeftCell="C6" activePane="bottomRight" state="frozen"/>
      <selection pane="topRight" activeCell="C1" sqref="C1"/>
      <selection pane="bottomLeft" activeCell="A6" sqref="A6"/>
      <selection pane="bottomRight" activeCell="H22" sqref="H22"/>
    </sheetView>
  </sheetViews>
  <sheetFormatPr defaultColWidth="8.88671875" defaultRowHeight="14.4" x14ac:dyDescent="0.3"/>
  <cols>
    <col min="1" max="1" width="2.44140625" customWidth="1"/>
    <col min="2" max="2" width="22" customWidth="1"/>
    <col min="6" max="14" width="10.109375" bestFit="1" customWidth="1"/>
    <col min="29" max="29" width="9.33203125" bestFit="1" customWidth="1"/>
    <col min="30" max="40" width="10.109375" bestFit="1" customWidth="1"/>
  </cols>
  <sheetData>
    <row r="1" spans="1:40" ht="18" x14ac:dyDescent="0.35">
      <c r="A1" s="4">
        <f>KeyInputs!F14</f>
        <v>0</v>
      </c>
    </row>
    <row r="2" spans="1:40" ht="18" x14ac:dyDescent="0.35">
      <c r="A2" s="4" t="s">
        <v>144</v>
      </c>
    </row>
    <row r="4" spans="1:40" x14ac:dyDescent="0.3">
      <c r="C4" s="336">
        <f>KeyInputs!F17</f>
        <v>42005</v>
      </c>
      <c r="D4" s="337"/>
      <c r="E4" s="337"/>
      <c r="F4" s="337"/>
      <c r="G4" s="337"/>
      <c r="H4" s="337"/>
      <c r="I4" s="337"/>
      <c r="J4" s="337"/>
      <c r="K4" s="337"/>
      <c r="L4" s="337"/>
      <c r="M4" s="337"/>
      <c r="N4" s="338"/>
      <c r="P4" s="336">
        <f>KeyInputs!F17+1</f>
        <v>42006</v>
      </c>
      <c r="Q4" s="337"/>
      <c r="R4" s="337"/>
      <c r="S4" s="337"/>
      <c r="T4" s="337"/>
      <c r="U4" s="337"/>
      <c r="V4" s="337"/>
      <c r="W4" s="337"/>
      <c r="X4" s="337"/>
      <c r="Y4" s="337"/>
      <c r="Z4" s="337"/>
      <c r="AA4" s="338"/>
      <c r="AC4" s="336">
        <f>KeyInputs!F17+2</f>
        <v>42007</v>
      </c>
      <c r="AD4" s="337"/>
      <c r="AE4" s="337"/>
      <c r="AF4" s="337"/>
      <c r="AG4" s="337"/>
      <c r="AH4" s="337"/>
      <c r="AI4" s="337"/>
      <c r="AJ4" s="337"/>
      <c r="AK4" s="337"/>
      <c r="AL4" s="337"/>
      <c r="AM4" s="337"/>
      <c r="AN4" s="338"/>
    </row>
    <row r="5" spans="1:40" x14ac:dyDescent="0.3">
      <c r="C5" s="31" t="e">
        <f>KeyInputs!#REF!</f>
        <v>#REF!</v>
      </c>
      <c r="D5" s="32" t="e">
        <f ca="1">OFFSET(Worksheet!$A$14,,(HLOOKUP(KeyInputs!#REF!,Worksheet!$A$14:$L$15,2,FALSE)))</f>
        <v>#REF!</v>
      </c>
      <c r="E5" s="32" t="e">
        <f ca="1">OFFSET(Worksheet!$A$14,,(HLOOKUP(KeyInputs!#REF!,Worksheet!$A$14:$L$15,2,FALSE))+Worksheet!A15)</f>
        <v>#REF!</v>
      </c>
      <c r="F5" s="32" t="e">
        <f ca="1">OFFSET(Worksheet!$A$14,,(HLOOKUP(KeyInputs!#REF!,Worksheet!$A$14:$L$15,2,FALSE))+Worksheet!B15)</f>
        <v>#REF!</v>
      </c>
      <c r="G5" s="32" t="e">
        <f ca="1">OFFSET(Worksheet!$A$14,,(HLOOKUP(KeyInputs!#REF!,Worksheet!$A$14:$L$15,2,FALSE))+Worksheet!C15)</f>
        <v>#REF!</v>
      </c>
      <c r="H5" s="32" t="e">
        <f ca="1">OFFSET(Worksheet!$A$14,,(HLOOKUP(KeyInputs!#REF!,Worksheet!$A$14:$L$15,2,FALSE))+Worksheet!D15)</f>
        <v>#REF!</v>
      </c>
      <c r="I5" s="32" t="e">
        <f ca="1">OFFSET(Worksheet!$A$14,,(HLOOKUP(KeyInputs!#REF!,Worksheet!$A$14:$L$15,2,FALSE))+Worksheet!E15)</f>
        <v>#REF!</v>
      </c>
      <c r="J5" s="32" t="e">
        <f ca="1">OFFSET(Worksheet!$A$14,,(HLOOKUP(KeyInputs!#REF!,Worksheet!$A$14:$L$15,2,FALSE))+Worksheet!F15)</f>
        <v>#REF!</v>
      </c>
      <c r="K5" s="32" t="e">
        <f ca="1">OFFSET(Worksheet!$A$14,,(HLOOKUP(KeyInputs!#REF!,Worksheet!$A$14:$L$15,2,FALSE))+Worksheet!G15)</f>
        <v>#REF!</v>
      </c>
      <c r="L5" s="32" t="e">
        <f ca="1">OFFSET(Worksheet!$A$14,,(HLOOKUP(KeyInputs!#REF!,Worksheet!$A$14:$L$15,2,FALSE))+Worksheet!H15)</f>
        <v>#REF!</v>
      </c>
      <c r="M5" s="32" t="e">
        <f ca="1">OFFSET(Worksheet!$A$14,,(HLOOKUP(KeyInputs!#REF!,Worksheet!$A$14:$L$15,2,FALSE))+Worksheet!I15)</f>
        <v>#REF!</v>
      </c>
      <c r="N5" s="32" t="e">
        <f ca="1">OFFSET(Worksheet!$A$14,,(HLOOKUP(KeyInputs!#REF!,Worksheet!$A$14:$L$15,2,FALSE))+Worksheet!J15)</f>
        <v>#REF!</v>
      </c>
      <c r="P5" s="31" t="e">
        <f>KeyInputs!#REF!</f>
        <v>#REF!</v>
      </c>
      <c r="Q5" s="32" t="e">
        <f ca="1">OFFSET(Worksheet!$A$14,,(HLOOKUP(KeyInputs!#REF!,Worksheet!$A$14:$L$15,2,FALSE)))</f>
        <v>#REF!</v>
      </c>
      <c r="R5" s="32" t="e">
        <f ca="1">OFFSET(Worksheet!$A$14,,(HLOOKUP(KeyInputs!#REF!,Worksheet!$A$14:$L$15,2,FALSE))+Worksheet!A15)</f>
        <v>#REF!</v>
      </c>
      <c r="S5" s="32" t="e">
        <f ca="1">OFFSET(Worksheet!$A$14,,(HLOOKUP(KeyInputs!#REF!,Worksheet!$A$14:$L$15,2,FALSE))+Worksheet!B15)</f>
        <v>#REF!</v>
      </c>
      <c r="T5" s="32" t="e">
        <f ca="1">OFFSET(Worksheet!$A$14,,(HLOOKUP(KeyInputs!#REF!,Worksheet!$A$14:$L$15,2,FALSE))+Worksheet!C15)</f>
        <v>#REF!</v>
      </c>
      <c r="U5" s="32" t="e">
        <f ca="1">OFFSET(Worksheet!$A$14,,(HLOOKUP(KeyInputs!#REF!,Worksheet!$A$14:$L$15,2,FALSE))+Worksheet!D15)</f>
        <v>#REF!</v>
      </c>
      <c r="V5" s="32" t="e">
        <f ca="1">OFFSET(Worksheet!$A$14,,(HLOOKUP(KeyInputs!#REF!,Worksheet!$A$14:$L$15,2,FALSE))+Worksheet!E15)</f>
        <v>#REF!</v>
      </c>
      <c r="W5" s="32" t="e">
        <f ca="1">OFFSET(Worksheet!$A$14,,(HLOOKUP(KeyInputs!#REF!,Worksheet!$A$14:$L$15,2,FALSE))+Worksheet!F15)</f>
        <v>#REF!</v>
      </c>
      <c r="X5" s="32" t="e">
        <f ca="1">OFFSET(Worksheet!$A$14,,(HLOOKUP(KeyInputs!#REF!,Worksheet!$A$14:$L$15,2,FALSE))+Worksheet!G15)</f>
        <v>#REF!</v>
      </c>
      <c r="Y5" s="32" t="e">
        <f ca="1">OFFSET(Worksheet!$A$14,,(HLOOKUP(KeyInputs!#REF!,Worksheet!$A$14:$L$15,2,FALSE))+Worksheet!H15)</f>
        <v>#REF!</v>
      </c>
      <c r="Z5" s="32" t="e">
        <f ca="1">OFFSET(Worksheet!$A$14,,(HLOOKUP(KeyInputs!#REF!,Worksheet!$A$14:$L$15,2,FALSE))+Worksheet!I15)</f>
        <v>#REF!</v>
      </c>
      <c r="AA5" s="32" t="e">
        <f ca="1">OFFSET(Worksheet!$A$14,,(HLOOKUP(KeyInputs!#REF!,Worksheet!$A$14:$L$15,2,FALSE))+Worksheet!J15)</f>
        <v>#REF!</v>
      </c>
      <c r="AC5" s="31" t="e">
        <f>KeyInputs!#REF!</f>
        <v>#REF!</v>
      </c>
      <c r="AD5" s="32" t="e">
        <f ca="1">OFFSET(Worksheet!$A$14,,(HLOOKUP(KeyInputs!#REF!,Worksheet!$A$14:$L$15,2,FALSE)))</f>
        <v>#REF!</v>
      </c>
      <c r="AE5" s="32" t="e">
        <f ca="1">OFFSET(Worksheet!$A$14,,(HLOOKUP(KeyInputs!#REF!,Worksheet!$A$14:$L$15,2,FALSE))+Worksheet!A15)</f>
        <v>#REF!</v>
      </c>
      <c r="AF5" s="32" t="e">
        <f ca="1">OFFSET(Worksheet!$A$14,,(HLOOKUP(KeyInputs!#REF!,Worksheet!$A$14:$L$15,2,FALSE))+Worksheet!B15)</f>
        <v>#REF!</v>
      </c>
      <c r="AG5" s="32" t="e">
        <f ca="1">OFFSET(Worksheet!$A$14,,(HLOOKUP(KeyInputs!#REF!,Worksheet!$A$14:$L$15,2,FALSE))+Worksheet!C15)</f>
        <v>#REF!</v>
      </c>
      <c r="AH5" s="32" t="e">
        <f ca="1">OFFSET(Worksheet!$A$14,,(HLOOKUP(KeyInputs!#REF!,Worksheet!$A$14:$L$15,2,FALSE))+Worksheet!D15)</f>
        <v>#REF!</v>
      </c>
      <c r="AI5" s="32" t="e">
        <f ca="1">OFFSET(Worksheet!$A$14,,(HLOOKUP(KeyInputs!#REF!,Worksheet!$A$14:$L$15,2,FALSE))+Worksheet!E15)</f>
        <v>#REF!</v>
      </c>
      <c r="AJ5" s="32" t="e">
        <f ca="1">OFFSET(Worksheet!$A$14,,(HLOOKUP(KeyInputs!#REF!,Worksheet!$A$14:$L$15,2,FALSE))+Worksheet!F15)</f>
        <v>#REF!</v>
      </c>
      <c r="AK5" s="32" t="e">
        <f ca="1">OFFSET(Worksheet!$A$14,,(HLOOKUP(KeyInputs!#REF!,Worksheet!$A$14:$L$15,2,FALSE))+Worksheet!G15)</f>
        <v>#REF!</v>
      </c>
      <c r="AL5" s="32" t="e">
        <f ca="1">OFFSET(Worksheet!$A$14,,(HLOOKUP(KeyInputs!#REF!,Worksheet!$A$14:$L$15,2,FALSE))+Worksheet!H15)</f>
        <v>#REF!</v>
      </c>
      <c r="AM5" s="32" t="e">
        <f ca="1">OFFSET(Worksheet!$A$14,,(HLOOKUP(KeyInputs!#REF!,Worksheet!$A$14:$L$15,2,FALSE))+Worksheet!I15)</f>
        <v>#REF!</v>
      </c>
      <c r="AN5" s="32" t="e">
        <f ca="1">OFFSET(Worksheet!$A$14,,(HLOOKUP(KeyInputs!#REF!,Worksheet!$A$14:$L$15,2,FALSE))+Worksheet!J15)</f>
        <v>#REF!</v>
      </c>
    </row>
    <row r="6" spans="1:40" x14ac:dyDescent="0.3">
      <c r="A6" s="2"/>
    </row>
    <row r="7" spans="1:40" x14ac:dyDescent="0.3">
      <c r="B7" t="s">
        <v>125</v>
      </c>
      <c r="C7" s="52">
        <f t="shared" ref="C7:N12" si="0">($C22*C$18)+($C22*($E22-1)*C$18/12*C$19)</f>
        <v>1350</v>
      </c>
      <c r="D7" s="52">
        <f t="shared" ref="D7:N7" si="1">($C$22*D18)+($C$22*($E$22-1)*D18/12*D19)</f>
        <v>1350</v>
      </c>
      <c r="E7" s="52">
        <f t="shared" si="1"/>
        <v>1350</v>
      </c>
      <c r="F7" s="52">
        <f t="shared" si="1"/>
        <v>1350</v>
      </c>
      <c r="G7" s="52">
        <f t="shared" si="1"/>
        <v>750</v>
      </c>
      <c r="H7" s="52">
        <f t="shared" si="1"/>
        <v>750</v>
      </c>
      <c r="I7" s="52">
        <f t="shared" si="1"/>
        <v>750</v>
      </c>
      <c r="J7" s="52">
        <f t="shared" si="1"/>
        <v>1350</v>
      </c>
      <c r="K7" s="52">
        <f t="shared" si="1"/>
        <v>1350</v>
      </c>
      <c r="L7" s="52">
        <f t="shared" si="1"/>
        <v>1350</v>
      </c>
      <c r="M7" s="52">
        <f t="shared" si="1"/>
        <v>1650</v>
      </c>
      <c r="N7" s="52">
        <f t="shared" si="1"/>
        <v>1650</v>
      </c>
      <c r="O7" s="27"/>
      <c r="P7" s="52">
        <f>($C22*$E22*P$18)+($C22*($F22-$E22)*P$18/12*P$19)</f>
        <v>1462.5</v>
      </c>
      <c r="Q7" s="52">
        <f t="shared" ref="Q7:AA7" si="2">($C22*$E22*Q$18)+($C22*($F22-$E22)*Q$18/12*Q$19)</f>
        <v>1575</v>
      </c>
      <c r="R7" s="52">
        <f t="shared" si="2"/>
        <v>1687.5</v>
      </c>
      <c r="S7" s="52">
        <f t="shared" si="2"/>
        <v>1800</v>
      </c>
      <c r="T7" s="52">
        <f t="shared" si="2"/>
        <v>1062.5</v>
      </c>
      <c r="U7" s="52">
        <f t="shared" si="2"/>
        <v>1125</v>
      </c>
      <c r="V7" s="52">
        <f t="shared" si="2"/>
        <v>1187.5</v>
      </c>
      <c r="W7" s="52">
        <f t="shared" si="2"/>
        <v>2250</v>
      </c>
      <c r="X7" s="52">
        <f t="shared" si="2"/>
        <v>2362.5</v>
      </c>
      <c r="Y7" s="52">
        <f t="shared" si="2"/>
        <v>2475</v>
      </c>
      <c r="Z7" s="52">
        <f t="shared" si="2"/>
        <v>2587.5</v>
      </c>
      <c r="AA7" s="52">
        <f t="shared" si="2"/>
        <v>2700</v>
      </c>
      <c r="AB7" s="27"/>
      <c r="AC7" s="52">
        <f>($C22*$F22*AC$18)+($C22*($G22-$F22)*AC$18/12*AC$19)</f>
        <v>2812.5</v>
      </c>
      <c r="AD7" s="52">
        <f t="shared" ref="AD7:AN7" si="3">($C22*$F22*AD$18)+($C22*($G22-$F22)*AD$18/12*AD$19)</f>
        <v>2925</v>
      </c>
      <c r="AE7" s="52">
        <f t="shared" si="3"/>
        <v>3037.5</v>
      </c>
      <c r="AF7" s="52">
        <f t="shared" si="3"/>
        <v>3150</v>
      </c>
      <c r="AG7" s="52">
        <f t="shared" si="3"/>
        <v>1812.5</v>
      </c>
      <c r="AH7" s="52">
        <f t="shared" si="3"/>
        <v>1875</v>
      </c>
      <c r="AI7" s="52">
        <f t="shared" si="3"/>
        <v>1937.5</v>
      </c>
      <c r="AJ7" s="52">
        <f t="shared" si="3"/>
        <v>3600</v>
      </c>
      <c r="AK7" s="52">
        <f t="shared" si="3"/>
        <v>3712.5</v>
      </c>
      <c r="AL7" s="52">
        <f t="shared" si="3"/>
        <v>3825</v>
      </c>
      <c r="AM7" s="52">
        <f t="shared" si="3"/>
        <v>3937.5</v>
      </c>
      <c r="AN7" s="52">
        <f t="shared" si="3"/>
        <v>4050</v>
      </c>
    </row>
    <row r="8" spans="1:40" x14ac:dyDescent="0.3">
      <c r="B8" t="s">
        <v>126</v>
      </c>
      <c r="C8" s="52">
        <f t="shared" si="0"/>
        <v>540</v>
      </c>
      <c r="D8" s="52">
        <f t="shared" si="0"/>
        <v>540</v>
      </c>
      <c r="E8" s="52">
        <f t="shared" si="0"/>
        <v>540</v>
      </c>
      <c r="F8" s="52">
        <f t="shared" si="0"/>
        <v>540</v>
      </c>
      <c r="G8" s="52">
        <f t="shared" si="0"/>
        <v>300</v>
      </c>
      <c r="H8" s="52">
        <f t="shared" si="0"/>
        <v>300</v>
      </c>
      <c r="I8" s="52">
        <f t="shared" si="0"/>
        <v>300</v>
      </c>
      <c r="J8" s="52">
        <f t="shared" si="0"/>
        <v>540</v>
      </c>
      <c r="K8" s="52">
        <f t="shared" si="0"/>
        <v>540</v>
      </c>
      <c r="L8" s="52">
        <f t="shared" si="0"/>
        <v>540</v>
      </c>
      <c r="M8" s="52">
        <f t="shared" si="0"/>
        <v>660</v>
      </c>
      <c r="N8" s="52">
        <f t="shared" si="0"/>
        <v>660</v>
      </c>
      <c r="O8" s="25"/>
      <c r="P8" s="52">
        <f t="shared" ref="P8:AA16" si="4">($C23*$E23*P$18)+($C23*($F23-$E23)*P$18/12*P$19)</f>
        <v>585</v>
      </c>
      <c r="Q8" s="52">
        <f t="shared" si="4"/>
        <v>630</v>
      </c>
      <c r="R8" s="52">
        <f t="shared" si="4"/>
        <v>675</v>
      </c>
      <c r="S8" s="52">
        <f t="shared" si="4"/>
        <v>720</v>
      </c>
      <c r="T8" s="52">
        <f t="shared" si="4"/>
        <v>425</v>
      </c>
      <c r="U8" s="52">
        <f t="shared" si="4"/>
        <v>450</v>
      </c>
      <c r="V8" s="52">
        <f t="shared" si="4"/>
        <v>475</v>
      </c>
      <c r="W8" s="52">
        <f t="shared" si="4"/>
        <v>900</v>
      </c>
      <c r="X8" s="52">
        <f t="shared" si="4"/>
        <v>945</v>
      </c>
      <c r="Y8" s="52">
        <f t="shared" si="4"/>
        <v>990</v>
      </c>
      <c r="Z8" s="52">
        <f t="shared" si="4"/>
        <v>1035</v>
      </c>
      <c r="AA8" s="52">
        <f t="shared" si="4"/>
        <v>1080</v>
      </c>
      <c r="AB8" s="25"/>
      <c r="AC8" s="52">
        <f t="shared" ref="AC8:AN16" si="5">($C23*$F23*AC$18)+($C23*($G23-$F23)*AC$18/12*AC$19)</f>
        <v>1170</v>
      </c>
      <c r="AD8" s="52">
        <f t="shared" si="5"/>
        <v>1260</v>
      </c>
      <c r="AE8" s="52">
        <f t="shared" si="5"/>
        <v>1350</v>
      </c>
      <c r="AF8" s="52">
        <f t="shared" si="5"/>
        <v>1440</v>
      </c>
      <c r="AG8" s="52">
        <f t="shared" si="5"/>
        <v>850</v>
      </c>
      <c r="AH8" s="52">
        <f t="shared" si="5"/>
        <v>900</v>
      </c>
      <c r="AI8" s="52">
        <f t="shared" si="5"/>
        <v>950</v>
      </c>
      <c r="AJ8" s="52">
        <f t="shared" si="5"/>
        <v>1800</v>
      </c>
      <c r="AK8" s="52">
        <f t="shared" si="5"/>
        <v>1890</v>
      </c>
      <c r="AL8" s="52">
        <f t="shared" si="5"/>
        <v>1980</v>
      </c>
      <c r="AM8" s="52">
        <f t="shared" si="5"/>
        <v>2070</v>
      </c>
      <c r="AN8" s="52">
        <f t="shared" si="5"/>
        <v>2160</v>
      </c>
    </row>
    <row r="9" spans="1:40" x14ac:dyDescent="0.3">
      <c r="B9" t="s">
        <v>134</v>
      </c>
      <c r="C9" s="52">
        <f t="shared" si="0"/>
        <v>90</v>
      </c>
      <c r="D9" s="52">
        <f t="shared" si="0"/>
        <v>90</v>
      </c>
      <c r="E9" s="52">
        <f t="shared" si="0"/>
        <v>90</v>
      </c>
      <c r="F9" s="52">
        <f t="shared" si="0"/>
        <v>90</v>
      </c>
      <c r="G9" s="52">
        <f t="shared" si="0"/>
        <v>50</v>
      </c>
      <c r="H9" s="52">
        <f t="shared" si="0"/>
        <v>50</v>
      </c>
      <c r="I9" s="52">
        <f t="shared" si="0"/>
        <v>50</v>
      </c>
      <c r="J9" s="52">
        <f t="shared" si="0"/>
        <v>90</v>
      </c>
      <c r="K9" s="52">
        <f t="shared" si="0"/>
        <v>90</v>
      </c>
      <c r="L9" s="52">
        <f t="shared" si="0"/>
        <v>90</v>
      </c>
      <c r="M9" s="52">
        <f t="shared" si="0"/>
        <v>110</v>
      </c>
      <c r="N9" s="52">
        <f t="shared" si="0"/>
        <v>110</v>
      </c>
      <c r="O9" s="25"/>
      <c r="P9" s="52">
        <f t="shared" si="4"/>
        <v>105</v>
      </c>
      <c r="Q9" s="52">
        <f t="shared" si="4"/>
        <v>120</v>
      </c>
      <c r="R9" s="52">
        <f t="shared" si="4"/>
        <v>135</v>
      </c>
      <c r="S9" s="52">
        <f t="shared" si="4"/>
        <v>150</v>
      </c>
      <c r="T9" s="52">
        <f t="shared" si="4"/>
        <v>91.666666666666671</v>
      </c>
      <c r="U9" s="52">
        <f t="shared" si="4"/>
        <v>100</v>
      </c>
      <c r="V9" s="52">
        <f t="shared" si="4"/>
        <v>108.33333333333334</v>
      </c>
      <c r="W9" s="52">
        <f t="shared" si="4"/>
        <v>210</v>
      </c>
      <c r="X9" s="52">
        <f t="shared" si="4"/>
        <v>225</v>
      </c>
      <c r="Y9" s="52">
        <f t="shared" si="4"/>
        <v>240</v>
      </c>
      <c r="Z9" s="52">
        <f t="shared" si="4"/>
        <v>255</v>
      </c>
      <c r="AA9" s="52">
        <f t="shared" si="4"/>
        <v>270</v>
      </c>
      <c r="AB9" s="25"/>
      <c r="AC9" s="52">
        <f t="shared" si="5"/>
        <v>277.5</v>
      </c>
      <c r="AD9" s="52">
        <f t="shared" si="5"/>
        <v>285</v>
      </c>
      <c r="AE9" s="52">
        <f t="shared" si="5"/>
        <v>292.5</v>
      </c>
      <c r="AF9" s="52">
        <f t="shared" si="5"/>
        <v>300</v>
      </c>
      <c r="AG9" s="52">
        <f t="shared" si="5"/>
        <v>170.83333333333334</v>
      </c>
      <c r="AH9" s="52">
        <f t="shared" si="5"/>
        <v>175</v>
      </c>
      <c r="AI9" s="52">
        <f t="shared" si="5"/>
        <v>179.16666666666666</v>
      </c>
      <c r="AJ9" s="52">
        <f t="shared" si="5"/>
        <v>330</v>
      </c>
      <c r="AK9" s="52">
        <f t="shared" si="5"/>
        <v>337.5</v>
      </c>
      <c r="AL9" s="52">
        <f t="shared" si="5"/>
        <v>345</v>
      </c>
      <c r="AM9" s="52">
        <f t="shared" si="5"/>
        <v>352.5</v>
      </c>
      <c r="AN9" s="52">
        <f t="shared" si="5"/>
        <v>360</v>
      </c>
    </row>
    <row r="10" spans="1:40" x14ac:dyDescent="0.3">
      <c r="B10" t="s">
        <v>127</v>
      </c>
      <c r="C10" s="52">
        <f t="shared" si="0"/>
        <v>2700</v>
      </c>
      <c r="D10" s="52">
        <f t="shared" si="0"/>
        <v>2700</v>
      </c>
      <c r="E10" s="52">
        <f t="shared" si="0"/>
        <v>2700</v>
      </c>
      <c r="F10" s="52">
        <f t="shared" si="0"/>
        <v>2700</v>
      </c>
      <c r="G10" s="52">
        <f t="shared" si="0"/>
        <v>1500</v>
      </c>
      <c r="H10" s="52">
        <f t="shared" si="0"/>
        <v>1500</v>
      </c>
      <c r="I10" s="52">
        <f t="shared" si="0"/>
        <v>1500</v>
      </c>
      <c r="J10" s="52">
        <f t="shared" si="0"/>
        <v>2700</v>
      </c>
      <c r="K10" s="52">
        <f t="shared" si="0"/>
        <v>2700</v>
      </c>
      <c r="L10" s="52">
        <f t="shared" si="0"/>
        <v>2700</v>
      </c>
      <c r="M10" s="52">
        <f t="shared" si="0"/>
        <v>3300</v>
      </c>
      <c r="N10" s="52">
        <f t="shared" si="0"/>
        <v>3300</v>
      </c>
      <c r="O10" s="25"/>
      <c r="P10" s="52">
        <f t="shared" si="4"/>
        <v>3150</v>
      </c>
      <c r="Q10" s="52">
        <f t="shared" si="4"/>
        <v>3600</v>
      </c>
      <c r="R10" s="52">
        <f t="shared" si="4"/>
        <v>4050</v>
      </c>
      <c r="S10" s="52">
        <f t="shared" si="4"/>
        <v>4500</v>
      </c>
      <c r="T10" s="52">
        <f t="shared" si="4"/>
        <v>2750</v>
      </c>
      <c r="U10" s="52">
        <f t="shared" si="4"/>
        <v>3000</v>
      </c>
      <c r="V10" s="52">
        <f t="shared" si="4"/>
        <v>3250</v>
      </c>
      <c r="W10" s="52">
        <f t="shared" si="4"/>
        <v>6300</v>
      </c>
      <c r="X10" s="52">
        <f t="shared" si="4"/>
        <v>6750</v>
      </c>
      <c r="Y10" s="52">
        <f t="shared" si="4"/>
        <v>7200</v>
      </c>
      <c r="Z10" s="52">
        <f t="shared" si="4"/>
        <v>7650</v>
      </c>
      <c r="AA10" s="52">
        <f t="shared" si="4"/>
        <v>8100</v>
      </c>
      <c r="AB10" s="25"/>
      <c r="AC10" s="52">
        <f t="shared" si="5"/>
        <v>8550</v>
      </c>
      <c r="AD10" s="52">
        <f t="shared" si="5"/>
        <v>9000</v>
      </c>
      <c r="AE10" s="52">
        <f t="shared" si="5"/>
        <v>9450</v>
      </c>
      <c r="AF10" s="52">
        <f t="shared" si="5"/>
        <v>9900</v>
      </c>
      <c r="AG10" s="52">
        <f t="shared" si="5"/>
        <v>5750</v>
      </c>
      <c r="AH10" s="52">
        <f t="shared" si="5"/>
        <v>6000</v>
      </c>
      <c r="AI10" s="52">
        <f t="shared" si="5"/>
        <v>6250</v>
      </c>
      <c r="AJ10" s="52">
        <f t="shared" si="5"/>
        <v>11700</v>
      </c>
      <c r="AK10" s="52">
        <f t="shared" si="5"/>
        <v>12150</v>
      </c>
      <c r="AL10" s="52">
        <f t="shared" si="5"/>
        <v>12600</v>
      </c>
      <c r="AM10" s="52">
        <f t="shared" si="5"/>
        <v>13050</v>
      </c>
      <c r="AN10" s="52">
        <f t="shared" si="5"/>
        <v>13500</v>
      </c>
    </row>
    <row r="11" spans="1:40" x14ac:dyDescent="0.3">
      <c r="A11" s="2"/>
      <c r="B11" t="s">
        <v>128</v>
      </c>
      <c r="C11" s="52">
        <f t="shared" si="0"/>
        <v>540</v>
      </c>
      <c r="D11" s="52">
        <f t="shared" si="0"/>
        <v>540</v>
      </c>
      <c r="E11" s="52">
        <f t="shared" si="0"/>
        <v>540</v>
      </c>
      <c r="F11" s="52">
        <f t="shared" si="0"/>
        <v>540</v>
      </c>
      <c r="G11" s="52">
        <f t="shared" si="0"/>
        <v>300</v>
      </c>
      <c r="H11" s="52">
        <f t="shared" si="0"/>
        <v>300</v>
      </c>
      <c r="I11" s="52">
        <f t="shared" si="0"/>
        <v>300</v>
      </c>
      <c r="J11" s="52">
        <f t="shared" si="0"/>
        <v>540</v>
      </c>
      <c r="K11" s="52">
        <f t="shared" si="0"/>
        <v>540</v>
      </c>
      <c r="L11" s="52">
        <f t="shared" si="0"/>
        <v>540</v>
      </c>
      <c r="M11" s="52">
        <f t="shared" si="0"/>
        <v>660</v>
      </c>
      <c r="N11" s="52">
        <f t="shared" si="0"/>
        <v>660</v>
      </c>
      <c r="O11" s="25"/>
      <c r="P11" s="52">
        <f t="shared" si="4"/>
        <v>675</v>
      </c>
      <c r="Q11" s="52">
        <f t="shared" si="4"/>
        <v>810</v>
      </c>
      <c r="R11" s="52">
        <f t="shared" si="4"/>
        <v>945</v>
      </c>
      <c r="S11" s="52">
        <f t="shared" si="4"/>
        <v>1080</v>
      </c>
      <c r="T11" s="52">
        <f t="shared" si="4"/>
        <v>675</v>
      </c>
      <c r="U11" s="52">
        <f t="shared" si="4"/>
        <v>750</v>
      </c>
      <c r="V11" s="52">
        <f t="shared" si="4"/>
        <v>825</v>
      </c>
      <c r="W11" s="52">
        <f t="shared" si="4"/>
        <v>1620</v>
      </c>
      <c r="X11" s="52">
        <f t="shared" si="4"/>
        <v>1755</v>
      </c>
      <c r="Y11" s="52">
        <f t="shared" si="4"/>
        <v>1890</v>
      </c>
      <c r="Z11" s="52">
        <f t="shared" si="4"/>
        <v>2025</v>
      </c>
      <c r="AA11" s="52">
        <f t="shared" si="4"/>
        <v>2160</v>
      </c>
      <c r="AB11" s="25"/>
      <c r="AC11" s="52">
        <f t="shared" si="5"/>
        <v>2160</v>
      </c>
      <c r="AD11" s="52">
        <f t="shared" si="5"/>
        <v>2160</v>
      </c>
      <c r="AE11" s="52">
        <f t="shared" si="5"/>
        <v>2160</v>
      </c>
      <c r="AF11" s="52">
        <f t="shared" si="5"/>
        <v>2160</v>
      </c>
      <c r="AG11" s="52">
        <f t="shared" si="5"/>
        <v>1200</v>
      </c>
      <c r="AH11" s="52">
        <f t="shared" si="5"/>
        <v>1200</v>
      </c>
      <c r="AI11" s="52">
        <f t="shared" si="5"/>
        <v>1200</v>
      </c>
      <c r="AJ11" s="52">
        <f t="shared" si="5"/>
        <v>2160</v>
      </c>
      <c r="AK11" s="52">
        <f t="shared" si="5"/>
        <v>2160</v>
      </c>
      <c r="AL11" s="52">
        <f t="shared" si="5"/>
        <v>2160</v>
      </c>
      <c r="AM11" s="52">
        <f t="shared" si="5"/>
        <v>2160</v>
      </c>
      <c r="AN11" s="52">
        <f t="shared" si="5"/>
        <v>2160</v>
      </c>
    </row>
    <row r="12" spans="1:40" x14ac:dyDescent="0.3">
      <c r="B12" t="s">
        <v>129</v>
      </c>
      <c r="C12" s="52">
        <f t="shared" si="0"/>
        <v>0</v>
      </c>
      <c r="D12" s="52">
        <f t="shared" si="0"/>
        <v>0</v>
      </c>
      <c r="E12" s="52">
        <f t="shared" si="0"/>
        <v>0</v>
      </c>
      <c r="F12" s="52">
        <f t="shared" si="0"/>
        <v>0</v>
      </c>
      <c r="G12" s="52">
        <f t="shared" si="0"/>
        <v>0</v>
      </c>
      <c r="H12" s="52">
        <f t="shared" si="0"/>
        <v>0</v>
      </c>
      <c r="I12" s="52">
        <f t="shared" si="0"/>
        <v>0</v>
      </c>
      <c r="J12" s="52">
        <f t="shared" si="0"/>
        <v>0</v>
      </c>
      <c r="K12" s="52">
        <f t="shared" si="0"/>
        <v>0</v>
      </c>
      <c r="L12" s="52">
        <f t="shared" si="0"/>
        <v>0</v>
      </c>
      <c r="M12" s="52">
        <f t="shared" si="0"/>
        <v>0</v>
      </c>
      <c r="N12" s="52">
        <f t="shared" si="0"/>
        <v>0</v>
      </c>
      <c r="O12" s="25"/>
      <c r="P12" s="52">
        <f t="shared" si="4"/>
        <v>0</v>
      </c>
      <c r="Q12" s="52">
        <f t="shared" si="4"/>
        <v>0</v>
      </c>
      <c r="R12" s="52">
        <f t="shared" si="4"/>
        <v>0</v>
      </c>
      <c r="S12" s="52">
        <f t="shared" si="4"/>
        <v>0</v>
      </c>
      <c r="T12" s="52">
        <f t="shared" si="4"/>
        <v>0</v>
      </c>
      <c r="U12" s="52">
        <f t="shared" si="4"/>
        <v>0</v>
      </c>
      <c r="V12" s="52">
        <f t="shared" si="4"/>
        <v>0</v>
      </c>
      <c r="W12" s="52">
        <f t="shared" si="4"/>
        <v>0</v>
      </c>
      <c r="X12" s="52">
        <f t="shared" si="4"/>
        <v>0</v>
      </c>
      <c r="Y12" s="52">
        <f t="shared" si="4"/>
        <v>0</v>
      </c>
      <c r="Z12" s="52">
        <f t="shared" si="4"/>
        <v>0</v>
      </c>
      <c r="AA12" s="52">
        <f t="shared" si="4"/>
        <v>0</v>
      </c>
      <c r="AB12" s="25"/>
      <c r="AC12" s="52">
        <f t="shared" si="5"/>
        <v>0</v>
      </c>
      <c r="AD12" s="52">
        <f t="shared" si="5"/>
        <v>0</v>
      </c>
      <c r="AE12" s="52">
        <f t="shared" si="5"/>
        <v>0</v>
      </c>
      <c r="AF12" s="52">
        <f t="shared" si="5"/>
        <v>0</v>
      </c>
      <c r="AG12" s="52">
        <f t="shared" si="5"/>
        <v>0</v>
      </c>
      <c r="AH12" s="52">
        <f t="shared" si="5"/>
        <v>0</v>
      </c>
      <c r="AI12" s="52">
        <f t="shared" si="5"/>
        <v>0</v>
      </c>
      <c r="AJ12" s="52">
        <f t="shared" si="5"/>
        <v>0</v>
      </c>
      <c r="AK12" s="52">
        <f t="shared" si="5"/>
        <v>0</v>
      </c>
      <c r="AL12" s="52">
        <f t="shared" si="5"/>
        <v>0</v>
      </c>
      <c r="AM12" s="52">
        <f t="shared" si="5"/>
        <v>0</v>
      </c>
      <c r="AN12" s="52">
        <f t="shared" si="5"/>
        <v>0</v>
      </c>
    </row>
    <row r="13" spans="1:40" x14ac:dyDescent="0.3">
      <c r="C13" s="52"/>
      <c r="D13" s="52"/>
      <c r="E13" s="52"/>
      <c r="F13" s="52"/>
      <c r="G13" s="52"/>
      <c r="H13" s="52"/>
      <c r="I13" s="52"/>
      <c r="J13" s="52"/>
      <c r="K13" s="52"/>
      <c r="L13" s="52"/>
      <c r="M13" s="52"/>
      <c r="N13" s="52"/>
      <c r="O13" s="25"/>
      <c r="P13" s="52"/>
      <c r="Q13" s="52"/>
      <c r="R13" s="52"/>
      <c r="S13" s="52"/>
      <c r="T13" s="52"/>
      <c r="U13" s="52"/>
      <c r="V13" s="52"/>
      <c r="W13" s="52"/>
      <c r="X13" s="52"/>
      <c r="Y13" s="52"/>
      <c r="Z13" s="52"/>
      <c r="AA13" s="52"/>
      <c r="AB13" s="25"/>
      <c r="AC13" s="52"/>
      <c r="AD13" s="16"/>
      <c r="AE13" s="16"/>
      <c r="AF13" s="16"/>
      <c r="AG13" s="16"/>
      <c r="AH13" s="16"/>
      <c r="AI13" s="16"/>
      <c r="AJ13" s="16"/>
      <c r="AK13" s="16"/>
      <c r="AL13" s="16"/>
      <c r="AM13" s="16"/>
      <c r="AN13" s="16"/>
    </row>
    <row r="14" spans="1:40" x14ac:dyDescent="0.3">
      <c r="B14" t="s">
        <v>130</v>
      </c>
      <c r="C14" s="52">
        <f t="shared" ref="C14:N16" si="6">($C29*C$18)+($C29*($E29-1)*C$18/12*C$19)</f>
        <v>540</v>
      </c>
      <c r="D14" s="52">
        <f t="shared" si="6"/>
        <v>540</v>
      </c>
      <c r="E14" s="52">
        <f t="shared" si="6"/>
        <v>540</v>
      </c>
      <c r="F14" s="52">
        <f t="shared" si="6"/>
        <v>540</v>
      </c>
      <c r="G14" s="52">
        <f t="shared" si="6"/>
        <v>300</v>
      </c>
      <c r="H14" s="52">
        <f t="shared" si="6"/>
        <v>300</v>
      </c>
      <c r="I14" s="52">
        <f t="shared" si="6"/>
        <v>300</v>
      </c>
      <c r="J14" s="52">
        <f t="shared" si="6"/>
        <v>540</v>
      </c>
      <c r="K14" s="52">
        <f t="shared" si="6"/>
        <v>540</v>
      </c>
      <c r="L14" s="52">
        <f t="shared" si="6"/>
        <v>540</v>
      </c>
      <c r="M14" s="52">
        <f t="shared" si="6"/>
        <v>660</v>
      </c>
      <c r="N14" s="52">
        <f t="shared" si="6"/>
        <v>660</v>
      </c>
      <c r="O14" s="25"/>
      <c r="P14" s="52">
        <f t="shared" si="4"/>
        <v>675</v>
      </c>
      <c r="Q14" s="52">
        <f t="shared" si="4"/>
        <v>810</v>
      </c>
      <c r="R14" s="52">
        <f t="shared" si="4"/>
        <v>945</v>
      </c>
      <c r="S14" s="52">
        <f t="shared" si="4"/>
        <v>1080</v>
      </c>
      <c r="T14" s="52">
        <f t="shared" si="4"/>
        <v>675</v>
      </c>
      <c r="U14" s="52">
        <f t="shared" si="4"/>
        <v>750</v>
      </c>
      <c r="V14" s="52">
        <f t="shared" si="4"/>
        <v>825</v>
      </c>
      <c r="W14" s="52">
        <f t="shared" si="4"/>
        <v>1620</v>
      </c>
      <c r="X14" s="52">
        <f t="shared" si="4"/>
        <v>1755</v>
      </c>
      <c r="Y14" s="52">
        <f t="shared" si="4"/>
        <v>1890</v>
      </c>
      <c r="Z14" s="52">
        <f t="shared" si="4"/>
        <v>2025</v>
      </c>
      <c r="AA14" s="52">
        <f t="shared" si="4"/>
        <v>2160</v>
      </c>
      <c r="AB14" s="25"/>
      <c r="AC14" s="52">
        <f t="shared" si="5"/>
        <v>2205</v>
      </c>
      <c r="AD14" s="52">
        <f t="shared" si="5"/>
        <v>2250</v>
      </c>
      <c r="AE14" s="52">
        <f t="shared" si="5"/>
        <v>2295</v>
      </c>
      <c r="AF14" s="52">
        <f t="shared" si="5"/>
        <v>2340</v>
      </c>
      <c r="AG14" s="52">
        <f t="shared" si="5"/>
        <v>1325</v>
      </c>
      <c r="AH14" s="52">
        <f t="shared" si="5"/>
        <v>1350</v>
      </c>
      <c r="AI14" s="52">
        <f t="shared" si="5"/>
        <v>1375</v>
      </c>
      <c r="AJ14" s="52">
        <f t="shared" si="5"/>
        <v>2520</v>
      </c>
      <c r="AK14" s="52">
        <f t="shared" si="5"/>
        <v>2565</v>
      </c>
      <c r="AL14" s="52">
        <f t="shared" si="5"/>
        <v>2610</v>
      </c>
      <c r="AM14" s="52">
        <f t="shared" si="5"/>
        <v>2655</v>
      </c>
      <c r="AN14" s="52">
        <f t="shared" si="5"/>
        <v>2700</v>
      </c>
    </row>
    <row r="15" spans="1:40" x14ac:dyDescent="0.3">
      <c r="B15" t="s">
        <v>131</v>
      </c>
      <c r="C15" s="52">
        <f t="shared" si="6"/>
        <v>270</v>
      </c>
      <c r="D15" s="52">
        <f t="shared" si="6"/>
        <v>270</v>
      </c>
      <c r="E15" s="52">
        <f t="shared" si="6"/>
        <v>270</v>
      </c>
      <c r="F15" s="52">
        <f t="shared" si="6"/>
        <v>270</v>
      </c>
      <c r="G15" s="52">
        <f t="shared" si="6"/>
        <v>150</v>
      </c>
      <c r="H15" s="52">
        <f t="shared" si="6"/>
        <v>150</v>
      </c>
      <c r="I15" s="52">
        <f t="shared" si="6"/>
        <v>150</v>
      </c>
      <c r="J15" s="52">
        <f t="shared" si="6"/>
        <v>270</v>
      </c>
      <c r="K15" s="52">
        <f t="shared" si="6"/>
        <v>270</v>
      </c>
      <c r="L15" s="52">
        <f t="shared" si="6"/>
        <v>270</v>
      </c>
      <c r="M15" s="52">
        <f t="shared" si="6"/>
        <v>330</v>
      </c>
      <c r="N15" s="52">
        <f t="shared" si="6"/>
        <v>330</v>
      </c>
      <c r="O15" s="25"/>
      <c r="P15" s="52">
        <f t="shared" si="4"/>
        <v>337.5</v>
      </c>
      <c r="Q15" s="52">
        <f t="shared" si="4"/>
        <v>405</v>
      </c>
      <c r="R15" s="52">
        <f t="shared" si="4"/>
        <v>472.5</v>
      </c>
      <c r="S15" s="52">
        <f t="shared" si="4"/>
        <v>540</v>
      </c>
      <c r="T15" s="52">
        <f t="shared" si="4"/>
        <v>337.5</v>
      </c>
      <c r="U15" s="52">
        <f t="shared" si="4"/>
        <v>375</v>
      </c>
      <c r="V15" s="52">
        <f t="shared" si="4"/>
        <v>412.5</v>
      </c>
      <c r="W15" s="52">
        <f t="shared" si="4"/>
        <v>810</v>
      </c>
      <c r="X15" s="52">
        <f t="shared" si="4"/>
        <v>877.5</v>
      </c>
      <c r="Y15" s="52">
        <f t="shared" si="4"/>
        <v>945</v>
      </c>
      <c r="Z15" s="52">
        <f t="shared" si="4"/>
        <v>1012.5</v>
      </c>
      <c r="AA15" s="52">
        <f t="shared" si="4"/>
        <v>1080</v>
      </c>
      <c r="AB15" s="25"/>
      <c r="AC15" s="52">
        <f t="shared" si="5"/>
        <v>1102.5</v>
      </c>
      <c r="AD15" s="52">
        <f t="shared" si="5"/>
        <v>1125</v>
      </c>
      <c r="AE15" s="52">
        <f t="shared" si="5"/>
        <v>1147.5</v>
      </c>
      <c r="AF15" s="52">
        <f t="shared" si="5"/>
        <v>1170</v>
      </c>
      <c r="AG15" s="52">
        <f t="shared" si="5"/>
        <v>662.5</v>
      </c>
      <c r="AH15" s="52">
        <f t="shared" si="5"/>
        <v>675</v>
      </c>
      <c r="AI15" s="52">
        <f t="shared" si="5"/>
        <v>687.5</v>
      </c>
      <c r="AJ15" s="52">
        <f t="shared" si="5"/>
        <v>1260</v>
      </c>
      <c r="AK15" s="52">
        <f t="shared" si="5"/>
        <v>1282.5</v>
      </c>
      <c r="AL15" s="52">
        <f t="shared" si="5"/>
        <v>1305</v>
      </c>
      <c r="AM15" s="52">
        <f t="shared" si="5"/>
        <v>1327.5</v>
      </c>
      <c r="AN15" s="52">
        <f t="shared" si="5"/>
        <v>1350</v>
      </c>
    </row>
    <row r="16" spans="1:40" x14ac:dyDescent="0.3">
      <c r="A16" s="2"/>
      <c r="B16" t="s">
        <v>132</v>
      </c>
      <c r="C16" s="52">
        <f t="shared" si="6"/>
        <v>180</v>
      </c>
      <c r="D16" s="52">
        <f t="shared" si="6"/>
        <v>180</v>
      </c>
      <c r="E16" s="52">
        <f t="shared" si="6"/>
        <v>180</v>
      </c>
      <c r="F16" s="52">
        <f t="shared" si="6"/>
        <v>180</v>
      </c>
      <c r="G16" s="52">
        <f t="shared" si="6"/>
        <v>100</v>
      </c>
      <c r="H16" s="52">
        <f t="shared" si="6"/>
        <v>100</v>
      </c>
      <c r="I16" s="52">
        <f t="shared" si="6"/>
        <v>100</v>
      </c>
      <c r="J16" s="52">
        <f t="shared" si="6"/>
        <v>180</v>
      </c>
      <c r="K16" s="52">
        <f t="shared" si="6"/>
        <v>180</v>
      </c>
      <c r="L16" s="52">
        <f t="shared" si="6"/>
        <v>180</v>
      </c>
      <c r="M16" s="52">
        <f t="shared" si="6"/>
        <v>220</v>
      </c>
      <c r="N16" s="52">
        <f t="shared" si="6"/>
        <v>220</v>
      </c>
      <c r="O16" s="25"/>
      <c r="P16" s="52">
        <f t="shared" si="4"/>
        <v>225</v>
      </c>
      <c r="Q16" s="52">
        <f t="shared" si="4"/>
        <v>270</v>
      </c>
      <c r="R16" s="52">
        <f t="shared" si="4"/>
        <v>315</v>
      </c>
      <c r="S16" s="52">
        <f t="shared" si="4"/>
        <v>360</v>
      </c>
      <c r="T16" s="52">
        <f t="shared" si="4"/>
        <v>225</v>
      </c>
      <c r="U16" s="52">
        <f t="shared" si="4"/>
        <v>250</v>
      </c>
      <c r="V16" s="52">
        <f t="shared" si="4"/>
        <v>275</v>
      </c>
      <c r="W16" s="52">
        <f t="shared" si="4"/>
        <v>540</v>
      </c>
      <c r="X16" s="52">
        <f t="shared" si="4"/>
        <v>585</v>
      </c>
      <c r="Y16" s="52">
        <f t="shared" si="4"/>
        <v>630</v>
      </c>
      <c r="Z16" s="52">
        <f t="shared" si="4"/>
        <v>675</v>
      </c>
      <c r="AA16" s="52">
        <f t="shared" si="4"/>
        <v>720</v>
      </c>
      <c r="AB16" s="25"/>
      <c r="AC16" s="52">
        <f t="shared" si="5"/>
        <v>735</v>
      </c>
      <c r="AD16" s="52">
        <f t="shared" si="5"/>
        <v>750</v>
      </c>
      <c r="AE16" s="52">
        <f t="shared" si="5"/>
        <v>765</v>
      </c>
      <c r="AF16" s="52">
        <f t="shared" si="5"/>
        <v>780</v>
      </c>
      <c r="AG16" s="52">
        <f t="shared" si="5"/>
        <v>441.66666666666669</v>
      </c>
      <c r="AH16" s="52">
        <f t="shared" si="5"/>
        <v>450</v>
      </c>
      <c r="AI16" s="52">
        <f t="shared" si="5"/>
        <v>458.33333333333331</v>
      </c>
      <c r="AJ16" s="52">
        <f t="shared" si="5"/>
        <v>840</v>
      </c>
      <c r="AK16" s="52">
        <f t="shared" si="5"/>
        <v>855</v>
      </c>
      <c r="AL16" s="52">
        <f t="shared" si="5"/>
        <v>870</v>
      </c>
      <c r="AM16" s="52">
        <f t="shared" si="5"/>
        <v>885</v>
      </c>
      <c r="AN16" s="52">
        <f t="shared" si="5"/>
        <v>900</v>
      </c>
    </row>
    <row r="17" spans="2:40" x14ac:dyDescent="0.3">
      <c r="B17" s="3" t="s">
        <v>133</v>
      </c>
      <c r="C17" s="53">
        <f>SUM(C7:C16)</f>
        <v>6210</v>
      </c>
      <c r="D17" s="53">
        <f t="shared" ref="D17:N17" si="7">SUM(D7:D16)</f>
        <v>6210</v>
      </c>
      <c r="E17" s="53">
        <f t="shared" si="7"/>
        <v>6210</v>
      </c>
      <c r="F17" s="53">
        <f t="shared" si="7"/>
        <v>6210</v>
      </c>
      <c r="G17" s="53">
        <f t="shared" si="7"/>
        <v>3450</v>
      </c>
      <c r="H17" s="53">
        <f t="shared" si="7"/>
        <v>3450</v>
      </c>
      <c r="I17" s="53">
        <f t="shared" si="7"/>
        <v>3450</v>
      </c>
      <c r="J17" s="53">
        <f t="shared" si="7"/>
        <v>6210</v>
      </c>
      <c r="K17" s="53">
        <f t="shared" si="7"/>
        <v>6210</v>
      </c>
      <c r="L17" s="53">
        <f t="shared" si="7"/>
        <v>6210</v>
      </c>
      <c r="M17" s="53">
        <f t="shared" si="7"/>
        <v>7590</v>
      </c>
      <c r="N17" s="53">
        <f t="shared" si="7"/>
        <v>7590</v>
      </c>
      <c r="O17" s="53"/>
      <c r="P17" s="53">
        <f t="shared" ref="P17:AA17" si="8">SUM(P7:P16)</f>
        <v>7215</v>
      </c>
      <c r="Q17" s="53">
        <f t="shared" si="8"/>
        <v>8220</v>
      </c>
      <c r="R17" s="53">
        <f t="shared" si="8"/>
        <v>9225</v>
      </c>
      <c r="S17" s="53">
        <f t="shared" si="8"/>
        <v>10230</v>
      </c>
      <c r="T17" s="53">
        <f t="shared" si="8"/>
        <v>6241.666666666667</v>
      </c>
      <c r="U17" s="53">
        <f t="shared" si="8"/>
        <v>6800</v>
      </c>
      <c r="V17" s="53">
        <f t="shared" si="8"/>
        <v>7358.333333333333</v>
      </c>
      <c r="W17" s="53">
        <f t="shared" si="8"/>
        <v>14250</v>
      </c>
      <c r="X17" s="53">
        <f t="shared" si="8"/>
        <v>15255</v>
      </c>
      <c r="Y17" s="53">
        <f t="shared" si="8"/>
        <v>16260</v>
      </c>
      <c r="Z17" s="53">
        <f t="shared" si="8"/>
        <v>17265</v>
      </c>
      <c r="AA17" s="53">
        <f t="shared" si="8"/>
        <v>18270</v>
      </c>
      <c r="AB17" s="53"/>
      <c r="AC17" s="53">
        <f t="shared" ref="AC17:AN17" si="9">SUM(AC7:AC16)</f>
        <v>19012.5</v>
      </c>
      <c r="AD17" s="53">
        <f t="shared" si="9"/>
        <v>19755</v>
      </c>
      <c r="AE17" s="53">
        <f t="shared" si="9"/>
        <v>20497.5</v>
      </c>
      <c r="AF17" s="53">
        <f t="shared" si="9"/>
        <v>21240</v>
      </c>
      <c r="AG17" s="53">
        <f t="shared" si="9"/>
        <v>12212.5</v>
      </c>
      <c r="AH17" s="53">
        <f t="shared" si="9"/>
        <v>12625</v>
      </c>
      <c r="AI17" s="53">
        <f t="shared" si="9"/>
        <v>13037.5</v>
      </c>
      <c r="AJ17" s="53">
        <f t="shared" si="9"/>
        <v>24210</v>
      </c>
      <c r="AK17" s="53">
        <f t="shared" si="9"/>
        <v>24952.5</v>
      </c>
      <c r="AL17" s="53">
        <f t="shared" si="9"/>
        <v>25695</v>
      </c>
      <c r="AM17" s="53">
        <f t="shared" si="9"/>
        <v>26437.5</v>
      </c>
      <c r="AN17" s="53">
        <f t="shared" si="9"/>
        <v>27180</v>
      </c>
    </row>
    <row r="18" spans="2:40" x14ac:dyDescent="0.3">
      <c r="C18" s="54">
        <v>0.09</v>
      </c>
      <c r="D18" s="54">
        <v>0.09</v>
      </c>
      <c r="E18" s="54">
        <v>0.09</v>
      </c>
      <c r="F18" s="54">
        <v>0.09</v>
      </c>
      <c r="G18" s="54">
        <v>0.05</v>
      </c>
      <c r="H18" s="54">
        <v>0.05</v>
      </c>
      <c r="I18" s="54">
        <v>0.05</v>
      </c>
      <c r="J18" s="54">
        <v>0.09</v>
      </c>
      <c r="K18" s="54">
        <v>0.09</v>
      </c>
      <c r="L18" s="54">
        <v>0.09</v>
      </c>
      <c r="M18" s="54">
        <v>0.11</v>
      </c>
      <c r="N18" s="54">
        <v>0.11</v>
      </c>
      <c r="O18" s="25"/>
      <c r="P18" s="54">
        <v>0.09</v>
      </c>
      <c r="Q18" s="54">
        <v>0.09</v>
      </c>
      <c r="R18" s="54">
        <v>0.09</v>
      </c>
      <c r="S18" s="54">
        <v>0.09</v>
      </c>
      <c r="T18" s="54">
        <v>0.05</v>
      </c>
      <c r="U18" s="54">
        <v>0.05</v>
      </c>
      <c r="V18" s="54">
        <v>0.05</v>
      </c>
      <c r="W18" s="54">
        <v>0.09</v>
      </c>
      <c r="X18" s="54">
        <v>0.09</v>
      </c>
      <c r="Y18" s="54">
        <v>0.09</v>
      </c>
      <c r="Z18" s="54">
        <v>0.09</v>
      </c>
      <c r="AA18" s="54">
        <v>0.09</v>
      </c>
      <c r="AB18" s="25"/>
      <c r="AC18" s="54">
        <v>0.09</v>
      </c>
      <c r="AD18" s="54">
        <v>0.09</v>
      </c>
      <c r="AE18" s="54">
        <v>0.09</v>
      </c>
      <c r="AF18" s="54">
        <v>0.09</v>
      </c>
      <c r="AG18" s="54">
        <v>0.05</v>
      </c>
      <c r="AH18" s="54">
        <v>0.05</v>
      </c>
      <c r="AI18" s="54">
        <v>0.05</v>
      </c>
      <c r="AJ18" s="54">
        <v>0.09</v>
      </c>
      <c r="AK18" s="54">
        <v>0.09</v>
      </c>
      <c r="AL18" s="54">
        <v>0.09</v>
      </c>
      <c r="AM18" s="54">
        <v>0.09</v>
      </c>
      <c r="AN18" s="54">
        <v>0.09</v>
      </c>
    </row>
    <row r="19" spans="2:40" x14ac:dyDescent="0.3">
      <c r="C19" s="25">
        <v>1</v>
      </c>
      <c r="D19" s="25">
        <v>2</v>
      </c>
      <c r="E19" s="25">
        <v>3</v>
      </c>
      <c r="F19" s="25">
        <v>4</v>
      </c>
      <c r="G19" s="25">
        <v>5</v>
      </c>
      <c r="H19" s="25">
        <v>6</v>
      </c>
      <c r="I19" s="25">
        <v>7</v>
      </c>
      <c r="J19" s="25">
        <v>8</v>
      </c>
      <c r="K19" s="25">
        <v>9</v>
      </c>
      <c r="L19" s="25">
        <v>10</v>
      </c>
      <c r="M19" s="25">
        <v>11</v>
      </c>
      <c r="N19" s="25">
        <v>12</v>
      </c>
      <c r="O19" s="25"/>
      <c r="P19" s="16">
        <v>1</v>
      </c>
      <c r="Q19" s="16">
        <v>2</v>
      </c>
      <c r="R19" s="16">
        <v>3</v>
      </c>
      <c r="S19" s="16">
        <v>4</v>
      </c>
      <c r="T19" s="16">
        <v>5</v>
      </c>
      <c r="U19" s="16">
        <v>6</v>
      </c>
      <c r="V19" s="16">
        <v>7</v>
      </c>
      <c r="W19" s="16">
        <v>8</v>
      </c>
      <c r="X19" s="16">
        <v>9</v>
      </c>
      <c r="Y19" s="16">
        <v>10</v>
      </c>
      <c r="Z19" s="16">
        <v>11</v>
      </c>
      <c r="AA19" s="16">
        <v>12</v>
      </c>
      <c r="AB19" s="25"/>
      <c r="AC19" s="16">
        <v>1</v>
      </c>
      <c r="AD19" s="16">
        <v>2</v>
      </c>
      <c r="AE19" s="16">
        <v>3</v>
      </c>
      <c r="AF19" s="16">
        <v>4</v>
      </c>
      <c r="AG19" s="16">
        <v>5</v>
      </c>
      <c r="AH19" s="16">
        <v>6</v>
      </c>
      <c r="AI19" s="16">
        <v>7</v>
      </c>
      <c r="AJ19" s="16">
        <v>8</v>
      </c>
      <c r="AK19" s="16">
        <v>9</v>
      </c>
      <c r="AL19" s="16">
        <v>10</v>
      </c>
      <c r="AM19" s="16">
        <v>11</v>
      </c>
      <c r="AN19" s="16">
        <v>12</v>
      </c>
    </row>
    <row r="20" spans="2:40" x14ac:dyDescent="0.3">
      <c r="C20" s="25"/>
      <c r="D20" s="25"/>
      <c r="E20" s="25"/>
      <c r="F20" s="25"/>
      <c r="G20" s="25"/>
      <c r="H20" s="25"/>
      <c r="I20" s="25"/>
      <c r="J20" s="25"/>
      <c r="K20" s="25"/>
      <c r="L20" s="25"/>
      <c r="M20" s="25"/>
      <c r="N20" s="25"/>
      <c r="O20" s="25"/>
      <c r="P20" s="16"/>
      <c r="Q20" s="16"/>
      <c r="R20" s="16"/>
      <c r="S20" s="16"/>
      <c r="T20" s="16"/>
      <c r="U20" s="16"/>
      <c r="V20" s="16"/>
      <c r="W20" s="16"/>
      <c r="X20" s="16"/>
      <c r="Y20" s="16"/>
      <c r="Z20" s="16"/>
      <c r="AA20" s="16"/>
      <c r="AB20" s="25"/>
      <c r="AC20" s="16"/>
      <c r="AD20" s="16"/>
      <c r="AE20" s="16"/>
      <c r="AF20" s="16"/>
      <c r="AG20" s="16"/>
      <c r="AH20" s="16"/>
      <c r="AI20" s="16"/>
      <c r="AJ20" s="16"/>
      <c r="AK20" s="16"/>
      <c r="AL20" s="16"/>
      <c r="AM20" s="16"/>
      <c r="AN20" s="16"/>
    </row>
    <row r="21" spans="2:40" x14ac:dyDescent="0.3">
      <c r="C21" s="55" t="s">
        <v>145</v>
      </c>
      <c r="D21" s="55" t="s">
        <v>138</v>
      </c>
      <c r="E21" s="55" t="s">
        <v>139</v>
      </c>
      <c r="F21" s="55" t="s">
        <v>140</v>
      </c>
      <c r="G21" s="55" t="s">
        <v>141</v>
      </c>
      <c r="K21" s="55" t="s">
        <v>135</v>
      </c>
      <c r="L21" s="55" t="s">
        <v>136</v>
      </c>
      <c r="M21" s="55" t="s">
        <v>137</v>
      </c>
    </row>
    <row r="22" spans="2:40" x14ac:dyDescent="0.3">
      <c r="B22" t="s">
        <v>125</v>
      </c>
      <c r="C22" s="1">
        <v>15000</v>
      </c>
      <c r="D22" s="1">
        <v>0</v>
      </c>
      <c r="E22" s="1">
        <v>1</v>
      </c>
      <c r="F22" s="1">
        <v>2</v>
      </c>
      <c r="G22" s="1">
        <v>3</v>
      </c>
      <c r="J22" s="3" t="s">
        <v>133</v>
      </c>
      <c r="K22" s="42">
        <f>SUM(C17:N17)</f>
        <v>69000</v>
      </c>
      <c r="L22" s="42">
        <f>SUM(P17:AA17)</f>
        <v>136590</v>
      </c>
      <c r="M22" s="42">
        <f>SUM(AC17:AN17)</f>
        <v>246855</v>
      </c>
    </row>
    <row r="23" spans="2:40" x14ac:dyDescent="0.3">
      <c r="B23" t="s">
        <v>126</v>
      </c>
      <c r="C23" s="1">
        <v>6000</v>
      </c>
      <c r="D23" s="1">
        <v>0</v>
      </c>
      <c r="E23" s="1">
        <v>1</v>
      </c>
      <c r="F23" s="1">
        <v>2</v>
      </c>
      <c r="G23" s="1">
        <v>4</v>
      </c>
    </row>
    <row r="24" spans="2:40" x14ac:dyDescent="0.3">
      <c r="B24" t="s">
        <v>134</v>
      </c>
      <c r="C24" s="1">
        <v>1000</v>
      </c>
      <c r="D24" s="1">
        <v>0</v>
      </c>
      <c r="E24" s="1">
        <v>1</v>
      </c>
      <c r="F24" s="1">
        <v>3</v>
      </c>
      <c r="G24" s="1">
        <v>4</v>
      </c>
    </row>
    <row r="25" spans="2:40" x14ac:dyDescent="0.3">
      <c r="B25" t="s">
        <v>127</v>
      </c>
      <c r="C25" s="1">
        <v>30000</v>
      </c>
      <c r="D25" s="1">
        <v>0</v>
      </c>
      <c r="E25" s="1">
        <v>1</v>
      </c>
      <c r="F25" s="1">
        <v>3</v>
      </c>
      <c r="G25" s="1">
        <v>5</v>
      </c>
      <c r="I25" t="s">
        <v>146</v>
      </c>
      <c r="K25">
        <v>5</v>
      </c>
    </row>
    <row r="26" spans="2:40" x14ac:dyDescent="0.3">
      <c r="B26" t="s">
        <v>128</v>
      </c>
      <c r="C26" s="1">
        <v>6000</v>
      </c>
      <c r="D26" s="1">
        <v>0</v>
      </c>
      <c r="E26" s="1">
        <v>1</v>
      </c>
      <c r="F26" s="1">
        <v>4</v>
      </c>
      <c r="G26" s="1">
        <v>4</v>
      </c>
    </row>
    <row r="27" spans="2:40" x14ac:dyDescent="0.3">
      <c r="B27" t="s">
        <v>129</v>
      </c>
      <c r="C27" s="1">
        <v>0</v>
      </c>
      <c r="D27" s="1">
        <v>0</v>
      </c>
      <c r="E27" s="1">
        <v>1</v>
      </c>
      <c r="F27" s="1">
        <v>4</v>
      </c>
      <c r="G27" s="1">
        <v>5</v>
      </c>
    </row>
    <row r="28" spans="2:40" x14ac:dyDescent="0.3">
      <c r="C28" s="25"/>
      <c r="D28" s="25"/>
      <c r="E28" s="25"/>
      <c r="F28" s="25"/>
      <c r="G28" s="25"/>
    </row>
    <row r="29" spans="2:40" x14ac:dyDescent="0.3">
      <c r="B29" t="s">
        <v>130</v>
      </c>
      <c r="C29" s="1">
        <v>6000</v>
      </c>
      <c r="D29" s="1">
        <v>0</v>
      </c>
      <c r="E29" s="1">
        <v>1</v>
      </c>
      <c r="F29" s="1">
        <v>4</v>
      </c>
      <c r="G29" s="1">
        <v>5</v>
      </c>
    </row>
    <row r="30" spans="2:40" x14ac:dyDescent="0.3">
      <c r="B30" t="s">
        <v>131</v>
      </c>
      <c r="C30" s="1">
        <v>3000</v>
      </c>
      <c r="D30" s="1">
        <v>0</v>
      </c>
      <c r="E30" s="1">
        <v>1</v>
      </c>
      <c r="F30" s="1">
        <v>4</v>
      </c>
      <c r="G30" s="1">
        <v>5</v>
      </c>
    </row>
    <row r="31" spans="2:40" x14ac:dyDescent="0.3">
      <c r="B31" t="s">
        <v>132</v>
      </c>
      <c r="C31" s="1">
        <v>2000</v>
      </c>
      <c r="D31" s="1">
        <v>0</v>
      </c>
      <c r="E31" s="1">
        <v>1</v>
      </c>
      <c r="F31" s="1">
        <v>4</v>
      </c>
      <c r="G31" s="1">
        <v>5</v>
      </c>
    </row>
  </sheetData>
  <mergeCells count="3">
    <mergeCell ref="C4:N4"/>
    <mergeCell ref="P4:AA4"/>
    <mergeCell ref="AC4:AN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5">
    <tabColor rgb="FF00B050"/>
  </sheetPr>
  <dimension ref="A1:BZ66"/>
  <sheetViews>
    <sheetView showGridLines="0" zoomScale="80" zoomScaleNormal="80" zoomScalePageLayoutView="80" workbookViewId="0">
      <pane xSplit="10" ySplit="8" topLeftCell="K26" activePane="bottomRight" state="frozen"/>
      <selection activeCell="C10" sqref="C10"/>
      <selection pane="topRight" activeCell="C10" sqref="C10"/>
      <selection pane="bottomLeft" activeCell="C10" sqref="C10"/>
      <selection pane="bottomRight" activeCell="L52" sqref="L52"/>
    </sheetView>
  </sheetViews>
  <sheetFormatPr defaultColWidth="0" defaultRowHeight="13.2" x14ac:dyDescent="0.25"/>
  <cols>
    <col min="1" max="1" width="3.44140625" style="139" customWidth="1"/>
    <col min="2" max="2" width="6.44140625" style="139" customWidth="1"/>
    <col min="3" max="3" width="23.109375" style="105" bestFit="1" customWidth="1"/>
    <col min="4" max="4" width="13.109375" style="139" bestFit="1" customWidth="1"/>
    <col min="5" max="5" width="12.6640625" style="139" bestFit="1" customWidth="1"/>
    <col min="6" max="8" width="12.6640625" style="139" customWidth="1"/>
    <col min="9" max="9" width="10.109375" style="139" bestFit="1" customWidth="1"/>
    <col min="10" max="10" width="4.33203125" style="139" hidden="1" customWidth="1"/>
    <col min="11" max="11" width="12.109375" style="139" customWidth="1"/>
    <col min="12" max="12" width="10.44140625" style="139" bestFit="1" customWidth="1"/>
    <col min="13" max="13" width="10.33203125" style="139" bestFit="1" customWidth="1"/>
    <col min="14" max="14" width="10" style="139" bestFit="1" customWidth="1"/>
    <col min="15" max="16" width="10.33203125" style="139" bestFit="1" customWidth="1"/>
    <col min="17" max="17" width="10" style="139" bestFit="1" customWidth="1"/>
    <col min="18" max="20" width="10.109375" style="139" bestFit="1" customWidth="1"/>
    <col min="21" max="21" width="10.44140625" style="139" bestFit="1" customWidth="1"/>
    <col min="22" max="22" width="10" style="139" bestFit="1" customWidth="1"/>
    <col min="23" max="23" width="12.33203125" style="139" customWidth="1"/>
    <col min="24" max="24" width="10.44140625" style="139" bestFit="1" customWidth="1"/>
    <col min="25" max="25" width="10.33203125" style="139" bestFit="1" customWidth="1"/>
    <col min="26" max="26" width="10" style="139" bestFit="1" customWidth="1"/>
    <col min="27" max="28" width="10.33203125" style="139" bestFit="1" customWidth="1"/>
    <col min="29" max="29" width="10" style="139" bestFit="1" customWidth="1"/>
    <col min="30" max="32" width="10.109375" style="139" bestFit="1" customWidth="1"/>
    <col min="33" max="33" width="10.44140625" style="139" bestFit="1" customWidth="1"/>
    <col min="34" max="34" width="10" style="139" bestFit="1" customWidth="1"/>
    <col min="35" max="35" width="9.33203125" style="139" bestFit="1" customWidth="1"/>
    <col min="36" max="36" width="10.44140625" style="139" bestFit="1" customWidth="1"/>
    <col min="37" max="37" width="10.33203125" style="139" bestFit="1" customWidth="1"/>
    <col min="38" max="38" width="10" style="139" bestFit="1" customWidth="1"/>
    <col min="39" max="40" width="10.33203125" style="139" bestFit="1" customWidth="1"/>
    <col min="41" max="41" width="10" style="139" bestFit="1" customWidth="1"/>
    <col min="42" max="44" width="10.109375" style="139" bestFit="1" customWidth="1"/>
    <col min="45" max="45" width="10.44140625" style="139" bestFit="1" customWidth="1"/>
    <col min="46" max="46" width="10" style="139" bestFit="1" customWidth="1"/>
    <col min="47" max="47" width="9.33203125" style="139" bestFit="1" customWidth="1"/>
    <col min="48" max="48" width="10.44140625" style="139" bestFit="1" customWidth="1"/>
    <col min="49" max="49" width="10.33203125" style="139" bestFit="1" customWidth="1"/>
    <col min="50" max="50" width="10" style="139" bestFit="1" customWidth="1"/>
    <col min="51" max="52" width="10.33203125" style="139" bestFit="1" customWidth="1"/>
    <col min="53" max="53" width="10" style="139" bestFit="1" customWidth="1"/>
    <col min="54" max="56" width="10.109375" style="139" bestFit="1" customWidth="1"/>
    <col min="57" max="57" width="10.44140625" style="139" bestFit="1" customWidth="1"/>
    <col min="58" max="58" width="10" style="139" bestFit="1" customWidth="1"/>
    <col min="59" max="59" width="9.33203125" style="139" bestFit="1" customWidth="1"/>
    <col min="60" max="60" width="10.44140625" style="139" bestFit="1" customWidth="1"/>
    <col min="61" max="61" width="10.33203125" style="139" bestFit="1" customWidth="1"/>
    <col min="62" max="62" width="10" style="139" bestFit="1" customWidth="1"/>
    <col min="63" max="64" width="10.33203125" style="139" bestFit="1" customWidth="1"/>
    <col min="65" max="65" width="10" style="139" bestFit="1" customWidth="1"/>
    <col min="66" max="68" width="10.109375" style="139" bestFit="1" customWidth="1"/>
    <col min="69" max="69" width="10.44140625" style="139" bestFit="1" customWidth="1"/>
    <col min="70" max="70" width="10" style="139" bestFit="1" customWidth="1"/>
    <col min="71" max="71" width="3" style="139" customWidth="1"/>
    <col min="72" max="72" width="13.44140625" style="71" bestFit="1" customWidth="1"/>
    <col min="73" max="78" width="9.109375" style="139" customWidth="1"/>
    <col min="79" max="16384" width="9.109375" style="139" hidden="1"/>
  </cols>
  <sheetData>
    <row r="1" spans="1:78" s="285" customFormat="1" x14ac:dyDescent="0.25"/>
    <row r="2" spans="1:78" s="285" customFormat="1" x14ac:dyDescent="0.25"/>
    <row r="3" spans="1:78" s="285" customFormat="1" x14ac:dyDescent="0.25">
      <c r="A3" s="286" t="str">
        <f>IF(KeyInputs!$F$14=0,"Company Name",KeyInputs!$F$14)</f>
        <v>Company Name</v>
      </c>
      <c r="C3" s="286"/>
      <c r="D3" s="286"/>
      <c r="E3" s="286"/>
      <c r="F3" s="286"/>
      <c r="G3" s="286"/>
      <c r="H3" s="286"/>
      <c r="I3" s="286"/>
      <c r="J3" s="286"/>
    </row>
    <row r="4" spans="1:78" s="285" customFormat="1" x14ac:dyDescent="0.25">
      <c r="A4" s="285" t="s">
        <v>4</v>
      </c>
    </row>
    <row r="5" spans="1:78" s="285" customFormat="1" x14ac:dyDescent="0.25">
      <c r="D5" s="287" t="str">
        <f>KeyInputs!D5</f>
        <v>Year</v>
      </c>
      <c r="E5" s="287">
        <f>KeyInputs!H5</f>
        <v>2015</v>
      </c>
      <c r="F5" s="287">
        <f>KeyInputs!I5</f>
        <v>2016</v>
      </c>
      <c r="G5" s="287">
        <f>KeyInputs!J5</f>
        <v>2017</v>
      </c>
      <c r="H5" s="287">
        <f>KeyInputs!K5</f>
        <v>2018</v>
      </c>
      <c r="I5" s="287">
        <f>KeyInputs!L5</f>
        <v>2019</v>
      </c>
      <c r="J5" s="287"/>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8" customFormat="1" x14ac:dyDescent="0.25">
      <c r="D6" s="287" t="str">
        <f>KeyInputs!D6</f>
        <v>Period number</v>
      </c>
      <c r="E6" s="287">
        <f>KeyInputs!H6</f>
        <v>1</v>
      </c>
      <c r="F6" s="287">
        <f>KeyInputs!I6</f>
        <v>2</v>
      </c>
      <c r="G6" s="287">
        <f>KeyInputs!J6</f>
        <v>3</v>
      </c>
      <c r="H6" s="287">
        <f>KeyInputs!K6</f>
        <v>4</v>
      </c>
      <c r="I6" s="287">
        <f>KeyInputs!L6</f>
        <v>5</v>
      </c>
      <c r="J6" s="287"/>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8" customFormat="1" x14ac:dyDescent="0.25">
      <c r="D7" s="287" t="str">
        <f>KeyInputs!D7</f>
        <v>Period starts</v>
      </c>
      <c r="E7" s="294">
        <f>KeyInputs!H7</f>
        <v>42005</v>
      </c>
      <c r="F7" s="294">
        <f>KeyInputs!I7</f>
        <v>42370</v>
      </c>
      <c r="G7" s="294">
        <f>KeyInputs!J7</f>
        <v>42736</v>
      </c>
      <c r="H7" s="294">
        <f>KeyInputs!K7</f>
        <v>43101</v>
      </c>
      <c r="I7" s="294">
        <f>KeyInputs!L7</f>
        <v>43466</v>
      </c>
      <c r="J7" s="287"/>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2" customFormat="1"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87"/>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8"/>
      <c r="BT8" s="288"/>
      <c r="BU8" s="288"/>
      <c r="BV8" s="288"/>
      <c r="BW8" s="288"/>
      <c r="BX8" s="288"/>
      <c r="BY8" s="288"/>
      <c r="BZ8" s="288"/>
    </row>
    <row r="9" spans="1:78" s="123" customFormat="1" x14ac:dyDescent="0.25">
      <c r="A9" s="124"/>
      <c r="B9" s="124"/>
      <c r="C9" s="124"/>
      <c r="D9" s="125"/>
      <c r="E9" s="126"/>
      <c r="F9" s="126"/>
      <c r="G9" s="126"/>
      <c r="H9" s="126"/>
      <c r="I9" s="126"/>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row>
    <row r="10" spans="1:78" s="166" customFormat="1" ht="15.6" x14ac:dyDescent="0.3">
      <c r="A10" s="166">
        <f>Header1</f>
        <v>1</v>
      </c>
      <c r="B10" s="166" t="s">
        <v>21</v>
      </c>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c r="BI10" s="176"/>
      <c r="BJ10" s="176"/>
      <c r="BK10" s="176"/>
      <c r="BL10" s="176"/>
      <c r="BM10" s="176"/>
      <c r="BN10" s="176"/>
      <c r="BO10" s="176"/>
      <c r="BP10" s="176"/>
      <c r="BQ10" s="176"/>
      <c r="BR10" s="176"/>
    </row>
    <row r="11" spans="1:78" x14ac:dyDescent="0.25">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row>
    <row r="12" spans="1:78" s="169" customFormat="1" ht="13.8" x14ac:dyDescent="0.25">
      <c r="B12" s="169" t="str">
        <f>Header2</f>
        <v>1.1</v>
      </c>
      <c r="C12" s="169" t="str">
        <f>IF(KeyInputs!F21=0," ",KeyInputs!F21)</f>
        <v>Test</v>
      </c>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row>
    <row r="13" spans="1:78" s="138" customFormat="1" ht="13.8" x14ac:dyDescent="0.25">
      <c r="C13" s="207" t="str">
        <f>C35</f>
        <v>Insert Product Group 1</v>
      </c>
      <c r="D13" s="161" t="str">
        <f>unit</f>
        <v>£</v>
      </c>
      <c r="E13" s="57">
        <f t="shared" ref="E13:I16" si="0">SUMIF($K$5:$BR$5,E$5,$K13:$BR13)</f>
        <v>0</v>
      </c>
      <c r="F13" s="57">
        <f t="shared" si="0"/>
        <v>0</v>
      </c>
      <c r="G13" s="57">
        <f t="shared" si="0"/>
        <v>0</v>
      </c>
      <c r="H13" s="57">
        <f t="shared" si="0"/>
        <v>0</v>
      </c>
      <c r="I13" s="57">
        <f t="shared" si="0"/>
        <v>0</v>
      </c>
      <c r="J13" s="57"/>
      <c r="K13" s="57">
        <f t="shared" ref="K13:AP13" si="1">K35*K52</f>
        <v>0</v>
      </c>
      <c r="L13" s="57">
        <f t="shared" si="1"/>
        <v>0</v>
      </c>
      <c r="M13" s="57">
        <f t="shared" si="1"/>
        <v>0</v>
      </c>
      <c r="N13" s="57">
        <f t="shared" si="1"/>
        <v>0</v>
      </c>
      <c r="O13" s="57">
        <f t="shared" si="1"/>
        <v>0</v>
      </c>
      <c r="P13" s="57">
        <f t="shared" si="1"/>
        <v>0</v>
      </c>
      <c r="Q13" s="57">
        <f t="shared" si="1"/>
        <v>0</v>
      </c>
      <c r="R13" s="57">
        <f t="shared" si="1"/>
        <v>0</v>
      </c>
      <c r="S13" s="57">
        <f t="shared" si="1"/>
        <v>0</v>
      </c>
      <c r="T13" s="57">
        <f t="shared" si="1"/>
        <v>0</v>
      </c>
      <c r="U13" s="57">
        <f t="shared" si="1"/>
        <v>0</v>
      </c>
      <c r="V13" s="57">
        <f t="shared" si="1"/>
        <v>0</v>
      </c>
      <c r="W13" s="57">
        <f t="shared" si="1"/>
        <v>0</v>
      </c>
      <c r="X13" s="57">
        <f t="shared" si="1"/>
        <v>0</v>
      </c>
      <c r="Y13" s="57">
        <f t="shared" si="1"/>
        <v>0</v>
      </c>
      <c r="Z13" s="57">
        <f t="shared" si="1"/>
        <v>0</v>
      </c>
      <c r="AA13" s="57">
        <f t="shared" si="1"/>
        <v>0</v>
      </c>
      <c r="AB13" s="57">
        <f t="shared" si="1"/>
        <v>0</v>
      </c>
      <c r="AC13" s="57">
        <f t="shared" si="1"/>
        <v>0</v>
      </c>
      <c r="AD13" s="57">
        <f t="shared" si="1"/>
        <v>0</v>
      </c>
      <c r="AE13" s="57">
        <f t="shared" si="1"/>
        <v>0</v>
      </c>
      <c r="AF13" s="57">
        <f t="shared" si="1"/>
        <v>0</v>
      </c>
      <c r="AG13" s="57">
        <f t="shared" si="1"/>
        <v>0</v>
      </c>
      <c r="AH13" s="57">
        <f t="shared" si="1"/>
        <v>0</v>
      </c>
      <c r="AI13" s="57">
        <f t="shared" si="1"/>
        <v>0</v>
      </c>
      <c r="AJ13" s="57">
        <f t="shared" si="1"/>
        <v>0</v>
      </c>
      <c r="AK13" s="57">
        <f t="shared" si="1"/>
        <v>0</v>
      </c>
      <c r="AL13" s="57">
        <f t="shared" si="1"/>
        <v>0</v>
      </c>
      <c r="AM13" s="57">
        <f t="shared" si="1"/>
        <v>0</v>
      </c>
      <c r="AN13" s="57">
        <f t="shared" si="1"/>
        <v>0</v>
      </c>
      <c r="AO13" s="57">
        <f t="shared" si="1"/>
        <v>0</v>
      </c>
      <c r="AP13" s="57">
        <f t="shared" si="1"/>
        <v>0</v>
      </c>
      <c r="AQ13" s="57">
        <f t="shared" ref="AQ13:BR13" si="2">AQ35*AQ52</f>
        <v>0</v>
      </c>
      <c r="AR13" s="57">
        <f t="shared" si="2"/>
        <v>0</v>
      </c>
      <c r="AS13" s="57">
        <f t="shared" si="2"/>
        <v>0</v>
      </c>
      <c r="AT13" s="57">
        <f t="shared" si="2"/>
        <v>0</v>
      </c>
      <c r="AU13" s="57">
        <f t="shared" si="2"/>
        <v>0</v>
      </c>
      <c r="AV13" s="57">
        <f t="shared" si="2"/>
        <v>0</v>
      </c>
      <c r="AW13" s="57">
        <f t="shared" si="2"/>
        <v>0</v>
      </c>
      <c r="AX13" s="57">
        <f t="shared" si="2"/>
        <v>0</v>
      </c>
      <c r="AY13" s="57">
        <f t="shared" si="2"/>
        <v>0</v>
      </c>
      <c r="AZ13" s="57">
        <f t="shared" si="2"/>
        <v>0</v>
      </c>
      <c r="BA13" s="57">
        <f t="shared" si="2"/>
        <v>0</v>
      </c>
      <c r="BB13" s="57">
        <f t="shared" si="2"/>
        <v>0</v>
      </c>
      <c r="BC13" s="57">
        <f t="shared" si="2"/>
        <v>0</v>
      </c>
      <c r="BD13" s="57">
        <f t="shared" si="2"/>
        <v>0</v>
      </c>
      <c r="BE13" s="57">
        <f t="shared" si="2"/>
        <v>0</v>
      </c>
      <c r="BF13" s="57">
        <f t="shared" si="2"/>
        <v>0</v>
      </c>
      <c r="BG13" s="57">
        <f t="shared" si="2"/>
        <v>0</v>
      </c>
      <c r="BH13" s="57">
        <f t="shared" si="2"/>
        <v>0</v>
      </c>
      <c r="BI13" s="57">
        <f t="shared" si="2"/>
        <v>0</v>
      </c>
      <c r="BJ13" s="57">
        <f t="shared" si="2"/>
        <v>0</v>
      </c>
      <c r="BK13" s="57">
        <f t="shared" si="2"/>
        <v>0</v>
      </c>
      <c r="BL13" s="57">
        <f t="shared" si="2"/>
        <v>0</v>
      </c>
      <c r="BM13" s="57">
        <f t="shared" si="2"/>
        <v>0</v>
      </c>
      <c r="BN13" s="57">
        <f t="shared" si="2"/>
        <v>0</v>
      </c>
      <c r="BO13" s="57">
        <f t="shared" si="2"/>
        <v>0</v>
      </c>
      <c r="BP13" s="57">
        <f t="shared" si="2"/>
        <v>0</v>
      </c>
      <c r="BQ13" s="57">
        <f t="shared" si="2"/>
        <v>0</v>
      </c>
      <c r="BR13" s="57">
        <f t="shared" si="2"/>
        <v>0</v>
      </c>
    </row>
    <row r="14" spans="1:78" x14ac:dyDescent="0.25">
      <c r="A14" s="80"/>
      <c r="C14" s="207" t="str">
        <f>C36</f>
        <v>Insert Product Group 2</v>
      </c>
      <c r="D14" s="161" t="str">
        <f>unit</f>
        <v>£</v>
      </c>
      <c r="E14" s="57">
        <f t="shared" si="0"/>
        <v>0</v>
      </c>
      <c r="F14" s="57">
        <f t="shared" si="0"/>
        <v>0</v>
      </c>
      <c r="G14" s="57">
        <f t="shared" si="0"/>
        <v>0</v>
      </c>
      <c r="H14" s="57">
        <f t="shared" si="0"/>
        <v>0</v>
      </c>
      <c r="I14" s="57">
        <f t="shared" si="0"/>
        <v>0</v>
      </c>
      <c r="J14" s="57"/>
      <c r="K14" s="57">
        <f t="shared" ref="K14:AP14" si="3">K36*K53</f>
        <v>0</v>
      </c>
      <c r="L14" s="57">
        <f t="shared" si="3"/>
        <v>0</v>
      </c>
      <c r="M14" s="57">
        <f t="shared" si="3"/>
        <v>0</v>
      </c>
      <c r="N14" s="57">
        <f t="shared" si="3"/>
        <v>0</v>
      </c>
      <c r="O14" s="57">
        <f t="shared" si="3"/>
        <v>0</v>
      </c>
      <c r="P14" s="57">
        <f t="shared" si="3"/>
        <v>0</v>
      </c>
      <c r="Q14" s="57">
        <f t="shared" si="3"/>
        <v>0</v>
      </c>
      <c r="R14" s="57">
        <f t="shared" si="3"/>
        <v>0</v>
      </c>
      <c r="S14" s="57">
        <f t="shared" si="3"/>
        <v>0</v>
      </c>
      <c r="T14" s="57">
        <f t="shared" si="3"/>
        <v>0</v>
      </c>
      <c r="U14" s="57">
        <f t="shared" si="3"/>
        <v>0</v>
      </c>
      <c r="V14" s="57">
        <f t="shared" si="3"/>
        <v>0</v>
      </c>
      <c r="W14" s="57">
        <f t="shared" si="3"/>
        <v>0</v>
      </c>
      <c r="X14" s="57">
        <f t="shared" si="3"/>
        <v>0</v>
      </c>
      <c r="Y14" s="57">
        <f t="shared" si="3"/>
        <v>0</v>
      </c>
      <c r="Z14" s="57">
        <f t="shared" si="3"/>
        <v>0</v>
      </c>
      <c r="AA14" s="57">
        <f t="shared" si="3"/>
        <v>0</v>
      </c>
      <c r="AB14" s="57">
        <f t="shared" si="3"/>
        <v>0</v>
      </c>
      <c r="AC14" s="57">
        <f t="shared" si="3"/>
        <v>0</v>
      </c>
      <c r="AD14" s="57">
        <f t="shared" si="3"/>
        <v>0</v>
      </c>
      <c r="AE14" s="57">
        <f t="shared" si="3"/>
        <v>0</v>
      </c>
      <c r="AF14" s="57">
        <f t="shared" si="3"/>
        <v>0</v>
      </c>
      <c r="AG14" s="57">
        <f t="shared" si="3"/>
        <v>0</v>
      </c>
      <c r="AH14" s="57">
        <f t="shared" si="3"/>
        <v>0</v>
      </c>
      <c r="AI14" s="57">
        <f t="shared" si="3"/>
        <v>0</v>
      </c>
      <c r="AJ14" s="57">
        <f t="shared" si="3"/>
        <v>0</v>
      </c>
      <c r="AK14" s="57">
        <f t="shared" si="3"/>
        <v>0</v>
      </c>
      <c r="AL14" s="57">
        <f t="shared" si="3"/>
        <v>0</v>
      </c>
      <c r="AM14" s="57">
        <f t="shared" si="3"/>
        <v>0</v>
      </c>
      <c r="AN14" s="57">
        <f t="shared" si="3"/>
        <v>0</v>
      </c>
      <c r="AO14" s="57">
        <f t="shared" si="3"/>
        <v>0</v>
      </c>
      <c r="AP14" s="57">
        <f t="shared" si="3"/>
        <v>0</v>
      </c>
      <c r="AQ14" s="57">
        <f t="shared" ref="AQ14:BR14" si="4">AQ36*AQ53</f>
        <v>0</v>
      </c>
      <c r="AR14" s="57">
        <f t="shared" si="4"/>
        <v>0</v>
      </c>
      <c r="AS14" s="57">
        <f t="shared" si="4"/>
        <v>0</v>
      </c>
      <c r="AT14" s="57">
        <f t="shared" si="4"/>
        <v>0</v>
      </c>
      <c r="AU14" s="57">
        <f t="shared" si="4"/>
        <v>0</v>
      </c>
      <c r="AV14" s="57">
        <f t="shared" si="4"/>
        <v>0</v>
      </c>
      <c r="AW14" s="57">
        <f t="shared" si="4"/>
        <v>0</v>
      </c>
      <c r="AX14" s="57">
        <f t="shared" si="4"/>
        <v>0</v>
      </c>
      <c r="AY14" s="57">
        <f t="shared" si="4"/>
        <v>0</v>
      </c>
      <c r="AZ14" s="57">
        <f t="shared" si="4"/>
        <v>0</v>
      </c>
      <c r="BA14" s="57">
        <f t="shared" si="4"/>
        <v>0</v>
      </c>
      <c r="BB14" s="57">
        <f t="shared" si="4"/>
        <v>0</v>
      </c>
      <c r="BC14" s="57">
        <f t="shared" si="4"/>
        <v>0</v>
      </c>
      <c r="BD14" s="57">
        <f t="shared" si="4"/>
        <v>0</v>
      </c>
      <c r="BE14" s="57">
        <f t="shared" si="4"/>
        <v>0</v>
      </c>
      <c r="BF14" s="57">
        <f t="shared" si="4"/>
        <v>0</v>
      </c>
      <c r="BG14" s="57">
        <f t="shared" si="4"/>
        <v>0</v>
      </c>
      <c r="BH14" s="57">
        <f t="shared" si="4"/>
        <v>0</v>
      </c>
      <c r="BI14" s="57">
        <f t="shared" si="4"/>
        <v>0</v>
      </c>
      <c r="BJ14" s="57">
        <f t="shared" si="4"/>
        <v>0</v>
      </c>
      <c r="BK14" s="57">
        <f t="shared" si="4"/>
        <v>0</v>
      </c>
      <c r="BL14" s="57">
        <f t="shared" si="4"/>
        <v>0</v>
      </c>
      <c r="BM14" s="57">
        <f t="shared" si="4"/>
        <v>0</v>
      </c>
      <c r="BN14" s="57">
        <f t="shared" si="4"/>
        <v>0</v>
      </c>
      <c r="BO14" s="57">
        <f t="shared" si="4"/>
        <v>0</v>
      </c>
      <c r="BP14" s="57">
        <f t="shared" si="4"/>
        <v>0</v>
      </c>
      <c r="BQ14" s="57">
        <f t="shared" si="4"/>
        <v>0</v>
      </c>
      <c r="BR14" s="57">
        <f t="shared" si="4"/>
        <v>0</v>
      </c>
    </row>
    <row r="15" spans="1:78" x14ac:dyDescent="0.25">
      <c r="A15" s="80"/>
      <c r="C15" s="207" t="str">
        <f>C37</f>
        <v>Insert Product Group 3</v>
      </c>
      <c r="D15" s="161" t="str">
        <f>unit</f>
        <v>£</v>
      </c>
      <c r="E15" s="57">
        <f t="shared" si="0"/>
        <v>0</v>
      </c>
      <c r="F15" s="57">
        <f t="shared" si="0"/>
        <v>0</v>
      </c>
      <c r="G15" s="57">
        <f t="shared" si="0"/>
        <v>0</v>
      </c>
      <c r="H15" s="57">
        <f t="shared" si="0"/>
        <v>0</v>
      </c>
      <c r="I15" s="57">
        <f t="shared" si="0"/>
        <v>0</v>
      </c>
      <c r="J15" s="57"/>
      <c r="K15" s="57">
        <f t="shared" ref="K15:AP15" si="5">K37*K54</f>
        <v>0</v>
      </c>
      <c r="L15" s="57">
        <f t="shared" si="5"/>
        <v>0</v>
      </c>
      <c r="M15" s="57">
        <f t="shared" si="5"/>
        <v>0</v>
      </c>
      <c r="N15" s="57">
        <f t="shared" si="5"/>
        <v>0</v>
      </c>
      <c r="O15" s="57">
        <f t="shared" si="5"/>
        <v>0</v>
      </c>
      <c r="P15" s="57">
        <f t="shared" si="5"/>
        <v>0</v>
      </c>
      <c r="Q15" s="57">
        <f t="shared" si="5"/>
        <v>0</v>
      </c>
      <c r="R15" s="57">
        <f t="shared" si="5"/>
        <v>0</v>
      </c>
      <c r="S15" s="57">
        <f t="shared" si="5"/>
        <v>0</v>
      </c>
      <c r="T15" s="57">
        <f t="shared" si="5"/>
        <v>0</v>
      </c>
      <c r="U15" s="57">
        <f t="shared" si="5"/>
        <v>0</v>
      </c>
      <c r="V15" s="57">
        <f t="shared" si="5"/>
        <v>0</v>
      </c>
      <c r="W15" s="57">
        <f t="shared" si="5"/>
        <v>0</v>
      </c>
      <c r="X15" s="57">
        <f t="shared" si="5"/>
        <v>0</v>
      </c>
      <c r="Y15" s="57">
        <f t="shared" si="5"/>
        <v>0</v>
      </c>
      <c r="Z15" s="57">
        <f t="shared" si="5"/>
        <v>0</v>
      </c>
      <c r="AA15" s="57">
        <f t="shared" si="5"/>
        <v>0</v>
      </c>
      <c r="AB15" s="57">
        <f t="shared" si="5"/>
        <v>0</v>
      </c>
      <c r="AC15" s="57">
        <f t="shared" si="5"/>
        <v>0</v>
      </c>
      <c r="AD15" s="57">
        <f t="shared" si="5"/>
        <v>0</v>
      </c>
      <c r="AE15" s="57">
        <f t="shared" si="5"/>
        <v>0</v>
      </c>
      <c r="AF15" s="57">
        <f t="shared" si="5"/>
        <v>0</v>
      </c>
      <c r="AG15" s="57">
        <f t="shared" si="5"/>
        <v>0</v>
      </c>
      <c r="AH15" s="57">
        <f t="shared" si="5"/>
        <v>0</v>
      </c>
      <c r="AI15" s="57">
        <f t="shared" si="5"/>
        <v>0</v>
      </c>
      <c r="AJ15" s="57">
        <f t="shared" si="5"/>
        <v>0</v>
      </c>
      <c r="AK15" s="57">
        <f t="shared" si="5"/>
        <v>0</v>
      </c>
      <c r="AL15" s="57">
        <f t="shared" si="5"/>
        <v>0</v>
      </c>
      <c r="AM15" s="57">
        <f t="shared" si="5"/>
        <v>0</v>
      </c>
      <c r="AN15" s="57">
        <f t="shared" si="5"/>
        <v>0</v>
      </c>
      <c r="AO15" s="57">
        <f t="shared" si="5"/>
        <v>0</v>
      </c>
      <c r="AP15" s="57">
        <f t="shared" si="5"/>
        <v>0</v>
      </c>
      <c r="AQ15" s="57">
        <f t="shared" ref="AQ15:BR15" si="6">AQ37*AQ54</f>
        <v>0</v>
      </c>
      <c r="AR15" s="57">
        <f t="shared" si="6"/>
        <v>0</v>
      </c>
      <c r="AS15" s="57">
        <f t="shared" si="6"/>
        <v>0</v>
      </c>
      <c r="AT15" s="57">
        <f t="shared" si="6"/>
        <v>0</v>
      </c>
      <c r="AU15" s="57">
        <f t="shared" si="6"/>
        <v>0</v>
      </c>
      <c r="AV15" s="57">
        <f t="shared" si="6"/>
        <v>0</v>
      </c>
      <c r="AW15" s="57">
        <f t="shared" si="6"/>
        <v>0</v>
      </c>
      <c r="AX15" s="57">
        <f t="shared" si="6"/>
        <v>0</v>
      </c>
      <c r="AY15" s="57">
        <f t="shared" si="6"/>
        <v>0</v>
      </c>
      <c r="AZ15" s="57">
        <f t="shared" si="6"/>
        <v>0</v>
      </c>
      <c r="BA15" s="57">
        <f t="shared" si="6"/>
        <v>0</v>
      </c>
      <c r="BB15" s="57">
        <f t="shared" si="6"/>
        <v>0</v>
      </c>
      <c r="BC15" s="57">
        <f t="shared" si="6"/>
        <v>0</v>
      </c>
      <c r="BD15" s="57">
        <f t="shared" si="6"/>
        <v>0</v>
      </c>
      <c r="BE15" s="57">
        <f t="shared" si="6"/>
        <v>0</v>
      </c>
      <c r="BF15" s="57">
        <f t="shared" si="6"/>
        <v>0</v>
      </c>
      <c r="BG15" s="57">
        <f t="shared" si="6"/>
        <v>0</v>
      </c>
      <c r="BH15" s="57">
        <f t="shared" si="6"/>
        <v>0</v>
      </c>
      <c r="BI15" s="57">
        <f t="shared" si="6"/>
        <v>0</v>
      </c>
      <c r="BJ15" s="57">
        <f t="shared" si="6"/>
        <v>0</v>
      </c>
      <c r="BK15" s="57">
        <f t="shared" si="6"/>
        <v>0</v>
      </c>
      <c r="BL15" s="57">
        <f t="shared" si="6"/>
        <v>0</v>
      </c>
      <c r="BM15" s="57">
        <f t="shared" si="6"/>
        <v>0</v>
      </c>
      <c r="BN15" s="57">
        <f t="shared" si="6"/>
        <v>0</v>
      </c>
      <c r="BO15" s="57">
        <f t="shared" si="6"/>
        <v>0</v>
      </c>
      <c r="BP15" s="57">
        <f t="shared" si="6"/>
        <v>0</v>
      </c>
      <c r="BQ15" s="57">
        <f t="shared" si="6"/>
        <v>0</v>
      </c>
      <c r="BR15" s="57">
        <f t="shared" si="6"/>
        <v>0</v>
      </c>
    </row>
    <row r="16" spans="1:78" x14ac:dyDescent="0.25">
      <c r="A16" s="80"/>
      <c r="C16" s="208" t="s">
        <v>133</v>
      </c>
      <c r="D16" s="161" t="str">
        <f>unit</f>
        <v>£</v>
      </c>
      <c r="E16" s="58">
        <f t="shared" si="0"/>
        <v>0</v>
      </c>
      <c r="F16" s="58">
        <f t="shared" si="0"/>
        <v>0</v>
      </c>
      <c r="G16" s="58">
        <f t="shared" si="0"/>
        <v>0</v>
      </c>
      <c r="H16" s="58">
        <f t="shared" si="0"/>
        <v>0</v>
      </c>
      <c r="I16" s="58">
        <f t="shared" si="0"/>
        <v>0</v>
      </c>
      <c r="J16" s="57"/>
      <c r="K16" s="58">
        <f t="shared" ref="K16:AP16" si="7">SUM(K13:K15)</f>
        <v>0</v>
      </c>
      <c r="L16" s="58">
        <f t="shared" si="7"/>
        <v>0</v>
      </c>
      <c r="M16" s="58">
        <f t="shared" si="7"/>
        <v>0</v>
      </c>
      <c r="N16" s="58">
        <f t="shared" si="7"/>
        <v>0</v>
      </c>
      <c r="O16" s="58">
        <f t="shared" si="7"/>
        <v>0</v>
      </c>
      <c r="P16" s="58">
        <f t="shared" si="7"/>
        <v>0</v>
      </c>
      <c r="Q16" s="58">
        <f t="shared" si="7"/>
        <v>0</v>
      </c>
      <c r="R16" s="58">
        <f t="shared" si="7"/>
        <v>0</v>
      </c>
      <c r="S16" s="58">
        <f t="shared" si="7"/>
        <v>0</v>
      </c>
      <c r="T16" s="58">
        <f t="shared" si="7"/>
        <v>0</v>
      </c>
      <c r="U16" s="58">
        <f t="shared" si="7"/>
        <v>0</v>
      </c>
      <c r="V16" s="58">
        <f t="shared" si="7"/>
        <v>0</v>
      </c>
      <c r="W16" s="58">
        <f t="shared" si="7"/>
        <v>0</v>
      </c>
      <c r="X16" s="58">
        <f t="shared" si="7"/>
        <v>0</v>
      </c>
      <c r="Y16" s="58">
        <f t="shared" si="7"/>
        <v>0</v>
      </c>
      <c r="Z16" s="58">
        <f t="shared" si="7"/>
        <v>0</v>
      </c>
      <c r="AA16" s="58">
        <f t="shared" si="7"/>
        <v>0</v>
      </c>
      <c r="AB16" s="58">
        <f t="shared" si="7"/>
        <v>0</v>
      </c>
      <c r="AC16" s="58">
        <f t="shared" si="7"/>
        <v>0</v>
      </c>
      <c r="AD16" s="58">
        <f t="shared" si="7"/>
        <v>0</v>
      </c>
      <c r="AE16" s="58">
        <f t="shared" si="7"/>
        <v>0</v>
      </c>
      <c r="AF16" s="58">
        <f t="shared" si="7"/>
        <v>0</v>
      </c>
      <c r="AG16" s="58">
        <f t="shared" si="7"/>
        <v>0</v>
      </c>
      <c r="AH16" s="58">
        <f t="shared" si="7"/>
        <v>0</v>
      </c>
      <c r="AI16" s="58">
        <f t="shared" si="7"/>
        <v>0</v>
      </c>
      <c r="AJ16" s="58">
        <f t="shared" si="7"/>
        <v>0</v>
      </c>
      <c r="AK16" s="58">
        <f t="shared" si="7"/>
        <v>0</v>
      </c>
      <c r="AL16" s="58">
        <f t="shared" si="7"/>
        <v>0</v>
      </c>
      <c r="AM16" s="58">
        <f t="shared" si="7"/>
        <v>0</v>
      </c>
      <c r="AN16" s="58">
        <f t="shared" si="7"/>
        <v>0</v>
      </c>
      <c r="AO16" s="58">
        <f t="shared" si="7"/>
        <v>0</v>
      </c>
      <c r="AP16" s="58">
        <f t="shared" si="7"/>
        <v>0</v>
      </c>
      <c r="AQ16" s="58">
        <f t="shared" ref="AQ16:BR16" si="8">SUM(AQ13:AQ15)</f>
        <v>0</v>
      </c>
      <c r="AR16" s="58">
        <f t="shared" si="8"/>
        <v>0</v>
      </c>
      <c r="AS16" s="58">
        <f t="shared" si="8"/>
        <v>0</v>
      </c>
      <c r="AT16" s="58">
        <f t="shared" si="8"/>
        <v>0</v>
      </c>
      <c r="AU16" s="58">
        <f t="shared" si="8"/>
        <v>0</v>
      </c>
      <c r="AV16" s="58">
        <f t="shared" si="8"/>
        <v>0</v>
      </c>
      <c r="AW16" s="58">
        <f t="shared" si="8"/>
        <v>0</v>
      </c>
      <c r="AX16" s="58">
        <f t="shared" si="8"/>
        <v>0</v>
      </c>
      <c r="AY16" s="58">
        <f t="shared" si="8"/>
        <v>0</v>
      </c>
      <c r="AZ16" s="58">
        <f t="shared" si="8"/>
        <v>0</v>
      </c>
      <c r="BA16" s="58">
        <f t="shared" si="8"/>
        <v>0</v>
      </c>
      <c r="BB16" s="58">
        <f t="shared" si="8"/>
        <v>0</v>
      </c>
      <c r="BC16" s="58">
        <f t="shared" si="8"/>
        <v>0</v>
      </c>
      <c r="BD16" s="58">
        <f t="shared" si="8"/>
        <v>0</v>
      </c>
      <c r="BE16" s="58">
        <f t="shared" si="8"/>
        <v>0</v>
      </c>
      <c r="BF16" s="58">
        <f t="shared" si="8"/>
        <v>0</v>
      </c>
      <c r="BG16" s="58">
        <f t="shared" si="8"/>
        <v>0</v>
      </c>
      <c r="BH16" s="58">
        <f t="shared" si="8"/>
        <v>0</v>
      </c>
      <c r="BI16" s="58">
        <f t="shared" si="8"/>
        <v>0</v>
      </c>
      <c r="BJ16" s="58">
        <f t="shared" si="8"/>
        <v>0</v>
      </c>
      <c r="BK16" s="58">
        <f t="shared" si="8"/>
        <v>0</v>
      </c>
      <c r="BL16" s="58">
        <f t="shared" si="8"/>
        <v>0</v>
      </c>
      <c r="BM16" s="58">
        <f t="shared" si="8"/>
        <v>0</v>
      </c>
      <c r="BN16" s="58">
        <f t="shared" si="8"/>
        <v>0</v>
      </c>
      <c r="BO16" s="58">
        <f t="shared" si="8"/>
        <v>0</v>
      </c>
      <c r="BP16" s="58">
        <f t="shared" si="8"/>
        <v>0</v>
      </c>
      <c r="BQ16" s="58">
        <f t="shared" si="8"/>
        <v>0</v>
      </c>
      <c r="BR16" s="58">
        <f t="shared" si="8"/>
        <v>0</v>
      </c>
      <c r="BT16" s="71" t="s">
        <v>193</v>
      </c>
    </row>
    <row r="17" spans="1:72" x14ac:dyDescent="0.25">
      <c r="A17" s="80"/>
      <c r="D17" s="161"/>
      <c r="E17" s="62"/>
      <c r="F17" s="62"/>
      <c r="G17" s="62"/>
      <c r="H17" s="62"/>
      <c r="I17" s="62"/>
      <c r="J17" s="57"/>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c r="BP17" s="62"/>
      <c r="BQ17" s="62"/>
      <c r="BR17" s="62"/>
    </row>
    <row r="18" spans="1:72" s="169" customFormat="1" ht="13.8" x14ac:dyDescent="0.25">
      <c r="B18" s="169" t="str">
        <f>Header2</f>
        <v>1.2</v>
      </c>
      <c r="C18" s="169" t="str">
        <f>IF(KeyInputs!F26=0," ",KeyInputs!F26)</f>
        <v>Insert Business Line2</v>
      </c>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row>
    <row r="19" spans="1:72" x14ac:dyDescent="0.25">
      <c r="A19" s="80"/>
      <c r="C19" s="207" t="str">
        <f>C40</f>
        <v>Insert Product Group4</v>
      </c>
      <c r="D19" s="161" t="str">
        <f>unit</f>
        <v>£</v>
      </c>
      <c r="E19" s="57">
        <f t="shared" ref="E19:I22" si="9">SUMIF($K$5:$BR$5,E$5,$K19:$BR19)</f>
        <v>0</v>
      </c>
      <c r="F19" s="57">
        <f t="shared" si="9"/>
        <v>0</v>
      </c>
      <c r="G19" s="57">
        <f t="shared" si="9"/>
        <v>0</v>
      </c>
      <c r="H19" s="57">
        <f t="shared" si="9"/>
        <v>0</v>
      </c>
      <c r="I19" s="57">
        <f t="shared" si="9"/>
        <v>0</v>
      </c>
      <c r="J19" s="57"/>
      <c r="K19" s="57">
        <f t="shared" ref="K19:AP19" si="10">K40*K57</f>
        <v>0</v>
      </c>
      <c r="L19" s="57">
        <f t="shared" si="10"/>
        <v>0</v>
      </c>
      <c r="M19" s="57">
        <f t="shared" si="10"/>
        <v>0</v>
      </c>
      <c r="N19" s="57">
        <f t="shared" si="10"/>
        <v>0</v>
      </c>
      <c r="O19" s="57">
        <f t="shared" si="10"/>
        <v>0</v>
      </c>
      <c r="P19" s="57">
        <f t="shared" si="10"/>
        <v>0</v>
      </c>
      <c r="Q19" s="57">
        <f t="shared" si="10"/>
        <v>0</v>
      </c>
      <c r="R19" s="57">
        <f t="shared" si="10"/>
        <v>0</v>
      </c>
      <c r="S19" s="57">
        <f t="shared" si="10"/>
        <v>0</v>
      </c>
      <c r="T19" s="57">
        <f t="shared" si="10"/>
        <v>0</v>
      </c>
      <c r="U19" s="57">
        <f t="shared" si="10"/>
        <v>0</v>
      </c>
      <c r="V19" s="57">
        <f t="shared" si="10"/>
        <v>0</v>
      </c>
      <c r="W19" s="57">
        <f t="shared" si="10"/>
        <v>0</v>
      </c>
      <c r="X19" s="57">
        <f t="shared" si="10"/>
        <v>0</v>
      </c>
      <c r="Y19" s="57">
        <f t="shared" si="10"/>
        <v>0</v>
      </c>
      <c r="Z19" s="57">
        <f t="shared" si="10"/>
        <v>0</v>
      </c>
      <c r="AA19" s="57">
        <f t="shared" si="10"/>
        <v>0</v>
      </c>
      <c r="AB19" s="57">
        <f t="shared" si="10"/>
        <v>0</v>
      </c>
      <c r="AC19" s="57">
        <f t="shared" si="10"/>
        <v>0</v>
      </c>
      <c r="AD19" s="57">
        <f t="shared" si="10"/>
        <v>0</v>
      </c>
      <c r="AE19" s="57">
        <f t="shared" si="10"/>
        <v>0</v>
      </c>
      <c r="AF19" s="57">
        <f t="shared" si="10"/>
        <v>0</v>
      </c>
      <c r="AG19" s="57">
        <f t="shared" si="10"/>
        <v>0</v>
      </c>
      <c r="AH19" s="57">
        <f t="shared" si="10"/>
        <v>0</v>
      </c>
      <c r="AI19" s="57">
        <f t="shared" si="10"/>
        <v>0</v>
      </c>
      <c r="AJ19" s="57">
        <f t="shared" si="10"/>
        <v>0</v>
      </c>
      <c r="AK19" s="57">
        <f t="shared" si="10"/>
        <v>0</v>
      </c>
      <c r="AL19" s="57">
        <f t="shared" si="10"/>
        <v>0</v>
      </c>
      <c r="AM19" s="57">
        <f t="shared" si="10"/>
        <v>0</v>
      </c>
      <c r="AN19" s="57">
        <f t="shared" si="10"/>
        <v>0</v>
      </c>
      <c r="AO19" s="57">
        <f t="shared" si="10"/>
        <v>0</v>
      </c>
      <c r="AP19" s="57">
        <f t="shared" si="10"/>
        <v>0</v>
      </c>
      <c r="AQ19" s="57">
        <f t="shared" ref="AQ19:BR19" si="11">AQ40*AQ57</f>
        <v>0</v>
      </c>
      <c r="AR19" s="57">
        <f t="shared" si="11"/>
        <v>0</v>
      </c>
      <c r="AS19" s="57">
        <f t="shared" si="11"/>
        <v>0</v>
      </c>
      <c r="AT19" s="57">
        <f t="shared" si="11"/>
        <v>0</v>
      </c>
      <c r="AU19" s="57">
        <f t="shared" si="11"/>
        <v>0</v>
      </c>
      <c r="AV19" s="57">
        <f t="shared" si="11"/>
        <v>0</v>
      </c>
      <c r="AW19" s="57">
        <f t="shared" si="11"/>
        <v>0</v>
      </c>
      <c r="AX19" s="57">
        <f t="shared" si="11"/>
        <v>0</v>
      </c>
      <c r="AY19" s="57">
        <f t="shared" si="11"/>
        <v>0</v>
      </c>
      <c r="AZ19" s="57">
        <f t="shared" si="11"/>
        <v>0</v>
      </c>
      <c r="BA19" s="57">
        <f t="shared" si="11"/>
        <v>0</v>
      </c>
      <c r="BB19" s="57">
        <f t="shared" si="11"/>
        <v>0</v>
      </c>
      <c r="BC19" s="57">
        <f t="shared" si="11"/>
        <v>0</v>
      </c>
      <c r="BD19" s="57">
        <f t="shared" si="11"/>
        <v>0</v>
      </c>
      <c r="BE19" s="57">
        <f t="shared" si="11"/>
        <v>0</v>
      </c>
      <c r="BF19" s="57">
        <f t="shared" si="11"/>
        <v>0</v>
      </c>
      <c r="BG19" s="57">
        <f t="shared" si="11"/>
        <v>0</v>
      </c>
      <c r="BH19" s="57">
        <f t="shared" si="11"/>
        <v>0</v>
      </c>
      <c r="BI19" s="57">
        <f t="shared" si="11"/>
        <v>0</v>
      </c>
      <c r="BJ19" s="57">
        <f t="shared" si="11"/>
        <v>0</v>
      </c>
      <c r="BK19" s="57">
        <f t="shared" si="11"/>
        <v>0</v>
      </c>
      <c r="BL19" s="57">
        <f t="shared" si="11"/>
        <v>0</v>
      </c>
      <c r="BM19" s="57">
        <f t="shared" si="11"/>
        <v>0</v>
      </c>
      <c r="BN19" s="57">
        <f t="shared" si="11"/>
        <v>0</v>
      </c>
      <c r="BO19" s="57">
        <f t="shared" si="11"/>
        <v>0</v>
      </c>
      <c r="BP19" s="57">
        <f t="shared" si="11"/>
        <v>0</v>
      </c>
      <c r="BQ19" s="57">
        <f t="shared" si="11"/>
        <v>0</v>
      </c>
      <c r="BR19" s="57">
        <f t="shared" si="11"/>
        <v>0</v>
      </c>
    </row>
    <row r="20" spans="1:72" x14ac:dyDescent="0.25">
      <c r="A20" s="80"/>
      <c r="C20" s="207" t="str">
        <f>C41</f>
        <v>Insert Product Group5</v>
      </c>
      <c r="D20" s="161" t="str">
        <f>unit</f>
        <v>£</v>
      </c>
      <c r="E20" s="57">
        <f t="shared" si="9"/>
        <v>0</v>
      </c>
      <c r="F20" s="57">
        <f t="shared" si="9"/>
        <v>0</v>
      </c>
      <c r="G20" s="57">
        <f t="shared" si="9"/>
        <v>0</v>
      </c>
      <c r="H20" s="57">
        <f t="shared" si="9"/>
        <v>0</v>
      </c>
      <c r="I20" s="57">
        <f t="shared" si="9"/>
        <v>0</v>
      </c>
      <c r="J20" s="57"/>
      <c r="K20" s="57">
        <f t="shared" ref="K20:AP20" si="12">K41*K58</f>
        <v>0</v>
      </c>
      <c r="L20" s="57">
        <f t="shared" si="12"/>
        <v>0</v>
      </c>
      <c r="M20" s="57">
        <f t="shared" si="12"/>
        <v>0</v>
      </c>
      <c r="N20" s="57">
        <f t="shared" si="12"/>
        <v>0</v>
      </c>
      <c r="O20" s="57">
        <f t="shared" si="12"/>
        <v>0</v>
      </c>
      <c r="P20" s="57">
        <f t="shared" si="12"/>
        <v>0</v>
      </c>
      <c r="Q20" s="57">
        <f t="shared" si="12"/>
        <v>0</v>
      </c>
      <c r="R20" s="57">
        <f t="shared" si="12"/>
        <v>0</v>
      </c>
      <c r="S20" s="57">
        <f t="shared" si="12"/>
        <v>0</v>
      </c>
      <c r="T20" s="57">
        <f t="shared" si="12"/>
        <v>0</v>
      </c>
      <c r="U20" s="57">
        <f t="shared" si="12"/>
        <v>0</v>
      </c>
      <c r="V20" s="57">
        <f t="shared" si="12"/>
        <v>0</v>
      </c>
      <c r="W20" s="57">
        <f t="shared" si="12"/>
        <v>0</v>
      </c>
      <c r="X20" s="57">
        <f t="shared" si="12"/>
        <v>0</v>
      </c>
      <c r="Y20" s="57">
        <f t="shared" si="12"/>
        <v>0</v>
      </c>
      <c r="Z20" s="57">
        <f t="shared" si="12"/>
        <v>0</v>
      </c>
      <c r="AA20" s="57">
        <f t="shared" si="12"/>
        <v>0</v>
      </c>
      <c r="AB20" s="57">
        <f t="shared" si="12"/>
        <v>0</v>
      </c>
      <c r="AC20" s="57">
        <f t="shared" si="12"/>
        <v>0</v>
      </c>
      <c r="AD20" s="57">
        <f t="shared" si="12"/>
        <v>0</v>
      </c>
      <c r="AE20" s="57">
        <f t="shared" si="12"/>
        <v>0</v>
      </c>
      <c r="AF20" s="57">
        <f t="shared" si="12"/>
        <v>0</v>
      </c>
      <c r="AG20" s="57">
        <f t="shared" si="12"/>
        <v>0</v>
      </c>
      <c r="AH20" s="57">
        <f t="shared" si="12"/>
        <v>0</v>
      </c>
      <c r="AI20" s="57">
        <f t="shared" si="12"/>
        <v>0</v>
      </c>
      <c r="AJ20" s="57">
        <f t="shared" si="12"/>
        <v>0</v>
      </c>
      <c r="AK20" s="57">
        <f t="shared" si="12"/>
        <v>0</v>
      </c>
      <c r="AL20" s="57">
        <f t="shared" si="12"/>
        <v>0</v>
      </c>
      <c r="AM20" s="57">
        <f t="shared" si="12"/>
        <v>0</v>
      </c>
      <c r="AN20" s="57">
        <f t="shared" si="12"/>
        <v>0</v>
      </c>
      <c r="AO20" s="57">
        <f t="shared" si="12"/>
        <v>0</v>
      </c>
      <c r="AP20" s="57">
        <f t="shared" si="12"/>
        <v>0</v>
      </c>
      <c r="AQ20" s="57">
        <f t="shared" ref="AQ20:BR20" si="13">AQ41*AQ58</f>
        <v>0</v>
      </c>
      <c r="AR20" s="57">
        <f t="shared" si="13"/>
        <v>0</v>
      </c>
      <c r="AS20" s="57">
        <f t="shared" si="13"/>
        <v>0</v>
      </c>
      <c r="AT20" s="57">
        <f t="shared" si="13"/>
        <v>0</v>
      </c>
      <c r="AU20" s="57">
        <f t="shared" si="13"/>
        <v>0</v>
      </c>
      <c r="AV20" s="57">
        <f t="shared" si="13"/>
        <v>0</v>
      </c>
      <c r="AW20" s="57">
        <f t="shared" si="13"/>
        <v>0</v>
      </c>
      <c r="AX20" s="57">
        <f t="shared" si="13"/>
        <v>0</v>
      </c>
      <c r="AY20" s="57">
        <f t="shared" si="13"/>
        <v>0</v>
      </c>
      <c r="AZ20" s="57">
        <f t="shared" si="13"/>
        <v>0</v>
      </c>
      <c r="BA20" s="57">
        <f t="shared" si="13"/>
        <v>0</v>
      </c>
      <c r="BB20" s="57">
        <f t="shared" si="13"/>
        <v>0</v>
      </c>
      <c r="BC20" s="57">
        <f t="shared" si="13"/>
        <v>0</v>
      </c>
      <c r="BD20" s="57">
        <f t="shared" si="13"/>
        <v>0</v>
      </c>
      <c r="BE20" s="57">
        <f t="shared" si="13"/>
        <v>0</v>
      </c>
      <c r="BF20" s="57">
        <f t="shared" si="13"/>
        <v>0</v>
      </c>
      <c r="BG20" s="57">
        <f t="shared" si="13"/>
        <v>0</v>
      </c>
      <c r="BH20" s="57">
        <f t="shared" si="13"/>
        <v>0</v>
      </c>
      <c r="BI20" s="57">
        <f t="shared" si="13"/>
        <v>0</v>
      </c>
      <c r="BJ20" s="57">
        <f t="shared" si="13"/>
        <v>0</v>
      </c>
      <c r="BK20" s="57">
        <f t="shared" si="13"/>
        <v>0</v>
      </c>
      <c r="BL20" s="57">
        <f t="shared" si="13"/>
        <v>0</v>
      </c>
      <c r="BM20" s="57">
        <f t="shared" si="13"/>
        <v>0</v>
      </c>
      <c r="BN20" s="57">
        <f t="shared" si="13"/>
        <v>0</v>
      </c>
      <c r="BO20" s="57">
        <f t="shared" si="13"/>
        <v>0</v>
      </c>
      <c r="BP20" s="57">
        <f t="shared" si="13"/>
        <v>0</v>
      </c>
      <c r="BQ20" s="57">
        <f t="shared" si="13"/>
        <v>0</v>
      </c>
      <c r="BR20" s="57">
        <f t="shared" si="13"/>
        <v>0</v>
      </c>
    </row>
    <row r="21" spans="1:72" x14ac:dyDescent="0.25">
      <c r="A21" s="80"/>
      <c r="C21" s="207" t="str">
        <f>C42</f>
        <v>Insert Product Group6</v>
      </c>
      <c r="D21" s="161" t="str">
        <f>unit</f>
        <v>£</v>
      </c>
      <c r="E21" s="57">
        <f t="shared" si="9"/>
        <v>0</v>
      </c>
      <c r="F21" s="57">
        <f t="shared" si="9"/>
        <v>0</v>
      </c>
      <c r="G21" s="57">
        <f t="shared" si="9"/>
        <v>0</v>
      </c>
      <c r="H21" s="57">
        <f t="shared" si="9"/>
        <v>0</v>
      </c>
      <c r="I21" s="57">
        <f t="shared" si="9"/>
        <v>0</v>
      </c>
      <c r="J21" s="57"/>
      <c r="K21" s="57">
        <f t="shared" ref="K21:AP21" si="14">K42*K59</f>
        <v>0</v>
      </c>
      <c r="L21" s="57">
        <f t="shared" si="14"/>
        <v>0</v>
      </c>
      <c r="M21" s="57">
        <f t="shared" si="14"/>
        <v>0</v>
      </c>
      <c r="N21" s="57">
        <f t="shared" si="14"/>
        <v>0</v>
      </c>
      <c r="O21" s="57">
        <f t="shared" si="14"/>
        <v>0</v>
      </c>
      <c r="P21" s="57">
        <f t="shared" si="14"/>
        <v>0</v>
      </c>
      <c r="Q21" s="57">
        <f t="shared" si="14"/>
        <v>0</v>
      </c>
      <c r="R21" s="57">
        <f t="shared" si="14"/>
        <v>0</v>
      </c>
      <c r="S21" s="57">
        <f t="shared" si="14"/>
        <v>0</v>
      </c>
      <c r="T21" s="57">
        <f t="shared" si="14"/>
        <v>0</v>
      </c>
      <c r="U21" s="57">
        <f t="shared" si="14"/>
        <v>0</v>
      </c>
      <c r="V21" s="57">
        <f t="shared" si="14"/>
        <v>0</v>
      </c>
      <c r="W21" s="57">
        <f t="shared" si="14"/>
        <v>0</v>
      </c>
      <c r="X21" s="57">
        <f t="shared" si="14"/>
        <v>0</v>
      </c>
      <c r="Y21" s="57">
        <f t="shared" si="14"/>
        <v>0</v>
      </c>
      <c r="Z21" s="57">
        <f t="shared" si="14"/>
        <v>0</v>
      </c>
      <c r="AA21" s="57">
        <f t="shared" si="14"/>
        <v>0</v>
      </c>
      <c r="AB21" s="57">
        <f t="shared" si="14"/>
        <v>0</v>
      </c>
      <c r="AC21" s="57">
        <f t="shared" si="14"/>
        <v>0</v>
      </c>
      <c r="AD21" s="57">
        <f t="shared" si="14"/>
        <v>0</v>
      </c>
      <c r="AE21" s="57">
        <f t="shared" si="14"/>
        <v>0</v>
      </c>
      <c r="AF21" s="57">
        <f t="shared" si="14"/>
        <v>0</v>
      </c>
      <c r="AG21" s="57">
        <f t="shared" si="14"/>
        <v>0</v>
      </c>
      <c r="AH21" s="57">
        <f t="shared" si="14"/>
        <v>0</v>
      </c>
      <c r="AI21" s="57">
        <f t="shared" si="14"/>
        <v>0</v>
      </c>
      <c r="AJ21" s="57">
        <f t="shared" si="14"/>
        <v>0</v>
      </c>
      <c r="AK21" s="57">
        <f t="shared" si="14"/>
        <v>0</v>
      </c>
      <c r="AL21" s="57">
        <f t="shared" si="14"/>
        <v>0</v>
      </c>
      <c r="AM21" s="57">
        <f t="shared" si="14"/>
        <v>0</v>
      </c>
      <c r="AN21" s="57">
        <f t="shared" si="14"/>
        <v>0</v>
      </c>
      <c r="AO21" s="57">
        <f t="shared" si="14"/>
        <v>0</v>
      </c>
      <c r="AP21" s="57">
        <f t="shared" si="14"/>
        <v>0</v>
      </c>
      <c r="AQ21" s="57">
        <f t="shared" ref="AQ21:BR21" si="15">AQ42*AQ59</f>
        <v>0</v>
      </c>
      <c r="AR21" s="57">
        <f t="shared" si="15"/>
        <v>0</v>
      </c>
      <c r="AS21" s="57">
        <f t="shared" si="15"/>
        <v>0</v>
      </c>
      <c r="AT21" s="57">
        <f t="shared" si="15"/>
        <v>0</v>
      </c>
      <c r="AU21" s="57">
        <f t="shared" si="15"/>
        <v>0</v>
      </c>
      <c r="AV21" s="57">
        <f t="shared" si="15"/>
        <v>0</v>
      </c>
      <c r="AW21" s="57">
        <f t="shared" si="15"/>
        <v>0</v>
      </c>
      <c r="AX21" s="57">
        <f t="shared" si="15"/>
        <v>0</v>
      </c>
      <c r="AY21" s="57">
        <f t="shared" si="15"/>
        <v>0</v>
      </c>
      <c r="AZ21" s="57">
        <f t="shared" si="15"/>
        <v>0</v>
      </c>
      <c r="BA21" s="57">
        <f t="shared" si="15"/>
        <v>0</v>
      </c>
      <c r="BB21" s="57">
        <f t="shared" si="15"/>
        <v>0</v>
      </c>
      <c r="BC21" s="57">
        <f t="shared" si="15"/>
        <v>0</v>
      </c>
      <c r="BD21" s="57">
        <f t="shared" si="15"/>
        <v>0</v>
      </c>
      <c r="BE21" s="57">
        <f t="shared" si="15"/>
        <v>0</v>
      </c>
      <c r="BF21" s="57">
        <f t="shared" si="15"/>
        <v>0</v>
      </c>
      <c r="BG21" s="57">
        <f t="shared" si="15"/>
        <v>0</v>
      </c>
      <c r="BH21" s="57">
        <f t="shared" si="15"/>
        <v>0</v>
      </c>
      <c r="BI21" s="57">
        <f t="shared" si="15"/>
        <v>0</v>
      </c>
      <c r="BJ21" s="57">
        <f t="shared" si="15"/>
        <v>0</v>
      </c>
      <c r="BK21" s="57">
        <f t="shared" si="15"/>
        <v>0</v>
      </c>
      <c r="BL21" s="57">
        <f t="shared" si="15"/>
        <v>0</v>
      </c>
      <c r="BM21" s="57">
        <f t="shared" si="15"/>
        <v>0</v>
      </c>
      <c r="BN21" s="57">
        <f t="shared" si="15"/>
        <v>0</v>
      </c>
      <c r="BO21" s="57">
        <f t="shared" si="15"/>
        <v>0</v>
      </c>
      <c r="BP21" s="57">
        <f t="shared" si="15"/>
        <v>0</v>
      </c>
      <c r="BQ21" s="57">
        <f t="shared" si="15"/>
        <v>0</v>
      </c>
      <c r="BR21" s="57">
        <f t="shared" si="15"/>
        <v>0</v>
      </c>
    </row>
    <row r="22" spans="1:72" x14ac:dyDescent="0.25">
      <c r="A22" s="80"/>
      <c r="C22" s="208" t="s">
        <v>133</v>
      </c>
      <c r="D22" s="161" t="str">
        <f>unit</f>
        <v>£</v>
      </c>
      <c r="E22" s="58">
        <f t="shared" si="9"/>
        <v>0</v>
      </c>
      <c r="F22" s="58">
        <f t="shared" si="9"/>
        <v>0</v>
      </c>
      <c r="G22" s="58">
        <f t="shared" si="9"/>
        <v>0</v>
      </c>
      <c r="H22" s="58">
        <f t="shared" si="9"/>
        <v>0</v>
      </c>
      <c r="I22" s="58">
        <f t="shared" si="9"/>
        <v>0</v>
      </c>
      <c r="J22" s="57"/>
      <c r="K22" s="58">
        <f t="shared" ref="K22:AP22" si="16">SUM(K19:K21)</f>
        <v>0</v>
      </c>
      <c r="L22" s="58">
        <f t="shared" si="16"/>
        <v>0</v>
      </c>
      <c r="M22" s="58">
        <f t="shared" si="16"/>
        <v>0</v>
      </c>
      <c r="N22" s="58">
        <f t="shared" si="16"/>
        <v>0</v>
      </c>
      <c r="O22" s="58">
        <f t="shared" si="16"/>
        <v>0</v>
      </c>
      <c r="P22" s="58">
        <f t="shared" si="16"/>
        <v>0</v>
      </c>
      <c r="Q22" s="58">
        <f t="shared" si="16"/>
        <v>0</v>
      </c>
      <c r="R22" s="58">
        <f t="shared" si="16"/>
        <v>0</v>
      </c>
      <c r="S22" s="58">
        <f t="shared" si="16"/>
        <v>0</v>
      </c>
      <c r="T22" s="58">
        <f t="shared" si="16"/>
        <v>0</v>
      </c>
      <c r="U22" s="58">
        <f t="shared" si="16"/>
        <v>0</v>
      </c>
      <c r="V22" s="58">
        <f t="shared" si="16"/>
        <v>0</v>
      </c>
      <c r="W22" s="58">
        <f t="shared" si="16"/>
        <v>0</v>
      </c>
      <c r="X22" s="58">
        <f t="shared" si="16"/>
        <v>0</v>
      </c>
      <c r="Y22" s="58">
        <f t="shared" si="16"/>
        <v>0</v>
      </c>
      <c r="Z22" s="58">
        <f t="shared" si="16"/>
        <v>0</v>
      </c>
      <c r="AA22" s="58">
        <f t="shared" si="16"/>
        <v>0</v>
      </c>
      <c r="AB22" s="58">
        <f t="shared" si="16"/>
        <v>0</v>
      </c>
      <c r="AC22" s="58">
        <f t="shared" si="16"/>
        <v>0</v>
      </c>
      <c r="AD22" s="58">
        <f t="shared" si="16"/>
        <v>0</v>
      </c>
      <c r="AE22" s="58">
        <f t="shared" si="16"/>
        <v>0</v>
      </c>
      <c r="AF22" s="58">
        <f t="shared" si="16"/>
        <v>0</v>
      </c>
      <c r="AG22" s="58">
        <f t="shared" si="16"/>
        <v>0</v>
      </c>
      <c r="AH22" s="58">
        <f t="shared" si="16"/>
        <v>0</v>
      </c>
      <c r="AI22" s="58">
        <f t="shared" si="16"/>
        <v>0</v>
      </c>
      <c r="AJ22" s="58">
        <f t="shared" si="16"/>
        <v>0</v>
      </c>
      <c r="AK22" s="58">
        <f t="shared" si="16"/>
        <v>0</v>
      </c>
      <c r="AL22" s="58">
        <f t="shared" si="16"/>
        <v>0</v>
      </c>
      <c r="AM22" s="58">
        <f t="shared" si="16"/>
        <v>0</v>
      </c>
      <c r="AN22" s="58">
        <f t="shared" si="16"/>
        <v>0</v>
      </c>
      <c r="AO22" s="58">
        <f t="shared" si="16"/>
        <v>0</v>
      </c>
      <c r="AP22" s="58">
        <f t="shared" si="16"/>
        <v>0</v>
      </c>
      <c r="AQ22" s="58">
        <f t="shared" ref="AQ22:BR22" si="17">SUM(AQ19:AQ21)</f>
        <v>0</v>
      </c>
      <c r="AR22" s="58">
        <f t="shared" si="17"/>
        <v>0</v>
      </c>
      <c r="AS22" s="58">
        <f t="shared" si="17"/>
        <v>0</v>
      </c>
      <c r="AT22" s="58">
        <f t="shared" si="17"/>
        <v>0</v>
      </c>
      <c r="AU22" s="58">
        <f t="shared" si="17"/>
        <v>0</v>
      </c>
      <c r="AV22" s="58">
        <f t="shared" si="17"/>
        <v>0</v>
      </c>
      <c r="AW22" s="58">
        <f t="shared" si="17"/>
        <v>0</v>
      </c>
      <c r="AX22" s="58">
        <f t="shared" si="17"/>
        <v>0</v>
      </c>
      <c r="AY22" s="58">
        <f t="shared" si="17"/>
        <v>0</v>
      </c>
      <c r="AZ22" s="58">
        <f t="shared" si="17"/>
        <v>0</v>
      </c>
      <c r="BA22" s="58">
        <f t="shared" si="17"/>
        <v>0</v>
      </c>
      <c r="BB22" s="58">
        <f t="shared" si="17"/>
        <v>0</v>
      </c>
      <c r="BC22" s="58">
        <f t="shared" si="17"/>
        <v>0</v>
      </c>
      <c r="BD22" s="58">
        <f t="shared" si="17"/>
        <v>0</v>
      </c>
      <c r="BE22" s="58">
        <f t="shared" si="17"/>
        <v>0</v>
      </c>
      <c r="BF22" s="58">
        <f t="shared" si="17"/>
        <v>0</v>
      </c>
      <c r="BG22" s="58">
        <f t="shared" si="17"/>
        <v>0</v>
      </c>
      <c r="BH22" s="58">
        <f t="shared" si="17"/>
        <v>0</v>
      </c>
      <c r="BI22" s="58">
        <f t="shared" si="17"/>
        <v>0</v>
      </c>
      <c r="BJ22" s="58">
        <f t="shared" si="17"/>
        <v>0</v>
      </c>
      <c r="BK22" s="58">
        <f t="shared" si="17"/>
        <v>0</v>
      </c>
      <c r="BL22" s="58">
        <f t="shared" si="17"/>
        <v>0</v>
      </c>
      <c r="BM22" s="58">
        <f t="shared" si="17"/>
        <v>0</v>
      </c>
      <c r="BN22" s="58">
        <f t="shared" si="17"/>
        <v>0</v>
      </c>
      <c r="BO22" s="58">
        <f t="shared" si="17"/>
        <v>0</v>
      </c>
      <c r="BP22" s="58">
        <f t="shared" si="17"/>
        <v>0</v>
      </c>
      <c r="BQ22" s="58">
        <f t="shared" si="17"/>
        <v>0</v>
      </c>
      <c r="BR22" s="58">
        <f t="shared" si="17"/>
        <v>0</v>
      </c>
      <c r="BT22" s="71" t="s">
        <v>194</v>
      </c>
    </row>
    <row r="23" spans="1:72" x14ac:dyDescent="0.25">
      <c r="A23" s="80"/>
      <c r="D23" s="161"/>
      <c r="E23" s="62"/>
      <c r="F23" s="62"/>
      <c r="G23" s="62"/>
      <c r="H23" s="62"/>
      <c r="I23" s="62"/>
      <c r="J23" s="57"/>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row>
    <row r="24" spans="1:72" s="169" customFormat="1" ht="13.8" x14ac:dyDescent="0.25">
      <c r="B24" s="169" t="str">
        <f>Header2</f>
        <v>1.3</v>
      </c>
      <c r="C24" s="169" t="str">
        <f>IF(KeyInputs!F31=0," ",KeyInputs!F31)</f>
        <v>Insert Business Line3</v>
      </c>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row>
    <row r="25" spans="1:72" x14ac:dyDescent="0.25">
      <c r="C25" s="207" t="str">
        <f>C45</f>
        <v>Insert Product Group7</v>
      </c>
      <c r="D25" s="161" t="str">
        <f>unit</f>
        <v>£</v>
      </c>
      <c r="E25" s="57">
        <f t="shared" ref="E25:I28" si="18">SUMIF($K$5:$BR$5,E$5,$K25:$BR25)</f>
        <v>0</v>
      </c>
      <c r="F25" s="57">
        <f t="shared" si="18"/>
        <v>0</v>
      </c>
      <c r="G25" s="57">
        <f t="shared" si="18"/>
        <v>0</v>
      </c>
      <c r="H25" s="57">
        <f t="shared" si="18"/>
        <v>0</v>
      </c>
      <c r="I25" s="57">
        <f t="shared" si="18"/>
        <v>0</v>
      </c>
      <c r="J25" s="57"/>
      <c r="K25" s="57">
        <f t="shared" ref="K25:AP25" si="19">K45*K62</f>
        <v>0</v>
      </c>
      <c r="L25" s="57">
        <f t="shared" si="19"/>
        <v>0</v>
      </c>
      <c r="M25" s="57">
        <f t="shared" si="19"/>
        <v>0</v>
      </c>
      <c r="N25" s="57">
        <f t="shared" si="19"/>
        <v>0</v>
      </c>
      <c r="O25" s="57">
        <f t="shared" si="19"/>
        <v>0</v>
      </c>
      <c r="P25" s="57">
        <f t="shared" si="19"/>
        <v>0</v>
      </c>
      <c r="Q25" s="57">
        <f t="shared" si="19"/>
        <v>0</v>
      </c>
      <c r="R25" s="57">
        <f t="shared" si="19"/>
        <v>0</v>
      </c>
      <c r="S25" s="57">
        <f t="shared" si="19"/>
        <v>0</v>
      </c>
      <c r="T25" s="57">
        <f t="shared" si="19"/>
        <v>0</v>
      </c>
      <c r="U25" s="57">
        <f t="shared" si="19"/>
        <v>0</v>
      </c>
      <c r="V25" s="57">
        <f t="shared" si="19"/>
        <v>0</v>
      </c>
      <c r="W25" s="57">
        <f t="shared" si="19"/>
        <v>0</v>
      </c>
      <c r="X25" s="57">
        <f t="shared" si="19"/>
        <v>0</v>
      </c>
      <c r="Y25" s="57">
        <f t="shared" si="19"/>
        <v>0</v>
      </c>
      <c r="Z25" s="57">
        <f t="shared" si="19"/>
        <v>0</v>
      </c>
      <c r="AA25" s="57">
        <f t="shared" si="19"/>
        <v>0</v>
      </c>
      <c r="AB25" s="57">
        <f t="shared" si="19"/>
        <v>0</v>
      </c>
      <c r="AC25" s="57">
        <f t="shared" si="19"/>
        <v>0</v>
      </c>
      <c r="AD25" s="57">
        <f t="shared" si="19"/>
        <v>0</v>
      </c>
      <c r="AE25" s="57">
        <f t="shared" si="19"/>
        <v>0</v>
      </c>
      <c r="AF25" s="57">
        <f t="shared" si="19"/>
        <v>0</v>
      </c>
      <c r="AG25" s="57">
        <f t="shared" si="19"/>
        <v>0</v>
      </c>
      <c r="AH25" s="57">
        <f t="shared" si="19"/>
        <v>0</v>
      </c>
      <c r="AI25" s="57">
        <f t="shared" si="19"/>
        <v>0</v>
      </c>
      <c r="AJ25" s="57">
        <f t="shared" si="19"/>
        <v>0</v>
      </c>
      <c r="AK25" s="57">
        <f t="shared" si="19"/>
        <v>0</v>
      </c>
      <c r="AL25" s="57">
        <f t="shared" si="19"/>
        <v>0</v>
      </c>
      <c r="AM25" s="57">
        <f t="shared" si="19"/>
        <v>0</v>
      </c>
      <c r="AN25" s="57">
        <f t="shared" si="19"/>
        <v>0</v>
      </c>
      <c r="AO25" s="57">
        <f t="shared" si="19"/>
        <v>0</v>
      </c>
      <c r="AP25" s="57">
        <f t="shared" si="19"/>
        <v>0</v>
      </c>
      <c r="AQ25" s="57">
        <f t="shared" ref="AQ25:BR25" si="20">AQ45*AQ62</f>
        <v>0</v>
      </c>
      <c r="AR25" s="57">
        <f t="shared" si="20"/>
        <v>0</v>
      </c>
      <c r="AS25" s="57">
        <f t="shared" si="20"/>
        <v>0</v>
      </c>
      <c r="AT25" s="57">
        <f t="shared" si="20"/>
        <v>0</v>
      </c>
      <c r="AU25" s="57">
        <f t="shared" si="20"/>
        <v>0</v>
      </c>
      <c r="AV25" s="57">
        <f t="shared" si="20"/>
        <v>0</v>
      </c>
      <c r="AW25" s="57">
        <f t="shared" si="20"/>
        <v>0</v>
      </c>
      <c r="AX25" s="57">
        <f t="shared" si="20"/>
        <v>0</v>
      </c>
      <c r="AY25" s="57">
        <f t="shared" si="20"/>
        <v>0</v>
      </c>
      <c r="AZ25" s="57">
        <f t="shared" si="20"/>
        <v>0</v>
      </c>
      <c r="BA25" s="57">
        <f t="shared" si="20"/>
        <v>0</v>
      </c>
      <c r="BB25" s="57">
        <f t="shared" si="20"/>
        <v>0</v>
      </c>
      <c r="BC25" s="57">
        <f t="shared" si="20"/>
        <v>0</v>
      </c>
      <c r="BD25" s="57">
        <f t="shared" si="20"/>
        <v>0</v>
      </c>
      <c r="BE25" s="57">
        <f t="shared" si="20"/>
        <v>0</v>
      </c>
      <c r="BF25" s="57">
        <f t="shared" si="20"/>
        <v>0</v>
      </c>
      <c r="BG25" s="57">
        <f t="shared" si="20"/>
        <v>0</v>
      </c>
      <c r="BH25" s="57">
        <f t="shared" si="20"/>
        <v>0</v>
      </c>
      <c r="BI25" s="57">
        <f t="shared" si="20"/>
        <v>0</v>
      </c>
      <c r="BJ25" s="57">
        <f t="shared" si="20"/>
        <v>0</v>
      </c>
      <c r="BK25" s="57">
        <f t="shared" si="20"/>
        <v>0</v>
      </c>
      <c r="BL25" s="57">
        <f t="shared" si="20"/>
        <v>0</v>
      </c>
      <c r="BM25" s="57">
        <f t="shared" si="20"/>
        <v>0</v>
      </c>
      <c r="BN25" s="57">
        <f t="shared" si="20"/>
        <v>0</v>
      </c>
      <c r="BO25" s="57">
        <f t="shared" si="20"/>
        <v>0</v>
      </c>
      <c r="BP25" s="57">
        <f t="shared" si="20"/>
        <v>0</v>
      </c>
      <c r="BQ25" s="57">
        <f t="shared" si="20"/>
        <v>0</v>
      </c>
      <c r="BR25" s="57">
        <f t="shared" si="20"/>
        <v>0</v>
      </c>
    </row>
    <row r="26" spans="1:72" x14ac:dyDescent="0.25">
      <c r="C26" s="207" t="str">
        <f>C46</f>
        <v>Insert Product Group8</v>
      </c>
      <c r="D26" s="161" t="str">
        <f>unit</f>
        <v>£</v>
      </c>
      <c r="E26" s="57">
        <f t="shared" si="18"/>
        <v>0</v>
      </c>
      <c r="F26" s="57">
        <f t="shared" si="18"/>
        <v>0</v>
      </c>
      <c r="G26" s="57">
        <f t="shared" si="18"/>
        <v>0</v>
      </c>
      <c r="H26" s="57">
        <f t="shared" si="18"/>
        <v>0</v>
      </c>
      <c r="I26" s="57">
        <f t="shared" si="18"/>
        <v>0</v>
      </c>
      <c r="J26" s="57"/>
      <c r="K26" s="57">
        <f t="shared" ref="K26:AP26" si="21">K46*K63</f>
        <v>0</v>
      </c>
      <c r="L26" s="57">
        <f t="shared" si="21"/>
        <v>0</v>
      </c>
      <c r="M26" s="57">
        <f t="shared" si="21"/>
        <v>0</v>
      </c>
      <c r="N26" s="57">
        <f t="shared" si="21"/>
        <v>0</v>
      </c>
      <c r="O26" s="57">
        <f t="shared" si="21"/>
        <v>0</v>
      </c>
      <c r="P26" s="57">
        <f t="shared" si="21"/>
        <v>0</v>
      </c>
      <c r="Q26" s="57">
        <f t="shared" si="21"/>
        <v>0</v>
      </c>
      <c r="R26" s="57">
        <f t="shared" si="21"/>
        <v>0</v>
      </c>
      <c r="S26" s="57">
        <f t="shared" si="21"/>
        <v>0</v>
      </c>
      <c r="T26" s="57">
        <f t="shared" si="21"/>
        <v>0</v>
      </c>
      <c r="U26" s="57">
        <f t="shared" si="21"/>
        <v>0</v>
      </c>
      <c r="V26" s="57">
        <f t="shared" si="21"/>
        <v>0</v>
      </c>
      <c r="W26" s="57">
        <f t="shared" si="21"/>
        <v>0</v>
      </c>
      <c r="X26" s="57">
        <f t="shared" si="21"/>
        <v>0</v>
      </c>
      <c r="Y26" s="57">
        <f t="shared" si="21"/>
        <v>0</v>
      </c>
      <c r="Z26" s="57">
        <f t="shared" si="21"/>
        <v>0</v>
      </c>
      <c r="AA26" s="57">
        <f t="shared" si="21"/>
        <v>0</v>
      </c>
      <c r="AB26" s="57">
        <f t="shared" si="21"/>
        <v>0</v>
      </c>
      <c r="AC26" s="57">
        <f t="shared" si="21"/>
        <v>0</v>
      </c>
      <c r="AD26" s="57">
        <f t="shared" si="21"/>
        <v>0</v>
      </c>
      <c r="AE26" s="57">
        <f t="shared" si="21"/>
        <v>0</v>
      </c>
      <c r="AF26" s="57">
        <f t="shared" si="21"/>
        <v>0</v>
      </c>
      <c r="AG26" s="57">
        <f t="shared" si="21"/>
        <v>0</v>
      </c>
      <c r="AH26" s="57">
        <f t="shared" si="21"/>
        <v>0</v>
      </c>
      <c r="AI26" s="57">
        <f t="shared" si="21"/>
        <v>0</v>
      </c>
      <c r="AJ26" s="57">
        <f t="shared" si="21"/>
        <v>0</v>
      </c>
      <c r="AK26" s="57">
        <f t="shared" si="21"/>
        <v>0</v>
      </c>
      <c r="AL26" s="57">
        <f t="shared" si="21"/>
        <v>0</v>
      </c>
      <c r="AM26" s="57">
        <f t="shared" si="21"/>
        <v>0</v>
      </c>
      <c r="AN26" s="57">
        <f t="shared" si="21"/>
        <v>0</v>
      </c>
      <c r="AO26" s="57">
        <f t="shared" si="21"/>
        <v>0</v>
      </c>
      <c r="AP26" s="57">
        <f t="shared" si="21"/>
        <v>0</v>
      </c>
      <c r="AQ26" s="57">
        <f t="shared" ref="AQ26:BR26" si="22">AQ46*AQ63</f>
        <v>0</v>
      </c>
      <c r="AR26" s="57">
        <f t="shared" si="22"/>
        <v>0</v>
      </c>
      <c r="AS26" s="57">
        <f t="shared" si="22"/>
        <v>0</v>
      </c>
      <c r="AT26" s="57">
        <f t="shared" si="22"/>
        <v>0</v>
      </c>
      <c r="AU26" s="57">
        <f t="shared" si="22"/>
        <v>0</v>
      </c>
      <c r="AV26" s="57">
        <f t="shared" si="22"/>
        <v>0</v>
      </c>
      <c r="AW26" s="57">
        <f t="shared" si="22"/>
        <v>0</v>
      </c>
      <c r="AX26" s="57">
        <f t="shared" si="22"/>
        <v>0</v>
      </c>
      <c r="AY26" s="57">
        <f t="shared" si="22"/>
        <v>0</v>
      </c>
      <c r="AZ26" s="57">
        <f t="shared" si="22"/>
        <v>0</v>
      </c>
      <c r="BA26" s="57">
        <f t="shared" si="22"/>
        <v>0</v>
      </c>
      <c r="BB26" s="57">
        <f t="shared" si="22"/>
        <v>0</v>
      </c>
      <c r="BC26" s="57">
        <f t="shared" si="22"/>
        <v>0</v>
      </c>
      <c r="BD26" s="57">
        <f t="shared" si="22"/>
        <v>0</v>
      </c>
      <c r="BE26" s="57">
        <f t="shared" si="22"/>
        <v>0</v>
      </c>
      <c r="BF26" s="57">
        <f t="shared" si="22"/>
        <v>0</v>
      </c>
      <c r="BG26" s="57">
        <f t="shared" si="22"/>
        <v>0</v>
      </c>
      <c r="BH26" s="57">
        <f t="shared" si="22"/>
        <v>0</v>
      </c>
      <c r="BI26" s="57">
        <f t="shared" si="22"/>
        <v>0</v>
      </c>
      <c r="BJ26" s="57">
        <f t="shared" si="22"/>
        <v>0</v>
      </c>
      <c r="BK26" s="57">
        <f t="shared" si="22"/>
        <v>0</v>
      </c>
      <c r="BL26" s="57">
        <f t="shared" si="22"/>
        <v>0</v>
      </c>
      <c r="BM26" s="57">
        <f t="shared" si="22"/>
        <v>0</v>
      </c>
      <c r="BN26" s="57">
        <f t="shared" si="22"/>
        <v>0</v>
      </c>
      <c r="BO26" s="57">
        <f t="shared" si="22"/>
        <v>0</v>
      </c>
      <c r="BP26" s="57">
        <f t="shared" si="22"/>
        <v>0</v>
      </c>
      <c r="BQ26" s="57">
        <f t="shared" si="22"/>
        <v>0</v>
      </c>
      <c r="BR26" s="57">
        <f t="shared" si="22"/>
        <v>0</v>
      </c>
    </row>
    <row r="27" spans="1:72" x14ac:dyDescent="0.25">
      <c r="C27" s="207" t="str">
        <f>C47</f>
        <v>Insert Product Group9</v>
      </c>
      <c r="D27" s="161" t="str">
        <f>unit</f>
        <v>£</v>
      </c>
      <c r="E27" s="57">
        <f t="shared" si="18"/>
        <v>0</v>
      </c>
      <c r="F27" s="57">
        <f t="shared" si="18"/>
        <v>0</v>
      </c>
      <c r="G27" s="57">
        <f t="shared" si="18"/>
        <v>0</v>
      </c>
      <c r="H27" s="57">
        <f t="shared" si="18"/>
        <v>0</v>
      </c>
      <c r="I27" s="57">
        <f t="shared" si="18"/>
        <v>0</v>
      </c>
      <c r="J27" s="57"/>
      <c r="K27" s="57">
        <f t="shared" ref="K27:AP27" si="23">K47*K64</f>
        <v>0</v>
      </c>
      <c r="L27" s="57">
        <f t="shared" si="23"/>
        <v>0</v>
      </c>
      <c r="M27" s="57">
        <f t="shared" si="23"/>
        <v>0</v>
      </c>
      <c r="N27" s="57">
        <f t="shared" si="23"/>
        <v>0</v>
      </c>
      <c r="O27" s="57">
        <f t="shared" si="23"/>
        <v>0</v>
      </c>
      <c r="P27" s="57">
        <f t="shared" si="23"/>
        <v>0</v>
      </c>
      <c r="Q27" s="57">
        <f t="shared" si="23"/>
        <v>0</v>
      </c>
      <c r="R27" s="57">
        <f t="shared" si="23"/>
        <v>0</v>
      </c>
      <c r="S27" s="57">
        <f t="shared" si="23"/>
        <v>0</v>
      </c>
      <c r="T27" s="57">
        <f t="shared" si="23"/>
        <v>0</v>
      </c>
      <c r="U27" s="57">
        <f t="shared" si="23"/>
        <v>0</v>
      </c>
      <c r="V27" s="57">
        <f t="shared" si="23"/>
        <v>0</v>
      </c>
      <c r="W27" s="57">
        <f t="shared" si="23"/>
        <v>0</v>
      </c>
      <c r="X27" s="57">
        <f t="shared" si="23"/>
        <v>0</v>
      </c>
      <c r="Y27" s="57">
        <f t="shared" si="23"/>
        <v>0</v>
      </c>
      <c r="Z27" s="57">
        <f t="shared" si="23"/>
        <v>0</v>
      </c>
      <c r="AA27" s="57">
        <f t="shared" si="23"/>
        <v>0</v>
      </c>
      <c r="AB27" s="57">
        <f t="shared" si="23"/>
        <v>0</v>
      </c>
      <c r="AC27" s="57">
        <f t="shared" si="23"/>
        <v>0</v>
      </c>
      <c r="AD27" s="57">
        <f t="shared" si="23"/>
        <v>0</v>
      </c>
      <c r="AE27" s="57">
        <f t="shared" si="23"/>
        <v>0</v>
      </c>
      <c r="AF27" s="57">
        <f t="shared" si="23"/>
        <v>0</v>
      </c>
      <c r="AG27" s="57">
        <f t="shared" si="23"/>
        <v>0</v>
      </c>
      <c r="AH27" s="57">
        <f t="shared" si="23"/>
        <v>0</v>
      </c>
      <c r="AI27" s="57">
        <f t="shared" si="23"/>
        <v>0</v>
      </c>
      <c r="AJ27" s="57">
        <f t="shared" si="23"/>
        <v>0</v>
      </c>
      <c r="AK27" s="57">
        <f t="shared" si="23"/>
        <v>0</v>
      </c>
      <c r="AL27" s="57">
        <f t="shared" si="23"/>
        <v>0</v>
      </c>
      <c r="AM27" s="57">
        <f t="shared" si="23"/>
        <v>0</v>
      </c>
      <c r="AN27" s="57">
        <f t="shared" si="23"/>
        <v>0</v>
      </c>
      <c r="AO27" s="57">
        <f t="shared" si="23"/>
        <v>0</v>
      </c>
      <c r="AP27" s="57">
        <f t="shared" si="23"/>
        <v>0</v>
      </c>
      <c r="AQ27" s="57">
        <f t="shared" ref="AQ27:BR27" si="24">AQ47*AQ64</f>
        <v>0</v>
      </c>
      <c r="AR27" s="57">
        <f t="shared" si="24"/>
        <v>0</v>
      </c>
      <c r="AS27" s="57">
        <f t="shared" si="24"/>
        <v>0</v>
      </c>
      <c r="AT27" s="57">
        <f t="shared" si="24"/>
        <v>0</v>
      </c>
      <c r="AU27" s="57">
        <f t="shared" si="24"/>
        <v>0</v>
      </c>
      <c r="AV27" s="57">
        <f t="shared" si="24"/>
        <v>0</v>
      </c>
      <c r="AW27" s="57">
        <f t="shared" si="24"/>
        <v>0</v>
      </c>
      <c r="AX27" s="57">
        <f t="shared" si="24"/>
        <v>0</v>
      </c>
      <c r="AY27" s="57">
        <f t="shared" si="24"/>
        <v>0</v>
      </c>
      <c r="AZ27" s="57">
        <f t="shared" si="24"/>
        <v>0</v>
      </c>
      <c r="BA27" s="57">
        <f t="shared" si="24"/>
        <v>0</v>
      </c>
      <c r="BB27" s="57">
        <f t="shared" si="24"/>
        <v>0</v>
      </c>
      <c r="BC27" s="57">
        <f t="shared" si="24"/>
        <v>0</v>
      </c>
      <c r="BD27" s="57">
        <f t="shared" si="24"/>
        <v>0</v>
      </c>
      <c r="BE27" s="57">
        <f t="shared" si="24"/>
        <v>0</v>
      </c>
      <c r="BF27" s="57">
        <f t="shared" si="24"/>
        <v>0</v>
      </c>
      <c r="BG27" s="57">
        <f t="shared" si="24"/>
        <v>0</v>
      </c>
      <c r="BH27" s="57">
        <f t="shared" si="24"/>
        <v>0</v>
      </c>
      <c r="BI27" s="57">
        <f t="shared" si="24"/>
        <v>0</v>
      </c>
      <c r="BJ27" s="57">
        <f t="shared" si="24"/>
        <v>0</v>
      </c>
      <c r="BK27" s="57">
        <f t="shared" si="24"/>
        <v>0</v>
      </c>
      <c r="BL27" s="57">
        <f t="shared" si="24"/>
        <v>0</v>
      </c>
      <c r="BM27" s="57">
        <f t="shared" si="24"/>
        <v>0</v>
      </c>
      <c r="BN27" s="57">
        <f t="shared" si="24"/>
        <v>0</v>
      </c>
      <c r="BO27" s="57">
        <f t="shared" si="24"/>
        <v>0</v>
      </c>
      <c r="BP27" s="57">
        <f t="shared" si="24"/>
        <v>0</v>
      </c>
      <c r="BQ27" s="57">
        <f t="shared" si="24"/>
        <v>0</v>
      </c>
      <c r="BR27" s="57">
        <f t="shared" si="24"/>
        <v>0</v>
      </c>
    </row>
    <row r="28" spans="1:72" x14ac:dyDescent="0.25">
      <c r="C28" s="208" t="s">
        <v>133</v>
      </c>
      <c r="D28" s="161" t="str">
        <f>unit</f>
        <v>£</v>
      </c>
      <c r="E28" s="58">
        <f t="shared" si="18"/>
        <v>0</v>
      </c>
      <c r="F28" s="58">
        <f t="shared" si="18"/>
        <v>0</v>
      </c>
      <c r="G28" s="58">
        <f t="shared" si="18"/>
        <v>0</v>
      </c>
      <c r="H28" s="58">
        <f t="shared" si="18"/>
        <v>0</v>
      </c>
      <c r="I28" s="58">
        <f t="shared" si="18"/>
        <v>0</v>
      </c>
      <c r="J28" s="57"/>
      <c r="K28" s="58">
        <f>SUM(K25:K27)</f>
        <v>0</v>
      </c>
      <c r="L28" s="58">
        <f t="shared" ref="L28" si="25">SUM(L25:L27)</f>
        <v>0</v>
      </c>
      <c r="M28" s="58">
        <f t="shared" ref="M28" si="26">SUM(M25:M27)</f>
        <v>0</v>
      </c>
      <c r="N28" s="58">
        <f t="shared" ref="N28" si="27">SUM(N25:N27)</f>
        <v>0</v>
      </c>
      <c r="O28" s="58">
        <f t="shared" ref="O28" si="28">SUM(O25:O27)</f>
        <v>0</v>
      </c>
      <c r="P28" s="58">
        <f t="shared" ref="P28" si="29">SUM(P25:P27)</f>
        <v>0</v>
      </c>
      <c r="Q28" s="58">
        <f t="shared" ref="Q28" si="30">SUM(Q25:Q27)</f>
        <v>0</v>
      </c>
      <c r="R28" s="58">
        <f t="shared" ref="R28" si="31">SUM(R25:R27)</f>
        <v>0</v>
      </c>
      <c r="S28" s="58">
        <f t="shared" ref="S28" si="32">SUM(S25:S27)</f>
        <v>0</v>
      </c>
      <c r="T28" s="58">
        <f t="shared" ref="T28" si="33">SUM(T25:T27)</f>
        <v>0</v>
      </c>
      <c r="U28" s="58">
        <f t="shared" ref="U28" si="34">SUM(U25:U27)</f>
        <v>0</v>
      </c>
      <c r="V28" s="58">
        <f t="shared" ref="V28" si="35">SUM(V25:V27)</f>
        <v>0</v>
      </c>
      <c r="W28" s="58">
        <f t="shared" ref="W28" si="36">SUM(W25:W27)</f>
        <v>0</v>
      </c>
      <c r="X28" s="58">
        <f t="shared" ref="X28" si="37">SUM(X25:X27)</f>
        <v>0</v>
      </c>
      <c r="Y28" s="58">
        <f t="shared" ref="Y28" si="38">SUM(Y25:Y27)</f>
        <v>0</v>
      </c>
      <c r="Z28" s="58">
        <f t="shared" ref="Z28" si="39">SUM(Z25:Z27)</f>
        <v>0</v>
      </c>
      <c r="AA28" s="58">
        <f t="shared" ref="AA28" si="40">SUM(AA25:AA27)</f>
        <v>0</v>
      </c>
      <c r="AB28" s="58">
        <f t="shared" ref="AB28" si="41">SUM(AB25:AB27)</f>
        <v>0</v>
      </c>
      <c r="AC28" s="58">
        <f t="shared" ref="AC28" si="42">SUM(AC25:AC27)</f>
        <v>0</v>
      </c>
      <c r="AD28" s="58">
        <f t="shared" ref="AD28" si="43">SUM(AD25:AD27)</f>
        <v>0</v>
      </c>
      <c r="AE28" s="58">
        <f t="shared" ref="AE28" si="44">SUM(AE25:AE27)</f>
        <v>0</v>
      </c>
      <c r="AF28" s="58">
        <f t="shared" ref="AF28" si="45">SUM(AF25:AF27)</f>
        <v>0</v>
      </c>
      <c r="AG28" s="58">
        <f t="shared" ref="AG28" si="46">SUM(AG25:AG27)</f>
        <v>0</v>
      </c>
      <c r="AH28" s="58">
        <f t="shared" ref="AH28" si="47">SUM(AH25:AH27)</f>
        <v>0</v>
      </c>
      <c r="AI28" s="58">
        <f t="shared" ref="AI28" si="48">SUM(AI25:AI27)</f>
        <v>0</v>
      </c>
      <c r="AJ28" s="58">
        <f t="shared" ref="AJ28" si="49">SUM(AJ25:AJ27)</f>
        <v>0</v>
      </c>
      <c r="AK28" s="58">
        <f t="shared" ref="AK28" si="50">SUM(AK25:AK27)</f>
        <v>0</v>
      </c>
      <c r="AL28" s="58">
        <f t="shared" ref="AL28" si="51">SUM(AL25:AL27)</f>
        <v>0</v>
      </c>
      <c r="AM28" s="58">
        <f t="shared" ref="AM28" si="52">SUM(AM25:AM27)</f>
        <v>0</v>
      </c>
      <c r="AN28" s="58">
        <f t="shared" ref="AN28" si="53">SUM(AN25:AN27)</f>
        <v>0</v>
      </c>
      <c r="AO28" s="58">
        <f t="shared" ref="AO28" si="54">SUM(AO25:AO27)</f>
        <v>0</v>
      </c>
      <c r="AP28" s="58">
        <f t="shared" ref="AP28" si="55">SUM(AP25:AP27)</f>
        <v>0</v>
      </c>
      <c r="AQ28" s="58">
        <f t="shared" ref="AQ28" si="56">SUM(AQ25:AQ27)</f>
        <v>0</v>
      </c>
      <c r="AR28" s="58">
        <f t="shared" ref="AR28" si="57">SUM(AR25:AR27)</f>
        <v>0</v>
      </c>
      <c r="AS28" s="58">
        <f t="shared" ref="AS28" si="58">SUM(AS25:AS27)</f>
        <v>0</v>
      </c>
      <c r="AT28" s="58">
        <f t="shared" ref="AT28" si="59">SUM(AT25:AT27)</f>
        <v>0</v>
      </c>
      <c r="AU28" s="58">
        <f t="shared" ref="AU28" si="60">SUM(AU25:AU27)</f>
        <v>0</v>
      </c>
      <c r="AV28" s="58">
        <f t="shared" ref="AV28" si="61">SUM(AV25:AV27)</f>
        <v>0</v>
      </c>
      <c r="AW28" s="58">
        <f t="shared" ref="AW28" si="62">SUM(AW25:AW27)</f>
        <v>0</v>
      </c>
      <c r="AX28" s="58">
        <f t="shared" ref="AX28" si="63">SUM(AX25:AX27)</f>
        <v>0</v>
      </c>
      <c r="AY28" s="58">
        <f t="shared" ref="AY28" si="64">SUM(AY25:AY27)</f>
        <v>0</v>
      </c>
      <c r="AZ28" s="58">
        <f t="shared" ref="AZ28" si="65">SUM(AZ25:AZ27)</f>
        <v>0</v>
      </c>
      <c r="BA28" s="58">
        <f t="shared" ref="BA28" si="66">SUM(BA25:BA27)</f>
        <v>0</v>
      </c>
      <c r="BB28" s="58">
        <f t="shared" ref="BB28" si="67">SUM(BB25:BB27)</f>
        <v>0</v>
      </c>
      <c r="BC28" s="58">
        <f t="shared" ref="BC28" si="68">SUM(BC25:BC27)</f>
        <v>0</v>
      </c>
      <c r="BD28" s="58">
        <f t="shared" ref="BD28" si="69">SUM(BD25:BD27)</f>
        <v>0</v>
      </c>
      <c r="BE28" s="58">
        <f t="shared" ref="BE28" si="70">SUM(BE25:BE27)</f>
        <v>0</v>
      </c>
      <c r="BF28" s="58">
        <f t="shared" ref="BF28" si="71">SUM(BF25:BF27)</f>
        <v>0</v>
      </c>
      <c r="BG28" s="58">
        <f t="shared" ref="BG28" si="72">SUM(BG25:BG27)</f>
        <v>0</v>
      </c>
      <c r="BH28" s="58">
        <f t="shared" ref="BH28" si="73">SUM(BH25:BH27)</f>
        <v>0</v>
      </c>
      <c r="BI28" s="58">
        <f t="shared" ref="BI28" si="74">SUM(BI25:BI27)</f>
        <v>0</v>
      </c>
      <c r="BJ28" s="58">
        <f t="shared" ref="BJ28" si="75">SUM(BJ25:BJ27)</f>
        <v>0</v>
      </c>
      <c r="BK28" s="58">
        <f t="shared" ref="BK28" si="76">SUM(BK25:BK27)</f>
        <v>0</v>
      </c>
      <c r="BL28" s="58">
        <f t="shared" ref="BL28" si="77">SUM(BL25:BL27)</f>
        <v>0</v>
      </c>
      <c r="BM28" s="58">
        <f t="shared" ref="BM28" si="78">SUM(BM25:BM27)</f>
        <v>0</v>
      </c>
      <c r="BN28" s="58">
        <f t="shared" ref="BN28" si="79">SUM(BN25:BN27)</f>
        <v>0</v>
      </c>
      <c r="BO28" s="58">
        <f t="shared" ref="BO28" si="80">SUM(BO25:BO27)</f>
        <v>0</v>
      </c>
      <c r="BP28" s="58">
        <f t="shared" ref="BP28" si="81">SUM(BP25:BP27)</f>
        <v>0</v>
      </c>
      <c r="BQ28" s="58">
        <f t="shared" ref="BQ28" si="82">SUM(BQ25:BQ27)</f>
        <v>0</v>
      </c>
      <c r="BR28" s="58">
        <f t="shared" ref="BR28" si="83">SUM(BR25:BR27)</f>
        <v>0</v>
      </c>
      <c r="BT28" s="71" t="s">
        <v>195</v>
      </c>
    </row>
    <row r="29" spans="1:72" x14ac:dyDescent="0.25">
      <c r="C29" s="208"/>
      <c r="D29" s="161"/>
      <c r="E29" s="62"/>
      <c r="F29" s="62"/>
      <c r="G29" s="62"/>
      <c r="H29" s="62"/>
      <c r="I29" s="62"/>
      <c r="J29" s="57"/>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row>
    <row r="30" spans="1:72" s="143" customFormat="1" ht="14.4" thickBot="1" x14ac:dyDescent="0.3">
      <c r="B30" s="143" t="str">
        <f>Header2</f>
        <v>1.4</v>
      </c>
      <c r="C30" s="143" t="s">
        <v>292</v>
      </c>
      <c r="D30" s="161" t="str">
        <f>unit</f>
        <v>£</v>
      </c>
      <c r="E30" s="235">
        <f>SUMIF($K$5:$BR$5,E$5,$K30:$BR30)</f>
        <v>0</v>
      </c>
      <c r="F30" s="235">
        <f t="shared" ref="F30:I30" si="84">SUMIF($K$5:$BR$5,F$5,$K30:$BR30)</f>
        <v>0</v>
      </c>
      <c r="G30" s="235">
        <f t="shared" si="84"/>
        <v>0</v>
      </c>
      <c r="H30" s="235">
        <f t="shared" si="84"/>
        <v>0</v>
      </c>
      <c r="I30" s="235">
        <f t="shared" si="84"/>
        <v>0</v>
      </c>
      <c r="K30" s="236">
        <f>SUM(K16,K22,K28)</f>
        <v>0</v>
      </c>
      <c r="L30" s="236">
        <f t="shared" ref="L30:BR30" si="85">SUM(L16,L22,L28)</f>
        <v>0</v>
      </c>
      <c r="M30" s="236">
        <f t="shared" si="85"/>
        <v>0</v>
      </c>
      <c r="N30" s="236">
        <f t="shared" si="85"/>
        <v>0</v>
      </c>
      <c r="O30" s="236">
        <f t="shared" si="85"/>
        <v>0</v>
      </c>
      <c r="P30" s="236">
        <f t="shared" si="85"/>
        <v>0</v>
      </c>
      <c r="Q30" s="236">
        <f t="shared" si="85"/>
        <v>0</v>
      </c>
      <c r="R30" s="236">
        <f t="shared" si="85"/>
        <v>0</v>
      </c>
      <c r="S30" s="236">
        <f t="shared" si="85"/>
        <v>0</v>
      </c>
      <c r="T30" s="236">
        <f t="shared" si="85"/>
        <v>0</v>
      </c>
      <c r="U30" s="236">
        <f t="shared" si="85"/>
        <v>0</v>
      </c>
      <c r="V30" s="236">
        <f t="shared" si="85"/>
        <v>0</v>
      </c>
      <c r="W30" s="236">
        <f t="shared" si="85"/>
        <v>0</v>
      </c>
      <c r="X30" s="236">
        <f t="shared" si="85"/>
        <v>0</v>
      </c>
      <c r="Y30" s="236">
        <f t="shared" si="85"/>
        <v>0</v>
      </c>
      <c r="Z30" s="236">
        <f t="shared" si="85"/>
        <v>0</v>
      </c>
      <c r="AA30" s="236">
        <f t="shared" si="85"/>
        <v>0</v>
      </c>
      <c r="AB30" s="236">
        <f t="shared" si="85"/>
        <v>0</v>
      </c>
      <c r="AC30" s="236">
        <f t="shared" si="85"/>
        <v>0</v>
      </c>
      <c r="AD30" s="236">
        <f t="shared" si="85"/>
        <v>0</v>
      </c>
      <c r="AE30" s="236">
        <f t="shared" si="85"/>
        <v>0</v>
      </c>
      <c r="AF30" s="236">
        <f t="shared" si="85"/>
        <v>0</v>
      </c>
      <c r="AG30" s="236">
        <f t="shared" si="85"/>
        <v>0</v>
      </c>
      <c r="AH30" s="236">
        <f t="shared" si="85"/>
        <v>0</v>
      </c>
      <c r="AI30" s="236">
        <f t="shared" si="85"/>
        <v>0</v>
      </c>
      <c r="AJ30" s="236">
        <f t="shared" si="85"/>
        <v>0</v>
      </c>
      <c r="AK30" s="236">
        <f t="shared" si="85"/>
        <v>0</v>
      </c>
      <c r="AL30" s="236">
        <f t="shared" si="85"/>
        <v>0</v>
      </c>
      <c r="AM30" s="236">
        <f t="shared" si="85"/>
        <v>0</v>
      </c>
      <c r="AN30" s="236">
        <f t="shared" si="85"/>
        <v>0</v>
      </c>
      <c r="AO30" s="236">
        <f t="shared" si="85"/>
        <v>0</v>
      </c>
      <c r="AP30" s="236">
        <f t="shared" si="85"/>
        <v>0</v>
      </c>
      <c r="AQ30" s="236">
        <f t="shared" si="85"/>
        <v>0</v>
      </c>
      <c r="AR30" s="236">
        <f t="shared" si="85"/>
        <v>0</v>
      </c>
      <c r="AS30" s="236">
        <f t="shared" si="85"/>
        <v>0</v>
      </c>
      <c r="AT30" s="236">
        <f t="shared" si="85"/>
        <v>0</v>
      </c>
      <c r="AU30" s="236">
        <f t="shared" si="85"/>
        <v>0</v>
      </c>
      <c r="AV30" s="236">
        <f t="shared" si="85"/>
        <v>0</v>
      </c>
      <c r="AW30" s="236">
        <f t="shared" si="85"/>
        <v>0</v>
      </c>
      <c r="AX30" s="236">
        <f t="shared" si="85"/>
        <v>0</v>
      </c>
      <c r="AY30" s="236">
        <f t="shared" si="85"/>
        <v>0</v>
      </c>
      <c r="AZ30" s="236">
        <f t="shared" si="85"/>
        <v>0</v>
      </c>
      <c r="BA30" s="236">
        <f t="shared" si="85"/>
        <v>0</v>
      </c>
      <c r="BB30" s="236">
        <f t="shared" si="85"/>
        <v>0</v>
      </c>
      <c r="BC30" s="236">
        <f t="shared" si="85"/>
        <v>0</v>
      </c>
      <c r="BD30" s="236">
        <f t="shared" si="85"/>
        <v>0</v>
      </c>
      <c r="BE30" s="236">
        <f t="shared" si="85"/>
        <v>0</v>
      </c>
      <c r="BF30" s="236">
        <f t="shared" si="85"/>
        <v>0</v>
      </c>
      <c r="BG30" s="236">
        <f t="shared" si="85"/>
        <v>0</v>
      </c>
      <c r="BH30" s="236">
        <f t="shared" si="85"/>
        <v>0</v>
      </c>
      <c r="BI30" s="236">
        <f t="shared" si="85"/>
        <v>0</v>
      </c>
      <c r="BJ30" s="236">
        <f t="shared" si="85"/>
        <v>0</v>
      </c>
      <c r="BK30" s="236">
        <f t="shared" si="85"/>
        <v>0</v>
      </c>
      <c r="BL30" s="236">
        <f t="shared" si="85"/>
        <v>0</v>
      </c>
      <c r="BM30" s="236">
        <f t="shared" si="85"/>
        <v>0</v>
      </c>
      <c r="BN30" s="236">
        <f t="shared" si="85"/>
        <v>0</v>
      </c>
      <c r="BO30" s="236">
        <f t="shared" si="85"/>
        <v>0</v>
      </c>
      <c r="BP30" s="236">
        <f t="shared" si="85"/>
        <v>0</v>
      </c>
      <c r="BQ30" s="236">
        <f t="shared" si="85"/>
        <v>0</v>
      </c>
      <c r="BR30" s="236">
        <f t="shared" si="85"/>
        <v>0</v>
      </c>
    </row>
    <row r="31" spans="1:72" ht="13.8" thickTop="1" x14ac:dyDescent="0.25">
      <c r="E31" s="62"/>
      <c r="F31" s="62"/>
      <c r="G31" s="62"/>
      <c r="H31" s="62"/>
      <c r="I31" s="62"/>
      <c r="J31" s="57"/>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row>
    <row r="32" spans="1:72" s="166" customFormat="1" ht="15.6" x14ac:dyDescent="0.3">
      <c r="A32" s="166">
        <f>Header1</f>
        <v>2</v>
      </c>
      <c r="B32" s="166" t="s">
        <v>222</v>
      </c>
      <c r="E32" s="176"/>
      <c r="F32" s="176"/>
      <c r="G32" s="176"/>
      <c r="H32" s="176"/>
      <c r="I32" s="176"/>
      <c r="J32" s="176"/>
      <c r="K32" s="176"/>
      <c r="L32" s="176"/>
      <c r="M32" s="176"/>
      <c r="N32" s="176"/>
      <c r="O32" s="176"/>
      <c r="P32" s="176"/>
      <c r="Q32" s="176"/>
      <c r="R32" s="176"/>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row>
    <row r="33" spans="2:70" s="169" customFormat="1" ht="13.8" x14ac:dyDescent="0.25">
      <c r="D33" s="163" t="s">
        <v>181</v>
      </c>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row>
    <row r="34" spans="2:70" s="169" customFormat="1" ht="13.8" x14ac:dyDescent="0.25">
      <c r="B34" s="169" t="str">
        <f>Header2</f>
        <v>2.1</v>
      </c>
      <c r="C34" s="169" t="str">
        <f>C12</f>
        <v>Test</v>
      </c>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row>
    <row r="35" spans="2:70" x14ac:dyDescent="0.25">
      <c r="C35" s="207" t="str">
        <f>IF(KeyInputs!F22=0," ",KeyInputs!F22)</f>
        <v>Insert Product Group 1</v>
      </c>
      <c r="D35" s="60" t="str">
        <f>'Inputs - Sensitivities'!C13</f>
        <v>Base</v>
      </c>
      <c r="E35" s="57">
        <f>SUMIF($K$5:$BR$5,E$5,$K35:$BR35)</f>
        <v>0</v>
      </c>
      <c r="F35" s="57">
        <f t="shared" ref="F35:I37" si="86">SUMIF($K$5:$BR$5,F$5,$K35:$BR35)</f>
        <v>0</v>
      </c>
      <c r="G35" s="57">
        <f t="shared" si="86"/>
        <v>0</v>
      </c>
      <c r="H35" s="57">
        <f t="shared" si="86"/>
        <v>0</v>
      </c>
      <c r="I35" s="57">
        <f t="shared" si="86"/>
        <v>0</v>
      </c>
      <c r="J35" s="57"/>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row>
    <row r="36" spans="2:70" x14ac:dyDescent="0.25">
      <c r="C36" s="207" t="str">
        <f>IF(KeyInputs!F23=0," ",KeyInputs!F23)</f>
        <v>Insert Product Group 2</v>
      </c>
      <c r="D36" s="105"/>
      <c r="E36" s="57">
        <f t="shared" ref="E36:E37" si="87">SUMIF($K$5:$BR$5,E$5,$K36:$BR36)</f>
        <v>0</v>
      </c>
      <c r="F36" s="57">
        <f t="shared" si="86"/>
        <v>0</v>
      </c>
      <c r="G36" s="57">
        <f t="shared" si="86"/>
        <v>0</v>
      </c>
      <c r="H36" s="57">
        <f t="shared" si="86"/>
        <v>0</v>
      </c>
      <c r="I36" s="57">
        <f t="shared" si="86"/>
        <v>0</v>
      </c>
      <c r="J36" s="57"/>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row>
    <row r="37" spans="2:70" x14ac:dyDescent="0.25">
      <c r="C37" s="207" t="str">
        <f>IF(KeyInputs!F24=0," ",KeyInputs!F24)</f>
        <v>Insert Product Group 3</v>
      </c>
      <c r="D37" s="105"/>
      <c r="E37" s="57">
        <f t="shared" si="87"/>
        <v>0</v>
      </c>
      <c r="F37" s="57">
        <f t="shared" si="86"/>
        <v>0</v>
      </c>
      <c r="G37" s="57">
        <f t="shared" si="86"/>
        <v>0</v>
      </c>
      <c r="H37" s="57">
        <f t="shared" si="86"/>
        <v>0</v>
      </c>
      <c r="I37" s="57">
        <f t="shared" si="86"/>
        <v>0</v>
      </c>
      <c r="J37" s="57"/>
      <c r="K37" s="177"/>
      <c r="L37" s="177"/>
      <c r="M37" s="177"/>
      <c r="N37" s="177"/>
      <c r="O37" s="177"/>
      <c r="P37" s="177"/>
      <c r="Q37" s="177"/>
      <c r="R37" s="177"/>
      <c r="S37" s="177"/>
      <c r="T37" s="177"/>
      <c r="U37" s="177"/>
      <c r="V37" s="177"/>
      <c r="W37" s="177"/>
      <c r="X37" s="177"/>
      <c r="Y37" s="177"/>
      <c r="Z37" s="177"/>
      <c r="AA37" s="177"/>
      <c r="AB37" s="177"/>
      <c r="AC37" s="177"/>
      <c r="AD37" s="177"/>
      <c r="AE37" s="177"/>
      <c r="AF37" s="177"/>
      <c r="AG37" s="177"/>
      <c r="AH37" s="177"/>
      <c r="AI37" s="177"/>
      <c r="AJ37" s="177"/>
      <c r="AK37" s="177"/>
      <c r="AL37" s="177"/>
      <c r="AM37" s="177"/>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row>
    <row r="38" spans="2:70" x14ac:dyDescent="0.25">
      <c r="E38" s="57"/>
      <c r="F38" s="57"/>
      <c r="G38" s="57"/>
      <c r="H38" s="57"/>
      <c r="I38" s="57"/>
      <c r="J38" s="57"/>
      <c r="K38" s="178"/>
      <c r="L38" s="178"/>
      <c r="M38" s="178"/>
      <c r="N38" s="178"/>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row>
    <row r="39" spans="2:70" ht="13.8" x14ac:dyDescent="0.25">
      <c r="B39" s="169" t="str">
        <f>Header2</f>
        <v>2.2</v>
      </c>
      <c r="C39" s="169" t="str">
        <f>C18</f>
        <v>Insert Business Line2</v>
      </c>
      <c r="E39" s="179"/>
      <c r="F39" s="57"/>
      <c r="G39" s="57"/>
      <c r="H39" s="57"/>
      <c r="I39" s="57"/>
      <c r="J39" s="57"/>
      <c r="K39" s="178"/>
      <c r="L39" s="178"/>
      <c r="M39" s="178"/>
      <c r="N39" s="178"/>
      <c r="O39" s="178"/>
      <c r="P39" s="178"/>
      <c r="Q39" s="178"/>
      <c r="R39" s="178"/>
      <c r="S39" s="178"/>
      <c r="T39" s="178"/>
      <c r="U39" s="178"/>
      <c r="V39" s="178"/>
      <c r="W39" s="178"/>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s="178"/>
      <c r="BR39" s="178"/>
    </row>
    <row r="40" spans="2:70" x14ac:dyDescent="0.25">
      <c r="C40" s="207" t="str">
        <f>IF(KeyInputs!F27=0," ",KeyInputs!F27)</f>
        <v>Insert Product Group4</v>
      </c>
      <c r="E40" s="57">
        <f>SUMIF($K$5:$BR$5,E$5,$K40:$BR40)</f>
        <v>0</v>
      </c>
      <c r="F40" s="57">
        <f t="shared" ref="F40:I42" si="88">SUMIF($K$5:$BR$5,F$5,$K40:$BR40)</f>
        <v>0</v>
      </c>
      <c r="G40" s="57">
        <f t="shared" si="88"/>
        <v>0</v>
      </c>
      <c r="H40" s="57">
        <f t="shared" si="88"/>
        <v>0</v>
      </c>
      <c r="I40" s="57">
        <f t="shared" si="88"/>
        <v>0</v>
      </c>
      <c r="J40" s="57"/>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row>
    <row r="41" spans="2:70" x14ac:dyDescent="0.25">
      <c r="C41" s="207" t="str">
        <f>IF(KeyInputs!F28=0," ",KeyInputs!F28)</f>
        <v>Insert Product Group5</v>
      </c>
      <c r="E41" s="57">
        <f t="shared" ref="E41:E42" si="89">SUMIF($K$5:$BR$5,E$5,$K41:$BR41)</f>
        <v>0</v>
      </c>
      <c r="F41" s="57">
        <f t="shared" si="88"/>
        <v>0</v>
      </c>
      <c r="G41" s="57">
        <f t="shared" si="88"/>
        <v>0</v>
      </c>
      <c r="H41" s="57">
        <f t="shared" si="88"/>
        <v>0</v>
      </c>
      <c r="I41" s="57">
        <f t="shared" si="88"/>
        <v>0</v>
      </c>
      <c r="J41" s="5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row>
    <row r="42" spans="2:70" x14ac:dyDescent="0.25">
      <c r="C42" s="207" t="str">
        <f>IF(KeyInputs!F29=0," ",KeyInputs!F29)</f>
        <v>Insert Product Group6</v>
      </c>
      <c r="E42" s="57">
        <f t="shared" si="89"/>
        <v>0</v>
      </c>
      <c r="F42" s="57">
        <f t="shared" si="88"/>
        <v>0</v>
      </c>
      <c r="G42" s="57">
        <f t="shared" si="88"/>
        <v>0</v>
      </c>
      <c r="H42" s="57">
        <f t="shared" si="88"/>
        <v>0</v>
      </c>
      <c r="I42" s="57">
        <f t="shared" si="88"/>
        <v>0</v>
      </c>
      <c r="J42" s="57"/>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row>
    <row r="43" spans="2:70" x14ac:dyDescent="0.25">
      <c r="E43" s="57"/>
      <c r="F43" s="57"/>
      <c r="G43" s="57"/>
      <c r="H43" s="57"/>
      <c r="I43" s="57"/>
      <c r="J43" s="57"/>
      <c r="K43" s="178"/>
      <c r="L43" s="178"/>
      <c r="M43" s="178"/>
      <c r="N43" s="178"/>
      <c r="O43" s="178"/>
      <c r="P43" s="178"/>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s="178"/>
      <c r="BR43" s="178"/>
    </row>
    <row r="44" spans="2:70" ht="13.8" x14ac:dyDescent="0.25">
      <c r="B44" s="169" t="str">
        <f>Header2</f>
        <v>2.3</v>
      </c>
      <c r="C44" s="169" t="str">
        <f>C24</f>
        <v>Insert Business Line3</v>
      </c>
      <c r="E44" s="57"/>
      <c r="F44" s="57"/>
      <c r="G44" s="57"/>
      <c r="H44" s="57"/>
      <c r="I44" s="57"/>
      <c r="J44" s="57"/>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s="178"/>
      <c r="BR44" s="178"/>
    </row>
    <row r="45" spans="2:70" x14ac:dyDescent="0.25">
      <c r="C45" s="207" t="str">
        <f>IF(KeyInputs!F32=0," ",KeyInputs!F32)</f>
        <v>Insert Product Group7</v>
      </c>
      <c r="E45" s="57">
        <f t="shared" ref="E45:I47" si="90">SUMIF($K$5:$BR$5,E$5,$K45:$BR45)</f>
        <v>0</v>
      </c>
      <c r="F45" s="57">
        <f t="shared" si="90"/>
        <v>0</v>
      </c>
      <c r="G45" s="57">
        <f t="shared" si="90"/>
        <v>0</v>
      </c>
      <c r="H45" s="57">
        <f t="shared" si="90"/>
        <v>0</v>
      </c>
      <c r="I45" s="57">
        <f t="shared" si="90"/>
        <v>0</v>
      </c>
      <c r="J45" s="5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row>
    <row r="46" spans="2:70" x14ac:dyDescent="0.25">
      <c r="C46" s="207" t="str">
        <f>IF(KeyInputs!F33=0," ",KeyInputs!F33)</f>
        <v>Insert Product Group8</v>
      </c>
      <c r="E46" s="57">
        <f t="shared" si="90"/>
        <v>0</v>
      </c>
      <c r="F46" s="57">
        <f t="shared" si="90"/>
        <v>0</v>
      </c>
      <c r="G46" s="57">
        <f t="shared" si="90"/>
        <v>0</v>
      </c>
      <c r="H46" s="57">
        <f t="shared" si="90"/>
        <v>0</v>
      </c>
      <c r="I46" s="57">
        <f t="shared" si="90"/>
        <v>0</v>
      </c>
      <c r="J46" s="5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row>
    <row r="47" spans="2:70" x14ac:dyDescent="0.25">
      <c r="C47" s="207" t="str">
        <f>IF(KeyInputs!F34=0," ",KeyInputs!F34)</f>
        <v>Insert Product Group9</v>
      </c>
      <c r="E47" s="57">
        <f t="shared" si="90"/>
        <v>0</v>
      </c>
      <c r="F47" s="57">
        <f t="shared" si="90"/>
        <v>0</v>
      </c>
      <c r="G47" s="57">
        <f t="shared" si="90"/>
        <v>0</v>
      </c>
      <c r="H47" s="57">
        <f t="shared" si="90"/>
        <v>0</v>
      </c>
      <c r="I47" s="57">
        <f t="shared" si="90"/>
        <v>0</v>
      </c>
      <c r="J47" s="5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row>
    <row r="48" spans="2:70" x14ac:dyDescent="0.25">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row>
    <row r="49" spans="1:70" s="166" customFormat="1" ht="15.6" x14ac:dyDescent="0.3">
      <c r="A49" s="166">
        <f>Header1</f>
        <v>3</v>
      </c>
      <c r="B49" s="166" t="s">
        <v>109</v>
      </c>
      <c r="E49" s="176"/>
      <c r="F49" s="176"/>
      <c r="G49" s="176"/>
      <c r="H49" s="176"/>
      <c r="I49" s="176"/>
      <c r="J49" s="176"/>
      <c r="K49" s="176"/>
      <c r="L49" s="176"/>
      <c r="M49" s="176"/>
      <c r="N49" s="176"/>
      <c r="O49" s="176"/>
      <c r="P49" s="176"/>
      <c r="Q49" s="176"/>
      <c r="R49" s="176"/>
      <c r="S49" s="176"/>
      <c r="T49" s="176"/>
      <c r="U49" s="176"/>
      <c r="V49" s="176"/>
      <c r="W49" s="176"/>
      <c r="X49" s="176"/>
      <c r="Y49" s="176"/>
      <c r="Z49" s="176"/>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176"/>
      <c r="BC49" s="176"/>
      <c r="BD49" s="176"/>
      <c r="BE49" s="176"/>
      <c r="BF49" s="176"/>
      <c r="BG49" s="176"/>
      <c r="BH49" s="176"/>
      <c r="BI49" s="176"/>
      <c r="BJ49" s="176"/>
      <c r="BK49" s="176"/>
      <c r="BL49" s="176"/>
      <c r="BM49" s="176"/>
      <c r="BN49" s="176"/>
      <c r="BO49" s="176"/>
      <c r="BP49" s="176"/>
      <c r="BQ49" s="176"/>
      <c r="BR49" s="176"/>
    </row>
    <row r="50" spans="1:70" s="123" customFormat="1" x14ac:dyDescent="0.25">
      <c r="B50" s="124"/>
      <c r="C50" s="124"/>
      <c r="D50" s="125"/>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row>
    <row r="51" spans="1:70" ht="13.8" x14ac:dyDescent="0.25">
      <c r="A51" s="127"/>
      <c r="B51" s="169" t="str">
        <f>Header2</f>
        <v>3.1</v>
      </c>
      <c r="C51" s="169" t="str">
        <f>C34</f>
        <v>Test</v>
      </c>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row>
    <row r="52" spans="1:70" x14ac:dyDescent="0.25">
      <c r="A52" s="127"/>
      <c r="C52" s="207" t="str">
        <f>IF(KeyInputs!$F$22=0," ",KeyInputs!$F$22)</f>
        <v>Insert Product Group 1</v>
      </c>
      <c r="D52" s="161" t="str">
        <f>unit</f>
        <v>£</v>
      </c>
      <c r="E52" s="57"/>
      <c r="F52" s="57"/>
      <c r="G52" s="57"/>
      <c r="H52" s="57"/>
      <c r="I52" s="57"/>
      <c r="J52" s="5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row>
    <row r="53" spans="1:70" x14ac:dyDescent="0.25">
      <c r="A53" s="127"/>
      <c r="C53" s="207" t="str">
        <f>IF(KeyInputs!F23=0," ",KeyInputs!F23)</f>
        <v>Insert Product Group 2</v>
      </c>
      <c r="D53" s="161" t="str">
        <f>unit</f>
        <v>£</v>
      </c>
      <c r="E53" s="57"/>
      <c r="F53" s="57"/>
      <c r="G53" s="57"/>
      <c r="H53" s="57"/>
      <c r="I53" s="57"/>
      <c r="J53" s="5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row>
    <row r="54" spans="1:70" x14ac:dyDescent="0.25">
      <c r="A54" s="127"/>
      <c r="C54" s="207" t="str">
        <f>IF(KeyInputs!F24=0," ",KeyInputs!F24)</f>
        <v>Insert Product Group 3</v>
      </c>
      <c r="D54" s="161" t="str">
        <f>unit</f>
        <v>£</v>
      </c>
      <c r="E54" s="57"/>
      <c r="F54" s="57"/>
      <c r="G54" s="57"/>
      <c r="H54" s="57"/>
      <c r="I54" s="57"/>
      <c r="J54" s="5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7"/>
      <c r="AP54" s="177"/>
      <c r="AQ54" s="177"/>
      <c r="AR54" s="177"/>
      <c r="AS54" s="177"/>
      <c r="AT54" s="177"/>
      <c r="AU54" s="177"/>
      <c r="AV54" s="177"/>
      <c r="AW54" s="177"/>
      <c r="AX54" s="177"/>
      <c r="AY54" s="177"/>
      <c r="AZ54" s="177"/>
      <c r="BA54" s="177"/>
      <c r="BB54" s="177"/>
      <c r="BC54" s="177"/>
      <c r="BD54" s="177"/>
      <c r="BE54" s="177"/>
      <c r="BF54" s="177"/>
      <c r="BG54" s="177"/>
      <c r="BH54" s="177"/>
      <c r="BI54" s="177"/>
      <c r="BJ54" s="177"/>
      <c r="BK54" s="177"/>
      <c r="BL54" s="177"/>
      <c r="BM54" s="177"/>
      <c r="BN54" s="177"/>
      <c r="BO54" s="177"/>
      <c r="BP54" s="177"/>
      <c r="BQ54" s="177"/>
      <c r="BR54" s="177"/>
    </row>
    <row r="55" spans="1:70" x14ac:dyDescent="0.25">
      <c r="A55" s="127"/>
      <c r="C55" s="139"/>
      <c r="D55" s="161"/>
      <c r="E55" s="57"/>
      <c r="F55" s="57"/>
      <c r="G55" s="57"/>
      <c r="H55" s="57"/>
      <c r="I55" s="57"/>
      <c r="J55" s="57"/>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s="178"/>
      <c r="BR55" s="178"/>
    </row>
    <row r="56" spans="1:70" ht="13.8" x14ac:dyDescent="0.25">
      <c r="A56" s="127"/>
      <c r="B56" s="169" t="str">
        <f>Header2</f>
        <v>3.2</v>
      </c>
      <c r="C56" s="169" t="str">
        <f>C39</f>
        <v>Insert Business Line2</v>
      </c>
      <c r="D56" s="161"/>
      <c r="E56" s="57"/>
      <c r="F56" s="57"/>
      <c r="G56" s="57"/>
      <c r="H56" s="57"/>
      <c r="I56" s="57"/>
      <c r="J56" s="57"/>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s="178"/>
      <c r="BR56" s="178"/>
    </row>
    <row r="57" spans="1:70" x14ac:dyDescent="0.25">
      <c r="A57" s="127"/>
      <c r="C57" s="207" t="str">
        <f>IF(KeyInputs!F27=0," ",KeyInputs!F27)</f>
        <v>Insert Product Group4</v>
      </c>
      <c r="D57" s="161" t="str">
        <f>unit</f>
        <v>£</v>
      </c>
      <c r="E57" s="57"/>
      <c r="F57" s="57"/>
      <c r="G57" s="57"/>
      <c r="H57" s="57"/>
      <c r="I57" s="57"/>
      <c r="J57" s="57"/>
      <c r="K57" s="177"/>
      <c r="L57" s="177"/>
      <c r="M57" s="177"/>
      <c r="N57" s="177"/>
      <c r="O57" s="177"/>
      <c r="P57" s="177"/>
      <c r="Q57" s="177"/>
      <c r="R57" s="177"/>
      <c r="S57" s="177"/>
      <c r="T57" s="177"/>
      <c r="U57" s="177"/>
      <c r="V57" s="177"/>
      <c r="W57" s="177"/>
      <c r="X57" s="177"/>
      <c r="Y57" s="177"/>
      <c r="Z57" s="177"/>
      <c r="AA57" s="177"/>
      <c r="AB57" s="177"/>
      <c r="AC57" s="177"/>
      <c r="AD57" s="177"/>
      <c r="AE57" s="177"/>
      <c r="AF57" s="177"/>
      <c r="AG57" s="177"/>
      <c r="AH57" s="177"/>
      <c r="AI57" s="177"/>
      <c r="AJ57" s="177"/>
      <c r="AK57" s="177"/>
      <c r="AL57" s="177"/>
      <c r="AM57" s="177"/>
      <c r="AN57" s="177"/>
      <c r="AO57" s="177"/>
      <c r="AP57" s="177"/>
      <c r="AQ57" s="177"/>
      <c r="AR57" s="177"/>
      <c r="AS57" s="177"/>
      <c r="AT57" s="177"/>
      <c r="AU57" s="177"/>
      <c r="AV57" s="177"/>
      <c r="AW57" s="177"/>
      <c r="AX57" s="177"/>
      <c r="AY57" s="177"/>
      <c r="AZ57" s="177"/>
      <c r="BA57" s="177"/>
      <c r="BB57" s="177"/>
      <c r="BC57" s="177"/>
      <c r="BD57" s="177"/>
      <c r="BE57" s="177"/>
      <c r="BF57" s="177"/>
      <c r="BG57" s="177"/>
      <c r="BH57" s="177"/>
      <c r="BI57" s="177"/>
      <c r="BJ57" s="177"/>
      <c r="BK57" s="177"/>
      <c r="BL57" s="177"/>
      <c r="BM57" s="177"/>
      <c r="BN57" s="177"/>
      <c r="BO57" s="177"/>
      <c r="BP57" s="177"/>
      <c r="BQ57" s="177"/>
      <c r="BR57" s="177"/>
    </row>
    <row r="58" spans="1:70" x14ac:dyDescent="0.25">
      <c r="A58" s="127"/>
      <c r="C58" s="207" t="str">
        <f>IF(KeyInputs!F28=0," ",KeyInputs!F28)</f>
        <v>Insert Product Group5</v>
      </c>
      <c r="D58" s="161" t="str">
        <f>unit</f>
        <v>£</v>
      </c>
      <c r="E58" s="57"/>
      <c r="F58" s="57"/>
      <c r="G58" s="57"/>
      <c r="H58" s="57"/>
      <c r="I58" s="57"/>
      <c r="J58" s="57"/>
      <c r="K58" s="177"/>
      <c r="L58" s="177"/>
      <c r="M58" s="177"/>
      <c r="N58" s="177"/>
      <c r="O58" s="177"/>
      <c r="P58" s="177"/>
      <c r="Q58" s="177"/>
      <c r="R58" s="177"/>
      <c r="S58" s="177"/>
      <c r="T58" s="177"/>
      <c r="U58" s="177"/>
      <c r="V58" s="177"/>
      <c r="W58" s="177"/>
      <c r="X58" s="177"/>
      <c r="Y58" s="177"/>
      <c r="Z58" s="177"/>
      <c r="AA58" s="177"/>
      <c r="AB58" s="177"/>
      <c r="AC58" s="177"/>
      <c r="AD58" s="177"/>
      <c r="AE58" s="177"/>
      <c r="AF58" s="177"/>
      <c r="AG58" s="177"/>
      <c r="AH58" s="177"/>
      <c r="AI58" s="177"/>
      <c r="AJ58" s="177"/>
      <c r="AK58" s="177"/>
      <c r="AL58" s="177"/>
      <c r="AM58" s="177"/>
      <c r="AN58" s="177"/>
      <c r="AO58" s="177"/>
      <c r="AP58" s="177"/>
      <c r="AQ58" s="177"/>
      <c r="AR58" s="177"/>
      <c r="AS58" s="177"/>
      <c r="AT58" s="177"/>
      <c r="AU58" s="177"/>
      <c r="AV58" s="177"/>
      <c r="AW58" s="177"/>
      <c r="AX58" s="177"/>
      <c r="AY58" s="177"/>
      <c r="AZ58" s="177"/>
      <c r="BA58" s="177"/>
      <c r="BB58" s="177"/>
      <c r="BC58" s="177"/>
      <c r="BD58" s="177"/>
      <c r="BE58" s="177"/>
      <c r="BF58" s="177"/>
      <c r="BG58" s="177"/>
      <c r="BH58" s="177"/>
      <c r="BI58" s="177"/>
      <c r="BJ58" s="177"/>
      <c r="BK58" s="177"/>
      <c r="BL58" s="177"/>
      <c r="BM58" s="177"/>
      <c r="BN58" s="177"/>
      <c r="BO58" s="177"/>
      <c r="BP58" s="177"/>
      <c r="BQ58" s="177"/>
      <c r="BR58" s="177"/>
    </row>
    <row r="59" spans="1:70" x14ac:dyDescent="0.25">
      <c r="A59" s="127"/>
      <c r="C59" s="207" t="str">
        <f>IF(KeyInputs!F29=0," ",KeyInputs!F29)</f>
        <v>Insert Product Group6</v>
      </c>
      <c r="D59" s="161" t="str">
        <f>unit</f>
        <v>£</v>
      </c>
      <c r="E59" s="57"/>
      <c r="F59" s="57"/>
      <c r="G59" s="57"/>
      <c r="H59" s="57"/>
      <c r="I59" s="57"/>
      <c r="J59" s="57"/>
      <c r="K59" s="177"/>
      <c r="L59" s="177"/>
      <c r="M59" s="177"/>
      <c r="N59" s="177"/>
      <c r="O59" s="177"/>
      <c r="P59" s="177"/>
      <c r="Q59" s="177"/>
      <c r="R59" s="177"/>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177"/>
      <c r="BA59" s="177"/>
      <c r="BB59" s="177"/>
      <c r="BC59" s="177"/>
      <c r="BD59" s="177"/>
      <c r="BE59" s="177"/>
      <c r="BF59" s="177"/>
      <c r="BG59" s="177"/>
      <c r="BH59" s="177"/>
      <c r="BI59" s="177"/>
      <c r="BJ59" s="177"/>
      <c r="BK59" s="177"/>
      <c r="BL59" s="177"/>
      <c r="BM59" s="177"/>
      <c r="BN59" s="177"/>
      <c r="BO59" s="177"/>
      <c r="BP59" s="177"/>
      <c r="BQ59" s="177"/>
      <c r="BR59" s="177"/>
    </row>
    <row r="60" spans="1:70" x14ac:dyDescent="0.25">
      <c r="A60" s="127"/>
      <c r="C60" s="139"/>
      <c r="D60" s="161"/>
      <c r="E60" s="57"/>
      <c r="F60" s="57"/>
      <c r="G60" s="57"/>
      <c r="H60" s="57"/>
      <c r="I60" s="57"/>
      <c r="J60" s="57"/>
      <c r="K60" s="178"/>
      <c r="L60" s="178"/>
      <c r="M60" s="178"/>
      <c r="N60" s="178"/>
      <c r="O60" s="178"/>
      <c r="P60" s="178"/>
      <c r="Q60" s="178"/>
      <c r="R60" s="178"/>
      <c r="S60" s="178"/>
      <c r="T60" s="178"/>
      <c r="U60" s="178"/>
      <c r="V60" s="178"/>
      <c r="W60" s="178"/>
      <c r="X60" s="178"/>
      <c r="Y60" s="178"/>
      <c r="Z60" s="178"/>
      <c r="AA60" s="178"/>
      <c r="AB60" s="178"/>
      <c r="AC60" s="178"/>
      <c r="AD60" s="178"/>
      <c r="AE60" s="178"/>
      <c r="AF60" s="178"/>
      <c r="AG60" s="178"/>
      <c r="AH60" s="178"/>
      <c r="AI60" s="178"/>
      <c r="AJ60" s="178"/>
      <c r="AK60" s="178"/>
      <c r="AL60" s="178"/>
      <c r="AM60" s="178"/>
      <c r="AN60" s="178"/>
      <c r="AO60" s="178"/>
      <c r="AP60" s="178"/>
      <c r="AQ60" s="178"/>
      <c r="AR60" s="178"/>
      <c r="AS60" s="178"/>
      <c r="AT60" s="178"/>
      <c r="AU60" s="178"/>
      <c r="AV60" s="178"/>
      <c r="AW60" s="178"/>
      <c r="AX60" s="178"/>
      <c r="AY60" s="178"/>
      <c r="AZ60" s="178"/>
      <c r="BA60" s="178"/>
      <c r="BB60" s="178"/>
      <c r="BC60" s="178"/>
      <c r="BD60" s="178"/>
      <c r="BE60" s="178"/>
      <c r="BF60" s="178"/>
      <c r="BG60" s="178"/>
      <c r="BH60" s="178"/>
      <c r="BI60" s="178"/>
      <c r="BJ60" s="178"/>
      <c r="BK60" s="178"/>
      <c r="BL60" s="178"/>
      <c r="BM60" s="178"/>
      <c r="BN60" s="178"/>
      <c r="BO60" s="178"/>
      <c r="BP60" s="178"/>
      <c r="BQ60" s="178"/>
      <c r="BR60" s="178"/>
    </row>
    <row r="61" spans="1:70" ht="13.8" x14ac:dyDescent="0.25">
      <c r="A61" s="127"/>
      <c r="B61" s="169" t="str">
        <f>Header2</f>
        <v>3.3</v>
      </c>
      <c r="C61" s="169" t="str">
        <f>C44</f>
        <v>Insert Business Line3</v>
      </c>
      <c r="D61" s="161"/>
      <c r="E61" s="57"/>
      <c r="F61" s="57"/>
      <c r="G61" s="57"/>
      <c r="H61" s="57"/>
      <c r="I61" s="57"/>
      <c r="J61" s="57"/>
      <c r="K61" s="178"/>
      <c r="L61" s="178"/>
      <c r="M61" s="178"/>
      <c r="N61" s="178"/>
      <c r="O61" s="178"/>
      <c r="P61" s="178"/>
      <c r="Q61" s="178"/>
      <c r="R61" s="178"/>
      <c r="S61" s="178"/>
      <c r="T61" s="178"/>
      <c r="U61" s="178"/>
      <c r="V61" s="178"/>
      <c r="W61" s="178"/>
      <c r="X61" s="178"/>
      <c r="Y61" s="178"/>
      <c r="Z61" s="178"/>
      <c r="AA61" s="178"/>
      <c r="AB61" s="178"/>
      <c r="AC61" s="178"/>
      <c r="AD61" s="178"/>
      <c r="AE61" s="178"/>
      <c r="AF61" s="178"/>
      <c r="AG61" s="178"/>
      <c r="AH61" s="178"/>
      <c r="AI61" s="178"/>
      <c r="AJ61" s="178"/>
      <c r="AK61" s="178"/>
      <c r="AL61" s="178"/>
      <c r="AM61" s="178"/>
      <c r="AN61" s="178"/>
      <c r="AO61" s="178"/>
      <c r="AP61" s="178"/>
      <c r="AQ61" s="178"/>
      <c r="AR61" s="178"/>
      <c r="AS61" s="178"/>
      <c r="AT61" s="178"/>
      <c r="AU61" s="178"/>
      <c r="AV61" s="178"/>
      <c r="AW61" s="178"/>
      <c r="AX61" s="178"/>
      <c r="AY61" s="178"/>
      <c r="AZ61" s="178"/>
      <c r="BA61" s="178"/>
      <c r="BB61" s="178"/>
      <c r="BC61" s="178"/>
      <c r="BD61" s="178"/>
      <c r="BE61" s="178"/>
      <c r="BF61" s="178"/>
      <c r="BG61" s="178"/>
      <c r="BH61" s="178"/>
      <c r="BI61" s="178"/>
      <c r="BJ61" s="178"/>
      <c r="BK61" s="178"/>
      <c r="BL61" s="178"/>
      <c r="BM61" s="178"/>
      <c r="BN61" s="178"/>
      <c r="BO61" s="178"/>
      <c r="BP61" s="178"/>
      <c r="BQ61" s="178"/>
      <c r="BR61" s="178"/>
    </row>
    <row r="62" spans="1:70" x14ac:dyDescent="0.25">
      <c r="C62" s="207" t="str">
        <f>IF(KeyInputs!F32=0," ",KeyInputs!F32)</f>
        <v>Insert Product Group7</v>
      </c>
      <c r="D62" s="161" t="str">
        <f>unit</f>
        <v>£</v>
      </c>
      <c r="E62" s="57"/>
      <c r="F62" s="57"/>
      <c r="G62" s="57"/>
      <c r="H62" s="57"/>
      <c r="I62" s="57"/>
      <c r="J62" s="57"/>
      <c r="K62" s="177"/>
      <c r="L62" s="177"/>
      <c r="M62" s="177"/>
      <c r="N62" s="177"/>
      <c r="O62" s="177"/>
      <c r="P62" s="177"/>
      <c r="Q62" s="177"/>
      <c r="R62" s="177"/>
      <c r="S62" s="177"/>
      <c r="T62" s="177"/>
      <c r="U62" s="177"/>
      <c r="V62" s="177"/>
      <c r="W62" s="177"/>
      <c r="X62" s="177"/>
      <c r="Y62" s="177"/>
      <c r="Z62" s="177"/>
      <c r="AA62" s="177"/>
      <c r="AB62" s="177"/>
      <c r="AC62" s="177"/>
      <c r="AD62" s="177"/>
      <c r="AE62" s="177"/>
      <c r="AF62" s="177"/>
      <c r="AG62" s="177"/>
      <c r="AH62" s="177"/>
      <c r="AI62" s="177"/>
      <c r="AJ62" s="177"/>
      <c r="AK62" s="177"/>
      <c r="AL62" s="177"/>
      <c r="AM62" s="177"/>
      <c r="AN62" s="177"/>
      <c r="AO62" s="177"/>
      <c r="AP62" s="177"/>
      <c r="AQ62" s="177"/>
      <c r="AR62" s="177"/>
      <c r="AS62" s="177"/>
      <c r="AT62" s="177"/>
      <c r="AU62" s="177"/>
      <c r="AV62" s="177"/>
      <c r="AW62" s="177"/>
      <c r="AX62" s="177"/>
      <c r="AY62" s="177"/>
      <c r="AZ62" s="177"/>
      <c r="BA62" s="177"/>
      <c r="BB62" s="177"/>
      <c r="BC62" s="177"/>
      <c r="BD62" s="177"/>
      <c r="BE62" s="177"/>
      <c r="BF62" s="177"/>
      <c r="BG62" s="177"/>
      <c r="BH62" s="177"/>
      <c r="BI62" s="177"/>
      <c r="BJ62" s="177"/>
      <c r="BK62" s="177"/>
      <c r="BL62" s="177"/>
      <c r="BM62" s="177"/>
      <c r="BN62" s="177"/>
      <c r="BO62" s="177"/>
      <c r="BP62" s="177"/>
      <c r="BQ62" s="177"/>
      <c r="BR62" s="177"/>
    </row>
    <row r="63" spans="1:70" x14ac:dyDescent="0.25">
      <c r="C63" s="207" t="str">
        <f>IF(KeyInputs!F33=0," ",KeyInputs!F33)</f>
        <v>Insert Product Group8</v>
      </c>
      <c r="D63" s="161" t="str">
        <f>unit</f>
        <v>£</v>
      </c>
      <c r="E63" s="57"/>
      <c r="F63" s="57"/>
      <c r="G63" s="57"/>
      <c r="H63" s="57"/>
      <c r="I63" s="57"/>
      <c r="J63" s="57"/>
      <c r="K63" s="177"/>
      <c r="L63" s="177"/>
      <c r="M63" s="177"/>
      <c r="N63" s="177"/>
      <c r="O63" s="177"/>
      <c r="P63" s="177"/>
      <c r="Q63" s="177"/>
      <c r="R63" s="177"/>
      <c r="S63" s="177"/>
      <c r="T63" s="177"/>
      <c r="U63" s="177"/>
      <c r="V63" s="177"/>
      <c r="W63" s="177"/>
      <c r="X63" s="177"/>
      <c r="Y63" s="177"/>
      <c r="Z63" s="177"/>
      <c r="AA63" s="177"/>
      <c r="AB63" s="177"/>
      <c r="AC63" s="177"/>
      <c r="AD63" s="177"/>
      <c r="AE63" s="177"/>
      <c r="AF63" s="177"/>
      <c r="AG63" s="177"/>
      <c r="AH63" s="177"/>
      <c r="AI63" s="177"/>
      <c r="AJ63" s="177"/>
      <c r="AK63" s="177"/>
      <c r="AL63" s="177"/>
      <c r="AM63" s="177"/>
      <c r="AN63" s="177"/>
      <c r="AO63" s="177"/>
      <c r="AP63" s="177"/>
      <c r="AQ63" s="177"/>
      <c r="AR63" s="177"/>
      <c r="AS63" s="177"/>
      <c r="AT63" s="177"/>
      <c r="AU63" s="177"/>
      <c r="AV63" s="177"/>
      <c r="AW63" s="177"/>
      <c r="AX63" s="177"/>
      <c r="AY63" s="177"/>
      <c r="AZ63" s="177"/>
      <c r="BA63" s="177"/>
      <c r="BB63" s="177"/>
      <c r="BC63" s="177"/>
      <c r="BD63" s="177"/>
      <c r="BE63" s="177"/>
      <c r="BF63" s="177"/>
      <c r="BG63" s="177"/>
      <c r="BH63" s="177"/>
      <c r="BI63" s="177"/>
      <c r="BJ63" s="177"/>
      <c r="BK63" s="177"/>
      <c r="BL63" s="177"/>
      <c r="BM63" s="177"/>
      <c r="BN63" s="177"/>
      <c r="BO63" s="177"/>
      <c r="BP63" s="177"/>
      <c r="BQ63" s="177"/>
      <c r="BR63" s="177"/>
    </row>
    <row r="64" spans="1:70" x14ac:dyDescent="0.25">
      <c r="C64" s="207" t="str">
        <f>IF(KeyInputs!F34=0," ",KeyInputs!F34)</f>
        <v>Insert Product Group9</v>
      </c>
      <c r="D64" s="161" t="str">
        <f>unit</f>
        <v>£</v>
      </c>
      <c r="E64" s="57"/>
      <c r="F64" s="57"/>
      <c r="G64" s="57"/>
      <c r="H64" s="57"/>
      <c r="I64" s="57"/>
      <c r="J64" s="5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7"/>
      <c r="AP64" s="177"/>
      <c r="AQ64" s="177"/>
      <c r="AR64" s="177"/>
      <c r="AS64" s="177"/>
      <c r="AT64" s="177"/>
      <c r="AU64" s="177"/>
      <c r="AV64" s="177"/>
      <c r="AW64" s="177"/>
      <c r="AX64" s="177"/>
      <c r="AY64" s="177"/>
      <c r="AZ64" s="177"/>
      <c r="BA64" s="177"/>
      <c r="BB64" s="177"/>
      <c r="BC64" s="177"/>
      <c r="BD64" s="177"/>
      <c r="BE64" s="177"/>
      <c r="BF64" s="177"/>
      <c r="BG64" s="177"/>
      <c r="BH64" s="177"/>
      <c r="BI64" s="177"/>
      <c r="BJ64" s="177"/>
      <c r="BK64" s="177"/>
      <c r="BL64" s="177"/>
      <c r="BM64" s="177"/>
      <c r="BN64" s="177"/>
      <c r="BO64" s="177"/>
      <c r="BP64" s="177"/>
      <c r="BQ64" s="177"/>
      <c r="BR64" s="177"/>
    </row>
    <row r="65" spans="1:70" x14ac:dyDescent="0.25">
      <c r="E65" s="64"/>
      <c r="F65" s="64"/>
      <c r="G65" s="64"/>
      <c r="H65" s="64"/>
      <c r="I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c r="BB65" s="64"/>
      <c r="BC65" s="64"/>
      <c r="BD65" s="64"/>
      <c r="BE65" s="64"/>
      <c r="BF65" s="64"/>
      <c r="BG65" s="64"/>
      <c r="BH65" s="64"/>
      <c r="BI65" s="64"/>
      <c r="BJ65" s="64"/>
      <c r="BK65" s="64"/>
      <c r="BL65" s="64"/>
      <c r="BM65" s="64"/>
      <c r="BN65" s="64"/>
      <c r="BO65" s="64"/>
      <c r="BP65" s="64"/>
      <c r="BQ65" s="64"/>
      <c r="BR65" s="64"/>
    </row>
    <row r="66" spans="1:70" s="166" customFormat="1" ht="15.6" x14ac:dyDescent="0.3">
      <c r="A66" s="166" t="s">
        <v>217</v>
      </c>
      <c r="E66" s="176"/>
      <c r="F66" s="176"/>
      <c r="G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c r="BL66" s="176"/>
      <c r="BM66" s="176"/>
      <c r="BN66" s="176"/>
      <c r="BO66" s="176"/>
      <c r="BP66" s="176"/>
      <c r="BQ66" s="176"/>
      <c r="BR66" s="176"/>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A1:AO35"/>
  <sheetViews>
    <sheetView workbookViewId="0">
      <pane xSplit="3" ySplit="5" topLeftCell="X6" activePane="bottomRight" state="frozen"/>
      <selection pane="topRight" activeCell="D1" sqref="D1"/>
      <selection pane="bottomLeft" activeCell="A6" sqref="A6"/>
      <selection pane="bottomRight" activeCell="AI13" sqref="AI13"/>
    </sheetView>
  </sheetViews>
  <sheetFormatPr defaultColWidth="8.88671875" defaultRowHeight="14.4" x14ac:dyDescent="0.3"/>
  <cols>
    <col min="1" max="1" width="2.44140625" customWidth="1"/>
    <col min="2" max="2" width="22" customWidth="1"/>
    <col min="3" max="3" width="9.44140625" customWidth="1"/>
  </cols>
  <sheetData>
    <row r="1" spans="1:41" ht="18" x14ac:dyDescent="0.35">
      <c r="A1" s="4">
        <f>KeyInputs!F14</f>
        <v>0</v>
      </c>
    </row>
    <row r="2" spans="1:41" ht="18" x14ac:dyDescent="0.35">
      <c r="A2" s="4" t="str">
        <f>KeyInputs!F22</f>
        <v>Insert Product Group 1</v>
      </c>
      <c r="D2" t="s">
        <v>80</v>
      </c>
    </row>
    <row r="4" spans="1:41" x14ac:dyDescent="0.3">
      <c r="D4" s="336">
        <f>KeyInputs!$F$17</f>
        <v>42005</v>
      </c>
      <c r="E4" s="337"/>
      <c r="F4" s="337"/>
      <c r="G4" s="337"/>
      <c r="H4" s="337"/>
      <c r="I4" s="337"/>
      <c r="J4" s="337"/>
      <c r="K4" s="337"/>
      <c r="L4" s="337"/>
      <c r="M4" s="337"/>
      <c r="N4" s="337"/>
      <c r="O4" s="338"/>
      <c r="Q4" s="336">
        <f>KeyInputs!$F$17+1</f>
        <v>42006</v>
      </c>
      <c r="R4" s="337"/>
      <c r="S4" s="337"/>
      <c r="T4" s="337"/>
      <c r="U4" s="337"/>
      <c r="V4" s="337"/>
      <c r="W4" s="337"/>
      <c r="X4" s="337"/>
      <c r="Y4" s="337"/>
      <c r="Z4" s="337"/>
      <c r="AA4" s="337"/>
      <c r="AB4" s="338"/>
      <c r="AD4" s="336">
        <f>KeyInputs!$F$17+2</f>
        <v>42007</v>
      </c>
      <c r="AE4" s="337"/>
      <c r="AF4" s="337"/>
      <c r="AG4" s="337"/>
      <c r="AH4" s="337"/>
      <c r="AI4" s="337"/>
      <c r="AJ4" s="337"/>
      <c r="AK4" s="337"/>
      <c r="AL4" s="337"/>
      <c r="AM4" s="337"/>
      <c r="AN4" s="337"/>
      <c r="AO4" s="338"/>
    </row>
    <row r="5" spans="1:41" x14ac:dyDescent="0.3">
      <c r="C5" s="28" t="s">
        <v>70</v>
      </c>
      <c r="D5" s="31" t="e">
        <f>KeyInputs!#REF!</f>
        <v>#REF!</v>
      </c>
      <c r="E5" s="32" t="e">
        <f ca="1">OFFSET(Worksheet!$A$14,,(HLOOKUP(KeyInputs!#REF!,Worksheet!$A$14:$L$15,2,FALSE)))</f>
        <v>#REF!</v>
      </c>
      <c r="F5" s="32" t="e">
        <f ca="1">OFFSET(Worksheet!$A$14,,(HLOOKUP(KeyInputs!#REF!,Worksheet!$A$14:$L$15,2,FALSE))+Worksheet!$A$15)</f>
        <v>#REF!</v>
      </c>
      <c r="G5" s="32" t="e">
        <f ca="1">OFFSET(Worksheet!$A$14,,(HLOOKUP(KeyInputs!#REF!,Worksheet!$A$14:$L$15,2,FALSE))+Worksheet!$B$15)</f>
        <v>#REF!</v>
      </c>
      <c r="H5" s="32" t="e">
        <f ca="1">OFFSET(Worksheet!$A$14,,(HLOOKUP(KeyInputs!#REF!,Worksheet!$A$14:$L$15,2,FALSE))+Worksheet!$C$15)</f>
        <v>#REF!</v>
      </c>
      <c r="I5" s="32" t="e">
        <f ca="1">OFFSET(Worksheet!$A$14,,(HLOOKUP(KeyInputs!#REF!,Worksheet!$A$14:$L$15,2,FALSE))+Worksheet!$D$15)</f>
        <v>#REF!</v>
      </c>
      <c r="J5" s="32" t="e">
        <f ca="1">OFFSET(Worksheet!$A$14,,(HLOOKUP(KeyInputs!#REF!,Worksheet!$A$14:$L$15,2,FALSE))+Worksheet!$E$15)</f>
        <v>#REF!</v>
      </c>
      <c r="K5" s="32" t="e">
        <f ca="1">OFFSET(Worksheet!$A$14,,(HLOOKUP(KeyInputs!#REF!,Worksheet!$A$14:$L$15,2,FALSE))+Worksheet!$F$15)</f>
        <v>#REF!</v>
      </c>
      <c r="L5" s="32" t="e">
        <f ca="1">OFFSET(Worksheet!$A$14,,(HLOOKUP(KeyInputs!#REF!,Worksheet!$A$14:$L$15,2,FALSE))+Worksheet!$G$15)</f>
        <v>#REF!</v>
      </c>
      <c r="M5" s="32" t="e">
        <f ca="1">OFFSET(Worksheet!$A$14,,(HLOOKUP(KeyInputs!#REF!,Worksheet!$A$14:$L$15,2,FALSE))+Worksheet!$H$15)</f>
        <v>#REF!</v>
      </c>
      <c r="N5" s="32" t="e">
        <f ca="1">OFFSET(Worksheet!$A$14,,(HLOOKUP(KeyInputs!#REF!,Worksheet!$A$14:$L$15,2,FALSE))+Worksheet!$I$15)</f>
        <v>#REF!</v>
      </c>
      <c r="O5" s="32" t="e">
        <f ca="1">OFFSET(Worksheet!$A$14,,(HLOOKUP(KeyInputs!#REF!,Worksheet!$A$14:$L$15,2,FALSE))+Worksheet!$J$15)</f>
        <v>#REF!</v>
      </c>
      <c r="Q5" s="31" t="e">
        <f>KeyInputs!#REF!</f>
        <v>#REF!</v>
      </c>
      <c r="R5" s="32" t="e">
        <f ca="1">OFFSET(Worksheet!$A$14,,(HLOOKUP(KeyInputs!#REF!,Worksheet!$A$14:$L$15,2,FALSE)))</f>
        <v>#REF!</v>
      </c>
      <c r="S5" s="32" t="e">
        <f ca="1">OFFSET(Worksheet!$A$14,,(HLOOKUP(KeyInputs!#REF!,Worksheet!$A$14:$L$15,2,FALSE))+Worksheet!$A$15)</f>
        <v>#REF!</v>
      </c>
      <c r="T5" s="32" t="e">
        <f ca="1">OFFSET(Worksheet!$A$14,,(HLOOKUP(KeyInputs!#REF!,Worksheet!$A$14:$L$15,2,FALSE))+Worksheet!$B$15)</f>
        <v>#REF!</v>
      </c>
      <c r="U5" s="32" t="e">
        <f ca="1">OFFSET(Worksheet!$A$14,,(HLOOKUP(KeyInputs!#REF!,Worksheet!$A$14:$L$15,2,FALSE))+Worksheet!$C$15)</f>
        <v>#REF!</v>
      </c>
      <c r="V5" s="32" t="e">
        <f ca="1">OFFSET(Worksheet!$A$14,,(HLOOKUP(KeyInputs!#REF!,Worksheet!$A$14:$L$15,2,FALSE))+Worksheet!$D$15)</f>
        <v>#REF!</v>
      </c>
      <c r="W5" s="32" t="e">
        <f ca="1">OFFSET(Worksheet!$A$14,,(HLOOKUP(KeyInputs!#REF!,Worksheet!$A$14:$L$15,2,FALSE))+Worksheet!$E$15)</f>
        <v>#REF!</v>
      </c>
      <c r="X5" s="32" t="e">
        <f ca="1">OFFSET(Worksheet!$A$14,,(HLOOKUP(KeyInputs!#REF!,Worksheet!$A$14:$L$15,2,FALSE))+Worksheet!$F$15)</f>
        <v>#REF!</v>
      </c>
      <c r="Y5" s="32" t="e">
        <f ca="1">OFFSET(Worksheet!$A$14,,(HLOOKUP(KeyInputs!#REF!,Worksheet!$A$14:$L$15,2,FALSE))+Worksheet!$G$15)</f>
        <v>#REF!</v>
      </c>
      <c r="Z5" s="32" t="e">
        <f ca="1">OFFSET(Worksheet!$A$14,,(HLOOKUP(KeyInputs!#REF!,Worksheet!$A$14:$L$15,2,FALSE))+Worksheet!$H$15)</f>
        <v>#REF!</v>
      </c>
      <c r="AA5" s="32" t="e">
        <f ca="1">OFFSET(Worksheet!$A$14,,(HLOOKUP(KeyInputs!#REF!,Worksheet!$A$14:$L$15,2,FALSE))+Worksheet!$I$15)</f>
        <v>#REF!</v>
      </c>
      <c r="AB5" s="32" t="e">
        <f ca="1">OFFSET(Worksheet!$A$14,,(HLOOKUP(KeyInputs!#REF!,Worksheet!$A$14:$L$15,2,FALSE))+Worksheet!$J$15)</f>
        <v>#REF!</v>
      </c>
      <c r="AD5" s="31" t="e">
        <f>KeyInputs!#REF!</f>
        <v>#REF!</v>
      </c>
      <c r="AE5" s="32" t="e">
        <f ca="1">OFFSET(Worksheet!$A$14,,(HLOOKUP(KeyInputs!#REF!,Worksheet!$A$14:$L$15,2,FALSE)))</f>
        <v>#REF!</v>
      </c>
      <c r="AF5" s="32" t="e">
        <f ca="1">OFFSET(Worksheet!$A$14,,(HLOOKUP(KeyInputs!#REF!,Worksheet!$A$14:$L$15,2,FALSE))+Worksheet!$A$15)</f>
        <v>#REF!</v>
      </c>
      <c r="AG5" s="32" t="e">
        <f ca="1">OFFSET(Worksheet!$A$14,,(HLOOKUP(KeyInputs!#REF!,Worksheet!$A$14:$L$15,2,FALSE))+Worksheet!$B$15)</f>
        <v>#REF!</v>
      </c>
      <c r="AH5" s="32" t="e">
        <f ca="1">OFFSET(Worksheet!$A$14,,(HLOOKUP(KeyInputs!#REF!,Worksheet!$A$14:$L$15,2,FALSE))+Worksheet!$C$15)</f>
        <v>#REF!</v>
      </c>
      <c r="AI5" s="32" t="e">
        <f ca="1">OFFSET(Worksheet!$A$14,,(HLOOKUP(KeyInputs!#REF!,Worksheet!$A$14:$L$15,2,FALSE))+Worksheet!$D$15)</f>
        <v>#REF!</v>
      </c>
      <c r="AJ5" s="32" t="e">
        <f ca="1">OFFSET(Worksheet!$A$14,,(HLOOKUP(KeyInputs!#REF!,Worksheet!$A$14:$L$15,2,FALSE))+Worksheet!$E$15)</f>
        <v>#REF!</v>
      </c>
      <c r="AK5" s="32" t="e">
        <f ca="1">OFFSET(Worksheet!$A$14,,(HLOOKUP(KeyInputs!#REF!,Worksheet!$A$14:$L$15,2,FALSE))+Worksheet!$F$15)</f>
        <v>#REF!</v>
      </c>
      <c r="AL5" s="32" t="e">
        <f ca="1">OFFSET(Worksheet!$A$14,,(HLOOKUP(KeyInputs!#REF!,Worksheet!$A$14:$L$15,2,FALSE))+Worksheet!$G$15)</f>
        <v>#REF!</v>
      </c>
      <c r="AM5" s="32" t="e">
        <f ca="1">OFFSET(Worksheet!$A$14,,(HLOOKUP(KeyInputs!#REF!,Worksheet!$A$14:$L$15,2,FALSE))+Worksheet!$H$15)</f>
        <v>#REF!</v>
      </c>
      <c r="AN5" s="32" t="e">
        <f ca="1">OFFSET(Worksheet!$A$14,,(HLOOKUP(KeyInputs!#REF!,Worksheet!$A$14:$L$15,2,FALSE))+Worksheet!$I$15)</f>
        <v>#REF!</v>
      </c>
      <c r="AO5" s="32" t="e">
        <f ca="1">OFFSET(Worksheet!$A$14,,(HLOOKUP(KeyInputs!#REF!,Worksheet!$A$14:$L$15,2,FALSE))+Worksheet!$J$15)</f>
        <v>#REF!</v>
      </c>
    </row>
    <row r="6" spans="1:41" x14ac:dyDescent="0.3">
      <c r="A6" s="30"/>
      <c r="B6" s="25"/>
      <c r="C6" s="25"/>
      <c r="D6" s="25"/>
      <c r="E6" s="25"/>
      <c r="F6" s="25"/>
      <c r="G6" s="25"/>
      <c r="H6" s="25"/>
      <c r="I6" s="25"/>
      <c r="J6" s="25"/>
      <c r="K6" s="25"/>
      <c r="L6" s="25"/>
      <c r="M6" s="25"/>
      <c r="N6" s="25"/>
      <c r="O6" s="25"/>
      <c r="Q6" s="25"/>
      <c r="R6" s="25"/>
      <c r="S6" s="25"/>
      <c r="T6" s="25"/>
      <c r="U6" s="25"/>
      <c r="V6" s="25"/>
      <c r="W6" s="25"/>
      <c r="X6" s="25"/>
      <c r="Y6" s="25"/>
      <c r="Z6" s="25"/>
      <c r="AA6" s="25"/>
      <c r="AB6" s="25"/>
      <c r="AD6" s="25"/>
      <c r="AE6" s="25"/>
      <c r="AF6" s="25"/>
      <c r="AG6" s="25"/>
      <c r="AH6" s="25"/>
      <c r="AI6" s="25"/>
      <c r="AJ6" s="25"/>
      <c r="AK6" s="25"/>
      <c r="AL6" s="25"/>
      <c r="AM6" s="25"/>
      <c r="AN6" s="25"/>
      <c r="AO6" s="25"/>
    </row>
    <row r="7" spans="1:41" x14ac:dyDescent="0.3">
      <c r="A7" s="25"/>
      <c r="B7" s="25" t="s">
        <v>81</v>
      </c>
      <c r="C7" s="27" t="e">
        <f>#REF!*KeyInputs!#REF!</f>
        <v>#REF!</v>
      </c>
      <c r="D7" s="27" t="e">
        <f>#REF!*KeyInputs!#REF!</f>
        <v>#REF!</v>
      </c>
      <c r="E7" s="27" t="e">
        <f>#REF!*KeyInputs!#REF!</f>
        <v>#REF!</v>
      </c>
      <c r="F7" s="27" t="e">
        <f>#REF!*KeyInputs!#REF!</f>
        <v>#REF!</v>
      </c>
      <c r="G7" s="27" t="e">
        <f>#REF!*KeyInputs!#REF!</f>
        <v>#REF!</v>
      </c>
      <c r="H7" s="27" t="e">
        <f>#REF!*KeyInputs!#REF!</f>
        <v>#REF!</v>
      </c>
      <c r="I7" s="25"/>
      <c r="J7" s="25"/>
      <c r="K7" s="25"/>
      <c r="L7" s="25"/>
      <c r="M7" s="25"/>
      <c r="N7" s="25"/>
      <c r="O7" s="25"/>
      <c r="Q7" s="27"/>
      <c r="R7" s="27"/>
      <c r="S7" s="27"/>
      <c r="T7" s="27"/>
      <c r="U7" s="27"/>
      <c r="V7" s="25"/>
      <c r="W7" s="25"/>
      <c r="X7" s="25"/>
      <c r="Y7" s="25"/>
      <c r="Z7" s="25"/>
      <c r="AA7" s="25"/>
      <c r="AB7" s="25"/>
      <c r="AD7" s="27"/>
      <c r="AE7" s="27"/>
      <c r="AF7" s="27"/>
      <c r="AG7" s="27"/>
      <c r="AH7" s="27"/>
      <c r="AI7" s="25"/>
      <c r="AJ7" s="25"/>
      <c r="AK7" s="25"/>
      <c r="AL7" s="25"/>
      <c r="AM7" s="25"/>
      <c r="AN7" s="25"/>
      <c r="AO7" s="25"/>
    </row>
    <row r="8" spans="1:41" x14ac:dyDescent="0.3">
      <c r="A8" s="25"/>
      <c r="B8" s="39" t="e">
        <f>D5</f>
        <v>#REF!</v>
      </c>
      <c r="C8" s="27"/>
      <c r="D8" s="27" t="e">
        <f>#REF!*KeyInputs!#REF!</f>
        <v>#REF!</v>
      </c>
      <c r="E8" s="27" t="e">
        <f>#REF!*KeyInputs!#REF!</f>
        <v>#REF!</v>
      </c>
      <c r="F8" s="27" t="e">
        <f>#REF!*KeyInputs!#REF!</f>
        <v>#REF!</v>
      </c>
      <c r="G8" s="27" t="e">
        <f>#REF!*KeyInputs!#REF!</f>
        <v>#REF!</v>
      </c>
      <c r="H8" s="27" t="e">
        <f>#REF!*KeyInputs!#REF!</f>
        <v>#REF!</v>
      </c>
      <c r="I8" s="27" t="e">
        <f>#REF!*KeyInputs!#REF!</f>
        <v>#REF!</v>
      </c>
      <c r="J8" s="25"/>
      <c r="K8" s="25"/>
      <c r="L8" s="25"/>
      <c r="M8" s="25"/>
      <c r="N8" s="25"/>
      <c r="O8" s="25"/>
      <c r="Q8" s="27" t="e">
        <f>#REF!*KeyInputs!#REF!</f>
        <v>#REF!</v>
      </c>
      <c r="R8" s="27" t="e">
        <f>#REF!*KeyInputs!#REF!</f>
        <v>#REF!</v>
      </c>
      <c r="S8" s="27" t="e">
        <f>#REF!*KeyInputs!#REF!</f>
        <v>#REF!</v>
      </c>
      <c r="T8" s="27" t="e">
        <f>#REF!*KeyInputs!#REF!</f>
        <v>#REF!</v>
      </c>
      <c r="U8" s="27" t="e">
        <f>#REF!*KeyInputs!#REF!</f>
        <v>#REF!</v>
      </c>
      <c r="V8" s="27" t="e">
        <f>#REF!*KeyInputs!#REF!</f>
        <v>#REF!</v>
      </c>
      <c r="W8" s="25"/>
      <c r="X8" s="25"/>
      <c r="Y8" s="25"/>
      <c r="Z8" s="25"/>
      <c r="AA8" s="25"/>
      <c r="AB8" s="25"/>
      <c r="AD8" s="27" t="e">
        <f>#REF!*KeyInputs!#REF!</f>
        <v>#REF!</v>
      </c>
      <c r="AE8" s="27" t="e">
        <f>#REF!*KeyInputs!#REF!</f>
        <v>#REF!</v>
      </c>
      <c r="AF8" s="27" t="e">
        <f>#REF!*KeyInputs!#REF!</f>
        <v>#REF!</v>
      </c>
      <c r="AG8" s="27" t="e">
        <f>#REF!*KeyInputs!#REF!</f>
        <v>#REF!</v>
      </c>
      <c r="AH8" s="27" t="e">
        <f>#REF!*KeyInputs!#REF!</f>
        <v>#REF!</v>
      </c>
      <c r="AI8" s="27" t="e">
        <f>#REF!*KeyInputs!#REF!</f>
        <v>#REF!</v>
      </c>
      <c r="AJ8" s="25"/>
      <c r="AK8" s="25"/>
      <c r="AL8" s="25"/>
      <c r="AM8" s="25"/>
      <c r="AN8" s="25"/>
      <c r="AO8" s="25"/>
    </row>
    <row r="9" spans="1:41" x14ac:dyDescent="0.3">
      <c r="A9" s="25"/>
      <c r="B9" s="25" t="e">
        <f ca="1">E5</f>
        <v>#REF!</v>
      </c>
      <c r="C9" s="27"/>
      <c r="D9" s="27"/>
      <c r="E9" s="27" t="e">
        <f>#REF!*KeyInputs!#REF!</f>
        <v>#REF!</v>
      </c>
      <c r="F9" s="27" t="e">
        <f>#REF!*KeyInputs!#REF!</f>
        <v>#REF!</v>
      </c>
      <c r="G9" s="27" t="e">
        <f>#REF!*KeyInputs!#REF!</f>
        <v>#REF!</v>
      </c>
      <c r="H9" s="27" t="e">
        <f>#REF!*KeyInputs!#REF!</f>
        <v>#REF!</v>
      </c>
      <c r="I9" s="27" t="e">
        <f>#REF!*KeyInputs!#REF!</f>
        <v>#REF!</v>
      </c>
      <c r="J9" s="27" t="e">
        <f>#REF!*KeyInputs!#REF!</f>
        <v>#REF!</v>
      </c>
      <c r="K9" s="25"/>
      <c r="L9" s="25"/>
      <c r="M9" s="25"/>
      <c r="N9" s="25"/>
      <c r="O9" s="25"/>
      <c r="Q9" s="27"/>
      <c r="R9" s="27" t="e">
        <f>#REF!*KeyInputs!#REF!</f>
        <v>#REF!</v>
      </c>
      <c r="S9" s="27" t="e">
        <f>#REF!*KeyInputs!#REF!</f>
        <v>#REF!</v>
      </c>
      <c r="T9" s="27" t="e">
        <f>#REF!*KeyInputs!#REF!</f>
        <v>#REF!</v>
      </c>
      <c r="U9" s="27" t="e">
        <f>#REF!*KeyInputs!#REF!</f>
        <v>#REF!</v>
      </c>
      <c r="V9" s="27" t="e">
        <f>#REF!*KeyInputs!#REF!</f>
        <v>#REF!</v>
      </c>
      <c r="W9" s="27" t="e">
        <f>#REF!*KeyInputs!#REF!</f>
        <v>#REF!</v>
      </c>
      <c r="X9" s="25"/>
      <c r="Y9" s="25"/>
      <c r="Z9" s="25"/>
      <c r="AA9" s="25"/>
      <c r="AB9" s="25"/>
      <c r="AD9" s="27"/>
      <c r="AE9" s="27" t="e">
        <f>#REF!*KeyInputs!#REF!</f>
        <v>#REF!</v>
      </c>
      <c r="AF9" s="27" t="e">
        <f>#REF!*KeyInputs!#REF!</f>
        <v>#REF!</v>
      </c>
      <c r="AG9" s="27" t="e">
        <f>#REF!*KeyInputs!#REF!</f>
        <v>#REF!</v>
      </c>
      <c r="AH9" s="27" t="e">
        <f>#REF!*KeyInputs!#REF!</f>
        <v>#REF!</v>
      </c>
      <c r="AI9" s="27" t="e">
        <f>#REF!*KeyInputs!#REF!</f>
        <v>#REF!</v>
      </c>
      <c r="AJ9" s="27" t="e">
        <f>#REF!*KeyInputs!#REF!</f>
        <v>#REF!</v>
      </c>
      <c r="AK9" s="25"/>
      <c r="AL9" s="25"/>
      <c r="AM9" s="25"/>
      <c r="AN9" s="25"/>
      <c r="AO9" s="25"/>
    </row>
    <row r="10" spans="1:41" x14ac:dyDescent="0.3">
      <c r="A10" s="25"/>
      <c r="B10" s="25" t="e">
        <f ca="1">F5</f>
        <v>#REF!</v>
      </c>
      <c r="C10" s="27"/>
      <c r="D10" s="27"/>
      <c r="E10" s="25"/>
      <c r="F10" s="27" t="e">
        <f>#REF!*KeyInputs!#REF!</f>
        <v>#REF!</v>
      </c>
      <c r="G10" s="27" t="e">
        <f>#REF!*KeyInputs!#REF!</f>
        <v>#REF!</v>
      </c>
      <c r="H10" s="27" t="e">
        <f>#REF!*KeyInputs!#REF!</f>
        <v>#REF!</v>
      </c>
      <c r="I10" s="27" t="e">
        <f>#REF!*KeyInputs!#REF!</f>
        <v>#REF!</v>
      </c>
      <c r="J10" s="27" t="e">
        <f>#REF!*KeyInputs!#REF!</f>
        <v>#REF!</v>
      </c>
      <c r="K10" s="27" t="e">
        <f>#REF!*KeyInputs!#REF!</f>
        <v>#REF!</v>
      </c>
      <c r="L10" s="25"/>
      <c r="M10" s="25"/>
      <c r="N10" s="25"/>
      <c r="O10" s="25"/>
      <c r="Q10" s="27"/>
      <c r="R10" s="25"/>
      <c r="S10" s="27" t="e">
        <f>#REF!*KeyInputs!#REF!</f>
        <v>#REF!</v>
      </c>
      <c r="T10" s="27" t="e">
        <f>#REF!*KeyInputs!#REF!</f>
        <v>#REF!</v>
      </c>
      <c r="U10" s="27" t="e">
        <f>#REF!*KeyInputs!#REF!</f>
        <v>#REF!</v>
      </c>
      <c r="V10" s="27" t="e">
        <f>#REF!*KeyInputs!#REF!</f>
        <v>#REF!</v>
      </c>
      <c r="W10" s="27" t="e">
        <f>#REF!*KeyInputs!#REF!</f>
        <v>#REF!</v>
      </c>
      <c r="X10" s="27" t="e">
        <f>#REF!*KeyInputs!#REF!</f>
        <v>#REF!</v>
      </c>
      <c r="Y10" s="25"/>
      <c r="Z10" s="25"/>
      <c r="AA10" s="25"/>
      <c r="AB10" s="25"/>
      <c r="AD10" s="27"/>
      <c r="AE10" s="25"/>
      <c r="AF10" s="27" t="e">
        <f>#REF!*KeyInputs!#REF!</f>
        <v>#REF!</v>
      </c>
      <c r="AG10" s="27" t="e">
        <f>#REF!*KeyInputs!#REF!</f>
        <v>#REF!</v>
      </c>
      <c r="AH10" s="27" t="e">
        <f>#REF!*KeyInputs!#REF!</f>
        <v>#REF!</v>
      </c>
      <c r="AI10" s="27" t="e">
        <f>#REF!*KeyInputs!#REF!</f>
        <v>#REF!</v>
      </c>
      <c r="AJ10" s="27" t="e">
        <f>#REF!*KeyInputs!#REF!</f>
        <v>#REF!</v>
      </c>
      <c r="AK10" s="27" t="e">
        <f>#REF!*KeyInputs!#REF!</f>
        <v>#REF!</v>
      </c>
      <c r="AL10" s="25"/>
      <c r="AM10" s="25"/>
      <c r="AN10" s="25"/>
      <c r="AO10" s="25"/>
    </row>
    <row r="11" spans="1:41" x14ac:dyDescent="0.3">
      <c r="A11" s="30"/>
      <c r="B11" s="25" t="e">
        <f ca="1">G5</f>
        <v>#REF!</v>
      </c>
      <c r="C11" s="27"/>
      <c r="D11" s="27"/>
      <c r="E11" s="25"/>
      <c r="F11" s="25"/>
      <c r="G11" s="27" t="e">
        <f>#REF!*KeyInputs!#REF!</f>
        <v>#REF!</v>
      </c>
      <c r="H11" s="27" t="e">
        <f>#REF!*KeyInputs!#REF!</f>
        <v>#REF!</v>
      </c>
      <c r="I11" s="27" t="e">
        <f>#REF!*KeyInputs!#REF!</f>
        <v>#REF!</v>
      </c>
      <c r="J11" s="27" t="e">
        <f>#REF!*KeyInputs!#REF!</f>
        <v>#REF!</v>
      </c>
      <c r="K11" s="27" t="e">
        <f>#REF!*KeyInputs!#REF!</f>
        <v>#REF!</v>
      </c>
      <c r="L11" s="27" t="e">
        <f>#REF!*KeyInputs!#REF!</f>
        <v>#REF!</v>
      </c>
      <c r="M11" s="25"/>
      <c r="N11" s="25"/>
      <c r="O11" s="25"/>
      <c r="Q11" s="27"/>
      <c r="R11" s="25"/>
      <c r="S11" s="25"/>
      <c r="T11" s="27" t="e">
        <f>#REF!*KeyInputs!#REF!</f>
        <v>#REF!</v>
      </c>
      <c r="U11" s="27" t="e">
        <f>#REF!*KeyInputs!#REF!</f>
        <v>#REF!</v>
      </c>
      <c r="V11" s="27" t="e">
        <f>#REF!*KeyInputs!#REF!</f>
        <v>#REF!</v>
      </c>
      <c r="W11" s="27" t="e">
        <f>#REF!*KeyInputs!#REF!</f>
        <v>#REF!</v>
      </c>
      <c r="X11" s="27" t="e">
        <f>#REF!*KeyInputs!#REF!</f>
        <v>#REF!</v>
      </c>
      <c r="Y11" s="27" t="e">
        <f>#REF!*KeyInputs!#REF!</f>
        <v>#REF!</v>
      </c>
      <c r="Z11" s="25"/>
      <c r="AA11" s="25"/>
      <c r="AB11" s="25"/>
      <c r="AD11" s="27"/>
      <c r="AE11" s="25"/>
      <c r="AF11" s="25"/>
      <c r="AG11" s="27" t="e">
        <f>#REF!*KeyInputs!#REF!</f>
        <v>#REF!</v>
      </c>
      <c r="AH11" s="27" t="e">
        <f>#REF!*KeyInputs!#REF!</f>
        <v>#REF!</v>
      </c>
      <c r="AI11" s="27" t="e">
        <f>#REF!*KeyInputs!#REF!</f>
        <v>#REF!</v>
      </c>
      <c r="AJ11" s="27" t="e">
        <f>#REF!*KeyInputs!#REF!</f>
        <v>#REF!</v>
      </c>
      <c r="AK11" s="27" t="e">
        <f>#REF!*KeyInputs!#REF!</f>
        <v>#REF!</v>
      </c>
      <c r="AL11" s="27" t="e">
        <f>#REF!*KeyInputs!#REF!</f>
        <v>#REF!</v>
      </c>
      <c r="AM11" s="25"/>
      <c r="AN11" s="25"/>
      <c r="AO11" s="25"/>
    </row>
    <row r="12" spans="1:41" x14ac:dyDescent="0.3">
      <c r="A12" s="25"/>
      <c r="B12" s="25" t="e">
        <f ca="1">H5</f>
        <v>#REF!</v>
      </c>
      <c r="C12" s="27"/>
      <c r="D12" s="27"/>
      <c r="E12" s="25"/>
      <c r="F12" s="25"/>
      <c r="G12" s="25"/>
      <c r="H12" s="27" t="e">
        <f>#REF!*KeyInputs!#REF!</f>
        <v>#REF!</v>
      </c>
      <c r="I12" s="27" t="e">
        <f>#REF!*KeyInputs!#REF!</f>
        <v>#REF!</v>
      </c>
      <c r="J12" s="27" t="e">
        <f>#REF!*KeyInputs!#REF!</f>
        <v>#REF!</v>
      </c>
      <c r="K12" s="27" t="e">
        <f>#REF!*KeyInputs!#REF!</f>
        <v>#REF!</v>
      </c>
      <c r="L12" s="27" t="e">
        <f>#REF!*KeyInputs!#REF!</f>
        <v>#REF!</v>
      </c>
      <c r="M12" s="27" t="e">
        <f>#REF!*KeyInputs!#REF!</f>
        <v>#REF!</v>
      </c>
      <c r="N12" s="25"/>
      <c r="O12" s="25"/>
      <c r="Q12" s="27"/>
      <c r="R12" s="25"/>
      <c r="S12" s="25"/>
      <c r="T12" s="25"/>
      <c r="U12" s="27" t="e">
        <f>#REF!*KeyInputs!#REF!</f>
        <v>#REF!</v>
      </c>
      <c r="V12" s="27" t="e">
        <f>#REF!*KeyInputs!#REF!</f>
        <v>#REF!</v>
      </c>
      <c r="W12" s="27" t="e">
        <f>#REF!*KeyInputs!#REF!</f>
        <v>#REF!</v>
      </c>
      <c r="X12" s="27" t="e">
        <f>#REF!*KeyInputs!#REF!</f>
        <v>#REF!</v>
      </c>
      <c r="Y12" s="27" t="e">
        <f>#REF!*KeyInputs!#REF!</f>
        <v>#REF!</v>
      </c>
      <c r="Z12" s="27" t="e">
        <f>#REF!*KeyInputs!#REF!</f>
        <v>#REF!</v>
      </c>
      <c r="AA12" s="25"/>
      <c r="AB12" s="25"/>
      <c r="AD12" s="27"/>
      <c r="AE12" s="25"/>
      <c r="AF12" s="25"/>
      <c r="AG12" s="25"/>
      <c r="AH12" s="27" t="e">
        <f>#REF!*KeyInputs!#REF!</f>
        <v>#REF!</v>
      </c>
      <c r="AI12" s="27" t="e">
        <f>#REF!*KeyInputs!#REF!</f>
        <v>#REF!</v>
      </c>
      <c r="AJ12" s="27" t="e">
        <f>#REF!*KeyInputs!#REF!</f>
        <v>#REF!</v>
      </c>
      <c r="AK12" s="27" t="e">
        <f>#REF!*KeyInputs!#REF!</f>
        <v>#REF!</v>
      </c>
      <c r="AL12" s="27" t="e">
        <f>#REF!*KeyInputs!#REF!</f>
        <v>#REF!</v>
      </c>
      <c r="AM12" s="27" t="e">
        <f>#REF!*KeyInputs!#REF!</f>
        <v>#REF!</v>
      </c>
      <c r="AN12" s="25"/>
      <c r="AO12" s="25"/>
    </row>
    <row r="13" spans="1:41" x14ac:dyDescent="0.3">
      <c r="A13" s="25"/>
      <c r="B13" s="25" t="e">
        <f ca="1">I5</f>
        <v>#REF!</v>
      </c>
      <c r="C13" s="27"/>
      <c r="D13" s="27"/>
      <c r="E13" s="25"/>
      <c r="F13" s="25"/>
      <c r="G13" s="25"/>
      <c r="H13" s="25"/>
      <c r="I13" s="27" t="e">
        <f>#REF!*KeyInputs!#REF!</f>
        <v>#REF!</v>
      </c>
      <c r="J13" s="27" t="e">
        <f>#REF!*KeyInputs!#REF!</f>
        <v>#REF!</v>
      </c>
      <c r="K13" s="27" t="e">
        <f>#REF!*KeyInputs!#REF!</f>
        <v>#REF!</v>
      </c>
      <c r="L13" s="27" t="e">
        <f>#REF!*KeyInputs!#REF!</f>
        <v>#REF!</v>
      </c>
      <c r="M13" s="27" t="e">
        <f>#REF!*KeyInputs!#REF!</f>
        <v>#REF!</v>
      </c>
      <c r="N13" s="27" t="e">
        <f>#REF!*KeyInputs!#REF!</f>
        <v>#REF!</v>
      </c>
      <c r="O13" s="25"/>
      <c r="Q13" s="27"/>
      <c r="R13" s="25"/>
      <c r="S13" s="25"/>
      <c r="T13" s="25"/>
      <c r="U13" s="25"/>
      <c r="V13" s="27" t="e">
        <f>#REF!*KeyInputs!#REF!</f>
        <v>#REF!</v>
      </c>
      <c r="W13" s="27" t="e">
        <f>#REF!*KeyInputs!#REF!</f>
        <v>#REF!</v>
      </c>
      <c r="X13" s="27" t="e">
        <f>#REF!*KeyInputs!#REF!</f>
        <v>#REF!</v>
      </c>
      <c r="Y13" s="27" t="e">
        <f>#REF!*KeyInputs!#REF!</f>
        <v>#REF!</v>
      </c>
      <c r="Z13" s="27" t="e">
        <f>#REF!*KeyInputs!#REF!</f>
        <v>#REF!</v>
      </c>
      <c r="AA13" s="27" t="e">
        <f>#REF!*KeyInputs!#REF!</f>
        <v>#REF!</v>
      </c>
      <c r="AB13" s="25"/>
      <c r="AD13" s="27"/>
      <c r="AE13" s="25"/>
      <c r="AF13" s="25"/>
      <c r="AG13" s="25"/>
      <c r="AH13" s="25"/>
      <c r="AI13" s="27" t="e">
        <f>#REF!*KeyInputs!#REF!</f>
        <v>#REF!</v>
      </c>
      <c r="AJ13" s="27" t="e">
        <f>#REF!*KeyInputs!#REF!</f>
        <v>#REF!</v>
      </c>
      <c r="AK13" s="27" t="e">
        <f>#REF!*KeyInputs!#REF!</f>
        <v>#REF!</v>
      </c>
      <c r="AL13" s="27" t="e">
        <f>#REF!*KeyInputs!#REF!</f>
        <v>#REF!</v>
      </c>
      <c r="AM13" s="27" t="e">
        <f>#REF!*KeyInputs!#REF!</f>
        <v>#REF!</v>
      </c>
      <c r="AN13" s="27" t="e">
        <f>#REF!*KeyInputs!#REF!</f>
        <v>#REF!</v>
      </c>
      <c r="AO13" s="25"/>
    </row>
    <row r="14" spans="1:41" x14ac:dyDescent="0.3">
      <c r="A14" s="25"/>
      <c r="B14" s="25" t="e">
        <f ca="1">J5</f>
        <v>#REF!</v>
      </c>
      <c r="C14" s="27"/>
      <c r="D14" s="27"/>
      <c r="E14" s="25"/>
      <c r="F14" s="25"/>
      <c r="G14" s="25"/>
      <c r="H14" s="25"/>
      <c r="I14" s="25"/>
      <c r="J14" s="27" t="e">
        <f>#REF!*KeyInputs!#REF!</f>
        <v>#REF!</v>
      </c>
      <c r="K14" s="27" t="e">
        <f>#REF!*KeyInputs!#REF!</f>
        <v>#REF!</v>
      </c>
      <c r="L14" s="27" t="e">
        <f>#REF!*KeyInputs!#REF!</f>
        <v>#REF!</v>
      </c>
      <c r="M14" s="27" t="e">
        <f>#REF!*KeyInputs!#REF!</f>
        <v>#REF!</v>
      </c>
      <c r="N14" s="27" t="e">
        <f>#REF!*KeyInputs!#REF!</f>
        <v>#REF!</v>
      </c>
      <c r="O14" s="27" t="e">
        <f>#REF!*KeyInputs!#REF!</f>
        <v>#REF!</v>
      </c>
      <c r="Q14" s="27"/>
      <c r="R14" s="25"/>
      <c r="S14" s="25"/>
      <c r="T14" s="25"/>
      <c r="U14" s="25"/>
      <c r="V14" s="25"/>
      <c r="W14" s="27" t="e">
        <f>#REF!*KeyInputs!#REF!</f>
        <v>#REF!</v>
      </c>
      <c r="X14" s="27" t="e">
        <f>#REF!*KeyInputs!#REF!</f>
        <v>#REF!</v>
      </c>
      <c r="Y14" s="27" t="e">
        <f>#REF!*KeyInputs!#REF!</f>
        <v>#REF!</v>
      </c>
      <c r="Z14" s="27" t="e">
        <f>#REF!*KeyInputs!#REF!</f>
        <v>#REF!</v>
      </c>
      <c r="AA14" s="27" t="e">
        <f>#REF!*KeyInputs!#REF!</f>
        <v>#REF!</v>
      </c>
      <c r="AB14" s="27" t="e">
        <f>#REF!*KeyInputs!#REF!</f>
        <v>#REF!</v>
      </c>
      <c r="AD14" s="27"/>
      <c r="AE14" s="25"/>
      <c r="AF14" s="25"/>
      <c r="AG14" s="25"/>
      <c r="AH14" s="25"/>
      <c r="AI14" s="25"/>
      <c r="AJ14" s="27" t="e">
        <f>#REF!*KeyInputs!#REF!</f>
        <v>#REF!</v>
      </c>
      <c r="AK14" s="27" t="e">
        <f>#REF!*KeyInputs!#REF!</f>
        <v>#REF!</v>
      </c>
      <c r="AL14" s="27" t="e">
        <f>#REF!*KeyInputs!#REF!</f>
        <v>#REF!</v>
      </c>
      <c r="AM14" s="27" t="e">
        <f>#REF!*KeyInputs!#REF!</f>
        <v>#REF!</v>
      </c>
      <c r="AN14" s="27" t="e">
        <f>#REF!*KeyInputs!#REF!</f>
        <v>#REF!</v>
      </c>
      <c r="AO14" s="27" t="e">
        <f>#REF!*KeyInputs!#REF!</f>
        <v>#REF!</v>
      </c>
    </row>
    <row r="15" spans="1:41" x14ac:dyDescent="0.3">
      <c r="A15" s="25"/>
      <c r="B15" s="25" t="e">
        <f ca="1">K5</f>
        <v>#REF!</v>
      </c>
      <c r="C15" s="27"/>
      <c r="D15" s="27"/>
      <c r="E15" s="25"/>
      <c r="F15" s="25"/>
      <c r="G15" s="25"/>
      <c r="H15" s="25"/>
      <c r="I15" s="25"/>
      <c r="J15" s="25"/>
      <c r="K15" s="27" t="e">
        <f>#REF!*KeyInputs!#REF!</f>
        <v>#REF!</v>
      </c>
      <c r="L15" s="27" t="e">
        <f>#REF!*KeyInputs!#REF!</f>
        <v>#REF!</v>
      </c>
      <c r="M15" s="27" t="e">
        <f>#REF!*KeyInputs!#REF!</f>
        <v>#REF!</v>
      </c>
      <c r="N15" s="27" t="e">
        <f>#REF!*KeyInputs!#REF!</f>
        <v>#REF!</v>
      </c>
      <c r="O15" s="27" t="e">
        <f>#REF!*KeyInputs!#REF!</f>
        <v>#REF!</v>
      </c>
      <c r="P15" s="27"/>
      <c r="Q15" s="27" t="e">
        <f>#REF!*KeyInputs!#REF!</f>
        <v>#REF!</v>
      </c>
      <c r="R15" s="25"/>
      <c r="S15" s="25"/>
      <c r="T15" s="25"/>
      <c r="U15" s="25"/>
      <c r="V15" s="25"/>
      <c r="W15" s="25"/>
      <c r="X15" s="27" t="e">
        <f>#REF!*KeyInputs!#REF!</f>
        <v>#REF!</v>
      </c>
      <c r="Y15" s="27" t="e">
        <f>#REF!*KeyInputs!#REF!</f>
        <v>#REF!</v>
      </c>
      <c r="Z15" s="27" t="e">
        <f>#REF!*KeyInputs!#REF!</f>
        <v>#REF!</v>
      </c>
      <c r="AA15" s="27" t="e">
        <f>#REF!*KeyInputs!#REF!</f>
        <v>#REF!</v>
      </c>
      <c r="AB15" s="27" t="e">
        <f>#REF!*KeyInputs!#REF!</f>
        <v>#REF!</v>
      </c>
      <c r="AC15" s="27"/>
      <c r="AD15" s="27" t="e">
        <f>#REF!*KeyInputs!#REF!</f>
        <v>#REF!</v>
      </c>
      <c r="AE15" s="25"/>
      <c r="AF15" s="25"/>
      <c r="AG15" s="25"/>
      <c r="AH15" s="25"/>
      <c r="AI15" s="25"/>
      <c r="AJ15" s="25"/>
      <c r="AK15" s="27" t="e">
        <f>#REF!*KeyInputs!#REF!</f>
        <v>#REF!</v>
      </c>
      <c r="AL15" s="27" t="e">
        <f>#REF!*KeyInputs!#REF!</f>
        <v>#REF!</v>
      </c>
      <c r="AM15" s="27" t="e">
        <f>#REF!*KeyInputs!#REF!</f>
        <v>#REF!</v>
      </c>
      <c r="AN15" s="27" t="e">
        <f>#REF!*KeyInputs!#REF!</f>
        <v>#REF!</v>
      </c>
      <c r="AO15" s="27" t="e">
        <f>#REF!*KeyInputs!#REF!</f>
        <v>#REF!</v>
      </c>
    </row>
    <row r="16" spans="1:41" x14ac:dyDescent="0.3">
      <c r="A16" s="30"/>
      <c r="B16" s="25" t="e">
        <f ca="1">L5</f>
        <v>#REF!</v>
      </c>
      <c r="C16" s="27"/>
      <c r="D16" s="27"/>
      <c r="E16" s="25"/>
      <c r="F16" s="25"/>
      <c r="G16" s="25"/>
      <c r="H16" s="25"/>
      <c r="I16" s="25"/>
      <c r="J16" s="25"/>
      <c r="K16" s="25"/>
      <c r="L16" s="27" t="e">
        <f>#REF!*KeyInputs!#REF!</f>
        <v>#REF!</v>
      </c>
      <c r="M16" s="27" t="e">
        <f>#REF!*KeyInputs!#REF!</f>
        <v>#REF!</v>
      </c>
      <c r="N16" s="27" t="e">
        <f>#REF!*KeyInputs!#REF!</f>
        <v>#REF!</v>
      </c>
      <c r="O16" s="27" t="e">
        <f>#REF!*KeyInputs!#REF!</f>
        <v>#REF!</v>
      </c>
      <c r="P16" s="27"/>
      <c r="Q16" s="27" t="e">
        <f>#REF!*KeyInputs!#REF!</f>
        <v>#REF!</v>
      </c>
      <c r="R16" s="27" t="e">
        <f>#REF!*KeyInputs!#REF!</f>
        <v>#REF!</v>
      </c>
      <c r="S16" s="25"/>
      <c r="T16" s="25"/>
      <c r="U16" s="25"/>
      <c r="V16" s="25"/>
      <c r="W16" s="25"/>
      <c r="X16" s="25"/>
      <c r="Y16" s="27" t="e">
        <f>#REF!*KeyInputs!#REF!</f>
        <v>#REF!</v>
      </c>
      <c r="Z16" s="27" t="e">
        <f>#REF!*KeyInputs!#REF!</f>
        <v>#REF!</v>
      </c>
      <c r="AA16" s="27" t="e">
        <f>#REF!*KeyInputs!#REF!</f>
        <v>#REF!</v>
      </c>
      <c r="AB16" s="27" t="e">
        <f>#REF!*KeyInputs!#REF!</f>
        <v>#REF!</v>
      </c>
      <c r="AC16" s="27"/>
      <c r="AD16" s="27" t="e">
        <f>#REF!*KeyInputs!#REF!</f>
        <v>#REF!</v>
      </c>
      <c r="AE16" s="27" t="e">
        <f>#REF!*KeyInputs!#REF!</f>
        <v>#REF!</v>
      </c>
      <c r="AF16" s="25"/>
      <c r="AG16" s="25"/>
      <c r="AH16" s="25"/>
      <c r="AI16" s="25"/>
      <c r="AJ16" s="25"/>
      <c r="AK16" s="25"/>
      <c r="AL16" s="27" t="e">
        <f>#REF!*KeyInputs!#REF!</f>
        <v>#REF!</v>
      </c>
      <c r="AM16" s="27" t="e">
        <f>#REF!*KeyInputs!#REF!</f>
        <v>#REF!</v>
      </c>
      <c r="AN16" s="27" t="e">
        <f>#REF!*KeyInputs!#REF!</f>
        <v>#REF!</v>
      </c>
      <c r="AO16" s="27" t="e">
        <f>#REF!*KeyInputs!#REF!</f>
        <v>#REF!</v>
      </c>
    </row>
    <row r="17" spans="1:41" x14ac:dyDescent="0.3">
      <c r="A17" s="25"/>
      <c r="B17" s="25" t="e">
        <f ca="1">M5</f>
        <v>#REF!</v>
      </c>
      <c r="C17" s="27"/>
      <c r="D17" s="27"/>
      <c r="E17" s="25"/>
      <c r="F17" s="25"/>
      <c r="G17" s="25"/>
      <c r="H17" s="25"/>
      <c r="I17" s="25"/>
      <c r="J17" s="25"/>
      <c r="K17" s="25"/>
      <c r="L17" s="25"/>
      <c r="M17" s="27" t="e">
        <f>#REF!*KeyInputs!#REF!</f>
        <v>#REF!</v>
      </c>
      <c r="N17" s="27" t="e">
        <f>#REF!*KeyInputs!#REF!</f>
        <v>#REF!</v>
      </c>
      <c r="O17" s="27" t="e">
        <f>#REF!*KeyInputs!#REF!</f>
        <v>#REF!</v>
      </c>
      <c r="P17" s="27"/>
      <c r="Q17" s="27" t="e">
        <f>#REF!*KeyInputs!#REF!</f>
        <v>#REF!</v>
      </c>
      <c r="R17" s="27" t="e">
        <f>#REF!*KeyInputs!#REF!</f>
        <v>#REF!</v>
      </c>
      <c r="S17" s="27" t="e">
        <f>#REF!*KeyInputs!#REF!</f>
        <v>#REF!</v>
      </c>
      <c r="T17" s="25"/>
      <c r="U17" s="25"/>
      <c r="V17" s="25"/>
      <c r="W17" s="25"/>
      <c r="X17" s="25"/>
      <c r="Y17" s="25"/>
      <c r="Z17" s="27" t="e">
        <f>#REF!*KeyInputs!#REF!</f>
        <v>#REF!</v>
      </c>
      <c r="AA17" s="27" t="e">
        <f>#REF!*KeyInputs!#REF!</f>
        <v>#REF!</v>
      </c>
      <c r="AB17" s="27" t="e">
        <f>#REF!*KeyInputs!#REF!</f>
        <v>#REF!</v>
      </c>
      <c r="AC17" s="27"/>
      <c r="AD17" s="27" t="e">
        <f>#REF!*KeyInputs!#REF!</f>
        <v>#REF!</v>
      </c>
      <c r="AE17" s="27" t="e">
        <f>#REF!*KeyInputs!#REF!</f>
        <v>#REF!</v>
      </c>
      <c r="AF17" s="27" t="e">
        <f>#REF!*KeyInputs!#REF!</f>
        <v>#REF!</v>
      </c>
      <c r="AG17" s="25"/>
      <c r="AH17" s="25"/>
      <c r="AI17" s="25"/>
      <c r="AJ17" s="25"/>
      <c r="AK17" s="25"/>
      <c r="AL17" s="25"/>
      <c r="AM17" s="27" t="e">
        <f>#REF!*KeyInputs!#REF!</f>
        <v>#REF!</v>
      </c>
      <c r="AN17" s="27" t="e">
        <f>#REF!*KeyInputs!#REF!</f>
        <v>#REF!</v>
      </c>
      <c r="AO17" s="27" t="e">
        <f>#REF!*KeyInputs!#REF!</f>
        <v>#REF!</v>
      </c>
    </row>
    <row r="18" spans="1:41" x14ac:dyDescent="0.3">
      <c r="A18" s="25"/>
      <c r="B18" s="25" t="e">
        <f ca="1">N5</f>
        <v>#REF!</v>
      </c>
      <c r="C18" s="27"/>
      <c r="D18" s="27"/>
      <c r="E18" s="25"/>
      <c r="F18" s="25"/>
      <c r="G18" s="25"/>
      <c r="H18" s="25"/>
      <c r="I18" s="25"/>
      <c r="J18" s="25"/>
      <c r="K18" s="25"/>
      <c r="L18" s="25"/>
      <c r="M18" s="25"/>
      <c r="N18" s="27" t="e">
        <f>#REF!*KeyInputs!#REF!</f>
        <v>#REF!</v>
      </c>
      <c r="O18" s="27" t="e">
        <f>#REF!*KeyInputs!#REF!</f>
        <v>#REF!</v>
      </c>
      <c r="P18" s="27"/>
      <c r="Q18" s="27" t="e">
        <f>#REF!*KeyInputs!#REF!</f>
        <v>#REF!</v>
      </c>
      <c r="R18" s="27" t="e">
        <f>#REF!*KeyInputs!#REF!</f>
        <v>#REF!</v>
      </c>
      <c r="S18" s="27" t="e">
        <f>#REF!*KeyInputs!#REF!</f>
        <v>#REF!</v>
      </c>
      <c r="T18" s="27" t="e">
        <f>#REF!*KeyInputs!#REF!</f>
        <v>#REF!</v>
      </c>
      <c r="U18" s="25"/>
      <c r="V18" s="25"/>
      <c r="W18" s="25"/>
      <c r="X18" s="25"/>
      <c r="Y18" s="25"/>
      <c r="Z18" s="25"/>
      <c r="AA18" s="27" t="e">
        <f>#REF!*KeyInputs!#REF!</f>
        <v>#REF!</v>
      </c>
      <c r="AB18" s="27" t="e">
        <f>#REF!*KeyInputs!#REF!</f>
        <v>#REF!</v>
      </c>
      <c r="AC18" s="27"/>
      <c r="AD18" s="27" t="e">
        <f>#REF!*KeyInputs!#REF!</f>
        <v>#REF!</v>
      </c>
      <c r="AE18" s="27" t="e">
        <f>#REF!*KeyInputs!#REF!</f>
        <v>#REF!</v>
      </c>
      <c r="AF18" s="27" t="e">
        <f>#REF!*KeyInputs!#REF!</f>
        <v>#REF!</v>
      </c>
      <c r="AG18" s="27" t="e">
        <f>#REF!*KeyInputs!#REF!</f>
        <v>#REF!</v>
      </c>
      <c r="AH18" s="25"/>
      <c r="AI18" s="25"/>
      <c r="AJ18" s="25"/>
      <c r="AK18" s="25"/>
      <c r="AL18" s="25"/>
      <c r="AM18" s="25"/>
      <c r="AN18" s="27" t="e">
        <f>#REF!*KeyInputs!#REF!</f>
        <v>#REF!</v>
      </c>
      <c r="AO18" s="27" t="e">
        <f>#REF!*KeyInputs!#REF!</f>
        <v>#REF!</v>
      </c>
    </row>
    <row r="19" spans="1:41" x14ac:dyDescent="0.3">
      <c r="A19" s="25"/>
      <c r="B19" s="25" t="e">
        <f ca="1">O5</f>
        <v>#REF!</v>
      </c>
      <c r="C19" s="27"/>
      <c r="D19" s="27"/>
      <c r="E19" s="25"/>
      <c r="F19" s="25"/>
      <c r="G19" s="25"/>
      <c r="H19" s="25"/>
      <c r="I19" s="25"/>
      <c r="J19" s="25"/>
      <c r="K19" s="25"/>
      <c r="L19" s="25"/>
      <c r="M19" s="25"/>
      <c r="N19" s="25"/>
      <c r="O19" s="27" t="e">
        <f>#REF!*KeyInputs!#REF!</f>
        <v>#REF!</v>
      </c>
      <c r="P19" s="27"/>
      <c r="Q19" s="27" t="e">
        <f>#REF!*KeyInputs!#REF!</f>
        <v>#REF!</v>
      </c>
      <c r="R19" s="27" t="e">
        <f>#REF!*KeyInputs!#REF!</f>
        <v>#REF!</v>
      </c>
      <c r="S19" s="27" t="e">
        <f>#REF!*KeyInputs!#REF!</f>
        <v>#REF!</v>
      </c>
      <c r="T19" s="27" t="e">
        <f>#REF!*KeyInputs!#REF!</f>
        <v>#REF!</v>
      </c>
      <c r="U19" s="27" t="e">
        <f>#REF!*KeyInputs!#REF!</f>
        <v>#REF!</v>
      </c>
      <c r="V19" s="25"/>
      <c r="W19" s="25"/>
      <c r="X19" s="25"/>
      <c r="Y19" s="25"/>
      <c r="Z19" s="25"/>
      <c r="AA19" s="25"/>
      <c r="AB19" s="27" t="e">
        <f>#REF!*KeyInputs!#REF!</f>
        <v>#REF!</v>
      </c>
      <c r="AC19" s="27"/>
      <c r="AD19" s="27" t="e">
        <f>#REF!*KeyInputs!#REF!</f>
        <v>#REF!</v>
      </c>
      <c r="AE19" s="27" t="e">
        <f>#REF!*KeyInputs!#REF!</f>
        <v>#REF!</v>
      </c>
      <c r="AF19" s="27" t="e">
        <f>#REF!*KeyInputs!#REF!</f>
        <v>#REF!</v>
      </c>
      <c r="AG19" s="27" t="e">
        <f>#REF!*KeyInputs!#REF!</f>
        <v>#REF!</v>
      </c>
      <c r="AH19" s="27" t="e">
        <f>#REF!*KeyInputs!#REF!</f>
        <v>#REF!</v>
      </c>
      <c r="AI19" s="25"/>
      <c r="AJ19" s="25"/>
      <c r="AK19" s="25"/>
      <c r="AL19" s="25"/>
      <c r="AM19" s="25"/>
      <c r="AN19" s="25"/>
      <c r="AO19" s="27" t="e">
        <f>#REF!*KeyInputs!#REF!</f>
        <v>#REF!</v>
      </c>
    </row>
    <row r="20" spans="1:41" x14ac:dyDescent="0.3">
      <c r="A20" s="25"/>
      <c r="B20" s="25"/>
      <c r="C20" s="25" t="e">
        <f>SUM(C7:C19)</f>
        <v>#REF!</v>
      </c>
      <c r="D20" s="25" t="e">
        <f t="shared" ref="D20:O20" si="0">SUM(D7:D19)</f>
        <v>#REF!</v>
      </c>
      <c r="E20" s="25" t="e">
        <f t="shared" si="0"/>
        <v>#REF!</v>
      </c>
      <c r="F20" s="25" t="e">
        <f t="shared" si="0"/>
        <v>#REF!</v>
      </c>
      <c r="G20" s="25" t="e">
        <f t="shared" si="0"/>
        <v>#REF!</v>
      </c>
      <c r="H20" s="25" t="e">
        <f t="shared" si="0"/>
        <v>#REF!</v>
      </c>
      <c r="I20" s="25" t="e">
        <f t="shared" si="0"/>
        <v>#REF!</v>
      </c>
      <c r="J20" s="25" t="e">
        <f t="shared" si="0"/>
        <v>#REF!</v>
      </c>
      <c r="K20" s="25" t="e">
        <f t="shared" si="0"/>
        <v>#REF!</v>
      </c>
      <c r="L20" s="25" t="e">
        <f t="shared" si="0"/>
        <v>#REF!</v>
      </c>
      <c r="M20" s="25" t="e">
        <f t="shared" si="0"/>
        <v>#REF!</v>
      </c>
      <c r="N20" s="25" t="e">
        <f t="shared" si="0"/>
        <v>#REF!</v>
      </c>
      <c r="O20" s="25" t="e">
        <f t="shared" si="0"/>
        <v>#REF!</v>
      </c>
      <c r="Q20" s="25" t="e">
        <f t="shared" ref="Q20:AB20" si="1">SUM(Q7:Q19)</f>
        <v>#REF!</v>
      </c>
      <c r="R20" s="25" t="e">
        <f t="shared" si="1"/>
        <v>#REF!</v>
      </c>
      <c r="S20" s="25" t="e">
        <f t="shared" si="1"/>
        <v>#REF!</v>
      </c>
      <c r="T20" s="25" t="e">
        <f t="shared" si="1"/>
        <v>#REF!</v>
      </c>
      <c r="U20" s="25" t="e">
        <f t="shared" si="1"/>
        <v>#REF!</v>
      </c>
      <c r="V20" s="25" t="e">
        <f t="shared" si="1"/>
        <v>#REF!</v>
      </c>
      <c r="W20" s="25" t="e">
        <f t="shared" si="1"/>
        <v>#REF!</v>
      </c>
      <c r="X20" s="25" t="e">
        <f t="shared" si="1"/>
        <v>#REF!</v>
      </c>
      <c r="Y20" s="25" t="e">
        <f t="shared" si="1"/>
        <v>#REF!</v>
      </c>
      <c r="Z20" s="25" t="e">
        <f t="shared" si="1"/>
        <v>#REF!</v>
      </c>
      <c r="AA20" s="25" t="e">
        <f t="shared" si="1"/>
        <v>#REF!</v>
      </c>
      <c r="AB20" s="25" t="e">
        <f t="shared" si="1"/>
        <v>#REF!</v>
      </c>
      <c r="AD20" s="25" t="e">
        <f t="shared" ref="AD20:AO20" si="2">SUM(AD7:AD19)</f>
        <v>#REF!</v>
      </c>
      <c r="AE20" s="25" t="e">
        <f t="shared" si="2"/>
        <v>#REF!</v>
      </c>
      <c r="AF20" s="25" t="e">
        <f t="shared" si="2"/>
        <v>#REF!</v>
      </c>
      <c r="AG20" s="25" t="e">
        <f t="shared" si="2"/>
        <v>#REF!</v>
      </c>
      <c r="AH20" s="25" t="e">
        <f t="shared" si="2"/>
        <v>#REF!</v>
      </c>
      <c r="AI20" s="25" t="e">
        <f t="shared" si="2"/>
        <v>#REF!</v>
      </c>
      <c r="AJ20" s="25" t="e">
        <f t="shared" si="2"/>
        <v>#REF!</v>
      </c>
      <c r="AK20" s="25" t="e">
        <f t="shared" si="2"/>
        <v>#REF!</v>
      </c>
      <c r="AL20" s="25" t="e">
        <f t="shared" si="2"/>
        <v>#REF!</v>
      </c>
      <c r="AM20" s="25" t="e">
        <f t="shared" si="2"/>
        <v>#REF!</v>
      </c>
      <c r="AN20" s="25" t="e">
        <f t="shared" si="2"/>
        <v>#REF!</v>
      </c>
      <c r="AO20" s="25" t="e">
        <f t="shared" si="2"/>
        <v>#REF!</v>
      </c>
    </row>
    <row r="21" spans="1:41" x14ac:dyDescent="0.3">
      <c r="A21" s="25"/>
      <c r="B21" s="25"/>
      <c r="C21" s="25"/>
      <c r="D21" s="25"/>
      <c r="E21" s="25"/>
      <c r="F21" s="25"/>
      <c r="G21" s="25"/>
      <c r="H21" s="25"/>
      <c r="I21" s="25"/>
      <c r="J21" s="25"/>
      <c r="K21" s="25"/>
      <c r="L21" s="25"/>
      <c r="M21" s="25"/>
      <c r="N21" s="25"/>
      <c r="O21" s="25"/>
    </row>
    <row r="23" spans="1:41" x14ac:dyDescent="0.3">
      <c r="C23" s="27"/>
      <c r="D23" s="27"/>
      <c r="E23" s="27"/>
      <c r="F23" s="27"/>
      <c r="G23" s="27"/>
      <c r="H23" s="27"/>
      <c r="I23" s="25"/>
      <c r="J23" s="25"/>
      <c r="K23" s="25"/>
      <c r="L23" s="25"/>
      <c r="M23" s="25"/>
      <c r="N23" s="25"/>
      <c r="O23" s="25"/>
    </row>
    <row r="24" spans="1:41" x14ac:dyDescent="0.3">
      <c r="C24" s="27"/>
      <c r="D24" s="27"/>
      <c r="E24" s="27"/>
      <c r="F24" s="27"/>
      <c r="G24" s="27"/>
      <c r="H24" s="27"/>
      <c r="I24" s="27"/>
      <c r="J24" s="25"/>
      <c r="K24" s="25"/>
      <c r="L24" s="25"/>
      <c r="M24" s="25"/>
      <c r="N24" s="25"/>
      <c r="O24" s="25"/>
    </row>
    <row r="25" spans="1:41" x14ac:dyDescent="0.3">
      <c r="C25" s="27"/>
      <c r="D25" s="27"/>
      <c r="E25" s="27"/>
      <c r="F25" s="27"/>
      <c r="G25" s="27"/>
      <c r="H25" s="27"/>
      <c r="I25" s="27"/>
      <c r="J25" s="27"/>
      <c r="K25" s="25"/>
      <c r="L25" s="25"/>
      <c r="M25" s="25"/>
      <c r="N25" s="25"/>
      <c r="O25" s="25"/>
    </row>
    <row r="26" spans="1:41" x14ac:dyDescent="0.3">
      <c r="C26" s="27"/>
      <c r="D26" s="27"/>
      <c r="E26" s="25"/>
      <c r="F26" s="27"/>
      <c r="G26" s="27"/>
      <c r="H26" s="27"/>
      <c r="I26" s="27"/>
      <c r="J26" s="27"/>
      <c r="K26" s="27"/>
      <c r="L26" s="25"/>
      <c r="M26" s="25"/>
      <c r="N26" s="25"/>
      <c r="O26" s="25"/>
    </row>
    <row r="27" spans="1:41" x14ac:dyDescent="0.3">
      <c r="C27" s="27"/>
      <c r="D27" s="27"/>
      <c r="E27" s="25"/>
      <c r="F27" s="25"/>
      <c r="G27" s="27"/>
      <c r="H27" s="27"/>
      <c r="I27" s="27"/>
      <c r="J27" s="27"/>
      <c r="K27" s="27"/>
      <c r="L27" s="27"/>
      <c r="M27" s="25"/>
      <c r="N27" s="25"/>
      <c r="O27" s="25"/>
    </row>
    <row r="28" spans="1:41" x14ac:dyDescent="0.3">
      <c r="C28" s="27"/>
      <c r="D28" s="27"/>
      <c r="E28" s="25"/>
      <c r="F28" s="25"/>
      <c r="G28" s="25"/>
      <c r="H28" s="27"/>
      <c r="I28" s="27"/>
      <c r="J28" s="27"/>
      <c r="K28" s="27"/>
      <c r="L28" s="27"/>
      <c r="M28" s="27"/>
      <c r="N28" s="25"/>
      <c r="O28" s="25"/>
    </row>
    <row r="29" spans="1:41" x14ac:dyDescent="0.3">
      <c r="C29" s="27"/>
      <c r="D29" s="27"/>
      <c r="E29" s="25"/>
      <c r="F29" s="25"/>
      <c r="G29" s="25"/>
      <c r="H29" s="25"/>
      <c r="I29" s="27"/>
      <c r="J29" s="27"/>
      <c r="K29" s="27"/>
      <c r="L29" s="27"/>
      <c r="M29" s="27"/>
      <c r="N29" s="27"/>
      <c r="O29" s="25"/>
    </row>
    <row r="30" spans="1:41" x14ac:dyDescent="0.3">
      <c r="C30" s="27"/>
      <c r="D30" s="27"/>
      <c r="E30" s="25"/>
      <c r="F30" s="25"/>
      <c r="G30" s="25"/>
      <c r="H30" s="25"/>
      <c r="I30" s="25"/>
      <c r="J30" s="27"/>
      <c r="K30" s="27"/>
      <c r="L30" s="27"/>
      <c r="M30" s="27"/>
      <c r="N30" s="27"/>
      <c r="O30" s="27"/>
    </row>
    <row r="31" spans="1:41" x14ac:dyDescent="0.3">
      <c r="C31" s="27"/>
      <c r="D31" s="27"/>
      <c r="E31" s="25"/>
      <c r="F31" s="25"/>
      <c r="G31" s="25"/>
      <c r="H31" s="25"/>
      <c r="I31" s="25"/>
      <c r="J31" s="25"/>
      <c r="K31" s="27"/>
      <c r="L31" s="27"/>
      <c r="M31" s="27"/>
      <c r="N31" s="27"/>
      <c r="O31" s="27"/>
      <c r="P31" s="27"/>
    </row>
    <row r="32" spans="1:41" x14ac:dyDescent="0.3">
      <c r="C32" s="27"/>
      <c r="D32" s="27"/>
      <c r="E32" s="25"/>
      <c r="F32" s="25"/>
      <c r="G32" s="25"/>
      <c r="H32" s="25"/>
      <c r="I32" s="25"/>
      <c r="J32" s="25"/>
      <c r="K32" s="25"/>
      <c r="L32" s="27"/>
      <c r="M32" s="27"/>
      <c r="N32" s="27"/>
      <c r="O32" s="27"/>
      <c r="P32" s="27"/>
      <c r="Q32" s="27"/>
    </row>
    <row r="33" spans="3:15" x14ac:dyDescent="0.3">
      <c r="C33" s="27"/>
      <c r="D33" s="27"/>
      <c r="E33" s="25"/>
      <c r="F33" s="25"/>
      <c r="G33" s="25"/>
      <c r="H33" s="25"/>
      <c r="I33" s="25"/>
      <c r="J33" s="25"/>
      <c r="K33" s="25"/>
      <c r="L33" s="25"/>
      <c r="M33" s="27"/>
      <c r="N33" s="27"/>
      <c r="O33" s="27"/>
    </row>
    <row r="34" spans="3:15" x14ac:dyDescent="0.3">
      <c r="C34" s="27"/>
      <c r="D34" s="27"/>
      <c r="E34" s="25"/>
      <c r="F34" s="25"/>
      <c r="G34" s="25"/>
      <c r="H34" s="25"/>
      <c r="I34" s="25"/>
      <c r="J34" s="25"/>
      <c r="K34" s="25"/>
      <c r="L34" s="25"/>
      <c r="M34" s="25"/>
      <c r="N34" s="27"/>
      <c r="O34" s="27"/>
    </row>
    <row r="35" spans="3:15" x14ac:dyDescent="0.3">
      <c r="C35" s="27"/>
      <c r="D35" s="27"/>
      <c r="E35" s="25"/>
      <c r="F35" s="25"/>
      <c r="G35" s="25"/>
      <c r="H35" s="25"/>
      <c r="I35" s="25"/>
      <c r="J35" s="25"/>
      <c r="K35" s="25"/>
      <c r="L35" s="25"/>
      <c r="M35" s="25"/>
      <c r="N35" s="25"/>
      <c r="O35" s="27"/>
    </row>
  </sheetData>
  <mergeCells count="3">
    <mergeCell ref="D4:O4"/>
    <mergeCell ref="Q4:AB4"/>
    <mergeCell ref="AD4:AO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dimension ref="A1:AO35"/>
  <sheetViews>
    <sheetView workbookViewId="0">
      <pane xSplit="3" ySplit="5" topLeftCell="D6" activePane="bottomRight" state="frozen"/>
      <selection pane="topRight" activeCell="D1" sqref="D1"/>
      <selection pane="bottomLeft" activeCell="A6" sqref="A6"/>
      <selection pane="bottomRight" activeCell="J6" sqref="J6"/>
    </sheetView>
  </sheetViews>
  <sheetFormatPr defaultColWidth="8.88671875" defaultRowHeight="14.4" x14ac:dyDescent="0.3"/>
  <cols>
    <col min="1" max="1" width="2.44140625" customWidth="1"/>
    <col min="2" max="2" width="22" customWidth="1"/>
    <col min="3" max="3" width="9.44140625" customWidth="1"/>
  </cols>
  <sheetData>
    <row r="1" spans="1:41" ht="18" x14ac:dyDescent="0.35">
      <c r="A1" s="4">
        <f>KeyInputs!F14</f>
        <v>0</v>
      </c>
    </row>
    <row r="2" spans="1:41" ht="18" x14ac:dyDescent="0.35">
      <c r="A2" s="4" t="str">
        <f>KeyInputs!F22</f>
        <v>Insert Product Group 1</v>
      </c>
      <c r="D2" t="s">
        <v>80</v>
      </c>
    </row>
    <row r="4" spans="1:41" x14ac:dyDescent="0.3">
      <c r="D4" s="336">
        <f>KeyInputs!$F$17</f>
        <v>42005</v>
      </c>
      <c r="E4" s="337"/>
      <c r="F4" s="337"/>
      <c r="G4" s="337"/>
      <c r="H4" s="337"/>
      <c r="I4" s="337"/>
      <c r="J4" s="337"/>
      <c r="K4" s="337"/>
      <c r="L4" s="337"/>
      <c r="M4" s="337"/>
      <c r="N4" s="337"/>
      <c r="O4" s="338"/>
      <c r="Q4" s="336">
        <f>KeyInputs!$F$17+1</f>
        <v>42006</v>
      </c>
      <c r="R4" s="337"/>
      <c r="S4" s="337"/>
      <c r="T4" s="337"/>
      <c r="U4" s="337"/>
      <c r="V4" s="337"/>
      <c r="W4" s="337"/>
      <c r="X4" s="337"/>
      <c r="Y4" s="337"/>
      <c r="Z4" s="337"/>
      <c r="AA4" s="337"/>
      <c r="AB4" s="338"/>
      <c r="AD4" s="336">
        <f>KeyInputs!$F$17+2</f>
        <v>42007</v>
      </c>
      <c r="AE4" s="337"/>
      <c r="AF4" s="337"/>
      <c r="AG4" s="337"/>
      <c r="AH4" s="337"/>
      <c r="AI4" s="337"/>
      <c r="AJ4" s="337"/>
      <c r="AK4" s="337"/>
      <c r="AL4" s="337"/>
      <c r="AM4" s="337"/>
      <c r="AN4" s="337"/>
      <c r="AO4" s="338"/>
    </row>
    <row r="5" spans="1:41" x14ac:dyDescent="0.3">
      <c r="C5" s="28" t="s">
        <v>70</v>
      </c>
      <c r="D5" s="31" t="e">
        <f>KeyInputs!#REF!</f>
        <v>#REF!</v>
      </c>
      <c r="E5" s="32" t="e">
        <f ca="1">OFFSET(Worksheet!$A$14,,(HLOOKUP(KeyInputs!#REF!,Worksheet!$A$14:$L$15,2,FALSE)))</f>
        <v>#REF!</v>
      </c>
      <c r="F5" s="32" t="e">
        <f ca="1">OFFSET(Worksheet!$A$14,,(HLOOKUP(KeyInputs!#REF!,Worksheet!$A$14:$L$15,2,FALSE))+Worksheet!$A$15)</f>
        <v>#REF!</v>
      </c>
      <c r="G5" s="32" t="e">
        <f ca="1">OFFSET(Worksheet!$A$14,,(HLOOKUP(KeyInputs!#REF!,Worksheet!$A$14:$L$15,2,FALSE))+Worksheet!$B$15)</f>
        <v>#REF!</v>
      </c>
      <c r="H5" s="32" t="e">
        <f ca="1">OFFSET(Worksheet!$A$14,,(HLOOKUP(KeyInputs!#REF!,Worksheet!$A$14:$L$15,2,FALSE))+Worksheet!$C$15)</f>
        <v>#REF!</v>
      </c>
      <c r="I5" s="32" t="e">
        <f ca="1">OFFSET(Worksheet!$A$14,,(HLOOKUP(KeyInputs!#REF!,Worksheet!$A$14:$L$15,2,FALSE))+Worksheet!$D$15)</f>
        <v>#REF!</v>
      </c>
      <c r="J5" s="32" t="e">
        <f ca="1">OFFSET(Worksheet!$A$14,,(HLOOKUP(KeyInputs!#REF!,Worksheet!$A$14:$L$15,2,FALSE))+Worksheet!$E$15)</f>
        <v>#REF!</v>
      </c>
      <c r="K5" s="32" t="e">
        <f ca="1">OFFSET(Worksheet!$A$14,,(HLOOKUP(KeyInputs!#REF!,Worksheet!$A$14:$L$15,2,FALSE))+Worksheet!$F$15)</f>
        <v>#REF!</v>
      </c>
      <c r="L5" s="32" t="e">
        <f ca="1">OFFSET(Worksheet!$A$14,,(HLOOKUP(KeyInputs!#REF!,Worksheet!$A$14:$L$15,2,FALSE))+Worksheet!$G$15)</f>
        <v>#REF!</v>
      </c>
      <c r="M5" s="32" t="e">
        <f ca="1">OFFSET(Worksheet!$A$14,,(HLOOKUP(KeyInputs!#REF!,Worksheet!$A$14:$L$15,2,FALSE))+Worksheet!$H$15)</f>
        <v>#REF!</v>
      </c>
      <c r="N5" s="32" t="e">
        <f ca="1">OFFSET(Worksheet!$A$14,,(HLOOKUP(KeyInputs!#REF!,Worksheet!$A$14:$L$15,2,FALSE))+Worksheet!$I$15)</f>
        <v>#REF!</v>
      </c>
      <c r="O5" s="32" t="e">
        <f ca="1">OFFSET(Worksheet!$A$14,,(HLOOKUP(KeyInputs!#REF!,Worksheet!$A$14:$L$15,2,FALSE))+Worksheet!$J$15)</f>
        <v>#REF!</v>
      </c>
      <c r="Q5" s="31" t="e">
        <f>KeyInputs!#REF!</f>
        <v>#REF!</v>
      </c>
      <c r="R5" s="32" t="e">
        <f ca="1">OFFSET(Worksheet!$A$14,,(HLOOKUP(KeyInputs!#REF!,Worksheet!$A$14:$L$15,2,FALSE)))</f>
        <v>#REF!</v>
      </c>
      <c r="S5" s="32" t="e">
        <f ca="1">OFFSET(Worksheet!$A$14,,(HLOOKUP(KeyInputs!#REF!,Worksheet!$A$14:$L$15,2,FALSE))+Worksheet!$A$15)</f>
        <v>#REF!</v>
      </c>
      <c r="T5" s="32" t="e">
        <f ca="1">OFFSET(Worksheet!$A$14,,(HLOOKUP(KeyInputs!#REF!,Worksheet!$A$14:$L$15,2,FALSE))+Worksheet!$B$15)</f>
        <v>#REF!</v>
      </c>
      <c r="U5" s="32" t="e">
        <f ca="1">OFFSET(Worksheet!$A$14,,(HLOOKUP(KeyInputs!#REF!,Worksheet!$A$14:$L$15,2,FALSE))+Worksheet!$C$15)</f>
        <v>#REF!</v>
      </c>
      <c r="V5" s="32" t="e">
        <f ca="1">OFFSET(Worksheet!$A$14,,(HLOOKUP(KeyInputs!#REF!,Worksheet!$A$14:$L$15,2,FALSE))+Worksheet!$D$15)</f>
        <v>#REF!</v>
      </c>
      <c r="W5" s="32" t="e">
        <f ca="1">OFFSET(Worksheet!$A$14,,(HLOOKUP(KeyInputs!#REF!,Worksheet!$A$14:$L$15,2,FALSE))+Worksheet!$E$15)</f>
        <v>#REF!</v>
      </c>
      <c r="X5" s="32" t="e">
        <f ca="1">OFFSET(Worksheet!$A$14,,(HLOOKUP(KeyInputs!#REF!,Worksheet!$A$14:$L$15,2,FALSE))+Worksheet!$F$15)</f>
        <v>#REF!</v>
      </c>
      <c r="Y5" s="32" t="e">
        <f ca="1">OFFSET(Worksheet!$A$14,,(HLOOKUP(KeyInputs!#REF!,Worksheet!$A$14:$L$15,2,FALSE))+Worksheet!$G$15)</f>
        <v>#REF!</v>
      </c>
      <c r="Z5" s="32" t="e">
        <f ca="1">OFFSET(Worksheet!$A$14,,(HLOOKUP(KeyInputs!#REF!,Worksheet!$A$14:$L$15,2,FALSE))+Worksheet!$H$15)</f>
        <v>#REF!</v>
      </c>
      <c r="AA5" s="32" t="e">
        <f ca="1">OFFSET(Worksheet!$A$14,,(HLOOKUP(KeyInputs!#REF!,Worksheet!$A$14:$L$15,2,FALSE))+Worksheet!$I$15)</f>
        <v>#REF!</v>
      </c>
      <c r="AB5" s="32" t="e">
        <f ca="1">OFFSET(Worksheet!$A$14,,(HLOOKUP(KeyInputs!#REF!,Worksheet!$A$14:$L$15,2,FALSE))+Worksheet!$J$15)</f>
        <v>#REF!</v>
      </c>
      <c r="AD5" s="31" t="e">
        <f>KeyInputs!#REF!</f>
        <v>#REF!</v>
      </c>
      <c r="AE5" s="32" t="e">
        <f ca="1">OFFSET(Worksheet!$A$14,,(HLOOKUP(KeyInputs!#REF!,Worksheet!$A$14:$L$15,2,FALSE)))</f>
        <v>#REF!</v>
      </c>
      <c r="AF5" s="32" t="e">
        <f ca="1">OFFSET(Worksheet!$A$14,,(HLOOKUP(KeyInputs!#REF!,Worksheet!$A$14:$L$15,2,FALSE))+Worksheet!$A$15)</f>
        <v>#REF!</v>
      </c>
      <c r="AG5" s="32" t="e">
        <f ca="1">OFFSET(Worksheet!$A$14,,(HLOOKUP(KeyInputs!#REF!,Worksheet!$A$14:$L$15,2,FALSE))+Worksheet!$B$15)</f>
        <v>#REF!</v>
      </c>
      <c r="AH5" s="32" t="e">
        <f ca="1">OFFSET(Worksheet!$A$14,,(HLOOKUP(KeyInputs!#REF!,Worksheet!$A$14:$L$15,2,FALSE))+Worksheet!$C$15)</f>
        <v>#REF!</v>
      </c>
      <c r="AI5" s="32" t="e">
        <f ca="1">OFFSET(Worksheet!$A$14,,(HLOOKUP(KeyInputs!#REF!,Worksheet!$A$14:$L$15,2,FALSE))+Worksheet!$D$15)</f>
        <v>#REF!</v>
      </c>
      <c r="AJ5" s="32" t="e">
        <f ca="1">OFFSET(Worksheet!$A$14,,(HLOOKUP(KeyInputs!#REF!,Worksheet!$A$14:$L$15,2,FALSE))+Worksheet!$E$15)</f>
        <v>#REF!</v>
      </c>
      <c r="AK5" s="32" t="e">
        <f ca="1">OFFSET(Worksheet!$A$14,,(HLOOKUP(KeyInputs!#REF!,Worksheet!$A$14:$L$15,2,FALSE))+Worksheet!$F$15)</f>
        <v>#REF!</v>
      </c>
      <c r="AL5" s="32" t="e">
        <f ca="1">OFFSET(Worksheet!$A$14,,(HLOOKUP(KeyInputs!#REF!,Worksheet!$A$14:$L$15,2,FALSE))+Worksheet!$G$15)</f>
        <v>#REF!</v>
      </c>
      <c r="AM5" s="32" t="e">
        <f ca="1">OFFSET(Worksheet!$A$14,,(HLOOKUP(KeyInputs!#REF!,Worksheet!$A$14:$L$15,2,FALSE))+Worksheet!$H$15)</f>
        <v>#REF!</v>
      </c>
      <c r="AN5" s="32" t="e">
        <f ca="1">OFFSET(Worksheet!$A$14,,(HLOOKUP(KeyInputs!#REF!,Worksheet!$A$14:$L$15,2,FALSE))+Worksheet!$I$15)</f>
        <v>#REF!</v>
      </c>
      <c r="AO5" s="32" t="e">
        <f ca="1">OFFSET(Worksheet!$A$14,,(HLOOKUP(KeyInputs!#REF!,Worksheet!$A$14:$L$15,2,FALSE))+Worksheet!$J$15)</f>
        <v>#REF!</v>
      </c>
    </row>
    <row r="6" spans="1:41" x14ac:dyDescent="0.3">
      <c r="A6" s="30"/>
      <c r="B6" s="25"/>
      <c r="C6" s="25"/>
      <c r="D6" s="25"/>
      <c r="E6" s="25"/>
      <c r="F6" s="25"/>
      <c r="G6" s="25"/>
      <c r="H6" s="25"/>
      <c r="I6" s="25"/>
      <c r="J6" s="25"/>
      <c r="K6" s="25"/>
      <c r="L6" s="25"/>
      <c r="M6" s="25"/>
      <c r="N6" s="25"/>
      <c r="O6" s="25"/>
      <c r="Q6" s="25"/>
      <c r="R6" s="25"/>
      <c r="S6" s="25"/>
      <c r="T6" s="25"/>
      <c r="U6" s="25"/>
      <c r="V6" s="25"/>
      <c r="W6" s="25"/>
      <c r="X6" s="25"/>
      <c r="Y6" s="25"/>
      <c r="Z6" s="25"/>
      <c r="AA6" s="25"/>
      <c r="AB6" s="25"/>
      <c r="AD6" s="25"/>
      <c r="AE6" s="25"/>
      <c r="AF6" s="25"/>
      <c r="AG6" s="25"/>
      <c r="AH6" s="25"/>
      <c r="AI6" s="25"/>
      <c r="AJ6" s="25"/>
      <c r="AK6" s="25"/>
      <c r="AL6" s="25"/>
      <c r="AM6" s="25"/>
      <c r="AN6" s="25"/>
      <c r="AO6" s="25"/>
    </row>
    <row r="7" spans="1:41" x14ac:dyDescent="0.3">
      <c r="A7" s="25"/>
      <c r="B7" s="25" t="s">
        <v>81</v>
      </c>
      <c r="C7" s="27" t="e">
        <f>#REF!*KeyInputs!#REF!</f>
        <v>#REF!</v>
      </c>
      <c r="D7" s="27" t="e">
        <f>#REF!*KeyInputs!#REF!</f>
        <v>#REF!</v>
      </c>
      <c r="E7" s="27" t="e">
        <f>#REF!*KeyInputs!#REF!</f>
        <v>#REF!</v>
      </c>
      <c r="F7" s="27" t="e">
        <f>#REF!*KeyInputs!#REF!</f>
        <v>#REF!</v>
      </c>
      <c r="G7" s="27" t="e">
        <f>#REF!*KeyInputs!#REF!</f>
        <v>#REF!</v>
      </c>
      <c r="H7" s="27" t="e">
        <f>#REF!*KeyInputs!#REF!</f>
        <v>#REF!</v>
      </c>
      <c r="I7" s="25"/>
      <c r="J7" s="25"/>
      <c r="K7" s="25"/>
      <c r="L7" s="25"/>
      <c r="M7" s="25"/>
      <c r="N7" s="25"/>
      <c r="O7" s="25"/>
      <c r="Q7" s="27"/>
      <c r="R7" s="27"/>
      <c r="S7" s="27"/>
      <c r="T7" s="27"/>
      <c r="U7" s="27"/>
      <c r="V7" s="25"/>
      <c r="W7" s="25"/>
      <c r="X7" s="25"/>
      <c r="Y7" s="25"/>
      <c r="Z7" s="25"/>
      <c r="AA7" s="25"/>
      <c r="AB7" s="25"/>
      <c r="AD7" s="27"/>
      <c r="AE7" s="27"/>
      <c r="AF7" s="27"/>
      <c r="AG7" s="27"/>
      <c r="AH7" s="27"/>
      <c r="AI7" s="25"/>
      <c r="AJ7" s="25"/>
      <c r="AK7" s="25"/>
      <c r="AL7" s="25"/>
      <c r="AM7" s="25"/>
      <c r="AN7" s="25"/>
      <c r="AO7" s="25"/>
    </row>
    <row r="8" spans="1:41" x14ac:dyDescent="0.3">
      <c r="A8" s="25"/>
      <c r="B8" s="39" t="e">
        <f>D5</f>
        <v>#REF!</v>
      </c>
      <c r="C8" s="27"/>
      <c r="D8" s="27" t="e">
        <f>#REF!*KeyInputs!#REF!</f>
        <v>#REF!</v>
      </c>
      <c r="E8" s="27" t="e">
        <f>#REF!*KeyInputs!#REF!</f>
        <v>#REF!</v>
      </c>
      <c r="F8" s="27" t="e">
        <f>#REF!*KeyInputs!#REF!</f>
        <v>#REF!</v>
      </c>
      <c r="G8" s="27" t="e">
        <f>#REF!*KeyInputs!#REF!</f>
        <v>#REF!</v>
      </c>
      <c r="H8" s="27" t="e">
        <f>#REF!*KeyInputs!#REF!</f>
        <v>#REF!</v>
      </c>
      <c r="I8" s="27" t="e">
        <f>#REF!*KeyInputs!#REF!</f>
        <v>#REF!</v>
      </c>
      <c r="J8" s="25"/>
      <c r="K8" s="25"/>
      <c r="L8" s="25"/>
      <c r="M8" s="25"/>
      <c r="N8" s="25"/>
      <c r="O8" s="25"/>
      <c r="Q8" s="27" t="e">
        <f>#REF!*KeyInputs!#REF!</f>
        <v>#REF!</v>
      </c>
      <c r="R8" s="27" t="e">
        <f>#REF!*KeyInputs!#REF!</f>
        <v>#REF!</v>
      </c>
      <c r="S8" s="27" t="e">
        <f>#REF!*KeyInputs!#REF!</f>
        <v>#REF!</v>
      </c>
      <c r="T8" s="27" t="e">
        <f>#REF!*KeyInputs!#REF!</f>
        <v>#REF!</v>
      </c>
      <c r="U8" s="27" t="e">
        <f>#REF!*KeyInputs!#REF!</f>
        <v>#REF!</v>
      </c>
      <c r="V8" s="27" t="e">
        <f>#REF!*KeyInputs!#REF!</f>
        <v>#REF!</v>
      </c>
      <c r="W8" s="25"/>
      <c r="X8" s="25"/>
      <c r="Y8" s="25"/>
      <c r="Z8" s="25"/>
      <c r="AA8" s="25"/>
      <c r="AB8" s="25"/>
      <c r="AD8" s="27" t="e">
        <f>#REF!*KeyInputs!#REF!</f>
        <v>#REF!</v>
      </c>
      <c r="AE8" s="27" t="e">
        <f>#REF!*KeyInputs!#REF!</f>
        <v>#REF!</v>
      </c>
      <c r="AF8" s="27" t="e">
        <f>#REF!*KeyInputs!#REF!</f>
        <v>#REF!</v>
      </c>
      <c r="AG8" s="27" t="e">
        <f>#REF!*KeyInputs!#REF!</f>
        <v>#REF!</v>
      </c>
      <c r="AH8" s="27" t="e">
        <f>#REF!*KeyInputs!#REF!</f>
        <v>#REF!</v>
      </c>
      <c r="AI8" s="27" t="e">
        <f>#REF!*KeyInputs!#REF!</f>
        <v>#REF!</v>
      </c>
      <c r="AJ8" s="25"/>
      <c r="AK8" s="25"/>
      <c r="AL8" s="25"/>
      <c r="AM8" s="25"/>
      <c r="AN8" s="25"/>
      <c r="AO8" s="25"/>
    </row>
    <row r="9" spans="1:41" x14ac:dyDescent="0.3">
      <c r="A9" s="25"/>
      <c r="B9" s="25" t="e">
        <f ca="1">E5</f>
        <v>#REF!</v>
      </c>
      <c r="C9" s="27"/>
      <c r="D9" s="27"/>
      <c r="E9" s="27" t="e">
        <f>#REF!*KeyInputs!#REF!</f>
        <v>#REF!</v>
      </c>
      <c r="F9" s="27" t="e">
        <f>#REF!*KeyInputs!#REF!</f>
        <v>#REF!</v>
      </c>
      <c r="G9" s="27" t="e">
        <f>#REF!*KeyInputs!#REF!</f>
        <v>#REF!</v>
      </c>
      <c r="H9" s="27" t="e">
        <f>#REF!*KeyInputs!#REF!</f>
        <v>#REF!</v>
      </c>
      <c r="I9" s="27" t="e">
        <f>#REF!*KeyInputs!#REF!</f>
        <v>#REF!</v>
      </c>
      <c r="J9" s="27" t="e">
        <f>#REF!*KeyInputs!#REF!</f>
        <v>#REF!</v>
      </c>
      <c r="K9" s="25"/>
      <c r="L9" s="25"/>
      <c r="M9" s="25"/>
      <c r="N9" s="25"/>
      <c r="O9" s="25"/>
      <c r="Q9" s="27"/>
      <c r="R9" s="27" t="e">
        <f>#REF!*KeyInputs!#REF!</f>
        <v>#REF!</v>
      </c>
      <c r="S9" s="27" t="e">
        <f>#REF!*KeyInputs!#REF!</f>
        <v>#REF!</v>
      </c>
      <c r="T9" s="27" t="e">
        <f>#REF!*KeyInputs!#REF!</f>
        <v>#REF!</v>
      </c>
      <c r="U9" s="27" t="e">
        <f>#REF!*KeyInputs!#REF!</f>
        <v>#REF!</v>
      </c>
      <c r="V9" s="27" t="e">
        <f>#REF!*KeyInputs!#REF!</f>
        <v>#REF!</v>
      </c>
      <c r="W9" s="27" t="e">
        <f>#REF!*KeyInputs!#REF!</f>
        <v>#REF!</v>
      </c>
      <c r="X9" s="25"/>
      <c r="Y9" s="25"/>
      <c r="Z9" s="25"/>
      <c r="AA9" s="25"/>
      <c r="AB9" s="25"/>
      <c r="AD9" s="27"/>
      <c r="AE9" s="27" t="e">
        <f>#REF!*KeyInputs!#REF!</f>
        <v>#REF!</v>
      </c>
      <c r="AF9" s="27" t="e">
        <f>#REF!*KeyInputs!#REF!</f>
        <v>#REF!</v>
      </c>
      <c r="AG9" s="27" t="e">
        <f>#REF!*KeyInputs!#REF!</f>
        <v>#REF!</v>
      </c>
      <c r="AH9" s="27" t="e">
        <f>#REF!*KeyInputs!#REF!</f>
        <v>#REF!</v>
      </c>
      <c r="AI9" s="27" t="e">
        <f>#REF!*KeyInputs!#REF!</f>
        <v>#REF!</v>
      </c>
      <c r="AJ9" s="27" t="e">
        <f>#REF!*KeyInputs!#REF!</f>
        <v>#REF!</v>
      </c>
      <c r="AK9" s="25"/>
      <c r="AL9" s="25"/>
      <c r="AM9" s="25"/>
      <c r="AN9" s="25"/>
      <c r="AO9" s="25"/>
    </row>
    <row r="10" spans="1:41" x14ac:dyDescent="0.3">
      <c r="A10" s="25"/>
      <c r="B10" s="25" t="e">
        <f ca="1">F5</f>
        <v>#REF!</v>
      </c>
      <c r="C10" s="27"/>
      <c r="D10" s="27"/>
      <c r="E10" s="25"/>
      <c r="F10" s="27" t="e">
        <f>#REF!*KeyInputs!#REF!</f>
        <v>#REF!</v>
      </c>
      <c r="G10" s="27" t="e">
        <f>#REF!*KeyInputs!#REF!</f>
        <v>#REF!</v>
      </c>
      <c r="H10" s="27" t="e">
        <f>#REF!*KeyInputs!#REF!</f>
        <v>#REF!</v>
      </c>
      <c r="I10" s="27" t="e">
        <f>#REF!*KeyInputs!#REF!</f>
        <v>#REF!</v>
      </c>
      <c r="J10" s="27" t="e">
        <f>#REF!*KeyInputs!#REF!</f>
        <v>#REF!</v>
      </c>
      <c r="K10" s="27" t="e">
        <f>#REF!*KeyInputs!#REF!</f>
        <v>#REF!</v>
      </c>
      <c r="L10" s="25"/>
      <c r="M10" s="25"/>
      <c r="N10" s="25"/>
      <c r="O10" s="25"/>
      <c r="Q10" s="27"/>
      <c r="R10" s="25"/>
      <c r="S10" s="27" t="e">
        <f>#REF!*KeyInputs!#REF!</f>
        <v>#REF!</v>
      </c>
      <c r="T10" s="27" t="e">
        <f>#REF!*KeyInputs!#REF!</f>
        <v>#REF!</v>
      </c>
      <c r="U10" s="27" t="e">
        <f>#REF!*KeyInputs!#REF!</f>
        <v>#REF!</v>
      </c>
      <c r="V10" s="27" t="e">
        <f>#REF!*KeyInputs!#REF!</f>
        <v>#REF!</v>
      </c>
      <c r="W10" s="27" t="e">
        <f>#REF!*KeyInputs!#REF!</f>
        <v>#REF!</v>
      </c>
      <c r="X10" s="27" t="e">
        <f>#REF!*KeyInputs!#REF!</f>
        <v>#REF!</v>
      </c>
      <c r="Y10" s="25"/>
      <c r="Z10" s="25"/>
      <c r="AA10" s="25"/>
      <c r="AB10" s="25"/>
      <c r="AD10" s="27"/>
      <c r="AE10" s="25"/>
      <c r="AF10" s="27" t="e">
        <f>#REF!*KeyInputs!#REF!</f>
        <v>#REF!</v>
      </c>
      <c r="AG10" s="27" t="e">
        <f>#REF!*KeyInputs!#REF!</f>
        <v>#REF!</v>
      </c>
      <c r="AH10" s="27" t="e">
        <f>#REF!*KeyInputs!#REF!</f>
        <v>#REF!</v>
      </c>
      <c r="AI10" s="27" t="e">
        <f>#REF!*KeyInputs!#REF!</f>
        <v>#REF!</v>
      </c>
      <c r="AJ10" s="27" t="e">
        <f>#REF!*KeyInputs!#REF!</f>
        <v>#REF!</v>
      </c>
      <c r="AK10" s="27" t="e">
        <f>#REF!*KeyInputs!#REF!</f>
        <v>#REF!</v>
      </c>
      <c r="AL10" s="25"/>
      <c r="AM10" s="25"/>
      <c r="AN10" s="25"/>
      <c r="AO10" s="25"/>
    </row>
    <row r="11" spans="1:41" x14ac:dyDescent="0.3">
      <c r="A11" s="30"/>
      <c r="B11" s="25" t="e">
        <f ca="1">G5</f>
        <v>#REF!</v>
      </c>
      <c r="C11" s="27"/>
      <c r="D11" s="27"/>
      <c r="E11" s="25"/>
      <c r="F11" s="25"/>
      <c r="G11" s="27" t="e">
        <f>#REF!*KeyInputs!#REF!</f>
        <v>#REF!</v>
      </c>
      <c r="H11" s="27" t="e">
        <f>#REF!*KeyInputs!#REF!</f>
        <v>#REF!</v>
      </c>
      <c r="I11" s="27" t="e">
        <f>#REF!*KeyInputs!#REF!</f>
        <v>#REF!</v>
      </c>
      <c r="J11" s="27" t="e">
        <f>#REF!*KeyInputs!#REF!</f>
        <v>#REF!</v>
      </c>
      <c r="K11" s="27" t="e">
        <f>#REF!*KeyInputs!#REF!</f>
        <v>#REF!</v>
      </c>
      <c r="L11" s="27" t="e">
        <f>#REF!*KeyInputs!#REF!</f>
        <v>#REF!</v>
      </c>
      <c r="M11" s="25"/>
      <c r="N11" s="25"/>
      <c r="O11" s="25"/>
      <c r="Q11" s="27"/>
      <c r="R11" s="25"/>
      <c r="S11" s="25"/>
      <c r="T11" s="27" t="e">
        <f>#REF!*KeyInputs!#REF!</f>
        <v>#REF!</v>
      </c>
      <c r="U11" s="27" t="e">
        <f>#REF!*KeyInputs!#REF!</f>
        <v>#REF!</v>
      </c>
      <c r="V11" s="27" t="e">
        <f>#REF!*KeyInputs!#REF!</f>
        <v>#REF!</v>
      </c>
      <c r="W11" s="27" t="e">
        <f>#REF!*KeyInputs!#REF!</f>
        <v>#REF!</v>
      </c>
      <c r="X11" s="27" t="e">
        <f>#REF!*KeyInputs!#REF!</f>
        <v>#REF!</v>
      </c>
      <c r="Y11" s="27" t="e">
        <f>#REF!*KeyInputs!#REF!</f>
        <v>#REF!</v>
      </c>
      <c r="Z11" s="25"/>
      <c r="AA11" s="25"/>
      <c r="AB11" s="25"/>
      <c r="AD11" s="27"/>
      <c r="AE11" s="25"/>
      <c r="AF11" s="25"/>
      <c r="AG11" s="27" t="e">
        <f>#REF!*KeyInputs!#REF!</f>
        <v>#REF!</v>
      </c>
      <c r="AH11" s="27" t="e">
        <f>#REF!*KeyInputs!#REF!</f>
        <v>#REF!</v>
      </c>
      <c r="AI11" s="27" t="e">
        <f>#REF!*KeyInputs!#REF!</f>
        <v>#REF!</v>
      </c>
      <c r="AJ11" s="27" t="e">
        <f>#REF!*KeyInputs!#REF!</f>
        <v>#REF!</v>
      </c>
      <c r="AK11" s="27" t="e">
        <f>#REF!*KeyInputs!#REF!</f>
        <v>#REF!</v>
      </c>
      <c r="AL11" s="27" t="e">
        <f>#REF!*KeyInputs!#REF!</f>
        <v>#REF!</v>
      </c>
      <c r="AM11" s="25"/>
      <c r="AN11" s="25"/>
      <c r="AO11" s="25"/>
    </row>
    <row r="12" spans="1:41" x14ac:dyDescent="0.3">
      <c r="A12" s="25"/>
      <c r="B12" s="25" t="e">
        <f ca="1">H5</f>
        <v>#REF!</v>
      </c>
      <c r="C12" s="27"/>
      <c r="D12" s="27"/>
      <c r="E12" s="25"/>
      <c r="F12" s="25"/>
      <c r="G12" s="25"/>
      <c r="H12" s="27" t="e">
        <f>#REF!*KeyInputs!#REF!</f>
        <v>#REF!</v>
      </c>
      <c r="I12" s="27" t="e">
        <f>#REF!*KeyInputs!#REF!</f>
        <v>#REF!</v>
      </c>
      <c r="J12" s="27" t="e">
        <f>#REF!*KeyInputs!#REF!</f>
        <v>#REF!</v>
      </c>
      <c r="K12" s="27" t="e">
        <f>#REF!*KeyInputs!#REF!</f>
        <v>#REF!</v>
      </c>
      <c r="L12" s="27" t="e">
        <f>#REF!*KeyInputs!#REF!</f>
        <v>#REF!</v>
      </c>
      <c r="M12" s="27" t="e">
        <f>#REF!*KeyInputs!#REF!</f>
        <v>#REF!</v>
      </c>
      <c r="N12" s="25"/>
      <c r="O12" s="25"/>
      <c r="Q12" s="27"/>
      <c r="R12" s="25"/>
      <c r="S12" s="25"/>
      <c r="T12" s="25"/>
      <c r="U12" s="27" t="e">
        <f>#REF!*KeyInputs!#REF!</f>
        <v>#REF!</v>
      </c>
      <c r="V12" s="27" t="e">
        <f>#REF!*KeyInputs!#REF!</f>
        <v>#REF!</v>
      </c>
      <c r="W12" s="27" t="e">
        <f>#REF!*KeyInputs!#REF!</f>
        <v>#REF!</v>
      </c>
      <c r="X12" s="27" t="e">
        <f>#REF!*KeyInputs!#REF!</f>
        <v>#REF!</v>
      </c>
      <c r="Y12" s="27" t="e">
        <f>#REF!*KeyInputs!#REF!</f>
        <v>#REF!</v>
      </c>
      <c r="Z12" s="27" t="e">
        <f>#REF!*KeyInputs!#REF!</f>
        <v>#REF!</v>
      </c>
      <c r="AA12" s="25"/>
      <c r="AB12" s="25"/>
      <c r="AD12" s="27"/>
      <c r="AE12" s="25"/>
      <c r="AF12" s="25"/>
      <c r="AG12" s="25"/>
      <c r="AH12" s="27" t="e">
        <f>#REF!*KeyInputs!#REF!</f>
        <v>#REF!</v>
      </c>
      <c r="AI12" s="27" t="e">
        <f>#REF!*KeyInputs!#REF!</f>
        <v>#REF!</v>
      </c>
      <c r="AJ12" s="27" t="e">
        <f>#REF!*KeyInputs!#REF!</f>
        <v>#REF!</v>
      </c>
      <c r="AK12" s="27" t="e">
        <f>#REF!*KeyInputs!#REF!</f>
        <v>#REF!</v>
      </c>
      <c r="AL12" s="27" t="e">
        <f>#REF!*KeyInputs!#REF!</f>
        <v>#REF!</v>
      </c>
      <c r="AM12" s="27" t="e">
        <f>#REF!*KeyInputs!#REF!</f>
        <v>#REF!</v>
      </c>
      <c r="AN12" s="25"/>
      <c r="AO12" s="25"/>
    </row>
    <row r="13" spans="1:41" x14ac:dyDescent="0.3">
      <c r="A13" s="25"/>
      <c r="B13" s="25" t="e">
        <f ca="1">I5</f>
        <v>#REF!</v>
      </c>
      <c r="C13" s="27"/>
      <c r="D13" s="27"/>
      <c r="E13" s="25"/>
      <c r="F13" s="25"/>
      <c r="G13" s="25"/>
      <c r="H13" s="25"/>
      <c r="I13" s="27" t="e">
        <f>#REF!*KeyInputs!#REF!</f>
        <v>#REF!</v>
      </c>
      <c r="J13" s="27" t="e">
        <f>#REF!*KeyInputs!#REF!</f>
        <v>#REF!</v>
      </c>
      <c r="K13" s="27" t="e">
        <f>#REF!*KeyInputs!#REF!</f>
        <v>#REF!</v>
      </c>
      <c r="L13" s="27" t="e">
        <f>#REF!*KeyInputs!#REF!</f>
        <v>#REF!</v>
      </c>
      <c r="M13" s="27" t="e">
        <f>#REF!*KeyInputs!#REF!</f>
        <v>#REF!</v>
      </c>
      <c r="N13" s="27" t="e">
        <f>#REF!*KeyInputs!#REF!</f>
        <v>#REF!</v>
      </c>
      <c r="O13" s="25"/>
      <c r="Q13" s="27"/>
      <c r="R13" s="25"/>
      <c r="S13" s="25"/>
      <c r="T13" s="25"/>
      <c r="U13" s="25"/>
      <c r="V13" s="27" t="e">
        <f>#REF!*KeyInputs!#REF!</f>
        <v>#REF!</v>
      </c>
      <c r="W13" s="27" t="e">
        <f>#REF!*KeyInputs!#REF!</f>
        <v>#REF!</v>
      </c>
      <c r="X13" s="27" t="e">
        <f>#REF!*KeyInputs!#REF!</f>
        <v>#REF!</v>
      </c>
      <c r="Y13" s="27" t="e">
        <f>#REF!*KeyInputs!#REF!</f>
        <v>#REF!</v>
      </c>
      <c r="Z13" s="27" t="e">
        <f>#REF!*KeyInputs!#REF!</f>
        <v>#REF!</v>
      </c>
      <c r="AA13" s="27" t="e">
        <f>#REF!*KeyInputs!#REF!</f>
        <v>#REF!</v>
      </c>
      <c r="AB13" s="25"/>
      <c r="AD13" s="27"/>
      <c r="AE13" s="25"/>
      <c r="AF13" s="25"/>
      <c r="AG13" s="25"/>
      <c r="AH13" s="25"/>
      <c r="AI13" s="27" t="e">
        <f>#REF!*KeyInputs!#REF!</f>
        <v>#REF!</v>
      </c>
      <c r="AJ13" s="27" t="e">
        <f>#REF!*KeyInputs!#REF!</f>
        <v>#REF!</v>
      </c>
      <c r="AK13" s="27" t="e">
        <f>#REF!*KeyInputs!#REF!</f>
        <v>#REF!</v>
      </c>
      <c r="AL13" s="27" t="e">
        <f>#REF!*KeyInputs!#REF!</f>
        <v>#REF!</v>
      </c>
      <c r="AM13" s="27" t="e">
        <f>#REF!*KeyInputs!#REF!</f>
        <v>#REF!</v>
      </c>
      <c r="AN13" s="27" t="e">
        <f>#REF!*KeyInputs!#REF!</f>
        <v>#REF!</v>
      </c>
      <c r="AO13" s="25"/>
    </row>
    <row r="14" spans="1:41" x14ac:dyDescent="0.3">
      <c r="A14" s="25"/>
      <c r="B14" s="25" t="e">
        <f ca="1">J5</f>
        <v>#REF!</v>
      </c>
      <c r="C14" s="27"/>
      <c r="D14" s="27"/>
      <c r="E14" s="25"/>
      <c r="F14" s="25"/>
      <c r="G14" s="25"/>
      <c r="H14" s="25"/>
      <c r="I14" s="25"/>
      <c r="J14" s="27" t="e">
        <f>#REF!*KeyInputs!#REF!</f>
        <v>#REF!</v>
      </c>
      <c r="K14" s="27" t="e">
        <f>#REF!*KeyInputs!#REF!</f>
        <v>#REF!</v>
      </c>
      <c r="L14" s="27" t="e">
        <f>#REF!*KeyInputs!#REF!</f>
        <v>#REF!</v>
      </c>
      <c r="M14" s="27" t="e">
        <f>#REF!*KeyInputs!#REF!</f>
        <v>#REF!</v>
      </c>
      <c r="N14" s="27" t="e">
        <f>#REF!*KeyInputs!#REF!</f>
        <v>#REF!</v>
      </c>
      <c r="O14" s="27" t="e">
        <f>#REF!*KeyInputs!#REF!</f>
        <v>#REF!</v>
      </c>
      <c r="Q14" s="27"/>
      <c r="R14" s="25"/>
      <c r="S14" s="25"/>
      <c r="T14" s="25"/>
      <c r="U14" s="25"/>
      <c r="V14" s="25"/>
      <c r="W14" s="27" t="e">
        <f>#REF!*KeyInputs!#REF!</f>
        <v>#REF!</v>
      </c>
      <c r="X14" s="27" t="e">
        <f>#REF!*KeyInputs!#REF!</f>
        <v>#REF!</v>
      </c>
      <c r="Y14" s="27" t="e">
        <f>#REF!*KeyInputs!#REF!</f>
        <v>#REF!</v>
      </c>
      <c r="Z14" s="27" t="e">
        <f>#REF!*KeyInputs!#REF!</f>
        <v>#REF!</v>
      </c>
      <c r="AA14" s="27" t="e">
        <f>#REF!*KeyInputs!#REF!</f>
        <v>#REF!</v>
      </c>
      <c r="AB14" s="27" t="e">
        <f>#REF!*KeyInputs!#REF!</f>
        <v>#REF!</v>
      </c>
      <c r="AD14" s="27"/>
      <c r="AE14" s="25"/>
      <c r="AF14" s="25"/>
      <c r="AG14" s="25"/>
      <c r="AH14" s="25"/>
      <c r="AI14" s="25"/>
      <c r="AJ14" s="27" t="e">
        <f>#REF!*KeyInputs!#REF!</f>
        <v>#REF!</v>
      </c>
      <c r="AK14" s="27" t="e">
        <f>#REF!*KeyInputs!#REF!</f>
        <v>#REF!</v>
      </c>
      <c r="AL14" s="27" t="e">
        <f>#REF!*KeyInputs!#REF!</f>
        <v>#REF!</v>
      </c>
      <c r="AM14" s="27" t="e">
        <f>#REF!*KeyInputs!#REF!</f>
        <v>#REF!</v>
      </c>
      <c r="AN14" s="27" t="e">
        <f>#REF!*KeyInputs!#REF!</f>
        <v>#REF!</v>
      </c>
      <c r="AO14" s="27" t="e">
        <f>#REF!*KeyInputs!#REF!</f>
        <v>#REF!</v>
      </c>
    </row>
    <row r="15" spans="1:41" x14ac:dyDescent="0.3">
      <c r="A15" s="25"/>
      <c r="B15" s="25" t="e">
        <f ca="1">K5</f>
        <v>#REF!</v>
      </c>
      <c r="C15" s="27"/>
      <c r="D15" s="27"/>
      <c r="E15" s="25"/>
      <c r="F15" s="25"/>
      <c r="G15" s="25"/>
      <c r="H15" s="25"/>
      <c r="I15" s="25"/>
      <c r="J15" s="25"/>
      <c r="K15" s="27" t="e">
        <f>#REF!*KeyInputs!#REF!</f>
        <v>#REF!</v>
      </c>
      <c r="L15" s="27" t="e">
        <f>#REF!*KeyInputs!#REF!</f>
        <v>#REF!</v>
      </c>
      <c r="M15" s="27" t="e">
        <f>#REF!*KeyInputs!#REF!</f>
        <v>#REF!</v>
      </c>
      <c r="N15" s="27" t="e">
        <f>#REF!*KeyInputs!#REF!</f>
        <v>#REF!</v>
      </c>
      <c r="O15" s="27" t="e">
        <f>#REF!*KeyInputs!#REF!</f>
        <v>#REF!</v>
      </c>
      <c r="P15" s="27"/>
      <c r="Q15" s="27" t="e">
        <f>#REF!*KeyInputs!#REF!</f>
        <v>#REF!</v>
      </c>
      <c r="R15" s="25"/>
      <c r="S15" s="25"/>
      <c r="T15" s="25"/>
      <c r="U15" s="25"/>
      <c r="V15" s="25"/>
      <c r="W15" s="25"/>
      <c r="X15" s="27" t="e">
        <f>#REF!*KeyInputs!#REF!</f>
        <v>#REF!</v>
      </c>
      <c r="Y15" s="27" t="e">
        <f>#REF!*KeyInputs!#REF!</f>
        <v>#REF!</v>
      </c>
      <c r="Z15" s="27" t="e">
        <f>#REF!*KeyInputs!#REF!</f>
        <v>#REF!</v>
      </c>
      <c r="AA15" s="27" t="e">
        <f>#REF!*KeyInputs!#REF!</f>
        <v>#REF!</v>
      </c>
      <c r="AB15" s="27" t="e">
        <f>#REF!*KeyInputs!#REF!</f>
        <v>#REF!</v>
      </c>
      <c r="AC15" s="27"/>
      <c r="AD15" s="27" t="e">
        <f>#REF!*KeyInputs!#REF!</f>
        <v>#REF!</v>
      </c>
      <c r="AE15" s="25"/>
      <c r="AF15" s="25"/>
      <c r="AG15" s="25"/>
      <c r="AH15" s="25"/>
      <c r="AI15" s="25"/>
      <c r="AJ15" s="25"/>
      <c r="AK15" s="27" t="e">
        <f>#REF!*KeyInputs!#REF!</f>
        <v>#REF!</v>
      </c>
      <c r="AL15" s="27" t="e">
        <f>#REF!*KeyInputs!#REF!</f>
        <v>#REF!</v>
      </c>
      <c r="AM15" s="27" t="e">
        <f>#REF!*KeyInputs!#REF!</f>
        <v>#REF!</v>
      </c>
      <c r="AN15" s="27" t="e">
        <f>#REF!*KeyInputs!#REF!</f>
        <v>#REF!</v>
      </c>
      <c r="AO15" s="27" t="e">
        <f>#REF!*KeyInputs!#REF!</f>
        <v>#REF!</v>
      </c>
    </row>
    <row r="16" spans="1:41" x14ac:dyDescent="0.3">
      <c r="A16" s="30"/>
      <c r="B16" s="25" t="e">
        <f ca="1">L5</f>
        <v>#REF!</v>
      </c>
      <c r="C16" s="27"/>
      <c r="D16" s="27"/>
      <c r="E16" s="25"/>
      <c r="F16" s="25"/>
      <c r="G16" s="25"/>
      <c r="H16" s="25"/>
      <c r="I16" s="25"/>
      <c r="J16" s="25"/>
      <c r="K16" s="25"/>
      <c r="L16" s="27" t="e">
        <f>#REF!*KeyInputs!#REF!</f>
        <v>#REF!</v>
      </c>
      <c r="M16" s="27" t="e">
        <f>#REF!*KeyInputs!#REF!</f>
        <v>#REF!</v>
      </c>
      <c r="N16" s="27" t="e">
        <f>#REF!*KeyInputs!#REF!</f>
        <v>#REF!</v>
      </c>
      <c r="O16" s="27" t="e">
        <f>#REF!*KeyInputs!#REF!</f>
        <v>#REF!</v>
      </c>
      <c r="P16" s="27"/>
      <c r="Q16" s="27" t="e">
        <f>#REF!*KeyInputs!#REF!</f>
        <v>#REF!</v>
      </c>
      <c r="R16" s="27" t="e">
        <f>#REF!*KeyInputs!#REF!</f>
        <v>#REF!</v>
      </c>
      <c r="S16" s="25"/>
      <c r="T16" s="25"/>
      <c r="U16" s="25"/>
      <c r="V16" s="25"/>
      <c r="W16" s="25"/>
      <c r="X16" s="25"/>
      <c r="Y16" s="27" t="e">
        <f>#REF!*KeyInputs!#REF!</f>
        <v>#REF!</v>
      </c>
      <c r="Z16" s="27" t="e">
        <f>#REF!*KeyInputs!#REF!</f>
        <v>#REF!</v>
      </c>
      <c r="AA16" s="27" t="e">
        <f>#REF!*KeyInputs!#REF!</f>
        <v>#REF!</v>
      </c>
      <c r="AB16" s="27" t="e">
        <f>#REF!*KeyInputs!#REF!</f>
        <v>#REF!</v>
      </c>
      <c r="AC16" s="27"/>
      <c r="AD16" s="27" t="e">
        <f>#REF!*KeyInputs!#REF!</f>
        <v>#REF!</v>
      </c>
      <c r="AE16" s="27" t="e">
        <f>#REF!*KeyInputs!#REF!</f>
        <v>#REF!</v>
      </c>
      <c r="AF16" s="25"/>
      <c r="AG16" s="25"/>
      <c r="AH16" s="25"/>
      <c r="AI16" s="25"/>
      <c r="AJ16" s="25"/>
      <c r="AK16" s="25"/>
      <c r="AL16" s="27" t="e">
        <f>#REF!*KeyInputs!#REF!</f>
        <v>#REF!</v>
      </c>
      <c r="AM16" s="27" t="e">
        <f>#REF!*KeyInputs!#REF!</f>
        <v>#REF!</v>
      </c>
      <c r="AN16" s="27" t="e">
        <f>#REF!*KeyInputs!#REF!</f>
        <v>#REF!</v>
      </c>
      <c r="AO16" s="27" t="e">
        <f>#REF!*KeyInputs!#REF!</f>
        <v>#REF!</v>
      </c>
    </row>
    <row r="17" spans="1:41" x14ac:dyDescent="0.3">
      <c r="A17" s="25"/>
      <c r="B17" s="25" t="e">
        <f ca="1">M5</f>
        <v>#REF!</v>
      </c>
      <c r="C17" s="27"/>
      <c r="D17" s="27"/>
      <c r="E17" s="25"/>
      <c r="F17" s="25"/>
      <c r="G17" s="25"/>
      <c r="H17" s="25"/>
      <c r="I17" s="25"/>
      <c r="J17" s="25"/>
      <c r="K17" s="25"/>
      <c r="L17" s="25"/>
      <c r="M17" s="27" t="e">
        <f>#REF!*KeyInputs!#REF!</f>
        <v>#REF!</v>
      </c>
      <c r="N17" s="27" t="e">
        <f>#REF!*KeyInputs!#REF!</f>
        <v>#REF!</v>
      </c>
      <c r="O17" s="27" t="e">
        <f>#REF!*KeyInputs!#REF!</f>
        <v>#REF!</v>
      </c>
      <c r="P17" s="27"/>
      <c r="Q17" s="27" t="e">
        <f>#REF!*KeyInputs!#REF!</f>
        <v>#REF!</v>
      </c>
      <c r="R17" s="27" t="e">
        <f>#REF!*KeyInputs!#REF!</f>
        <v>#REF!</v>
      </c>
      <c r="S17" s="27" t="e">
        <f>#REF!*KeyInputs!#REF!</f>
        <v>#REF!</v>
      </c>
      <c r="T17" s="25"/>
      <c r="U17" s="25"/>
      <c r="V17" s="25"/>
      <c r="W17" s="25"/>
      <c r="X17" s="25"/>
      <c r="Y17" s="25"/>
      <c r="Z17" s="27" t="e">
        <f>#REF!*KeyInputs!#REF!</f>
        <v>#REF!</v>
      </c>
      <c r="AA17" s="27" t="e">
        <f>#REF!*KeyInputs!#REF!</f>
        <v>#REF!</v>
      </c>
      <c r="AB17" s="27" t="e">
        <f>#REF!*KeyInputs!#REF!</f>
        <v>#REF!</v>
      </c>
      <c r="AC17" s="27"/>
      <c r="AD17" s="27" t="e">
        <f>#REF!*KeyInputs!#REF!</f>
        <v>#REF!</v>
      </c>
      <c r="AE17" s="27" t="e">
        <f>#REF!*KeyInputs!#REF!</f>
        <v>#REF!</v>
      </c>
      <c r="AF17" s="27" t="e">
        <f>#REF!*KeyInputs!#REF!</f>
        <v>#REF!</v>
      </c>
      <c r="AG17" s="25"/>
      <c r="AH17" s="25"/>
      <c r="AI17" s="25"/>
      <c r="AJ17" s="25"/>
      <c r="AK17" s="25"/>
      <c r="AL17" s="25"/>
      <c r="AM17" s="27" t="e">
        <f>#REF!*KeyInputs!#REF!</f>
        <v>#REF!</v>
      </c>
      <c r="AN17" s="27" t="e">
        <f>#REF!*KeyInputs!#REF!</f>
        <v>#REF!</v>
      </c>
      <c r="AO17" s="27" t="e">
        <f>#REF!*KeyInputs!#REF!</f>
        <v>#REF!</v>
      </c>
    </row>
    <row r="18" spans="1:41" x14ac:dyDescent="0.3">
      <c r="A18" s="25"/>
      <c r="B18" s="25" t="e">
        <f ca="1">N5</f>
        <v>#REF!</v>
      </c>
      <c r="C18" s="27"/>
      <c r="D18" s="27"/>
      <c r="E18" s="25"/>
      <c r="F18" s="25"/>
      <c r="G18" s="25"/>
      <c r="H18" s="25"/>
      <c r="I18" s="25"/>
      <c r="J18" s="25"/>
      <c r="K18" s="25"/>
      <c r="L18" s="25"/>
      <c r="M18" s="25"/>
      <c r="N18" s="27" t="e">
        <f>#REF!*KeyInputs!#REF!</f>
        <v>#REF!</v>
      </c>
      <c r="O18" s="27" t="e">
        <f>#REF!*KeyInputs!#REF!</f>
        <v>#REF!</v>
      </c>
      <c r="P18" s="27"/>
      <c r="Q18" s="27" t="e">
        <f>#REF!*KeyInputs!#REF!</f>
        <v>#REF!</v>
      </c>
      <c r="R18" s="27" t="e">
        <f>#REF!*KeyInputs!#REF!</f>
        <v>#REF!</v>
      </c>
      <c r="S18" s="27" t="e">
        <f>#REF!*KeyInputs!#REF!</f>
        <v>#REF!</v>
      </c>
      <c r="T18" s="27" t="e">
        <f>#REF!*KeyInputs!#REF!</f>
        <v>#REF!</v>
      </c>
      <c r="U18" s="25"/>
      <c r="V18" s="25"/>
      <c r="W18" s="25"/>
      <c r="X18" s="25"/>
      <c r="Y18" s="25"/>
      <c r="Z18" s="25"/>
      <c r="AA18" s="27" t="e">
        <f>#REF!*KeyInputs!#REF!</f>
        <v>#REF!</v>
      </c>
      <c r="AB18" s="27" t="e">
        <f>#REF!*KeyInputs!#REF!</f>
        <v>#REF!</v>
      </c>
      <c r="AC18" s="27"/>
      <c r="AD18" s="27" t="e">
        <f>#REF!*KeyInputs!#REF!</f>
        <v>#REF!</v>
      </c>
      <c r="AE18" s="27" t="e">
        <f>#REF!*KeyInputs!#REF!</f>
        <v>#REF!</v>
      </c>
      <c r="AF18" s="27" t="e">
        <f>#REF!*KeyInputs!#REF!</f>
        <v>#REF!</v>
      </c>
      <c r="AG18" s="27" t="e">
        <f>#REF!*KeyInputs!#REF!</f>
        <v>#REF!</v>
      </c>
      <c r="AH18" s="25"/>
      <c r="AI18" s="25"/>
      <c r="AJ18" s="25"/>
      <c r="AK18" s="25"/>
      <c r="AL18" s="25"/>
      <c r="AM18" s="25"/>
      <c r="AN18" s="27" t="e">
        <f>#REF!*KeyInputs!#REF!</f>
        <v>#REF!</v>
      </c>
      <c r="AO18" s="27" t="e">
        <f>#REF!*KeyInputs!#REF!</f>
        <v>#REF!</v>
      </c>
    </row>
    <row r="19" spans="1:41" x14ac:dyDescent="0.3">
      <c r="A19" s="25"/>
      <c r="B19" s="25" t="e">
        <f ca="1">O5</f>
        <v>#REF!</v>
      </c>
      <c r="C19" s="27"/>
      <c r="D19" s="27"/>
      <c r="E19" s="25"/>
      <c r="F19" s="25"/>
      <c r="G19" s="25"/>
      <c r="H19" s="25"/>
      <c r="I19" s="25"/>
      <c r="J19" s="25"/>
      <c r="K19" s="25"/>
      <c r="L19" s="25"/>
      <c r="M19" s="25"/>
      <c r="N19" s="25"/>
      <c r="O19" s="27" t="e">
        <f>#REF!*KeyInputs!#REF!</f>
        <v>#REF!</v>
      </c>
      <c r="P19" s="27"/>
      <c r="Q19" s="27" t="e">
        <f>#REF!*KeyInputs!#REF!</f>
        <v>#REF!</v>
      </c>
      <c r="R19" s="27" t="e">
        <f>#REF!*KeyInputs!#REF!</f>
        <v>#REF!</v>
      </c>
      <c r="S19" s="27" t="e">
        <f>#REF!*KeyInputs!#REF!</f>
        <v>#REF!</v>
      </c>
      <c r="T19" s="27" t="e">
        <f>#REF!*KeyInputs!#REF!</f>
        <v>#REF!</v>
      </c>
      <c r="U19" s="27" t="e">
        <f>#REF!*KeyInputs!#REF!</f>
        <v>#REF!</v>
      </c>
      <c r="V19" s="25"/>
      <c r="W19" s="25"/>
      <c r="X19" s="25"/>
      <c r="Y19" s="25"/>
      <c r="Z19" s="25"/>
      <c r="AA19" s="25"/>
      <c r="AB19" s="27" t="e">
        <f>#REF!*KeyInputs!#REF!</f>
        <v>#REF!</v>
      </c>
      <c r="AC19" s="27"/>
      <c r="AD19" s="27" t="e">
        <f>#REF!*KeyInputs!#REF!</f>
        <v>#REF!</v>
      </c>
      <c r="AE19" s="27" t="e">
        <f>#REF!*KeyInputs!#REF!</f>
        <v>#REF!</v>
      </c>
      <c r="AF19" s="27" t="e">
        <f>#REF!*KeyInputs!#REF!</f>
        <v>#REF!</v>
      </c>
      <c r="AG19" s="27" t="e">
        <f>#REF!*KeyInputs!#REF!</f>
        <v>#REF!</v>
      </c>
      <c r="AH19" s="27" t="e">
        <f>#REF!*KeyInputs!#REF!</f>
        <v>#REF!</v>
      </c>
      <c r="AI19" s="25"/>
      <c r="AJ19" s="25"/>
      <c r="AK19" s="25"/>
      <c r="AL19" s="25"/>
      <c r="AM19" s="25"/>
      <c r="AN19" s="25"/>
      <c r="AO19" s="27" t="e">
        <f>#REF!*KeyInputs!#REF!</f>
        <v>#REF!</v>
      </c>
    </row>
    <row r="20" spans="1:41" x14ac:dyDescent="0.3">
      <c r="A20" s="25"/>
      <c r="B20" s="25"/>
      <c r="C20" s="25" t="e">
        <f>SUM(C7:C19)</f>
        <v>#REF!</v>
      </c>
      <c r="D20" s="25" t="e">
        <f t="shared" ref="D20:O20" si="0">SUM(D7:D19)</f>
        <v>#REF!</v>
      </c>
      <c r="E20" s="25" t="e">
        <f t="shared" si="0"/>
        <v>#REF!</v>
      </c>
      <c r="F20" s="25" t="e">
        <f t="shared" si="0"/>
        <v>#REF!</v>
      </c>
      <c r="G20" s="25" t="e">
        <f t="shared" si="0"/>
        <v>#REF!</v>
      </c>
      <c r="H20" s="25" t="e">
        <f t="shared" si="0"/>
        <v>#REF!</v>
      </c>
      <c r="I20" s="25" t="e">
        <f t="shared" si="0"/>
        <v>#REF!</v>
      </c>
      <c r="J20" s="25" t="e">
        <f t="shared" si="0"/>
        <v>#REF!</v>
      </c>
      <c r="K20" s="25" t="e">
        <f t="shared" si="0"/>
        <v>#REF!</v>
      </c>
      <c r="L20" s="25" t="e">
        <f t="shared" si="0"/>
        <v>#REF!</v>
      </c>
      <c r="M20" s="25" t="e">
        <f t="shared" si="0"/>
        <v>#REF!</v>
      </c>
      <c r="N20" s="25" t="e">
        <f t="shared" si="0"/>
        <v>#REF!</v>
      </c>
      <c r="O20" s="25" t="e">
        <f t="shared" si="0"/>
        <v>#REF!</v>
      </c>
      <c r="Q20" s="25" t="e">
        <f t="shared" ref="Q20:AB20" si="1">SUM(Q7:Q19)</f>
        <v>#REF!</v>
      </c>
      <c r="R20" s="25" t="e">
        <f t="shared" si="1"/>
        <v>#REF!</v>
      </c>
      <c r="S20" s="25" t="e">
        <f t="shared" si="1"/>
        <v>#REF!</v>
      </c>
      <c r="T20" s="25" t="e">
        <f t="shared" si="1"/>
        <v>#REF!</v>
      </c>
      <c r="U20" s="25" t="e">
        <f t="shared" si="1"/>
        <v>#REF!</v>
      </c>
      <c r="V20" s="25" t="e">
        <f t="shared" si="1"/>
        <v>#REF!</v>
      </c>
      <c r="W20" s="25" t="e">
        <f t="shared" si="1"/>
        <v>#REF!</v>
      </c>
      <c r="X20" s="25" t="e">
        <f t="shared" si="1"/>
        <v>#REF!</v>
      </c>
      <c r="Y20" s="25" t="e">
        <f t="shared" si="1"/>
        <v>#REF!</v>
      </c>
      <c r="Z20" s="25" t="e">
        <f t="shared" si="1"/>
        <v>#REF!</v>
      </c>
      <c r="AA20" s="25" t="e">
        <f t="shared" si="1"/>
        <v>#REF!</v>
      </c>
      <c r="AB20" s="25" t="e">
        <f t="shared" si="1"/>
        <v>#REF!</v>
      </c>
      <c r="AD20" s="25" t="e">
        <f t="shared" ref="AD20:AO20" si="2">SUM(AD7:AD19)</f>
        <v>#REF!</v>
      </c>
      <c r="AE20" s="25" t="e">
        <f t="shared" si="2"/>
        <v>#REF!</v>
      </c>
      <c r="AF20" s="25" t="e">
        <f t="shared" si="2"/>
        <v>#REF!</v>
      </c>
      <c r="AG20" s="25" t="e">
        <f t="shared" si="2"/>
        <v>#REF!</v>
      </c>
      <c r="AH20" s="25" t="e">
        <f t="shared" si="2"/>
        <v>#REF!</v>
      </c>
      <c r="AI20" s="25" t="e">
        <f t="shared" si="2"/>
        <v>#REF!</v>
      </c>
      <c r="AJ20" s="25" t="e">
        <f t="shared" si="2"/>
        <v>#REF!</v>
      </c>
      <c r="AK20" s="25" t="e">
        <f t="shared" si="2"/>
        <v>#REF!</v>
      </c>
      <c r="AL20" s="25" t="e">
        <f t="shared" si="2"/>
        <v>#REF!</v>
      </c>
      <c r="AM20" s="25" t="e">
        <f t="shared" si="2"/>
        <v>#REF!</v>
      </c>
      <c r="AN20" s="25" t="e">
        <f t="shared" si="2"/>
        <v>#REF!</v>
      </c>
      <c r="AO20" s="25" t="e">
        <f t="shared" si="2"/>
        <v>#REF!</v>
      </c>
    </row>
    <row r="21" spans="1:41" x14ac:dyDescent="0.3">
      <c r="A21" s="25"/>
      <c r="B21" s="25"/>
      <c r="C21" s="25"/>
      <c r="D21" s="25"/>
      <c r="E21" s="25"/>
      <c r="F21" s="25"/>
      <c r="G21" s="25"/>
      <c r="H21" s="25"/>
      <c r="I21" s="25"/>
      <c r="J21" s="25"/>
      <c r="K21" s="25"/>
      <c r="L21" s="25"/>
      <c r="M21" s="25"/>
      <c r="N21" s="25"/>
      <c r="O21" s="25"/>
    </row>
    <row r="23" spans="1:41" x14ac:dyDescent="0.3">
      <c r="C23" s="27"/>
      <c r="D23" s="27"/>
      <c r="E23" s="27"/>
      <c r="F23" s="27"/>
      <c r="G23" s="27"/>
      <c r="H23" s="27"/>
      <c r="I23" s="25"/>
      <c r="J23" s="25"/>
      <c r="K23" s="25"/>
      <c r="L23" s="25"/>
      <c r="M23" s="25"/>
      <c r="N23" s="25"/>
      <c r="O23" s="25"/>
    </row>
    <row r="24" spans="1:41" x14ac:dyDescent="0.3">
      <c r="C24" s="27"/>
      <c r="D24" s="27"/>
      <c r="E24" s="27"/>
      <c r="F24" s="27"/>
      <c r="G24" s="27"/>
      <c r="H24" s="27"/>
      <c r="I24" s="27"/>
      <c r="J24" s="25"/>
      <c r="K24" s="25"/>
      <c r="L24" s="25"/>
      <c r="M24" s="25"/>
      <c r="N24" s="25"/>
      <c r="O24" s="25"/>
    </row>
    <row r="25" spans="1:41" x14ac:dyDescent="0.3">
      <c r="C25" s="27"/>
      <c r="D25" s="27"/>
      <c r="E25" s="27"/>
      <c r="F25" s="27"/>
      <c r="G25" s="27"/>
      <c r="H25" s="27"/>
      <c r="I25" s="27"/>
      <c r="J25" s="27"/>
      <c r="K25" s="25"/>
      <c r="L25" s="25"/>
      <c r="M25" s="25"/>
      <c r="N25" s="25"/>
      <c r="O25" s="25"/>
    </row>
    <row r="26" spans="1:41" x14ac:dyDescent="0.3">
      <c r="C26" s="27"/>
      <c r="D26" s="27"/>
      <c r="E26" s="25"/>
      <c r="F26" s="27"/>
      <c r="G26" s="27"/>
      <c r="H26" s="27"/>
      <c r="I26" s="27"/>
      <c r="J26" s="27"/>
      <c r="K26" s="27"/>
      <c r="L26" s="25"/>
      <c r="M26" s="25"/>
      <c r="N26" s="25"/>
      <c r="O26" s="25"/>
    </row>
    <row r="27" spans="1:41" x14ac:dyDescent="0.3">
      <c r="C27" s="27"/>
      <c r="D27" s="27"/>
      <c r="E27" s="25"/>
      <c r="F27" s="25"/>
      <c r="G27" s="27"/>
      <c r="H27" s="27"/>
      <c r="I27" s="27"/>
      <c r="J27" s="27"/>
      <c r="K27" s="27"/>
      <c r="L27" s="27"/>
      <c r="M27" s="25"/>
      <c r="N27" s="25"/>
      <c r="O27" s="25"/>
    </row>
    <row r="28" spans="1:41" x14ac:dyDescent="0.3">
      <c r="C28" s="27"/>
      <c r="D28" s="27"/>
      <c r="E28" s="25"/>
      <c r="F28" s="25"/>
      <c r="G28" s="25"/>
      <c r="H28" s="27"/>
      <c r="I28" s="27"/>
      <c r="J28" s="27"/>
      <c r="K28" s="27"/>
      <c r="L28" s="27"/>
      <c r="M28" s="27"/>
      <c r="N28" s="25"/>
      <c r="O28" s="25"/>
    </row>
    <row r="29" spans="1:41" x14ac:dyDescent="0.3">
      <c r="C29" s="27"/>
      <c r="D29" s="27"/>
      <c r="E29" s="25"/>
      <c r="F29" s="25"/>
      <c r="G29" s="25"/>
      <c r="H29" s="25"/>
      <c r="I29" s="27"/>
      <c r="J29" s="27"/>
      <c r="K29" s="27"/>
      <c r="L29" s="27"/>
      <c r="M29" s="27"/>
      <c r="N29" s="27"/>
      <c r="O29" s="25"/>
    </row>
    <row r="30" spans="1:41" x14ac:dyDescent="0.3">
      <c r="C30" s="27"/>
      <c r="D30" s="27"/>
      <c r="E30" s="25"/>
      <c r="F30" s="25"/>
      <c r="G30" s="25"/>
      <c r="H30" s="25"/>
      <c r="I30" s="25"/>
      <c r="J30" s="27"/>
      <c r="K30" s="27"/>
      <c r="L30" s="27"/>
      <c r="M30" s="27"/>
      <c r="N30" s="27"/>
      <c r="O30" s="27"/>
    </row>
    <row r="31" spans="1:41" x14ac:dyDescent="0.3">
      <c r="C31" s="27"/>
      <c r="D31" s="27"/>
      <c r="E31" s="25"/>
      <c r="F31" s="25"/>
      <c r="G31" s="25"/>
      <c r="H31" s="25"/>
      <c r="I31" s="25"/>
      <c r="J31" s="25"/>
      <c r="K31" s="27"/>
      <c r="L31" s="27"/>
      <c r="M31" s="27"/>
      <c r="N31" s="27"/>
      <c r="O31" s="27"/>
      <c r="P31" s="27"/>
    </row>
    <row r="32" spans="1:41" x14ac:dyDescent="0.3">
      <c r="C32" s="27"/>
      <c r="D32" s="27"/>
      <c r="E32" s="25"/>
      <c r="F32" s="25"/>
      <c r="G32" s="25"/>
      <c r="H32" s="25"/>
      <c r="I32" s="25"/>
      <c r="J32" s="25"/>
      <c r="K32" s="25"/>
      <c r="L32" s="27"/>
      <c r="M32" s="27"/>
      <c r="N32" s="27"/>
      <c r="O32" s="27"/>
      <c r="P32" s="27"/>
      <c r="Q32" s="27"/>
    </row>
    <row r="33" spans="3:15" x14ac:dyDescent="0.3">
      <c r="C33" s="27"/>
      <c r="D33" s="27"/>
      <c r="E33" s="25"/>
      <c r="F33" s="25"/>
      <c r="G33" s="25"/>
      <c r="H33" s="25"/>
      <c r="I33" s="25"/>
      <c r="J33" s="25"/>
      <c r="K33" s="25"/>
      <c r="L33" s="25"/>
      <c r="M33" s="27"/>
      <c r="N33" s="27"/>
      <c r="O33" s="27"/>
    </row>
    <row r="34" spans="3:15" x14ac:dyDescent="0.3">
      <c r="C34" s="27"/>
      <c r="D34" s="27"/>
      <c r="E34" s="25"/>
      <c r="F34" s="25"/>
      <c r="G34" s="25"/>
      <c r="H34" s="25"/>
      <c r="I34" s="25"/>
      <c r="J34" s="25"/>
      <c r="K34" s="25"/>
      <c r="L34" s="25"/>
      <c r="M34" s="25"/>
      <c r="N34" s="27"/>
      <c r="O34" s="27"/>
    </row>
    <row r="35" spans="3:15" x14ac:dyDescent="0.3">
      <c r="C35" s="27"/>
      <c r="D35" s="27"/>
      <c r="E35" s="25"/>
      <c r="F35" s="25"/>
      <c r="G35" s="25"/>
      <c r="H35" s="25"/>
      <c r="I35" s="25"/>
      <c r="J35" s="25"/>
      <c r="K35" s="25"/>
      <c r="L35" s="25"/>
      <c r="M35" s="25"/>
      <c r="N35" s="25"/>
      <c r="O35" s="27"/>
    </row>
  </sheetData>
  <mergeCells count="3">
    <mergeCell ref="AD4:AO4"/>
    <mergeCell ref="D4:O4"/>
    <mergeCell ref="Q4:AB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8"/>
  <dimension ref="A1:AO35"/>
  <sheetViews>
    <sheetView workbookViewId="0">
      <pane xSplit="3" ySplit="5" topLeftCell="D6" activePane="bottomRight" state="frozen"/>
      <selection pane="topRight" activeCell="D1" sqref="D1"/>
      <selection pane="bottomLeft" activeCell="A6" sqref="A6"/>
      <selection pane="bottomRight" activeCell="D7" sqref="D7"/>
    </sheetView>
  </sheetViews>
  <sheetFormatPr defaultColWidth="8.88671875" defaultRowHeight="14.4" x14ac:dyDescent="0.3"/>
  <cols>
    <col min="1" max="1" width="2.44140625" customWidth="1"/>
    <col min="2" max="2" width="22" customWidth="1"/>
    <col min="3" max="3" width="9.44140625" customWidth="1"/>
  </cols>
  <sheetData>
    <row r="1" spans="1:41" ht="18" x14ac:dyDescent="0.35">
      <c r="A1" s="4">
        <f>KeyInputs!F14</f>
        <v>0</v>
      </c>
    </row>
    <row r="2" spans="1:41" ht="18" x14ac:dyDescent="0.35">
      <c r="A2" s="4" t="str">
        <f>KeyInputs!F22</f>
        <v>Insert Product Group 1</v>
      </c>
      <c r="D2" t="s">
        <v>80</v>
      </c>
    </row>
    <row r="4" spans="1:41" x14ac:dyDescent="0.3">
      <c r="D4" s="336">
        <f>KeyInputs!$F$17</f>
        <v>42005</v>
      </c>
      <c r="E4" s="337"/>
      <c r="F4" s="337"/>
      <c r="G4" s="337"/>
      <c r="H4" s="337"/>
      <c r="I4" s="337"/>
      <c r="J4" s="337"/>
      <c r="K4" s="337"/>
      <c r="L4" s="337"/>
      <c r="M4" s="337"/>
      <c r="N4" s="337"/>
      <c r="O4" s="338"/>
      <c r="Q4" s="336">
        <f>KeyInputs!$F$17+1</f>
        <v>42006</v>
      </c>
      <c r="R4" s="337"/>
      <c r="S4" s="337"/>
      <c r="T4" s="337"/>
      <c r="U4" s="337"/>
      <c r="V4" s="337"/>
      <c r="W4" s="337"/>
      <c r="X4" s="337"/>
      <c r="Y4" s="337"/>
      <c r="Z4" s="337"/>
      <c r="AA4" s="337"/>
      <c r="AB4" s="338"/>
      <c r="AD4" s="336">
        <f>KeyInputs!$F$17+2</f>
        <v>42007</v>
      </c>
      <c r="AE4" s="337"/>
      <c r="AF4" s="337"/>
      <c r="AG4" s="337"/>
      <c r="AH4" s="337"/>
      <c r="AI4" s="337"/>
      <c r="AJ4" s="337"/>
      <c r="AK4" s="337"/>
      <c r="AL4" s="337"/>
      <c r="AM4" s="337"/>
      <c r="AN4" s="337"/>
      <c r="AO4" s="338"/>
    </row>
    <row r="5" spans="1:41" x14ac:dyDescent="0.3">
      <c r="C5" s="28" t="s">
        <v>70</v>
      </c>
      <c r="D5" s="31" t="e">
        <f>KeyInputs!#REF!</f>
        <v>#REF!</v>
      </c>
      <c r="E5" s="32" t="e">
        <f ca="1">OFFSET(Worksheet!$A$14,,(HLOOKUP(KeyInputs!#REF!,Worksheet!$A$14:$L$15,2,FALSE)))</f>
        <v>#REF!</v>
      </c>
      <c r="F5" s="32" t="e">
        <f ca="1">OFFSET(Worksheet!$A$14,,(HLOOKUP(KeyInputs!#REF!,Worksheet!$A$14:$L$15,2,FALSE))+Worksheet!$A$15)</f>
        <v>#REF!</v>
      </c>
      <c r="G5" s="32" t="e">
        <f ca="1">OFFSET(Worksheet!$A$14,,(HLOOKUP(KeyInputs!#REF!,Worksheet!$A$14:$L$15,2,FALSE))+Worksheet!$B$15)</f>
        <v>#REF!</v>
      </c>
      <c r="H5" s="32" t="e">
        <f ca="1">OFFSET(Worksheet!$A$14,,(HLOOKUP(KeyInputs!#REF!,Worksheet!$A$14:$L$15,2,FALSE))+Worksheet!$C$15)</f>
        <v>#REF!</v>
      </c>
      <c r="I5" s="32" t="e">
        <f ca="1">OFFSET(Worksheet!$A$14,,(HLOOKUP(KeyInputs!#REF!,Worksheet!$A$14:$L$15,2,FALSE))+Worksheet!$D$15)</f>
        <v>#REF!</v>
      </c>
      <c r="J5" s="32" t="e">
        <f ca="1">OFFSET(Worksheet!$A$14,,(HLOOKUP(KeyInputs!#REF!,Worksheet!$A$14:$L$15,2,FALSE))+Worksheet!$E$15)</f>
        <v>#REF!</v>
      </c>
      <c r="K5" s="32" t="e">
        <f ca="1">OFFSET(Worksheet!$A$14,,(HLOOKUP(KeyInputs!#REF!,Worksheet!$A$14:$L$15,2,FALSE))+Worksheet!$F$15)</f>
        <v>#REF!</v>
      </c>
      <c r="L5" s="32" t="e">
        <f ca="1">OFFSET(Worksheet!$A$14,,(HLOOKUP(KeyInputs!#REF!,Worksheet!$A$14:$L$15,2,FALSE))+Worksheet!$G$15)</f>
        <v>#REF!</v>
      </c>
      <c r="M5" s="32" t="e">
        <f ca="1">OFFSET(Worksheet!$A$14,,(HLOOKUP(KeyInputs!#REF!,Worksheet!$A$14:$L$15,2,FALSE))+Worksheet!$H$15)</f>
        <v>#REF!</v>
      </c>
      <c r="N5" s="32" t="e">
        <f ca="1">OFFSET(Worksheet!$A$14,,(HLOOKUP(KeyInputs!#REF!,Worksheet!$A$14:$L$15,2,FALSE))+Worksheet!$I$15)</f>
        <v>#REF!</v>
      </c>
      <c r="O5" s="32" t="e">
        <f ca="1">OFFSET(Worksheet!$A$14,,(HLOOKUP(KeyInputs!#REF!,Worksheet!$A$14:$L$15,2,FALSE))+Worksheet!$J$15)</f>
        <v>#REF!</v>
      </c>
      <c r="Q5" s="31" t="e">
        <f>KeyInputs!#REF!</f>
        <v>#REF!</v>
      </c>
      <c r="R5" s="32" t="e">
        <f ca="1">OFFSET(Worksheet!$A$14,,(HLOOKUP(KeyInputs!#REF!,Worksheet!$A$14:$L$15,2,FALSE)))</f>
        <v>#REF!</v>
      </c>
      <c r="S5" s="32" t="e">
        <f ca="1">OFFSET(Worksheet!$A$14,,(HLOOKUP(KeyInputs!#REF!,Worksheet!$A$14:$L$15,2,FALSE))+Worksheet!$A$15)</f>
        <v>#REF!</v>
      </c>
      <c r="T5" s="32" t="e">
        <f ca="1">OFFSET(Worksheet!$A$14,,(HLOOKUP(KeyInputs!#REF!,Worksheet!$A$14:$L$15,2,FALSE))+Worksheet!$B$15)</f>
        <v>#REF!</v>
      </c>
      <c r="U5" s="32" t="e">
        <f ca="1">OFFSET(Worksheet!$A$14,,(HLOOKUP(KeyInputs!#REF!,Worksheet!$A$14:$L$15,2,FALSE))+Worksheet!$C$15)</f>
        <v>#REF!</v>
      </c>
      <c r="V5" s="32" t="e">
        <f ca="1">OFFSET(Worksheet!$A$14,,(HLOOKUP(KeyInputs!#REF!,Worksheet!$A$14:$L$15,2,FALSE))+Worksheet!$D$15)</f>
        <v>#REF!</v>
      </c>
      <c r="W5" s="32" t="e">
        <f ca="1">OFFSET(Worksheet!$A$14,,(HLOOKUP(KeyInputs!#REF!,Worksheet!$A$14:$L$15,2,FALSE))+Worksheet!$E$15)</f>
        <v>#REF!</v>
      </c>
      <c r="X5" s="32" t="e">
        <f ca="1">OFFSET(Worksheet!$A$14,,(HLOOKUP(KeyInputs!#REF!,Worksheet!$A$14:$L$15,2,FALSE))+Worksheet!$F$15)</f>
        <v>#REF!</v>
      </c>
      <c r="Y5" s="32" t="e">
        <f ca="1">OFFSET(Worksheet!$A$14,,(HLOOKUP(KeyInputs!#REF!,Worksheet!$A$14:$L$15,2,FALSE))+Worksheet!$G$15)</f>
        <v>#REF!</v>
      </c>
      <c r="Z5" s="32" t="e">
        <f ca="1">OFFSET(Worksheet!$A$14,,(HLOOKUP(KeyInputs!#REF!,Worksheet!$A$14:$L$15,2,FALSE))+Worksheet!$H$15)</f>
        <v>#REF!</v>
      </c>
      <c r="AA5" s="32" t="e">
        <f ca="1">OFFSET(Worksheet!$A$14,,(HLOOKUP(KeyInputs!#REF!,Worksheet!$A$14:$L$15,2,FALSE))+Worksheet!$I$15)</f>
        <v>#REF!</v>
      </c>
      <c r="AB5" s="32" t="e">
        <f ca="1">OFFSET(Worksheet!$A$14,,(HLOOKUP(KeyInputs!#REF!,Worksheet!$A$14:$L$15,2,FALSE))+Worksheet!$J$15)</f>
        <v>#REF!</v>
      </c>
      <c r="AD5" s="31" t="e">
        <f>KeyInputs!#REF!</f>
        <v>#REF!</v>
      </c>
      <c r="AE5" s="32" t="e">
        <f ca="1">OFFSET(Worksheet!$A$14,,(HLOOKUP(KeyInputs!#REF!,Worksheet!$A$14:$L$15,2,FALSE)))</f>
        <v>#REF!</v>
      </c>
      <c r="AF5" s="32" t="e">
        <f ca="1">OFFSET(Worksheet!$A$14,,(HLOOKUP(KeyInputs!#REF!,Worksheet!$A$14:$L$15,2,FALSE))+Worksheet!$A$15)</f>
        <v>#REF!</v>
      </c>
      <c r="AG5" s="32" t="e">
        <f ca="1">OFFSET(Worksheet!$A$14,,(HLOOKUP(KeyInputs!#REF!,Worksheet!$A$14:$L$15,2,FALSE))+Worksheet!$B$15)</f>
        <v>#REF!</v>
      </c>
      <c r="AH5" s="32" t="e">
        <f ca="1">OFFSET(Worksheet!$A$14,,(HLOOKUP(KeyInputs!#REF!,Worksheet!$A$14:$L$15,2,FALSE))+Worksheet!$C$15)</f>
        <v>#REF!</v>
      </c>
      <c r="AI5" s="32" t="e">
        <f ca="1">OFFSET(Worksheet!$A$14,,(HLOOKUP(KeyInputs!#REF!,Worksheet!$A$14:$L$15,2,FALSE))+Worksheet!$D$15)</f>
        <v>#REF!</v>
      </c>
      <c r="AJ5" s="32" t="e">
        <f ca="1">OFFSET(Worksheet!$A$14,,(HLOOKUP(KeyInputs!#REF!,Worksheet!$A$14:$L$15,2,FALSE))+Worksheet!$E$15)</f>
        <v>#REF!</v>
      </c>
      <c r="AK5" s="32" t="e">
        <f ca="1">OFFSET(Worksheet!$A$14,,(HLOOKUP(KeyInputs!#REF!,Worksheet!$A$14:$L$15,2,FALSE))+Worksheet!$F$15)</f>
        <v>#REF!</v>
      </c>
      <c r="AL5" s="32" t="e">
        <f ca="1">OFFSET(Worksheet!$A$14,,(HLOOKUP(KeyInputs!#REF!,Worksheet!$A$14:$L$15,2,FALSE))+Worksheet!$G$15)</f>
        <v>#REF!</v>
      </c>
      <c r="AM5" s="32" t="e">
        <f ca="1">OFFSET(Worksheet!$A$14,,(HLOOKUP(KeyInputs!#REF!,Worksheet!$A$14:$L$15,2,FALSE))+Worksheet!$H$15)</f>
        <v>#REF!</v>
      </c>
      <c r="AN5" s="32" t="e">
        <f ca="1">OFFSET(Worksheet!$A$14,,(HLOOKUP(KeyInputs!#REF!,Worksheet!$A$14:$L$15,2,FALSE))+Worksheet!$I$15)</f>
        <v>#REF!</v>
      </c>
      <c r="AO5" s="32" t="e">
        <f ca="1">OFFSET(Worksheet!$A$14,,(HLOOKUP(KeyInputs!#REF!,Worksheet!$A$14:$L$15,2,FALSE))+Worksheet!$J$15)</f>
        <v>#REF!</v>
      </c>
    </row>
    <row r="6" spans="1:41" x14ac:dyDescent="0.3">
      <c r="A6" s="30"/>
      <c r="B6" s="25"/>
      <c r="C6" s="25"/>
      <c r="D6" s="25"/>
      <c r="E6" s="25"/>
      <c r="F6" s="25"/>
      <c r="G6" s="25"/>
      <c r="H6" s="25"/>
      <c r="I6" s="25"/>
      <c r="J6" s="25"/>
      <c r="K6" s="25"/>
      <c r="L6" s="25"/>
      <c r="M6" s="25"/>
      <c r="N6" s="25"/>
      <c r="O6" s="25"/>
      <c r="Q6" s="25"/>
      <c r="R6" s="25"/>
      <c r="S6" s="25"/>
      <c r="T6" s="25"/>
      <c r="U6" s="25"/>
      <c r="V6" s="25"/>
      <c r="W6" s="25"/>
      <c r="X6" s="25"/>
      <c r="Y6" s="25"/>
      <c r="Z6" s="25"/>
      <c r="AA6" s="25"/>
      <c r="AB6" s="25"/>
      <c r="AD6" s="25"/>
      <c r="AE6" s="25"/>
      <c r="AF6" s="25"/>
      <c r="AG6" s="25"/>
      <c r="AH6" s="25"/>
      <c r="AI6" s="25"/>
      <c r="AJ6" s="25"/>
      <c r="AK6" s="25"/>
      <c r="AL6" s="25"/>
      <c r="AM6" s="25"/>
      <c r="AN6" s="25"/>
      <c r="AO6" s="25"/>
    </row>
    <row r="7" spans="1:41" x14ac:dyDescent="0.3">
      <c r="A7" s="25"/>
      <c r="B7" s="25" t="s">
        <v>81</v>
      </c>
      <c r="C7" s="27" t="e">
        <f>#REF!*KeyInputs!#REF!</f>
        <v>#REF!</v>
      </c>
      <c r="D7" s="27" t="e">
        <f>#REF!*KeyInputs!#REF!</f>
        <v>#REF!</v>
      </c>
      <c r="E7" s="27" t="e">
        <f>#REF!*KeyInputs!#REF!</f>
        <v>#REF!</v>
      </c>
      <c r="F7" s="27" t="e">
        <f>#REF!*KeyInputs!#REF!</f>
        <v>#REF!</v>
      </c>
      <c r="G7" s="27" t="e">
        <f>#REF!*KeyInputs!#REF!</f>
        <v>#REF!</v>
      </c>
      <c r="H7" s="27" t="e">
        <f>#REF!*KeyInputs!#REF!</f>
        <v>#REF!</v>
      </c>
      <c r="I7" s="25"/>
      <c r="J7" s="25"/>
      <c r="K7" s="25"/>
      <c r="L7" s="25"/>
      <c r="M7" s="25"/>
      <c r="N7" s="25"/>
      <c r="O7" s="25"/>
      <c r="Q7" s="27"/>
      <c r="R7" s="27"/>
      <c r="S7" s="27"/>
      <c r="T7" s="27"/>
      <c r="U7" s="27"/>
      <c r="V7" s="25"/>
      <c r="W7" s="25"/>
      <c r="X7" s="25"/>
      <c r="Y7" s="25"/>
      <c r="Z7" s="25"/>
      <c r="AA7" s="25"/>
      <c r="AB7" s="25"/>
      <c r="AD7" s="27"/>
      <c r="AE7" s="27"/>
      <c r="AF7" s="27"/>
      <c r="AG7" s="27"/>
      <c r="AH7" s="27"/>
      <c r="AI7" s="25"/>
      <c r="AJ7" s="25"/>
      <c r="AK7" s="25"/>
      <c r="AL7" s="25"/>
      <c r="AM7" s="25"/>
      <c r="AN7" s="25"/>
      <c r="AO7" s="25"/>
    </row>
    <row r="8" spans="1:41" x14ac:dyDescent="0.3">
      <c r="A8" s="25"/>
      <c r="B8" s="39" t="e">
        <f>D5</f>
        <v>#REF!</v>
      </c>
      <c r="C8" s="27"/>
      <c r="D8" s="27" t="e">
        <f>#REF!*KeyInputs!#REF!</f>
        <v>#REF!</v>
      </c>
      <c r="E8" s="27" t="e">
        <f>#REF!*KeyInputs!#REF!</f>
        <v>#REF!</v>
      </c>
      <c r="F8" s="27" t="e">
        <f>#REF!*KeyInputs!#REF!</f>
        <v>#REF!</v>
      </c>
      <c r="G8" s="27" t="e">
        <f>#REF!*KeyInputs!#REF!</f>
        <v>#REF!</v>
      </c>
      <c r="H8" s="27" t="e">
        <f>#REF!*KeyInputs!#REF!</f>
        <v>#REF!</v>
      </c>
      <c r="I8" s="27" t="e">
        <f>#REF!*KeyInputs!#REF!</f>
        <v>#REF!</v>
      </c>
      <c r="J8" s="25"/>
      <c r="K8" s="25"/>
      <c r="L8" s="25"/>
      <c r="M8" s="25"/>
      <c r="N8" s="25"/>
      <c r="O8" s="25"/>
      <c r="Q8" s="27" t="e">
        <f>#REF!*KeyInputs!#REF!</f>
        <v>#REF!</v>
      </c>
      <c r="R8" s="27" t="e">
        <f>#REF!*KeyInputs!#REF!</f>
        <v>#REF!</v>
      </c>
      <c r="S8" s="27" t="e">
        <f>#REF!*KeyInputs!#REF!</f>
        <v>#REF!</v>
      </c>
      <c r="T8" s="27" t="e">
        <f>#REF!*KeyInputs!#REF!</f>
        <v>#REF!</v>
      </c>
      <c r="U8" s="27" t="e">
        <f>#REF!*KeyInputs!#REF!</f>
        <v>#REF!</v>
      </c>
      <c r="V8" s="27" t="e">
        <f>#REF!*KeyInputs!#REF!</f>
        <v>#REF!</v>
      </c>
      <c r="W8" s="25"/>
      <c r="X8" s="25"/>
      <c r="Y8" s="25"/>
      <c r="Z8" s="25"/>
      <c r="AA8" s="25"/>
      <c r="AB8" s="25"/>
      <c r="AD8" s="27" t="e">
        <f>#REF!*KeyInputs!#REF!</f>
        <v>#REF!</v>
      </c>
      <c r="AE8" s="27" t="e">
        <f>#REF!*KeyInputs!#REF!</f>
        <v>#REF!</v>
      </c>
      <c r="AF8" s="27" t="e">
        <f>#REF!*KeyInputs!#REF!</f>
        <v>#REF!</v>
      </c>
      <c r="AG8" s="27" t="e">
        <f>#REF!*KeyInputs!#REF!</f>
        <v>#REF!</v>
      </c>
      <c r="AH8" s="27" t="e">
        <f>#REF!*KeyInputs!#REF!</f>
        <v>#REF!</v>
      </c>
      <c r="AI8" s="27" t="e">
        <f>#REF!*KeyInputs!#REF!</f>
        <v>#REF!</v>
      </c>
      <c r="AJ8" s="25"/>
      <c r="AK8" s="25"/>
      <c r="AL8" s="25"/>
      <c r="AM8" s="25"/>
      <c r="AN8" s="25"/>
      <c r="AO8" s="25"/>
    </row>
    <row r="9" spans="1:41" x14ac:dyDescent="0.3">
      <c r="A9" s="25"/>
      <c r="B9" s="25" t="e">
        <f ca="1">E5</f>
        <v>#REF!</v>
      </c>
      <c r="C9" s="27"/>
      <c r="D9" s="27"/>
      <c r="E9" s="27" t="e">
        <f>#REF!*KeyInputs!#REF!</f>
        <v>#REF!</v>
      </c>
      <c r="F9" s="27" t="e">
        <f>#REF!*KeyInputs!#REF!</f>
        <v>#REF!</v>
      </c>
      <c r="G9" s="27" t="e">
        <f>#REF!*KeyInputs!#REF!</f>
        <v>#REF!</v>
      </c>
      <c r="H9" s="27" t="e">
        <f>#REF!*KeyInputs!#REF!</f>
        <v>#REF!</v>
      </c>
      <c r="I9" s="27" t="e">
        <f>#REF!*KeyInputs!#REF!</f>
        <v>#REF!</v>
      </c>
      <c r="J9" s="27" t="e">
        <f>#REF!*KeyInputs!#REF!</f>
        <v>#REF!</v>
      </c>
      <c r="K9" s="25"/>
      <c r="L9" s="25"/>
      <c r="M9" s="25"/>
      <c r="N9" s="25"/>
      <c r="O9" s="25"/>
      <c r="Q9" s="27"/>
      <c r="R9" s="27" t="e">
        <f>#REF!*KeyInputs!#REF!</f>
        <v>#REF!</v>
      </c>
      <c r="S9" s="27" t="e">
        <f>#REF!*KeyInputs!#REF!</f>
        <v>#REF!</v>
      </c>
      <c r="T9" s="27" t="e">
        <f>#REF!*KeyInputs!#REF!</f>
        <v>#REF!</v>
      </c>
      <c r="U9" s="27" t="e">
        <f>#REF!*KeyInputs!#REF!</f>
        <v>#REF!</v>
      </c>
      <c r="V9" s="27" t="e">
        <f>#REF!*KeyInputs!#REF!</f>
        <v>#REF!</v>
      </c>
      <c r="W9" s="27" t="e">
        <f>#REF!*KeyInputs!#REF!</f>
        <v>#REF!</v>
      </c>
      <c r="X9" s="25"/>
      <c r="Y9" s="25"/>
      <c r="Z9" s="25"/>
      <c r="AA9" s="25"/>
      <c r="AB9" s="25"/>
      <c r="AD9" s="27"/>
      <c r="AE9" s="27" t="e">
        <f>#REF!*KeyInputs!#REF!</f>
        <v>#REF!</v>
      </c>
      <c r="AF9" s="27" t="e">
        <f>#REF!*KeyInputs!#REF!</f>
        <v>#REF!</v>
      </c>
      <c r="AG9" s="27" t="e">
        <f>#REF!*KeyInputs!#REF!</f>
        <v>#REF!</v>
      </c>
      <c r="AH9" s="27" t="e">
        <f>#REF!*KeyInputs!#REF!</f>
        <v>#REF!</v>
      </c>
      <c r="AI9" s="27" t="e">
        <f>#REF!*KeyInputs!#REF!</f>
        <v>#REF!</v>
      </c>
      <c r="AJ9" s="27" t="e">
        <f>#REF!*KeyInputs!#REF!</f>
        <v>#REF!</v>
      </c>
      <c r="AK9" s="25"/>
      <c r="AL9" s="25"/>
      <c r="AM9" s="25"/>
      <c r="AN9" s="25"/>
      <c r="AO9" s="25"/>
    </row>
    <row r="10" spans="1:41" x14ac:dyDescent="0.3">
      <c r="A10" s="25"/>
      <c r="B10" s="25" t="e">
        <f ca="1">F5</f>
        <v>#REF!</v>
      </c>
      <c r="C10" s="27"/>
      <c r="D10" s="27"/>
      <c r="E10" s="25"/>
      <c r="F10" s="27" t="e">
        <f>#REF!*KeyInputs!#REF!</f>
        <v>#REF!</v>
      </c>
      <c r="G10" s="27" t="e">
        <f>#REF!*KeyInputs!#REF!</f>
        <v>#REF!</v>
      </c>
      <c r="H10" s="27" t="e">
        <f>#REF!*KeyInputs!#REF!</f>
        <v>#REF!</v>
      </c>
      <c r="I10" s="27" t="e">
        <f>#REF!*KeyInputs!#REF!</f>
        <v>#REF!</v>
      </c>
      <c r="J10" s="27" t="e">
        <f>#REF!*KeyInputs!#REF!</f>
        <v>#REF!</v>
      </c>
      <c r="K10" s="27" t="e">
        <f>#REF!*KeyInputs!#REF!</f>
        <v>#REF!</v>
      </c>
      <c r="L10" s="25"/>
      <c r="M10" s="25"/>
      <c r="N10" s="25"/>
      <c r="O10" s="25"/>
      <c r="Q10" s="27"/>
      <c r="R10" s="25"/>
      <c r="S10" s="27" t="e">
        <f>#REF!*KeyInputs!#REF!</f>
        <v>#REF!</v>
      </c>
      <c r="T10" s="27" t="e">
        <f>#REF!*KeyInputs!#REF!</f>
        <v>#REF!</v>
      </c>
      <c r="U10" s="27" t="e">
        <f>#REF!*KeyInputs!#REF!</f>
        <v>#REF!</v>
      </c>
      <c r="V10" s="27" t="e">
        <f>#REF!*KeyInputs!#REF!</f>
        <v>#REF!</v>
      </c>
      <c r="W10" s="27" t="e">
        <f>#REF!*KeyInputs!#REF!</f>
        <v>#REF!</v>
      </c>
      <c r="X10" s="27" t="e">
        <f>#REF!*KeyInputs!#REF!</f>
        <v>#REF!</v>
      </c>
      <c r="Y10" s="25"/>
      <c r="Z10" s="25"/>
      <c r="AA10" s="25"/>
      <c r="AB10" s="25"/>
      <c r="AD10" s="27"/>
      <c r="AE10" s="25"/>
      <c r="AF10" s="27" t="e">
        <f>#REF!*KeyInputs!#REF!</f>
        <v>#REF!</v>
      </c>
      <c r="AG10" s="27" t="e">
        <f>#REF!*KeyInputs!#REF!</f>
        <v>#REF!</v>
      </c>
      <c r="AH10" s="27" t="e">
        <f>#REF!*KeyInputs!#REF!</f>
        <v>#REF!</v>
      </c>
      <c r="AI10" s="27" t="e">
        <f>#REF!*KeyInputs!#REF!</f>
        <v>#REF!</v>
      </c>
      <c r="AJ10" s="27" t="e">
        <f>#REF!*KeyInputs!#REF!</f>
        <v>#REF!</v>
      </c>
      <c r="AK10" s="27" t="e">
        <f>#REF!*KeyInputs!#REF!</f>
        <v>#REF!</v>
      </c>
      <c r="AL10" s="25"/>
      <c r="AM10" s="25"/>
      <c r="AN10" s="25"/>
      <c r="AO10" s="25"/>
    </row>
    <row r="11" spans="1:41" x14ac:dyDescent="0.3">
      <c r="A11" s="30"/>
      <c r="B11" s="25" t="e">
        <f ca="1">G5</f>
        <v>#REF!</v>
      </c>
      <c r="C11" s="27"/>
      <c r="D11" s="27"/>
      <c r="E11" s="25"/>
      <c r="F11" s="25"/>
      <c r="G11" s="27" t="e">
        <f>#REF!*KeyInputs!#REF!</f>
        <v>#REF!</v>
      </c>
      <c r="H11" s="27" t="e">
        <f>#REF!*KeyInputs!#REF!</f>
        <v>#REF!</v>
      </c>
      <c r="I11" s="27" t="e">
        <f>#REF!*KeyInputs!#REF!</f>
        <v>#REF!</v>
      </c>
      <c r="J11" s="27" t="e">
        <f>#REF!*KeyInputs!#REF!</f>
        <v>#REF!</v>
      </c>
      <c r="K11" s="27" t="e">
        <f>#REF!*KeyInputs!#REF!</f>
        <v>#REF!</v>
      </c>
      <c r="L11" s="27" t="e">
        <f>#REF!*KeyInputs!#REF!</f>
        <v>#REF!</v>
      </c>
      <c r="M11" s="25"/>
      <c r="N11" s="25"/>
      <c r="O11" s="25"/>
      <c r="Q11" s="27"/>
      <c r="R11" s="25"/>
      <c r="S11" s="25"/>
      <c r="T11" s="27" t="e">
        <f>#REF!*KeyInputs!#REF!</f>
        <v>#REF!</v>
      </c>
      <c r="U11" s="27" t="e">
        <f>#REF!*KeyInputs!#REF!</f>
        <v>#REF!</v>
      </c>
      <c r="V11" s="27" t="e">
        <f>#REF!*KeyInputs!#REF!</f>
        <v>#REF!</v>
      </c>
      <c r="W11" s="27" t="e">
        <f>#REF!*KeyInputs!#REF!</f>
        <v>#REF!</v>
      </c>
      <c r="X11" s="27" t="e">
        <f>#REF!*KeyInputs!#REF!</f>
        <v>#REF!</v>
      </c>
      <c r="Y11" s="27" t="e">
        <f>#REF!*KeyInputs!#REF!</f>
        <v>#REF!</v>
      </c>
      <c r="Z11" s="25"/>
      <c r="AA11" s="25"/>
      <c r="AB11" s="25"/>
      <c r="AD11" s="27"/>
      <c r="AE11" s="25"/>
      <c r="AF11" s="25"/>
      <c r="AG11" s="27" t="e">
        <f>#REF!*KeyInputs!#REF!</f>
        <v>#REF!</v>
      </c>
      <c r="AH11" s="27" t="e">
        <f>#REF!*KeyInputs!#REF!</f>
        <v>#REF!</v>
      </c>
      <c r="AI11" s="27" t="e">
        <f>#REF!*KeyInputs!#REF!</f>
        <v>#REF!</v>
      </c>
      <c r="AJ11" s="27" t="e">
        <f>#REF!*KeyInputs!#REF!</f>
        <v>#REF!</v>
      </c>
      <c r="AK11" s="27" t="e">
        <f>#REF!*KeyInputs!#REF!</f>
        <v>#REF!</v>
      </c>
      <c r="AL11" s="27" t="e">
        <f>#REF!*KeyInputs!#REF!</f>
        <v>#REF!</v>
      </c>
      <c r="AM11" s="25"/>
      <c r="AN11" s="25"/>
      <c r="AO11" s="25"/>
    </row>
    <row r="12" spans="1:41" x14ac:dyDescent="0.3">
      <c r="A12" s="25"/>
      <c r="B12" s="25" t="e">
        <f ca="1">H5</f>
        <v>#REF!</v>
      </c>
      <c r="C12" s="27"/>
      <c r="D12" s="27"/>
      <c r="E12" s="25"/>
      <c r="F12" s="25"/>
      <c r="G12" s="25"/>
      <c r="H12" s="27" t="e">
        <f>#REF!*KeyInputs!#REF!</f>
        <v>#REF!</v>
      </c>
      <c r="I12" s="27" t="e">
        <f>#REF!*KeyInputs!#REF!</f>
        <v>#REF!</v>
      </c>
      <c r="J12" s="27" t="e">
        <f>#REF!*KeyInputs!#REF!</f>
        <v>#REF!</v>
      </c>
      <c r="K12" s="27" t="e">
        <f>#REF!*KeyInputs!#REF!</f>
        <v>#REF!</v>
      </c>
      <c r="L12" s="27" t="e">
        <f>#REF!*KeyInputs!#REF!</f>
        <v>#REF!</v>
      </c>
      <c r="M12" s="27" t="e">
        <f>#REF!*KeyInputs!#REF!</f>
        <v>#REF!</v>
      </c>
      <c r="N12" s="25"/>
      <c r="O12" s="25"/>
      <c r="Q12" s="27"/>
      <c r="R12" s="25"/>
      <c r="S12" s="25"/>
      <c r="T12" s="25"/>
      <c r="U12" s="27" t="e">
        <f>#REF!*KeyInputs!#REF!</f>
        <v>#REF!</v>
      </c>
      <c r="V12" s="27" t="e">
        <f>#REF!*KeyInputs!#REF!</f>
        <v>#REF!</v>
      </c>
      <c r="W12" s="27" t="e">
        <f>#REF!*KeyInputs!#REF!</f>
        <v>#REF!</v>
      </c>
      <c r="X12" s="27" t="e">
        <f>#REF!*KeyInputs!#REF!</f>
        <v>#REF!</v>
      </c>
      <c r="Y12" s="27" t="e">
        <f>#REF!*KeyInputs!#REF!</f>
        <v>#REF!</v>
      </c>
      <c r="Z12" s="27" t="e">
        <f>#REF!*KeyInputs!#REF!</f>
        <v>#REF!</v>
      </c>
      <c r="AA12" s="25"/>
      <c r="AB12" s="25"/>
      <c r="AD12" s="27"/>
      <c r="AE12" s="25"/>
      <c r="AF12" s="25"/>
      <c r="AG12" s="25"/>
      <c r="AH12" s="27" t="e">
        <f>#REF!*KeyInputs!#REF!</f>
        <v>#REF!</v>
      </c>
      <c r="AI12" s="27" t="e">
        <f>#REF!*KeyInputs!#REF!</f>
        <v>#REF!</v>
      </c>
      <c r="AJ12" s="27" t="e">
        <f>#REF!*KeyInputs!#REF!</f>
        <v>#REF!</v>
      </c>
      <c r="AK12" s="27" t="e">
        <f>#REF!*KeyInputs!#REF!</f>
        <v>#REF!</v>
      </c>
      <c r="AL12" s="27" t="e">
        <f>#REF!*KeyInputs!#REF!</f>
        <v>#REF!</v>
      </c>
      <c r="AM12" s="27" t="e">
        <f>#REF!*KeyInputs!#REF!</f>
        <v>#REF!</v>
      </c>
      <c r="AN12" s="25"/>
      <c r="AO12" s="25"/>
    </row>
    <row r="13" spans="1:41" x14ac:dyDescent="0.3">
      <c r="A13" s="25"/>
      <c r="B13" s="25" t="e">
        <f ca="1">I5</f>
        <v>#REF!</v>
      </c>
      <c r="C13" s="27"/>
      <c r="D13" s="27"/>
      <c r="E13" s="25"/>
      <c r="F13" s="25"/>
      <c r="G13" s="25"/>
      <c r="H13" s="25"/>
      <c r="I13" s="27" t="e">
        <f>#REF!*KeyInputs!#REF!</f>
        <v>#REF!</v>
      </c>
      <c r="J13" s="27" t="e">
        <f>#REF!*KeyInputs!#REF!</f>
        <v>#REF!</v>
      </c>
      <c r="K13" s="27" t="e">
        <f>#REF!*KeyInputs!#REF!</f>
        <v>#REF!</v>
      </c>
      <c r="L13" s="27" t="e">
        <f>#REF!*KeyInputs!#REF!</f>
        <v>#REF!</v>
      </c>
      <c r="M13" s="27" t="e">
        <f>#REF!*KeyInputs!#REF!</f>
        <v>#REF!</v>
      </c>
      <c r="N13" s="27" t="e">
        <f>#REF!*KeyInputs!#REF!</f>
        <v>#REF!</v>
      </c>
      <c r="O13" s="25"/>
      <c r="Q13" s="27"/>
      <c r="R13" s="25"/>
      <c r="S13" s="25"/>
      <c r="T13" s="25"/>
      <c r="U13" s="25"/>
      <c r="V13" s="27" t="e">
        <f>#REF!*KeyInputs!#REF!</f>
        <v>#REF!</v>
      </c>
      <c r="W13" s="27" t="e">
        <f>#REF!*KeyInputs!#REF!</f>
        <v>#REF!</v>
      </c>
      <c r="X13" s="27" t="e">
        <f>#REF!*KeyInputs!#REF!</f>
        <v>#REF!</v>
      </c>
      <c r="Y13" s="27" t="e">
        <f>#REF!*KeyInputs!#REF!</f>
        <v>#REF!</v>
      </c>
      <c r="Z13" s="27" t="e">
        <f>#REF!*KeyInputs!#REF!</f>
        <v>#REF!</v>
      </c>
      <c r="AA13" s="27" t="e">
        <f>#REF!*KeyInputs!#REF!</f>
        <v>#REF!</v>
      </c>
      <c r="AB13" s="25"/>
      <c r="AD13" s="27"/>
      <c r="AE13" s="25"/>
      <c r="AF13" s="25"/>
      <c r="AG13" s="25"/>
      <c r="AH13" s="25"/>
      <c r="AI13" s="27" t="e">
        <f>#REF!*KeyInputs!#REF!</f>
        <v>#REF!</v>
      </c>
      <c r="AJ13" s="27" t="e">
        <f>#REF!*KeyInputs!#REF!</f>
        <v>#REF!</v>
      </c>
      <c r="AK13" s="27" t="e">
        <f>#REF!*KeyInputs!#REF!</f>
        <v>#REF!</v>
      </c>
      <c r="AL13" s="27" t="e">
        <f>#REF!*KeyInputs!#REF!</f>
        <v>#REF!</v>
      </c>
      <c r="AM13" s="27" t="e">
        <f>#REF!*KeyInputs!#REF!</f>
        <v>#REF!</v>
      </c>
      <c r="AN13" s="27" t="e">
        <f>#REF!*KeyInputs!#REF!</f>
        <v>#REF!</v>
      </c>
      <c r="AO13" s="25"/>
    </row>
    <row r="14" spans="1:41" x14ac:dyDescent="0.3">
      <c r="A14" s="25"/>
      <c r="B14" s="25" t="e">
        <f ca="1">J5</f>
        <v>#REF!</v>
      </c>
      <c r="C14" s="27"/>
      <c r="D14" s="27"/>
      <c r="E14" s="25"/>
      <c r="F14" s="25"/>
      <c r="G14" s="25"/>
      <c r="H14" s="25"/>
      <c r="I14" s="25"/>
      <c r="J14" s="27" t="e">
        <f>#REF!*KeyInputs!#REF!</f>
        <v>#REF!</v>
      </c>
      <c r="K14" s="27" t="e">
        <f>#REF!*KeyInputs!#REF!</f>
        <v>#REF!</v>
      </c>
      <c r="L14" s="27" t="e">
        <f>#REF!*KeyInputs!#REF!</f>
        <v>#REF!</v>
      </c>
      <c r="M14" s="27" t="e">
        <f>#REF!*KeyInputs!#REF!</f>
        <v>#REF!</v>
      </c>
      <c r="N14" s="27" t="e">
        <f>#REF!*KeyInputs!#REF!</f>
        <v>#REF!</v>
      </c>
      <c r="O14" s="27" t="e">
        <f>#REF!*KeyInputs!#REF!</f>
        <v>#REF!</v>
      </c>
      <c r="Q14" s="27"/>
      <c r="R14" s="25"/>
      <c r="S14" s="25"/>
      <c r="T14" s="25"/>
      <c r="U14" s="25"/>
      <c r="V14" s="25"/>
      <c r="W14" s="27" t="e">
        <f>#REF!*KeyInputs!#REF!</f>
        <v>#REF!</v>
      </c>
      <c r="X14" s="27" t="e">
        <f>#REF!*KeyInputs!#REF!</f>
        <v>#REF!</v>
      </c>
      <c r="Y14" s="27" t="e">
        <f>#REF!*KeyInputs!#REF!</f>
        <v>#REF!</v>
      </c>
      <c r="Z14" s="27" t="e">
        <f>#REF!*KeyInputs!#REF!</f>
        <v>#REF!</v>
      </c>
      <c r="AA14" s="27" t="e">
        <f>#REF!*KeyInputs!#REF!</f>
        <v>#REF!</v>
      </c>
      <c r="AB14" s="27" t="e">
        <f>#REF!*KeyInputs!#REF!</f>
        <v>#REF!</v>
      </c>
      <c r="AD14" s="27"/>
      <c r="AE14" s="25"/>
      <c r="AF14" s="25"/>
      <c r="AG14" s="25"/>
      <c r="AH14" s="25"/>
      <c r="AI14" s="25"/>
      <c r="AJ14" s="27" t="e">
        <f>#REF!*KeyInputs!#REF!</f>
        <v>#REF!</v>
      </c>
      <c r="AK14" s="27" t="e">
        <f>#REF!*KeyInputs!#REF!</f>
        <v>#REF!</v>
      </c>
      <c r="AL14" s="27" t="e">
        <f>#REF!*KeyInputs!#REF!</f>
        <v>#REF!</v>
      </c>
      <c r="AM14" s="27" t="e">
        <f>#REF!*KeyInputs!#REF!</f>
        <v>#REF!</v>
      </c>
      <c r="AN14" s="27" t="e">
        <f>#REF!*KeyInputs!#REF!</f>
        <v>#REF!</v>
      </c>
      <c r="AO14" s="27" t="e">
        <f>#REF!*KeyInputs!#REF!</f>
        <v>#REF!</v>
      </c>
    </row>
    <row r="15" spans="1:41" x14ac:dyDescent="0.3">
      <c r="A15" s="25"/>
      <c r="B15" s="25" t="e">
        <f ca="1">K5</f>
        <v>#REF!</v>
      </c>
      <c r="C15" s="27"/>
      <c r="D15" s="27"/>
      <c r="E15" s="25"/>
      <c r="F15" s="25"/>
      <c r="G15" s="25"/>
      <c r="H15" s="25"/>
      <c r="I15" s="25"/>
      <c r="J15" s="25"/>
      <c r="K15" s="27" t="e">
        <f>#REF!*KeyInputs!#REF!</f>
        <v>#REF!</v>
      </c>
      <c r="L15" s="27" t="e">
        <f>#REF!*KeyInputs!#REF!</f>
        <v>#REF!</v>
      </c>
      <c r="M15" s="27" t="e">
        <f>#REF!*KeyInputs!#REF!</f>
        <v>#REF!</v>
      </c>
      <c r="N15" s="27" t="e">
        <f>#REF!*KeyInputs!#REF!</f>
        <v>#REF!</v>
      </c>
      <c r="O15" s="27" t="e">
        <f>#REF!*KeyInputs!#REF!</f>
        <v>#REF!</v>
      </c>
      <c r="P15" s="27"/>
      <c r="Q15" s="27" t="e">
        <f>#REF!*KeyInputs!#REF!</f>
        <v>#REF!</v>
      </c>
      <c r="R15" s="25"/>
      <c r="S15" s="25"/>
      <c r="T15" s="25"/>
      <c r="U15" s="25"/>
      <c r="V15" s="25"/>
      <c r="W15" s="25"/>
      <c r="X15" s="27" t="e">
        <f>#REF!*KeyInputs!#REF!</f>
        <v>#REF!</v>
      </c>
      <c r="Y15" s="27" t="e">
        <f>#REF!*KeyInputs!#REF!</f>
        <v>#REF!</v>
      </c>
      <c r="Z15" s="27" t="e">
        <f>#REF!*KeyInputs!#REF!</f>
        <v>#REF!</v>
      </c>
      <c r="AA15" s="27" t="e">
        <f>#REF!*KeyInputs!#REF!</f>
        <v>#REF!</v>
      </c>
      <c r="AB15" s="27" t="e">
        <f>#REF!*KeyInputs!#REF!</f>
        <v>#REF!</v>
      </c>
      <c r="AC15" s="27"/>
      <c r="AD15" s="27" t="e">
        <f>#REF!*KeyInputs!#REF!</f>
        <v>#REF!</v>
      </c>
      <c r="AE15" s="25"/>
      <c r="AF15" s="25"/>
      <c r="AG15" s="25"/>
      <c r="AH15" s="25"/>
      <c r="AI15" s="25"/>
      <c r="AJ15" s="25"/>
      <c r="AK15" s="27" t="e">
        <f>#REF!*KeyInputs!#REF!</f>
        <v>#REF!</v>
      </c>
      <c r="AL15" s="27" t="e">
        <f>#REF!*KeyInputs!#REF!</f>
        <v>#REF!</v>
      </c>
      <c r="AM15" s="27" t="e">
        <f>#REF!*KeyInputs!#REF!</f>
        <v>#REF!</v>
      </c>
      <c r="AN15" s="27" t="e">
        <f>#REF!*KeyInputs!#REF!</f>
        <v>#REF!</v>
      </c>
      <c r="AO15" s="27" t="e">
        <f>#REF!*KeyInputs!#REF!</f>
        <v>#REF!</v>
      </c>
    </row>
    <row r="16" spans="1:41" x14ac:dyDescent="0.3">
      <c r="A16" s="30"/>
      <c r="B16" s="25" t="e">
        <f ca="1">L5</f>
        <v>#REF!</v>
      </c>
      <c r="C16" s="27"/>
      <c r="D16" s="27"/>
      <c r="E16" s="25"/>
      <c r="F16" s="25"/>
      <c r="G16" s="25"/>
      <c r="H16" s="25"/>
      <c r="I16" s="25"/>
      <c r="J16" s="25"/>
      <c r="K16" s="25"/>
      <c r="L16" s="27" t="e">
        <f>#REF!*KeyInputs!#REF!</f>
        <v>#REF!</v>
      </c>
      <c r="M16" s="27" t="e">
        <f>#REF!*KeyInputs!#REF!</f>
        <v>#REF!</v>
      </c>
      <c r="N16" s="27" t="e">
        <f>#REF!*KeyInputs!#REF!</f>
        <v>#REF!</v>
      </c>
      <c r="O16" s="27" t="e">
        <f>#REF!*KeyInputs!#REF!</f>
        <v>#REF!</v>
      </c>
      <c r="P16" s="27"/>
      <c r="Q16" s="27" t="e">
        <f>#REF!*KeyInputs!#REF!</f>
        <v>#REF!</v>
      </c>
      <c r="R16" s="27" t="e">
        <f>#REF!*KeyInputs!#REF!</f>
        <v>#REF!</v>
      </c>
      <c r="S16" s="25"/>
      <c r="T16" s="25"/>
      <c r="U16" s="25"/>
      <c r="V16" s="25"/>
      <c r="W16" s="25"/>
      <c r="X16" s="25"/>
      <c r="Y16" s="27" t="e">
        <f>#REF!*KeyInputs!#REF!</f>
        <v>#REF!</v>
      </c>
      <c r="Z16" s="27" t="e">
        <f>#REF!*KeyInputs!#REF!</f>
        <v>#REF!</v>
      </c>
      <c r="AA16" s="27" t="e">
        <f>#REF!*KeyInputs!#REF!</f>
        <v>#REF!</v>
      </c>
      <c r="AB16" s="27" t="e">
        <f>#REF!*KeyInputs!#REF!</f>
        <v>#REF!</v>
      </c>
      <c r="AC16" s="27"/>
      <c r="AD16" s="27" t="e">
        <f>#REF!*KeyInputs!#REF!</f>
        <v>#REF!</v>
      </c>
      <c r="AE16" s="27" t="e">
        <f>#REF!*KeyInputs!#REF!</f>
        <v>#REF!</v>
      </c>
      <c r="AF16" s="25"/>
      <c r="AG16" s="25"/>
      <c r="AH16" s="25"/>
      <c r="AI16" s="25"/>
      <c r="AJ16" s="25"/>
      <c r="AK16" s="25"/>
      <c r="AL16" s="27" t="e">
        <f>#REF!*KeyInputs!#REF!</f>
        <v>#REF!</v>
      </c>
      <c r="AM16" s="27" t="e">
        <f>#REF!*KeyInputs!#REF!</f>
        <v>#REF!</v>
      </c>
      <c r="AN16" s="27" t="e">
        <f>#REF!*KeyInputs!#REF!</f>
        <v>#REF!</v>
      </c>
      <c r="AO16" s="27" t="e">
        <f>#REF!*KeyInputs!#REF!</f>
        <v>#REF!</v>
      </c>
    </row>
    <row r="17" spans="1:41" x14ac:dyDescent="0.3">
      <c r="A17" s="25"/>
      <c r="B17" s="25" t="e">
        <f ca="1">M5</f>
        <v>#REF!</v>
      </c>
      <c r="C17" s="27"/>
      <c r="D17" s="27"/>
      <c r="E17" s="25"/>
      <c r="F17" s="25"/>
      <c r="G17" s="25"/>
      <c r="H17" s="25"/>
      <c r="I17" s="25"/>
      <c r="J17" s="25"/>
      <c r="K17" s="25"/>
      <c r="L17" s="25"/>
      <c r="M17" s="27" t="e">
        <f>#REF!*KeyInputs!#REF!</f>
        <v>#REF!</v>
      </c>
      <c r="N17" s="27" t="e">
        <f>#REF!*KeyInputs!#REF!</f>
        <v>#REF!</v>
      </c>
      <c r="O17" s="27" t="e">
        <f>#REF!*KeyInputs!#REF!</f>
        <v>#REF!</v>
      </c>
      <c r="P17" s="27"/>
      <c r="Q17" s="27" t="e">
        <f>#REF!*KeyInputs!#REF!</f>
        <v>#REF!</v>
      </c>
      <c r="R17" s="27" t="e">
        <f>#REF!*KeyInputs!#REF!</f>
        <v>#REF!</v>
      </c>
      <c r="S17" s="27" t="e">
        <f>#REF!*KeyInputs!#REF!</f>
        <v>#REF!</v>
      </c>
      <c r="T17" s="25"/>
      <c r="U17" s="25"/>
      <c r="V17" s="25"/>
      <c r="W17" s="25"/>
      <c r="X17" s="25"/>
      <c r="Y17" s="25"/>
      <c r="Z17" s="27" t="e">
        <f>#REF!*KeyInputs!#REF!</f>
        <v>#REF!</v>
      </c>
      <c r="AA17" s="27" t="e">
        <f>#REF!*KeyInputs!#REF!</f>
        <v>#REF!</v>
      </c>
      <c r="AB17" s="27" t="e">
        <f>#REF!*KeyInputs!#REF!</f>
        <v>#REF!</v>
      </c>
      <c r="AC17" s="27"/>
      <c r="AD17" s="27" t="e">
        <f>#REF!*KeyInputs!#REF!</f>
        <v>#REF!</v>
      </c>
      <c r="AE17" s="27" t="e">
        <f>#REF!*KeyInputs!#REF!</f>
        <v>#REF!</v>
      </c>
      <c r="AF17" s="27" t="e">
        <f>#REF!*KeyInputs!#REF!</f>
        <v>#REF!</v>
      </c>
      <c r="AG17" s="25"/>
      <c r="AH17" s="25"/>
      <c r="AI17" s="25"/>
      <c r="AJ17" s="25"/>
      <c r="AK17" s="25"/>
      <c r="AL17" s="25"/>
      <c r="AM17" s="27" t="e">
        <f>#REF!*KeyInputs!#REF!</f>
        <v>#REF!</v>
      </c>
      <c r="AN17" s="27" t="e">
        <f>#REF!*KeyInputs!#REF!</f>
        <v>#REF!</v>
      </c>
      <c r="AO17" s="27" t="e">
        <f>#REF!*KeyInputs!#REF!</f>
        <v>#REF!</v>
      </c>
    </row>
    <row r="18" spans="1:41" x14ac:dyDescent="0.3">
      <c r="A18" s="25"/>
      <c r="B18" s="25" t="e">
        <f ca="1">N5</f>
        <v>#REF!</v>
      </c>
      <c r="C18" s="27"/>
      <c r="D18" s="27"/>
      <c r="E18" s="25"/>
      <c r="F18" s="25"/>
      <c r="G18" s="25"/>
      <c r="H18" s="25"/>
      <c r="I18" s="25"/>
      <c r="J18" s="25"/>
      <c r="K18" s="25"/>
      <c r="L18" s="25"/>
      <c r="M18" s="25"/>
      <c r="N18" s="27" t="e">
        <f>#REF!*KeyInputs!#REF!</f>
        <v>#REF!</v>
      </c>
      <c r="O18" s="27" t="e">
        <f>#REF!*KeyInputs!#REF!</f>
        <v>#REF!</v>
      </c>
      <c r="P18" s="27"/>
      <c r="Q18" s="27" t="e">
        <f>#REF!*KeyInputs!#REF!</f>
        <v>#REF!</v>
      </c>
      <c r="R18" s="27" t="e">
        <f>#REF!*KeyInputs!#REF!</f>
        <v>#REF!</v>
      </c>
      <c r="S18" s="27" t="e">
        <f>#REF!*KeyInputs!#REF!</f>
        <v>#REF!</v>
      </c>
      <c r="T18" s="27" t="e">
        <f>#REF!*KeyInputs!#REF!</f>
        <v>#REF!</v>
      </c>
      <c r="U18" s="25"/>
      <c r="V18" s="25"/>
      <c r="W18" s="25"/>
      <c r="X18" s="25"/>
      <c r="Y18" s="25"/>
      <c r="Z18" s="25"/>
      <c r="AA18" s="27" t="e">
        <f>#REF!*KeyInputs!#REF!</f>
        <v>#REF!</v>
      </c>
      <c r="AB18" s="27" t="e">
        <f>#REF!*KeyInputs!#REF!</f>
        <v>#REF!</v>
      </c>
      <c r="AC18" s="27"/>
      <c r="AD18" s="27" t="e">
        <f>#REF!*KeyInputs!#REF!</f>
        <v>#REF!</v>
      </c>
      <c r="AE18" s="27" t="e">
        <f>#REF!*KeyInputs!#REF!</f>
        <v>#REF!</v>
      </c>
      <c r="AF18" s="27" t="e">
        <f>#REF!*KeyInputs!#REF!</f>
        <v>#REF!</v>
      </c>
      <c r="AG18" s="27" t="e">
        <f>#REF!*KeyInputs!#REF!</f>
        <v>#REF!</v>
      </c>
      <c r="AH18" s="25"/>
      <c r="AI18" s="25"/>
      <c r="AJ18" s="25"/>
      <c r="AK18" s="25"/>
      <c r="AL18" s="25"/>
      <c r="AM18" s="25"/>
      <c r="AN18" s="27" t="e">
        <f>#REF!*KeyInputs!#REF!</f>
        <v>#REF!</v>
      </c>
      <c r="AO18" s="27" t="e">
        <f>#REF!*KeyInputs!#REF!</f>
        <v>#REF!</v>
      </c>
    </row>
    <row r="19" spans="1:41" x14ac:dyDescent="0.3">
      <c r="A19" s="25"/>
      <c r="B19" s="25" t="e">
        <f ca="1">O5</f>
        <v>#REF!</v>
      </c>
      <c r="C19" s="27"/>
      <c r="D19" s="27"/>
      <c r="E19" s="25"/>
      <c r="F19" s="25"/>
      <c r="G19" s="25"/>
      <c r="H19" s="25"/>
      <c r="I19" s="25"/>
      <c r="J19" s="25"/>
      <c r="K19" s="25"/>
      <c r="L19" s="25"/>
      <c r="M19" s="25"/>
      <c r="N19" s="25"/>
      <c r="O19" s="27" t="e">
        <f>#REF!*KeyInputs!#REF!</f>
        <v>#REF!</v>
      </c>
      <c r="P19" s="27"/>
      <c r="Q19" s="27" t="e">
        <f>#REF!*KeyInputs!#REF!</f>
        <v>#REF!</v>
      </c>
      <c r="R19" s="27" t="e">
        <f>#REF!*KeyInputs!#REF!</f>
        <v>#REF!</v>
      </c>
      <c r="S19" s="27" t="e">
        <f>#REF!*KeyInputs!#REF!</f>
        <v>#REF!</v>
      </c>
      <c r="T19" s="27" t="e">
        <f>#REF!*KeyInputs!#REF!</f>
        <v>#REF!</v>
      </c>
      <c r="U19" s="27" t="e">
        <f>#REF!*KeyInputs!#REF!</f>
        <v>#REF!</v>
      </c>
      <c r="V19" s="25"/>
      <c r="W19" s="25"/>
      <c r="X19" s="25"/>
      <c r="Y19" s="25"/>
      <c r="Z19" s="25"/>
      <c r="AA19" s="25"/>
      <c r="AB19" s="27" t="e">
        <f>#REF!*KeyInputs!#REF!</f>
        <v>#REF!</v>
      </c>
      <c r="AC19" s="27"/>
      <c r="AD19" s="27" t="e">
        <f>#REF!*KeyInputs!#REF!</f>
        <v>#REF!</v>
      </c>
      <c r="AE19" s="27" t="e">
        <f>#REF!*KeyInputs!#REF!</f>
        <v>#REF!</v>
      </c>
      <c r="AF19" s="27" t="e">
        <f>#REF!*KeyInputs!#REF!</f>
        <v>#REF!</v>
      </c>
      <c r="AG19" s="27" t="e">
        <f>#REF!*KeyInputs!#REF!</f>
        <v>#REF!</v>
      </c>
      <c r="AH19" s="27" t="e">
        <f>#REF!*KeyInputs!#REF!</f>
        <v>#REF!</v>
      </c>
      <c r="AI19" s="25"/>
      <c r="AJ19" s="25"/>
      <c r="AK19" s="25"/>
      <c r="AL19" s="25"/>
      <c r="AM19" s="25"/>
      <c r="AN19" s="25"/>
      <c r="AO19" s="27" t="e">
        <f>#REF!*KeyInputs!#REF!</f>
        <v>#REF!</v>
      </c>
    </row>
    <row r="20" spans="1:41" x14ac:dyDescent="0.3">
      <c r="A20" s="25"/>
      <c r="B20" s="25"/>
      <c r="C20" s="25" t="e">
        <f>SUM(C7:C19)</f>
        <v>#REF!</v>
      </c>
      <c r="D20" s="25" t="e">
        <f t="shared" ref="D20:O20" si="0">SUM(D7:D19)</f>
        <v>#REF!</v>
      </c>
      <c r="E20" s="25" t="e">
        <f t="shared" si="0"/>
        <v>#REF!</v>
      </c>
      <c r="F20" s="25" t="e">
        <f t="shared" si="0"/>
        <v>#REF!</v>
      </c>
      <c r="G20" s="25" t="e">
        <f t="shared" si="0"/>
        <v>#REF!</v>
      </c>
      <c r="H20" s="25" t="e">
        <f t="shared" si="0"/>
        <v>#REF!</v>
      </c>
      <c r="I20" s="25" t="e">
        <f t="shared" si="0"/>
        <v>#REF!</v>
      </c>
      <c r="J20" s="25" t="e">
        <f t="shared" si="0"/>
        <v>#REF!</v>
      </c>
      <c r="K20" s="25" t="e">
        <f t="shared" si="0"/>
        <v>#REF!</v>
      </c>
      <c r="L20" s="25" t="e">
        <f t="shared" si="0"/>
        <v>#REF!</v>
      </c>
      <c r="M20" s="25" t="e">
        <f t="shared" si="0"/>
        <v>#REF!</v>
      </c>
      <c r="N20" s="25" t="e">
        <f t="shared" si="0"/>
        <v>#REF!</v>
      </c>
      <c r="O20" s="25" t="e">
        <f t="shared" si="0"/>
        <v>#REF!</v>
      </c>
      <c r="Q20" s="25" t="e">
        <f t="shared" ref="Q20:AB20" si="1">SUM(Q7:Q19)</f>
        <v>#REF!</v>
      </c>
      <c r="R20" s="25" t="e">
        <f t="shared" si="1"/>
        <v>#REF!</v>
      </c>
      <c r="S20" s="25" t="e">
        <f t="shared" si="1"/>
        <v>#REF!</v>
      </c>
      <c r="T20" s="25" t="e">
        <f t="shared" si="1"/>
        <v>#REF!</v>
      </c>
      <c r="U20" s="25" t="e">
        <f t="shared" si="1"/>
        <v>#REF!</v>
      </c>
      <c r="V20" s="25" t="e">
        <f t="shared" si="1"/>
        <v>#REF!</v>
      </c>
      <c r="W20" s="25" t="e">
        <f t="shared" si="1"/>
        <v>#REF!</v>
      </c>
      <c r="X20" s="25" t="e">
        <f t="shared" si="1"/>
        <v>#REF!</v>
      </c>
      <c r="Y20" s="25" t="e">
        <f t="shared" si="1"/>
        <v>#REF!</v>
      </c>
      <c r="Z20" s="25" t="e">
        <f t="shared" si="1"/>
        <v>#REF!</v>
      </c>
      <c r="AA20" s="25" t="e">
        <f t="shared" si="1"/>
        <v>#REF!</v>
      </c>
      <c r="AB20" s="25" t="e">
        <f t="shared" si="1"/>
        <v>#REF!</v>
      </c>
      <c r="AD20" s="25" t="e">
        <f t="shared" ref="AD20:AO20" si="2">SUM(AD7:AD19)</f>
        <v>#REF!</v>
      </c>
      <c r="AE20" s="25" t="e">
        <f t="shared" si="2"/>
        <v>#REF!</v>
      </c>
      <c r="AF20" s="25" t="e">
        <f t="shared" si="2"/>
        <v>#REF!</v>
      </c>
      <c r="AG20" s="25" t="e">
        <f t="shared" si="2"/>
        <v>#REF!</v>
      </c>
      <c r="AH20" s="25" t="e">
        <f t="shared" si="2"/>
        <v>#REF!</v>
      </c>
      <c r="AI20" s="25" t="e">
        <f t="shared" si="2"/>
        <v>#REF!</v>
      </c>
      <c r="AJ20" s="25" t="e">
        <f t="shared" si="2"/>
        <v>#REF!</v>
      </c>
      <c r="AK20" s="25" t="e">
        <f t="shared" si="2"/>
        <v>#REF!</v>
      </c>
      <c r="AL20" s="25" t="e">
        <f t="shared" si="2"/>
        <v>#REF!</v>
      </c>
      <c r="AM20" s="25" t="e">
        <f t="shared" si="2"/>
        <v>#REF!</v>
      </c>
      <c r="AN20" s="25" t="e">
        <f t="shared" si="2"/>
        <v>#REF!</v>
      </c>
      <c r="AO20" s="25" t="e">
        <f t="shared" si="2"/>
        <v>#REF!</v>
      </c>
    </row>
    <row r="21" spans="1:41" x14ac:dyDescent="0.3">
      <c r="A21" s="25"/>
      <c r="B21" s="25"/>
      <c r="C21" s="25"/>
      <c r="D21" s="25"/>
      <c r="E21" s="25"/>
      <c r="F21" s="25"/>
      <c r="G21" s="25"/>
      <c r="H21" s="25"/>
      <c r="I21" s="25"/>
      <c r="J21" s="25"/>
      <c r="K21" s="25"/>
      <c r="L21" s="25"/>
      <c r="M21" s="25"/>
      <c r="N21" s="25"/>
      <c r="O21" s="25"/>
    </row>
    <row r="23" spans="1:41" x14ac:dyDescent="0.3">
      <c r="C23" s="27"/>
      <c r="D23" s="27"/>
      <c r="E23" s="27"/>
      <c r="F23" s="27"/>
      <c r="G23" s="27"/>
      <c r="H23" s="27"/>
      <c r="I23" s="25"/>
      <c r="J23" s="25"/>
      <c r="K23" s="25"/>
      <c r="L23" s="25"/>
      <c r="M23" s="25"/>
      <c r="N23" s="25"/>
      <c r="O23" s="25"/>
    </row>
    <row r="24" spans="1:41" x14ac:dyDescent="0.3">
      <c r="C24" s="27"/>
      <c r="D24" s="27"/>
      <c r="E24" s="27"/>
      <c r="F24" s="27"/>
      <c r="G24" s="27"/>
      <c r="H24" s="27"/>
      <c r="I24" s="27"/>
      <c r="J24" s="25"/>
      <c r="K24" s="25"/>
      <c r="L24" s="25"/>
      <c r="M24" s="25"/>
      <c r="N24" s="25"/>
      <c r="O24" s="25"/>
    </row>
    <row r="25" spans="1:41" x14ac:dyDescent="0.3">
      <c r="C25" s="27"/>
      <c r="D25" s="27"/>
      <c r="E25" s="27"/>
      <c r="F25" s="27"/>
      <c r="G25" s="27"/>
      <c r="H25" s="27"/>
      <c r="I25" s="27"/>
      <c r="J25" s="27"/>
      <c r="K25" s="25"/>
      <c r="L25" s="25"/>
      <c r="M25" s="25"/>
      <c r="N25" s="25"/>
      <c r="O25" s="25"/>
    </row>
    <row r="26" spans="1:41" x14ac:dyDescent="0.3">
      <c r="C26" s="27"/>
      <c r="D26" s="27"/>
      <c r="E26" s="25"/>
      <c r="F26" s="27"/>
      <c r="G26" s="27"/>
      <c r="H26" s="27"/>
      <c r="I26" s="27"/>
      <c r="J26" s="27"/>
      <c r="K26" s="27"/>
      <c r="L26" s="25"/>
      <c r="M26" s="25"/>
      <c r="N26" s="25"/>
      <c r="O26" s="25"/>
    </row>
    <row r="27" spans="1:41" x14ac:dyDescent="0.3">
      <c r="C27" s="27"/>
      <c r="D27" s="27"/>
      <c r="E27" s="25"/>
      <c r="F27" s="25"/>
      <c r="G27" s="27"/>
      <c r="H27" s="27"/>
      <c r="I27" s="27"/>
      <c r="J27" s="27"/>
      <c r="K27" s="27"/>
      <c r="L27" s="27"/>
      <c r="M27" s="25"/>
      <c r="N27" s="25"/>
      <c r="O27" s="25"/>
    </row>
    <row r="28" spans="1:41" x14ac:dyDescent="0.3">
      <c r="C28" s="27"/>
      <c r="D28" s="27"/>
      <c r="E28" s="25"/>
      <c r="F28" s="25"/>
      <c r="G28" s="25"/>
      <c r="H28" s="27"/>
      <c r="I28" s="27"/>
      <c r="J28" s="27"/>
      <c r="K28" s="27"/>
      <c r="L28" s="27"/>
      <c r="M28" s="27"/>
      <c r="N28" s="25"/>
      <c r="O28" s="25"/>
    </row>
    <row r="29" spans="1:41" x14ac:dyDescent="0.3">
      <c r="C29" s="27"/>
      <c r="D29" s="27"/>
      <c r="E29" s="25"/>
      <c r="F29" s="25"/>
      <c r="G29" s="25"/>
      <c r="H29" s="25"/>
      <c r="I29" s="27"/>
      <c r="J29" s="27"/>
      <c r="K29" s="27"/>
      <c r="L29" s="27"/>
      <c r="M29" s="27"/>
      <c r="N29" s="27"/>
      <c r="O29" s="25"/>
    </row>
    <row r="30" spans="1:41" x14ac:dyDescent="0.3">
      <c r="C30" s="27"/>
      <c r="D30" s="27"/>
      <c r="E30" s="25"/>
      <c r="F30" s="25"/>
      <c r="G30" s="25"/>
      <c r="H30" s="25"/>
      <c r="I30" s="25"/>
      <c r="J30" s="27"/>
      <c r="K30" s="27"/>
      <c r="L30" s="27"/>
      <c r="M30" s="27"/>
      <c r="N30" s="27"/>
      <c r="O30" s="27"/>
    </row>
    <row r="31" spans="1:41" x14ac:dyDescent="0.3">
      <c r="C31" s="27"/>
      <c r="D31" s="27"/>
      <c r="E31" s="25"/>
      <c r="F31" s="25"/>
      <c r="G31" s="25"/>
      <c r="H31" s="25"/>
      <c r="I31" s="25"/>
      <c r="J31" s="25"/>
      <c r="K31" s="27"/>
      <c r="L31" s="27"/>
      <c r="M31" s="27"/>
      <c r="N31" s="27"/>
      <c r="O31" s="27"/>
      <c r="P31" s="27"/>
    </row>
    <row r="32" spans="1:41" x14ac:dyDescent="0.3">
      <c r="C32" s="27"/>
      <c r="D32" s="27"/>
      <c r="E32" s="25"/>
      <c r="F32" s="25"/>
      <c r="G32" s="25"/>
      <c r="H32" s="25"/>
      <c r="I32" s="25"/>
      <c r="J32" s="25"/>
      <c r="K32" s="25"/>
      <c r="L32" s="27"/>
      <c r="M32" s="27"/>
      <c r="N32" s="27"/>
      <c r="O32" s="27"/>
      <c r="P32" s="27"/>
      <c r="Q32" s="27"/>
    </row>
    <row r="33" spans="3:15" x14ac:dyDescent="0.3">
      <c r="C33" s="27"/>
      <c r="D33" s="27"/>
      <c r="E33" s="25"/>
      <c r="F33" s="25"/>
      <c r="G33" s="25"/>
      <c r="H33" s="25"/>
      <c r="I33" s="25"/>
      <c r="J33" s="25"/>
      <c r="K33" s="25"/>
      <c r="L33" s="25"/>
      <c r="M33" s="27"/>
      <c r="N33" s="27"/>
      <c r="O33" s="27"/>
    </row>
    <row r="34" spans="3:15" x14ac:dyDescent="0.3">
      <c r="C34" s="27"/>
      <c r="D34" s="27"/>
      <c r="E34" s="25"/>
      <c r="F34" s="25"/>
      <c r="G34" s="25"/>
      <c r="H34" s="25"/>
      <c r="I34" s="25"/>
      <c r="J34" s="25"/>
      <c r="K34" s="25"/>
      <c r="L34" s="25"/>
      <c r="M34" s="25"/>
      <c r="N34" s="27"/>
      <c r="O34" s="27"/>
    </row>
    <row r="35" spans="3:15" x14ac:dyDescent="0.3">
      <c r="C35" s="27"/>
      <c r="D35" s="27"/>
      <c r="E35" s="25"/>
      <c r="F35" s="25"/>
      <c r="G35" s="25"/>
      <c r="H35" s="25"/>
      <c r="I35" s="25"/>
      <c r="J35" s="25"/>
      <c r="K35" s="25"/>
      <c r="L35" s="25"/>
      <c r="M35" s="25"/>
      <c r="N35" s="25"/>
      <c r="O35" s="27"/>
    </row>
  </sheetData>
  <mergeCells count="3">
    <mergeCell ref="AD4:AO4"/>
    <mergeCell ref="D4:O4"/>
    <mergeCell ref="Q4:AB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9"/>
  <dimension ref="A1:AO35"/>
  <sheetViews>
    <sheetView workbookViewId="0">
      <pane xSplit="3" ySplit="5" topLeftCell="D6" activePane="bottomRight" state="frozen"/>
      <selection pane="topRight" activeCell="D1" sqref="D1"/>
      <selection pane="bottomLeft" activeCell="A6" sqref="A6"/>
      <selection pane="bottomRight" activeCell="E9" sqref="E9"/>
    </sheetView>
  </sheetViews>
  <sheetFormatPr defaultColWidth="8.88671875" defaultRowHeight="14.4" x14ac:dyDescent="0.3"/>
  <cols>
    <col min="1" max="1" width="2.44140625" customWidth="1"/>
    <col min="2" max="2" width="22" customWidth="1"/>
    <col min="3" max="3" width="9.44140625" customWidth="1"/>
  </cols>
  <sheetData>
    <row r="1" spans="1:41" ht="18" x14ac:dyDescent="0.35">
      <c r="A1" s="4">
        <f>KeyInputs!F14</f>
        <v>0</v>
      </c>
    </row>
    <row r="2" spans="1:41" ht="18" x14ac:dyDescent="0.35">
      <c r="A2" s="4" t="str">
        <f>KeyInputs!F22</f>
        <v>Insert Product Group 1</v>
      </c>
      <c r="D2" t="s">
        <v>80</v>
      </c>
    </row>
    <row r="4" spans="1:41" x14ac:dyDescent="0.3">
      <c r="D4" s="336">
        <f>KeyInputs!$F$17</f>
        <v>42005</v>
      </c>
      <c r="E4" s="337"/>
      <c r="F4" s="337"/>
      <c r="G4" s="337"/>
      <c r="H4" s="337"/>
      <c r="I4" s="337"/>
      <c r="J4" s="337"/>
      <c r="K4" s="337"/>
      <c r="L4" s="337"/>
      <c r="M4" s="337"/>
      <c r="N4" s="337"/>
      <c r="O4" s="338"/>
      <c r="Q4" s="336">
        <f>KeyInputs!$F$17+1</f>
        <v>42006</v>
      </c>
      <c r="R4" s="337"/>
      <c r="S4" s="337"/>
      <c r="T4" s="337"/>
      <c r="U4" s="337"/>
      <c r="V4" s="337"/>
      <c r="W4" s="337"/>
      <c r="X4" s="337"/>
      <c r="Y4" s="337"/>
      <c r="Z4" s="337"/>
      <c r="AA4" s="337"/>
      <c r="AB4" s="338"/>
      <c r="AD4" s="336">
        <f>KeyInputs!$F$17+2</f>
        <v>42007</v>
      </c>
      <c r="AE4" s="337"/>
      <c r="AF4" s="337"/>
      <c r="AG4" s="337"/>
      <c r="AH4" s="337"/>
      <c r="AI4" s="337"/>
      <c r="AJ4" s="337"/>
      <c r="AK4" s="337"/>
      <c r="AL4" s="337"/>
      <c r="AM4" s="337"/>
      <c r="AN4" s="337"/>
      <c r="AO4" s="338"/>
    </row>
    <row r="5" spans="1:41" x14ac:dyDescent="0.3">
      <c r="C5" s="28" t="s">
        <v>70</v>
      </c>
      <c r="D5" s="31" t="e">
        <f>KeyInputs!#REF!</f>
        <v>#REF!</v>
      </c>
      <c r="E5" s="32" t="e">
        <f ca="1">OFFSET(Worksheet!$A$14,,(HLOOKUP(KeyInputs!#REF!,Worksheet!$A$14:$L$15,2,FALSE)))</f>
        <v>#REF!</v>
      </c>
      <c r="F5" s="32" t="e">
        <f ca="1">OFFSET(Worksheet!$A$14,,(HLOOKUP(KeyInputs!#REF!,Worksheet!$A$14:$L$15,2,FALSE))+Worksheet!$A$15)</f>
        <v>#REF!</v>
      </c>
      <c r="G5" s="32" t="e">
        <f ca="1">OFFSET(Worksheet!$A$14,,(HLOOKUP(KeyInputs!#REF!,Worksheet!$A$14:$L$15,2,FALSE))+Worksheet!$B$15)</f>
        <v>#REF!</v>
      </c>
      <c r="H5" s="32" t="e">
        <f ca="1">OFFSET(Worksheet!$A$14,,(HLOOKUP(KeyInputs!#REF!,Worksheet!$A$14:$L$15,2,FALSE))+Worksheet!$C$15)</f>
        <v>#REF!</v>
      </c>
      <c r="I5" s="32" t="e">
        <f ca="1">OFFSET(Worksheet!$A$14,,(HLOOKUP(KeyInputs!#REF!,Worksheet!$A$14:$L$15,2,FALSE))+Worksheet!$D$15)</f>
        <v>#REF!</v>
      </c>
      <c r="J5" s="32" t="e">
        <f ca="1">OFFSET(Worksheet!$A$14,,(HLOOKUP(KeyInputs!#REF!,Worksheet!$A$14:$L$15,2,FALSE))+Worksheet!$E$15)</f>
        <v>#REF!</v>
      </c>
      <c r="K5" s="32" t="e">
        <f ca="1">OFFSET(Worksheet!$A$14,,(HLOOKUP(KeyInputs!#REF!,Worksheet!$A$14:$L$15,2,FALSE))+Worksheet!$F$15)</f>
        <v>#REF!</v>
      </c>
      <c r="L5" s="32" t="e">
        <f ca="1">OFFSET(Worksheet!$A$14,,(HLOOKUP(KeyInputs!#REF!,Worksheet!$A$14:$L$15,2,FALSE))+Worksheet!$G$15)</f>
        <v>#REF!</v>
      </c>
      <c r="M5" s="32" t="e">
        <f ca="1">OFFSET(Worksheet!$A$14,,(HLOOKUP(KeyInputs!#REF!,Worksheet!$A$14:$L$15,2,FALSE))+Worksheet!$H$15)</f>
        <v>#REF!</v>
      </c>
      <c r="N5" s="32" t="e">
        <f ca="1">OFFSET(Worksheet!$A$14,,(HLOOKUP(KeyInputs!#REF!,Worksheet!$A$14:$L$15,2,FALSE))+Worksheet!$I$15)</f>
        <v>#REF!</v>
      </c>
      <c r="O5" s="32" t="e">
        <f ca="1">OFFSET(Worksheet!$A$14,,(HLOOKUP(KeyInputs!#REF!,Worksheet!$A$14:$L$15,2,FALSE))+Worksheet!$J$15)</f>
        <v>#REF!</v>
      </c>
      <c r="Q5" s="31" t="e">
        <f>KeyInputs!#REF!</f>
        <v>#REF!</v>
      </c>
      <c r="R5" s="32" t="e">
        <f ca="1">OFFSET(Worksheet!$A$14,,(HLOOKUP(KeyInputs!#REF!,Worksheet!$A$14:$L$15,2,FALSE)))</f>
        <v>#REF!</v>
      </c>
      <c r="S5" s="32" t="e">
        <f ca="1">OFFSET(Worksheet!$A$14,,(HLOOKUP(KeyInputs!#REF!,Worksheet!$A$14:$L$15,2,FALSE))+Worksheet!$A$15)</f>
        <v>#REF!</v>
      </c>
      <c r="T5" s="32" t="e">
        <f ca="1">OFFSET(Worksheet!$A$14,,(HLOOKUP(KeyInputs!#REF!,Worksheet!$A$14:$L$15,2,FALSE))+Worksheet!$B$15)</f>
        <v>#REF!</v>
      </c>
      <c r="U5" s="32" t="e">
        <f ca="1">OFFSET(Worksheet!$A$14,,(HLOOKUP(KeyInputs!#REF!,Worksheet!$A$14:$L$15,2,FALSE))+Worksheet!$C$15)</f>
        <v>#REF!</v>
      </c>
      <c r="V5" s="32" t="e">
        <f ca="1">OFFSET(Worksheet!$A$14,,(HLOOKUP(KeyInputs!#REF!,Worksheet!$A$14:$L$15,2,FALSE))+Worksheet!$D$15)</f>
        <v>#REF!</v>
      </c>
      <c r="W5" s="32" t="e">
        <f ca="1">OFFSET(Worksheet!$A$14,,(HLOOKUP(KeyInputs!#REF!,Worksheet!$A$14:$L$15,2,FALSE))+Worksheet!$E$15)</f>
        <v>#REF!</v>
      </c>
      <c r="X5" s="32" t="e">
        <f ca="1">OFFSET(Worksheet!$A$14,,(HLOOKUP(KeyInputs!#REF!,Worksheet!$A$14:$L$15,2,FALSE))+Worksheet!$F$15)</f>
        <v>#REF!</v>
      </c>
      <c r="Y5" s="32" t="e">
        <f ca="1">OFFSET(Worksheet!$A$14,,(HLOOKUP(KeyInputs!#REF!,Worksheet!$A$14:$L$15,2,FALSE))+Worksheet!$G$15)</f>
        <v>#REF!</v>
      </c>
      <c r="Z5" s="32" t="e">
        <f ca="1">OFFSET(Worksheet!$A$14,,(HLOOKUP(KeyInputs!#REF!,Worksheet!$A$14:$L$15,2,FALSE))+Worksheet!$H$15)</f>
        <v>#REF!</v>
      </c>
      <c r="AA5" s="32" t="e">
        <f ca="1">OFFSET(Worksheet!$A$14,,(HLOOKUP(KeyInputs!#REF!,Worksheet!$A$14:$L$15,2,FALSE))+Worksheet!$I$15)</f>
        <v>#REF!</v>
      </c>
      <c r="AB5" s="32" t="e">
        <f ca="1">OFFSET(Worksheet!$A$14,,(HLOOKUP(KeyInputs!#REF!,Worksheet!$A$14:$L$15,2,FALSE))+Worksheet!$J$15)</f>
        <v>#REF!</v>
      </c>
      <c r="AD5" s="31" t="e">
        <f>KeyInputs!#REF!</f>
        <v>#REF!</v>
      </c>
      <c r="AE5" s="32" t="e">
        <f ca="1">OFFSET(Worksheet!$A$14,,(HLOOKUP(KeyInputs!#REF!,Worksheet!$A$14:$L$15,2,FALSE)))</f>
        <v>#REF!</v>
      </c>
      <c r="AF5" s="32" t="e">
        <f ca="1">OFFSET(Worksheet!$A$14,,(HLOOKUP(KeyInputs!#REF!,Worksheet!$A$14:$L$15,2,FALSE))+Worksheet!$A$15)</f>
        <v>#REF!</v>
      </c>
      <c r="AG5" s="32" t="e">
        <f ca="1">OFFSET(Worksheet!$A$14,,(HLOOKUP(KeyInputs!#REF!,Worksheet!$A$14:$L$15,2,FALSE))+Worksheet!$B$15)</f>
        <v>#REF!</v>
      </c>
      <c r="AH5" s="32" t="e">
        <f ca="1">OFFSET(Worksheet!$A$14,,(HLOOKUP(KeyInputs!#REF!,Worksheet!$A$14:$L$15,2,FALSE))+Worksheet!$C$15)</f>
        <v>#REF!</v>
      </c>
      <c r="AI5" s="32" t="e">
        <f ca="1">OFFSET(Worksheet!$A$14,,(HLOOKUP(KeyInputs!#REF!,Worksheet!$A$14:$L$15,2,FALSE))+Worksheet!$D$15)</f>
        <v>#REF!</v>
      </c>
      <c r="AJ5" s="32" t="e">
        <f ca="1">OFFSET(Worksheet!$A$14,,(HLOOKUP(KeyInputs!#REF!,Worksheet!$A$14:$L$15,2,FALSE))+Worksheet!$E$15)</f>
        <v>#REF!</v>
      </c>
      <c r="AK5" s="32" t="e">
        <f ca="1">OFFSET(Worksheet!$A$14,,(HLOOKUP(KeyInputs!#REF!,Worksheet!$A$14:$L$15,2,FALSE))+Worksheet!$F$15)</f>
        <v>#REF!</v>
      </c>
      <c r="AL5" s="32" t="e">
        <f ca="1">OFFSET(Worksheet!$A$14,,(HLOOKUP(KeyInputs!#REF!,Worksheet!$A$14:$L$15,2,FALSE))+Worksheet!$G$15)</f>
        <v>#REF!</v>
      </c>
      <c r="AM5" s="32" t="e">
        <f ca="1">OFFSET(Worksheet!$A$14,,(HLOOKUP(KeyInputs!#REF!,Worksheet!$A$14:$L$15,2,FALSE))+Worksheet!$H$15)</f>
        <v>#REF!</v>
      </c>
      <c r="AN5" s="32" t="e">
        <f ca="1">OFFSET(Worksheet!$A$14,,(HLOOKUP(KeyInputs!#REF!,Worksheet!$A$14:$L$15,2,FALSE))+Worksheet!$I$15)</f>
        <v>#REF!</v>
      </c>
      <c r="AO5" s="32" t="e">
        <f ca="1">OFFSET(Worksheet!$A$14,,(HLOOKUP(KeyInputs!#REF!,Worksheet!$A$14:$L$15,2,FALSE))+Worksheet!$J$15)</f>
        <v>#REF!</v>
      </c>
    </row>
    <row r="6" spans="1:41" x14ac:dyDescent="0.3">
      <c r="A6" s="30"/>
      <c r="B6" s="25"/>
      <c r="C6" s="25"/>
      <c r="D6" s="25"/>
      <c r="E6" s="25"/>
      <c r="F6" s="25"/>
      <c r="G6" s="25"/>
      <c r="H6" s="25"/>
      <c r="I6" s="25"/>
      <c r="J6" s="25"/>
      <c r="K6" s="25"/>
      <c r="L6" s="25"/>
      <c r="M6" s="25"/>
      <c r="N6" s="25"/>
      <c r="O6" s="25"/>
      <c r="Q6" s="25"/>
      <c r="R6" s="25"/>
      <c r="S6" s="25"/>
      <c r="T6" s="25"/>
      <c r="U6" s="25"/>
      <c r="V6" s="25"/>
      <c r="W6" s="25"/>
      <c r="X6" s="25"/>
      <c r="Y6" s="25"/>
      <c r="Z6" s="25"/>
      <c r="AA6" s="25"/>
      <c r="AB6" s="25"/>
      <c r="AD6" s="25"/>
      <c r="AE6" s="25"/>
      <c r="AF6" s="25"/>
      <c r="AG6" s="25"/>
      <c r="AH6" s="25"/>
      <c r="AI6" s="25"/>
      <c r="AJ6" s="25"/>
      <c r="AK6" s="25"/>
      <c r="AL6" s="25"/>
      <c r="AM6" s="25"/>
      <c r="AN6" s="25"/>
      <c r="AO6" s="25"/>
    </row>
    <row r="7" spans="1:41" x14ac:dyDescent="0.3">
      <c r="A7" s="25"/>
      <c r="B7" s="25" t="s">
        <v>81</v>
      </c>
      <c r="C7" s="27" t="e">
        <f>#REF!*KeyInputs!#REF!</f>
        <v>#REF!</v>
      </c>
      <c r="D7" s="27" t="e">
        <f>#REF!*KeyInputs!#REF!</f>
        <v>#REF!</v>
      </c>
      <c r="E7" s="27" t="e">
        <f>#REF!*KeyInputs!#REF!</f>
        <v>#REF!</v>
      </c>
      <c r="F7" s="27" t="e">
        <f>#REF!*KeyInputs!#REF!</f>
        <v>#REF!</v>
      </c>
      <c r="G7" s="27" t="e">
        <f>#REF!*KeyInputs!#REF!</f>
        <v>#REF!</v>
      </c>
      <c r="H7" s="27" t="e">
        <f>#REF!*KeyInputs!#REF!</f>
        <v>#REF!</v>
      </c>
      <c r="I7" s="25"/>
      <c r="J7" s="25"/>
      <c r="K7" s="25"/>
      <c r="L7" s="25"/>
      <c r="M7" s="25"/>
      <c r="N7" s="25"/>
      <c r="O7" s="25"/>
      <c r="Q7" s="27"/>
      <c r="R7" s="27"/>
      <c r="S7" s="27"/>
      <c r="T7" s="27"/>
      <c r="U7" s="27"/>
      <c r="V7" s="25"/>
      <c r="W7" s="25"/>
      <c r="X7" s="25"/>
      <c r="Y7" s="25"/>
      <c r="Z7" s="25"/>
      <c r="AA7" s="25"/>
      <c r="AB7" s="25"/>
      <c r="AD7" s="27"/>
      <c r="AE7" s="27"/>
      <c r="AF7" s="27"/>
      <c r="AG7" s="27"/>
      <c r="AH7" s="27"/>
      <c r="AI7" s="25"/>
      <c r="AJ7" s="25"/>
      <c r="AK7" s="25"/>
      <c r="AL7" s="25"/>
      <c r="AM7" s="25"/>
      <c r="AN7" s="25"/>
      <c r="AO7" s="25"/>
    </row>
    <row r="8" spans="1:41" x14ac:dyDescent="0.3">
      <c r="A8" s="25"/>
      <c r="B8" s="39" t="e">
        <f>D5</f>
        <v>#REF!</v>
      </c>
      <c r="C8" s="27"/>
      <c r="D8" s="27" t="e">
        <f>#REF!*KeyInputs!#REF!</f>
        <v>#REF!</v>
      </c>
      <c r="E8" s="27" t="e">
        <f>#REF!*KeyInputs!#REF!</f>
        <v>#REF!</v>
      </c>
      <c r="F8" s="27" t="e">
        <f>#REF!*KeyInputs!#REF!</f>
        <v>#REF!</v>
      </c>
      <c r="G8" s="27" t="e">
        <f>#REF!*KeyInputs!#REF!</f>
        <v>#REF!</v>
      </c>
      <c r="H8" s="27" t="e">
        <f>#REF!*KeyInputs!#REF!</f>
        <v>#REF!</v>
      </c>
      <c r="I8" s="27" t="e">
        <f>#REF!*KeyInputs!#REF!</f>
        <v>#REF!</v>
      </c>
      <c r="J8" s="25"/>
      <c r="K8" s="25"/>
      <c r="L8" s="25"/>
      <c r="M8" s="25"/>
      <c r="N8" s="25"/>
      <c r="O8" s="25"/>
      <c r="Q8" s="27" t="e">
        <f>#REF!*KeyInputs!#REF!</f>
        <v>#REF!</v>
      </c>
      <c r="R8" s="27" t="e">
        <f>#REF!*KeyInputs!#REF!</f>
        <v>#REF!</v>
      </c>
      <c r="S8" s="27" t="e">
        <f>#REF!*KeyInputs!#REF!</f>
        <v>#REF!</v>
      </c>
      <c r="T8" s="27" t="e">
        <f>#REF!*KeyInputs!#REF!</f>
        <v>#REF!</v>
      </c>
      <c r="U8" s="27" t="e">
        <f>#REF!*KeyInputs!#REF!</f>
        <v>#REF!</v>
      </c>
      <c r="V8" s="27" t="e">
        <f>#REF!*KeyInputs!#REF!</f>
        <v>#REF!</v>
      </c>
      <c r="W8" s="25"/>
      <c r="X8" s="25"/>
      <c r="Y8" s="25"/>
      <c r="Z8" s="25"/>
      <c r="AA8" s="25"/>
      <c r="AB8" s="25"/>
      <c r="AD8" s="27" t="e">
        <f>#REF!*KeyInputs!#REF!</f>
        <v>#REF!</v>
      </c>
      <c r="AE8" s="27" t="e">
        <f>#REF!*KeyInputs!#REF!</f>
        <v>#REF!</v>
      </c>
      <c r="AF8" s="27" t="e">
        <f>#REF!*KeyInputs!#REF!</f>
        <v>#REF!</v>
      </c>
      <c r="AG8" s="27" t="e">
        <f>#REF!*KeyInputs!#REF!</f>
        <v>#REF!</v>
      </c>
      <c r="AH8" s="27" t="e">
        <f>#REF!*KeyInputs!#REF!</f>
        <v>#REF!</v>
      </c>
      <c r="AI8" s="27" t="e">
        <f>#REF!*KeyInputs!#REF!</f>
        <v>#REF!</v>
      </c>
      <c r="AJ8" s="25"/>
      <c r="AK8" s="25"/>
      <c r="AL8" s="25"/>
      <c r="AM8" s="25"/>
      <c r="AN8" s="25"/>
      <c r="AO8" s="25"/>
    </row>
    <row r="9" spans="1:41" x14ac:dyDescent="0.3">
      <c r="A9" s="25"/>
      <c r="B9" s="25" t="e">
        <f ca="1">E5</f>
        <v>#REF!</v>
      </c>
      <c r="C9" s="27"/>
      <c r="D9" s="27"/>
      <c r="E9" s="27" t="e">
        <f>#REF!*KeyInputs!#REF!</f>
        <v>#REF!</v>
      </c>
      <c r="F9" s="27" t="e">
        <f>#REF!*KeyInputs!#REF!</f>
        <v>#REF!</v>
      </c>
      <c r="G9" s="27" t="e">
        <f>#REF!*KeyInputs!#REF!</f>
        <v>#REF!</v>
      </c>
      <c r="H9" s="27" t="e">
        <f>#REF!*KeyInputs!#REF!</f>
        <v>#REF!</v>
      </c>
      <c r="I9" s="27" t="e">
        <f>#REF!*KeyInputs!#REF!</f>
        <v>#REF!</v>
      </c>
      <c r="J9" s="27" t="e">
        <f>#REF!*KeyInputs!#REF!</f>
        <v>#REF!</v>
      </c>
      <c r="K9" s="25"/>
      <c r="L9" s="25"/>
      <c r="M9" s="25"/>
      <c r="N9" s="25"/>
      <c r="O9" s="25"/>
      <c r="Q9" s="27"/>
      <c r="R9" s="27" t="e">
        <f>#REF!*KeyInputs!#REF!</f>
        <v>#REF!</v>
      </c>
      <c r="S9" s="27" t="e">
        <f>#REF!*KeyInputs!#REF!</f>
        <v>#REF!</v>
      </c>
      <c r="T9" s="27" t="e">
        <f>#REF!*KeyInputs!#REF!</f>
        <v>#REF!</v>
      </c>
      <c r="U9" s="27" t="e">
        <f>#REF!*KeyInputs!#REF!</f>
        <v>#REF!</v>
      </c>
      <c r="V9" s="27" t="e">
        <f>#REF!*KeyInputs!#REF!</f>
        <v>#REF!</v>
      </c>
      <c r="W9" s="27" t="e">
        <f>#REF!*KeyInputs!#REF!</f>
        <v>#REF!</v>
      </c>
      <c r="X9" s="25"/>
      <c r="Y9" s="25"/>
      <c r="Z9" s="25"/>
      <c r="AA9" s="25"/>
      <c r="AB9" s="25"/>
      <c r="AD9" s="27"/>
      <c r="AE9" s="27" t="e">
        <f>#REF!*KeyInputs!#REF!</f>
        <v>#REF!</v>
      </c>
      <c r="AF9" s="27" t="e">
        <f>#REF!*KeyInputs!#REF!</f>
        <v>#REF!</v>
      </c>
      <c r="AG9" s="27" t="e">
        <f>#REF!*KeyInputs!#REF!</f>
        <v>#REF!</v>
      </c>
      <c r="AH9" s="27" t="e">
        <f>#REF!*KeyInputs!#REF!</f>
        <v>#REF!</v>
      </c>
      <c r="AI9" s="27" t="e">
        <f>#REF!*KeyInputs!#REF!</f>
        <v>#REF!</v>
      </c>
      <c r="AJ9" s="27" t="e">
        <f>#REF!*KeyInputs!#REF!</f>
        <v>#REF!</v>
      </c>
      <c r="AK9" s="25"/>
      <c r="AL9" s="25"/>
      <c r="AM9" s="25"/>
      <c r="AN9" s="25"/>
      <c r="AO9" s="25"/>
    </row>
    <row r="10" spans="1:41" x14ac:dyDescent="0.3">
      <c r="A10" s="25"/>
      <c r="B10" s="25" t="e">
        <f ca="1">F5</f>
        <v>#REF!</v>
      </c>
      <c r="C10" s="27"/>
      <c r="D10" s="27"/>
      <c r="E10" s="25"/>
      <c r="F10" s="27" t="e">
        <f>#REF!*KeyInputs!#REF!</f>
        <v>#REF!</v>
      </c>
      <c r="G10" s="27" t="e">
        <f>#REF!*KeyInputs!#REF!</f>
        <v>#REF!</v>
      </c>
      <c r="H10" s="27" t="e">
        <f>#REF!*KeyInputs!#REF!</f>
        <v>#REF!</v>
      </c>
      <c r="I10" s="27" t="e">
        <f>#REF!*KeyInputs!#REF!</f>
        <v>#REF!</v>
      </c>
      <c r="J10" s="27" t="e">
        <f>#REF!*KeyInputs!#REF!</f>
        <v>#REF!</v>
      </c>
      <c r="K10" s="27" t="e">
        <f>#REF!*KeyInputs!#REF!</f>
        <v>#REF!</v>
      </c>
      <c r="L10" s="25"/>
      <c r="M10" s="25"/>
      <c r="N10" s="25"/>
      <c r="O10" s="25"/>
      <c r="Q10" s="27"/>
      <c r="R10" s="25"/>
      <c r="S10" s="27" t="e">
        <f>#REF!*KeyInputs!#REF!</f>
        <v>#REF!</v>
      </c>
      <c r="T10" s="27" t="e">
        <f>#REF!*KeyInputs!#REF!</f>
        <v>#REF!</v>
      </c>
      <c r="U10" s="27" t="e">
        <f>#REF!*KeyInputs!#REF!</f>
        <v>#REF!</v>
      </c>
      <c r="V10" s="27" t="e">
        <f>#REF!*KeyInputs!#REF!</f>
        <v>#REF!</v>
      </c>
      <c r="W10" s="27" t="e">
        <f>#REF!*KeyInputs!#REF!</f>
        <v>#REF!</v>
      </c>
      <c r="X10" s="27" t="e">
        <f>#REF!*KeyInputs!#REF!</f>
        <v>#REF!</v>
      </c>
      <c r="Y10" s="25"/>
      <c r="Z10" s="25"/>
      <c r="AA10" s="25"/>
      <c r="AB10" s="25"/>
      <c r="AD10" s="27"/>
      <c r="AE10" s="25"/>
      <c r="AF10" s="27" t="e">
        <f>#REF!*KeyInputs!#REF!</f>
        <v>#REF!</v>
      </c>
      <c r="AG10" s="27" t="e">
        <f>#REF!*KeyInputs!#REF!</f>
        <v>#REF!</v>
      </c>
      <c r="AH10" s="27" t="e">
        <f>#REF!*KeyInputs!#REF!</f>
        <v>#REF!</v>
      </c>
      <c r="AI10" s="27" t="e">
        <f>#REF!*KeyInputs!#REF!</f>
        <v>#REF!</v>
      </c>
      <c r="AJ10" s="27" t="e">
        <f>#REF!*KeyInputs!#REF!</f>
        <v>#REF!</v>
      </c>
      <c r="AK10" s="27" t="e">
        <f>#REF!*KeyInputs!#REF!</f>
        <v>#REF!</v>
      </c>
      <c r="AL10" s="25"/>
      <c r="AM10" s="25"/>
      <c r="AN10" s="25"/>
      <c r="AO10" s="25"/>
    </row>
    <row r="11" spans="1:41" x14ac:dyDescent="0.3">
      <c r="A11" s="30"/>
      <c r="B11" s="25" t="e">
        <f ca="1">G5</f>
        <v>#REF!</v>
      </c>
      <c r="C11" s="27"/>
      <c r="D11" s="27"/>
      <c r="E11" s="25"/>
      <c r="F11" s="25"/>
      <c r="G11" s="27" t="e">
        <f>#REF!*KeyInputs!#REF!</f>
        <v>#REF!</v>
      </c>
      <c r="H11" s="27" t="e">
        <f>#REF!*KeyInputs!#REF!</f>
        <v>#REF!</v>
      </c>
      <c r="I11" s="27" t="e">
        <f>#REF!*KeyInputs!#REF!</f>
        <v>#REF!</v>
      </c>
      <c r="J11" s="27" t="e">
        <f>#REF!*KeyInputs!#REF!</f>
        <v>#REF!</v>
      </c>
      <c r="K11" s="27" t="e">
        <f>#REF!*KeyInputs!#REF!</f>
        <v>#REF!</v>
      </c>
      <c r="L11" s="27" t="e">
        <f>#REF!*KeyInputs!#REF!</f>
        <v>#REF!</v>
      </c>
      <c r="M11" s="25"/>
      <c r="N11" s="25"/>
      <c r="O11" s="25"/>
      <c r="Q11" s="27"/>
      <c r="R11" s="25"/>
      <c r="S11" s="25"/>
      <c r="T11" s="27" t="e">
        <f>#REF!*KeyInputs!#REF!</f>
        <v>#REF!</v>
      </c>
      <c r="U11" s="27" t="e">
        <f>#REF!*KeyInputs!#REF!</f>
        <v>#REF!</v>
      </c>
      <c r="V11" s="27" t="e">
        <f>#REF!*KeyInputs!#REF!</f>
        <v>#REF!</v>
      </c>
      <c r="W11" s="27" t="e">
        <f>#REF!*KeyInputs!#REF!</f>
        <v>#REF!</v>
      </c>
      <c r="X11" s="27" t="e">
        <f>#REF!*KeyInputs!#REF!</f>
        <v>#REF!</v>
      </c>
      <c r="Y11" s="27" t="e">
        <f>#REF!*KeyInputs!#REF!</f>
        <v>#REF!</v>
      </c>
      <c r="Z11" s="25"/>
      <c r="AA11" s="25"/>
      <c r="AB11" s="25"/>
      <c r="AD11" s="27"/>
      <c r="AE11" s="25"/>
      <c r="AF11" s="25"/>
      <c r="AG11" s="27" t="e">
        <f>#REF!*KeyInputs!#REF!</f>
        <v>#REF!</v>
      </c>
      <c r="AH11" s="27" t="e">
        <f>#REF!*KeyInputs!#REF!</f>
        <v>#REF!</v>
      </c>
      <c r="AI11" s="27" t="e">
        <f>#REF!*KeyInputs!#REF!</f>
        <v>#REF!</v>
      </c>
      <c r="AJ11" s="27" t="e">
        <f>#REF!*KeyInputs!#REF!</f>
        <v>#REF!</v>
      </c>
      <c r="AK11" s="27" t="e">
        <f>#REF!*KeyInputs!#REF!</f>
        <v>#REF!</v>
      </c>
      <c r="AL11" s="27" t="e">
        <f>#REF!*KeyInputs!#REF!</f>
        <v>#REF!</v>
      </c>
      <c r="AM11" s="25"/>
      <c r="AN11" s="25"/>
      <c r="AO11" s="25"/>
    </row>
    <row r="12" spans="1:41" x14ac:dyDescent="0.3">
      <c r="A12" s="25"/>
      <c r="B12" s="25" t="e">
        <f ca="1">H5</f>
        <v>#REF!</v>
      </c>
      <c r="C12" s="27"/>
      <c r="D12" s="27"/>
      <c r="E12" s="25"/>
      <c r="F12" s="25"/>
      <c r="G12" s="25"/>
      <c r="H12" s="27" t="e">
        <f>#REF!*KeyInputs!#REF!</f>
        <v>#REF!</v>
      </c>
      <c r="I12" s="27" t="e">
        <f>#REF!*KeyInputs!#REF!</f>
        <v>#REF!</v>
      </c>
      <c r="J12" s="27" t="e">
        <f>#REF!*KeyInputs!#REF!</f>
        <v>#REF!</v>
      </c>
      <c r="K12" s="27" t="e">
        <f>#REF!*KeyInputs!#REF!</f>
        <v>#REF!</v>
      </c>
      <c r="L12" s="27" t="e">
        <f>#REF!*KeyInputs!#REF!</f>
        <v>#REF!</v>
      </c>
      <c r="M12" s="27" t="e">
        <f>#REF!*KeyInputs!#REF!</f>
        <v>#REF!</v>
      </c>
      <c r="N12" s="25"/>
      <c r="O12" s="25"/>
      <c r="Q12" s="27"/>
      <c r="R12" s="25"/>
      <c r="S12" s="25"/>
      <c r="T12" s="25"/>
      <c r="U12" s="27" t="e">
        <f>#REF!*KeyInputs!#REF!</f>
        <v>#REF!</v>
      </c>
      <c r="V12" s="27" t="e">
        <f>#REF!*KeyInputs!#REF!</f>
        <v>#REF!</v>
      </c>
      <c r="W12" s="27" t="e">
        <f>#REF!*KeyInputs!#REF!</f>
        <v>#REF!</v>
      </c>
      <c r="X12" s="27" t="e">
        <f>#REF!*KeyInputs!#REF!</f>
        <v>#REF!</v>
      </c>
      <c r="Y12" s="27" t="e">
        <f>#REF!*KeyInputs!#REF!</f>
        <v>#REF!</v>
      </c>
      <c r="Z12" s="27" t="e">
        <f>#REF!*KeyInputs!#REF!</f>
        <v>#REF!</v>
      </c>
      <c r="AA12" s="25"/>
      <c r="AB12" s="25"/>
      <c r="AD12" s="27"/>
      <c r="AE12" s="25"/>
      <c r="AF12" s="25"/>
      <c r="AG12" s="25"/>
      <c r="AH12" s="27" t="e">
        <f>#REF!*KeyInputs!#REF!</f>
        <v>#REF!</v>
      </c>
      <c r="AI12" s="27" t="e">
        <f>#REF!*KeyInputs!#REF!</f>
        <v>#REF!</v>
      </c>
      <c r="AJ12" s="27" t="e">
        <f>#REF!*KeyInputs!#REF!</f>
        <v>#REF!</v>
      </c>
      <c r="AK12" s="27" t="e">
        <f>#REF!*KeyInputs!#REF!</f>
        <v>#REF!</v>
      </c>
      <c r="AL12" s="27" t="e">
        <f>#REF!*KeyInputs!#REF!</f>
        <v>#REF!</v>
      </c>
      <c r="AM12" s="27" t="e">
        <f>#REF!*KeyInputs!#REF!</f>
        <v>#REF!</v>
      </c>
      <c r="AN12" s="25"/>
      <c r="AO12" s="25"/>
    </row>
    <row r="13" spans="1:41" x14ac:dyDescent="0.3">
      <c r="A13" s="25"/>
      <c r="B13" s="25" t="e">
        <f ca="1">I5</f>
        <v>#REF!</v>
      </c>
      <c r="C13" s="27"/>
      <c r="D13" s="27"/>
      <c r="E13" s="25"/>
      <c r="F13" s="25"/>
      <c r="G13" s="25"/>
      <c r="H13" s="25"/>
      <c r="I13" s="27" t="e">
        <f>#REF!*KeyInputs!#REF!</f>
        <v>#REF!</v>
      </c>
      <c r="J13" s="27" t="e">
        <f>#REF!*KeyInputs!#REF!</f>
        <v>#REF!</v>
      </c>
      <c r="K13" s="27" t="e">
        <f>#REF!*KeyInputs!#REF!</f>
        <v>#REF!</v>
      </c>
      <c r="L13" s="27" t="e">
        <f>#REF!*KeyInputs!#REF!</f>
        <v>#REF!</v>
      </c>
      <c r="M13" s="27" t="e">
        <f>#REF!*KeyInputs!#REF!</f>
        <v>#REF!</v>
      </c>
      <c r="N13" s="27" t="e">
        <f>#REF!*KeyInputs!#REF!</f>
        <v>#REF!</v>
      </c>
      <c r="O13" s="25"/>
      <c r="Q13" s="27"/>
      <c r="R13" s="25"/>
      <c r="S13" s="25"/>
      <c r="T13" s="25"/>
      <c r="U13" s="25"/>
      <c r="V13" s="27" t="e">
        <f>#REF!*KeyInputs!#REF!</f>
        <v>#REF!</v>
      </c>
      <c r="W13" s="27" t="e">
        <f>#REF!*KeyInputs!#REF!</f>
        <v>#REF!</v>
      </c>
      <c r="X13" s="27" t="e">
        <f>#REF!*KeyInputs!#REF!</f>
        <v>#REF!</v>
      </c>
      <c r="Y13" s="27" t="e">
        <f>#REF!*KeyInputs!#REF!</f>
        <v>#REF!</v>
      </c>
      <c r="Z13" s="27" t="e">
        <f>#REF!*KeyInputs!#REF!</f>
        <v>#REF!</v>
      </c>
      <c r="AA13" s="27" t="e">
        <f>#REF!*KeyInputs!#REF!</f>
        <v>#REF!</v>
      </c>
      <c r="AB13" s="25"/>
      <c r="AD13" s="27"/>
      <c r="AE13" s="25"/>
      <c r="AF13" s="25"/>
      <c r="AG13" s="25"/>
      <c r="AH13" s="25"/>
      <c r="AI13" s="27" t="e">
        <f>#REF!*KeyInputs!#REF!</f>
        <v>#REF!</v>
      </c>
      <c r="AJ13" s="27" t="e">
        <f>#REF!*KeyInputs!#REF!</f>
        <v>#REF!</v>
      </c>
      <c r="AK13" s="27" t="e">
        <f>#REF!*KeyInputs!#REF!</f>
        <v>#REF!</v>
      </c>
      <c r="AL13" s="27" t="e">
        <f>#REF!*KeyInputs!#REF!</f>
        <v>#REF!</v>
      </c>
      <c r="AM13" s="27" t="e">
        <f>#REF!*KeyInputs!#REF!</f>
        <v>#REF!</v>
      </c>
      <c r="AN13" s="27" t="e">
        <f>#REF!*KeyInputs!#REF!</f>
        <v>#REF!</v>
      </c>
      <c r="AO13" s="25"/>
    </row>
    <row r="14" spans="1:41" x14ac:dyDescent="0.3">
      <c r="A14" s="25"/>
      <c r="B14" s="25" t="e">
        <f ca="1">J5</f>
        <v>#REF!</v>
      </c>
      <c r="C14" s="27"/>
      <c r="D14" s="27"/>
      <c r="E14" s="25"/>
      <c r="F14" s="25"/>
      <c r="G14" s="25"/>
      <c r="H14" s="25"/>
      <c r="I14" s="25"/>
      <c r="J14" s="27" t="e">
        <f>#REF!*KeyInputs!#REF!</f>
        <v>#REF!</v>
      </c>
      <c r="K14" s="27" t="e">
        <f>#REF!*KeyInputs!#REF!</f>
        <v>#REF!</v>
      </c>
      <c r="L14" s="27" t="e">
        <f>#REF!*KeyInputs!#REF!</f>
        <v>#REF!</v>
      </c>
      <c r="M14" s="27" t="e">
        <f>#REF!*KeyInputs!#REF!</f>
        <v>#REF!</v>
      </c>
      <c r="N14" s="27" t="e">
        <f>#REF!*KeyInputs!#REF!</f>
        <v>#REF!</v>
      </c>
      <c r="O14" s="27" t="e">
        <f>#REF!*KeyInputs!#REF!</f>
        <v>#REF!</v>
      </c>
      <c r="Q14" s="27"/>
      <c r="R14" s="25"/>
      <c r="S14" s="25"/>
      <c r="T14" s="25"/>
      <c r="U14" s="25"/>
      <c r="V14" s="25"/>
      <c r="W14" s="27" t="e">
        <f>#REF!*KeyInputs!#REF!</f>
        <v>#REF!</v>
      </c>
      <c r="X14" s="27" t="e">
        <f>#REF!*KeyInputs!#REF!</f>
        <v>#REF!</v>
      </c>
      <c r="Y14" s="27" t="e">
        <f>#REF!*KeyInputs!#REF!</f>
        <v>#REF!</v>
      </c>
      <c r="Z14" s="27" t="e">
        <f>#REF!*KeyInputs!#REF!</f>
        <v>#REF!</v>
      </c>
      <c r="AA14" s="27" t="e">
        <f>#REF!*KeyInputs!#REF!</f>
        <v>#REF!</v>
      </c>
      <c r="AB14" s="27" t="e">
        <f>#REF!*KeyInputs!#REF!</f>
        <v>#REF!</v>
      </c>
      <c r="AD14" s="27"/>
      <c r="AE14" s="25"/>
      <c r="AF14" s="25"/>
      <c r="AG14" s="25"/>
      <c r="AH14" s="25"/>
      <c r="AI14" s="25"/>
      <c r="AJ14" s="27" t="e">
        <f>#REF!*KeyInputs!#REF!</f>
        <v>#REF!</v>
      </c>
      <c r="AK14" s="27" t="e">
        <f>#REF!*KeyInputs!#REF!</f>
        <v>#REF!</v>
      </c>
      <c r="AL14" s="27" t="e">
        <f>#REF!*KeyInputs!#REF!</f>
        <v>#REF!</v>
      </c>
      <c r="AM14" s="27" t="e">
        <f>#REF!*KeyInputs!#REF!</f>
        <v>#REF!</v>
      </c>
      <c r="AN14" s="27" t="e">
        <f>#REF!*KeyInputs!#REF!</f>
        <v>#REF!</v>
      </c>
      <c r="AO14" s="27" t="e">
        <f>#REF!*KeyInputs!#REF!</f>
        <v>#REF!</v>
      </c>
    </row>
    <row r="15" spans="1:41" x14ac:dyDescent="0.3">
      <c r="A15" s="25"/>
      <c r="B15" s="25" t="e">
        <f ca="1">K5</f>
        <v>#REF!</v>
      </c>
      <c r="C15" s="27"/>
      <c r="D15" s="27"/>
      <c r="E15" s="25"/>
      <c r="F15" s="25"/>
      <c r="G15" s="25"/>
      <c r="H15" s="25"/>
      <c r="I15" s="25"/>
      <c r="J15" s="25"/>
      <c r="K15" s="27" t="e">
        <f>#REF!*KeyInputs!#REF!</f>
        <v>#REF!</v>
      </c>
      <c r="L15" s="27" t="e">
        <f>#REF!*KeyInputs!#REF!</f>
        <v>#REF!</v>
      </c>
      <c r="M15" s="27" t="e">
        <f>#REF!*KeyInputs!#REF!</f>
        <v>#REF!</v>
      </c>
      <c r="N15" s="27" t="e">
        <f>#REF!*KeyInputs!#REF!</f>
        <v>#REF!</v>
      </c>
      <c r="O15" s="27" t="e">
        <f>#REF!*KeyInputs!#REF!</f>
        <v>#REF!</v>
      </c>
      <c r="P15" s="27"/>
      <c r="Q15" s="27" t="e">
        <f>#REF!*KeyInputs!#REF!</f>
        <v>#REF!</v>
      </c>
      <c r="R15" s="25"/>
      <c r="S15" s="25"/>
      <c r="T15" s="25"/>
      <c r="U15" s="25"/>
      <c r="V15" s="25"/>
      <c r="W15" s="25"/>
      <c r="X15" s="27" t="e">
        <f>#REF!*KeyInputs!#REF!</f>
        <v>#REF!</v>
      </c>
      <c r="Y15" s="27" t="e">
        <f>#REF!*KeyInputs!#REF!</f>
        <v>#REF!</v>
      </c>
      <c r="Z15" s="27" t="e">
        <f>#REF!*KeyInputs!#REF!</f>
        <v>#REF!</v>
      </c>
      <c r="AA15" s="27" t="e">
        <f>#REF!*KeyInputs!#REF!</f>
        <v>#REF!</v>
      </c>
      <c r="AB15" s="27" t="e">
        <f>#REF!*KeyInputs!#REF!</f>
        <v>#REF!</v>
      </c>
      <c r="AC15" s="27"/>
      <c r="AD15" s="27" t="e">
        <f>#REF!*KeyInputs!#REF!</f>
        <v>#REF!</v>
      </c>
      <c r="AE15" s="25"/>
      <c r="AF15" s="25"/>
      <c r="AG15" s="25"/>
      <c r="AH15" s="25"/>
      <c r="AI15" s="25"/>
      <c r="AJ15" s="25"/>
      <c r="AK15" s="27" t="e">
        <f>#REF!*KeyInputs!#REF!</f>
        <v>#REF!</v>
      </c>
      <c r="AL15" s="27" t="e">
        <f>#REF!*KeyInputs!#REF!</f>
        <v>#REF!</v>
      </c>
      <c r="AM15" s="27" t="e">
        <f>#REF!*KeyInputs!#REF!</f>
        <v>#REF!</v>
      </c>
      <c r="AN15" s="27" t="e">
        <f>#REF!*KeyInputs!#REF!</f>
        <v>#REF!</v>
      </c>
      <c r="AO15" s="27" t="e">
        <f>#REF!*KeyInputs!#REF!</f>
        <v>#REF!</v>
      </c>
    </row>
    <row r="16" spans="1:41" x14ac:dyDescent="0.3">
      <c r="A16" s="30"/>
      <c r="B16" s="25" t="e">
        <f ca="1">L5</f>
        <v>#REF!</v>
      </c>
      <c r="C16" s="27"/>
      <c r="D16" s="27"/>
      <c r="E16" s="25"/>
      <c r="F16" s="25"/>
      <c r="G16" s="25"/>
      <c r="H16" s="25"/>
      <c r="I16" s="25"/>
      <c r="J16" s="25"/>
      <c r="K16" s="25"/>
      <c r="L16" s="27" t="e">
        <f>#REF!*KeyInputs!#REF!</f>
        <v>#REF!</v>
      </c>
      <c r="M16" s="27" t="e">
        <f>#REF!*KeyInputs!#REF!</f>
        <v>#REF!</v>
      </c>
      <c r="N16" s="27" t="e">
        <f>#REF!*KeyInputs!#REF!</f>
        <v>#REF!</v>
      </c>
      <c r="O16" s="27" t="e">
        <f>#REF!*KeyInputs!#REF!</f>
        <v>#REF!</v>
      </c>
      <c r="P16" s="27"/>
      <c r="Q16" s="27" t="e">
        <f>#REF!*KeyInputs!#REF!</f>
        <v>#REF!</v>
      </c>
      <c r="R16" s="27" t="e">
        <f>#REF!*KeyInputs!#REF!</f>
        <v>#REF!</v>
      </c>
      <c r="S16" s="25"/>
      <c r="T16" s="25"/>
      <c r="U16" s="25"/>
      <c r="V16" s="25"/>
      <c r="W16" s="25"/>
      <c r="X16" s="25"/>
      <c r="Y16" s="27" t="e">
        <f>#REF!*KeyInputs!#REF!</f>
        <v>#REF!</v>
      </c>
      <c r="Z16" s="27" t="e">
        <f>#REF!*KeyInputs!#REF!</f>
        <v>#REF!</v>
      </c>
      <c r="AA16" s="27" t="e">
        <f>#REF!*KeyInputs!#REF!</f>
        <v>#REF!</v>
      </c>
      <c r="AB16" s="27" t="e">
        <f>#REF!*KeyInputs!#REF!</f>
        <v>#REF!</v>
      </c>
      <c r="AC16" s="27"/>
      <c r="AD16" s="27" t="e">
        <f>#REF!*KeyInputs!#REF!</f>
        <v>#REF!</v>
      </c>
      <c r="AE16" s="27" t="e">
        <f>#REF!*KeyInputs!#REF!</f>
        <v>#REF!</v>
      </c>
      <c r="AF16" s="25"/>
      <c r="AG16" s="25"/>
      <c r="AH16" s="25"/>
      <c r="AI16" s="25"/>
      <c r="AJ16" s="25"/>
      <c r="AK16" s="25"/>
      <c r="AL16" s="27" t="e">
        <f>#REF!*KeyInputs!#REF!</f>
        <v>#REF!</v>
      </c>
      <c r="AM16" s="27" t="e">
        <f>#REF!*KeyInputs!#REF!</f>
        <v>#REF!</v>
      </c>
      <c r="AN16" s="27" t="e">
        <f>#REF!*KeyInputs!#REF!</f>
        <v>#REF!</v>
      </c>
      <c r="AO16" s="27" t="e">
        <f>#REF!*KeyInputs!#REF!</f>
        <v>#REF!</v>
      </c>
    </row>
    <row r="17" spans="1:41" x14ac:dyDescent="0.3">
      <c r="A17" s="25"/>
      <c r="B17" s="25" t="e">
        <f ca="1">M5</f>
        <v>#REF!</v>
      </c>
      <c r="C17" s="27"/>
      <c r="D17" s="27"/>
      <c r="E17" s="25"/>
      <c r="F17" s="25"/>
      <c r="G17" s="25"/>
      <c r="H17" s="25"/>
      <c r="I17" s="25"/>
      <c r="J17" s="25"/>
      <c r="K17" s="25"/>
      <c r="L17" s="25"/>
      <c r="M17" s="27" t="e">
        <f>#REF!*KeyInputs!#REF!</f>
        <v>#REF!</v>
      </c>
      <c r="N17" s="27" t="e">
        <f>#REF!*KeyInputs!#REF!</f>
        <v>#REF!</v>
      </c>
      <c r="O17" s="27" t="e">
        <f>#REF!*KeyInputs!#REF!</f>
        <v>#REF!</v>
      </c>
      <c r="P17" s="27"/>
      <c r="Q17" s="27" t="e">
        <f>#REF!*KeyInputs!#REF!</f>
        <v>#REF!</v>
      </c>
      <c r="R17" s="27" t="e">
        <f>#REF!*KeyInputs!#REF!</f>
        <v>#REF!</v>
      </c>
      <c r="S17" s="27" t="e">
        <f>#REF!*KeyInputs!#REF!</f>
        <v>#REF!</v>
      </c>
      <c r="T17" s="25"/>
      <c r="U17" s="25"/>
      <c r="V17" s="25"/>
      <c r="W17" s="25"/>
      <c r="X17" s="25"/>
      <c r="Y17" s="25"/>
      <c r="Z17" s="27" t="e">
        <f>#REF!*KeyInputs!#REF!</f>
        <v>#REF!</v>
      </c>
      <c r="AA17" s="27" t="e">
        <f>#REF!*KeyInputs!#REF!</f>
        <v>#REF!</v>
      </c>
      <c r="AB17" s="27" t="e">
        <f>#REF!*KeyInputs!#REF!</f>
        <v>#REF!</v>
      </c>
      <c r="AC17" s="27"/>
      <c r="AD17" s="27" t="e">
        <f>#REF!*KeyInputs!#REF!</f>
        <v>#REF!</v>
      </c>
      <c r="AE17" s="27" t="e">
        <f>#REF!*KeyInputs!#REF!</f>
        <v>#REF!</v>
      </c>
      <c r="AF17" s="27" t="e">
        <f>#REF!*KeyInputs!#REF!</f>
        <v>#REF!</v>
      </c>
      <c r="AG17" s="25"/>
      <c r="AH17" s="25"/>
      <c r="AI17" s="25"/>
      <c r="AJ17" s="25"/>
      <c r="AK17" s="25"/>
      <c r="AL17" s="25"/>
      <c r="AM17" s="27" t="e">
        <f>#REF!*KeyInputs!#REF!</f>
        <v>#REF!</v>
      </c>
      <c r="AN17" s="27" t="e">
        <f>#REF!*KeyInputs!#REF!</f>
        <v>#REF!</v>
      </c>
      <c r="AO17" s="27" t="e">
        <f>#REF!*KeyInputs!#REF!</f>
        <v>#REF!</v>
      </c>
    </row>
    <row r="18" spans="1:41" x14ac:dyDescent="0.3">
      <c r="A18" s="25"/>
      <c r="B18" s="25" t="e">
        <f ca="1">N5</f>
        <v>#REF!</v>
      </c>
      <c r="C18" s="27"/>
      <c r="D18" s="27"/>
      <c r="E18" s="25"/>
      <c r="F18" s="25"/>
      <c r="G18" s="25"/>
      <c r="H18" s="25"/>
      <c r="I18" s="25"/>
      <c r="J18" s="25"/>
      <c r="K18" s="25"/>
      <c r="L18" s="25"/>
      <c r="M18" s="25"/>
      <c r="N18" s="27" t="e">
        <f>#REF!*KeyInputs!#REF!</f>
        <v>#REF!</v>
      </c>
      <c r="O18" s="27" t="e">
        <f>#REF!*KeyInputs!#REF!</f>
        <v>#REF!</v>
      </c>
      <c r="P18" s="27"/>
      <c r="Q18" s="27" t="e">
        <f>#REF!*KeyInputs!#REF!</f>
        <v>#REF!</v>
      </c>
      <c r="R18" s="27" t="e">
        <f>#REF!*KeyInputs!#REF!</f>
        <v>#REF!</v>
      </c>
      <c r="S18" s="27" t="e">
        <f>#REF!*KeyInputs!#REF!</f>
        <v>#REF!</v>
      </c>
      <c r="T18" s="27" t="e">
        <f>#REF!*KeyInputs!#REF!</f>
        <v>#REF!</v>
      </c>
      <c r="U18" s="25"/>
      <c r="V18" s="25"/>
      <c r="W18" s="25"/>
      <c r="X18" s="25"/>
      <c r="Y18" s="25"/>
      <c r="Z18" s="25"/>
      <c r="AA18" s="27" t="e">
        <f>#REF!*KeyInputs!#REF!</f>
        <v>#REF!</v>
      </c>
      <c r="AB18" s="27" t="e">
        <f>#REF!*KeyInputs!#REF!</f>
        <v>#REF!</v>
      </c>
      <c r="AC18" s="27"/>
      <c r="AD18" s="27" t="e">
        <f>#REF!*KeyInputs!#REF!</f>
        <v>#REF!</v>
      </c>
      <c r="AE18" s="27" t="e">
        <f>#REF!*KeyInputs!#REF!</f>
        <v>#REF!</v>
      </c>
      <c r="AF18" s="27" t="e">
        <f>#REF!*KeyInputs!#REF!</f>
        <v>#REF!</v>
      </c>
      <c r="AG18" s="27" t="e">
        <f>#REF!*KeyInputs!#REF!</f>
        <v>#REF!</v>
      </c>
      <c r="AH18" s="25"/>
      <c r="AI18" s="25"/>
      <c r="AJ18" s="25"/>
      <c r="AK18" s="25"/>
      <c r="AL18" s="25"/>
      <c r="AM18" s="25"/>
      <c r="AN18" s="27" t="e">
        <f>#REF!*KeyInputs!#REF!</f>
        <v>#REF!</v>
      </c>
      <c r="AO18" s="27" t="e">
        <f>#REF!*KeyInputs!#REF!</f>
        <v>#REF!</v>
      </c>
    </row>
    <row r="19" spans="1:41" x14ac:dyDescent="0.3">
      <c r="A19" s="25"/>
      <c r="B19" s="25" t="e">
        <f ca="1">O5</f>
        <v>#REF!</v>
      </c>
      <c r="C19" s="27"/>
      <c r="D19" s="27"/>
      <c r="E19" s="25"/>
      <c r="F19" s="25"/>
      <c r="G19" s="25"/>
      <c r="H19" s="25"/>
      <c r="I19" s="25"/>
      <c r="J19" s="25"/>
      <c r="K19" s="25"/>
      <c r="L19" s="25"/>
      <c r="M19" s="25"/>
      <c r="N19" s="25"/>
      <c r="O19" s="27" t="e">
        <f>#REF!*KeyInputs!#REF!</f>
        <v>#REF!</v>
      </c>
      <c r="P19" s="27"/>
      <c r="Q19" s="27" t="e">
        <f>#REF!*KeyInputs!#REF!</f>
        <v>#REF!</v>
      </c>
      <c r="R19" s="27" t="e">
        <f>#REF!*KeyInputs!#REF!</f>
        <v>#REF!</v>
      </c>
      <c r="S19" s="27" t="e">
        <f>#REF!*KeyInputs!#REF!</f>
        <v>#REF!</v>
      </c>
      <c r="T19" s="27" t="e">
        <f>#REF!*KeyInputs!#REF!</f>
        <v>#REF!</v>
      </c>
      <c r="U19" s="27" t="e">
        <f>#REF!*KeyInputs!#REF!</f>
        <v>#REF!</v>
      </c>
      <c r="V19" s="25"/>
      <c r="W19" s="25"/>
      <c r="X19" s="25"/>
      <c r="Y19" s="25"/>
      <c r="Z19" s="25"/>
      <c r="AA19" s="25"/>
      <c r="AB19" s="27" t="e">
        <f>#REF!*KeyInputs!#REF!</f>
        <v>#REF!</v>
      </c>
      <c r="AC19" s="27"/>
      <c r="AD19" s="27" t="e">
        <f>#REF!*KeyInputs!#REF!</f>
        <v>#REF!</v>
      </c>
      <c r="AE19" s="27" t="e">
        <f>#REF!*KeyInputs!#REF!</f>
        <v>#REF!</v>
      </c>
      <c r="AF19" s="27" t="e">
        <f>#REF!*KeyInputs!#REF!</f>
        <v>#REF!</v>
      </c>
      <c r="AG19" s="27" t="e">
        <f>#REF!*KeyInputs!#REF!</f>
        <v>#REF!</v>
      </c>
      <c r="AH19" s="27" t="e">
        <f>#REF!*KeyInputs!#REF!</f>
        <v>#REF!</v>
      </c>
      <c r="AI19" s="25"/>
      <c r="AJ19" s="25"/>
      <c r="AK19" s="25"/>
      <c r="AL19" s="25"/>
      <c r="AM19" s="25"/>
      <c r="AN19" s="25"/>
      <c r="AO19" s="27" t="e">
        <f>#REF!*KeyInputs!#REF!</f>
        <v>#REF!</v>
      </c>
    </row>
    <row r="20" spans="1:41" x14ac:dyDescent="0.3">
      <c r="A20" s="25"/>
      <c r="B20" s="25"/>
      <c r="C20" s="25" t="e">
        <f>SUM(C7:C19)</f>
        <v>#REF!</v>
      </c>
      <c r="D20" s="25" t="e">
        <f t="shared" ref="D20:O20" si="0">SUM(D7:D19)</f>
        <v>#REF!</v>
      </c>
      <c r="E20" s="25" t="e">
        <f t="shared" si="0"/>
        <v>#REF!</v>
      </c>
      <c r="F20" s="25" t="e">
        <f t="shared" si="0"/>
        <v>#REF!</v>
      </c>
      <c r="G20" s="25" t="e">
        <f t="shared" si="0"/>
        <v>#REF!</v>
      </c>
      <c r="H20" s="25" t="e">
        <f t="shared" si="0"/>
        <v>#REF!</v>
      </c>
      <c r="I20" s="25" t="e">
        <f t="shared" si="0"/>
        <v>#REF!</v>
      </c>
      <c r="J20" s="25" t="e">
        <f t="shared" si="0"/>
        <v>#REF!</v>
      </c>
      <c r="K20" s="25" t="e">
        <f t="shared" si="0"/>
        <v>#REF!</v>
      </c>
      <c r="L20" s="25" t="e">
        <f t="shared" si="0"/>
        <v>#REF!</v>
      </c>
      <c r="M20" s="25" t="e">
        <f t="shared" si="0"/>
        <v>#REF!</v>
      </c>
      <c r="N20" s="25" t="e">
        <f t="shared" si="0"/>
        <v>#REF!</v>
      </c>
      <c r="O20" s="25" t="e">
        <f t="shared" si="0"/>
        <v>#REF!</v>
      </c>
      <c r="Q20" s="25" t="e">
        <f t="shared" ref="Q20:AB20" si="1">SUM(Q7:Q19)</f>
        <v>#REF!</v>
      </c>
      <c r="R20" s="25" t="e">
        <f t="shared" si="1"/>
        <v>#REF!</v>
      </c>
      <c r="S20" s="25" t="e">
        <f t="shared" si="1"/>
        <v>#REF!</v>
      </c>
      <c r="T20" s="25" t="e">
        <f t="shared" si="1"/>
        <v>#REF!</v>
      </c>
      <c r="U20" s="25" t="e">
        <f t="shared" si="1"/>
        <v>#REF!</v>
      </c>
      <c r="V20" s="25" t="e">
        <f t="shared" si="1"/>
        <v>#REF!</v>
      </c>
      <c r="W20" s="25" t="e">
        <f t="shared" si="1"/>
        <v>#REF!</v>
      </c>
      <c r="X20" s="25" t="e">
        <f t="shared" si="1"/>
        <v>#REF!</v>
      </c>
      <c r="Y20" s="25" t="e">
        <f t="shared" si="1"/>
        <v>#REF!</v>
      </c>
      <c r="Z20" s="25" t="e">
        <f t="shared" si="1"/>
        <v>#REF!</v>
      </c>
      <c r="AA20" s="25" t="e">
        <f t="shared" si="1"/>
        <v>#REF!</v>
      </c>
      <c r="AB20" s="25" t="e">
        <f t="shared" si="1"/>
        <v>#REF!</v>
      </c>
      <c r="AD20" s="25" t="e">
        <f t="shared" ref="AD20:AO20" si="2">SUM(AD7:AD19)</f>
        <v>#REF!</v>
      </c>
      <c r="AE20" s="25" t="e">
        <f t="shared" si="2"/>
        <v>#REF!</v>
      </c>
      <c r="AF20" s="25" t="e">
        <f t="shared" si="2"/>
        <v>#REF!</v>
      </c>
      <c r="AG20" s="25" t="e">
        <f t="shared" si="2"/>
        <v>#REF!</v>
      </c>
      <c r="AH20" s="25" t="e">
        <f t="shared" si="2"/>
        <v>#REF!</v>
      </c>
      <c r="AI20" s="25" t="e">
        <f t="shared" si="2"/>
        <v>#REF!</v>
      </c>
      <c r="AJ20" s="25" t="e">
        <f t="shared" si="2"/>
        <v>#REF!</v>
      </c>
      <c r="AK20" s="25" t="e">
        <f t="shared" si="2"/>
        <v>#REF!</v>
      </c>
      <c r="AL20" s="25" t="e">
        <f t="shared" si="2"/>
        <v>#REF!</v>
      </c>
      <c r="AM20" s="25" t="e">
        <f t="shared" si="2"/>
        <v>#REF!</v>
      </c>
      <c r="AN20" s="25" t="e">
        <f t="shared" si="2"/>
        <v>#REF!</v>
      </c>
      <c r="AO20" s="25" t="e">
        <f t="shared" si="2"/>
        <v>#REF!</v>
      </c>
    </row>
    <row r="21" spans="1:41" x14ac:dyDescent="0.3">
      <c r="A21" s="25"/>
      <c r="B21" s="25"/>
      <c r="C21" s="25"/>
      <c r="D21" s="25"/>
      <c r="E21" s="25"/>
      <c r="F21" s="25"/>
      <c r="G21" s="25"/>
      <c r="H21" s="25"/>
      <c r="I21" s="25"/>
      <c r="J21" s="25"/>
      <c r="K21" s="25"/>
      <c r="L21" s="25"/>
      <c r="M21" s="25"/>
      <c r="N21" s="25"/>
      <c r="O21" s="25"/>
    </row>
    <row r="23" spans="1:41" x14ac:dyDescent="0.3">
      <c r="C23" s="27"/>
      <c r="D23" s="27"/>
      <c r="E23" s="27"/>
      <c r="F23" s="27"/>
      <c r="G23" s="27"/>
      <c r="H23" s="27"/>
      <c r="I23" s="25"/>
      <c r="J23" s="25"/>
      <c r="K23" s="25"/>
      <c r="L23" s="25"/>
      <c r="M23" s="25"/>
      <c r="N23" s="25"/>
      <c r="O23" s="25"/>
    </row>
    <row r="24" spans="1:41" x14ac:dyDescent="0.3">
      <c r="C24" s="27"/>
      <c r="D24" s="27"/>
      <c r="E24" s="27"/>
      <c r="F24" s="27"/>
      <c r="G24" s="27"/>
      <c r="H24" s="27"/>
      <c r="I24" s="27"/>
      <c r="J24" s="25"/>
      <c r="K24" s="25"/>
      <c r="L24" s="25"/>
      <c r="M24" s="25"/>
      <c r="N24" s="25"/>
      <c r="O24" s="25"/>
    </row>
    <row r="25" spans="1:41" x14ac:dyDescent="0.3">
      <c r="C25" s="27"/>
      <c r="D25" s="27"/>
      <c r="E25" s="27"/>
      <c r="F25" s="27"/>
      <c r="G25" s="27"/>
      <c r="H25" s="27"/>
      <c r="I25" s="27"/>
      <c r="J25" s="27"/>
      <c r="K25" s="25"/>
      <c r="L25" s="25"/>
      <c r="M25" s="25"/>
      <c r="N25" s="25"/>
      <c r="O25" s="25"/>
    </row>
    <row r="26" spans="1:41" x14ac:dyDescent="0.3">
      <c r="C26" s="27"/>
      <c r="D26" s="27"/>
      <c r="E26" s="25"/>
      <c r="F26" s="27"/>
      <c r="G26" s="27"/>
      <c r="H26" s="27"/>
      <c r="I26" s="27"/>
      <c r="J26" s="27"/>
      <c r="K26" s="27"/>
      <c r="L26" s="25"/>
      <c r="M26" s="25"/>
      <c r="N26" s="25"/>
      <c r="O26" s="25"/>
    </row>
    <row r="27" spans="1:41" x14ac:dyDescent="0.3">
      <c r="C27" s="27"/>
      <c r="D27" s="27"/>
      <c r="E27" s="25"/>
      <c r="F27" s="25"/>
      <c r="G27" s="27"/>
      <c r="H27" s="27"/>
      <c r="I27" s="27"/>
      <c r="J27" s="27"/>
      <c r="K27" s="27"/>
      <c r="L27" s="27"/>
      <c r="M27" s="25"/>
      <c r="N27" s="25"/>
      <c r="O27" s="25"/>
    </row>
    <row r="28" spans="1:41" x14ac:dyDescent="0.3">
      <c r="C28" s="27"/>
      <c r="D28" s="27"/>
      <c r="E28" s="25"/>
      <c r="F28" s="25"/>
      <c r="G28" s="25"/>
      <c r="H28" s="27"/>
      <c r="I28" s="27"/>
      <c r="J28" s="27"/>
      <c r="K28" s="27"/>
      <c r="L28" s="27"/>
      <c r="M28" s="27"/>
      <c r="N28" s="25"/>
      <c r="O28" s="25"/>
    </row>
    <row r="29" spans="1:41" x14ac:dyDescent="0.3">
      <c r="C29" s="27"/>
      <c r="D29" s="27"/>
      <c r="E29" s="25"/>
      <c r="F29" s="25"/>
      <c r="G29" s="25"/>
      <c r="H29" s="25"/>
      <c r="I29" s="27"/>
      <c r="J29" s="27"/>
      <c r="K29" s="27"/>
      <c r="L29" s="27"/>
      <c r="M29" s="27"/>
      <c r="N29" s="27"/>
      <c r="O29" s="25"/>
    </row>
    <row r="30" spans="1:41" x14ac:dyDescent="0.3">
      <c r="C30" s="27"/>
      <c r="D30" s="27"/>
      <c r="E30" s="25"/>
      <c r="F30" s="25"/>
      <c r="G30" s="25"/>
      <c r="H30" s="25"/>
      <c r="I30" s="25"/>
      <c r="J30" s="27"/>
      <c r="K30" s="27"/>
      <c r="L30" s="27"/>
      <c r="M30" s="27"/>
      <c r="N30" s="27"/>
      <c r="O30" s="27"/>
    </row>
    <row r="31" spans="1:41" x14ac:dyDescent="0.3">
      <c r="C31" s="27"/>
      <c r="D31" s="27"/>
      <c r="E31" s="25"/>
      <c r="F31" s="25"/>
      <c r="G31" s="25"/>
      <c r="H31" s="25"/>
      <c r="I31" s="25"/>
      <c r="J31" s="25"/>
      <c r="K31" s="27"/>
      <c r="L31" s="27"/>
      <c r="M31" s="27"/>
      <c r="N31" s="27"/>
      <c r="O31" s="27"/>
      <c r="P31" s="27"/>
    </row>
    <row r="32" spans="1:41" x14ac:dyDescent="0.3">
      <c r="C32" s="27"/>
      <c r="D32" s="27"/>
      <c r="E32" s="25"/>
      <c r="F32" s="25"/>
      <c r="G32" s="25"/>
      <c r="H32" s="25"/>
      <c r="I32" s="25"/>
      <c r="J32" s="25"/>
      <c r="K32" s="25"/>
      <c r="L32" s="27"/>
      <c r="M32" s="27"/>
      <c r="N32" s="27"/>
      <c r="O32" s="27"/>
      <c r="P32" s="27"/>
      <c r="Q32" s="27"/>
    </row>
    <row r="33" spans="3:15" x14ac:dyDescent="0.3">
      <c r="C33" s="27"/>
      <c r="D33" s="27"/>
      <c r="E33" s="25"/>
      <c r="F33" s="25"/>
      <c r="G33" s="25"/>
      <c r="H33" s="25"/>
      <c r="I33" s="25"/>
      <c r="J33" s="25"/>
      <c r="K33" s="25"/>
      <c r="L33" s="25"/>
      <c r="M33" s="27"/>
      <c r="N33" s="27"/>
      <c r="O33" s="27"/>
    </row>
    <row r="34" spans="3:15" x14ac:dyDescent="0.3">
      <c r="C34" s="27"/>
      <c r="D34" s="27"/>
      <c r="E34" s="25"/>
      <c r="F34" s="25"/>
      <c r="G34" s="25"/>
      <c r="H34" s="25"/>
      <c r="I34" s="25"/>
      <c r="J34" s="25"/>
      <c r="K34" s="25"/>
      <c r="L34" s="25"/>
      <c r="M34" s="25"/>
      <c r="N34" s="27"/>
      <c r="O34" s="27"/>
    </row>
    <row r="35" spans="3:15" x14ac:dyDescent="0.3">
      <c r="C35" s="27"/>
      <c r="D35" s="27"/>
      <c r="E35" s="25"/>
      <c r="F35" s="25"/>
      <c r="G35" s="25"/>
      <c r="H35" s="25"/>
      <c r="I35" s="25"/>
      <c r="J35" s="25"/>
      <c r="K35" s="25"/>
      <c r="L35" s="25"/>
      <c r="M35" s="25"/>
      <c r="N35" s="25"/>
      <c r="O35" s="27"/>
    </row>
  </sheetData>
  <mergeCells count="3">
    <mergeCell ref="AD4:AO4"/>
    <mergeCell ref="D4:O4"/>
    <mergeCell ref="Q4:AB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dimension ref="A1:AO35"/>
  <sheetViews>
    <sheetView workbookViewId="0">
      <pane xSplit="3" ySplit="5" topLeftCell="D6" activePane="bottomRight" state="frozen"/>
      <selection pane="topRight" activeCell="D1" sqref="D1"/>
      <selection pane="bottomLeft" activeCell="A6" sqref="A6"/>
      <selection pane="bottomRight" sqref="A1:XFD1048576"/>
    </sheetView>
  </sheetViews>
  <sheetFormatPr defaultColWidth="8.88671875" defaultRowHeight="14.4" x14ac:dyDescent="0.3"/>
  <cols>
    <col min="1" max="1" width="2.44140625" customWidth="1"/>
    <col min="2" max="2" width="22" customWidth="1"/>
    <col min="3" max="3" width="9.44140625" customWidth="1"/>
  </cols>
  <sheetData>
    <row r="1" spans="1:41" ht="18" x14ac:dyDescent="0.35">
      <c r="A1" s="4">
        <f>KeyInputs!F14</f>
        <v>0</v>
      </c>
    </row>
    <row r="2" spans="1:41" ht="18" x14ac:dyDescent="0.35">
      <c r="A2" s="4" t="str">
        <f>KeyInputs!F22</f>
        <v>Insert Product Group 1</v>
      </c>
      <c r="D2" t="s">
        <v>80</v>
      </c>
    </row>
    <row r="4" spans="1:41" x14ac:dyDescent="0.3">
      <c r="D4" s="336">
        <f>KeyInputs!$F$17</f>
        <v>42005</v>
      </c>
      <c r="E4" s="337"/>
      <c r="F4" s="337"/>
      <c r="G4" s="337"/>
      <c r="H4" s="337"/>
      <c r="I4" s="337"/>
      <c r="J4" s="337"/>
      <c r="K4" s="337"/>
      <c r="L4" s="337"/>
      <c r="M4" s="337"/>
      <c r="N4" s="337"/>
      <c r="O4" s="338"/>
      <c r="Q4" s="336">
        <f>KeyInputs!$F$17+1</f>
        <v>42006</v>
      </c>
      <c r="R4" s="337"/>
      <c r="S4" s="337"/>
      <c r="T4" s="337"/>
      <c r="U4" s="337"/>
      <c r="V4" s="337"/>
      <c r="W4" s="337"/>
      <c r="X4" s="337"/>
      <c r="Y4" s="337"/>
      <c r="Z4" s="337"/>
      <c r="AA4" s="337"/>
      <c r="AB4" s="338"/>
      <c r="AD4" s="336">
        <f>KeyInputs!$F$17+2</f>
        <v>42007</v>
      </c>
      <c r="AE4" s="337"/>
      <c r="AF4" s="337"/>
      <c r="AG4" s="337"/>
      <c r="AH4" s="337"/>
      <c r="AI4" s="337"/>
      <c r="AJ4" s="337"/>
      <c r="AK4" s="337"/>
      <c r="AL4" s="337"/>
      <c r="AM4" s="337"/>
      <c r="AN4" s="337"/>
      <c r="AO4" s="338"/>
    </row>
    <row r="5" spans="1:41" x14ac:dyDescent="0.3">
      <c r="C5" s="28" t="s">
        <v>70</v>
      </c>
      <c r="D5" s="31" t="e">
        <f>KeyInputs!#REF!</f>
        <v>#REF!</v>
      </c>
      <c r="E5" s="32" t="e">
        <f ca="1">OFFSET(Worksheet!$A$14,,(HLOOKUP(KeyInputs!#REF!,Worksheet!$A$14:$L$15,2,FALSE)))</f>
        <v>#REF!</v>
      </c>
      <c r="F5" s="32" t="e">
        <f ca="1">OFFSET(Worksheet!$A$14,,(HLOOKUP(KeyInputs!#REF!,Worksheet!$A$14:$L$15,2,FALSE))+Worksheet!$A$15)</f>
        <v>#REF!</v>
      </c>
      <c r="G5" s="32" t="e">
        <f ca="1">OFFSET(Worksheet!$A$14,,(HLOOKUP(KeyInputs!#REF!,Worksheet!$A$14:$L$15,2,FALSE))+Worksheet!$B$15)</f>
        <v>#REF!</v>
      </c>
      <c r="H5" s="32" t="e">
        <f ca="1">OFFSET(Worksheet!$A$14,,(HLOOKUP(KeyInputs!#REF!,Worksheet!$A$14:$L$15,2,FALSE))+Worksheet!$C$15)</f>
        <v>#REF!</v>
      </c>
      <c r="I5" s="32" t="e">
        <f ca="1">OFFSET(Worksheet!$A$14,,(HLOOKUP(KeyInputs!#REF!,Worksheet!$A$14:$L$15,2,FALSE))+Worksheet!$D$15)</f>
        <v>#REF!</v>
      </c>
      <c r="J5" s="32" t="e">
        <f ca="1">OFFSET(Worksheet!$A$14,,(HLOOKUP(KeyInputs!#REF!,Worksheet!$A$14:$L$15,2,FALSE))+Worksheet!$E$15)</f>
        <v>#REF!</v>
      </c>
      <c r="K5" s="32" t="e">
        <f ca="1">OFFSET(Worksheet!$A$14,,(HLOOKUP(KeyInputs!#REF!,Worksheet!$A$14:$L$15,2,FALSE))+Worksheet!$F$15)</f>
        <v>#REF!</v>
      </c>
      <c r="L5" s="32" t="e">
        <f ca="1">OFFSET(Worksheet!$A$14,,(HLOOKUP(KeyInputs!#REF!,Worksheet!$A$14:$L$15,2,FALSE))+Worksheet!$G$15)</f>
        <v>#REF!</v>
      </c>
      <c r="M5" s="32" t="e">
        <f ca="1">OFFSET(Worksheet!$A$14,,(HLOOKUP(KeyInputs!#REF!,Worksheet!$A$14:$L$15,2,FALSE))+Worksheet!$H$15)</f>
        <v>#REF!</v>
      </c>
      <c r="N5" s="32" t="e">
        <f ca="1">OFFSET(Worksheet!$A$14,,(HLOOKUP(KeyInputs!#REF!,Worksheet!$A$14:$L$15,2,FALSE))+Worksheet!$I$15)</f>
        <v>#REF!</v>
      </c>
      <c r="O5" s="32" t="e">
        <f ca="1">OFFSET(Worksheet!$A$14,,(HLOOKUP(KeyInputs!#REF!,Worksheet!$A$14:$L$15,2,FALSE))+Worksheet!$J$15)</f>
        <v>#REF!</v>
      </c>
      <c r="Q5" s="31" t="e">
        <f>KeyInputs!#REF!</f>
        <v>#REF!</v>
      </c>
      <c r="R5" s="32" t="e">
        <f ca="1">OFFSET(Worksheet!$A$14,,(HLOOKUP(KeyInputs!#REF!,Worksheet!$A$14:$L$15,2,FALSE)))</f>
        <v>#REF!</v>
      </c>
      <c r="S5" s="32" t="e">
        <f ca="1">OFFSET(Worksheet!$A$14,,(HLOOKUP(KeyInputs!#REF!,Worksheet!$A$14:$L$15,2,FALSE))+Worksheet!$A$15)</f>
        <v>#REF!</v>
      </c>
      <c r="T5" s="32" t="e">
        <f ca="1">OFFSET(Worksheet!$A$14,,(HLOOKUP(KeyInputs!#REF!,Worksheet!$A$14:$L$15,2,FALSE))+Worksheet!$B$15)</f>
        <v>#REF!</v>
      </c>
      <c r="U5" s="32" t="e">
        <f ca="1">OFFSET(Worksheet!$A$14,,(HLOOKUP(KeyInputs!#REF!,Worksheet!$A$14:$L$15,2,FALSE))+Worksheet!$C$15)</f>
        <v>#REF!</v>
      </c>
      <c r="V5" s="32" t="e">
        <f ca="1">OFFSET(Worksheet!$A$14,,(HLOOKUP(KeyInputs!#REF!,Worksheet!$A$14:$L$15,2,FALSE))+Worksheet!$D$15)</f>
        <v>#REF!</v>
      </c>
      <c r="W5" s="32" t="e">
        <f ca="1">OFFSET(Worksheet!$A$14,,(HLOOKUP(KeyInputs!#REF!,Worksheet!$A$14:$L$15,2,FALSE))+Worksheet!$E$15)</f>
        <v>#REF!</v>
      </c>
      <c r="X5" s="32" t="e">
        <f ca="1">OFFSET(Worksheet!$A$14,,(HLOOKUP(KeyInputs!#REF!,Worksheet!$A$14:$L$15,2,FALSE))+Worksheet!$F$15)</f>
        <v>#REF!</v>
      </c>
      <c r="Y5" s="32" t="e">
        <f ca="1">OFFSET(Worksheet!$A$14,,(HLOOKUP(KeyInputs!#REF!,Worksheet!$A$14:$L$15,2,FALSE))+Worksheet!$G$15)</f>
        <v>#REF!</v>
      </c>
      <c r="Z5" s="32" t="e">
        <f ca="1">OFFSET(Worksheet!$A$14,,(HLOOKUP(KeyInputs!#REF!,Worksheet!$A$14:$L$15,2,FALSE))+Worksheet!$H$15)</f>
        <v>#REF!</v>
      </c>
      <c r="AA5" s="32" t="e">
        <f ca="1">OFFSET(Worksheet!$A$14,,(HLOOKUP(KeyInputs!#REF!,Worksheet!$A$14:$L$15,2,FALSE))+Worksheet!$I$15)</f>
        <v>#REF!</v>
      </c>
      <c r="AB5" s="32" t="e">
        <f ca="1">OFFSET(Worksheet!$A$14,,(HLOOKUP(KeyInputs!#REF!,Worksheet!$A$14:$L$15,2,FALSE))+Worksheet!$J$15)</f>
        <v>#REF!</v>
      </c>
      <c r="AD5" s="31" t="e">
        <f>KeyInputs!#REF!</f>
        <v>#REF!</v>
      </c>
      <c r="AE5" s="32" t="e">
        <f ca="1">OFFSET(Worksheet!$A$14,,(HLOOKUP(KeyInputs!#REF!,Worksheet!$A$14:$L$15,2,FALSE)))</f>
        <v>#REF!</v>
      </c>
      <c r="AF5" s="32" t="e">
        <f ca="1">OFFSET(Worksheet!$A$14,,(HLOOKUP(KeyInputs!#REF!,Worksheet!$A$14:$L$15,2,FALSE))+Worksheet!$A$15)</f>
        <v>#REF!</v>
      </c>
      <c r="AG5" s="32" t="e">
        <f ca="1">OFFSET(Worksheet!$A$14,,(HLOOKUP(KeyInputs!#REF!,Worksheet!$A$14:$L$15,2,FALSE))+Worksheet!$B$15)</f>
        <v>#REF!</v>
      </c>
      <c r="AH5" s="32" t="e">
        <f ca="1">OFFSET(Worksheet!$A$14,,(HLOOKUP(KeyInputs!#REF!,Worksheet!$A$14:$L$15,2,FALSE))+Worksheet!$C$15)</f>
        <v>#REF!</v>
      </c>
      <c r="AI5" s="32" t="e">
        <f ca="1">OFFSET(Worksheet!$A$14,,(HLOOKUP(KeyInputs!#REF!,Worksheet!$A$14:$L$15,2,FALSE))+Worksheet!$D$15)</f>
        <v>#REF!</v>
      </c>
      <c r="AJ5" s="32" t="e">
        <f ca="1">OFFSET(Worksheet!$A$14,,(HLOOKUP(KeyInputs!#REF!,Worksheet!$A$14:$L$15,2,FALSE))+Worksheet!$E$15)</f>
        <v>#REF!</v>
      </c>
      <c r="AK5" s="32" t="e">
        <f ca="1">OFFSET(Worksheet!$A$14,,(HLOOKUP(KeyInputs!#REF!,Worksheet!$A$14:$L$15,2,FALSE))+Worksheet!$F$15)</f>
        <v>#REF!</v>
      </c>
      <c r="AL5" s="32" t="e">
        <f ca="1">OFFSET(Worksheet!$A$14,,(HLOOKUP(KeyInputs!#REF!,Worksheet!$A$14:$L$15,2,FALSE))+Worksheet!$G$15)</f>
        <v>#REF!</v>
      </c>
      <c r="AM5" s="32" t="e">
        <f ca="1">OFFSET(Worksheet!$A$14,,(HLOOKUP(KeyInputs!#REF!,Worksheet!$A$14:$L$15,2,FALSE))+Worksheet!$H$15)</f>
        <v>#REF!</v>
      </c>
      <c r="AN5" s="32" t="e">
        <f ca="1">OFFSET(Worksheet!$A$14,,(HLOOKUP(KeyInputs!#REF!,Worksheet!$A$14:$L$15,2,FALSE))+Worksheet!$I$15)</f>
        <v>#REF!</v>
      </c>
      <c r="AO5" s="32" t="e">
        <f ca="1">OFFSET(Worksheet!$A$14,,(HLOOKUP(KeyInputs!#REF!,Worksheet!$A$14:$L$15,2,FALSE))+Worksheet!$J$15)</f>
        <v>#REF!</v>
      </c>
    </row>
    <row r="6" spans="1:41" x14ac:dyDescent="0.3">
      <c r="A6" s="30"/>
      <c r="B6" s="25"/>
      <c r="C6" s="25"/>
      <c r="D6" s="25"/>
      <c r="E6" s="25"/>
      <c r="F6" s="25"/>
      <c r="G6" s="25"/>
      <c r="H6" s="25"/>
      <c r="I6" s="25"/>
      <c r="J6" s="25"/>
      <c r="K6" s="25"/>
      <c r="L6" s="25"/>
      <c r="M6" s="25"/>
      <c r="N6" s="25"/>
      <c r="O6" s="25"/>
      <c r="Q6" s="25"/>
      <c r="R6" s="25"/>
      <c r="S6" s="25"/>
      <c r="T6" s="25"/>
      <c r="U6" s="25"/>
      <c r="V6" s="25"/>
      <c r="W6" s="25"/>
      <c r="X6" s="25"/>
      <c r="Y6" s="25"/>
      <c r="Z6" s="25"/>
      <c r="AA6" s="25"/>
      <c r="AB6" s="25"/>
      <c r="AD6" s="25"/>
      <c r="AE6" s="25"/>
      <c r="AF6" s="25"/>
      <c r="AG6" s="25"/>
      <c r="AH6" s="25"/>
      <c r="AI6" s="25"/>
      <c r="AJ6" s="25"/>
      <c r="AK6" s="25"/>
      <c r="AL6" s="25"/>
      <c r="AM6" s="25"/>
      <c r="AN6" s="25"/>
      <c r="AO6" s="25"/>
    </row>
    <row r="7" spans="1:41" x14ac:dyDescent="0.3">
      <c r="A7" s="25"/>
      <c r="B7" s="25" t="s">
        <v>81</v>
      </c>
      <c r="C7" s="27" t="e">
        <f>#REF!*KeyInputs!#REF!</f>
        <v>#REF!</v>
      </c>
      <c r="D7" s="27" t="e">
        <f>#REF!*KeyInputs!#REF!</f>
        <v>#REF!</v>
      </c>
      <c r="E7" s="27" t="e">
        <f>#REF!*KeyInputs!#REF!</f>
        <v>#REF!</v>
      </c>
      <c r="F7" s="27" t="e">
        <f>#REF!*KeyInputs!#REF!</f>
        <v>#REF!</v>
      </c>
      <c r="G7" s="27" t="e">
        <f>#REF!*KeyInputs!#REF!</f>
        <v>#REF!</v>
      </c>
      <c r="H7" s="27" t="e">
        <f>#REF!*KeyInputs!#REF!</f>
        <v>#REF!</v>
      </c>
      <c r="I7" s="25"/>
      <c r="J7" s="25"/>
      <c r="K7" s="25"/>
      <c r="L7" s="25"/>
      <c r="M7" s="25"/>
      <c r="N7" s="25"/>
      <c r="O7" s="25"/>
      <c r="Q7" s="27"/>
      <c r="R7" s="27"/>
      <c r="S7" s="27"/>
      <c r="T7" s="27"/>
      <c r="U7" s="27"/>
      <c r="V7" s="25"/>
      <c r="W7" s="25"/>
      <c r="X7" s="25"/>
      <c r="Y7" s="25"/>
      <c r="Z7" s="25"/>
      <c r="AA7" s="25"/>
      <c r="AB7" s="25"/>
      <c r="AD7" s="27"/>
      <c r="AE7" s="27"/>
      <c r="AF7" s="27"/>
      <c r="AG7" s="27"/>
      <c r="AH7" s="27"/>
      <c r="AI7" s="25"/>
      <c r="AJ7" s="25"/>
      <c r="AK7" s="25"/>
      <c r="AL7" s="25"/>
      <c r="AM7" s="25"/>
      <c r="AN7" s="25"/>
      <c r="AO7" s="25"/>
    </row>
    <row r="8" spans="1:41" x14ac:dyDescent="0.3">
      <c r="A8" s="25"/>
      <c r="B8" s="39" t="e">
        <f>D5</f>
        <v>#REF!</v>
      </c>
      <c r="C8" s="27"/>
      <c r="D8" s="27" t="e">
        <f>#REF!*KeyInputs!#REF!</f>
        <v>#REF!</v>
      </c>
      <c r="E8" s="27" t="e">
        <f>#REF!*KeyInputs!#REF!</f>
        <v>#REF!</v>
      </c>
      <c r="F8" s="27" t="e">
        <f>#REF!*KeyInputs!#REF!</f>
        <v>#REF!</v>
      </c>
      <c r="G8" s="27" t="e">
        <f>#REF!*KeyInputs!#REF!</f>
        <v>#REF!</v>
      </c>
      <c r="H8" s="27" t="e">
        <f>#REF!*KeyInputs!#REF!</f>
        <v>#REF!</v>
      </c>
      <c r="I8" s="27" t="e">
        <f>#REF!*KeyInputs!#REF!</f>
        <v>#REF!</v>
      </c>
      <c r="J8" s="25"/>
      <c r="K8" s="25"/>
      <c r="L8" s="25"/>
      <c r="M8" s="25"/>
      <c r="N8" s="25"/>
      <c r="O8" s="25"/>
      <c r="Q8" s="27" t="e">
        <f>#REF!*KeyInputs!#REF!</f>
        <v>#REF!</v>
      </c>
      <c r="R8" s="27" t="e">
        <f>#REF!*KeyInputs!#REF!</f>
        <v>#REF!</v>
      </c>
      <c r="S8" s="27" t="e">
        <f>#REF!*KeyInputs!#REF!</f>
        <v>#REF!</v>
      </c>
      <c r="T8" s="27" t="e">
        <f>#REF!*KeyInputs!#REF!</f>
        <v>#REF!</v>
      </c>
      <c r="U8" s="27" t="e">
        <f>#REF!*KeyInputs!#REF!</f>
        <v>#REF!</v>
      </c>
      <c r="V8" s="27" t="e">
        <f>#REF!*KeyInputs!#REF!</f>
        <v>#REF!</v>
      </c>
      <c r="W8" s="25"/>
      <c r="X8" s="25"/>
      <c r="Y8" s="25"/>
      <c r="Z8" s="25"/>
      <c r="AA8" s="25"/>
      <c r="AB8" s="25"/>
      <c r="AD8" s="27" t="e">
        <f>#REF!*KeyInputs!#REF!</f>
        <v>#REF!</v>
      </c>
      <c r="AE8" s="27" t="e">
        <f>#REF!*KeyInputs!#REF!</f>
        <v>#REF!</v>
      </c>
      <c r="AF8" s="27" t="e">
        <f>#REF!*KeyInputs!#REF!</f>
        <v>#REF!</v>
      </c>
      <c r="AG8" s="27" t="e">
        <f>#REF!*KeyInputs!#REF!</f>
        <v>#REF!</v>
      </c>
      <c r="AH8" s="27" t="e">
        <f>#REF!*KeyInputs!#REF!</f>
        <v>#REF!</v>
      </c>
      <c r="AI8" s="27" t="e">
        <f>#REF!*KeyInputs!#REF!</f>
        <v>#REF!</v>
      </c>
      <c r="AJ8" s="25"/>
      <c r="AK8" s="25"/>
      <c r="AL8" s="25"/>
      <c r="AM8" s="25"/>
      <c r="AN8" s="25"/>
      <c r="AO8" s="25"/>
    </row>
    <row r="9" spans="1:41" x14ac:dyDescent="0.3">
      <c r="A9" s="25"/>
      <c r="B9" s="25" t="e">
        <f ca="1">E5</f>
        <v>#REF!</v>
      </c>
      <c r="C9" s="27"/>
      <c r="D9" s="27"/>
      <c r="E9" s="27" t="e">
        <f>#REF!*KeyInputs!#REF!</f>
        <v>#REF!</v>
      </c>
      <c r="F9" s="27" t="e">
        <f>#REF!*KeyInputs!#REF!</f>
        <v>#REF!</v>
      </c>
      <c r="G9" s="27" t="e">
        <f>#REF!*KeyInputs!#REF!</f>
        <v>#REF!</v>
      </c>
      <c r="H9" s="27" t="e">
        <f>#REF!*KeyInputs!#REF!</f>
        <v>#REF!</v>
      </c>
      <c r="I9" s="27" t="e">
        <f>#REF!*KeyInputs!#REF!</f>
        <v>#REF!</v>
      </c>
      <c r="J9" s="27" t="e">
        <f>#REF!*KeyInputs!#REF!</f>
        <v>#REF!</v>
      </c>
      <c r="K9" s="25"/>
      <c r="L9" s="25"/>
      <c r="M9" s="25"/>
      <c r="N9" s="25"/>
      <c r="O9" s="25"/>
      <c r="Q9" s="27"/>
      <c r="R9" s="27" t="e">
        <f>#REF!*KeyInputs!#REF!</f>
        <v>#REF!</v>
      </c>
      <c r="S9" s="27" t="e">
        <f>#REF!*KeyInputs!#REF!</f>
        <v>#REF!</v>
      </c>
      <c r="T9" s="27" t="e">
        <f>#REF!*KeyInputs!#REF!</f>
        <v>#REF!</v>
      </c>
      <c r="U9" s="27" t="e">
        <f>#REF!*KeyInputs!#REF!</f>
        <v>#REF!</v>
      </c>
      <c r="V9" s="27" t="e">
        <f>#REF!*KeyInputs!#REF!</f>
        <v>#REF!</v>
      </c>
      <c r="W9" s="27" t="e">
        <f>#REF!*KeyInputs!#REF!</f>
        <v>#REF!</v>
      </c>
      <c r="X9" s="25"/>
      <c r="Y9" s="25"/>
      <c r="Z9" s="25"/>
      <c r="AA9" s="25"/>
      <c r="AB9" s="25"/>
      <c r="AD9" s="27"/>
      <c r="AE9" s="27" t="e">
        <f>#REF!*KeyInputs!#REF!</f>
        <v>#REF!</v>
      </c>
      <c r="AF9" s="27" t="e">
        <f>#REF!*KeyInputs!#REF!</f>
        <v>#REF!</v>
      </c>
      <c r="AG9" s="27" t="e">
        <f>#REF!*KeyInputs!#REF!</f>
        <v>#REF!</v>
      </c>
      <c r="AH9" s="27" t="e">
        <f>#REF!*KeyInputs!#REF!</f>
        <v>#REF!</v>
      </c>
      <c r="AI9" s="27" t="e">
        <f>#REF!*KeyInputs!#REF!</f>
        <v>#REF!</v>
      </c>
      <c r="AJ9" s="27" t="e">
        <f>#REF!*KeyInputs!#REF!</f>
        <v>#REF!</v>
      </c>
      <c r="AK9" s="25"/>
      <c r="AL9" s="25"/>
      <c r="AM9" s="25"/>
      <c r="AN9" s="25"/>
      <c r="AO9" s="25"/>
    </row>
    <row r="10" spans="1:41" x14ac:dyDescent="0.3">
      <c r="A10" s="25"/>
      <c r="B10" s="25" t="e">
        <f ca="1">F5</f>
        <v>#REF!</v>
      </c>
      <c r="C10" s="27"/>
      <c r="D10" s="27"/>
      <c r="E10" s="25"/>
      <c r="F10" s="27" t="e">
        <f>#REF!*KeyInputs!#REF!</f>
        <v>#REF!</v>
      </c>
      <c r="G10" s="27" t="e">
        <f>#REF!*KeyInputs!#REF!</f>
        <v>#REF!</v>
      </c>
      <c r="H10" s="27" t="e">
        <f>#REF!*KeyInputs!#REF!</f>
        <v>#REF!</v>
      </c>
      <c r="I10" s="27" t="e">
        <f>#REF!*KeyInputs!#REF!</f>
        <v>#REF!</v>
      </c>
      <c r="J10" s="27" t="e">
        <f>#REF!*KeyInputs!#REF!</f>
        <v>#REF!</v>
      </c>
      <c r="K10" s="27" t="e">
        <f>#REF!*KeyInputs!#REF!</f>
        <v>#REF!</v>
      </c>
      <c r="L10" s="25"/>
      <c r="M10" s="25"/>
      <c r="N10" s="25"/>
      <c r="O10" s="25"/>
      <c r="Q10" s="27"/>
      <c r="R10" s="25"/>
      <c r="S10" s="27" t="e">
        <f>#REF!*KeyInputs!#REF!</f>
        <v>#REF!</v>
      </c>
      <c r="T10" s="27" t="e">
        <f>#REF!*KeyInputs!#REF!</f>
        <v>#REF!</v>
      </c>
      <c r="U10" s="27" t="e">
        <f>#REF!*KeyInputs!#REF!</f>
        <v>#REF!</v>
      </c>
      <c r="V10" s="27" t="e">
        <f>#REF!*KeyInputs!#REF!</f>
        <v>#REF!</v>
      </c>
      <c r="W10" s="27" t="e">
        <f>#REF!*KeyInputs!#REF!</f>
        <v>#REF!</v>
      </c>
      <c r="X10" s="27" t="e">
        <f>#REF!*KeyInputs!#REF!</f>
        <v>#REF!</v>
      </c>
      <c r="Y10" s="25"/>
      <c r="Z10" s="25"/>
      <c r="AA10" s="25"/>
      <c r="AB10" s="25"/>
      <c r="AD10" s="27"/>
      <c r="AE10" s="25"/>
      <c r="AF10" s="27" t="e">
        <f>#REF!*KeyInputs!#REF!</f>
        <v>#REF!</v>
      </c>
      <c r="AG10" s="27" t="e">
        <f>#REF!*KeyInputs!#REF!</f>
        <v>#REF!</v>
      </c>
      <c r="AH10" s="27" t="e">
        <f>#REF!*KeyInputs!#REF!</f>
        <v>#REF!</v>
      </c>
      <c r="AI10" s="27" t="e">
        <f>#REF!*KeyInputs!#REF!</f>
        <v>#REF!</v>
      </c>
      <c r="AJ10" s="27" t="e">
        <f>#REF!*KeyInputs!#REF!</f>
        <v>#REF!</v>
      </c>
      <c r="AK10" s="27" t="e">
        <f>#REF!*KeyInputs!#REF!</f>
        <v>#REF!</v>
      </c>
      <c r="AL10" s="25"/>
      <c r="AM10" s="25"/>
      <c r="AN10" s="25"/>
      <c r="AO10" s="25"/>
    </row>
    <row r="11" spans="1:41" x14ac:dyDescent="0.3">
      <c r="A11" s="30"/>
      <c r="B11" s="25" t="e">
        <f ca="1">G5</f>
        <v>#REF!</v>
      </c>
      <c r="C11" s="27"/>
      <c r="D11" s="27"/>
      <c r="E11" s="25"/>
      <c r="F11" s="25"/>
      <c r="G11" s="27" t="e">
        <f>#REF!*KeyInputs!#REF!</f>
        <v>#REF!</v>
      </c>
      <c r="H11" s="27" t="e">
        <f>#REF!*KeyInputs!#REF!</f>
        <v>#REF!</v>
      </c>
      <c r="I11" s="27" t="e">
        <f>#REF!*KeyInputs!#REF!</f>
        <v>#REF!</v>
      </c>
      <c r="J11" s="27" t="e">
        <f>#REF!*KeyInputs!#REF!</f>
        <v>#REF!</v>
      </c>
      <c r="K11" s="27" t="e">
        <f>#REF!*KeyInputs!#REF!</f>
        <v>#REF!</v>
      </c>
      <c r="L11" s="27" t="e">
        <f>#REF!*KeyInputs!#REF!</f>
        <v>#REF!</v>
      </c>
      <c r="M11" s="25"/>
      <c r="N11" s="25"/>
      <c r="O11" s="25"/>
      <c r="Q11" s="27"/>
      <c r="R11" s="25"/>
      <c r="S11" s="25"/>
      <c r="T11" s="27" t="e">
        <f>#REF!*KeyInputs!#REF!</f>
        <v>#REF!</v>
      </c>
      <c r="U11" s="27" t="e">
        <f>#REF!*KeyInputs!#REF!</f>
        <v>#REF!</v>
      </c>
      <c r="V11" s="27" t="e">
        <f>#REF!*KeyInputs!#REF!</f>
        <v>#REF!</v>
      </c>
      <c r="W11" s="27" t="e">
        <f>#REF!*KeyInputs!#REF!</f>
        <v>#REF!</v>
      </c>
      <c r="X11" s="27" t="e">
        <f>#REF!*KeyInputs!#REF!</f>
        <v>#REF!</v>
      </c>
      <c r="Y11" s="27" t="e">
        <f>#REF!*KeyInputs!#REF!</f>
        <v>#REF!</v>
      </c>
      <c r="Z11" s="25"/>
      <c r="AA11" s="25"/>
      <c r="AB11" s="25"/>
      <c r="AD11" s="27"/>
      <c r="AE11" s="25"/>
      <c r="AF11" s="25"/>
      <c r="AG11" s="27" t="e">
        <f>#REF!*KeyInputs!#REF!</f>
        <v>#REF!</v>
      </c>
      <c r="AH11" s="27" t="e">
        <f>#REF!*KeyInputs!#REF!</f>
        <v>#REF!</v>
      </c>
      <c r="AI11" s="27" t="e">
        <f>#REF!*KeyInputs!#REF!</f>
        <v>#REF!</v>
      </c>
      <c r="AJ11" s="27" t="e">
        <f>#REF!*KeyInputs!#REF!</f>
        <v>#REF!</v>
      </c>
      <c r="AK11" s="27" t="e">
        <f>#REF!*KeyInputs!#REF!</f>
        <v>#REF!</v>
      </c>
      <c r="AL11" s="27" t="e">
        <f>#REF!*KeyInputs!#REF!</f>
        <v>#REF!</v>
      </c>
      <c r="AM11" s="25"/>
      <c r="AN11" s="25"/>
      <c r="AO11" s="25"/>
    </row>
    <row r="12" spans="1:41" x14ac:dyDescent="0.3">
      <c r="A12" s="25"/>
      <c r="B12" s="25" t="e">
        <f ca="1">H5</f>
        <v>#REF!</v>
      </c>
      <c r="C12" s="27"/>
      <c r="D12" s="27"/>
      <c r="E12" s="25"/>
      <c r="F12" s="25"/>
      <c r="G12" s="25"/>
      <c r="H12" s="27" t="e">
        <f>#REF!*KeyInputs!#REF!</f>
        <v>#REF!</v>
      </c>
      <c r="I12" s="27" t="e">
        <f>#REF!*KeyInputs!#REF!</f>
        <v>#REF!</v>
      </c>
      <c r="J12" s="27" t="e">
        <f>#REF!*KeyInputs!#REF!</f>
        <v>#REF!</v>
      </c>
      <c r="K12" s="27" t="e">
        <f>#REF!*KeyInputs!#REF!</f>
        <v>#REF!</v>
      </c>
      <c r="L12" s="27" t="e">
        <f>#REF!*KeyInputs!#REF!</f>
        <v>#REF!</v>
      </c>
      <c r="M12" s="27" t="e">
        <f>#REF!*KeyInputs!#REF!</f>
        <v>#REF!</v>
      </c>
      <c r="N12" s="25"/>
      <c r="O12" s="25"/>
      <c r="Q12" s="27"/>
      <c r="R12" s="25"/>
      <c r="S12" s="25"/>
      <c r="T12" s="25"/>
      <c r="U12" s="27" t="e">
        <f>#REF!*KeyInputs!#REF!</f>
        <v>#REF!</v>
      </c>
      <c r="V12" s="27" t="e">
        <f>#REF!*KeyInputs!#REF!</f>
        <v>#REF!</v>
      </c>
      <c r="W12" s="27" t="e">
        <f>#REF!*KeyInputs!#REF!</f>
        <v>#REF!</v>
      </c>
      <c r="X12" s="27" t="e">
        <f>#REF!*KeyInputs!#REF!</f>
        <v>#REF!</v>
      </c>
      <c r="Y12" s="27" t="e">
        <f>#REF!*KeyInputs!#REF!</f>
        <v>#REF!</v>
      </c>
      <c r="Z12" s="27" t="e">
        <f>#REF!*KeyInputs!#REF!</f>
        <v>#REF!</v>
      </c>
      <c r="AA12" s="25"/>
      <c r="AB12" s="25"/>
      <c r="AD12" s="27"/>
      <c r="AE12" s="25"/>
      <c r="AF12" s="25"/>
      <c r="AG12" s="25"/>
      <c r="AH12" s="27" t="e">
        <f>#REF!*KeyInputs!#REF!</f>
        <v>#REF!</v>
      </c>
      <c r="AI12" s="27" t="e">
        <f>#REF!*KeyInputs!#REF!</f>
        <v>#REF!</v>
      </c>
      <c r="AJ12" s="27" t="e">
        <f>#REF!*KeyInputs!#REF!</f>
        <v>#REF!</v>
      </c>
      <c r="AK12" s="27" t="e">
        <f>#REF!*KeyInputs!#REF!</f>
        <v>#REF!</v>
      </c>
      <c r="AL12" s="27" t="e">
        <f>#REF!*KeyInputs!#REF!</f>
        <v>#REF!</v>
      </c>
      <c r="AM12" s="27" t="e">
        <f>#REF!*KeyInputs!#REF!</f>
        <v>#REF!</v>
      </c>
      <c r="AN12" s="25"/>
      <c r="AO12" s="25"/>
    </row>
    <row r="13" spans="1:41" x14ac:dyDescent="0.3">
      <c r="A13" s="25"/>
      <c r="B13" s="25" t="e">
        <f ca="1">I5</f>
        <v>#REF!</v>
      </c>
      <c r="C13" s="27"/>
      <c r="D13" s="27"/>
      <c r="E13" s="25"/>
      <c r="F13" s="25"/>
      <c r="G13" s="25"/>
      <c r="H13" s="25"/>
      <c r="I13" s="27" t="e">
        <f>#REF!*KeyInputs!#REF!</f>
        <v>#REF!</v>
      </c>
      <c r="J13" s="27" t="e">
        <f>#REF!*KeyInputs!#REF!</f>
        <v>#REF!</v>
      </c>
      <c r="K13" s="27" t="e">
        <f>#REF!*KeyInputs!#REF!</f>
        <v>#REF!</v>
      </c>
      <c r="L13" s="27" t="e">
        <f>#REF!*KeyInputs!#REF!</f>
        <v>#REF!</v>
      </c>
      <c r="M13" s="27" t="e">
        <f>#REF!*KeyInputs!#REF!</f>
        <v>#REF!</v>
      </c>
      <c r="N13" s="27" t="e">
        <f>#REF!*KeyInputs!#REF!</f>
        <v>#REF!</v>
      </c>
      <c r="O13" s="25"/>
      <c r="Q13" s="27"/>
      <c r="R13" s="25"/>
      <c r="S13" s="25"/>
      <c r="T13" s="25"/>
      <c r="U13" s="25"/>
      <c r="V13" s="27" t="e">
        <f>#REF!*KeyInputs!#REF!</f>
        <v>#REF!</v>
      </c>
      <c r="W13" s="27" t="e">
        <f>#REF!*KeyInputs!#REF!</f>
        <v>#REF!</v>
      </c>
      <c r="X13" s="27" t="e">
        <f>#REF!*KeyInputs!#REF!</f>
        <v>#REF!</v>
      </c>
      <c r="Y13" s="27" t="e">
        <f>#REF!*KeyInputs!#REF!</f>
        <v>#REF!</v>
      </c>
      <c r="Z13" s="27" t="e">
        <f>#REF!*KeyInputs!#REF!</f>
        <v>#REF!</v>
      </c>
      <c r="AA13" s="27" t="e">
        <f>#REF!*KeyInputs!#REF!</f>
        <v>#REF!</v>
      </c>
      <c r="AB13" s="25"/>
      <c r="AD13" s="27"/>
      <c r="AE13" s="25"/>
      <c r="AF13" s="25"/>
      <c r="AG13" s="25"/>
      <c r="AH13" s="25"/>
      <c r="AI13" s="27" t="e">
        <f>#REF!*KeyInputs!#REF!</f>
        <v>#REF!</v>
      </c>
      <c r="AJ13" s="27" t="e">
        <f>#REF!*KeyInputs!#REF!</f>
        <v>#REF!</v>
      </c>
      <c r="AK13" s="27" t="e">
        <f>#REF!*KeyInputs!#REF!</f>
        <v>#REF!</v>
      </c>
      <c r="AL13" s="27" t="e">
        <f>#REF!*KeyInputs!#REF!</f>
        <v>#REF!</v>
      </c>
      <c r="AM13" s="27" t="e">
        <f>#REF!*KeyInputs!#REF!</f>
        <v>#REF!</v>
      </c>
      <c r="AN13" s="27" t="e">
        <f>#REF!*KeyInputs!#REF!</f>
        <v>#REF!</v>
      </c>
      <c r="AO13" s="25"/>
    </row>
    <row r="14" spans="1:41" x14ac:dyDescent="0.3">
      <c r="A14" s="25"/>
      <c r="B14" s="25" t="e">
        <f ca="1">J5</f>
        <v>#REF!</v>
      </c>
      <c r="C14" s="27"/>
      <c r="D14" s="27"/>
      <c r="E14" s="25"/>
      <c r="F14" s="25"/>
      <c r="G14" s="25"/>
      <c r="H14" s="25"/>
      <c r="I14" s="25"/>
      <c r="J14" s="27" t="e">
        <f>#REF!*KeyInputs!#REF!</f>
        <v>#REF!</v>
      </c>
      <c r="K14" s="27" t="e">
        <f>#REF!*KeyInputs!#REF!</f>
        <v>#REF!</v>
      </c>
      <c r="L14" s="27" t="e">
        <f>#REF!*KeyInputs!#REF!</f>
        <v>#REF!</v>
      </c>
      <c r="M14" s="27" t="e">
        <f>#REF!*KeyInputs!#REF!</f>
        <v>#REF!</v>
      </c>
      <c r="N14" s="27" t="e">
        <f>#REF!*KeyInputs!#REF!</f>
        <v>#REF!</v>
      </c>
      <c r="O14" s="27" t="e">
        <f>#REF!*KeyInputs!#REF!</f>
        <v>#REF!</v>
      </c>
      <c r="Q14" s="27"/>
      <c r="R14" s="25"/>
      <c r="S14" s="25"/>
      <c r="T14" s="25"/>
      <c r="U14" s="25"/>
      <c r="V14" s="25"/>
      <c r="W14" s="27" t="e">
        <f>#REF!*KeyInputs!#REF!</f>
        <v>#REF!</v>
      </c>
      <c r="X14" s="27" t="e">
        <f>#REF!*KeyInputs!#REF!</f>
        <v>#REF!</v>
      </c>
      <c r="Y14" s="27" t="e">
        <f>#REF!*KeyInputs!#REF!</f>
        <v>#REF!</v>
      </c>
      <c r="Z14" s="27" t="e">
        <f>#REF!*KeyInputs!#REF!</f>
        <v>#REF!</v>
      </c>
      <c r="AA14" s="27" t="e">
        <f>#REF!*KeyInputs!#REF!</f>
        <v>#REF!</v>
      </c>
      <c r="AB14" s="27" t="e">
        <f>#REF!*KeyInputs!#REF!</f>
        <v>#REF!</v>
      </c>
      <c r="AD14" s="27"/>
      <c r="AE14" s="25"/>
      <c r="AF14" s="25"/>
      <c r="AG14" s="25"/>
      <c r="AH14" s="25"/>
      <c r="AI14" s="25"/>
      <c r="AJ14" s="27" t="e">
        <f>#REF!*KeyInputs!#REF!</f>
        <v>#REF!</v>
      </c>
      <c r="AK14" s="27" t="e">
        <f>#REF!*KeyInputs!#REF!</f>
        <v>#REF!</v>
      </c>
      <c r="AL14" s="27" t="e">
        <f>#REF!*KeyInputs!#REF!</f>
        <v>#REF!</v>
      </c>
      <c r="AM14" s="27" t="e">
        <f>#REF!*KeyInputs!#REF!</f>
        <v>#REF!</v>
      </c>
      <c r="AN14" s="27" t="e">
        <f>#REF!*KeyInputs!#REF!</f>
        <v>#REF!</v>
      </c>
      <c r="AO14" s="27" t="e">
        <f>#REF!*KeyInputs!#REF!</f>
        <v>#REF!</v>
      </c>
    </row>
    <row r="15" spans="1:41" x14ac:dyDescent="0.3">
      <c r="A15" s="25"/>
      <c r="B15" s="25" t="e">
        <f ca="1">K5</f>
        <v>#REF!</v>
      </c>
      <c r="C15" s="27"/>
      <c r="D15" s="27"/>
      <c r="E15" s="25"/>
      <c r="F15" s="25"/>
      <c r="G15" s="25"/>
      <c r="H15" s="25"/>
      <c r="I15" s="25"/>
      <c r="J15" s="25"/>
      <c r="K15" s="27" t="e">
        <f>#REF!*KeyInputs!#REF!</f>
        <v>#REF!</v>
      </c>
      <c r="L15" s="27" t="e">
        <f>#REF!*KeyInputs!#REF!</f>
        <v>#REF!</v>
      </c>
      <c r="M15" s="27" t="e">
        <f>#REF!*KeyInputs!#REF!</f>
        <v>#REF!</v>
      </c>
      <c r="N15" s="27" t="e">
        <f>#REF!*KeyInputs!#REF!</f>
        <v>#REF!</v>
      </c>
      <c r="O15" s="27" t="e">
        <f>#REF!*KeyInputs!#REF!</f>
        <v>#REF!</v>
      </c>
      <c r="P15" s="27"/>
      <c r="Q15" s="27" t="e">
        <f>#REF!*KeyInputs!#REF!</f>
        <v>#REF!</v>
      </c>
      <c r="R15" s="25"/>
      <c r="S15" s="25"/>
      <c r="T15" s="25"/>
      <c r="U15" s="25"/>
      <c r="V15" s="25"/>
      <c r="W15" s="25"/>
      <c r="X15" s="27" t="e">
        <f>#REF!*KeyInputs!#REF!</f>
        <v>#REF!</v>
      </c>
      <c r="Y15" s="27" t="e">
        <f>#REF!*KeyInputs!#REF!</f>
        <v>#REF!</v>
      </c>
      <c r="Z15" s="27" t="e">
        <f>#REF!*KeyInputs!#REF!</f>
        <v>#REF!</v>
      </c>
      <c r="AA15" s="27" t="e">
        <f>#REF!*KeyInputs!#REF!</f>
        <v>#REF!</v>
      </c>
      <c r="AB15" s="27" t="e">
        <f>#REF!*KeyInputs!#REF!</f>
        <v>#REF!</v>
      </c>
      <c r="AC15" s="27"/>
      <c r="AD15" s="27" t="e">
        <f>#REF!*KeyInputs!#REF!</f>
        <v>#REF!</v>
      </c>
      <c r="AE15" s="25"/>
      <c r="AF15" s="25"/>
      <c r="AG15" s="25"/>
      <c r="AH15" s="25"/>
      <c r="AI15" s="25"/>
      <c r="AJ15" s="25"/>
      <c r="AK15" s="27" t="e">
        <f>#REF!*KeyInputs!#REF!</f>
        <v>#REF!</v>
      </c>
      <c r="AL15" s="27" t="e">
        <f>#REF!*KeyInputs!#REF!</f>
        <v>#REF!</v>
      </c>
      <c r="AM15" s="27" t="e">
        <f>#REF!*KeyInputs!#REF!</f>
        <v>#REF!</v>
      </c>
      <c r="AN15" s="27" t="e">
        <f>#REF!*KeyInputs!#REF!</f>
        <v>#REF!</v>
      </c>
      <c r="AO15" s="27" t="e">
        <f>#REF!*KeyInputs!#REF!</f>
        <v>#REF!</v>
      </c>
    </row>
    <row r="16" spans="1:41" x14ac:dyDescent="0.3">
      <c r="A16" s="30"/>
      <c r="B16" s="25" t="e">
        <f ca="1">L5</f>
        <v>#REF!</v>
      </c>
      <c r="C16" s="27"/>
      <c r="D16" s="27"/>
      <c r="E16" s="25"/>
      <c r="F16" s="25"/>
      <c r="G16" s="25"/>
      <c r="H16" s="25"/>
      <c r="I16" s="25"/>
      <c r="J16" s="25"/>
      <c r="K16" s="25"/>
      <c r="L16" s="27" t="e">
        <f>#REF!*KeyInputs!#REF!</f>
        <v>#REF!</v>
      </c>
      <c r="M16" s="27" t="e">
        <f>#REF!*KeyInputs!#REF!</f>
        <v>#REF!</v>
      </c>
      <c r="N16" s="27" t="e">
        <f>#REF!*KeyInputs!#REF!</f>
        <v>#REF!</v>
      </c>
      <c r="O16" s="27" t="e">
        <f>#REF!*KeyInputs!#REF!</f>
        <v>#REF!</v>
      </c>
      <c r="P16" s="27"/>
      <c r="Q16" s="27" t="e">
        <f>#REF!*KeyInputs!#REF!</f>
        <v>#REF!</v>
      </c>
      <c r="R16" s="27" t="e">
        <f>#REF!*KeyInputs!#REF!</f>
        <v>#REF!</v>
      </c>
      <c r="S16" s="25"/>
      <c r="T16" s="25"/>
      <c r="U16" s="25"/>
      <c r="V16" s="25"/>
      <c r="W16" s="25"/>
      <c r="X16" s="25"/>
      <c r="Y16" s="27" t="e">
        <f>#REF!*KeyInputs!#REF!</f>
        <v>#REF!</v>
      </c>
      <c r="Z16" s="27" t="e">
        <f>#REF!*KeyInputs!#REF!</f>
        <v>#REF!</v>
      </c>
      <c r="AA16" s="27" t="e">
        <f>#REF!*KeyInputs!#REF!</f>
        <v>#REF!</v>
      </c>
      <c r="AB16" s="27" t="e">
        <f>#REF!*KeyInputs!#REF!</f>
        <v>#REF!</v>
      </c>
      <c r="AC16" s="27"/>
      <c r="AD16" s="27" t="e">
        <f>#REF!*KeyInputs!#REF!</f>
        <v>#REF!</v>
      </c>
      <c r="AE16" s="27" t="e">
        <f>#REF!*KeyInputs!#REF!</f>
        <v>#REF!</v>
      </c>
      <c r="AF16" s="25"/>
      <c r="AG16" s="25"/>
      <c r="AH16" s="25"/>
      <c r="AI16" s="25"/>
      <c r="AJ16" s="25"/>
      <c r="AK16" s="25"/>
      <c r="AL16" s="27" t="e">
        <f>#REF!*KeyInputs!#REF!</f>
        <v>#REF!</v>
      </c>
      <c r="AM16" s="27" t="e">
        <f>#REF!*KeyInputs!#REF!</f>
        <v>#REF!</v>
      </c>
      <c r="AN16" s="27" t="e">
        <f>#REF!*KeyInputs!#REF!</f>
        <v>#REF!</v>
      </c>
      <c r="AO16" s="27" t="e">
        <f>#REF!*KeyInputs!#REF!</f>
        <v>#REF!</v>
      </c>
    </row>
    <row r="17" spans="1:41" x14ac:dyDescent="0.3">
      <c r="A17" s="25"/>
      <c r="B17" s="25" t="e">
        <f ca="1">M5</f>
        <v>#REF!</v>
      </c>
      <c r="C17" s="27"/>
      <c r="D17" s="27"/>
      <c r="E17" s="25"/>
      <c r="F17" s="25"/>
      <c r="G17" s="25"/>
      <c r="H17" s="25"/>
      <c r="I17" s="25"/>
      <c r="J17" s="25"/>
      <c r="K17" s="25"/>
      <c r="L17" s="25"/>
      <c r="M17" s="27" t="e">
        <f>#REF!*KeyInputs!#REF!</f>
        <v>#REF!</v>
      </c>
      <c r="N17" s="27" t="e">
        <f>#REF!*KeyInputs!#REF!</f>
        <v>#REF!</v>
      </c>
      <c r="O17" s="27" t="e">
        <f>#REF!*KeyInputs!#REF!</f>
        <v>#REF!</v>
      </c>
      <c r="P17" s="27"/>
      <c r="Q17" s="27" t="e">
        <f>#REF!*KeyInputs!#REF!</f>
        <v>#REF!</v>
      </c>
      <c r="R17" s="27" t="e">
        <f>#REF!*KeyInputs!#REF!</f>
        <v>#REF!</v>
      </c>
      <c r="S17" s="27" t="e">
        <f>#REF!*KeyInputs!#REF!</f>
        <v>#REF!</v>
      </c>
      <c r="T17" s="25"/>
      <c r="U17" s="25"/>
      <c r="V17" s="25"/>
      <c r="W17" s="25"/>
      <c r="X17" s="25"/>
      <c r="Y17" s="25"/>
      <c r="Z17" s="27" t="e">
        <f>#REF!*KeyInputs!#REF!</f>
        <v>#REF!</v>
      </c>
      <c r="AA17" s="27" t="e">
        <f>#REF!*KeyInputs!#REF!</f>
        <v>#REF!</v>
      </c>
      <c r="AB17" s="27" t="e">
        <f>#REF!*KeyInputs!#REF!</f>
        <v>#REF!</v>
      </c>
      <c r="AC17" s="27"/>
      <c r="AD17" s="27" t="e">
        <f>#REF!*KeyInputs!#REF!</f>
        <v>#REF!</v>
      </c>
      <c r="AE17" s="27" t="e">
        <f>#REF!*KeyInputs!#REF!</f>
        <v>#REF!</v>
      </c>
      <c r="AF17" s="27" t="e">
        <f>#REF!*KeyInputs!#REF!</f>
        <v>#REF!</v>
      </c>
      <c r="AG17" s="25"/>
      <c r="AH17" s="25"/>
      <c r="AI17" s="25"/>
      <c r="AJ17" s="25"/>
      <c r="AK17" s="25"/>
      <c r="AL17" s="25"/>
      <c r="AM17" s="27" t="e">
        <f>#REF!*KeyInputs!#REF!</f>
        <v>#REF!</v>
      </c>
      <c r="AN17" s="27" t="e">
        <f>#REF!*KeyInputs!#REF!</f>
        <v>#REF!</v>
      </c>
      <c r="AO17" s="27" t="e">
        <f>#REF!*KeyInputs!#REF!</f>
        <v>#REF!</v>
      </c>
    </row>
    <row r="18" spans="1:41" x14ac:dyDescent="0.3">
      <c r="A18" s="25"/>
      <c r="B18" s="25" t="e">
        <f ca="1">N5</f>
        <v>#REF!</v>
      </c>
      <c r="C18" s="27"/>
      <c r="D18" s="27"/>
      <c r="E18" s="25"/>
      <c r="F18" s="25"/>
      <c r="G18" s="25"/>
      <c r="H18" s="25"/>
      <c r="I18" s="25"/>
      <c r="J18" s="25"/>
      <c r="K18" s="25"/>
      <c r="L18" s="25"/>
      <c r="M18" s="25"/>
      <c r="N18" s="27" t="e">
        <f>#REF!*KeyInputs!#REF!</f>
        <v>#REF!</v>
      </c>
      <c r="O18" s="27" t="e">
        <f>#REF!*KeyInputs!#REF!</f>
        <v>#REF!</v>
      </c>
      <c r="P18" s="27"/>
      <c r="Q18" s="27" t="e">
        <f>#REF!*KeyInputs!#REF!</f>
        <v>#REF!</v>
      </c>
      <c r="R18" s="27" t="e">
        <f>#REF!*KeyInputs!#REF!</f>
        <v>#REF!</v>
      </c>
      <c r="S18" s="27" t="e">
        <f>#REF!*KeyInputs!#REF!</f>
        <v>#REF!</v>
      </c>
      <c r="T18" s="27" t="e">
        <f>#REF!*KeyInputs!#REF!</f>
        <v>#REF!</v>
      </c>
      <c r="U18" s="25"/>
      <c r="V18" s="25"/>
      <c r="W18" s="25"/>
      <c r="X18" s="25"/>
      <c r="Y18" s="25"/>
      <c r="Z18" s="25"/>
      <c r="AA18" s="27" t="e">
        <f>#REF!*KeyInputs!#REF!</f>
        <v>#REF!</v>
      </c>
      <c r="AB18" s="27" t="e">
        <f>#REF!*KeyInputs!#REF!</f>
        <v>#REF!</v>
      </c>
      <c r="AC18" s="27"/>
      <c r="AD18" s="27" t="e">
        <f>#REF!*KeyInputs!#REF!</f>
        <v>#REF!</v>
      </c>
      <c r="AE18" s="27" t="e">
        <f>#REF!*KeyInputs!#REF!</f>
        <v>#REF!</v>
      </c>
      <c r="AF18" s="27" t="e">
        <f>#REF!*KeyInputs!#REF!</f>
        <v>#REF!</v>
      </c>
      <c r="AG18" s="27" t="e">
        <f>#REF!*KeyInputs!#REF!</f>
        <v>#REF!</v>
      </c>
      <c r="AH18" s="25"/>
      <c r="AI18" s="25"/>
      <c r="AJ18" s="25"/>
      <c r="AK18" s="25"/>
      <c r="AL18" s="25"/>
      <c r="AM18" s="25"/>
      <c r="AN18" s="27" t="e">
        <f>#REF!*KeyInputs!#REF!</f>
        <v>#REF!</v>
      </c>
      <c r="AO18" s="27" t="e">
        <f>#REF!*KeyInputs!#REF!</f>
        <v>#REF!</v>
      </c>
    </row>
    <row r="19" spans="1:41" x14ac:dyDescent="0.3">
      <c r="A19" s="25"/>
      <c r="B19" s="25" t="e">
        <f ca="1">O5</f>
        <v>#REF!</v>
      </c>
      <c r="C19" s="27"/>
      <c r="D19" s="27"/>
      <c r="E19" s="25"/>
      <c r="F19" s="25"/>
      <c r="G19" s="25"/>
      <c r="H19" s="25"/>
      <c r="I19" s="25"/>
      <c r="J19" s="25"/>
      <c r="K19" s="25"/>
      <c r="L19" s="25"/>
      <c r="M19" s="25"/>
      <c r="N19" s="25"/>
      <c r="O19" s="27" t="e">
        <f>#REF!*KeyInputs!#REF!</f>
        <v>#REF!</v>
      </c>
      <c r="P19" s="27"/>
      <c r="Q19" s="27" t="e">
        <f>#REF!*KeyInputs!#REF!</f>
        <v>#REF!</v>
      </c>
      <c r="R19" s="27" t="e">
        <f>#REF!*KeyInputs!#REF!</f>
        <v>#REF!</v>
      </c>
      <c r="S19" s="27" t="e">
        <f>#REF!*KeyInputs!#REF!</f>
        <v>#REF!</v>
      </c>
      <c r="T19" s="27" t="e">
        <f>#REF!*KeyInputs!#REF!</f>
        <v>#REF!</v>
      </c>
      <c r="U19" s="27" t="e">
        <f>#REF!*KeyInputs!#REF!</f>
        <v>#REF!</v>
      </c>
      <c r="V19" s="25"/>
      <c r="W19" s="25"/>
      <c r="X19" s="25"/>
      <c r="Y19" s="25"/>
      <c r="Z19" s="25"/>
      <c r="AA19" s="25"/>
      <c r="AB19" s="27" t="e">
        <f>#REF!*KeyInputs!#REF!</f>
        <v>#REF!</v>
      </c>
      <c r="AC19" s="27"/>
      <c r="AD19" s="27" t="e">
        <f>#REF!*KeyInputs!#REF!</f>
        <v>#REF!</v>
      </c>
      <c r="AE19" s="27" t="e">
        <f>#REF!*KeyInputs!#REF!</f>
        <v>#REF!</v>
      </c>
      <c r="AF19" s="27" t="e">
        <f>#REF!*KeyInputs!#REF!</f>
        <v>#REF!</v>
      </c>
      <c r="AG19" s="27" t="e">
        <f>#REF!*KeyInputs!#REF!</f>
        <v>#REF!</v>
      </c>
      <c r="AH19" s="27" t="e">
        <f>#REF!*KeyInputs!#REF!</f>
        <v>#REF!</v>
      </c>
      <c r="AI19" s="25"/>
      <c r="AJ19" s="25"/>
      <c r="AK19" s="25"/>
      <c r="AL19" s="25"/>
      <c r="AM19" s="25"/>
      <c r="AN19" s="25"/>
      <c r="AO19" s="27" t="e">
        <f>#REF!*KeyInputs!#REF!</f>
        <v>#REF!</v>
      </c>
    </row>
    <row r="20" spans="1:41" x14ac:dyDescent="0.3">
      <c r="A20" s="25"/>
      <c r="B20" s="25"/>
      <c r="C20" s="25" t="e">
        <f>SUM(C7:C19)</f>
        <v>#REF!</v>
      </c>
      <c r="D20" s="25" t="e">
        <f t="shared" ref="D20:O20" si="0">SUM(D7:D19)</f>
        <v>#REF!</v>
      </c>
      <c r="E20" s="25" t="e">
        <f t="shared" si="0"/>
        <v>#REF!</v>
      </c>
      <c r="F20" s="25" t="e">
        <f t="shared" si="0"/>
        <v>#REF!</v>
      </c>
      <c r="G20" s="25" t="e">
        <f t="shared" si="0"/>
        <v>#REF!</v>
      </c>
      <c r="H20" s="25" t="e">
        <f t="shared" si="0"/>
        <v>#REF!</v>
      </c>
      <c r="I20" s="25" t="e">
        <f t="shared" si="0"/>
        <v>#REF!</v>
      </c>
      <c r="J20" s="25" t="e">
        <f t="shared" si="0"/>
        <v>#REF!</v>
      </c>
      <c r="K20" s="25" t="e">
        <f t="shared" si="0"/>
        <v>#REF!</v>
      </c>
      <c r="L20" s="25" t="e">
        <f t="shared" si="0"/>
        <v>#REF!</v>
      </c>
      <c r="M20" s="25" t="e">
        <f t="shared" si="0"/>
        <v>#REF!</v>
      </c>
      <c r="N20" s="25" t="e">
        <f t="shared" si="0"/>
        <v>#REF!</v>
      </c>
      <c r="O20" s="25" t="e">
        <f t="shared" si="0"/>
        <v>#REF!</v>
      </c>
      <c r="Q20" s="25" t="e">
        <f t="shared" ref="Q20:AB20" si="1">SUM(Q7:Q19)</f>
        <v>#REF!</v>
      </c>
      <c r="R20" s="25" t="e">
        <f t="shared" si="1"/>
        <v>#REF!</v>
      </c>
      <c r="S20" s="25" t="e">
        <f t="shared" si="1"/>
        <v>#REF!</v>
      </c>
      <c r="T20" s="25" t="e">
        <f t="shared" si="1"/>
        <v>#REF!</v>
      </c>
      <c r="U20" s="25" t="e">
        <f t="shared" si="1"/>
        <v>#REF!</v>
      </c>
      <c r="V20" s="25" t="e">
        <f t="shared" si="1"/>
        <v>#REF!</v>
      </c>
      <c r="W20" s="25" t="e">
        <f t="shared" si="1"/>
        <v>#REF!</v>
      </c>
      <c r="X20" s="25" t="e">
        <f t="shared" si="1"/>
        <v>#REF!</v>
      </c>
      <c r="Y20" s="25" t="e">
        <f t="shared" si="1"/>
        <v>#REF!</v>
      </c>
      <c r="Z20" s="25" t="e">
        <f t="shared" si="1"/>
        <v>#REF!</v>
      </c>
      <c r="AA20" s="25" t="e">
        <f t="shared" si="1"/>
        <v>#REF!</v>
      </c>
      <c r="AB20" s="25" t="e">
        <f t="shared" si="1"/>
        <v>#REF!</v>
      </c>
      <c r="AD20" s="25" t="e">
        <f t="shared" ref="AD20:AO20" si="2">SUM(AD7:AD19)</f>
        <v>#REF!</v>
      </c>
      <c r="AE20" s="25" t="e">
        <f t="shared" si="2"/>
        <v>#REF!</v>
      </c>
      <c r="AF20" s="25" t="e">
        <f t="shared" si="2"/>
        <v>#REF!</v>
      </c>
      <c r="AG20" s="25" t="e">
        <f t="shared" si="2"/>
        <v>#REF!</v>
      </c>
      <c r="AH20" s="25" t="e">
        <f t="shared" si="2"/>
        <v>#REF!</v>
      </c>
      <c r="AI20" s="25" t="e">
        <f t="shared" si="2"/>
        <v>#REF!</v>
      </c>
      <c r="AJ20" s="25" t="e">
        <f t="shared" si="2"/>
        <v>#REF!</v>
      </c>
      <c r="AK20" s="25" t="e">
        <f t="shared" si="2"/>
        <v>#REF!</v>
      </c>
      <c r="AL20" s="25" t="e">
        <f t="shared" si="2"/>
        <v>#REF!</v>
      </c>
      <c r="AM20" s="25" t="e">
        <f t="shared" si="2"/>
        <v>#REF!</v>
      </c>
      <c r="AN20" s="25" t="e">
        <f t="shared" si="2"/>
        <v>#REF!</v>
      </c>
      <c r="AO20" s="25" t="e">
        <f t="shared" si="2"/>
        <v>#REF!</v>
      </c>
    </row>
    <row r="21" spans="1:41" x14ac:dyDescent="0.3">
      <c r="A21" s="25"/>
      <c r="B21" s="25"/>
      <c r="C21" s="25"/>
      <c r="D21" s="25"/>
      <c r="E21" s="25"/>
      <c r="F21" s="25"/>
      <c r="G21" s="25"/>
      <c r="H21" s="25"/>
      <c r="I21" s="25"/>
      <c r="J21" s="25"/>
      <c r="K21" s="25"/>
      <c r="L21" s="25"/>
      <c r="M21" s="25"/>
      <c r="N21" s="25"/>
      <c r="O21" s="25"/>
    </row>
    <row r="23" spans="1:41" x14ac:dyDescent="0.3">
      <c r="C23" s="27"/>
      <c r="D23" s="27"/>
      <c r="E23" s="27"/>
      <c r="F23" s="27"/>
      <c r="G23" s="27"/>
      <c r="H23" s="27"/>
      <c r="I23" s="25"/>
      <c r="J23" s="25"/>
      <c r="K23" s="25"/>
      <c r="L23" s="25"/>
      <c r="M23" s="25"/>
      <c r="N23" s="25"/>
      <c r="O23" s="25"/>
    </row>
    <row r="24" spans="1:41" x14ac:dyDescent="0.3">
      <c r="C24" s="27"/>
      <c r="D24" s="27"/>
      <c r="E24" s="27"/>
      <c r="F24" s="27"/>
      <c r="G24" s="27"/>
      <c r="H24" s="27"/>
      <c r="I24" s="27"/>
      <c r="J24" s="25"/>
      <c r="K24" s="25"/>
      <c r="L24" s="25"/>
      <c r="M24" s="25"/>
      <c r="N24" s="25"/>
      <c r="O24" s="25"/>
    </row>
    <row r="25" spans="1:41" x14ac:dyDescent="0.3">
      <c r="C25" s="27"/>
      <c r="D25" s="27"/>
      <c r="E25" s="27"/>
      <c r="F25" s="27"/>
      <c r="G25" s="27"/>
      <c r="H25" s="27"/>
      <c r="I25" s="27"/>
      <c r="J25" s="27"/>
      <c r="K25" s="25"/>
      <c r="L25" s="25"/>
      <c r="M25" s="25"/>
      <c r="N25" s="25"/>
      <c r="O25" s="25"/>
    </row>
    <row r="26" spans="1:41" x14ac:dyDescent="0.3">
      <c r="C26" s="27"/>
      <c r="D26" s="27"/>
      <c r="E26" s="25"/>
      <c r="F26" s="27"/>
      <c r="G26" s="27"/>
      <c r="H26" s="27"/>
      <c r="I26" s="27"/>
      <c r="J26" s="27"/>
      <c r="K26" s="27"/>
      <c r="L26" s="25"/>
      <c r="M26" s="25"/>
      <c r="N26" s="25"/>
      <c r="O26" s="25"/>
    </row>
    <row r="27" spans="1:41" x14ac:dyDescent="0.3">
      <c r="C27" s="27"/>
      <c r="D27" s="27"/>
      <c r="E27" s="25"/>
      <c r="F27" s="25"/>
      <c r="G27" s="27"/>
      <c r="H27" s="27"/>
      <c r="I27" s="27"/>
      <c r="J27" s="27"/>
      <c r="K27" s="27"/>
      <c r="L27" s="27"/>
      <c r="M27" s="25"/>
      <c r="N27" s="25"/>
      <c r="O27" s="25"/>
    </row>
    <row r="28" spans="1:41" x14ac:dyDescent="0.3">
      <c r="C28" s="27"/>
      <c r="D28" s="27"/>
      <c r="E28" s="25"/>
      <c r="F28" s="25"/>
      <c r="G28" s="25"/>
      <c r="H28" s="27"/>
      <c r="I28" s="27"/>
      <c r="J28" s="27"/>
      <c r="K28" s="27"/>
      <c r="L28" s="27"/>
      <c r="M28" s="27"/>
      <c r="N28" s="25"/>
      <c r="O28" s="25"/>
    </row>
    <row r="29" spans="1:41" x14ac:dyDescent="0.3">
      <c r="C29" s="27"/>
      <c r="D29" s="27"/>
      <c r="E29" s="25"/>
      <c r="F29" s="25"/>
      <c r="G29" s="25"/>
      <c r="H29" s="25"/>
      <c r="I29" s="27"/>
      <c r="J29" s="27"/>
      <c r="K29" s="27"/>
      <c r="L29" s="27"/>
      <c r="M29" s="27"/>
      <c r="N29" s="27"/>
      <c r="O29" s="25"/>
    </row>
    <row r="30" spans="1:41" x14ac:dyDescent="0.3">
      <c r="C30" s="27"/>
      <c r="D30" s="27"/>
      <c r="E30" s="25"/>
      <c r="F30" s="25"/>
      <c r="G30" s="25"/>
      <c r="H30" s="25"/>
      <c r="I30" s="25"/>
      <c r="J30" s="27"/>
      <c r="K30" s="27"/>
      <c r="L30" s="27"/>
      <c r="M30" s="27"/>
      <c r="N30" s="27"/>
      <c r="O30" s="27"/>
    </row>
    <row r="31" spans="1:41" x14ac:dyDescent="0.3">
      <c r="C31" s="27"/>
      <c r="D31" s="27"/>
      <c r="E31" s="25"/>
      <c r="F31" s="25"/>
      <c r="G31" s="25"/>
      <c r="H31" s="25"/>
      <c r="I31" s="25"/>
      <c r="J31" s="25"/>
      <c r="K31" s="27"/>
      <c r="L31" s="27"/>
      <c r="M31" s="27"/>
      <c r="N31" s="27"/>
      <c r="O31" s="27"/>
      <c r="P31" s="27"/>
    </row>
    <row r="32" spans="1:41" x14ac:dyDescent="0.3">
      <c r="C32" s="27"/>
      <c r="D32" s="27"/>
      <c r="E32" s="25"/>
      <c r="F32" s="25"/>
      <c r="G32" s="25"/>
      <c r="H32" s="25"/>
      <c r="I32" s="25"/>
      <c r="J32" s="25"/>
      <c r="K32" s="25"/>
      <c r="L32" s="27"/>
      <c r="M32" s="27"/>
      <c r="N32" s="27"/>
      <c r="O32" s="27"/>
      <c r="P32" s="27"/>
      <c r="Q32" s="27"/>
    </row>
    <row r="33" spans="3:15" x14ac:dyDescent="0.3">
      <c r="C33" s="27"/>
      <c r="D33" s="27"/>
      <c r="E33" s="25"/>
      <c r="F33" s="25"/>
      <c r="G33" s="25"/>
      <c r="H33" s="25"/>
      <c r="I33" s="25"/>
      <c r="J33" s="25"/>
      <c r="K33" s="25"/>
      <c r="L33" s="25"/>
      <c r="M33" s="27"/>
      <c r="N33" s="27"/>
      <c r="O33" s="27"/>
    </row>
    <row r="34" spans="3:15" x14ac:dyDescent="0.3">
      <c r="C34" s="27"/>
      <c r="D34" s="27"/>
      <c r="E34" s="25"/>
      <c r="F34" s="25"/>
      <c r="G34" s="25"/>
      <c r="H34" s="25"/>
      <c r="I34" s="25"/>
      <c r="J34" s="25"/>
      <c r="K34" s="25"/>
      <c r="L34" s="25"/>
      <c r="M34" s="25"/>
      <c r="N34" s="27"/>
      <c r="O34" s="27"/>
    </row>
    <row r="35" spans="3:15" x14ac:dyDescent="0.3">
      <c r="C35" s="27"/>
      <c r="D35" s="27"/>
      <c r="E35" s="25"/>
      <c r="F35" s="25"/>
      <c r="G35" s="25"/>
      <c r="H35" s="25"/>
      <c r="I35" s="25"/>
      <c r="J35" s="25"/>
      <c r="K35" s="25"/>
      <c r="L35" s="25"/>
      <c r="M35" s="25"/>
      <c r="N35" s="25"/>
      <c r="O35" s="27"/>
    </row>
  </sheetData>
  <mergeCells count="3">
    <mergeCell ref="AD4:AO4"/>
    <mergeCell ref="D4:O4"/>
    <mergeCell ref="Q4:AB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1"/>
  <dimension ref="A1:AO35"/>
  <sheetViews>
    <sheetView workbookViewId="0">
      <pane xSplit="3" ySplit="5" topLeftCell="D6" activePane="bottomRight" state="frozen"/>
      <selection pane="topRight" activeCell="D1" sqref="D1"/>
      <selection pane="bottomLeft" activeCell="A6" sqref="A6"/>
      <selection pane="bottomRight" activeCell="V7" sqref="V7"/>
    </sheetView>
  </sheetViews>
  <sheetFormatPr defaultColWidth="8.88671875" defaultRowHeight="14.4" x14ac:dyDescent="0.3"/>
  <cols>
    <col min="1" max="1" width="2.44140625" customWidth="1"/>
    <col min="2" max="2" width="22" customWidth="1"/>
    <col min="3" max="3" width="9.44140625" customWidth="1"/>
  </cols>
  <sheetData>
    <row r="1" spans="1:41" ht="18" x14ac:dyDescent="0.35">
      <c r="A1" s="4">
        <f>KeyInputs!F14</f>
        <v>0</v>
      </c>
    </row>
    <row r="2" spans="1:41" ht="18" x14ac:dyDescent="0.35">
      <c r="A2" s="4" t="str">
        <f>KeyInputs!F22</f>
        <v>Insert Product Group 1</v>
      </c>
      <c r="D2" t="s">
        <v>80</v>
      </c>
    </row>
    <row r="4" spans="1:41" x14ac:dyDescent="0.3">
      <c r="D4" s="336">
        <f>KeyInputs!$F$17</f>
        <v>42005</v>
      </c>
      <c r="E4" s="337"/>
      <c r="F4" s="337"/>
      <c r="G4" s="337"/>
      <c r="H4" s="337"/>
      <c r="I4" s="337"/>
      <c r="J4" s="337"/>
      <c r="K4" s="337"/>
      <c r="L4" s="337"/>
      <c r="M4" s="337"/>
      <c r="N4" s="337"/>
      <c r="O4" s="338"/>
      <c r="Q4" s="336">
        <f>KeyInputs!$F$17+1</f>
        <v>42006</v>
      </c>
      <c r="R4" s="337"/>
      <c r="S4" s="337"/>
      <c r="T4" s="337"/>
      <c r="U4" s="337"/>
      <c r="V4" s="337"/>
      <c r="W4" s="337"/>
      <c r="X4" s="337"/>
      <c r="Y4" s="337"/>
      <c r="Z4" s="337"/>
      <c r="AA4" s="337"/>
      <c r="AB4" s="338"/>
      <c r="AD4" s="336">
        <f>KeyInputs!$F$17+2</f>
        <v>42007</v>
      </c>
      <c r="AE4" s="337"/>
      <c r="AF4" s="337"/>
      <c r="AG4" s="337"/>
      <c r="AH4" s="337"/>
      <c r="AI4" s="337"/>
      <c r="AJ4" s="337"/>
      <c r="AK4" s="337"/>
      <c r="AL4" s="337"/>
      <c r="AM4" s="337"/>
      <c r="AN4" s="337"/>
      <c r="AO4" s="338"/>
    </row>
    <row r="5" spans="1:41" x14ac:dyDescent="0.3">
      <c r="C5" s="28" t="s">
        <v>70</v>
      </c>
      <c r="D5" s="31" t="e">
        <f>KeyInputs!#REF!</f>
        <v>#REF!</v>
      </c>
      <c r="E5" s="32" t="e">
        <f ca="1">OFFSET(Worksheet!$A$14,,(HLOOKUP(KeyInputs!#REF!,Worksheet!$A$14:$L$15,2,FALSE)))</f>
        <v>#REF!</v>
      </c>
      <c r="F5" s="32" t="e">
        <f ca="1">OFFSET(Worksheet!$A$14,,(HLOOKUP(KeyInputs!#REF!,Worksheet!$A$14:$L$15,2,FALSE))+Worksheet!$A$15)</f>
        <v>#REF!</v>
      </c>
      <c r="G5" s="32" t="e">
        <f ca="1">OFFSET(Worksheet!$A$14,,(HLOOKUP(KeyInputs!#REF!,Worksheet!$A$14:$L$15,2,FALSE))+Worksheet!$B$15)</f>
        <v>#REF!</v>
      </c>
      <c r="H5" s="32" t="e">
        <f ca="1">OFFSET(Worksheet!$A$14,,(HLOOKUP(KeyInputs!#REF!,Worksheet!$A$14:$L$15,2,FALSE))+Worksheet!$C$15)</f>
        <v>#REF!</v>
      </c>
      <c r="I5" s="32" t="e">
        <f ca="1">OFFSET(Worksheet!$A$14,,(HLOOKUP(KeyInputs!#REF!,Worksheet!$A$14:$L$15,2,FALSE))+Worksheet!$D$15)</f>
        <v>#REF!</v>
      </c>
      <c r="J5" s="32" t="e">
        <f ca="1">OFFSET(Worksheet!$A$14,,(HLOOKUP(KeyInputs!#REF!,Worksheet!$A$14:$L$15,2,FALSE))+Worksheet!$E$15)</f>
        <v>#REF!</v>
      </c>
      <c r="K5" s="32" t="e">
        <f ca="1">OFFSET(Worksheet!$A$14,,(HLOOKUP(KeyInputs!#REF!,Worksheet!$A$14:$L$15,2,FALSE))+Worksheet!$F$15)</f>
        <v>#REF!</v>
      </c>
      <c r="L5" s="32" t="e">
        <f ca="1">OFFSET(Worksheet!$A$14,,(HLOOKUP(KeyInputs!#REF!,Worksheet!$A$14:$L$15,2,FALSE))+Worksheet!$G$15)</f>
        <v>#REF!</v>
      </c>
      <c r="M5" s="32" t="e">
        <f ca="1">OFFSET(Worksheet!$A$14,,(HLOOKUP(KeyInputs!#REF!,Worksheet!$A$14:$L$15,2,FALSE))+Worksheet!$H$15)</f>
        <v>#REF!</v>
      </c>
      <c r="N5" s="32" t="e">
        <f ca="1">OFFSET(Worksheet!$A$14,,(HLOOKUP(KeyInputs!#REF!,Worksheet!$A$14:$L$15,2,FALSE))+Worksheet!$I$15)</f>
        <v>#REF!</v>
      </c>
      <c r="O5" s="32" t="e">
        <f ca="1">OFFSET(Worksheet!$A$14,,(HLOOKUP(KeyInputs!#REF!,Worksheet!$A$14:$L$15,2,FALSE))+Worksheet!$J$15)</f>
        <v>#REF!</v>
      </c>
      <c r="Q5" s="31" t="e">
        <f>KeyInputs!#REF!</f>
        <v>#REF!</v>
      </c>
      <c r="R5" s="32" t="e">
        <f ca="1">OFFSET(Worksheet!$A$14,,(HLOOKUP(KeyInputs!#REF!,Worksheet!$A$14:$L$15,2,FALSE)))</f>
        <v>#REF!</v>
      </c>
      <c r="S5" s="32" t="e">
        <f ca="1">OFFSET(Worksheet!$A$14,,(HLOOKUP(KeyInputs!#REF!,Worksheet!$A$14:$L$15,2,FALSE))+Worksheet!$A$15)</f>
        <v>#REF!</v>
      </c>
      <c r="T5" s="32" t="e">
        <f ca="1">OFFSET(Worksheet!$A$14,,(HLOOKUP(KeyInputs!#REF!,Worksheet!$A$14:$L$15,2,FALSE))+Worksheet!$B$15)</f>
        <v>#REF!</v>
      </c>
      <c r="U5" s="32" t="e">
        <f ca="1">OFFSET(Worksheet!$A$14,,(HLOOKUP(KeyInputs!#REF!,Worksheet!$A$14:$L$15,2,FALSE))+Worksheet!$C$15)</f>
        <v>#REF!</v>
      </c>
      <c r="V5" s="32" t="e">
        <f ca="1">OFFSET(Worksheet!$A$14,,(HLOOKUP(KeyInputs!#REF!,Worksheet!$A$14:$L$15,2,FALSE))+Worksheet!$D$15)</f>
        <v>#REF!</v>
      </c>
      <c r="W5" s="32" t="e">
        <f ca="1">OFFSET(Worksheet!$A$14,,(HLOOKUP(KeyInputs!#REF!,Worksheet!$A$14:$L$15,2,FALSE))+Worksheet!$E$15)</f>
        <v>#REF!</v>
      </c>
      <c r="X5" s="32" t="e">
        <f ca="1">OFFSET(Worksheet!$A$14,,(HLOOKUP(KeyInputs!#REF!,Worksheet!$A$14:$L$15,2,FALSE))+Worksheet!$F$15)</f>
        <v>#REF!</v>
      </c>
      <c r="Y5" s="32" t="e">
        <f ca="1">OFFSET(Worksheet!$A$14,,(HLOOKUP(KeyInputs!#REF!,Worksheet!$A$14:$L$15,2,FALSE))+Worksheet!$G$15)</f>
        <v>#REF!</v>
      </c>
      <c r="Z5" s="32" t="e">
        <f ca="1">OFFSET(Worksheet!$A$14,,(HLOOKUP(KeyInputs!#REF!,Worksheet!$A$14:$L$15,2,FALSE))+Worksheet!$H$15)</f>
        <v>#REF!</v>
      </c>
      <c r="AA5" s="32" t="e">
        <f ca="1">OFFSET(Worksheet!$A$14,,(HLOOKUP(KeyInputs!#REF!,Worksheet!$A$14:$L$15,2,FALSE))+Worksheet!$I$15)</f>
        <v>#REF!</v>
      </c>
      <c r="AB5" s="32" t="e">
        <f ca="1">OFFSET(Worksheet!$A$14,,(HLOOKUP(KeyInputs!#REF!,Worksheet!$A$14:$L$15,2,FALSE))+Worksheet!$J$15)</f>
        <v>#REF!</v>
      </c>
      <c r="AD5" s="31" t="e">
        <f>KeyInputs!#REF!</f>
        <v>#REF!</v>
      </c>
      <c r="AE5" s="32" t="e">
        <f ca="1">OFFSET(Worksheet!$A$14,,(HLOOKUP(KeyInputs!#REF!,Worksheet!$A$14:$L$15,2,FALSE)))</f>
        <v>#REF!</v>
      </c>
      <c r="AF5" s="32" t="e">
        <f ca="1">OFFSET(Worksheet!$A$14,,(HLOOKUP(KeyInputs!#REF!,Worksheet!$A$14:$L$15,2,FALSE))+Worksheet!$A$15)</f>
        <v>#REF!</v>
      </c>
      <c r="AG5" s="32" t="e">
        <f ca="1">OFFSET(Worksheet!$A$14,,(HLOOKUP(KeyInputs!#REF!,Worksheet!$A$14:$L$15,2,FALSE))+Worksheet!$B$15)</f>
        <v>#REF!</v>
      </c>
      <c r="AH5" s="32" t="e">
        <f ca="1">OFFSET(Worksheet!$A$14,,(HLOOKUP(KeyInputs!#REF!,Worksheet!$A$14:$L$15,2,FALSE))+Worksheet!$C$15)</f>
        <v>#REF!</v>
      </c>
      <c r="AI5" s="32" t="e">
        <f ca="1">OFFSET(Worksheet!$A$14,,(HLOOKUP(KeyInputs!#REF!,Worksheet!$A$14:$L$15,2,FALSE))+Worksheet!$D$15)</f>
        <v>#REF!</v>
      </c>
      <c r="AJ5" s="32" t="e">
        <f ca="1">OFFSET(Worksheet!$A$14,,(HLOOKUP(KeyInputs!#REF!,Worksheet!$A$14:$L$15,2,FALSE))+Worksheet!$E$15)</f>
        <v>#REF!</v>
      </c>
      <c r="AK5" s="32" t="e">
        <f ca="1">OFFSET(Worksheet!$A$14,,(HLOOKUP(KeyInputs!#REF!,Worksheet!$A$14:$L$15,2,FALSE))+Worksheet!$F$15)</f>
        <v>#REF!</v>
      </c>
      <c r="AL5" s="32" t="e">
        <f ca="1">OFFSET(Worksheet!$A$14,,(HLOOKUP(KeyInputs!#REF!,Worksheet!$A$14:$L$15,2,FALSE))+Worksheet!$G$15)</f>
        <v>#REF!</v>
      </c>
      <c r="AM5" s="32" t="e">
        <f ca="1">OFFSET(Worksheet!$A$14,,(HLOOKUP(KeyInputs!#REF!,Worksheet!$A$14:$L$15,2,FALSE))+Worksheet!$H$15)</f>
        <v>#REF!</v>
      </c>
      <c r="AN5" s="32" t="e">
        <f ca="1">OFFSET(Worksheet!$A$14,,(HLOOKUP(KeyInputs!#REF!,Worksheet!$A$14:$L$15,2,FALSE))+Worksheet!$I$15)</f>
        <v>#REF!</v>
      </c>
      <c r="AO5" s="32" t="e">
        <f ca="1">OFFSET(Worksheet!$A$14,,(HLOOKUP(KeyInputs!#REF!,Worksheet!$A$14:$L$15,2,FALSE))+Worksheet!$J$15)</f>
        <v>#REF!</v>
      </c>
    </row>
    <row r="6" spans="1:41" x14ac:dyDescent="0.3">
      <c r="A6" s="30"/>
      <c r="B6" s="25"/>
      <c r="C6" s="25"/>
      <c r="D6" s="25"/>
      <c r="E6" s="25"/>
      <c r="F6" s="25"/>
      <c r="G6" s="25"/>
      <c r="H6" s="25"/>
      <c r="I6" s="25"/>
      <c r="J6" s="25"/>
      <c r="K6" s="25"/>
      <c r="L6" s="25"/>
      <c r="M6" s="25"/>
      <c r="N6" s="25"/>
      <c r="O6" s="25"/>
      <c r="Q6" s="25"/>
      <c r="R6" s="25"/>
      <c r="S6" s="25"/>
      <c r="T6" s="25"/>
      <c r="U6" s="25"/>
      <c r="V6" s="25"/>
      <c r="W6" s="25"/>
      <c r="X6" s="25"/>
      <c r="Y6" s="25"/>
      <c r="Z6" s="25"/>
      <c r="AA6" s="25"/>
      <c r="AB6" s="25"/>
      <c r="AD6" s="25"/>
      <c r="AE6" s="25"/>
      <c r="AF6" s="25"/>
      <c r="AG6" s="25"/>
      <c r="AH6" s="25"/>
      <c r="AI6" s="25"/>
      <c r="AJ6" s="25"/>
      <c r="AK6" s="25"/>
      <c r="AL6" s="25"/>
      <c r="AM6" s="25"/>
      <c r="AN6" s="25"/>
      <c r="AO6" s="25"/>
    </row>
    <row r="7" spans="1:41" x14ac:dyDescent="0.3">
      <c r="A7" s="25"/>
      <c r="B7" s="25" t="s">
        <v>81</v>
      </c>
      <c r="C7" s="27" t="e">
        <f>#REF!*KeyInputs!#REF!</f>
        <v>#REF!</v>
      </c>
      <c r="D7" s="27" t="e">
        <f>#REF!*KeyInputs!#REF!</f>
        <v>#REF!</v>
      </c>
      <c r="E7" s="27" t="e">
        <f>#REF!*KeyInputs!#REF!</f>
        <v>#REF!</v>
      </c>
      <c r="F7" s="27" t="e">
        <f>#REF!*KeyInputs!#REF!</f>
        <v>#REF!</v>
      </c>
      <c r="G7" s="27" t="e">
        <f>#REF!*KeyInputs!#REF!</f>
        <v>#REF!</v>
      </c>
      <c r="H7" s="27" t="e">
        <f>#REF!*KeyInputs!#REF!</f>
        <v>#REF!</v>
      </c>
      <c r="I7" s="25"/>
      <c r="J7" s="25"/>
      <c r="K7" s="25"/>
      <c r="L7" s="25"/>
      <c r="M7" s="25"/>
      <c r="N7" s="25"/>
      <c r="O7" s="25"/>
      <c r="Q7" s="27"/>
      <c r="R7" s="27"/>
      <c r="S7" s="27"/>
      <c r="T7" s="27"/>
      <c r="U7" s="27"/>
      <c r="V7" s="25"/>
      <c r="W7" s="25"/>
      <c r="X7" s="25"/>
      <c r="Y7" s="25"/>
      <c r="Z7" s="25"/>
      <c r="AA7" s="25"/>
      <c r="AB7" s="25"/>
      <c r="AD7" s="27"/>
      <c r="AE7" s="27"/>
      <c r="AF7" s="27"/>
      <c r="AG7" s="27"/>
      <c r="AH7" s="27"/>
      <c r="AI7" s="25"/>
      <c r="AJ7" s="25"/>
      <c r="AK7" s="25"/>
      <c r="AL7" s="25"/>
      <c r="AM7" s="25"/>
      <c r="AN7" s="25"/>
      <c r="AO7" s="25"/>
    </row>
    <row r="8" spans="1:41" x14ac:dyDescent="0.3">
      <c r="A8" s="25"/>
      <c r="B8" s="39" t="e">
        <f>D5</f>
        <v>#REF!</v>
      </c>
      <c r="C8" s="27"/>
      <c r="D8" s="27" t="e">
        <f>#REF!*KeyInputs!#REF!</f>
        <v>#REF!</v>
      </c>
      <c r="E8" s="27" t="e">
        <f>#REF!*KeyInputs!#REF!</f>
        <v>#REF!</v>
      </c>
      <c r="F8" s="27" t="e">
        <f>#REF!*KeyInputs!#REF!</f>
        <v>#REF!</v>
      </c>
      <c r="G8" s="27" t="e">
        <f>#REF!*KeyInputs!#REF!</f>
        <v>#REF!</v>
      </c>
      <c r="H8" s="27" t="e">
        <f>#REF!*KeyInputs!#REF!</f>
        <v>#REF!</v>
      </c>
      <c r="I8" s="27" t="e">
        <f>#REF!*KeyInputs!#REF!</f>
        <v>#REF!</v>
      </c>
      <c r="J8" s="25"/>
      <c r="K8" s="25"/>
      <c r="L8" s="25"/>
      <c r="M8" s="25"/>
      <c r="N8" s="25"/>
      <c r="O8" s="25"/>
      <c r="Q8" s="27" t="e">
        <f>#REF!*KeyInputs!#REF!</f>
        <v>#REF!</v>
      </c>
      <c r="R8" s="27" t="e">
        <f>#REF!*KeyInputs!#REF!</f>
        <v>#REF!</v>
      </c>
      <c r="S8" s="27" t="e">
        <f>#REF!*KeyInputs!#REF!</f>
        <v>#REF!</v>
      </c>
      <c r="T8" s="27" t="e">
        <f>#REF!*KeyInputs!#REF!</f>
        <v>#REF!</v>
      </c>
      <c r="U8" s="27" t="e">
        <f>#REF!*KeyInputs!#REF!</f>
        <v>#REF!</v>
      </c>
      <c r="V8" s="27" t="e">
        <f>#REF!*KeyInputs!#REF!</f>
        <v>#REF!</v>
      </c>
      <c r="W8" s="25"/>
      <c r="X8" s="25"/>
      <c r="Y8" s="25"/>
      <c r="Z8" s="25"/>
      <c r="AA8" s="25"/>
      <c r="AB8" s="25"/>
      <c r="AD8" s="27" t="e">
        <f>#REF!*KeyInputs!#REF!</f>
        <v>#REF!</v>
      </c>
      <c r="AE8" s="27" t="e">
        <f>#REF!*KeyInputs!#REF!</f>
        <v>#REF!</v>
      </c>
      <c r="AF8" s="27" t="e">
        <f>#REF!*KeyInputs!#REF!</f>
        <v>#REF!</v>
      </c>
      <c r="AG8" s="27" t="e">
        <f>#REF!*KeyInputs!#REF!</f>
        <v>#REF!</v>
      </c>
      <c r="AH8" s="27" t="e">
        <f>#REF!*KeyInputs!#REF!</f>
        <v>#REF!</v>
      </c>
      <c r="AI8" s="27" t="e">
        <f>#REF!*KeyInputs!#REF!</f>
        <v>#REF!</v>
      </c>
      <c r="AJ8" s="25"/>
      <c r="AK8" s="25"/>
      <c r="AL8" s="25"/>
      <c r="AM8" s="25"/>
      <c r="AN8" s="25"/>
      <c r="AO8" s="25"/>
    </row>
    <row r="9" spans="1:41" x14ac:dyDescent="0.3">
      <c r="A9" s="25"/>
      <c r="B9" s="25" t="e">
        <f ca="1">E5</f>
        <v>#REF!</v>
      </c>
      <c r="C9" s="27"/>
      <c r="D9" s="27"/>
      <c r="E9" s="27" t="e">
        <f>#REF!*KeyInputs!#REF!</f>
        <v>#REF!</v>
      </c>
      <c r="F9" s="27" t="e">
        <f>#REF!*KeyInputs!#REF!</f>
        <v>#REF!</v>
      </c>
      <c r="G9" s="27" t="e">
        <f>#REF!*KeyInputs!#REF!</f>
        <v>#REF!</v>
      </c>
      <c r="H9" s="27" t="e">
        <f>#REF!*KeyInputs!#REF!</f>
        <v>#REF!</v>
      </c>
      <c r="I9" s="27" t="e">
        <f>#REF!*KeyInputs!#REF!</f>
        <v>#REF!</v>
      </c>
      <c r="J9" s="27" t="e">
        <f>#REF!*KeyInputs!#REF!</f>
        <v>#REF!</v>
      </c>
      <c r="K9" s="25"/>
      <c r="L9" s="25"/>
      <c r="M9" s="25"/>
      <c r="N9" s="25"/>
      <c r="O9" s="25"/>
      <c r="Q9" s="27"/>
      <c r="R9" s="27" t="e">
        <f>#REF!*KeyInputs!#REF!</f>
        <v>#REF!</v>
      </c>
      <c r="S9" s="27" t="e">
        <f>#REF!*KeyInputs!#REF!</f>
        <v>#REF!</v>
      </c>
      <c r="T9" s="27" t="e">
        <f>#REF!*KeyInputs!#REF!</f>
        <v>#REF!</v>
      </c>
      <c r="U9" s="27" t="e">
        <f>#REF!*KeyInputs!#REF!</f>
        <v>#REF!</v>
      </c>
      <c r="V9" s="27" t="e">
        <f>#REF!*KeyInputs!#REF!</f>
        <v>#REF!</v>
      </c>
      <c r="W9" s="27" t="e">
        <f>#REF!*KeyInputs!#REF!</f>
        <v>#REF!</v>
      </c>
      <c r="X9" s="25"/>
      <c r="Y9" s="25"/>
      <c r="Z9" s="25"/>
      <c r="AA9" s="25"/>
      <c r="AB9" s="25"/>
      <c r="AD9" s="27"/>
      <c r="AE9" s="27" t="e">
        <f>#REF!*KeyInputs!#REF!</f>
        <v>#REF!</v>
      </c>
      <c r="AF9" s="27" t="e">
        <f>#REF!*KeyInputs!#REF!</f>
        <v>#REF!</v>
      </c>
      <c r="AG9" s="27" t="e">
        <f>#REF!*KeyInputs!#REF!</f>
        <v>#REF!</v>
      </c>
      <c r="AH9" s="27" t="e">
        <f>#REF!*KeyInputs!#REF!</f>
        <v>#REF!</v>
      </c>
      <c r="AI9" s="27" t="e">
        <f>#REF!*KeyInputs!#REF!</f>
        <v>#REF!</v>
      </c>
      <c r="AJ9" s="27" t="e">
        <f>#REF!*KeyInputs!#REF!</f>
        <v>#REF!</v>
      </c>
      <c r="AK9" s="25"/>
      <c r="AL9" s="25"/>
      <c r="AM9" s="25"/>
      <c r="AN9" s="25"/>
      <c r="AO9" s="25"/>
    </row>
    <row r="10" spans="1:41" x14ac:dyDescent="0.3">
      <c r="A10" s="25"/>
      <c r="B10" s="25" t="e">
        <f ca="1">F5</f>
        <v>#REF!</v>
      </c>
      <c r="C10" s="27"/>
      <c r="D10" s="27"/>
      <c r="E10" s="25"/>
      <c r="F10" s="27" t="e">
        <f>#REF!*KeyInputs!#REF!</f>
        <v>#REF!</v>
      </c>
      <c r="G10" s="27" t="e">
        <f>#REF!*KeyInputs!#REF!</f>
        <v>#REF!</v>
      </c>
      <c r="H10" s="27" t="e">
        <f>#REF!*KeyInputs!#REF!</f>
        <v>#REF!</v>
      </c>
      <c r="I10" s="27" t="e">
        <f>#REF!*KeyInputs!#REF!</f>
        <v>#REF!</v>
      </c>
      <c r="J10" s="27" t="e">
        <f>#REF!*KeyInputs!#REF!</f>
        <v>#REF!</v>
      </c>
      <c r="K10" s="27" t="e">
        <f>#REF!*KeyInputs!#REF!</f>
        <v>#REF!</v>
      </c>
      <c r="L10" s="25"/>
      <c r="M10" s="25"/>
      <c r="N10" s="25"/>
      <c r="O10" s="25"/>
      <c r="Q10" s="27"/>
      <c r="R10" s="25"/>
      <c r="S10" s="27" t="e">
        <f>#REF!*KeyInputs!#REF!</f>
        <v>#REF!</v>
      </c>
      <c r="T10" s="27" t="e">
        <f>#REF!*KeyInputs!#REF!</f>
        <v>#REF!</v>
      </c>
      <c r="U10" s="27" t="e">
        <f>#REF!*KeyInputs!#REF!</f>
        <v>#REF!</v>
      </c>
      <c r="V10" s="27" t="e">
        <f>#REF!*KeyInputs!#REF!</f>
        <v>#REF!</v>
      </c>
      <c r="W10" s="27" t="e">
        <f>#REF!*KeyInputs!#REF!</f>
        <v>#REF!</v>
      </c>
      <c r="X10" s="27" t="e">
        <f>#REF!*KeyInputs!#REF!</f>
        <v>#REF!</v>
      </c>
      <c r="Y10" s="25"/>
      <c r="Z10" s="25"/>
      <c r="AA10" s="25"/>
      <c r="AB10" s="25"/>
      <c r="AD10" s="27"/>
      <c r="AE10" s="25"/>
      <c r="AF10" s="27" t="e">
        <f>#REF!*KeyInputs!#REF!</f>
        <v>#REF!</v>
      </c>
      <c r="AG10" s="27" t="e">
        <f>#REF!*KeyInputs!#REF!</f>
        <v>#REF!</v>
      </c>
      <c r="AH10" s="27" t="e">
        <f>#REF!*KeyInputs!#REF!</f>
        <v>#REF!</v>
      </c>
      <c r="AI10" s="27" t="e">
        <f>#REF!*KeyInputs!#REF!</f>
        <v>#REF!</v>
      </c>
      <c r="AJ10" s="27" t="e">
        <f>#REF!*KeyInputs!#REF!</f>
        <v>#REF!</v>
      </c>
      <c r="AK10" s="27" t="e">
        <f>#REF!*KeyInputs!#REF!</f>
        <v>#REF!</v>
      </c>
      <c r="AL10" s="25"/>
      <c r="AM10" s="25"/>
      <c r="AN10" s="25"/>
      <c r="AO10" s="25"/>
    </row>
    <row r="11" spans="1:41" x14ac:dyDescent="0.3">
      <c r="A11" s="30"/>
      <c r="B11" s="25" t="e">
        <f ca="1">G5</f>
        <v>#REF!</v>
      </c>
      <c r="C11" s="27"/>
      <c r="D11" s="27"/>
      <c r="E11" s="25"/>
      <c r="F11" s="25"/>
      <c r="G11" s="27" t="e">
        <f>#REF!*KeyInputs!#REF!</f>
        <v>#REF!</v>
      </c>
      <c r="H11" s="27" t="e">
        <f>#REF!*KeyInputs!#REF!</f>
        <v>#REF!</v>
      </c>
      <c r="I11" s="27" t="e">
        <f>#REF!*KeyInputs!#REF!</f>
        <v>#REF!</v>
      </c>
      <c r="J11" s="27" t="e">
        <f>#REF!*KeyInputs!#REF!</f>
        <v>#REF!</v>
      </c>
      <c r="K11" s="27" t="e">
        <f>#REF!*KeyInputs!#REF!</f>
        <v>#REF!</v>
      </c>
      <c r="L11" s="27" t="e">
        <f>#REF!*KeyInputs!#REF!</f>
        <v>#REF!</v>
      </c>
      <c r="M11" s="25"/>
      <c r="N11" s="25"/>
      <c r="O11" s="25"/>
      <c r="Q11" s="27"/>
      <c r="R11" s="25"/>
      <c r="S11" s="25"/>
      <c r="T11" s="27" t="e">
        <f>#REF!*KeyInputs!#REF!</f>
        <v>#REF!</v>
      </c>
      <c r="U11" s="27" t="e">
        <f>#REF!*KeyInputs!#REF!</f>
        <v>#REF!</v>
      </c>
      <c r="V11" s="27" t="e">
        <f>#REF!*KeyInputs!#REF!</f>
        <v>#REF!</v>
      </c>
      <c r="W11" s="27" t="e">
        <f>#REF!*KeyInputs!#REF!</f>
        <v>#REF!</v>
      </c>
      <c r="X11" s="27" t="e">
        <f>#REF!*KeyInputs!#REF!</f>
        <v>#REF!</v>
      </c>
      <c r="Y11" s="27" t="e">
        <f>#REF!*KeyInputs!#REF!</f>
        <v>#REF!</v>
      </c>
      <c r="Z11" s="25"/>
      <c r="AA11" s="25"/>
      <c r="AB11" s="25"/>
      <c r="AD11" s="27"/>
      <c r="AE11" s="25"/>
      <c r="AF11" s="25"/>
      <c r="AG11" s="27" t="e">
        <f>#REF!*KeyInputs!#REF!</f>
        <v>#REF!</v>
      </c>
      <c r="AH11" s="27" t="e">
        <f>#REF!*KeyInputs!#REF!</f>
        <v>#REF!</v>
      </c>
      <c r="AI11" s="27" t="e">
        <f>#REF!*KeyInputs!#REF!</f>
        <v>#REF!</v>
      </c>
      <c r="AJ11" s="27" t="e">
        <f>#REF!*KeyInputs!#REF!</f>
        <v>#REF!</v>
      </c>
      <c r="AK11" s="27" t="e">
        <f>#REF!*KeyInputs!#REF!</f>
        <v>#REF!</v>
      </c>
      <c r="AL11" s="27" t="e">
        <f>#REF!*KeyInputs!#REF!</f>
        <v>#REF!</v>
      </c>
      <c r="AM11" s="25"/>
      <c r="AN11" s="25"/>
      <c r="AO11" s="25"/>
    </row>
    <row r="12" spans="1:41" x14ac:dyDescent="0.3">
      <c r="A12" s="25"/>
      <c r="B12" s="25" t="e">
        <f ca="1">H5</f>
        <v>#REF!</v>
      </c>
      <c r="C12" s="27"/>
      <c r="D12" s="27"/>
      <c r="E12" s="25"/>
      <c r="F12" s="25"/>
      <c r="G12" s="25"/>
      <c r="H12" s="27" t="e">
        <f>#REF!*KeyInputs!#REF!</f>
        <v>#REF!</v>
      </c>
      <c r="I12" s="27" t="e">
        <f>#REF!*KeyInputs!#REF!</f>
        <v>#REF!</v>
      </c>
      <c r="J12" s="27" t="e">
        <f>#REF!*KeyInputs!#REF!</f>
        <v>#REF!</v>
      </c>
      <c r="K12" s="27" t="e">
        <f>#REF!*KeyInputs!#REF!</f>
        <v>#REF!</v>
      </c>
      <c r="L12" s="27" t="e">
        <f>#REF!*KeyInputs!#REF!</f>
        <v>#REF!</v>
      </c>
      <c r="M12" s="27" t="e">
        <f>#REF!*KeyInputs!#REF!</f>
        <v>#REF!</v>
      </c>
      <c r="N12" s="25"/>
      <c r="O12" s="25"/>
      <c r="Q12" s="27"/>
      <c r="R12" s="25"/>
      <c r="S12" s="25"/>
      <c r="T12" s="25"/>
      <c r="U12" s="27" t="e">
        <f>#REF!*KeyInputs!#REF!</f>
        <v>#REF!</v>
      </c>
      <c r="V12" s="27" t="e">
        <f>#REF!*KeyInputs!#REF!</f>
        <v>#REF!</v>
      </c>
      <c r="W12" s="27" t="e">
        <f>#REF!*KeyInputs!#REF!</f>
        <v>#REF!</v>
      </c>
      <c r="X12" s="27" t="e">
        <f>#REF!*KeyInputs!#REF!</f>
        <v>#REF!</v>
      </c>
      <c r="Y12" s="27" t="e">
        <f>#REF!*KeyInputs!#REF!</f>
        <v>#REF!</v>
      </c>
      <c r="Z12" s="27" t="e">
        <f>#REF!*KeyInputs!#REF!</f>
        <v>#REF!</v>
      </c>
      <c r="AA12" s="25"/>
      <c r="AB12" s="25"/>
      <c r="AD12" s="27"/>
      <c r="AE12" s="25"/>
      <c r="AF12" s="25"/>
      <c r="AG12" s="25"/>
      <c r="AH12" s="27" t="e">
        <f>#REF!*KeyInputs!#REF!</f>
        <v>#REF!</v>
      </c>
      <c r="AI12" s="27" t="e">
        <f>#REF!*KeyInputs!#REF!</f>
        <v>#REF!</v>
      </c>
      <c r="AJ12" s="27" t="e">
        <f>#REF!*KeyInputs!#REF!</f>
        <v>#REF!</v>
      </c>
      <c r="AK12" s="27" t="e">
        <f>#REF!*KeyInputs!#REF!</f>
        <v>#REF!</v>
      </c>
      <c r="AL12" s="27" t="e">
        <f>#REF!*KeyInputs!#REF!</f>
        <v>#REF!</v>
      </c>
      <c r="AM12" s="27" t="e">
        <f>#REF!*KeyInputs!#REF!</f>
        <v>#REF!</v>
      </c>
      <c r="AN12" s="25"/>
      <c r="AO12" s="25"/>
    </row>
    <row r="13" spans="1:41" x14ac:dyDescent="0.3">
      <c r="A13" s="25"/>
      <c r="B13" s="25" t="e">
        <f ca="1">I5</f>
        <v>#REF!</v>
      </c>
      <c r="C13" s="27"/>
      <c r="D13" s="27"/>
      <c r="E13" s="25"/>
      <c r="F13" s="25"/>
      <c r="G13" s="25"/>
      <c r="H13" s="25"/>
      <c r="I13" s="27" t="e">
        <f>#REF!*KeyInputs!#REF!</f>
        <v>#REF!</v>
      </c>
      <c r="J13" s="27" t="e">
        <f>#REF!*KeyInputs!#REF!</f>
        <v>#REF!</v>
      </c>
      <c r="K13" s="27" t="e">
        <f>#REF!*KeyInputs!#REF!</f>
        <v>#REF!</v>
      </c>
      <c r="L13" s="27" t="e">
        <f>#REF!*KeyInputs!#REF!</f>
        <v>#REF!</v>
      </c>
      <c r="M13" s="27" t="e">
        <f>#REF!*KeyInputs!#REF!</f>
        <v>#REF!</v>
      </c>
      <c r="N13" s="27" t="e">
        <f>#REF!*KeyInputs!#REF!</f>
        <v>#REF!</v>
      </c>
      <c r="O13" s="25"/>
      <c r="Q13" s="27"/>
      <c r="R13" s="25"/>
      <c r="S13" s="25"/>
      <c r="T13" s="25"/>
      <c r="U13" s="25"/>
      <c r="V13" s="27" t="e">
        <f>#REF!*KeyInputs!#REF!</f>
        <v>#REF!</v>
      </c>
      <c r="W13" s="27" t="e">
        <f>#REF!*KeyInputs!#REF!</f>
        <v>#REF!</v>
      </c>
      <c r="X13" s="27" t="e">
        <f>#REF!*KeyInputs!#REF!</f>
        <v>#REF!</v>
      </c>
      <c r="Y13" s="27" t="e">
        <f>#REF!*KeyInputs!#REF!</f>
        <v>#REF!</v>
      </c>
      <c r="Z13" s="27" t="e">
        <f>#REF!*KeyInputs!#REF!</f>
        <v>#REF!</v>
      </c>
      <c r="AA13" s="27" t="e">
        <f>#REF!*KeyInputs!#REF!</f>
        <v>#REF!</v>
      </c>
      <c r="AB13" s="25"/>
      <c r="AD13" s="27"/>
      <c r="AE13" s="25"/>
      <c r="AF13" s="25"/>
      <c r="AG13" s="25"/>
      <c r="AH13" s="25"/>
      <c r="AI13" s="27" t="e">
        <f>#REF!*KeyInputs!#REF!</f>
        <v>#REF!</v>
      </c>
      <c r="AJ13" s="27" t="e">
        <f>#REF!*KeyInputs!#REF!</f>
        <v>#REF!</v>
      </c>
      <c r="AK13" s="27" t="e">
        <f>#REF!*KeyInputs!#REF!</f>
        <v>#REF!</v>
      </c>
      <c r="AL13" s="27" t="e">
        <f>#REF!*KeyInputs!#REF!</f>
        <v>#REF!</v>
      </c>
      <c r="AM13" s="27" t="e">
        <f>#REF!*KeyInputs!#REF!</f>
        <v>#REF!</v>
      </c>
      <c r="AN13" s="27" t="e">
        <f>#REF!*KeyInputs!#REF!</f>
        <v>#REF!</v>
      </c>
      <c r="AO13" s="25"/>
    </row>
    <row r="14" spans="1:41" x14ac:dyDescent="0.3">
      <c r="A14" s="25"/>
      <c r="B14" s="25" t="e">
        <f ca="1">J5</f>
        <v>#REF!</v>
      </c>
      <c r="C14" s="27"/>
      <c r="D14" s="27"/>
      <c r="E14" s="25"/>
      <c r="F14" s="25"/>
      <c r="G14" s="25"/>
      <c r="H14" s="25"/>
      <c r="I14" s="25"/>
      <c r="J14" s="27" t="e">
        <f>#REF!*KeyInputs!#REF!</f>
        <v>#REF!</v>
      </c>
      <c r="K14" s="27" t="e">
        <f>#REF!*KeyInputs!#REF!</f>
        <v>#REF!</v>
      </c>
      <c r="L14" s="27" t="e">
        <f>#REF!*KeyInputs!#REF!</f>
        <v>#REF!</v>
      </c>
      <c r="M14" s="27" t="e">
        <f>#REF!*KeyInputs!#REF!</f>
        <v>#REF!</v>
      </c>
      <c r="N14" s="27" t="e">
        <f>#REF!*KeyInputs!#REF!</f>
        <v>#REF!</v>
      </c>
      <c r="O14" s="27" t="e">
        <f>#REF!*KeyInputs!#REF!</f>
        <v>#REF!</v>
      </c>
      <c r="Q14" s="27"/>
      <c r="R14" s="25"/>
      <c r="S14" s="25"/>
      <c r="T14" s="25"/>
      <c r="U14" s="25"/>
      <c r="V14" s="25"/>
      <c r="W14" s="27" t="e">
        <f>#REF!*KeyInputs!#REF!</f>
        <v>#REF!</v>
      </c>
      <c r="X14" s="27" t="e">
        <f>#REF!*KeyInputs!#REF!</f>
        <v>#REF!</v>
      </c>
      <c r="Y14" s="27" t="e">
        <f>#REF!*KeyInputs!#REF!</f>
        <v>#REF!</v>
      </c>
      <c r="Z14" s="27" t="e">
        <f>#REF!*KeyInputs!#REF!</f>
        <v>#REF!</v>
      </c>
      <c r="AA14" s="27" t="e">
        <f>#REF!*KeyInputs!#REF!</f>
        <v>#REF!</v>
      </c>
      <c r="AB14" s="27" t="e">
        <f>#REF!*KeyInputs!#REF!</f>
        <v>#REF!</v>
      </c>
      <c r="AD14" s="27"/>
      <c r="AE14" s="25"/>
      <c r="AF14" s="25"/>
      <c r="AG14" s="25"/>
      <c r="AH14" s="25"/>
      <c r="AI14" s="25"/>
      <c r="AJ14" s="27" t="e">
        <f>#REF!*KeyInputs!#REF!</f>
        <v>#REF!</v>
      </c>
      <c r="AK14" s="27" t="e">
        <f>#REF!*KeyInputs!#REF!</f>
        <v>#REF!</v>
      </c>
      <c r="AL14" s="27" t="e">
        <f>#REF!*KeyInputs!#REF!</f>
        <v>#REF!</v>
      </c>
      <c r="AM14" s="27" t="e">
        <f>#REF!*KeyInputs!#REF!</f>
        <v>#REF!</v>
      </c>
      <c r="AN14" s="27" t="e">
        <f>#REF!*KeyInputs!#REF!</f>
        <v>#REF!</v>
      </c>
      <c r="AO14" s="27" t="e">
        <f>#REF!*KeyInputs!#REF!</f>
        <v>#REF!</v>
      </c>
    </row>
    <row r="15" spans="1:41" x14ac:dyDescent="0.3">
      <c r="A15" s="25"/>
      <c r="B15" s="25" t="e">
        <f ca="1">K5</f>
        <v>#REF!</v>
      </c>
      <c r="C15" s="27"/>
      <c r="D15" s="27"/>
      <c r="E15" s="25"/>
      <c r="F15" s="25"/>
      <c r="G15" s="25"/>
      <c r="H15" s="25"/>
      <c r="I15" s="25"/>
      <c r="J15" s="25"/>
      <c r="K15" s="27" t="e">
        <f>#REF!*KeyInputs!#REF!</f>
        <v>#REF!</v>
      </c>
      <c r="L15" s="27" t="e">
        <f>#REF!*KeyInputs!#REF!</f>
        <v>#REF!</v>
      </c>
      <c r="M15" s="27" t="e">
        <f>#REF!*KeyInputs!#REF!</f>
        <v>#REF!</v>
      </c>
      <c r="N15" s="27" t="e">
        <f>#REF!*KeyInputs!#REF!</f>
        <v>#REF!</v>
      </c>
      <c r="O15" s="27" t="e">
        <f>#REF!*KeyInputs!#REF!</f>
        <v>#REF!</v>
      </c>
      <c r="P15" s="27"/>
      <c r="Q15" s="27" t="e">
        <f>#REF!*KeyInputs!#REF!</f>
        <v>#REF!</v>
      </c>
      <c r="R15" s="25"/>
      <c r="S15" s="25"/>
      <c r="T15" s="25"/>
      <c r="U15" s="25"/>
      <c r="V15" s="25"/>
      <c r="W15" s="25"/>
      <c r="X15" s="27" t="e">
        <f>#REF!*KeyInputs!#REF!</f>
        <v>#REF!</v>
      </c>
      <c r="Y15" s="27" t="e">
        <f>#REF!*KeyInputs!#REF!</f>
        <v>#REF!</v>
      </c>
      <c r="Z15" s="27" t="e">
        <f>#REF!*KeyInputs!#REF!</f>
        <v>#REF!</v>
      </c>
      <c r="AA15" s="27" t="e">
        <f>#REF!*KeyInputs!#REF!</f>
        <v>#REF!</v>
      </c>
      <c r="AB15" s="27" t="e">
        <f>#REF!*KeyInputs!#REF!</f>
        <v>#REF!</v>
      </c>
      <c r="AC15" s="27"/>
      <c r="AD15" s="27" t="e">
        <f>#REF!*KeyInputs!#REF!</f>
        <v>#REF!</v>
      </c>
      <c r="AE15" s="25"/>
      <c r="AF15" s="25"/>
      <c r="AG15" s="25"/>
      <c r="AH15" s="25"/>
      <c r="AI15" s="25"/>
      <c r="AJ15" s="25"/>
      <c r="AK15" s="27" t="e">
        <f>#REF!*KeyInputs!#REF!</f>
        <v>#REF!</v>
      </c>
      <c r="AL15" s="27" t="e">
        <f>#REF!*KeyInputs!#REF!</f>
        <v>#REF!</v>
      </c>
      <c r="AM15" s="27" t="e">
        <f>#REF!*KeyInputs!#REF!</f>
        <v>#REF!</v>
      </c>
      <c r="AN15" s="27" t="e">
        <f>#REF!*KeyInputs!#REF!</f>
        <v>#REF!</v>
      </c>
      <c r="AO15" s="27" t="e">
        <f>#REF!*KeyInputs!#REF!</f>
        <v>#REF!</v>
      </c>
    </row>
    <row r="16" spans="1:41" x14ac:dyDescent="0.3">
      <c r="A16" s="30"/>
      <c r="B16" s="25" t="e">
        <f ca="1">L5</f>
        <v>#REF!</v>
      </c>
      <c r="C16" s="27"/>
      <c r="D16" s="27"/>
      <c r="E16" s="25"/>
      <c r="F16" s="25"/>
      <c r="G16" s="25"/>
      <c r="H16" s="25"/>
      <c r="I16" s="25"/>
      <c r="J16" s="25"/>
      <c r="K16" s="25"/>
      <c r="L16" s="27" t="e">
        <f>#REF!*KeyInputs!#REF!</f>
        <v>#REF!</v>
      </c>
      <c r="M16" s="27" t="e">
        <f>#REF!*KeyInputs!#REF!</f>
        <v>#REF!</v>
      </c>
      <c r="N16" s="27" t="e">
        <f>#REF!*KeyInputs!#REF!</f>
        <v>#REF!</v>
      </c>
      <c r="O16" s="27" t="e">
        <f>#REF!*KeyInputs!#REF!</f>
        <v>#REF!</v>
      </c>
      <c r="P16" s="27"/>
      <c r="Q16" s="27" t="e">
        <f>#REF!*KeyInputs!#REF!</f>
        <v>#REF!</v>
      </c>
      <c r="R16" s="27" t="e">
        <f>#REF!*KeyInputs!#REF!</f>
        <v>#REF!</v>
      </c>
      <c r="S16" s="25"/>
      <c r="T16" s="25"/>
      <c r="U16" s="25"/>
      <c r="V16" s="25"/>
      <c r="W16" s="25"/>
      <c r="X16" s="25"/>
      <c r="Y16" s="27" t="e">
        <f>#REF!*KeyInputs!#REF!</f>
        <v>#REF!</v>
      </c>
      <c r="Z16" s="27" t="e">
        <f>#REF!*KeyInputs!#REF!</f>
        <v>#REF!</v>
      </c>
      <c r="AA16" s="27" t="e">
        <f>#REF!*KeyInputs!#REF!</f>
        <v>#REF!</v>
      </c>
      <c r="AB16" s="27" t="e">
        <f>#REF!*KeyInputs!#REF!</f>
        <v>#REF!</v>
      </c>
      <c r="AC16" s="27"/>
      <c r="AD16" s="27" t="e">
        <f>#REF!*KeyInputs!#REF!</f>
        <v>#REF!</v>
      </c>
      <c r="AE16" s="27" t="e">
        <f>#REF!*KeyInputs!#REF!</f>
        <v>#REF!</v>
      </c>
      <c r="AF16" s="25"/>
      <c r="AG16" s="25"/>
      <c r="AH16" s="25"/>
      <c r="AI16" s="25"/>
      <c r="AJ16" s="25"/>
      <c r="AK16" s="25"/>
      <c r="AL16" s="27" t="e">
        <f>#REF!*KeyInputs!#REF!</f>
        <v>#REF!</v>
      </c>
      <c r="AM16" s="27" t="e">
        <f>#REF!*KeyInputs!#REF!</f>
        <v>#REF!</v>
      </c>
      <c r="AN16" s="27" t="e">
        <f>#REF!*KeyInputs!#REF!</f>
        <v>#REF!</v>
      </c>
      <c r="AO16" s="27" t="e">
        <f>#REF!*KeyInputs!#REF!</f>
        <v>#REF!</v>
      </c>
    </row>
    <row r="17" spans="1:41" x14ac:dyDescent="0.3">
      <c r="A17" s="25"/>
      <c r="B17" s="25" t="e">
        <f ca="1">M5</f>
        <v>#REF!</v>
      </c>
      <c r="C17" s="27"/>
      <c r="D17" s="27"/>
      <c r="E17" s="25"/>
      <c r="F17" s="25"/>
      <c r="G17" s="25"/>
      <c r="H17" s="25"/>
      <c r="I17" s="25"/>
      <c r="J17" s="25"/>
      <c r="K17" s="25"/>
      <c r="L17" s="25"/>
      <c r="M17" s="27" t="e">
        <f>#REF!*KeyInputs!#REF!</f>
        <v>#REF!</v>
      </c>
      <c r="N17" s="27" t="e">
        <f>#REF!*KeyInputs!#REF!</f>
        <v>#REF!</v>
      </c>
      <c r="O17" s="27" t="e">
        <f>#REF!*KeyInputs!#REF!</f>
        <v>#REF!</v>
      </c>
      <c r="P17" s="27"/>
      <c r="Q17" s="27" t="e">
        <f>#REF!*KeyInputs!#REF!</f>
        <v>#REF!</v>
      </c>
      <c r="R17" s="27" t="e">
        <f>#REF!*KeyInputs!#REF!</f>
        <v>#REF!</v>
      </c>
      <c r="S17" s="27" t="e">
        <f>#REF!*KeyInputs!#REF!</f>
        <v>#REF!</v>
      </c>
      <c r="T17" s="25"/>
      <c r="U17" s="25"/>
      <c r="V17" s="25"/>
      <c r="W17" s="25"/>
      <c r="X17" s="25"/>
      <c r="Y17" s="25"/>
      <c r="Z17" s="27" t="e">
        <f>#REF!*KeyInputs!#REF!</f>
        <v>#REF!</v>
      </c>
      <c r="AA17" s="27" t="e">
        <f>#REF!*KeyInputs!#REF!</f>
        <v>#REF!</v>
      </c>
      <c r="AB17" s="27" t="e">
        <f>#REF!*KeyInputs!#REF!</f>
        <v>#REF!</v>
      </c>
      <c r="AC17" s="27"/>
      <c r="AD17" s="27" t="e">
        <f>#REF!*KeyInputs!#REF!</f>
        <v>#REF!</v>
      </c>
      <c r="AE17" s="27" t="e">
        <f>#REF!*KeyInputs!#REF!</f>
        <v>#REF!</v>
      </c>
      <c r="AF17" s="27" t="e">
        <f>#REF!*KeyInputs!#REF!</f>
        <v>#REF!</v>
      </c>
      <c r="AG17" s="25"/>
      <c r="AH17" s="25"/>
      <c r="AI17" s="25"/>
      <c r="AJ17" s="25"/>
      <c r="AK17" s="25"/>
      <c r="AL17" s="25"/>
      <c r="AM17" s="27" t="e">
        <f>#REF!*KeyInputs!#REF!</f>
        <v>#REF!</v>
      </c>
      <c r="AN17" s="27" t="e">
        <f>#REF!*KeyInputs!#REF!</f>
        <v>#REF!</v>
      </c>
      <c r="AO17" s="27" t="e">
        <f>#REF!*KeyInputs!#REF!</f>
        <v>#REF!</v>
      </c>
    </row>
    <row r="18" spans="1:41" x14ac:dyDescent="0.3">
      <c r="A18" s="25"/>
      <c r="B18" s="25" t="e">
        <f ca="1">N5</f>
        <v>#REF!</v>
      </c>
      <c r="C18" s="27"/>
      <c r="D18" s="27"/>
      <c r="E18" s="25"/>
      <c r="F18" s="25"/>
      <c r="G18" s="25"/>
      <c r="H18" s="25"/>
      <c r="I18" s="25"/>
      <c r="J18" s="25"/>
      <c r="K18" s="25"/>
      <c r="L18" s="25"/>
      <c r="M18" s="25"/>
      <c r="N18" s="27" t="e">
        <f>#REF!*KeyInputs!#REF!</f>
        <v>#REF!</v>
      </c>
      <c r="O18" s="27" t="e">
        <f>#REF!*KeyInputs!#REF!</f>
        <v>#REF!</v>
      </c>
      <c r="P18" s="27"/>
      <c r="Q18" s="27" t="e">
        <f>#REF!*KeyInputs!#REF!</f>
        <v>#REF!</v>
      </c>
      <c r="R18" s="27" t="e">
        <f>#REF!*KeyInputs!#REF!</f>
        <v>#REF!</v>
      </c>
      <c r="S18" s="27" t="e">
        <f>#REF!*KeyInputs!#REF!</f>
        <v>#REF!</v>
      </c>
      <c r="T18" s="27" t="e">
        <f>#REF!*KeyInputs!#REF!</f>
        <v>#REF!</v>
      </c>
      <c r="U18" s="25"/>
      <c r="V18" s="25"/>
      <c r="W18" s="25"/>
      <c r="X18" s="25"/>
      <c r="Y18" s="25"/>
      <c r="Z18" s="25"/>
      <c r="AA18" s="27" t="e">
        <f>#REF!*KeyInputs!#REF!</f>
        <v>#REF!</v>
      </c>
      <c r="AB18" s="27" t="e">
        <f>#REF!*KeyInputs!#REF!</f>
        <v>#REF!</v>
      </c>
      <c r="AC18" s="27"/>
      <c r="AD18" s="27" t="e">
        <f>#REF!*KeyInputs!#REF!</f>
        <v>#REF!</v>
      </c>
      <c r="AE18" s="27" t="e">
        <f>#REF!*KeyInputs!#REF!</f>
        <v>#REF!</v>
      </c>
      <c r="AF18" s="27" t="e">
        <f>#REF!*KeyInputs!#REF!</f>
        <v>#REF!</v>
      </c>
      <c r="AG18" s="27" t="e">
        <f>#REF!*KeyInputs!#REF!</f>
        <v>#REF!</v>
      </c>
      <c r="AH18" s="25"/>
      <c r="AI18" s="25"/>
      <c r="AJ18" s="25"/>
      <c r="AK18" s="25"/>
      <c r="AL18" s="25"/>
      <c r="AM18" s="25"/>
      <c r="AN18" s="27" t="e">
        <f>#REF!*KeyInputs!#REF!</f>
        <v>#REF!</v>
      </c>
      <c r="AO18" s="27" t="e">
        <f>#REF!*KeyInputs!#REF!</f>
        <v>#REF!</v>
      </c>
    </row>
    <row r="19" spans="1:41" x14ac:dyDescent="0.3">
      <c r="A19" s="25"/>
      <c r="B19" s="25" t="e">
        <f ca="1">O5</f>
        <v>#REF!</v>
      </c>
      <c r="C19" s="27"/>
      <c r="D19" s="27"/>
      <c r="E19" s="25"/>
      <c r="F19" s="25"/>
      <c r="G19" s="25"/>
      <c r="H19" s="25"/>
      <c r="I19" s="25"/>
      <c r="J19" s="25"/>
      <c r="K19" s="25"/>
      <c r="L19" s="25"/>
      <c r="M19" s="25"/>
      <c r="N19" s="25"/>
      <c r="O19" s="27" t="e">
        <f>#REF!*KeyInputs!#REF!</f>
        <v>#REF!</v>
      </c>
      <c r="P19" s="27"/>
      <c r="Q19" s="27" t="e">
        <f>#REF!*KeyInputs!#REF!</f>
        <v>#REF!</v>
      </c>
      <c r="R19" s="27" t="e">
        <f>#REF!*KeyInputs!#REF!</f>
        <v>#REF!</v>
      </c>
      <c r="S19" s="27" t="e">
        <f>#REF!*KeyInputs!#REF!</f>
        <v>#REF!</v>
      </c>
      <c r="T19" s="27" t="e">
        <f>#REF!*KeyInputs!#REF!</f>
        <v>#REF!</v>
      </c>
      <c r="U19" s="27" t="e">
        <f>#REF!*KeyInputs!#REF!</f>
        <v>#REF!</v>
      </c>
      <c r="V19" s="25"/>
      <c r="W19" s="25"/>
      <c r="X19" s="25"/>
      <c r="Y19" s="25"/>
      <c r="Z19" s="25"/>
      <c r="AA19" s="25"/>
      <c r="AB19" s="27" t="e">
        <f>#REF!*KeyInputs!#REF!</f>
        <v>#REF!</v>
      </c>
      <c r="AC19" s="27"/>
      <c r="AD19" s="27" t="e">
        <f>#REF!*KeyInputs!#REF!</f>
        <v>#REF!</v>
      </c>
      <c r="AE19" s="27" t="e">
        <f>#REF!*KeyInputs!#REF!</f>
        <v>#REF!</v>
      </c>
      <c r="AF19" s="27" t="e">
        <f>#REF!*KeyInputs!#REF!</f>
        <v>#REF!</v>
      </c>
      <c r="AG19" s="27" t="e">
        <f>#REF!*KeyInputs!#REF!</f>
        <v>#REF!</v>
      </c>
      <c r="AH19" s="27" t="e">
        <f>#REF!*KeyInputs!#REF!</f>
        <v>#REF!</v>
      </c>
      <c r="AI19" s="25"/>
      <c r="AJ19" s="25"/>
      <c r="AK19" s="25"/>
      <c r="AL19" s="25"/>
      <c r="AM19" s="25"/>
      <c r="AN19" s="25"/>
      <c r="AO19" s="27" t="e">
        <f>#REF!*KeyInputs!#REF!</f>
        <v>#REF!</v>
      </c>
    </row>
    <row r="20" spans="1:41" x14ac:dyDescent="0.3">
      <c r="A20" s="25"/>
      <c r="B20" s="25"/>
      <c r="C20" s="25" t="e">
        <f>SUM(C7:C19)</f>
        <v>#REF!</v>
      </c>
      <c r="D20" s="25" t="e">
        <f t="shared" ref="D20:O20" si="0">SUM(D7:D19)</f>
        <v>#REF!</v>
      </c>
      <c r="E20" s="25" t="e">
        <f t="shared" si="0"/>
        <v>#REF!</v>
      </c>
      <c r="F20" s="25" t="e">
        <f t="shared" si="0"/>
        <v>#REF!</v>
      </c>
      <c r="G20" s="25" t="e">
        <f t="shared" si="0"/>
        <v>#REF!</v>
      </c>
      <c r="H20" s="25" t="e">
        <f t="shared" si="0"/>
        <v>#REF!</v>
      </c>
      <c r="I20" s="25" t="e">
        <f t="shared" si="0"/>
        <v>#REF!</v>
      </c>
      <c r="J20" s="25" t="e">
        <f t="shared" si="0"/>
        <v>#REF!</v>
      </c>
      <c r="K20" s="25" t="e">
        <f t="shared" si="0"/>
        <v>#REF!</v>
      </c>
      <c r="L20" s="25" t="e">
        <f t="shared" si="0"/>
        <v>#REF!</v>
      </c>
      <c r="M20" s="25" t="e">
        <f t="shared" si="0"/>
        <v>#REF!</v>
      </c>
      <c r="N20" s="25" t="e">
        <f t="shared" si="0"/>
        <v>#REF!</v>
      </c>
      <c r="O20" s="25" t="e">
        <f t="shared" si="0"/>
        <v>#REF!</v>
      </c>
      <c r="Q20" s="25" t="e">
        <f t="shared" ref="Q20:AB20" si="1">SUM(Q7:Q19)</f>
        <v>#REF!</v>
      </c>
      <c r="R20" s="25" t="e">
        <f t="shared" si="1"/>
        <v>#REF!</v>
      </c>
      <c r="S20" s="25" t="e">
        <f t="shared" si="1"/>
        <v>#REF!</v>
      </c>
      <c r="T20" s="25" t="e">
        <f t="shared" si="1"/>
        <v>#REF!</v>
      </c>
      <c r="U20" s="25" t="e">
        <f t="shared" si="1"/>
        <v>#REF!</v>
      </c>
      <c r="V20" s="25" t="e">
        <f t="shared" si="1"/>
        <v>#REF!</v>
      </c>
      <c r="W20" s="25" t="e">
        <f t="shared" si="1"/>
        <v>#REF!</v>
      </c>
      <c r="X20" s="25" t="e">
        <f t="shared" si="1"/>
        <v>#REF!</v>
      </c>
      <c r="Y20" s="25" t="e">
        <f t="shared" si="1"/>
        <v>#REF!</v>
      </c>
      <c r="Z20" s="25" t="e">
        <f t="shared" si="1"/>
        <v>#REF!</v>
      </c>
      <c r="AA20" s="25" t="e">
        <f t="shared" si="1"/>
        <v>#REF!</v>
      </c>
      <c r="AB20" s="25" t="e">
        <f t="shared" si="1"/>
        <v>#REF!</v>
      </c>
      <c r="AD20" s="25" t="e">
        <f t="shared" ref="AD20:AO20" si="2">SUM(AD7:AD19)</f>
        <v>#REF!</v>
      </c>
      <c r="AE20" s="25" t="e">
        <f t="shared" si="2"/>
        <v>#REF!</v>
      </c>
      <c r="AF20" s="25" t="e">
        <f t="shared" si="2"/>
        <v>#REF!</v>
      </c>
      <c r="AG20" s="25" t="e">
        <f t="shared" si="2"/>
        <v>#REF!</v>
      </c>
      <c r="AH20" s="25" t="e">
        <f t="shared" si="2"/>
        <v>#REF!</v>
      </c>
      <c r="AI20" s="25" t="e">
        <f t="shared" si="2"/>
        <v>#REF!</v>
      </c>
      <c r="AJ20" s="25" t="e">
        <f t="shared" si="2"/>
        <v>#REF!</v>
      </c>
      <c r="AK20" s="25" t="e">
        <f t="shared" si="2"/>
        <v>#REF!</v>
      </c>
      <c r="AL20" s="25" t="e">
        <f t="shared" si="2"/>
        <v>#REF!</v>
      </c>
      <c r="AM20" s="25" t="e">
        <f t="shared" si="2"/>
        <v>#REF!</v>
      </c>
      <c r="AN20" s="25" t="e">
        <f t="shared" si="2"/>
        <v>#REF!</v>
      </c>
      <c r="AO20" s="25" t="e">
        <f t="shared" si="2"/>
        <v>#REF!</v>
      </c>
    </row>
    <row r="21" spans="1:41" x14ac:dyDescent="0.3">
      <c r="A21" s="25"/>
      <c r="B21" s="25"/>
      <c r="C21" s="25"/>
      <c r="D21" s="25"/>
      <c r="E21" s="25"/>
      <c r="F21" s="25"/>
      <c r="G21" s="25"/>
      <c r="H21" s="25"/>
      <c r="I21" s="25"/>
      <c r="J21" s="25"/>
      <c r="K21" s="25"/>
      <c r="L21" s="25"/>
      <c r="M21" s="25"/>
      <c r="N21" s="25"/>
      <c r="O21" s="25"/>
    </row>
    <row r="23" spans="1:41" x14ac:dyDescent="0.3">
      <c r="C23" s="27"/>
      <c r="D23" s="27"/>
      <c r="E23" s="27"/>
      <c r="F23" s="27"/>
      <c r="G23" s="27"/>
      <c r="H23" s="27"/>
      <c r="I23" s="25"/>
      <c r="J23" s="25"/>
      <c r="K23" s="25"/>
      <c r="L23" s="25"/>
      <c r="M23" s="25"/>
      <c r="N23" s="25"/>
      <c r="O23" s="25"/>
    </row>
    <row r="24" spans="1:41" x14ac:dyDescent="0.3">
      <c r="C24" s="27"/>
      <c r="D24" s="27"/>
      <c r="E24" s="27"/>
      <c r="F24" s="27"/>
      <c r="G24" s="27"/>
      <c r="H24" s="27"/>
      <c r="I24" s="27"/>
      <c r="J24" s="25"/>
      <c r="K24" s="25"/>
      <c r="L24" s="25"/>
      <c r="M24" s="25"/>
      <c r="N24" s="25"/>
      <c r="O24" s="25"/>
    </row>
    <row r="25" spans="1:41" x14ac:dyDescent="0.3">
      <c r="C25" s="27"/>
      <c r="D25" s="27"/>
      <c r="E25" s="27"/>
      <c r="F25" s="27"/>
      <c r="G25" s="27"/>
      <c r="H25" s="27"/>
      <c r="I25" s="27"/>
      <c r="J25" s="27"/>
      <c r="K25" s="25"/>
      <c r="L25" s="25"/>
      <c r="M25" s="25"/>
      <c r="N25" s="25"/>
      <c r="O25" s="25"/>
    </row>
    <row r="26" spans="1:41" x14ac:dyDescent="0.3">
      <c r="C26" s="27"/>
      <c r="D26" s="27"/>
      <c r="E26" s="25"/>
      <c r="F26" s="27"/>
      <c r="G26" s="27"/>
      <c r="H26" s="27"/>
      <c r="I26" s="27"/>
      <c r="J26" s="27"/>
      <c r="K26" s="27"/>
      <c r="L26" s="25"/>
      <c r="M26" s="25"/>
      <c r="N26" s="25"/>
      <c r="O26" s="25"/>
    </row>
    <row r="27" spans="1:41" x14ac:dyDescent="0.3">
      <c r="C27" s="27"/>
      <c r="D27" s="27"/>
      <c r="E27" s="25"/>
      <c r="F27" s="25"/>
      <c r="G27" s="27"/>
      <c r="H27" s="27"/>
      <c r="I27" s="27"/>
      <c r="J27" s="27"/>
      <c r="K27" s="27"/>
      <c r="L27" s="27"/>
      <c r="M27" s="25"/>
      <c r="N27" s="25"/>
      <c r="O27" s="25"/>
    </row>
    <row r="28" spans="1:41" x14ac:dyDescent="0.3">
      <c r="C28" s="27"/>
      <c r="D28" s="27"/>
      <c r="E28" s="25"/>
      <c r="F28" s="25"/>
      <c r="G28" s="25"/>
      <c r="H28" s="27"/>
      <c r="I28" s="27"/>
      <c r="J28" s="27"/>
      <c r="K28" s="27"/>
      <c r="L28" s="27"/>
      <c r="M28" s="27"/>
      <c r="N28" s="25"/>
      <c r="O28" s="25"/>
    </row>
    <row r="29" spans="1:41" x14ac:dyDescent="0.3">
      <c r="C29" s="27"/>
      <c r="D29" s="27"/>
      <c r="E29" s="25"/>
      <c r="F29" s="25"/>
      <c r="G29" s="25"/>
      <c r="H29" s="25"/>
      <c r="I29" s="27"/>
      <c r="J29" s="27"/>
      <c r="K29" s="27"/>
      <c r="L29" s="27"/>
      <c r="M29" s="27"/>
      <c r="N29" s="27"/>
      <c r="O29" s="25"/>
    </row>
    <row r="30" spans="1:41" x14ac:dyDescent="0.3">
      <c r="C30" s="27"/>
      <c r="D30" s="27"/>
      <c r="E30" s="25"/>
      <c r="F30" s="25"/>
      <c r="G30" s="25"/>
      <c r="H30" s="25"/>
      <c r="I30" s="25"/>
      <c r="J30" s="27"/>
      <c r="K30" s="27"/>
      <c r="L30" s="27"/>
      <c r="M30" s="27"/>
      <c r="N30" s="27"/>
      <c r="O30" s="27"/>
    </row>
    <row r="31" spans="1:41" x14ac:dyDescent="0.3">
      <c r="C31" s="27"/>
      <c r="D31" s="27"/>
      <c r="E31" s="25"/>
      <c r="F31" s="25"/>
      <c r="G31" s="25"/>
      <c r="H31" s="25"/>
      <c r="I31" s="25"/>
      <c r="J31" s="25"/>
      <c r="K31" s="27"/>
      <c r="L31" s="27"/>
      <c r="M31" s="27"/>
      <c r="N31" s="27"/>
      <c r="O31" s="27"/>
      <c r="P31" s="27"/>
    </row>
    <row r="32" spans="1:41" x14ac:dyDescent="0.3">
      <c r="C32" s="27"/>
      <c r="D32" s="27"/>
      <c r="E32" s="25"/>
      <c r="F32" s="25"/>
      <c r="G32" s="25"/>
      <c r="H32" s="25"/>
      <c r="I32" s="25"/>
      <c r="J32" s="25"/>
      <c r="K32" s="25"/>
      <c r="L32" s="27"/>
      <c r="M32" s="27"/>
      <c r="N32" s="27"/>
      <c r="O32" s="27"/>
      <c r="P32" s="27"/>
      <c r="Q32" s="27"/>
    </row>
    <row r="33" spans="3:15" x14ac:dyDescent="0.3">
      <c r="C33" s="27"/>
      <c r="D33" s="27"/>
      <c r="E33" s="25"/>
      <c r="F33" s="25"/>
      <c r="G33" s="25"/>
      <c r="H33" s="25"/>
      <c r="I33" s="25"/>
      <c r="J33" s="25"/>
      <c r="K33" s="25"/>
      <c r="L33" s="25"/>
      <c r="M33" s="27"/>
      <c r="N33" s="27"/>
      <c r="O33" s="27"/>
    </row>
    <row r="34" spans="3:15" x14ac:dyDescent="0.3">
      <c r="C34" s="27"/>
      <c r="D34" s="27"/>
      <c r="E34" s="25"/>
      <c r="F34" s="25"/>
      <c r="G34" s="25"/>
      <c r="H34" s="25"/>
      <c r="I34" s="25"/>
      <c r="J34" s="25"/>
      <c r="K34" s="25"/>
      <c r="L34" s="25"/>
      <c r="M34" s="25"/>
      <c r="N34" s="27"/>
      <c r="O34" s="27"/>
    </row>
    <row r="35" spans="3:15" x14ac:dyDescent="0.3">
      <c r="C35" s="27"/>
      <c r="D35" s="27"/>
      <c r="E35" s="25"/>
      <c r="F35" s="25"/>
      <c r="G35" s="25"/>
      <c r="H35" s="25"/>
      <c r="I35" s="25"/>
      <c r="J35" s="25"/>
      <c r="K35" s="25"/>
      <c r="L35" s="25"/>
      <c r="M35" s="25"/>
      <c r="N35" s="25"/>
      <c r="O35" s="27"/>
    </row>
  </sheetData>
  <mergeCells count="3">
    <mergeCell ref="AD4:AO4"/>
    <mergeCell ref="D4:O4"/>
    <mergeCell ref="Q4:AB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dimension ref="A1:AO35"/>
  <sheetViews>
    <sheetView workbookViewId="0">
      <pane xSplit="3" ySplit="5" topLeftCell="D6" activePane="bottomRight" state="frozen"/>
      <selection pane="topRight" activeCell="D1" sqref="D1"/>
      <selection pane="bottomLeft" activeCell="A6" sqref="A6"/>
      <selection pane="bottomRight" activeCell="D6" sqref="D6"/>
    </sheetView>
  </sheetViews>
  <sheetFormatPr defaultColWidth="8.88671875" defaultRowHeight="14.4" x14ac:dyDescent="0.3"/>
  <cols>
    <col min="1" max="1" width="2.44140625" customWidth="1"/>
    <col min="2" max="2" width="22" customWidth="1"/>
    <col min="3" max="3" width="9.44140625" customWidth="1"/>
  </cols>
  <sheetData>
    <row r="1" spans="1:41" ht="18" x14ac:dyDescent="0.35">
      <c r="A1" s="4">
        <f>KeyInputs!F14</f>
        <v>0</v>
      </c>
    </row>
    <row r="2" spans="1:41" ht="18" x14ac:dyDescent="0.35">
      <c r="A2" s="4" t="str">
        <f>KeyInputs!F22</f>
        <v>Insert Product Group 1</v>
      </c>
      <c r="D2" t="s">
        <v>80</v>
      </c>
    </row>
    <row r="4" spans="1:41" x14ac:dyDescent="0.3">
      <c r="D4" s="336">
        <f>KeyInputs!$F$17</f>
        <v>42005</v>
      </c>
      <c r="E4" s="337"/>
      <c r="F4" s="337"/>
      <c r="G4" s="337"/>
      <c r="H4" s="337"/>
      <c r="I4" s="337"/>
      <c r="J4" s="337"/>
      <c r="K4" s="337"/>
      <c r="L4" s="337"/>
      <c r="M4" s="337"/>
      <c r="N4" s="337"/>
      <c r="O4" s="338"/>
      <c r="Q4" s="336">
        <f>KeyInputs!$F$17+1</f>
        <v>42006</v>
      </c>
      <c r="R4" s="337"/>
      <c r="S4" s="337"/>
      <c r="T4" s="337"/>
      <c r="U4" s="337"/>
      <c r="V4" s="337"/>
      <c r="W4" s="337"/>
      <c r="X4" s="337"/>
      <c r="Y4" s="337"/>
      <c r="Z4" s="337"/>
      <c r="AA4" s="337"/>
      <c r="AB4" s="338"/>
      <c r="AD4" s="336">
        <f>KeyInputs!$F$17+2</f>
        <v>42007</v>
      </c>
      <c r="AE4" s="337"/>
      <c r="AF4" s="337"/>
      <c r="AG4" s="337"/>
      <c r="AH4" s="337"/>
      <c r="AI4" s="337"/>
      <c r="AJ4" s="337"/>
      <c r="AK4" s="337"/>
      <c r="AL4" s="337"/>
      <c r="AM4" s="337"/>
      <c r="AN4" s="337"/>
      <c r="AO4" s="338"/>
    </row>
    <row r="5" spans="1:41" x14ac:dyDescent="0.3">
      <c r="C5" s="28" t="s">
        <v>70</v>
      </c>
      <c r="D5" s="31" t="e">
        <f>KeyInputs!#REF!</f>
        <v>#REF!</v>
      </c>
      <c r="E5" s="32" t="e">
        <f ca="1">OFFSET(Worksheet!$A$14,,(HLOOKUP(KeyInputs!#REF!,Worksheet!$A$14:$L$15,2,FALSE)))</f>
        <v>#REF!</v>
      </c>
      <c r="F5" s="32" t="e">
        <f ca="1">OFFSET(Worksheet!$A$14,,(HLOOKUP(KeyInputs!#REF!,Worksheet!$A$14:$L$15,2,FALSE))+Worksheet!$A$15)</f>
        <v>#REF!</v>
      </c>
      <c r="G5" s="32" t="e">
        <f ca="1">OFFSET(Worksheet!$A$14,,(HLOOKUP(KeyInputs!#REF!,Worksheet!$A$14:$L$15,2,FALSE))+Worksheet!$B$15)</f>
        <v>#REF!</v>
      </c>
      <c r="H5" s="32" t="e">
        <f ca="1">OFFSET(Worksheet!$A$14,,(HLOOKUP(KeyInputs!#REF!,Worksheet!$A$14:$L$15,2,FALSE))+Worksheet!$C$15)</f>
        <v>#REF!</v>
      </c>
      <c r="I5" s="32" t="e">
        <f ca="1">OFFSET(Worksheet!$A$14,,(HLOOKUP(KeyInputs!#REF!,Worksheet!$A$14:$L$15,2,FALSE))+Worksheet!$D$15)</f>
        <v>#REF!</v>
      </c>
      <c r="J5" s="32" t="e">
        <f ca="1">OFFSET(Worksheet!$A$14,,(HLOOKUP(KeyInputs!#REF!,Worksheet!$A$14:$L$15,2,FALSE))+Worksheet!$E$15)</f>
        <v>#REF!</v>
      </c>
      <c r="K5" s="32" t="e">
        <f ca="1">OFFSET(Worksheet!$A$14,,(HLOOKUP(KeyInputs!#REF!,Worksheet!$A$14:$L$15,2,FALSE))+Worksheet!$F$15)</f>
        <v>#REF!</v>
      </c>
      <c r="L5" s="32" t="e">
        <f ca="1">OFFSET(Worksheet!$A$14,,(HLOOKUP(KeyInputs!#REF!,Worksheet!$A$14:$L$15,2,FALSE))+Worksheet!$G$15)</f>
        <v>#REF!</v>
      </c>
      <c r="M5" s="32" t="e">
        <f ca="1">OFFSET(Worksheet!$A$14,,(HLOOKUP(KeyInputs!#REF!,Worksheet!$A$14:$L$15,2,FALSE))+Worksheet!$H$15)</f>
        <v>#REF!</v>
      </c>
      <c r="N5" s="32" t="e">
        <f ca="1">OFFSET(Worksheet!$A$14,,(HLOOKUP(KeyInputs!#REF!,Worksheet!$A$14:$L$15,2,FALSE))+Worksheet!$I$15)</f>
        <v>#REF!</v>
      </c>
      <c r="O5" s="32" t="e">
        <f ca="1">OFFSET(Worksheet!$A$14,,(HLOOKUP(KeyInputs!#REF!,Worksheet!$A$14:$L$15,2,FALSE))+Worksheet!$J$15)</f>
        <v>#REF!</v>
      </c>
      <c r="Q5" s="31" t="e">
        <f>KeyInputs!#REF!</f>
        <v>#REF!</v>
      </c>
      <c r="R5" s="32" t="e">
        <f ca="1">OFFSET(Worksheet!$A$14,,(HLOOKUP(KeyInputs!#REF!,Worksheet!$A$14:$L$15,2,FALSE)))</f>
        <v>#REF!</v>
      </c>
      <c r="S5" s="32" t="e">
        <f ca="1">OFFSET(Worksheet!$A$14,,(HLOOKUP(KeyInputs!#REF!,Worksheet!$A$14:$L$15,2,FALSE))+Worksheet!$A$15)</f>
        <v>#REF!</v>
      </c>
      <c r="T5" s="32" t="e">
        <f ca="1">OFFSET(Worksheet!$A$14,,(HLOOKUP(KeyInputs!#REF!,Worksheet!$A$14:$L$15,2,FALSE))+Worksheet!$B$15)</f>
        <v>#REF!</v>
      </c>
      <c r="U5" s="32" t="e">
        <f ca="1">OFFSET(Worksheet!$A$14,,(HLOOKUP(KeyInputs!#REF!,Worksheet!$A$14:$L$15,2,FALSE))+Worksheet!$C$15)</f>
        <v>#REF!</v>
      </c>
      <c r="V5" s="32" t="e">
        <f ca="1">OFFSET(Worksheet!$A$14,,(HLOOKUP(KeyInputs!#REF!,Worksheet!$A$14:$L$15,2,FALSE))+Worksheet!$D$15)</f>
        <v>#REF!</v>
      </c>
      <c r="W5" s="32" t="e">
        <f ca="1">OFFSET(Worksheet!$A$14,,(HLOOKUP(KeyInputs!#REF!,Worksheet!$A$14:$L$15,2,FALSE))+Worksheet!$E$15)</f>
        <v>#REF!</v>
      </c>
      <c r="X5" s="32" t="e">
        <f ca="1">OFFSET(Worksheet!$A$14,,(HLOOKUP(KeyInputs!#REF!,Worksheet!$A$14:$L$15,2,FALSE))+Worksheet!$F$15)</f>
        <v>#REF!</v>
      </c>
      <c r="Y5" s="32" t="e">
        <f ca="1">OFFSET(Worksheet!$A$14,,(HLOOKUP(KeyInputs!#REF!,Worksheet!$A$14:$L$15,2,FALSE))+Worksheet!$G$15)</f>
        <v>#REF!</v>
      </c>
      <c r="Z5" s="32" t="e">
        <f ca="1">OFFSET(Worksheet!$A$14,,(HLOOKUP(KeyInputs!#REF!,Worksheet!$A$14:$L$15,2,FALSE))+Worksheet!$H$15)</f>
        <v>#REF!</v>
      </c>
      <c r="AA5" s="32" t="e">
        <f ca="1">OFFSET(Worksheet!$A$14,,(HLOOKUP(KeyInputs!#REF!,Worksheet!$A$14:$L$15,2,FALSE))+Worksheet!$I$15)</f>
        <v>#REF!</v>
      </c>
      <c r="AB5" s="32" t="e">
        <f ca="1">OFFSET(Worksheet!$A$14,,(HLOOKUP(KeyInputs!#REF!,Worksheet!$A$14:$L$15,2,FALSE))+Worksheet!$J$15)</f>
        <v>#REF!</v>
      </c>
      <c r="AD5" s="31" t="e">
        <f>KeyInputs!#REF!</f>
        <v>#REF!</v>
      </c>
      <c r="AE5" s="32" t="e">
        <f ca="1">OFFSET(Worksheet!$A$14,,(HLOOKUP(KeyInputs!#REF!,Worksheet!$A$14:$L$15,2,FALSE)))</f>
        <v>#REF!</v>
      </c>
      <c r="AF5" s="32" t="e">
        <f ca="1">OFFSET(Worksheet!$A$14,,(HLOOKUP(KeyInputs!#REF!,Worksheet!$A$14:$L$15,2,FALSE))+Worksheet!$A$15)</f>
        <v>#REF!</v>
      </c>
      <c r="AG5" s="32" t="e">
        <f ca="1">OFFSET(Worksheet!$A$14,,(HLOOKUP(KeyInputs!#REF!,Worksheet!$A$14:$L$15,2,FALSE))+Worksheet!$B$15)</f>
        <v>#REF!</v>
      </c>
      <c r="AH5" s="32" t="e">
        <f ca="1">OFFSET(Worksheet!$A$14,,(HLOOKUP(KeyInputs!#REF!,Worksheet!$A$14:$L$15,2,FALSE))+Worksheet!$C$15)</f>
        <v>#REF!</v>
      </c>
      <c r="AI5" s="32" t="e">
        <f ca="1">OFFSET(Worksheet!$A$14,,(HLOOKUP(KeyInputs!#REF!,Worksheet!$A$14:$L$15,2,FALSE))+Worksheet!$D$15)</f>
        <v>#REF!</v>
      </c>
      <c r="AJ5" s="32" t="e">
        <f ca="1">OFFSET(Worksheet!$A$14,,(HLOOKUP(KeyInputs!#REF!,Worksheet!$A$14:$L$15,2,FALSE))+Worksheet!$E$15)</f>
        <v>#REF!</v>
      </c>
      <c r="AK5" s="32" t="e">
        <f ca="1">OFFSET(Worksheet!$A$14,,(HLOOKUP(KeyInputs!#REF!,Worksheet!$A$14:$L$15,2,FALSE))+Worksheet!$F$15)</f>
        <v>#REF!</v>
      </c>
      <c r="AL5" s="32" t="e">
        <f ca="1">OFFSET(Worksheet!$A$14,,(HLOOKUP(KeyInputs!#REF!,Worksheet!$A$14:$L$15,2,FALSE))+Worksheet!$G$15)</f>
        <v>#REF!</v>
      </c>
      <c r="AM5" s="32" t="e">
        <f ca="1">OFFSET(Worksheet!$A$14,,(HLOOKUP(KeyInputs!#REF!,Worksheet!$A$14:$L$15,2,FALSE))+Worksheet!$H$15)</f>
        <v>#REF!</v>
      </c>
      <c r="AN5" s="32" t="e">
        <f ca="1">OFFSET(Worksheet!$A$14,,(HLOOKUP(KeyInputs!#REF!,Worksheet!$A$14:$L$15,2,FALSE))+Worksheet!$I$15)</f>
        <v>#REF!</v>
      </c>
      <c r="AO5" s="32" t="e">
        <f ca="1">OFFSET(Worksheet!$A$14,,(HLOOKUP(KeyInputs!#REF!,Worksheet!$A$14:$L$15,2,FALSE))+Worksheet!$J$15)</f>
        <v>#REF!</v>
      </c>
    </row>
    <row r="6" spans="1:41" x14ac:dyDescent="0.3">
      <c r="A6" s="30"/>
      <c r="B6" s="25"/>
      <c r="C6" s="25"/>
      <c r="D6" s="25"/>
      <c r="E6" s="25"/>
      <c r="F6" s="25"/>
      <c r="G6" s="25"/>
      <c r="H6" s="25"/>
      <c r="I6" s="25"/>
      <c r="J6" s="25"/>
      <c r="K6" s="25"/>
      <c r="L6" s="25"/>
      <c r="M6" s="25"/>
      <c r="N6" s="25"/>
      <c r="O6" s="25"/>
      <c r="Q6" s="25"/>
      <c r="R6" s="25"/>
      <c r="S6" s="25"/>
      <c r="T6" s="25"/>
      <c r="U6" s="25"/>
      <c r="V6" s="25"/>
      <c r="W6" s="25"/>
      <c r="X6" s="25"/>
      <c r="Y6" s="25"/>
      <c r="Z6" s="25"/>
      <c r="AA6" s="25"/>
      <c r="AB6" s="25"/>
      <c r="AD6" s="25"/>
      <c r="AE6" s="25"/>
      <c r="AF6" s="25"/>
      <c r="AG6" s="25"/>
      <c r="AH6" s="25"/>
      <c r="AI6" s="25"/>
      <c r="AJ6" s="25"/>
      <c r="AK6" s="25"/>
      <c r="AL6" s="25"/>
      <c r="AM6" s="25"/>
      <c r="AN6" s="25"/>
      <c r="AO6" s="25"/>
    </row>
    <row r="7" spans="1:41" x14ac:dyDescent="0.3">
      <c r="A7" s="25"/>
      <c r="B7" s="25" t="s">
        <v>81</v>
      </c>
      <c r="C7" s="27" t="e">
        <f>#REF!*KeyInputs!#REF!</f>
        <v>#REF!</v>
      </c>
      <c r="D7" s="27" t="e">
        <f>#REF!*KeyInputs!#REF!</f>
        <v>#REF!</v>
      </c>
      <c r="E7" s="27" t="e">
        <f>#REF!*KeyInputs!#REF!</f>
        <v>#REF!</v>
      </c>
      <c r="F7" s="27" t="e">
        <f>#REF!*KeyInputs!#REF!</f>
        <v>#REF!</v>
      </c>
      <c r="G7" s="27" t="e">
        <f>#REF!*KeyInputs!#REF!</f>
        <v>#REF!</v>
      </c>
      <c r="H7" s="27" t="e">
        <f>#REF!*KeyInputs!#REF!</f>
        <v>#REF!</v>
      </c>
      <c r="I7" s="25"/>
      <c r="J7" s="25"/>
      <c r="K7" s="25"/>
      <c r="L7" s="25"/>
      <c r="M7" s="25"/>
      <c r="N7" s="25"/>
      <c r="O7" s="25"/>
      <c r="Q7" s="27"/>
      <c r="R7" s="27"/>
      <c r="S7" s="27"/>
      <c r="T7" s="27"/>
      <c r="U7" s="27"/>
      <c r="V7" s="25"/>
      <c r="W7" s="25"/>
      <c r="X7" s="25"/>
      <c r="Y7" s="25"/>
      <c r="Z7" s="25"/>
      <c r="AA7" s="25"/>
      <c r="AB7" s="25"/>
      <c r="AD7" s="27"/>
      <c r="AE7" s="27"/>
      <c r="AF7" s="27"/>
      <c r="AG7" s="27"/>
      <c r="AH7" s="27"/>
      <c r="AI7" s="25"/>
      <c r="AJ7" s="25"/>
      <c r="AK7" s="25"/>
      <c r="AL7" s="25"/>
      <c r="AM7" s="25"/>
      <c r="AN7" s="25"/>
      <c r="AO7" s="25"/>
    </row>
    <row r="8" spans="1:41" x14ac:dyDescent="0.3">
      <c r="A8" s="25"/>
      <c r="B8" s="39" t="e">
        <f>D5</f>
        <v>#REF!</v>
      </c>
      <c r="C8" s="27"/>
      <c r="D8" s="27" t="e">
        <f>#REF!*KeyInputs!#REF!</f>
        <v>#REF!</v>
      </c>
      <c r="E8" s="27" t="e">
        <f>#REF!*KeyInputs!#REF!</f>
        <v>#REF!</v>
      </c>
      <c r="F8" s="27" t="e">
        <f>#REF!*KeyInputs!#REF!</f>
        <v>#REF!</v>
      </c>
      <c r="G8" s="27" t="e">
        <f>#REF!*KeyInputs!#REF!</f>
        <v>#REF!</v>
      </c>
      <c r="H8" s="27" t="e">
        <f>#REF!*KeyInputs!#REF!</f>
        <v>#REF!</v>
      </c>
      <c r="I8" s="27" t="e">
        <f>#REF!*KeyInputs!#REF!</f>
        <v>#REF!</v>
      </c>
      <c r="J8" s="25"/>
      <c r="K8" s="25"/>
      <c r="L8" s="25"/>
      <c r="M8" s="25"/>
      <c r="N8" s="25"/>
      <c r="O8" s="25"/>
      <c r="Q8" s="27" t="e">
        <f>#REF!*KeyInputs!#REF!</f>
        <v>#REF!</v>
      </c>
      <c r="R8" s="27" t="e">
        <f>#REF!*KeyInputs!#REF!</f>
        <v>#REF!</v>
      </c>
      <c r="S8" s="27" t="e">
        <f>#REF!*KeyInputs!#REF!</f>
        <v>#REF!</v>
      </c>
      <c r="T8" s="27" t="e">
        <f>#REF!*KeyInputs!#REF!</f>
        <v>#REF!</v>
      </c>
      <c r="U8" s="27" t="e">
        <f>#REF!*KeyInputs!#REF!</f>
        <v>#REF!</v>
      </c>
      <c r="V8" s="27" t="e">
        <f>#REF!*KeyInputs!#REF!</f>
        <v>#REF!</v>
      </c>
      <c r="W8" s="25"/>
      <c r="X8" s="25"/>
      <c r="Y8" s="25"/>
      <c r="Z8" s="25"/>
      <c r="AA8" s="25"/>
      <c r="AB8" s="25"/>
      <c r="AD8" s="27" t="e">
        <f>#REF!*KeyInputs!#REF!</f>
        <v>#REF!</v>
      </c>
      <c r="AE8" s="27" t="e">
        <f>#REF!*KeyInputs!#REF!</f>
        <v>#REF!</v>
      </c>
      <c r="AF8" s="27" t="e">
        <f>#REF!*KeyInputs!#REF!</f>
        <v>#REF!</v>
      </c>
      <c r="AG8" s="27" t="e">
        <f>#REF!*KeyInputs!#REF!</f>
        <v>#REF!</v>
      </c>
      <c r="AH8" s="27" t="e">
        <f>#REF!*KeyInputs!#REF!</f>
        <v>#REF!</v>
      </c>
      <c r="AI8" s="27" t="e">
        <f>#REF!*KeyInputs!#REF!</f>
        <v>#REF!</v>
      </c>
      <c r="AJ8" s="25"/>
      <c r="AK8" s="25"/>
      <c r="AL8" s="25"/>
      <c r="AM8" s="25"/>
      <c r="AN8" s="25"/>
      <c r="AO8" s="25"/>
    </row>
    <row r="9" spans="1:41" x14ac:dyDescent="0.3">
      <c r="A9" s="25"/>
      <c r="B9" s="25" t="e">
        <f ca="1">E5</f>
        <v>#REF!</v>
      </c>
      <c r="C9" s="27"/>
      <c r="D9" s="27"/>
      <c r="E9" s="27" t="e">
        <f>#REF!*KeyInputs!#REF!</f>
        <v>#REF!</v>
      </c>
      <c r="F9" s="27" t="e">
        <f>#REF!*KeyInputs!#REF!</f>
        <v>#REF!</v>
      </c>
      <c r="G9" s="27" t="e">
        <f>#REF!*KeyInputs!#REF!</f>
        <v>#REF!</v>
      </c>
      <c r="H9" s="27" t="e">
        <f>#REF!*KeyInputs!#REF!</f>
        <v>#REF!</v>
      </c>
      <c r="I9" s="27" t="e">
        <f>#REF!*KeyInputs!#REF!</f>
        <v>#REF!</v>
      </c>
      <c r="J9" s="27" t="e">
        <f>#REF!*KeyInputs!#REF!</f>
        <v>#REF!</v>
      </c>
      <c r="K9" s="25"/>
      <c r="L9" s="25"/>
      <c r="M9" s="25"/>
      <c r="N9" s="25"/>
      <c r="O9" s="25"/>
      <c r="Q9" s="27"/>
      <c r="R9" s="27" t="e">
        <f>#REF!*KeyInputs!#REF!</f>
        <v>#REF!</v>
      </c>
      <c r="S9" s="27" t="e">
        <f>#REF!*KeyInputs!#REF!</f>
        <v>#REF!</v>
      </c>
      <c r="T9" s="27" t="e">
        <f>#REF!*KeyInputs!#REF!</f>
        <v>#REF!</v>
      </c>
      <c r="U9" s="27" t="e">
        <f>#REF!*KeyInputs!#REF!</f>
        <v>#REF!</v>
      </c>
      <c r="V9" s="27" t="e">
        <f>#REF!*KeyInputs!#REF!</f>
        <v>#REF!</v>
      </c>
      <c r="W9" s="27" t="e">
        <f>#REF!*KeyInputs!#REF!</f>
        <v>#REF!</v>
      </c>
      <c r="X9" s="25"/>
      <c r="Y9" s="25"/>
      <c r="Z9" s="25"/>
      <c r="AA9" s="25"/>
      <c r="AB9" s="25"/>
      <c r="AD9" s="27"/>
      <c r="AE9" s="27" t="e">
        <f>#REF!*KeyInputs!#REF!</f>
        <v>#REF!</v>
      </c>
      <c r="AF9" s="27" t="e">
        <f>#REF!*KeyInputs!#REF!</f>
        <v>#REF!</v>
      </c>
      <c r="AG9" s="27" t="e">
        <f>#REF!*KeyInputs!#REF!</f>
        <v>#REF!</v>
      </c>
      <c r="AH9" s="27" t="e">
        <f>#REF!*KeyInputs!#REF!</f>
        <v>#REF!</v>
      </c>
      <c r="AI9" s="27" t="e">
        <f>#REF!*KeyInputs!#REF!</f>
        <v>#REF!</v>
      </c>
      <c r="AJ9" s="27" t="e">
        <f>#REF!*KeyInputs!#REF!</f>
        <v>#REF!</v>
      </c>
      <c r="AK9" s="25"/>
      <c r="AL9" s="25"/>
      <c r="AM9" s="25"/>
      <c r="AN9" s="25"/>
      <c r="AO9" s="25"/>
    </row>
    <row r="10" spans="1:41" x14ac:dyDescent="0.3">
      <c r="A10" s="25"/>
      <c r="B10" s="25" t="e">
        <f ca="1">F5</f>
        <v>#REF!</v>
      </c>
      <c r="C10" s="27"/>
      <c r="D10" s="27"/>
      <c r="E10" s="25"/>
      <c r="F10" s="27" t="e">
        <f>#REF!*KeyInputs!#REF!</f>
        <v>#REF!</v>
      </c>
      <c r="G10" s="27" t="e">
        <f>#REF!*KeyInputs!#REF!</f>
        <v>#REF!</v>
      </c>
      <c r="H10" s="27" t="e">
        <f>#REF!*KeyInputs!#REF!</f>
        <v>#REF!</v>
      </c>
      <c r="I10" s="27" t="e">
        <f>#REF!*KeyInputs!#REF!</f>
        <v>#REF!</v>
      </c>
      <c r="J10" s="27" t="e">
        <f>#REF!*KeyInputs!#REF!</f>
        <v>#REF!</v>
      </c>
      <c r="K10" s="27" t="e">
        <f>#REF!*KeyInputs!#REF!</f>
        <v>#REF!</v>
      </c>
      <c r="L10" s="25"/>
      <c r="M10" s="25"/>
      <c r="N10" s="25"/>
      <c r="O10" s="25"/>
      <c r="Q10" s="27"/>
      <c r="R10" s="25"/>
      <c r="S10" s="27" t="e">
        <f>#REF!*KeyInputs!#REF!</f>
        <v>#REF!</v>
      </c>
      <c r="T10" s="27" t="e">
        <f>#REF!*KeyInputs!#REF!</f>
        <v>#REF!</v>
      </c>
      <c r="U10" s="27" t="e">
        <f>#REF!*KeyInputs!#REF!</f>
        <v>#REF!</v>
      </c>
      <c r="V10" s="27" t="e">
        <f>#REF!*KeyInputs!#REF!</f>
        <v>#REF!</v>
      </c>
      <c r="W10" s="27" t="e">
        <f>#REF!*KeyInputs!#REF!</f>
        <v>#REF!</v>
      </c>
      <c r="X10" s="27" t="e">
        <f>#REF!*KeyInputs!#REF!</f>
        <v>#REF!</v>
      </c>
      <c r="Y10" s="25"/>
      <c r="Z10" s="25"/>
      <c r="AA10" s="25"/>
      <c r="AB10" s="25"/>
      <c r="AD10" s="27"/>
      <c r="AE10" s="25"/>
      <c r="AF10" s="27" t="e">
        <f>#REF!*KeyInputs!#REF!</f>
        <v>#REF!</v>
      </c>
      <c r="AG10" s="27" t="e">
        <f>#REF!*KeyInputs!#REF!</f>
        <v>#REF!</v>
      </c>
      <c r="AH10" s="27" t="e">
        <f>#REF!*KeyInputs!#REF!</f>
        <v>#REF!</v>
      </c>
      <c r="AI10" s="27" t="e">
        <f>#REF!*KeyInputs!#REF!</f>
        <v>#REF!</v>
      </c>
      <c r="AJ10" s="27" t="e">
        <f>#REF!*KeyInputs!#REF!</f>
        <v>#REF!</v>
      </c>
      <c r="AK10" s="27" t="e">
        <f>#REF!*KeyInputs!#REF!</f>
        <v>#REF!</v>
      </c>
      <c r="AL10" s="25"/>
      <c r="AM10" s="25"/>
      <c r="AN10" s="25"/>
      <c r="AO10" s="25"/>
    </row>
    <row r="11" spans="1:41" x14ac:dyDescent="0.3">
      <c r="A11" s="30"/>
      <c r="B11" s="25" t="e">
        <f ca="1">G5</f>
        <v>#REF!</v>
      </c>
      <c r="C11" s="27"/>
      <c r="D11" s="27"/>
      <c r="E11" s="25"/>
      <c r="F11" s="25"/>
      <c r="G11" s="27" t="e">
        <f>#REF!*KeyInputs!#REF!</f>
        <v>#REF!</v>
      </c>
      <c r="H11" s="27" t="e">
        <f>#REF!*KeyInputs!#REF!</f>
        <v>#REF!</v>
      </c>
      <c r="I11" s="27" t="e">
        <f>#REF!*KeyInputs!#REF!</f>
        <v>#REF!</v>
      </c>
      <c r="J11" s="27" t="e">
        <f>#REF!*KeyInputs!#REF!</f>
        <v>#REF!</v>
      </c>
      <c r="K11" s="27" t="e">
        <f>#REF!*KeyInputs!#REF!</f>
        <v>#REF!</v>
      </c>
      <c r="L11" s="27" t="e">
        <f>#REF!*KeyInputs!#REF!</f>
        <v>#REF!</v>
      </c>
      <c r="M11" s="25"/>
      <c r="N11" s="25"/>
      <c r="O11" s="25"/>
      <c r="Q11" s="27"/>
      <c r="R11" s="25"/>
      <c r="S11" s="25"/>
      <c r="T11" s="27" t="e">
        <f>#REF!*KeyInputs!#REF!</f>
        <v>#REF!</v>
      </c>
      <c r="U11" s="27" t="e">
        <f>#REF!*KeyInputs!#REF!</f>
        <v>#REF!</v>
      </c>
      <c r="V11" s="27" t="e">
        <f>#REF!*KeyInputs!#REF!</f>
        <v>#REF!</v>
      </c>
      <c r="W11" s="27" t="e">
        <f>#REF!*KeyInputs!#REF!</f>
        <v>#REF!</v>
      </c>
      <c r="X11" s="27" t="e">
        <f>#REF!*KeyInputs!#REF!</f>
        <v>#REF!</v>
      </c>
      <c r="Y11" s="27" t="e">
        <f>#REF!*KeyInputs!#REF!</f>
        <v>#REF!</v>
      </c>
      <c r="Z11" s="25"/>
      <c r="AA11" s="25"/>
      <c r="AB11" s="25"/>
      <c r="AD11" s="27"/>
      <c r="AE11" s="25"/>
      <c r="AF11" s="25"/>
      <c r="AG11" s="27" t="e">
        <f>#REF!*KeyInputs!#REF!</f>
        <v>#REF!</v>
      </c>
      <c r="AH11" s="27" t="e">
        <f>#REF!*KeyInputs!#REF!</f>
        <v>#REF!</v>
      </c>
      <c r="AI11" s="27" t="e">
        <f>#REF!*KeyInputs!#REF!</f>
        <v>#REF!</v>
      </c>
      <c r="AJ11" s="27" t="e">
        <f>#REF!*KeyInputs!#REF!</f>
        <v>#REF!</v>
      </c>
      <c r="AK11" s="27" t="e">
        <f>#REF!*KeyInputs!#REF!</f>
        <v>#REF!</v>
      </c>
      <c r="AL11" s="27" t="e">
        <f>#REF!*KeyInputs!#REF!</f>
        <v>#REF!</v>
      </c>
      <c r="AM11" s="25"/>
      <c r="AN11" s="25"/>
      <c r="AO11" s="25"/>
    </row>
    <row r="12" spans="1:41" x14ac:dyDescent="0.3">
      <c r="A12" s="25"/>
      <c r="B12" s="25" t="e">
        <f ca="1">H5</f>
        <v>#REF!</v>
      </c>
      <c r="C12" s="27"/>
      <c r="D12" s="27"/>
      <c r="E12" s="25"/>
      <c r="F12" s="25"/>
      <c r="G12" s="25"/>
      <c r="H12" s="27" t="e">
        <f>#REF!*KeyInputs!#REF!</f>
        <v>#REF!</v>
      </c>
      <c r="I12" s="27" t="e">
        <f>#REF!*KeyInputs!#REF!</f>
        <v>#REF!</v>
      </c>
      <c r="J12" s="27" t="e">
        <f>#REF!*KeyInputs!#REF!</f>
        <v>#REF!</v>
      </c>
      <c r="K12" s="27" t="e">
        <f>#REF!*KeyInputs!#REF!</f>
        <v>#REF!</v>
      </c>
      <c r="L12" s="27" t="e">
        <f>#REF!*KeyInputs!#REF!</f>
        <v>#REF!</v>
      </c>
      <c r="M12" s="27" t="e">
        <f>#REF!*KeyInputs!#REF!</f>
        <v>#REF!</v>
      </c>
      <c r="N12" s="25"/>
      <c r="O12" s="25"/>
      <c r="Q12" s="27"/>
      <c r="R12" s="25"/>
      <c r="S12" s="25"/>
      <c r="T12" s="25"/>
      <c r="U12" s="27" t="e">
        <f>#REF!*KeyInputs!#REF!</f>
        <v>#REF!</v>
      </c>
      <c r="V12" s="27" t="e">
        <f>#REF!*KeyInputs!#REF!</f>
        <v>#REF!</v>
      </c>
      <c r="W12" s="27" t="e">
        <f>#REF!*KeyInputs!#REF!</f>
        <v>#REF!</v>
      </c>
      <c r="X12" s="27" t="e">
        <f>#REF!*KeyInputs!#REF!</f>
        <v>#REF!</v>
      </c>
      <c r="Y12" s="27" t="e">
        <f>#REF!*KeyInputs!#REF!</f>
        <v>#REF!</v>
      </c>
      <c r="Z12" s="27" t="e">
        <f>#REF!*KeyInputs!#REF!</f>
        <v>#REF!</v>
      </c>
      <c r="AA12" s="25"/>
      <c r="AB12" s="25"/>
      <c r="AD12" s="27"/>
      <c r="AE12" s="25"/>
      <c r="AF12" s="25"/>
      <c r="AG12" s="25"/>
      <c r="AH12" s="27" t="e">
        <f>#REF!*KeyInputs!#REF!</f>
        <v>#REF!</v>
      </c>
      <c r="AI12" s="27" t="e">
        <f>#REF!*KeyInputs!#REF!</f>
        <v>#REF!</v>
      </c>
      <c r="AJ12" s="27" t="e">
        <f>#REF!*KeyInputs!#REF!</f>
        <v>#REF!</v>
      </c>
      <c r="AK12" s="27" t="e">
        <f>#REF!*KeyInputs!#REF!</f>
        <v>#REF!</v>
      </c>
      <c r="AL12" s="27" t="e">
        <f>#REF!*KeyInputs!#REF!</f>
        <v>#REF!</v>
      </c>
      <c r="AM12" s="27" t="e">
        <f>#REF!*KeyInputs!#REF!</f>
        <v>#REF!</v>
      </c>
      <c r="AN12" s="25"/>
      <c r="AO12" s="25"/>
    </row>
    <row r="13" spans="1:41" x14ac:dyDescent="0.3">
      <c r="A13" s="25"/>
      <c r="B13" s="25" t="e">
        <f ca="1">I5</f>
        <v>#REF!</v>
      </c>
      <c r="C13" s="27"/>
      <c r="D13" s="27"/>
      <c r="E13" s="25"/>
      <c r="F13" s="25"/>
      <c r="G13" s="25"/>
      <c r="H13" s="25"/>
      <c r="I13" s="27" t="e">
        <f>#REF!*KeyInputs!#REF!</f>
        <v>#REF!</v>
      </c>
      <c r="J13" s="27" t="e">
        <f>#REF!*KeyInputs!#REF!</f>
        <v>#REF!</v>
      </c>
      <c r="K13" s="27" t="e">
        <f>#REF!*KeyInputs!#REF!</f>
        <v>#REF!</v>
      </c>
      <c r="L13" s="27" t="e">
        <f>#REF!*KeyInputs!#REF!</f>
        <v>#REF!</v>
      </c>
      <c r="M13" s="27" t="e">
        <f>#REF!*KeyInputs!#REF!</f>
        <v>#REF!</v>
      </c>
      <c r="N13" s="27" t="e">
        <f>#REF!*KeyInputs!#REF!</f>
        <v>#REF!</v>
      </c>
      <c r="O13" s="25"/>
      <c r="Q13" s="27"/>
      <c r="R13" s="25"/>
      <c r="S13" s="25"/>
      <c r="T13" s="25"/>
      <c r="U13" s="25"/>
      <c r="V13" s="27" t="e">
        <f>#REF!*KeyInputs!#REF!</f>
        <v>#REF!</v>
      </c>
      <c r="W13" s="27" t="e">
        <f>#REF!*KeyInputs!#REF!</f>
        <v>#REF!</v>
      </c>
      <c r="X13" s="27" t="e">
        <f>#REF!*KeyInputs!#REF!</f>
        <v>#REF!</v>
      </c>
      <c r="Y13" s="27" t="e">
        <f>#REF!*KeyInputs!#REF!</f>
        <v>#REF!</v>
      </c>
      <c r="Z13" s="27" t="e">
        <f>#REF!*KeyInputs!#REF!</f>
        <v>#REF!</v>
      </c>
      <c r="AA13" s="27" t="e">
        <f>#REF!*KeyInputs!#REF!</f>
        <v>#REF!</v>
      </c>
      <c r="AB13" s="25"/>
      <c r="AD13" s="27"/>
      <c r="AE13" s="25"/>
      <c r="AF13" s="25"/>
      <c r="AG13" s="25"/>
      <c r="AH13" s="25"/>
      <c r="AI13" s="27" t="e">
        <f>#REF!*KeyInputs!#REF!</f>
        <v>#REF!</v>
      </c>
      <c r="AJ13" s="27" t="e">
        <f>#REF!*KeyInputs!#REF!</f>
        <v>#REF!</v>
      </c>
      <c r="AK13" s="27" t="e">
        <f>#REF!*KeyInputs!#REF!</f>
        <v>#REF!</v>
      </c>
      <c r="AL13" s="27" t="e">
        <f>#REF!*KeyInputs!#REF!</f>
        <v>#REF!</v>
      </c>
      <c r="AM13" s="27" t="e">
        <f>#REF!*KeyInputs!#REF!</f>
        <v>#REF!</v>
      </c>
      <c r="AN13" s="27" t="e">
        <f>#REF!*KeyInputs!#REF!</f>
        <v>#REF!</v>
      </c>
      <c r="AO13" s="25"/>
    </row>
    <row r="14" spans="1:41" x14ac:dyDescent="0.3">
      <c r="A14" s="25"/>
      <c r="B14" s="25" t="e">
        <f ca="1">J5</f>
        <v>#REF!</v>
      </c>
      <c r="C14" s="27"/>
      <c r="D14" s="27"/>
      <c r="E14" s="25"/>
      <c r="F14" s="25"/>
      <c r="G14" s="25"/>
      <c r="H14" s="25"/>
      <c r="I14" s="25"/>
      <c r="J14" s="27" t="e">
        <f>#REF!*KeyInputs!#REF!</f>
        <v>#REF!</v>
      </c>
      <c r="K14" s="27" t="e">
        <f>#REF!*KeyInputs!#REF!</f>
        <v>#REF!</v>
      </c>
      <c r="L14" s="27" t="e">
        <f>#REF!*KeyInputs!#REF!</f>
        <v>#REF!</v>
      </c>
      <c r="M14" s="27" t="e">
        <f>#REF!*KeyInputs!#REF!</f>
        <v>#REF!</v>
      </c>
      <c r="N14" s="27" t="e">
        <f>#REF!*KeyInputs!#REF!</f>
        <v>#REF!</v>
      </c>
      <c r="O14" s="27" t="e">
        <f>#REF!*KeyInputs!#REF!</f>
        <v>#REF!</v>
      </c>
      <c r="Q14" s="27"/>
      <c r="R14" s="25"/>
      <c r="S14" s="25"/>
      <c r="T14" s="25"/>
      <c r="U14" s="25"/>
      <c r="V14" s="25"/>
      <c r="W14" s="27" t="e">
        <f>#REF!*KeyInputs!#REF!</f>
        <v>#REF!</v>
      </c>
      <c r="X14" s="27" t="e">
        <f>#REF!*KeyInputs!#REF!</f>
        <v>#REF!</v>
      </c>
      <c r="Y14" s="27" t="e">
        <f>#REF!*KeyInputs!#REF!</f>
        <v>#REF!</v>
      </c>
      <c r="Z14" s="27" t="e">
        <f>#REF!*KeyInputs!#REF!</f>
        <v>#REF!</v>
      </c>
      <c r="AA14" s="27" t="e">
        <f>#REF!*KeyInputs!#REF!</f>
        <v>#REF!</v>
      </c>
      <c r="AB14" s="27" t="e">
        <f>#REF!*KeyInputs!#REF!</f>
        <v>#REF!</v>
      </c>
      <c r="AD14" s="27"/>
      <c r="AE14" s="25"/>
      <c r="AF14" s="25"/>
      <c r="AG14" s="25"/>
      <c r="AH14" s="25"/>
      <c r="AI14" s="25"/>
      <c r="AJ14" s="27" t="e">
        <f>#REF!*KeyInputs!#REF!</f>
        <v>#REF!</v>
      </c>
      <c r="AK14" s="27" t="e">
        <f>#REF!*KeyInputs!#REF!</f>
        <v>#REF!</v>
      </c>
      <c r="AL14" s="27" t="e">
        <f>#REF!*KeyInputs!#REF!</f>
        <v>#REF!</v>
      </c>
      <c r="AM14" s="27" t="e">
        <f>#REF!*KeyInputs!#REF!</f>
        <v>#REF!</v>
      </c>
      <c r="AN14" s="27" t="e">
        <f>#REF!*KeyInputs!#REF!</f>
        <v>#REF!</v>
      </c>
      <c r="AO14" s="27" t="e">
        <f>#REF!*KeyInputs!#REF!</f>
        <v>#REF!</v>
      </c>
    </row>
    <row r="15" spans="1:41" x14ac:dyDescent="0.3">
      <c r="A15" s="25"/>
      <c r="B15" s="25" t="e">
        <f ca="1">K5</f>
        <v>#REF!</v>
      </c>
      <c r="C15" s="27"/>
      <c r="D15" s="27"/>
      <c r="E15" s="25"/>
      <c r="F15" s="25"/>
      <c r="G15" s="25"/>
      <c r="H15" s="25"/>
      <c r="I15" s="25"/>
      <c r="J15" s="25"/>
      <c r="K15" s="27" t="e">
        <f>#REF!*KeyInputs!#REF!</f>
        <v>#REF!</v>
      </c>
      <c r="L15" s="27" t="e">
        <f>#REF!*KeyInputs!#REF!</f>
        <v>#REF!</v>
      </c>
      <c r="M15" s="27" t="e">
        <f>#REF!*KeyInputs!#REF!</f>
        <v>#REF!</v>
      </c>
      <c r="N15" s="27" t="e">
        <f>#REF!*KeyInputs!#REF!</f>
        <v>#REF!</v>
      </c>
      <c r="O15" s="27" t="e">
        <f>#REF!*KeyInputs!#REF!</f>
        <v>#REF!</v>
      </c>
      <c r="P15" s="27"/>
      <c r="Q15" s="27" t="e">
        <f>#REF!*KeyInputs!#REF!</f>
        <v>#REF!</v>
      </c>
      <c r="R15" s="25"/>
      <c r="S15" s="25"/>
      <c r="T15" s="25"/>
      <c r="U15" s="25"/>
      <c r="V15" s="25"/>
      <c r="W15" s="25"/>
      <c r="X15" s="27" t="e">
        <f>#REF!*KeyInputs!#REF!</f>
        <v>#REF!</v>
      </c>
      <c r="Y15" s="27" t="e">
        <f>#REF!*KeyInputs!#REF!</f>
        <v>#REF!</v>
      </c>
      <c r="Z15" s="27" t="e">
        <f>#REF!*KeyInputs!#REF!</f>
        <v>#REF!</v>
      </c>
      <c r="AA15" s="27" t="e">
        <f>#REF!*KeyInputs!#REF!</f>
        <v>#REF!</v>
      </c>
      <c r="AB15" s="27" t="e">
        <f>#REF!*KeyInputs!#REF!</f>
        <v>#REF!</v>
      </c>
      <c r="AC15" s="27"/>
      <c r="AD15" s="27" t="e">
        <f>#REF!*KeyInputs!#REF!</f>
        <v>#REF!</v>
      </c>
      <c r="AE15" s="25"/>
      <c r="AF15" s="25"/>
      <c r="AG15" s="25"/>
      <c r="AH15" s="25"/>
      <c r="AI15" s="25"/>
      <c r="AJ15" s="25"/>
      <c r="AK15" s="27" t="e">
        <f>#REF!*KeyInputs!#REF!</f>
        <v>#REF!</v>
      </c>
      <c r="AL15" s="27" t="e">
        <f>#REF!*KeyInputs!#REF!</f>
        <v>#REF!</v>
      </c>
      <c r="AM15" s="27" t="e">
        <f>#REF!*KeyInputs!#REF!</f>
        <v>#REF!</v>
      </c>
      <c r="AN15" s="27" t="e">
        <f>#REF!*KeyInputs!#REF!</f>
        <v>#REF!</v>
      </c>
      <c r="AO15" s="27" t="e">
        <f>#REF!*KeyInputs!#REF!</f>
        <v>#REF!</v>
      </c>
    </row>
    <row r="16" spans="1:41" x14ac:dyDescent="0.3">
      <c r="A16" s="30"/>
      <c r="B16" s="25" t="e">
        <f ca="1">L5</f>
        <v>#REF!</v>
      </c>
      <c r="C16" s="27"/>
      <c r="D16" s="27"/>
      <c r="E16" s="25"/>
      <c r="F16" s="25"/>
      <c r="G16" s="25"/>
      <c r="H16" s="25"/>
      <c r="I16" s="25"/>
      <c r="J16" s="25"/>
      <c r="K16" s="25"/>
      <c r="L16" s="27" t="e">
        <f>#REF!*KeyInputs!#REF!</f>
        <v>#REF!</v>
      </c>
      <c r="M16" s="27" t="e">
        <f>#REF!*KeyInputs!#REF!</f>
        <v>#REF!</v>
      </c>
      <c r="N16" s="27" t="e">
        <f>#REF!*KeyInputs!#REF!</f>
        <v>#REF!</v>
      </c>
      <c r="O16" s="27" t="e">
        <f>#REF!*KeyInputs!#REF!</f>
        <v>#REF!</v>
      </c>
      <c r="P16" s="27"/>
      <c r="Q16" s="27" t="e">
        <f>#REF!*KeyInputs!#REF!</f>
        <v>#REF!</v>
      </c>
      <c r="R16" s="27" t="e">
        <f>#REF!*KeyInputs!#REF!</f>
        <v>#REF!</v>
      </c>
      <c r="S16" s="25"/>
      <c r="T16" s="25"/>
      <c r="U16" s="25"/>
      <c r="V16" s="25"/>
      <c r="W16" s="25"/>
      <c r="X16" s="25"/>
      <c r="Y16" s="27" t="e">
        <f>#REF!*KeyInputs!#REF!</f>
        <v>#REF!</v>
      </c>
      <c r="Z16" s="27" t="e">
        <f>#REF!*KeyInputs!#REF!</f>
        <v>#REF!</v>
      </c>
      <c r="AA16" s="27" t="e">
        <f>#REF!*KeyInputs!#REF!</f>
        <v>#REF!</v>
      </c>
      <c r="AB16" s="27" t="e">
        <f>#REF!*KeyInputs!#REF!</f>
        <v>#REF!</v>
      </c>
      <c r="AC16" s="27"/>
      <c r="AD16" s="27" t="e">
        <f>#REF!*KeyInputs!#REF!</f>
        <v>#REF!</v>
      </c>
      <c r="AE16" s="27" t="e">
        <f>#REF!*KeyInputs!#REF!</f>
        <v>#REF!</v>
      </c>
      <c r="AF16" s="25"/>
      <c r="AG16" s="25"/>
      <c r="AH16" s="25"/>
      <c r="AI16" s="25"/>
      <c r="AJ16" s="25"/>
      <c r="AK16" s="25"/>
      <c r="AL16" s="27" t="e">
        <f>#REF!*KeyInputs!#REF!</f>
        <v>#REF!</v>
      </c>
      <c r="AM16" s="27" t="e">
        <f>#REF!*KeyInputs!#REF!</f>
        <v>#REF!</v>
      </c>
      <c r="AN16" s="27" t="e">
        <f>#REF!*KeyInputs!#REF!</f>
        <v>#REF!</v>
      </c>
      <c r="AO16" s="27" t="e">
        <f>#REF!*KeyInputs!#REF!</f>
        <v>#REF!</v>
      </c>
    </row>
    <row r="17" spans="1:41" x14ac:dyDescent="0.3">
      <c r="A17" s="25"/>
      <c r="B17" s="25" t="e">
        <f ca="1">M5</f>
        <v>#REF!</v>
      </c>
      <c r="C17" s="27"/>
      <c r="D17" s="27"/>
      <c r="E17" s="25"/>
      <c r="F17" s="25"/>
      <c r="G17" s="25"/>
      <c r="H17" s="25"/>
      <c r="I17" s="25"/>
      <c r="J17" s="25"/>
      <c r="K17" s="25"/>
      <c r="L17" s="25"/>
      <c r="M17" s="27" t="e">
        <f>#REF!*KeyInputs!#REF!</f>
        <v>#REF!</v>
      </c>
      <c r="N17" s="27" t="e">
        <f>#REF!*KeyInputs!#REF!</f>
        <v>#REF!</v>
      </c>
      <c r="O17" s="27" t="e">
        <f>#REF!*KeyInputs!#REF!</f>
        <v>#REF!</v>
      </c>
      <c r="P17" s="27"/>
      <c r="Q17" s="27" t="e">
        <f>#REF!*KeyInputs!#REF!</f>
        <v>#REF!</v>
      </c>
      <c r="R17" s="27" t="e">
        <f>#REF!*KeyInputs!#REF!</f>
        <v>#REF!</v>
      </c>
      <c r="S17" s="27" t="e">
        <f>#REF!*KeyInputs!#REF!</f>
        <v>#REF!</v>
      </c>
      <c r="T17" s="25"/>
      <c r="U17" s="25"/>
      <c r="V17" s="25"/>
      <c r="W17" s="25"/>
      <c r="X17" s="25"/>
      <c r="Y17" s="25"/>
      <c r="Z17" s="27" t="e">
        <f>#REF!*KeyInputs!#REF!</f>
        <v>#REF!</v>
      </c>
      <c r="AA17" s="27" t="e">
        <f>#REF!*KeyInputs!#REF!</f>
        <v>#REF!</v>
      </c>
      <c r="AB17" s="27" t="e">
        <f>#REF!*KeyInputs!#REF!</f>
        <v>#REF!</v>
      </c>
      <c r="AC17" s="27"/>
      <c r="AD17" s="27" t="e">
        <f>#REF!*KeyInputs!#REF!</f>
        <v>#REF!</v>
      </c>
      <c r="AE17" s="27" t="e">
        <f>#REF!*KeyInputs!#REF!</f>
        <v>#REF!</v>
      </c>
      <c r="AF17" s="27" t="e">
        <f>#REF!*KeyInputs!#REF!</f>
        <v>#REF!</v>
      </c>
      <c r="AG17" s="25"/>
      <c r="AH17" s="25"/>
      <c r="AI17" s="25"/>
      <c r="AJ17" s="25"/>
      <c r="AK17" s="25"/>
      <c r="AL17" s="25"/>
      <c r="AM17" s="27" t="e">
        <f>#REF!*KeyInputs!#REF!</f>
        <v>#REF!</v>
      </c>
      <c r="AN17" s="27" t="e">
        <f>#REF!*KeyInputs!#REF!</f>
        <v>#REF!</v>
      </c>
      <c r="AO17" s="27" t="e">
        <f>#REF!*KeyInputs!#REF!</f>
        <v>#REF!</v>
      </c>
    </row>
    <row r="18" spans="1:41" x14ac:dyDescent="0.3">
      <c r="A18" s="25"/>
      <c r="B18" s="25" t="e">
        <f ca="1">N5</f>
        <v>#REF!</v>
      </c>
      <c r="C18" s="27"/>
      <c r="D18" s="27"/>
      <c r="E18" s="25"/>
      <c r="F18" s="25"/>
      <c r="G18" s="25"/>
      <c r="H18" s="25"/>
      <c r="I18" s="25"/>
      <c r="J18" s="25"/>
      <c r="K18" s="25"/>
      <c r="L18" s="25"/>
      <c r="M18" s="25"/>
      <c r="N18" s="27" t="e">
        <f>#REF!*KeyInputs!#REF!</f>
        <v>#REF!</v>
      </c>
      <c r="O18" s="27" t="e">
        <f>#REF!*KeyInputs!#REF!</f>
        <v>#REF!</v>
      </c>
      <c r="P18" s="27"/>
      <c r="Q18" s="27" t="e">
        <f>#REF!*KeyInputs!#REF!</f>
        <v>#REF!</v>
      </c>
      <c r="R18" s="27" t="e">
        <f>#REF!*KeyInputs!#REF!</f>
        <v>#REF!</v>
      </c>
      <c r="S18" s="27" t="e">
        <f>#REF!*KeyInputs!#REF!</f>
        <v>#REF!</v>
      </c>
      <c r="T18" s="27" t="e">
        <f>#REF!*KeyInputs!#REF!</f>
        <v>#REF!</v>
      </c>
      <c r="U18" s="25"/>
      <c r="V18" s="25"/>
      <c r="W18" s="25"/>
      <c r="X18" s="25"/>
      <c r="Y18" s="25"/>
      <c r="Z18" s="25"/>
      <c r="AA18" s="27" t="e">
        <f>#REF!*KeyInputs!#REF!</f>
        <v>#REF!</v>
      </c>
      <c r="AB18" s="27" t="e">
        <f>#REF!*KeyInputs!#REF!</f>
        <v>#REF!</v>
      </c>
      <c r="AC18" s="27"/>
      <c r="AD18" s="27" t="e">
        <f>#REF!*KeyInputs!#REF!</f>
        <v>#REF!</v>
      </c>
      <c r="AE18" s="27" t="e">
        <f>#REF!*KeyInputs!#REF!</f>
        <v>#REF!</v>
      </c>
      <c r="AF18" s="27" t="e">
        <f>#REF!*KeyInputs!#REF!</f>
        <v>#REF!</v>
      </c>
      <c r="AG18" s="27" t="e">
        <f>#REF!*KeyInputs!#REF!</f>
        <v>#REF!</v>
      </c>
      <c r="AH18" s="25"/>
      <c r="AI18" s="25"/>
      <c r="AJ18" s="25"/>
      <c r="AK18" s="25"/>
      <c r="AL18" s="25"/>
      <c r="AM18" s="25"/>
      <c r="AN18" s="27" t="e">
        <f>#REF!*KeyInputs!#REF!</f>
        <v>#REF!</v>
      </c>
      <c r="AO18" s="27" t="e">
        <f>#REF!*KeyInputs!#REF!</f>
        <v>#REF!</v>
      </c>
    </row>
    <row r="19" spans="1:41" x14ac:dyDescent="0.3">
      <c r="A19" s="25"/>
      <c r="B19" s="25" t="e">
        <f ca="1">O5</f>
        <v>#REF!</v>
      </c>
      <c r="C19" s="27"/>
      <c r="D19" s="27"/>
      <c r="E19" s="25"/>
      <c r="F19" s="25"/>
      <c r="G19" s="25"/>
      <c r="H19" s="25"/>
      <c r="I19" s="25"/>
      <c r="J19" s="25"/>
      <c r="K19" s="25"/>
      <c r="L19" s="25"/>
      <c r="M19" s="25"/>
      <c r="N19" s="25"/>
      <c r="O19" s="27" t="e">
        <f>#REF!*KeyInputs!#REF!</f>
        <v>#REF!</v>
      </c>
      <c r="P19" s="27"/>
      <c r="Q19" s="27" t="e">
        <f>#REF!*KeyInputs!#REF!</f>
        <v>#REF!</v>
      </c>
      <c r="R19" s="27" t="e">
        <f>#REF!*KeyInputs!#REF!</f>
        <v>#REF!</v>
      </c>
      <c r="S19" s="27" t="e">
        <f>#REF!*KeyInputs!#REF!</f>
        <v>#REF!</v>
      </c>
      <c r="T19" s="27" t="e">
        <f>#REF!*KeyInputs!#REF!</f>
        <v>#REF!</v>
      </c>
      <c r="U19" s="27" t="e">
        <f>#REF!*KeyInputs!#REF!</f>
        <v>#REF!</v>
      </c>
      <c r="V19" s="25"/>
      <c r="W19" s="25"/>
      <c r="X19" s="25"/>
      <c r="Y19" s="25"/>
      <c r="Z19" s="25"/>
      <c r="AA19" s="25"/>
      <c r="AB19" s="27" t="e">
        <f>#REF!*KeyInputs!#REF!</f>
        <v>#REF!</v>
      </c>
      <c r="AC19" s="27"/>
      <c r="AD19" s="27" t="e">
        <f>#REF!*KeyInputs!#REF!</f>
        <v>#REF!</v>
      </c>
      <c r="AE19" s="27" t="e">
        <f>#REF!*KeyInputs!#REF!</f>
        <v>#REF!</v>
      </c>
      <c r="AF19" s="27" t="e">
        <f>#REF!*KeyInputs!#REF!</f>
        <v>#REF!</v>
      </c>
      <c r="AG19" s="27" t="e">
        <f>#REF!*KeyInputs!#REF!</f>
        <v>#REF!</v>
      </c>
      <c r="AH19" s="27" t="e">
        <f>#REF!*KeyInputs!#REF!</f>
        <v>#REF!</v>
      </c>
      <c r="AI19" s="25"/>
      <c r="AJ19" s="25"/>
      <c r="AK19" s="25"/>
      <c r="AL19" s="25"/>
      <c r="AM19" s="25"/>
      <c r="AN19" s="25"/>
      <c r="AO19" s="27" t="e">
        <f>#REF!*KeyInputs!#REF!</f>
        <v>#REF!</v>
      </c>
    </row>
    <row r="20" spans="1:41" x14ac:dyDescent="0.3">
      <c r="A20" s="25"/>
      <c r="B20" s="25"/>
      <c r="C20" s="25" t="e">
        <f>SUM(C7:C19)</f>
        <v>#REF!</v>
      </c>
      <c r="D20" s="25" t="e">
        <f t="shared" ref="D20:O20" si="0">SUM(D7:D19)</f>
        <v>#REF!</v>
      </c>
      <c r="E20" s="25" t="e">
        <f t="shared" si="0"/>
        <v>#REF!</v>
      </c>
      <c r="F20" s="25" t="e">
        <f t="shared" si="0"/>
        <v>#REF!</v>
      </c>
      <c r="G20" s="25" t="e">
        <f t="shared" si="0"/>
        <v>#REF!</v>
      </c>
      <c r="H20" s="25" t="e">
        <f t="shared" si="0"/>
        <v>#REF!</v>
      </c>
      <c r="I20" s="25" t="e">
        <f t="shared" si="0"/>
        <v>#REF!</v>
      </c>
      <c r="J20" s="25" t="e">
        <f t="shared" si="0"/>
        <v>#REF!</v>
      </c>
      <c r="K20" s="25" t="e">
        <f t="shared" si="0"/>
        <v>#REF!</v>
      </c>
      <c r="L20" s="25" t="e">
        <f t="shared" si="0"/>
        <v>#REF!</v>
      </c>
      <c r="M20" s="25" t="e">
        <f t="shared" si="0"/>
        <v>#REF!</v>
      </c>
      <c r="N20" s="25" t="e">
        <f t="shared" si="0"/>
        <v>#REF!</v>
      </c>
      <c r="O20" s="25" t="e">
        <f t="shared" si="0"/>
        <v>#REF!</v>
      </c>
      <c r="Q20" s="25" t="e">
        <f t="shared" ref="Q20:AB20" si="1">SUM(Q7:Q19)</f>
        <v>#REF!</v>
      </c>
      <c r="R20" s="25" t="e">
        <f t="shared" si="1"/>
        <v>#REF!</v>
      </c>
      <c r="S20" s="25" t="e">
        <f t="shared" si="1"/>
        <v>#REF!</v>
      </c>
      <c r="T20" s="25" t="e">
        <f t="shared" si="1"/>
        <v>#REF!</v>
      </c>
      <c r="U20" s="25" t="e">
        <f t="shared" si="1"/>
        <v>#REF!</v>
      </c>
      <c r="V20" s="25" t="e">
        <f t="shared" si="1"/>
        <v>#REF!</v>
      </c>
      <c r="W20" s="25" t="e">
        <f t="shared" si="1"/>
        <v>#REF!</v>
      </c>
      <c r="X20" s="25" t="e">
        <f t="shared" si="1"/>
        <v>#REF!</v>
      </c>
      <c r="Y20" s="25" t="e">
        <f t="shared" si="1"/>
        <v>#REF!</v>
      </c>
      <c r="Z20" s="25" t="e">
        <f t="shared" si="1"/>
        <v>#REF!</v>
      </c>
      <c r="AA20" s="25" t="e">
        <f t="shared" si="1"/>
        <v>#REF!</v>
      </c>
      <c r="AB20" s="25" t="e">
        <f t="shared" si="1"/>
        <v>#REF!</v>
      </c>
      <c r="AD20" s="25" t="e">
        <f t="shared" ref="AD20:AO20" si="2">SUM(AD7:AD19)</f>
        <v>#REF!</v>
      </c>
      <c r="AE20" s="25" t="e">
        <f t="shared" si="2"/>
        <v>#REF!</v>
      </c>
      <c r="AF20" s="25" t="e">
        <f t="shared" si="2"/>
        <v>#REF!</v>
      </c>
      <c r="AG20" s="25" t="e">
        <f t="shared" si="2"/>
        <v>#REF!</v>
      </c>
      <c r="AH20" s="25" t="e">
        <f t="shared" si="2"/>
        <v>#REF!</v>
      </c>
      <c r="AI20" s="25" t="e">
        <f t="shared" si="2"/>
        <v>#REF!</v>
      </c>
      <c r="AJ20" s="25" t="e">
        <f t="shared" si="2"/>
        <v>#REF!</v>
      </c>
      <c r="AK20" s="25" t="e">
        <f t="shared" si="2"/>
        <v>#REF!</v>
      </c>
      <c r="AL20" s="25" t="e">
        <f t="shared" si="2"/>
        <v>#REF!</v>
      </c>
      <c r="AM20" s="25" t="e">
        <f t="shared" si="2"/>
        <v>#REF!</v>
      </c>
      <c r="AN20" s="25" t="e">
        <f t="shared" si="2"/>
        <v>#REF!</v>
      </c>
      <c r="AO20" s="25" t="e">
        <f t="shared" si="2"/>
        <v>#REF!</v>
      </c>
    </row>
    <row r="21" spans="1:41" x14ac:dyDescent="0.3">
      <c r="A21" s="25"/>
      <c r="B21" s="25"/>
      <c r="C21" s="25"/>
      <c r="D21" s="25"/>
      <c r="E21" s="25"/>
      <c r="F21" s="25"/>
      <c r="G21" s="25"/>
      <c r="H21" s="25"/>
      <c r="I21" s="25"/>
      <c r="J21" s="25"/>
      <c r="K21" s="25"/>
      <c r="L21" s="25"/>
      <c r="M21" s="25"/>
      <c r="N21" s="25"/>
      <c r="O21" s="25"/>
    </row>
    <row r="23" spans="1:41" x14ac:dyDescent="0.3">
      <c r="C23" s="27"/>
      <c r="D23" s="27"/>
      <c r="E23" s="27"/>
      <c r="F23" s="27"/>
      <c r="G23" s="27"/>
      <c r="H23" s="27"/>
      <c r="I23" s="25"/>
      <c r="J23" s="25"/>
      <c r="K23" s="25"/>
      <c r="L23" s="25"/>
      <c r="M23" s="25"/>
      <c r="N23" s="25"/>
      <c r="O23" s="25"/>
    </row>
    <row r="24" spans="1:41" x14ac:dyDescent="0.3">
      <c r="C24" s="27"/>
      <c r="D24" s="27"/>
      <c r="E24" s="27"/>
      <c r="F24" s="27"/>
      <c r="G24" s="27"/>
      <c r="H24" s="27"/>
      <c r="I24" s="27"/>
      <c r="J24" s="25"/>
      <c r="K24" s="25"/>
      <c r="L24" s="25"/>
      <c r="M24" s="25"/>
      <c r="N24" s="25"/>
      <c r="O24" s="25"/>
    </row>
    <row r="25" spans="1:41" x14ac:dyDescent="0.3">
      <c r="C25" s="27"/>
      <c r="D25" s="27"/>
      <c r="E25" s="27"/>
      <c r="F25" s="27"/>
      <c r="G25" s="27"/>
      <c r="H25" s="27"/>
      <c r="I25" s="27"/>
      <c r="J25" s="27"/>
      <c r="K25" s="25"/>
      <c r="L25" s="25"/>
      <c r="M25" s="25"/>
      <c r="N25" s="25"/>
      <c r="O25" s="25"/>
    </row>
    <row r="26" spans="1:41" x14ac:dyDescent="0.3">
      <c r="C26" s="27"/>
      <c r="D26" s="27"/>
      <c r="E26" s="25"/>
      <c r="F26" s="27"/>
      <c r="G26" s="27"/>
      <c r="H26" s="27"/>
      <c r="I26" s="27"/>
      <c r="J26" s="27"/>
      <c r="K26" s="27"/>
      <c r="L26" s="25"/>
      <c r="M26" s="25"/>
      <c r="N26" s="25"/>
      <c r="O26" s="25"/>
    </row>
    <row r="27" spans="1:41" x14ac:dyDescent="0.3">
      <c r="C27" s="27"/>
      <c r="D27" s="27"/>
      <c r="E27" s="25"/>
      <c r="F27" s="25"/>
      <c r="G27" s="27"/>
      <c r="H27" s="27"/>
      <c r="I27" s="27"/>
      <c r="J27" s="27"/>
      <c r="K27" s="27"/>
      <c r="L27" s="27"/>
      <c r="M27" s="25"/>
      <c r="N27" s="25"/>
      <c r="O27" s="25"/>
    </row>
    <row r="28" spans="1:41" x14ac:dyDescent="0.3">
      <c r="C28" s="27"/>
      <c r="D28" s="27"/>
      <c r="E28" s="25"/>
      <c r="F28" s="25"/>
      <c r="G28" s="25"/>
      <c r="H28" s="27"/>
      <c r="I28" s="27"/>
      <c r="J28" s="27"/>
      <c r="K28" s="27"/>
      <c r="L28" s="27"/>
      <c r="M28" s="27"/>
      <c r="N28" s="25"/>
      <c r="O28" s="25"/>
    </row>
    <row r="29" spans="1:41" x14ac:dyDescent="0.3">
      <c r="C29" s="27"/>
      <c r="D29" s="27"/>
      <c r="E29" s="25"/>
      <c r="F29" s="25"/>
      <c r="G29" s="25"/>
      <c r="H29" s="25"/>
      <c r="I29" s="27"/>
      <c r="J29" s="27"/>
      <c r="K29" s="27"/>
      <c r="L29" s="27"/>
      <c r="M29" s="27"/>
      <c r="N29" s="27"/>
      <c r="O29" s="25"/>
    </row>
    <row r="30" spans="1:41" x14ac:dyDescent="0.3">
      <c r="C30" s="27"/>
      <c r="D30" s="27"/>
      <c r="E30" s="25"/>
      <c r="F30" s="25"/>
      <c r="G30" s="25"/>
      <c r="H30" s="25"/>
      <c r="I30" s="25"/>
      <c r="J30" s="27"/>
      <c r="K30" s="27"/>
      <c r="L30" s="27"/>
      <c r="M30" s="27"/>
      <c r="N30" s="27"/>
      <c r="O30" s="27"/>
    </row>
    <row r="31" spans="1:41" x14ac:dyDescent="0.3">
      <c r="C31" s="27"/>
      <c r="D31" s="27"/>
      <c r="E31" s="25"/>
      <c r="F31" s="25"/>
      <c r="G31" s="25"/>
      <c r="H31" s="25"/>
      <c r="I31" s="25"/>
      <c r="J31" s="25"/>
      <c r="K31" s="27"/>
      <c r="L31" s="27"/>
      <c r="M31" s="27"/>
      <c r="N31" s="27"/>
      <c r="O31" s="27"/>
      <c r="P31" s="27"/>
    </row>
    <row r="32" spans="1:41" x14ac:dyDescent="0.3">
      <c r="C32" s="27"/>
      <c r="D32" s="27"/>
      <c r="E32" s="25"/>
      <c r="F32" s="25"/>
      <c r="G32" s="25"/>
      <c r="H32" s="25"/>
      <c r="I32" s="25"/>
      <c r="J32" s="25"/>
      <c r="K32" s="25"/>
      <c r="L32" s="27"/>
      <c r="M32" s="27"/>
      <c r="N32" s="27"/>
      <c r="O32" s="27"/>
      <c r="P32" s="27"/>
      <c r="Q32" s="27"/>
    </row>
    <row r="33" spans="3:15" x14ac:dyDescent="0.3">
      <c r="C33" s="27"/>
      <c r="D33" s="27"/>
      <c r="E33" s="25"/>
      <c r="F33" s="25"/>
      <c r="G33" s="25"/>
      <c r="H33" s="25"/>
      <c r="I33" s="25"/>
      <c r="J33" s="25"/>
      <c r="K33" s="25"/>
      <c r="L33" s="25"/>
      <c r="M33" s="27"/>
      <c r="N33" s="27"/>
      <c r="O33" s="27"/>
    </row>
    <row r="34" spans="3:15" x14ac:dyDescent="0.3">
      <c r="C34" s="27"/>
      <c r="D34" s="27"/>
      <c r="E34" s="25"/>
      <c r="F34" s="25"/>
      <c r="G34" s="25"/>
      <c r="H34" s="25"/>
      <c r="I34" s="25"/>
      <c r="J34" s="25"/>
      <c r="K34" s="25"/>
      <c r="L34" s="25"/>
      <c r="M34" s="25"/>
      <c r="N34" s="27"/>
      <c r="O34" s="27"/>
    </row>
    <row r="35" spans="3:15" x14ac:dyDescent="0.3">
      <c r="C35" s="27"/>
      <c r="D35" s="27"/>
      <c r="E35" s="25"/>
      <c r="F35" s="25"/>
      <c r="G35" s="25"/>
      <c r="H35" s="25"/>
      <c r="I35" s="25"/>
      <c r="J35" s="25"/>
      <c r="K35" s="25"/>
      <c r="L35" s="25"/>
      <c r="M35" s="25"/>
      <c r="N35" s="25"/>
      <c r="O35" s="27"/>
    </row>
  </sheetData>
  <mergeCells count="3">
    <mergeCell ref="AD4:AO4"/>
    <mergeCell ref="D4:O4"/>
    <mergeCell ref="Q4:AB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dimension ref="A1:AO35"/>
  <sheetViews>
    <sheetView workbookViewId="0">
      <pane xSplit="3" ySplit="5" topLeftCell="D6" activePane="bottomRight" state="frozen"/>
      <selection pane="topRight" activeCell="D1" sqref="D1"/>
      <selection pane="bottomLeft" activeCell="A6" sqref="A6"/>
      <selection pane="bottomRight" activeCell="D6" sqref="D6"/>
    </sheetView>
  </sheetViews>
  <sheetFormatPr defaultColWidth="8.88671875" defaultRowHeight="14.4" x14ac:dyDescent="0.3"/>
  <cols>
    <col min="1" max="1" width="2.44140625" customWidth="1"/>
    <col min="2" max="2" width="22" customWidth="1"/>
    <col min="3" max="3" width="9.44140625" customWidth="1"/>
  </cols>
  <sheetData>
    <row r="1" spans="1:41" ht="18" x14ac:dyDescent="0.35">
      <c r="A1" s="4">
        <f>KeyInputs!F14</f>
        <v>0</v>
      </c>
    </row>
    <row r="2" spans="1:41" ht="18" x14ac:dyDescent="0.35">
      <c r="A2" s="4" t="str">
        <f>KeyInputs!F22</f>
        <v>Insert Product Group 1</v>
      </c>
      <c r="D2" t="s">
        <v>80</v>
      </c>
    </row>
    <row r="4" spans="1:41" x14ac:dyDescent="0.3">
      <c r="D4" s="336">
        <f>KeyInputs!$F$17</f>
        <v>42005</v>
      </c>
      <c r="E4" s="337"/>
      <c r="F4" s="337"/>
      <c r="G4" s="337"/>
      <c r="H4" s="337"/>
      <c r="I4" s="337"/>
      <c r="J4" s="337"/>
      <c r="K4" s="337"/>
      <c r="L4" s="337"/>
      <c r="M4" s="337"/>
      <c r="N4" s="337"/>
      <c r="O4" s="338"/>
      <c r="Q4" s="336">
        <f>KeyInputs!$F$17+1</f>
        <v>42006</v>
      </c>
      <c r="R4" s="337"/>
      <c r="S4" s="337"/>
      <c r="T4" s="337"/>
      <c r="U4" s="337"/>
      <c r="V4" s="337"/>
      <c r="W4" s="337"/>
      <c r="X4" s="337"/>
      <c r="Y4" s="337"/>
      <c r="Z4" s="337"/>
      <c r="AA4" s="337"/>
      <c r="AB4" s="338"/>
      <c r="AD4" s="336">
        <f>KeyInputs!$F$17+2</f>
        <v>42007</v>
      </c>
      <c r="AE4" s="337"/>
      <c r="AF4" s="337"/>
      <c r="AG4" s="337"/>
      <c r="AH4" s="337"/>
      <c r="AI4" s="337"/>
      <c r="AJ4" s="337"/>
      <c r="AK4" s="337"/>
      <c r="AL4" s="337"/>
      <c r="AM4" s="337"/>
      <c r="AN4" s="337"/>
      <c r="AO4" s="338"/>
    </row>
    <row r="5" spans="1:41" x14ac:dyDescent="0.3">
      <c r="C5" s="28" t="s">
        <v>70</v>
      </c>
      <c r="D5" s="31" t="e">
        <f>KeyInputs!#REF!</f>
        <v>#REF!</v>
      </c>
      <c r="E5" s="32" t="e">
        <f ca="1">OFFSET(Worksheet!$A$14,,(HLOOKUP(KeyInputs!#REF!,Worksheet!$A$14:$L$15,2,FALSE)))</f>
        <v>#REF!</v>
      </c>
      <c r="F5" s="32" t="e">
        <f ca="1">OFFSET(Worksheet!$A$14,,(HLOOKUP(KeyInputs!#REF!,Worksheet!$A$14:$L$15,2,FALSE))+Worksheet!$A$15)</f>
        <v>#REF!</v>
      </c>
      <c r="G5" s="32" t="e">
        <f ca="1">OFFSET(Worksheet!$A$14,,(HLOOKUP(KeyInputs!#REF!,Worksheet!$A$14:$L$15,2,FALSE))+Worksheet!$B$15)</f>
        <v>#REF!</v>
      </c>
      <c r="H5" s="32" t="e">
        <f ca="1">OFFSET(Worksheet!$A$14,,(HLOOKUP(KeyInputs!#REF!,Worksheet!$A$14:$L$15,2,FALSE))+Worksheet!$C$15)</f>
        <v>#REF!</v>
      </c>
      <c r="I5" s="32" t="e">
        <f ca="1">OFFSET(Worksheet!$A$14,,(HLOOKUP(KeyInputs!#REF!,Worksheet!$A$14:$L$15,2,FALSE))+Worksheet!$D$15)</f>
        <v>#REF!</v>
      </c>
      <c r="J5" s="32" t="e">
        <f ca="1">OFFSET(Worksheet!$A$14,,(HLOOKUP(KeyInputs!#REF!,Worksheet!$A$14:$L$15,2,FALSE))+Worksheet!$E$15)</f>
        <v>#REF!</v>
      </c>
      <c r="K5" s="32" t="e">
        <f ca="1">OFFSET(Worksheet!$A$14,,(HLOOKUP(KeyInputs!#REF!,Worksheet!$A$14:$L$15,2,FALSE))+Worksheet!$F$15)</f>
        <v>#REF!</v>
      </c>
      <c r="L5" s="32" t="e">
        <f ca="1">OFFSET(Worksheet!$A$14,,(HLOOKUP(KeyInputs!#REF!,Worksheet!$A$14:$L$15,2,FALSE))+Worksheet!$G$15)</f>
        <v>#REF!</v>
      </c>
      <c r="M5" s="32" t="e">
        <f ca="1">OFFSET(Worksheet!$A$14,,(HLOOKUP(KeyInputs!#REF!,Worksheet!$A$14:$L$15,2,FALSE))+Worksheet!$H$15)</f>
        <v>#REF!</v>
      </c>
      <c r="N5" s="32" t="e">
        <f ca="1">OFFSET(Worksheet!$A$14,,(HLOOKUP(KeyInputs!#REF!,Worksheet!$A$14:$L$15,2,FALSE))+Worksheet!$I$15)</f>
        <v>#REF!</v>
      </c>
      <c r="O5" s="32" t="e">
        <f ca="1">OFFSET(Worksheet!$A$14,,(HLOOKUP(KeyInputs!#REF!,Worksheet!$A$14:$L$15,2,FALSE))+Worksheet!$J$15)</f>
        <v>#REF!</v>
      </c>
      <c r="Q5" s="31" t="e">
        <f>KeyInputs!#REF!</f>
        <v>#REF!</v>
      </c>
      <c r="R5" s="32" t="e">
        <f ca="1">OFFSET(Worksheet!$A$14,,(HLOOKUP(KeyInputs!#REF!,Worksheet!$A$14:$L$15,2,FALSE)))</f>
        <v>#REF!</v>
      </c>
      <c r="S5" s="32" t="e">
        <f ca="1">OFFSET(Worksheet!$A$14,,(HLOOKUP(KeyInputs!#REF!,Worksheet!$A$14:$L$15,2,FALSE))+Worksheet!$A$15)</f>
        <v>#REF!</v>
      </c>
      <c r="T5" s="32" t="e">
        <f ca="1">OFFSET(Worksheet!$A$14,,(HLOOKUP(KeyInputs!#REF!,Worksheet!$A$14:$L$15,2,FALSE))+Worksheet!$B$15)</f>
        <v>#REF!</v>
      </c>
      <c r="U5" s="32" t="e">
        <f ca="1">OFFSET(Worksheet!$A$14,,(HLOOKUP(KeyInputs!#REF!,Worksheet!$A$14:$L$15,2,FALSE))+Worksheet!$C$15)</f>
        <v>#REF!</v>
      </c>
      <c r="V5" s="32" t="e">
        <f ca="1">OFFSET(Worksheet!$A$14,,(HLOOKUP(KeyInputs!#REF!,Worksheet!$A$14:$L$15,2,FALSE))+Worksheet!$D$15)</f>
        <v>#REF!</v>
      </c>
      <c r="W5" s="32" t="e">
        <f ca="1">OFFSET(Worksheet!$A$14,,(HLOOKUP(KeyInputs!#REF!,Worksheet!$A$14:$L$15,2,FALSE))+Worksheet!$E$15)</f>
        <v>#REF!</v>
      </c>
      <c r="X5" s="32" t="e">
        <f ca="1">OFFSET(Worksheet!$A$14,,(HLOOKUP(KeyInputs!#REF!,Worksheet!$A$14:$L$15,2,FALSE))+Worksheet!$F$15)</f>
        <v>#REF!</v>
      </c>
      <c r="Y5" s="32" t="e">
        <f ca="1">OFFSET(Worksheet!$A$14,,(HLOOKUP(KeyInputs!#REF!,Worksheet!$A$14:$L$15,2,FALSE))+Worksheet!$G$15)</f>
        <v>#REF!</v>
      </c>
      <c r="Z5" s="32" t="e">
        <f ca="1">OFFSET(Worksheet!$A$14,,(HLOOKUP(KeyInputs!#REF!,Worksheet!$A$14:$L$15,2,FALSE))+Worksheet!$H$15)</f>
        <v>#REF!</v>
      </c>
      <c r="AA5" s="32" t="e">
        <f ca="1">OFFSET(Worksheet!$A$14,,(HLOOKUP(KeyInputs!#REF!,Worksheet!$A$14:$L$15,2,FALSE))+Worksheet!$I$15)</f>
        <v>#REF!</v>
      </c>
      <c r="AB5" s="32" t="e">
        <f ca="1">OFFSET(Worksheet!$A$14,,(HLOOKUP(KeyInputs!#REF!,Worksheet!$A$14:$L$15,2,FALSE))+Worksheet!$J$15)</f>
        <v>#REF!</v>
      </c>
      <c r="AD5" s="31" t="e">
        <f>KeyInputs!#REF!</f>
        <v>#REF!</v>
      </c>
      <c r="AE5" s="32" t="e">
        <f ca="1">OFFSET(Worksheet!$A$14,,(HLOOKUP(KeyInputs!#REF!,Worksheet!$A$14:$L$15,2,FALSE)))</f>
        <v>#REF!</v>
      </c>
      <c r="AF5" s="32" t="e">
        <f ca="1">OFFSET(Worksheet!$A$14,,(HLOOKUP(KeyInputs!#REF!,Worksheet!$A$14:$L$15,2,FALSE))+Worksheet!$A$15)</f>
        <v>#REF!</v>
      </c>
      <c r="AG5" s="32" t="e">
        <f ca="1">OFFSET(Worksheet!$A$14,,(HLOOKUP(KeyInputs!#REF!,Worksheet!$A$14:$L$15,2,FALSE))+Worksheet!$B$15)</f>
        <v>#REF!</v>
      </c>
      <c r="AH5" s="32" t="e">
        <f ca="1">OFFSET(Worksheet!$A$14,,(HLOOKUP(KeyInputs!#REF!,Worksheet!$A$14:$L$15,2,FALSE))+Worksheet!$C$15)</f>
        <v>#REF!</v>
      </c>
      <c r="AI5" s="32" t="e">
        <f ca="1">OFFSET(Worksheet!$A$14,,(HLOOKUP(KeyInputs!#REF!,Worksheet!$A$14:$L$15,2,FALSE))+Worksheet!$D$15)</f>
        <v>#REF!</v>
      </c>
      <c r="AJ5" s="32" t="e">
        <f ca="1">OFFSET(Worksheet!$A$14,,(HLOOKUP(KeyInputs!#REF!,Worksheet!$A$14:$L$15,2,FALSE))+Worksheet!$E$15)</f>
        <v>#REF!</v>
      </c>
      <c r="AK5" s="32" t="e">
        <f ca="1">OFFSET(Worksheet!$A$14,,(HLOOKUP(KeyInputs!#REF!,Worksheet!$A$14:$L$15,2,FALSE))+Worksheet!$F$15)</f>
        <v>#REF!</v>
      </c>
      <c r="AL5" s="32" t="e">
        <f ca="1">OFFSET(Worksheet!$A$14,,(HLOOKUP(KeyInputs!#REF!,Worksheet!$A$14:$L$15,2,FALSE))+Worksheet!$G$15)</f>
        <v>#REF!</v>
      </c>
      <c r="AM5" s="32" t="e">
        <f ca="1">OFFSET(Worksheet!$A$14,,(HLOOKUP(KeyInputs!#REF!,Worksheet!$A$14:$L$15,2,FALSE))+Worksheet!$H$15)</f>
        <v>#REF!</v>
      </c>
      <c r="AN5" s="32" t="e">
        <f ca="1">OFFSET(Worksheet!$A$14,,(HLOOKUP(KeyInputs!#REF!,Worksheet!$A$14:$L$15,2,FALSE))+Worksheet!$I$15)</f>
        <v>#REF!</v>
      </c>
      <c r="AO5" s="32" t="e">
        <f ca="1">OFFSET(Worksheet!$A$14,,(HLOOKUP(KeyInputs!#REF!,Worksheet!$A$14:$L$15,2,FALSE))+Worksheet!$J$15)</f>
        <v>#REF!</v>
      </c>
    </row>
    <row r="6" spans="1:41" x14ac:dyDescent="0.3">
      <c r="A6" s="30"/>
      <c r="B6" s="25"/>
      <c r="C6" s="25"/>
      <c r="D6" s="25"/>
      <c r="E6" s="25"/>
      <c r="F6" s="25"/>
      <c r="G6" s="25"/>
      <c r="H6" s="25"/>
      <c r="I6" s="25"/>
      <c r="J6" s="25"/>
      <c r="K6" s="25"/>
      <c r="L6" s="25"/>
      <c r="M6" s="25"/>
      <c r="N6" s="25"/>
      <c r="O6" s="25"/>
      <c r="Q6" s="25"/>
      <c r="R6" s="25"/>
      <c r="S6" s="25"/>
      <c r="T6" s="25"/>
      <c r="U6" s="25"/>
      <c r="V6" s="25"/>
      <c r="W6" s="25"/>
      <c r="X6" s="25"/>
      <c r="Y6" s="25"/>
      <c r="Z6" s="25"/>
      <c r="AA6" s="25"/>
      <c r="AB6" s="25"/>
      <c r="AD6" s="25"/>
      <c r="AE6" s="25"/>
      <c r="AF6" s="25"/>
      <c r="AG6" s="25"/>
      <c r="AH6" s="25"/>
      <c r="AI6" s="25"/>
      <c r="AJ6" s="25"/>
      <c r="AK6" s="25"/>
      <c r="AL6" s="25"/>
      <c r="AM6" s="25"/>
      <c r="AN6" s="25"/>
      <c r="AO6" s="25"/>
    </row>
    <row r="7" spans="1:41" x14ac:dyDescent="0.3">
      <c r="A7" s="25"/>
      <c r="B7" s="25" t="s">
        <v>81</v>
      </c>
      <c r="C7" s="27" t="e">
        <f>#REF!*KeyInputs!#REF!</f>
        <v>#REF!</v>
      </c>
      <c r="D7" s="27" t="e">
        <f>#REF!*KeyInputs!#REF!</f>
        <v>#REF!</v>
      </c>
      <c r="E7" s="27" t="e">
        <f>#REF!*KeyInputs!#REF!</f>
        <v>#REF!</v>
      </c>
      <c r="F7" s="27" t="e">
        <f>#REF!*KeyInputs!#REF!</f>
        <v>#REF!</v>
      </c>
      <c r="G7" s="27" t="e">
        <f>#REF!*KeyInputs!#REF!</f>
        <v>#REF!</v>
      </c>
      <c r="H7" s="27" t="e">
        <f>#REF!*KeyInputs!#REF!</f>
        <v>#REF!</v>
      </c>
      <c r="I7" s="25"/>
      <c r="J7" s="25"/>
      <c r="K7" s="25"/>
      <c r="L7" s="25"/>
      <c r="M7" s="25"/>
      <c r="N7" s="25"/>
      <c r="O7" s="25"/>
      <c r="Q7" s="27"/>
      <c r="R7" s="27"/>
      <c r="S7" s="27"/>
      <c r="T7" s="27"/>
      <c r="U7" s="27"/>
      <c r="V7" s="25"/>
      <c r="W7" s="25"/>
      <c r="X7" s="25"/>
      <c r="Y7" s="25"/>
      <c r="Z7" s="25"/>
      <c r="AA7" s="25"/>
      <c r="AB7" s="25"/>
      <c r="AD7" s="27"/>
      <c r="AE7" s="27"/>
      <c r="AF7" s="27"/>
      <c r="AG7" s="27"/>
      <c r="AH7" s="27"/>
      <c r="AI7" s="25"/>
      <c r="AJ7" s="25"/>
      <c r="AK7" s="25"/>
      <c r="AL7" s="25"/>
      <c r="AM7" s="25"/>
      <c r="AN7" s="25"/>
      <c r="AO7" s="25"/>
    </row>
    <row r="8" spans="1:41" x14ac:dyDescent="0.3">
      <c r="A8" s="25"/>
      <c r="B8" s="39" t="e">
        <f>D5</f>
        <v>#REF!</v>
      </c>
      <c r="C8" s="27"/>
      <c r="D8" s="27" t="e">
        <f>#REF!*KeyInputs!#REF!</f>
        <v>#REF!</v>
      </c>
      <c r="E8" s="27" t="e">
        <f>#REF!*KeyInputs!#REF!</f>
        <v>#REF!</v>
      </c>
      <c r="F8" s="27" t="e">
        <f>#REF!*KeyInputs!#REF!</f>
        <v>#REF!</v>
      </c>
      <c r="G8" s="27" t="e">
        <f>#REF!*KeyInputs!#REF!</f>
        <v>#REF!</v>
      </c>
      <c r="H8" s="27" t="e">
        <f>#REF!*KeyInputs!#REF!</f>
        <v>#REF!</v>
      </c>
      <c r="I8" s="27" t="e">
        <f>#REF!*KeyInputs!#REF!</f>
        <v>#REF!</v>
      </c>
      <c r="J8" s="25"/>
      <c r="K8" s="25"/>
      <c r="L8" s="25"/>
      <c r="M8" s="25"/>
      <c r="N8" s="25"/>
      <c r="O8" s="25"/>
      <c r="Q8" s="27" t="e">
        <f>#REF!*KeyInputs!#REF!</f>
        <v>#REF!</v>
      </c>
      <c r="R8" s="27" t="e">
        <f>#REF!*KeyInputs!#REF!</f>
        <v>#REF!</v>
      </c>
      <c r="S8" s="27" t="e">
        <f>#REF!*KeyInputs!#REF!</f>
        <v>#REF!</v>
      </c>
      <c r="T8" s="27" t="e">
        <f>#REF!*KeyInputs!#REF!</f>
        <v>#REF!</v>
      </c>
      <c r="U8" s="27" t="e">
        <f>#REF!*KeyInputs!#REF!</f>
        <v>#REF!</v>
      </c>
      <c r="V8" s="27" t="e">
        <f>#REF!*KeyInputs!#REF!</f>
        <v>#REF!</v>
      </c>
      <c r="W8" s="25"/>
      <c r="X8" s="25"/>
      <c r="Y8" s="25"/>
      <c r="Z8" s="25"/>
      <c r="AA8" s="25"/>
      <c r="AB8" s="25"/>
      <c r="AD8" s="27" t="e">
        <f>#REF!*KeyInputs!#REF!</f>
        <v>#REF!</v>
      </c>
      <c r="AE8" s="27" t="e">
        <f>#REF!*KeyInputs!#REF!</f>
        <v>#REF!</v>
      </c>
      <c r="AF8" s="27" t="e">
        <f>#REF!*KeyInputs!#REF!</f>
        <v>#REF!</v>
      </c>
      <c r="AG8" s="27" t="e">
        <f>#REF!*KeyInputs!#REF!</f>
        <v>#REF!</v>
      </c>
      <c r="AH8" s="27" t="e">
        <f>#REF!*KeyInputs!#REF!</f>
        <v>#REF!</v>
      </c>
      <c r="AI8" s="27" t="e">
        <f>#REF!*KeyInputs!#REF!</f>
        <v>#REF!</v>
      </c>
      <c r="AJ8" s="25"/>
      <c r="AK8" s="25"/>
      <c r="AL8" s="25"/>
      <c r="AM8" s="25"/>
      <c r="AN8" s="25"/>
      <c r="AO8" s="25"/>
    </row>
    <row r="9" spans="1:41" x14ac:dyDescent="0.3">
      <c r="A9" s="25"/>
      <c r="B9" s="25" t="e">
        <f ca="1">E5</f>
        <v>#REF!</v>
      </c>
      <c r="C9" s="27"/>
      <c r="D9" s="27"/>
      <c r="E9" s="27" t="e">
        <f>#REF!*KeyInputs!#REF!</f>
        <v>#REF!</v>
      </c>
      <c r="F9" s="27" t="e">
        <f>#REF!*KeyInputs!#REF!</f>
        <v>#REF!</v>
      </c>
      <c r="G9" s="27" t="e">
        <f>#REF!*KeyInputs!#REF!</f>
        <v>#REF!</v>
      </c>
      <c r="H9" s="27" t="e">
        <f>#REF!*KeyInputs!#REF!</f>
        <v>#REF!</v>
      </c>
      <c r="I9" s="27" t="e">
        <f>#REF!*KeyInputs!#REF!</f>
        <v>#REF!</v>
      </c>
      <c r="J9" s="27" t="e">
        <f>#REF!*KeyInputs!#REF!</f>
        <v>#REF!</v>
      </c>
      <c r="K9" s="25"/>
      <c r="L9" s="25"/>
      <c r="M9" s="25"/>
      <c r="N9" s="25"/>
      <c r="O9" s="25"/>
      <c r="Q9" s="27"/>
      <c r="R9" s="27" t="e">
        <f>#REF!*KeyInputs!#REF!</f>
        <v>#REF!</v>
      </c>
      <c r="S9" s="27" t="e">
        <f>#REF!*KeyInputs!#REF!</f>
        <v>#REF!</v>
      </c>
      <c r="T9" s="27" t="e">
        <f>#REF!*KeyInputs!#REF!</f>
        <v>#REF!</v>
      </c>
      <c r="U9" s="27" t="e">
        <f>#REF!*KeyInputs!#REF!</f>
        <v>#REF!</v>
      </c>
      <c r="V9" s="27" t="e">
        <f>#REF!*KeyInputs!#REF!</f>
        <v>#REF!</v>
      </c>
      <c r="W9" s="27" t="e">
        <f>#REF!*KeyInputs!#REF!</f>
        <v>#REF!</v>
      </c>
      <c r="X9" s="25"/>
      <c r="Y9" s="25"/>
      <c r="Z9" s="25"/>
      <c r="AA9" s="25"/>
      <c r="AB9" s="25"/>
      <c r="AD9" s="27"/>
      <c r="AE9" s="27" t="e">
        <f>#REF!*KeyInputs!#REF!</f>
        <v>#REF!</v>
      </c>
      <c r="AF9" s="27" t="e">
        <f>#REF!*KeyInputs!#REF!</f>
        <v>#REF!</v>
      </c>
      <c r="AG9" s="27" t="e">
        <f>#REF!*KeyInputs!#REF!</f>
        <v>#REF!</v>
      </c>
      <c r="AH9" s="27" t="e">
        <f>#REF!*KeyInputs!#REF!</f>
        <v>#REF!</v>
      </c>
      <c r="AI9" s="27" t="e">
        <f>#REF!*KeyInputs!#REF!</f>
        <v>#REF!</v>
      </c>
      <c r="AJ9" s="27" t="e">
        <f>#REF!*KeyInputs!#REF!</f>
        <v>#REF!</v>
      </c>
      <c r="AK9" s="25"/>
      <c r="AL9" s="25"/>
      <c r="AM9" s="25"/>
      <c r="AN9" s="25"/>
      <c r="AO9" s="25"/>
    </row>
    <row r="10" spans="1:41" x14ac:dyDescent="0.3">
      <c r="A10" s="25"/>
      <c r="B10" s="25" t="e">
        <f ca="1">F5</f>
        <v>#REF!</v>
      </c>
      <c r="C10" s="27"/>
      <c r="D10" s="27"/>
      <c r="E10" s="25"/>
      <c r="F10" s="27" t="e">
        <f>#REF!*KeyInputs!#REF!</f>
        <v>#REF!</v>
      </c>
      <c r="G10" s="27" t="e">
        <f>#REF!*KeyInputs!#REF!</f>
        <v>#REF!</v>
      </c>
      <c r="H10" s="27" t="e">
        <f>#REF!*KeyInputs!#REF!</f>
        <v>#REF!</v>
      </c>
      <c r="I10" s="27" t="e">
        <f>#REF!*KeyInputs!#REF!</f>
        <v>#REF!</v>
      </c>
      <c r="J10" s="27" t="e">
        <f>#REF!*KeyInputs!#REF!</f>
        <v>#REF!</v>
      </c>
      <c r="K10" s="27" t="e">
        <f>#REF!*KeyInputs!#REF!</f>
        <v>#REF!</v>
      </c>
      <c r="L10" s="25"/>
      <c r="M10" s="25"/>
      <c r="N10" s="25"/>
      <c r="O10" s="25"/>
      <c r="Q10" s="27"/>
      <c r="R10" s="25"/>
      <c r="S10" s="27" t="e">
        <f>#REF!*KeyInputs!#REF!</f>
        <v>#REF!</v>
      </c>
      <c r="T10" s="27" t="e">
        <f>#REF!*KeyInputs!#REF!</f>
        <v>#REF!</v>
      </c>
      <c r="U10" s="27" t="e">
        <f>#REF!*KeyInputs!#REF!</f>
        <v>#REF!</v>
      </c>
      <c r="V10" s="27" t="e">
        <f>#REF!*KeyInputs!#REF!</f>
        <v>#REF!</v>
      </c>
      <c r="W10" s="27" t="e">
        <f>#REF!*KeyInputs!#REF!</f>
        <v>#REF!</v>
      </c>
      <c r="X10" s="27" t="e">
        <f>#REF!*KeyInputs!#REF!</f>
        <v>#REF!</v>
      </c>
      <c r="Y10" s="25"/>
      <c r="Z10" s="25"/>
      <c r="AA10" s="25"/>
      <c r="AB10" s="25"/>
      <c r="AD10" s="27"/>
      <c r="AE10" s="25"/>
      <c r="AF10" s="27" t="e">
        <f>#REF!*KeyInputs!#REF!</f>
        <v>#REF!</v>
      </c>
      <c r="AG10" s="27" t="e">
        <f>#REF!*KeyInputs!#REF!</f>
        <v>#REF!</v>
      </c>
      <c r="AH10" s="27" t="e">
        <f>#REF!*KeyInputs!#REF!</f>
        <v>#REF!</v>
      </c>
      <c r="AI10" s="27" t="e">
        <f>#REF!*KeyInputs!#REF!</f>
        <v>#REF!</v>
      </c>
      <c r="AJ10" s="27" t="e">
        <f>#REF!*KeyInputs!#REF!</f>
        <v>#REF!</v>
      </c>
      <c r="AK10" s="27" t="e">
        <f>#REF!*KeyInputs!#REF!</f>
        <v>#REF!</v>
      </c>
      <c r="AL10" s="25"/>
      <c r="AM10" s="25"/>
      <c r="AN10" s="25"/>
      <c r="AO10" s="25"/>
    </row>
    <row r="11" spans="1:41" x14ac:dyDescent="0.3">
      <c r="A11" s="30"/>
      <c r="B11" s="25" t="e">
        <f ca="1">G5</f>
        <v>#REF!</v>
      </c>
      <c r="C11" s="27"/>
      <c r="D11" s="27"/>
      <c r="E11" s="25"/>
      <c r="F11" s="25"/>
      <c r="G11" s="27" t="e">
        <f>#REF!*KeyInputs!#REF!</f>
        <v>#REF!</v>
      </c>
      <c r="H11" s="27" t="e">
        <f>#REF!*KeyInputs!#REF!</f>
        <v>#REF!</v>
      </c>
      <c r="I11" s="27" t="e">
        <f>#REF!*KeyInputs!#REF!</f>
        <v>#REF!</v>
      </c>
      <c r="J11" s="27" t="e">
        <f>#REF!*KeyInputs!#REF!</f>
        <v>#REF!</v>
      </c>
      <c r="K11" s="27" t="e">
        <f>#REF!*KeyInputs!#REF!</f>
        <v>#REF!</v>
      </c>
      <c r="L11" s="27" t="e">
        <f>#REF!*KeyInputs!#REF!</f>
        <v>#REF!</v>
      </c>
      <c r="M11" s="25"/>
      <c r="N11" s="25"/>
      <c r="O11" s="25"/>
      <c r="Q11" s="27"/>
      <c r="R11" s="25"/>
      <c r="S11" s="25"/>
      <c r="T11" s="27" t="e">
        <f>#REF!*KeyInputs!#REF!</f>
        <v>#REF!</v>
      </c>
      <c r="U11" s="27" t="e">
        <f>#REF!*KeyInputs!#REF!</f>
        <v>#REF!</v>
      </c>
      <c r="V11" s="27" t="e">
        <f>#REF!*KeyInputs!#REF!</f>
        <v>#REF!</v>
      </c>
      <c r="W11" s="27" t="e">
        <f>#REF!*KeyInputs!#REF!</f>
        <v>#REF!</v>
      </c>
      <c r="X11" s="27" t="e">
        <f>#REF!*KeyInputs!#REF!</f>
        <v>#REF!</v>
      </c>
      <c r="Y11" s="27" t="e">
        <f>#REF!*KeyInputs!#REF!</f>
        <v>#REF!</v>
      </c>
      <c r="Z11" s="25"/>
      <c r="AA11" s="25"/>
      <c r="AB11" s="25"/>
      <c r="AD11" s="27"/>
      <c r="AE11" s="25"/>
      <c r="AF11" s="25"/>
      <c r="AG11" s="27" t="e">
        <f>#REF!*KeyInputs!#REF!</f>
        <v>#REF!</v>
      </c>
      <c r="AH11" s="27" t="e">
        <f>#REF!*KeyInputs!#REF!</f>
        <v>#REF!</v>
      </c>
      <c r="AI11" s="27" t="e">
        <f>#REF!*KeyInputs!#REF!</f>
        <v>#REF!</v>
      </c>
      <c r="AJ11" s="27" t="e">
        <f>#REF!*KeyInputs!#REF!</f>
        <v>#REF!</v>
      </c>
      <c r="AK11" s="27" t="e">
        <f>#REF!*KeyInputs!#REF!</f>
        <v>#REF!</v>
      </c>
      <c r="AL11" s="27" t="e">
        <f>#REF!*KeyInputs!#REF!</f>
        <v>#REF!</v>
      </c>
      <c r="AM11" s="25"/>
      <c r="AN11" s="25"/>
      <c r="AO11" s="25"/>
    </row>
    <row r="12" spans="1:41" x14ac:dyDescent="0.3">
      <c r="A12" s="25"/>
      <c r="B12" s="25" t="e">
        <f ca="1">H5</f>
        <v>#REF!</v>
      </c>
      <c r="C12" s="27"/>
      <c r="D12" s="27"/>
      <c r="E12" s="25"/>
      <c r="F12" s="25"/>
      <c r="G12" s="25"/>
      <c r="H12" s="27" t="e">
        <f>#REF!*KeyInputs!#REF!</f>
        <v>#REF!</v>
      </c>
      <c r="I12" s="27" t="e">
        <f>#REF!*KeyInputs!#REF!</f>
        <v>#REF!</v>
      </c>
      <c r="J12" s="27" t="e">
        <f>#REF!*KeyInputs!#REF!</f>
        <v>#REF!</v>
      </c>
      <c r="K12" s="27" t="e">
        <f>#REF!*KeyInputs!#REF!</f>
        <v>#REF!</v>
      </c>
      <c r="L12" s="27" t="e">
        <f>#REF!*KeyInputs!#REF!</f>
        <v>#REF!</v>
      </c>
      <c r="M12" s="27" t="e">
        <f>#REF!*KeyInputs!#REF!</f>
        <v>#REF!</v>
      </c>
      <c r="N12" s="25"/>
      <c r="O12" s="25"/>
      <c r="Q12" s="27"/>
      <c r="R12" s="25"/>
      <c r="S12" s="25"/>
      <c r="T12" s="25"/>
      <c r="U12" s="27" t="e">
        <f>#REF!*KeyInputs!#REF!</f>
        <v>#REF!</v>
      </c>
      <c r="V12" s="27" t="e">
        <f>#REF!*KeyInputs!#REF!</f>
        <v>#REF!</v>
      </c>
      <c r="W12" s="27" t="e">
        <f>#REF!*KeyInputs!#REF!</f>
        <v>#REF!</v>
      </c>
      <c r="X12" s="27" t="e">
        <f>#REF!*KeyInputs!#REF!</f>
        <v>#REF!</v>
      </c>
      <c r="Y12" s="27" t="e">
        <f>#REF!*KeyInputs!#REF!</f>
        <v>#REF!</v>
      </c>
      <c r="Z12" s="27" t="e">
        <f>#REF!*KeyInputs!#REF!</f>
        <v>#REF!</v>
      </c>
      <c r="AA12" s="25"/>
      <c r="AB12" s="25"/>
      <c r="AD12" s="27"/>
      <c r="AE12" s="25"/>
      <c r="AF12" s="25"/>
      <c r="AG12" s="25"/>
      <c r="AH12" s="27" t="e">
        <f>#REF!*KeyInputs!#REF!</f>
        <v>#REF!</v>
      </c>
      <c r="AI12" s="27" t="e">
        <f>#REF!*KeyInputs!#REF!</f>
        <v>#REF!</v>
      </c>
      <c r="AJ12" s="27" t="e">
        <f>#REF!*KeyInputs!#REF!</f>
        <v>#REF!</v>
      </c>
      <c r="AK12" s="27" t="e">
        <f>#REF!*KeyInputs!#REF!</f>
        <v>#REF!</v>
      </c>
      <c r="AL12" s="27" t="e">
        <f>#REF!*KeyInputs!#REF!</f>
        <v>#REF!</v>
      </c>
      <c r="AM12" s="27" t="e">
        <f>#REF!*KeyInputs!#REF!</f>
        <v>#REF!</v>
      </c>
      <c r="AN12" s="25"/>
      <c r="AO12" s="25"/>
    </row>
    <row r="13" spans="1:41" x14ac:dyDescent="0.3">
      <c r="A13" s="25"/>
      <c r="B13" s="25" t="e">
        <f ca="1">I5</f>
        <v>#REF!</v>
      </c>
      <c r="C13" s="27"/>
      <c r="D13" s="27"/>
      <c r="E13" s="25"/>
      <c r="F13" s="25"/>
      <c r="G13" s="25"/>
      <c r="H13" s="25"/>
      <c r="I13" s="27" t="e">
        <f>#REF!*KeyInputs!#REF!</f>
        <v>#REF!</v>
      </c>
      <c r="J13" s="27" t="e">
        <f>#REF!*KeyInputs!#REF!</f>
        <v>#REF!</v>
      </c>
      <c r="K13" s="27" t="e">
        <f>#REF!*KeyInputs!#REF!</f>
        <v>#REF!</v>
      </c>
      <c r="L13" s="27" t="e">
        <f>#REF!*KeyInputs!#REF!</f>
        <v>#REF!</v>
      </c>
      <c r="M13" s="27" t="e">
        <f>#REF!*KeyInputs!#REF!</f>
        <v>#REF!</v>
      </c>
      <c r="N13" s="27" t="e">
        <f>#REF!*KeyInputs!#REF!</f>
        <v>#REF!</v>
      </c>
      <c r="O13" s="25"/>
      <c r="Q13" s="27"/>
      <c r="R13" s="25"/>
      <c r="S13" s="25"/>
      <c r="T13" s="25"/>
      <c r="U13" s="25"/>
      <c r="V13" s="27" t="e">
        <f>#REF!*KeyInputs!#REF!</f>
        <v>#REF!</v>
      </c>
      <c r="W13" s="27" t="e">
        <f>#REF!*KeyInputs!#REF!</f>
        <v>#REF!</v>
      </c>
      <c r="X13" s="27" t="e">
        <f>#REF!*KeyInputs!#REF!</f>
        <v>#REF!</v>
      </c>
      <c r="Y13" s="27" t="e">
        <f>#REF!*KeyInputs!#REF!</f>
        <v>#REF!</v>
      </c>
      <c r="Z13" s="27" t="e">
        <f>#REF!*KeyInputs!#REF!</f>
        <v>#REF!</v>
      </c>
      <c r="AA13" s="27" t="e">
        <f>#REF!*KeyInputs!#REF!</f>
        <v>#REF!</v>
      </c>
      <c r="AB13" s="25"/>
      <c r="AD13" s="27"/>
      <c r="AE13" s="25"/>
      <c r="AF13" s="25"/>
      <c r="AG13" s="25"/>
      <c r="AH13" s="25"/>
      <c r="AI13" s="27" t="e">
        <f>#REF!*KeyInputs!#REF!</f>
        <v>#REF!</v>
      </c>
      <c r="AJ13" s="27" t="e">
        <f>#REF!*KeyInputs!#REF!</f>
        <v>#REF!</v>
      </c>
      <c r="AK13" s="27" t="e">
        <f>#REF!*KeyInputs!#REF!</f>
        <v>#REF!</v>
      </c>
      <c r="AL13" s="27" t="e">
        <f>#REF!*KeyInputs!#REF!</f>
        <v>#REF!</v>
      </c>
      <c r="AM13" s="27" t="e">
        <f>#REF!*KeyInputs!#REF!</f>
        <v>#REF!</v>
      </c>
      <c r="AN13" s="27" t="e">
        <f>#REF!*KeyInputs!#REF!</f>
        <v>#REF!</v>
      </c>
      <c r="AO13" s="25"/>
    </row>
    <row r="14" spans="1:41" x14ac:dyDescent="0.3">
      <c r="A14" s="25"/>
      <c r="B14" s="25" t="e">
        <f ca="1">J5</f>
        <v>#REF!</v>
      </c>
      <c r="C14" s="27"/>
      <c r="D14" s="27"/>
      <c r="E14" s="25"/>
      <c r="F14" s="25"/>
      <c r="G14" s="25"/>
      <c r="H14" s="25"/>
      <c r="I14" s="25"/>
      <c r="J14" s="27" t="e">
        <f>#REF!*KeyInputs!#REF!</f>
        <v>#REF!</v>
      </c>
      <c r="K14" s="27" t="e">
        <f>#REF!*KeyInputs!#REF!</f>
        <v>#REF!</v>
      </c>
      <c r="L14" s="27" t="e">
        <f>#REF!*KeyInputs!#REF!</f>
        <v>#REF!</v>
      </c>
      <c r="M14" s="27" t="e">
        <f>#REF!*KeyInputs!#REF!</f>
        <v>#REF!</v>
      </c>
      <c r="N14" s="27" t="e">
        <f>#REF!*KeyInputs!#REF!</f>
        <v>#REF!</v>
      </c>
      <c r="O14" s="27" t="e">
        <f>#REF!*KeyInputs!#REF!</f>
        <v>#REF!</v>
      </c>
      <c r="Q14" s="27"/>
      <c r="R14" s="25"/>
      <c r="S14" s="25"/>
      <c r="T14" s="25"/>
      <c r="U14" s="25"/>
      <c r="V14" s="25"/>
      <c r="W14" s="27" t="e">
        <f>#REF!*KeyInputs!#REF!</f>
        <v>#REF!</v>
      </c>
      <c r="X14" s="27" t="e">
        <f>#REF!*KeyInputs!#REF!</f>
        <v>#REF!</v>
      </c>
      <c r="Y14" s="27" t="e">
        <f>#REF!*KeyInputs!#REF!</f>
        <v>#REF!</v>
      </c>
      <c r="Z14" s="27" t="e">
        <f>#REF!*KeyInputs!#REF!</f>
        <v>#REF!</v>
      </c>
      <c r="AA14" s="27" t="e">
        <f>#REF!*KeyInputs!#REF!</f>
        <v>#REF!</v>
      </c>
      <c r="AB14" s="27" t="e">
        <f>#REF!*KeyInputs!#REF!</f>
        <v>#REF!</v>
      </c>
      <c r="AD14" s="27"/>
      <c r="AE14" s="25"/>
      <c r="AF14" s="25"/>
      <c r="AG14" s="25"/>
      <c r="AH14" s="25"/>
      <c r="AI14" s="25"/>
      <c r="AJ14" s="27" t="e">
        <f>#REF!*KeyInputs!#REF!</f>
        <v>#REF!</v>
      </c>
      <c r="AK14" s="27" t="e">
        <f>#REF!*KeyInputs!#REF!</f>
        <v>#REF!</v>
      </c>
      <c r="AL14" s="27" t="e">
        <f>#REF!*KeyInputs!#REF!</f>
        <v>#REF!</v>
      </c>
      <c r="AM14" s="27" t="e">
        <f>#REF!*KeyInputs!#REF!</f>
        <v>#REF!</v>
      </c>
      <c r="AN14" s="27" t="e">
        <f>#REF!*KeyInputs!#REF!</f>
        <v>#REF!</v>
      </c>
      <c r="AO14" s="27" t="e">
        <f>#REF!*KeyInputs!#REF!</f>
        <v>#REF!</v>
      </c>
    </row>
    <row r="15" spans="1:41" x14ac:dyDescent="0.3">
      <c r="A15" s="25"/>
      <c r="B15" s="25" t="e">
        <f ca="1">K5</f>
        <v>#REF!</v>
      </c>
      <c r="C15" s="27"/>
      <c r="D15" s="27"/>
      <c r="E15" s="25"/>
      <c r="F15" s="25"/>
      <c r="G15" s="25"/>
      <c r="H15" s="25"/>
      <c r="I15" s="25"/>
      <c r="J15" s="25"/>
      <c r="K15" s="27" t="e">
        <f>#REF!*KeyInputs!#REF!</f>
        <v>#REF!</v>
      </c>
      <c r="L15" s="27" t="e">
        <f>#REF!*KeyInputs!#REF!</f>
        <v>#REF!</v>
      </c>
      <c r="M15" s="27" t="e">
        <f>#REF!*KeyInputs!#REF!</f>
        <v>#REF!</v>
      </c>
      <c r="N15" s="27" t="e">
        <f>#REF!*KeyInputs!#REF!</f>
        <v>#REF!</v>
      </c>
      <c r="O15" s="27" t="e">
        <f>#REF!*KeyInputs!#REF!</f>
        <v>#REF!</v>
      </c>
      <c r="P15" s="27"/>
      <c r="Q15" s="27" t="e">
        <f>#REF!*KeyInputs!#REF!</f>
        <v>#REF!</v>
      </c>
      <c r="R15" s="25"/>
      <c r="S15" s="25"/>
      <c r="T15" s="25"/>
      <c r="U15" s="25"/>
      <c r="V15" s="25"/>
      <c r="W15" s="25"/>
      <c r="X15" s="27" t="e">
        <f>#REF!*KeyInputs!#REF!</f>
        <v>#REF!</v>
      </c>
      <c r="Y15" s="27" t="e">
        <f>#REF!*KeyInputs!#REF!</f>
        <v>#REF!</v>
      </c>
      <c r="Z15" s="27" t="e">
        <f>#REF!*KeyInputs!#REF!</f>
        <v>#REF!</v>
      </c>
      <c r="AA15" s="27" t="e">
        <f>#REF!*KeyInputs!#REF!</f>
        <v>#REF!</v>
      </c>
      <c r="AB15" s="27" t="e">
        <f>#REF!*KeyInputs!#REF!</f>
        <v>#REF!</v>
      </c>
      <c r="AC15" s="27"/>
      <c r="AD15" s="27" t="e">
        <f>#REF!*KeyInputs!#REF!</f>
        <v>#REF!</v>
      </c>
      <c r="AE15" s="25"/>
      <c r="AF15" s="25"/>
      <c r="AG15" s="25"/>
      <c r="AH15" s="25"/>
      <c r="AI15" s="25"/>
      <c r="AJ15" s="25"/>
      <c r="AK15" s="27" t="e">
        <f>#REF!*KeyInputs!#REF!</f>
        <v>#REF!</v>
      </c>
      <c r="AL15" s="27" t="e">
        <f>#REF!*KeyInputs!#REF!</f>
        <v>#REF!</v>
      </c>
      <c r="AM15" s="27" t="e">
        <f>#REF!*KeyInputs!#REF!</f>
        <v>#REF!</v>
      </c>
      <c r="AN15" s="27" t="e">
        <f>#REF!*KeyInputs!#REF!</f>
        <v>#REF!</v>
      </c>
      <c r="AO15" s="27" t="e">
        <f>#REF!*KeyInputs!#REF!</f>
        <v>#REF!</v>
      </c>
    </row>
    <row r="16" spans="1:41" x14ac:dyDescent="0.3">
      <c r="A16" s="30"/>
      <c r="B16" s="25" t="e">
        <f ca="1">L5</f>
        <v>#REF!</v>
      </c>
      <c r="C16" s="27"/>
      <c r="D16" s="27"/>
      <c r="E16" s="25"/>
      <c r="F16" s="25"/>
      <c r="G16" s="25"/>
      <c r="H16" s="25"/>
      <c r="I16" s="25"/>
      <c r="J16" s="25"/>
      <c r="K16" s="25"/>
      <c r="L16" s="27" t="e">
        <f>#REF!*KeyInputs!#REF!</f>
        <v>#REF!</v>
      </c>
      <c r="M16" s="27" t="e">
        <f>#REF!*KeyInputs!#REF!</f>
        <v>#REF!</v>
      </c>
      <c r="N16" s="27" t="e">
        <f>#REF!*KeyInputs!#REF!</f>
        <v>#REF!</v>
      </c>
      <c r="O16" s="27" t="e">
        <f>#REF!*KeyInputs!#REF!</f>
        <v>#REF!</v>
      </c>
      <c r="P16" s="27"/>
      <c r="Q16" s="27" t="e">
        <f>#REF!*KeyInputs!#REF!</f>
        <v>#REF!</v>
      </c>
      <c r="R16" s="27" t="e">
        <f>#REF!*KeyInputs!#REF!</f>
        <v>#REF!</v>
      </c>
      <c r="S16" s="25"/>
      <c r="T16" s="25"/>
      <c r="U16" s="25"/>
      <c r="V16" s="25"/>
      <c r="W16" s="25"/>
      <c r="X16" s="25"/>
      <c r="Y16" s="27" t="e">
        <f>#REF!*KeyInputs!#REF!</f>
        <v>#REF!</v>
      </c>
      <c r="Z16" s="27" t="e">
        <f>#REF!*KeyInputs!#REF!</f>
        <v>#REF!</v>
      </c>
      <c r="AA16" s="27" t="e">
        <f>#REF!*KeyInputs!#REF!</f>
        <v>#REF!</v>
      </c>
      <c r="AB16" s="27" t="e">
        <f>#REF!*KeyInputs!#REF!</f>
        <v>#REF!</v>
      </c>
      <c r="AC16" s="27"/>
      <c r="AD16" s="27" t="e">
        <f>#REF!*KeyInputs!#REF!</f>
        <v>#REF!</v>
      </c>
      <c r="AE16" s="27" t="e">
        <f>#REF!*KeyInputs!#REF!</f>
        <v>#REF!</v>
      </c>
      <c r="AF16" s="25"/>
      <c r="AG16" s="25"/>
      <c r="AH16" s="25"/>
      <c r="AI16" s="25"/>
      <c r="AJ16" s="25"/>
      <c r="AK16" s="25"/>
      <c r="AL16" s="27" t="e">
        <f>#REF!*KeyInputs!#REF!</f>
        <v>#REF!</v>
      </c>
      <c r="AM16" s="27" t="e">
        <f>#REF!*KeyInputs!#REF!</f>
        <v>#REF!</v>
      </c>
      <c r="AN16" s="27" t="e">
        <f>#REF!*KeyInputs!#REF!</f>
        <v>#REF!</v>
      </c>
      <c r="AO16" s="27" t="e">
        <f>#REF!*KeyInputs!#REF!</f>
        <v>#REF!</v>
      </c>
    </row>
    <row r="17" spans="1:41" x14ac:dyDescent="0.3">
      <c r="A17" s="25"/>
      <c r="B17" s="25" t="e">
        <f ca="1">M5</f>
        <v>#REF!</v>
      </c>
      <c r="C17" s="27"/>
      <c r="D17" s="27"/>
      <c r="E17" s="25"/>
      <c r="F17" s="25"/>
      <c r="G17" s="25"/>
      <c r="H17" s="25"/>
      <c r="I17" s="25"/>
      <c r="J17" s="25"/>
      <c r="K17" s="25"/>
      <c r="L17" s="25"/>
      <c r="M17" s="27" t="e">
        <f>#REF!*KeyInputs!#REF!</f>
        <v>#REF!</v>
      </c>
      <c r="N17" s="27" t="e">
        <f>#REF!*KeyInputs!#REF!</f>
        <v>#REF!</v>
      </c>
      <c r="O17" s="27" t="e">
        <f>#REF!*KeyInputs!#REF!</f>
        <v>#REF!</v>
      </c>
      <c r="P17" s="27"/>
      <c r="Q17" s="27" t="e">
        <f>#REF!*KeyInputs!#REF!</f>
        <v>#REF!</v>
      </c>
      <c r="R17" s="27" t="e">
        <f>#REF!*KeyInputs!#REF!</f>
        <v>#REF!</v>
      </c>
      <c r="S17" s="27" t="e">
        <f>#REF!*KeyInputs!#REF!</f>
        <v>#REF!</v>
      </c>
      <c r="T17" s="25"/>
      <c r="U17" s="25"/>
      <c r="V17" s="25"/>
      <c r="W17" s="25"/>
      <c r="X17" s="25"/>
      <c r="Y17" s="25"/>
      <c r="Z17" s="27" t="e">
        <f>#REF!*KeyInputs!#REF!</f>
        <v>#REF!</v>
      </c>
      <c r="AA17" s="27" t="e">
        <f>#REF!*KeyInputs!#REF!</f>
        <v>#REF!</v>
      </c>
      <c r="AB17" s="27" t="e">
        <f>#REF!*KeyInputs!#REF!</f>
        <v>#REF!</v>
      </c>
      <c r="AC17" s="27"/>
      <c r="AD17" s="27" t="e">
        <f>#REF!*KeyInputs!#REF!</f>
        <v>#REF!</v>
      </c>
      <c r="AE17" s="27" t="e">
        <f>#REF!*KeyInputs!#REF!</f>
        <v>#REF!</v>
      </c>
      <c r="AF17" s="27" t="e">
        <f>#REF!*KeyInputs!#REF!</f>
        <v>#REF!</v>
      </c>
      <c r="AG17" s="25"/>
      <c r="AH17" s="25"/>
      <c r="AI17" s="25"/>
      <c r="AJ17" s="25"/>
      <c r="AK17" s="25"/>
      <c r="AL17" s="25"/>
      <c r="AM17" s="27" t="e">
        <f>#REF!*KeyInputs!#REF!</f>
        <v>#REF!</v>
      </c>
      <c r="AN17" s="27" t="e">
        <f>#REF!*KeyInputs!#REF!</f>
        <v>#REF!</v>
      </c>
      <c r="AO17" s="27" t="e">
        <f>#REF!*KeyInputs!#REF!</f>
        <v>#REF!</v>
      </c>
    </row>
    <row r="18" spans="1:41" x14ac:dyDescent="0.3">
      <c r="A18" s="25"/>
      <c r="B18" s="25" t="e">
        <f ca="1">N5</f>
        <v>#REF!</v>
      </c>
      <c r="C18" s="27"/>
      <c r="D18" s="27"/>
      <c r="E18" s="25"/>
      <c r="F18" s="25"/>
      <c r="G18" s="25"/>
      <c r="H18" s="25"/>
      <c r="I18" s="25"/>
      <c r="J18" s="25"/>
      <c r="K18" s="25"/>
      <c r="L18" s="25"/>
      <c r="M18" s="25"/>
      <c r="N18" s="27" t="e">
        <f>#REF!*KeyInputs!#REF!</f>
        <v>#REF!</v>
      </c>
      <c r="O18" s="27" t="e">
        <f>#REF!*KeyInputs!#REF!</f>
        <v>#REF!</v>
      </c>
      <c r="P18" s="27"/>
      <c r="Q18" s="27" t="e">
        <f>#REF!*KeyInputs!#REF!</f>
        <v>#REF!</v>
      </c>
      <c r="R18" s="27" t="e">
        <f>#REF!*KeyInputs!#REF!</f>
        <v>#REF!</v>
      </c>
      <c r="S18" s="27" t="e">
        <f>#REF!*KeyInputs!#REF!</f>
        <v>#REF!</v>
      </c>
      <c r="T18" s="27" t="e">
        <f>#REF!*KeyInputs!#REF!</f>
        <v>#REF!</v>
      </c>
      <c r="U18" s="25"/>
      <c r="V18" s="25"/>
      <c r="W18" s="25"/>
      <c r="X18" s="25"/>
      <c r="Y18" s="25"/>
      <c r="Z18" s="25"/>
      <c r="AA18" s="27" t="e">
        <f>#REF!*KeyInputs!#REF!</f>
        <v>#REF!</v>
      </c>
      <c r="AB18" s="27" t="e">
        <f>#REF!*KeyInputs!#REF!</f>
        <v>#REF!</v>
      </c>
      <c r="AC18" s="27"/>
      <c r="AD18" s="27" t="e">
        <f>#REF!*KeyInputs!#REF!</f>
        <v>#REF!</v>
      </c>
      <c r="AE18" s="27" t="e">
        <f>#REF!*KeyInputs!#REF!</f>
        <v>#REF!</v>
      </c>
      <c r="AF18" s="27" t="e">
        <f>#REF!*KeyInputs!#REF!</f>
        <v>#REF!</v>
      </c>
      <c r="AG18" s="27" t="e">
        <f>#REF!*KeyInputs!#REF!</f>
        <v>#REF!</v>
      </c>
      <c r="AH18" s="25"/>
      <c r="AI18" s="25"/>
      <c r="AJ18" s="25"/>
      <c r="AK18" s="25"/>
      <c r="AL18" s="25"/>
      <c r="AM18" s="25"/>
      <c r="AN18" s="27" t="e">
        <f>#REF!*KeyInputs!#REF!</f>
        <v>#REF!</v>
      </c>
      <c r="AO18" s="27" t="e">
        <f>#REF!*KeyInputs!#REF!</f>
        <v>#REF!</v>
      </c>
    </row>
    <row r="19" spans="1:41" x14ac:dyDescent="0.3">
      <c r="A19" s="25"/>
      <c r="B19" s="25" t="e">
        <f ca="1">O5</f>
        <v>#REF!</v>
      </c>
      <c r="C19" s="27"/>
      <c r="D19" s="27"/>
      <c r="E19" s="25"/>
      <c r="F19" s="25"/>
      <c r="G19" s="25"/>
      <c r="H19" s="25"/>
      <c r="I19" s="25"/>
      <c r="J19" s="25"/>
      <c r="K19" s="25"/>
      <c r="L19" s="25"/>
      <c r="M19" s="25"/>
      <c r="N19" s="25"/>
      <c r="O19" s="27" t="e">
        <f>#REF!*KeyInputs!#REF!</f>
        <v>#REF!</v>
      </c>
      <c r="P19" s="27"/>
      <c r="Q19" s="27" t="e">
        <f>#REF!*KeyInputs!#REF!</f>
        <v>#REF!</v>
      </c>
      <c r="R19" s="27" t="e">
        <f>#REF!*KeyInputs!#REF!</f>
        <v>#REF!</v>
      </c>
      <c r="S19" s="27" t="e">
        <f>#REF!*KeyInputs!#REF!</f>
        <v>#REF!</v>
      </c>
      <c r="T19" s="27" t="e">
        <f>#REF!*KeyInputs!#REF!</f>
        <v>#REF!</v>
      </c>
      <c r="U19" s="27" t="e">
        <f>#REF!*KeyInputs!#REF!</f>
        <v>#REF!</v>
      </c>
      <c r="V19" s="25"/>
      <c r="W19" s="25"/>
      <c r="X19" s="25"/>
      <c r="Y19" s="25"/>
      <c r="Z19" s="25"/>
      <c r="AA19" s="25"/>
      <c r="AB19" s="27" t="e">
        <f>#REF!*KeyInputs!#REF!</f>
        <v>#REF!</v>
      </c>
      <c r="AC19" s="27"/>
      <c r="AD19" s="27" t="e">
        <f>#REF!*KeyInputs!#REF!</f>
        <v>#REF!</v>
      </c>
      <c r="AE19" s="27" t="e">
        <f>#REF!*KeyInputs!#REF!</f>
        <v>#REF!</v>
      </c>
      <c r="AF19" s="27" t="e">
        <f>#REF!*KeyInputs!#REF!</f>
        <v>#REF!</v>
      </c>
      <c r="AG19" s="27" t="e">
        <f>#REF!*KeyInputs!#REF!</f>
        <v>#REF!</v>
      </c>
      <c r="AH19" s="27" t="e">
        <f>#REF!*KeyInputs!#REF!</f>
        <v>#REF!</v>
      </c>
      <c r="AI19" s="25"/>
      <c r="AJ19" s="25"/>
      <c r="AK19" s="25"/>
      <c r="AL19" s="25"/>
      <c r="AM19" s="25"/>
      <c r="AN19" s="25"/>
      <c r="AO19" s="27" t="e">
        <f>#REF!*KeyInputs!#REF!</f>
        <v>#REF!</v>
      </c>
    </row>
    <row r="20" spans="1:41" x14ac:dyDescent="0.3">
      <c r="A20" s="25"/>
      <c r="B20" s="25"/>
      <c r="C20" s="25" t="e">
        <f>SUM(C7:C19)</f>
        <v>#REF!</v>
      </c>
      <c r="D20" s="25" t="e">
        <f t="shared" ref="D20:O20" si="0">SUM(D7:D19)</f>
        <v>#REF!</v>
      </c>
      <c r="E20" s="25" t="e">
        <f t="shared" si="0"/>
        <v>#REF!</v>
      </c>
      <c r="F20" s="25" t="e">
        <f t="shared" si="0"/>
        <v>#REF!</v>
      </c>
      <c r="G20" s="25" t="e">
        <f t="shared" si="0"/>
        <v>#REF!</v>
      </c>
      <c r="H20" s="25" t="e">
        <f t="shared" si="0"/>
        <v>#REF!</v>
      </c>
      <c r="I20" s="25" t="e">
        <f t="shared" si="0"/>
        <v>#REF!</v>
      </c>
      <c r="J20" s="25" t="e">
        <f t="shared" si="0"/>
        <v>#REF!</v>
      </c>
      <c r="K20" s="25" t="e">
        <f t="shared" si="0"/>
        <v>#REF!</v>
      </c>
      <c r="L20" s="25" t="e">
        <f t="shared" si="0"/>
        <v>#REF!</v>
      </c>
      <c r="M20" s="25" t="e">
        <f t="shared" si="0"/>
        <v>#REF!</v>
      </c>
      <c r="N20" s="25" t="e">
        <f t="shared" si="0"/>
        <v>#REF!</v>
      </c>
      <c r="O20" s="25" t="e">
        <f t="shared" si="0"/>
        <v>#REF!</v>
      </c>
      <c r="Q20" s="25" t="e">
        <f t="shared" ref="Q20:AB20" si="1">SUM(Q7:Q19)</f>
        <v>#REF!</v>
      </c>
      <c r="R20" s="25" t="e">
        <f t="shared" si="1"/>
        <v>#REF!</v>
      </c>
      <c r="S20" s="25" t="e">
        <f t="shared" si="1"/>
        <v>#REF!</v>
      </c>
      <c r="T20" s="25" t="e">
        <f t="shared" si="1"/>
        <v>#REF!</v>
      </c>
      <c r="U20" s="25" t="e">
        <f t="shared" si="1"/>
        <v>#REF!</v>
      </c>
      <c r="V20" s="25" t="e">
        <f t="shared" si="1"/>
        <v>#REF!</v>
      </c>
      <c r="W20" s="25" t="e">
        <f t="shared" si="1"/>
        <v>#REF!</v>
      </c>
      <c r="X20" s="25" t="e">
        <f t="shared" si="1"/>
        <v>#REF!</v>
      </c>
      <c r="Y20" s="25" t="e">
        <f t="shared" si="1"/>
        <v>#REF!</v>
      </c>
      <c r="Z20" s="25" t="e">
        <f t="shared" si="1"/>
        <v>#REF!</v>
      </c>
      <c r="AA20" s="25" t="e">
        <f t="shared" si="1"/>
        <v>#REF!</v>
      </c>
      <c r="AB20" s="25" t="e">
        <f t="shared" si="1"/>
        <v>#REF!</v>
      </c>
      <c r="AD20" s="25" t="e">
        <f t="shared" ref="AD20:AO20" si="2">SUM(AD7:AD19)</f>
        <v>#REF!</v>
      </c>
      <c r="AE20" s="25" t="e">
        <f t="shared" si="2"/>
        <v>#REF!</v>
      </c>
      <c r="AF20" s="25" t="e">
        <f t="shared" si="2"/>
        <v>#REF!</v>
      </c>
      <c r="AG20" s="25" t="e">
        <f t="shared" si="2"/>
        <v>#REF!</v>
      </c>
      <c r="AH20" s="25" t="e">
        <f t="shared" si="2"/>
        <v>#REF!</v>
      </c>
      <c r="AI20" s="25" t="e">
        <f t="shared" si="2"/>
        <v>#REF!</v>
      </c>
      <c r="AJ20" s="25" t="e">
        <f t="shared" si="2"/>
        <v>#REF!</v>
      </c>
      <c r="AK20" s="25" t="e">
        <f t="shared" si="2"/>
        <v>#REF!</v>
      </c>
      <c r="AL20" s="25" t="e">
        <f t="shared" si="2"/>
        <v>#REF!</v>
      </c>
      <c r="AM20" s="25" t="e">
        <f t="shared" si="2"/>
        <v>#REF!</v>
      </c>
      <c r="AN20" s="25" t="e">
        <f t="shared" si="2"/>
        <v>#REF!</v>
      </c>
      <c r="AO20" s="25" t="e">
        <f t="shared" si="2"/>
        <v>#REF!</v>
      </c>
    </row>
    <row r="21" spans="1:41" x14ac:dyDescent="0.3">
      <c r="A21" s="25"/>
      <c r="B21" s="25"/>
      <c r="C21" s="25"/>
      <c r="D21" s="25"/>
      <c r="E21" s="25"/>
      <c r="F21" s="25"/>
      <c r="G21" s="25"/>
      <c r="H21" s="25"/>
      <c r="I21" s="25"/>
      <c r="J21" s="25"/>
      <c r="K21" s="25"/>
      <c r="L21" s="25"/>
      <c r="M21" s="25"/>
      <c r="N21" s="25"/>
      <c r="O21" s="25"/>
    </row>
    <row r="23" spans="1:41" x14ac:dyDescent="0.3">
      <c r="C23" s="27"/>
      <c r="D23" s="27"/>
      <c r="E23" s="27"/>
      <c r="F23" s="27"/>
      <c r="G23" s="27"/>
      <c r="H23" s="27"/>
      <c r="I23" s="25"/>
      <c r="J23" s="25"/>
      <c r="K23" s="25"/>
      <c r="L23" s="25"/>
      <c r="M23" s="25"/>
      <c r="N23" s="25"/>
      <c r="O23" s="25"/>
    </row>
    <row r="24" spans="1:41" x14ac:dyDescent="0.3">
      <c r="C24" s="27"/>
      <c r="D24" s="27"/>
      <c r="E24" s="27"/>
      <c r="F24" s="27"/>
      <c r="G24" s="27"/>
      <c r="H24" s="27"/>
      <c r="I24" s="27"/>
      <c r="J24" s="25"/>
      <c r="K24" s="25"/>
      <c r="L24" s="25"/>
      <c r="M24" s="25"/>
      <c r="N24" s="25"/>
      <c r="O24" s="25"/>
    </row>
    <row r="25" spans="1:41" x14ac:dyDescent="0.3">
      <c r="C25" s="27"/>
      <c r="D25" s="27"/>
      <c r="E25" s="27"/>
      <c r="F25" s="27"/>
      <c r="G25" s="27"/>
      <c r="H25" s="27"/>
      <c r="I25" s="27"/>
      <c r="J25" s="27"/>
      <c r="K25" s="25"/>
      <c r="L25" s="25"/>
      <c r="M25" s="25"/>
      <c r="N25" s="25"/>
      <c r="O25" s="25"/>
    </row>
    <row r="26" spans="1:41" x14ac:dyDescent="0.3">
      <c r="C26" s="27"/>
      <c r="D26" s="27"/>
      <c r="E26" s="25"/>
      <c r="F26" s="27"/>
      <c r="G26" s="27"/>
      <c r="H26" s="27"/>
      <c r="I26" s="27"/>
      <c r="J26" s="27"/>
      <c r="K26" s="27"/>
      <c r="L26" s="25"/>
      <c r="M26" s="25"/>
      <c r="N26" s="25"/>
      <c r="O26" s="25"/>
    </row>
    <row r="27" spans="1:41" x14ac:dyDescent="0.3">
      <c r="C27" s="27"/>
      <c r="D27" s="27"/>
      <c r="E27" s="25"/>
      <c r="F27" s="25"/>
      <c r="G27" s="27"/>
      <c r="H27" s="27"/>
      <c r="I27" s="27"/>
      <c r="J27" s="27"/>
      <c r="K27" s="27"/>
      <c r="L27" s="27"/>
      <c r="M27" s="25"/>
      <c r="N27" s="25"/>
      <c r="O27" s="25"/>
    </row>
    <row r="28" spans="1:41" x14ac:dyDescent="0.3">
      <c r="C28" s="27"/>
      <c r="D28" s="27"/>
      <c r="E28" s="25"/>
      <c r="F28" s="25"/>
      <c r="G28" s="25"/>
      <c r="H28" s="27"/>
      <c r="I28" s="27"/>
      <c r="J28" s="27"/>
      <c r="K28" s="27"/>
      <c r="L28" s="27"/>
      <c r="M28" s="27"/>
      <c r="N28" s="25"/>
      <c r="O28" s="25"/>
    </row>
    <row r="29" spans="1:41" x14ac:dyDescent="0.3">
      <c r="C29" s="27"/>
      <c r="D29" s="27"/>
      <c r="E29" s="25"/>
      <c r="F29" s="25"/>
      <c r="G29" s="25"/>
      <c r="H29" s="25"/>
      <c r="I29" s="27"/>
      <c r="J29" s="27"/>
      <c r="K29" s="27"/>
      <c r="L29" s="27"/>
      <c r="M29" s="27"/>
      <c r="N29" s="27"/>
      <c r="O29" s="25"/>
    </row>
    <row r="30" spans="1:41" x14ac:dyDescent="0.3">
      <c r="C30" s="27"/>
      <c r="D30" s="27"/>
      <c r="E30" s="25"/>
      <c r="F30" s="25"/>
      <c r="G30" s="25"/>
      <c r="H30" s="25"/>
      <c r="I30" s="25"/>
      <c r="J30" s="27"/>
      <c r="K30" s="27"/>
      <c r="L30" s="27"/>
      <c r="M30" s="27"/>
      <c r="N30" s="27"/>
      <c r="O30" s="27"/>
    </row>
    <row r="31" spans="1:41" x14ac:dyDescent="0.3">
      <c r="C31" s="27"/>
      <c r="D31" s="27"/>
      <c r="E31" s="25"/>
      <c r="F31" s="25"/>
      <c r="G31" s="25"/>
      <c r="H31" s="25"/>
      <c r="I31" s="25"/>
      <c r="J31" s="25"/>
      <c r="K31" s="27"/>
      <c r="L31" s="27"/>
      <c r="M31" s="27"/>
      <c r="N31" s="27"/>
      <c r="O31" s="27"/>
      <c r="P31" s="27"/>
    </row>
    <row r="32" spans="1:41" x14ac:dyDescent="0.3">
      <c r="C32" s="27"/>
      <c r="D32" s="27"/>
      <c r="E32" s="25"/>
      <c r="F32" s="25"/>
      <c r="G32" s="25"/>
      <c r="H32" s="25"/>
      <c r="I32" s="25"/>
      <c r="J32" s="25"/>
      <c r="K32" s="25"/>
      <c r="L32" s="27"/>
      <c r="M32" s="27"/>
      <c r="N32" s="27"/>
      <c r="O32" s="27"/>
      <c r="P32" s="27"/>
      <c r="Q32" s="27"/>
    </row>
    <row r="33" spans="3:15" x14ac:dyDescent="0.3">
      <c r="C33" s="27"/>
      <c r="D33" s="27"/>
      <c r="E33" s="25"/>
      <c r="F33" s="25"/>
      <c r="G33" s="25"/>
      <c r="H33" s="25"/>
      <c r="I33" s="25"/>
      <c r="J33" s="25"/>
      <c r="K33" s="25"/>
      <c r="L33" s="25"/>
      <c r="M33" s="27"/>
      <c r="N33" s="27"/>
      <c r="O33" s="27"/>
    </row>
    <row r="34" spans="3:15" x14ac:dyDescent="0.3">
      <c r="C34" s="27"/>
      <c r="D34" s="27"/>
      <c r="E34" s="25"/>
      <c r="F34" s="25"/>
      <c r="G34" s="25"/>
      <c r="H34" s="25"/>
      <c r="I34" s="25"/>
      <c r="J34" s="25"/>
      <c r="K34" s="25"/>
      <c r="L34" s="25"/>
      <c r="M34" s="25"/>
      <c r="N34" s="27"/>
      <c r="O34" s="27"/>
    </row>
    <row r="35" spans="3:15" x14ac:dyDescent="0.3">
      <c r="C35" s="27"/>
      <c r="D35" s="27"/>
      <c r="E35" s="25"/>
      <c r="F35" s="25"/>
      <c r="G35" s="25"/>
      <c r="H35" s="25"/>
      <c r="I35" s="25"/>
      <c r="J35" s="25"/>
      <c r="K35" s="25"/>
      <c r="L35" s="25"/>
      <c r="M35" s="25"/>
      <c r="N35" s="25"/>
      <c r="O35" s="27"/>
    </row>
  </sheetData>
  <mergeCells count="3">
    <mergeCell ref="AD4:AO4"/>
    <mergeCell ref="D4:O4"/>
    <mergeCell ref="Q4:AB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dimension ref="A1:AO35"/>
  <sheetViews>
    <sheetView workbookViewId="0">
      <pane xSplit="3" ySplit="5" topLeftCell="D6" activePane="bottomRight" state="frozen"/>
      <selection pane="topRight" activeCell="D1" sqref="D1"/>
      <selection pane="bottomLeft" activeCell="A6" sqref="A6"/>
      <selection pane="bottomRight" activeCell="M22" sqref="M22"/>
    </sheetView>
  </sheetViews>
  <sheetFormatPr defaultColWidth="8.88671875" defaultRowHeight="14.4" x14ac:dyDescent="0.3"/>
  <cols>
    <col min="1" max="1" width="2.44140625" customWidth="1"/>
    <col min="2" max="2" width="22" customWidth="1"/>
    <col min="3" max="3" width="9.44140625" customWidth="1"/>
  </cols>
  <sheetData>
    <row r="1" spans="1:41" ht="18" x14ac:dyDescent="0.35">
      <c r="A1" s="4">
        <f>KeyInputs!F14</f>
        <v>0</v>
      </c>
    </row>
    <row r="2" spans="1:41" ht="18" x14ac:dyDescent="0.35">
      <c r="A2" s="4" t="str">
        <f>KeyInputs!F22</f>
        <v>Insert Product Group 1</v>
      </c>
      <c r="D2" t="s">
        <v>80</v>
      </c>
    </row>
    <row r="4" spans="1:41" x14ac:dyDescent="0.3">
      <c r="D4" s="336">
        <f>KeyInputs!$F$17</f>
        <v>42005</v>
      </c>
      <c r="E4" s="337"/>
      <c r="F4" s="337"/>
      <c r="G4" s="337"/>
      <c r="H4" s="337"/>
      <c r="I4" s="337"/>
      <c r="J4" s="337"/>
      <c r="K4" s="337"/>
      <c r="L4" s="337"/>
      <c r="M4" s="337"/>
      <c r="N4" s="337"/>
      <c r="O4" s="338"/>
      <c r="Q4" s="336">
        <f>KeyInputs!$F$17+1</f>
        <v>42006</v>
      </c>
      <c r="R4" s="337"/>
      <c r="S4" s="337"/>
      <c r="T4" s="337"/>
      <c r="U4" s="337"/>
      <c r="V4" s="337"/>
      <c r="W4" s="337"/>
      <c r="X4" s="337"/>
      <c r="Y4" s="337"/>
      <c r="Z4" s="337"/>
      <c r="AA4" s="337"/>
      <c r="AB4" s="338"/>
      <c r="AD4" s="336">
        <f>KeyInputs!$F$17+2</f>
        <v>42007</v>
      </c>
      <c r="AE4" s="337"/>
      <c r="AF4" s="337"/>
      <c r="AG4" s="337"/>
      <c r="AH4" s="337"/>
      <c r="AI4" s="337"/>
      <c r="AJ4" s="337"/>
      <c r="AK4" s="337"/>
      <c r="AL4" s="337"/>
      <c r="AM4" s="337"/>
      <c r="AN4" s="337"/>
      <c r="AO4" s="338"/>
    </row>
    <row r="5" spans="1:41" x14ac:dyDescent="0.3">
      <c r="C5" s="28" t="s">
        <v>70</v>
      </c>
      <c r="D5" s="31" t="e">
        <f>KeyInputs!#REF!</f>
        <v>#REF!</v>
      </c>
      <c r="E5" s="32" t="e">
        <f ca="1">OFFSET(Worksheet!$A$14,,(HLOOKUP(KeyInputs!#REF!,Worksheet!$A$14:$L$15,2,FALSE)))</f>
        <v>#REF!</v>
      </c>
      <c r="F5" s="32" t="e">
        <f ca="1">OFFSET(Worksheet!$A$14,,(HLOOKUP(KeyInputs!#REF!,Worksheet!$A$14:$L$15,2,FALSE))+Worksheet!$A$15)</f>
        <v>#REF!</v>
      </c>
      <c r="G5" s="32" t="e">
        <f ca="1">OFFSET(Worksheet!$A$14,,(HLOOKUP(KeyInputs!#REF!,Worksheet!$A$14:$L$15,2,FALSE))+Worksheet!$B$15)</f>
        <v>#REF!</v>
      </c>
      <c r="H5" s="32" t="e">
        <f ca="1">OFFSET(Worksheet!$A$14,,(HLOOKUP(KeyInputs!#REF!,Worksheet!$A$14:$L$15,2,FALSE))+Worksheet!$C$15)</f>
        <v>#REF!</v>
      </c>
      <c r="I5" s="32" t="e">
        <f ca="1">OFFSET(Worksheet!$A$14,,(HLOOKUP(KeyInputs!#REF!,Worksheet!$A$14:$L$15,2,FALSE))+Worksheet!$D$15)</f>
        <v>#REF!</v>
      </c>
      <c r="J5" s="32" t="e">
        <f ca="1">OFFSET(Worksheet!$A$14,,(HLOOKUP(KeyInputs!#REF!,Worksheet!$A$14:$L$15,2,FALSE))+Worksheet!$E$15)</f>
        <v>#REF!</v>
      </c>
      <c r="K5" s="32" t="e">
        <f ca="1">OFFSET(Worksheet!$A$14,,(HLOOKUP(KeyInputs!#REF!,Worksheet!$A$14:$L$15,2,FALSE))+Worksheet!$F$15)</f>
        <v>#REF!</v>
      </c>
      <c r="L5" s="32" t="e">
        <f ca="1">OFFSET(Worksheet!$A$14,,(HLOOKUP(KeyInputs!#REF!,Worksheet!$A$14:$L$15,2,FALSE))+Worksheet!$G$15)</f>
        <v>#REF!</v>
      </c>
      <c r="M5" s="32" t="e">
        <f ca="1">OFFSET(Worksheet!$A$14,,(HLOOKUP(KeyInputs!#REF!,Worksheet!$A$14:$L$15,2,FALSE))+Worksheet!$H$15)</f>
        <v>#REF!</v>
      </c>
      <c r="N5" s="32" t="e">
        <f ca="1">OFFSET(Worksheet!$A$14,,(HLOOKUP(KeyInputs!#REF!,Worksheet!$A$14:$L$15,2,FALSE))+Worksheet!$I$15)</f>
        <v>#REF!</v>
      </c>
      <c r="O5" s="32" t="e">
        <f ca="1">OFFSET(Worksheet!$A$14,,(HLOOKUP(KeyInputs!#REF!,Worksheet!$A$14:$L$15,2,FALSE))+Worksheet!$J$15)</f>
        <v>#REF!</v>
      </c>
      <c r="Q5" s="31" t="e">
        <f>KeyInputs!#REF!</f>
        <v>#REF!</v>
      </c>
      <c r="R5" s="32" t="e">
        <f ca="1">OFFSET(Worksheet!$A$14,,(HLOOKUP(KeyInputs!#REF!,Worksheet!$A$14:$L$15,2,FALSE)))</f>
        <v>#REF!</v>
      </c>
      <c r="S5" s="32" t="e">
        <f ca="1">OFFSET(Worksheet!$A$14,,(HLOOKUP(KeyInputs!#REF!,Worksheet!$A$14:$L$15,2,FALSE))+Worksheet!$A$15)</f>
        <v>#REF!</v>
      </c>
      <c r="T5" s="32" t="e">
        <f ca="1">OFFSET(Worksheet!$A$14,,(HLOOKUP(KeyInputs!#REF!,Worksheet!$A$14:$L$15,2,FALSE))+Worksheet!$B$15)</f>
        <v>#REF!</v>
      </c>
      <c r="U5" s="32" t="e">
        <f ca="1">OFFSET(Worksheet!$A$14,,(HLOOKUP(KeyInputs!#REF!,Worksheet!$A$14:$L$15,2,FALSE))+Worksheet!$C$15)</f>
        <v>#REF!</v>
      </c>
      <c r="V5" s="32" t="e">
        <f ca="1">OFFSET(Worksheet!$A$14,,(HLOOKUP(KeyInputs!#REF!,Worksheet!$A$14:$L$15,2,FALSE))+Worksheet!$D$15)</f>
        <v>#REF!</v>
      </c>
      <c r="W5" s="32" t="e">
        <f ca="1">OFFSET(Worksheet!$A$14,,(HLOOKUP(KeyInputs!#REF!,Worksheet!$A$14:$L$15,2,FALSE))+Worksheet!$E$15)</f>
        <v>#REF!</v>
      </c>
      <c r="X5" s="32" t="e">
        <f ca="1">OFFSET(Worksheet!$A$14,,(HLOOKUP(KeyInputs!#REF!,Worksheet!$A$14:$L$15,2,FALSE))+Worksheet!$F$15)</f>
        <v>#REF!</v>
      </c>
      <c r="Y5" s="32" t="e">
        <f ca="1">OFFSET(Worksheet!$A$14,,(HLOOKUP(KeyInputs!#REF!,Worksheet!$A$14:$L$15,2,FALSE))+Worksheet!$G$15)</f>
        <v>#REF!</v>
      </c>
      <c r="Z5" s="32" t="e">
        <f ca="1">OFFSET(Worksheet!$A$14,,(HLOOKUP(KeyInputs!#REF!,Worksheet!$A$14:$L$15,2,FALSE))+Worksheet!$H$15)</f>
        <v>#REF!</v>
      </c>
      <c r="AA5" s="32" t="e">
        <f ca="1">OFFSET(Worksheet!$A$14,,(HLOOKUP(KeyInputs!#REF!,Worksheet!$A$14:$L$15,2,FALSE))+Worksheet!$I$15)</f>
        <v>#REF!</v>
      </c>
      <c r="AB5" s="32" t="e">
        <f ca="1">OFFSET(Worksheet!$A$14,,(HLOOKUP(KeyInputs!#REF!,Worksheet!$A$14:$L$15,2,FALSE))+Worksheet!$J$15)</f>
        <v>#REF!</v>
      </c>
      <c r="AD5" s="31" t="e">
        <f>KeyInputs!#REF!</f>
        <v>#REF!</v>
      </c>
      <c r="AE5" s="32" t="e">
        <f ca="1">OFFSET(Worksheet!$A$14,,(HLOOKUP(KeyInputs!#REF!,Worksheet!$A$14:$L$15,2,FALSE)))</f>
        <v>#REF!</v>
      </c>
      <c r="AF5" s="32" t="e">
        <f ca="1">OFFSET(Worksheet!$A$14,,(HLOOKUP(KeyInputs!#REF!,Worksheet!$A$14:$L$15,2,FALSE))+Worksheet!$A$15)</f>
        <v>#REF!</v>
      </c>
      <c r="AG5" s="32" t="e">
        <f ca="1">OFFSET(Worksheet!$A$14,,(HLOOKUP(KeyInputs!#REF!,Worksheet!$A$14:$L$15,2,FALSE))+Worksheet!$B$15)</f>
        <v>#REF!</v>
      </c>
      <c r="AH5" s="32" t="e">
        <f ca="1">OFFSET(Worksheet!$A$14,,(HLOOKUP(KeyInputs!#REF!,Worksheet!$A$14:$L$15,2,FALSE))+Worksheet!$C$15)</f>
        <v>#REF!</v>
      </c>
      <c r="AI5" s="32" t="e">
        <f ca="1">OFFSET(Worksheet!$A$14,,(HLOOKUP(KeyInputs!#REF!,Worksheet!$A$14:$L$15,2,FALSE))+Worksheet!$D$15)</f>
        <v>#REF!</v>
      </c>
      <c r="AJ5" s="32" t="e">
        <f ca="1">OFFSET(Worksheet!$A$14,,(HLOOKUP(KeyInputs!#REF!,Worksheet!$A$14:$L$15,2,FALSE))+Worksheet!$E$15)</f>
        <v>#REF!</v>
      </c>
      <c r="AK5" s="32" t="e">
        <f ca="1">OFFSET(Worksheet!$A$14,,(HLOOKUP(KeyInputs!#REF!,Worksheet!$A$14:$L$15,2,FALSE))+Worksheet!$F$15)</f>
        <v>#REF!</v>
      </c>
      <c r="AL5" s="32" t="e">
        <f ca="1">OFFSET(Worksheet!$A$14,,(HLOOKUP(KeyInputs!#REF!,Worksheet!$A$14:$L$15,2,FALSE))+Worksheet!$G$15)</f>
        <v>#REF!</v>
      </c>
      <c r="AM5" s="32" t="e">
        <f ca="1">OFFSET(Worksheet!$A$14,,(HLOOKUP(KeyInputs!#REF!,Worksheet!$A$14:$L$15,2,FALSE))+Worksheet!$H$15)</f>
        <v>#REF!</v>
      </c>
      <c r="AN5" s="32" t="e">
        <f ca="1">OFFSET(Worksheet!$A$14,,(HLOOKUP(KeyInputs!#REF!,Worksheet!$A$14:$L$15,2,FALSE))+Worksheet!$I$15)</f>
        <v>#REF!</v>
      </c>
      <c r="AO5" s="32" t="e">
        <f ca="1">OFFSET(Worksheet!$A$14,,(HLOOKUP(KeyInputs!#REF!,Worksheet!$A$14:$L$15,2,FALSE))+Worksheet!$J$15)</f>
        <v>#REF!</v>
      </c>
    </row>
    <row r="6" spans="1:41" x14ac:dyDescent="0.3">
      <c r="A6" s="30"/>
      <c r="B6" s="25"/>
      <c r="C6" s="25"/>
      <c r="D6" s="25"/>
      <c r="E6" s="25"/>
      <c r="F6" s="25"/>
      <c r="G6" s="25"/>
      <c r="H6" s="25"/>
      <c r="I6" s="25"/>
      <c r="J6" s="25"/>
      <c r="K6" s="25"/>
      <c r="L6" s="25"/>
      <c r="M6" s="25"/>
      <c r="N6" s="25"/>
      <c r="O6" s="25"/>
      <c r="Q6" s="25"/>
      <c r="R6" s="25"/>
      <c r="S6" s="25"/>
      <c r="T6" s="25"/>
      <c r="U6" s="25"/>
      <c r="V6" s="25"/>
      <c r="W6" s="25"/>
      <c r="X6" s="25"/>
      <c r="Y6" s="25"/>
      <c r="Z6" s="25"/>
      <c r="AA6" s="25"/>
      <c r="AB6" s="25"/>
      <c r="AD6" s="25"/>
      <c r="AE6" s="25"/>
      <c r="AF6" s="25"/>
      <c r="AG6" s="25"/>
      <c r="AH6" s="25"/>
      <c r="AI6" s="25"/>
      <c r="AJ6" s="25"/>
      <c r="AK6" s="25"/>
      <c r="AL6" s="25"/>
      <c r="AM6" s="25"/>
      <c r="AN6" s="25"/>
      <c r="AO6" s="25"/>
    </row>
    <row r="7" spans="1:41" x14ac:dyDescent="0.3">
      <c r="A7" s="25"/>
      <c r="B7" s="25" t="s">
        <v>81</v>
      </c>
      <c r="C7" s="27" t="e">
        <f>#REF!*KeyInputs!#REF!</f>
        <v>#REF!</v>
      </c>
      <c r="D7" s="27" t="e">
        <f>#REF!*KeyInputs!#REF!</f>
        <v>#REF!</v>
      </c>
      <c r="E7" s="27" t="e">
        <f>#REF!*KeyInputs!#REF!</f>
        <v>#REF!</v>
      </c>
      <c r="F7" s="27" t="e">
        <f>#REF!*KeyInputs!#REF!</f>
        <v>#REF!</v>
      </c>
      <c r="G7" s="27" t="e">
        <f>#REF!*KeyInputs!#REF!</f>
        <v>#REF!</v>
      </c>
      <c r="H7" s="27" t="e">
        <f>#REF!*KeyInputs!#REF!</f>
        <v>#REF!</v>
      </c>
      <c r="I7" s="25"/>
      <c r="J7" s="25"/>
      <c r="K7" s="25"/>
      <c r="L7" s="25"/>
      <c r="M7" s="25"/>
      <c r="N7" s="25"/>
      <c r="O7" s="25"/>
      <c r="Q7" s="27"/>
      <c r="R7" s="27"/>
      <c r="S7" s="27"/>
      <c r="T7" s="27"/>
      <c r="U7" s="27"/>
      <c r="V7" s="25"/>
      <c r="W7" s="25"/>
      <c r="X7" s="25"/>
      <c r="Y7" s="25"/>
      <c r="Z7" s="25"/>
      <c r="AA7" s="25"/>
      <c r="AB7" s="25"/>
      <c r="AD7" s="27"/>
      <c r="AE7" s="27"/>
      <c r="AF7" s="27"/>
      <c r="AG7" s="27"/>
      <c r="AH7" s="27"/>
      <c r="AI7" s="25"/>
      <c r="AJ7" s="25"/>
      <c r="AK7" s="25"/>
      <c r="AL7" s="25"/>
      <c r="AM7" s="25"/>
      <c r="AN7" s="25"/>
      <c r="AO7" s="25"/>
    </row>
    <row r="8" spans="1:41" x14ac:dyDescent="0.3">
      <c r="A8" s="25"/>
      <c r="B8" s="39" t="e">
        <f>D5</f>
        <v>#REF!</v>
      </c>
      <c r="C8" s="27"/>
      <c r="D8" s="27" t="e">
        <f>#REF!*KeyInputs!#REF!</f>
        <v>#REF!</v>
      </c>
      <c r="E8" s="27" t="e">
        <f>#REF!*KeyInputs!#REF!</f>
        <v>#REF!</v>
      </c>
      <c r="F8" s="27" t="e">
        <f>#REF!*KeyInputs!#REF!</f>
        <v>#REF!</v>
      </c>
      <c r="G8" s="27" t="e">
        <f>#REF!*KeyInputs!#REF!</f>
        <v>#REF!</v>
      </c>
      <c r="H8" s="27" t="e">
        <f>#REF!*KeyInputs!#REF!</f>
        <v>#REF!</v>
      </c>
      <c r="I8" s="27" t="e">
        <f>#REF!*KeyInputs!#REF!</f>
        <v>#REF!</v>
      </c>
      <c r="J8" s="25"/>
      <c r="K8" s="25"/>
      <c r="L8" s="25"/>
      <c r="M8" s="25"/>
      <c r="N8" s="25"/>
      <c r="O8" s="25"/>
      <c r="Q8" s="27" t="e">
        <f>#REF!*KeyInputs!#REF!</f>
        <v>#REF!</v>
      </c>
      <c r="R8" s="27" t="e">
        <f>#REF!*KeyInputs!#REF!</f>
        <v>#REF!</v>
      </c>
      <c r="S8" s="27" t="e">
        <f>#REF!*KeyInputs!#REF!</f>
        <v>#REF!</v>
      </c>
      <c r="T8" s="27" t="e">
        <f>#REF!*KeyInputs!#REF!</f>
        <v>#REF!</v>
      </c>
      <c r="U8" s="27" t="e">
        <f>#REF!*KeyInputs!#REF!</f>
        <v>#REF!</v>
      </c>
      <c r="V8" s="27" t="e">
        <f>#REF!*KeyInputs!#REF!</f>
        <v>#REF!</v>
      </c>
      <c r="W8" s="25"/>
      <c r="X8" s="25"/>
      <c r="Y8" s="25"/>
      <c r="Z8" s="25"/>
      <c r="AA8" s="25"/>
      <c r="AB8" s="25"/>
      <c r="AD8" s="27" t="e">
        <f>#REF!*KeyInputs!#REF!</f>
        <v>#REF!</v>
      </c>
      <c r="AE8" s="27" t="e">
        <f>#REF!*KeyInputs!#REF!</f>
        <v>#REF!</v>
      </c>
      <c r="AF8" s="27" t="e">
        <f>#REF!*KeyInputs!#REF!</f>
        <v>#REF!</v>
      </c>
      <c r="AG8" s="27" t="e">
        <f>#REF!*KeyInputs!#REF!</f>
        <v>#REF!</v>
      </c>
      <c r="AH8" s="27" t="e">
        <f>#REF!*KeyInputs!#REF!</f>
        <v>#REF!</v>
      </c>
      <c r="AI8" s="27" t="e">
        <f>#REF!*KeyInputs!#REF!</f>
        <v>#REF!</v>
      </c>
      <c r="AJ8" s="25"/>
      <c r="AK8" s="25"/>
      <c r="AL8" s="25"/>
      <c r="AM8" s="25"/>
      <c r="AN8" s="25"/>
      <c r="AO8" s="25"/>
    </row>
    <row r="9" spans="1:41" x14ac:dyDescent="0.3">
      <c r="A9" s="25"/>
      <c r="B9" s="25" t="e">
        <f ca="1">E5</f>
        <v>#REF!</v>
      </c>
      <c r="C9" s="27"/>
      <c r="D9" s="27"/>
      <c r="E9" s="27" t="e">
        <f>#REF!*KeyInputs!#REF!</f>
        <v>#REF!</v>
      </c>
      <c r="F9" s="27" t="e">
        <f>#REF!*KeyInputs!#REF!</f>
        <v>#REF!</v>
      </c>
      <c r="G9" s="27" t="e">
        <f>#REF!*KeyInputs!#REF!</f>
        <v>#REF!</v>
      </c>
      <c r="H9" s="27" t="e">
        <f>#REF!*KeyInputs!#REF!</f>
        <v>#REF!</v>
      </c>
      <c r="I9" s="27" t="e">
        <f>#REF!*KeyInputs!#REF!</f>
        <v>#REF!</v>
      </c>
      <c r="J9" s="27" t="e">
        <f>#REF!*KeyInputs!#REF!</f>
        <v>#REF!</v>
      </c>
      <c r="K9" s="25"/>
      <c r="L9" s="25"/>
      <c r="M9" s="25"/>
      <c r="N9" s="25"/>
      <c r="O9" s="25"/>
      <c r="Q9" s="27"/>
      <c r="R9" s="27" t="e">
        <f>#REF!*KeyInputs!#REF!</f>
        <v>#REF!</v>
      </c>
      <c r="S9" s="27" t="e">
        <f>#REF!*KeyInputs!#REF!</f>
        <v>#REF!</v>
      </c>
      <c r="T9" s="27" t="e">
        <f>#REF!*KeyInputs!#REF!</f>
        <v>#REF!</v>
      </c>
      <c r="U9" s="27" t="e">
        <f>#REF!*KeyInputs!#REF!</f>
        <v>#REF!</v>
      </c>
      <c r="V9" s="27" t="e">
        <f>#REF!*KeyInputs!#REF!</f>
        <v>#REF!</v>
      </c>
      <c r="W9" s="27" t="e">
        <f>#REF!*KeyInputs!#REF!</f>
        <v>#REF!</v>
      </c>
      <c r="X9" s="25"/>
      <c r="Y9" s="25"/>
      <c r="Z9" s="25"/>
      <c r="AA9" s="25"/>
      <c r="AB9" s="25"/>
      <c r="AD9" s="27"/>
      <c r="AE9" s="27" t="e">
        <f>#REF!*KeyInputs!#REF!</f>
        <v>#REF!</v>
      </c>
      <c r="AF9" s="27" t="e">
        <f>#REF!*KeyInputs!#REF!</f>
        <v>#REF!</v>
      </c>
      <c r="AG9" s="27" t="e">
        <f>#REF!*KeyInputs!#REF!</f>
        <v>#REF!</v>
      </c>
      <c r="AH9" s="27" t="e">
        <f>#REF!*KeyInputs!#REF!</f>
        <v>#REF!</v>
      </c>
      <c r="AI9" s="27" t="e">
        <f>#REF!*KeyInputs!#REF!</f>
        <v>#REF!</v>
      </c>
      <c r="AJ9" s="27" t="e">
        <f>#REF!*KeyInputs!#REF!</f>
        <v>#REF!</v>
      </c>
      <c r="AK9" s="25"/>
      <c r="AL9" s="25"/>
      <c r="AM9" s="25"/>
      <c r="AN9" s="25"/>
      <c r="AO9" s="25"/>
    </row>
    <row r="10" spans="1:41" x14ac:dyDescent="0.3">
      <c r="A10" s="25"/>
      <c r="B10" s="25" t="e">
        <f ca="1">F5</f>
        <v>#REF!</v>
      </c>
      <c r="C10" s="27"/>
      <c r="D10" s="27"/>
      <c r="E10" s="25"/>
      <c r="F10" s="27" t="e">
        <f>#REF!*KeyInputs!#REF!</f>
        <v>#REF!</v>
      </c>
      <c r="G10" s="27" t="e">
        <f>#REF!*KeyInputs!#REF!</f>
        <v>#REF!</v>
      </c>
      <c r="H10" s="27" t="e">
        <f>#REF!*KeyInputs!#REF!</f>
        <v>#REF!</v>
      </c>
      <c r="I10" s="27" t="e">
        <f>#REF!*KeyInputs!#REF!</f>
        <v>#REF!</v>
      </c>
      <c r="J10" s="27" t="e">
        <f>#REF!*KeyInputs!#REF!</f>
        <v>#REF!</v>
      </c>
      <c r="K10" s="27" t="e">
        <f>#REF!*KeyInputs!#REF!</f>
        <v>#REF!</v>
      </c>
      <c r="L10" s="25"/>
      <c r="M10" s="25"/>
      <c r="N10" s="25"/>
      <c r="O10" s="25"/>
      <c r="Q10" s="27"/>
      <c r="R10" s="25"/>
      <c r="S10" s="27" t="e">
        <f>#REF!*KeyInputs!#REF!</f>
        <v>#REF!</v>
      </c>
      <c r="T10" s="27" t="e">
        <f>#REF!*KeyInputs!#REF!</f>
        <v>#REF!</v>
      </c>
      <c r="U10" s="27" t="e">
        <f>#REF!*KeyInputs!#REF!</f>
        <v>#REF!</v>
      </c>
      <c r="V10" s="27" t="e">
        <f>#REF!*KeyInputs!#REF!</f>
        <v>#REF!</v>
      </c>
      <c r="W10" s="27" t="e">
        <f>#REF!*KeyInputs!#REF!</f>
        <v>#REF!</v>
      </c>
      <c r="X10" s="27" t="e">
        <f>#REF!*KeyInputs!#REF!</f>
        <v>#REF!</v>
      </c>
      <c r="Y10" s="25"/>
      <c r="Z10" s="25"/>
      <c r="AA10" s="25"/>
      <c r="AB10" s="25"/>
      <c r="AD10" s="27"/>
      <c r="AE10" s="25"/>
      <c r="AF10" s="27" t="e">
        <f>#REF!*KeyInputs!#REF!</f>
        <v>#REF!</v>
      </c>
      <c r="AG10" s="27" t="e">
        <f>#REF!*KeyInputs!#REF!</f>
        <v>#REF!</v>
      </c>
      <c r="AH10" s="27" t="e">
        <f>#REF!*KeyInputs!#REF!</f>
        <v>#REF!</v>
      </c>
      <c r="AI10" s="27" t="e">
        <f>#REF!*KeyInputs!#REF!</f>
        <v>#REF!</v>
      </c>
      <c r="AJ10" s="27" t="e">
        <f>#REF!*KeyInputs!#REF!</f>
        <v>#REF!</v>
      </c>
      <c r="AK10" s="27" t="e">
        <f>#REF!*KeyInputs!#REF!</f>
        <v>#REF!</v>
      </c>
      <c r="AL10" s="25"/>
      <c r="AM10" s="25"/>
      <c r="AN10" s="25"/>
      <c r="AO10" s="25"/>
    </row>
    <row r="11" spans="1:41" x14ac:dyDescent="0.3">
      <c r="A11" s="30"/>
      <c r="B11" s="25" t="e">
        <f ca="1">G5</f>
        <v>#REF!</v>
      </c>
      <c r="C11" s="27"/>
      <c r="D11" s="27"/>
      <c r="E11" s="25"/>
      <c r="F11" s="25"/>
      <c r="G11" s="27" t="e">
        <f>#REF!*KeyInputs!#REF!</f>
        <v>#REF!</v>
      </c>
      <c r="H11" s="27" t="e">
        <f>#REF!*KeyInputs!#REF!</f>
        <v>#REF!</v>
      </c>
      <c r="I11" s="27" t="e">
        <f>#REF!*KeyInputs!#REF!</f>
        <v>#REF!</v>
      </c>
      <c r="J11" s="27" t="e">
        <f>#REF!*KeyInputs!#REF!</f>
        <v>#REF!</v>
      </c>
      <c r="K11" s="27" t="e">
        <f>#REF!*KeyInputs!#REF!</f>
        <v>#REF!</v>
      </c>
      <c r="L11" s="27" t="e">
        <f>#REF!*KeyInputs!#REF!</f>
        <v>#REF!</v>
      </c>
      <c r="M11" s="25"/>
      <c r="N11" s="25"/>
      <c r="O11" s="25"/>
      <c r="Q11" s="27"/>
      <c r="R11" s="25"/>
      <c r="S11" s="25"/>
      <c r="T11" s="27" t="e">
        <f>#REF!*KeyInputs!#REF!</f>
        <v>#REF!</v>
      </c>
      <c r="U11" s="27" t="e">
        <f>#REF!*KeyInputs!#REF!</f>
        <v>#REF!</v>
      </c>
      <c r="V11" s="27" t="e">
        <f>#REF!*KeyInputs!#REF!</f>
        <v>#REF!</v>
      </c>
      <c r="W11" s="27" t="e">
        <f>#REF!*KeyInputs!#REF!</f>
        <v>#REF!</v>
      </c>
      <c r="X11" s="27" t="e">
        <f>#REF!*KeyInputs!#REF!</f>
        <v>#REF!</v>
      </c>
      <c r="Y11" s="27" t="e">
        <f>#REF!*KeyInputs!#REF!</f>
        <v>#REF!</v>
      </c>
      <c r="Z11" s="25"/>
      <c r="AA11" s="25"/>
      <c r="AB11" s="25"/>
      <c r="AD11" s="27"/>
      <c r="AE11" s="25"/>
      <c r="AF11" s="25"/>
      <c r="AG11" s="27" t="e">
        <f>#REF!*KeyInputs!#REF!</f>
        <v>#REF!</v>
      </c>
      <c r="AH11" s="27" t="e">
        <f>#REF!*KeyInputs!#REF!</f>
        <v>#REF!</v>
      </c>
      <c r="AI11" s="27" t="e">
        <f>#REF!*KeyInputs!#REF!</f>
        <v>#REF!</v>
      </c>
      <c r="AJ11" s="27" t="e">
        <f>#REF!*KeyInputs!#REF!</f>
        <v>#REF!</v>
      </c>
      <c r="AK11" s="27" t="e">
        <f>#REF!*KeyInputs!#REF!</f>
        <v>#REF!</v>
      </c>
      <c r="AL11" s="27" t="e">
        <f>#REF!*KeyInputs!#REF!</f>
        <v>#REF!</v>
      </c>
      <c r="AM11" s="25"/>
      <c r="AN11" s="25"/>
      <c r="AO11" s="25"/>
    </row>
    <row r="12" spans="1:41" x14ac:dyDescent="0.3">
      <c r="A12" s="25"/>
      <c r="B12" s="25" t="e">
        <f ca="1">H5</f>
        <v>#REF!</v>
      </c>
      <c r="C12" s="27"/>
      <c r="D12" s="27"/>
      <c r="E12" s="25"/>
      <c r="F12" s="25"/>
      <c r="G12" s="25"/>
      <c r="H12" s="27" t="e">
        <f>#REF!*KeyInputs!#REF!</f>
        <v>#REF!</v>
      </c>
      <c r="I12" s="27" t="e">
        <f>#REF!*KeyInputs!#REF!</f>
        <v>#REF!</v>
      </c>
      <c r="J12" s="27" t="e">
        <f>#REF!*KeyInputs!#REF!</f>
        <v>#REF!</v>
      </c>
      <c r="K12" s="27" t="e">
        <f>#REF!*KeyInputs!#REF!</f>
        <v>#REF!</v>
      </c>
      <c r="L12" s="27" t="e">
        <f>#REF!*KeyInputs!#REF!</f>
        <v>#REF!</v>
      </c>
      <c r="M12" s="27" t="e">
        <f>#REF!*KeyInputs!#REF!</f>
        <v>#REF!</v>
      </c>
      <c r="N12" s="25"/>
      <c r="O12" s="25"/>
      <c r="Q12" s="27"/>
      <c r="R12" s="25"/>
      <c r="S12" s="25"/>
      <c r="T12" s="25"/>
      <c r="U12" s="27" t="e">
        <f>#REF!*KeyInputs!#REF!</f>
        <v>#REF!</v>
      </c>
      <c r="V12" s="27" t="e">
        <f>#REF!*KeyInputs!#REF!</f>
        <v>#REF!</v>
      </c>
      <c r="W12" s="27" t="e">
        <f>#REF!*KeyInputs!#REF!</f>
        <v>#REF!</v>
      </c>
      <c r="X12" s="27" t="e">
        <f>#REF!*KeyInputs!#REF!</f>
        <v>#REF!</v>
      </c>
      <c r="Y12" s="27" t="e">
        <f>#REF!*KeyInputs!#REF!</f>
        <v>#REF!</v>
      </c>
      <c r="Z12" s="27" t="e">
        <f>#REF!*KeyInputs!#REF!</f>
        <v>#REF!</v>
      </c>
      <c r="AA12" s="25"/>
      <c r="AB12" s="25"/>
      <c r="AD12" s="27"/>
      <c r="AE12" s="25"/>
      <c r="AF12" s="25"/>
      <c r="AG12" s="25"/>
      <c r="AH12" s="27" t="e">
        <f>#REF!*KeyInputs!#REF!</f>
        <v>#REF!</v>
      </c>
      <c r="AI12" s="27" t="e">
        <f>#REF!*KeyInputs!#REF!</f>
        <v>#REF!</v>
      </c>
      <c r="AJ12" s="27" t="e">
        <f>#REF!*KeyInputs!#REF!</f>
        <v>#REF!</v>
      </c>
      <c r="AK12" s="27" t="e">
        <f>#REF!*KeyInputs!#REF!</f>
        <v>#REF!</v>
      </c>
      <c r="AL12" s="27" t="e">
        <f>#REF!*KeyInputs!#REF!</f>
        <v>#REF!</v>
      </c>
      <c r="AM12" s="27" t="e">
        <f>#REF!*KeyInputs!#REF!</f>
        <v>#REF!</v>
      </c>
      <c r="AN12" s="25"/>
      <c r="AO12" s="25"/>
    </row>
    <row r="13" spans="1:41" x14ac:dyDescent="0.3">
      <c r="A13" s="25"/>
      <c r="B13" s="25" t="e">
        <f ca="1">I5</f>
        <v>#REF!</v>
      </c>
      <c r="C13" s="27"/>
      <c r="D13" s="27"/>
      <c r="E13" s="25"/>
      <c r="F13" s="25"/>
      <c r="G13" s="25"/>
      <c r="H13" s="25"/>
      <c r="I13" s="27" t="e">
        <f>#REF!*KeyInputs!#REF!</f>
        <v>#REF!</v>
      </c>
      <c r="J13" s="27" t="e">
        <f>#REF!*KeyInputs!#REF!</f>
        <v>#REF!</v>
      </c>
      <c r="K13" s="27" t="e">
        <f>#REF!*KeyInputs!#REF!</f>
        <v>#REF!</v>
      </c>
      <c r="L13" s="27" t="e">
        <f>#REF!*KeyInputs!#REF!</f>
        <v>#REF!</v>
      </c>
      <c r="M13" s="27" t="e">
        <f>#REF!*KeyInputs!#REF!</f>
        <v>#REF!</v>
      </c>
      <c r="N13" s="27" t="e">
        <f>#REF!*KeyInputs!#REF!</f>
        <v>#REF!</v>
      </c>
      <c r="O13" s="25"/>
      <c r="Q13" s="27"/>
      <c r="R13" s="25"/>
      <c r="S13" s="25"/>
      <c r="T13" s="25"/>
      <c r="U13" s="25"/>
      <c r="V13" s="27" t="e">
        <f>#REF!*KeyInputs!#REF!</f>
        <v>#REF!</v>
      </c>
      <c r="W13" s="27" t="e">
        <f>#REF!*KeyInputs!#REF!</f>
        <v>#REF!</v>
      </c>
      <c r="X13" s="27" t="e">
        <f>#REF!*KeyInputs!#REF!</f>
        <v>#REF!</v>
      </c>
      <c r="Y13" s="27" t="e">
        <f>#REF!*KeyInputs!#REF!</f>
        <v>#REF!</v>
      </c>
      <c r="Z13" s="27" t="e">
        <f>#REF!*KeyInputs!#REF!</f>
        <v>#REF!</v>
      </c>
      <c r="AA13" s="27" t="e">
        <f>#REF!*KeyInputs!#REF!</f>
        <v>#REF!</v>
      </c>
      <c r="AB13" s="25"/>
      <c r="AD13" s="27"/>
      <c r="AE13" s="25"/>
      <c r="AF13" s="25"/>
      <c r="AG13" s="25"/>
      <c r="AH13" s="25"/>
      <c r="AI13" s="27" t="e">
        <f>#REF!*KeyInputs!#REF!</f>
        <v>#REF!</v>
      </c>
      <c r="AJ13" s="27" t="e">
        <f>#REF!*KeyInputs!#REF!</f>
        <v>#REF!</v>
      </c>
      <c r="AK13" s="27" t="e">
        <f>#REF!*KeyInputs!#REF!</f>
        <v>#REF!</v>
      </c>
      <c r="AL13" s="27" t="e">
        <f>#REF!*KeyInputs!#REF!</f>
        <v>#REF!</v>
      </c>
      <c r="AM13" s="27" t="e">
        <f>#REF!*KeyInputs!#REF!</f>
        <v>#REF!</v>
      </c>
      <c r="AN13" s="27" t="e">
        <f>#REF!*KeyInputs!#REF!</f>
        <v>#REF!</v>
      </c>
      <c r="AO13" s="25"/>
    </row>
    <row r="14" spans="1:41" x14ac:dyDescent="0.3">
      <c r="A14" s="25"/>
      <c r="B14" s="25" t="e">
        <f ca="1">J5</f>
        <v>#REF!</v>
      </c>
      <c r="C14" s="27"/>
      <c r="D14" s="27"/>
      <c r="E14" s="25"/>
      <c r="F14" s="25"/>
      <c r="G14" s="25"/>
      <c r="H14" s="25"/>
      <c r="I14" s="25"/>
      <c r="J14" s="27" t="e">
        <f>#REF!*KeyInputs!#REF!</f>
        <v>#REF!</v>
      </c>
      <c r="K14" s="27" t="e">
        <f>#REF!*KeyInputs!#REF!</f>
        <v>#REF!</v>
      </c>
      <c r="L14" s="27" t="e">
        <f>#REF!*KeyInputs!#REF!</f>
        <v>#REF!</v>
      </c>
      <c r="M14" s="27" t="e">
        <f>#REF!*KeyInputs!#REF!</f>
        <v>#REF!</v>
      </c>
      <c r="N14" s="27" t="e">
        <f>#REF!*KeyInputs!#REF!</f>
        <v>#REF!</v>
      </c>
      <c r="O14" s="27" t="e">
        <f>#REF!*KeyInputs!#REF!</f>
        <v>#REF!</v>
      </c>
      <c r="Q14" s="27"/>
      <c r="R14" s="25"/>
      <c r="S14" s="25"/>
      <c r="T14" s="25"/>
      <c r="U14" s="25"/>
      <c r="V14" s="25"/>
      <c r="W14" s="27" t="e">
        <f>#REF!*KeyInputs!#REF!</f>
        <v>#REF!</v>
      </c>
      <c r="X14" s="27" t="e">
        <f>#REF!*KeyInputs!#REF!</f>
        <v>#REF!</v>
      </c>
      <c r="Y14" s="27" t="e">
        <f>#REF!*KeyInputs!#REF!</f>
        <v>#REF!</v>
      </c>
      <c r="Z14" s="27" t="e">
        <f>#REF!*KeyInputs!#REF!</f>
        <v>#REF!</v>
      </c>
      <c r="AA14" s="27" t="e">
        <f>#REF!*KeyInputs!#REF!</f>
        <v>#REF!</v>
      </c>
      <c r="AB14" s="27" t="e">
        <f>#REF!*KeyInputs!#REF!</f>
        <v>#REF!</v>
      </c>
      <c r="AD14" s="27"/>
      <c r="AE14" s="25"/>
      <c r="AF14" s="25"/>
      <c r="AG14" s="25"/>
      <c r="AH14" s="25"/>
      <c r="AI14" s="25"/>
      <c r="AJ14" s="27" t="e">
        <f>#REF!*KeyInputs!#REF!</f>
        <v>#REF!</v>
      </c>
      <c r="AK14" s="27" t="e">
        <f>#REF!*KeyInputs!#REF!</f>
        <v>#REF!</v>
      </c>
      <c r="AL14" s="27" t="e">
        <f>#REF!*KeyInputs!#REF!</f>
        <v>#REF!</v>
      </c>
      <c r="AM14" s="27" t="e">
        <f>#REF!*KeyInputs!#REF!</f>
        <v>#REF!</v>
      </c>
      <c r="AN14" s="27" t="e">
        <f>#REF!*KeyInputs!#REF!</f>
        <v>#REF!</v>
      </c>
      <c r="AO14" s="27" t="e">
        <f>#REF!*KeyInputs!#REF!</f>
        <v>#REF!</v>
      </c>
    </row>
    <row r="15" spans="1:41" x14ac:dyDescent="0.3">
      <c r="A15" s="25"/>
      <c r="B15" s="25" t="e">
        <f ca="1">K5</f>
        <v>#REF!</v>
      </c>
      <c r="C15" s="27"/>
      <c r="D15" s="27"/>
      <c r="E15" s="25"/>
      <c r="F15" s="25"/>
      <c r="G15" s="25"/>
      <c r="H15" s="25"/>
      <c r="I15" s="25"/>
      <c r="J15" s="25"/>
      <c r="K15" s="27" t="e">
        <f>#REF!*KeyInputs!#REF!</f>
        <v>#REF!</v>
      </c>
      <c r="L15" s="27" t="e">
        <f>#REF!*KeyInputs!#REF!</f>
        <v>#REF!</v>
      </c>
      <c r="M15" s="27" t="e">
        <f>#REF!*KeyInputs!#REF!</f>
        <v>#REF!</v>
      </c>
      <c r="N15" s="27" t="e">
        <f>#REF!*KeyInputs!#REF!</f>
        <v>#REF!</v>
      </c>
      <c r="O15" s="27" t="e">
        <f>#REF!*KeyInputs!#REF!</f>
        <v>#REF!</v>
      </c>
      <c r="P15" s="27"/>
      <c r="Q15" s="27" t="e">
        <f>#REF!*KeyInputs!#REF!</f>
        <v>#REF!</v>
      </c>
      <c r="R15" s="25"/>
      <c r="S15" s="25"/>
      <c r="T15" s="25"/>
      <c r="U15" s="25"/>
      <c r="V15" s="25"/>
      <c r="W15" s="25"/>
      <c r="X15" s="27" t="e">
        <f>#REF!*KeyInputs!#REF!</f>
        <v>#REF!</v>
      </c>
      <c r="Y15" s="27" t="e">
        <f>#REF!*KeyInputs!#REF!</f>
        <v>#REF!</v>
      </c>
      <c r="Z15" s="27" t="e">
        <f>#REF!*KeyInputs!#REF!</f>
        <v>#REF!</v>
      </c>
      <c r="AA15" s="27" t="e">
        <f>#REF!*KeyInputs!#REF!</f>
        <v>#REF!</v>
      </c>
      <c r="AB15" s="27" t="e">
        <f>#REF!*KeyInputs!#REF!</f>
        <v>#REF!</v>
      </c>
      <c r="AC15" s="27"/>
      <c r="AD15" s="27" t="e">
        <f>#REF!*KeyInputs!#REF!</f>
        <v>#REF!</v>
      </c>
      <c r="AE15" s="25"/>
      <c r="AF15" s="25"/>
      <c r="AG15" s="25"/>
      <c r="AH15" s="25"/>
      <c r="AI15" s="25"/>
      <c r="AJ15" s="25"/>
      <c r="AK15" s="27" t="e">
        <f>#REF!*KeyInputs!#REF!</f>
        <v>#REF!</v>
      </c>
      <c r="AL15" s="27" t="e">
        <f>#REF!*KeyInputs!#REF!</f>
        <v>#REF!</v>
      </c>
      <c r="AM15" s="27" t="e">
        <f>#REF!*KeyInputs!#REF!</f>
        <v>#REF!</v>
      </c>
      <c r="AN15" s="27" t="e">
        <f>#REF!*KeyInputs!#REF!</f>
        <v>#REF!</v>
      </c>
      <c r="AO15" s="27" t="e">
        <f>#REF!*KeyInputs!#REF!</f>
        <v>#REF!</v>
      </c>
    </row>
    <row r="16" spans="1:41" x14ac:dyDescent="0.3">
      <c r="A16" s="30"/>
      <c r="B16" s="25" t="e">
        <f ca="1">L5</f>
        <v>#REF!</v>
      </c>
      <c r="C16" s="27"/>
      <c r="D16" s="27"/>
      <c r="E16" s="25"/>
      <c r="F16" s="25"/>
      <c r="G16" s="25"/>
      <c r="H16" s="25"/>
      <c r="I16" s="25"/>
      <c r="J16" s="25"/>
      <c r="K16" s="25"/>
      <c r="L16" s="27" t="e">
        <f>#REF!*KeyInputs!#REF!</f>
        <v>#REF!</v>
      </c>
      <c r="M16" s="27" t="e">
        <f>#REF!*KeyInputs!#REF!</f>
        <v>#REF!</v>
      </c>
      <c r="N16" s="27" t="e">
        <f>#REF!*KeyInputs!#REF!</f>
        <v>#REF!</v>
      </c>
      <c r="O16" s="27" t="e">
        <f>#REF!*KeyInputs!#REF!</f>
        <v>#REF!</v>
      </c>
      <c r="P16" s="27"/>
      <c r="Q16" s="27" t="e">
        <f>#REF!*KeyInputs!#REF!</f>
        <v>#REF!</v>
      </c>
      <c r="R16" s="27" t="e">
        <f>#REF!*KeyInputs!#REF!</f>
        <v>#REF!</v>
      </c>
      <c r="S16" s="25"/>
      <c r="T16" s="25"/>
      <c r="U16" s="25"/>
      <c r="V16" s="25"/>
      <c r="W16" s="25"/>
      <c r="X16" s="25"/>
      <c r="Y16" s="27" t="e">
        <f>#REF!*KeyInputs!#REF!</f>
        <v>#REF!</v>
      </c>
      <c r="Z16" s="27" t="e">
        <f>#REF!*KeyInputs!#REF!</f>
        <v>#REF!</v>
      </c>
      <c r="AA16" s="27" t="e">
        <f>#REF!*KeyInputs!#REF!</f>
        <v>#REF!</v>
      </c>
      <c r="AB16" s="27" t="e">
        <f>#REF!*KeyInputs!#REF!</f>
        <v>#REF!</v>
      </c>
      <c r="AC16" s="27"/>
      <c r="AD16" s="27" t="e">
        <f>#REF!*KeyInputs!#REF!</f>
        <v>#REF!</v>
      </c>
      <c r="AE16" s="27" t="e">
        <f>#REF!*KeyInputs!#REF!</f>
        <v>#REF!</v>
      </c>
      <c r="AF16" s="25"/>
      <c r="AG16" s="25"/>
      <c r="AH16" s="25"/>
      <c r="AI16" s="25"/>
      <c r="AJ16" s="25"/>
      <c r="AK16" s="25"/>
      <c r="AL16" s="27" t="e">
        <f>#REF!*KeyInputs!#REF!</f>
        <v>#REF!</v>
      </c>
      <c r="AM16" s="27" t="e">
        <f>#REF!*KeyInputs!#REF!</f>
        <v>#REF!</v>
      </c>
      <c r="AN16" s="27" t="e">
        <f>#REF!*KeyInputs!#REF!</f>
        <v>#REF!</v>
      </c>
      <c r="AO16" s="27" t="e">
        <f>#REF!*KeyInputs!#REF!</f>
        <v>#REF!</v>
      </c>
    </row>
    <row r="17" spans="1:41" x14ac:dyDescent="0.3">
      <c r="A17" s="25"/>
      <c r="B17" s="25" t="e">
        <f ca="1">M5</f>
        <v>#REF!</v>
      </c>
      <c r="C17" s="27"/>
      <c r="D17" s="27"/>
      <c r="E17" s="25"/>
      <c r="F17" s="25"/>
      <c r="G17" s="25"/>
      <c r="H17" s="25"/>
      <c r="I17" s="25"/>
      <c r="J17" s="25"/>
      <c r="K17" s="25"/>
      <c r="L17" s="25"/>
      <c r="M17" s="27" t="e">
        <f>#REF!*KeyInputs!#REF!</f>
        <v>#REF!</v>
      </c>
      <c r="N17" s="27" t="e">
        <f>#REF!*KeyInputs!#REF!</f>
        <v>#REF!</v>
      </c>
      <c r="O17" s="27" t="e">
        <f>#REF!*KeyInputs!#REF!</f>
        <v>#REF!</v>
      </c>
      <c r="P17" s="27"/>
      <c r="Q17" s="27" t="e">
        <f>#REF!*KeyInputs!#REF!</f>
        <v>#REF!</v>
      </c>
      <c r="R17" s="27" t="e">
        <f>#REF!*KeyInputs!#REF!</f>
        <v>#REF!</v>
      </c>
      <c r="S17" s="27" t="e">
        <f>#REF!*KeyInputs!#REF!</f>
        <v>#REF!</v>
      </c>
      <c r="T17" s="25"/>
      <c r="U17" s="25"/>
      <c r="V17" s="25"/>
      <c r="W17" s="25"/>
      <c r="X17" s="25"/>
      <c r="Y17" s="25"/>
      <c r="Z17" s="27" t="e">
        <f>#REF!*KeyInputs!#REF!</f>
        <v>#REF!</v>
      </c>
      <c r="AA17" s="27" t="e">
        <f>#REF!*KeyInputs!#REF!</f>
        <v>#REF!</v>
      </c>
      <c r="AB17" s="27" t="e">
        <f>#REF!*KeyInputs!#REF!</f>
        <v>#REF!</v>
      </c>
      <c r="AC17" s="27"/>
      <c r="AD17" s="27" t="e">
        <f>#REF!*KeyInputs!#REF!</f>
        <v>#REF!</v>
      </c>
      <c r="AE17" s="27" t="e">
        <f>#REF!*KeyInputs!#REF!</f>
        <v>#REF!</v>
      </c>
      <c r="AF17" s="27" t="e">
        <f>#REF!*KeyInputs!#REF!</f>
        <v>#REF!</v>
      </c>
      <c r="AG17" s="25"/>
      <c r="AH17" s="25"/>
      <c r="AI17" s="25"/>
      <c r="AJ17" s="25"/>
      <c r="AK17" s="25"/>
      <c r="AL17" s="25"/>
      <c r="AM17" s="27" t="e">
        <f>#REF!*KeyInputs!#REF!</f>
        <v>#REF!</v>
      </c>
      <c r="AN17" s="27" t="e">
        <f>#REF!*KeyInputs!#REF!</f>
        <v>#REF!</v>
      </c>
      <c r="AO17" s="27" t="e">
        <f>#REF!*KeyInputs!#REF!</f>
        <v>#REF!</v>
      </c>
    </row>
    <row r="18" spans="1:41" x14ac:dyDescent="0.3">
      <c r="A18" s="25"/>
      <c r="B18" s="25" t="e">
        <f ca="1">N5</f>
        <v>#REF!</v>
      </c>
      <c r="C18" s="27"/>
      <c r="D18" s="27"/>
      <c r="E18" s="25"/>
      <c r="F18" s="25"/>
      <c r="G18" s="25"/>
      <c r="H18" s="25"/>
      <c r="I18" s="25"/>
      <c r="J18" s="25"/>
      <c r="K18" s="25"/>
      <c r="L18" s="25"/>
      <c r="M18" s="25"/>
      <c r="N18" s="27" t="e">
        <f>#REF!*KeyInputs!#REF!</f>
        <v>#REF!</v>
      </c>
      <c r="O18" s="27" t="e">
        <f>#REF!*KeyInputs!#REF!</f>
        <v>#REF!</v>
      </c>
      <c r="P18" s="27"/>
      <c r="Q18" s="27" t="e">
        <f>#REF!*KeyInputs!#REF!</f>
        <v>#REF!</v>
      </c>
      <c r="R18" s="27" t="e">
        <f>#REF!*KeyInputs!#REF!</f>
        <v>#REF!</v>
      </c>
      <c r="S18" s="27" t="e">
        <f>#REF!*KeyInputs!#REF!</f>
        <v>#REF!</v>
      </c>
      <c r="T18" s="27" t="e">
        <f>#REF!*KeyInputs!#REF!</f>
        <v>#REF!</v>
      </c>
      <c r="U18" s="25"/>
      <c r="V18" s="25"/>
      <c r="W18" s="25"/>
      <c r="X18" s="25"/>
      <c r="Y18" s="25"/>
      <c r="Z18" s="25"/>
      <c r="AA18" s="27" t="e">
        <f>#REF!*KeyInputs!#REF!</f>
        <v>#REF!</v>
      </c>
      <c r="AB18" s="27" t="e">
        <f>#REF!*KeyInputs!#REF!</f>
        <v>#REF!</v>
      </c>
      <c r="AC18" s="27"/>
      <c r="AD18" s="27" t="e">
        <f>#REF!*KeyInputs!#REF!</f>
        <v>#REF!</v>
      </c>
      <c r="AE18" s="27" t="e">
        <f>#REF!*KeyInputs!#REF!</f>
        <v>#REF!</v>
      </c>
      <c r="AF18" s="27" t="e">
        <f>#REF!*KeyInputs!#REF!</f>
        <v>#REF!</v>
      </c>
      <c r="AG18" s="27" t="e">
        <f>#REF!*KeyInputs!#REF!</f>
        <v>#REF!</v>
      </c>
      <c r="AH18" s="25"/>
      <c r="AI18" s="25"/>
      <c r="AJ18" s="25"/>
      <c r="AK18" s="25"/>
      <c r="AL18" s="25"/>
      <c r="AM18" s="25"/>
      <c r="AN18" s="27" t="e">
        <f>#REF!*KeyInputs!#REF!</f>
        <v>#REF!</v>
      </c>
      <c r="AO18" s="27" t="e">
        <f>#REF!*KeyInputs!#REF!</f>
        <v>#REF!</v>
      </c>
    </row>
    <row r="19" spans="1:41" x14ac:dyDescent="0.3">
      <c r="A19" s="25"/>
      <c r="B19" s="25" t="e">
        <f ca="1">O5</f>
        <v>#REF!</v>
      </c>
      <c r="C19" s="27"/>
      <c r="D19" s="27"/>
      <c r="E19" s="25"/>
      <c r="F19" s="25"/>
      <c r="G19" s="25"/>
      <c r="H19" s="25"/>
      <c r="I19" s="25"/>
      <c r="J19" s="25"/>
      <c r="K19" s="25"/>
      <c r="L19" s="25"/>
      <c r="M19" s="25"/>
      <c r="N19" s="25"/>
      <c r="O19" s="27" t="e">
        <f>#REF!*KeyInputs!#REF!</f>
        <v>#REF!</v>
      </c>
      <c r="P19" s="27"/>
      <c r="Q19" s="27" t="e">
        <f>#REF!*KeyInputs!#REF!</f>
        <v>#REF!</v>
      </c>
      <c r="R19" s="27" t="e">
        <f>#REF!*KeyInputs!#REF!</f>
        <v>#REF!</v>
      </c>
      <c r="S19" s="27" t="e">
        <f>#REF!*KeyInputs!#REF!</f>
        <v>#REF!</v>
      </c>
      <c r="T19" s="27" t="e">
        <f>#REF!*KeyInputs!#REF!</f>
        <v>#REF!</v>
      </c>
      <c r="U19" s="27" t="e">
        <f>#REF!*KeyInputs!#REF!</f>
        <v>#REF!</v>
      </c>
      <c r="V19" s="25"/>
      <c r="W19" s="25"/>
      <c r="X19" s="25"/>
      <c r="Y19" s="25"/>
      <c r="Z19" s="25"/>
      <c r="AA19" s="25"/>
      <c r="AB19" s="27" t="e">
        <f>#REF!*KeyInputs!#REF!</f>
        <v>#REF!</v>
      </c>
      <c r="AC19" s="27"/>
      <c r="AD19" s="27" t="e">
        <f>#REF!*KeyInputs!#REF!</f>
        <v>#REF!</v>
      </c>
      <c r="AE19" s="27" t="e">
        <f>#REF!*KeyInputs!#REF!</f>
        <v>#REF!</v>
      </c>
      <c r="AF19" s="27" t="e">
        <f>#REF!*KeyInputs!#REF!</f>
        <v>#REF!</v>
      </c>
      <c r="AG19" s="27" t="e">
        <f>#REF!*KeyInputs!#REF!</f>
        <v>#REF!</v>
      </c>
      <c r="AH19" s="27" t="e">
        <f>#REF!*KeyInputs!#REF!</f>
        <v>#REF!</v>
      </c>
      <c r="AI19" s="25"/>
      <c r="AJ19" s="25"/>
      <c r="AK19" s="25"/>
      <c r="AL19" s="25"/>
      <c r="AM19" s="25"/>
      <c r="AN19" s="25"/>
      <c r="AO19" s="27" t="e">
        <f>#REF!*KeyInputs!#REF!</f>
        <v>#REF!</v>
      </c>
    </row>
    <row r="20" spans="1:41" x14ac:dyDescent="0.3">
      <c r="A20" s="25"/>
      <c r="B20" s="25"/>
      <c r="C20" s="25" t="e">
        <f>SUM(C7:C19)</f>
        <v>#REF!</v>
      </c>
      <c r="D20" s="25" t="e">
        <f t="shared" ref="D20:O20" si="0">SUM(D7:D19)</f>
        <v>#REF!</v>
      </c>
      <c r="E20" s="25" t="e">
        <f t="shared" si="0"/>
        <v>#REF!</v>
      </c>
      <c r="F20" s="25" t="e">
        <f t="shared" si="0"/>
        <v>#REF!</v>
      </c>
      <c r="G20" s="25" t="e">
        <f t="shared" si="0"/>
        <v>#REF!</v>
      </c>
      <c r="H20" s="25" t="e">
        <f t="shared" si="0"/>
        <v>#REF!</v>
      </c>
      <c r="I20" s="25" t="e">
        <f t="shared" si="0"/>
        <v>#REF!</v>
      </c>
      <c r="J20" s="25" t="e">
        <f t="shared" si="0"/>
        <v>#REF!</v>
      </c>
      <c r="K20" s="25" t="e">
        <f t="shared" si="0"/>
        <v>#REF!</v>
      </c>
      <c r="L20" s="25" t="e">
        <f t="shared" si="0"/>
        <v>#REF!</v>
      </c>
      <c r="M20" s="25" t="e">
        <f t="shared" si="0"/>
        <v>#REF!</v>
      </c>
      <c r="N20" s="25" t="e">
        <f t="shared" si="0"/>
        <v>#REF!</v>
      </c>
      <c r="O20" s="25" t="e">
        <f t="shared" si="0"/>
        <v>#REF!</v>
      </c>
      <c r="Q20" s="25" t="e">
        <f t="shared" ref="Q20:AB20" si="1">SUM(Q7:Q19)</f>
        <v>#REF!</v>
      </c>
      <c r="R20" s="25" t="e">
        <f t="shared" si="1"/>
        <v>#REF!</v>
      </c>
      <c r="S20" s="25" t="e">
        <f t="shared" si="1"/>
        <v>#REF!</v>
      </c>
      <c r="T20" s="25" t="e">
        <f t="shared" si="1"/>
        <v>#REF!</v>
      </c>
      <c r="U20" s="25" t="e">
        <f t="shared" si="1"/>
        <v>#REF!</v>
      </c>
      <c r="V20" s="25" t="e">
        <f t="shared" si="1"/>
        <v>#REF!</v>
      </c>
      <c r="W20" s="25" t="e">
        <f t="shared" si="1"/>
        <v>#REF!</v>
      </c>
      <c r="X20" s="25" t="e">
        <f t="shared" si="1"/>
        <v>#REF!</v>
      </c>
      <c r="Y20" s="25" t="e">
        <f t="shared" si="1"/>
        <v>#REF!</v>
      </c>
      <c r="Z20" s="25" t="e">
        <f t="shared" si="1"/>
        <v>#REF!</v>
      </c>
      <c r="AA20" s="25" t="e">
        <f t="shared" si="1"/>
        <v>#REF!</v>
      </c>
      <c r="AB20" s="25" t="e">
        <f t="shared" si="1"/>
        <v>#REF!</v>
      </c>
      <c r="AD20" s="25" t="e">
        <f t="shared" ref="AD20:AO20" si="2">SUM(AD7:AD19)</f>
        <v>#REF!</v>
      </c>
      <c r="AE20" s="25" t="e">
        <f t="shared" si="2"/>
        <v>#REF!</v>
      </c>
      <c r="AF20" s="25" t="e">
        <f t="shared" si="2"/>
        <v>#REF!</v>
      </c>
      <c r="AG20" s="25" t="e">
        <f t="shared" si="2"/>
        <v>#REF!</v>
      </c>
      <c r="AH20" s="25" t="e">
        <f t="shared" si="2"/>
        <v>#REF!</v>
      </c>
      <c r="AI20" s="25" t="e">
        <f t="shared" si="2"/>
        <v>#REF!</v>
      </c>
      <c r="AJ20" s="25" t="e">
        <f t="shared" si="2"/>
        <v>#REF!</v>
      </c>
      <c r="AK20" s="25" t="e">
        <f t="shared" si="2"/>
        <v>#REF!</v>
      </c>
      <c r="AL20" s="25" t="e">
        <f t="shared" si="2"/>
        <v>#REF!</v>
      </c>
      <c r="AM20" s="25" t="e">
        <f t="shared" si="2"/>
        <v>#REF!</v>
      </c>
      <c r="AN20" s="25" t="e">
        <f t="shared" si="2"/>
        <v>#REF!</v>
      </c>
      <c r="AO20" s="25" t="e">
        <f t="shared" si="2"/>
        <v>#REF!</v>
      </c>
    </row>
    <row r="21" spans="1:41" x14ac:dyDescent="0.3">
      <c r="A21" s="25"/>
      <c r="B21" s="25"/>
      <c r="C21" s="25"/>
      <c r="D21" s="25"/>
      <c r="E21" s="25"/>
      <c r="F21" s="25"/>
      <c r="G21" s="25"/>
      <c r="H21" s="25"/>
      <c r="I21" s="25"/>
      <c r="J21" s="25"/>
      <c r="K21" s="25"/>
      <c r="L21" s="25"/>
      <c r="M21" s="25"/>
      <c r="N21" s="25"/>
      <c r="O21" s="25"/>
    </row>
    <row r="23" spans="1:41" x14ac:dyDescent="0.3">
      <c r="C23" s="27"/>
      <c r="D23" s="27"/>
      <c r="E23" s="27"/>
      <c r="F23" s="27"/>
      <c r="G23" s="27"/>
      <c r="H23" s="27"/>
      <c r="I23" s="25"/>
      <c r="J23" s="25"/>
      <c r="K23" s="25"/>
      <c r="L23" s="25"/>
      <c r="M23" s="25"/>
      <c r="N23" s="25"/>
      <c r="O23" s="25"/>
    </row>
    <row r="24" spans="1:41" x14ac:dyDescent="0.3">
      <c r="C24" s="27"/>
      <c r="D24" s="27"/>
      <c r="E24" s="27"/>
      <c r="F24" s="27"/>
      <c r="G24" s="27"/>
      <c r="H24" s="27"/>
      <c r="I24" s="27"/>
      <c r="J24" s="25"/>
      <c r="K24" s="25"/>
      <c r="L24" s="25"/>
      <c r="M24" s="25"/>
      <c r="N24" s="25"/>
      <c r="O24" s="25"/>
    </row>
    <row r="25" spans="1:41" x14ac:dyDescent="0.3">
      <c r="C25" s="27"/>
      <c r="D25" s="27"/>
      <c r="E25" s="27"/>
      <c r="F25" s="27"/>
      <c r="G25" s="27"/>
      <c r="H25" s="27"/>
      <c r="I25" s="27"/>
      <c r="J25" s="27"/>
      <c r="K25" s="25"/>
      <c r="L25" s="25"/>
      <c r="M25" s="25"/>
      <c r="N25" s="25"/>
      <c r="O25" s="25"/>
    </row>
    <row r="26" spans="1:41" x14ac:dyDescent="0.3">
      <c r="C26" s="27"/>
      <c r="D26" s="27"/>
      <c r="E26" s="25"/>
      <c r="F26" s="27"/>
      <c r="G26" s="27"/>
      <c r="H26" s="27"/>
      <c r="I26" s="27"/>
      <c r="J26" s="27"/>
      <c r="K26" s="27"/>
      <c r="L26" s="25"/>
      <c r="M26" s="25"/>
      <c r="N26" s="25"/>
      <c r="O26" s="25"/>
    </row>
    <row r="27" spans="1:41" x14ac:dyDescent="0.3">
      <c r="C27" s="27"/>
      <c r="D27" s="27"/>
      <c r="E27" s="25"/>
      <c r="F27" s="25"/>
      <c r="G27" s="27"/>
      <c r="H27" s="27"/>
      <c r="I27" s="27"/>
      <c r="J27" s="27"/>
      <c r="K27" s="27"/>
      <c r="L27" s="27"/>
      <c r="M27" s="25"/>
      <c r="N27" s="25"/>
      <c r="O27" s="25"/>
    </row>
    <row r="28" spans="1:41" x14ac:dyDescent="0.3">
      <c r="C28" s="27"/>
      <c r="D28" s="27"/>
      <c r="E28" s="25"/>
      <c r="F28" s="25"/>
      <c r="G28" s="25"/>
      <c r="H28" s="27"/>
      <c r="I28" s="27"/>
      <c r="J28" s="27"/>
      <c r="K28" s="27"/>
      <c r="L28" s="27"/>
      <c r="M28" s="27"/>
      <c r="N28" s="25"/>
      <c r="O28" s="25"/>
    </row>
    <row r="29" spans="1:41" x14ac:dyDescent="0.3">
      <c r="C29" s="27"/>
      <c r="D29" s="27"/>
      <c r="E29" s="25"/>
      <c r="F29" s="25"/>
      <c r="G29" s="25"/>
      <c r="H29" s="25"/>
      <c r="I29" s="27"/>
      <c r="J29" s="27"/>
      <c r="K29" s="27"/>
      <c r="L29" s="27"/>
      <c r="M29" s="27"/>
      <c r="N29" s="27"/>
      <c r="O29" s="25"/>
    </row>
    <row r="30" spans="1:41" x14ac:dyDescent="0.3">
      <c r="C30" s="27"/>
      <c r="D30" s="27"/>
      <c r="E30" s="25"/>
      <c r="F30" s="25"/>
      <c r="G30" s="25"/>
      <c r="H30" s="25"/>
      <c r="I30" s="25"/>
      <c r="J30" s="27"/>
      <c r="K30" s="27"/>
      <c r="L30" s="27"/>
      <c r="M30" s="27"/>
      <c r="N30" s="27"/>
      <c r="O30" s="27"/>
    </row>
    <row r="31" spans="1:41" x14ac:dyDescent="0.3">
      <c r="C31" s="27"/>
      <c r="D31" s="27"/>
      <c r="E31" s="25"/>
      <c r="F31" s="25"/>
      <c r="G31" s="25"/>
      <c r="H31" s="25"/>
      <c r="I31" s="25"/>
      <c r="J31" s="25"/>
      <c r="K31" s="27"/>
      <c r="L31" s="27"/>
      <c r="M31" s="27"/>
      <c r="N31" s="27"/>
      <c r="O31" s="27"/>
      <c r="P31" s="27"/>
    </row>
    <row r="32" spans="1:41" x14ac:dyDescent="0.3">
      <c r="C32" s="27"/>
      <c r="D32" s="27"/>
      <c r="E32" s="25"/>
      <c r="F32" s="25"/>
      <c r="G32" s="25"/>
      <c r="H32" s="25"/>
      <c r="I32" s="25"/>
      <c r="J32" s="25"/>
      <c r="K32" s="25"/>
      <c r="L32" s="27"/>
      <c r="M32" s="27"/>
      <c r="N32" s="27"/>
      <c r="O32" s="27"/>
      <c r="P32" s="27"/>
      <c r="Q32" s="27"/>
    </row>
    <row r="33" spans="3:15" x14ac:dyDescent="0.3">
      <c r="C33" s="27"/>
      <c r="D33" s="27"/>
      <c r="E33" s="25"/>
      <c r="F33" s="25"/>
      <c r="G33" s="25"/>
      <c r="H33" s="25"/>
      <c r="I33" s="25"/>
      <c r="J33" s="25"/>
      <c r="K33" s="25"/>
      <c r="L33" s="25"/>
      <c r="M33" s="27"/>
      <c r="N33" s="27"/>
      <c r="O33" s="27"/>
    </row>
    <row r="34" spans="3:15" x14ac:dyDescent="0.3">
      <c r="C34" s="27"/>
      <c r="D34" s="27"/>
      <c r="E34" s="25"/>
      <c r="F34" s="25"/>
      <c r="G34" s="25"/>
      <c r="H34" s="25"/>
      <c r="I34" s="25"/>
      <c r="J34" s="25"/>
      <c r="K34" s="25"/>
      <c r="L34" s="25"/>
      <c r="M34" s="25"/>
      <c r="N34" s="27"/>
      <c r="O34" s="27"/>
    </row>
    <row r="35" spans="3:15" x14ac:dyDescent="0.3">
      <c r="C35" s="27"/>
      <c r="D35" s="27"/>
      <c r="E35" s="25"/>
      <c r="F35" s="25"/>
      <c r="G35" s="25"/>
      <c r="H35" s="25"/>
      <c r="I35" s="25"/>
      <c r="J35" s="25"/>
      <c r="K35" s="25"/>
      <c r="L35" s="25"/>
      <c r="M35" s="25"/>
      <c r="N35" s="25"/>
      <c r="O35" s="27"/>
    </row>
  </sheetData>
  <mergeCells count="3">
    <mergeCell ref="AD4:AO4"/>
    <mergeCell ref="D4:O4"/>
    <mergeCell ref="Q4:AB4"/>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A1:BZ34"/>
  <sheetViews>
    <sheetView showGridLines="0" zoomScale="80" zoomScaleNormal="80" zoomScalePageLayoutView="80" workbookViewId="0">
      <pane xSplit="10" ySplit="8" topLeftCell="Q9" activePane="bottomRight" state="frozen"/>
      <selection activeCell="C10" sqref="C10"/>
      <selection pane="topRight" activeCell="C10" sqref="C10"/>
      <selection pane="bottomLeft" activeCell="C10" sqref="C10"/>
      <selection pane="bottomRight" activeCell="U12" sqref="U12"/>
    </sheetView>
  </sheetViews>
  <sheetFormatPr defaultColWidth="8.88671875" defaultRowHeight="13.2" x14ac:dyDescent="0.25"/>
  <cols>
    <col min="1" max="1" width="5.109375" style="139" customWidth="1"/>
    <col min="2" max="2" width="26.109375" style="139" bestFit="1" customWidth="1"/>
    <col min="3" max="3" width="5.88671875" style="139" customWidth="1"/>
    <col min="4" max="4" width="9.33203125" style="139" customWidth="1"/>
    <col min="5" max="9" width="10" style="139" bestFit="1" customWidth="1"/>
    <col min="10" max="10" width="3.44140625" style="139" customWidth="1"/>
    <col min="11" max="70" width="11.44140625" style="139" bestFit="1" customWidth="1"/>
    <col min="71" max="71" width="3" style="139" customWidth="1"/>
    <col min="72" max="72" width="13.88671875" style="71" bestFit="1" customWidth="1"/>
    <col min="73" max="16384" width="8.88671875" style="139"/>
  </cols>
  <sheetData>
    <row r="1" spans="1:78" s="285" customFormat="1" x14ac:dyDescent="0.25"/>
    <row r="2" spans="1:78" s="285" customFormat="1" x14ac:dyDescent="0.25"/>
    <row r="3" spans="1:78" s="285" customFormat="1" x14ac:dyDescent="0.25">
      <c r="A3" s="286" t="str">
        <f>IF(KeyInputs!$F$14=0,"Company Name",KeyInputs!$F$14)</f>
        <v>Company Name</v>
      </c>
      <c r="C3" s="286"/>
      <c r="D3" s="286"/>
      <c r="E3" s="286"/>
      <c r="F3" s="286"/>
      <c r="G3" s="286"/>
      <c r="H3" s="286"/>
      <c r="I3" s="286"/>
      <c r="J3" s="286"/>
    </row>
    <row r="4" spans="1:78" s="285" customFormat="1" x14ac:dyDescent="0.25">
      <c r="A4" s="303" t="s">
        <v>393</v>
      </c>
    </row>
    <row r="5" spans="1:78" s="285" customFormat="1" x14ac:dyDescent="0.25">
      <c r="D5" s="287" t="str">
        <f>KeyInputs!D5</f>
        <v>Year</v>
      </c>
      <c r="E5" s="287">
        <f>KeyInputs!H5</f>
        <v>2015</v>
      </c>
      <c r="F5" s="287">
        <f>KeyInputs!I5</f>
        <v>2016</v>
      </c>
      <c r="G5" s="287">
        <f>KeyInputs!J5</f>
        <v>2017</v>
      </c>
      <c r="H5" s="287">
        <f>KeyInputs!K5</f>
        <v>2018</v>
      </c>
      <c r="I5" s="287">
        <f>KeyInputs!L5</f>
        <v>2019</v>
      </c>
      <c r="J5" s="287"/>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8" customFormat="1" x14ac:dyDescent="0.25">
      <c r="D6" s="287" t="str">
        <f>KeyInputs!D6</f>
        <v>Period number</v>
      </c>
      <c r="E6" s="287">
        <f>KeyInputs!H6</f>
        <v>1</v>
      </c>
      <c r="F6" s="287">
        <f>KeyInputs!I6</f>
        <v>2</v>
      </c>
      <c r="G6" s="287">
        <f>KeyInputs!J6</f>
        <v>3</v>
      </c>
      <c r="H6" s="287">
        <f>KeyInputs!K6</f>
        <v>4</v>
      </c>
      <c r="I6" s="287">
        <f>KeyInputs!L6</f>
        <v>5</v>
      </c>
      <c r="J6" s="287"/>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8" customFormat="1" x14ac:dyDescent="0.25">
      <c r="D7" s="287" t="str">
        <f>KeyInputs!D7</f>
        <v>Period starts</v>
      </c>
      <c r="E7" s="294">
        <f>KeyInputs!H7</f>
        <v>42005</v>
      </c>
      <c r="F7" s="294">
        <f>KeyInputs!I7</f>
        <v>42370</v>
      </c>
      <c r="G7" s="294">
        <f>KeyInputs!J7</f>
        <v>42736</v>
      </c>
      <c r="H7" s="294">
        <f>KeyInputs!K7</f>
        <v>43101</v>
      </c>
      <c r="I7" s="294">
        <f>KeyInputs!L7</f>
        <v>43466</v>
      </c>
      <c r="J7" s="287"/>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2" customFormat="1"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87"/>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8"/>
      <c r="BT8" s="288"/>
      <c r="BU8" s="288"/>
      <c r="BV8" s="288"/>
      <c r="BW8" s="288"/>
      <c r="BX8" s="288"/>
      <c r="BY8" s="288"/>
      <c r="BZ8" s="288"/>
    </row>
    <row r="9" spans="1:78" s="96" customFormat="1" x14ac:dyDescent="0.25">
      <c r="A9" s="95"/>
      <c r="D9" s="97"/>
      <c r="E9" s="98"/>
      <c r="F9" s="98"/>
      <c r="G9" s="98"/>
      <c r="H9" s="98"/>
      <c r="I9" s="98"/>
      <c r="J9" s="97"/>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row>
    <row r="10" spans="1:78" s="166" customFormat="1" ht="15.6" x14ac:dyDescent="0.3">
      <c r="A10" s="166">
        <f>Header1</f>
        <v>1</v>
      </c>
      <c r="B10" s="166" t="s">
        <v>393</v>
      </c>
    </row>
    <row r="11" spans="1:78" s="96" customFormat="1" x14ac:dyDescent="0.25">
      <c r="A11" s="95"/>
      <c r="D11" s="97"/>
      <c r="E11" s="98"/>
      <c r="F11" s="98"/>
      <c r="G11" s="98"/>
      <c r="H11" s="98"/>
      <c r="I11" s="98"/>
      <c r="J11" s="97"/>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row>
    <row r="12" spans="1:78" s="140" customFormat="1" x14ac:dyDescent="0.25">
      <c r="B12" s="195" t="s">
        <v>395</v>
      </c>
      <c r="C12" s="157"/>
      <c r="D12" s="200" t="str">
        <f t="shared" ref="D12:D32" si="0">unit</f>
        <v>£</v>
      </c>
      <c r="E12" s="94">
        <f>SUMIF($K$5:$BR$5,E$5,$K12:$BR12)</f>
        <v>0</v>
      </c>
      <c r="F12" s="94">
        <f t="shared" ref="F12:I12" si="1">SUMIF($K$5:$BR$5,F$5,$K12:$BR12)</f>
        <v>0</v>
      </c>
      <c r="G12" s="94">
        <f t="shared" si="1"/>
        <v>0</v>
      </c>
      <c r="H12" s="94">
        <f t="shared" si="1"/>
        <v>0</v>
      </c>
      <c r="I12" s="94">
        <f t="shared" si="1"/>
        <v>0</v>
      </c>
      <c r="J12" s="157"/>
      <c r="K12" s="144"/>
      <c r="L12" s="144"/>
      <c r="M12" s="144"/>
      <c r="N12" s="144"/>
      <c r="O12" s="144"/>
      <c r="P12" s="144"/>
      <c r="Q12" s="144"/>
      <c r="R12" s="144"/>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c r="AR12" s="144"/>
      <c r="AS12" s="144"/>
      <c r="AT12" s="144"/>
      <c r="AU12" s="144"/>
      <c r="AV12" s="144"/>
      <c r="AW12" s="144"/>
      <c r="AX12" s="144"/>
      <c r="AY12" s="144"/>
      <c r="AZ12" s="144"/>
      <c r="BA12" s="144"/>
      <c r="BB12" s="144"/>
      <c r="BC12" s="144"/>
      <c r="BD12" s="144"/>
      <c r="BE12" s="144"/>
      <c r="BF12" s="144"/>
      <c r="BG12" s="144"/>
      <c r="BH12" s="144"/>
      <c r="BI12" s="144"/>
      <c r="BJ12" s="144"/>
      <c r="BK12" s="144"/>
      <c r="BL12" s="144"/>
      <c r="BM12" s="144"/>
      <c r="BN12" s="144"/>
      <c r="BO12" s="144"/>
      <c r="BP12" s="144"/>
      <c r="BQ12" s="144"/>
      <c r="BR12" s="144"/>
      <c r="BT12" s="89"/>
    </row>
    <row r="13" spans="1:78" s="140" customFormat="1" x14ac:dyDescent="0.25">
      <c r="B13" s="195" t="s">
        <v>396</v>
      </c>
      <c r="C13" s="157"/>
      <c r="D13" s="200" t="str">
        <f t="shared" si="0"/>
        <v>£</v>
      </c>
      <c r="E13" s="94">
        <f t="shared" ref="E13:I31" si="2">SUMIF($K$5:$BR$5,E$5,$K13:$BR13)</f>
        <v>0</v>
      </c>
      <c r="F13" s="94">
        <f t="shared" si="2"/>
        <v>0</v>
      </c>
      <c r="G13" s="94">
        <f t="shared" si="2"/>
        <v>0</v>
      </c>
      <c r="H13" s="94">
        <f t="shared" si="2"/>
        <v>0</v>
      </c>
      <c r="I13" s="94">
        <f t="shared" si="2"/>
        <v>0</v>
      </c>
      <c r="J13" s="157"/>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T13" s="89"/>
    </row>
    <row r="14" spans="1:78" s="140" customFormat="1" x14ac:dyDescent="0.25">
      <c r="B14" s="195" t="s">
        <v>397</v>
      </c>
      <c r="C14" s="157"/>
      <c r="D14" s="200" t="str">
        <f t="shared" si="0"/>
        <v>£</v>
      </c>
      <c r="E14" s="94">
        <f t="shared" si="2"/>
        <v>0</v>
      </c>
      <c r="F14" s="94">
        <f t="shared" si="2"/>
        <v>0</v>
      </c>
      <c r="G14" s="94">
        <f t="shared" si="2"/>
        <v>0</v>
      </c>
      <c r="H14" s="94">
        <f t="shared" si="2"/>
        <v>0</v>
      </c>
      <c r="I14" s="94">
        <f t="shared" si="2"/>
        <v>0</v>
      </c>
      <c r="J14" s="157"/>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4"/>
      <c r="BT14" s="89"/>
    </row>
    <row r="15" spans="1:78" s="140" customFormat="1" x14ac:dyDescent="0.25">
      <c r="B15" s="195" t="s">
        <v>398</v>
      </c>
      <c r="C15" s="157"/>
      <c r="D15" s="200" t="str">
        <f t="shared" si="0"/>
        <v>£</v>
      </c>
      <c r="E15" s="94">
        <f t="shared" si="2"/>
        <v>0</v>
      </c>
      <c r="F15" s="94">
        <f t="shared" si="2"/>
        <v>0</v>
      </c>
      <c r="G15" s="94">
        <f t="shared" si="2"/>
        <v>0</v>
      </c>
      <c r="H15" s="94">
        <f t="shared" si="2"/>
        <v>0</v>
      </c>
      <c r="I15" s="94">
        <f t="shared" si="2"/>
        <v>0</v>
      </c>
      <c r="J15" s="157"/>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4"/>
      <c r="BO15" s="144"/>
      <c r="BP15" s="144"/>
      <c r="BQ15" s="144"/>
      <c r="BR15" s="144"/>
      <c r="BT15" s="89"/>
    </row>
    <row r="16" spans="1:78" s="140" customFormat="1" x14ac:dyDescent="0.25">
      <c r="B16" s="195" t="s">
        <v>399</v>
      </c>
      <c r="C16" s="157"/>
      <c r="D16" s="200" t="str">
        <f t="shared" si="0"/>
        <v>£</v>
      </c>
      <c r="E16" s="94">
        <f t="shared" si="2"/>
        <v>0</v>
      </c>
      <c r="F16" s="94">
        <f t="shared" si="2"/>
        <v>0</v>
      </c>
      <c r="G16" s="94">
        <f t="shared" si="2"/>
        <v>0</v>
      </c>
      <c r="H16" s="94">
        <f t="shared" si="2"/>
        <v>0</v>
      </c>
      <c r="I16" s="94">
        <f t="shared" si="2"/>
        <v>0</v>
      </c>
      <c r="J16" s="157"/>
      <c r="K16" s="144"/>
      <c r="L16" s="144"/>
      <c r="M16" s="144"/>
      <c r="N16" s="144"/>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c r="AR16" s="144"/>
      <c r="AS16" s="144"/>
      <c r="AT16" s="144"/>
      <c r="AU16" s="144"/>
      <c r="AV16" s="144"/>
      <c r="AW16" s="144"/>
      <c r="AX16" s="144"/>
      <c r="AY16" s="144"/>
      <c r="AZ16" s="144"/>
      <c r="BA16" s="144"/>
      <c r="BB16" s="144"/>
      <c r="BC16" s="144"/>
      <c r="BD16" s="144"/>
      <c r="BE16" s="144"/>
      <c r="BF16" s="144"/>
      <c r="BG16" s="144"/>
      <c r="BH16" s="144"/>
      <c r="BI16" s="144"/>
      <c r="BJ16" s="144"/>
      <c r="BK16" s="144"/>
      <c r="BL16" s="144"/>
      <c r="BM16" s="144"/>
      <c r="BN16" s="144"/>
      <c r="BO16" s="144"/>
      <c r="BP16" s="144"/>
      <c r="BQ16" s="144"/>
      <c r="BR16" s="144"/>
      <c r="BT16" s="89"/>
    </row>
    <row r="17" spans="2:72" s="140" customFormat="1" x14ac:dyDescent="0.25">
      <c r="B17" s="195" t="s">
        <v>400</v>
      </c>
      <c r="C17" s="157"/>
      <c r="D17" s="200" t="str">
        <f t="shared" si="0"/>
        <v>£</v>
      </c>
      <c r="E17" s="94">
        <f t="shared" si="2"/>
        <v>0</v>
      </c>
      <c r="F17" s="94">
        <f t="shared" si="2"/>
        <v>0</v>
      </c>
      <c r="G17" s="94">
        <f t="shared" si="2"/>
        <v>0</v>
      </c>
      <c r="H17" s="94">
        <f t="shared" si="2"/>
        <v>0</v>
      </c>
      <c r="I17" s="94">
        <f t="shared" si="2"/>
        <v>0</v>
      </c>
      <c r="J17" s="157"/>
      <c r="K17" s="144"/>
      <c r="L17" s="144"/>
      <c r="M17" s="144"/>
      <c r="N17" s="144"/>
      <c r="O17" s="144"/>
      <c r="P17" s="144"/>
      <c r="Q17" s="144"/>
      <c r="R17" s="144"/>
      <c r="S17" s="144"/>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c r="AS17" s="144"/>
      <c r="AT17" s="144"/>
      <c r="AU17" s="144"/>
      <c r="AV17" s="144"/>
      <c r="AW17" s="144"/>
      <c r="AX17" s="144"/>
      <c r="AY17" s="144"/>
      <c r="AZ17" s="144"/>
      <c r="BA17" s="144"/>
      <c r="BB17" s="144"/>
      <c r="BC17" s="144"/>
      <c r="BD17" s="144"/>
      <c r="BE17" s="144"/>
      <c r="BF17" s="144"/>
      <c r="BG17" s="144"/>
      <c r="BH17" s="144"/>
      <c r="BI17" s="144"/>
      <c r="BJ17" s="144"/>
      <c r="BK17" s="144"/>
      <c r="BL17" s="144"/>
      <c r="BM17" s="144"/>
      <c r="BN17" s="144"/>
      <c r="BO17" s="144"/>
      <c r="BP17" s="144"/>
      <c r="BQ17" s="144"/>
      <c r="BR17" s="144"/>
      <c r="BT17" s="89"/>
    </row>
    <row r="18" spans="2:72" s="140" customFormat="1" x14ac:dyDescent="0.25">
      <c r="B18" s="195" t="s">
        <v>401</v>
      </c>
      <c r="C18" s="157"/>
      <c r="D18" s="200" t="str">
        <f t="shared" si="0"/>
        <v>£</v>
      </c>
      <c r="E18" s="94">
        <f t="shared" si="2"/>
        <v>0</v>
      </c>
      <c r="F18" s="94">
        <f t="shared" si="2"/>
        <v>0</v>
      </c>
      <c r="G18" s="94">
        <f t="shared" si="2"/>
        <v>0</v>
      </c>
      <c r="H18" s="94">
        <f t="shared" si="2"/>
        <v>0</v>
      </c>
      <c r="I18" s="94">
        <f t="shared" si="2"/>
        <v>0</v>
      </c>
      <c r="J18" s="157"/>
      <c r="K18" s="144"/>
      <c r="L18" s="144"/>
      <c r="M18" s="144"/>
      <c r="N18" s="144"/>
      <c r="O18" s="144"/>
      <c r="P18" s="144"/>
      <c r="Q18" s="144"/>
      <c r="R18" s="144"/>
      <c r="S18" s="144"/>
      <c r="T18" s="144"/>
      <c r="U18" s="144"/>
      <c r="V18" s="144"/>
      <c r="W18" s="144"/>
      <c r="X18" s="144"/>
      <c r="Y18" s="144"/>
      <c r="Z18" s="144"/>
      <c r="AA18" s="144"/>
      <c r="AB18" s="144"/>
      <c r="AC18" s="144"/>
      <c r="AD18" s="144"/>
      <c r="AE18" s="144"/>
      <c r="AF18" s="144"/>
      <c r="AG18" s="144"/>
      <c r="AH18" s="144"/>
      <c r="AI18" s="144"/>
      <c r="AJ18" s="144"/>
      <c r="AK18" s="144"/>
      <c r="AL18" s="144"/>
      <c r="AM18" s="144"/>
      <c r="AN18" s="144"/>
      <c r="AO18" s="144"/>
      <c r="AP18" s="144"/>
      <c r="AQ18" s="144"/>
      <c r="AR18" s="144"/>
      <c r="AS18" s="144"/>
      <c r="AT18" s="144"/>
      <c r="AU18" s="144"/>
      <c r="AV18" s="144"/>
      <c r="AW18" s="144"/>
      <c r="AX18" s="144"/>
      <c r="AY18" s="144"/>
      <c r="AZ18" s="144"/>
      <c r="BA18" s="144"/>
      <c r="BB18" s="144"/>
      <c r="BC18" s="144"/>
      <c r="BD18" s="144"/>
      <c r="BE18" s="144"/>
      <c r="BF18" s="144"/>
      <c r="BG18" s="144"/>
      <c r="BH18" s="144"/>
      <c r="BI18" s="144"/>
      <c r="BJ18" s="144"/>
      <c r="BK18" s="144"/>
      <c r="BL18" s="144"/>
      <c r="BM18" s="144"/>
      <c r="BN18" s="144"/>
      <c r="BO18" s="144"/>
      <c r="BP18" s="144"/>
      <c r="BQ18" s="144"/>
      <c r="BR18" s="144"/>
      <c r="BT18" s="89"/>
    </row>
    <row r="19" spans="2:72" s="140" customFormat="1" x14ac:dyDescent="0.25">
      <c r="B19" s="195" t="s">
        <v>402</v>
      </c>
      <c r="C19" s="157"/>
      <c r="D19" s="200" t="str">
        <f t="shared" si="0"/>
        <v>£</v>
      </c>
      <c r="E19" s="94">
        <f t="shared" si="2"/>
        <v>0</v>
      </c>
      <c r="F19" s="94">
        <f t="shared" si="2"/>
        <v>0</v>
      </c>
      <c r="G19" s="94">
        <f t="shared" si="2"/>
        <v>0</v>
      </c>
      <c r="H19" s="94">
        <f t="shared" si="2"/>
        <v>0</v>
      </c>
      <c r="I19" s="94">
        <f t="shared" si="2"/>
        <v>0</v>
      </c>
      <c r="J19" s="157"/>
      <c r="K19" s="144"/>
      <c r="L19" s="144"/>
      <c r="M19" s="144"/>
      <c r="N19" s="144"/>
      <c r="O19" s="144"/>
      <c r="P19" s="144"/>
      <c r="Q19" s="144"/>
      <c r="R19" s="144"/>
      <c r="S19" s="144"/>
      <c r="T19" s="144"/>
      <c r="U19" s="144"/>
      <c r="V19" s="144"/>
      <c r="W19" s="144"/>
      <c r="X19" s="144"/>
      <c r="Y19" s="144"/>
      <c r="Z19" s="144"/>
      <c r="AA19" s="144"/>
      <c r="AB19" s="144"/>
      <c r="AC19" s="144"/>
      <c r="AD19" s="144"/>
      <c r="AE19" s="144"/>
      <c r="AF19" s="144"/>
      <c r="AG19" s="144"/>
      <c r="AH19" s="144"/>
      <c r="AI19" s="144"/>
      <c r="AJ19" s="144"/>
      <c r="AK19" s="144"/>
      <c r="AL19" s="144"/>
      <c r="AM19" s="144"/>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44"/>
      <c r="BL19" s="144"/>
      <c r="BM19" s="144"/>
      <c r="BN19" s="144"/>
      <c r="BO19" s="144"/>
      <c r="BP19" s="144"/>
      <c r="BQ19" s="144"/>
      <c r="BR19" s="144"/>
      <c r="BT19" s="89"/>
    </row>
    <row r="20" spans="2:72" s="140" customFormat="1" x14ac:dyDescent="0.25">
      <c r="B20" s="195" t="s">
        <v>403</v>
      </c>
      <c r="C20" s="157"/>
      <c r="D20" s="200" t="str">
        <f t="shared" si="0"/>
        <v>£</v>
      </c>
      <c r="E20" s="94">
        <f t="shared" si="2"/>
        <v>0</v>
      </c>
      <c r="F20" s="94">
        <f t="shared" si="2"/>
        <v>0</v>
      </c>
      <c r="G20" s="94">
        <f t="shared" si="2"/>
        <v>0</v>
      </c>
      <c r="H20" s="94">
        <f t="shared" si="2"/>
        <v>0</v>
      </c>
      <c r="I20" s="94">
        <f t="shared" si="2"/>
        <v>0</v>
      </c>
      <c r="J20" s="157"/>
      <c r="K20" s="144"/>
      <c r="L20" s="144"/>
      <c r="M20" s="144"/>
      <c r="N20" s="144"/>
      <c r="O20" s="144"/>
      <c r="P20" s="144"/>
      <c r="Q20" s="144"/>
      <c r="R20" s="144"/>
      <c r="S20" s="144"/>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c r="AQ20" s="144"/>
      <c r="AR20" s="144"/>
      <c r="AS20" s="144"/>
      <c r="AT20" s="144"/>
      <c r="AU20" s="144"/>
      <c r="AV20" s="144"/>
      <c r="AW20" s="144"/>
      <c r="AX20" s="144"/>
      <c r="AY20" s="144"/>
      <c r="AZ20" s="144"/>
      <c r="BA20" s="144"/>
      <c r="BB20" s="144"/>
      <c r="BC20" s="144"/>
      <c r="BD20" s="144"/>
      <c r="BE20" s="144"/>
      <c r="BF20" s="144"/>
      <c r="BG20" s="144"/>
      <c r="BH20" s="144"/>
      <c r="BI20" s="144"/>
      <c r="BJ20" s="144"/>
      <c r="BK20" s="144"/>
      <c r="BL20" s="144"/>
      <c r="BM20" s="144"/>
      <c r="BN20" s="144"/>
      <c r="BO20" s="144"/>
      <c r="BP20" s="144"/>
      <c r="BQ20" s="144"/>
      <c r="BR20" s="144"/>
      <c r="BT20" s="89"/>
    </row>
    <row r="21" spans="2:72" s="140" customFormat="1" x14ac:dyDescent="0.25">
      <c r="B21" s="195" t="s">
        <v>404</v>
      </c>
      <c r="C21" s="157"/>
      <c r="D21" s="200" t="str">
        <f t="shared" si="0"/>
        <v>£</v>
      </c>
      <c r="E21" s="94">
        <f t="shared" si="2"/>
        <v>0</v>
      </c>
      <c r="F21" s="94">
        <f t="shared" si="2"/>
        <v>0</v>
      </c>
      <c r="G21" s="94">
        <f t="shared" si="2"/>
        <v>0</v>
      </c>
      <c r="H21" s="94">
        <f t="shared" si="2"/>
        <v>0</v>
      </c>
      <c r="I21" s="94">
        <f t="shared" si="2"/>
        <v>0</v>
      </c>
      <c r="J21" s="157"/>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T21" s="89"/>
    </row>
    <row r="22" spans="2:72" s="140" customFormat="1" x14ac:dyDescent="0.25">
      <c r="B22" s="195" t="s">
        <v>405</v>
      </c>
      <c r="C22" s="157"/>
      <c r="D22" s="200" t="str">
        <f t="shared" si="0"/>
        <v>£</v>
      </c>
      <c r="E22" s="94">
        <f t="shared" si="2"/>
        <v>0</v>
      </c>
      <c r="F22" s="94">
        <f t="shared" si="2"/>
        <v>0</v>
      </c>
      <c r="G22" s="94">
        <f t="shared" si="2"/>
        <v>0</v>
      </c>
      <c r="H22" s="94">
        <f t="shared" si="2"/>
        <v>0</v>
      </c>
      <c r="I22" s="94">
        <f t="shared" si="2"/>
        <v>0</v>
      </c>
      <c r="J22" s="157"/>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T22" s="89"/>
    </row>
    <row r="23" spans="2:72" s="140" customFormat="1" x14ac:dyDescent="0.25">
      <c r="B23" s="195" t="s">
        <v>406</v>
      </c>
      <c r="C23" s="157"/>
      <c r="D23" s="200" t="str">
        <f t="shared" si="0"/>
        <v>£</v>
      </c>
      <c r="E23" s="94">
        <f t="shared" si="2"/>
        <v>0</v>
      </c>
      <c r="F23" s="94">
        <f t="shared" si="2"/>
        <v>0</v>
      </c>
      <c r="G23" s="94">
        <f t="shared" si="2"/>
        <v>0</v>
      </c>
      <c r="H23" s="94">
        <f t="shared" si="2"/>
        <v>0</v>
      </c>
      <c r="I23" s="94">
        <f t="shared" si="2"/>
        <v>0</v>
      </c>
      <c r="J23" s="157"/>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44"/>
      <c r="BL23" s="144"/>
      <c r="BM23" s="144"/>
      <c r="BN23" s="144"/>
      <c r="BO23" s="144"/>
      <c r="BP23" s="144"/>
      <c r="BQ23" s="144"/>
      <c r="BR23" s="144"/>
      <c r="BT23" s="89"/>
    </row>
    <row r="24" spans="2:72" s="140" customFormat="1" x14ac:dyDescent="0.25">
      <c r="B24" s="195" t="s">
        <v>407</v>
      </c>
      <c r="C24" s="157"/>
      <c r="D24" s="200" t="str">
        <f t="shared" si="0"/>
        <v>£</v>
      </c>
      <c r="E24" s="94">
        <f t="shared" si="2"/>
        <v>0</v>
      </c>
      <c r="F24" s="94">
        <f t="shared" si="2"/>
        <v>0</v>
      </c>
      <c r="G24" s="94">
        <f t="shared" si="2"/>
        <v>0</v>
      </c>
      <c r="H24" s="94">
        <f t="shared" si="2"/>
        <v>0</v>
      </c>
      <c r="I24" s="94">
        <f t="shared" si="2"/>
        <v>0</v>
      </c>
      <c r="J24" s="157"/>
      <c r="K24" s="144"/>
      <c r="L24" s="144"/>
      <c r="M24" s="144"/>
      <c r="N24" s="144"/>
      <c r="O24" s="144"/>
      <c r="P24" s="144"/>
      <c r="Q24" s="144"/>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44"/>
      <c r="BL24" s="144"/>
      <c r="BM24" s="144"/>
      <c r="BN24" s="144"/>
      <c r="BO24" s="144"/>
      <c r="BP24" s="144"/>
      <c r="BQ24" s="144"/>
      <c r="BR24" s="144"/>
      <c r="BT24" s="89"/>
    </row>
    <row r="25" spans="2:72" s="140" customFormat="1" x14ac:dyDescent="0.25">
      <c r="B25" s="195" t="s">
        <v>408</v>
      </c>
      <c r="C25" s="157"/>
      <c r="D25" s="200" t="str">
        <f t="shared" si="0"/>
        <v>£</v>
      </c>
      <c r="E25" s="94">
        <f t="shared" si="2"/>
        <v>0</v>
      </c>
      <c r="F25" s="94">
        <f t="shared" si="2"/>
        <v>0</v>
      </c>
      <c r="G25" s="94">
        <f t="shared" si="2"/>
        <v>0</v>
      </c>
      <c r="H25" s="94">
        <f t="shared" si="2"/>
        <v>0</v>
      </c>
      <c r="I25" s="94">
        <f t="shared" si="2"/>
        <v>0</v>
      </c>
      <c r="J25" s="157"/>
      <c r="K25" s="144"/>
      <c r="L25" s="144"/>
      <c r="M25" s="144"/>
      <c r="N25" s="144"/>
      <c r="O25" s="144"/>
      <c r="P25" s="144"/>
      <c r="Q25" s="144"/>
      <c r="R25" s="144"/>
      <c r="S25" s="144"/>
      <c r="T25" s="144"/>
      <c r="U25" s="144"/>
      <c r="V25" s="144"/>
      <c r="W25" s="144"/>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44"/>
      <c r="BL25" s="144"/>
      <c r="BM25" s="144"/>
      <c r="BN25" s="144"/>
      <c r="BO25" s="144"/>
      <c r="BP25" s="144"/>
      <c r="BQ25" s="144"/>
      <c r="BR25" s="144"/>
      <c r="BT25" s="89"/>
    </row>
    <row r="26" spans="2:72" s="140" customFormat="1" x14ac:dyDescent="0.25">
      <c r="B26" s="195" t="s">
        <v>409</v>
      </c>
      <c r="C26" s="157"/>
      <c r="D26" s="200" t="str">
        <f t="shared" si="0"/>
        <v>£</v>
      </c>
      <c r="E26" s="94">
        <f t="shared" si="2"/>
        <v>0</v>
      </c>
      <c r="F26" s="94">
        <f t="shared" si="2"/>
        <v>0</v>
      </c>
      <c r="G26" s="94">
        <f t="shared" si="2"/>
        <v>0</v>
      </c>
      <c r="H26" s="94">
        <f t="shared" si="2"/>
        <v>0</v>
      </c>
      <c r="I26" s="94">
        <f t="shared" si="2"/>
        <v>0</v>
      </c>
      <c r="J26" s="157"/>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44"/>
      <c r="AY26" s="144"/>
      <c r="AZ26" s="144"/>
      <c r="BA26" s="144"/>
      <c r="BB26" s="144"/>
      <c r="BC26" s="144"/>
      <c r="BD26" s="144"/>
      <c r="BE26" s="144"/>
      <c r="BF26" s="144"/>
      <c r="BG26" s="144"/>
      <c r="BH26" s="144"/>
      <c r="BI26" s="144"/>
      <c r="BJ26" s="144"/>
      <c r="BK26" s="144"/>
      <c r="BL26" s="144"/>
      <c r="BM26" s="144"/>
      <c r="BN26" s="144"/>
      <c r="BO26" s="144"/>
      <c r="BP26" s="144"/>
      <c r="BQ26" s="144"/>
      <c r="BR26" s="144"/>
      <c r="BT26" s="89"/>
    </row>
    <row r="27" spans="2:72" s="140" customFormat="1" x14ac:dyDescent="0.25">
      <c r="B27" s="195" t="s">
        <v>410</v>
      </c>
      <c r="C27" s="157"/>
      <c r="D27" s="200" t="str">
        <f t="shared" si="0"/>
        <v>£</v>
      </c>
      <c r="E27" s="94">
        <f t="shared" si="2"/>
        <v>0</v>
      </c>
      <c r="F27" s="94">
        <f t="shared" si="2"/>
        <v>0</v>
      </c>
      <c r="G27" s="94">
        <f t="shared" si="2"/>
        <v>0</v>
      </c>
      <c r="H27" s="94">
        <f t="shared" si="2"/>
        <v>0</v>
      </c>
      <c r="I27" s="94">
        <f t="shared" si="2"/>
        <v>0</v>
      </c>
      <c r="J27" s="157"/>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4"/>
      <c r="BN27" s="144"/>
      <c r="BO27" s="144"/>
      <c r="BP27" s="144"/>
      <c r="BQ27" s="144"/>
      <c r="BR27" s="144"/>
      <c r="BT27" s="89"/>
    </row>
    <row r="28" spans="2:72" s="140" customFormat="1" x14ac:dyDescent="0.25">
      <c r="B28" s="195" t="s">
        <v>411</v>
      </c>
      <c r="C28" s="157"/>
      <c r="D28" s="200" t="str">
        <f t="shared" si="0"/>
        <v>£</v>
      </c>
      <c r="E28" s="94">
        <f t="shared" si="2"/>
        <v>0</v>
      </c>
      <c r="F28" s="94">
        <f t="shared" si="2"/>
        <v>0</v>
      </c>
      <c r="G28" s="94">
        <f t="shared" si="2"/>
        <v>0</v>
      </c>
      <c r="H28" s="94">
        <f t="shared" si="2"/>
        <v>0</v>
      </c>
      <c r="I28" s="94">
        <f t="shared" si="2"/>
        <v>0</v>
      </c>
      <c r="J28" s="157"/>
      <c r="K28" s="144"/>
      <c r="L28" s="144"/>
      <c r="M28" s="144"/>
      <c r="N28" s="144"/>
      <c r="O28" s="144"/>
      <c r="P28" s="144"/>
      <c r="Q28" s="144"/>
      <c r="R28" s="144"/>
      <c r="S28" s="144"/>
      <c r="T28" s="144"/>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4"/>
      <c r="AX28" s="144"/>
      <c r="AY28" s="144"/>
      <c r="AZ28" s="144"/>
      <c r="BA28" s="144"/>
      <c r="BB28" s="144"/>
      <c r="BC28" s="144"/>
      <c r="BD28" s="144"/>
      <c r="BE28" s="144"/>
      <c r="BF28" s="144"/>
      <c r="BG28" s="144"/>
      <c r="BH28" s="144"/>
      <c r="BI28" s="144"/>
      <c r="BJ28" s="144"/>
      <c r="BK28" s="144"/>
      <c r="BL28" s="144"/>
      <c r="BM28" s="144"/>
      <c r="BN28" s="144"/>
      <c r="BO28" s="144"/>
      <c r="BP28" s="144"/>
      <c r="BQ28" s="144"/>
      <c r="BR28" s="144"/>
      <c r="BT28" s="89"/>
    </row>
    <row r="29" spans="2:72" s="140" customFormat="1" x14ac:dyDescent="0.25">
      <c r="B29" s="195" t="s">
        <v>412</v>
      </c>
      <c r="C29" s="157"/>
      <c r="D29" s="200" t="str">
        <f t="shared" si="0"/>
        <v>£</v>
      </c>
      <c r="E29" s="94">
        <f t="shared" si="2"/>
        <v>0</v>
      </c>
      <c r="F29" s="94">
        <f t="shared" si="2"/>
        <v>0</v>
      </c>
      <c r="G29" s="94">
        <f t="shared" si="2"/>
        <v>0</v>
      </c>
      <c r="H29" s="94">
        <f t="shared" si="2"/>
        <v>0</v>
      </c>
      <c r="I29" s="94">
        <f t="shared" si="2"/>
        <v>0</v>
      </c>
      <c r="J29" s="157"/>
      <c r="K29" s="144"/>
      <c r="L29" s="144"/>
      <c r="M29" s="144"/>
      <c r="N29" s="144"/>
      <c r="O29" s="144"/>
      <c r="P29" s="144"/>
      <c r="Q29" s="144"/>
      <c r="R29" s="144"/>
      <c r="S29" s="144"/>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44"/>
      <c r="AZ29" s="144"/>
      <c r="BA29" s="144"/>
      <c r="BB29" s="144"/>
      <c r="BC29" s="144"/>
      <c r="BD29" s="144"/>
      <c r="BE29" s="144"/>
      <c r="BF29" s="144"/>
      <c r="BG29" s="144"/>
      <c r="BH29" s="144"/>
      <c r="BI29" s="144"/>
      <c r="BJ29" s="144"/>
      <c r="BK29" s="144"/>
      <c r="BL29" s="144"/>
      <c r="BM29" s="144"/>
      <c r="BN29" s="144"/>
      <c r="BO29" s="144"/>
      <c r="BP29" s="144"/>
      <c r="BQ29" s="144"/>
      <c r="BR29" s="144"/>
      <c r="BT29" s="89"/>
    </row>
    <row r="30" spans="2:72" s="140" customFormat="1" x14ac:dyDescent="0.25">
      <c r="B30" s="195" t="s">
        <v>413</v>
      </c>
      <c r="C30" s="157"/>
      <c r="D30" s="200" t="str">
        <f t="shared" si="0"/>
        <v>£</v>
      </c>
      <c r="E30" s="94">
        <f t="shared" si="2"/>
        <v>0</v>
      </c>
      <c r="F30" s="94">
        <f t="shared" si="2"/>
        <v>0</v>
      </c>
      <c r="G30" s="94">
        <f t="shared" si="2"/>
        <v>0</v>
      </c>
      <c r="H30" s="94">
        <f t="shared" si="2"/>
        <v>0</v>
      </c>
      <c r="I30" s="94">
        <f t="shared" si="2"/>
        <v>0</v>
      </c>
      <c r="J30" s="157"/>
      <c r="K30" s="144"/>
      <c r="L30" s="144"/>
      <c r="M30" s="144"/>
      <c r="N30" s="144"/>
      <c r="O30" s="144"/>
      <c r="P30" s="144"/>
      <c r="Q30" s="144"/>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T30" s="89"/>
    </row>
    <row r="31" spans="2:72" s="140" customFormat="1" x14ac:dyDescent="0.25">
      <c r="B31" s="195" t="s">
        <v>414</v>
      </c>
      <c r="C31" s="157"/>
      <c r="D31" s="200" t="str">
        <f t="shared" si="0"/>
        <v>£</v>
      </c>
      <c r="E31" s="94">
        <f t="shared" si="2"/>
        <v>0</v>
      </c>
      <c r="F31" s="94">
        <f t="shared" si="2"/>
        <v>0</v>
      </c>
      <c r="G31" s="94">
        <f t="shared" si="2"/>
        <v>0</v>
      </c>
      <c r="H31" s="94">
        <f t="shared" si="2"/>
        <v>0</v>
      </c>
      <c r="I31" s="94">
        <f t="shared" si="2"/>
        <v>0</v>
      </c>
      <c r="J31" s="157"/>
      <c r="K31" s="144"/>
      <c r="L31" s="144"/>
      <c r="M31" s="144"/>
      <c r="N31" s="144"/>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44"/>
      <c r="AZ31" s="144"/>
      <c r="BA31" s="144"/>
      <c r="BB31" s="144"/>
      <c r="BC31" s="144"/>
      <c r="BD31" s="144"/>
      <c r="BE31" s="144"/>
      <c r="BF31" s="144"/>
      <c r="BG31" s="144"/>
      <c r="BH31" s="144"/>
      <c r="BI31" s="144"/>
      <c r="BJ31" s="144"/>
      <c r="BK31" s="144"/>
      <c r="BL31" s="144"/>
      <c r="BM31" s="144"/>
      <c r="BN31" s="144"/>
      <c r="BO31" s="144"/>
      <c r="BP31" s="144"/>
      <c r="BQ31" s="144"/>
      <c r="BR31" s="144"/>
      <c r="BT31" s="89"/>
    </row>
    <row r="32" spans="2:72" s="140" customFormat="1" x14ac:dyDescent="0.25">
      <c r="B32" s="84" t="s">
        <v>394</v>
      </c>
      <c r="C32" s="84"/>
      <c r="D32" s="200" t="str">
        <f t="shared" si="0"/>
        <v>£</v>
      </c>
      <c r="E32" s="92">
        <f>SUM(E12:E31)</f>
        <v>0</v>
      </c>
      <c r="F32" s="92">
        <f t="shared" ref="F32:I32" si="3">SUM(F12:F31)</f>
        <v>0</v>
      </c>
      <c r="G32" s="92">
        <f t="shared" si="3"/>
        <v>0</v>
      </c>
      <c r="H32" s="92">
        <f t="shared" si="3"/>
        <v>0</v>
      </c>
      <c r="I32" s="92">
        <f t="shared" si="3"/>
        <v>0</v>
      </c>
      <c r="J32" s="84"/>
      <c r="K32" s="227">
        <f>SUM(K12:K31)</f>
        <v>0</v>
      </c>
      <c r="L32" s="227">
        <f t="shared" ref="L32:V32" si="4">SUM(L12:L31)</f>
        <v>0</v>
      </c>
      <c r="M32" s="227">
        <f t="shared" si="4"/>
        <v>0</v>
      </c>
      <c r="N32" s="227">
        <f t="shared" si="4"/>
        <v>0</v>
      </c>
      <c r="O32" s="227">
        <f t="shared" si="4"/>
        <v>0</v>
      </c>
      <c r="P32" s="227">
        <f t="shared" si="4"/>
        <v>0</v>
      </c>
      <c r="Q32" s="227">
        <f t="shared" si="4"/>
        <v>0</v>
      </c>
      <c r="R32" s="227">
        <f t="shared" si="4"/>
        <v>0</v>
      </c>
      <c r="S32" s="227">
        <f t="shared" si="4"/>
        <v>0</v>
      </c>
      <c r="T32" s="227">
        <f t="shared" si="4"/>
        <v>0</v>
      </c>
      <c r="U32" s="227">
        <f t="shared" si="4"/>
        <v>0</v>
      </c>
      <c r="V32" s="227">
        <f t="shared" si="4"/>
        <v>0</v>
      </c>
      <c r="W32" s="227">
        <f>SUM(W12:W31)</f>
        <v>0</v>
      </c>
      <c r="X32" s="227">
        <f t="shared" ref="X32:AH32" si="5">SUM(X12:X31)</f>
        <v>0</v>
      </c>
      <c r="Y32" s="227">
        <f t="shared" si="5"/>
        <v>0</v>
      </c>
      <c r="Z32" s="227">
        <f t="shared" si="5"/>
        <v>0</v>
      </c>
      <c r="AA32" s="227">
        <f t="shared" si="5"/>
        <v>0</v>
      </c>
      <c r="AB32" s="227">
        <f t="shared" si="5"/>
        <v>0</v>
      </c>
      <c r="AC32" s="227">
        <f t="shared" si="5"/>
        <v>0</v>
      </c>
      <c r="AD32" s="227">
        <f t="shared" si="5"/>
        <v>0</v>
      </c>
      <c r="AE32" s="227">
        <f t="shared" si="5"/>
        <v>0</v>
      </c>
      <c r="AF32" s="227">
        <f t="shared" si="5"/>
        <v>0</v>
      </c>
      <c r="AG32" s="227">
        <f t="shared" si="5"/>
        <v>0</v>
      </c>
      <c r="AH32" s="227">
        <f t="shared" si="5"/>
        <v>0</v>
      </c>
      <c r="AI32" s="227">
        <f>SUM(AI12:AI31)</f>
        <v>0</v>
      </c>
      <c r="AJ32" s="227">
        <f t="shared" ref="AJ32:AT32" si="6">SUM(AJ12:AJ31)</f>
        <v>0</v>
      </c>
      <c r="AK32" s="227">
        <f t="shared" si="6"/>
        <v>0</v>
      </c>
      <c r="AL32" s="227">
        <f t="shared" si="6"/>
        <v>0</v>
      </c>
      <c r="AM32" s="227">
        <f t="shared" si="6"/>
        <v>0</v>
      </c>
      <c r="AN32" s="227">
        <f t="shared" si="6"/>
        <v>0</v>
      </c>
      <c r="AO32" s="227">
        <f t="shared" si="6"/>
        <v>0</v>
      </c>
      <c r="AP32" s="227">
        <f t="shared" si="6"/>
        <v>0</v>
      </c>
      <c r="AQ32" s="227">
        <f t="shared" si="6"/>
        <v>0</v>
      </c>
      <c r="AR32" s="227">
        <f t="shared" si="6"/>
        <v>0</v>
      </c>
      <c r="AS32" s="227">
        <f t="shared" si="6"/>
        <v>0</v>
      </c>
      <c r="AT32" s="227">
        <f t="shared" si="6"/>
        <v>0</v>
      </c>
      <c r="AU32" s="227">
        <f>SUM(AU12:AU31)</f>
        <v>0</v>
      </c>
      <c r="AV32" s="227">
        <f t="shared" ref="AV32:BF32" si="7">SUM(AV12:AV31)</f>
        <v>0</v>
      </c>
      <c r="AW32" s="227">
        <f t="shared" si="7"/>
        <v>0</v>
      </c>
      <c r="AX32" s="227">
        <f t="shared" si="7"/>
        <v>0</v>
      </c>
      <c r="AY32" s="227">
        <f t="shared" si="7"/>
        <v>0</v>
      </c>
      <c r="AZ32" s="227">
        <f t="shared" si="7"/>
        <v>0</v>
      </c>
      <c r="BA32" s="227">
        <f t="shared" si="7"/>
        <v>0</v>
      </c>
      <c r="BB32" s="227">
        <f t="shared" si="7"/>
        <v>0</v>
      </c>
      <c r="BC32" s="227">
        <f t="shared" si="7"/>
        <v>0</v>
      </c>
      <c r="BD32" s="227">
        <f t="shared" si="7"/>
        <v>0</v>
      </c>
      <c r="BE32" s="227">
        <f t="shared" si="7"/>
        <v>0</v>
      </c>
      <c r="BF32" s="227">
        <f t="shared" si="7"/>
        <v>0</v>
      </c>
      <c r="BG32" s="227">
        <f>SUM(BG12:BG31)</f>
        <v>0</v>
      </c>
      <c r="BH32" s="227">
        <f t="shared" ref="BH32:BR32" si="8">SUM(BH12:BH31)</f>
        <v>0</v>
      </c>
      <c r="BI32" s="227">
        <f t="shared" si="8"/>
        <v>0</v>
      </c>
      <c r="BJ32" s="227">
        <f t="shared" si="8"/>
        <v>0</v>
      </c>
      <c r="BK32" s="227">
        <f t="shared" si="8"/>
        <v>0</v>
      </c>
      <c r="BL32" s="227">
        <f t="shared" si="8"/>
        <v>0</v>
      </c>
      <c r="BM32" s="227">
        <f t="shared" si="8"/>
        <v>0</v>
      </c>
      <c r="BN32" s="227">
        <f t="shared" si="8"/>
        <v>0</v>
      </c>
      <c r="BO32" s="227">
        <f t="shared" si="8"/>
        <v>0</v>
      </c>
      <c r="BP32" s="227">
        <f t="shared" si="8"/>
        <v>0</v>
      </c>
      <c r="BQ32" s="227">
        <f t="shared" si="8"/>
        <v>0</v>
      </c>
      <c r="BR32" s="227">
        <f t="shared" si="8"/>
        <v>0</v>
      </c>
      <c r="BT32" s="89" t="s">
        <v>192</v>
      </c>
    </row>
    <row r="33" spans="1:72" s="140" customFormat="1" x14ac:dyDescent="0.25">
      <c r="BT33" s="89"/>
    </row>
    <row r="34" spans="1:72" s="166" customFormat="1" ht="15.6" x14ac:dyDescent="0.3">
      <c r="A34" s="166" t="s">
        <v>217</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6">
    <tabColor rgb="FF00B050"/>
  </sheetPr>
  <dimension ref="A1:BZ100"/>
  <sheetViews>
    <sheetView showGridLines="0" zoomScale="80" zoomScaleNormal="80" zoomScalePageLayoutView="80" workbookViewId="0">
      <pane xSplit="10" ySplit="8" topLeftCell="K9" activePane="bottomRight" state="frozen"/>
      <selection activeCell="C10" sqref="C10"/>
      <selection pane="topRight" activeCell="C10" sqref="C10"/>
      <selection pane="bottomLeft" activeCell="C10" sqref="C10"/>
      <selection pane="bottomRight" activeCell="B11" sqref="B11"/>
    </sheetView>
  </sheetViews>
  <sheetFormatPr defaultColWidth="0" defaultRowHeight="13.2" outlineLevelRow="1" x14ac:dyDescent="0.25"/>
  <cols>
    <col min="1" max="1" width="4.88671875" style="139" customWidth="1"/>
    <col min="2" max="2" width="5.6640625" style="139" customWidth="1"/>
    <col min="3" max="3" width="23.44140625" style="139" bestFit="1" customWidth="1"/>
    <col min="4" max="4" width="13.44140625" style="139" bestFit="1" customWidth="1"/>
    <col min="5" max="9" width="10.88671875" style="139" customWidth="1"/>
    <col min="10" max="10" width="4.33203125" style="139" customWidth="1"/>
    <col min="11" max="11" width="10.109375" style="139" bestFit="1" customWidth="1"/>
    <col min="12" max="12" width="10.44140625" style="139" bestFit="1" customWidth="1"/>
    <col min="13" max="13" width="10.6640625" style="139" bestFit="1" customWidth="1"/>
    <col min="14" max="14" width="10" style="139" bestFit="1" customWidth="1"/>
    <col min="15" max="15" width="10.44140625" style="139" bestFit="1" customWidth="1"/>
    <col min="16" max="16" width="10.6640625" style="139" bestFit="1" customWidth="1"/>
    <col min="17" max="17" width="10.33203125" style="139" bestFit="1" customWidth="1"/>
    <col min="18" max="18" width="10.44140625" style="139" bestFit="1" customWidth="1"/>
    <col min="19" max="19" width="10.33203125" style="139" bestFit="1" customWidth="1"/>
    <col min="20" max="20" width="10" style="139" bestFit="1" customWidth="1"/>
    <col min="21" max="21" width="10.44140625" style="139" bestFit="1" customWidth="1"/>
    <col min="22" max="22" width="10.33203125" style="139" bestFit="1" customWidth="1"/>
    <col min="23" max="23" width="10.109375" style="139" bestFit="1" customWidth="1"/>
    <col min="24" max="24" width="10.44140625" style="139" bestFit="1" customWidth="1"/>
    <col min="25" max="25" width="10.6640625" style="139" bestFit="1" customWidth="1"/>
    <col min="26" max="26" width="10" style="139" bestFit="1" customWidth="1"/>
    <col min="27" max="27" width="10.44140625" style="139" bestFit="1" customWidth="1"/>
    <col min="28" max="28" width="10.6640625" style="139" bestFit="1" customWidth="1"/>
    <col min="29" max="29" width="10.33203125" style="139" bestFit="1" customWidth="1"/>
    <col min="30" max="30" width="10.44140625" style="139" bestFit="1" customWidth="1"/>
    <col min="31" max="31" width="10.33203125" style="139" bestFit="1" customWidth="1"/>
    <col min="32" max="32" width="10" style="139" bestFit="1" customWidth="1"/>
    <col min="33" max="33" width="10.44140625" style="139" bestFit="1" customWidth="1"/>
    <col min="34" max="34" width="10.33203125" style="139" bestFit="1" customWidth="1"/>
    <col min="35" max="35" width="9.6640625" style="139" bestFit="1" customWidth="1"/>
    <col min="36" max="36" width="10.44140625" style="139" bestFit="1" customWidth="1"/>
    <col min="37" max="37" width="10.6640625" style="139" bestFit="1" customWidth="1"/>
    <col min="38" max="38" width="10" style="139" bestFit="1" customWidth="1"/>
    <col min="39" max="39" width="10.44140625" style="139" bestFit="1" customWidth="1"/>
    <col min="40" max="40" width="10.6640625" style="139" bestFit="1" customWidth="1"/>
    <col min="41" max="41" width="10.33203125" style="139" bestFit="1" customWidth="1"/>
    <col min="42" max="42" width="10.44140625" style="139" bestFit="1" customWidth="1"/>
    <col min="43" max="43" width="10.33203125" style="139" bestFit="1" customWidth="1"/>
    <col min="44" max="44" width="10" style="139" bestFit="1" customWidth="1"/>
    <col min="45" max="45" width="10.44140625" style="139" bestFit="1" customWidth="1"/>
    <col min="46" max="46" width="10.33203125" style="139" bestFit="1" customWidth="1"/>
    <col min="47" max="47" width="9.6640625" style="139" bestFit="1" customWidth="1"/>
    <col min="48" max="48" width="10.44140625" style="139" bestFit="1" customWidth="1"/>
    <col min="49" max="49" width="10.6640625" style="139" bestFit="1" customWidth="1"/>
    <col min="50" max="50" width="10" style="139" bestFit="1" customWidth="1"/>
    <col min="51" max="51" width="10.44140625" style="139" bestFit="1" customWidth="1"/>
    <col min="52" max="52" width="10.6640625" style="139" bestFit="1" customWidth="1"/>
    <col min="53" max="53" width="10.33203125" style="139" bestFit="1" customWidth="1"/>
    <col min="54" max="54" width="10.44140625" style="139" bestFit="1" customWidth="1"/>
    <col min="55" max="55" width="10.33203125" style="139" bestFit="1" customWidth="1"/>
    <col min="56" max="56" width="10" style="139" bestFit="1" customWidth="1"/>
    <col min="57" max="57" width="10.44140625" style="139" bestFit="1" customWidth="1"/>
    <col min="58" max="58" width="10.33203125" style="139" bestFit="1" customWidth="1"/>
    <col min="59" max="59" width="9.6640625" style="139" bestFit="1" customWidth="1"/>
    <col min="60" max="60" width="10.44140625" style="139" bestFit="1" customWidth="1"/>
    <col min="61" max="61" width="10.6640625" style="139" bestFit="1" customWidth="1"/>
    <col min="62" max="62" width="10" style="139" bestFit="1" customWidth="1"/>
    <col min="63" max="63" width="10.44140625" style="139" bestFit="1" customWidth="1"/>
    <col min="64" max="64" width="10.6640625" style="139" bestFit="1" customWidth="1"/>
    <col min="65" max="65" width="10.33203125" style="139" bestFit="1" customWidth="1"/>
    <col min="66" max="66" width="10.44140625" style="139" bestFit="1" customWidth="1"/>
    <col min="67" max="67" width="10.33203125" style="139" bestFit="1" customWidth="1"/>
    <col min="68" max="68" width="10" style="139" bestFit="1" customWidth="1"/>
    <col min="69" max="69" width="10.44140625" style="139" bestFit="1" customWidth="1"/>
    <col min="70" max="70" width="10.33203125" style="139" bestFit="1" customWidth="1"/>
    <col min="71" max="71" width="3" style="139" customWidth="1"/>
    <col min="72" max="72" width="9.109375" style="71" customWidth="1"/>
    <col min="73" max="78" width="9.109375" style="139" customWidth="1"/>
    <col min="79" max="16384" width="9.109375" style="139" hidden="1"/>
  </cols>
  <sheetData>
    <row r="1" spans="1:78" s="285" customFormat="1" x14ac:dyDescent="0.25"/>
    <row r="2" spans="1:78" s="285" customFormat="1" x14ac:dyDescent="0.25"/>
    <row r="3" spans="1:78" s="285" customFormat="1" x14ac:dyDescent="0.25">
      <c r="A3" s="286" t="str">
        <f>IF(KeyInputs!$F$14=0,"Company Name",KeyInputs!$F$14)</f>
        <v>Company Name</v>
      </c>
      <c r="C3" s="286"/>
      <c r="D3" s="286"/>
      <c r="E3" s="286"/>
      <c r="F3" s="286"/>
      <c r="G3" s="286"/>
      <c r="H3" s="286"/>
      <c r="I3" s="286"/>
      <c r="J3" s="286"/>
    </row>
    <row r="4" spans="1:78" s="285" customFormat="1" x14ac:dyDescent="0.25">
      <c r="A4" s="285" t="s">
        <v>50</v>
      </c>
    </row>
    <row r="5" spans="1:78" s="285" customFormat="1" x14ac:dyDescent="0.25">
      <c r="D5" s="287" t="str">
        <f>KeyInputs!D5</f>
        <v>Year</v>
      </c>
      <c r="E5" s="287">
        <f>KeyInputs!H5</f>
        <v>2015</v>
      </c>
      <c r="F5" s="287">
        <f>KeyInputs!I5</f>
        <v>2016</v>
      </c>
      <c r="G5" s="287">
        <f>KeyInputs!J5</f>
        <v>2017</v>
      </c>
      <c r="H5" s="287">
        <f>KeyInputs!K5</f>
        <v>2018</v>
      </c>
      <c r="I5" s="287">
        <f>KeyInputs!L5</f>
        <v>2019</v>
      </c>
      <c r="J5" s="287"/>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8" customFormat="1" x14ac:dyDescent="0.25">
      <c r="D6" s="287" t="str">
        <f>KeyInputs!D6</f>
        <v>Period number</v>
      </c>
      <c r="E6" s="287">
        <f>KeyInputs!H6</f>
        <v>1</v>
      </c>
      <c r="F6" s="287">
        <f>KeyInputs!I6</f>
        <v>2</v>
      </c>
      <c r="G6" s="287">
        <f>KeyInputs!J6</f>
        <v>3</v>
      </c>
      <c r="H6" s="287">
        <f>KeyInputs!K6</f>
        <v>4</v>
      </c>
      <c r="I6" s="287">
        <f>KeyInputs!L6</f>
        <v>5</v>
      </c>
      <c r="J6" s="287"/>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8" customFormat="1" x14ac:dyDescent="0.25">
      <c r="D7" s="287" t="str">
        <f>KeyInputs!D7</f>
        <v>Period starts</v>
      </c>
      <c r="E7" s="294">
        <f>KeyInputs!H7</f>
        <v>42005</v>
      </c>
      <c r="F7" s="294">
        <f>KeyInputs!I7</f>
        <v>42370</v>
      </c>
      <c r="G7" s="294">
        <f>KeyInputs!J7</f>
        <v>42736</v>
      </c>
      <c r="H7" s="294">
        <f>KeyInputs!K7</f>
        <v>43101</v>
      </c>
      <c r="I7" s="294">
        <f>KeyInputs!L7</f>
        <v>43466</v>
      </c>
      <c r="J7" s="287"/>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2" customFormat="1"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87"/>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8"/>
      <c r="BT8" s="288"/>
      <c r="BU8" s="288"/>
      <c r="BV8" s="288"/>
      <c r="BW8" s="288"/>
      <c r="BX8" s="288"/>
      <c r="BY8" s="288"/>
      <c r="BZ8" s="288"/>
    </row>
    <row r="9" spans="1:78" s="128" customFormat="1" x14ac:dyDescent="0.25">
      <c r="D9" s="129"/>
      <c r="E9" s="130"/>
      <c r="F9" s="130"/>
      <c r="G9" s="130"/>
      <c r="H9" s="130"/>
      <c r="I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row>
    <row r="10" spans="1:78" s="166" customFormat="1" ht="15.6" x14ac:dyDescent="0.3">
      <c r="A10" s="166">
        <f>Header1</f>
        <v>1</v>
      </c>
      <c r="B10" s="166" t="s">
        <v>148</v>
      </c>
    </row>
    <row r="11" spans="1:78" s="128" customFormat="1" x14ac:dyDescent="0.25">
      <c r="D11" s="129"/>
      <c r="E11" s="130"/>
      <c r="F11" s="130"/>
      <c r="G11" s="130"/>
      <c r="H11" s="130"/>
      <c r="I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row>
    <row r="12" spans="1:78" s="180" customFormat="1" ht="13.8" x14ac:dyDescent="0.25">
      <c r="B12" s="180" t="str">
        <f>Header2</f>
        <v>1.1</v>
      </c>
      <c r="C12" s="180" t="str">
        <f>IF(KeyInputs!F21=0," ",KeyInputs!F21)</f>
        <v>Test</v>
      </c>
    </row>
    <row r="13" spans="1:78" s="181" customFormat="1" x14ac:dyDescent="0.25">
      <c r="C13" s="182" t="str">
        <f>IF(KeyInputs!F22=0," ",KeyInputs!F22)</f>
        <v>Insert Product Group 1</v>
      </c>
      <c r="D13" s="189" t="str">
        <f>unit</f>
        <v>£</v>
      </c>
      <c r="E13" s="190">
        <f>SUMIF($K$5:$BR$5,E$5,$K13:$BR13)</f>
        <v>0</v>
      </c>
      <c r="F13" s="190">
        <f t="shared" ref="F13:I15" si="0">SUMIF($K$5:$BR$5,F$5,$K13:$BR13)</f>
        <v>0</v>
      </c>
      <c r="G13" s="190">
        <f t="shared" si="0"/>
        <v>0</v>
      </c>
      <c r="H13" s="190">
        <f t="shared" si="0"/>
        <v>0</v>
      </c>
      <c r="I13" s="190">
        <f t="shared" si="0"/>
        <v>0</v>
      </c>
      <c r="K13" s="190">
        <f t="shared" ref="K13" si="1">K38*-1</f>
        <v>0</v>
      </c>
      <c r="L13" s="190">
        <f t="shared" ref="L13:BR13" si="2">L38*-1</f>
        <v>0</v>
      </c>
      <c r="M13" s="190">
        <f t="shared" si="2"/>
        <v>0</v>
      </c>
      <c r="N13" s="190">
        <f t="shared" si="2"/>
        <v>0</v>
      </c>
      <c r="O13" s="190">
        <f t="shared" si="2"/>
        <v>0</v>
      </c>
      <c r="P13" s="190">
        <f t="shared" si="2"/>
        <v>0</v>
      </c>
      <c r="Q13" s="190">
        <f t="shared" si="2"/>
        <v>0</v>
      </c>
      <c r="R13" s="190">
        <f t="shared" si="2"/>
        <v>0</v>
      </c>
      <c r="S13" s="190">
        <f t="shared" si="2"/>
        <v>0</v>
      </c>
      <c r="T13" s="190">
        <f t="shared" si="2"/>
        <v>0</v>
      </c>
      <c r="U13" s="190">
        <f t="shared" si="2"/>
        <v>0</v>
      </c>
      <c r="V13" s="190">
        <f t="shared" si="2"/>
        <v>0</v>
      </c>
      <c r="W13" s="190">
        <f t="shared" si="2"/>
        <v>0</v>
      </c>
      <c r="X13" s="190">
        <f t="shared" si="2"/>
        <v>0</v>
      </c>
      <c r="Y13" s="190">
        <f t="shared" si="2"/>
        <v>0</v>
      </c>
      <c r="Z13" s="190">
        <f t="shared" si="2"/>
        <v>0</v>
      </c>
      <c r="AA13" s="190">
        <f t="shared" si="2"/>
        <v>0</v>
      </c>
      <c r="AB13" s="190">
        <f t="shared" si="2"/>
        <v>0</v>
      </c>
      <c r="AC13" s="190">
        <f t="shared" si="2"/>
        <v>0</v>
      </c>
      <c r="AD13" s="190">
        <f t="shared" si="2"/>
        <v>0</v>
      </c>
      <c r="AE13" s="190">
        <f t="shared" si="2"/>
        <v>0</v>
      </c>
      <c r="AF13" s="190">
        <f t="shared" si="2"/>
        <v>0</v>
      </c>
      <c r="AG13" s="190">
        <f t="shared" si="2"/>
        <v>0</v>
      </c>
      <c r="AH13" s="190">
        <f t="shared" si="2"/>
        <v>0</v>
      </c>
      <c r="AI13" s="190">
        <f t="shared" si="2"/>
        <v>0</v>
      </c>
      <c r="AJ13" s="190">
        <f t="shared" si="2"/>
        <v>0</v>
      </c>
      <c r="AK13" s="190">
        <f t="shared" si="2"/>
        <v>0</v>
      </c>
      <c r="AL13" s="190">
        <f t="shared" si="2"/>
        <v>0</v>
      </c>
      <c r="AM13" s="190">
        <f t="shared" si="2"/>
        <v>0</v>
      </c>
      <c r="AN13" s="190">
        <f t="shared" si="2"/>
        <v>0</v>
      </c>
      <c r="AO13" s="190">
        <f t="shared" si="2"/>
        <v>0</v>
      </c>
      <c r="AP13" s="190">
        <f t="shared" si="2"/>
        <v>0</v>
      </c>
      <c r="AQ13" s="190">
        <f t="shared" si="2"/>
        <v>0</v>
      </c>
      <c r="AR13" s="190">
        <f t="shared" si="2"/>
        <v>0</v>
      </c>
      <c r="AS13" s="190">
        <f t="shared" si="2"/>
        <v>0</v>
      </c>
      <c r="AT13" s="190">
        <f t="shared" si="2"/>
        <v>0</v>
      </c>
      <c r="AU13" s="190">
        <f t="shared" si="2"/>
        <v>0</v>
      </c>
      <c r="AV13" s="190">
        <f t="shared" si="2"/>
        <v>0</v>
      </c>
      <c r="AW13" s="190">
        <f t="shared" si="2"/>
        <v>0</v>
      </c>
      <c r="AX13" s="190">
        <f t="shared" si="2"/>
        <v>0</v>
      </c>
      <c r="AY13" s="190">
        <f t="shared" si="2"/>
        <v>0</v>
      </c>
      <c r="AZ13" s="190">
        <f t="shared" si="2"/>
        <v>0</v>
      </c>
      <c r="BA13" s="190">
        <f t="shared" si="2"/>
        <v>0</v>
      </c>
      <c r="BB13" s="190">
        <f t="shared" si="2"/>
        <v>0</v>
      </c>
      <c r="BC13" s="190">
        <f t="shared" si="2"/>
        <v>0</v>
      </c>
      <c r="BD13" s="190">
        <f t="shared" si="2"/>
        <v>0</v>
      </c>
      <c r="BE13" s="190">
        <f t="shared" si="2"/>
        <v>0</v>
      </c>
      <c r="BF13" s="190">
        <f t="shared" si="2"/>
        <v>0</v>
      </c>
      <c r="BG13" s="190">
        <f t="shared" si="2"/>
        <v>0</v>
      </c>
      <c r="BH13" s="190">
        <f t="shared" si="2"/>
        <v>0</v>
      </c>
      <c r="BI13" s="190">
        <f t="shared" si="2"/>
        <v>0</v>
      </c>
      <c r="BJ13" s="190">
        <f t="shared" si="2"/>
        <v>0</v>
      </c>
      <c r="BK13" s="190">
        <f t="shared" si="2"/>
        <v>0</v>
      </c>
      <c r="BL13" s="190">
        <f t="shared" si="2"/>
        <v>0</v>
      </c>
      <c r="BM13" s="190">
        <f t="shared" si="2"/>
        <v>0</v>
      </c>
      <c r="BN13" s="190">
        <f t="shared" si="2"/>
        <v>0</v>
      </c>
      <c r="BO13" s="190">
        <f t="shared" si="2"/>
        <v>0</v>
      </c>
      <c r="BP13" s="190">
        <f t="shared" si="2"/>
        <v>0</v>
      </c>
      <c r="BQ13" s="190">
        <f t="shared" si="2"/>
        <v>0</v>
      </c>
      <c r="BR13" s="190">
        <f t="shared" si="2"/>
        <v>0</v>
      </c>
    </row>
    <row r="14" spans="1:78" s="181" customFormat="1" x14ac:dyDescent="0.25">
      <c r="C14" s="182" t="str">
        <f>IF(KeyInputs!F23=0," ",KeyInputs!F23)</f>
        <v>Insert Product Group 2</v>
      </c>
      <c r="D14" s="189" t="str">
        <f>unit</f>
        <v>£</v>
      </c>
      <c r="E14" s="190">
        <f t="shared" ref="E14:E15" si="3">SUMIF($K$5:$BR$5,E$5,$K14:$BR14)</f>
        <v>0</v>
      </c>
      <c r="F14" s="190">
        <f t="shared" si="0"/>
        <v>0</v>
      </c>
      <c r="G14" s="190">
        <f t="shared" si="0"/>
        <v>0</v>
      </c>
      <c r="H14" s="190">
        <f t="shared" si="0"/>
        <v>0</v>
      </c>
      <c r="I14" s="190">
        <f t="shared" si="0"/>
        <v>0</v>
      </c>
      <c r="K14" s="190">
        <f>K43*-1</f>
        <v>0</v>
      </c>
      <c r="L14" s="190">
        <f t="shared" ref="L14:BR14" si="4">L43*-1</f>
        <v>0</v>
      </c>
      <c r="M14" s="190">
        <f t="shared" si="4"/>
        <v>0</v>
      </c>
      <c r="N14" s="190">
        <f t="shared" si="4"/>
        <v>0</v>
      </c>
      <c r="O14" s="190">
        <f t="shared" si="4"/>
        <v>0</v>
      </c>
      <c r="P14" s="190">
        <f t="shared" si="4"/>
        <v>0</v>
      </c>
      <c r="Q14" s="190">
        <f t="shared" si="4"/>
        <v>0</v>
      </c>
      <c r="R14" s="190">
        <f t="shared" si="4"/>
        <v>0</v>
      </c>
      <c r="S14" s="190">
        <f t="shared" si="4"/>
        <v>0</v>
      </c>
      <c r="T14" s="190">
        <f t="shared" si="4"/>
        <v>0</v>
      </c>
      <c r="U14" s="190">
        <f t="shared" si="4"/>
        <v>0</v>
      </c>
      <c r="V14" s="190">
        <f t="shared" si="4"/>
        <v>0</v>
      </c>
      <c r="W14" s="190">
        <f t="shared" si="4"/>
        <v>0</v>
      </c>
      <c r="X14" s="190">
        <f t="shared" si="4"/>
        <v>0</v>
      </c>
      <c r="Y14" s="190">
        <f t="shared" si="4"/>
        <v>0</v>
      </c>
      <c r="Z14" s="190">
        <f t="shared" si="4"/>
        <v>0</v>
      </c>
      <c r="AA14" s="190">
        <f t="shared" si="4"/>
        <v>0</v>
      </c>
      <c r="AB14" s="190">
        <f t="shared" si="4"/>
        <v>0</v>
      </c>
      <c r="AC14" s="190">
        <f t="shared" si="4"/>
        <v>0</v>
      </c>
      <c r="AD14" s="190">
        <f t="shared" si="4"/>
        <v>0</v>
      </c>
      <c r="AE14" s="190">
        <f t="shared" si="4"/>
        <v>0</v>
      </c>
      <c r="AF14" s="190">
        <f t="shared" si="4"/>
        <v>0</v>
      </c>
      <c r="AG14" s="190">
        <f t="shared" si="4"/>
        <v>0</v>
      </c>
      <c r="AH14" s="190">
        <f t="shared" si="4"/>
        <v>0</v>
      </c>
      <c r="AI14" s="190">
        <f t="shared" si="4"/>
        <v>0</v>
      </c>
      <c r="AJ14" s="190">
        <f t="shared" si="4"/>
        <v>0</v>
      </c>
      <c r="AK14" s="190">
        <f t="shared" si="4"/>
        <v>0</v>
      </c>
      <c r="AL14" s="190">
        <f t="shared" si="4"/>
        <v>0</v>
      </c>
      <c r="AM14" s="190">
        <f t="shared" si="4"/>
        <v>0</v>
      </c>
      <c r="AN14" s="190">
        <f t="shared" si="4"/>
        <v>0</v>
      </c>
      <c r="AO14" s="190">
        <f t="shared" si="4"/>
        <v>0</v>
      </c>
      <c r="AP14" s="190">
        <f t="shared" si="4"/>
        <v>0</v>
      </c>
      <c r="AQ14" s="190">
        <f t="shared" si="4"/>
        <v>0</v>
      </c>
      <c r="AR14" s="190">
        <f t="shared" si="4"/>
        <v>0</v>
      </c>
      <c r="AS14" s="190">
        <f t="shared" si="4"/>
        <v>0</v>
      </c>
      <c r="AT14" s="190">
        <f t="shared" si="4"/>
        <v>0</v>
      </c>
      <c r="AU14" s="190">
        <f t="shared" si="4"/>
        <v>0</v>
      </c>
      <c r="AV14" s="190">
        <f t="shared" si="4"/>
        <v>0</v>
      </c>
      <c r="AW14" s="190">
        <f t="shared" si="4"/>
        <v>0</v>
      </c>
      <c r="AX14" s="190">
        <f t="shared" si="4"/>
        <v>0</v>
      </c>
      <c r="AY14" s="190">
        <f t="shared" si="4"/>
        <v>0</v>
      </c>
      <c r="AZ14" s="190">
        <f t="shared" si="4"/>
        <v>0</v>
      </c>
      <c r="BA14" s="190">
        <f t="shared" si="4"/>
        <v>0</v>
      </c>
      <c r="BB14" s="190">
        <f t="shared" si="4"/>
        <v>0</v>
      </c>
      <c r="BC14" s="190">
        <f t="shared" si="4"/>
        <v>0</v>
      </c>
      <c r="BD14" s="190">
        <f t="shared" si="4"/>
        <v>0</v>
      </c>
      <c r="BE14" s="190">
        <f t="shared" si="4"/>
        <v>0</v>
      </c>
      <c r="BF14" s="190">
        <f t="shared" si="4"/>
        <v>0</v>
      </c>
      <c r="BG14" s="190">
        <f t="shared" si="4"/>
        <v>0</v>
      </c>
      <c r="BH14" s="190">
        <f t="shared" si="4"/>
        <v>0</v>
      </c>
      <c r="BI14" s="190">
        <f t="shared" si="4"/>
        <v>0</v>
      </c>
      <c r="BJ14" s="190">
        <f t="shared" si="4"/>
        <v>0</v>
      </c>
      <c r="BK14" s="190">
        <f t="shared" si="4"/>
        <v>0</v>
      </c>
      <c r="BL14" s="190">
        <f t="shared" si="4"/>
        <v>0</v>
      </c>
      <c r="BM14" s="190">
        <f t="shared" si="4"/>
        <v>0</v>
      </c>
      <c r="BN14" s="190">
        <f t="shared" si="4"/>
        <v>0</v>
      </c>
      <c r="BO14" s="190">
        <f t="shared" si="4"/>
        <v>0</v>
      </c>
      <c r="BP14" s="190">
        <f t="shared" si="4"/>
        <v>0</v>
      </c>
      <c r="BQ14" s="190">
        <f t="shared" si="4"/>
        <v>0</v>
      </c>
      <c r="BR14" s="190">
        <f t="shared" si="4"/>
        <v>0</v>
      </c>
    </row>
    <row r="15" spans="1:78" s="181" customFormat="1" x14ac:dyDescent="0.25">
      <c r="C15" s="182" t="str">
        <f>IF(KeyInputs!F24=0," ",KeyInputs!F24)</f>
        <v>Insert Product Group 3</v>
      </c>
      <c r="D15" s="189" t="str">
        <f>unit</f>
        <v>£</v>
      </c>
      <c r="E15" s="190">
        <f t="shared" si="3"/>
        <v>0</v>
      </c>
      <c r="F15" s="190">
        <f t="shared" si="0"/>
        <v>0</v>
      </c>
      <c r="G15" s="190">
        <f t="shared" si="0"/>
        <v>0</v>
      </c>
      <c r="H15" s="190">
        <f t="shared" si="0"/>
        <v>0</v>
      </c>
      <c r="I15" s="190">
        <f t="shared" si="0"/>
        <v>0</v>
      </c>
      <c r="K15" s="190">
        <f>K48*-1</f>
        <v>0</v>
      </c>
      <c r="L15" s="190">
        <f t="shared" ref="L15:BR15" si="5">L48*-1</f>
        <v>0</v>
      </c>
      <c r="M15" s="190">
        <f t="shared" si="5"/>
        <v>0</v>
      </c>
      <c r="N15" s="190">
        <f t="shared" si="5"/>
        <v>0</v>
      </c>
      <c r="O15" s="190">
        <f t="shared" si="5"/>
        <v>0</v>
      </c>
      <c r="P15" s="190">
        <f t="shared" si="5"/>
        <v>0</v>
      </c>
      <c r="Q15" s="190">
        <f t="shared" si="5"/>
        <v>0</v>
      </c>
      <c r="R15" s="190">
        <f t="shared" si="5"/>
        <v>0</v>
      </c>
      <c r="S15" s="190">
        <f t="shared" si="5"/>
        <v>0</v>
      </c>
      <c r="T15" s="190">
        <f t="shared" si="5"/>
        <v>0</v>
      </c>
      <c r="U15" s="190">
        <f t="shared" si="5"/>
        <v>0</v>
      </c>
      <c r="V15" s="190">
        <f t="shared" si="5"/>
        <v>0</v>
      </c>
      <c r="W15" s="190">
        <f t="shared" si="5"/>
        <v>0</v>
      </c>
      <c r="X15" s="190">
        <f t="shared" si="5"/>
        <v>0</v>
      </c>
      <c r="Y15" s="190">
        <f t="shared" si="5"/>
        <v>0</v>
      </c>
      <c r="Z15" s="190">
        <f t="shared" si="5"/>
        <v>0</v>
      </c>
      <c r="AA15" s="190">
        <f t="shared" si="5"/>
        <v>0</v>
      </c>
      <c r="AB15" s="190">
        <f t="shared" si="5"/>
        <v>0</v>
      </c>
      <c r="AC15" s="190">
        <f t="shared" si="5"/>
        <v>0</v>
      </c>
      <c r="AD15" s="190">
        <f t="shared" si="5"/>
        <v>0</v>
      </c>
      <c r="AE15" s="190">
        <f t="shared" si="5"/>
        <v>0</v>
      </c>
      <c r="AF15" s="190">
        <f t="shared" si="5"/>
        <v>0</v>
      </c>
      <c r="AG15" s="190">
        <f t="shared" si="5"/>
        <v>0</v>
      </c>
      <c r="AH15" s="190">
        <f t="shared" si="5"/>
        <v>0</v>
      </c>
      <c r="AI15" s="190">
        <f t="shared" si="5"/>
        <v>0</v>
      </c>
      <c r="AJ15" s="190">
        <f t="shared" si="5"/>
        <v>0</v>
      </c>
      <c r="AK15" s="190">
        <f t="shared" si="5"/>
        <v>0</v>
      </c>
      <c r="AL15" s="190">
        <f t="shared" si="5"/>
        <v>0</v>
      </c>
      <c r="AM15" s="190">
        <f t="shared" si="5"/>
        <v>0</v>
      </c>
      <c r="AN15" s="190">
        <f t="shared" si="5"/>
        <v>0</v>
      </c>
      <c r="AO15" s="190">
        <f t="shared" si="5"/>
        <v>0</v>
      </c>
      <c r="AP15" s="190">
        <f t="shared" si="5"/>
        <v>0</v>
      </c>
      <c r="AQ15" s="190">
        <f t="shared" si="5"/>
        <v>0</v>
      </c>
      <c r="AR15" s="190">
        <f t="shared" si="5"/>
        <v>0</v>
      </c>
      <c r="AS15" s="190">
        <f t="shared" si="5"/>
        <v>0</v>
      </c>
      <c r="AT15" s="190">
        <f t="shared" si="5"/>
        <v>0</v>
      </c>
      <c r="AU15" s="190">
        <f t="shared" si="5"/>
        <v>0</v>
      </c>
      <c r="AV15" s="190">
        <f t="shared" si="5"/>
        <v>0</v>
      </c>
      <c r="AW15" s="190">
        <f t="shared" si="5"/>
        <v>0</v>
      </c>
      <c r="AX15" s="190">
        <f t="shared" si="5"/>
        <v>0</v>
      </c>
      <c r="AY15" s="190">
        <f t="shared" si="5"/>
        <v>0</v>
      </c>
      <c r="AZ15" s="190">
        <f t="shared" si="5"/>
        <v>0</v>
      </c>
      <c r="BA15" s="190">
        <f t="shared" si="5"/>
        <v>0</v>
      </c>
      <c r="BB15" s="190">
        <f t="shared" si="5"/>
        <v>0</v>
      </c>
      <c r="BC15" s="190">
        <f t="shared" si="5"/>
        <v>0</v>
      </c>
      <c r="BD15" s="190">
        <f t="shared" si="5"/>
        <v>0</v>
      </c>
      <c r="BE15" s="190">
        <f t="shared" si="5"/>
        <v>0</v>
      </c>
      <c r="BF15" s="190">
        <f t="shared" si="5"/>
        <v>0</v>
      </c>
      <c r="BG15" s="190">
        <f t="shared" si="5"/>
        <v>0</v>
      </c>
      <c r="BH15" s="190">
        <f t="shared" si="5"/>
        <v>0</v>
      </c>
      <c r="BI15" s="190">
        <f t="shared" si="5"/>
        <v>0</v>
      </c>
      <c r="BJ15" s="190">
        <f t="shared" si="5"/>
        <v>0</v>
      </c>
      <c r="BK15" s="190">
        <f t="shared" si="5"/>
        <v>0</v>
      </c>
      <c r="BL15" s="190">
        <f t="shared" si="5"/>
        <v>0</v>
      </c>
      <c r="BM15" s="190">
        <f t="shared" si="5"/>
        <v>0</v>
      </c>
      <c r="BN15" s="190">
        <f t="shared" si="5"/>
        <v>0</v>
      </c>
      <c r="BO15" s="190">
        <f t="shared" si="5"/>
        <v>0</v>
      </c>
      <c r="BP15" s="190">
        <f t="shared" si="5"/>
        <v>0</v>
      </c>
      <c r="BQ15" s="190">
        <f t="shared" si="5"/>
        <v>0</v>
      </c>
      <c r="BR15" s="190">
        <f t="shared" si="5"/>
        <v>0</v>
      </c>
    </row>
    <row r="16" spans="1:78" s="181" customFormat="1" x14ac:dyDescent="0.25">
      <c r="C16" s="182"/>
      <c r="D16" s="189" t="str">
        <f>unit</f>
        <v>£</v>
      </c>
      <c r="E16" s="191">
        <f>SUM(E13:E15)</f>
        <v>0</v>
      </c>
      <c r="F16" s="191">
        <f t="shared" ref="F16:I16" si="6">SUM(F13:F15)</f>
        <v>0</v>
      </c>
      <c r="G16" s="191">
        <f t="shared" si="6"/>
        <v>0</v>
      </c>
      <c r="H16" s="191">
        <f t="shared" si="6"/>
        <v>0</v>
      </c>
      <c r="I16" s="191">
        <f t="shared" si="6"/>
        <v>0</v>
      </c>
      <c r="K16" s="226">
        <f t="shared" ref="K16" si="7">SUM(K13:K15)</f>
        <v>0</v>
      </c>
      <c r="L16" s="226">
        <f t="shared" ref="L16" si="8">SUM(L13:L15)</f>
        <v>0</v>
      </c>
      <c r="M16" s="226">
        <f t="shared" ref="M16" si="9">SUM(M13:M15)</f>
        <v>0</v>
      </c>
      <c r="N16" s="226">
        <f t="shared" ref="N16" si="10">SUM(N13:N15)</f>
        <v>0</v>
      </c>
      <c r="O16" s="226">
        <f t="shared" ref="O16" si="11">SUM(O13:O15)</f>
        <v>0</v>
      </c>
      <c r="P16" s="226">
        <f t="shared" ref="P16" si="12">SUM(P13:P15)</f>
        <v>0</v>
      </c>
      <c r="Q16" s="226">
        <f t="shared" ref="Q16" si="13">SUM(Q13:Q15)</f>
        <v>0</v>
      </c>
      <c r="R16" s="226">
        <f t="shared" ref="R16" si="14">SUM(R13:R15)</f>
        <v>0</v>
      </c>
      <c r="S16" s="226">
        <f t="shared" ref="S16" si="15">SUM(S13:S15)</f>
        <v>0</v>
      </c>
      <c r="T16" s="226">
        <f t="shared" ref="T16" si="16">SUM(T13:T15)</f>
        <v>0</v>
      </c>
      <c r="U16" s="226">
        <f t="shared" ref="U16" si="17">SUM(U13:U15)</f>
        <v>0</v>
      </c>
      <c r="V16" s="226">
        <f t="shared" ref="V16" si="18">SUM(V13:V15)</f>
        <v>0</v>
      </c>
      <c r="W16" s="226">
        <f t="shared" ref="W16" si="19">SUM(W13:W15)</f>
        <v>0</v>
      </c>
      <c r="X16" s="226">
        <f t="shared" ref="X16" si="20">SUM(X13:X15)</f>
        <v>0</v>
      </c>
      <c r="Y16" s="226">
        <f t="shared" ref="Y16" si="21">SUM(Y13:Y15)</f>
        <v>0</v>
      </c>
      <c r="Z16" s="226">
        <f t="shared" ref="Z16" si="22">SUM(Z13:Z15)</f>
        <v>0</v>
      </c>
      <c r="AA16" s="226">
        <f t="shared" ref="AA16" si="23">SUM(AA13:AA15)</f>
        <v>0</v>
      </c>
      <c r="AB16" s="226">
        <f t="shared" ref="AB16" si="24">SUM(AB13:AB15)</f>
        <v>0</v>
      </c>
      <c r="AC16" s="226">
        <f t="shared" ref="AC16" si="25">SUM(AC13:AC15)</f>
        <v>0</v>
      </c>
      <c r="AD16" s="226">
        <f t="shared" ref="AD16" si="26">SUM(AD13:AD15)</f>
        <v>0</v>
      </c>
      <c r="AE16" s="226">
        <f t="shared" ref="AE16" si="27">SUM(AE13:AE15)</f>
        <v>0</v>
      </c>
      <c r="AF16" s="226">
        <f t="shared" ref="AF16" si="28">SUM(AF13:AF15)</f>
        <v>0</v>
      </c>
      <c r="AG16" s="226">
        <f t="shared" ref="AG16" si="29">SUM(AG13:AG15)</f>
        <v>0</v>
      </c>
      <c r="AH16" s="226">
        <f t="shared" ref="AH16" si="30">SUM(AH13:AH15)</f>
        <v>0</v>
      </c>
      <c r="AI16" s="226">
        <f t="shared" ref="AI16" si="31">SUM(AI13:AI15)</f>
        <v>0</v>
      </c>
      <c r="AJ16" s="226">
        <f t="shared" ref="AJ16" si="32">SUM(AJ13:AJ15)</f>
        <v>0</v>
      </c>
      <c r="AK16" s="226">
        <f t="shared" ref="AK16" si="33">SUM(AK13:AK15)</f>
        <v>0</v>
      </c>
      <c r="AL16" s="226">
        <f t="shared" ref="AL16" si="34">SUM(AL13:AL15)</f>
        <v>0</v>
      </c>
      <c r="AM16" s="226">
        <f t="shared" ref="AM16" si="35">SUM(AM13:AM15)</f>
        <v>0</v>
      </c>
      <c r="AN16" s="226">
        <f t="shared" ref="AN16" si="36">SUM(AN13:AN15)</f>
        <v>0</v>
      </c>
      <c r="AO16" s="226">
        <f t="shared" ref="AO16" si="37">SUM(AO13:AO15)</f>
        <v>0</v>
      </c>
      <c r="AP16" s="226">
        <f t="shared" ref="AP16" si="38">SUM(AP13:AP15)</f>
        <v>0</v>
      </c>
      <c r="AQ16" s="226">
        <f t="shared" ref="AQ16" si="39">SUM(AQ13:AQ15)</f>
        <v>0</v>
      </c>
      <c r="AR16" s="226">
        <f t="shared" ref="AR16" si="40">SUM(AR13:AR15)</f>
        <v>0</v>
      </c>
      <c r="AS16" s="226">
        <f t="shared" ref="AS16" si="41">SUM(AS13:AS15)</f>
        <v>0</v>
      </c>
      <c r="AT16" s="226">
        <f t="shared" ref="AT16" si="42">SUM(AT13:AT15)</f>
        <v>0</v>
      </c>
      <c r="AU16" s="226">
        <f t="shared" ref="AU16" si="43">SUM(AU13:AU15)</f>
        <v>0</v>
      </c>
      <c r="AV16" s="226">
        <f t="shared" ref="AV16" si="44">SUM(AV13:AV15)</f>
        <v>0</v>
      </c>
      <c r="AW16" s="226">
        <f t="shared" ref="AW16" si="45">SUM(AW13:AW15)</f>
        <v>0</v>
      </c>
      <c r="AX16" s="226">
        <f t="shared" ref="AX16" si="46">SUM(AX13:AX15)</f>
        <v>0</v>
      </c>
      <c r="AY16" s="226">
        <f t="shared" ref="AY16" si="47">SUM(AY13:AY15)</f>
        <v>0</v>
      </c>
      <c r="AZ16" s="226">
        <f t="shared" ref="AZ16" si="48">SUM(AZ13:AZ15)</f>
        <v>0</v>
      </c>
      <c r="BA16" s="226">
        <f t="shared" ref="BA16" si="49">SUM(BA13:BA15)</f>
        <v>0</v>
      </c>
      <c r="BB16" s="226">
        <f t="shared" ref="BB16" si="50">SUM(BB13:BB15)</f>
        <v>0</v>
      </c>
      <c r="BC16" s="226">
        <f t="shared" ref="BC16" si="51">SUM(BC13:BC15)</f>
        <v>0</v>
      </c>
      <c r="BD16" s="226">
        <f t="shared" ref="BD16" si="52">SUM(BD13:BD15)</f>
        <v>0</v>
      </c>
      <c r="BE16" s="226">
        <f t="shared" ref="BE16" si="53">SUM(BE13:BE15)</f>
        <v>0</v>
      </c>
      <c r="BF16" s="226">
        <f t="shared" ref="BF16" si="54">SUM(BF13:BF15)</f>
        <v>0</v>
      </c>
      <c r="BG16" s="226">
        <f t="shared" ref="BG16" si="55">SUM(BG13:BG15)</f>
        <v>0</v>
      </c>
      <c r="BH16" s="226">
        <f t="shared" ref="BH16" si="56">SUM(BH13:BH15)</f>
        <v>0</v>
      </c>
      <c r="BI16" s="226">
        <f t="shared" ref="BI16" si="57">SUM(BI13:BI15)</f>
        <v>0</v>
      </c>
      <c r="BJ16" s="226">
        <f t="shared" ref="BJ16" si="58">SUM(BJ13:BJ15)</f>
        <v>0</v>
      </c>
      <c r="BK16" s="226">
        <f t="shared" ref="BK16" si="59">SUM(BK13:BK15)</f>
        <v>0</v>
      </c>
      <c r="BL16" s="226">
        <f t="shared" ref="BL16" si="60">SUM(BL13:BL15)</f>
        <v>0</v>
      </c>
      <c r="BM16" s="226">
        <f t="shared" ref="BM16" si="61">SUM(BM13:BM15)</f>
        <v>0</v>
      </c>
      <c r="BN16" s="226">
        <f t="shared" ref="BN16" si="62">SUM(BN13:BN15)</f>
        <v>0</v>
      </c>
      <c r="BO16" s="226">
        <f t="shared" ref="BO16" si="63">SUM(BO13:BO15)</f>
        <v>0</v>
      </c>
      <c r="BP16" s="226">
        <f t="shared" ref="BP16" si="64">SUM(BP13:BP15)</f>
        <v>0</v>
      </c>
      <c r="BQ16" s="226">
        <f t="shared" ref="BQ16" si="65">SUM(BQ13:BQ15)</f>
        <v>0</v>
      </c>
      <c r="BR16" s="226">
        <f t="shared" ref="BR16" si="66">SUM(BR13:BR15)</f>
        <v>0</v>
      </c>
    </row>
    <row r="17" spans="1:70" s="181" customFormat="1" x14ac:dyDescent="0.25">
      <c r="D17" s="183"/>
      <c r="E17" s="190"/>
      <c r="F17" s="190"/>
      <c r="G17" s="190"/>
      <c r="H17" s="190"/>
      <c r="I17" s="190"/>
      <c r="K17" s="184"/>
      <c r="L17" s="184"/>
      <c r="M17" s="184"/>
      <c r="N17" s="184"/>
      <c r="O17" s="184"/>
      <c r="P17" s="184"/>
      <c r="Q17" s="184"/>
      <c r="R17" s="184"/>
      <c r="S17" s="184"/>
      <c r="T17" s="184"/>
      <c r="U17" s="184"/>
      <c r="V17" s="184"/>
      <c r="W17" s="184"/>
      <c r="X17" s="184"/>
      <c r="Y17" s="184"/>
      <c r="Z17" s="184"/>
      <c r="AA17" s="184"/>
      <c r="AB17" s="184"/>
      <c r="AC17" s="184"/>
      <c r="AD17" s="184"/>
      <c r="AE17" s="184"/>
      <c r="AF17" s="184"/>
      <c r="AG17" s="184"/>
      <c r="AH17" s="184"/>
      <c r="AI17" s="184"/>
      <c r="AJ17" s="184"/>
      <c r="AK17" s="184"/>
      <c r="AL17" s="184"/>
      <c r="AM17" s="184"/>
      <c r="AN17" s="184"/>
      <c r="AO17" s="184"/>
      <c r="AP17" s="184"/>
      <c r="AQ17" s="184"/>
      <c r="AR17" s="184"/>
      <c r="AS17" s="184"/>
      <c r="AT17" s="184"/>
      <c r="AU17" s="184"/>
      <c r="AV17" s="184"/>
      <c r="AW17" s="184"/>
      <c r="AX17" s="184"/>
      <c r="AY17" s="184"/>
      <c r="AZ17" s="184"/>
      <c r="BA17" s="184"/>
      <c r="BB17" s="184"/>
      <c r="BC17" s="184"/>
      <c r="BD17" s="184"/>
      <c r="BE17" s="184"/>
      <c r="BF17" s="184"/>
      <c r="BG17" s="184"/>
      <c r="BH17" s="184"/>
      <c r="BI17" s="184"/>
      <c r="BJ17" s="184"/>
      <c r="BK17" s="184"/>
      <c r="BL17" s="184"/>
      <c r="BM17" s="184"/>
      <c r="BN17" s="184"/>
      <c r="BO17" s="184"/>
      <c r="BP17" s="184"/>
      <c r="BQ17" s="184"/>
      <c r="BR17" s="184"/>
    </row>
    <row r="18" spans="1:70" s="180" customFormat="1" ht="13.8" x14ac:dyDescent="0.25">
      <c r="B18" s="180" t="str">
        <f>Header2</f>
        <v>1.2</v>
      </c>
      <c r="C18" s="180" t="str">
        <f>IF(KeyInputs!F26=0," ",KeyInputs!F26)</f>
        <v>Insert Business Line2</v>
      </c>
      <c r="E18" s="57"/>
      <c r="F18" s="57"/>
      <c r="G18" s="57"/>
      <c r="H18" s="57"/>
      <c r="I18" s="57"/>
    </row>
    <row r="19" spans="1:70" s="181" customFormat="1" x14ac:dyDescent="0.25">
      <c r="C19" s="182" t="str">
        <f>IF(KeyInputs!F27=0," ",KeyInputs!F27)</f>
        <v>Insert Product Group4</v>
      </c>
      <c r="D19" s="189" t="str">
        <f>unit</f>
        <v>£</v>
      </c>
      <c r="E19" s="190">
        <f>SUMIF($K$5:$BR$5,E$5,$K19:$BR19)</f>
        <v>0</v>
      </c>
      <c r="F19" s="190">
        <f t="shared" ref="F19:I21" si="67">SUMIF($K$5:$BR$5,F$5,$K19:$BR19)</f>
        <v>0</v>
      </c>
      <c r="G19" s="190">
        <f t="shared" si="67"/>
        <v>0</v>
      </c>
      <c r="H19" s="190">
        <f t="shared" si="67"/>
        <v>0</v>
      </c>
      <c r="I19" s="190">
        <f t="shared" si="67"/>
        <v>0</v>
      </c>
      <c r="K19" s="190">
        <f>K59*-1</f>
        <v>0</v>
      </c>
      <c r="L19" s="190">
        <f t="shared" ref="L19:BR19" si="68">L59*-1</f>
        <v>0</v>
      </c>
      <c r="M19" s="190">
        <f t="shared" si="68"/>
        <v>0</v>
      </c>
      <c r="N19" s="190">
        <f t="shared" si="68"/>
        <v>0</v>
      </c>
      <c r="O19" s="190">
        <f t="shared" si="68"/>
        <v>0</v>
      </c>
      <c r="P19" s="190">
        <f t="shared" si="68"/>
        <v>0</v>
      </c>
      <c r="Q19" s="190">
        <f t="shared" si="68"/>
        <v>0</v>
      </c>
      <c r="R19" s="190">
        <f t="shared" si="68"/>
        <v>0</v>
      </c>
      <c r="S19" s="190">
        <f t="shared" si="68"/>
        <v>0</v>
      </c>
      <c r="T19" s="190">
        <f t="shared" si="68"/>
        <v>0</v>
      </c>
      <c r="U19" s="190">
        <f t="shared" si="68"/>
        <v>0</v>
      </c>
      <c r="V19" s="190">
        <f t="shared" si="68"/>
        <v>0</v>
      </c>
      <c r="W19" s="190">
        <f t="shared" si="68"/>
        <v>0</v>
      </c>
      <c r="X19" s="190">
        <f t="shared" si="68"/>
        <v>0</v>
      </c>
      <c r="Y19" s="190">
        <f t="shared" si="68"/>
        <v>0</v>
      </c>
      <c r="Z19" s="190">
        <f t="shared" si="68"/>
        <v>0</v>
      </c>
      <c r="AA19" s="190">
        <f t="shared" si="68"/>
        <v>0</v>
      </c>
      <c r="AB19" s="190">
        <f t="shared" si="68"/>
        <v>0</v>
      </c>
      <c r="AC19" s="190">
        <f t="shared" si="68"/>
        <v>0</v>
      </c>
      <c r="AD19" s="190">
        <f t="shared" si="68"/>
        <v>0</v>
      </c>
      <c r="AE19" s="190">
        <f t="shared" si="68"/>
        <v>0</v>
      </c>
      <c r="AF19" s="190">
        <f t="shared" si="68"/>
        <v>0</v>
      </c>
      <c r="AG19" s="190">
        <f t="shared" si="68"/>
        <v>0</v>
      </c>
      <c r="AH19" s="190">
        <f t="shared" si="68"/>
        <v>0</v>
      </c>
      <c r="AI19" s="190">
        <f t="shared" si="68"/>
        <v>0</v>
      </c>
      <c r="AJ19" s="190">
        <f t="shared" si="68"/>
        <v>0</v>
      </c>
      <c r="AK19" s="190">
        <f t="shared" si="68"/>
        <v>0</v>
      </c>
      <c r="AL19" s="190">
        <f t="shared" si="68"/>
        <v>0</v>
      </c>
      <c r="AM19" s="190">
        <f t="shared" si="68"/>
        <v>0</v>
      </c>
      <c r="AN19" s="190">
        <f t="shared" si="68"/>
        <v>0</v>
      </c>
      <c r="AO19" s="190">
        <f t="shared" si="68"/>
        <v>0</v>
      </c>
      <c r="AP19" s="190">
        <f t="shared" si="68"/>
        <v>0</v>
      </c>
      <c r="AQ19" s="190">
        <f t="shared" si="68"/>
        <v>0</v>
      </c>
      <c r="AR19" s="190">
        <f t="shared" si="68"/>
        <v>0</v>
      </c>
      <c r="AS19" s="190">
        <f t="shared" si="68"/>
        <v>0</v>
      </c>
      <c r="AT19" s="190">
        <f t="shared" si="68"/>
        <v>0</v>
      </c>
      <c r="AU19" s="190">
        <f t="shared" si="68"/>
        <v>0</v>
      </c>
      <c r="AV19" s="190">
        <f t="shared" si="68"/>
        <v>0</v>
      </c>
      <c r="AW19" s="190">
        <f t="shared" si="68"/>
        <v>0</v>
      </c>
      <c r="AX19" s="190">
        <f t="shared" si="68"/>
        <v>0</v>
      </c>
      <c r="AY19" s="190">
        <f t="shared" si="68"/>
        <v>0</v>
      </c>
      <c r="AZ19" s="190">
        <f t="shared" si="68"/>
        <v>0</v>
      </c>
      <c r="BA19" s="190">
        <f t="shared" si="68"/>
        <v>0</v>
      </c>
      <c r="BB19" s="190">
        <f t="shared" si="68"/>
        <v>0</v>
      </c>
      <c r="BC19" s="190">
        <f t="shared" si="68"/>
        <v>0</v>
      </c>
      <c r="BD19" s="190">
        <f t="shared" si="68"/>
        <v>0</v>
      </c>
      <c r="BE19" s="190">
        <f t="shared" si="68"/>
        <v>0</v>
      </c>
      <c r="BF19" s="190">
        <f t="shared" si="68"/>
        <v>0</v>
      </c>
      <c r="BG19" s="190">
        <f t="shared" si="68"/>
        <v>0</v>
      </c>
      <c r="BH19" s="190">
        <f t="shared" si="68"/>
        <v>0</v>
      </c>
      <c r="BI19" s="190">
        <f t="shared" si="68"/>
        <v>0</v>
      </c>
      <c r="BJ19" s="190">
        <f t="shared" si="68"/>
        <v>0</v>
      </c>
      <c r="BK19" s="190">
        <f t="shared" si="68"/>
        <v>0</v>
      </c>
      <c r="BL19" s="190">
        <f t="shared" si="68"/>
        <v>0</v>
      </c>
      <c r="BM19" s="190">
        <f t="shared" si="68"/>
        <v>0</v>
      </c>
      <c r="BN19" s="190">
        <f t="shared" si="68"/>
        <v>0</v>
      </c>
      <c r="BO19" s="190">
        <f t="shared" si="68"/>
        <v>0</v>
      </c>
      <c r="BP19" s="190">
        <f t="shared" si="68"/>
        <v>0</v>
      </c>
      <c r="BQ19" s="190">
        <f t="shared" si="68"/>
        <v>0</v>
      </c>
      <c r="BR19" s="190">
        <f t="shared" si="68"/>
        <v>0</v>
      </c>
    </row>
    <row r="20" spans="1:70" s="181" customFormat="1" x14ac:dyDescent="0.25">
      <c r="C20" s="182" t="str">
        <f>IF(KeyInputs!F28=0," ",KeyInputs!F28)</f>
        <v>Insert Product Group5</v>
      </c>
      <c r="D20" s="189" t="str">
        <f>unit</f>
        <v>£</v>
      </c>
      <c r="E20" s="190">
        <f t="shared" ref="E20:E21" si="69">SUMIF($K$5:$BR$5,E$5,$K20:$BR20)</f>
        <v>0</v>
      </c>
      <c r="F20" s="190">
        <f t="shared" si="67"/>
        <v>0</v>
      </c>
      <c r="G20" s="190">
        <f t="shared" si="67"/>
        <v>0</v>
      </c>
      <c r="H20" s="190">
        <f t="shared" si="67"/>
        <v>0</v>
      </c>
      <c r="I20" s="190">
        <f t="shared" si="67"/>
        <v>0</v>
      </c>
      <c r="K20" s="190">
        <f>K64*-1</f>
        <v>0</v>
      </c>
      <c r="L20" s="190">
        <f t="shared" ref="L20:BR20" si="70">L64*-1</f>
        <v>0</v>
      </c>
      <c r="M20" s="190">
        <f t="shared" si="70"/>
        <v>0</v>
      </c>
      <c r="N20" s="190">
        <f t="shared" si="70"/>
        <v>0</v>
      </c>
      <c r="O20" s="190">
        <f t="shared" si="70"/>
        <v>0</v>
      </c>
      <c r="P20" s="190">
        <f t="shared" si="70"/>
        <v>0</v>
      </c>
      <c r="Q20" s="190">
        <f t="shared" si="70"/>
        <v>0</v>
      </c>
      <c r="R20" s="190">
        <f t="shared" si="70"/>
        <v>0</v>
      </c>
      <c r="S20" s="190">
        <f t="shared" si="70"/>
        <v>0</v>
      </c>
      <c r="T20" s="190">
        <f t="shared" si="70"/>
        <v>0</v>
      </c>
      <c r="U20" s="190">
        <f t="shared" si="70"/>
        <v>0</v>
      </c>
      <c r="V20" s="190">
        <f t="shared" si="70"/>
        <v>0</v>
      </c>
      <c r="W20" s="190">
        <f t="shared" si="70"/>
        <v>0</v>
      </c>
      <c r="X20" s="190">
        <f t="shared" si="70"/>
        <v>0</v>
      </c>
      <c r="Y20" s="190">
        <f t="shared" si="70"/>
        <v>0</v>
      </c>
      <c r="Z20" s="190">
        <f t="shared" si="70"/>
        <v>0</v>
      </c>
      <c r="AA20" s="190">
        <f t="shared" si="70"/>
        <v>0</v>
      </c>
      <c r="AB20" s="190">
        <f t="shared" si="70"/>
        <v>0</v>
      </c>
      <c r="AC20" s="190">
        <f t="shared" si="70"/>
        <v>0</v>
      </c>
      <c r="AD20" s="190">
        <f t="shared" si="70"/>
        <v>0</v>
      </c>
      <c r="AE20" s="190">
        <f t="shared" si="70"/>
        <v>0</v>
      </c>
      <c r="AF20" s="190">
        <f t="shared" si="70"/>
        <v>0</v>
      </c>
      <c r="AG20" s="190">
        <f t="shared" si="70"/>
        <v>0</v>
      </c>
      <c r="AH20" s="190">
        <f t="shared" si="70"/>
        <v>0</v>
      </c>
      <c r="AI20" s="190">
        <f t="shared" si="70"/>
        <v>0</v>
      </c>
      <c r="AJ20" s="190">
        <f t="shared" si="70"/>
        <v>0</v>
      </c>
      <c r="AK20" s="190">
        <f t="shared" si="70"/>
        <v>0</v>
      </c>
      <c r="AL20" s="190">
        <f t="shared" si="70"/>
        <v>0</v>
      </c>
      <c r="AM20" s="190">
        <f t="shared" si="70"/>
        <v>0</v>
      </c>
      <c r="AN20" s="190">
        <f t="shared" si="70"/>
        <v>0</v>
      </c>
      <c r="AO20" s="190">
        <f t="shared" si="70"/>
        <v>0</v>
      </c>
      <c r="AP20" s="190">
        <f t="shared" si="70"/>
        <v>0</v>
      </c>
      <c r="AQ20" s="190">
        <f t="shared" si="70"/>
        <v>0</v>
      </c>
      <c r="AR20" s="190">
        <f t="shared" si="70"/>
        <v>0</v>
      </c>
      <c r="AS20" s="190">
        <f t="shared" si="70"/>
        <v>0</v>
      </c>
      <c r="AT20" s="190">
        <f t="shared" si="70"/>
        <v>0</v>
      </c>
      <c r="AU20" s="190">
        <f t="shared" si="70"/>
        <v>0</v>
      </c>
      <c r="AV20" s="190">
        <f t="shared" si="70"/>
        <v>0</v>
      </c>
      <c r="AW20" s="190">
        <f t="shared" si="70"/>
        <v>0</v>
      </c>
      <c r="AX20" s="190">
        <f t="shared" si="70"/>
        <v>0</v>
      </c>
      <c r="AY20" s="190">
        <f t="shared" si="70"/>
        <v>0</v>
      </c>
      <c r="AZ20" s="190">
        <f t="shared" si="70"/>
        <v>0</v>
      </c>
      <c r="BA20" s="190">
        <f t="shared" si="70"/>
        <v>0</v>
      </c>
      <c r="BB20" s="190">
        <f t="shared" si="70"/>
        <v>0</v>
      </c>
      <c r="BC20" s="190">
        <f t="shared" si="70"/>
        <v>0</v>
      </c>
      <c r="BD20" s="190">
        <f t="shared" si="70"/>
        <v>0</v>
      </c>
      <c r="BE20" s="190">
        <f t="shared" si="70"/>
        <v>0</v>
      </c>
      <c r="BF20" s="190">
        <f t="shared" si="70"/>
        <v>0</v>
      </c>
      <c r="BG20" s="190">
        <f t="shared" si="70"/>
        <v>0</v>
      </c>
      <c r="BH20" s="190">
        <f t="shared" si="70"/>
        <v>0</v>
      </c>
      <c r="BI20" s="190">
        <f t="shared" si="70"/>
        <v>0</v>
      </c>
      <c r="BJ20" s="190">
        <f t="shared" si="70"/>
        <v>0</v>
      </c>
      <c r="BK20" s="190">
        <f t="shared" si="70"/>
        <v>0</v>
      </c>
      <c r="BL20" s="190">
        <f t="shared" si="70"/>
        <v>0</v>
      </c>
      <c r="BM20" s="190">
        <f t="shared" si="70"/>
        <v>0</v>
      </c>
      <c r="BN20" s="190">
        <f t="shared" si="70"/>
        <v>0</v>
      </c>
      <c r="BO20" s="190">
        <f t="shared" si="70"/>
        <v>0</v>
      </c>
      <c r="BP20" s="190">
        <f t="shared" si="70"/>
        <v>0</v>
      </c>
      <c r="BQ20" s="190">
        <f t="shared" si="70"/>
        <v>0</v>
      </c>
      <c r="BR20" s="190">
        <f t="shared" si="70"/>
        <v>0</v>
      </c>
    </row>
    <row r="21" spans="1:70" s="181" customFormat="1" x14ac:dyDescent="0.25">
      <c r="C21" s="182" t="str">
        <f>IF(KeyInputs!F29=0," ",KeyInputs!F29)</f>
        <v>Insert Product Group6</v>
      </c>
      <c r="D21" s="189" t="str">
        <f>unit</f>
        <v>£</v>
      </c>
      <c r="E21" s="190">
        <f t="shared" si="69"/>
        <v>0</v>
      </c>
      <c r="F21" s="190">
        <f t="shared" si="67"/>
        <v>0</v>
      </c>
      <c r="G21" s="190">
        <f t="shared" si="67"/>
        <v>0</v>
      </c>
      <c r="H21" s="190">
        <f t="shared" si="67"/>
        <v>0</v>
      </c>
      <c r="I21" s="190">
        <f t="shared" si="67"/>
        <v>0</v>
      </c>
      <c r="K21" s="190">
        <f>K69*-1</f>
        <v>0</v>
      </c>
      <c r="L21" s="190">
        <f t="shared" ref="L21:BR21" si="71">L69*-1</f>
        <v>0</v>
      </c>
      <c r="M21" s="190">
        <f t="shared" si="71"/>
        <v>0</v>
      </c>
      <c r="N21" s="190">
        <f t="shared" si="71"/>
        <v>0</v>
      </c>
      <c r="O21" s="190">
        <f t="shared" si="71"/>
        <v>0</v>
      </c>
      <c r="P21" s="190">
        <f t="shared" si="71"/>
        <v>0</v>
      </c>
      <c r="Q21" s="190">
        <f t="shared" si="71"/>
        <v>0</v>
      </c>
      <c r="R21" s="190">
        <f t="shared" si="71"/>
        <v>0</v>
      </c>
      <c r="S21" s="190">
        <f t="shared" si="71"/>
        <v>0</v>
      </c>
      <c r="T21" s="190">
        <f t="shared" si="71"/>
        <v>0</v>
      </c>
      <c r="U21" s="190">
        <f t="shared" si="71"/>
        <v>0</v>
      </c>
      <c r="V21" s="190">
        <f t="shared" si="71"/>
        <v>0</v>
      </c>
      <c r="W21" s="190">
        <f t="shared" si="71"/>
        <v>0</v>
      </c>
      <c r="X21" s="190">
        <f t="shared" si="71"/>
        <v>0</v>
      </c>
      <c r="Y21" s="190">
        <f t="shared" si="71"/>
        <v>0</v>
      </c>
      <c r="Z21" s="190">
        <f t="shared" si="71"/>
        <v>0</v>
      </c>
      <c r="AA21" s="190">
        <f t="shared" si="71"/>
        <v>0</v>
      </c>
      <c r="AB21" s="190">
        <f t="shared" si="71"/>
        <v>0</v>
      </c>
      <c r="AC21" s="190">
        <f t="shared" si="71"/>
        <v>0</v>
      </c>
      <c r="AD21" s="190">
        <f t="shared" si="71"/>
        <v>0</v>
      </c>
      <c r="AE21" s="190">
        <f t="shared" si="71"/>
        <v>0</v>
      </c>
      <c r="AF21" s="190">
        <f t="shared" si="71"/>
        <v>0</v>
      </c>
      <c r="AG21" s="190">
        <f t="shared" si="71"/>
        <v>0</v>
      </c>
      <c r="AH21" s="190">
        <f t="shared" si="71"/>
        <v>0</v>
      </c>
      <c r="AI21" s="190">
        <f t="shared" si="71"/>
        <v>0</v>
      </c>
      <c r="AJ21" s="190">
        <f t="shared" si="71"/>
        <v>0</v>
      </c>
      <c r="AK21" s="190">
        <f t="shared" si="71"/>
        <v>0</v>
      </c>
      <c r="AL21" s="190">
        <f t="shared" si="71"/>
        <v>0</v>
      </c>
      <c r="AM21" s="190">
        <f t="shared" si="71"/>
        <v>0</v>
      </c>
      <c r="AN21" s="190">
        <f t="shared" si="71"/>
        <v>0</v>
      </c>
      <c r="AO21" s="190">
        <f t="shared" si="71"/>
        <v>0</v>
      </c>
      <c r="AP21" s="190">
        <f t="shared" si="71"/>
        <v>0</v>
      </c>
      <c r="AQ21" s="190">
        <f t="shared" si="71"/>
        <v>0</v>
      </c>
      <c r="AR21" s="190">
        <f t="shared" si="71"/>
        <v>0</v>
      </c>
      <c r="AS21" s="190">
        <f t="shared" si="71"/>
        <v>0</v>
      </c>
      <c r="AT21" s="190">
        <f t="shared" si="71"/>
        <v>0</v>
      </c>
      <c r="AU21" s="190">
        <f t="shared" si="71"/>
        <v>0</v>
      </c>
      <c r="AV21" s="190">
        <f t="shared" si="71"/>
        <v>0</v>
      </c>
      <c r="AW21" s="190">
        <f t="shared" si="71"/>
        <v>0</v>
      </c>
      <c r="AX21" s="190">
        <f t="shared" si="71"/>
        <v>0</v>
      </c>
      <c r="AY21" s="190">
        <f t="shared" si="71"/>
        <v>0</v>
      </c>
      <c r="AZ21" s="190">
        <f t="shared" si="71"/>
        <v>0</v>
      </c>
      <c r="BA21" s="190">
        <f t="shared" si="71"/>
        <v>0</v>
      </c>
      <c r="BB21" s="190">
        <f t="shared" si="71"/>
        <v>0</v>
      </c>
      <c r="BC21" s="190">
        <f t="shared" si="71"/>
        <v>0</v>
      </c>
      <c r="BD21" s="190">
        <f t="shared" si="71"/>
        <v>0</v>
      </c>
      <c r="BE21" s="190">
        <f t="shared" si="71"/>
        <v>0</v>
      </c>
      <c r="BF21" s="190">
        <f t="shared" si="71"/>
        <v>0</v>
      </c>
      <c r="BG21" s="190">
        <f t="shared" si="71"/>
        <v>0</v>
      </c>
      <c r="BH21" s="190">
        <f t="shared" si="71"/>
        <v>0</v>
      </c>
      <c r="BI21" s="190">
        <f t="shared" si="71"/>
        <v>0</v>
      </c>
      <c r="BJ21" s="190">
        <f t="shared" si="71"/>
        <v>0</v>
      </c>
      <c r="BK21" s="190">
        <f t="shared" si="71"/>
        <v>0</v>
      </c>
      <c r="BL21" s="190">
        <f t="shared" si="71"/>
        <v>0</v>
      </c>
      <c r="BM21" s="190">
        <f t="shared" si="71"/>
        <v>0</v>
      </c>
      <c r="BN21" s="190">
        <f t="shared" si="71"/>
        <v>0</v>
      </c>
      <c r="BO21" s="190">
        <f t="shared" si="71"/>
        <v>0</v>
      </c>
      <c r="BP21" s="190">
        <f t="shared" si="71"/>
        <v>0</v>
      </c>
      <c r="BQ21" s="190">
        <f t="shared" si="71"/>
        <v>0</v>
      </c>
      <c r="BR21" s="190">
        <f t="shared" si="71"/>
        <v>0</v>
      </c>
    </row>
    <row r="22" spans="1:70" s="181" customFormat="1" x14ac:dyDescent="0.25">
      <c r="D22" s="189" t="str">
        <f>unit</f>
        <v>£</v>
      </c>
      <c r="E22" s="191">
        <f>SUM(E19:E21)</f>
        <v>0</v>
      </c>
      <c r="F22" s="191">
        <f t="shared" ref="F22" si="72">SUM(F19:F21)</f>
        <v>0</v>
      </c>
      <c r="G22" s="191">
        <f t="shared" ref="G22" si="73">SUM(G19:G21)</f>
        <v>0</v>
      </c>
      <c r="H22" s="191">
        <f t="shared" ref="H22" si="74">SUM(H19:H21)</f>
        <v>0</v>
      </c>
      <c r="I22" s="191">
        <f t="shared" ref="I22" si="75">SUM(I19:I21)</f>
        <v>0</v>
      </c>
      <c r="K22" s="226">
        <f>SUM(K19:K21)</f>
        <v>0</v>
      </c>
      <c r="L22" s="226">
        <f t="shared" ref="L22:BR22" si="76">SUM(L19:L21)</f>
        <v>0</v>
      </c>
      <c r="M22" s="226">
        <f t="shared" si="76"/>
        <v>0</v>
      </c>
      <c r="N22" s="226">
        <f t="shared" si="76"/>
        <v>0</v>
      </c>
      <c r="O22" s="226">
        <f t="shared" si="76"/>
        <v>0</v>
      </c>
      <c r="P22" s="226">
        <f t="shared" si="76"/>
        <v>0</v>
      </c>
      <c r="Q22" s="226">
        <f t="shared" si="76"/>
        <v>0</v>
      </c>
      <c r="R22" s="226">
        <f t="shared" si="76"/>
        <v>0</v>
      </c>
      <c r="S22" s="226">
        <f t="shared" si="76"/>
        <v>0</v>
      </c>
      <c r="T22" s="226">
        <f t="shared" si="76"/>
        <v>0</v>
      </c>
      <c r="U22" s="226">
        <f t="shared" si="76"/>
        <v>0</v>
      </c>
      <c r="V22" s="226">
        <f t="shared" si="76"/>
        <v>0</v>
      </c>
      <c r="W22" s="226">
        <f t="shared" si="76"/>
        <v>0</v>
      </c>
      <c r="X22" s="226">
        <f t="shared" si="76"/>
        <v>0</v>
      </c>
      <c r="Y22" s="226">
        <f t="shared" si="76"/>
        <v>0</v>
      </c>
      <c r="Z22" s="226">
        <f t="shared" si="76"/>
        <v>0</v>
      </c>
      <c r="AA22" s="226">
        <f t="shared" si="76"/>
        <v>0</v>
      </c>
      <c r="AB22" s="226">
        <f t="shared" si="76"/>
        <v>0</v>
      </c>
      <c r="AC22" s="226">
        <f t="shared" si="76"/>
        <v>0</v>
      </c>
      <c r="AD22" s="226">
        <f t="shared" si="76"/>
        <v>0</v>
      </c>
      <c r="AE22" s="226">
        <f t="shared" si="76"/>
        <v>0</v>
      </c>
      <c r="AF22" s="226">
        <f t="shared" si="76"/>
        <v>0</v>
      </c>
      <c r="AG22" s="226">
        <f t="shared" si="76"/>
        <v>0</v>
      </c>
      <c r="AH22" s="226">
        <f t="shared" si="76"/>
        <v>0</v>
      </c>
      <c r="AI22" s="226">
        <f t="shared" si="76"/>
        <v>0</v>
      </c>
      <c r="AJ22" s="226">
        <f t="shared" si="76"/>
        <v>0</v>
      </c>
      <c r="AK22" s="226">
        <f t="shared" si="76"/>
        <v>0</v>
      </c>
      <c r="AL22" s="226">
        <f t="shared" si="76"/>
        <v>0</v>
      </c>
      <c r="AM22" s="226">
        <f t="shared" si="76"/>
        <v>0</v>
      </c>
      <c r="AN22" s="226">
        <f t="shared" si="76"/>
        <v>0</v>
      </c>
      <c r="AO22" s="226">
        <f t="shared" si="76"/>
        <v>0</v>
      </c>
      <c r="AP22" s="226">
        <f t="shared" si="76"/>
        <v>0</v>
      </c>
      <c r="AQ22" s="226">
        <f t="shared" si="76"/>
        <v>0</v>
      </c>
      <c r="AR22" s="226">
        <f t="shared" si="76"/>
        <v>0</v>
      </c>
      <c r="AS22" s="226">
        <f t="shared" si="76"/>
        <v>0</v>
      </c>
      <c r="AT22" s="226">
        <f t="shared" si="76"/>
        <v>0</v>
      </c>
      <c r="AU22" s="226">
        <f t="shared" si="76"/>
        <v>0</v>
      </c>
      <c r="AV22" s="226">
        <f t="shared" si="76"/>
        <v>0</v>
      </c>
      <c r="AW22" s="226">
        <f t="shared" si="76"/>
        <v>0</v>
      </c>
      <c r="AX22" s="226">
        <f t="shared" si="76"/>
        <v>0</v>
      </c>
      <c r="AY22" s="226">
        <f t="shared" si="76"/>
        <v>0</v>
      </c>
      <c r="AZ22" s="226">
        <f t="shared" si="76"/>
        <v>0</v>
      </c>
      <c r="BA22" s="226">
        <f t="shared" si="76"/>
        <v>0</v>
      </c>
      <c r="BB22" s="226">
        <f t="shared" si="76"/>
        <v>0</v>
      </c>
      <c r="BC22" s="226">
        <f t="shared" si="76"/>
        <v>0</v>
      </c>
      <c r="BD22" s="226">
        <f t="shared" si="76"/>
        <v>0</v>
      </c>
      <c r="BE22" s="226">
        <f t="shared" si="76"/>
        <v>0</v>
      </c>
      <c r="BF22" s="226">
        <f t="shared" si="76"/>
        <v>0</v>
      </c>
      <c r="BG22" s="226">
        <f t="shared" si="76"/>
        <v>0</v>
      </c>
      <c r="BH22" s="226">
        <f t="shared" si="76"/>
        <v>0</v>
      </c>
      <c r="BI22" s="226">
        <f t="shared" si="76"/>
        <v>0</v>
      </c>
      <c r="BJ22" s="226">
        <f t="shared" si="76"/>
        <v>0</v>
      </c>
      <c r="BK22" s="226">
        <f t="shared" si="76"/>
        <v>0</v>
      </c>
      <c r="BL22" s="226">
        <f t="shared" si="76"/>
        <v>0</v>
      </c>
      <c r="BM22" s="226">
        <f t="shared" si="76"/>
        <v>0</v>
      </c>
      <c r="BN22" s="226">
        <f t="shared" si="76"/>
        <v>0</v>
      </c>
      <c r="BO22" s="226">
        <f t="shared" si="76"/>
        <v>0</v>
      </c>
      <c r="BP22" s="226">
        <f t="shared" si="76"/>
        <v>0</v>
      </c>
      <c r="BQ22" s="226">
        <f t="shared" si="76"/>
        <v>0</v>
      </c>
      <c r="BR22" s="226">
        <f t="shared" si="76"/>
        <v>0</v>
      </c>
    </row>
    <row r="23" spans="1:70" s="180" customFormat="1" ht="13.8" x14ac:dyDescent="0.25">
      <c r="B23" s="180" t="str">
        <f>Header2</f>
        <v>1.3</v>
      </c>
      <c r="C23" s="180" t="str">
        <f>IF(KeyInputs!F31=0," ",KeyInputs!F31)</f>
        <v>Insert Business Line3</v>
      </c>
      <c r="E23" s="57"/>
      <c r="F23" s="57"/>
      <c r="G23" s="57"/>
      <c r="H23" s="57"/>
      <c r="I23" s="57"/>
    </row>
    <row r="24" spans="1:70" s="181" customFormat="1" x14ac:dyDescent="0.25">
      <c r="C24" s="182" t="str">
        <f>IF(KeyInputs!F32=0," ",KeyInputs!F32)</f>
        <v>Insert Product Group7</v>
      </c>
      <c r="D24" s="189" t="str">
        <f>unit</f>
        <v>£</v>
      </c>
      <c r="E24" s="190">
        <f>SUMIF($K$5:$BR$5,E$5,$K24:$BR24)</f>
        <v>0</v>
      </c>
      <c r="F24" s="190">
        <f t="shared" ref="F24:I26" si="77">SUMIF($K$5:$BR$5,F$5,$K24:$BR24)</f>
        <v>0</v>
      </c>
      <c r="G24" s="190">
        <f t="shared" si="77"/>
        <v>0</v>
      </c>
      <c r="H24" s="190">
        <f t="shared" si="77"/>
        <v>0</v>
      </c>
      <c r="I24" s="190">
        <f t="shared" si="77"/>
        <v>0</v>
      </c>
      <c r="K24" s="190">
        <f>K80*-1</f>
        <v>0</v>
      </c>
      <c r="L24" s="190">
        <f t="shared" ref="L24:BR24" si="78">L80*-1</f>
        <v>0</v>
      </c>
      <c r="M24" s="190">
        <f t="shared" si="78"/>
        <v>0</v>
      </c>
      <c r="N24" s="190">
        <f t="shared" si="78"/>
        <v>0</v>
      </c>
      <c r="O24" s="190">
        <f t="shared" si="78"/>
        <v>0</v>
      </c>
      <c r="P24" s="190">
        <f t="shared" si="78"/>
        <v>0</v>
      </c>
      <c r="Q24" s="190">
        <f t="shared" si="78"/>
        <v>0</v>
      </c>
      <c r="R24" s="190">
        <f t="shared" si="78"/>
        <v>0</v>
      </c>
      <c r="S24" s="190">
        <f t="shared" si="78"/>
        <v>0</v>
      </c>
      <c r="T24" s="190">
        <f t="shared" si="78"/>
        <v>0</v>
      </c>
      <c r="U24" s="190">
        <f t="shared" si="78"/>
        <v>0</v>
      </c>
      <c r="V24" s="190">
        <f t="shared" si="78"/>
        <v>0</v>
      </c>
      <c r="W24" s="190">
        <f t="shared" si="78"/>
        <v>0</v>
      </c>
      <c r="X24" s="190">
        <f t="shared" si="78"/>
        <v>0</v>
      </c>
      <c r="Y24" s="190">
        <f t="shared" si="78"/>
        <v>0</v>
      </c>
      <c r="Z24" s="190">
        <f t="shared" si="78"/>
        <v>0</v>
      </c>
      <c r="AA24" s="190">
        <f t="shared" si="78"/>
        <v>0</v>
      </c>
      <c r="AB24" s="190">
        <f t="shared" si="78"/>
        <v>0</v>
      </c>
      <c r="AC24" s="190">
        <f t="shared" si="78"/>
        <v>0</v>
      </c>
      <c r="AD24" s="190">
        <f t="shared" si="78"/>
        <v>0</v>
      </c>
      <c r="AE24" s="190">
        <f t="shared" si="78"/>
        <v>0</v>
      </c>
      <c r="AF24" s="190">
        <f t="shared" si="78"/>
        <v>0</v>
      </c>
      <c r="AG24" s="190">
        <f t="shared" si="78"/>
        <v>0</v>
      </c>
      <c r="AH24" s="190">
        <f t="shared" si="78"/>
        <v>0</v>
      </c>
      <c r="AI24" s="190">
        <f t="shared" si="78"/>
        <v>0</v>
      </c>
      <c r="AJ24" s="190">
        <f t="shared" si="78"/>
        <v>0</v>
      </c>
      <c r="AK24" s="190">
        <f t="shared" si="78"/>
        <v>0</v>
      </c>
      <c r="AL24" s="190">
        <f t="shared" si="78"/>
        <v>0</v>
      </c>
      <c r="AM24" s="190">
        <f t="shared" si="78"/>
        <v>0</v>
      </c>
      <c r="AN24" s="190">
        <f t="shared" si="78"/>
        <v>0</v>
      </c>
      <c r="AO24" s="190">
        <f t="shared" si="78"/>
        <v>0</v>
      </c>
      <c r="AP24" s="190">
        <f t="shared" si="78"/>
        <v>0</v>
      </c>
      <c r="AQ24" s="190">
        <f t="shared" si="78"/>
        <v>0</v>
      </c>
      <c r="AR24" s="190">
        <f t="shared" si="78"/>
        <v>0</v>
      </c>
      <c r="AS24" s="190">
        <f t="shared" si="78"/>
        <v>0</v>
      </c>
      <c r="AT24" s="190">
        <f t="shared" si="78"/>
        <v>0</v>
      </c>
      <c r="AU24" s="190">
        <f t="shared" si="78"/>
        <v>0</v>
      </c>
      <c r="AV24" s="190">
        <f t="shared" si="78"/>
        <v>0</v>
      </c>
      <c r="AW24" s="190">
        <f t="shared" si="78"/>
        <v>0</v>
      </c>
      <c r="AX24" s="190">
        <f t="shared" si="78"/>
        <v>0</v>
      </c>
      <c r="AY24" s="190">
        <f t="shared" si="78"/>
        <v>0</v>
      </c>
      <c r="AZ24" s="190">
        <f t="shared" si="78"/>
        <v>0</v>
      </c>
      <c r="BA24" s="190">
        <f t="shared" si="78"/>
        <v>0</v>
      </c>
      <c r="BB24" s="190">
        <f t="shared" si="78"/>
        <v>0</v>
      </c>
      <c r="BC24" s="190">
        <f t="shared" si="78"/>
        <v>0</v>
      </c>
      <c r="BD24" s="190">
        <f t="shared" si="78"/>
        <v>0</v>
      </c>
      <c r="BE24" s="190">
        <f t="shared" si="78"/>
        <v>0</v>
      </c>
      <c r="BF24" s="190">
        <f t="shared" si="78"/>
        <v>0</v>
      </c>
      <c r="BG24" s="190">
        <f t="shared" si="78"/>
        <v>0</v>
      </c>
      <c r="BH24" s="190">
        <f t="shared" si="78"/>
        <v>0</v>
      </c>
      <c r="BI24" s="190">
        <f t="shared" si="78"/>
        <v>0</v>
      </c>
      <c r="BJ24" s="190">
        <f t="shared" si="78"/>
        <v>0</v>
      </c>
      <c r="BK24" s="190">
        <f t="shared" si="78"/>
        <v>0</v>
      </c>
      <c r="BL24" s="190">
        <f t="shared" si="78"/>
        <v>0</v>
      </c>
      <c r="BM24" s="190">
        <f t="shared" si="78"/>
        <v>0</v>
      </c>
      <c r="BN24" s="190">
        <f t="shared" si="78"/>
        <v>0</v>
      </c>
      <c r="BO24" s="190">
        <f t="shared" si="78"/>
        <v>0</v>
      </c>
      <c r="BP24" s="190">
        <f t="shared" si="78"/>
        <v>0</v>
      </c>
      <c r="BQ24" s="190">
        <f t="shared" si="78"/>
        <v>0</v>
      </c>
      <c r="BR24" s="190">
        <f t="shared" si="78"/>
        <v>0</v>
      </c>
    </row>
    <row r="25" spans="1:70" s="181" customFormat="1" x14ac:dyDescent="0.25">
      <c r="C25" s="182" t="str">
        <f>IF(KeyInputs!F33=0," ",KeyInputs!F33)</f>
        <v>Insert Product Group8</v>
      </c>
      <c r="D25" s="189" t="str">
        <f>unit</f>
        <v>£</v>
      </c>
      <c r="E25" s="190">
        <f t="shared" ref="E25:E26" si="79">SUMIF($K$5:$BR$5,E$5,$K25:$BR25)</f>
        <v>0</v>
      </c>
      <c r="F25" s="190">
        <f t="shared" si="77"/>
        <v>0</v>
      </c>
      <c r="G25" s="190">
        <f t="shared" si="77"/>
        <v>0</v>
      </c>
      <c r="H25" s="190">
        <f t="shared" si="77"/>
        <v>0</v>
      </c>
      <c r="I25" s="190">
        <f t="shared" si="77"/>
        <v>0</v>
      </c>
      <c r="K25" s="190">
        <f>K85*-1</f>
        <v>0</v>
      </c>
      <c r="L25" s="190">
        <f t="shared" ref="L25:BR25" si="80">L85*-1</f>
        <v>0</v>
      </c>
      <c r="M25" s="190">
        <f t="shared" si="80"/>
        <v>0</v>
      </c>
      <c r="N25" s="190">
        <f t="shared" si="80"/>
        <v>0</v>
      </c>
      <c r="O25" s="190">
        <f t="shared" si="80"/>
        <v>0</v>
      </c>
      <c r="P25" s="190">
        <f t="shared" si="80"/>
        <v>0</v>
      </c>
      <c r="Q25" s="190">
        <f t="shared" si="80"/>
        <v>0</v>
      </c>
      <c r="R25" s="190">
        <f t="shared" si="80"/>
        <v>0</v>
      </c>
      <c r="S25" s="190">
        <f t="shared" si="80"/>
        <v>0</v>
      </c>
      <c r="T25" s="190">
        <f t="shared" si="80"/>
        <v>0</v>
      </c>
      <c r="U25" s="190">
        <f t="shared" si="80"/>
        <v>0</v>
      </c>
      <c r="V25" s="190">
        <f t="shared" si="80"/>
        <v>0</v>
      </c>
      <c r="W25" s="190">
        <f t="shared" si="80"/>
        <v>0</v>
      </c>
      <c r="X25" s="190">
        <f t="shared" si="80"/>
        <v>0</v>
      </c>
      <c r="Y25" s="190">
        <f t="shared" si="80"/>
        <v>0</v>
      </c>
      <c r="Z25" s="190">
        <f t="shared" si="80"/>
        <v>0</v>
      </c>
      <c r="AA25" s="190">
        <f t="shared" si="80"/>
        <v>0</v>
      </c>
      <c r="AB25" s="190">
        <f t="shared" si="80"/>
        <v>0</v>
      </c>
      <c r="AC25" s="190">
        <f t="shared" si="80"/>
        <v>0</v>
      </c>
      <c r="AD25" s="190">
        <f t="shared" si="80"/>
        <v>0</v>
      </c>
      <c r="AE25" s="190">
        <f t="shared" si="80"/>
        <v>0</v>
      </c>
      <c r="AF25" s="190">
        <f t="shared" si="80"/>
        <v>0</v>
      </c>
      <c r="AG25" s="190">
        <f t="shared" si="80"/>
        <v>0</v>
      </c>
      <c r="AH25" s="190">
        <f t="shared" si="80"/>
        <v>0</v>
      </c>
      <c r="AI25" s="190">
        <f t="shared" si="80"/>
        <v>0</v>
      </c>
      <c r="AJ25" s="190">
        <f t="shared" si="80"/>
        <v>0</v>
      </c>
      <c r="AK25" s="190">
        <f t="shared" si="80"/>
        <v>0</v>
      </c>
      <c r="AL25" s="190">
        <f t="shared" si="80"/>
        <v>0</v>
      </c>
      <c r="AM25" s="190">
        <f t="shared" si="80"/>
        <v>0</v>
      </c>
      <c r="AN25" s="190">
        <f t="shared" si="80"/>
        <v>0</v>
      </c>
      <c r="AO25" s="190">
        <f t="shared" si="80"/>
        <v>0</v>
      </c>
      <c r="AP25" s="190">
        <f t="shared" si="80"/>
        <v>0</v>
      </c>
      <c r="AQ25" s="190">
        <f t="shared" si="80"/>
        <v>0</v>
      </c>
      <c r="AR25" s="190">
        <f t="shared" si="80"/>
        <v>0</v>
      </c>
      <c r="AS25" s="190">
        <f t="shared" si="80"/>
        <v>0</v>
      </c>
      <c r="AT25" s="190">
        <f t="shared" si="80"/>
        <v>0</v>
      </c>
      <c r="AU25" s="190">
        <f t="shared" si="80"/>
        <v>0</v>
      </c>
      <c r="AV25" s="190">
        <f t="shared" si="80"/>
        <v>0</v>
      </c>
      <c r="AW25" s="190">
        <f t="shared" si="80"/>
        <v>0</v>
      </c>
      <c r="AX25" s="190">
        <f t="shared" si="80"/>
        <v>0</v>
      </c>
      <c r="AY25" s="190">
        <f t="shared" si="80"/>
        <v>0</v>
      </c>
      <c r="AZ25" s="190">
        <f t="shared" si="80"/>
        <v>0</v>
      </c>
      <c r="BA25" s="190">
        <f t="shared" si="80"/>
        <v>0</v>
      </c>
      <c r="BB25" s="190">
        <f t="shared" si="80"/>
        <v>0</v>
      </c>
      <c r="BC25" s="190">
        <f t="shared" si="80"/>
        <v>0</v>
      </c>
      <c r="BD25" s="190">
        <f t="shared" si="80"/>
        <v>0</v>
      </c>
      <c r="BE25" s="190">
        <f t="shared" si="80"/>
        <v>0</v>
      </c>
      <c r="BF25" s="190">
        <f t="shared" si="80"/>
        <v>0</v>
      </c>
      <c r="BG25" s="190">
        <f t="shared" si="80"/>
        <v>0</v>
      </c>
      <c r="BH25" s="190">
        <f t="shared" si="80"/>
        <v>0</v>
      </c>
      <c r="BI25" s="190">
        <f t="shared" si="80"/>
        <v>0</v>
      </c>
      <c r="BJ25" s="190">
        <f t="shared" si="80"/>
        <v>0</v>
      </c>
      <c r="BK25" s="190">
        <f t="shared" si="80"/>
        <v>0</v>
      </c>
      <c r="BL25" s="190">
        <f t="shared" si="80"/>
        <v>0</v>
      </c>
      <c r="BM25" s="190">
        <f t="shared" si="80"/>
        <v>0</v>
      </c>
      <c r="BN25" s="190">
        <f t="shared" si="80"/>
        <v>0</v>
      </c>
      <c r="BO25" s="190">
        <f t="shared" si="80"/>
        <v>0</v>
      </c>
      <c r="BP25" s="190">
        <f t="shared" si="80"/>
        <v>0</v>
      </c>
      <c r="BQ25" s="190">
        <f t="shared" si="80"/>
        <v>0</v>
      </c>
      <c r="BR25" s="190">
        <f t="shared" si="80"/>
        <v>0</v>
      </c>
    </row>
    <row r="26" spans="1:70" s="181" customFormat="1" x14ac:dyDescent="0.25">
      <c r="C26" s="182" t="str">
        <f>IF(KeyInputs!F34=0," ",KeyInputs!F34)</f>
        <v>Insert Product Group9</v>
      </c>
      <c r="D26" s="189" t="str">
        <f>unit</f>
        <v>£</v>
      </c>
      <c r="E26" s="190">
        <f t="shared" si="79"/>
        <v>0</v>
      </c>
      <c r="F26" s="190">
        <f t="shared" si="77"/>
        <v>0</v>
      </c>
      <c r="G26" s="190">
        <f t="shared" si="77"/>
        <v>0</v>
      </c>
      <c r="H26" s="190">
        <f t="shared" si="77"/>
        <v>0</v>
      </c>
      <c r="I26" s="190">
        <f t="shared" si="77"/>
        <v>0</v>
      </c>
      <c r="K26" s="190">
        <f>K90*-1</f>
        <v>0</v>
      </c>
      <c r="L26" s="190">
        <f t="shared" ref="L26:BR26" si="81">L90*-1</f>
        <v>0</v>
      </c>
      <c r="M26" s="190">
        <f t="shared" si="81"/>
        <v>0</v>
      </c>
      <c r="N26" s="190">
        <f t="shared" si="81"/>
        <v>0</v>
      </c>
      <c r="O26" s="190">
        <f t="shared" si="81"/>
        <v>0</v>
      </c>
      <c r="P26" s="190">
        <f t="shared" si="81"/>
        <v>0</v>
      </c>
      <c r="Q26" s="190">
        <f t="shared" si="81"/>
        <v>0</v>
      </c>
      <c r="R26" s="190">
        <f t="shared" si="81"/>
        <v>0</v>
      </c>
      <c r="S26" s="190">
        <f t="shared" si="81"/>
        <v>0</v>
      </c>
      <c r="T26" s="190">
        <f t="shared" si="81"/>
        <v>0</v>
      </c>
      <c r="U26" s="190">
        <f t="shared" si="81"/>
        <v>0</v>
      </c>
      <c r="V26" s="190">
        <f t="shared" si="81"/>
        <v>0</v>
      </c>
      <c r="W26" s="190">
        <f t="shared" si="81"/>
        <v>0</v>
      </c>
      <c r="X26" s="190">
        <f t="shared" si="81"/>
        <v>0</v>
      </c>
      <c r="Y26" s="190">
        <f t="shared" si="81"/>
        <v>0</v>
      </c>
      <c r="Z26" s="190">
        <f t="shared" si="81"/>
        <v>0</v>
      </c>
      <c r="AA26" s="190">
        <f t="shared" si="81"/>
        <v>0</v>
      </c>
      <c r="AB26" s="190">
        <f t="shared" si="81"/>
        <v>0</v>
      </c>
      <c r="AC26" s="190">
        <f t="shared" si="81"/>
        <v>0</v>
      </c>
      <c r="AD26" s="190">
        <f t="shared" si="81"/>
        <v>0</v>
      </c>
      <c r="AE26" s="190">
        <f t="shared" si="81"/>
        <v>0</v>
      </c>
      <c r="AF26" s="190">
        <f t="shared" si="81"/>
        <v>0</v>
      </c>
      <c r="AG26" s="190">
        <f t="shared" si="81"/>
        <v>0</v>
      </c>
      <c r="AH26" s="190">
        <f t="shared" si="81"/>
        <v>0</v>
      </c>
      <c r="AI26" s="190">
        <f t="shared" si="81"/>
        <v>0</v>
      </c>
      <c r="AJ26" s="190">
        <f t="shared" si="81"/>
        <v>0</v>
      </c>
      <c r="AK26" s="190">
        <f t="shared" si="81"/>
        <v>0</v>
      </c>
      <c r="AL26" s="190">
        <f t="shared" si="81"/>
        <v>0</v>
      </c>
      <c r="AM26" s="190">
        <f t="shared" si="81"/>
        <v>0</v>
      </c>
      <c r="AN26" s="190">
        <f t="shared" si="81"/>
        <v>0</v>
      </c>
      <c r="AO26" s="190">
        <f t="shared" si="81"/>
        <v>0</v>
      </c>
      <c r="AP26" s="190">
        <f t="shared" si="81"/>
        <v>0</v>
      </c>
      <c r="AQ26" s="190">
        <f t="shared" si="81"/>
        <v>0</v>
      </c>
      <c r="AR26" s="190">
        <f t="shared" si="81"/>
        <v>0</v>
      </c>
      <c r="AS26" s="190">
        <f t="shared" si="81"/>
        <v>0</v>
      </c>
      <c r="AT26" s="190">
        <f t="shared" si="81"/>
        <v>0</v>
      </c>
      <c r="AU26" s="190">
        <f t="shared" si="81"/>
        <v>0</v>
      </c>
      <c r="AV26" s="190">
        <f t="shared" si="81"/>
        <v>0</v>
      </c>
      <c r="AW26" s="190">
        <f t="shared" si="81"/>
        <v>0</v>
      </c>
      <c r="AX26" s="190">
        <f t="shared" si="81"/>
        <v>0</v>
      </c>
      <c r="AY26" s="190">
        <f t="shared" si="81"/>
        <v>0</v>
      </c>
      <c r="AZ26" s="190">
        <f t="shared" si="81"/>
        <v>0</v>
      </c>
      <c r="BA26" s="190">
        <f t="shared" si="81"/>
        <v>0</v>
      </c>
      <c r="BB26" s="190">
        <f t="shared" si="81"/>
        <v>0</v>
      </c>
      <c r="BC26" s="190">
        <f t="shared" si="81"/>
        <v>0</v>
      </c>
      <c r="BD26" s="190">
        <f t="shared" si="81"/>
        <v>0</v>
      </c>
      <c r="BE26" s="190">
        <f t="shared" si="81"/>
        <v>0</v>
      </c>
      <c r="BF26" s="190">
        <f t="shared" si="81"/>
        <v>0</v>
      </c>
      <c r="BG26" s="190">
        <f t="shared" si="81"/>
        <v>0</v>
      </c>
      <c r="BH26" s="190">
        <f t="shared" si="81"/>
        <v>0</v>
      </c>
      <c r="BI26" s="190">
        <f t="shared" si="81"/>
        <v>0</v>
      </c>
      <c r="BJ26" s="190">
        <f t="shared" si="81"/>
        <v>0</v>
      </c>
      <c r="BK26" s="190">
        <f t="shared" si="81"/>
        <v>0</v>
      </c>
      <c r="BL26" s="190">
        <f t="shared" si="81"/>
        <v>0</v>
      </c>
      <c r="BM26" s="190">
        <f t="shared" si="81"/>
        <v>0</v>
      </c>
      <c r="BN26" s="190">
        <f t="shared" si="81"/>
        <v>0</v>
      </c>
      <c r="BO26" s="190">
        <f t="shared" si="81"/>
        <v>0</v>
      </c>
      <c r="BP26" s="190">
        <f t="shared" si="81"/>
        <v>0</v>
      </c>
      <c r="BQ26" s="190">
        <f t="shared" si="81"/>
        <v>0</v>
      </c>
      <c r="BR26" s="190">
        <f t="shared" si="81"/>
        <v>0</v>
      </c>
    </row>
    <row r="27" spans="1:70" s="181" customFormat="1" x14ac:dyDescent="0.25">
      <c r="D27" s="189" t="str">
        <f>unit</f>
        <v>£</v>
      </c>
      <c r="E27" s="191">
        <f>SUM(E24:E26)</f>
        <v>0</v>
      </c>
      <c r="F27" s="191">
        <f t="shared" ref="F27" si="82">SUM(F24:F26)</f>
        <v>0</v>
      </c>
      <c r="G27" s="191">
        <f t="shared" ref="G27" si="83">SUM(G24:G26)</f>
        <v>0</v>
      </c>
      <c r="H27" s="191">
        <f t="shared" ref="H27" si="84">SUM(H24:H26)</f>
        <v>0</v>
      </c>
      <c r="I27" s="191">
        <f t="shared" ref="I27" si="85">SUM(I24:I26)</f>
        <v>0</v>
      </c>
      <c r="K27" s="226">
        <f>SUM(K24:K26)</f>
        <v>0</v>
      </c>
      <c r="L27" s="226">
        <f t="shared" ref="L27:BR27" si="86">SUM(L24:L26)</f>
        <v>0</v>
      </c>
      <c r="M27" s="226">
        <f t="shared" si="86"/>
        <v>0</v>
      </c>
      <c r="N27" s="226">
        <f t="shared" si="86"/>
        <v>0</v>
      </c>
      <c r="O27" s="226">
        <f t="shared" si="86"/>
        <v>0</v>
      </c>
      <c r="P27" s="226">
        <f t="shared" si="86"/>
        <v>0</v>
      </c>
      <c r="Q27" s="226">
        <f t="shared" si="86"/>
        <v>0</v>
      </c>
      <c r="R27" s="226">
        <f t="shared" si="86"/>
        <v>0</v>
      </c>
      <c r="S27" s="226">
        <f t="shared" si="86"/>
        <v>0</v>
      </c>
      <c r="T27" s="226">
        <f t="shared" si="86"/>
        <v>0</v>
      </c>
      <c r="U27" s="226">
        <f t="shared" si="86"/>
        <v>0</v>
      </c>
      <c r="V27" s="226">
        <f t="shared" si="86"/>
        <v>0</v>
      </c>
      <c r="W27" s="226">
        <f t="shared" si="86"/>
        <v>0</v>
      </c>
      <c r="X27" s="226">
        <f t="shared" si="86"/>
        <v>0</v>
      </c>
      <c r="Y27" s="226">
        <f t="shared" si="86"/>
        <v>0</v>
      </c>
      <c r="Z27" s="226">
        <f t="shared" si="86"/>
        <v>0</v>
      </c>
      <c r="AA27" s="226">
        <f t="shared" si="86"/>
        <v>0</v>
      </c>
      <c r="AB27" s="226">
        <f t="shared" si="86"/>
        <v>0</v>
      </c>
      <c r="AC27" s="226">
        <f t="shared" si="86"/>
        <v>0</v>
      </c>
      <c r="AD27" s="226">
        <f t="shared" si="86"/>
        <v>0</v>
      </c>
      <c r="AE27" s="226">
        <f t="shared" si="86"/>
        <v>0</v>
      </c>
      <c r="AF27" s="226">
        <f t="shared" si="86"/>
        <v>0</v>
      </c>
      <c r="AG27" s="226">
        <f t="shared" si="86"/>
        <v>0</v>
      </c>
      <c r="AH27" s="226">
        <f t="shared" si="86"/>
        <v>0</v>
      </c>
      <c r="AI27" s="226">
        <f t="shared" si="86"/>
        <v>0</v>
      </c>
      <c r="AJ27" s="226">
        <f t="shared" si="86"/>
        <v>0</v>
      </c>
      <c r="AK27" s="226">
        <f t="shared" si="86"/>
        <v>0</v>
      </c>
      <c r="AL27" s="226">
        <f t="shared" si="86"/>
        <v>0</v>
      </c>
      <c r="AM27" s="226">
        <f t="shared" si="86"/>
        <v>0</v>
      </c>
      <c r="AN27" s="226">
        <f t="shared" si="86"/>
        <v>0</v>
      </c>
      <c r="AO27" s="226">
        <f t="shared" si="86"/>
        <v>0</v>
      </c>
      <c r="AP27" s="226">
        <f t="shared" si="86"/>
        <v>0</v>
      </c>
      <c r="AQ27" s="226">
        <f t="shared" si="86"/>
        <v>0</v>
      </c>
      <c r="AR27" s="226">
        <f t="shared" si="86"/>
        <v>0</v>
      </c>
      <c r="AS27" s="226">
        <f t="shared" si="86"/>
        <v>0</v>
      </c>
      <c r="AT27" s="226">
        <f t="shared" si="86"/>
        <v>0</v>
      </c>
      <c r="AU27" s="226">
        <f t="shared" si="86"/>
        <v>0</v>
      </c>
      <c r="AV27" s="226">
        <f t="shared" si="86"/>
        <v>0</v>
      </c>
      <c r="AW27" s="226">
        <f t="shared" si="86"/>
        <v>0</v>
      </c>
      <c r="AX27" s="226">
        <f t="shared" si="86"/>
        <v>0</v>
      </c>
      <c r="AY27" s="226">
        <f t="shared" si="86"/>
        <v>0</v>
      </c>
      <c r="AZ27" s="226">
        <f t="shared" si="86"/>
        <v>0</v>
      </c>
      <c r="BA27" s="226">
        <f t="shared" si="86"/>
        <v>0</v>
      </c>
      <c r="BB27" s="226">
        <f t="shared" si="86"/>
        <v>0</v>
      </c>
      <c r="BC27" s="226">
        <f t="shared" si="86"/>
        <v>0</v>
      </c>
      <c r="BD27" s="226">
        <f t="shared" si="86"/>
        <v>0</v>
      </c>
      <c r="BE27" s="226">
        <f t="shared" si="86"/>
        <v>0</v>
      </c>
      <c r="BF27" s="226">
        <f t="shared" si="86"/>
        <v>0</v>
      </c>
      <c r="BG27" s="226">
        <f t="shared" si="86"/>
        <v>0</v>
      </c>
      <c r="BH27" s="226">
        <f t="shared" si="86"/>
        <v>0</v>
      </c>
      <c r="BI27" s="226">
        <f t="shared" si="86"/>
        <v>0</v>
      </c>
      <c r="BJ27" s="226">
        <f t="shared" si="86"/>
        <v>0</v>
      </c>
      <c r="BK27" s="226">
        <f t="shared" si="86"/>
        <v>0</v>
      </c>
      <c r="BL27" s="226">
        <f t="shared" si="86"/>
        <v>0</v>
      </c>
      <c r="BM27" s="226">
        <f t="shared" si="86"/>
        <v>0</v>
      </c>
      <c r="BN27" s="226">
        <f t="shared" si="86"/>
        <v>0</v>
      </c>
      <c r="BO27" s="226">
        <f t="shared" si="86"/>
        <v>0</v>
      </c>
      <c r="BP27" s="226">
        <f t="shared" si="86"/>
        <v>0</v>
      </c>
      <c r="BQ27" s="226">
        <f t="shared" si="86"/>
        <v>0</v>
      </c>
      <c r="BR27" s="226">
        <f t="shared" si="86"/>
        <v>0</v>
      </c>
    </row>
    <row r="28" spans="1:70" s="181" customFormat="1" x14ac:dyDescent="0.25">
      <c r="D28" s="183"/>
      <c r="E28" s="190"/>
      <c r="F28" s="190"/>
      <c r="G28" s="190"/>
      <c r="H28" s="190"/>
      <c r="I28" s="190"/>
      <c r="K28" s="184"/>
      <c r="L28" s="184"/>
      <c r="M28" s="184"/>
      <c r="N28" s="184"/>
      <c r="O28" s="184"/>
      <c r="P28" s="184"/>
      <c r="Q28" s="184"/>
      <c r="R28" s="184"/>
      <c r="S28" s="184"/>
      <c r="T28" s="184"/>
      <c r="U28" s="184"/>
      <c r="V28" s="184"/>
      <c r="W28" s="184"/>
      <c r="X28" s="184"/>
      <c r="Y28" s="184"/>
      <c r="Z28" s="184"/>
      <c r="AA28" s="184"/>
      <c r="AB28" s="184"/>
      <c r="AC28" s="184"/>
      <c r="AD28" s="184"/>
      <c r="AE28" s="184"/>
      <c r="AF28" s="184"/>
      <c r="AG28" s="184"/>
      <c r="AH28" s="184"/>
      <c r="AI28" s="184"/>
      <c r="AJ28" s="184"/>
      <c r="AK28" s="184"/>
      <c r="AL28" s="184"/>
      <c r="AM28" s="184"/>
      <c r="AN28" s="184"/>
      <c r="AO28" s="184"/>
      <c r="AP28" s="184"/>
      <c r="AQ28" s="184"/>
      <c r="AR28" s="184"/>
      <c r="AS28" s="184"/>
      <c r="AT28" s="184"/>
      <c r="AU28" s="184"/>
      <c r="AV28" s="184"/>
      <c r="AW28" s="184"/>
      <c r="AX28" s="184"/>
      <c r="AY28" s="184"/>
      <c r="AZ28" s="184"/>
      <c r="BA28" s="184"/>
      <c r="BB28" s="184"/>
      <c r="BC28" s="184"/>
      <c r="BD28" s="184"/>
      <c r="BE28" s="184"/>
      <c r="BF28" s="184"/>
      <c r="BG28" s="184"/>
      <c r="BH28" s="184"/>
      <c r="BI28" s="184"/>
      <c r="BJ28" s="184"/>
      <c r="BK28" s="184"/>
      <c r="BL28" s="184"/>
      <c r="BM28" s="184"/>
      <c r="BN28" s="184"/>
      <c r="BO28" s="184"/>
      <c r="BP28" s="184"/>
      <c r="BQ28" s="184"/>
      <c r="BR28" s="184"/>
    </row>
    <row r="29" spans="1:70" s="169" customFormat="1" ht="14.4" thickBot="1" x14ac:dyDescent="0.3">
      <c r="B29" s="169" t="str">
        <f>Header2</f>
        <v>1.4</v>
      </c>
      <c r="C29" s="169" t="s">
        <v>150</v>
      </c>
      <c r="D29" s="192" t="str">
        <f>unit</f>
        <v>£</v>
      </c>
      <c r="E29" s="237">
        <f t="shared" ref="E29:I29" si="87">SUMIF($K$5:$BR$5,E$5,$K29:$BR29)</f>
        <v>0</v>
      </c>
      <c r="F29" s="237">
        <f t="shared" si="87"/>
        <v>0</v>
      </c>
      <c r="G29" s="237">
        <f t="shared" si="87"/>
        <v>0</v>
      </c>
      <c r="H29" s="237">
        <f t="shared" si="87"/>
        <v>0</v>
      </c>
      <c r="I29" s="237">
        <f t="shared" si="87"/>
        <v>0</v>
      </c>
      <c r="K29" s="236">
        <f>SUM(K16,K22,K27)</f>
        <v>0</v>
      </c>
      <c r="L29" s="236">
        <f t="shared" ref="L29:BR29" si="88">SUM(L16,L22,L27)</f>
        <v>0</v>
      </c>
      <c r="M29" s="236">
        <f t="shared" si="88"/>
        <v>0</v>
      </c>
      <c r="N29" s="236">
        <f t="shared" si="88"/>
        <v>0</v>
      </c>
      <c r="O29" s="236">
        <f t="shared" si="88"/>
        <v>0</v>
      </c>
      <c r="P29" s="236">
        <f t="shared" si="88"/>
        <v>0</v>
      </c>
      <c r="Q29" s="236">
        <f t="shared" si="88"/>
        <v>0</v>
      </c>
      <c r="R29" s="236">
        <f t="shared" si="88"/>
        <v>0</v>
      </c>
      <c r="S29" s="236">
        <f t="shared" si="88"/>
        <v>0</v>
      </c>
      <c r="T29" s="236">
        <f t="shared" si="88"/>
        <v>0</v>
      </c>
      <c r="U29" s="236">
        <f t="shared" si="88"/>
        <v>0</v>
      </c>
      <c r="V29" s="236">
        <f t="shared" si="88"/>
        <v>0</v>
      </c>
      <c r="W29" s="236">
        <f t="shared" si="88"/>
        <v>0</v>
      </c>
      <c r="X29" s="236">
        <f t="shared" si="88"/>
        <v>0</v>
      </c>
      <c r="Y29" s="236">
        <f t="shared" si="88"/>
        <v>0</v>
      </c>
      <c r="Z29" s="236">
        <f t="shared" si="88"/>
        <v>0</v>
      </c>
      <c r="AA29" s="236">
        <f t="shared" si="88"/>
        <v>0</v>
      </c>
      <c r="AB29" s="236">
        <f t="shared" si="88"/>
        <v>0</v>
      </c>
      <c r="AC29" s="236">
        <f t="shared" si="88"/>
        <v>0</v>
      </c>
      <c r="AD29" s="236">
        <f t="shared" si="88"/>
        <v>0</v>
      </c>
      <c r="AE29" s="236">
        <f t="shared" si="88"/>
        <v>0</v>
      </c>
      <c r="AF29" s="236">
        <f t="shared" si="88"/>
        <v>0</v>
      </c>
      <c r="AG29" s="236">
        <f t="shared" si="88"/>
        <v>0</v>
      </c>
      <c r="AH29" s="236">
        <f t="shared" si="88"/>
        <v>0</v>
      </c>
      <c r="AI29" s="236">
        <f t="shared" si="88"/>
        <v>0</v>
      </c>
      <c r="AJ29" s="236">
        <f t="shared" si="88"/>
        <v>0</v>
      </c>
      <c r="AK29" s="236">
        <f t="shared" si="88"/>
        <v>0</v>
      </c>
      <c r="AL29" s="236">
        <f t="shared" si="88"/>
        <v>0</v>
      </c>
      <c r="AM29" s="236">
        <f t="shared" si="88"/>
        <v>0</v>
      </c>
      <c r="AN29" s="236">
        <f t="shared" si="88"/>
        <v>0</v>
      </c>
      <c r="AO29" s="236">
        <f t="shared" si="88"/>
        <v>0</v>
      </c>
      <c r="AP29" s="236">
        <f t="shared" si="88"/>
        <v>0</v>
      </c>
      <c r="AQ29" s="236">
        <f t="shared" si="88"/>
        <v>0</v>
      </c>
      <c r="AR29" s="236">
        <f t="shared" si="88"/>
        <v>0</v>
      </c>
      <c r="AS29" s="236">
        <f t="shared" si="88"/>
        <v>0</v>
      </c>
      <c r="AT29" s="236">
        <f t="shared" si="88"/>
        <v>0</v>
      </c>
      <c r="AU29" s="236">
        <f t="shared" si="88"/>
        <v>0</v>
      </c>
      <c r="AV29" s="236">
        <f t="shared" si="88"/>
        <v>0</v>
      </c>
      <c r="AW29" s="236">
        <f t="shared" si="88"/>
        <v>0</v>
      </c>
      <c r="AX29" s="236">
        <f t="shared" si="88"/>
        <v>0</v>
      </c>
      <c r="AY29" s="236">
        <f t="shared" si="88"/>
        <v>0</v>
      </c>
      <c r="AZ29" s="236">
        <f t="shared" si="88"/>
        <v>0</v>
      </c>
      <c r="BA29" s="236">
        <f t="shared" si="88"/>
        <v>0</v>
      </c>
      <c r="BB29" s="236">
        <f t="shared" si="88"/>
        <v>0</v>
      </c>
      <c r="BC29" s="236">
        <f t="shared" si="88"/>
        <v>0</v>
      </c>
      <c r="BD29" s="236">
        <f t="shared" si="88"/>
        <v>0</v>
      </c>
      <c r="BE29" s="236">
        <f t="shared" si="88"/>
        <v>0</v>
      </c>
      <c r="BF29" s="236">
        <f t="shared" si="88"/>
        <v>0</v>
      </c>
      <c r="BG29" s="236">
        <f t="shared" si="88"/>
        <v>0</v>
      </c>
      <c r="BH29" s="236">
        <f t="shared" si="88"/>
        <v>0</v>
      </c>
      <c r="BI29" s="236">
        <f t="shared" si="88"/>
        <v>0</v>
      </c>
      <c r="BJ29" s="236">
        <f t="shared" si="88"/>
        <v>0</v>
      </c>
      <c r="BK29" s="236">
        <f t="shared" si="88"/>
        <v>0</v>
      </c>
      <c r="BL29" s="236">
        <f t="shared" si="88"/>
        <v>0</v>
      </c>
      <c r="BM29" s="236">
        <f t="shared" si="88"/>
        <v>0</v>
      </c>
      <c r="BN29" s="236">
        <f t="shared" si="88"/>
        <v>0</v>
      </c>
      <c r="BO29" s="236">
        <f t="shared" si="88"/>
        <v>0</v>
      </c>
      <c r="BP29" s="236">
        <f t="shared" si="88"/>
        <v>0</v>
      </c>
      <c r="BQ29" s="236">
        <f t="shared" si="88"/>
        <v>0</v>
      </c>
      <c r="BR29" s="236">
        <f t="shared" si="88"/>
        <v>0</v>
      </c>
    </row>
    <row r="30" spans="1:70" s="181" customFormat="1" ht="13.8" thickTop="1" x14ac:dyDescent="0.25">
      <c r="D30" s="183"/>
      <c r="E30" s="190"/>
      <c r="F30" s="190"/>
      <c r="G30" s="190"/>
      <c r="H30" s="190"/>
      <c r="I30" s="190"/>
      <c r="K30" s="184"/>
      <c r="L30" s="184"/>
      <c r="M30" s="184"/>
      <c r="N30" s="184"/>
      <c r="O30" s="184"/>
      <c r="P30" s="184"/>
      <c r="Q30" s="184"/>
      <c r="R30" s="184"/>
      <c r="S30" s="184"/>
      <c r="T30" s="184"/>
      <c r="U30" s="184"/>
      <c r="V30" s="184"/>
      <c r="W30" s="184"/>
      <c r="X30" s="184"/>
      <c r="Y30" s="184"/>
      <c r="Z30" s="184"/>
      <c r="AA30" s="184"/>
      <c r="AB30" s="184"/>
      <c r="AC30" s="184"/>
      <c r="AD30" s="184"/>
      <c r="AE30" s="184"/>
      <c r="AF30" s="184"/>
      <c r="AG30" s="184"/>
      <c r="AH30" s="184"/>
      <c r="AI30" s="184"/>
      <c r="AJ30" s="184"/>
      <c r="AK30" s="184"/>
      <c r="AL30" s="184"/>
      <c r="AM30" s="184"/>
      <c r="AN30" s="184"/>
      <c r="AO30" s="184"/>
      <c r="AP30" s="184"/>
      <c r="AQ30" s="184"/>
      <c r="AR30" s="184"/>
      <c r="AS30" s="184"/>
      <c r="AT30" s="184"/>
      <c r="AU30" s="184"/>
      <c r="AV30" s="184"/>
      <c r="AW30" s="184"/>
      <c r="AX30" s="184"/>
      <c r="AY30" s="184"/>
      <c r="AZ30" s="184"/>
      <c r="BA30" s="184"/>
      <c r="BB30" s="184"/>
      <c r="BC30" s="184"/>
      <c r="BD30" s="184"/>
      <c r="BE30" s="184"/>
      <c r="BF30" s="184"/>
      <c r="BG30" s="184"/>
      <c r="BH30" s="184"/>
      <c r="BI30" s="184"/>
      <c r="BJ30" s="184"/>
      <c r="BK30" s="184"/>
      <c r="BL30" s="184"/>
      <c r="BM30" s="184"/>
      <c r="BN30" s="184"/>
      <c r="BO30" s="184"/>
      <c r="BP30" s="184"/>
      <c r="BQ30" s="184"/>
      <c r="BR30" s="184"/>
    </row>
    <row r="31" spans="1:70" s="166" customFormat="1" ht="15.6" x14ac:dyDescent="0.3">
      <c r="A31" s="166">
        <f>Header1</f>
        <v>2</v>
      </c>
      <c r="B31" s="166" t="str">
        <f>IF(KeyInputs!$F$21=0," ",KeyInputs!$F$21)</f>
        <v>Test</v>
      </c>
    </row>
    <row r="32" spans="1:70" s="128" customFormat="1" x14ac:dyDescent="0.25">
      <c r="D32" s="129"/>
      <c r="E32" s="130"/>
      <c r="F32" s="130"/>
      <c r="G32" s="130"/>
      <c r="H32" s="130"/>
      <c r="I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row>
    <row r="33" spans="1:72" x14ac:dyDescent="0.25">
      <c r="A33" s="99"/>
      <c r="C33" s="80" t="s">
        <v>161</v>
      </c>
      <c r="D33" s="144" t="s">
        <v>160</v>
      </c>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row>
    <row r="34" spans="1:72" x14ac:dyDescent="0.25">
      <c r="A34" s="99"/>
      <c r="C34" s="100"/>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row>
    <row r="35" spans="1:72" s="143" customFormat="1" ht="13.8" x14ac:dyDescent="0.25">
      <c r="B35" s="143" t="str">
        <f>Header2</f>
        <v>2.1</v>
      </c>
      <c r="C35" s="143" t="str">
        <f>IF(KeyInputs!F22=0," ",KeyInputs!F22)</f>
        <v>Insert Product Group 1</v>
      </c>
    </row>
    <row r="36" spans="1:72" x14ac:dyDescent="0.25">
      <c r="A36" s="173"/>
      <c r="C36" s="140" t="s">
        <v>47</v>
      </c>
      <c r="D36" s="61"/>
      <c r="F36" s="140"/>
      <c r="G36" s="140"/>
      <c r="H36" s="140"/>
      <c r="I36" s="140"/>
      <c r="J36" s="140"/>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row>
    <row r="37" spans="1:72" x14ac:dyDescent="0.25">
      <c r="A37" s="173"/>
      <c r="C37" s="306" t="s">
        <v>48</v>
      </c>
      <c r="E37" s="140"/>
      <c r="F37" s="140"/>
      <c r="G37" s="140"/>
      <c r="H37" s="140"/>
      <c r="I37" s="140"/>
      <c r="J37" s="140"/>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row>
    <row r="38" spans="1:72" x14ac:dyDescent="0.25">
      <c r="A38" s="173"/>
      <c r="C38" s="157" t="s">
        <v>148</v>
      </c>
      <c r="D38" s="189" t="str">
        <f>unit</f>
        <v>£</v>
      </c>
      <c r="E38" s="140"/>
      <c r="F38" s="140"/>
      <c r="G38" s="140"/>
      <c r="H38" s="140"/>
      <c r="I38" s="140"/>
      <c r="J38" s="140"/>
      <c r="K38" s="186">
        <f>IF($D$33=$B$97,K36*Revenue!K52*Revenue!K35,VariableCosts!K36*Revenue!K35)+IF($D$33=$B$97,K37*Revenue!K52*Revenue!K35,VariableCosts!K37*Revenue!K35)</f>
        <v>0</v>
      </c>
      <c r="L38" s="186">
        <f>IF($D$33=$B$97,L36*Revenue!L52*Revenue!L35,VariableCosts!L36*Revenue!L35)+IF($D$33=$B$97,L37*Revenue!L52*Revenue!L35,VariableCosts!L37*Revenue!L35)</f>
        <v>0</v>
      </c>
      <c r="M38" s="186">
        <f>IF($D$33=$B$97,M36*Revenue!M52*Revenue!M35,VariableCosts!M36*Revenue!M35)+IF($D$33=$B$97,M37*Revenue!M52*Revenue!M35,VariableCosts!M37*Revenue!M35)</f>
        <v>0</v>
      </c>
      <c r="N38" s="186">
        <f>IF($D$33=$B$97,N36*Revenue!N52*Revenue!N35,VariableCosts!N36*Revenue!N35)+IF($D$33=$B$97,N37*Revenue!N52*Revenue!N35,VariableCosts!N37*Revenue!N35)</f>
        <v>0</v>
      </c>
      <c r="O38" s="186">
        <f>IF($D$33=$B$97,O36*Revenue!O52*Revenue!O35,VariableCosts!O36*Revenue!O35)+IF($D$33=$B$97,O37*Revenue!O52*Revenue!O35,VariableCosts!O37*Revenue!O35)</f>
        <v>0</v>
      </c>
      <c r="P38" s="186">
        <f>IF($D$33=$B$97,P36*Revenue!P52*Revenue!P35,VariableCosts!P36*Revenue!P35)+IF($D$33=$B$97,P37*Revenue!P52*Revenue!P35,VariableCosts!P37*Revenue!P35)</f>
        <v>0</v>
      </c>
      <c r="Q38" s="186">
        <f>IF($D$33=$B$97,Q36*Revenue!Q52*Revenue!Q35,VariableCosts!Q36*Revenue!Q35)+IF($D$33=$B$97,Q37*Revenue!Q52*Revenue!Q35,VariableCosts!Q37*Revenue!Q35)</f>
        <v>0</v>
      </c>
      <c r="R38" s="186">
        <f>IF($D$33=$B$97,R36*Revenue!R52*Revenue!R35,VariableCosts!R36*Revenue!R35)+IF($D$33=$B$97,R37*Revenue!R52*Revenue!R35,VariableCosts!R37*Revenue!R35)</f>
        <v>0</v>
      </c>
      <c r="S38" s="186">
        <f>IF($D$33=$B$97,S36*Revenue!S52*Revenue!S35,VariableCosts!S36*Revenue!S35)+IF($D$33=$B$97,S37*Revenue!S52*Revenue!S35,VariableCosts!S37*Revenue!S35)</f>
        <v>0</v>
      </c>
      <c r="T38" s="186">
        <f>IF($D$33=$B$97,T36*Revenue!T52*Revenue!T35,VariableCosts!T36*Revenue!T35)+IF($D$33=$B$97,T37*Revenue!T52*Revenue!T35,VariableCosts!T37*Revenue!T35)</f>
        <v>0</v>
      </c>
      <c r="U38" s="186">
        <f>IF($D$33=$B$97,U36*Revenue!U52*Revenue!U35,VariableCosts!U36*Revenue!U35)+IF($D$33=$B$97,U37*Revenue!U52*Revenue!U35,VariableCosts!U37*Revenue!U35)</f>
        <v>0</v>
      </c>
      <c r="V38" s="186">
        <f>IF($D$33=$B$97,V36*Revenue!V52*Revenue!V35,VariableCosts!V36*Revenue!V35)+IF($D$33=$B$97,V37*Revenue!V52*Revenue!V35,VariableCosts!V37*Revenue!V35)</f>
        <v>0</v>
      </c>
      <c r="W38" s="186">
        <f>IF($D$33=$B$97,W36*Revenue!W52*Revenue!W35,VariableCosts!W36*Revenue!W35)+IF($D$33=$B$97,W37*Revenue!W52*Revenue!W35,VariableCosts!W37*Revenue!W35)</f>
        <v>0</v>
      </c>
      <c r="X38" s="186">
        <f>IF($D$33=$B$97,X36*Revenue!X52*Revenue!X35,VariableCosts!X36*Revenue!X35)+IF($D$33=$B$97,X37*Revenue!X52*Revenue!X35,VariableCosts!X37*Revenue!X35)</f>
        <v>0</v>
      </c>
      <c r="Y38" s="186">
        <f>IF($D$33=$B$97,Y36*Revenue!Y52*Revenue!Y35,VariableCosts!Y36*Revenue!Y35)+IF($D$33=$B$97,Y37*Revenue!Y52*Revenue!Y35,VariableCosts!Y37*Revenue!Y35)</f>
        <v>0</v>
      </c>
      <c r="Z38" s="186">
        <f>IF($D$33=$B$97,Z36*Revenue!Z52*Revenue!Z35,VariableCosts!Z36*Revenue!Z35)+IF($D$33=$B$97,Z37*Revenue!Z52*Revenue!Z35,VariableCosts!Z37*Revenue!Z35)</f>
        <v>0</v>
      </c>
      <c r="AA38" s="186">
        <f>IF($D$33=$B$97,AA36*Revenue!AA52*Revenue!AA35,VariableCosts!AA36*Revenue!AA35)+IF($D$33=$B$97,AA37*Revenue!AA52*Revenue!AA35,VariableCosts!AA37*Revenue!AA35)</f>
        <v>0</v>
      </c>
      <c r="AB38" s="186">
        <f>IF($D$33=$B$97,AB36*Revenue!AB52*Revenue!AB35,VariableCosts!AB36*Revenue!AB35)+IF($D$33=$B$97,AB37*Revenue!AB52*Revenue!AB35,VariableCosts!AB37*Revenue!AB35)</f>
        <v>0</v>
      </c>
      <c r="AC38" s="186">
        <f>IF($D$33=$B$97,AC36*Revenue!AC52*Revenue!AC35,VariableCosts!AC36*Revenue!AC35)+IF($D$33=$B$97,AC37*Revenue!AC52*Revenue!AC35,VariableCosts!AC37*Revenue!AC35)</f>
        <v>0</v>
      </c>
      <c r="AD38" s="186">
        <f>IF($D$33=$B$97,AD36*Revenue!AD52*Revenue!AD35,VariableCosts!AD36*Revenue!AD35)+IF($D$33=$B$97,AD37*Revenue!AD52*Revenue!AD35,VariableCosts!AD37*Revenue!AD35)</f>
        <v>0</v>
      </c>
      <c r="AE38" s="186">
        <f>IF($D$33=$B$97,AE36*Revenue!AE52*Revenue!AE35,VariableCosts!AE36*Revenue!AE35)+IF($D$33=$B$97,AE37*Revenue!AE52*Revenue!AE35,VariableCosts!AE37*Revenue!AE35)</f>
        <v>0</v>
      </c>
      <c r="AF38" s="186">
        <f>IF($D$33=$B$97,AF36*Revenue!AF52*Revenue!AF35,VariableCosts!AF36*Revenue!AF35)+IF($D$33=$B$97,AF37*Revenue!AF52*Revenue!AF35,VariableCosts!AF37*Revenue!AF35)</f>
        <v>0</v>
      </c>
      <c r="AG38" s="186">
        <f>IF($D$33=$B$97,AG36*Revenue!AG52*Revenue!AG35,VariableCosts!AG36*Revenue!AG35)+IF($D$33=$B$97,AG37*Revenue!AG52*Revenue!AG35,VariableCosts!AG37*Revenue!AG35)</f>
        <v>0</v>
      </c>
      <c r="AH38" s="186">
        <f>IF($D$33=$B$97,AH36*Revenue!AH52*Revenue!AH35,VariableCosts!AH36*Revenue!AH35)+IF($D$33=$B$97,AH37*Revenue!AH52*Revenue!AH35,VariableCosts!AH37*Revenue!AH35)</f>
        <v>0</v>
      </c>
      <c r="AI38" s="186">
        <f>IF($D$33=$B$97,AI36*Revenue!AI52*Revenue!AI35,VariableCosts!AI36*Revenue!AI35)+IF($D$33=$B$97,AI37*Revenue!AI52*Revenue!AI35,VariableCosts!AI37*Revenue!AI35)</f>
        <v>0</v>
      </c>
      <c r="AJ38" s="186">
        <f>IF($D$33=$B$97,AJ36*Revenue!AJ52*Revenue!AJ35,VariableCosts!AJ36*Revenue!AJ35)+IF($D$33=$B$97,AJ37*Revenue!AJ52*Revenue!AJ35,VariableCosts!AJ37*Revenue!AJ35)</f>
        <v>0</v>
      </c>
      <c r="AK38" s="186">
        <f>IF($D$33=$B$97,AK36*Revenue!AK52*Revenue!AK35,VariableCosts!AK36*Revenue!AK35)+IF($D$33=$B$97,AK37*Revenue!AK52*Revenue!AK35,VariableCosts!AK37*Revenue!AK35)</f>
        <v>0</v>
      </c>
      <c r="AL38" s="186">
        <f>IF($D$33=$B$97,AL36*Revenue!AL52*Revenue!AL35,VariableCosts!AL36*Revenue!AL35)+IF($D$33=$B$97,AL37*Revenue!AL52*Revenue!AL35,VariableCosts!AL37*Revenue!AL35)</f>
        <v>0</v>
      </c>
      <c r="AM38" s="186">
        <f>IF($D$33=$B$97,AM36*Revenue!AM52*Revenue!AM35,VariableCosts!AM36*Revenue!AM35)+IF($D$33=$B$97,AM37*Revenue!AM52*Revenue!AM35,VariableCosts!AM37*Revenue!AM35)</f>
        <v>0</v>
      </c>
      <c r="AN38" s="186">
        <f>IF($D$33=$B$97,AN36*Revenue!AN52*Revenue!AN35,VariableCosts!AN36*Revenue!AN35)+IF($D$33=$B$97,AN37*Revenue!AN52*Revenue!AN35,VariableCosts!AN37*Revenue!AN35)</f>
        <v>0</v>
      </c>
      <c r="AO38" s="186">
        <f>IF($D$33=$B$97,AO36*Revenue!AO52*Revenue!AO35,VariableCosts!AO36*Revenue!AO35)+IF($D$33=$B$97,AO37*Revenue!AO52*Revenue!AO35,VariableCosts!AO37*Revenue!AO35)</f>
        <v>0</v>
      </c>
      <c r="AP38" s="186">
        <f>IF($D$33=$B$97,AP36*Revenue!AP52*Revenue!AP35,VariableCosts!AP36*Revenue!AP35)+IF($D$33=$B$97,AP37*Revenue!AP52*Revenue!AP35,VariableCosts!AP37*Revenue!AP35)</f>
        <v>0</v>
      </c>
      <c r="AQ38" s="186">
        <f>IF($D$33=$B$97,AQ36*Revenue!AQ52*Revenue!AQ35,VariableCosts!AQ36*Revenue!AQ35)+IF($D$33=$B$97,AQ37*Revenue!AQ52*Revenue!AQ35,VariableCosts!AQ37*Revenue!AQ35)</f>
        <v>0</v>
      </c>
      <c r="AR38" s="186">
        <f>IF($D$33=$B$97,AR36*Revenue!AR52*Revenue!AR35,VariableCosts!AR36*Revenue!AR35)+IF($D$33=$B$97,AR37*Revenue!AR52*Revenue!AR35,VariableCosts!AR37*Revenue!AR35)</f>
        <v>0</v>
      </c>
      <c r="AS38" s="186">
        <f>IF($D$33=$B$97,AS36*Revenue!AS52*Revenue!AS35,VariableCosts!AS36*Revenue!AS35)+IF($D$33=$B$97,AS37*Revenue!AS52*Revenue!AS35,VariableCosts!AS37*Revenue!AS35)</f>
        <v>0</v>
      </c>
      <c r="AT38" s="186">
        <f>IF($D$33=$B$97,AT36*Revenue!AT52*Revenue!AT35,VariableCosts!AT36*Revenue!AT35)+IF($D$33=$B$97,AT37*Revenue!AT52*Revenue!AT35,VariableCosts!AT37*Revenue!AT35)</f>
        <v>0</v>
      </c>
      <c r="AU38" s="186">
        <f>IF($D$33=$B$97,AU36*Revenue!AU52*Revenue!AU35,VariableCosts!AU36*Revenue!AU35)+IF($D$33=$B$97,AU37*Revenue!AU52*Revenue!AU35,VariableCosts!AU37*Revenue!AU35)</f>
        <v>0</v>
      </c>
      <c r="AV38" s="186">
        <f>IF($D$33=$B$97,AV36*Revenue!AV52*Revenue!AV35,VariableCosts!AV36*Revenue!AV35)+IF($D$33=$B$97,AV37*Revenue!AV52*Revenue!AV35,VariableCosts!AV37*Revenue!AV35)</f>
        <v>0</v>
      </c>
      <c r="AW38" s="186">
        <f>IF($D$33=$B$97,AW36*Revenue!AW52*Revenue!AW35,VariableCosts!AW36*Revenue!AW35)+IF($D$33=$B$97,AW37*Revenue!AW52*Revenue!AW35,VariableCosts!AW37*Revenue!AW35)</f>
        <v>0</v>
      </c>
      <c r="AX38" s="186">
        <f>IF($D$33=$B$97,AX36*Revenue!AX52*Revenue!AX35,VariableCosts!AX36*Revenue!AX35)+IF($D$33=$B$97,AX37*Revenue!AX52*Revenue!AX35,VariableCosts!AX37*Revenue!AX35)</f>
        <v>0</v>
      </c>
      <c r="AY38" s="186">
        <f>IF($D$33=$B$97,AY36*Revenue!AY52*Revenue!AY35,VariableCosts!AY36*Revenue!AY35)+IF($D$33=$B$97,AY37*Revenue!AY52*Revenue!AY35,VariableCosts!AY37*Revenue!AY35)</f>
        <v>0</v>
      </c>
      <c r="AZ38" s="186">
        <f>IF($D$33=$B$97,AZ36*Revenue!AZ52*Revenue!AZ35,VariableCosts!AZ36*Revenue!AZ35)+IF($D$33=$B$97,AZ37*Revenue!AZ52*Revenue!AZ35,VariableCosts!AZ37*Revenue!AZ35)</f>
        <v>0</v>
      </c>
      <c r="BA38" s="186">
        <f>IF($D$33=$B$97,BA36*Revenue!BA52*Revenue!BA35,VariableCosts!BA36*Revenue!BA35)+IF($D$33=$B$97,BA37*Revenue!BA52*Revenue!BA35,VariableCosts!BA37*Revenue!BA35)</f>
        <v>0</v>
      </c>
      <c r="BB38" s="186">
        <f>IF($D$33=$B$97,BB36*Revenue!BB52*Revenue!BB35,VariableCosts!BB36*Revenue!BB35)+IF($D$33=$B$97,BB37*Revenue!BB52*Revenue!BB35,VariableCosts!BB37*Revenue!BB35)</f>
        <v>0</v>
      </c>
      <c r="BC38" s="186">
        <f>IF($D$33=$B$97,BC36*Revenue!BC52*Revenue!BC35,VariableCosts!BC36*Revenue!BC35)+IF($D$33=$B$97,BC37*Revenue!BC52*Revenue!BC35,VariableCosts!BC37*Revenue!BC35)</f>
        <v>0</v>
      </c>
      <c r="BD38" s="186">
        <f>IF($D$33=$B$97,BD36*Revenue!BD52*Revenue!BD35,VariableCosts!BD36*Revenue!BD35)+IF($D$33=$B$97,BD37*Revenue!BD52*Revenue!BD35,VariableCosts!BD37*Revenue!BD35)</f>
        <v>0</v>
      </c>
      <c r="BE38" s="186">
        <f>IF($D$33=$B$97,BE36*Revenue!BE52*Revenue!BE35,VariableCosts!BE36*Revenue!BE35)+IF($D$33=$B$97,BE37*Revenue!BE52*Revenue!BE35,VariableCosts!BE37*Revenue!BE35)</f>
        <v>0</v>
      </c>
      <c r="BF38" s="186">
        <f>IF($D$33=$B$97,BF36*Revenue!BF52*Revenue!BF35,VariableCosts!BF36*Revenue!BF35)+IF($D$33=$B$97,BF37*Revenue!BF52*Revenue!BF35,VariableCosts!BF37*Revenue!BF35)</f>
        <v>0</v>
      </c>
      <c r="BG38" s="186">
        <f>IF($D$33=$B$97,BG36*Revenue!BG52*Revenue!BG35,VariableCosts!BG36*Revenue!BG35)+IF($D$33=$B$97,BG37*Revenue!BG52*Revenue!BG35,VariableCosts!BG37*Revenue!BG35)</f>
        <v>0</v>
      </c>
      <c r="BH38" s="186">
        <f>IF($D$33=$B$97,BH36*Revenue!BH52*Revenue!BH35,VariableCosts!BH36*Revenue!BH35)+IF($D$33=$B$97,BH37*Revenue!BH52*Revenue!BH35,VariableCosts!BH37*Revenue!BH35)</f>
        <v>0</v>
      </c>
      <c r="BI38" s="186">
        <f>IF($D$33=$B$97,BI36*Revenue!BI52*Revenue!BI35,VariableCosts!BI36*Revenue!BI35)+IF($D$33=$B$97,BI37*Revenue!BI52*Revenue!BI35,VariableCosts!BI37*Revenue!BI35)</f>
        <v>0</v>
      </c>
      <c r="BJ38" s="186">
        <f>IF($D$33=$B$97,BJ36*Revenue!BJ52*Revenue!BJ35,VariableCosts!BJ36*Revenue!BJ35)+IF($D$33=$B$97,BJ37*Revenue!BJ52*Revenue!BJ35,VariableCosts!BJ37*Revenue!BJ35)</f>
        <v>0</v>
      </c>
      <c r="BK38" s="186">
        <f>IF($D$33=$B$97,BK36*Revenue!BK52*Revenue!BK35,VariableCosts!BK36*Revenue!BK35)+IF($D$33=$B$97,BK37*Revenue!BK52*Revenue!BK35,VariableCosts!BK37*Revenue!BK35)</f>
        <v>0</v>
      </c>
      <c r="BL38" s="186">
        <f>IF($D$33=$B$97,BL36*Revenue!BL52*Revenue!BL35,VariableCosts!BL36*Revenue!BL35)+IF($D$33=$B$97,BL37*Revenue!BL52*Revenue!BL35,VariableCosts!BL37*Revenue!BL35)</f>
        <v>0</v>
      </c>
      <c r="BM38" s="186">
        <f>IF($D$33=$B$97,BM36*Revenue!BM52*Revenue!BM35,VariableCosts!BM36*Revenue!BM35)+IF($D$33=$B$97,BM37*Revenue!BM52*Revenue!BM35,VariableCosts!BM37*Revenue!BM35)</f>
        <v>0</v>
      </c>
      <c r="BN38" s="186">
        <f>IF($D$33=$B$97,BN36*Revenue!BN52*Revenue!BN35,VariableCosts!BN36*Revenue!BN35)+IF($D$33=$B$97,BN37*Revenue!BN52*Revenue!BN35,VariableCosts!BN37*Revenue!BN35)</f>
        <v>0</v>
      </c>
      <c r="BO38" s="186">
        <f>IF($D$33=$B$97,BO36*Revenue!BO52*Revenue!BO35,VariableCosts!BO36*Revenue!BO35)+IF($D$33=$B$97,BO37*Revenue!BO52*Revenue!BO35,VariableCosts!BO37*Revenue!BO35)</f>
        <v>0</v>
      </c>
      <c r="BP38" s="186">
        <f>IF($D$33=$B$97,BP36*Revenue!BP52*Revenue!BP35,VariableCosts!BP36*Revenue!BP35)+IF($D$33=$B$97,BP37*Revenue!BP52*Revenue!BP35,VariableCosts!BP37*Revenue!BP35)</f>
        <v>0</v>
      </c>
      <c r="BQ38" s="186">
        <f>IF($D$33=$B$97,BQ36*Revenue!BQ52*Revenue!BQ35,VariableCosts!BQ36*Revenue!BQ35)+IF($D$33=$B$97,BQ37*Revenue!BQ52*Revenue!BQ35,VariableCosts!BQ37*Revenue!BQ35)</f>
        <v>0</v>
      </c>
      <c r="BR38" s="186">
        <f>IF($D$33=$B$97,BR36*Revenue!BR52*Revenue!BR35,VariableCosts!BR36*Revenue!BR35)+IF($D$33=$B$97,BR37*Revenue!BR52*Revenue!BR35,VariableCosts!BR37*Revenue!BR35)</f>
        <v>0</v>
      </c>
    </row>
    <row r="39" spans="1:72" x14ac:dyDescent="0.25">
      <c r="A39" s="173"/>
      <c r="C39" s="140"/>
      <c r="D39" s="140"/>
      <c r="E39" s="140"/>
      <c r="F39" s="140"/>
      <c r="G39" s="140"/>
      <c r="H39" s="140"/>
      <c r="I39" s="140"/>
      <c r="J39" s="140"/>
      <c r="K39" s="174"/>
      <c r="L39" s="174"/>
      <c r="M39" s="174"/>
      <c r="N39" s="174"/>
      <c r="O39" s="174"/>
      <c r="P39" s="174"/>
      <c r="Q39" s="174"/>
      <c r="R39" s="174"/>
      <c r="S39" s="174"/>
      <c r="T39" s="174"/>
      <c r="U39" s="174"/>
      <c r="V39" s="174"/>
      <c r="W39" s="174"/>
      <c r="X39" s="174"/>
      <c r="Y39" s="174"/>
      <c r="Z39" s="174"/>
      <c r="AA39" s="174"/>
      <c r="AB39" s="174"/>
      <c r="AC39" s="174"/>
      <c r="AD39" s="174"/>
      <c r="AE39" s="174"/>
      <c r="AF39" s="174"/>
      <c r="AG39" s="174"/>
      <c r="AH39" s="174"/>
      <c r="AI39" s="174"/>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row>
    <row r="40" spans="1:72" s="143" customFormat="1" ht="13.8" x14ac:dyDescent="0.25">
      <c r="B40" s="143" t="str">
        <f>Header2</f>
        <v>2.2</v>
      </c>
      <c r="C40" s="143" t="str">
        <f>IF(KeyInputs!F23=0," ",KeyInputs!F23)</f>
        <v>Insert Product Group 2</v>
      </c>
    </row>
    <row r="41" spans="1:72" x14ac:dyDescent="0.25">
      <c r="A41" s="173"/>
      <c r="C41" s="140" t="s">
        <v>47</v>
      </c>
      <c r="E41" s="140"/>
      <c r="F41" s="140"/>
      <c r="G41" s="140"/>
      <c r="H41" s="140"/>
      <c r="I41" s="140"/>
      <c r="J41" s="140"/>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row>
    <row r="42" spans="1:72" x14ac:dyDescent="0.25">
      <c r="A42" s="173"/>
      <c r="C42" s="140" t="s">
        <v>48</v>
      </c>
      <c r="E42" s="140"/>
      <c r="F42" s="140"/>
      <c r="G42" s="140"/>
      <c r="H42" s="140"/>
      <c r="I42" s="140"/>
      <c r="J42" s="140"/>
      <c r="K42" s="1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row>
    <row r="43" spans="1:72" x14ac:dyDescent="0.25">
      <c r="A43" s="173"/>
      <c r="C43" s="157" t="s">
        <v>148</v>
      </c>
      <c r="D43" s="189" t="str">
        <f>unit</f>
        <v>£</v>
      </c>
      <c r="E43" s="140"/>
      <c r="F43" s="140"/>
      <c r="G43" s="140"/>
      <c r="H43" s="140"/>
      <c r="I43" s="140"/>
      <c r="J43" s="140"/>
      <c r="K43" s="186">
        <f>IF($D$33=$B$97,K41*Revenue!K53*Revenue!K36,VariableCosts!K41*Revenue!K36)+IF($D$33=$B$97,K42*Revenue!K53*Revenue!K36,VariableCosts!K42*Revenue!K36)</f>
        <v>0</v>
      </c>
      <c r="L43" s="186">
        <f>IF($D$33=$B$97,L41*Revenue!L53*Revenue!L36,VariableCosts!L41*Revenue!L36)+IF($D$33=$B$97,L42*Revenue!L53*Revenue!L36,VariableCosts!L42*Revenue!L36)</f>
        <v>0</v>
      </c>
      <c r="M43" s="186">
        <f>IF($D$33=$B$97,M41*Revenue!M53*Revenue!M36,VariableCosts!M41*Revenue!M36)+IF($D$33=$B$97,M42*Revenue!M53*Revenue!M36,VariableCosts!M42*Revenue!M36)</f>
        <v>0</v>
      </c>
      <c r="N43" s="186">
        <f>IF($D$33=$B$97,N41*Revenue!N53*Revenue!N36,VariableCosts!N41*Revenue!N36)+IF($D$33=$B$97,N42*Revenue!N53*Revenue!N36,VariableCosts!N42*Revenue!N36)</f>
        <v>0</v>
      </c>
      <c r="O43" s="186">
        <f>IF($D$33=$B$97,O41*Revenue!O53*Revenue!O36,VariableCosts!O41*Revenue!O36)+IF($D$33=$B$97,O42*Revenue!O53*Revenue!O36,VariableCosts!O42*Revenue!O36)</f>
        <v>0</v>
      </c>
      <c r="P43" s="186">
        <f>IF($D$33=$B$97,P41*Revenue!P53*Revenue!P36,VariableCosts!P41*Revenue!P36)+IF($D$33=$B$97,P42*Revenue!P53*Revenue!P36,VariableCosts!P42*Revenue!P36)</f>
        <v>0</v>
      </c>
      <c r="Q43" s="186">
        <f>IF($D$33=$B$97,Q41*Revenue!Q53*Revenue!Q36,VariableCosts!Q41*Revenue!Q36)+IF($D$33=$B$97,Q42*Revenue!Q53*Revenue!Q36,VariableCosts!Q42*Revenue!Q36)</f>
        <v>0</v>
      </c>
      <c r="R43" s="186">
        <f>IF($D$33=$B$97,R41*Revenue!R53*Revenue!R36,VariableCosts!R41*Revenue!R36)+IF($D$33=$B$97,R42*Revenue!R53*Revenue!R36,VariableCosts!R42*Revenue!R36)</f>
        <v>0</v>
      </c>
      <c r="S43" s="186">
        <f>IF($D$33=$B$97,S41*Revenue!S53*Revenue!S36,VariableCosts!S41*Revenue!S36)+IF($D$33=$B$97,S42*Revenue!S53*Revenue!S36,VariableCosts!S42*Revenue!S36)</f>
        <v>0</v>
      </c>
      <c r="T43" s="186">
        <f>IF($D$33=$B$97,T41*Revenue!T53*Revenue!T36,VariableCosts!T41*Revenue!T36)+IF($D$33=$B$97,T42*Revenue!T53*Revenue!T36,VariableCosts!T42*Revenue!T36)</f>
        <v>0</v>
      </c>
      <c r="U43" s="186">
        <f>IF($D$33=$B$97,U41*Revenue!U53*Revenue!U36,VariableCosts!U41*Revenue!U36)+IF($D$33=$B$97,U42*Revenue!U53*Revenue!U36,VariableCosts!U42*Revenue!U36)</f>
        <v>0</v>
      </c>
      <c r="V43" s="186">
        <f>IF($D$33=$B$97,V41*Revenue!V53*Revenue!V36,VariableCosts!V41*Revenue!V36)+IF($D$33=$B$97,V42*Revenue!V53*Revenue!V36,VariableCosts!V42*Revenue!V36)</f>
        <v>0</v>
      </c>
      <c r="W43" s="186">
        <f>IF($D$33=$B$97,W41*Revenue!W53*Revenue!W36,VariableCosts!W41*Revenue!W36)+IF($D$33=$B$97,W42*Revenue!W53*Revenue!W36,VariableCosts!W42*Revenue!W36)</f>
        <v>0</v>
      </c>
      <c r="X43" s="186">
        <f>IF($D$33=$B$97,X41*Revenue!X53*Revenue!X36,VariableCosts!X41*Revenue!X36)+IF($D$33=$B$97,X42*Revenue!X53*Revenue!X36,VariableCosts!X42*Revenue!X36)</f>
        <v>0</v>
      </c>
      <c r="Y43" s="186">
        <f>IF($D$33=$B$97,Y41*Revenue!Y53*Revenue!Y36,VariableCosts!Y41*Revenue!Y36)+IF($D$33=$B$97,Y42*Revenue!Y53*Revenue!Y36,VariableCosts!Y42*Revenue!Y36)</f>
        <v>0</v>
      </c>
      <c r="Z43" s="186">
        <f>IF($D$33=$B$97,Z41*Revenue!Z53*Revenue!Z36,VariableCosts!Z41*Revenue!Z36)+IF($D$33=$B$97,Z42*Revenue!Z53*Revenue!Z36,VariableCosts!Z42*Revenue!Z36)</f>
        <v>0</v>
      </c>
      <c r="AA43" s="186">
        <f>IF($D$33=$B$97,AA41*Revenue!AA53*Revenue!AA36,VariableCosts!AA41*Revenue!AA36)+IF($D$33=$B$97,AA42*Revenue!AA53*Revenue!AA36,VariableCosts!AA42*Revenue!AA36)</f>
        <v>0</v>
      </c>
      <c r="AB43" s="186">
        <f>IF($D$33=$B$97,AB41*Revenue!AB53*Revenue!AB36,VariableCosts!AB41*Revenue!AB36)+IF($D$33=$B$97,AB42*Revenue!AB53*Revenue!AB36,VariableCosts!AB42*Revenue!AB36)</f>
        <v>0</v>
      </c>
      <c r="AC43" s="186">
        <f>IF($D$33=$B$97,AC41*Revenue!AC53*Revenue!AC36,VariableCosts!AC41*Revenue!AC36)+IF($D$33=$B$97,AC42*Revenue!AC53*Revenue!AC36,VariableCosts!AC42*Revenue!AC36)</f>
        <v>0</v>
      </c>
      <c r="AD43" s="186">
        <f>IF($D$33=$B$97,AD41*Revenue!AD53*Revenue!AD36,VariableCosts!AD41*Revenue!AD36)+IF($D$33=$B$97,AD42*Revenue!AD53*Revenue!AD36,VariableCosts!AD42*Revenue!AD36)</f>
        <v>0</v>
      </c>
      <c r="AE43" s="186">
        <f>IF($D$33=$B$97,AE41*Revenue!AE53*Revenue!AE36,VariableCosts!AE41*Revenue!AE36)+IF($D$33=$B$97,AE42*Revenue!AE53*Revenue!AE36,VariableCosts!AE42*Revenue!AE36)</f>
        <v>0</v>
      </c>
      <c r="AF43" s="186">
        <f>IF($D$33=$B$97,AF41*Revenue!AF53*Revenue!AF36,VariableCosts!AF41*Revenue!AF36)+IF($D$33=$B$97,AF42*Revenue!AF53*Revenue!AF36,VariableCosts!AF42*Revenue!AF36)</f>
        <v>0</v>
      </c>
      <c r="AG43" s="186">
        <f>IF($D$33=$B$97,AG41*Revenue!AG53*Revenue!AG36,VariableCosts!AG41*Revenue!AG36)+IF($D$33=$B$97,AG42*Revenue!AG53*Revenue!AG36,VariableCosts!AG42*Revenue!AG36)</f>
        <v>0</v>
      </c>
      <c r="AH43" s="186">
        <f>IF($D$33=$B$97,AH41*Revenue!AH53*Revenue!AH36,VariableCosts!AH41*Revenue!AH36)+IF($D$33=$B$97,AH42*Revenue!AH53*Revenue!AH36,VariableCosts!AH42*Revenue!AH36)</f>
        <v>0</v>
      </c>
      <c r="AI43" s="186">
        <f>IF($D$33=$B$97,AI41*Revenue!AI53*Revenue!AI36,VariableCosts!AI41*Revenue!AI36)+IF($D$33=$B$97,AI42*Revenue!AI53*Revenue!AI36,VariableCosts!AI42*Revenue!AI36)</f>
        <v>0</v>
      </c>
      <c r="AJ43" s="186">
        <f>IF($D$33=$B$97,AJ41*Revenue!AJ53*Revenue!AJ36,VariableCosts!AJ41*Revenue!AJ36)+IF($D$33=$B$97,AJ42*Revenue!AJ53*Revenue!AJ36,VariableCosts!AJ42*Revenue!AJ36)</f>
        <v>0</v>
      </c>
      <c r="AK43" s="186">
        <f>IF($D$33=$B$97,AK41*Revenue!AK53*Revenue!AK36,VariableCosts!AK41*Revenue!AK36)+IF($D$33=$B$97,AK42*Revenue!AK53*Revenue!AK36,VariableCosts!AK42*Revenue!AK36)</f>
        <v>0</v>
      </c>
      <c r="AL43" s="186">
        <f>IF($D$33=$B$97,AL41*Revenue!AL53*Revenue!AL36,VariableCosts!AL41*Revenue!AL36)+IF($D$33=$B$97,AL42*Revenue!AL53*Revenue!AL36,VariableCosts!AL42*Revenue!AL36)</f>
        <v>0</v>
      </c>
      <c r="AM43" s="186">
        <f>IF($D$33=$B$97,AM41*Revenue!AM53*Revenue!AM36,VariableCosts!AM41*Revenue!AM36)+IF($D$33=$B$97,AM42*Revenue!AM53*Revenue!AM36,VariableCosts!AM42*Revenue!AM36)</f>
        <v>0</v>
      </c>
      <c r="AN43" s="186">
        <f>IF($D$33=$B$97,AN41*Revenue!AN53*Revenue!AN36,VariableCosts!AN41*Revenue!AN36)+IF($D$33=$B$97,AN42*Revenue!AN53*Revenue!AN36,VariableCosts!AN42*Revenue!AN36)</f>
        <v>0</v>
      </c>
      <c r="AO43" s="186">
        <f>IF($D$33=$B$97,AO41*Revenue!AO53*Revenue!AO36,VariableCosts!AO41*Revenue!AO36)+IF($D$33=$B$97,AO42*Revenue!AO53*Revenue!AO36,VariableCosts!AO42*Revenue!AO36)</f>
        <v>0</v>
      </c>
      <c r="AP43" s="186">
        <f>IF($D$33=$B$97,AP41*Revenue!AP53*Revenue!AP36,VariableCosts!AP41*Revenue!AP36)+IF($D$33=$B$97,AP42*Revenue!AP53*Revenue!AP36,VariableCosts!AP42*Revenue!AP36)</f>
        <v>0</v>
      </c>
      <c r="AQ43" s="186">
        <f>IF($D$33=$B$97,AQ41*Revenue!AQ53*Revenue!AQ36,VariableCosts!AQ41*Revenue!AQ36)+IF($D$33=$B$97,AQ42*Revenue!AQ53*Revenue!AQ36,VariableCosts!AQ42*Revenue!AQ36)</f>
        <v>0</v>
      </c>
      <c r="AR43" s="186">
        <f>IF($D$33=$B$97,AR41*Revenue!AR53*Revenue!AR36,VariableCosts!AR41*Revenue!AR36)+IF($D$33=$B$97,AR42*Revenue!AR53*Revenue!AR36,VariableCosts!AR42*Revenue!AR36)</f>
        <v>0</v>
      </c>
      <c r="AS43" s="186">
        <f>IF($D$33=$B$97,AS41*Revenue!AS53*Revenue!AS36,VariableCosts!AS41*Revenue!AS36)+IF($D$33=$B$97,AS42*Revenue!AS53*Revenue!AS36,VariableCosts!AS42*Revenue!AS36)</f>
        <v>0</v>
      </c>
      <c r="AT43" s="186">
        <f>IF($D$33=$B$97,AT41*Revenue!AT53*Revenue!AT36,VariableCosts!AT41*Revenue!AT36)+IF($D$33=$B$97,AT42*Revenue!AT53*Revenue!AT36,VariableCosts!AT42*Revenue!AT36)</f>
        <v>0</v>
      </c>
      <c r="AU43" s="186">
        <f>IF($D$33=$B$97,AU41*Revenue!AU53*Revenue!AU36,VariableCosts!AU41*Revenue!AU36)+IF($D$33=$B$97,AU42*Revenue!AU53*Revenue!AU36,VariableCosts!AU42*Revenue!AU36)</f>
        <v>0</v>
      </c>
      <c r="AV43" s="186">
        <f>IF($D$33=$B$97,AV41*Revenue!AV53*Revenue!AV36,VariableCosts!AV41*Revenue!AV36)+IF($D$33=$B$97,AV42*Revenue!AV53*Revenue!AV36,VariableCosts!AV42*Revenue!AV36)</f>
        <v>0</v>
      </c>
      <c r="AW43" s="186">
        <f>IF($D$33=$B$97,AW41*Revenue!AW53*Revenue!AW36,VariableCosts!AW41*Revenue!AW36)+IF($D$33=$B$97,AW42*Revenue!AW53*Revenue!AW36,VariableCosts!AW42*Revenue!AW36)</f>
        <v>0</v>
      </c>
      <c r="AX43" s="186">
        <f>IF($D$33=$B$97,AX41*Revenue!AX53*Revenue!AX36,VariableCosts!AX41*Revenue!AX36)+IF($D$33=$B$97,AX42*Revenue!AX53*Revenue!AX36,VariableCosts!AX42*Revenue!AX36)</f>
        <v>0</v>
      </c>
      <c r="AY43" s="186">
        <f>IF($D$33=$B$97,AY41*Revenue!AY53*Revenue!AY36,VariableCosts!AY41*Revenue!AY36)+IF($D$33=$B$97,AY42*Revenue!AY53*Revenue!AY36,VariableCosts!AY42*Revenue!AY36)</f>
        <v>0</v>
      </c>
      <c r="AZ43" s="186">
        <f>IF($D$33=$B$97,AZ41*Revenue!AZ53*Revenue!AZ36,VariableCosts!AZ41*Revenue!AZ36)+IF($D$33=$B$97,AZ42*Revenue!AZ53*Revenue!AZ36,VariableCosts!AZ42*Revenue!AZ36)</f>
        <v>0</v>
      </c>
      <c r="BA43" s="186">
        <f>IF($D$33=$B$97,BA41*Revenue!BA53*Revenue!BA36,VariableCosts!BA41*Revenue!BA36)+IF($D$33=$B$97,BA42*Revenue!BA53*Revenue!BA36,VariableCosts!BA42*Revenue!BA36)</f>
        <v>0</v>
      </c>
      <c r="BB43" s="186">
        <f>IF($D$33=$B$97,BB41*Revenue!BB53*Revenue!BB36,VariableCosts!BB41*Revenue!BB36)+IF($D$33=$B$97,BB42*Revenue!BB53*Revenue!BB36,VariableCosts!BB42*Revenue!BB36)</f>
        <v>0</v>
      </c>
      <c r="BC43" s="186">
        <f>IF($D$33=$B$97,BC41*Revenue!BC53*Revenue!BC36,VariableCosts!BC41*Revenue!BC36)+IF($D$33=$B$97,BC42*Revenue!BC53*Revenue!BC36,VariableCosts!BC42*Revenue!BC36)</f>
        <v>0</v>
      </c>
      <c r="BD43" s="186">
        <f>IF($D$33=$B$97,BD41*Revenue!BD53*Revenue!BD36,VariableCosts!BD41*Revenue!BD36)+IF($D$33=$B$97,BD42*Revenue!BD53*Revenue!BD36,VariableCosts!BD42*Revenue!BD36)</f>
        <v>0</v>
      </c>
      <c r="BE43" s="186">
        <f>IF($D$33=$B$97,BE41*Revenue!BE53*Revenue!BE36,VariableCosts!BE41*Revenue!BE36)+IF($D$33=$B$97,BE42*Revenue!BE53*Revenue!BE36,VariableCosts!BE42*Revenue!BE36)</f>
        <v>0</v>
      </c>
      <c r="BF43" s="186">
        <f>IF($D$33=$B$97,BF41*Revenue!BF53*Revenue!BF36,VariableCosts!BF41*Revenue!BF36)+IF($D$33=$B$97,BF42*Revenue!BF53*Revenue!BF36,VariableCosts!BF42*Revenue!BF36)</f>
        <v>0</v>
      </c>
      <c r="BG43" s="186">
        <f>IF($D$33=$B$97,BG41*Revenue!BG53*Revenue!BG36,VariableCosts!BG41*Revenue!BG36)+IF($D$33=$B$97,BG42*Revenue!BG53*Revenue!BG36,VariableCosts!BG42*Revenue!BG36)</f>
        <v>0</v>
      </c>
      <c r="BH43" s="186">
        <f>IF($D$33=$B$97,BH41*Revenue!BH53*Revenue!BH36,VariableCosts!BH41*Revenue!BH36)+IF($D$33=$B$97,BH42*Revenue!BH53*Revenue!BH36,VariableCosts!BH42*Revenue!BH36)</f>
        <v>0</v>
      </c>
      <c r="BI43" s="186">
        <f>IF($D$33=$B$97,BI41*Revenue!BI53*Revenue!BI36,VariableCosts!BI41*Revenue!BI36)+IF($D$33=$B$97,BI42*Revenue!BI53*Revenue!BI36,VariableCosts!BI42*Revenue!BI36)</f>
        <v>0</v>
      </c>
      <c r="BJ43" s="186">
        <f>IF($D$33=$B$97,BJ41*Revenue!BJ53*Revenue!BJ36,VariableCosts!BJ41*Revenue!BJ36)+IF($D$33=$B$97,BJ42*Revenue!BJ53*Revenue!BJ36,VariableCosts!BJ42*Revenue!BJ36)</f>
        <v>0</v>
      </c>
      <c r="BK43" s="186">
        <f>IF($D$33=$B$97,BK41*Revenue!BK53*Revenue!BK36,VariableCosts!BK41*Revenue!BK36)+IF($D$33=$B$97,BK42*Revenue!BK53*Revenue!BK36,VariableCosts!BK42*Revenue!BK36)</f>
        <v>0</v>
      </c>
      <c r="BL43" s="186">
        <f>IF($D$33=$B$97,BL41*Revenue!BL53*Revenue!BL36,VariableCosts!BL41*Revenue!BL36)+IF($D$33=$B$97,BL42*Revenue!BL53*Revenue!BL36,VariableCosts!BL42*Revenue!BL36)</f>
        <v>0</v>
      </c>
      <c r="BM43" s="186">
        <f>IF($D$33=$B$97,BM41*Revenue!BM53*Revenue!BM36,VariableCosts!BM41*Revenue!BM36)+IF($D$33=$B$97,BM42*Revenue!BM53*Revenue!BM36,VariableCosts!BM42*Revenue!BM36)</f>
        <v>0</v>
      </c>
      <c r="BN43" s="186">
        <f>IF($D$33=$B$97,BN41*Revenue!BN53*Revenue!BN36,VariableCosts!BN41*Revenue!BN36)+IF($D$33=$B$97,BN42*Revenue!BN53*Revenue!BN36,VariableCosts!BN42*Revenue!BN36)</f>
        <v>0</v>
      </c>
      <c r="BO43" s="186">
        <f>IF($D$33=$B$97,BO41*Revenue!BO53*Revenue!BO36,VariableCosts!BO41*Revenue!BO36)+IF($D$33=$B$97,BO42*Revenue!BO53*Revenue!BO36,VariableCosts!BO42*Revenue!BO36)</f>
        <v>0</v>
      </c>
      <c r="BP43" s="186">
        <f>IF($D$33=$B$97,BP41*Revenue!BP53*Revenue!BP36,VariableCosts!BP41*Revenue!BP36)+IF($D$33=$B$97,BP42*Revenue!BP53*Revenue!BP36,VariableCosts!BP42*Revenue!BP36)</f>
        <v>0</v>
      </c>
      <c r="BQ43" s="186">
        <f>IF($D$33=$B$97,BQ41*Revenue!BQ53*Revenue!BQ36,VariableCosts!BQ41*Revenue!BQ36)+IF($D$33=$B$97,BQ42*Revenue!BQ53*Revenue!BQ36,VariableCosts!BQ42*Revenue!BQ36)</f>
        <v>0</v>
      </c>
      <c r="BR43" s="186">
        <f>IF($D$33=$B$97,BR41*Revenue!BR53*Revenue!BR36,VariableCosts!BR41*Revenue!BR36)+IF($D$33=$B$97,BR42*Revenue!BR53*Revenue!BR36,VariableCosts!BR42*Revenue!BR36)</f>
        <v>0</v>
      </c>
    </row>
    <row r="44" spans="1:72" x14ac:dyDescent="0.25">
      <c r="A44" s="173"/>
      <c r="C44" s="140"/>
      <c r="D44" s="140"/>
      <c r="E44" s="140"/>
      <c r="F44" s="140"/>
      <c r="G44" s="140"/>
      <c r="H44" s="140"/>
      <c r="I44" s="140"/>
      <c r="J44" s="140"/>
      <c r="K44" s="174"/>
      <c r="L44" s="174"/>
      <c r="M44" s="174"/>
      <c r="N44" s="174"/>
      <c r="O44" s="174"/>
      <c r="P44" s="174"/>
      <c r="Q44" s="174"/>
      <c r="R44" s="174"/>
      <c r="S44" s="174"/>
      <c r="T44" s="174"/>
      <c r="U44" s="174"/>
      <c r="V44" s="174"/>
      <c r="W44" s="174"/>
      <c r="X44" s="174"/>
      <c r="Y44" s="174"/>
      <c r="Z44" s="174"/>
      <c r="AA44" s="174"/>
      <c r="AB44" s="174"/>
      <c r="AC44" s="174"/>
      <c r="AD44" s="174"/>
      <c r="AE44" s="174"/>
      <c r="AF44" s="174"/>
      <c r="AG44" s="174"/>
      <c r="AH44" s="174"/>
      <c r="AI44" s="174"/>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row>
    <row r="45" spans="1:72" s="143" customFormat="1" ht="13.8" x14ac:dyDescent="0.25">
      <c r="B45" s="143" t="str">
        <f>Header2</f>
        <v>2.3</v>
      </c>
      <c r="C45" s="143" t="str">
        <f>IF(KeyInputs!F24=0," ",KeyInputs!F24)</f>
        <v>Insert Product Group 3</v>
      </c>
    </row>
    <row r="46" spans="1:72" x14ac:dyDescent="0.25">
      <c r="A46" s="173"/>
      <c r="C46" s="140" t="s">
        <v>47</v>
      </c>
      <c r="E46" s="140"/>
      <c r="F46" s="140"/>
      <c r="G46" s="140"/>
      <c r="H46" s="140"/>
      <c r="I46" s="140"/>
      <c r="J46" s="140"/>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row>
    <row r="47" spans="1:72" x14ac:dyDescent="0.25">
      <c r="A47" s="140"/>
      <c r="C47" s="140" t="s">
        <v>48</v>
      </c>
      <c r="E47" s="140"/>
      <c r="F47" s="140"/>
      <c r="G47" s="140"/>
      <c r="H47" s="140"/>
      <c r="I47" s="140"/>
      <c r="J47" s="140"/>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175"/>
      <c r="AT47" s="175"/>
      <c r="AU47" s="175"/>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c r="BR47" s="175"/>
    </row>
    <row r="48" spans="1:72" s="153" customFormat="1" x14ac:dyDescent="0.25">
      <c r="A48" s="157"/>
      <c r="C48" s="157" t="s">
        <v>148</v>
      </c>
      <c r="D48" s="189" t="str">
        <f>unit</f>
        <v>£</v>
      </c>
      <c r="E48" s="157"/>
      <c r="F48" s="157"/>
      <c r="G48" s="157"/>
      <c r="H48" s="157"/>
      <c r="I48" s="157"/>
      <c r="J48" s="157"/>
      <c r="K48" s="186">
        <f>IF($D$33=$B$97,K46*Revenue!K54*Revenue!K37,VariableCosts!K46*Revenue!K37)+IF($D$33=$B$97,K47*Revenue!K54*Revenue!K37,VariableCosts!K47*Revenue!K37)</f>
        <v>0</v>
      </c>
      <c r="L48" s="186">
        <f>IF($D$33=$B$97,L46*Revenue!L54*Revenue!L37,VariableCosts!L46*Revenue!L37)+IF($D$33=$B$97,L47*Revenue!L54*Revenue!L37,VariableCosts!L47*Revenue!L37)</f>
        <v>0</v>
      </c>
      <c r="M48" s="186">
        <f>IF($D$33=$B$97,M46*Revenue!M54*Revenue!M37,VariableCosts!M46*Revenue!M37)+IF($D$33=$B$97,M47*Revenue!M54*Revenue!M37,VariableCosts!M47*Revenue!M37)</f>
        <v>0</v>
      </c>
      <c r="N48" s="186">
        <f>IF($D$33=$B$97,N46*Revenue!N54*Revenue!N37,VariableCosts!N46*Revenue!N37)+IF($D$33=$B$97,N47*Revenue!N54*Revenue!N37,VariableCosts!N47*Revenue!N37)</f>
        <v>0</v>
      </c>
      <c r="O48" s="186">
        <f>IF($D$33=$B$97,O46*Revenue!O54*Revenue!O37,VariableCosts!O46*Revenue!O37)+IF($D$33=$B$97,O47*Revenue!O54*Revenue!O37,VariableCosts!O47*Revenue!O37)</f>
        <v>0</v>
      </c>
      <c r="P48" s="186">
        <f>IF($D$33=$B$97,P46*Revenue!P54*Revenue!P37,VariableCosts!P46*Revenue!P37)+IF($D$33=$B$97,P47*Revenue!P54*Revenue!P37,VariableCosts!P47*Revenue!P37)</f>
        <v>0</v>
      </c>
      <c r="Q48" s="186">
        <f>IF($D$33=$B$97,Q46*Revenue!Q54*Revenue!Q37,VariableCosts!Q46*Revenue!Q37)+IF($D$33=$B$97,Q47*Revenue!Q54*Revenue!Q37,VariableCosts!Q47*Revenue!Q37)</f>
        <v>0</v>
      </c>
      <c r="R48" s="186">
        <f>IF($D$33=$B$97,R46*Revenue!R54*Revenue!R37,VariableCosts!R46*Revenue!R37)+IF($D$33=$B$97,R47*Revenue!R54*Revenue!R37,VariableCosts!R47*Revenue!R37)</f>
        <v>0</v>
      </c>
      <c r="S48" s="186">
        <f>IF($D$33=$B$97,S46*Revenue!S54*Revenue!S37,VariableCosts!S46*Revenue!S37)+IF($D$33=$B$97,S47*Revenue!S54*Revenue!S37,VariableCosts!S47*Revenue!S37)</f>
        <v>0</v>
      </c>
      <c r="T48" s="186">
        <f>IF($D$33=$B$97,T46*Revenue!T54*Revenue!T37,VariableCosts!T46*Revenue!T37)+IF($D$33=$B$97,T47*Revenue!T54*Revenue!T37,VariableCosts!T47*Revenue!T37)</f>
        <v>0</v>
      </c>
      <c r="U48" s="186">
        <f>IF($D$33=$B$97,U46*Revenue!U54*Revenue!U37,VariableCosts!U46*Revenue!U37)+IF($D$33=$B$97,U47*Revenue!U54*Revenue!U37,VariableCosts!U47*Revenue!U37)</f>
        <v>0</v>
      </c>
      <c r="V48" s="186">
        <f>IF($D$33=$B$97,V46*Revenue!V54*Revenue!V37,VariableCosts!V46*Revenue!V37)+IF($D$33=$B$97,V47*Revenue!V54*Revenue!V37,VariableCosts!V47*Revenue!V37)</f>
        <v>0</v>
      </c>
      <c r="W48" s="186">
        <f>IF($D$33=$B$97,W46*Revenue!W54*Revenue!W37,VariableCosts!W46*Revenue!W37)+IF($D$33=$B$97,W47*Revenue!W54*Revenue!W37,VariableCosts!W47*Revenue!W37)</f>
        <v>0</v>
      </c>
      <c r="X48" s="186">
        <f>IF($D$33=$B$97,X46*Revenue!X54*Revenue!X37,VariableCosts!X46*Revenue!X37)+IF($D$33=$B$97,X47*Revenue!X54*Revenue!X37,VariableCosts!X47*Revenue!X37)</f>
        <v>0</v>
      </c>
      <c r="Y48" s="186">
        <f>IF($D$33=$B$97,Y46*Revenue!Y54*Revenue!Y37,VariableCosts!Y46*Revenue!Y37)+IF($D$33=$B$97,Y47*Revenue!Y54*Revenue!Y37,VariableCosts!Y47*Revenue!Y37)</f>
        <v>0</v>
      </c>
      <c r="Z48" s="186">
        <f>IF($D$33=$B$97,Z46*Revenue!Z54*Revenue!Z37,VariableCosts!Z46*Revenue!Z37)+IF($D$33=$B$97,Z47*Revenue!Z54*Revenue!Z37,VariableCosts!Z47*Revenue!Z37)</f>
        <v>0</v>
      </c>
      <c r="AA48" s="186">
        <f>IF($D$33=$B$97,AA46*Revenue!AA54*Revenue!AA37,VariableCosts!AA46*Revenue!AA37)+IF($D$33=$B$97,AA47*Revenue!AA54*Revenue!AA37,VariableCosts!AA47*Revenue!AA37)</f>
        <v>0</v>
      </c>
      <c r="AB48" s="186">
        <f>IF($D$33=$B$97,AB46*Revenue!AB54*Revenue!AB37,VariableCosts!AB46*Revenue!AB37)+IF($D$33=$B$97,AB47*Revenue!AB54*Revenue!AB37,VariableCosts!AB47*Revenue!AB37)</f>
        <v>0</v>
      </c>
      <c r="AC48" s="186">
        <f>IF($D$33=$B$97,AC46*Revenue!AC54*Revenue!AC37,VariableCosts!AC46*Revenue!AC37)+IF($D$33=$B$97,AC47*Revenue!AC54*Revenue!AC37,VariableCosts!AC47*Revenue!AC37)</f>
        <v>0</v>
      </c>
      <c r="AD48" s="186">
        <f>IF($D$33=$B$97,AD46*Revenue!AD54*Revenue!AD37,VariableCosts!AD46*Revenue!AD37)+IF($D$33=$B$97,AD47*Revenue!AD54*Revenue!AD37,VariableCosts!AD47*Revenue!AD37)</f>
        <v>0</v>
      </c>
      <c r="AE48" s="186">
        <f>IF($D$33=$B$97,AE46*Revenue!AE54*Revenue!AE37,VariableCosts!AE46*Revenue!AE37)+IF($D$33=$B$97,AE47*Revenue!AE54*Revenue!AE37,VariableCosts!AE47*Revenue!AE37)</f>
        <v>0</v>
      </c>
      <c r="AF48" s="186">
        <f>IF($D$33=$B$97,AF46*Revenue!AF54*Revenue!AF37,VariableCosts!AF46*Revenue!AF37)+IF($D$33=$B$97,AF47*Revenue!AF54*Revenue!AF37,VariableCosts!AF47*Revenue!AF37)</f>
        <v>0</v>
      </c>
      <c r="AG48" s="186">
        <f>IF($D$33=$B$97,AG46*Revenue!AG54*Revenue!AG37,VariableCosts!AG46*Revenue!AG37)+IF($D$33=$B$97,AG47*Revenue!AG54*Revenue!AG37,VariableCosts!AG47*Revenue!AG37)</f>
        <v>0</v>
      </c>
      <c r="AH48" s="186">
        <f>IF($D$33=$B$97,AH46*Revenue!AH54*Revenue!AH37,VariableCosts!AH46*Revenue!AH37)+IF($D$33=$B$97,AH47*Revenue!AH54*Revenue!AH37,VariableCosts!AH47*Revenue!AH37)</f>
        <v>0</v>
      </c>
      <c r="AI48" s="186">
        <f>IF($D$33=$B$97,AI46*Revenue!AI54*Revenue!AI37,VariableCosts!AI46*Revenue!AI37)+IF($D$33=$B$97,AI47*Revenue!AI54*Revenue!AI37,VariableCosts!AI47*Revenue!AI37)</f>
        <v>0</v>
      </c>
      <c r="AJ48" s="186">
        <f>IF($D$33=$B$97,AJ46*Revenue!AJ54*Revenue!AJ37,VariableCosts!AJ46*Revenue!AJ37)+IF($D$33=$B$97,AJ47*Revenue!AJ54*Revenue!AJ37,VariableCosts!AJ47*Revenue!AJ37)</f>
        <v>0</v>
      </c>
      <c r="AK48" s="186">
        <f>IF($D$33=$B$97,AK46*Revenue!AK54*Revenue!AK37,VariableCosts!AK46*Revenue!AK37)+IF($D$33=$B$97,AK47*Revenue!AK54*Revenue!AK37,VariableCosts!AK47*Revenue!AK37)</f>
        <v>0</v>
      </c>
      <c r="AL48" s="186">
        <f>IF($D$33=$B$97,AL46*Revenue!AL54*Revenue!AL37,VariableCosts!AL46*Revenue!AL37)+IF($D$33=$B$97,AL47*Revenue!AL54*Revenue!AL37,VariableCosts!AL47*Revenue!AL37)</f>
        <v>0</v>
      </c>
      <c r="AM48" s="186">
        <f>IF($D$33=$B$97,AM46*Revenue!AM54*Revenue!AM37,VariableCosts!AM46*Revenue!AM37)+IF($D$33=$B$97,AM47*Revenue!AM54*Revenue!AM37,VariableCosts!AM47*Revenue!AM37)</f>
        <v>0</v>
      </c>
      <c r="AN48" s="186">
        <f>IF($D$33=$B$97,AN46*Revenue!AN54*Revenue!AN37,VariableCosts!AN46*Revenue!AN37)+IF($D$33=$B$97,AN47*Revenue!AN54*Revenue!AN37,VariableCosts!AN47*Revenue!AN37)</f>
        <v>0</v>
      </c>
      <c r="AO48" s="186">
        <f>IF($D$33=$B$97,AO46*Revenue!AO54*Revenue!AO37,VariableCosts!AO46*Revenue!AO37)+IF($D$33=$B$97,AO47*Revenue!AO54*Revenue!AO37,VariableCosts!AO47*Revenue!AO37)</f>
        <v>0</v>
      </c>
      <c r="AP48" s="186">
        <f>IF($D$33=$B$97,AP46*Revenue!AP54*Revenue!AP37,VariableCosts!AP46*Revenue!AP37)+IF($D$33=$B$97,AP47*Revenue!AP54*Revenue!AP37,VariableCosts!AP47*Revenue!AP37)</f>
        <v>0</v>
      </c>
      <c r="AQ48" s="186">
        <f>IF($D$33=$B$97,AQ46*Revenue!AQ54*Revenue!AQ37,VariableCosts!AQ46*Revenue!AQ37)+IF($D$33=$B$97,AQ47*Revenue!AQ54*Revenue!AQ37,VariableCosts!AQ47*Revenue!AQ37)</f>
        <v>0</v>
      </c>
      <c r="AR48" s="186">
        <f>IF($D$33=$B$97,AR46*Revenue!AR54*Revenue!AR37,VariableCosts!AR46*Revenue!AR37)+IF($D$33=$B$97,AR47*Revenue!AR54*Revenue!AR37,VariableCosts!AR47*Revenue!AR37)</f>
        <v>0</v>
      </c>
      <c r="AS48" s="186">
        <f>IF($D$33=$B$97,AS46*Revenue!AS54*Revenue!AS37,VariableCosts!AS46*Revenue!AS37)+IF($D$33=$B$97,AS47*Revenue!AS54*Revenue!AS37,VariableCosts!AS47*Revenue!AS37)</f>
        <v>0</v>
      </c>
      <c r="AT48" s="186">
        <f>IF($D$33=$B$97,AT46*Revenue!AT54*Revenue!AT37,VariableCosts!AT46*Revenue!AT37)+IF($D$33=$B$97,AT47*Revenue!AT54*Revenue!AT37,VariableCosts!AT47*Revenue!AT37)</f>
        <v>0</v>
      </c>
      <c r="AU48" s="186">
        <f>IF($D$33=$B$97,AU46*Revenue!AU54*Revenue!AU37,VariableCosts!AU46*Revenue!AU37)+IF($D$33=$B$97,AU47*Revenue!AU54*Revenue!AU37,VariableCosts!AU47*Revenue!AU37)</f>
        <v>0</v>
      </c>
      <c r="AV48" s="186">
        <f>IF($D$33=$B$97,AV46*Revenue!AV54*Revenue!AV37,VariableCosts!AV46*Revenue!AV37)+IF($D$33=$B$97,AV47*Revenue!AV54*Revenue!AV37,VariableCosts!AV47*Revenue!AV37)</f>
        <v>0</v>
      </c>
      <c r="AW48" s="186">
        <f>IF($D$33=$B$97,AW46*Revenue!AW54*Revenue!AW37,VariableCosts!AW46*Revenue!AW37)+IF($D$33=$B$97,AW47*Revenue!AW54*Revenue!AW37,VariableCosts!AW47*Revenue!AW37)</f>
        <v>0</v>
      </c>
      <c r="AX48" s="186">
        <f>IF($D$33=$B$97,AX46*Revenue!AX54*Revenue!AX37,VariableCosts!AX46*Revenue!AX37)+IF($D$33=$B$97,AX47*Revenue!AX54*Revenue!AX37,VariableCosts!AX47*Revenue!AX37)</f>
        <v>0</v>
      </c>
      <c r="AY48" s="186">
        <f>IF($D$33=$B$97,AY46*Revenue!AY54*Revenue!AY37,VariableCosts!AY46*Revenue!AY37)+IF($D$33=$B$97,AY47*Revenue!AY54*Revenue!AY37,VariableCosts!AY47*Revenue!AY37)</f>
        <v>0</v>
      </c>
      <c r="AZ48" s="186">
        <f>IF($D$33=$B$97,AZ46*Revenue!AZ54*Revenue!AZ37,VariableCosts!AZ46*Revenue!AZ37)+IF($D$33=$B$97,AZ47*Revenue!AZ54*Revenue!AZ37,VariableCosts!AZ47*Revenue!AZ37)</f>
        <v>0</v>
      </c>
      <c r="BA48" s="186">
        <f>IF($D$33=$B$97,BA46*Revenue!BA54*Revenue!BA37,VariableCosts!BA46*Revenue!BA37)+IF($D$33=$B$97,BA47*Revenue!BA54*Revenue!BA37,VariableCosts!BA47*Revenue!BA37)</f>
        <v>0</v>
      </c>
      <c r="BB48" s="186">
        <f>IF($D$33=$B$97,BB46*Revenue!BB54*Revenue!BB37,VariableCosts!BB46*Revenue!BB37)+IF($D$33=$B$97,BB47*Revenue!BB54*Revenue!BB37,VariableCosts!BB47*Revenue!BB37)</f>
        <v>0</v>
      </c>
      <c r="BC48" s="186">
        <f>IF($D$33=$B$97,BC46*Revenue!BC54*Revenue!BC37,VariableCosts!BC46*Revenue!BC37)+IF($D$33=$B$97,BC47*Revenue!BC54*Revenue!BC37,VariableCosts!BC47*Revenue!BC37)</f>
        <v>0</v>
      </c>
      <c r="BD48" s="186">
        <f>IF($D$33=$B$97,BD46*Revenue!BD54*Revenue!BD37,VariableCosts!BD46*Revenue!BD37)+IF($D$33=$B$97,BD47*Revenue!BD54*Revenue!BD37,VariableCosts!BD47*Revenue!BD37)</f>
        <v>0</v>
      </c>
      <c r="BE48" s="186">
        <f>IF($D$33=$B$97,BE46*Revenue!BE54*Revenue!BE37,VariableCosts!BE46*Revenue!BE37)+IF($D$33=$B$97,BE47*Revenue!BE54*Revenue!BE37,VariableCosts!BE47*Revenue!BE37)</f>
        <v>0</v>
      </c>
      <c r="BF48" s="186">
        <f>IF($D$33=$B$97,BF46*Revenue!BF54*Revenue!BF37,VariableCosts!BF46*Revenue!BF37)+IF($D$33=$B$97,BF47*Revenue!BF54*Revenue!BF37,VariableCosts!BF47*Revenue!BF37)</f>
        <v>0</v>
      </c>
      <c r="BG48" s="186">
        <f>IF($D$33=$B$97,BG46*Revenue!BG54*Revenue!BG37,VariableCosts!BG46*Revenue!BG37)+IF($D$33=$B$97,BG47*Revenue!BG54*Revenue!BG37,VariableCosts!BG47*Revenue!BG37)</f>
        <v>0</v>
      </c>
      <c r="BH48" s="186">
        <f>IF($D$33=$B$97,BH46*Revenue!BH54*Revenue!BH37,VariableCosts!BH46*Revenue!BH37)+IF($D$33=$B$97,BH47*Revenue!BH54*Revenue!BH37,VariableCosts!BH47*Revenue!BH37)</f>
        <v>0</v>
      </c>
      <c r="BI48" s="186">
        <f>IF($D$33=$B$97,BI46*Revenue!BI54*Revenue!BI37,VariableCosts!BI46*Revenue!BI37)+IF($D$33=$B$97,BI47*Revenue!BI54*Revenue!BI37,VariableCosts!BI47*Revenue!BI37)</f>
        <v>0</v>
      </c>
      <c r="BJ48" s="186">
        <f>IF($D$33=$B$97,BJ46*Revenue!BJ54*Revenue!BJ37,VariableCosts!BJ46*Revenue!BJ37)+IF($D$33=$B$97,BJ47*Revenue!BJ54*Revenue!BJ37,VariableCosts!BJ47*Revenue!BJ37)</f>
        <v>0</v>
      </c>
      <c r="BK48" s="186">
        <f>IF($D$33=$B$97,BK46*Revenue!BK54*Revenue!BK37,VariableCosts!BK46*Revenue!BK37)+IF($D$33=$B$97,BK47*Revenue!BK54*Revenue!BK37,VariableCosts!BK47*Revenue!BK37)</f>
        <v>0</v>
      </c>
      <c r="BL48" s="186">
        <f>IF($D$33=$B$97,BL46*Revenue!BL54*Revenue!BL37,VariableCosts!BL46*Revenue!BL37)+IF($D$33=$B$97,BL47*Revenue!BL54*Revenue!BL37,VariableCosts!BL47*Revenue!BL37)</f>
        <v>0</v>
      </c>
      <c r="BM48" s="186">
        <f>IF($D$33=$B$97,BM46*Revenue!BM54*Revenue!BM37,VariableCosts!BM46*Revenue!BM37)+IF($D$33=$B$97,BM47*Revenue!BM54*Revenue!BM37,VariableCosts!BM47*Revenue!BM37)</f>
        <v>0</v>
      </c>
      <c r="BN48" s="186">
        <f>IF($D$33=$B$97,BN46*Revenue!BN54*Revenue!BN37,VariableCosts!BN46*Revenue!BN37)+IF($D$33=$B$97,BN47*Revenue!BN54*Revenue!BN37,VariableCosts!BN47*Revenue!BN37)</f>
        <v>0</v>
      </c>
      <c r="BO48" s="186">
        <f>IF($D$33=$B$97,BO46*Revenue!BO54*Revenue!BO37,VariableCosts!BO46*Revenue!BO37)+IF($D$33=$B$97,BO47*Revenue!BO54*Revenue!BO37,VariableCosts!BO47*Revenue!BO37)</f>
        <v>0</v>
      </c>
      <c r="BP48" s="186">
        <f>IF($D$33=$B$97,BP46*Revenue!BP54*Revenue!BP37,VariableCosts!BP46*Revenue!BP37)+IF($D$33=$B$97,BP47*Revenue!BP54*Revenue!BP37,VariableCosts!BP47*Revenue!BP37)</f>
        <v>0</v>
      </c>
      <c r="BQ48" s="186">
        <f>IF($D$33=$B$97,BQ46*Revenue!BQ54*Revenue!BQ37,VariableCosts!BQ46*Revenue!BQ37)+IF($D$33=$B$97,BQ47*Revenue!BQ54*Revenue!BQ37,VariableCosts!BQ47*Revenue!BQ37)</f>
        <v>0</v>
      </c>
      <c r="BR48" s="186">
        <f>IF($D$33=$B$97,BR46*Revenue!BR54*Revenue!BR37,VariableCosts!BR46*Revenue!BR37)+IF($D$33=$B$97,BR47*Revenue!BR54*Revenue!BR37,VariableCosts!BR47*Revenue!BR37)</f>
        <v>0</v>
      </c>
      <c r="BT48" s="83"/>
    </row>
    <row r="49" spans="1:72" s="153" customFormat="1" x14ac:dyDescent="0.25">
      <c r="A49" s="157"/>
      <c r="C49" s="102"/>
      <c r="D49" s="84"/>
      <c r="E49" s="157"/>
      <c r="F49" s="157"/>
      <c r="G49" s="157"/>
      <c r="H49" s="157"/>
      <c r="I49" s="157"/>
      <c r="J49" s="157"/>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c r="AN49" s="103"/>
      <c r="AO49" s="103"/>
      <c r="AP49" s="103"/>
      <c r="AQ49" s="103"/>
      <c r="AR49" s="103"/>
      <c r="AS49" s="103"/>
      <c r="AT49" s="103"/>
      <c r="AU49" s="103"/>
      <c r="AV49" s="103"/>
      <c r="AW49" s="103"/>
      <c r="AX49" s="103"/>
      <c r="AY49" s="103"/>
      <c r="AZ49" s="103"/>
      <c r="BA49" s="103"/>
      <c r="BB49" s="103"/>
      <c r="BC49" s="103"/>
      <c r="BD49" s="103"/>
      <c r="BE49" s="103"/>
      <c r="BF49" s="103"/>
      <c r="BG49" s="103"/>
      <c r="BH49" s="103"/>
      <c r="BI49" s="103"/>
      <c r="BJ49" s="103"/>
      <c r="BK49" s="103"/>
      <c r="BL49" s="103"/>
      <c r="BM49" s="103"/>
      <c r="BN49" s="103"/>
      <c r="BO49" s="103"/>
      <c r="BP49" s="103"/>
      <c r="BQ49" s="103"/>
      <c r="BR49" s="103"/>
      <c r="BT49" s="83"/>
    </row>
    <row r="50" spans="1:72" s="84" customFormat="1" x14ac:dyDescent="0.25">
      <c r="C50" s="84" t="s">
        <v>150</v>
      </c>
      <c r="D50" s="192" t="str">
        <f>unit</f>
        <v>£</v>
      </c>
      <c r="K50" s="104">
        <f>K48+K43+K38</f>
        <v>0</v>
      </c>
      <c r="L50" s="104">
        <f t="shared" ref="L50:BR50" si="89">L48+L43+L38</f>
        <v>0</v>
      </c>
      <c r="M50" s="104">
        <f>M48+M43+M38</f>
        <v>0</v>
      </c>
      <c r="N50" s="104">
        <f t="shared" si="89"/>
        <v>0</v>
      </c>
      <c r="O50" s="104">
        <f t="shared" si="89"/>
        <v>0</v>
      </c>
      <c r="P50" s="104">
        <f t="shared" si="89"/>
        <v>0</v>
      </c>
      <c r="Q50" s="104">
        <f t="shared" si="89"/>
        <v>0</v>
      </c>
      <c r="R50" s="104">
        <f t="shared" si="89"/>
        <v>0</v>
      </c>
      <c r="S50" s="104">
        <f t="shared" si="89"/>
        <v>0</v>
      </c>
      <c r="T50" s="104">
        <f t="shared" si="89"/>
        <v>0</v>
      </c>
      <c r="U50" s="104">
        <f t="shared" si="89"/>
        <v>0</v>
      </c>
      <c r="V50" s="104">
        <f t="shared" si="89"/>
        <v>0</v>
      </c>
      <c r="W50" s="104">
        <f t="shared" si="89"/>
        <v>0</v>
      </c>
      <c r="X50" s="104">
        <f t="shared" si="89"/>
        <v>0</v>
      </c>
      <c r="Y50" s="104">
        <f t="shared" si="89"/>
        <v>0</v>
      </c>
      <c r="Z50" s="104">
        <f t="shared" si="89"/>
        <v>0</v>
      </c>
      <c r="AA50" s="104">
        <f t="shared" si="89"/>
        <v>0</v>
      </c>
      <c r="AB50" s="104">
        <f t="shared" si="89"/>
        <v>0</v>
      </c>
      <c r="AC50" s="104">
        <f t="shared" si="89"/>
        <v>0</v>
      </c>
      <c r="AD50" s="104">
        <f t="shared" si="89"/>
        <v>0</v>
      </c>
      <c r="AE50" s="104">
        <f t="shared" si="89"/>
        <v>0</v>
      </c>
      <c r="AF50" s="104">
        <f t="shared" si="89"/>
        <v>0</v>
      </c>
      <c r="AG50" s="104">
        <f t="shared" si="89"/>
        <v>0</v>
      </c>
      <c r="AH50" s="104">
        <f t="shared" si="89"/>
        <v>0</v>
      </c>
      <c r="AI50" s="104">
        <f t="shared" si="89"/>
        <v>0</v>
      </c>
      <c r="AJ50" s="104">
        <f t="shared" si="89"/>
        <v>0</v>
      </c>
      <c r="AK50" s="104">
        <f t="shared" si="89"/>
        <v>0</v>
      </c>
      <c r="AL50" s="104">
        <f t="shared" si="89"/>
        <v>0</v>
      </c>
      <c r="AM50" s="104">
        <f t="shared" si="89"/>
        <v>0</v>
      </c>
      <c r="AN50" s="104">
        <f t="shared" si="89"/>
        <v>0</v>
      </c>
      <c r="AO50" s="104">
        <f t="shared" si="89"/>
        <v>0</v>
      </c>
      <c r="AP50" s="104">
        <f t="shared" si="89"/>
        <v>0</v>
      </c>
      <c r="AQ50" s="104">
        <f t="shared" si="89"/>
        <v>0</v>
      </c>
      <c r="AR50" s="104">
        <f t="shared" si="89"/>
        <v>0</v>
      </c>
      <c r="AS50" s="104">
        <f t="shared" si="89"/>
        <v>0</v>
      </c>
      <c r="AT50" s="104">
        <f t="shared" si="89"/>
        <v>0</v>
      </c>
      <c r="AU50" s="104">
        <f t="shared" si="89"/>
        <v>0</v>
      </c>
      <c r="AV50" s="104">
        <f t="shared" si="89"/>
        <v>0</v>
      </c>
      <c r="AW50" s="104">
        <f t="shared" si="89"/>
        <v>0</v>
      </c>
      <c r="AX50" s="104">
        <f t="shared" si="89"/>
        <v>0</v>
      </c>
      <c r="AY50" s="104">
        <f t="shared" si="89"/>
        <v>0</v>
      </c>
      <c r="AZ50" s="104">
        <f t="shared" si="89"/>
        <v>0</v>
      </c>
      <c r="BA50" s="104">
        <f t="shared" si="89"/>
        <v>0</v>
      </c>
      <c r="BB50" s="104">
        <f t="shared" si="89"/>
        <v>0</v>
      </c>
      <c r="BC50" s="104">
        <f t="shared" si="89"/>
        <v>0</v>
      </c>
      <c r="BD50" s="104">
        <f t="shared" si="89"/>
        <v>0</v>
      </c>
      <c r="BE50" s="104">
        <f t="shared" si="89"/>
        <v>0</v>
      </c>
      <c r="BF50" s="104">
        <f t="shared" si="89"/>
        <v>0</v>
      </c>
      <c r="BG50" s="104">
        <f t="shared" si="89"/>
        <v>0</v>
      </c>
      <c r="BH50" s="104">
        <f t="shared" si="89"/>
        <v>0</v>
      </c>
      <c r="BI50" s="104">
        <f t="shared" si="89"/>
        <v>0</v>
      </c>
      <c r="BJ50" s="104">
        <f t="shared" si="89"/>
        <v>0</v>
      </c>
      <c r="BK50" s="104">
        <f t="shared" si="89"/>
        <v>0</v>
      </c>
      <c r="BL50" s="104">
        <f t="shared" si="89"/>
        <v>0</v>
      </c>
      <c r="BM50" s="104">
        <f t="shared" si="89"/>
        <v>0</v>
      </c>
      <c r="BN50" s="104">
        <f t="shared" si="89"/>
        <v>0</v>
      </c>
      <c r="BO50" s="104">
        <f t="shared" si="89"/>
        <v>0</v>
      </c>
      <c r="BP50" s="104">
        <f t="shared" si="89"/>
        <v>0</v>
      </c>
      <c r="BQ50" s="104">
        <f t="shared" si="89"/>
        <v>0</v>
      </c>
      <c r="BR50" s="104">
        <f t="shared" si="89"/>
        <v>0</v>
      </c>
      <c r="BT50" s="185"/>
    </row>
    <row r="51" spans="1:72" s="140" customFormat="1" ht="15" customHeight="1" x14ac:dyDescent="0.25">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4"/>
      <c r="AI51" s="174"/>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T51" s="89"/>
    </row>
    <row r="52" spans="1:72" s="166" customFormat="1" ht="15.6" x14ac:dyDescent="0.3">
      <c r="A52" s="166">
        <f>Header1</f>
        <v>3</v>
      </c>
      <c r="B52" s="166" t="str">
        <f>IF(KeyInputs!$F$26=0," ",KeyInputs!$F$26)</f>
        <v>Insert Business Line2</v>
      </c>
    </row>
    <row r="53" spans="1:72" x14ac:dyDescent="0.25">
      <c r="A53" s="99"/>
      <c r="B53" s="100"/>
      <c r="C53" s="140"/>
      <c r="D53" s="140"/>
      <c r="E53" s="140"/>
      <c r="F53" s="140"/>
      <c r="G53" s="140"/>
      <c r="H53" s="140"/>
      <c r="I53" s="140"/>
      <c r="J53" s="140"/>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4"/>
      <c r="AI53" s="174"/>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row>
    <row r="54" spans="1:72" x14ac:dyDescent="0.25">
      <c r="A54" s="99"/>
      <c r="C54" s="80" t="s">
        <v>161</v>
      </c>
      <c r="D54" s="144" t="s">
        <v>159</v>
      </c>
      <c r="E54" s="140"/>
      <c r="F54" s="140"/>
      <c r="G54" s="140"/>
      <c r="H54" s="140"/>
      <c r="I54" s="140"/>
      <c r="J54" s="140"/>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4"/>
      <c r="AI54" s="174"/>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row>
    <row r="55" spans="1:72" x14ac:dyDescent="0.25">
      <c r="A55" s="99"/>
      <c r="C55" s="100"/>
      <c r="D55" s="140"/>
      <c r="E55" s="140"/>
      <c r="F55" s="140"/>
      <c r="G55" s="140"/>
      <c r="H55" s="140"/>
      <c r="I55" s="140"/>
      <c r="J55" s="140"/>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row>
    <row r="56" spans="1:72" s="143" customFormat="1" ht="13.8" x14ac:dyDescent="0.25">
      <c r="B56" s="143" t="str">
        <f>Header2</f>
        <v>3.1</v>
      </c>
      <c r="C56" s="143" t="str">
        <f>IF(KeyInputs!F27=0," ",KeyInputs!F27)</f>
        <v>Insert Product Group4</v>
      </c>
    </row>
    <row r="57" spans="1:72" x14ac:dyDescent="0.25">
      <c r="A57" s="173"/>
      <c r="C57" s="140" t="s">
        <v>47</v>
      </c>
      <c r="E57" s="140"/>
      <c r="F57" s="140"/>
      <c r="G57" s="140"/>
      <c r="H57" s="140"/>
      <c r="I57" s="140"/>
      <c r="J57" s="140"/>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row>
    <row r="58" spans="1:72" x14ac:dyDescent="0.25">
      <c r="A58" s="173"/>
      <c r="C58" s="140" t="s">
        <v>48</v>
      </c>
      <c r="E58" s="140"/>
      <c r="F58" s="140"/>
      <c r="G58" s="140"/>
      <c r="H58" s="140"/>
      <c r="I58" s="140"/>
      <c r="J58" s="140"/>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75"/>
      <c r="AQ58" s="175"/>
      <c r="AR58" s="175"/>
      <c r="AS58" s="175"/>
      <c r="AT58" s="175"/>
      <c r="AU58" s="175"/>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c r="BR58" s="175"/>
    </row>
    <row r="59" spans="1:72" s="153" customFormat="1" x14ac:dyDescent="0.25">
      <c r="A59" s="157"/>
      <c r="C59" s="157" t="s">
        <v>148</v>
      </c>
      <c r="D59" s="189" t="str">
        <f>unit</f>
        <v>£</v>
      </c>
      <c r="E59" s="157"/>
      <c r="F59" s="157"/>
      <c r="G59" s="157"/>
      <c r="H59" s="157"/>
      <c r="I59" s="157"/>
      <c r="J59" s="157"/>
      <c r="K59" s="186">
        <f>IF($D$54=$B$97,K57*Revenue!K57*Revenue!K40,VariableCosts!K57*Revenue!K40)+IF($D$54=$B$97,K58*Revenue!K57*Revenue!K40,VariableCosts!K58*Revenue!K40)</f>
        <v>0</v>
      </c>
      <c r="L59" s="186">
        <f>IF($D$54=$B$97,L57*Revenue!L57*Revenue!L40,VariableCosts!L57*Revenue!L40)+IF($D$54=$B$97,L58*Revenue!L57*Revenue!L40,VariableCosts!L58*Revenue!L40)</f>
        <v>0</v>
      </c>
      <c r="M59" s="186">
        <f>IF($D$54=$B$97,M57*Revenue!M57*Revenue!M40,VariableCosts!M57*Revenue!M40)+IF($D$54=$B$97,M58*Revenue!M57*Revenue!M40,VariableCosts!M58*Revenue!M40)</f>
        <v>0</v>
      </c>
      <c r="N59" s="186">
        <f>IF($D$54=$B$97,N57*Revenue!N57*Revenue!N40,VariableCosts!N57*Revenue!N40)+IF($D$54=$B$97,N58*Revenue!N57*Revenue!N40,VariableCosts!N58*Revenue!N40)</f>
        <v>0</v>
      </c>
      <c r="O59" s="186">
        <f>IF($D$54=$B$97,O57*Revenue!O57*Revenue!O40,VariableCosts!O57*Revenue!O40)+IF($D$54=$B$97,O58*Revenue!O57*Revenue!O40,VariableCosts!O58*Revenue!O40)</f>
        <v>0</v>
      </c>
      <c r="P59" s="186">
        <f>IF($D$54=$B$97,P57*Revenue!P57*Revenue!P40,VariableCosts!P57*Revenue!P40)+IF($D$54=$B$97,P58*Revenue!P57*Revenue!P40,VariableCosts!P58*Revenue!P40)</f>
        <v>0</v>
      </c>
      <c r="Q59" s="186">
        <f>IF($D$54=$B$97,Q57*Revenue!Q57*Revenue!Q40,VariableCosts!Q57*Revenue!Q40)+IF($D$54=$B$97,Q58*Revenue!Q57*Revenue!Q40,VariableCosts!Q58*Revenue!Q40)</f>
        <v>0</v>
      </c>
      <c r="R59" s="186">
        <f>IF($D$54=$B$97,R57*Revenue!R57*Revenue!R40,VariableCosts!R57*Revenue!R40)+IF($D$54=$B$97,R58*Revenue!R57*Revenue!R40,VariableCosts!R58*Revenue!R40)</f>
        <v>0</v>
      </c>
      <c r="S59" s="186">
        <f>IF($D$54=$B$97,S57*Revenue!S57*Revenue!S40,VariableCosts!S57*Revenue!S40)+IF($D$54=$B$97,S58*Revenue!S57*Revenue!S40,VariableCosts!S58*Revenue!S40)</f>
        <v>0</v>
      </c>
      <c r="T59" s="186">
        <f>IF($D$54=$B$97,T57*Revenue!T57*Revenue!T40,VariableCosts!T57*Revenue!T40)+IF($D$54=$B$97,T58*Revenue!T57*Revenue!T40,VariableCosts!T58*Revenue!T40)</f>
        <v>0</v>
      </c>
      <c r="U59" s="186">
        <f>IF($D$54=$B$97,U57*Revenue!U57*Revenue!U40,VariableCosts!U57*Revenue!U40)+IF($D$54=$B$97,U58*Revenue!U57*Revenue!U40,VariableCosts!U58*Revenue!U40)</f>
        <v>0</v>
      </c>
      <c r="V59" s="186">
        <f>IF($D$54=$B$97,V57*Revenue!V57*Revenue!V40,VariableCosts!V57*Revenue!V40)+IF($D$54=$B$97,V58*Revenue!V57*Revenue!V40,VariableCosts!V58*Revenue!V40)</f>
        <v>0</v>
      </c>
      <c r="W59" s="186">
        <f>IF($D$54=$B$97,W57*Revenue!W57*Revenue!W40,VariableCosts!W57*Revenue!W40)+IF($D$54=$B$97,W58*Revenue!W57*Revenue!W40,VariableCosts!W58*Revenue!W40)</f>
        <v>0</v>
      </c>
      <c r="X59" s="186">
        <f>IF($D$54=$B$97,X57*Revenue!X57*Revenue!X40,VariableCosts!X57*Revenue!X40)+IF($D$54=$B$97,X58*Revenue!X57*Revenue!X40,VariableCosts!X58*Revenue!X40)</f>
        <v>0</v>
      </c>
      <c r="Y59" s="186">
        <f>IF($D$54=$B$97,Y57*Revenue!Y57*Revenue!Y40,VariableCosts!Y57*Revenue!Y40)+IF($D$54=$B$97,Y58*Revenue!Y57*Revenue!Y40,VariableCosts!Y58*Revenue!Y40)</f>
        <v>0</v>
      </c>
      <c r="Z59" s="186">
        <f>IF($D$54=$B$97,Z57*Revenue!Z57*Revenue!Z40,VariableCosts!Z57*Revenue!Z40)+IF($D$54=$B$97,Z58*Revenue!Z57*Revenue!Z40,VariableCosts!Z58*Revenue!Z40)</f>
        <v>0</v>
      </c>
      <c r="AA59" s="186">
        <f>IF($D$54=$B$97,AA57*Revenue!AA57*Revenue!AA40,VariableCosts!AA57*Revenue!AA40)+IF($D$54=$B$97,AA58*Revenue!AA57*Revenue!AA40,VariableCosts!AA58*Revenue!AA40)</f>
        <v>0</v>
      </c>
      <c r="AB59" s="186">
        <f>IF($D$54=$B$97,AB57*Revenue!AB57*Revenue!AB40,VariableCosts!AB57*Revenue!AB40)+IF($D$54=$B$97,AB58*Revenue!AB57*Revenue!AB40,VariableCosts!AB58*Revenue!AB40)</f>
        <v>0</v>
      </c>
      <c r="AC59" s="186">
        <f>IF($D$54=$B$97,AC57*Revenue!AC57*Revenue!AC40,VariableCosts!AC57*Revenue!AC40)+IF($D$54=$B$97,AC58*Revenue!AC57*Revenue!AC40,VariableCosts!AC58*Revenue!AC40)</f>
        <v>0</v>
      </c>
      <c r="AD59" s="186">
        <f>IF($D$54=$B$97,AD57*Revenue!AD57*Revenue!AD40,VariableCosts!AD57*Revenue!AD40)+IF($D$54=$B$97,AD58*Revenue!AD57*Revenue!AD40,VariableCosts!AD58*Revenue!AD40)</f>
        <v>0</v>
      </c>
      <c r="AE59" s="186">
        <f>IF($D$54=$B$97,AE57*Revenue!AE57*Revenue!AE40,VariableCosts!AE57*Revenue!AE40)+IF($D$54=$B$97,AE58*Revenue!AE57*Revenue!AE40,VariableCosts!AE58*Revenue!AE40)</f>
        <v>0</v>
      </c>
      <c r="AF59" s="186">
        <f>IF($D$54=$B$97,AF57*Revenue!AF57*Revenue!AF40,VariableCosts!AF57*Revenue!AF40)+IF($D$54=$B$97,AF58*Revenue!AF57*Revenue!AF40,VariableCosts!AF58*Revenue!AF40)</f>
        <v>0</v>
      </c>
      <c r="AG59" s="186">
        <f>IF($D$54=$B$97,AG57*Revenue!AG57*Revenue!AG40,VariableCosts!AG57*Revenue!AG40)+IF($D$54=$B$97,AG58*Revenue!AG57*Revenue!AG40,VariableCosts!AG58*Revenue!AG40)</f>
        <v>0</v>
      </c>
      <c r="AH59" s="186">
        <f>IF($D$54=$B$97,AH57*Revenue!AH57*Revenue!AH40,VariableCosts!AH57*Revenue!AH40)+IF($D$54=$B$97,AH58*Revenue!AH57*Revenue!AH40,VariableCosts!AH58*Revenue!AH40)</f>
        <v>0</v>
      </c>
      <c r="AI59" s="186">
        <f>IF($D$54=$B$97,AI57*Revenue!AI57*Revenue!AI40,VariableCosts!AI57*Revenue!AI40)+IF($D$54=$B$97,AI58*Revenue!AI57*Revenue!AI40,VariableCosts!AI58*Revenue!AI40)</f>
        <v>0</v>
      </c>
      <c r="AJ59" s="186">
        <f>IF($D$54=$B$97,AJ57*Revenue!AJ57*Revenue!AJ40,VariableCosts!AJ57*Revenue!AJ40)+IF($D$54=$B$97,AJ58*Revenue!AJ57*Revenue!AJ40,VariableCosts!AJ58*Revenue!AJ40)</f>
        <v>0</v>
      </c>
      <c r="AK59" s="186">
        <f>IF($D$54=$B$97,AK57*Revenue!AK57*Revenue!AK40,VariableCosts!AK57*Revenue!AK40)+IF($D$54=$B$97,AK58*Revenue!AK57*Revenue!AK40,VariableCosts!AK58*Revenue!AK40)</f>
        <v>0</v>
      </c>
      <c r="AL59" s="186">
        <f>IF($D$54=$B$97,AL57*Revenue!AL57*Revenue!AL40,VariableCosts!AL57*Revenue!AL40)+IF($D$54=$B$97,AL58*Revenue!AL57*Revenue!AL40,VariableCosts!AL58*Revenue!AL40)</f>
        <v>0</v>
      </c>
      <c r="AM59" s="186">
        <f>IF($D$54=$B$97,AM57*Revenue!AM57*Revenue!AM40,VariableCosts!AM57*Revenue!AM40)+IF($D$54=$B$97,AM58*Revenue!AM57*Revenue!AM40,VariableCosts!AM58*Revenue!AM40)</f>
        <v>0</v>
      </c>
      <c r="AN59" s="186">
        <f>IF($D$54=$B$97,AN57*Revenue!AN57*Revenue!AN40,VariableCosts!AN57*Revenue!AN40)+IF($D$54=$B$97,AN58*Revenue!AN57*Revenue!AN40,VariableCosts!AN58*Revenue!AN40)</f>
        <v>0</v>
      </c>
      <c r="AO59" s="186">
        <f>IF($D$54=$B$97,AO57*Revenue!AO57*Revenue!AO40,VariableCosts!AO57*Revenue!AO40)+IF($D$54=$B$97,AO58*Revenue!AO57*Revenue!AO40,VariableCosts!AO58*Revenue!AO40)</f>
        <v>0</v>
      </c>
      <c r="AP59" s="186">
        <f>IF($D$54=$B$97,AP57*Revenue!AP57*Revenue!AP40,VariableCosts!AP57*Revenue!AP40)+IF($D$54=$B$97,AP58*Revenue!AP57*Revenue!AP40,VariableCosts!AP58*Revenue!AP40)</f>
        <v>0</v>
      </c>
      <c r="AQ59" s="186">
        <f>IF($D$54=$B$97,AQ57*Revenue!AQ57*Revenue!AQ40,VariableCosts!AQ57*Revenue!AQ40)+IF($D$54=$B$97,AQ58*Revenue!AQ57*Revenue!AQ40,VariableCosts!AQ58*Revenue!AQ40)</f>
        <v>0</v>
      </c>
      <c r="AR59" s="186">
        <f>IF($D$54=$B$97,AR57*Revenue!AR57*Revenue!AR40,VariableCosts!AR57*Revenue!AR40)+IF($D$54=$B$97,AR58*Revenue!AR57*Revenue!AR40,VariableCosts!AR58*Revenue!AR40)</f>
        <v>0</v>
      </c>
      <c r="AS59" s="186">
        <f>IF($D$54=$B$97,AS57*Revenue!AS57*Revenue!AS40,VariableCosts!AS57*Revenue!AS40)+IF($D$54=$B$97,AS58*Revenue!AS57*Revenue!AS40,VariableCosts!AS58*Revenue!AS40)</f>
        <v>0</v>
      </c>
      <c r="AT59" s="186">
        <f>IF($D$54=$B$97,AT57*Revenue!AT57*Revenue!AT40,VariableCosts!AT57*Revenue!AT40)+IF($D$54=$B$97,AT58*Revenue!AT57*Revenue!AT40,VariableCosts!AT58*Revenue!AT40)</f>
        <v>0</v>
      </c>
      <c r="AU59" s="186">
        <f>IF($D$54=$B$97,AU57*Revenue!AU57*Revenue!AU40,VariableCosts!AU57*Revenue!AU40)+IF($D$54=$B$97,AU58*Revenue!AU57*Revenue!AU40,VariableCosts!AU58*Revenue!AU40)</f>
        <v>0</v>
      </c>
      <c r="AV59" s="186">
        <f>IF($D$54=$B$97,AV57*Revenue!AV57*Revenue!AV40,VariableCosts!AV57*Revenue!AV40)+IF($D$54=$B$97,AV58*Revenue!AV57*Revenue!AV40,VariableCosts!AV58*Revenue!AV40)</f>
        <v>0</v>
      </c>
      <c r="AW59" s="186">
        <f>IF($D$54=$B$97,AW57*Revenue!AW57*Revenue!AW40,VariableCosts!AW57*Revenue!AW40)+IF($D$54=$B$97,AW58*Revenue!AW57*Revenue!AW40,VariableCosts!AW58*Revenue!AW40)</f>
        <v>0</v>
      </c>
      <c r="AX59" s="186">
        <f>IF($D$54=$B$97,AX57*Revenue!AX57*Revenue!AX40,VariableCosts!AX57*Revenue!AX40)+IF($D$54=$B$97,AX58*Revenue!AX57*Revenue!AX40,VariableCosts!AX58*Revenue!AX40)</f>
        <v>0</v>
      </c>
      <c r="AY59" s="186">
        <f>IF($D$54=$B$97,AY57*Revenue!AY57*Revenue!AY40,VariableCosts!AY57*Revenue!AY40)+IF($D$54=$B$97,AY58*Revenue!AY57*Revenue!AY40,VariableCosts!AY58*Revenue!AY40)</f>
        <v>0</v>
      </c>
      <c r="AZ59" s="186">
        <f>IF($D$54=$B$97,AZ57*Revenue!AZ57*Revenue!AZ40,VariableCosts!AZ57*Revenue!AZ40)+IF($D$54=$B$97,AZ58*Revenue!AZ57*Revenue!AZ40,VariableCosts!AZ58*Revenue!AZ40)</f>
        <v>0</v>
      </c>
      <c r="BA59" s="186">
        <f>IF($D$54=$B$97,BA57*Revenue!BA57*Revenue!BA40,VariableCosts!BA57*Revenue!BA40)+IF($D$54=$B$97,BA58*Revenue!BA57*Revenue!BA40,VariableCosts!BA58*Revenue!BA40)</f>
        <v>0</v>
      </c>
      <c r="BB59" s="186">
        <f>IF($D$54=$B$97,BB57*Revenue!BB57*Revenue!BB40,VariableCosts!BB57*Revenue!BB40)+IF($D$54=$B$97,BB58*Revenue!BB57*Revenue!BB40,VariableCosts!BB58*Revenue!BB40)</f>
        <v>0</v>
      </c>
      <c r="BC59" s="186">
        <f>IF($D$54=$B$97,BC57*Revenue!BC57*Revenue!BC40,VariableCosts!BC57*Revenue!BC40)+IF($D$54=$B$97,BC58*Revenue!BC57*Revenue!BC40,VariableCosts!BC58*Revenue!BC40)</f>
        <v>0</v>
      </c>
      <c r="BD59" s="186">
        <f>IF($D$54=$B$97,BD57*Revenue!BD57*Revenue!BD40,VariableCosts!BD57*Revenue!BD40)+IF($D$54=$B$97,BD58*Revenue!BD57*Revenue!BD40,VariableCosts!BD58*Revenue!BD40)</f>
        <v>0</v>
      </c>
      <c r="BE59" s="186">
        <f>IF($D$54=$B$97,BE57*Revenue!BE57*Revenue!BE40,VariableCosts!BE57*Revenue!BE40)+IF($D$54=$B$97,BE58*Revenue!BE57*Revenue!BE40,VariableCosts!BE58*Revenue!BE40)</f>
        <v>0</v>
      </c>
      <c r="BF59" s="186">
        <f>IF($D$54=$B$97,BF57*Revenue!BF57*Revenue!BF40,VariableCosts!BF57*Revenue!BF40)+IF($D$54=$B$97,BF58*Revenue!BF57*Revenue!BF40,VariableCosts!BF58*Revenue!BF40)</f>
        <v>0</v>
      </c>
      <c r="BG59" s="186">
        <f>IF($D$54=$B$97,BG57*Revenue!BG57*Revenue!BG40,VariableCosts!BG57*Revenue!BG40)+IF($D$54=$B$97,BG58*Revenue!BG57*Revenue!BG40,VariableCosts!BG58*Revenue!BG40)</f>
        <v>0</v>
      </c>
      <c r="BH59" s="186">
        <f>IF($D$54=$B$97,BH57*Revenue!BH57*Revenue!BH40,VariableCosts!BH57*Revenue!BH40)+IF($D$54=$B$97,BH58*Revenue!BH57*Revenue!BH40,VariableCosts!BH58*Revenue!BH40)</f>
        <v>0</v>
      </c>
      <c r="BI59" s="186">
        <f>IF($D$54=$B$97,BI57*Revenue!BI57*Revenue!BI40,VariableCosts!BI57*Revenue!BI40)+IF($D$54=$B$97,BI58*Revenue!BI57*Revenue!BI40,VariableCosts!BI58*Revenue!BI40)</f>
        <v>0</v>
      </c>
      <c r="BJ59" s="186">
        <f>IF($D$54=$B$97,BJ57*Revenue!BJ57*Revenue!BJ40,VariableCosts!BJ57*Revenue!BJ40)+IF($D$54=$B$97,BJ58*Revenue!BJ57*Revenue!BJ40,VariableCosts!BJ58*Revenue!BJ40)</f>
        <v>0</v>
      </c>
      <c r="BK59" s="186">
        <f>IF($D$54=$B$97,BK57*Revenue!BK57*Revenue!BK40,VariableCosts!BK57*Revenue!BK40)+IF($D$54=$B$97,BK58*Revenue!BK57*Revenue!BK40,VariableCosts!BK58*Revenue!BK40)</f>
        <v>0</v>
      </c>
      <c r="BL59" s="186">
        <f>IF($D$54=$B$97,BL57*Revenue!BL57*Revenue!BL40,VariableCosts!BL57*Revenue!BL40)+IF($D$54=$B$97,BL58*Revenue!BL57*Revenue!BL40,VariableCosts!BL58*Revenue!BL40)</f>
        <v>0</v>
      </c>
      <c r="BM59" s="186">
        <f>IF($D$54=$B$97,BM57*Revenue!BM57*Revenue!BM40,VariableCosts!BM57*Revenue!BM40)+IF($D$54=$B$97,BM58*Revenue!BM57*Revenue!BM40,VariableCosts!BM58*Revenue!BM40)</f>
        <v>0</v>
      </c>
      <c r="BN59" s="186">
        <f>IF($D$54=$B$97,BN57*Revenue!BN57*Revenue!BN40,VariableCosts!BN57*Revenue!BN40)+IF($D$54=$B$97,BN58*Revenue!BN57*Revenue!BN40,VariableCosts!BN58*Revenue!BN40)</f>
        <v>0</v>
      </c>
      <c r="BO59" s="186">
        <f>IF($D$54=$B$97,BO57*Revenue!BO57*Revenue!BO40,VariableCosts!BO57*Revenue!BO40)+IF($D$54=$B$97,BO58*Revenue!BO57*Revenue!BO40,VariableCosts!BO58*Revenue!BO40)</f>
        <v>0</v>
      </c>
      <c r="BP59" s="186">
        <f>IF($D$54=$B$97,BP57*Revenue!BP57*Revenue!BP40,VariableCosts!BP57*Revenue!BP40)+IF($D$54=$B$97,BP58*Revenue!BP57*Revenue!BP40,VariableCosts!BP58*Revenue!BP40)</f>
        <v>0</v>
      </c>
      <c r="BQ59" s="186">
        <f>IF($D$54=$B$97,BQ57*Revenue!BQ57*Revenue!BQ40,VariableCosts!BQ57*Revenue!BQ40)+IF($D$54=$B$97,BQ58*Revenue!BQ57*Revenue!BQ40,VariableCosts!BQ58*Revenue!BQ40)</f>
        <v>0</v>
      </c>
      <c r="BR59" s="186">
        <f>IF($D$54=$B$97,BR57*Revenue!BR57*Revenue!BR40,VariableCosts!BR57*Revenue!BR40)+IF($D$54=$B$97,BR58*Revenue!BR57*Revenue!BR40,VariableCosts!BR58*Revenue!BR40)</f>
        <v>0</v>
      </c>
      <c r="BT59" s="83"/>
    </row>
    <row r="60" spans="1:72" x14ac:dyDescent="0.25">
      <c r="A60" s="173"/>
      <c r="C60" s="140"/>
      <c r="D60" s="140"/>
      <c r="E60" s="140"/>
      <c r="F60" s="140"/>
      <c r="G60" s="140"/>
      <c r="H60" s="140"/>
      <c r="I60" s="140"/>
      <c r="J60" s="140"/>
      <c r="K60" s="103"/>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3"/>
      <c r="BK60" s="103"/>
      <c r="BL60" s="103"/>
      <c r="BM60" s="103"/>
      <c r="BN60" s="103"/>
      <c r="BO60" s="103"/>
      <c r="BP60" s="103"/>
      <c r="BQ60" s="103"/>
      <c r="BR60" s="103"/>
    </row>
    <row r="61" spans="1:72" s="143" customFormat="1" ht="13.8" x14ac:dyDescent="0.25">
      <c r="B61" s="143" t="str">
        <f>Header2</f>
        <v>3.2</v>
      </c>
      <c r="C61" s="143" t="str">
        <f>IF(KeyInputs!$F$28=0," ",KeyInputs!$F$28)</f>
        <v>Insert Product Group5</v>
      </c>
    </row>
    <row r="62" spans="1:72" x14ac:dyDescent="0.25">
      <c r="A62" s="173"/>
      <c r="C62" s="140" t="s">
        <v>47</v>
      </c>
      <c r="E62" s="140"/>
      <c r="F62" s="140"/>
      <c r="G62" s="140"/>
      <c r="H62" s="140"/>
      <c r="I62" s="140"/>
      <c r="J62" s="140"/>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row>
    <row r="63" spans="1:72" x14ac:dyDescent="0.25">
      <c r="A63" s="173"/>
      <c r="C63" s="140" t="s">
        <v>48</v>
      </c>
      <c r="E63" s="140"/>
      <c r="F63" s="140"/>
      <c r="G63" s="140"/>
      <c r="H63" s="140"/>
      <c r="I63" s="140"/>
      <c r="J63" s="140"/>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75"/>
      <c r="AQ63" s="175"/>
      <c r="AR63" s="175"/>
      <c r="AS63" s="175"/>
      <c r="AT63" s="175"/>
      <c r="AU63" s="175"/>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c r="BR63" s="175"/>
    </row>
    <row r="64" spans="1:72" s="153" customFormat="1" x14ac:dyDescent="0.25">
      <c r="A64" s="157"/>
      <c r="C64" s="157" t="s">
        <v>148</v>
      </c>
      <c r="D64" s="189" t="str">
        <f>unit</f>
        <v>£</v>
      </c>
      <c r="E64" s="157"/>
      <c r="F64" s="157"/>
      <c r="G64" s="157"/>
      <c r="H64" s="157"/>
      <c r="I64" s="157"/>
      <c r="J64" s="157"/>
      <c r="K64" s="186">
        <f>IF($D$54=$B$97,K62*Revenue!K58*Revenue!K41,VariableCosts!K62*Revenue!K41)+IF($D$54=$B$97,K63*Revenue!K58*Revenue!K41,VariableCosts!K63*Revenue!K41)</f>
        <v>0</v>
      </c>
      <c r="L64" s="186">
        <f>IF($D$54=$B$97,L62*Revenue!L58*Revenue!L41,VariableCosts!L62*Revenue!L41)+IF($D$54=$B$97,L63*Revenue!L58*Revenue!L41,VariableCosts!L63*Revenue!L41)</f>
        <v>0</v>
      </c>
      <c r="M64" s="186">
        <f>IF($D$54=$B$97,M62*Revenue!M58*Revenue!M41,VariableCosts!M62*Revenue!M41)+IF($D$54=$B$97,M63*Revenue!M58*Revenue!M41,VariableCosts!M63*Revenue!M41)</f>
        <v>0</v>
      </c>
      <c r="N64" s="186">
        <f>IF($D$54=$B$97,N62*Revenue!N58*Revenue!N41,VariableCosts!N62*Revenue!N41)+IF($D$54=$B$97,N63*Revenue!N58*Revenue!N41,VariableCosts!N63*Revenue!N41)</f>
        <v>0</v>
      </c>
      <c r="O64" s="186">
        <f>IF($D$54=$B$97,O62*Revenue!O58*Revenue!O41,VariableCosts!O62*Revenue!O41)+IF($D$54=$B$97,O63*Revenue!O58*Revenue!O41,VariableCosts!O63*Revenue!O41)</f>
        <v>0</v>
      </c>
      <c r="P64" s="186">
        <f>IF($D$54=$B$97,P62*Revenue!P58*Revenue!P41,VariableCosts!P62*Revenue!P41)+IF($D$54=$B$97,P63*Revenue!P58*Revenue!P41,VariableCosts!P63*Revenue!P41)</f>
        <v>0</v>
      </c>
      <c r="Q64" s="186">
        <f>IF($D$54=$B$97,Q62*Revenue!Q58*Revenue!Q41,VariableCosts!Q62*Revenue!Q41)+IF($D$54=$B$97,Q63*Revenue!Q58*Revenue!Q41,VariableCosts!Q63*Revenue!Q41)</f>
        <v>0</v>
      </c>
      <c r="R64" s="186">
        <f>IF($D$54=$B$97,R62*Revenue!R58*Revenue!R41,VariableCosts!R62*Revenue!R41)+IF($D$54=$B$97,R63*Revenue!R58*Revenue!R41,VariableCosts!R63*Revenue!R41)</f>
        <v>0</v>
      </c>
      <c r="S64" s="186">
        <f>IF($D$54=$B$97,S62*Revenue!S58*Revenue!S41,VariableCosts!S62*Revenue!S41)+IF($D$54=$B$97,S63*Revenue!S58*Revenue!S41,VariableCosts!S63*Revenue!S41)</f>
        <v>0</v>
      </c>
      <c r="T64" s="186">
        <f>IF($D$54=$B$97,T62*Revenue!T58*Revenue!T41,VariableCosts!T62*Revenue!T41)+IF($D$54=$B$97,T63*Revenue!T58*Revenue!T41,VariableCosts!T63*Revenue!T41)</f>
        <v>0</v>
      </c>
      <c r="U64" s="186">
        <f>IF($D$54=$B$97,U62*Revenue!U58*Revenue!U41,VariableCosts!U62*Revenue!U41)+IF($D$54=$B$97,U63*Revenue!U58*Revenue!U41,VariableCosts!U63*Revenue!U41)</f>
        <v>0</v>
      </c>
      <c r="V64" s="186">
        <f>IF($D$54=$B$97,V62*Revenue!V58*Revenue!V41,VariableCosts!V62*Revenue!V41)+IF($D$54=$B$97,V63*Revenue!V58*Revenue!V41,VariableCosts!V63*Revenue!V41)</f>
        <v>0</v>
      </c>
      <c r="W64" s="186">
        <f>IF($D$54=$B$97,W62*Revenue!W58*Revenue!W41,VariableCosts!W62*Revenue!W41)+IF($D$54=$B$97,W63*Revenue!W58*Revenue!W41,VariableCosts!W63*Revenue!W41)</f>
        <v>0</v>
      </c>
      <c r="X64" s="186">
        <f>IF($D$54=$B$97,X62*Revenue!X58*Revenue!X41,VariableCosts!X62*Revenue!X41)+IF($D$54=$B$97,X63*Revenue!X58*Revenue!X41,VariableCosts!X63*Revenue!X41)</f>
        <v>0</v>
      </c>
      <c r="Y64" s="186">
        <f>IF($D$54=$B$97,Y62*Revenue!Y58*Revenue!Y41,VariableCosts!Y62*Revenue!Y41)+IF($D$54=$B$97,Y63*Revenue!Y58*Revenue!Y41,VariableCosts!Y63*Revenue!Y41)</f>
        <v>0</v>
      </c>
      <c r="Z64" s="186">
        <f>IF($D$54=$B$97,Z62*Revenue!Z58*Revenue!Z41,VariableCosts!Z62*Revenue!Z41)+IF($D$54=$B$97,Z63*Revenue!Z58*Revenue!Z41,VariableCosts!Z63*Revenue!Z41)</f>
        <v>0</v>
      </c>
      <c r="AA64" s="186">
        <f>IF($D$54=$B$97,AA62*Revenue!AA58*Revenue!AA41,VariableCosts!AA62*Revenue!AA41)+IF($D$54=$B$97,AA63*Revenue!AA58*Revenue!AA41,VariableCosts!AA63*Revenue!AA41)</f>
        <v>0</v>
      </c>
      <c r="AB64" s="186">
        <f>IF($D$54=$B$97,AB62*Revenue!AB58*Revenue!AB41,VariableCosts!AB62*Revenue!AB41)+IF($D$54=$B$97,AB63*Revenue!AB58*Revenue!AB41,VariableCosts!AB63*Revenue!AB41)</f>
        <v>0</v>
      </c>
      <c r="AC64" s="186">
        <f>IF($D$54=$B$97,AC62*Revenue!AC58*Revenue!AC41,VariableCosts!AC62*Revenue!AC41)+IF($D$54=$B$97,AC63*Revenue!AC58*Revenue!AC41,VariableCosts!AC63*Revenue!AC41)</f>
        <v>0</v>
      </c>
      <c r="AD64" s="186">
        <f>IF($D$54=$B$97,AD62*Revenue!AD58*Revenue!AD41,VariableCosts!AD62*Revenue!AD41)+IF($D$54=$B$97,AD63*Revenue!AD58*Revenue!AD41,VariableCosts!AD63*Revenue!AD41)</f>
        <v>0</v>
      </c>
      <c r="AE64" s="186">
        <f>IF($D$54=$B$97,AE62*Revenue!AE58*Revenue!AE41,VariableCosts!AE62*Revenue!AE41)+IF($D$54=$B$97,AE63*Revenue!AE58*Revenue!AE41,VariableCosts!AE63*Revenue!AE41)</f>
        <v>0</v>
      </c>
      <c r="AF64" s="186">
        <f>IF($D$54=$B$97,AF62*Revenue!AF58*Revenue!AF41,VariableCosts!AF62*Revenue!AF41)+IF($D$54=$B$97,AF63*Revenue!AF58*Revenue!AF41,VariableCosts!AF63*Revenue!AF41)</f>
        <v>0</v>
      </c>
      <c r="AG64" s="186">
        <f>IF($D$54=$B$97,AG62*Revenue!AG58*Revenue!AG41,VariableCosts!AG62*Revenue!AG41)+IF($D$54=$B$97,AG63*Revenue!AG58*Revenue!AG41,VariableCosts!AG63*Revenue!AG41)</f>
        <v>0</v>
      </c>
      <c r="AH64" s="186">
        <f>IF($D$54=$B$97,AH62*Revenue!AH58*Revenue!AH41,VariableCosts!AH62*Revenue!AH41)+IF($D$54=$B$97,AH63*Revenue!AH58*Revenue!AH41,VariableCosts!AH63*Revenue!AH41)</f>
        <v>0</v>
      </c>
      <c r="AI64" s="186">
        <f>IF($D$54=$B$97,AI62*Revenue!AI58*Revenue!AI41,VariableCosts!AI62*Revenue!AI41)+IF($D$54=$B$97,AI63*Revenue!AI58*Revenue!AI41,VariableCosts!AI63*Revenue!AI41)</f>
        <v>0</v>
      </c>
      <c r="AJ64" s="186">
        <f>IF($D$54=$B$97,AJ62*Revenue!AJ58*Revenue!AJ41,VariableCosts!AJ62*Revenue!AJ41)+IF($D$54=$B$97,AJ63*Revenue!AJ58*Revenue!AJ41,VariableCosts!AJ63*Revenue!AJ41)</f>
        <v>0</v>
      </c>
      <c r="AK64" s="186">
        <f>IF($D$54=$B$97,AK62*Revenue!AK58*Revenue!AK41,VariableCosts!AK62*Revenue!AK41)+IF($D$54=$B$97,AK63*Revenue!AK58*Revenue!AK41,VariableCosts!AK63*Revenue!AK41)</f>
        <v>0</v>
      </c>
      <c r="AL64" s="186">
        <f>IF($D$54=$B$97,AL62*Revenue!AL58*Revenue!AL41,VariableCosts!AL62*Revenue!AL41)+IF($D$54=$B$97,AL63*Revenue!AL58*Revenue!AL41,VariableCosts!AL63*Revenue!AL41)</f>
        <v>0</v>
      </c>
      <c r="AM64" s="186">
        <f>IF($D$54=$B$97,AM62*Revenue!AM58*Revenue!AM41,VariableCosts!AM62*Revenue!AM41)+IF($D$54=$B$97,AM63*Revenue!AM58*Revenue!AM41,VariableCosts!AM63*Revenue!AM41)</f>
        <v>0</v>
      </c>
      <c r="AN64" s="186">
        <f>IF($D$54=$B$97,AN62*Revenue!AN58*Revenue!AN41,VariableCosts!AN62*Revenue!AN41)+IF($D$54=$B$97,AN63*Revenue!AN58*Revenue!AN41,VariableCosts!AN63*Revenue!AN41)</f>
        <v>0</v>
      </c>
      <c r="AO64" s="186">
        <f>IF($D$54=$B$97,AO62*Revenue!AO58*Revenue!AO41,VariableCosts!AO62*Revenue!AO41)+IF($D$54=$B$97,AO63*Revenue!AO58*Revenue!AO41,VariableCosts!AO63*Revenue!AO41)</f>
        <v>0</v>
      </c>
      <c r="AP64" s="186">
        <f>IF($D$54=$B$97,AP62*Revenue!AP58*Revenue!AP41,VariableCosts!AP62*Revenue!AP41)+IF($D$54=$B$97,AP63*Revenue!AP58*Revenue!AP41,VariableCosts!AP63*Revenue!AP41)</f>
        <v>0</v>
      </c>
      <c r="AQ64" s="186">
        <f>IF($D$54=$B$97,AQ62*Revenue!AQ58*Revenue!AQ41,VariableCosts!AQ62*Revenue!AQ41)+IF($D$54=$B$97,AQ63*Revenue!AQ58*Revenue!AQ41,VariableCosts!AQ63*Revenue!AQ41)</f>
        <v>0</v>
      </c>
      <c r="AR64" s="186">
        <f>IF($D$54=$B$97,AR62*Revenue!AR58*Revenue!AR41,VariableCosts!AR62*Revenue!AR41)+IF($D$54=$B$97,AR63*Revenue!AR58*Revenue!AR41,VariableCosts!AR63*Revenue!AR41)</f>
        <v>0</v>
      </c>
      <c r="AS64" s="186">
        <f>IF($D$54=$B$97,AS62*Revenue!AS58*Revenue!AS41,VariableCosts!AS62*Revenue!AS41)+IF($D$54=$B$97,AS63*Revenue!AS58*Revenue!AS41,VariableCosts!AS63*Revenue!AS41)</f>
        <v>0</v>
      </c>
      <c r="AT64" s="186">
        <f>IF($D$54=$B$97,AT62*Revenue!AT58*Revenue!AT41,VariableCosts!AT62*Revenue!AT41)+IF($D$54=$B$97,AT63*Revenue!AT58*Revenue!AT41,VariableCosts!AT63*Revenue!AT41)</f>
        <v>0</v>
      </c>
      <c r="AU64" s="186">
        <f>IF($D$54=$B$97,AU62*Revenue!AU58*Revenue!AU41,VariableCosts!AU62*Revenue!AU41)+IF($D$54=$B$97,AU63*Revenue!AU58*Revenue!AU41,VariableCosts!AU63*Revenue!AU41)</f>
        <v>0</v>
      </c>
      <c r="AV64" s="186">
        <f>IF($D$54=$B$97,AV62*Revenue!AV58*Revenue!AV41,VariableCosts!AV62*Revenue!AV41)+IF($D$54=$B$97,AV63*Revenue!AV58*Revenue!AV41,VariableCosts!AV63*Revenue!AV41)</f>
        <v>0</v>
      </c>
      <c r="AW64" s="186">
        <f>IF($D$54=$B$97,AW62*Revenue!AW58*Revenue!AW41,VariableCosts!AW62*Revenue!AW41)+IF($D$54=$B$97,AW63*Revenue!AW58*Revenue!AW41,VariableCosts!AW63*Revenue!AW41)</f>
        <v>0</v>
      </c>
      <c r="AX64" s="186">
        <f>IF($D$54=$B$97,AX62*Revenue!AX58*Revenue!AX41,VariableCosts!AX62*Revenue!AX41)+IF($D$54=$B$97,AX63*Revenue!AX58*Revenue!AX41,VariableCosts!AX63*Revenue!AX41)</f>
        <v>0</v>
      </c>
      <c r="AY64" s="186">
        <f>IF($D$54=$B$97,AY62*Revenue!AY58*Revenue!AY41,VariableCosts!AY62*Revenue!AY41)+IF($D$54=$B$97,AY63*Revenue!AY58*Revenue!AY41,VariableCosts!AY63*Revenue!AY41)</f>
        <v>0</v>
      </c>
      <c r="AZ64" s="186">
        <f>IF($D$54=$B$97,AZ62*Revenue!AZ58*Revenue!AZ41,VariableCosts!AZ62*Revenue!AZ41)+IF($D$54=$B$97,AZ63*Revenue!AZ58*Revenue!AZ41,VariableCosts!AZ63*Revenue!AZ41)</f>
        <v>0</v>
      </c>
      <c r="BA64" s="186">
        <f>IF($D$54=$B$97,BA62*Revenue!BA58*Revenue!BA41,VariableCosts!BA62*Revenue!BA41)+IF($D$54=$B$97,BA63*Revenue!BA58*Revenue!BA41,VariableCosts!BA63*Revenue!BA41)</f>
        <v>0</v>
      </c>
      <c r="BB64" s="186">
        <f>IF($D$54=$B$97,BB62*Revenue!BB58*Revenue!BB41,VariableCosts!BB62*Revenue!BB41)+IF($D$54=$B$97,BB63*Revenue!BB58*Revenue!BB41,VariableCosts!BB63*Revenue!BB41)</f>
        <v>0</v>
      </c>
      <c r="BC64" s="186">
        <f>IF($D$54=$B$97,BC62*Revenue!BC58*Revenue!BC41,VariableCosts!BC62*Revenue!BC41)+IF($D$54=$B$97,BC63*Revenue!BC58*Revenue!BC41,VariableCosts!BC63*Revenue!BC41)</f>
        <v>0</v>
      </c>
      <c r="BD64" s="186">
        <f>IF($D$54=$B$97,BD62*Revenue!BD58*Revenue!BD41,VariableCosts!BD62*Revenue!BD41)+IF($D$54=$B$97,BD63*Revenue!BD58*Revenue!BD41,VariableCosts!BD63*Revenue!BD41)</f>
        <v>0</v>
      </c>
      <c r="BE64" s="186">
        <f>IF($D$54=$B$97,BE62*Revenue!BE58*Revenue!BE41,VariableCosts!BE62*Revenue!BE41)+IF($D$54=$B$97,BE63*Revenue!BE58*Revenue!BE41,VariableCosts!BE63*Revenue!BE41)</f>
        <v>0</v>
      </c>
      <c r="BF64" s="186">
        <f>IF($D$54=$B$97,BF62*Revenue!BF58*Revenue!BF41,VariableCosts!BF62*Revenue!BF41)+IF($D$54=$B$97,BF63*Revenue!BF58*Revenue!BF41,VariableCosts!BF63*Revenue!BF41)</f>
        <v>0</v>
      </c>
      <c r="BG64" s="186">
        <f>IF($D$54=$B$97,BG62*Revenue!BG58*Revenue!BG41,VariableCosts!BG62*Revenue!BG41)+IF($D$54=$B$97,BG63*Revenue!BG58*Revenue!BG41,VariableCosts!BG63*Revenue!BG41)</f>
        <v>0</v>
      </c>
      <c r="BH64" s="186">
        <f>IF($D$54=$B$97,BH62*Revenue!BH58*Revenue!BH41,VariableCosts!BH62*Revenue!BH41)+IF($D$54=$B$97,BH63*Revenue!BH58*Revenue!BH41,VariableCosts!BH63*Revenue!BH41)</f>
        <v>0</v>
      </c>
      <c r="BI64" s="186">
        <f>IF($D$54=$B$97,BI62*Revenue!BI58*Revenue!BI41,VariableCosts!BI62*Revenue!BI41)+IF($D$54=$B$97,BI63*Revenue!BI58*Revenue!BI41,VariableCosts!BI63*Revenue!BI41)</f>
        <v>0</v>
      </c>
      <c r="BJ64" s="186">
        <f>IF($D$54=$B$97,BJ62*Revenue!BJ58*Revenue!BJ41,VariableCosts!BJ62*Revenue!BJ41)+IF($D$54=$B$97,BJ63*Revenue!BJ58*Revenue!BJ41,VariableCosts!BJ63*Revenue!BJ41)</f>
        <v>0</v>
      </c>
      <c r="BK64" s="186">
        <f>IF($D$54=$B$97,BK62*Revenue!BK58*Revenue!BK41,VariableCosts!BK62*Revenue!BK41)+IF($D$54=$B$97,BK63*Revenue!BK58*Revenue!BK41,VariableCosts!BK63*Revenue!BK41)</f>
        <v>0</v>
      </c>
      <c r="BL64" s="186">
        <f>IF($D$54=$B$97,BL62*Revenue!BL58*Revenue!BL41,VariableCosts!BL62*Revenue!BL41)+IF($D$54=$B$97,BL63*Revenue!BL58*Revenue!BL41,VariableCosts!BL63*Revenue!BL41)</f>
        <v>0</v>
      </c>
      <c r="BM64" s="186">
        <f>IF($D$54=$B$97,BM62*Revenue!BM58*Revenue!BM41,VariableCosts!BM62*Revenue!BM41)+IF($D$54=$B$97,BM63*Revenue!BM58*Revenue!BM41,VariableCosts!BM63*Revenue!BM41)</f>
        <v>0</v>
      </c>
      <c r="BN64" s="186">
        <f>IF($D$54=$B$97,BN62*Revenue!BN58*Revenue!BN41,VariableCosts!BN62*Revenue!BN41)+IF($D$54=$B$97,BN63*Revenue!BN58*Revenue!BN41,VariableCosts!BN63*Revenue!BN41)</f>
        <v>0</v>
      </c>
      <c r="BO64" s="186">
        <f>IF($D$54=$B$97,BO62*Revenue!BO58*Revenue!BO41,VariableCosts!BO62*Revenue!BO41)+IF($D$54=$B$97,BO63*Revenue!BO58*Revenue!BO41,VariableCosts!BO63*Revenue!BO41)</f>
        <v>0</v>
      </c>
      <c r="BP64" s="186">
        <f>IF($D$54=$B$97,BP62*Revenue!BP58*Revenue!BP41,VariableCosts!BP62*Revenue!BP41)+IF($D$54=$B$97,BP63*Revenue!BP58*Revenue!BP41,VariableCosts!BP63*Revenue!BP41)</f>
        <v>0</v>
      </c>
      <c r="BQ64" s="186">
        <f>IF($D$54=$B$97,BQ62*Revenue!BQ58*Revenue!BQ41,VariableCosts!BQ62*Revenue!BQ41)+IF($D$54=$B$97,BQ63*Revenue!BQ58*Revenue!BQ41,VariableCosts!BQ63*Revenue!BQ41)</f>
        <v>0</v>
      </c>
      <c r="BR64" s="186">
        <f>IF($D$54=$B$97,BR62*Revenue!BR58*Revenue!BR41,VariableCosts!BR62*Revenue!BR41)+IF($D$54=$B$97,BR63*Revenue!BR58*Revenue!BR41,VariableCosts!BR63*Revenue!BR41)</f>
        <v>0</v>
      </c>
      <c r="BT64" s="83"/>
    </row>
    <row r="65" spans="1:72" x14ac:dyDescent="0.25">
      <c r="A65" s="173"/>
      <c r="C65" s="140"/>
      <c r="D65" s="140"/>
      <c r="E65" s="140"/>
      <c r="F65" s="140"/>
      <c r="G65" s="140"/>
      <c r="H65" s="140"/>
      <c r="I65" s="140"/>
      <c r="J65" s="140"/>
      <c r="K65" s="103"/>
      <c r="L65" s="103"/>
      <c r="M65" s="103"/>
      <c r="N65" s="103"/>
      <c r="O65" s="103"/>
      <c r="P65" s="103"/>
      <c r="Q65" s="103"/>
      <c r="R65" s="103"/>
      <c r="S65" s="103"/>
      <c r="T65" s="103"/>
      <c r="U65" s="103"/>
      <c r="V65" s="103"/>
      <c r="W65" s="103"/>
      <c r="X65" s="103"/>
      <c r="Y65" s="103"/>
      <c r="Z65" s="103"/>
      <c r="AA65" s="103"/>
      <c r="AB65" s="103"/>
      <c r="AC65" s="103"/>
      <c r="AD65" s="103"/>
      <c r="AE65" s="103"/>
      <c r="AF65" s="103"/>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3"/>
      <c r="BK65" s="103"/>
      <c r="BL65" s="103"/>
      <c r="BM65" s="103"/>
      <c r="BN65" s="103"/>
      <c r="BO65" s="103"/>
      <c r="BP65" s="103"/>
      <c r="BQ65" s="103"/>
      <c r="BR65" s="103"/>
    </row>
    <row r="66" spans="1:72" s="143" customFormat="1" ht="13.8" x14ac:dyDescent="0.25">
      <c r="B66" s="143" t="str">
        <f>Header2</f>
        <v>3.3</v>
      </c>
      <c r="C66" s="143" t="str">
        <f>IF(KeyInputs!$F$29=0," ",KeyInputs!$F$29)</f>
        <v>Insert Product Group6</v>
      </c>
    </row>
    <row r="67" spans="1:72" x14ac:dyDescent="0.25">
      <c r="A67" s="173"/>
      <c r="C67" s="140" t="s">
        <v>47</v>
      </c>
      <c r="E67" s="140"/>
      <c r="F67" s="140"/>
      <c r="G67" s="140"/>
      <c r="H67" s="140"/>
      <c r="I67" s="140"/>
      <c r="J67" s="140"/>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row>
    <row r="68" spans="1:72" s="140" customFormat="1" x14ac:dyDescent="0.25">
      <c r="C68" s="140" t="s">
        <v>48</v>
      </c>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c r="AO68" s="175"/>
      <c r="AP68" s="175"/>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c r="BR68" s="175"/>
      <c r="BT68" s="89"/>
    </row>
    <row r="69" spans="1:72" s="153" customFormat="1" x14ac:dyDescent="0.25">
      <c r="A69" s="157"/>
      <c r="C69" s="157" t="s">
        <v>148</v>
      </c>
      <c r="D69" s="189" t="str">
        <f>unit</f>
        <v>£</v>
      </c>
      <c r="E69" s="157"/>
      <c r="F69" s="157"/>
      <c r="G69" s="157"/>
      <c r="H69" s="157"/>
      <c r="I69" s="157"/>
      <c r="J69" s="157"/>
      <c r="K69" s="186">
        <f>IF($D$54=$B$97,K67*Revenue!K59*Revenue!K42,VariableCosts!K67*Revenue!K42)+IF($D$54=$B$97,K68*Revenue!K59*Revenue!K42,VariableCosts!K68*Revenue!K42)</f>
        <v>0</v>
      </c>
      <c r="L69" s="186">
        <f>IF($D$54=$B$97,L67*Revenue!L59*Revenue!L42,VariableCosts!L67*Revenue!L42)+IF($D$54=$B$97,L68*Revenue!L59*Revenue!L42,VariableCosts!L68*Revenue!L42)</f>
        <v>0</v>
      </c>
      <c r="M69" s="186">
        <f>IF($D$54=$B$97,M67*Revenue!M59*Revenue!M42,VariableCosts!M67*Revenue!M42)+IF($D$54=$B$97,M68*Revenue!M59*Revenue!M42,VariableCosts!M68*Revenue!M42)</f>
        <v>0</v>
      </c>
      <c r="N69" s="186">
        <f>IF($D$54=$B$97,N67*Revenue!N59*Revenue!N42,VariableCosts!N67*Revenue!N42)+IF($D$54=$B$97,N68*Revenue!N59*Revenue!N42,VariableCosts!N68*Revenue!N42)</f>
        <v>0</v>
      </c>
      <c r="O69" s="186">
        <f>IF($D$54=$B$97,O67*Revenue!O59*Revenue!O42,VariableCosts!O67*Revenue!O42)+IF($D$54=$B$97,O68*Revenue!O59*Revenue!O42,VariableCosts!O68*Revenue!O42)</f>
        <v>0</v>
      </c>
      <c r="P69" s="186">
        <f>IF($D$54=$B$97,P67*Revenue!P59*Revenue!P42,VariableCosts!P67*Revenue!P42)+IF($D$54=$B$97,P68*Revenue!P59*Revenue!P42,VariableCosts!P68*Revenue!P42)</f>
        <v>0</v>
      </c>
      <c r="Q69" s="186">
        <f>IF($D$54=$B$97,Q67*Revenue!Q59*Revenue!Q42,VariableCosts!Q67*Revenue!Q42)+IF($D$54=$B$97,Q68*Revenue!Q59*Revenue!Q42,VariableCosts!Q68*Revenue!Q42)</f>
        <v>0</v>
      </c>
      <c r="R69" s="186">
        <f>IF($D$54=$B$97,R67*Revenue!R59*Revenue!R42,VariableCosts!R67*Revenue!R42)+IF($D$54=$B$97,R68*Revenue!R59*Revenue!R42,VariableCosts!R68*Revenue!R42)</f>
        <v>0</v>
      </c>
      <c r="S69" s="186">
        <f>IF($D$54=$B$97,S67*Revenue!S59*Revenue!S42,VariableCosts!S67*Revenue!S42)+IF($D$54=$B$97,S68*Revenue!S59*Revenue!S42,VariableCosts!S68*Revenue!S42)</f>
        <v>0</v>
      </c>
      <c r="T69" s="186">
        <f>IF($D$54=$B$97,T67*Revenue!T59*Revenue!T42,VariableCosts!T67*Revenue!T42)+IF($D$54=$B$97,T68*Revenue!T59*Revenue!T42,VariableCosts!T68*Revenue!T42)</f>
        <v>0</v>
      </c>
      <c r="U69" s="186">
        <f>IF($D$54=$B$97,U67*Revenue!U59*Revenue!U42,VariableCosts!U67*Revenue!U42)+IF($D$54=$B$97,U68*Revenue!U59*Revenue!U42,VariableCosts!U68*Revenue!U42)</f>
        <v>0</v>
      </c>
      <c r="V69" s="186">
        <f>IF($D$54=$B$97,V67*Revenue!V59*Revenue!V42,VariableCosts!V67*Revenue!V42)+IF($D$54=$B$97,V68*Revenue!V59*Revenue!V42,VariableCosts!V68*Revenue!V42)</f>
        <v>0</v>
      </c>
      <c r="W69" s="186">
        <f>IF($D$54=$B$97,W67*Revenue!W59*Revenue!W42,VariableCosts!W67*Revenue!W42)+IF($D$54=$B$97,W68*Revenue!W59*Revenue!W42,VariableCosts!W68*Revenue!W42)</f>
        <v>0</v>
      </c>
      <c r="X69" s="186">
        <f>IF($D$54=$B$97,X67*Revenue!X59*Revenue!X42,VariableCosts!X67*Revenue!X42)+IF($D$54=$B$97,X68*Revenue!X59*Revenue!X42,VariableCosts!X68*Revenue!X42)</f>
        <v>0</v>
      </c>
      <c r="Y69" s="186">
        <f>IF($D$54=$B$97,Y67*Revenue!Y59*Revenue!Y42,VariableCosts!Y67*Revenue!Y42)+IF($D$54=$B$97,Y68*Revenue!Y59*Revenue!Y42,VariableCosts!Y68*Revenue!Y42)</f>
        <v>0</v>
      </c>
      <c r="Z69" s="186">
        <f>IF($D$54=$B$97,Z67*Revenue!Z59*Revenue!Z42,VariableCosts!Z67*Revenue!Z42)+IF($D$54=$B$97,Z68*Revenue!Z59*Revenue!Z42,VariableCosts!Z68*Revenue!Z42)</f>
        <v>0</v>
      </c>
      <c r="AA69" s="186">
        <f>IF($D$54=$B$97,AA67*Revenue!AA59*Revenue!AA42,VariableCosts!AA67*Revenue!AA42)+IF($D$54=$B$97,AA68*Revenue!AA59*Revenue!AA42,VariableCosts!AA68*Revenue!AA42)</f>
        <v>0</v>
      </c>
      <c r="AB69" s="186">
        <f>IF($D$54=$B$97,AB67*Revenue!AB59*Revenue!AB42,VariableCosts!AB67*Revenue!AB42)+IF($D$54=$B$97,AB68*Revenue!AB59*Revenue!AB42,VariableCosts!AB68*Revenue!AB42)</f>
        <v>0</v>
      </c>
      <c r="AC69" s="186">
        <f>IF($D$54=$B$97,AC67*Revenue!AC59*Revenue!AC42,VariableCosts!AC67*Revenue!AC42)+IF($D$54=$B$97,AC68*Revenue!AC59*Revenue!AC42,VariableCosts!AC68*Revenue!AC42)</f>
        <v>0</v>
      </c>
      <c r="AD69" s="186">
        <f>IF($D$54=$B$97,AD67*Revenue!AD59*Revenue!AD42,VariableCosts!AD67*Revenue!AD42)+IF($D$54=$B$97,AD68*Revenue!AD59*Revenue!AD42,VariableCosts!AD68*Revenue!AD42)</f>
        <v>0</v>
      </c>
      <c r="AE69" s="186">
        <f>IF($D$54=$B$97,AE67*Revenue!AE59*Revenue!AE42,VariableCosts!AE67*Revenue!AE42)+IF($D$54=$B$97,AE68*Revenue!AE59*Revenue!AE42,VariableCosts!AE68*Revenue!AE42)</f>
        <v>0</v>
      </c>
      <c r="AF69" s="186">
        <f>IF($D$54=$B$97,AF67*Revenue!AF59*Revenue!AF42,VariableCosts!AF67*Revenue!AF42)+IF($D$54=$B$97,AF68*Revenue!AF59*Revenue!AF42,VariableCosts!AF68*Revenue!AF42)</f>
        <v>0</v>
      </c>
      <c r="AG69" s="186">
        <f>IF($D$54=$B$97,AG67*Revenue!AG59*Revenue!AG42,VariableCosts!AG67*Revenue!AG42)+IF($D$54=$B$97,AG68*Revenue!AG59*Revenue!AG42,VariableCosts!AG68*Revenue!AG42)</f>
        <v>0</v>
      </c>
      <c r="AH69" s="186">
        <f>IF($D$54=$B$97,AH67*Revenue!AH59*Revenue!AH42,VariableCosts!AH67*Revenue!AH42)+IF($D$54=$B$97,AH68*Revenue!AH59*Revenue!AH42,VariableCosts!AH68*Revenue!AH42)</f>
        <v>0</v>
      </c>
      <c r="AI69" s="186">
        <f>IF($D$54=$B$97,AI67*Revenue!AI59*Revenue!AI42,VariableCosts!AI67*Revenue!AI42)+IF($D$54=$B$97,AI68*Revenue!AI59*Revenue!AI42,VariableCosts!AI68*Revenue!AI42)</f>
        <v>0</v>
      </c>
      <c r="AJ69" s="186">
        <f>IF($D$54=$B$97,AJ67*Revenue!AJ59*Revenue!AJ42,VariableCosts!AJ67*Revenue!AJ42)+IF($D$54=$B$97,AJ68*Revenue!AJ59*Revenue!AJ42,VariableCosts!AJ68*Revenue!AJ42)</f>
        <v>0</v>
      </c>
      <c r="AK69" s="186">
        <f>IF($D$54=$B$97,AK67*Revenue!AK59*Revenue!AK42,VariableCosts!AK67*Revenue!AK42)+IF($D$54=$B$97,AK68*Revenue!AK59*Revenue!AK42,VariableCosts!AK68*Revenue!AK42)</f>
        <v>0</v>
      </c>
      <c r="AL69" s="186">
        <f>IF($D$54=$B$97,AL67*Revenue!AL59*Revenue!AL42,VariableCosts!AL67*Revenue!AL42)+IF($D$54=$B$97,AL68*Revenue!AL59*Revenue!AL42,VariableCosts!AL68*Revenue!AL42)</f>
        <v>0</v>
      </c>
      <c r="AM69" s="186">
        <f>IF($D$54=$B$97,AM67*Revenue!AM59*Revenue!AM42,VariableCosts!AM67*Revenue!AM42)+IF($D$54=$B$97,AM68*Revenue!AM59*Revenue!AM42,VariableCosts!AM68*Revenue!AM42)</f>
        <v>0</v>
      </c>
      <c r="AN69" s="186">
        <f>IF($D$54=$B$97,AN67*Revenue!AN59*Revenue!AN42,VariableCosts!AN67*Revenue!AN42)+IF($D$54=$B$97,AN68*Revenue!AN59*Revenue!AN42,VariableCosts!AN68*Revenue!AN42)</f>
        <v>0</v>
      </c>
      <c r="AO69" s="186">
        <f>IF($D$54=$B$97,AO67*Revenue!AO59*Revenue!AO42,VariableCosts!AO67*Revenue!AO42)+IF($D$54=$B$97,AO68*Revenue!AO59*Revenue!AO42,VariableCosts!AO68*Revenue!AO42)</f>
        <v>0</v>
      </c>
      <c r="AP69" s="186">
        <f>IF($D$54=$B$97,AP67*Revenue!AP59*Revenue!AP42,VariableCosts!AP67*Revenue!AP42)+IF($D$54=$B$97,AP68*Revenue!AP59*Revenue!AP42,VariableCosts!AP68*Revenue!AP42)</f>
        <v>0</v>
      </c>
      <c r="AQ69" s="186">
        <f>IF($D$54=$B$97,AQ67*Revenue!AQ59*Revenue!AQ42,VariableCosts!AQ67*Revenue!AQ42)+IF($D$54=$B$97,AQ68*Revenue!AQ59*Revenue!AQ42,VariableCosts!AQ68*Revenue!AQ42)</f>
        <v>0</v>
      </c>
      <c r="AR69" s="186">
        <f>IF($D$54=$B$97,AR67*Revenue!AR59*Revenue!AR42,VariableCosts!AR67*Revenue!AR42)+IF($D$54=$B$97,AR68*Revenue!AR59*Revenue!AR42,VariableCosts!AR68*Revenue!AR42)</f>
        <v>0</v>
      </c>
      <c r="AS69" s="186">
        <f>IF($D$54=$B$97,AS67*Revenue!AS59*Revenue!AS42,VariableCosts!AS67*Revenue!AS42)+IF($D$54=$B$97,AS68*Revenue!AS59*Revenue!AS42,VariableCosts!AS68*Revenue!AS42)</f>
        <v>0</v>
      </c>
      <c r="AT69" s="186">
        <f>IF($D$54=$B$97,AT67*Revenue!AT59*Revenue!AT42,VariableCosts!AT67*Revenue!AT42)+IF($D$54=$B$97,AT68*Revenue!AT59*Revenue!AT42,VariableCosts!AT68*Revenue!AT42)</f>
        <v>0</v>
      </c>
      <c r="AU69" s="186">
        <f>IF($D$54=$B$97,AU67*Revenue!AU59*Revenue!AU42,VariableCosts!AU67*Revenue!AU42)+IF($D$54=$B$97,AU68*Revenue!AU59*Revenue!AU42,VariableCosts!AU68*Revenue!AU42)</f>
        <v>0</v>
      </c>
      <c r="AV69" s="186">
        <f>IF($D$54=$B$97,AV67*Revenue!AV59*Revenue!AV42,VariableCosts!AV67*Revenue!AV42)+IF($D$54=$B$97,AV68*Revenue!AV59*Revenue!AV42,VariableCosts!AV68*Revenue!AV42)</f>
        <v>0</v>
      </c>
      <c r="AW69" s="186">
        <f>IF($D$54=$B$97,AW67*Revenue!AW59*Revenue!AW42,VariableCosts!AW67*Revenue!AW42)+IF($D$54=$B$97,AW68*Revenue!AW59*Revenue!AW42,VariableCosts!AW68*Revenue!AW42)</f>
        <v>0</v>
      </c>
      <c r="AX69" s="186">
        <f>IF($D$54=$B$97,AX67*Revenue!AX59*Revenue!AX42,VariableCosts!AX67*Revenue!AX42)+IF($D$54=$B$97,AX68*Revenue!AX59*Revenue!AX42,VariableCosts!AX68*Revenue!AX42)</f>
        <v>0</v>
      </c>
      <c r="AY69" s="186">
        <f>IF($D$54=$B$97,AY67*Revenue!AY59*Revenue!AY42,VariableCosts!AY67*Revenue!AY42)+IF($D$54=$B$97,AY68*Revenue!AY59*Revenue!AY42,VariableCosts!AY68*Revenue!AY42)</f>
        <v>0</v>
      </c>
      <c r="AZ69" s="186">
        <f>IF($D$54=$B$97,AZ67*Revenue!AZ59*Revenue!AZ42,VariableCosts!AZ67*Revenue!AZ42)+IF($D$54=$B$97,AZ68*Revenue!AZ59*Revenue!AZ42,VariableCosts!AZ68*Revenue!AZ42)</f>
        <v>0</v>
      </c>
      <c r="BA69" s="186">
        <f>IF($D$54=$B$97,BA67*Revenue!BA59*Revenue!BA42,VariableCosts!BA67*Revenue!BA42)+IF($D$54=$B$97,BA68*Revenue!BA59*Revenue!BA42,VariableCosts!BA68*Revenue!BA42)</f>
        <v>0</v>
      </c>
      <c r="BB69" s="186">
        <f>IF($D$54=$B$97,BB67*Revenue!BB59*Revenue!BB42,VariableCosts!BB67*Revenue!BB42)+IF($D$54=$B$97,BB68*Revenue!BB59*Revenue!BB42,VariableCosts!BB68*Revenue!BB42)</f>
        <v>0</v>
      </c>
      <c r="BC69" s="186">
        <f>IF($D$54=$B$97,BC67*Revenue!BC59*Revenue!BC42,VariableCosts!BC67*Revenue!BC42)+IF($D$54=$B$97,BC68*Revenue!BC59*Revenue!BC42,VariableCosts!BC68*Revenue!BC42)</f>
        <v>0</v>
      </c>
      <c r="BD69" s="186">
        <f>IF($D$54=$B$97,BD67*Revenue!BD59*Revenue!BD42,VariableCosts!BD67*Revenue!BD42)+IF($D$54=$B$97,BD68*Revenue!BD59*Revenue!BD42,VariableCosts!BD68*Revenue!BD42)</f>
        <v>0</v>
      </c>
      <c r="BE69" s="186">
        <f>IF($D$54=$B$97,BE67*Revenue!BE59*Revenue!BE42,VariableCosts!BE67*Revenue!BE42)+IF($D$54=$B$97,BE68*Revenue!BE59*Revenue!BE42,VariableCosts!BE68*Revenue!BE42)</f>
        <v>0</v>
      </c>
      <c r="BF69" s="186">
        <f>IF($D$54=$B$97,BF67*Revenue!BF59*Revenue!BF42,VariableCosts!BF67*Revenue!BF42)+IF($D$54=$B$97,BF68*Revenue!BF59*Revenue!BF42,VariableCosts!BF68*Revenue!BF42)</f>
        <v>0</v>
      </c>
      <c r="BG69" s="186">
        <f>IF($D$54=$B$97,BG67*Revenue!BG59*Revenue!BG42,VariableCosts!BG67*Revenue!BG42)+IF($D$54=$B$97,BG68*Revenue!BG59*Revenue!BG42,VariableCosts!BG68*Revenue!BG42)</f>
        <v>0</v>
      </c>
      <c r="BH69" s="186">
        <f>IF($D$54=$B$97,BH67*Revenue!BH59*Revenue!BH42,VariableCosts!BH67*Revenue!BH42)+IF($D$54=$B$97,BH68*Revenue!BH59*Revenue!BH42,VariableCosts!BH68*Revenue!BH42)</f>
        <v>0</v>
      </c>
      <c r="BI69" s="186">
        <f>IF($D$54=$B$97,BI67*Revenue!BI59*Revenue!BI42,VariableCosts!BI67*Revenue!BI42)+IF($D$54=$B$97,BI68*Revenue!BI59*Revenue!BI42,VariableCosts!BI68*Revenue!BI42)</f>
        <v>0</v>
      </c>
      <c r="BJ69" s="186">
        <f>IF($D$54=$B$97,BJ67*Revenue!BJ59*Revenue!BJ42,VariableCosts!BJ67*Revenue!BJ42)+IF($D$54=$B$97,BJ68*Revenue!BJ59*Revenue!BJ42,VariableCosts!BJ68*Revenue!BJ42)</f>
        <v>0</v>
      </c>
      <c r="BK69" s="186">
        <f>IF($D$54=$B$97,BK67*Revenue!BK59*Revenue!BK42,VariableCosts!BK67*Revenue!BK42)+IF($D$54=$B$97,BK68*Revenue!BK59*Revenue!BK42,VariableCosts!BK68*Revenue!BK42)</f>
        <v>0</v>
      </c>
      <c r="BL69" s="186">
        <f>IF($D$54=$B$97,BL67*Revenue!BL59*Revenue!BL42,VariableCosts!BL67*Revenue!BL42)+IF($D$54=$B$97,BL68*Revenue!BL59*Revenue!BL42,VariableCosts!BL68*Revenue!BL42)</f>
        <v>0</v>
      </c>
      <c r="BM69" s="186">
        <f>IF($D$54=$B$97,BM67*Revenue!BM59*Revenue!BM42,VariableCosts!BM67*Revenue!BM42)+IF($D$54=$B$97,BM68*Revenue!BM59*Revenue!BM42,VariableCosts!BM68*Revenue!BM42)</f>
        <v>0</v>
      </c>
      <c r="BN69" s="186">
        <f>IF($D$54=$B$97,BN67*Revenue!BN59*Revenue!BN42,VariableCosts!BN67*Revenue!BN42)+IF($D$54=$B$97,BN68*Revenue!BN59*Revenue!BN42,VariableCosts!BN68*Revenue!BN42)</f>
        <v>0</v>
      </c>
      <c r="BO69" s="186">
        <f>IF($D$54=$B$97,BO67*Revenue!BO59*Revenue!BO42,VariableCosts!BO67*Revenue!BO42)+IF($D$54=$B$97,BO68*Revenue!BO59*Revenue!BO42,VariableCosts!BO68*Revenue!BO42)</f>
        <v>0</v>
      </c>
      <c r="BP69" s="186">
        <f>IF($D$54=$B$97,BP67*Revenue!BP59*Revenue!BP42,VariableCosts!BP67*Revenue!BP42)+IF($D$54=$B$97,BP68*Revenue!BP59*Revenue!BP42,VariableCosts!BP68*Revenue!BP42)</f>
        <v>0</v>
      </c>
      <c r="BQ69" s="186">
        <f>IF($D$54=$B$97,BQ67*Revenue!BQ59*Revenue!BQ42,VariableCosts!BQ67*Revenue!BQ42)+IF($D$54=$B$97,BQ68*Revenue!BQ59*Revenue!BQ42,VariableCosts!BQ68*Revenue!BQ42)</f>
        <v>0</v>
      </c>
      <c r="BR69" s="186">
        <f>IF($D$54=$B$97,BR67*Revenue!BR59*Revenue!BR42,VariableCosts!BR67*Revenue!BR42)+IF($D$54=$B$97,BR68*Revenue!BR59*Revenue!BR42,VariableCosts!BR68*Revenue!BR42)</f>
        <v>0</v>
      </c>
      <c r="BT69" s="83"/>
    </row>
    <row r="70" spans="1:72" x14ac:dyDescent="0.25">
      <c r="A70" s="140"/>
      <c r="C70" s="102"/>
      <c r="D70" s="84"/>
      <c r="E70" s="140"/>
      <c r="F70" s="140"/>
      <c r="G70" s="140"/>
      <c r="H70" s="140"/>
      <c r="I70" s="140"/>
      <c r="J70" s="140"/>
      <c r="K70" s="103"/>
      <c r="L70" s="103"/>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c r="BK70" s="103"/>
      <c r="BL70" s="103"/>
      <c r="BM70" s="103"/>
      <c r="BN70" s="103"/>
      <c r="BO70" s="103"/>
      <c r="BP70" s="103"/>
      <c r="BQ70" s="103"/>
      <c r="BR70" s="103"/>
    </row>
    <row r="71" spans="1:72" s="102" customFormat="1" x14ac:dyDescent="0.25">
      <c r="C71" s="84" t="s">
        <v>150</v>
      </c>
      <c r="D71" s="192" t="str">
        <f>unit</f>
        <v>£</v>
      </c>
      <c r="E71" s="84"/>
      <c r="F71" s="84"/>
      <c r="G71" s="84"/>
      <c r="H71" s="84"/>
      <c r="I71" s="84"/>
      <c r="J71" s="84"/>
      <c r="K71" s="86">
        <f>K69+K64+K59</f>
        <v>0</v>
      </c>
      <c r="L71" s="86">
        <f t="shared" ref="L71:BR71" si="90">L69+L64+L59</f>
        <v>0</v>
      </c>
      <c r="M71" s="86">
        <f t="shared" si="90"/>
        <v>0</v>
      </c>
      <c r="N71" s="86">
        <f t="shared" si="90"/>
        <v>0</v>
      </c>
      <c r="O71" s="86">
        <f t="shared" si="90"/>
        <v>0</v>
      </c>
      <c r="P71" s="86">
        <f t="shared" si="90"/>
        <v>0</v>
      </c>
      <c r="Q71" s="86">
        <f t="shared" si="90"/>
        <v>0</v>
      </c>
      <c r="R71" s="86">
        <f t="shared" si="90"/>
        <v>0</v>
      </c>
      <c r="S71" s="86">
        <f t="shared" si="90"/>
        <v>0</v>
      </c>
      <c r="T71" s="86">
        <f t="shared" si="90"/>
        <v>0</v>
      </c>
      <c r="U71" s="86">
        <f t="shared" si="90"/>
        <v>0</v>
      </c>
      <c r="V71" s="86">
        <f t="shared" si="90"/>
        <v>0</v>
      </c>
      <c r="W71" s="86">
        <f t="shared" si="90"/>
        <v>0</v>
      </c>
      <c r="X71" s="86">
        <f t="shared" si="90"/>
        <v>0</v>
      </c>
      <c r="Y71" s="86">
        <f t="shared" si="90"/>
        <v>0</v>
      </c>
      <c r="Z71" s="86">
        <f t="shared" si="90"/>
        <v>0</v>
      </c>
      <c r="AA71" s="86">
        <f t="shared" si="90"/>
        <v>0</v>
      </c>
      <c r="AB71" s="86">
        <f t="shared" si="90"/>
        <v>0</v>
      </c>
      <c r="AC71" s="86">
        <f t="shared" si="90"/>
        <v>0</v>
      </c>
      <c r="AD71" s="86">
        <f t="shared" si="90"/>
        <v>0</v>
      </c>
      <c r="AE71" s="86">
        <f t="shared" si="90"/>
        <v>0</v>
      </c>
      <c r="AF71" s="86">
        <f t="shared" si="90"/>
        <v>0</v>
      </c>
      <c r="AG71" s="86">
        <f t="shared" si="90"/>
        <v>0</v>
      </c>
      <c r="AH71" s="86">
        <f t="shared" si="90"/>
        <v>0</v>
      </c>
      <c r="AI71" s="86">
        <f t="shared" si="90"/>
        <v>0</v>
      </c>
      <c r="AJ71" s="86">
        <f t="shared" si="90"/>
        <v>0</v>
      </c>
      <c r="AK71" s="86">
        <f t="shared" si="90"/>
        <v>0</v>
      </c>
      <c r="AL71" s="86">
        <f t="shared" si="90"/>
        <v>0</v>
      </c>
      <c r="AM71" s="86">
        <f t="shared" si="90"/>
        <v>0</v>
      </c>
      <c r="AN71" s="86">
        <f t="shared" si="90"/>
        <v>0</v>
      </c>
      <c r="AO71" s="86">
        <f t="shared" si="90"/>
        <v>0</v>
      </c>
      <c r="AP71" s="86">
        <f t="shared" si="90"/>
        <v>0</v>
      </c>
      <c r="AQ71" s="86">
        <f t="shared" si="90"/>
        <v>0</v>
      </c>
      <c r="AR71" s="86">
        <f t="shared" si="90"/>
        <v>0</v>
      </c>
      <c r="AS71" s="86">
        <f t="shared" si="90"/>
        <v>0</v>
      </c>
      <c r="AT71" s="86">
        <f t="shared" si="90"/>
        <v>0</v>
      </c>
      <c r="AU71" s="86">
        <f t="shared" si="90"/>
        <v>0</v>
      </c>
      <c r="AV71" s="86">
        <f t="shared" si="90"/>
        <v>0</v>
      </c>
      <c r="AW71" s="86">
        <f t="shared" si="90"/>
        <v>0</v>
      </c>
      <c r="AX71" s="86">
        <f t="shared" si="90"/>
        <v>0</v>
      </c>
      <c r="AY71" s="86">
        <f t="shared" si="90"/>
        <v>0</v>
      </c>
      <c r="AZ71" s="86">
        <f t="shared" si="90"/>
        <v>0</v>
      </c>
      <c r="BA71" s="86">
        <f t="shared" si="90"/>
        <v>0</v>
      </c>
      <c r="BB71" s="86">
        <f t="shared" si="90"/>
        <v>0</v>
      </c>
      <c r="BC71" s="86">
        <f t="shared" si="90"/>
        <v>0</v>
      </c>
      <c r="BD71" s="86">
        <f t="shared" si="90"/>
        <v>0</v>
      </c>
      <c r="BE71" s="86">
        <f t="shared" si="90"/>
        <v>0</v>
      </c>
      <c r="BF71" s="86">
        <f t="shared" si="90"/>
        <v>0</v>
      </c>
      <c r="BG71" s="86">
        <f t="shared" si="90"/>
        <v>0</v>
      </c>
      <c r="BH71" s="86">
        <f t="shared" si="90"/>
        <v>0</v>
      </c>
      <c r="BI71" s="86">
        <f t="shared" si="90"/>
        <v>0</v>
      </c>
      <c r="BJ71" s="86">
        <f t="shared" si="90"/>
        <v>0</v>
      </c>
      <c r="BK71" s="86">
        <f t="shared" si="90"/>
        <v>0</v>
      </c>
      <c r="BL71" s="86">
        <f t="shared" si="90"/>
        <v>0</v>
      </c>
      <c r="BM71" s="86">
        <f t="shared" si="90"/>
        <v>0</v>
      </c>
      <c r="BN71" s="86">
        <f t="shared" si="90"/>
        <v>0</v>
      </c>
      <c r="BO71" s="86">
        <f t="shared" si="90"/>
        <v>0</v>
      </c>
      <c r="BP71" s="86">
        <f t="shared" si="90"/>
        <v>0</v>
      </c>
      <c r="BQ71" s="86">
        <f t="shared" si="90"/>
        <v>0</v>
      </c>
      <c r="BR71" s="86">
        <f t="shared" si="90"/>
        <v>0</v>
      </c>
      <c r="BT71" s="188"/>
    </row>
    <row r="72" spans="1:72" x14ac:dyDescent="0.25">
      <c r="A72" s="140"/>
      <c r="B72" s="102"/>
      <c r="C72" s="84"/>
      <c r="D72" s="140"/>
      <c r="E72" s="140"/>
      <c r="F72" s="140"/>
      <c r="G72" s="140"/>
      <c r="H72" s="140"/>
      <c r="I72" s="140"/>
      <c r="J72" s="140"/>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103"/>
      <c r="AH72" s="103"/>
      <c r="AI72" s="103"/>
      <c r="AJ72" s="103"/>
      <c r="AK72" s="103"/>
      <c r="AL72" s="103"/>
      <c r="AM72" s="103"/>
      <c r="AN72" s="103"/>
      <c r="AO72" s="103"/>
      <c r="AP72" s="103"/>
      <c r="AQ72" s="103"/>
      <c r="AR72" s="103"/>
      <c r="AS72" s="103"/>
      <c r="AT72" s="103"/>
      <c r="AU72" s="103"/>
      <c r="AV72" s="103"/>
      <c r="AW72" s="103"/>
      <c r="AX72" s="103"/>
      <c r="AY72" s="103"/>
      <c r="AZ72" s="103"/>
      <c r="BA72" s="103"/>
      <c r="BB72" s="103"/>
      <c r="BC72" s="103"/>
      <c r="BD72" s="103"/>
      <c r="BE72" s="103"/>
      <c r="BF72" s="103"/>
      <c r="BG72" s="103"/>
      <c r="BH72" s="103"/>
      <c r="BI72" s="103"/>
      <c r="BJ72" s="103"/>
      <c r="BK72" s="103"/>
      <c r="BL72" s="103"/>
      <c r="BM72" s="103"/>
      <c r="BN72" s="103"/>
      <c r="BO72" s="103"/>
      <c r="BP72" s="103"/>
      <c r="BQ72" s="103"/>
      <c r="BR72" s="103"/>
    </row>
    <row r="73" spans="1:72" s="166" customFormat="1" ht="15.6" x14ac:dyDescent="0.3">
      <c r="A73" s="166">
        <f>Header1</f>
        <v>4</v>
      </c>
      <c r="B73" s="166" t="str">
        <f>IF(KeyInputs!$F$31=0," ",KeyInputs!$F$31)</f>
        <v>Insert Business Line3</v>
      </c>
    </row>
    <row r="74" spans="1:72" x14ac:dyDescent="0.25">
      <c r="A74" s="99"/>
      <c r="B74" s="100"/>
      <c r="C74" s="140"/>
      <c r="D74" s="140"/>
      <c r="E74" s="140"/>
      <c r="F74" s="140"/>
      <c r="G74" s="140"/>
      <c r="H74" s="140"/>
      <c r="I74" s="140"/>
      <c r="J74" s="140"/>
      <c r="K74" s="174"/>
      <c r="L74" s="174"/>
      <c r="M74" s="174"/>
      <c r="N74" s="174"/>
      <c r="O74" s="174"/>
      <c r="P74" s="174"/>
      <c r="Q74" s="174"/>
      <c r="R74" s="174"/>
      <c r="S74" s="174"/>
      <c r="T74" s="174"/>
      <c r="U74" s="174"/>
      <c r="V74" s="174"/>
      <c r="W74" s="174"/>
      <c r="X74" s="174"/>
      <c r="Y74" s="174"/>
      <c r="Z74" s="174"/>
      <c r="AA74" s="174"/>
      <c r="AB74" s="174"/>
      <c r="AC74" s="174"/>
      <c r="AD74" s="174"/>
      <c r="AE74" s="174"/>
      <c r="AF74" s="174"/>
      <c r="AG74" s="174"/>
      <c r="AH74" s="174"/>
      <c r="AI74" s="174"/>
      <c r="AJ74" s="174"/>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74"/>
    </row>
    <row r="75" spans="1:72" x14ac:dyDescent="0.25">
      <c r="A75" s="99"/>
      <c r="C75" s="80" t="s">
        <v>161</v>
      </c>
      <c r="D75" s="144" t="s">
        <v>159</v>
      </c>
      <c r="E75" s="140"/>
      <c r="F75" s="140"/>
      <c r="G75" s="140"/>
      <c r="H75" s="140"/>
      <c r="I75" s="140"/>
      <c r="J75" s="140"/>
      <c r="K75" s="174"/>
      <c r="L75" s="174"/>
      <c r="M75" s="174"/>
      <c r="N75" s="174"/>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74"/>
    </row>
    <row r="76" spans="1:72" x14ac:dyDescent="0.25">
      <c r="A76" s="99"/>
      <c r="C76" s="100"/>
      <c r="D76" s="140"/>
      <c r="E76" s="140"/>
      <c r="F76" s="140"/>
      <c r="G76" s="140"/>
      <c r="H76" s="140"/>
      <c r="I76" s="140"/>
      <c r="J76" s="140"/>
      <c r="K76" s="174"/>
      <c r="L76" s="174"/>
      <c r="M76" s="174"/>
      <c r="N76" s="174"/>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c r="AO76" s="174"/>
      <c r="AP76" s="174"/>
      <c r="AQ76" s="174"/>
      <c r="AR76" s="174"/>
      <c r="AS76" s="174"/>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c r="BQ76" s="174"/>
      <c r="BR76" s="174"/>
    </row>
    <row r="77" spans="1:72" s="143" customFormat="1" ht="13.8" x14ac:dyDescent="0.25">
      <c r="B77" s="143" t="str">
        <f>Header2</f>
        <v>4.1</v>
      </c>
      <c r="C77" s="143" t="str">
        <f>IF(KeyInputs!$F$32=0," ",KeyInputs!$F$32)</f>
        <v>Insert Product Group7</v>
      </c>
    </row>
    <row r="78" spans="1:72" ht="13.5" customHeight="1" x14ac:dyDescent="0.25">
      <c r="A78" s="173"/>
      <c r="C78" s="140" t="s">
        <v>47</v>
      </c>
      <c r="E78" s="140"/>
      <c r="F78" s="140"/>
      <c r="G78" s="140"/>
      <c r="H78" s="140"/>
      <c r="I78" s="140"/>
      <c r="J78" s="140"/>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row>
    <row r="79" spans="1:72" ht="13.5" customHeight="1" x14ac:dyDescent="0.25">
      <c r="A79" s="173"/>
      <c r="C79" s="140" t="s">
        <v>48</v>
      </c>
      <c r="E79" s="140"/>
      <c r="F79" s="140"/>
      <c r="G79" s="140"/>
      <c r="H79" s="140"/>
      <c r="I79" s="140"/>
      <c r="J79" s="140"/>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5"/>
      <c r="BN79" s="175"/>
      <c r="BO79" s="175"/>
      <c r="BP79" s="175"/>
      <c r="BQ79" s="175"/>
      <c r="BR79" s="175"/>
    </row>
    <row r="80" spans="1:72" s="153" customFormat="1" x14ac:dyDescent="0.25">
      <c r="A80" s="157"/>
      <c r="C80" s="157" t="s">
        <v>148</v>
      </c>
      <c r="D80" s="189" t="str">
        <f>unit</f>
        <v>£</v>
      </c>
      <c r="E80" s="157"/>
      <c r="F80" s="157"/>
      <c r="G80" s="157"/>
      <c r="H80" s="157"/>
      <c r="I80" s="157"/>
      <c r="J80" s="157"/>
      <c r="K80" s="186">
        <f>IF($D$75=$B$97,K78*Revenue!K62*Revenue!K45,VariableCosts!K78*Revenue!K45)+IF($D$75=$B$97,K79*Revenue!K62*Revenue!K45,VariableCosts!K79*Revenue!K45)</f>
        <v>0</v>
      </c>
      <c r="L80" s="186">
        <f>IF($D$75=$B$97,L78*Revenue!L62*Revenue!L45,VariableCosts!L78*Revenue!L45)+IF($D$75=$B$97,L79*Revenue!L62*Revenue!L45,VariableCosts!L79*Revenue!L45)</f>
        <v>0</v>
      </c>
      <c r="M80" s="186">
        <f>IF($D$75=$B$97,M78*Revenue!M62*Revenue!M45,VariableCosts!M78*Revenue!M45)+IF($D$75=$B$97,M79*Revenue!M62*Revenue!M45,VariableCosts!M79*Revenue!M45)</f>
        <v>0</v>
      </c>
      <c r="N80" s="186">
        <f>IF($D$75=$B$97,N78*Revenue!N62*Revenue!N45,VariableCosts!N78*Revenue!N45)+IF($D$75=$B$97,N79*Revenue!N62*Revenue!N45,VariableCosts!N79*Revenue!N45)</f>
        <v>0</v>
      </c>
      <c r="O80" s="186">
        <f>IF($D$75=$B$97,O78*Revenue!O62*Revenue!O45,VariableCosts!O78*Revenue!O45)+IF($D$75=$B$97,O79*Revenue!O62*Revenue!O45,VariableCosts!O79*Revenue!O45)</f>
        <v>0</v>
      </c>
      <c r="P80" s="186">
        <f>IF($D$75=$B$97,P78*Revenue!P62*Revenue!P45,VariableCosts!P78*Revenue!P45)+IF($D$75=$B$97,P79*Revenue!P62*Revenue!P45,VariableCosts!P79*Revenue!P45)</f>
        <v>0</v>
      </c>
      <c r="Q80" s="186">
        <f>IF($D$75=$B$97,Q78*Revenue!Q62*Revenue!Q45,VariableCosts!Q78*Revenue!Q45)+IF($D$75=$B$97,Q79*Revenue!Q62*Revenue!Q45,VariableCosts!Q79*Revenue!Q45)</f>
        <v>0</v>
      </c>
      <c r="R80" s="186">
        <f>IF($D$75=$B$97,R78*Revenue!R62*Revenue!R45,VariableCosts!R78*Revenue!R45)+IF($D$75=$B$97,R79*Revenue!R62*Revenue!R45,VariableCosts!R79*Revenue!R45)</f>
        <v>0</v>
      </c>
      <c r="S80" s="186">
        <f>IF($D$75=$B$97,S78*Revenue!S62*Revenue!S45,VariableCosts!S78*Revenue!S45)+IF($D$75=$B$97,S79*Revenue!S62*Revenue!S45,VariableCosts!S79*Revenue!S45)</f>
        <v>0</v>
      </c>
      <c r="T80" s="186">
        <f>IF($D$75=$B$97,T78*Revenue!T62*Revenue!T45,VariableCosts!T78*Revenue!T45)+IF($D$75=$B$97,T79*Revenue!T62*Revenue!T45,VariableCosts!T79*Revenue!T45)</f>
        <v>0</v>
      </c>
      <c r="U80" s="186">
        <f>IF($D$75=$B$97,U78*Revenue!U62*Revenue!U45,VariableCosts!U78*Revenue!U45)+IF($D$75=$B$97,U79*Revenue!U62*Revenue!U45,VariableCosts!U79*Revenue!U45)</f>
        <v>0</v>
      </c>
      <c r="V80" s="186">
        <f>IF($D$75=$B$97,V78*Revenue!V62*Revenue!V45,VariableCosts!V78*Revenue!V45)+IF($D$75=$B$97,V79*Revenue!V62*Revenue!V45,VariableCosts!V79*Revenue!V45)</f>
        <v>0</v>
      </c>
      <c r="W80" s="186">
        <f>IF($D$75=$B$97,W78*Revenue!W62*Revenue!W45,VariableCosts!W78*Revenue!W45)+IF($D$75=$B$97,W79*Revenue!W62*Revenue!W45,VariableCosts!W79*Revenue!W45)</f>
        <v>0</v>
      </c>
      <c r="X80" s="186">
        <f>IF($D$75=$B$97,X78*Revenue!X62*Revenue!X45,VariableCosts!X78*Revenue!X45)+IF($D$75=$B$97,X79*Revenue!X62*Revenue!X45,VariableCosts!X79*Revenue!X45)</f>
        <v>0</v>
      </c>
      <c r="Y80" s="186">
        <f>IF($D$75=$B$97,Y78*Revenue!Y62*Revenue!Y45,VariableCosts!Y78*Revenue!Y45)+IF($D$75=$B$97,Y79*Revenue!Y62*Revenue!Y45,VariableCosts!Y79*Revenue!Y45)</f>
        <v>0</v>
      </c>
      <c r="Z80" s="186">
        <f>IF($D$75=$B$97,Z78*Revenue!Z62*Revenue!Z45,VariableCosts!Z78*Revenue!Z45)+IF($D$75=$B$97,Z79*Revenue!Z62*Revenue!Z45,VariableCosts!Z79*Revenue!Z45)</f>
        <v>0</v>
      </c>
      <c r="AA80" s="186">
        <f>IF($D$75=$B$97,AA78*Revenue!AA62*Revenue!AA45,VariableCosts!AA78*Revenue!AA45)+IF($D$75=$B$97,AA79*Revenue!AA62*Revenue!AA45,VariableCosts!AA79*Revenue!AA45)</f>
        <v>0</v>
      </c>
      <c r="AB80" s="186">
        <f>IF($D$75=$B$97,AB78*Revenue!AB62*Revenue!AB45,VariableCosts!AB78*Revenue!AB45)+IF($D$75=$B$97,AB79*Revenue!AB62*Revenue!AB45,VariableCosts!AB79*Revenue!AB45)</f>
        <v>0</v>
      </c>
      <c r="AC80" s="186">
        <f>IF($D$75=$B$97,AC78*Revenue!AC62*Revenue!AC45,VariableCosts!AC78*Revenue!AC45)+IF($D$75=$B$97,AC79*Revenue!AC62*Revenue!AC45,VariableCosts!AC79*Revenue!AC45)</f>
        <v>0</v>
      </c>
      <c r="AD80" s="186">
        <f>IF($D$75=$B$97,AD78*Revenue!AD62*Revenue!AD45,VariableCosts!AD78*Revenue!AD45)+IF($D$75=$B$97,AD79*Revenue!AD62*Revenue!AD45,VariableCosts!AD79*Revenue!AD45)</f>
        <v>0</v>
      </c>
      <c r="AE80" s="186">
        <f>IF($D$75=$B$97,AE78*Revenue!AE62*Revenue!AE45,VariableCosts!AE78*Revenue!AE45)+IF($D$75=$B$97,AE79*Revenue!AE62*Revenue!AE45,VariableCosts!AE79*Revenue!AE45)</f>
        <v>0</v>
      </c>
      <c r="AF80" s="186">
        <f>IF($D$75=$B$97,AF78*Revenue!AF62*Revenue!AF45,VariableCosts!AF78*Revenue!AF45)+IF($D$75=$B$97,AF79*Revenue!AF62*Revenue!AF45,VariableCosts!AF79*Revenue!AF45)</f>
        <v>0</v>
      </c>
      <c r="AG80" s="186">
        <f>IF($D$75=$B$97,AG78*Revenue!AG62*Revenue!AG45,VariableCosts!AG78*Revenue!AG45)+IF($D$75=$B$97,AG79*Revenue!AG62*Revenue!AG45,VariableCosts!AG79*Revenue!AG45)</f>
        <v>0</v>
      </c>
      <c r="AH80" s="186">
        <f>IF($D$75=$B$97,AH78*Revenue!AH62*Revenue!AH45,VariableCosts!AH78*Revenue!AH45)+IF($D$75=$B$97,AH79*Revenue!AH62*Revenue!AH45,VariableCosts!AH79*Revenue!AH45)</f>
        <v>0</v>
      </c>
      <c r="AI80" s="186">
        <f>IF($D$75=$B$97,AI78*Revenue!AI62*Revenue!AI45,VariableCosts!AI78*Revenue!AI45)+IF($D$75=$B$97,AI79*Revenue!AI62*Revenue!AI45,VariableCosts!AI79*Revenue!AI45)</f>
        <v>0</v>
      </c>
      <c r="AJ80" s="186">
        <f>IF($D$75=$B$97,AJ78*Revenue!AJ62*Revenue!AJ45,VariableCosts!AJ78*Revenue!AJ45)+IF($D$75=$B$97,AJ79*Revenue!AJ62*Revenue!AJ45,VariableCosts!AJ79*Revenue!AJ45)</f>
        <v>0</v>
      </c>
      <c r="AK80" s="186">
        <f>IF($D$75=$B$97,AK78*Revenue!AK62*Revenue!AK45,VariableCosts!AK78*Revenue!AK45)+IF($D$75=$B$97,AK79*Revenue!AK62*Revenue!AK45,VariableCosts!AK79*Revenue!AK45)</f>
        <v>0</v>
      </c>
      <c r="AL80" s="186">
        <f>IF($D$75=$B$97,AL78*Revenue!AL62*Revenue!AL45,VariableCosts!AL78*Revenue!AL45)+IF($D$75=$B$97,AL79*Revenue!AL62*Revenue!AL45,VariableCosts!AL79*Revenue!AL45)</f>
        <v>0</v>
      </c>
      <c r="AM80" s="186">
        <f>IF($D$75=$B$97,AM78*Revenue!AM62*Revenue!AM45,VariableCosts!AM78*Revenue!AM45)+IF($D$75=$B$97,AM79*Revenue!AM62*Revenue!AM45,VariableCosts!AM79*Revenue!AM45)</f>
        <v>0</v>
      </c>
      <c r="AN80" s="186">
        <f>IF($D$75=$B$97,AN78*Revenue!AN62*Revenue!AN45,VariableCosts!AN78*Revenue!AN45)+IF($D$75=$B$97,AN79*Revenue!AN62*Revenue!AN45,VariableCosts!AN79*Revenue!AN45)</f>
        <v>0</v>
      </c>
      <c r="AO80" s="186">
        <f>IF($D$75=$B$97,AO78*Revenue!AO62*Revenue!AO45,VariableCosts!AO78*Revenue!AO45)+IF($D$75=$B$97,AO79*Revenue!AO62*Revenue!AO45,VariableCosts!AO79*Revenue!AO45)</f>
        <v>0</v>
      </c>
      <c r="AP80" s="186">
        <f>IF($D$75=$B$97,AP78*Revenue!AP62*Revenue!AP45,VariableCosts!AP78*Revenue!AP45)+IF($D$75=$B$97,AP79*Revenue!AP62*Revenue!AP45,VariableCosts!AP79*Revenue!AP45)</f>
        <v>0</v>
      </c>
      <c r="AQ80" s="186">
        <f>IF($D$75=$B$97,AQ78*Revenue!AQ62*Revenue!AQ45,VariableCosts!AQ78*Revenue!AQ45)+IF($D$75=$B$97,AQ79*Revenue!AQ62*Revenue!AQ45,VariableCosts!AQ79*Revenue!AQ45)</f>
        <v>0</v>
      </c>
      <c r="AR80" s="186">
        <f>IF($D$75=$B$97,AR78*Revenue!AR62*Revenue!AR45,VariableCosts!AR78*Revenue!AR45)+IF($D$75=$B$97,AR79*Revenue!AR62*Revenue!AR45,VariableCosts!AR79*Revenue!AR45)</f>
        <v>0</v>
      </c>
      <c r="AS80" s="186">
        <f>IF($D$75=$B$97,AS78*Revenue!AS62*Revenue!AS45,VariableCosts!AS78*Revenue!AS45)+IF($D$75=$B$97,AS79*Revenue!AS62*Revenue!AS45,VariableCosts!AS79*Revenue!AS45)</f>
        <v>0</v>
      </c>
      <c r="AT80" s="186">
        <f>IF($D$75=$B$97,AT78*Revenue!AT62*Revenue!AT45,VariableCosts!AT78*Revenue!AT45)+IF($D$75=$B$97,AT79*Revenue!AT62*Revenue!AT45,VariableCosts!AT79*Revenue!AT45)</f>
        <v>0</v>
      </c>
      <c r="AU80" s="186">
        <f>IF($D$75=$B$97,AU78*Revenue!AU62*Revenue!AU45,VariableCosts!AU78*Revenue!AU45)+IF($D$75=$B$97,AU79*Revenue!AU62*Revenue!AU45,VariableCosts!AU79*Revenue!AU45)</f>
        <v>0</v>
      </c>
      <c r="AV80" s="186">
        <f>IF($D$75=$B$97,AV78*Revenue!AV62*Revenue!AV45,VariableCosts!AV78*Revenue!AV45)+IF($D$75=$B$97,AV79*Revenue!AV62*Revenue!AV45,VariableCosts!AV79*Revenue!AV45)</f>
        <v>0</v>
      </c>
      <c r="AW80" s="186">
        <f>IF($D$75=$B$97,AW78*Revenue!AW62*Revenue!AW45,VariableCosts!AW78*Revenue!AW45)+IF($D$75=$B$97,AW79*Revenue!AW62*Revenue!AW45,VariableCosts!AW79*Revenue!AW45)</f>
        <v>0</v>
      </c>
      <c r="AX80" s="186">
        <f>IF($D$75=$B$97,AX78*Revenue!AX62*Revenue!AX45,VariableCosts!AX78*Revenue!AX45)+IF($D$75=$B$97,AX79*Revenue!AX62*Revenue!AX45,VariableCosts!AX79*Revenue!AX45)</f>
        <v>0</v>
      </c>
      <c r="AY80" s="186">
        <f>IF($D$75=$B$97,AY78*Revenue!AY62*Revenue!AY45,VariableCosts!AY78*Revenue!AY45)+IF($D$75=$B$97,AY79*Revenue!AY62*Revenue!AY45,VariableCosts!AY79*Revenue!AY45)</f>
        <v>0</v>
      </c>
      <c r="AZ80" s="186">
        <f>IF($D$75=$B$97,AZ78*Revenue!AZ62*Revenue!AZ45,VariableCosts!AZ78*Revenue!AZ45)+IF($D$75=$B$97,AZ79*Revenue!AZ62*Revenue!AZ45,VariableCosts!AZ79*Revenue!AZ45)</f>
        <v>0</v>
      </c>
      <c r="BA80" s="186">
        <f>IF($D$75=$B$97,BA78*Revenue!BA62*Revenue!BA45,VariableCosts!BA78*Revenue!BA45)+IF($D$75=$B$97,BA79*Revenue!BA62*Revenue!BA45,VariableCosts!BA79*Revenue!BA45)</f>
        <v>0</v>
      </c>
      <c r="BB80" s="186">
        <f>IF($D$75=$B$97,BB78*Revenue!BB62*Revenue!BB45,VariableCosts!BB78*Revenue!BB45)+IF($D$75=$B$97,BB79*Revenue!BB62*Revenue!BB45,VariableCosts!BB79*Revenue!BB45)</f>
        <v>0</v>
      </c>
      <c r="BC80" s="186">
        <f>IF($D$75=$B$97,BC78*Revenue!BC62*Revenue!BC45,VariableCosts!BC78*Revenue!BC45)+IF($D$75=$B$97,BC79*Revenue!BC62*Revenue!BC45,VariableCosts!BC79*Revenue!BC45)</f>
        <v>0</v>
      </c>
      <c r="BD80" s="186">
        <f>IF($D$75=$B$97,BD78*Revenue!BD62*Revenue!BD45,VariableCosts!BD78*Revenue!BD45)+IF($D$75=$B$97,BD79*Revenue!BD62*Revenue!BD45,VariableCosts!BD79*Revenue!BD45)</f>
        <v>0</v>
      </c>
      <c r="BE80" s="186">
        <f>IF($D$75=$B$97,BE78*Revenue!BE62*Revenue!BE45,VariableCosts!BE78*Revenue!BE45)+IF($D$75=$B$97,BE79*Revenue!BE62*Revenue!BE45,VariableCosts!BE79*Revenue!BE45)</f>
        <v>0</v>
      </c>
      <c r="BF80" s="186">
        <f>IF($D$75=$B$97,BF78*Revenue!BF62*Revenue!BF45,VariableCosts!BF78*Revenue!BF45)+IF($D$75=$B$97,BF79*Revenue!BF62*Revenue!BF45,VariableCosts!BF79*Revenue!BF45)</f>
        <v>0</v>
      </c>
      <c r="BG80" s="186">
        <f>IF($D$75=$B$97,BG78*Revenue!BG62*Revenue!BG45,VariableCosts!BG78*Revenue!BG45)+IF($D$75=$B$97,BG79*Revenue!BG62*Revenue!BG45,VariableCosts!BG79*Revenue!BG45)</f>
        <v>0</v>
      </c>
      <c r="BH80" s="186">
        <f>IF($D$75=$B$97,BH78*Revenue!BH62*Revenue!BH45,VariableCosts!BH78*Revenue!BH45)+IF($D$75=$B$97,BH79*Revenue!BH62*Revenue!BH45,VariableCosts!BH79*Revenue!BH45)</f>
        <v>0</v>
      </c>
      <c r="BI80" s="186">
        <f>IF($D$75=$B$97,BI78*Revenue!BI62*Revenue!BI45,VariableCosts!BI78*Revenue!BI45)+IF($D$75=$B$97,BI79*Revenue!BI62*Revenue!BI45,VariableCosts!BI79*Revenue!BI45)</f>
        <v>0</v>
      </c>
      <c r="BJ80" s="186">
        <f>IF($D$75=$B$97,BJ78*Revenue!BJ62*Revenue!BJ45,VariableCosts!BJ78*Revenue!BJ45)+IF($D$75=$B$97,BJ79*Revenue!BJ62*Revenue!BJ45,VariableCosts!BJ79*Revenue!BJ45)</f>
        <v>0</v>
      </c>
      <c r="BK80" s="186">
        <f>IF($D$75=$B$97,BK78*Revenue!BK62*Revenue!BK45,VariableCosts!BK78*Revenue!BK45)+IF($D$75=$B$97,BK79*Revenue!BK62*Revenue!BK45,VariableCosts!BK79*Revenue!BK45)</f>
        <v>0</v>
      </c>
      <c r="BL80" s="186">
        <f>IF($D$75=$B$97,BL78*Revenue!BL62*Revenue!BL45,VariableCosts!BL78*Revenue!BL45)+IF($D$75=$B$97,BL79*Revenue!BL62*Revenue!BL45,VariableCosts!BL79*Revenue!BL45)</f>
        <v>0</v>
      </c>
      <c r="BM80" s="186">
        <f>IF($D$75=$B$97,BM78*Revenue!BM62*Revenue!BM45,VariableCosts!BM78*Revenue!BM45)+IF($D$75=$B$97,BM79*Revenue!BM62*Revenue!BM45,VariableCosts!BM79*Revenue!BM45)</f>
        <v>0</v>
      </c>
      <c r="BN80" s="186">
        <f>IF($D$75=$B$97,BN78*Revenue!BN62*Revenue!BN45,VariableCosts!BN78*Revenue!BN45)+IF($D$75=$B$97,BN79*Revenue!BN62*Revenue!BN45,VariableCosts!BN79*Revenue!BN45)</f>
        <v>0</v>
      </c>
      <c r="BO80" s="186">
        <f>IF($D$75=$B$97,BO78*Revenue!BO62*Revenue!BO45,VariableCosts!BO78*Revenue!BO45)+IF($D$75=$B$97,BO79*Revenue!BO62*Revenue!BO45,VariableCosts!BO79*Revenue!BO45)</f>
        <v>0</v>
      </c>
      <c r="BP80" s="186">
        <f>IF($D$75=$B$97,BP78*Revenue!BP62*Revenue!BP45,VariableCosts!BP78*Revenue!BP45)+IF($D$75=$B$97,BP79*Revenue!BP62*Revenue!BP45,VariableCosts!BP79*Revenue!BP45)</f>
        <v>0</v>
      </c>
      <c r="BQ80" s="186">
        <f>IF($D$75=$B$97,BQ78*Revenue!BQ62*Revenue!BQ45,VariableCosts!BQ78*Revenue!BQ45)+IF($D$75=$B$97,BQ79*Revenue!BQ62*Revenue!BQ45,VariableCosts!BQ79*Revenue!BQ45)</f>
        <v>0</v>
      </c>
      <c r="BR80" s="186">
        <f>IF($D$75=$B$97,BR78*Revenue!BR62*Revenue!BR45,VariableCosts!BR78*Revenue!BR45)+IF($D$75=$B$97,BR79*Revenue!BR62*Revenue!BR45,VariableCosts!BR79*Revenue!BR45)</f>
        <v>0</v>
      </c>
      <c r="BT80" s="83"/>
    </row>
    <row r="81" spans="1:72" ht="13.5" customHeight="1" x14ac:dyDescent="0.25">
      <c r="A81" s="173"/>
      <c r="C81" s="140"/>
      <c r="D81" s="84"/>
      <c r="E81" s="140"/>
      <c r="F81" s="140"/>
      <c r="G81" s="140"/>
      <c r="H81" s="140"/>
      <c r="I81" s="140"/>
      <c r="J81" s="140"/>
      <c r="K81" s="140"/>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0"/>
      <c r="AP81" s="140"/>
      <c r="AQ81" s="140"/>
      <c r="AR81" s="140"/>
      <c r="AS81" s="140"/>
      <c r="AT81" s="140"/>
      <c r="AU81" s="140"/>
      <c r="AV81" s="140"/>
      <c r="AW81" s="140"/>
      <c r="AX81" s="140"/>
      <c r="AY81" s="140"/>
      <c r="AZ81" s="140"/>
      <c r="BA81" s="140"/>
      <c r="BB81" s="140"/>
      <c r="BC81" s="140"/>
      <c r="BD81" s="140"/>
      <c r="BE81" s="140"/>
      <c r="BF81" s="140"/>
      <c r="BG81" s="140"/>
      <c r="BH81" s="140"/>
      <c r="BI81" s="140"/>
      <c r="BJ81" s="140"/>
      <c r="BK81" s="140"/>
      <c r="BL81" s="140"/>
      <c r="BM81" s="140"/>
      <c r="BN81" s="140"/>
      <c r="BO81" s="140"/>
      <c r="BP81" s="140"/>
      <c r="BQ81" s="140"/>
      <c r="BR81" s="140"/>
    </row>
    <row r="82" spans="1:72" s="143" customFormat="1" ht="13.5" customHeight="1" x14ac:dyDescent="0.25">
      <c r="B82" s="143" t="str">
        <f>Header2</f>
        <v>4.2</v>
      </c>
      <c r="C82" s="143" t="str">
        <f>IF(KeyInputs!$F$33=0," ",KeyInputs!$F$33)</f>
        <v>Insert Product Group8</v>
      </c>
    </row>
    <row r="83" spans="1:72" ht="13.5" customHeight="1" x14ac:dyDescent="0.25">
      <c r="A83" s="173"/>
      <c r="C83" s="140" t="s">
        <v>47</v>
      </c>
      <c r="E83" s="140"/>
      <c r="F83" s="140"/>
      <c r="G83" s="140"/>
      <c r="H83" s="140"/>
      <c r="I83" s="140"/>
      <c r="J83" s="140"/>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row>
    <row r="84" spans="1:72" ht="13.5" customHeight="1" x14ac:dyDescent="0.25">
      <c r="A84" s="173"/>
      <c r="C84" s="140" t="s">
        <v>48</v>
      </c>
      <c r="E84" s="140"/>
      <c r="F84" s="140"/>
      <c r="G84" s="140"/>
      <c r="H84" s="140"/>
      <c r="I84" s="140"/>
      <c r="J84" s="140"/>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c r="BR84" s="175"/>
    </row>
    <row r="85" spans="1:72" s="153" customFormat="1" x14ac:dyDescent="0.25">
      <c r="A85" s="157"/>
      <c r="C85" s="157" t="s">
        <v>148</v>
      </c>
      <c r="D85" s="189" t="str">
        <f>unit</f>
        <v>£</v>
      </c>
      <c r="E85" s="157"/>
      <c r="F85" s="157"/>
      <c r="G85" s="157"/>
      <c r="H85" s="157"/>
      <c r="I85" s="157"/>
      <c r="J85" s="157"/>
      <c r="K85" s="186">
        <f>IF($D$75=$B$97,K83*Revenue!K63*Revenue!K46,VariableCosts!K83*Revenue!K46)+IF($D$75=$B$97,K84*Revenue!K63*Revenue!K46,VariableCosts!K84*Revenue!K46)</f>
        <v>0</v>
      </c>
      <c r="L85" s="186">
        <f>IF($D$75=$B$97,L83*Revenue!L63*Revenue!L46,VariableCosts!L83*Revenue!L46)+IF($D$75=$B$97,L84*Revenue!L63*Revenue!L46,VariableCosts!L84*Revenue!L46)</f>
        <v>0</v>
      </c>
      <c r="M85" s="186">
        <f>IF($D$75=$B$97,M83*Revenue!M63*Revenue!M46,VariableCosts!M83*Revenue!M46)+IF($D$75=$B$97,M84*Revenue!M63*Revenue!M46,VariableCosts!M84*Revenue!M46)</f>
        <v>0</v>
      </c>
      <c r="N85" s="186">
        <f>IF($D$75=$B$97,N83*Revenue!N63*Revenue!N46,VariableCosts!N83*Revenue!N46)+IF($D$75=$B$97,N84*Revenue!N63*Revenue!N46,VariableCosts!N84*Revenue!N46)</f>
        <v>0</v>
      </c>
      <c r="O85" s="186">
        <f>IF($D$75=$B$97,O83*Revenue!O63*Revenue!O46,VariableCosts!O83*Revenue!O46)+IF($D$75=$B$97,O84*Revenue!O63*Revenue!O46,VariableCosts!O84*Revenue!O46)</f>
        <v>0</v>
      </c>
      <c r="P85" s="186">
        <f>IF($D$75=$B$97,P83*Revenue!P63*Revenue!P46,VariableCosts!P83*Revenue!P46)+IF($D$75=$B$97,P84*Revenue!P63*Revenue!P46,VariableCosts!P84*Revenue!P46)</f>
        <v>0</v>
      </c>
      <c r="Q85" s="186">
        <f>IF($D$75=$B$97,Q83*Revenue!Q63*Revenue!Q46,VariableCosts!Q83*Revenue!Q46)+IF($D$75=$B$97,Q84*Revenue!Q63*Revenue!Q46,VariableCosts!Q84*Revenue!Q46)</f>
        <v>0</v>
      </c>
      <c r="R85" s="186">
        <f>IF($D$75=$B$97,R83*Revenue!R63*Revenue!R46,VariableCosts!R83*Revenue!R46)+IF($D$75=$B$97,R84*Revenue!R63*Revenue!R46,VariableCosts!R84*Revenue!R46)</f>
        <v>0</v>
      </c>
      <c r="S85" s="186">
        <f>IF($D$75=$B$97,S83*Revenue!S63*Revenue!S46,VariableCosts!S83*Revenue!S46)+IF($D$75=$B$97,S84*Revenue!S63*Revenue!S46,VariableCosts!S84*Revenue!S46)</f>
        <v>0</v>
      </c>
      <c r="T85" s="186">
        <f>IF($D$75=$B$97,T83*Revenue!T63*Revenue!T46,VariableCosts!T83*Revenue!T46)+IF($D$75=$B$97,T84*Revenue!T63*Revenue!T46,VariableCosts!T84*Revenue!T46)</f>
        <v>0</v>
      </c>
      <c r="U85" s="186">
        <f>IF($D$75=$B$97,U83*Revenue!U63*Revenue!U46,VariableCosts!U83*Revenue!U46)+IF($D$75=$B$97,U84*Revenue!U63*Revenue!U46,VariableCosts!U84*Revenue!U46)</f>
        <v>0</v>
      </c>
      <c r="V85" s="186">
        <f>IF($D$75=$B$97,V83*Revenue!V63*Revenue!V46,VariableCosts!V83*Revenue!V46)+IF($D$75=$B$97,V84*Revenue!V63*Revenue!V46,VariableCosts!V84*Revenue!V46)</f>
        <v>0</v>
      </c>
      <c r="W85" s="186">
        <f>IF($D$75=$B$97,W83*Revenue!W63*Revenue!W46,VariableCosts!W83*Revenue!W46)+IF($D$75=$B$97,W84*Revenue!W63*Revenue!W46,VariableCosts!W84*Revenue!W46)</f>
        <v>0</v>
      </c>
      <c r="X85" s="186">
        <f>IF($D$75=$B$97,X83*Revenue!X63*Revenue!X46,VariableCosts!X83*Revenue!X46)+IF($D$75=$B$97,X84*Revenue!X63*Revenue!X46,VariableCosts!X84*Revenue!X46)</f>
        <v>0</v>
      </c>
      <c r="Y85" s="186">
        <f>IF($D$75=$B$97,Y83*Revenue!Y63*Revenue!Y46,VariableCosts!Y83*Revenue!Y46)+IF($D$75=$B$97,Y84*Revenue!Y63*Revenue!Y46,VariableCosts!Y84*Revenue!Y46)</f>
        <v>0</v>
      </c>
      <c r="Z85" s="186">
        <f>IF($D$75=$B$97,Z83*Revenue!Z63*Revenue!Z46,VariableCosts!Z83*Revenue!Z46)+IF($D$75=$B$97,Z84*Revenue!Z63*Revenue!Z46,VariableCosts!Z84*Revenue!Z46)</f>
        <v>0</v>
      </c>
      <c r="AA85" s="186">
        <f>IF($D$75=$B$97,AA83*Revenue!AA63*Revenue!AA46,VariableCosts!AA83*Revenue!AA46)+IF($D$75=$B$97,AA84*Revenue!AA63*Revenue!AA46,VariableCosts!AA84*Revenue!AA46)</f>
        <v>0</v>
      </c>
      <c r="AB85" s="186">
        <f>IF($D$75=$B$97,AB83*Revenue!AB63*Revenue!AB46,VariableCosts!AB83*Revenue!AB46)+IF($D$75=$B$97,AB84*Revenue!AB63*Revenue!AB46,VariableCosts!AB84*Revenue!AB46)</f>
        <v>0</v>
      </c>
      <c r="AC85" s="186">
        <f>IF($D$75=$B$97,AC83*Revenue!AC63*Revenue!AC46,VariableCosts!AC83*Revenue!AC46)+IF($D$75=$B$97,AC84*Revenue!AC63*Revenue!AC46,VariableCosts!AC84*Revenue!AC46)</f>
        <v>0</v>
      </c>
      <c r="AD85" s="186">
        <f>IF($D$75=$B$97,AD83*Revenue!AD63*Revenue!AD46,VariableCosts!AD83*Revenue!AD46)+IF($D$75=$B$97,AD84*Revenue!AD63*Revenue!AD46,VariableCosts!AD84*Revenue!AD46)</f>
        <v>0</v>
      </c>
      <c r="AE85" s="186">
        <f>IF($D$75=$B$97,AE83*Revenue!AE63*Revenue!AE46,VariableCosts!AE83*Revenue!AE46)+IF($D$75=$B$97,AE84*Revenue!AE63*Revenue!AE46,VariableCosts!AE84*Revenue!AE46)</f>
        <v>0</v>
      </c>
      <c r="AF85" s="186">
        <f>IF($D$75=$B$97,AF83*Revenue!AF63*Revenue!AF46,VariableCosts!AF83*Revenue!AF46)+IF($D$75=$B$97,AF84*Revenue!AF63*Revenue!AF46,VariableCosts!AF84*Revenue!AF46)</f>
        <v>0</v>
      </c>
      <c r="AG85" s="186">
        <f>IF($D$75=$B$97,AG83*Revenue!AG63*Revenue!AG46,VariableCosts!AG83*Revenue!AG46)+IF($D$75=$B$97,AG84*Revenue!AG63*Revenue!AG46,VariableCosts!AG84*Revenue!AG46)</f>
        <v>0</v>
      </c>
      <c r="AH85" s="186">
        <f>IF($D$75=$B$97,AH83*Revenue!AH63*Revenue!AH46,VariableCosts!AH83*Revenue!AH46)+IF($D$75=$B$97,AH84*Revenue!AH63*Revenue!AH46,VariableCosts!AH84*Revenue!AH46)</f>
        <v>0</v>
      </c>
      <c r="AI85" s="186">
        <f>IF($D$75=$B$97,AI83*Revenue!AI63*Revenue!AI46,VariableCosts!AI83*Revenue!AI46)+IF($D$75=$B$97,AI84*Revenue!AI63*Revenue!AI46,VariableCosts!AI84*Revenue!AI46)</f>
        <v>0</v>
      </c>
      <c r="AJ85" s="186">
        <f>IF($D$75=$B$97,AJ83*Revenue!AJ63*Revenue!AJ46,VariableCosts!AJ83*Revenue!AJ46)+IF($D$75=$B$97,AJ84*Revenue!AJ63*Revenue!AJ46,VariableCosts!AJ84*Revenue!AJ46)</f>
        <v>0</v>
      </c>
      <c r="AK85" s="186">
        <f>IF($D$75=$B$97,AK83*Revenue!AK63*Revenue!AK46,VariableCosts!AK83*Revenue!AK46)+IF($D$75=$B$97,AK84*Revenue!AK63*Revenue!AK46,VariableCosts!AK84*Revenue!AK46)</f>
        <v>0</v>
      </c>
      <c r="AL85" s="186">
        <f>IF($D$75=$B$97,AL83*Revenue!AL63*Revenue!AL46,VariableCosts!AL83*Revenue!AL46)+IF($D$75=$B$97,AL84*Revenue!AL63*Revenue!AL46,VariableCosts!AL84*Revenue!AL46)</f>
        <v>0</v>
      </c>
      <c r="AM85" s="186">
        <f>IF($D$75=$B$97,AM83*Revenue!AM63*Revenue!AM46,VariableCosts!AM83*Revenue!AM46)+IF($D$75=$B$97,AM84*Revenue!AM63*Revenue!AM46,VariableCosts!AM84*Revenue!AM46)</f>
        <v>0</v>
      </c>
      <c r="AN85" s="186">
        <f>IF($D$75=$B$97,AN83*Revenue!AN63*Revenue!AN46,VariableCosts!AN83*Revenue!AN46)+IF($D$75=$B$97,AN84*Revenue!AN63*Revenue!AN46,VariableCosts!AN84*Revenue!AN46)</f>
        <v>0</v>
      </c>
      <c r="AO85" s="186">
        <f>IF($D$75=$B$97,AO83*Revenue!AO63*Revenue!AO46,VariableCosts!AO83*Revenue!AO46)+IF($D$75=$B$97,AO84*Revenue!AO63*Revenue!AO46,VariableCosts!AO84*Revenue!AO46)</f>
        <v>0</v>
      </c>
      <c r="AP85" s="186">
        <f>IF($D$75=$B$97,AP83*Revenue!AP63*Revenue!AP46,VariableCosts!AP83*Revenue!AP46)+IF($D$75=$B$97,AP84*Revenue!AP63*Revenue!AP46,VariableCosts!AP84*Revenue!AP46)</f>
        <v>0</v>
      </c>
      <c r="AQ85" s="186">
        <f>IF($D$75=$B$97,AQ83*Revenue!AQ63*Revenue!AQ46,VariableCosts!AQ83*Revenue!AQ46)+IF($D$75=$B$97,AQ84*Revenue!AQ63*Revenue!AQ46,VariableCosts!AQ84*Revenue!AQ46)</f>
        <v>0</v>
      </c>
      <c r="AR85" s="186">
        <f>IF($D$75=$B$97,AR83*Revenue!AR63*Revenue!AR46,VariableCosts!AR83*Revenue!AR46)+IF($D$75=$B$97,AR84*Revenue!AR63*Revenue!AR46,VariableCosts!AR84*Revenue!AR46)</f>
        <v>0</v>
      </c>
      <c r="AS85" s="186">
        <f>IF($D$75=$B$97,AS83*Revenue!AS63*Revenue!AS46,VariableCosts!AS83*Revenue!AS46)+IF($D$75=$B$97,AS84*Revenue!AS63*Revenue!AS46,VariableCosts!AS84*Revenue!AS46)</f>
        <v>0</v>
      </c>
      <c r="AT85" s="186">
        <f>IF($D$75=$B$97,AT83*Revenue!AT63*Revenue!AT46,VariableCosts!AT83*Revenue!AT46)+IF($D$75=$B$97,AT84*Revenue!AT63*Revenue!AT46,VariableCosts!AT84*Revenue!AT46)</f>
        <v>0</v>
      </c>
      <c r="AU85" s="186">
        <f>IF($D$75=$B$97,AU83*Revenue!AU63*Revenue!AU46,VariableCosts!AU83*Revenue!AU46)+IF($D$75=$B$97,AU84*Revenue!AU63*Revenue!AU46,VariableCosts!AU84*Revenue!AU46)</f>
        <v>0</v>
      </c>
      <c r="AV85" s="186">
        <f>IF($D$75=$B$97,AV83*Revenue!AV63*Revenue!AV46,VariableCosts!AV83*Revenue!AV46)+IF($D$75=$B$97,AV84*Revenue!AV63*Revenue!AV46,VariableCosts!AV84*Revenue!AV46)</f>
        <v>0</v>
      </c>
      <c r="AW85" s="186">
        <f>IF($D$75=$B$97,AW83*Revenue!AW63*Revenue!AW46,VariableCosts!AW83*Revenue!AW46)+IF($D$75=$B$97,AW84*Revenue!AW63*Revenue!AW46,VariableCosts!AW84*Revenue!AW46)</f>
        <v>0</v>
      </c>
      <c r="AX85" s="186">
        <f>IF($D$75=$B$97,AX83*Revenue!AX63*Revenue!AX46,VariableCosts!AX83*Revenue!AX46)+IF($D$75=$B$97,AX84*Revenue!AX63*Revenue!AX46,VariableCosts!AX84*Revenue!AX46)</f>
        <v>0</v>
      </c>
      <c r="AY85" s="186">
        <f>IF($D$75=$B$97,AY83*Revenue!AY63*Revenue!AY46,VariableCosts!AY83*Revenue!AY46)+IF($D$75=$B$97,AY84*Revenue!AY63*Revenue!AY46,VariableCosts!AY84*Revenue!AY46)</f>
        <v>0</v>
      </c>
      <c r="AZ85" s="186">
        <f>IF($D$75=$B$97,AZ83*Revenue!AZ63*Revenue!AZ46,VariableCosts!AZ83*Revenue!AZ46)+IF($D$75=$B$97,AZ84*Revenue!AZ63*Revenue!AZ46,VariableCosts!AZ84*Revenue!AZ46)</f>
        <v>0</v>
      </c>
      <c r="BA85" s="186">
        <f>IF($D$75=$B$97,BA83*Revenue!BA63*Revenue!BA46,VariableCosts!BA83*Revenue!BA46)+IF($D$75=$B$97,BA84*Revenue!BA63*Revenue!BA46,VariableCosts!BA84*Revenue!BA46)</f>
        <v>0</v>
      </c>
      <c r="BB85" s="186">
        <f>IF($D$75=$B$97,BB83*Revenue!BB63*Revenue!BB46,VariableCosts!BB83*Revenue!BB46)+IF($D$75=$B$97,BB84*Revenue!BB63*Revenue!BB46,VariableCosts!BB84*Revenue!BB46)</f>
        <v>0</v>
      </c>
      <c r="BC85" s="186">
        <f>IF($D$75=$B$97,BC83*Revenue!BC63*Revenue!BC46,VariableCosts!BC83*Revenue!BC46)+IF($D$75=$B$97,BC84*Revenue!BC63*Revenue!BC46,VariableCosts!BC84*Revenue!BC46)</f>
        <v>0</v>
      </c>
      <c r="BD85" s="186">
        <f>IF($D$75=$B$97,BD83*Revenue!BD63*Revenue!BD46,VariableCosts!BD83*Revenue!BD46)+IF($D$75=$B$97,BD84*Revenue!BD63*Revenue!BD46,VariableCosts!BD84*Revenue!BD46)</f>
        <v>0</v>
      </c>
      <c r="BE85" s="186">
        <f>IF($D$75=$B$97,BE83*Revenue!BE63*Revenue!BE46,VariableCosts!BE83*Revenue!BE46)+IF($D$75=$B$97,BE84*Revenue!BE63*Revenue!BE46,VariableCosts!BE84*Revenue!BE46)</f>
        <v>0</v>
      </c>
      <c r="BF85" s="186">
        <f>IF($D$75=$B$97,BF83*Revenue!BF63*Revenue!BF46,VariableCosts!BF83*Revenue!BF46)+IF($D$75=$B$97,BF84*Revenue!BF63*Revenue!BF46,VariableCosts!BF84*Revenue!BF46)</f>
        <v>0</v>
      </c>
      <c r="BG85" s="186">
        <f>IF($D$75=$B$97,BG83*Revenue!BG63*Revenue!BG46,VariableCosts!BG83*Revenue!BG46)+IF($D$75=$B$97,BG84*Revenue!BG63*Revenue!BG46,VariableCosts!BG84*Revenue!BG46)</f>
        <v>0</v>
      </c>
      <c r="BH85" s="186">
        <f>IF($D$75=$B$97,BH83*Revenue!BH63*Revenue!BH46,VariableCosts!BH83*Revenue!BH46)+IF($D$75=$B$97,BH84*Revenue!BH63*Revenue!BH46,VariableCosts!BH84*Revenue!BH46)</f>
        <v>0</v>
      </c>
      <c r="BI85" s="186">
        <f>IF($D$75=$B$97,BI83*Revenue!BI63*Revenue!BI46,VariableCosts!BI83*Revenue!BI46)+IF($D$75=$B$97,BI84*Revenue!BI63*Revenue!BI46,VariableCosts!BI84*Revenue!BI46)</f>
        <v>0</v>
      </c>
      <c r="BJ85" s="186">
        <f>IF($D$75=$B$97,BJ83*Revenue!BJ63*Revenue!BJ46,VariableCosts!BJ83*Revenue!BJ46)+IF($D$75=$B$97,BJ84*Revenue!BJ63*Revenue!BJ46,VariableCosts!BJ84*Revenue!BJ46)</f>
        <v>0</v>
      </c>
      <c r="BK85" s="186">
        <f>IF($D$75=$B$97,BK83*Revenue!BK63*Revenue!BK46,VariableCosts!BK83*Revenue!BK46)+IF($D$75=$B$97,BK84*Revenue!BK63*Revenue!BK46,VariableCosts!BK84*Revenue!BK46)</f>
        <v>0</v>
      </c>
      <c r="BL85" s="186">
        <f>IF($D$75=$B$97,BL83*Revenue!BL63*Revenue!BL46,VariableCosts!BL83*Revenue!BL46)+IF($D$75=$B$97,BL84*Revenue!BL63*Revenue!BL46,VariableCosts!BL84*Revenue!BL46)</f>
        <v>0</v>
      </c>
      <c r="BM85" s="186">
        <f>IF($D$75=$B$97,BM83*Revenue!BM63*Revenue!BM46,VariableCosts!BM83*Revenue!BM46)+IF($D$75=$B$97,BM84*Revenue!BM63*Revenue!BM46,VariableCosts!BM84*Revenue!BM46)</f>
        <v>0</v>
      </c>
      <c r="BN85" s="186">
        <f>IF($D$75=$B$97,BN83*Revenue!BN63*Revenue!BN46,VariableCosts!BN83*Revenue!BN46)+IF($D$75=$B$97,BN84*Revenue!BN63*Revenue!BN46,VariableCosts!BN84*Revenue!BN46)</f>
        <v>0</v>
      </c>
      <c r="BO85" s="186">
        <f>IF($D$75=$B$97,BO83*Revenue!BO63*Revenue!BO46,VariableCosts!BO83*Revenue!BO46)+IF($D$75=$B$97,BO84*Revenue!BO63*Revenue!BO46,VariableCosts!BO84*Revenue!BO46)</f>
        <v>0</v>
      </c>
      <c r="BP85" s="186">
        <f>IF($D$75=$B$97,BP83*Revenue!BP63*Revenue!BP46,VariableCosts!BP83*Revenue!BP46)+IF($D$75=$B$97,BP84*Revenue!BP63*Revenue!BP46,VariableCosts!BP84*Revenue!BP46)</f>
        <v>0</v>
      </c>
      <c r="BQ85" s="186">
        <f>IF($D$75=$B$97,BQ83*Revenue!BQ63*Revenue!BQ46,VariableCosts!BQ83*Revenue!BQ46)+IF($D$75=$B$97,BQ84*Revenue!BQ63*Revenue!BQ46,VariableCosts!BQ84*Revenue!BQ46)</f>
        <v>0</v>
      </c>
      <c r="BR85" s="186">
        <f>IF($D$75=$B$97,BR83*Revenue!BR63*Revenue!BR46,VariableCosts!BR83*Revenue!BR46)+IF($D$75=$B$97,BR84*Revenue!BR63*Revenue!BR46,VariableCosts!BR84*Revenue!BR46)</f>
        <v>0</v>
      </c>
      <c r="BT85" s="83"/>
    </row>
    <row r="86" spans="1:72" ht="13.5" customHeight="1" x14ac:dyDescent="0.25">
      <c r="A86" s="173"/>
      <c r="C86" s="140"/>
      <c r="D86" s="84"/>
      <c r="E86" s="140"/>
      <c r="F86" s="140"/>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c r="AG86" s="140"/>
      <c r="AH86" s="140"/>
      <c r="AI86" s="140"/>
      <c r="AJ86" s="140"/>
      <c r="AK86" s="140"/>
      <c r="AL86" s="140"/>
      <c r="AM86" s="140"/>
      <c r="AN86" s="140"/>
      <c r="AO86" s="140"/>
      <c r="AP86" s="140"/>
      <c r="AQ86" s="140"/>
      <c r="AR86" s="140"/>
      <c r="AS86" s="140"/>
      <c r="AT86" s="140"/>
      <c r="AU86" s="140"/>
      <c r="AV86" s="140"/>
      <c r="AW86" s="140"/>
      <c r="AX86" s="140"/>
      <c r="AY86" s="140"/>
      <c r="AZ86" s="140"/>
      <c r="BA86" s="140"/>
      <c r="BB86" s="140"/>
      <c r="BC86" s="140"/>
      <c r="BD86" s="140"/>
      <c r="BE86" s="140"/>
      <c r="BF86" s="140"/>
      <c r="BG86" s="140"/>
      <c r="BH86" s="140"/>
      <c r="BI86" s="140"/>
      <c r="BJ86" s="140"/>
      <c r="BK86" s="140"/>
      <c r="BL86" s="140"/>
      <c r="BM86" s="140"/>
      <c r="BN86" s="140"/>
      <c r="BO86" s="140"/>
      <c r="BP86" s="140"/>
      <c r="BQ86" s="140"/>
      <c r="BR86" s="140"/>
    </row>
    <row r="87" spans="1:72" s="143" customFormat="1" ht="13.5" customHeight="1" x14ac:dyDescent="0.25">
      <c r="B87" s="143" t="str">
        <f>Header2</f>
        <v>4.3</v>
      </c>
      <c r="C87" s="143" t="str">
        <f>IF(KeyInputs!$F$34=0," ",KeyInputs!$F$34)</f>
        <v>Insert Product Group9</v>
      </c>
    </row>
    <row r="88" spans="1:72" ht="13.5" customHeight="1" x14ac:dyDescent="0.25">
      <c r="A88" s="173"/>
      <c r="C88" s="140" t="s">
        <v>47</v>
      </c>
      <c r="E88" s="140"/>
      <c r="F88" s="140"/>
      <c r="G88" s="140"/>
      <c r="H88" s="140"/>
      <c r="I88" s="140"/>
      <c r="J88" s="140"/>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row>
    <row r="89" spans="1:72" s="140" customFormat="1" ht="13.5" customHeight="1" x14ac:dyDescent="0.25">
      <c r="C89" s="140" t="s">
        <v>48</v>
      </c>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c r="BL89" s="175"/>
      <c r="BM89" s="175"/>
      <c r="BN89" s="175"/>
      <c r="BO89" s="175"/>
      <c r="BP89" s="175"/>
      <c r="BQ89" s="175"/>
      <c r="BR89" s="175"/>
      <c r="BT89" s="89"/>
    </row>
    <row r="90" spans="1:72" s="153" customFormat="1" x14ac:dyDescent="0.25">
      <c r="A90" s="157"/>
      <c r="C90" s="157" t="s">
        <v>148</v>
      </c>
      <c r="D90" s="189" t="str">
        <f>unit</f>
        <v>£</v>
      </c>
      <c r="E90" s="157"/>
      <c r="F90" s="157"/>
      <c r="G90" s="157"/>
      <c r="H90" s="157"/>
      <c r="I90" s="157"/>
      <c r="J90" s="157"/>
      <c r="K90" s="186">
        <f>IF($D$75=$B$97,K88*Revenue!K64*Revenue!K47,VariableCosts!K88*Revenue!K47)+IF($D$75=$B$97,K89*Revenue!K64*Revenue!K47,VariableCosts!K89*Revenue!K47)</f>
        <v>0</v>
      </c>
      <c r="L90" s="186">
        <f>IF($D$75=$B$97,L88*Revenue!L64*Revenue!L47,VariableCosts!L88*Revenue!L47)+IF($D$75=$B$97,L89*Revenue!L64*Revenue!L47,VariableCosts!L89*Revenue!L47)</f>
        <v>0</v>
      </c>
      <c r="M90" s="186">
        <f>IF($D$75=$B$97,M88*Revenue!M64*Revenue!M47,VariableCosts!M88*Revenue!M47)+IF($D$75=$B$97,M89*Revenue!M64*Revenue!M47,VariableCosts!M89*Revenue!M47)</f>
        <v>0</v>
      </c>
      <c r="N90" s="186">
        <f>IF($D$75=$B$97,N88*Revenue!N64*Revenue!N47,VariableCosts!N88*Revenue!N47)+IF($D$75=$B$97,N89*Revenue!N64*Revenue!N47,VariableCosts!N89*Revenue!N47)</f>
        <v>0</v>
      </c>
      <c r="O90" s="186">
        <f>IF($D$75=$B$97,O88*Revenue!O64*Revenue!O47,VariableCosts!O88*Revenue!O47)+IF($D$75=$B$97,O89*Revenue!O64*Revenue!O47,VariableCosts!O89*Revenue!O47)</f>
        <v>0</v>
      </c>
      <c r="P90" s="186">
        <f>IF($D$75=$B$97,P88*Revenue!P64*Revenue!P47,VariableCosts!P88*Revenue!P47)+IF($D$75=$B$97,P89*Revenue!P64*Revenue!P47,VariableCosts!P89*Revenue!P47)</f>
        <v>0</v>
      </c>
      <c r="Q90" s="186">
        <f>IF($D$75=$B$97,Q88*Revenue!Q64*Revenue!Q47,VariableCosts!Q88*Revenue!Q47)+IF($D$75=$B$97,Q89*Revenue!Q64*Revenue!Q47,VariableCosts!Q89*Revenue!Q47)</f>
        <v>0</v>
      </c>
      <c r="R90" s="186">
        <f>IF($D$75=$B$97,R88*Revenue!R64*Revenue!R47,VariableCosts!R88*Revenue!R47)+IF($D$75=$B$97,R89*Revenue!R64*Revenue!R47,VariableCosts!R89*Revenue!R47)</f>
        <v>0</v>
      </c>
      <c r="S90" s="186">
        <f>IF($D$75=$B$97,S88*Revenue!S64*Revenue!S47,VariableCosts!S88*Revenue!S47)+IF($D$75=$B$97,S89*Revenue!S64*Revenue!S47,VariableCosts!S89*Revenue!S47)</f>
        <v>0</v>
      </c>
      <c r="T90" s="186">
        <f>IF($D$75=$B$97,T88*Revenue!T64*Revenue!T47,VariableCosts!T88*Revenue!T47)+IF($D$75=$B$97,T89*Revenue!T64*Revenue!T47,VariableCosts!T89*Revenue!T47)</f>
        <v>0</v>
      </c>
      <c r="U90" s="186">
        <f>IF($D$75=$B$97,U88*Revenue!U64*Revenue!U47,VariableCosts!U88*Revenue!U47)+IF($D$75=$B$97,U89*Revenue!U64*Revenue!U47,VariableCosts!U89*Revenue!U47)</f>
        <v>0</v>
      </c>
      <c r="V90" s="186">
        <f>IF($D$75=$B$97,V88*Revenue!V64*Revenue!V47,VariableCosts!V88*Revenue!V47)+IF($D$75=$B$97,V89*Revenue!V64*Revenue!V47,VariableCosts!V89*Revenue!V47)</f>
        <v>0</v>
      </c>
      <c r="W90" s="186">
        <f>IF($D$75=$B$97,W88*Revenue!W64*Revenue!W47,VariableCosts!W88*Revenue!W47)+IF($D$75=$B$97,W89*Revenue!W64*Revenue!W47,VariableCosts!W89*Revenue!W47)</f>
        <v>0</v>
      </c>
      <c r="X90" s="186">
        <f>IF($D$75=$B$97,X88*Revenue!X64*Revenue!X47,VariableCosts!X88*Revenue!X47)+IF($D$75=$B$97,X89*Revenue!X64*Revenue!X47,VariableCosts!X89*Revenue!X47)</f>
        <v>0</v>
      </c>
      <c r="Y90" s="186">
        <f>IF($D$75=$B$97,Y88*Revenue!Y64*Revenue!Y47,VariableCosts!Y88*Revenue!Y47)+IF($D$75=$B$97,Y89*Revenue!Y64*Revenue!Y47,VariableCosts!Y89*Revenue!Y47)</f>
        <v>0</v>
      </c>
      <c r="Z90" s="186">
        <f>IF($D$75=$B$97,Z88*Revenue!Z64*Revenue!Z47,VariableCosts!Z88*Revenue!Z47)+IF($D$75=$B$97,Z89*Revenue!Z64*Revenue!Z47,VariableCosts!Z89*Revenue!Z47)</f>
        <v>0</v>
      </c>
      <c r="AA90" s="186">
        <f>IF($D$75=$B$97,AA88*Revenue!AA64*Revenue!AA47,VariableCosts!AA88*Revenue!AA47)+IF($D$75=$B$97,AA89*Revenue!AA64*Revenue!AA47,VariableCosts!AA89*Revenue!AA47)</f>
        <v>0</v>
      </c>
      <c r="AB90" s="186">
        <f>IF($D$75=$B$97,AB88*Revenue!AB64*Revenue!AB47,VariableCosts!AB88*Revenue!AB47)+IF($D$75=$B$97,AB89*Revenue!AB64*Revenue!AB47,VariableCosts!AB89*Revenue!AB47)</f>
        <v>0</v>
      </c>
      <c r="AC90" s="186">
        <f>IF($D$75=$B$97,AC88*Revenue!AC64*Revenue!AC47,VariableCosts!AC88*Revenue!AC47)+IF($D$75=$B$97,AC89*Revenue!AC64*Revenue!AC47,VariableCosts!AC89*Revenue!AC47)</f>
        <v>0</v>
      </c>
      <c r="AD90" s="186">
        <f>IF($D$75=$B$97,AD88*Revenue!AD64*Revenue!AD47,VariableCosts!AD88*Revenue!AD47)+IF($D$75=$B$97,AD89*Revenue!AD64*Revenue!AD47,VariableCosts!AD89*Revenue!AD47)</f>
        <v>0</v>
      </c>
      <c r="AE90" s="186">
        <f>IF($D$75=$B$97,AE88*Revenue!AE64*Revenue!AE47,VariableCosts!AE88*Revenue!AE47)+IF($D$75=$B$97,AE89*Revenue!AE64*Revenue!AE47,VariableCosts!AE89*Revenue!AE47)</f>
        <v>0</v>
      </c>
      <c r="AF90" s="186">
        <f>IF($D$75=$B$97,AF88*Revenue!AF64*Revenue!AF47,VariableCosts!AF88*Revenue!AF47)+IF($D$75=$B$97,AF89*Revenue!AF64*Revenue!AF47,VariableCosts!AF89*Revenue!AF47)</f>
        <v>0</v>
      </c>
      <c r="AG90" s="186">
        <f>IF($D$75=$B$97,AG88*Revenue!AG64*Revenue!AG47,VariableCosts!AG88*Revenue!AG47)+IF($D$75=$B$97,AG89*Revenue!AG64*Revenue!AG47,VariableCosts!AG89*Revenue!AG47)</f>
        <v>0</v>
      </c>
      <c r="AH90" s="186">
        <f>IF($D$75=$B$97,AH88*Revenue!AH64*Revenue!AH47,VariableCosts!AH88*Revenue!AH47)+IF($D$75=$B$97,AH89*Revenue!AH64*Revenue!AH47,VariableCosts!AH89*Revenue!AH47)</f>
        <v>0</v>
      </c>
      <c r="AI90" s="186">
        <f>IF($D$75=$B$97,AI88*Revenue!AI64*Revenue!AI47,VariableCosts!AI88*Revenue!AI47)+IF($D$75=$B$97,AI89*Revenue!AI64*Revenue!AI47,VariableCosts!AI89*Revenue!AI47)</f>
        <v>0</v>
      </c>
      <c r="AJ90" s="186">
        <f>IF($D$75=$B$97,AJ88*Revenue!AJ64*Revenue!AJ47,VariableCosts!AJ88*Revenue!AJ47)+IF($D$75=$B$97,AJ89*Revenue!AJ64*Revenue!AJ47,VariableCosts!AJ89*Revenue!AJ47)</f>
        <v>0</v>
      </c>
      <c r="AK90" s="186">
        <f>IF($D$75=$B$97,AK88*Revenue!AK64*Revenue!AK47,VariableCosts!AK88*Revenue!AK47)+IF($D$75=$B$97,AK89*Revenue!AK64*Revenue!AK47,VariableCosts!AK89*Revenue!AK47)</f>
        <v>0</v>
      </c>
      <c r="AL90" s="186">
        <f>IF($D$75=$B$97,AL88*Revenue!AL64*Revenue!AL47,VariableCosts!AL88*Revenue!AL47)+IF($D$75=$B$97,AL89*Revenue!AL64*Revenue!AL47,VariableCosts!AL89*Revenue!AL47)</f>
        <v>0</v>
      </c>
      <c r="AM90" s="186">
        <f>IF($D$75=$B$97,AM88*Revenue!AM64*Revenue!AM47,VariableCosts!AM88*Revenue!AM47)+IF($D$75=$B$97,AM89*Revenue!AM64*Revenue!AM47,VariableCosts!AM89*Revenue!AM47)</f>
        <v>0</v>
      </c>
      <c r="AN90" s="186">
        <f>IF($D$75=$B$97,AN88*Revenue!AN64*Revenue!AN47,VariableCosts!AN88*Revenue!AN47)+IF($D$75=$B$97,AN89*Revenue!AN64*Revenue!AN47,VariableCosts!AN89*Revenue!AN47)</f>
        <v>0</v>
      </c>
      <c r="AO90" s="186">
        <f>IF($D$75=$B$97,AO88*Revenue!AO64*Revenue!AO47,VariableCosts!AO88*Revenue!AO47)+IF($D$75=$B$97,AO89*Revenue!AO64*Revenue!AO47,VariableCosts!AO89*Revenue!AO47)</f>
        <v>0</v>
      </c>
      <c r="AP90" s="186">
        <f>IF($D$75=$B$97,AP88*Revenue!AP64*Revenue!AP47,VariableCosts!AP88*Revenue!AP47)+IF($D$75=$B$97,AP89*Revenue!AP64*Revenue!AP47,VariableCosts!AP89*Revenue!AP47)</f>
        <v>0</v>
      </c>
      <c r="AQ90" s="186">
        <f>IF($D$75=$B$97,AQ88*Revenue!AQ64*Revenue!AQ47,VariableCosts!AQ88*Revenue!AQ47)+IF($D$75=$B$97,AQ89*Revenue!AQ64*Revenue!AQ47,VariableCosts!AQ89*Revenue!AQ47)</f>
        <v>0</v>
      </c>
      <c r="AR90" s="186">
        <f>IF($D$75=$B$97,AR88*Revenue!AR64*Revenue!AR47,VariableCosts!AR88*Revenue!AR47)+IF($D$75=$B$97,AR89*Revenue!AR64*Revenue!AR47,VariableCosts!AR89*Revenue!AR47)</f>
        <v>0</v>
      </c>
      <c r="AS90" s="186">
        <f>IF($D$75=$B$97,AS88*Revenue!AS64*Revenue!AS47,VariableCosts!AS88*Revenue!AS47)+IF($D$75=$B$97,AS89*Revenue!AS64*Revenue!AS47,VariableCosts!AS89*Revenue!AS47)</f>
        <v>0</v>
      </c>
      <c r="AT90" s="186">
        <f>IF($D$75=$B$97,AT88*Revenue!AT64*Revenue!AT47,VariableCosts!AT88*Revenue!AT47)+IF($D$75=$B$97,AT89*Revenue!AT64*Revenue!AT47,VariableCosts!AT89*Revenue!AT47)</f>
        <v>0</v>
      </c>
      <c r="AU90" s="186">
        <f>IF($D$75=$B$97,AU88*Revenue!AU64*Revenue!AU47,VariableCosts!AU88*Revenue!AU47)+IF($D$75=$B$97,AU89*Revenue!AU64*Revenue!AU47,VariableCosts!AU89*Revenue!AU47)</f>
        <v>0</v>
      </c>
      <c r="AV90" s="186">
        <f>IF($D$75=$B$97,AV88*Revenue!AV64*Revenue!AV47,VariableCosts!AV88*Revenue!AV47)+IF($D$75=$B$97,AV89*Revenue!AV64*Revenue!AV47,VariableCosts!AV89*Revenue!AV47)</f>
        <v>0</v>
      </c>
      <c r="AW90" s="186">
        <f>IF($D$75=$B$97,AW88*Revenue!AW64*Revenue!AW47,VariableCosts!AW88*Revenue!AW47)+IF($D$75=$B$97,AW89*Revenue!AW64*Revenue!AW47,VariableCosts!AW89*Revenue!AW47)</f>
        <v>0</v>
      </c>
      <c r="AX90" s="186">
        <f>IF($D$75=$B$97,AX88*Revenue!AX64*Revenue!AX47,VariableCosts!AX88*Revenue!AX47)+IF($D$75=$B$97,AX89*Revenue!AX64*Revenue!AX47,VariableCosts!AX89*Revenue!AX47)</f>
        <v>0</v>
      </c>
      <c r="AY90" s="186">
        <f>IF($D$75=$B$97,AY88*Revenue!AY64*Revenue!AY47,VariableCosts!AY88*Revenue!AY47)+IF($D$75=$B$97,AY89*Revenue!AY64*Revenue!AY47,VariableCosts!AY89*Revenue!AY47)</f>
        <v>0</v>
      </c>
      <c r="AZ90" s="186">
        <f>IF($D$75=$B$97,AZ88*Revenue!AZ64*Revenue!AZ47,VariableCosts!AZ88*Revenue!AZ47)+IF($D$75=$B$97,AZ89*Revenue!AZ64*Revenue!AZ47,VariableCosts!AZ89*Revenue!AZ47)</f>
        <v>0</v>
      </c>
      <c r="BA90" s="186">
        <f>IF($D$75=$B$97,BA88*Revenue!BA64*Revenue!BA47,VariableCosts!BA88*Revenue!BA47)+IF($D$75=$B$97,BA89*Revenue!BA64*Revenue!BA47,VariableCosts!BA89*Revenue!BA47)</f>
        <v>0</v>
      </c>
      <c r="BB90" s="186">
        <f>IF($D$75=$B$97,BB88*Revenue!BB64*Revenue!BB47,VariableCosts!BB88*Revenue!BB47)+IF($D$75=$B$97,BB89*Revenue!BB64*Revenue!BB47,VariableCosts!BB89*Revenue!BB47)</f>
        <v>0</v>
      </c>
      <c r="BC90" s="186">
        <f>IF($D$75=$B$97,BC88*Revenue!BC64*Revenue!BC47,VariableCosts!BC88*Revenue!BC47)+IF($D$75=$B$97,BC89*Revenue!BC64*Revenue!BC47,VariableCosts!BC89*Revenue!BC47)</f>
        <v>0</v>
      </c>
      <c r="BD90" s="186">
        <f>IF($D$75=$B$97,BD88*Revenue!BD64*Revenue!BD47,VariableCosts!BD88*Revenue!BD47)+IF($D$75=$B$97,BD89*Revenue!BD64*Revenue!BD47,VariableCosts!BD89*Revenue!BD47)</f>
        <v>0</v>
      </c>
      <c r="BE90" s="186">
        <f>IF($D$75=$B$97,BE88*Revenue!BE64*Revenue!BE47,VariableCosts!BE88*Revenue!BE47)+IF($D$75=$B$97,BE89*Revenue!BE64*Revenue!BE47,VariableCosts!BE89*Revenue!BE47)</f>
        <v>0</v>
      </c>
      <c r="BF90" s="186">
        <f>IF($D$75=$B$97,BF88*Revenue!BF64*Revenue!BF47,VariableCosts!BF88*Revenue!BF47)+IF($D$75=$B$97,BF89*Revenue!BF64*Revenue!BF47,VariableCosts!BF89*Revenue!BF47)</f>
        <v>0</v>
      </c>
      <c r="BG90" s="186">
        <f>IF($D$75=$B$97,BG88*Revenue!BG64*Revenue!BG47,VariableCosts!BG88*Revenue!BG47)+IF($D$75=$B$97,BG89*Revenue!BG64*Revenue!BG47,VariableCosts!BG89*Revenue!BG47)</f>
        <v>0</v>
      </c>
      <c r="BH90" s="186">
        <f>IF($D$75=$B$97,BH88*Revenue!BH64*Revenue!BH47,VariableCosts!BH88*Revenue!BH47)+IF($D$75=$B$97,BH89*Revenue!BH64*Revenue!BH47,VariableCosts!BH89*Revenue!BH47)</f>
        <v>0</v>
      </c>
      <c r="BI90" s="186">
        <f>IF($D$75=$B$97,BI88*Revenue!BI64*Revenue!BI47,VariableCosts!BI88*Revenue!BI47)+IF($D$75=$B$97,BI89*Revenue!BI64*Revenue!BI47,VariableCosts!BI89*Revenue!BI47)</f>
        <v>0</v>
      </c>
      <c r="BJ90" s="186">
        <f>IF($D$75=$B$97,BJ88*Revenue!BJ64*Revenue!BJ47,VariableCosts!BJ88*Revenue!BJ47)+IF($D$75=$B$97,BJ89*Revenue!BJ64*Revenue!BJ47,VariableCosts!BJ89*Revenue!BJ47)</f>
        <v>0</v>
      </c>
      <c r="BK90" s="186">
        <f>IF($D$75=$B$97,BK88*Revenue!BK64*Revenue!BK47,VariableCosts!BK88*Revenue!BK47)+IF($D$75=$B$97,BK89*Revenue!BK64*Revenue!BK47,VariableCosts!BK89*Revenue!BK47)</f>
        <v>0</v>
      </c>
      <c r="BL90" s="186">
        <f>IF($D$75=$B$97,BL88*Revenue!BL64*Revenue!BL47,VariableCosts!BL88*Revenue!BL47)+IF($D$75=$B$97,BL89*Revenue!BL64*Revenue!BL47,VariableCosts!BL89*Revenue!BL47)</f>
        <v>0</v>
      </c>
      <c r="BM90" s="186">
        <f>IF($D$75=$B$97,BM88*Revenue!BM64*Revenue!BM47,VariableCosts!BM88*Revenue!BM47)+IF($D$75=$B$97,BM89*Revenue!BM64*Revenue!BM47,VariableCosts!BM89*Revenue!BM47)</f>
        <v>0</v>
      </c>
      <c r="BN90" s="186">
        <f>IF($D$75=$B$97,BN88*Revenue!BN64*Revenue!BN47,VariableCosts!BN88*Revenue!BN47)+IF($D$75=$B$97,BN89*Revenue!BN64*Revenue!BN47,VariableCosts!BN89*Revenue!BN47)</f>
        <v>0</v>
      </c>
      <c r="BO90" s="186">
        <f>IF($D$75=$B$97,BO88*Revenue!BO64*Revenue!BO47,VariableCosts!BO88*Revenue!BO47)+IF($D$75=$B$97,BO89*Revenue!BO64*Revenue!BO47,VariableCosts!BO89*Revenue!BO47)</f>
        <v>0</v>
      </c>
      <c r="BP90" s="186">
        <f>IF($D$75=$B$97,BP88*Revenue!BP64*Revenue!BP47,VariableCosts!BP88*Revenue!BP47)+IF($D$75=$B$97,BP89*Revenue!BP64*Revenue!BP47,VariableCosts!BP89*Revenue!BP47)</f>
        <v>0</v>
      </c>
      <c r="BQ90" s="186">
        <f>IF($D$75=$B$97,BQ88*Revenue!BQ64*Revenue!BQ47,VariableCosts!BQ88*Revenue!BQ47)+IF($D$75=$B$97,BQ89*Revenue!BQ64*Revenue!BQ47,VariableCosts!BQ89*Revenue!BQ47)</f>
        <v>0</v>
      </c>
      <c r="BR90" s="186">
        <f>IF($D$75=$B$97,BR88*Revenue!BR64*Revenue!BR47,VariableCosts!BR88*Revenue!BR47)+IF($D$75=$B$97,BR89*Revenue!BR64*Revenue!BR47,VariableCosts!BR89*Revenue!BR47)</f>
        <v>0</v>
      </c>
      <c r="BT90" s="83"/>
    </row>
    <row r="91" spans="1:72" s="140" customFormat="1" ht="13.5" customHeight="1" x14ac:dyDescent="0.25">
      <c r="C91" s="102"/>
      <c r="D91" s="84"/>
      <c r="K91" s="103"/>
      <c r="L91" s="103"/>
      <c r="M91" s="103"/>
      <c r="N91" s="103"/>
      <c r="O91" s="103"/>
      <c r="P91" s="103"/>
      <c r="Q91" s="103"/>
      <c r="R91" s="103"/>
      <c r="S91" s="103"/>
      <c r="T91" s="103"/>
      <c r="U91" s="103"/>
      <c r="V91" s="103"/>
      <c r="W91" s="103"/>
      <c r="X91" s="103"/>
      <c r="Y91" s="103"/>
      <c r="Z91" s="103"/>
      <c r="AA91" s="103"/>
      <c r="AB91" s="103"/>
      <c r="AC91" s="103"/>
      <c r="AD91" s="103"/>
      <c r="AE91" s="103"/>
      <c r="AF91" s="103"/>
      <c r="AG91" s="103"/>
      <c r="AH91" s="103"/>
      <c r="AI91" s="103"/>
      <c r="AJ91" s="103"/>
      <c r="AK91" s="103"/>
      <c r="AL91" s="103"/>
      <c r="AM91" s="103"/>
      <c r="AN91" s="103"/>
      <c r="AO91" s="103"/>
      <c r="AP91" s="103"/>
      <c r="AQ91" s="103"/>
      <c r="AR91" s="103"/>
      <c r="AS91" s="103"/>
      <c r="AT91" s="103"/>
      <c r="AU91" s="103"/>
      <c r="AV91" s="103"/>
      <c r="AW91" s="103"/>
      <c r="AX91" s="103"/>
      <c r="AY91" s="103"/>
      <c r="AZ91" s="103"/>
      <c r="BA91" s="103"/>
      <c r="BB91" s="103"/>
      <c r="BC91" s="103"/>
      <c r="BD91" s="103"/>
      <c r="BE91" s="103"/>
      <c r="BF91" s="103"/>
      <c r="BG91" s="103"/>
      <c r="BH91" s="103"/>
      <c r="BI91" s="103"/>
      <c r="BJ91" s="103"/>
      <c r="BK91" s="103"/>
      <c r="BL91" s="103"/>
      <c r="BM91" s="103"/>
      <c r="BN91" s="103"/>
      <c r="BO91" s="103"/>
      <c r="BP91" s="103"/>
      <c r="BQ91" s="103"/>
      <c r="BR91" s="103"/>
      <c r="BT91" s="89"/>
    </row>
    <row r="92" spans="1:72" s="140" customFormat="1" ht="13.5" customHeight="1" x14ac:dyDescent="0.25">
      <c r="C92" s="84" t="s">
        <v>150</v>
      </c>
      <c r="D92" s="192" t="str">
        <f>unit</f>
        <v>£</v>
      </c>
      <c r="E92" s="157"/>
      <c r="F92" s="157"/>
      <c r="G92" s="157"/>
      <c r="H92" s="157"/>
      <c r="I92" s="157"/>
      <c r="J92" s="157"/>
      <c r="K92" s="86">
        <f>K90+K85+K80</f>
        <v>0</v>
      </c>
      <c r="L92" s="86">
        <f t="shared" ref="L92:BR92" si="91">L90+L85+L80</f>
        <v>0</v>
      </c>
      <c r="M92" s="86">
        <f t="shared" si="91"/>
        <v>0</v>
      </c>
      <c r="N92" s="86">
        <f t="shared" si="91"/>
        <v>0</v>
      </c>
      <c r="O92" s="86">
        <f t="shared" si="91"/>
        <v>0</v>
      </c>
      <c r="P92" s="86">
        <f t="shared" si="91"/>
        <v>0</v>
      </c>
      <c r="Q92" s="86">
        <f t="shared" si="91"/>
        <v>0</v>
      </c>
      <c r="R92" s="86">
        <f t="shared" si="91"/>
        <v>0</v>
      </c>
      <c r="S92" s="86">
        <f t="shared" si="91"/>
        <v>0</v>
      </c>
      <c r="T92" s="86">
        <f t="shared" si="91"/>
        <v>0</v>
      </c>
      <c r="U92" s="86">
        <f t="shared" si="91"/>
        <v>0</v>
      </c>
      <c r="V92" s="86">
        <f t="shared" si="91"/>
        <v>0</v>
      </c>
      <c r="W92" s="86">
        <f t="shared" si="91"/>
        <v>0</v>
      </c>
      <c r="X92" s="86">
        <f t="shared" si="91"/>
        <v>0</v>
      </c>
      <c r="Y92" s="86">
        <f t="shared" si="91"/>
        <v>0</v>
      </c>
      <c r="Z92" s="86">
        <f t="shared" si="91"/>
        <v>0</v>
      </c>
      <c r="AA92" s="86">
        <f t="shared" si="91"/>
        <v>0</v>
      </c>
      <c r="AB92" s="86">
        <f t="shared" si="91"/>
        <v>0</v>
      </c>
      <c r="AC92" s="86">
        <f t="shared" si="91"/>
        <v>0</v>
      </c>
      <c r="AD92" s="86">
        <f t="shared" si="91"/>
        <v>0</v>
      </c>
      <c r="AE92" s="86">
        <f t="shared" si="91"/>
        <v>0</v>
      </c>
      <c r="AF92" s="86">
        <f t="shared" si="91"/>
        <v>0</v>
      </c>
      <c r="AG92" s="86">
        <f t="shared" si="91"/>
        <v>0</v>
      </c>
      <c r="AH92" s="86">
        <f t="shared" si="91"/>
        <v>0</v>
      </c>
      <c r="AI92" s="86">
        <f t="shared" si="91"/>
        <v>0</v>
      </c>
      <c r="AJ92" s="86">
        <f t="shared" si="91"/>
        <v>0</v>
      </c>
      <c r="AK92" s="86">
        <f t="shared" si="91"/>
        <v>0</v>
      </c>
      <c r="AL92" s="86">
        <f t="shared" si="91"/>
        <v>0</v>
      </c>
      <c r="AM92" s="86">
        <f t="shared" si="91"/>
        <v>0</v>
      </c>
      <c r="AN92" s="86">
        <f t="shared" si="91"/>
        <v>0</v>
      </c>
      <c r="AO92" s="86">
        <f t="shared" si="91"/>
        <v>0</v>
      </c>
      <c r="AP92" s="86">
        <f t="shared" si="91"/>
        <v>0</v>
      </c>
      <c r="AQ92" s="86">
        <f t="shared" si="91"/>
        <v>0</v>
      </c>
      <c r="AR92" s="86">
        <f t="shared" si="91"/>
        <v>0</v>
      </c>
      <c r="AS92" s="86">
        <f t="shared" si="91"/>
        <v>0</v>
      </c>
      <c r="AT92" s="86">
        <f t="shared" si="91"/>
        <v>0</v>
      </c>
      <c r="AU92" s="86">
        <f t="shared" si="91"/>
        <v>0</v>
      </c>
      <c r="AV92" s="86">
        <f t="shared" si="91"/>
        <v>0</v>
      </c>
      <c r="AW92" s="86">
        <f t="shared" si="91"/>
        <v>0</v>
      </c>
      <c r="AX92" s="86">
        <f t="shared" si="91"/>
        <v>0</v>
      </c>
      <c r="AY92" s="86">
        <f t="shared" si="91"/>
        <v>0</v>
      </c>
      <c r="AZ92" s="86">
        <f t="shared" si="91"/>
        <v>0</v>
      </c>
      <c r="BA92" s="86">
        <f t="shared" si="91"/>
        <v>0</v>
      </c>
      <c r="BB92" s="86">
        <f t="shared" si="91"/>
        <v>0</v>
      </c>
      <c r="BC92" s="86">
        <f t="shared" si="91"/>
        <v>0</v>
      </c>
      <c r="BD92" s="86">
        <f t="shared" si="91"/>
        <v>0</v>
      </c>
      <c r="BE92" s="86">
        <f t="shared" si="91"/>
        <v>0</v>
      </c>
      <c r="BF92" s="86">
        <f t="shared" si="91"/>
        <v>0</v>
      </c>
      <c r="BG92" s="86">
        <f t="shared" si="91"/>
        <v>0</v>
      </c>
      <c r="BH92" s="86">
        <f t="shared" si="91"/>
        <v>0</v>
      </c>
      <c r="BI92" s="86">
        <f t="shared" si="91"/>
        <v>0</v>
      </c>
      <c r="BJ92" s="86">
        <f t="shared" si="91"/>
        <v>0</v>
      </c>
      <c r="BK92" s="86">
        <f t="shared" si="91"/>
        <v>0</v>
      </c>
      <c r="BL92" s="86">
        <f t="shared" si="91"/>
        <v>0</v>
      </c>
      <c r="BM92" s="86">
        <f t="shared" si="91"/>
        <v>0</v>
      </c>
      <c r="BN92" s="86">
        <f t="shared" si="91"/>
        <v>0</v>
      </c>
      <c r="BO92" s="86">
        <f t="shared" si="91"/>
        <v>0</v>
      </c>
      <c r="BP92" s="86">
        <f t="shared" si="91"/>
        <v>0</v>
      </c>
      <c r="BQ92" s="86">
        <f t="shared" si="91"/>
        <v>0</v>
      </c>
      <c r="BR92" s="86">
        <f t="shared" si="91"/>
        <v>0</v>
      </c>
      <c r="BT92" s="89"/>
    </row>
    <row r="93" spans="1:72" ht="13.5" customHeight="1" x14ac:dyDescent="0.25"/>
    <row r="94" spans="1:72" x14ac:dyDescent="0.25">
      <c r="A94" s="76" t="s">
        <v>25</v>
      </c>
      <c r="B94" s="76"/>
    </row>
    <row r="95" spans="1:72" x14ac:dyDescent="0.25">
      <c r="A95" s="76" t="s">
        <v>26</v>
      </c>
      <c r="B95" s="76"/>
    </row>
    <row r="96" spans="1:72" x14ac:dyDescent="0.25">
      <c r="A96" s="76" t="s">
        <v>51</v>
      </c>
      <c r="B96" s="76"/>
    </row>
    <row r="97" spans="1:2" ht="12.75" hidden="1" customHeight="1" outlineLevel="1" x14ac:dyDescent="0.25">
      <c r="B97" s="139" t="s">
        <v>159</v>
      </c>
    </row>
    <row r="98" spans="1:2" ht="12.75" hidden="1" customHeight="1" outlineLevel="1" x14ac:dyDescent="0.25">
      <c r="B98" s="139" t="s">
        <v>160</v>
      </c>
    </row>
    <row r="99" spans="1:2" collapsed="1" x14ac:dyDescent="0.25"/>
    <row r="100" spans="1:2" s="166" customFormat="1" ht="15.6" x14ac:dyDescent="0.3">
      <c r="A100" s="166" t="s">
        <v>217</v>
      </c>
    </row>
  </sheetData>
  <dataValidations count="1">
    <dataValidation type="list" allowBlank="1" showInputMessage="1" showErrorMessage="1" sqref="D75 D54 D33" xr:uid="{00000000-0002-0000-1A00-000000000000}">
      <formula1>$B$97:$B$98</formula1>
    </dataValidation>
  </dataValidation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BZ113"/>
  <sheetViews>
    <sheetView showGridLines="0" zoomScale="80" zoomScaleNormal="80" zoomScalePageLayoutView="80" workbookViewId="0">
      <pane xSplit="10" ySplit="8" topLeftCell="K81" activePane="bottomRight" state="frozen"/>
      <selection activeCell="C10" sqref="C10"/>
      <selection pane="topRight" activeCell="C10" sqref="C10"/>
      <selection pane="bottomLeft" activeCell="C10" sqref="C10"/>
      <selection pane="bottomRight" activeCell="A110" sqref="A110:XFD110"/>
    </sheetView>
  </sheetViews>
  <sheetFormatPr defaultColWidth="0" defaultRowHeight="13.2" x14ac:dyDescent="0.25"/>
  <cols>
    <col min="1" max="1" width="4.44140625" style="139" customWidth="1"/>
    <col min="2" max="2" width="6.33203125" style="139" customWidth="1"/>
    <col min="3" max="3" width="28.6640625" style="139" customWidth="1"/>
    <col min="4" max="4" width="7.6640625" style="159" customWidth="1"/>
    <col min="5" max="6" width="10" style="140" bestFit="1" customWidth="1"/>
    <col min="7" max="7" width="13.44140625" style="140" customWidth="1"/>
    <col min="8" max="9" width="10" style="140" bestFit="1" customWidth="1"/>
    <col min="10" max="10" width="6.6640625" style="63" bestFit="1" customWidth="1"/>
    <col min="11" max="11" width="10.109375" style="139" bestFit="1" customWidth="1"/>
    <col min="12" max="12" width="10.44140625" style="139" bestFit="1" customWidth="1"/>
    <col min="13" max="13" width="10.33203125" style="139" bestFit="1" customWidth="1"/>
    <col min="14" max="14" width="10" style="139" bestFit="1" customWidth="1"/>
    <col min="15" max="16" width="10.33203125" style="139" bestFit="1" customWidth="1"/>
    <col min="17" max="17" width="10" style="139" bestFit="1" customWidth="1"/>
    <col min="18" max="20" width="10.109375" style="139" bestFit="1" customWidth="1"/>
    <col min="21" max="21" width="10.44140625" style="139" bestFit="1" customWidth="1"/>
    <col min="22" max="23" width="10" style="139" bestFit="1" customWidth="1"/>
    <col min="24" max="24" width="10.44140625" style="139" bestFit="1" customWidth="1"/>
    <col min="25" max="25" width="10.33203125" style="139" bestFit="1" customWidth="1"/>
    <col min="26" max="26" width="10" style="139" bestFit="1" customWidth="1"/>
    <col min="27" max="28" width="10.33203125" style="139" bestFit="1" customWidth="1"/>
    <col min="29" max="29" width="10" style="139" bestFit="1" customWidth="1"/>
    <col min="30" max="32" width="10.109375" style="139" bestFit="1" customWidth="1"/>
    <col min="33" max="33" width="10.44140625" style="139" bestFit="1" customWidth="1"/>
    <col min="34" max="34" width="10" style="139" bestFit="1" customWidth="1"/>
    <col min="35" max="35" width="9.33203125" style="139" bestFit="1" customWidth="1"/>
    <col min="36" max="36" width="10.44140625" style="139" bestFit="1" customWidth="1"/>
    <col min="37" max="37" width="10.33203125" style="139" bestFit="1" customWidth="1"/>
    <col min="38" max="38" width="10" style="139" bestFit="1" customWidth="1"/>
    <col min="39" max="40" width="10.33203125" style="139" bestFit="1" customWidth="1"/>
    <col min="41" max="41" width="10" style="139" bestFit="1" customWidth="1"/>
    <col min="42" max="44" width="10.109375" style="139" bestFit="1" customWidth="1"/>
    <col min="45" max="45" width="10.44140625" style="139" bestFit="1" customWidth="1"/>
    <col min="46" max="46" width="10" style="139" bestFit="1" customWidth="1"/>
    <col min="47" max="47" width="9.33203125" style="139" bestFit="1" customWidth="1"/>
    <col min="48" max="48" width="10.44140625" style="139" bestFit="1" customWidth="1"/>
    <col min="49" max="49" width="10.33203125" style="139" bestFit="1" customWidth="1"/>
    <col min="50" max="50" width="10" style="139" bestFit="1" customWidth="1"/>
    <col min="51" max="52" width="10.33203125" style="139" bestFit="1" customWidth="1"/>
    <col min="53" max="53" width="10" style="139" bestFit="1" customWidth="1"/>
    <col min="54" max="56" width="10.109375" style="139" bestFit="1" customWidth="1"/>
    <col min="57" max="57" width="10.44140625" style="139" bestFit="1" customWidth="1"/>
    <col min="58" max="58" width="10" style="139" bestFit="1" customWidth="1"/>
    <col min="59" max="59" width="9.33203125" style="139" bestFit="1" customWidth="1"/>
    <col min="60" max="60" width="10.44140625" style="139" bestFit="1" customWidth="1"/>
    <col min="61" max="61" width="10.33203125" style="139" bestFit="1" customWidth="1"/>
    <col min="62" max="62" width="10" style="139" bestFit="1" customWidth="1"/>
    <col min="63" max="64" width="10.33203125" style="139" bestFit="1" customWidth="1"/>
    <col min="65" max="65" width="10" style="139" bestFit="1" customWidth="1"/>
    <col min="66" max="68" width="10.109375" style="139" bestFit="1" customWidth="1"/>
    <col min="69" max="69" width="10.44140625" style="139" bestFit="1" customWidth="1"/>
    <col min="70" max="70" width="10" style="139" bestFit="1" customWidth="1"/>
    <col min="71" max="78" width="9.109375" style="139" customWidth="1"/>
    <col min="79" max="16384" width="9.109375" style="139" hidden="1"/>
  </cols>
  <sheetData>
    <row r="1" spans="1:78" s="285" customFormat="1" x14ac:dyDescent="0.25"/>
    <row r="2" spans="1:78" s="285" customFormat="1" x14ac:dyDescent="0.25"/>
    <row r="3" spans="1:78" s="285" customFormat="1" x14ac:dyDescent="0.25">
      <c r="A3" s="286">
        <f>KeyInputs!F14</f>
        <v>0</v>
      </c>
      <c r="C3" s="286"/>
      <c r="D3" s="286"/>
      <c r="E3" s="286"/>
      <c r="F3" s="286"/>
      <c r="G3" s="286"/>
      <c r="H3" s="286"/>
      <c r="I3" s="286"/>
      <c r="J3" s="286"/>
    </row>
    <row r="4" spans="1:78" s="285" customFormat="1" x14ac:dyDescent="0.25">
      <c r="A4" s="285" t="s">
        <v>182</v>
      </c>
    </row>
    <row r="5" spans="1:78" s="285" customFormat="1" x14ac:dyDescent="0.25">
      <c r="D5" s="287" t="str">
        <f>KeyInputs!D5</f>
        <v>Year</v>
      </c>
      <c r="E5" s="287">
        <f>KeyInputs!H5</f>
        <v>2015</v>
      </c>
      <c r="F5" s="287">
        <f>KeyInputs!I5</f>
        <v>2016</v>
      </c>
      <c r="G5" s="287">
        <f>KeyInputs!J5</f>
        <v>2017</v>
      </c>
      <c r="H5" s="287">
        <f>KeyInputs!K5</f>
        <v>2018</v>
      </c>
      <c r="I5" s="287">
        <f>KeyInputs!L5</f>
        <v>2019</v>
      </c>
      <c r="J5" s="287"/>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8" customFormat="1" x14ac:dyDescent="0.25">
      <c r="D6" s="287" t="str">
        <f>KeyInputs!D6</f>
        <v>Period number</v>
      </c>
      <c r="E6" s="287">
        <f>KeyInputs!H6</f>
        <v>1</v>
      </c>
      <c r="F6" s="287">
        <f>KeyInputs!I6</f>
        <v>2</v>
      </c>
      <c r="G6" s="287">
        <f>KeyInputs!J6</f>
        <v>3</v>
      </c>
      <c r="H6" s="287">
        <f>KeyInputs!K6</f>
        <v>4</v>
      </c>
      <c r="I6" s="287">
        <f>KeyInputs!L6</f>
        <v>5</v>
      </c>
      <c r="J6" s="287"/>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8" customFormat="1" x14ac:dyDescent="0.25">
      <c r="D7" s="287" t="str">
        <f>KeyInputs!D7</f>
        <v>Period starts</v>
      </c>
      <c r="E7" s="294">
        <f>KeyInputs!H7</f>
        <v>42005</v>
      </c>
      <c r="F7" s="294">
        <f>KeyInputs!I7</f>
        <v>42370</v>
      </c>
      <c r="G7" s="294">
        <f>KeyInputs!J7</f>
        <v>42736</v>
      </c>
      <c r="H7" s="294">
        <f>KeyInputs!K7</f>
        <v>43101</v>
      </c>
      <c r="I7" s="294">
        <f>KeyInputs!L7</f>
        <v>43466</v>
      </c>
      <c r="J7" s="287"/>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2" customFormat="1"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87"/>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8"/>
      <c r="BT8" s="288"/>
      <c r="BU8" s="288"/>
      <c r="BV8" s="288"/>
      <c r="BW8" s="288"/>
      <c r="BX8" s="288"/>
      <c r="BY8" s="288"/>
      <c r="BZ8" s="288"/>
    </row>
    <row r="9" spans="1:78" s="123" customFormat="1" x14ac:dyDescent="0.25">
      <c r="B9" s="124"/>
      <c r="C9" s="124"/>
      <c r="D9" s="125"/>
      <c r="E9" s="164"/>
      <c r="F9" s="164"/>
      <c r="G9" s="164"/>
      <c r="H9" s="164"/>
      <c r="I9" s="164"/>
      <c r="J9" s="165"/>
      <c r="K9" s="164"/>
      <c r="L9" s="164"/>
      <c r="M9" s="164"/>
      <c r="N9" s="164"/>
      <c r="O9" s="164"/>
      <c r="P9" s="164"/>
      <c r="Q9" s="164"/>
      <c r="R9" s="164"/>
      <c r="S9" s="164"/>
      <c r="T9" s="164"/>
      <c r="U9" s="164"/>
      <c r="V9" s="164"/>
      <c r="W9" s="164"/>
      <c r="X9" s="164"/>
      <c r="Y9" s="164"/>
      <c r="Z9" s="164"/>
      <c r="AA9" s="164"/>
      <c r="AB9" s="164"/>
      <c r="AC9" s="164"/>
      <c r="AD9" s="164"/>
      <c r="AE9" s="164"/>
      <c r="AF9" s="164"/>
      <c r="AG9" s="164"/>
      <c r="AH9" s="164"/>
      <c r="AI9" s="164"/>
      <c r="AJ9" s="164"/>
      <c r="AK9" s="164"/>
      <c r="AL9" s="164"/>
      <c r="AM9" s="164"/>
      <c r="AN9" s="164"/>
      <c r="AO9" s="164"/>
      <c r="AP9" s="164"/>
      <c r="AQ9" s="164"/>
      <c r="AR9" s="164"/>
      <c r="AS9" s="164"/>
      <c r="AT9" s="164"/>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row>
    <row r="10" spans="1:78" s="166" customFormat="1" ht="15.6" x14ac:dyDescent="0.3">
      <c r="A10" s="166">
        <f>Header1</f>
        <v>1</v>
      </c>
      <c r="B10" s="166" t="s">
        <v>196</v>
      </c>
    </row>
    <row r="11" spans="1:78" s="304" customFormat="1" ht="13.8" x14ac:dyDescent="0.25">
      <c r="B11" s="169"/>
      <c r="C11" s="80"/>
      <c r="D11" s="305"/>
      <c r="E11" s="306"/>
      <c r="F11" s="306"/>
      <c r="G11" s="306"/>
      <c r="H11" s="306"/>
      <c r="I11" s="306"/>
      <c r="J11" s="63"/>
    </row>
    <row r="12" spans="1:78" s="304" customFormat="1" x14ac:dyDescent="0.25">
      <c r="C12" s="204" t="s">
        <v>183</v>
      </c>
      <c r="D12" s="307">
        <f>KeyInputs!$F$100</f>
        <v>0.2</v>
      </c>
      <c r="E12" s="306"/>
      <c r="F12" s="306"/>
      <c r="G12" s="306"/>
      <c r="H12" s="306"/>
      <c r="I12" s="306"/>
      <c r="J12" s="63"/>
    </row>
    <row r="13" spans="1:78" s="167" customFormat="1" x14ac:dyDescent="0.25">
      <c r="A13" s="131"/>
      <c r="B13" s="132"/>
      <c r="D13" s="168"/>
      <c r="J13" s="94"/>
    </row>
    <row r="14" spans="1:78" s="169" customFormat="1" ht="13.8" x14ac:dyDescent="0.25">
      <c r="B14" s="169" t="str">
        <f>Header2</f>
        <v>1.1</v>
      </c>
      <c r="C14" s="169" t="str">
        <f>KeyInputs!F21</f>
        <v>Test</v>
      </c>
    </row>
    <row r="16" spans="1:78" x14ac:dyDescent="0.25">
      <c r="C16" s="204" t="s">
        <v>200</v>
      </c>
      <c r="D16" s="205">
        <f>KeyInputs!F45</f>
        <v>0</v>
      </c>
    </row>
    <row r="18" spans="2:70" x14ac:dyDescent="0.25">
      <c r="C18" s="170" t="s">
        <v>198</v>
      </c>
      <c r="D18" s="193" t="str">
        <f>unit</f>
        <v>£</v>
      </c>
      <c r="E18" s="63">
        <f>D21</f>
        <v>0</v>
      </c>
      <c r="F18" s="63">
        <f ca="1">E21</f>
        <v>0</v>
      </c>
      <c r="G18" s="63">
        <f t="shared" ref="G18:I18" ca="1" si="0">F21</f>
        <v>0</v>
      </c>
      <c r="H18" s="63">
        <f t="shared" ca="1" si="0"/>
        <v>0</v>
      </c>
      <c r="I18" s="63">
        <f t="shared" ca="1" si="0"/>
        <v>0</v>
      </c>
      <c r="K18" s="64">
        <f>J21</f>
        <v>0</v>
      </c>
      <c r="L18" s="64">
        <f t="shared" ref="L18:BR18" ca="1" si="1">K21</f>
        <v>0</v>
      </c>
      <c r="M18" s="64">
        <f t="shared" ca="1" si="1"/>
        <v>0</v>
      </c>
      <c r="N18" s="64">
        <f t="shared" ca="1" si="1"/>
        <v>0</v>
      </c>
      <c r="O18" s="64">
        <f t="shared" ca="1" si="1"/>
        <v>0</v>
      </c>
      <c r="P18" s="64">
        <f t="shared" ca="1" si="1"/>
        <v>0</v>
      </c>
      <c r="Q18" s="64">
        <f t="shared" ca="1" si="1"/>
        <v>0</v>
      </c>
      <c r="R18" s="64">
        <f t="shared" ca="1" si="1"/>
        <v>0</v>
      </c>
      <c r="S18" s="64">
        <f t="shared" ca="1" si="1"/>
        <v>0</v>
      </c>
      <c r="T18" s="64">
        <f t="shared" ca="1" si="1"/>
        <v>0</v>
      </c>
      <c r="U18" s="64">
        <f t="shared" ca="1" si="1"/>
        <v>0</v>
      </c>
      <c r="V18" s="64">
        <f t="shared" ca="1" si="1"/>
        <v>0</v>
      </c>
      <c r="W18" s="64">
        <f t="shared" ca="1" si="1"/>
        <v>0</v>
      </c>
      <c r="X18" s="64">
        <f t="shared" ca="1" si="1"/>
        <v>0</v>
      </c>
      <c r="Y18" s="64">
        <f t="shared" ca="1" si="1"/>
        <v>0</v>
      </c>
      <c r="Z18" s="64">
        <f t="shared" ca="1" si="1"/>
        <v>0</v>
      </c>
      <c r="AA18" s="64">
        <f t="shared" ca="1" si="1"/>
        <v>0</v>
      </c>
      <c r="AB18" s="64">
        <f t="shared" ca="1" si="1"/>
        <v>0</v>
      </c>
      <c r="AC18" s="64">
        <f t="shared" ca="1" si="1"/>
        <v>0</v>
      </c>
      <c r="AD18" s="64">
        <f t="shared" ca="1" si="1"/>
        <v>0</v>
      </c>
      <c r="AE18" s="64">
        <f t="shared" ca="1" si="1"/>
        <v>0</v>
      </c>
      <c r="AF18" s="64">
        <f t="shared" ca="1" si="1"/>
        <v>0</v>
      </c>
      <c r="AG18" s="64">
        <f t="shared" ca="1" si="1"/>
        <v>0</v>
      </c>
      <c r="AH18" s="64">
        <f t="shared" ca="1" si="1"/>
        <v>0</v>
      </c>
      <c r="AI18" s="64">
        <f t="shared" ca="1" si="1"/>
        <v>0</v>
      </c>
      <c r="AJ18" s="64">
        <f t="shared" ca="1" si="1"/>
        <v>0</v>
      </c>
      <c r="AK18" s="64">
        <f t="shared" ca="1" si="1"/>
        <v>0</v>
      </c>
      <c r="AL18" s="64">
        <f t="shared" ca="1" si="1"/>
        <v>0</v>
      </c>
      <c r="AM18" s="64">
        <f t="shared" ca="1" si="1"/>
        <v>0</v>
      </c>
      <c r="AN18" s="64">
        <f t="shared" ca="1" si="1"/>
        <v>0</v>
      </c>
      <c r="AO18" s="64">
        <f t="shared" ca="1" si="1"/>
        <v>0</v>
      </c>
      <c r="AP18" s="64">
        <f t="shared" ca="1" si="1"/>
        <v>0</v>
      </c>
      <c r="AQ18" s="64">
        <f t="shared" ca="1" si="1"/>
        <v>0</v>
      </c>
      <c r="AR18" s="64">
        <f t="shared" ca="1" si="1"/>
        <v>0</v>
      </c>
      <c r="AS18" s="64">
        <f t="shared" ca="1" si="1"/>
        <v>0</v>
      </c>
      <c r="AT18" s="64">
        <f t="shared" ca="1" si="1"/>
        <v>0</v>
      </c>
      <c r="AU18" s="64">
        <f t="shared" ca="1" si="1"/>
        <v>0</v>
      </c>
      <c r="AV18" s="64">
        <f t="shared" ca="1" si="1"/>
        <v>0</v>
      </c>
      <c r="AW18" s="64">
        <f t="shared" ca="1" si="1"/>
        <v>0</v>
      </c>
      <c r="AX18" s="64">
        <f t="shared" ca="1" si="1"/>
        <v>0</v>
      </c>
      <c r="AY18" s="64">
        <f t="shared" ca="1" si="1"/>
        <v>0</v>
      </c>
      <c r="AZ18" s="64">
        <f t="shared" ca="1" si="1"/>
        <v>0</v>
      </c>
      <c r="BA18" s="64">
        <f t="shared" ca="1" si="1"/>
        <v>0</v>
      </c>
      <c r="BB18" s="64">
        <f t="shared" ca="1" si="1"/>
        <v>0</v>
      </c>
      <c r="BC18" s="64">
        <f t="shared" ca="1" si="1"/>
        <v>0</v>
      </c>
      <c r="BD18" s="64">
        <f t="shared" ca="1" si="1"/>
        <v>0</v>
      </c>
      <c r="BE18" s="64">
        <f t="shared" ca="1" si="1"/>
        <v>0</v>
      </c>
      <c r="BF18" s="64">
        <f t="shared" ca="1" si="1"/>
        <v>0</v>
      </c>
      <c r="BG18" s="64">
        <f t="shared" ca="1" si="1"/>
        <v>0</v>
      </c>
      <c r="BH18" s="64">
        <f t="shared" ca="1" si="1"/>
        <v>0</v>
      </c>
      <c r="BI18" s="64">
        <f t="shared" ca="1" si="1"/>
        <v>0</v>
      </c>
      <c r="BJ18" s="64">
        <f t="shared" ca="1" si="1"/>
        <v>0</v>
      </c>
      <c r="BK18" s="64">
        <f t="shared" ca="1" si="1"/>
        <v>0</v>
      </c>
      <c r="BL18" s="64">
        <f t="shared" ca="1" si="1"/>
        <v>0</v>
      </c>
      <c r="BM18" s="64">
        <f t="shared" ca="1" si="1"/>
        <v>0</v>
      </c>
      <c r="BN18" s="64">
        <f t="shared" ca="1" si="1"/>
        <v>0</v>
      </c>
      <c r="BO18" s="64">
        <f t="shared" ca="1" si="1"/>
        <v>0</v>
      </c>
      <c r="BP18" s="64">
        <f t="shared" ca="1" si="1"/>
        <v>0</v>
      </c>
      <c r="BQ18" s="64">
        <f t="shared" ca="1" si="1"/>
        <v>0</v>
      </c>
      <c r="BR18" s="64">
        <f t="shared" ca="1" si="1"/>
        <v>0</v>
      </c>
    </row>
    <row r="19" spans="2:70" x14ac:dyDescent="0.25">
      <c r="C19" s="170" t="s">
        <v>199</v>
      </c>
      <c r="D19" s="193" t="str">
        <f>unit</f>
        <v>£</v>
      </c>
      <c r="E19" s="63">
        <f>SUMIF($K$5:$BR$5,E$5,$K19:$BR19)</f>
        <v>0</v>
      </c>
      <c r="F19" s="63">
        <f t="shared" ref="F19:I20" si="2">SUMIF($K$5:$BR$5,F$5,$K19:$BR19)</f>
        <v>0</v>
      </c>
      <c r="G19" s="63">
        <f t="shared" si="2"/>
        <v>0</v>
      </c>
      <c r="H19" s="63">
        <f t="shared" si="2"/>
        <v>0</v>
      </c>
      <c r="I19" s="63">
        <f t="shared" si="2"/>
        <v>0</v>
      </c>
      <c r="K19" s="64">
        <f>Revenue!K16*(1+$D$12)</f>
        <v>0</v>
      </c>
      <c r="L19" s="64">
        <f>Revenue!L16*(1+$D$12)</f>
        <v>0</v>
      </c>
      <c r="M19" s="64">
        <f>Revenue!M16*(1+$D$12)</f>
        <v>0</v>
      </c>
      <c r="N19" s="64">
        <f>Revenue!N16*(1+$D$12)</f>
        <v>0</v>
      </c>
      <c r="O19" s="64">
        <f>Revenue!O16*(1+$D$12)</f>
        <v>0</v>
      </c>
      <c r="P19" s="64">
        <f>Revenue!P16*(1+$D$12)</f>
        <v>0</v>
      </c>
      <c r="Q19" s="64">
        <f>Revenue!Q16*(1+$D$12)</f>
        <v>0</v>
      </c>
      <c r="R19" s="64">
        <f>Revenue!R16*(1+$D$12)</f>
        <v>0</v>
      </c>
      <c r="S19" s="64">
        <f>Revenue!S16*(1+$D$12)</f>
        <v>0</v>
      </c>
      <c r="T19" s="64">
        <f>Revenue!T16*(1+$D$12)</f>
        <v>0</v>
      </c>
      <c r="U19" s="64">
        <f>Revenue!U16*(1+$D$12)</f>
        <v>0</v>
      </c>
      <c r="V19" s="64">
        <f>Revenue!V16*(1+$D$12)</f>
        <v>0</v>
      </c>
      <c r="W19" s="64">
        <f>Revenue!W16*(1+$D$12)</f>
        <v>0</v>
      </c>
      <c r="X19" s="64">
        <f>Revenue!X16*(1+$D$12)</f>
        <v>0</v>
      </c>
      <c r="Y19" s="64">
        <f>Revenue!Y16*(1+$D$12)</f>
        <v>0</v>
      </c>
      <c r="Z19" s="64">
        <f>Revenue!Z16*(1+$D$12)</f>
        <v>0</v>
      </c>
      <c r="AA19" s="64">
        <f>Revenue!AA16*(1+$D$12)</f>
        <v>0</v>
      </c>
      <c r="AB19" s="64">
        <f>Revenue!AB16*(1+$D$12)</f>
        <v>0</v>
      </c>
      <c r="AC19" s="64">
        <f>Revenue!AC16*(1+$D$12)</f>
        <v>0</v>
      </c>
      <c r="AD19" s="64">
        <f>Revenue!AD16*(1+$D$12)</f>
        <v>0</v>
      </c>
      <c r="AE19" s="64">
        <f>Revenue!AE16*(1+$D$12)</f>
        <v>0</v>
      </c>
      <c r="AF19" s="64">
        <f>Revenue!AF16*(1+$D$12)</f>
        <v>0</v>
      </c>
      <c r="AG19" s="64">
        <f>Revenue!AG16*(1+$D$12)</f>
        <v>0</v>
      </c>
      <c r="AH19" s="64">
        <f>Revenue!AH16*(1+$D$12)</f>
        <v>0</v>
      </c>
      <c r="AI19" s="64">
        <f>Revenue!AI16*(1+$D$12)</f>
        <v>0</v>
      </c>
      <c r="AJ19" s="64">
        <f>Revenue!AJ16*(1+$D$12)</f>
        <v>0</v>
      </c>
      <c r="AK19" s="64">
        <f>Revenue!AK16*(1+$D$12)</f>
        <v>0</v>
      </c>
      <c r="AL19" s="64">
        <f>Revenue!AL16*(1+$D$12)</f>
        <v>0</v>
      </c>
      <c r="AM19" s="64">
        <f>Revenue!AM16*(1+$D$12)</f>
        <v>0</v>
      </c>
      <c r="AN19" s="64">
        <f>Revenue!AN16*(1+$D$12)</f>
        <v>0</v>
      </c>
      <c r="AO19" s="64">
        <f>Revenue!AO16*(1+$D$12)</f>
        <v>0</v>
      </c>
      <c r="AP19" s="64">
        <f>Revenue!AP16*(1+$D$12)</f>
        <v>0</v>
      </c>
      <c r="AQ19" s="64">
        <f>Revenue!AQ16*(1+$D$12)</f>
        <v>0</v>
      </c>
      <c r="AR19" s="64">
        <f>Revenue!AR16*(1+$D$12)</f>
        <v>0</v>
      </c>
      <c r="AS19" s="64">
        <f>Revenue!AS16*(1+$D$12)</f>
        <v>0</v>
      </c>
      <c r="AT19" s="64">
        <f>Revenue!AT16*(1+$D$12)</f>
        <v>0</v>
      </c>
      <c r="AU19" s="64">
        <f>Revenue!AU16*(1+$D$12)</f>
        <v>0</v>
      </c>
      <c r="AV19" s="64">
        <f>Revenue!AV16*(1+$D$12)</f>
        <v>0</v>
      </c>
      <c r="AW19" s="64">
        <f>Revenue!AW16*(1+$D$12)</f>
        <v>0</v>
      </c>
      <c r="AX19" s="64">
        <f>Revenue!AX16*(1+$D$12)</f>
        <v>0</v>
      </c>
      <c r="AY19" s="64">
        <f>Revenue!AY16*(1+$D$12)</f>
        <v>0</v>
      </c>
      <c r="AZ19" s="64">
        <f>Revenue!AZ16*(1+$D$12)</f>
        <v>0</v>
      </c>
      <c r="BA19" s="64">
        <f>Revenue!BA16*(1+$D$12)</f>
        <v>0</v>
      </c>
      <c r="BB19" s="64">
        <f>Revenue!BB16*(1+$D$12)</f>
        <v>0</v>
      </c>
      <c r="BC19" s="64">
        <f>Revenue!BC16*(1+$D$12)</f>
        <v>0</v>
      </c>
      <c r="BD19" s="64">
        <f>Revenue!BD16*(1+$D$12)</f>
        <v>0</v>
      </c>
      <c r="BE19" s="64">
        <f>Revenue!BE16*(1+$D$12)</f>
        <v>0</v>
      </c>
      <c r="BF19" s="64">
        <f>Revenue!BF16*(1+$D$12)</f>
        <v>0</v>
      </c>
      <c r="BG19" s="64">
        <f>Revenue!BG16*(1+$D$12)</f>
        <v>0</v>
      </c>
      <c r="BH19" s="64">
        <f>Revenue!BH16*(1+$D$12)</f>
        <v>0</v>
      </c>
      <c r="BI19" s="64">
        <f>Revenue!BI16*(1+$D$12)</f>
        <v>0</v>
      </c>
      <c r="BJ19" s="64">
        <f>Revenue!BJ16*(1+$D$12)</f>
        <v>0</v>
      </c>
      <c r="BK19" s="64">
        <f>Revenue!BK16*(1+$D$12)</f>
        <v>0</v>
      </c>
      <c r="BL19" s="64">
        <f>Revenue!BL16*(1+$D$12)</f>
        <v>0</v>
      </c>
      <c r="BM19" s="64">
        <f>Revenue!BM16*(1+$D$12)</f>
        <v>0</v>
      </c>
      <c r="BN19" s="64">
        <f>Revenue!BN16*(1+$D$12)</f>
        <v>0</v>
      </c>
      <c r="BO19" s="64">
        <f>Revenue!BO16*(1+$D$12)</f>
        <v>0</v>
      </c>
      <c r="BP19" s="64">
        <f>Revenue!BP16*(1+$D$12)</f>
        <v>0</v>
      </c>
      <c r="BQ19" s="64">
        <f>Revenue!BQ16*(1+$D$12)</f>
        <v>0</v>
      </c>
      <c r="BR19" s="64">
        <f>Revenue!BR16*(1+$D$12)</f>
        <v>0</v>
      </c>
    </row>
    <row r="20" spans="2:70" x14ac:dyDescent="0.25">
      <c r="C20" s="170" t="s">
        <v>197</v>
      </c>
      <c r="D20" s="193" t="str">
        <f>unit</f>
        <v>£</v>
      </c>
      <c r="E20" s="63">
        <f ca="1">SUMIF($K$5:$BR$5,E$5,$K20:$BR20)</f>
        <v>0</v>
      </c>
      <c r="F20" s="63">
        <f t="shared" ca="1" si="2"/>
        <v>0</v>
      </c>
      <c r="G20" s="63">
        <f t="shared" ca="1" si="2"/>
        <v>0</v>
      </c>
      <c r="H20" s="63">
        <f t="shared" ca="1" si="2"/>
        <v>0</v>
      </c>
      <c r="I20" s="63">
        <f t="shared" ca="1" si="2"/>
        <v>0</v>
      </c>
      <c r="J20" s="171"/>
      <c r="K20" s="64">
        <f t="shared" ref="K20:AP20" ca="1" si="3">IF(K6&gt;$D$16,OFFSET(K$19,0,-$D$16)*-1,0)</f>
        <v>0</v>
      </c>
      <c r="L20" s="64">
        <f t="shared" ca="1" si="3"/>
        <v>0</v>
      </c>
      <c r="M20" s="64">
        <f t="shared" ca="1" si="3"/>
        <v>0</v>
      </c>
      <c r="N20" s="64">
        <f t="shared" ca="1" si="3"/>
        <v>0</v>
      </c>
      <c r="O20" s="64">
        <f t="shared" ca="1" si="3"/>
        <v>0</v>
      </c>
      <c r="P20" s="64">
        <f t="shared" ca="1" si="3"/>
        <v>0</v>
      </c>
      <c r="Q20" s="64">
        <f t="shared" ca="1" si="3"/>
        <v>0</v>
      </c>
      <c r="R20" s="64">
        <f t="shared" ca="1" si="3"/>
        <v>0</v>
      </c>
      <c r="S20" s="64">
        <f t="shared" ca="1" si="3"/>
        <v>0</v>
      </c>
      <c r="T20" s="64">
        <f t="shared" ca="1" si="3"/>
        <v>0</v>
      </c>
      <c r="U20" s="64">
        <f t="shared" ca="1" si="3"/>
        <v>0</v>
      </c>
      <c r="V20" s="64">
        <f t="shared" ca="1" si="3"/>
        <v>0</v>
      </c>
      <c r="W20" s="64">
        <f t="shared" ca="1" si="3"/>
        <v>0</v>
      </c>
      <c r="X20" s="64">
        <f t="shared" ca="1" si="3"/>
        <v>0</v>
      </c>
      <c r="Y20" s="64">
        <f t="shared" ca="1" si="3"/>
        <v>0</v>
      </c>
      <c r="Z20" s="64">
        <f t="shared" ca="1" si="3"/>
        <v>0</v>
      </c>
      <c r="AA20" s="64">
        <f t="shared" ca="1" si="3"/>
        <v>0</v>
      </c>
      <c r="AB20" s="64">
        <f t="shared" ca="1" si="3"/>
        <v>0</v>
      </c>
      <c r="AC20" s="64">
        <f t="shared" ca="1" si="3"/>
        <v>0</v>
      </c>
      <c r="AD20" s="64">
        <f t="shared" ca="1" si="3"/>
        <v>0</v>
      </c>
      <c r="AE20" s="64">
        <f t="shared" ca="1" si="3"/>
        <v>0</v>
      </c>
      <c r="AF20" s="64">
        <f t="shared" ca="1" si="3"/>
        <v>0</v>
      </c>
      <c r="AG20" s="64">
        <f t="shared" ca="1" si="3"/>
        <v>0</v>
      </c>
      <c r="AH20" s="64">
        <f t="shared" ca="1" si="3"/>
        <v>0</v>
      </c>
      <c r="AI20" s="64">
        <f t="shared" ca="1" si="3"/>
        <v>0</v>
      </c>
      <c r="AJ20" s="64">
        <f t="shared" ca="1" si="3"/>
        <v>0</v>
      </c>
      <c r="AK20" s="64">
        <f t="shared" ca="1" si="3"/>
        <v>0</v>
      </c>
      <c r="AL20" s="64">
        <f t="shared" ca="1" si="3"/>
        <v>0</v>
      </c>
      <c r="AM20" s="64">
        <f t="shared" ca="1" si="3"/>
        <v>0</v>
      </c>
      <c r="AN20" s="64">
        <f t="shared" ca="1" si="3"/>
        <v>0</v>
      </c>
      <c r="AO20" s="64">
        <f t="shared" ca="1" si="3"/>
        <v>0</v>
      </c>
      <c r="AP20" s="64">
        <f t="shared" ca="1" si="3"/>
        <v>0</v>
      </c>
      <c r="AQ20" s="64">
        <f t="shared" ref="AQ20:BR20" ca="1" si="4">IF(AQ6&gt;$D$16,OFFSET(AQ$19,0,-$D$16)*-1,0)</f>
        <v>0</v>
      </c>
      <c r="AR20" s="64">
        <f t="shared" ca="1" si="4"/>
        <v>0</v>
      </c>
      <c r="AS20" s="64">
        <f t="shared" ca="1" si="4"/>
        <v>0</v>
      </c>
      <c r="AT20" s="64">
        <f t="shared" ca="1" si="4"/>
        <v>0</v>
      </c>
      <c r="AU20" s="64">
        <f t="shared" ca="1" si="4"/>
        <v>0</v>
      </c>
      <c r="AV20" s="64">
        <f t="shared" ca="1" si="4"/>
        <v>0</v>
      </c>
      <c r="AW20" s="64">
        <f t="shared" ca="1" si="4"/>
        <v>0</v>
      </c>
      <c r="AX20" s="64">
        <f t="shared" ca="1" si="4"/>
        <v>0</v>
      </c>
      <c r="AY20" s="64">
        <f t="shared" ca="1" si="4"/>
        <v>0</v>
      </c>
      <c r="AZ20" s="64">
        <f t="shared" ca="1" si="4"/>
        <v>0</v>
      </c>
      <c r="BA20" s="64">
        <f t="shared" ca="1" si="4"/>
        <v>0</v>
      </c>
      <c r="BB20" s="64">
        <f t="shared" ca="1" si="4"/>
        <v>0</v>
      </c>
      <c r="BC20" s="64">
        <f t="shared" ca="1" si="4"/>
        <v>0</v>
      </c>
      <c r="BD20" s="64">
        <f t="shared" ca="1" si="4"/>
        <v>0</v>
      </c>
      <c r="BE20" s="64">
        <f t="shared" ca="1" si="4"/>
        <v>0</v>
      </c>
      <c r="BF20" s="64">
        <f t="shared" ca="1" si="4"/>
        <v>0</v>
      </c>
      <c r="BG20" s="64">
        <f t="shared" ca="1" si="4"/>
        <v>0</v>
      </c>
      <c r="BH20" s="64">
        <f t="shared" ca="1" si="4"/>
        <v>0</v>
      </c>
      <c r="BI20" s="64">
        <f t="shared" ca="1" si="4"/>
        <v>0</v>
      </c>
      <c r="BJ20" s="64">
        <f t="shared" ca="1" si="4"/>
        <v>0</v>
      </c>
      <c r="BK20" s="64">
        <f t="shared" ca="1" si="4"/>
        <v>0</v>
      </c>
      <c r="BL20" s="64">
        <f t="shared" ca="1" si="4"/>
        <v>0</v>
      </c>
      <c r="BM20" s="64">
        <f t="shared" ca="1" si="4"/>
        <v>0</v>
      </c>
      <c r="BN20" s="64">
        <f t="shared" ca="1" si="4"/>
        <v>0</v>
      </c>
      <c r="BO20" s="64">
        <f t="shared" ca="1" si="4"/>
        <v>0</v>
      </c>
      <c r="BP20" s="64">
        <f t="shared" ca="1" si="4"/>
        <v>0</v>
      </c>
      <c r="BQ20" s="64">
        <f t="shared" ca="1" si="4"/>
        <v>0</v>
      </c>
      <c r="BR20" s="64">
        <f t="shared" ca="1" si="4"/>
        <v>0</v>
      </c>
    </row>
    <row r="21" spans="2:70" x14ac:dyDescent="0.25">
      <c r="C21" s="170" t="s">
        <v>209</v>
      </c>
      <c r="D21" s="259">
        <f>KeyInputs!G119</f>
        <v>0</v>
      </c>
      <c r="E21" s="59">
        <f ca="1">SUM(E18:E20)</f>
        <v>0</v>
      </c>
      <c r="F21" s="59">
        <f t="shared" ref="F21:I21" ca="1" si="5">SUM(F18:F20)</f>
        <v>0</v>
      </c>
      <c r="G21" s="59">
        <f t="shared" ca="1" si="5"/>
        <v>0</v>
      </c>
      <c r="H21" s="59">
        <f t="shared" ca="1" si="5"/>
        <v>0</v>
      </c>
      <c r="I21" s="59">
        <f t="shared" ca="1" si="5"/>
        <v>0</v>
      </c>
      <c r="J21" s="172">
        <f>$D$21</f>
        <v>0</v>
      </c>
      <c r="K21" s="65">
        <f ca="1">SUM(K18:K20)</f>
        <v>0</v>
      </c>
      <c r="L21" s="65">
        <f t="shared" ref="L21:BR21" ca="1" si="6">SUM(L18:L20)</f>
        <v>0</v>
      </c>
      <c r="M21" s="65">
        <f t="shared" ca="1" si="6"/>
        <v>0</v>
      </c>
      <c r="N21" s="65">
        <f t="shared" ca="1" si="6"/>
        <v>0</v>
      </c>
      <c r="O21" s="65">
        <f t="shared" ca="1" si="6"/>
        <v>0</v>
      </c>
      <c r="P21" s="65">
        <f t="shared" ca="1" si="6"/>
        <v>0</v>
      </c>
      <c r="Q21" s="65">
        <f t="shared" ca="1" si="6"/>
        <v>0</v>
      </c>
      <c r="R21" s="65">
        <f t="shared" ca="1" si="6"/>
        <v>0</v>
      </c>
      <c r="S21" s="65">
        <f t="shared" ca="1" si="6"/>
        <v>0</v>
      </c>
      <c r="T21" s="65">
        <f t="shared" ca="1" si="6"/>
        <v>0</v>
      </c>
      <c r="U21" s="65">
        <f t="shared" ca="1" si="6"/>
        <v>0</v>
      </c>
      <c r="V21" s="65">
        <f t="shared" ca="1" si="6"/>
        <v>0</v>
      </c>
      <c r="W21" s="65">
        <f t="shared" ca="1" si="6"/>
        <v>0</v>
      </c>
      <c r="X21" s="65">
        <f t="shared" ca="1" si="6"/>
        <v>0</v>
      </c>
      <c r="Y21" s="65">
        <f t="shared" ca="1" si="6"/>
        <v>0</v>
      </c>
      <c r="Z21" s="65">
        <f t="shared" ca="1" si="6"/>
        <v>0</v>
      </c>
      <c r="AA21" s="65">
        <f t="shared" ca="1" si="6"/>
        <v>0</v>
      </c>
      <c r="AB21" s="65">
        <f t="shared" ca="1" si="6"/>
        <v>0</v>
      </c>
      <c r="AC21" s="65">
        <f t="shared" ca="1" si="6"/>
        <v>0</v>
      </c>
      <c r="AD21" s="65">
        <f t="shared" ca="1" si="6"/>
        <v>0</v>
      </c>
      <c r="AE21" s="65">
        <f t="shared" ca="1" si="6"/>
        <v>0</v>
      </c>
      <c r="AF21" s="65">
        <f t="shared" ca="1" si="6"/>
        <v>0</v>
      </c>
      <c r="AG21" s="65">
        <f t="shared" ca="1" si="6"/>
        <v>0</v>
      </c>
      <c r="AH21" s="65">
        <f t="shared" ca="1" si="6"/>
        <v>0</v>
      </c>
      <c r="AI21" s="65">
        <f t="shared" ca="1" si="6"/>
        <v>0</v>
      </c>
      <c r="AJ21" s="65">
        <f t="shared" ca="1" si="6"/>
        <v>0</v>
      </c>
      <c r="AK21" s="65">
        <f t="shared" ca="1" si="6"/>
        <v>0</v>
      </c>
      <c r="AL21" s="65">
        <f t="shared" ca="1" si="6"/>
        <v>0</v>
      </c>
      <c r="AM21" s="65">
        <f t="shared" ca="1" si="6"/>
        <v>0</v>
      </c>
      <c r="AN21" s="65">
        <f t="shared" ca="1" si="6"/>
        <v>0</v>
      </c>
      <c r="AO21" s="65">
        <f t="shared" ca="1" si="6"/>
        <v>0</v>
      </c>
      <c r="AP21" s="65">
        <f t="shared" ca="1" si="6"/>
        <v>0</v>
      </c>
      <c r="AQ21" s="65">
        <f t="shared" ca="1" si="6"/>
        <v>0</v>
      </c>
      <c r="AR21" s="65">
        <f t="shared" ca="1" si="6"/>
        <v>0</v>
      </c>
      <c r="AS21" s="65">
        <f t="shared" ca="1" si="6"/>
        <v>0</v>
      </c>
      <c r="AT21" s="65">
        <f t="shared" ca="1" si="6"/>
        <v>0</v>
      </c>
      <c r="AU21" s="65">
        <f t="shared" ca="1" si="6"/>
        <v>0</v>
      </c>
      <c r="AV21" s="65">
        <f t="shared" ca="1" si="6"/>
        <v>0</v>
      </c>
      <c r="AW21" s="65">
        <f t="shared" ca="1" si="6"/>
        <v>0</v>
      </c>
      <c r="AX21" s="65">
        <f t="shared" ca="1" si="6"/>
        <v>0</v>
      </c>
      <c r="AY21" s="65">
        <f t="shared" ca="1" si="6"/>
        <v>0</v>
      </c>
      <c r="AZ21" s="65">
        <f t="shared" ca="1" si="6"/>
        <v>0</v>
      </c>
      <c r="BA21" s="65">
        <f t="shared" ca="1" si="6"/>
        <v>0</v>
      </c>
      <c r="BB21" s="65">
        <f t="shared" ca="1" si="6"/>
        <v>0</v>
      </c>
      <c r="BC21" s="65">
        <f t="shared" ca="1" si="6"/>
        <v>0</v>
      </c>
      <c r="BD21" s="65">
        <f t="shared" ca="1" si="6"/>
        <v>0</v>
      </c>
      <c r="BE21" s="65">
        <f t="shared" ca="1" si="6"/>
        <v>0</v>
      </c>
      <c r="BF21" s="65">
        <f t="shared" ca="1" si="6"/>
        <v>0</v>
      </c>
      <c r="BG21" s="65">
        <f t="shared" ca="1" si="6"/>
        <v>0</v>
      </c>
      <c r="BH21" s="65">
        <f t="shared" ca="1" si="6"/>
        <v>0</v>
      </c>
      <c r="BI21" s="65">
        <f t="shared" ca="1" si="6"/>
        <v>0</v>
      </c>
      <c r="BJ21" s="65">
        <f t="shared" ca="1" si="6"/>
        <v>0</v>
      </c>
      <c r="BK21" s="65">
        <f t="shared" ca="1" si="6"/>
        <v>0</v>
      </c>
      <c r="BL21" s="65">
        <f t="shared" ca="1" si="6"/>
        <v>0</v>
      </c>
      <c r="BM21" s="65">
        <f t="shared" ca="1" si="6"/>
        <v>0</v>
      </c>
      <c r="BN21" s="65">
        <f t="shared" ca="1" si="6"/>
        <v>0</v>
      </c>
      <c r="BO21" s="65">
        <f t="shared" ca="1" si="6"/>
        <v>0</v>
      </c>
      <c r="BP21" s="65">
        <f t="shared" ca="1" si="6"/>
        <v>0</v>
      </c>
      <c r="BQ21" s="65">
        <f t="shared" ca="1" si="6"/>
        <v>0</v>
      </c>
      <c r="BR21" s="65">
        <f t="shared" ca="1" si="6"/>
        <v>0</v>
      </c>
    </row>
    <row r="22" spans="2:70" x14ac:dyDescent="0.25">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row>
    <row r="23" spans="2:70" x14ac:dyDescent="0.25">
      <c r="C23" s="139" t="s">
        <v>303</v>
      </c>
      <c r="K23" s="64">
        <f ca="1">(K21-K18)*-1</f>
        <v>0</v>
      </c>
      <c r="L23" s="64">
        <f t="shared" ref="L23:BR23" ca="1" si="7">(L21-L18)*-1</f>
        <v>0</v>
      </c>
      <c r="M23" s="64">
        <f t="shared" ca="1" si="7"/>
        <v>0</v>
      </c>
      <c r="N23" s="64">
        <f t="shared" ca="1" si="7"/>
        <v>0</v>
      </c>
      <c r="O23" s="64">
        <f t="shared" ca="1" si="7"/>
        <v>0</v>
      </c>
      <c r="P23" s="64">
        <f t="shared" ca="1" si="7"/>
        <v>0</v>
      </c>
      <c r="Q23" s="64">
        <f t="shared" ca="1" si="7"/>
        <v>0</v>
      </c>
      <c r="R23" s="64">
        <f t="shared" ca="1" si="7"/>
        <v>0</v>
      </c>
      <c r="S23" s="64">
        <f t="shared" ca="1" si="7"/>
        <v>0</v>
      </c>
      <c r="T23" s="64">
        <f t="shared" ca="1" si="7"/>
        <v>0</v>
      </c>
      <c r="U23" s="64">
        <f t="shared" ca="1" si="7"/>
        <v>0</v>
      </c>
      <c r="V23" s="64">
        <f t="shared" ca="1" si="7"/>
        <v>0</v>
      </c>
      <c r="W23" s="64">
        <f t="shared" ca="1" si="7"/>
        <v>0</v>
      </c>
      <c r="X23" s="64">
        <f t="shared" ca="1" si="7"/>
        <v>0</v>
      </c>
      <c r="Y23" s="64">
        <f t="shared" ca="1" si="7"/>
        <v>0</v>
      </c>
      <c r="Z23" s="64">
        <f t="shared" ca="1" si="7"/>
        <v>0</v>
      </c>
      <c r="AA23" s="64">
        <f t="shared" ca="1" si="7"/>
        <v>0</v>
      </c>
      <c r="AB23" s="64">
        <f t="shared" ca="1" si="7"/>
        <v>0</v>
      </c>
      <c r="AC23" s="64">
        <f t="shared" ca="1" si="7"/>
        <v>0</v>
      </c>
      <c r="AD23" s="64">
        <f t="shared" ca="1" si="7"/>
        <v>0</v>
      </c>
      <c r="AE23" s="64">
        <f t="shared" ca="1" si="7"/>
        <v>0</v>
      </c>
      <c r="AF23" s="64">
        <f t="shared" ca="1" si="7"/>
        <v>0</v>
      </c>
      <c r="AG23" s="64">
        <f t="shared" ca="1" si="7"/>
        <v>0</v>
      </c>
      <c r="AH23" s="64">
        <f t="shared" ca="1" si="7"/>
        <v>0</v>
      </c>
      <c r="AI23" s="64">
        <f t="shared" ca="1" si="7"/>
        <v>0</v>
      </c>
      <c r="AJ23" s="64">
        <f t="shared" ca="1" si="7"/>
        <v>0</v>
      </c>
      <c r="AK23" s="64">
        <f t="shared" ca="1" si="7"/>
        <v>0</v>
      </c>
      <c r="AL23" s="64">
        <f t="shared" ca="1" si="7"/>
        <v>0</v>
      </c>
      <c r="AM23" s="64">
        <f t="shared" ca="1" si="7"/>
        <v>0</v>
      </c>
      <c r="AN23" s="64">
        <f t="shared" ca="1" si="7"/>
        <v>0</v>
      </c>
      <c r="AO23" s="64">
        <f t="shared" ca="1" si="7"/>
        <v>0</v>
      </c>
      <c r="AP23" s="64">
        <f t="shared" ca="1" si="7"/>
        <v>0</v>
      </c>
      <c r="AQ23" s="64">
        <f t="shared" ca="1" si="7"/>
        <v>0</v>
      </c>
      <c r="AR23" s="64">
        <f t="shared" ca="1" si="7"/>
        <v>0</v>
      </c>
      <c r="AS23" s="64">
        <f t="shared" ca="1" si="7"/>
        <v>0</v>
      </c>
      <c r="AT23" s="64">
        <f t="shared" ca="1" si="7"/>
        <v>0</v>
      </c>
      <c r="AU23" s="64">
        <f t="shared" ca="1" si="7"/>
        <v>0</v>
      </c>
      <c r="AV23" s="64">
        <f t="shared" ca="1" si="7"/>
        <v>0</v>
      </c>
      <c r="AW23" s="64">
        <f t="shared" ca="1" si="7"/>
        <v>0</v>
      </c>
      <c r="AX23" s="64">
        <f t="shared" ca="1" si="7"/>
        <v>0</v>
      </c>
      <c r="AY23" s="64">
        <f t="shared" ca="1" si="7"/>
        <v>0</v>
      </c>
      <c r="AZ23" s="64">
        <f t="shared" ca="1" si="7"/>
        <v>0</v>
      </c>
      <c r="BA23" s="64">
        <f t="shared" ca="1" si="7"/>
        <v>0</v>
      </c>
      <c r="BB23" s="64">
        <f t="shared" ca="1" si="7"/>
        <v>0</v>
      </c>
      <c r="BC23" s="64">
        <f t="shared" ca="1" si="7"/>
        <v>0</v>
      </c>
      <c r="BD23" s="64">
        <f t="shared" ca="1" si="7"/>
        <v>0</v>
      </c>
      <c r="BE23" s="64">
        <f t="shared" ca="1" si="7"/>
        <v>0</v>
      </c>
      <c r="BF23" s="64">
        <f t="shared" ca="1" si="7"/>
        <v>0</v>
      </c>
      <c r="BG23" s="64">
        <f t="shared" ca="1" si="7"/>
        <v>0</v>
      </c>
      <c r="BH23" s="64">
        <f t="shared" ca="1" si="7"/>
        <v>0</v>
      </c>
      <c r="BI23" s="64">
        <f t="shared" ca="1" si="7"/>
        <v>0</v>
      </c>
      <c r="BJ23" s="64">
        <f t="shared" ca="1" si="7"/>
        <v>0</v>
      </c>
      <c r="BK23" s="64">
        <f t="shared" ca="1" si="7"/>
        <v>0</v>
      </c>
      <c r="BL23" s="64">
        <f t="shared" ca="1" si="7"/>
        <v>0</v>
      </c>
      <c r="BM23" s="64">
        <f t="shared" ca="1" si="7"/>
        <v>0</v>
      </c>
      <c r="BN23" s="64">
        <f t="shared" ca="1" si="7"/>
        <v>0</v>
      </c>
      <c r="BO23" s="64">
        <f t="shared" ca="1" si="7"/>
        <v>0</v>
      </c>
      <c r="BP23" s="64">
        <f t="shared" ca="1" si="7"/>
        <v>0</v>
      </c>
      <c r="BQ23" s="64">
        <f t="shared" ca="1" si="7"/>
        <v>0</v>
      </c>
      <c r="BR23" s="64">
        <f t="shared" ca="1" si="7"/>
        <v>0</v>
      </c>
    </row>
    <row r="24" spans="2:70" x14ac:dyDescent="0.25">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row>
    <row r="25" spans="2:70" s="169" customFormat="1" ht="13.8" x14ac:dyDescent="0.25">
      <c r="B25" s="169" t="str">
        <f>Header2</f>
        <v>1.2</v>
      </c>
      <c r="C25" s="169" t="str">
        <f>KeyInputs!F26</f>
        <v>Insert Business Line2</v>
      </c>
    </row>
    <row r="26" spans="2:70" x14ac:dyDescent="0.25">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row>
    <row r="27" spans="2:70" x14ac:dyDescent="0.25">
      <c r="C27" s="204" t="s">
        <v>200</v>
      </c>
      <c r="D27" s="205">
        <f>KeyInputs!F46</f>
        <v>0</v>
      </c>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64"/>
      <c r="BN27" s="64"/>
      <c r="BO27" s="64"/>
      <c r="BP27" s="64"/>
      <c r="BQ27" s="64"/>
      <c r="BR27" s="64"/>
    </row>
    <row r="28" spans="2:70" x14ac:dyDescent="0.25">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row>
    <row r="29" spans="2:70" x14ac:dyDescent="0.25">
      <c r="C29" s="170" t="s">
        <v>198</v>
      </c>
      <c r="D29" s="193" t="str">
        <f>unit</f>
        <v>£</v>
      </c>
      <c r="E29" s="63">
        <f>D32</f>
        <v>0</v>
      </c>
      <c r="F29" s="63">
        <f ca="1">E32</f>
        <v>0</v>
      </c>
      <c r="G29" s="63">
        <f t="shared" ref="G29:I29" ca="1" si="8">F32</f>
        <v>0</v>
      </c>
      <c r="H29" s="63">
        <f t="shared" ca="1" si="8"/>
        <v>0</v>
      </c>
      <c r="I29" s="63">
        <f t="shared" ca="1" si="8"/>
        <v>0</v>
      </c>
      <c r="K29" s="64">
        <f>D32</f>
        <v>0</v>
      </c>
      <c r="L29" s="64">
        <f t="shared" ref="L29:BR29" ca="1" si="9">K32</f>
        <v>0</v>
      </c>
      <c r="M29" s="64">
        <f t="shared" ca="1" si="9"/>
        <v>0</v>
      </c>
      <c r="N29" s="64">
        <f t="shared" ca="1" si="9"/>
        <v>0</v>
      </c>
      <c r="O29" s="64">
        <f t="shared" ca="1" si="9"/>
        <v>0</v>
      </c>
      <c r="P29" s="64">
        <f t="shared" ca="1" si="9"/>
        <v>0</v>
      </c>
      <c r="Q29" s="64">
        <f t="shared" ca="1" si="9"/>
        <v>0</v>
      </c>
      <c r="R29" s="64">
        <f t="shared" ca="1" si="9"/>
        <v>0</v>
      </c>
      <c r="S29" s="64">
        <f t="shared" ca="1" si="9"/>
        <v>0</v>
      </c>
      <c r="T29" s="64">
        <f t="shared" ca="1" si="9"/>
        <v>0</v>
      </c>
      <c r="U29" s="64">
        <f t="shared" ca="1" si="9"/>
        <v>0</v>
      </c>
      <c r="V29" s="64">
        <f t="shared" ca="1" si="9"/>
        <v>0</v>
      </c>
      <c r="W29" s="64">
        <f t="shared" ca="1" si="9"/>
        <v>0</v>
      </c>
      <c r="X29" s="64">
        <f t="shared" ca="1" si="9"/>
        <v>0</v>
      </c>
      <c r="Y29" s="64">
        <f t="shared" ca="1" si="9"/>
        <v>0</v>
      </c>
      <c r="Z29" s="64">
        <f t="shared" ca="1" si="9"/>
        <v>0</v>
      </c>
      <c r="AA29" s="64">
        <f t="shared" ca="1" si="9"/>
        <v>0</v>
      </c>
      <c r="AB29" s="64">
        <f t="shared" ca="1" si="9"/>
        <v>0</v>
      </c>
      <c r="AC29" s="64">
        <f t="shared" ca="1" si="9"/>
        <v>0</v>
      </c>
      <c r="AD29" s="64">
        <f t="shared" ca="1" si="9"/>
        <v>0</v>
      </c>
      <c r="AE29" s="64">
        <f t="shared" ca="1" si="9"/>
        <v>0</v>
      </c>
      <c r="AF29" s="64">
        <f t="shared" ca="1" si="9"/>
        <v>0</v>
      </c>
      <c r="AG29" s="64">
        <f t="shared" ca="1" si="9"/>
        <v>0</v>
      </c>
      <c r="AH29" s="64">
        <f t="shared" ca="1" si="9"/>
        <v>0</v>
      </c>
      <c r="AI29" s="64">
        <f t="shared" ca="1" si="9"/>
        <v>0</v>
      </c>
      <c r="AJ29" s="64">
        <f t="shared" ca="1" si="9"/>
        <v>0</v>
      </c>
      <c r="AK29" s="64">
        <f t="shared" ca="1" si="9"/>
        <v>0</v>
      </c>
      <c r="AL29" s="64">
        <f t="shared" ca="1" si="9"/>
        <v>0</v>
      </c>
      <c r="AM29" s="64">
        <f t="shared" ca="1" si="9"/>
        <v>0</v>
      </c>
      <c r="AN29" s="64">
        <f t="shared" ca="1" si="9"/>
        <v>0</v>
      </c>
      <c r="AO29" s="64">
        <f t="shared" ca="1" si="9"/>
        <v>0</v>
      </c>
      <c r="AP29" s="64">
        <f t="shared" ca="1" si="9"/>
        <v>0</v>
      </c>
      <c r="AQ29" s="64">
        <f t="shared" ca="1" si="9"/>
        <v>0</v>
      </c>
      <c r="AR29" s="64">
        <f t="shared" ca="1" si="9"/>
        <v>0</v>
      </c>
      <c r="AS29" s="64">
        <f t="shared" ca="1" si="9"/>
        <v>0</v>
      </c>
      <c r="AT29" s="64">
        <f t="shared" ca="1" si="9"/>
        <v>0</v>
      </c>
      <c r="AU29" s="64">
        <f t="shared" ca="1" si="9"/>
        <v>0</v>
      </c>
      <c r="AV29" s="64">
        <f t="shared" ca="1" si="9"/>
        <v>0</v>
      </c>
      <c r="AW29" s="64">
        <f t="shared" ca="1" si="9"/>
        <v>0</v>
      </c>
      <c r="AX29" s="64">
        <f t="shared" ca="1" si="9"/>
        <v>0</v>
      </c>
      <c r="AY29" s="64">
        <f t="shared" ca="1" si="9"/>
        <v>0</v>
      </c>
      <c r="AZ29" s="64">
        <f t="shared" ca="1" si="9"/>
        <v>0</v>
      </c>
      <c r="BA29" s="64">
        <f t="shared" ca="1" si="9"/>
        <v>0</v>
      </c>
      <c r="BB29" s="64">
        <f t="shared" ca="1" si="9"/>
        <v>0</v>
      </c>
      <c r="BC29" s="64">
        <f t="shared" ca="1" si="9"/>
        <v>0</v>
      </c>
      <c r="BD29" s="64">
        <f t="shared" ca="1" si="9"/>
        <v>0</v>
      </c>
      <c r="BE29" s="64">
        <f t="shared" ca="1" si="9"/>
        <v>0</v>
      </c>
      <c r="BF29" s="64">
        <f t="shared" ca="1" si="9"/>
        <v>0</v>
      </c>
      <c r="BG29" s="64">
        <f t="shared" ca="1" si="9"/>
        <v>0</v>
      </c>
      <c r="BH29" s="64">
        <f t="shared" ca="1" si="9"/>
        <v>0</v>
      </c>
      <c r="BI29" s="64">
        <f t="shared" ca="1" si="9"/>
        <v>0</v>
      </c>
      <c r="BJ29" s="64">
        <f t="shared" ca="1" si="9"/>
        <v>0</v>
      </c>
      <c r="BK29" s="64">
        <f t="shared" ca="1" si="9"/>
        <v>0</v>
      </c>
      <c r="BL29" s="64">
        <f t="shared" ca="1" si="9"/>
        <v>0</v>
      </c>
      <c r="BM29" s="64">
        <f t="shared" ca="1" si="9"/>
        <v>0</v>
      </c>
      <c r="BN29" s="64">
        <f t="shared" ca="1" si="9"/>
        <v>0</v>
      </c>
      <c r="BO29" s="64">
        <f t="shared" ca="1" si="9"/>
        <v>0</v>
      </c>
      <c r="BP29" s="64">
        <f t="shared" ca="1" si="9"/>
        <v>0</v>
      </c>
      <c r="BQ29" s="64">
        <f t="shared" ca="1" si="9"/>
        <v>0</v>
      </c>
      <c r="BR29" s="64">
        <f t="shared" ca="1" si="9"/>
        <v>0</v>
      </c>
    </row>
    <row r="30" spans="2:70" x14ac:dyDescent="0.25">
      <c r="C30" s="170" t="s">
        <v>199</v>
      </c>
      <c r="D30" s="193" t="str">
        <f>unit</f>
        <v>£</v>
      </c>
      <c r="E30" s="63">
        <f>SUMIF($K$5:$BR$5,E$5,$K30:$BR30)</f>
        <v>0</v>
      </c>
      <c r="F30" s="63">
        <f t="shared" ref="F30:I31" si="10">SUMIF($K$5:$BR$5,F$5,$K30:$BR30)</f>
        <v>0</v>
      </c>
      <c r="G30" s="63">
        <f t="shared" si="10"/>
        <v>0</v>
      </c>
      <c r="H30" s="63">
        <f t="shared" si="10"/>
        <v>0</v>
      </c>
      <c r="I30" s="63">
        <f t="shared" si="10"/>
        <v>0</v>
      </c>
      <c r="K30" s="64">
        <f>Revenue!K22*(1+$D$12)</f>
        <v>0</v>
      </c>
      <c r="L30" s="64">
        <f>Revenue!L22*(1+$D$12)</f>
        <v>0</v>
      </c>
      <c r="M30" s="64">
        <f>Revenue!M22*(1+$D$12)</f>
        <v>0</v>
      </c>
      <c r="N30" s="64">
        <f>Revenue!N22*(1+$D$12)</f>
        <v>0</v>
      </c>
      <c r="O30" s="64">
        <f>Revenue!O22*(1+$D$12)</f>
        <v>0</v>
      </c>
      <c r="P30" s="64">
        <f>Revenue!P22*(1+$D$12)</f>
        <v>0</v>
      </c>
      <c r="Q30" s="64">
        <f>Revenue!Q22*(1+$D$12)</f>
        <v>0</v>
      </c>
      <c r="R30" s="64">
        <f>Revenue!R22*(1+$D$12)</f>
        <v>0</v>
      </c>
      <c r="S30" s="64">
        <f>Revenue!S22*(1+$D$12)</f>
        <v>0</v>
      </c>
      <c r="T30" s="64">
        <f>Revenue!T22*(1+$D$12)</f>
        <v>0</v>
      </c>
      <c r="U30" s="64">
        <f>Revenue!U22*(1+$D$12)</f>
        <v>0</v>
      </c>
      <c r="V30" s="64">
        <f>Revenue!V22*(1+$D$12)</f>
        <v>0</v>
      </c>
      <c r="W30" s="64">
        <f>Revenue!W22*(1+$D$12)</f>
        <v>0</v>
      </c>
      <c r="X30" s="64">
        <f>Revenue!X22*(1+$D$12)</f>
        <v>0</v>
      </c>
      <c r="Y30" s="64">
        <f>Revenue!Y22*(1+$D$12)</f>
        <v>0</v>
      </c>
      <c r="Z30" s="64">
        <f>Revenue!Z22*(1+$D$12)</f>
        <v>0</v>
      </c>
      <c r="AA30" s="64">
        <f>Revenue!AA22*(1+$D$12)</f>
        <v>0</v>
      </c>
      <c r="AB30" s="64">
        <f>Revenue!AB22*(1+$D$12)</f>
        <v>0</v>
      </c>
      <c r="AC30" s="64">
        <f>Revenue!AC22*(1+$D$12)</f>
        <v>0</v>
      </c>
      <c r="AD30" s="64">
        <f>Revenue!AD22*(1+$D$12)</f>
        <v>0</v>
      </c>
      <c r="AE30" s="64">
        <f>Revenue!AE22*(1+$D$12)</f>
        <v>0</v>
      </c>
      <c r="AF30" s="64">
        <f>Revenue!AF22*(1+$D$12)</f>
        <v>0</v>
      </c>
      <c r="AG30" s="64">
        <f>Revenue!AG22*(1+$D$12)</f>
        <v>0</v>
      </c>
      <c r="AH30" s="64">
        <f>Revenue!AH22*(1+$D$12)</f>
        <v>0</v>
      </c>
      <c r="AI30" s="64">
        <f>Revenue!AI22*(1+$D$12)</f>
        <v>0</v>
      </c>
      <c r="AJ30" s="64">
        <f>Revenue!AJ22*(1+$D$12)</f>
        <v>0</v>
      </c>
      <c r="AK30" s="64">
        <f>Revenue!AK22*(1+$D$12)</f>
        <v>0</v>
      </c>
      <c r="AL30" s="64">
        <f>Revenue!AL22*(1+$D$12)</f>
        <v>0</v>
      </c>
      <c r="AM30" s="64">
        <f>Revenue!AM22*(1+$D$12)</f>
        <v>0</v>
      </c>
      <c r="AN30" s="64">
        <f>Revenue!AN22*(1+$D$12)</f>
        <v>0</v>
      </c>
      <c r="AO30" s="64">
        <f>Revenue!AO22*(1+$D$12)</f>
        <v>0</v>
      </c>
      <c r="AP30" s="64">
        <f>Revenue!AP22*(1+$D$12)</f>
        <v>0</v>
      </c>
      <c r="AQ30" s="64">
        <f>Revenue!AQ22*(1+$D$12)</f>
        <v>0</v>
      </c>
      <c r="AR30" s="64">
        <f>Revenue!AR22*(1+$D$12)</f>
        <v>0</v>
      </c>
      <c r="AS30" s="64">
        <f>Revenue!AS22*(1+$D$12)</f>
        <v>0</v>
      </c>
      <c r="AT30" s="64">
        <f>Revenue!AT22*(1+$D$12)</f>
        <v>0</v>
      </c>
      <c r="AU30" s="64">
        <f>Revenue!AU22*(1+$D$12)</f>
        <v>0</v>
      </c>
      <c r="AV30" s="64">
        <f>Revenue!AV22*(1+$D$12)</f>
        <v>0</v>
      </c>
      <c r="AW30" s="64">
        <f>Revenue!AW22*(1+$D$12)</f>
        <v>0</v>
      </c>
      <c r="AX30" s="64">
        <f>Revenue!AX22*(1+$D$12)</f>
        <v>0</v>
      </c>
      <c r="AY30" s="64">
        <f>Revenue!AY22*(1+$D$12)</f>
        <v>0</v>
      </c>
      <c r="AZ30" s="64">
        <f>Revenue!AZ22*(1+$D$12)</f>
        <v>0</v>
      </c>
      <c r="BA30" s="64">
        <f>Revenue!BA22*(1+$D$12)</f>
        <v>0</v>
      </c>
      <c r="BB30" s="64">
        <f>Revenue!BB22*(1+$D$12)</f>
        <v>0</v>
      </c>
      <c r="BC30" s="64">
        <f>Revenue!BC22*(1+$D$12)</f>
        <v>0</v>
      </c>
      <c r="BD30" s="64">
        <f>Revenue!BD22*(1+$D$12)</f>
        <v>0</v>
      </c>
      <c r="BE30" s="64">
        <f>Revenue!BE22*(1+$D$12)</f>
        <v>0</v>
      </c>
      <c r="BF30" s="64">
        <f>Revenue!BF22*(1+$D$12)</f>
        <v>0</v>
      </c>
      <c r="BG30" s="64">
        <f>Revenue!BG22*(1+$D$12)</f>
        <v>0</v>
      </c>
      <c r="BH30" s="64">
        <f>Revenue!BH22*(1+$D$12)</f>
        <v>0</v>
      </c>
      <c r="BI30" s="64">
        <f>Revenue!BI22*(1+$D$12)</f>
        <v>0</v>
      </c>
      <c r="BJ30" s="64">
        <f>Revenue!BJ22*(1+$D$12)</f>
        <v>0</v>
      </c>
      <c r="BK30" s="64">
        <f>Revenue!BK22*(1+$D$12)</f>
        <v>0</v>
      </c>
      <c r="BL30" s="64">
        <f>Revenue!BL22*(1+$D$12)</f>
        <v>0</v>
      </c>
      <c r="BM30" s="64">
        <f>Revenue!BM22*(1+$D$12)</f>
        <v>0</v>
      </c>
      <c r="BN30" s="64">
        <f>Revenue!BN22*(1+$D$12)</f>
        <v>0</v>
      </c>
      <c r="BO30" s="64">
        <f>Revenue!BO22*(1+$D$12)</f>
        <v>0</v>
      </c>
      <c r="BP30" s="64">
        <f>Revenue!BP22*(1+$D$12)</f>
        <v>0</v>
      </c>
      <c r="BQ30" s="64">
        <f>Revenue!BQ22*(1+$D$12)</f>
        <v>0</v>
      </c>
      <c r="BR30" s="64">
        <f>Revenue!BR22*(1+$D$12)</f>
        <v>0</v>
      </c>
    </row>
    <row r="31" spans="2:70" x14ac:dyDescent="0.25">
      <c r="C31" s="170" t="s">
        <v>197</v>
      </c>
      <c r="D31" s="193" t="str">
        <f>unit</f>
        <v>£</v>
      </c>
      <c r="E31" s="63">
        <f ca="1">SUMIF($K$5:$BR$5,E$5,$K31:$BR31)</f>
        <v>0</v>
      </c>
      <c r="F31" s="63">
        <f t="shared" ca="1" si="10"/>
        <v>0</v>
      </c>
      <c r="G31" s="63">
        <f t="shared" ca="1" si="10"/>
        <v>0</v>
      </c>
      <c r="H31" s="63">
        <f t="shared" ca="1" si="10"/>
        <v>0</v>
      </c>
      <c r="I31" s="63">
        <f t="shared" ca="1" si="10"/>
        <v>0</v>
      </c>
      <c r="J31" s="171"/>
      <c r="K31" s="64">
        <f t="shared" ref="K31:AP31" ca="1" si="11">IF(K$6&gt;$D$27,OFFSET(K$30,0,-$D$27)*-1,0)</f>
        <v>0</v>
      </c>
      <c r="L31" s="64">
        <f t="shared" ca="1" si="11"/>
        <v>0</v>
      </c>
      <c r="M31" s="64">
        <f t="shared" ca="1" si="11"/>
        <v>0</v>
      </c>
      <c r="N31" s="64">
        <f t="shared" ca="1" si="11"/>
        <v>0</v>
      </c>
      <c r="O31" s="64">
        <f t="shared" ca="1" si="11"/>
        <v>0</v>
      </c>
      <c r="P31" s="64">
        <f t="shared" ca="1" si="11"/>
        <v>0</v>
      </c>
      <c r="Q31" s="64">
        <f t="shared" ca="1" si="11"/>
        <v>0</v>
      </c>
      <c r="R31" s="64">
        <f t="shared" ca="1" si="11"/>
        <v>0</v>
      </c>
      <c r="S31" s="64">
        <f t="shared" ca="1" si="11"/>
        <v>0</v>
      </c>
      <c r="T31" s="64">
        <f t="shared" ca="1" si="11"/>
        <v>0</v>
      </c>
      <c r="U31" s="64">
        <f t="shared" ca="1" si="11"/>
        <v>0</v>
      </c>
      <c r="V31" s="64">
        <f t="shared" ca="1" si="11"/>
        <v>0</v>
      </c>
      <c r="W31" s="64">
        <f t="shared" ca="1" si="11"/>
        <v>0</v>
      </c>
      <c r="X31" s="64">
        <f t="shared" ca="1" si="11"/>
        <v>0</v>
      </c>
      <c r="Y31" s="64">
        <f t="shared" ca="1" si="11"/>
        <v>0</v>
      </c>
      <c r="Z31" s="64">
        <f t="shared" ca="1" si="11"/>
        <v>0</v>
      </c>
      <c r="AA31" s="64">
        <f t="shared" ca="1" si="11"/>
        <v>0</v>
      </c>
      <c r="AB31" s="64">
        <f t="shared" ca="1" si="11"/>
        <v>0</v>
      </c>
      <c r="AC31" s="64">
        <f t="shared" ca="1" si="11"/>
        <v>0</v>
      </c>
      <c r="AD31" s="64">
        <f t="shared" ca="1" si="11"/>
        <v>0</v>
      </c>
      <c r="AE31" s="64">
        <f t="shared" ca="1" si="11"/>
        <v>0</v>
      </c>
      <c r="AF31" s="64">
        <f t="shared" ca="1" si="11"/>
        <v>0</v>
      </c>
      <c r="AG31" s="64">
        <f t="shared" ca="1" si="11"/>
        <v>0</v>
      </c>
      <c r="AH31" s="64">
        <f t="shared" ca="1" si="11"/>
        <v>0</v>
      </c>
      <c r="AI31" s="64">
        <f t="shared" ca="1" si="11"/>
        <v>0</v>
      </c>
      <c r="AJ31" s="64">
        <f t="shared" ca="1" si="11"/>
        <v>0</v>
      </c>
      <c r="AK31" s="64">
        <f t="shared" ca="1" si="11"/>
        <v>0</v>
      </c>
      <c r="AL31" s="64">
        <f t="shared" ca="1" si="11"/>
        <v>0</v>
      </c>
      <c r="AM31" s="64">
        <f t="shared" ca="1" si="11"/>
        <v>0</v>
      </c>
      <c r="AN31" s="64">
        <f t="shared" ca="1" si="11"/>
        <v>0</v>
      </c>
      <c r="AO31" s="64">
        <f t="shared" ca="1" si="11"/>
        <v>0</v>
      </c>
      <c r="AP31" s="64">
        <f t="shared" ca="1" si="11"/>
        <v>0</v>
      </c>
      <c r="AQ31" s="64">
        <f t="shared" ref="AQ31:BR31" ca="1" si="12">IF(AQ$6&gt;$D$27,OFFSET(AQ$30,0,-$D$27)*-1,0)</f>
        <v>0</v>
      </c>
      <c r="AR31" s="64">
        <f t="shared" ca="1" si="12"/>
        <v>0</v>
      </c>
      <c r="AS31" s="64">
        <f t="shared" ca="1" si="12"/>
        <v>0</v>
      </c>
      <c r="AT31" s="64">
        <f t="shared" ca="1" si="12"/>
        <v>0</v>
      </c>
      <c r="AU31" s="64">
        <f t="shared" ca="1" si="12"/>
        <v>0</v>
      </c>
      <c r="AV31" s="64">
        <f t="shared" ca="1" si="12"/>
        <v>0</v>
      </c>
      <c r="AW31" s="64">
        <f t="shared" ca="1" si="12"/>
        <v>0</v>
      </c>
      <c r="AX31" s="64">
        <f t="shared" ca="1" si="12"/>
        <v>0</v>
      </c>
      <c r="AY31" s="64">
        <f t="shared" ca="1" si="12"/>
        <v>0</v>
      </c>
      <c r="AZ31" s="64">
        <f t="shared" ca="1" si="12"/>
        <v>0</v>
      </c>
      <c r="BA31" s="64">
        <f t="shared" ca="1" si="12"/>
        <v>0</v>
      </c>
      <c r="BB31" s="64">
        <f t="shared" ca="1" si="12"/>
        <v>0</v>
      </c>
      <c r="BC31" s="64">
        <f t="shared" ca="1" si="12"/>
        <v>0</v>
      </c>
      <c r="BD31" s="64">
        <f t="shared" ca="1" si="12"/>
        <v>0</v>
      </c>
      <c r="BE31" s="64">
        <f t="shared" ca="1" si="12"/>
        <v>0</v>
      </c>
      <c r="BF31" s="64">
        <f t="shared" ca="1" si="12"/>
        <v>0</v>
      </c>
      <c r="BG31" s="64">
        <f t="shared" ca="1" si="12"/>
        <v>0</v>
      </c>
      <c r="BH31" s="64">
        <f t="shared" ca="1" si="12"/>
        <v>0</v>
      </c>
      <c r="BI31" s="64">
        <f t="shared" ca="1" si="12"/>
        <v>0</v>
      </c>
      <c r="BJ31" s="64">
        <f t="shared" ca="1" si="12"/>
        <v>0</v>
      </c>
      <c r="BK31" s="64">
        <f t="shared" ca="1" si="12"/>
        <v>0</v>
      </c>
      <c r="BL31" s="64">
        <f t="shared" ca="1" si="12"/>
        <v>0</v>
      </c>
      <c r="BM31" s="64">
        <f t="shared" ca="1" si="12"/>
        <v>0</v>
      </c>
      <c r="BN31" s="64">
        <f t="shared" ca="1" si="12"/>
        <v>0</v>
      </c>
      <c r="BO31" s="64">
        <f t="shared" ca="1" si="12"/>
        <v>0</v>
      </c>
      <c r="BP31" s="64">
        <f t="shared" ca="1" si="12"/>
        <v>0</v>
      </c>
      <c r="BQ31" s="64">
        <f t="shared" ca="1" si="12"/>
        <v>0</v>
      </c>
      <c r="BR31" s="64">
        <f t="shared" ca="1" si="12"/>
        <v>0</v>
      </c>
    </row>
    <row r="32" spans="2:70" x14ac:dyDescent="0.25">
      <c r="C32" s="170" t="s">
        <v>209</v>
      </c>
      <c r="D32" s="259">
        <f>KeyInputs!G120</f>
        <v>0</v>
      </c>
      <c r="E32" s="59">
        <f ca="1">SUM(E29:E31)</f>
        <v>0</v>
      </c>
      <c r="F32" s="59">
        <f t="shared" ref="F32:I32" ca="1" si="13">SUM(F29:F31)</f>
        <v>0</v>
      </c>
      <c r="G32" s="59">
        <f t="shared" ca="1" si="13"/>
        <v>0</v>
      </c>
      <c r="H32" s="59">
        <f t="shared" ca="1" si="13"/>
        <v>0</v>
      </c>
      <c r="I32" s="59">
        <f t="shared" ca="1" si="13"/>
        <v>0</v>
      </c>
      <c r="J32" s="172">
        <f>$D$32</f>
        <v>0</v>
      </c>
      <c r="K32" s="65">
        <f ca="1">SUM(K29:K31)</f>
        <v>0</v>
      </c>
      <c r="L32" s="65">
        <f t="shared" ref="L32:BR32" ca="1" si="14">SUM(L29:L31)</f>
        <v>0</v>
      </c>
      <c r="M32" s="65">
        <f t="shared" ca="1" si="14"/>
        <v>0</v>
      </c>
      <c r="N32" s="65">
        <f t="shared" ca="1" si="14"/>
        <v>0</v>
      </c>
      <c r="O32" s="65">
        <f t="shared" ca="1" si="14"/>
        <v>0</v>
      </c>
      <c r="P32" s="65">
        <f t="shared" ca="1" si="14"/>
        <v>0</v>
      </c>
      <c r="Q32" s="65">
        <f t="shared" ca="1" si="14"/>
        <v>0</v>
      </c>
      <c r="R32" s="65">
        <f t="shared" ca="1" si="14"/>
        <v>0</v>
      </c>
      <c r="S32" s="65">
        <f t="shared" ca="1" si="14"/>
        <v>0</v>
      </c>
      <c r="T32" s="65">
        <f t="shared" ca="1" si="14"/>
        <v>0</v>
      </c>
      <c r="U32" s="65">
        <f t="shared" ca="1" si="14"/>
        <v>0</v>
      </c>
      <c r="V32" s="65">
        <f t="shared" ca="1" si="14"/>
        <v>0</v>
      </c>
      <c r="W32" s="65">
        <f t="shared" ca="1" si="14"/>
        <v>0</v>
      </c>
      <c r="X32" s="65">
        <f t="shared" ca="1" si="14"/>
        <v>0</v>
      </c>
      <c r="Y32" s="65">
        <f t="shared" ca="1" si="14"/>
        <v>0</v>
      </c>
      <c r="Z32" s="65">
        <f t="shared" ca="1" si="14"/>
        <v>0</v>
      </c>
      <c r="AA32" s="65">
        <f t="shared" ca="1" si="14"/>
        <v>0</v>
      </c>
      <c r="AB32" s="65">
        <f t="shared" ca="1" si="14"/>
        <v>0</v>
      </c>
      <c r="AC32" s="65">
        <f t="shared" ca="1" si="14"/>
        <v>0</v>
      </c>
      <c r="AD32" s="65">
        <f t="shared" ca="1" si="14"/>
        <v>0</v>
      </c>
      <c r="AE32" s="65">
        <f t="shared" ca="1" si="14"/>
        <v>0</v>
      </c>
      <c r="AF32" s="65">
        <f t="shared" ca="1" si="14"/>
        <v>0</v>
      </c>
      <c r="AG32" s="65">
        <f t="shared" ca="1" si="14"/>
        <v>0</v>
      </c>
      <c r="AH32" s="65">
        <f t="shared" ca="1" si="14"/>
        <v>0</v>
      </c>
      <c r="AI32" s="65">
        <f t="shared" ca="1" si="14"/>
        <v>0</v>
      </c>
      <c r="AJ32" s="65">
        <f t="shared" ca="1" si="14"/>
        <v>0</v>
      </c>
      <c r="AK32" s="65">
        <f t="shared" ca="1" si="14"/>
        <v>0</v>
      </c>
      <c r="AL32" s="65">
        <f t="shared" ca="1" si="14"/>
        <v>0</v>
      </c>
      <c r="AM32" s="65">
        <f t="shared" ca="1" si="14"/>
        <v>0</v>
      </c>
      <c r="AN32" s="65">
        <f t="shared" ca="1" si="14"/>
        <v>0</v>
      </c>
      <c r="AO32" s="65">
        <f t="shared" ca="1" si="14"/>
        <v>0</v>
      </c>
      <c r="AP32" s="65">
        <f t="shared" ca="1" si="14"/>
        <v>0</v>
      </c>
      <c r="AQ32" s="65">
        <f t="shared" ca="1" si="14"/>
        <v>0</v>
      </c>
      <c r="AR32" s="65">
        <f t="shared" ca="1" si="14"/>
        <v>0</v>
      </c>
      <c r="AS32" s="65">
        <f t="shared" ca="1" si="14"/>
        <v>0</v>
      </c>
      <c r="AT32" s="65">
        <f t="shared" ca="1" si="14"/>
        <v>0</v>
      </c>
      <c r="AU32" s="65">
        <f t="shared" ca="1" si="14"/>
        <v>0</v>
      </c>
      <c r="AV32" s="65">
        <f t="shared" ca="1" si="14"/>
        <v>0</v>
      </c>
      <c r="AW32" s="65">
        <f t="shared" ca="1" si="14"/>
        <v>0</v>
      </c>
      <c r="AX32" s="65">
        <f t="shared" ca="1" si="14"/>
        <v>0</v>
      </c>
      <c r="AY32" s="65">
        <f t="shared" ca="1" si="14"/>
        <v>0</v>
      </c>
      <c r="AZ32" s="65">
        <f t="shared" ca="1" si="14"/>
        <v>0</v>
      </c>
      <c r="BA32" s="65">
        <f t="shared" ca="1" si="14"/>
        <v>0</v>
      </c>
      <c r="BB32" s="65">
        <f t="shared" ca="1" si="14"/>
        <v>0</v>
      </c>
      <c r="BC32" s="65">
        <f t="shared" ca="1" si="14"/>
        <v>0</v>
      </c>
      <c r="BD32" s="65">
        <f t="shared" ca="1" si="14"/>
        <v>0</v>
      </c>
      <c r="BE32" s="65">
        <f t="shared" ca="1" si="14"/>
        <v>0</v>
      </c>
      <c r="BF32" s="65">
        <f t="shared" ca="1" si="14"/>
        <v>0</v>
      </c>
      <c r="BG32" s="65">
        <f t="shared" ca="1" si="14"/>
        <v>0</v>
      </c>
      <c r="BH32" s="65">
        <f t="shared" ca="1" si="14"/>
        <v>0</v>
      </c>
      <c r="BI32" s="65">
        <f t="shared" ca="1" si="14"/>
        <v>0</v>
      </c>
      <c r="BJ32" s="65">
        <f t="shared" ca="1" si="14"/>
        <v>0</v>
      </c>
      <c r="BK32" s="65">
        <f t="shared" ca="1" si="14"/>
        <v>0</v>
      </c>
      <c r="BL32" s="65">
        <f t="shared" ca="1" si="14"/>
        <v>0</v>
      </c>
      <c r="BM32" s="65">
        <f t="shared" ca="1" si="14"/>
        <v>0</v>
      </c>
      <c r="BN32" s="65">
        <f t="shared" ca="1" si="14"/>
        <v>0</v>
      </c>
      <c r="BO32" s="65">
        <f t="shared" ca="1" si="14"/>
        <v>0</v>
      </c>
      <c r="BP32" s="65">
        <f t="shared" ca="1" si="14"/>
        <v>0</v>
      </c>
      <c r="BQ32" s="65">
        <f t="shared" ca="1" si="14"/>
        <v>0</v>
      </c>
      <c r="BR32" s="65">
        <f t="shared" ca="1" si="14"/>
        <v>0</v>
      </c>
    </row>
    <row r="33" spans="1:70" x14ac:dyDescent="0.25">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row>
    <row r="34" spans="1:70" x14ac:dyDescent="0.25">
      <c r="C34" s="139" t="s">
        <v>303</v>
      </c>
      <c r="K34" s="64">
        <f ca="1">(K32-K29)*-1</f>
        <v>0</v>
      </c>
      <c r="L34" s="64">
        <f t="shared" ref="L34:BR34" ca="1" si="15">(L32-L29)*-1</f>
        <v>0</v>
      </c>
      <c r="M34" s="64">
        <f t="shared" ca="1" si="15"/>
        <v>0</v>
      </c>
      <c r="N34" s="64">
        <f t="shared" ca="1" si="15"/>
        <v>0</v>
      </c>
      <c r="O34" s="64">
        <f t="shared" ca="1" si="15"/>
        <v>0</v>
      </c>
      <c r="P34" s="64">
        <f t="shared" ca="1" si="15"/>
        <v>0</v>
      </c>
      <c r="Q34" s="64">
        <f t="shared" ca="1" si="15"/>
        <v>0</v>
      </c>
      <c r="R34" s="64">
        <f t="shared" ca="1" si="15"/>
        <v>0</v>
      </c>
      <c r="S34" s="64">
        <f t="shared" ca="1" si="15"/>
        <v>0</v>
      </c>
      <c r="T34" s="64">
        <f t="shared" ca="1" si="15"/>
        <v>0</v>
      </c>
      <c r="U34" s="64">
        <f t="shared" ca="1" si="15"/>
        <v>0</v>
      </c>
      <c r="V34" s="64">
        <f t="shared" ca="1" si="15"/>
        <v>0</v>
      </c>
      <c r="W34" s="64">
        <f t="shared" ca="1" si="15"/>
        <v>0</v>
      </c>
      <c r="X34" s="64">
        <f t="shared" ca="1" si="15"/>
        <v>0</v>
      </c>
      <c r="Y34" s="64">
        <f t="shared" ca="1" si="15"/>
        <v>0</v>
      </c>
      <c r="Z34" s="64">
        <f t="shared" ca="1" si="15"/>
        <v>0</v>
      </c>
      <c r="AA34" s="64">
        <f t="shared" ca="1" si="15"/>
        <v>0</v>
      </c>
      <c r="AB34" s="64">
        <f t="shared" ca="1" si="15"/>
        <v>0</v>
      </c>
      <c r="AC34" s="64">
        <f t="shared" ca="1" si="15"/>
        <v>0</v>
      </c>
      <c r="AD34" s="64">
        <f t="shared" ca="1" si="15"/>
        <v>0</v>
      </c>
      <c r="AE34" s="64">
        <f t="shared" ca="1" si="15"/>
        <v>0</v>
      </c>
      <c r="AF34" s="64">
        <f t="shared" ca="1" si="15"/>
        <v>0</v>
      </c>
      <c r="AG34" s="64">
        <f t="shared" ca="1" si="15"/>
        <v>0</v>
      </c>
      <c r="AH34" s="64">
        <f t="shared" ca="1" si="15"/>
        <v>0</v>
      </c>
      <c r="AI34" s="64">
        <f t="shared" ca="1" si="15"/>
        <v>0</v>
      </c>
      <c r="AJ34" s="64">
        <f t="shared" ca="1" si="15"/>
        <v>0</v>
      </c>
      <c r="AK34" s="64">
        <f t="shared" ca="1" si="15"/>
        <v>0</v>
      </c>
      <c r="AL34" s="64">
        <f t="shared" ca="1" si="15"/>
        <v>0</v>
      </c>
      <c r="AM34" s="64">
        <f t="shared" ca="1" si="15"/>
        <v>0</v>
      </c>
      <c r="AN34" s="64">
        <f t="shared" ca="1" si="15"/>
        <v>0</v>
      </c>
      <c r="AO34" s="64">
        <f t="shared" ca="1" si="15"/>
        <v>0</v>
      </c>
      <c r="AP34" s="64">
        <f t="shared" ca="1" si="15"/>
        <v>0</v>
      </c>
      <c r="AQ34" s="64">
        <f t="shared" ca="1" si="15"/>
        <v>0</v>
      </c>
      <c r="AR34" s="64">
        <f t="shared" ca="1" si="15"/>
        <v>0</v>
      </c>
      <c r="AS34" s="64">
        <f t="shared" ca="1" si="15"/>
        <v>0</v>
      </c>
      <c r="AT34" s="64">
        <f t="shared" ca="1" si="15"/>
        <v>0</v>
      </c>
      <c r="AU34" s="64">
        <f t="shared" ca="1" si="15"/>
        <v>0</v>
      </c>
      <c r="AV34" s="64">
        <f t="shared" ca="1" si="15"/>
        <v>0</v>
      </c>
      <c r="AW34" s="64">
        <f t="shared" ca="1" si="15"/>
        <v>0</v>
      </c>
      <c r="AX34" s="64">
        <f t="shared" ca="1" si="15"/>
        <v>0</v>
      </c>
      <c r="AY34" s="64">
        <f t="shared" ca="1" si="15"/>
        <v>0</v>
      </c>
      <c r="AZ34" s="64">
        <f t="shared" ca="1" si="15"/>
        <v>0</v>
      </c>
      <c r="BA34" s="64">
        <f t="shared" ca="1" si="15"/>
        <v>0</v>
      </c>
      <c r="BB34" s="64">
        <f t="shared" ca="1" si="15"/>
        <v>0</v>
      </c>
      <c r="BC34" s="64">
        <f t="shared" ca="1" si="15"/>
        <v>0</v>
      </c>
      <c r="BD34" s="64">
        <f t="shared" ca="1" si="15"/>
        <v>0</v>
      </c>
      <c r="BE34" s="64">
        <f t="shared" ca="1" si="15"/>
        <v>0</v>
      </c>
      <c r="BF34" s="64">
        <f t="shared" ca="1" si="15"/>
        <v>0</v>
      </c>
      <c r="BG34" s="64">
        <f t="shared" ca="1" si="15"/>
        <v>0</v>
      </c>
      <c r="BH34" s="64">
        <f t="shared" ca="1" si="15"/>
        <v>0</v>
      </c>
      <c r="BI34" s="64">
        <f t="shared" ca="1" si="15"/>
        <v>0</v>
      </c>
      <c r="BJ34" s="64">
        <f t="shared" ca="1" si="15"/>
        <v>0</v>
      </c>
      <c r="BK34" s="64">
        <f t="shared" ca="1" si="15"/>
        <v>0</v>
      </c>
      <c r="BL34" s="64">
        <f t="shared" ca="1" si="15"/>
        <v>0</v>
      </c>
      <c r="BM34" s="64">
        <f t="shared" ca="1" si="15"/>
        <v>0</v>
      </c>
      <c r="BN34" s="64">
        <f t="shared" ca="1" si="15"/>
        <v>0</v>
      </c>
      <c r="BO34" s="64">
        <f t="shared" ca="1" si="15"/>
        <v>0</v>
      </c>
      <c r="BP34" s="64">
        <f t="shared" ca="1" si="15"/>
        <v>0</v>
      </c>
      <c r="BQ34" s="64">
        <f t="shared" ca="1" si="15"/>
        <v>0</v>
      </c>
      <c r="BR34" s="64">
        <f t="shared" ca="1" si="15"/>
        <v>0</v>
      </c>
    </row>
    <row r="35" spans="1:70" x14ac:dyDescent="0.25">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row>
    <row r="36" spans="1:70" s="169" customFormat="1" ht="13.8" x14ac:dyDescent="0.25">
      <c r="B36" s="169" t="str">
        <f>Header2</f>
        <v>1.3</v>
      </c>
      <c r="C36" s="169" t="str">
        <f>KeyInputs!F31</f>
        <v>Insert Business Line3</v>
      </c>
    </row>
    <row r="37" spans="1:70" x14ac:dyDescent="0.25">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c r="BD37" s="64"/>
      <c r="BE37" s="64"/>
      <c r="BF37" s="64"/>
      <c r="BG37" s="64"/>
      <c r="BH37" s="64"/>
      <c r="BI37" s="64"/>
      <c r="BJ37" s="64"/>
      <c r="BK37" s="64"/>
      <c r="BL37" s="64"/>
      <c r="BM37" s="64"/>
      <c r="BN37" s="64"/>
      <c r="BO37" s="64"/>
      <c r="BP37" s="64"/>
      <c r="BQ37" s="64"/>
      <c r="BR37" s="64"/>
    </row>
    <row r="38" spans="1:70" x14ac:dyDescent="0.25">
      <c r="C38" s="204" t="s">
        <v>200</v>
      </c>
      <c r="D38" s="205">
        <f>KeyInputs!$F$47</f>
        <v>0</v>
      </c>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row>
    <row r="39" spans="1:70" x14ac:dyDescent="0.25">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row>
    <row r="40" spans="1:70" x14ac:dyDescent="0.25">
      <c r="C40" s="170" t="s">
        <v>198</v>
      </c>
      <c r="D40" s="193" t="str">
        <f>unit</f>
        <v>£</v>
      </c>
      <c r="E40" s="63">
        <f>D43</f>
        <v>0</v>
      </c>
      <c r="F40" s="63">
        <f t="shared" ref="F40:I40" ca="1" si="16">E43</f>
        <v>0</v>
      </c>
      <c r="G40" s="63">
        <f t="shared" ca="1" si="16"/>
        <v>0</v>
      </c>
      <c r="H40" s="63">
        <f t="shared" ca="1" si="16"/>
        <v>0</v>
      </c>
      <c r="I40" s="63">
        <f t="shared" ca="1" si="16"/>
        <v>0</v>
      </c>
      <c r="K40" s="64">
        <f>J43</f>
        <v>0</v>
      </c>
      <c r="L40" s="64">
        <f t="shared" ref="L40:BR40" ca="1" si="17">K43</f>
        <v>0</v>
      </c>
      <c r="M40" s="64">
        <f t="shared" ca="1" si="17"/>
        <v>0</v>
      </c>
      <c r="N40" s="64">
        <f t="shared" ca="1" si="17"/>
        <v>0</v>
      </c>
      <c r="O40" s="64">
        <f t="shared" ca="1" si="17"/>
        <v>0</v>
      </c>
      <c r="P40" s="64">
        <f t="shared" ca="1" si="17"/>
        <v>0</v>
      </c>
      <c r="Q40" s="64">
        <f t="shared" ca="1" si="17"/>
        <v>0</v>
      </c>
      <c r="R40" s="64">
        <f t="shared" ca="1" si="17"/>
        <v>0</v>
      </c>
      <c r="S40" s="64">
        <f t="shared" ca="1" si="17"/>
        <v>0</v>
      </c>
      <c r="T40" s="64">
        <f t="shared" ca="1" si="17"/>
        <v>0</v>
      </c>
      <c r="U40" s="64">
        <f t="shared" ca="1" si="17"/>
        <v>0</v>
      </c>
      <c r="V40" s="64">
        <f t="shared" ca="1" si="17"/>
        <v>0</v>
      </c>
      <c r="W40" s="64">
        <f t="shared" ca="1" si="17"/>
        <v>0</v>
      </c>
      <c r="X40" s="64">
        <f t="shared" ca="1" si="17"/>
        <v>0</v>
      </c>
      <c r="Y40" s="64">
        <f t="shared" ca="1" si="17"/>
        <v>0</v>
      </c>
      <c r="Z40" s="64">
        <f t="shared" ca="1" si="17"/>
        <v>0</v>
      </c>
      <c r="AA40" s="64">
        <f t="shared" ca="1" si="17"/>
        <v>0</v>
      </c>
      <c r="AB40" s="64">
        <f t="shared" ca="1" si="17"/>
        <v>0</v>
      </c>
      <c r="AC40" s="64">
        <f t="shared" ca="1" si="17"/>
        <v>0</v>
      </c>
      <c r="AD40" s="64">
        <f t="shared" ca="1" si="17"/>
        <v>0</v>
      </c>
      <c r="AE40" s="64">
        <f t="shared" ca="1" si="17"/>
        <v>0</v>
      </c>
      <c r="AF40" s="64">
        <f t="shared" ca="1" si="17"/>
        <v>0</v>
      </c>
      <c r="AG40" s="64">
        <f t="shared" ca="1" si="17"/>
        <v>0</v>
      </c>
      <c r="AH40" s="64">
        <f t="shared" ca="1" si="17"/>
        <v>0</v>
      </c>
      <c r="AI40" s="64">
        <f t="shared" ca="1" si="17"/>
        <v>0</v>
      </c>
      <c r="AJ40" s="64">
        <f t="shared" ca="1" si="17"/>
        <v>0</v>
      </c>
      <c r="AK40" s="64">
        <f t="shared" ca="1" si="17"/>
        <v>0</v>
      </c>
      <c r="AL40" s="64">
        <f t="shared" ca="1" si="17"/>
        <v>0</v>
      </c>
      <c r="AM40" s="64">
        <f t="shared" ca="1" si="17"/>
        <v>0</v>
      </c>
      <c r="AN40" s="64">
        <f t="shared" ca="1" si="17"/>
        <v>0</v>
      </c>
      <c r="AO40" s="64">
        <f t="shared" ca="1" si="17"/>
        <v>0</v>
      </c>
      <c r="AP40" s="64">
        <f t="shared" ca="1" si="17"/>
        <v>0</v>
      </c>
      <c r="AQ40" s="64">
        <f t="shared" ca="1" si="17"/>
        <v>0</v>
      </c>
      <c r="AR40" s="64">
        <f t="shared" ca="1" si="17"/>
        <v>0</v>
      </c>
      <c r="AS40" s="64">
        <f t="shared" ca="1" si="17"/>
        <v>0</v>
      </c>
      <c r="AT40" s="64">
        <f t="shared" ca="1" si="17"/>
        <v>0</v>
      </c>
      <c r="AU40" s="64">
        <f t="shared" ca="1" si="17"/>
        <v>0</v>
      </c>
      <c r="AV40" s="64">
        <f t="shared" ca="1" si="17"/>
        <v>0</v>
      </c>
      <c r="AW40" s="64">
        <f t="shared" ca="1" si="17"/>
        <v>0</v>
      </c>
      <c r="AX40" s="64">
        <f t="shared" ca="1" si="17"/>
        <v>0</v>
      </c>
      <c r="AY40" s="64">
        <f t="shared" ca="1" si="17"/>
        <v>0</v>
      </c>
      <c r="AZ40" s="64">
        <f t="shared" ca="1" si="17"/>
        <v>0</v>
      </c>
      <c r="BA40" s="64">
        <f t="shared" ca="1" si="17"/>
        <v>0</v>
      </c>
      <c r="BB40" s="64">
        <f t="shared" ca="1" si="17"/>
        <v>0</v>
      </c>
      <c r="BC40" s="64">
        <f t="shared" ca="1" si="17"/>
        <v>0</v>
      </c>
      <c r="BD40" s="64">
        <f t="shared" ca="1" si="17"/>
        <v>0</v>
      </c>
      <c r="BE40" s="64">
        <f t="shared" ca="1" si="17"/>
        <v>0</v>
      </c>
      <c r="BF40" s="64">
        <f t="shared" ca="1" si="17"/>
        <v>0</v>
      </c>
      <c r="BG40" s="64">
        <f t="shared" ca="1" si="17"/>
        <v>0</v>
      </c>
      <c r="BH40" s="64">
        <f t="shared" ca="1" si="17"/>
        <v>0</v>
      </c>
      <c r="BI40" s="64">
        <f t="shared" ca="1" si="17"/>
        <v>0</v>
      </c>
      <c r="BJ40" s="64">
        <f t="shared" ca="1" si="17"/>
        <v>0</v>
      </c>
      <c r="BK40" s="64">
        <f t="shared" ca="1" si="17"/>
        <v>0</v>
      </c>
      <c r="BL40" s="64">
        <f t="shared" ca="1" si="17"/>
        <v>0</v>
      </c>
      <c r="BM40" s="64">
        <f t="shared" ca="1" si="17"/>
        <v>0</v>
      </c>
      <c r="BN40" s="64">
        <f t="shared" ca="1" si="17"/>
        <v>0</v>
      </c>
      <c r="BO40" s="64">
        <f t="shared" ca="1" si="17"/>
        <v>0</v>
      </c>
      <c r="BP40" s="64">
        <f t="shared" ca="1" si="17"/>
        <v>0</v>
      </c>
      <c r="BQ40" s="64">
        <f t="shared" ca="1" si="17"/>
        <v>0</v>
      </c>
      <c r="BR40" s="64">
        <f t="shared" ca="1" si="17"/>
        <v>0</v>
      </c>
    </row>
    <row r="41" spans="1:70" x14ac:dyDescent="0.25">
      <c r="C41" s="170" t="s">
        <v>199</v>
      </c>
      <c r="D41" s="193" t="str">
        <f>unit</f>
        <v>£</v>
      </c>
      <c r="E41" s="63">
        <f>SUMIF($K$5:$BR$5,E$5,$K41:$BR41)</f>
        <v>0</v>
      </c>
      <c r="F41" s="63">
        <f t="shared" ref="F41:I42" si="18">SUMIF($K$5:$BR$5,F$5,$K41:$BR41)</f>
        <v>0</v>
      </c>
      <c r="G41" s="63">
        <f t="shared" si="18"/>
        <v>0</v>
      </c>
      <c r="H41" s="63">
        <f t="shared" si="18"/>
        <v>0</v>
      </c>
      <c r="I41" s="63">
        <f t="shared" si="18"/>
        <v>0</v>
      </c>
      <c r="K41" s="64">
        <f>Revenue!K28*(1+$D$12)</f>
        <v>0</v>
      </c>
      <c r="L41" s="64">
        <f>Revenue!L28*(1+$D$12)</f>
        <v>0</v>
      </c>
      <c r="M41" s="64">
        <f>Revenue!M28*(1+$D$12)</f>
        <v>0</v>
      </c>
      <c r="N41" s="64">
        <f>Revenue!N28*(1+$D$12)</f>
        <v>0</v>
      </c>
      <c r="O41" s="64">
        <f>Revenue!O28*(1+$D$12)</f>
        <v>0</v>
      </c>
      <c r="P41" s="64">
        <f>Revenue!P28*(1+$D$12)</f>
        <v>0</v>
      </c>
      <c r="Q41" s="64">
        <f>Revenue!Q28*(1+$D$12)</f>
        <v>0</v>
      </c>
      <c r="R41" s="64">
        <f>Revenue!R28*(1+$D$12)</f>
        <v>0</v>
      </c>
      <c r="S41" s="64">
        <f>Revenue!S28*(1+$D$12)</f>
        <v>0</v>
      </c>
      <c r="T41" s="64">
        <f>Revenue!T28*(1+$D$12)</f>
        <v>0</v>
      </c>
      <c r="U41" s="64">
        <f>Revenue!U28*(1+$D$12)</f>
        <v>0</v>
      </c>
      <c r="V41" s="64">
        <f>Revenue!V28*(1+$D$12)</f>
        <v>0</v>
      </c>
      <c r="W41" s="64">
        <f>Revenue!W28*(1+$D$12)</f>
        <v>0</v>
      </c>
      <c r="X41" s="64">
        <f>Revenue!X28*(1+$D$12)</f>
        <v>0</v>
      </c>
      <c r="Y41" s="64">
        <f>Revenue!Y28*(1+$D$12)</f>
        <v>0</v>
      </c>
      <c r="Z41" s="64">
        <f>Revenue!Z28*(1+$D$12)</f>
        <v>0</v>
      </c>
      <c r="AA41" s="64">
        <f>Revenue!AA28*(1+$D$12)</f>
        <v>0</v>
      </c>
      <c r="AB41" s="64">
        <f>Revenue!AB28*(1+$D$12)</f>
        <v>0</v>
      </c>
      <c r="AC41" s="64">
        <f>Revenue!AC28*(1+$D$12)</f>
        <v>0</v>
      </c>
      <c r="AD41" s="64">
        <f>Revenue!AD28*(1+$D$12)</f>
        <v>0</v>
      </c>
      <c r="AE41" s="64">
        <f>Revenue!AE28*(1+$D$12)</f>
        <v>0</v>
      </c>
      <c r="AF41" s="64">
        <f>Revenue!AF28*(1+$D$12)</f>
        <v>0</v>
      </c>
      <c r="AG41" s="64">
        <f>Revenue!AG28*(1+$D$12)</f>
        <v>0</v>
      </c>
      <c r="AH41" s="64">
        <f>Revenue!AH28*(1+$D$12)</f>
        <v>0</v>
      </c>
      <c r="AI41" s="64">
        <f>Revenue!AI28*(1+$D$12)</f>
        <v>0</v>
      </c>
      <c r="AJ41" s="64">
        <f>Revenue!AJ28*(1+$D$12)</f>
        <v>0</v>
      </c>
      <c r="AK41" s="64">
        <f>Revenue!AK28*(1+$D$12)</f>
        <v>0</v>
      </c>
      <c r="AL41" s="64">
        <f>Revenue!AL28*(1+$D$12)</f>
        <v>0</v>
      </c>
      <c r="AM41" s="64">
        <f>Revenue!AM28*(1+$D$12)</f>
        <v>0</v>
      </c>
      <c r="AN41" s="64">
        <f>Revenue!AN28*(1+$D$12)</f>
        <v>0</v>
      </c>
      <c r="AO41" s="64">
        <f>Revenue!AO28*(1+$D$12)</f>
        <v>0</v>
      </c>
      <c r="AP41" s="64">
        <f>Revenue!AP28*(1+$D$12)</f>
        <v>0</v>
      </c>
      <c r="AQ41" s="64">
        <f>Revenue!AQ28*(1+$D$12)</f>
        <v>0</v>
      </c>
      <c r="AR41" s="64">
        <f>Revenue!AR28*(1+$D$12)</f>
        <v>0</v>
      </c>
      <c r="AS41" s="64">
        <f>Revenue!AS28*(1+$D$12)</f>
        <v>0</v>
      </c>
      <c r="AT41" s="64">
        <f>Revenue!AT28*(1+$D$12)</f>
        <v>0</v>
      </c>
      <c r="AU41" s="64">
        <f>Revenue!AU28*(1+$D$12)</f>
        <v>0</v>
      </c>
      <c r="AV41" s="64">
        <f>Revenue!AV28*(1+$D$12)</f>
        <v>0</v>
      </c>
      <c r="AW41" s="64">
        <f>Revenue!AW28*(1+$D$12)</f>
        <v>0</v>
      </c>
      <c r="AX41" s="64">
        <f>Revenue!AX28*(1+$D$12)</f>
        <v>0</v>
      </c>
      <c r="AY41" s="64">
        <f>Revenue!AY28*(1+$D$12)</f>
        <v>0</v>
      </c>
      <c r="AZ41" s="64">
        <f>Revenue!AZ28*(1+$D$12)</f>
        <v>0</v>
      </c>
      <c r="BA41" s="64">
        <f>Revenue!BA28*(1+$D$12)</f>
        <v>0</v>
      </c>
      <c r="BB41" s="64">
        <f>Revenue!BB28*(1+$D$12)</f>
        <v>0</v>
      </c>
      <c r="BC41" s="64">
        <f>Revenue!BC28*(1+$D$12)</f>
        <v>0</v>
      </c>
      <c r="BD41" s="64">
        <f>Revenue!BD28*(1+$D$12)</f>
        <v>0</v>
      </c>
      <c r="BE41" s="64">
        <f>Revenue!BE28*(1+$D$12)</f>
        <v>0</v>
      </c>
      <c r="BF41" s="64">
        <f>Revenue!BF28*(1+$D$12)</f>
        <v>0</v>
      </c>
      <c r="BG41" s="64">
        <f>Revenue!BG28*(1+$D$12)</f>
        <v>0</v>
      </c>
      <c r="BH41" s="64">
        <f>Revenue!BH28*(1+$D$12)</f>
        <v>0</v>
      </c>
      <c r="BI41" s="64">
        <f>Revenue!BI28*(1+$D$12)</f>
        <v>0</v>
      </c>
      <c r="BJ41" s="64">
        <f>Revenue!BJ28*(1+$D$12)</f>
        <v>0</v>
      </c>
      <c r="BK41" s="64">
        <f>Revenue!BK28*(1+$D$12)</f>
        <v>0</v>
      </c>
      <c r="BL41" s="64">
        <f>Revenue!BL28*(1+$D$12)</f>
        <v>0</v>
      </c>
      <c r="BM41" s="64">
        <f>Revenue!BM28*(1+$D$12)</f>
        <v>0</v>
      </c>
      <c r="BN41" s="64">
        <f>Revenue!BN28*(1+$D$12)</f>
        <v>0</v>
      </c>
      <c r="BO41" s="64">
        <f>Revenue!BO28*(1+$D$12)</f>
        <v>0</v>
      </c>
      <c r="BP41" s="64">
        <f>Revenue!BP28*(1+$D$12)</f>
        <v>0</v>
      </c>
      <c r="BQ41" s="64">
        <f>Revenue!BQ28*(1+$D$12)</f>
        <v>0</v>
      </c>
      <c r="BR41" s="64">
        <f>Revenue!BR28*(1+$D$12)</f>
        <v>0</v>
      </c>
    </row>
    <row r="42" spans="1:70" x14ac:dyDescent="0.25">
      <c r="C42" s="170" t="s">
        <v>197</v>
      </c>
      <c r="D42" s="193" t="str">
        <f>unit</f>
        <v>£</v>
      </c>
      <c r="E42" s="63">
        <f ca="1">SUMIF($K$5:$BR$5,E$5,$K42:$BR42)</f>
        <v>0</v>
      </c>
      <c r="F42" s="63">
        <f t="shared" ca="1" si="18"/>
        <v>0</v>
      </c>
      <c r="G42" s="63">
        <f t="shared" ca="1" si="18"/>
        <v>0</v>
      </c>
      <c r="H42" s="63">
        <f t="shared" ca="1" si="18"/>
        <v>0</v>
      </c>
      <c r="I42" s="63">
        <f t="shared" ca="1" si="18"/>
        <v>0</v>
      </c>
      <c r="J42" s="171"/>
      <c r="K42" s="64">
        <f t="shared" ref="K42:AP42" ca="1" si="19">IF(K$6&gt;$D$38,OFFSET(K$41,0,-$D$38)*-1,0)</f>
        <v>0</v>
      </c>
      <c r="L42" s="64">
        <f t="shared" ca="1" si="19"/>
        <v>0</v>
      </c>
      <c r="M42" s="64">
        <f t="shared" ca="1" si="19"/>
        <v>0</v>
      </c>
      <c r="N42" s="64">
        <f t="shared" ca="1" si="19"/>
        <v>0</v>
      </c>
      <c r="O42" s="64">
        <f t="shared" ca="1" si="19"/>
        <v>0</v>
      </c>
      <c r="P42" s="64">
        <f t="shared" ca="1" si="19"/>
        <v>0</v>
      </c>
      <c r="Q42" s="64">
        <f t="shared" ca="1" si="19"/>
        <v>0</v>
      </c>
      <c r="R42" s="64">
        <f t="shared" ca="1" si="19"/>
        <v>0</v>
      </c>
      <c r="S42" s="64">
        <f t="shared" ca="1" si="19"/>
        <v>0</v>
      </c>
      <c r="T42" s="64">
        <f t="shared" ca="1" si="19"/>
        <v>0</v>
      </c>
      <c r="U42" s="64">
        <f t="shared" ca="1" si="19"/>
        <v>0</v>
      </c>
      <c r="V42" s="64">
        <f t="shared" ca="1" si="19"/>
        <v>0</v>
      </c>
      <c r="W42" s="64">
        <f t="shared" ca="1" si="19"/>
        <v>0</v>
      </c>
      <c r="X42" s="64">
        <f t="shared" ca="1" si="19"/>
        <v>0</v>
      </c>
      <c r="Y42" s="64">
        <f t="shared" ca="1" si="19"/>
        <v>0</v>
      </c>
      <c r="Z42" s="64">
        <f t="shared" ca="1" si="19"/>
        <v>0</v>
      </c>
      <c r="AA42" s="64">
        <f t="shared" ca="1" si="19"/>
        <v>0</v>
      </c>
      <c r="AB42" s="64">
        <f t="shared" ca="1" si="19"/>
        <v>0</v>
      </c>
      <c r="AC42" s="64">
        <f t="shared" ca="1" si="19"/>
        <v>0</v>
      </c>
      <c r="AD42" s="64">
        <f t="shared" ca="1" si="19"/>
        <v>0</v>
      </c>
      <c r="AE42" s="64">
        <f t="shared" ca="1" si="19"/>
        <v>0</v>
      </c>
      <c r="AF42" s="64">
        <f t="shared" ca="1" si="19"/>
        <v>0</v>
      </c>
      <c r="AG42" s="64">
        <f t="shared" ca="1" si="19"/>
        <v>0</v>
      </c>
      <c r="AH42" s="64">
        <f t="shared" ca="1" si="19"/>
        <v>0</v>
      </c>
      <c r="AI42" s="64">
        <f t="shared" ca="1" si="19"/>
        <v>0</v>
      </c>
      <c r="AJ42" s="64">
        <f t="shared" ca="1" si="19"/>
        <v>0</v>
      </c>
      <c r="AK42" s="64">
        <f t="shared" ca="1" si="19"/>
        <v>0</v>
      </c>
      <c r="AL42" s="64">
        <f t="shared" ca="1" si="19"/>
        <v>0</v>
      </c>
      <c r="AM42" s="64">
        <f t="shared" ca="1" si="19"/>
        <v>0</v>
      </c>
      <c r="AN42" s="64">
        <f t="shared" ca="1" si="19"/>
        <v>0</v>
      </c>
      <c r="AO42" s="64">
        <f t="shared" ca="1" si="19"/>
        <v>0</v>
      </c>
      <c r="AP42" s="64">
        <f t="shared" ca="1" si="19"/>
        <v>0</v>
      </c>
      <c r="AQ42" s="64">
        <f t="shared" ref="AQ42:BR42" ca="1" si="20">IF(AQ$6&gt;$D$38,OFFSET(AQ$41,0,-$D$38)*-1,0)</f>
        <v>0</v>
      </c>
      <c r="AR42" s="64">
        <f t="shared" ca="1" si="20"/>
        <v>0</v>
      </c>
      <c r="AS42" s="64">
        <f t="shared" ca="1" si="20"/>
        <v>0</v>
      </c>
      <c r="AT42" s="64">
        <f t="shared" ca="1" si="20"/>
        <v>0</v>
      </c>
      <c r="AU42" s="64">
        <f t="shared" ca="1" si="20"/>
        <v>0</v>
      </c>
      <c r="AV42" s="64">
        <f t="shared" ca="1" si="20"/>
        <v>0</v>
      </c>
      <c r="AW42" s="64">
        <f t="shared" ca="1" si="20"/>
        <v>0</v>
      </c>
      <c r="AX42" s="64">
        <f t="shared" ca="1" si="20"/>
        <v>0</v>
      </c>
      <c r="AY42" s="64">
        <f t="shared" ca="1" si="20"/>
        <v>0</v>
      </c>
      <c r="AZ42" s="64">
        <f t="shared" ca="1" si="20"/>
        <v>0</v>
      </c>
      <c r="BA42" s="64">
        <f t="shared" ca="1" si="20"/>
        <v>0</v>
      </c>
      <c r="BB42" s="64">
        <f t="shared" ca="1" si="20"/>
        <v>0</v>
      </c>
      <c r="BC42" s="64">
        <f t="shared" ca="1" si="20"/>
        <v>0</v>
      </c>
      <c r="BD42" s="64">
        <f t="shared" ca="1" si="20"/>
        <v>0</v>
      </c>
      <c r="BE42" s="64">
        <f t="shared" ca="1" si="20"/>
        <v>0</v>
      </c>
      <c r="BF42" s="64">
        <f t="shared" ca="1" si="20"/>
        <v>0</v>
      </c>
      <c r="BG42" s="64">
        <f t="shared" ca="1" si="20"/>
        <v>0</v>
      </c>
      <c r="BH42" s="64">
        <f t="shared" ca="1" si="20"/>
        <v>0</v>
      </c>
      <c r="BI42" s="64">
        <f t="shared" ca="1" si="20"/>
        <v>0</v>
      </c>
      <c r="BJ42" s="64">
        <f t="shared" ca="1" si="20"/>
        <v>0</v>
      </c>
      <c r="BK42" s="64">
        <f t="shared" ca="1" si="20"/>
        <v>0</v>
      </c>
      <c r="BL42" s="64">
        <f t="shared" ca="1" si="20"/>
        <v>0</v>
      </c>
      <c r="BM42" s="64">
        <f t="shared" ca="1" si="20"/>
        <v>0</v>
      </c>
      <c r="BN42" s="64">
        <f t="shared" ca="1" si="20"/>
        <v>0</v>
      </c>
      <c r="BO42" s="64">
        <f t="shared" ca="1" si="20"/>
        <v>0</v>
      </c>
      <c r="BP42" s="64">
        <f t="shared" ca="1" si="20"/>
        <v>0</v>
      </c>
      <c r="BQ42" s="64">
        <f t="shared" ca="1" si="20"/>
        <v>0</v>
      </c>
      <c r="BR42" s="64">
        <f t="shared" ca="1" si="20"/>
        <v>0</v>
      </c>
    </row>
    <row r="43" spans="1:70" x14ac:dyDescent="0.25">
      <c r="C43" s="170" t="s">
        <v>209</v>
      </c>
      <c r="D43" s="259">
        <f>KeyInputs!G121</f>
        <v>0</v>
      </c>
      <c r="E43" s="59">
        <f ca="1">SUM(E40:E42)</f>
        <v>0</v>
      </c>
      <c r="F43" s="59">
        <f t="shared" ref="F43:I43" ca="1" si="21">SUM(F40:F42)</f>
        <v>0</v>
      </c>
      <c r="G43" s="59">
        <f t="shared" ca="1" si="21"/>
        <v>0</v>
      </c>
      <c r="H43" s="59">
        <f t="shared" ca="1" si="21"/>
        <v>0</v>
      </c>
      <c r="I43" s="59">
        <f t="shared" ca="1" si="21"/>
        <v>0</v>
      </c>
      <c r="J43" s="172">
        <f>$D$43</f>
        <v>0</v>
      </c>
      <c r="K43" s="65">
        <f ca="1">SUM(K40:K42)</f>
        <v>0</v>
      </c>
      <c r="L43" s="65">
        <f t="shared" ref="L43:BR43" ca="1" si="22">SUM(L40:L42)</f>
        <v>0</v>
      </c>
      <c r="M43" s="65">
        <f t="shared" ca="1" si="22"/>
        <v>0</v>
      </c>
      <c r="N43" s="65">
        <f t="shared" ca="1" si="22"/>
        <v>0</v>
      </c>
      <c r="O43" s="65">
        <f t="shared" ca="1" si="22"/>
        <v>0</v>
      </c>
      <c r="P43" s="65">
        <f t="shared" ca="1" si="22"/>
        <v>0</v>
      </c>
      <c r="Q43" s="65">
        <f t="shared" ca="1" si="22"/>
        <v>0</v>
      </c>
      <c r="R43" s="65">
        <f t="shared" ca="1" si="22"/>
        <v>0</v>
      </c>
      <c r="S43" s="65">
        <f t="shared" ca="1" si="22"/>
        <v>0</v>
      </c>
      <c r="T43" s="65">
        <f t="shared" ca="1" si="22"/>
        <v>0</v>
      </c>
      <c r="U43" s="65">
        <f t="shared" ca="1" si="22"/>
        <v>0</v>
      </c>
      <c r="V43" s="65">
        <f t="shared" ca="1" si="22"/>
        <v>0</v>
      </c>
      <c r="W43" s="65">
        <f t="shared" ca="1" si="22"/>
        <v>0</v>
      </c>
      <c r="X43" s="65">
        <f t="shared" ca="1" si="22"/>
        <v>0</v>
      </c>
      <c r="Y43" s="65">
        <f t="shared" ca="1" si="22"/>
        <v>0</v>
      </c>
      <c r="Z43" s="65">
        <f t="shared" ca="1" si="22"/>
        <v>0</v>
      </c>
      <c r="AA43" s="65">
        <f t="shared" ca="1" si="22"/>
        <v>0</v>
      </c>
      <c r="AB43" s="65">
        <f t="shared" ca="1" si="22"/>
        <v>0</v>
      </c>
      <c r="AC43" s="65">
        <f t="shared" ca="1" si="22"/>
        <v>0</v>
      </c>
      <c r="AD43" s="65">
        <f t="shared" ca="1" si="22"/>
        <v>0</v>
      </c>
      <c r="AE43" s="65">
        <f t="shared" ca="1" si="22"/>
        <v>0</v>
      </c>
      <c r="AF43" s="65">
        <f t="shared" ca="1" si="22"/>
        <v>0</v>
      </c>
      <c r="AG43" s="65">
        <f t="shared" ca="1" si="22"/>
        <v>0</v>
      </c>
      <c r="AH43" s="65">
        <f t="shared" ca="1" si="22"/>
        <v>0</v>
      </c>
      <c r="AI43" s="65">
        <f t="shared" ca="1" si="22"/>
        <v>0</v>
      </c>
      <c r="AJ43" s="65">
        <f t="shared" ca="1" si="22"/>
        <v>0</v>
      </c>
      <c r="AK43" s="65">
        <f t="shared" ca="1" si="22"/>
        <v>0</v>
      </c>
      <c r="AL43" s="65">
        <f t="shared" ca="1" si="22"/>
        <v>0</v>
      </c>
      <c r="AM43" s="65">
        <f t="shared" ca="1" si="22"/>
        <v>0</v>
      </c>
      <c r="AN43" s="65">
        <f t="shared" ca="1" si="22"/>
        <v>0</v>
      </c>
      <c r="AO43" s="65">
        <f t="shared" ca="1" si="22"/>
        <v>0</v>
      </c>
      <c r="AP43" s="65">
        <f t="shared" ca="1" si="22"/>
        <v>0</v>
      </c>
      <c r="AQ43" s="65">
        <f t="shared" ca="1" si="22"/>
        <v>0</v>
      </c>
      <c r="AR43" s="65">
        <f t="shared" ca="1" si="22"/>
        <v>0</v>
      </c>
      <c r="AS43" s="65">
        <f t="shared" ca="1" si="22"/>
        <v>0</v>
      </c>
      <c r="AT43" s="65">
        <f t="shared" ca="1" si="22"/>
        <v>0</v>
      </c>
      <c r="AU43" s="65">
        <f t="shared" ca="1" si="22"/>
        <v>0</v>
      </c>
      <c r="AV43" s="65">
        <f t="shared" ca="1" si="22"/>
        <v>0</v>
      </c>
      <c r="AW43" s="65">
        <f t="shared" ca="1" si="22"/>
        <v>0</v>
      </c>
      <c r="AX43" s="65">
        <f t="shared" ca="1" si="22"/>
        <v>0</v>
      </c>
      <c r="AY43" s="65">
        <f t="shared" ca="1" si="22"/>
        <v>0</v>
      </c>
      <c r="AZ43" s="65">
        <f t="shared" ca="1" si="22"/>
        <v>0</v>
      </c>
      <c r="BA43" s="65">
        <f t="shared" ca="1" si="22"/>
        <v>0</v>
      </c>
      <c r="BB43" s="65">
        <f t="shared" ca="1" si="22"/>
        <v>0</v>
      </c>
      <c r="BC43" s="65">
        <f t="shared" ca="1" si="22"/>
        <v>0</v>
      </c>
      <c r="BD43" s="65">
        <f t="shared" ca="1" si="22"/>
        <v>0</v>
      </c>
      <c r="BE43" s="65">
        <f t="shared" ca="1" si="22"/>
        <v>0</v>
      </c>
      <c r="BF43" s="65">
        <f t="shared" ca="1" si="22"/>
        <v>0</v>
      </c>
      <c r="BG43" s="65">
        <f t="shared" ca="1" si="22"/>
        <v>0</v>
      </c>
      <c r="BH43" s="65">
        <f t="shared" ca="1" si="22"/>
        <v>0</v>
      </c>
      <c r="BI43" s="65">
        <f t="shared" ca="1" si="22"/>
        <v>0</v>
      </c>
      <c r="BJ43" s="65">
        <f t="shared" ca="1" si="22"/>
        <v>0</v>
      </c>
      <c r="BK43" s="65">
        <f t="shared" ca="1" si="22"/>
        <v>0</v>
      </c>
      <c r="BL43" s="65">
        <f t="shared" ca="1" si="22"/>
        <v>0</v>
      </c>
      <c r="BM43" s="65">
        <f t="shared" ca="1" si="22"/>
        <v>0</v>
      </c>
      <c r="BN43" s="65">
        <f t="shared" ca="1" si="22"/>
        <v>0</v>
      </c>
      <c r="BO43" s="65">
        <f t="shared" ca="1" si="22"/>
        <v>0</v>
      </c>
      <c r="BP43" s="65">
        <f t="shared" ca="1" si="22"/>
        <v>0</v>
      </c>
      <c r="BQ43" s="65">
        <f t="shared" ca="1" si="22"/>
        <v>0</v>
      </c>
      <c r="BR43" s="65">
        <f t="shared" ca="1" si="22"/>
        <v>0</v>
      </c>
    </row>
    <row r="45" spans="1:70" x14ac:dyDescent="0.25">
      <c r="C45" s="139" t="s">
        <v>303</v>
      </c>
      <c r="K45" s="64">
        <f ca="1">(K43-K40)*-1</f>
        <v>0</v>
      </c>
      <c r="L45" s="64">
        <f t="shared" ref="L45:BR45" ca="1" si="23">(L43-L40)*-1</f>
        <v>0</v>
      </c>
      <c r="M45" s="64">
        <f t="shared" ca="1" si="23"/>
        <v>0</v>
      </c>
      <c r="N45" s="64">
        <f t="shared" ca="1" si="23"/>
        <v>0</v>
      </c>
      <c r="O45" s="64">
        <f t="shared" ca="1" si="23"/>
        <v>0</v>
      </c>
      <c r="P45" s="64">
        <f t="shared" ca="1" si="23"/>
        <v>0</v>
      </c>
      <c r="Q45" s="64">
        <f t="shared" ca="1" si="23"/>
        <v>0</v>
      </c>
      <c r="R45" s="64">
        <f t="shared" ca="1" si="23"/>
        <v>0</v>
      </c>
      <c r="S45" s="64">
        <f t="shared" ca="1" si="23"/>
        <v>0</v>
      </c>
      <c r="T45" s="64">
        <f t="shared" ca="1" si="23"/>
        <v>0</v>
      </c>
      <c r="U45" s="64">
        <f t="shared" ca="1" si="23"/>
        <v>0</v>
      </c>
      <c r="V45" s="64">
        <f t="shared" ca="1" si="23"/>
        <v>0</v>
      </c>
      <c r="W45" s="64">
        <f t="shared" ca="1" si="23"/>
        <v>0</v>
      </c>
      <c r="X45" s="64">
        <f t="shared" ca="1" si="23"/>
        <v>0</v>
      </c>
      <c r="Y45" s="64">
        <f t="shared" ca="1" si="23"/>
        <v>0</v>
      </c>
      <c r="Z45" s="64">
        <f t="shared" ca="1" si="23"/>
        <v>0</v>
      </c>
      <c r="AA45" s="64">
        <f t="shared" ca="1" si="23"/>
        <v>0</v>
      </c>
      <c r="AB45" s="64">
        <f t="shared" ca="1" si="23"/>
        <v>0</v>
      </c>
      <c r="AC45" s="64">
        <f t="shared" ca="1" si="23"/>
        <v>0</v>
      </c>
      <c r="AD45" s="64">
        <f t="shared" ca="1" si="23"/>
        <v>0</v>
      </c>
      <c r="AE45" s="64">
        <f t="shared" ca="1" si="23"/>
        <v>0</v>
      </c>
      <c r="AF45" s="64">
        <f t="shared" ca="1" si="23"/>
        <v>0</v>
      </c>
      <c r="AG45" s="64">
        <f t="shared" ca="1" si="23"/>
        <v>0</v>
      </c>
      <c r="AH45" s="64">
        <f t="shared" ca="1" si="23"/>
        <v>0</v>
      </c>
      <c r="AI45" s="64">
        <f t="shared" ca="1" si="23"/>
        <v>0</v>
      </c>
      <c r="AJ45" s="64">
        <f t="shared" ca="1" si="23"/>
        <v>0</v>
      </c>
      <c r="AK45" s="64">
        <f t="shared" ca="1" si="23"/>
        <v>0</v>
      </c>
      <c r="AL45" s="64">
        <f t="shared" ca="1" si="23"/>
        <v>0</v>
      </c>
      <c r="AM45" s="64">
        <f t="shared" ca="1" si="23"/>
        <v>0</v>
      </c>
      <c r="AN45" s="64">
        <f t="shared" ca="1" si="23"/>
        <v>0</v>
      </c>
      <c r="AO45" s="64">
        <f t="shared" ca="1" si="23"/>
        <v>0</v>
      </c>
      <c r="AP45" s="64">
        <f t="shared" ca="1" si="23"/>
        <v>0</v>
      </c>
      <c r="AQ45" s="64">
        <f t="shared" ca="1" si="23"/>
        <v>0</v>
      </c>
      <c r="AR45" s="64">
        <f t="shared" ca="1" si="23"/>
        <v>0</v>
      </c>
      <c r="AS45" s="64">
        <f t="shared" ca="1" si="23"/>
        <v>0</v>
      </c>
      <c r="AT45" s="64">
        <f t="shared" ca="1" si="23"/>
        <v>0</v>
      </c>
      <c r="AU45" s="64">
        <f t="shared" ca="1" si="23"/>
        <v>0</v>
      </c>
      <c r="AV45" s="64">
        <f t="shared" ca="1" si="23"/>
        <v>0</v>
      </c>
      <c r="AW45" s="64">
        <f t="shared" ca="1" si="23"/>
        <v>0</v>
      </c>
      <c r="AX45" s="64">
        <f t="shared" ca="1" si="23"/>
        <v>0</v>
      </c>
      <c r="AY45" s="64">
        <f t="shared" ca="1" si="23"/>
        <v>0</v>
      </c>
      <c r="AZ45" s="64">
        <f t="shared" ca="1" si="23"/>
        <v>0</v>
      </c>
      <c r="BA45" s="64">
        <f t="shared" ca="1" si="23"/>
        <v>0</v>
      </c>
      <c r="BB45" s="64">
        <f t="shared" ca="1" si="23"/>
        <v>0</v>
      </c>
      <c r="BC45" s="64">
        <f t="shared" ca="1" si="23"/>
        <v>0</v>
      </c>
      <c r="BD45" s="64">
        <f t="shared" ca="1" si="23"/>
        <v>0</v>
      </c>
      <c r="BE45" s="64">
        <f t="shared" ca="1" si="23"/>
        <v>0</v>
      </c>
      <c r="BF45" s="64">
        <f t="shared" ca="1" si="23"/>
        <v>0</v>
      </c>
      <c r="BG45" s="64">
        <f t="shared" ca="1" si="23"/>
        <v>0</v>
      </c>
      <c r="BH45" s="64">
        <f t="shared" ca="1" si="23"/>
        <v>0</v>
      </c>
      <c r="BI45" s="64">
        <f t="shared" ca="1" si="23"/>
        <v>0</v>
      </c>
      <c r="BJ45" s="64">
        <f t="shared" ca="1" si="23"/>
        <v>0</v>
      </c>
      <c r="BK45" s="64">
        <f t="shared" ca="1" si="23"/>
        <v>0</v>
      </c>
      <c r="BL45" s="64">
        <f t="shared" ca="1" si="23"/>
        <v>0</v>
      </c>
      <c r="BM45" s="64">
        <f t="shared" ca="1" si="23"/>
        <v>0</v>
      </c>
      <c r="BN45" s="64">
        <f t="shared" ca="1" si="23"/>
        <v>0</v>
      </c>
      <c r="BO45" s="64">
        <f t="shared" ca="1" si="23"/>
        <v>0</v>
      </c>
      <c r="BP45" s="64">
        <f t="shared" ca="1" si="23"/>
        <v>0</v>
      </c>
      <c r="BQ45" s="64">
        <f t="shared" ca="1" si="23"/>
        <v>0</v>
      </c>
      <c r="BR45" s="64">
        <f t="shared" ca="1" si="23"/>
        <v>0</v>
      </c>
    </row>
    <row r="47" spans="1:70" s="166" customFormat="1" ht="15.6" x14ac:dyDescent="0.3">
      <c r="A47" s="166">
        <f>Header1</f>
        <v>2</v>
      </c>
      <c r="B47" s="166" t="s">
        <v>283</v>
      </c>
    </row>
    <row r="49" spans="2:70" s="169" customFormat="1" ht="13.8" x14ac:dyDescent="0.25">
      <c r="B49" s="169" t="str">
        <f>Header2</f>
        <v>2.1</v>
      </c>
      <c r="C49" s="169" t="str">
        <f>KeyInputs!F21</f>
        <v>Test</v>
      </c>
    </row>
    <row r="51" spans="2:70" x14ac:dyDescent="0.25">
      <c r="C51" s="204" t="s">
        <v>149</v>
      </c>
      <c r="D51" s="205">
        <f>KeyInputs!F52</f>
        <v>0</v>
      </c>
    </row>
    <row r="53" spans="2:70" x14ac:dyDescent="0.25">
      <c r="C53" s="139" t="s">
        <v>207</v>
      </c>
      <c r="D53" s="193" t="str">
        <f>unit</f>
        <v>£</v>
      </c>
      <c r="E53" s="63">
        <f>D56</f>
        <v>0</v>
      </c>
      <c r="F53" s="63">
        <f t="shared" ref="F53:I53" ca="1" si="24">E56</f>
        <v>0</v>
      </c>
      <c r="G53" s="63">
        <f t="shared" ca="1" si="24"/>
        <v>0</v>
      </c>
      <c r="H53" s="63">
        <f t="shared" ca="1" si="24"/>
        <v>0</v>
      </c>
      <c r="I53" s="63">
        <f t="shared" ca="1" si="24"/>
        <v>0</v>
      </c>
      <c r="K53" s="64">
        <f>J56</f>
        <v>0</v>
      </c>
      <c r="L53" s="64">
        <f t="shared" ref="L53:BR53" ca="1" si="25">K56</f>
        <v>0</v>
      </c>
      <c r="M53" s="64">
        <f t="shared" ca="1" si="25"/>
        <v>0</v>
      </c>
      <c r="N53" s="64">
        <f t="shared" ca="1" si="25"/>
        <v>0</v>
      </c>
      <c r="O53" s="64">
        <f t="shared" ca="1" si="25"/>
        <v>0</v>
      </c>
      <c r="P53" s="64">
        <f t="shared" ca="1" si="25"/>
        <v>0</v>
      </c>
      <c r="Q53" s="64">
        <f t="shared" ca="1" si="25"/>
        <v>0</v>
      </c>
      <c r="R53" s="64">
        <f t="shared" ca="1" si="25"/>
        <v>0</v>
      </c>
      <c r="S53" s="64">
        <f t="shared" ca="1" si="25"/>
        <v>0</v>
      </c>
      <c r="T53" s="64">
        <f t="shared" ca="1" si="25"/>
        <v>0</v>
      </c>
      <c r="U53" s="64">
        <f t="shared" ca="1" si="25"/>
        <v>0</v>
      </c>
      <c r="V53" s="64">
        <f t="shared" ca="1" si="25"/>
        <v>0</v>
      </c>
      <c r="W53" s="64">
        <f t="shared" ca="1" si="25"/>
        <v>0</v>
      </c>
      <c r="X53" s="64">
        <f t="shared" ca="1" si="25"/>
        <v>0</v>
      </c>
      <c r="Y53" s="64">
        <f t="shared" ca="1" si="25"/>
        <v>0</v>
      </c>
      <c r="Z53" s="64">
        <f t="shared" ca="1" si="25"/>
        <v>0</v>
      </c>
      <c r="AA53" s="64">
        <f t="shared" ca="1" si="25"/>
        <v>0</v>
      </c>
      <c r="AB53" s="64">
        <f t="shared" ca="1" si="25"/>
        <v>0</v>
      </c>
      <c r="AC53" s="64">
        <f t="shared" ca="1" si="25"/>
        <v>0</v>
      </c>
      <c r="AD53" s="64">
        <f t="shared" ca="1" si="25"/>
        <v>0</v>
      </c>
      <c r="AE53" s="64">
        <f t="shared" ca="1" si="25"/>
        <v>0</v>
      </c>
      <c r="AF53" s="64">
        <f t="shared" ca="1" si="25"/>
        <v>0</v>
      </c>
      <c r="AG53" s="64">
        <f t="shared" ca="1" si="25"/>
        <v>0</v>
      </c>
      <c r="AH53" s="64">
        <f t="shared" ca="1" si="25"/>
        <v>0</v>
      </c>
      <c r="AI53" s="64">
        <f t="shared" ca="1" si="25"/>
        <v>0</v>
      </c>
      <c r="AJ53" s="64">
        <f t="shared" ca="1" si="25"/>
        <v>0</v>
      </c>
      <c r="AK53" s="64">
        <f t="shared" ca="1" si="25"/>
        <v>0</v>
      </c>
      <c r="AL53" s="64">
        <f t="shared" ca="1" si="25"/>
        <v>0</v>
      </c>
      <c r="AM53" s="64">
        <f t="shared" ca="1" si="25"/>
        <v>0</v>
      </c>
      <c r="AN53" s="64">
        <f t="shared" ca="1" si="25"/>
        <v>0</v>
      </c>
      <c r="AO53" s="64">
        <f t="shared" ca="1" si="25"/>
        <v>0</v>
      </c>
      <c r="AP53" s="64">
        <f t="shared" ca="1" si="25"/>
        <v>0</v>
      </c>
      <c r="AQ53" s="64">
        <f t="shared" ca="1" si="25"/>
        <v>0</v>
      </c>
      <c r="AR53" s="64">
        <f t="shared" ca="1" si="25"/>
        <v>0</v>
      </c>
      <c r="AS53" s="64">
        <f t="shared" ca="1" si="25"/>
        <v>0</v>
      </c>
      <c r="AT53" s="64">
        <f t="shared" ca="1" si="25"/>
        <v>0</v>
      </c>
      <c r="AU53" s="64">
        <f t="shared" ca="1" si="25"/>
        <v>0</v>
      </c>
      <c r="AV53" s="64">
        <f t="shared" ca="1" si="25"/>
        <v>0</v>
      </c>
      <c r="AW53" s="64">
        <f t="shared" ca="1" si="25"/>
        <v>0</v>
      </c>
      <c r="AX53" s="64">
        <f t="shared" ca="1" si="25"/>
        <v>0</v>
      </c>
      <c r="AY53" s="64">
        <f t="shared" ca="1" si="25"/>
        <v>0</v>
      </c>
      <c r="AZ53" s="64">
        <f t="shared" ca="1" si="25"/>
        <v>0</v>
      </c>
      <c r="BA53" s="64">
        <f t="shared" ca="1" si="25"/>
        <v>0</v>
      </c>
      <c r="BB53" s="64">
        <f t="shared" ca="1" si="25"/>
        <v>0</v>
      </c>
      <c r="BC53" s="64">
        <f t="shared" ca="1" si="25"/>
        <v>0</v>
      </c>
      <c r="BD53" s="64">
        <f t="shared" ca="1" si="25"/>
        <v>0</v>
      </c>
      <c r="BE53" s="64">
        <f t="shared" ca="1" si="25"/>
        <v>0</v>
      </c>
      <c r="BF53" s="64">
        <f t="shared" ca="1" si="25"/>
        <v>0</v>
      </c>
      <c r="BG53" s="64">
        <f t="shared" ca="1" si="25"/>
        <v>0</v>
      </c>
      <c r="BH53" s="64">
        <f t="shared" ca="1" si="25"/>
        <v>0</v>
      </c>
      <c r="BI53" s="64">
        <f t="shared" ca="1" si="25"/>
        <v>0</v>
      </c>
      <c r="BJ53" s="64">
        <f t="shared" ca="1" si="25"/>
        <v>0</v>
      </c>
      <c r="BK53" s="64">
        <f t="shared" ca="1" si="25"/>
        <v>0</v>
      </c>
      <c r="BL53" s="64">
        <f t="shared" ca="1" si="25"/>
        <v>0</v>
      </c>
      <c r="BM53" s="64">
        <f t="shared" ca="1" si="25"/>
        <v>0</v>
      </c>
      <c r="BN53" s="64">
        <f t="shared" ca="1" si="25"/>
        <v>0</v>
      </c>
      <c r="BO53" s="64">
        <f t="shared" ca="1" si="25"/>
        <v>0</v>
      </c>
      <c r="BP53" s="64">
        <f t="shared" ca="1" si="25"/>
        <v>0</v>
      </c>
      <c r="BQ53" s="64">
        <f t="shared" ca="1" si="25"/>
        <v>0</v>
      </c>
      <c r="BR53" s="64">
        <f t="shared" ca="1" si="25"/>
        <v>0</v>
      </c>
    </row>
    <row r="54" spans="2:70" x14ac:dyDescent="0.25">
      <c r="C54" s="170" t="s">
        <v>210</v>
      </c>
      <c r="D54" s="193" t="str">
        <f>unit</f>
        <v>£</v>
      </c>
      <c r="E54" s="63">
        <f>SUMIF($K$5:$BR$5,E$5,$K54:$BR54)</f>
        <v>0</v>
      </c>
      <c r="F54" s="63">
        <f t="shared" ref="F54:I55" si="26">SUMIF($K$5:$BR$5,F$5,$K54:$BR54)</f>
        <v>0</v>
      </c>
      <c r="G54" s="63">
        <f t="shared" si="26"/>
        <v>0</v>
      </c>
      <c r="H54" s="63">
        <f t="shared" si="26"/>
        <v>0</v>
      </c>
      <c r="I54" s="63">
        <f t="shared" si="26"/>
        <v>0</v>
      </c>
      <c r="K54" s="64">
        <f>VariableCosts!K50-(VariableCosts!K37*Revenue!K35)-(VariableCosts!K42*Revenue!K36)-(VariableCosts!K47*Revenue!K37)</f>
        <v>0</v>
      </c>
      <c r="L54" s="64">
        <f>VariableCosts!L50-(VariableCosts!L37*Revenue!L35)-(VariableCosts!L42*Revenue!L36)-(VariableCosts!L47*Revenue!L37)</f>
        <v>0</v>
      </c>
      <c r="M54" s="64">
        <f>VariableCosts!M50-(VariableCosts!M37*Revenue!M35)-(VariableCosts!M42*Revenue!M36)-(VariableCosts!M47*Revenue!M37)</f>
        <v>0</v>
      </c>
      <c r="N54" s="64">
        <f>VariableCosts!N50-(VariableCosts!N37*Revenue!N35)-(VariableCosts!N42*Revenue!N36)-(VariableCosts!N47*Revenue!N37)</f>
        <v>0</v>
      </c>
      <c r="O54" s="64">
        <f>VariableCosts!O50-(VariableCosts!O37*Revenue!O35)-(VariableCosts!O42*Revenue!O36)-(VariableCosts!O47*Revenue!O37)</f>
        <v>0</v>
      </c>
      <c r="P54" s="64">
        <f>VariableCosts!P50-(VariableCosts!P37*Revenue!P35)-(VariableCosts!P42*Revenue!P36)-(VariableCosts!P47*Revenue!P37)</f>
        <v>0</v>
      </c>
      <c r="Q54" s="64">
        <f>VariableCosts!Q50-(VariableCosts!Q37*Revenue!Q35)-(VariableCosts!Q42*Revenue!Q36)-(VariableCosts!Q47*Revenue!Q37)</f>
        <v>0</v>
      </c>
      <c r="R54" s="64">
        <f>VariableCosts!R50-(VariableCosts!R37*Revenue!R35)-(VariableCosts!R42*Revenue!R36)-(VariableCosts!R47*Revenue!R37)</f>
        <v>0</v>
      </c>
      <c r="S54" s="64">
        <f>VariableCosts!S50-(VariableCosts!S37*Revenue!S35)-(VariableCosts!S42*Revenue!S36)-(VariableCosts!S47*Revenue!S37)</f>
        <v>0</v>
      </c>
      <c r="T54" s="64">
        <f>VariableCosts!T50-(VariableCosts!T37*Revenue!T35)-(VariableCosts!T42*Revenue!T36)-(VariableCosts!T47*Revenue!T37)</f>
        <v>0</v>
      </c>
      <c r="U54" s="64">
        <f>VariableCosts!U50-(VariableCosts!U37*Revenue!U35)-(VariableCosts!U42*Revenue!U36)-(VariableCosts!U47*Revenue!U37)</f>
        <v>0</v>
      </c>
      <c r="V54" s="64">
        <f>VariableCosts!V50-(VariableCosts!V37*Revenue!V35)-(VariableCosts!V42*Revenue!V36)-(VariableCosts!V47*Revenue!V37)</f>
        <v>0</v>
      </c>
      <c r="W54" s="64">
        <f>VariableCosts!W50-(VariableCosts!W37*Revenue!W35)-(VariableCosts!W42*Revenue!W36)-(VariableCosts!W47*Revenue!W37)</f>
        <v>0</v>
      </c>
      <c r="X54" s="64">
        <f>VariableCosts!X50-(VariableCosts!X37*Revenue!X35)-(VariableCosts!X42*Revenue!X36)-(VariableCosts!X47*Revenue!X37)</f>
        <v>0</v>
      </c>
      <c r="Y54" s="64">
        <f>VariableCosts!Y50-(VariableCosts!Y37*Revenue!Y35)-(VariableCosts!Y42*Revenue!Y36)-(VariableCosts!Y47*Revenue!Y37)</f>
        <v>0</v>
      </c>
      <c r="Z54" s="64">
        <f>VariableCosts!Z50-(VariableCosts!Z37*Revenue!Z35)-(VariableCosts!Z42*Revenue!Z36)-(VariableCosts!Z47*Revenue!Z37)</f>
        <v>0</v>
      </c>
      <c r="AA54" s="64">
        <f>VariableCosts!AA50-(VariableCosts!AA37*Revenue!AA35)-(VariableCosts!AA42*Revenue!AA36)-(VariableCosts!AA47*Revenue!AA37)</f>
        <v>0</v>
      </c>
      <c r="AB54" s="64">
        <f>VariableCosts!AB50-(VariableCosts!AB37*Revenue!AB35)-(VariableCosts!AB42*Revenue!AB36)-(VariableCosts!AB47*Revenue!AB37)</f>
        <v>0</v>
      </c>
      <c r="AC54" s="64">
        <f>VariableCosts!AC50-(VariableCosts!AC37*Revenue!AC35)-(VariableCosts!AC42*Revenue!AC36)-(VariableCosts!AC47*Revenue!AC37)</f>
        <v>0</v>
      </c>
      <c r="AD54" s="64">
        <f>VariableCosts!AD50-(VariableCosts!AD37*Revenue!AD35)-(VariableCosts!AD42*Revenue!AD36)-(VariableCosts!AD47*Revenue!AD37)</f>
        <v>0</v>
      </c>
      <c r="AE54" s="64">
        <f>VariableCosts!AE50-(VariableCosts!AE37*Revenue!AE35)-(VariableCosts!AE42*Revenue!AE36)-(VariableCosts!AE47*Revenue!AE37)</f>
        <v>0</v>
      </c>
      <c r="AF54" s="64">
        <f>VariableCosts!AF50-(VariableCosts!AF37*Revenue!AF35)-(VariableCosts!AF42*Revenue!AF36)-(VariableCosts!AF47*Revenue!AF37)</f>
        <v>0</v>
      </c>
      <c r="AG54" s="64">
        <f>VariableCosts!AG50-(VariableCosts!AG37*Revenue!AG35)-(VariableCosts!AG42*Revenue!AG36)-(VariableCosts!AG47*Revenue!AG37)</f>
        <v>0</v>
      </c>
      <c r="AH54" s="64">
        <f>VariableCosts!AH50-(VariableCosts!AH37*Revenue!AH35)-(VariableCosts!AH42*Revenue!AH36)-(VariableCosts!AH47*Revenue!AH37)</f>
        <v>0</v>
      </c>
      <c r="AI54" s="64">
        <f>VariableCosts!AI50-(VariableCosts!AI37*Revenue!AI35)-(VariableCosts!AI42*Revenue!AI36)-(VariableCosts!AI47*Revenue!AI37)</f>
        <v>0</v>
      </c>
      <c r="AJ54" s="64">
        <f>VariableCosts!AJ50-(VariableCosts!AJ37*Revenue!AJ35)-(VariableCosts!AJ42*Revenue!AJ36)-(VariableCosts!AJ47*Revenue!AJ37)</f>
        <v>0</v>
      </c>
      <c r="AK54" s="64">
        <f>VariableCosts!AK50-(VariableCosts!AK37*Revenue!AK35)-(VariableCosts!AK42*Revenue!AK36)-(VariableCosts!AK47*Revenue!AK37)</f>
        <v>0</v>
      </c>
      <c r="AL54" s="64">
        <f>VariableCosts!AL50-(VariableCosts!AL37*Revenue!AL35)-(VariableCosts!AL42*Revenue!AL36)-(VariableCosts!AL47*Revenue!AL37)</f>
        <v>0</v>
      </c>
      <c r="AM54" s="64">
        <f>VariableCosts!AM50-(VariableCosts!AM37*Revenue!AM35)-(VariableCosts!AM42*Revenue!AM36)-(VariableCosts!AM47*Revenue!AM37)</f>
        <v>0</v>
      </c>
      <c r="AN54" s="64">
        <f>VariableCosts!AN50-(VariableCosts!AN37*Revenue!AN35)-(VariableCosts!AN42*Revenue!AN36)-(VariableCosts!AN47*Revenue!AN37)</f>
        <v>0</v>
      </c>
      <c r="AO54" s="64">
        <f>VariableCosts!AO50-(VariableCosts!AO37*Revenue!AO35)-(VariableCosts!AO42*Revenue!AO36)-(VariableCosts!AO47*Revenue!AO37)</f>
        <v>0</v>
      </c>
      <c r="AP54" s="64">
        <f>VariableCosts!AP50-(VariableCosts!AP37*Revenue!AP35)-(VariableCosts!AP42*Revenue!AP36)-(VariableCosts!AP47*Revenue!AP37)</f>
        <v>0</v>
      </c>
      <c r="AQ54" s="64">
        <f>VariableCosts!AQ50-(VariableCosts!AQ37*Revenue!AQ35)-(VariableCosts!AQ42*Revenue!AQ36)-(VariableCosts!AQ47*Revenue!AQ37)</f>
        <v>0</v>
      </c>
      <c r="AR54" s="64">
        <f>VariableCosts!AR50-(VariableCosts!AR37*Revenue!AR35)-(VariableCosts!AR42*Revenue!AR36)-(VariableCosts!AR47*Revenue!AR37)</f>
        <v>0</v>
      </c>
      <c r="AS54" s="64">
        <f>VariableCosts!AS50-(VariableCosts!AS37*Revenue!AS35)-(VariableCosts!AS42*Revenue!AS36)-(VariableCosts!AS47*Revenue!AS37)</f>
        <v>0</v>
      </c>
      <c r="AT54" s="64">
        <f>VariableCosts!AT50-(VariableCosts!AT37*Revenue!AT35)-(VariableCosts!AT42*Revenue!AT36)-(VariableCosts!AT47*Revenue!AT37)</f>
        <v>0</v>
      </c>
      <c r="AU54" s="64">
        <f>VariableCosts!AU50-(VariableCosts!AU37*Revenue!AU35)-(VariableCosts!AU42*Revenue!AU36)-(VariableCosts!AU47*Revenue!AU37)</f>
        <v>0</v>
      </c>
      <c r="AV54" s="64">
        <f>VariableCosts!AV50-(VariableCosts!AV37*Revenue!AV35)-(VariableCosts!AV42*Revenue!AV36)-(VariableCosts!AV47*Revenue!AV37)</f>
        <v>0</v>
      </c>
      <c r="AW54" s="64">
        <f>VariableCosts!AW50-(VariableCosts!AW37*Revenue!AW35)-(VariableCosts!AW42*Revenue!AW36)-(VariableCosts!AW47*Revenue!AW37)</f>
        <v>0</v>
      </c>
      <c r="AX54" s="64">
        <f>VariableCosts!AX50-(VariableCosts!AX37*Revenue!AX35)-(VariableCosts!AX42*Revenue!AX36)-(VariableCosts!AX47*Revenue!AX37)</f>
        <v>0</v>
      </c>
      <c r="AY54" s="64">
        <f>VariableCosts!AY50-(VariableCosts!AY37*Revenue!AY35)-(VariableCosts!AY42*Revenue!AY36)-(VariableCosts!AY47*Revenue!AY37)</f>
        <v>0</v>
      </c>
      <c r="AZ54" s="64">
        <f>VariableCosts!AZ50-(VariableCosts!AZ37*Revenue!AZ35)-(VariableCosts!AZ42*Revenue!AZ36)-(VariableCosts!AZ47*Revenue!AZ37)</f>
        <v>0</v>
      </c>
      <c r="BA54" s="64">
        <f>VariableCosts!BA50-(VariableCosts!BA37*Revenue!BA35)-(VariableCosts!BA42*Revenue!BA36)-(VariableCosts!BA47*Revenue!BA37)</f>
        <v>0</v>
      </c>
      <c r="BB54" s="64">
        <f>VariableCosts!BB50-(VariableCosts!BB37*Revenue!BB35)-(VariableCosts!BB42*Revenue!BB36)-(VariableCosts!BB47*Revenue!BB37)</f>
        <v>0</v>
      </c>
      <c r="BC54" s="64">
        <f>VariableCosts!BC50-(VariableCosts!BC37*Revenue!BC35)-(VariableCosts!BC42*Revenue!BC36)-(VariableCosts!BC47*Revenue!BC37)</f>
        <v>0</v>
      </c>
      <c r="BD54" s="64">
        <f>VariableCosts!BD50-(VariableCosts!BD37*Revenue!BD35)-(VariableCosts!BD42*Revenue!BD36)-(VariableCosts!BD47*Revenue!BD37)</f>
        <v>0</v>
      </c>
      <c r="BE54" s="64">
        <f>VariableCosts!BE50-(VariableCosts!BE37*Revenue!BE35)-(VariableCosts!BE42*Revenue!BE36)-(VariableCosts!BE47*Revenue!BE37)</f>
        <v>0</v>
      </c>
      <c r="BF54" s="64">
        <f>VariableCosts!BF50-(VariableCosts!BF37*Revenue!BF35)-(VariableCosts!BF42*Revenue!BF36)-(VariableCosts!BF47*Revenue!BF37)</f>
        <v>0</v>
      </c>
      <c r="BG54" s="64">
        <f>VariableCosts!BG50-(VariableCosts!BG37*Revenue!BG35)-(VariableCosts!BG42*Revenue!BG36)-(VariableCosts!BG47*Revenue!BG37)</f>
        <v>0</v>
      </c>
      <c r="BH54" s="64">
        <f>VariableCosts!BH50-(VariableCosts!BH37*Revenue!BH35)-(VariableCosts!BH42*Revenue!BH36)-(VariableCosts!BH47*Revenue!BH37)</f>
        <v>0</v>
      </c>
      <c r="BI54" s="64">
        <f>VariableCosts!BI50-(VariableCosts!BI37*Revenue!BI35)-(VariableCosts!BI42*Revenue!BI36)-(VariableCosts!BI47*Revenue!BI37)</f>
        <v>0</v>
      </c>
      <c r="BJ54" s="64">
        <f>VariableCosts!BJ50-(VariableCosts!BJ37*Revenue!BJ35)-(VariableCosts!BJ42*Revenue!BJ36)-(VariableCosts!BJ47*Revenue!BJ37)</f>
        <v>0</v>
      </c>
      <c r="BK54" s="64">
        <f>VariableCosts!BK50-(VariableCosts!BK37*Revenue!BK35)-(VariableCosts!BK42*Revenue!BK36)-(VariableCosts!BK47*Revenue!BK37)</f>
        <v>0</v>
      </c>
      <c r="BL54" s="64">
        <f>VariableCosts!BL50-(VariableCosts!BL37*Revenue!BL35)-(VariableCosts!BL42*Revenue!BL36)-(VariableCosts!BL47*Revenue!BL37)</f>
        <v>0</v>
      </c>
      <c r="BM54" s="64">
        <f>VariableCosts!BM50-(VariableCosts!BM37*Revenue!BM35)-(VariableCosts!BM42*Revenue!BM36)-(VariableCosts!BM47*Revenue!BM37)</f>
        <v>0</v>
      </c>
      <c r="BN54" s="64">
        <f>VariableCosts!BN50-(VariableCosts!BN37*Revenue!BN35)-(VariableCosts!BN42*Revenue!BN36)-(VariableCosts!BN47*Revenue!BN37)</f>
        <v>0</v>
      </c>
      <c r="BO54" s="64">
        <f>VariableCosts!BO50-(VariableCosts!BO37*Revenue!BO35)-(VariableCosts!BO42*Revenue!BO36)-(VariableCosts!BO47*Revenue!BO37)</f>
        <v>0</v>
      </c>
      <c r="BP54" s="64">
        <f>VariableCosts!BP50-(VariableCosts!BP37*Revenue!BP35)-(VariableCosts!BP42*Revenue!BP36)-(VariableCosts!BP47*Revenue!BP37)</f>
        <v>0</v>
      </c>
      <c r="BQ54" s="64">
        <f>VariableCosts!BQ50-(VariableCosts!BQ37*Revenue!BQ35)-(VariableCosts!BQ42*Revenue!BQ36)-(VariableCosts!BQ47*Revenue!BQ37)</f>
        <v>0</v>
      </c>
      <c r="BR54" s="64">
        <f>VariableCosts!BR50-(VariableCosts!BR37*Revenue!BR35)-(VariableCosts!BR42*Revenue!BR36)-(VariableCosts!BR47*Revenue!BR37)</f>
        <v>0</v>
      </c>
    </row>
    <row r="55" spans="2:70" x14ac:dyDescent="0.25">
      <c r="C55" s="170" t="s">
        <v>211</v>
      </c>
      <c r="D55" s="193" t="str">
        <f>unit</f>
        <v>£</v>
      </c>
      <c r="E55" s="63">
        <f ca="1">SUMIF($K$5:$BR$5,E$5,$K55:$BR55)</f>
        <v>0</v>
      </c>
      <c r="F55" s="63">
        <f t="shared" ca="1" si="26"/>
        <v>0</v>
      </c>
      <c r="G55" s="63">
        <f t="shared" ca="1" si="26"/>
        <v>0</v>
      </c>
      <c r="H55" s="63">
        <f t="shared" ca="1" si="26"/>
        <v>0</v>
      </c>
      <c r="I55" s="63">
        <f t="shared" ca="1" si="26"/>
        <v>0</v>
      </c>
      <c r="K55" s="64">
        <f t="shared" ref="K55:AP55" ca="1" si="27">IF(K6&gt;$D$51,OFFSET(K$54,0,-$D$51)*-1,0)</f>
        <v>0</v>
      </c>
      <c r="L55" s="64">
        <f t="shared" ca="1" si="27"/>
        <v>0</v>
      </c>
      <c r="M55" s="64">
        <f t="shared" ca="1" si="27"/>
        <v>0</v>
      </c>
      <c r="N55" s="64">
        <f t="shared" ca="1" si="27"/>
        <v>0</v>
      </c>
      <c r="O55" s="64">
        <f t="shared" ca="1" si="27"/>
        <v>0</v>
      </c>
      <c r="P55" s="64">
        <f t="shared" ca="1" si="27"/>
        <v>0</v>
      </c>
      <c r="Q55" s="64">
        <f t="shared" ca="1" si="27"/>
        <v>0</v>
      </c>
      <c r="R55" s="64">
        <f t="shared" ca="1" si="27"/>
        <v>0</v>
      </c>
      <c r="S55" s="64">
        <f t="shared" ca="1" si="27"/>
        <v>0</v>
      </c>
      <c r="T55" s="64">
        <f t="shared" ca="1" si="27"/>
        <v>0</v>
      </c>
      <c r="U55" s="64">
        <f t="shared" ca="1" si="27"/>
        <v>0</v>
      </c>
      <c r="V55" s="64">
        <f t="shared" ca="1" si="27"/>
        <v>0</v>
      </c>
      <c r="W55" s="64">
        <f t="shared" ca="1" si="27"/>
        <v>0</v>
      </c>
      <c r="X55" s="64">
        <f t="shared" ca="1" si="27"/>
        <v>0</v>
      </c>
      <c r="Y55" s="64">
        <f t="shared" ca="1" si="27"/>
        <v>0</v>
      </c>
      <c r="Z55" s="64">
        <f t="shared" ca="1" si="27"/>
        <v>0</v>
      </c>
      <c r="AA55" s="64">
        <f t="shared" ca="1" si="27"/>
        <v>0</v>
      </c>
      <c r="AB55" s="64">
        <f t="shared" ca="1" si="27"/>
        <v>0</v>
      </c>
      <c r="AC55" s="64">
        <f t="shared" ca="1" si="27"/>
        <v>0</v>
      </c>
      <c r="AD55" s="64">
        <f t="shared" ca="1" si="27"/>
        <v>0</v>
      </c>
      <c r="AE55" s="64">
        <f t="shared" ca="1" si="27"/>
        <v>0</v>
      </c>
      <c r="AF55" s="64">
        <f t="shared" ca="1" si="27"/>
        <v>0</v>
      </c>
      <c r="AG55" s="64">
        <f t="shared" ca="1" si="27"/>
        <v>0</v>
      </c>
      <c r="AH55" s="64">
        <f t="shared" ca="1" si="27"/>
        <v>0</v>
      </c>
      <c r="AI55" s="64">
        <f t="shared" ca="1" si="27"/>
        <v>0</v>
      </c>
      <c r="AJ55" s="64">
        <f t="shared" ca="1" si="27"/>
        <v>0</v>
      </c>
      <c r="AK55" s="64">
        <f t="shared" ca="1" si="27"/>
        <v>0</v>
      </c>
      <c r="AL55" s="64">
        <f t="shared" ca="1" si="27"/>
        <v>0</v>
      </c>
      <c r="AM55" s="64">
        <f t="shared" ca="1" si="27"/>
        <v>0</v>
      </c>
      <c r="AN55" s="64">
        <f t="shared" ca="1" si="27"/>
        <v>0</v>
      </c>
      <c r="AO55" s="64">
        <f t="shared" ca="1" si="27"/>
        <v>0</v>
      </c>
      <c r="AP55" s="64">
        <f t="shared" ca="1" si="27"/>
        <v>0</v>
      </c>
      <c r="AQ55" s="64">
        <f t="shared" ref="AQ55:BR55" ca="1" si="28">IF(AQ6&gt;$D$51,OFFSET(AQ$54,0,-$D$51)*-1,0)</f>
        <v>0</v>
      </c>
      <c r="AR55" s="64">
        <f t="shared" ca="1" si="28"/>
        <v>0</v>
      </c>
      <c r="AS55" s="64">
        <f t="shared" ca="1" si="28"/>
        <v>0</v>
      </c>
      <c r="AT55" s="64">
        <f t="shared" ca="1" si="28"/>
        <v>0</v>
      </c>
      <c r="AU55" s="64">
        <f t="shared" ca="1" si="28"/>
        <v>0</v>
      </c>
      <c r="AV55" s="64">
        <f t="shared" ca="1" si="28"/>
        <v>0</v>
      </c>
      <c r="AW55" s="64">
        <f t="shared" ca="1" si="28"/>
        <v>0</v>
      </c>
      <c r="AX55" s="64">
        <f t="shared" ca="1" si="28"/>
        <v>0</v>
      </c>
      <c r="AY55" s="64">
        <f t="shared" ca="1" si="28"/>
        <v>0</v>
      </c>
      <c r="AZ55" s="64">
        <f t="shared" ca="1" si="28"/>
        <v>0</v>
      </c>
      <c r="BA55" s="64">
        <f t="shared" ca="1" si="28"/>
        <v>0</v>
      </c>
      <c r="BB55" s="64">
        <f t="shared" ca="1" si="28"/>
        <v>0</v>
      </c>
      <c r="BC55" s="64">
        <f t="shared" ca="1" si="28"/>
        <v>0</v>
      </c>
      <c r="BD55" s="64">
        <f t="shared" ca="1" si="28"/>
        <v>0</v>
      </c>
      <c r="BE55" s="64">
        <f t="shared" ca="1" si="28"/>
        <v>0</v>
      </c>
      <c r="BF55" s="64">
        <f t="shared" ca="1" si="28"/>
        <v>0</v>
      </c>
      <c r="BG55" s="64">
        <f t="shared" ca="1" si="28"/>
        <v>0</v>
      </c>
      <c r="BH55" s="64">
        <f t="shared" ca="1" si="28"/>
        <v>0</v>
      </c>
      <c r="BI55" s="64">
        <f t="shared" ca="1" si="28"/>
        <v>0</v>
      </c>
      <c r="BJ55" s="64">
        <f t="shared" ca="1" si="28"/>
        <v>0</v>
      </c>
      <c r="BK55" s="64">
        <f t="shared" ca="1" si="28"/>
        <v>0</v>
      </c>
      <c r="BL55" s="64">
        <f t="shared" ca="1" si="28"/>
        <v>0</v>
      </c>
      <c r="BM55" s="64">
        <f t="shared" ca="1" si="28"/>
        <v>0</v>
      </c>
      <c r="BN55" s="64">
        <f t="shared" ca="1" si="28"/>
        <v>0</v>
      </c>
      <c r="BO55" s="64">
        <f t="shared" ca="1" si="28"/>
        <v>0</v>
      </c>
      <c r="BP55" s="64">
        <f t="shared" ca="1" si="28"/>
        <v>0</v>
      </c>
      <c r="BQ55" s="64">
        <f t="shared" ca="1" si="28"/>
        <v>0</v>
      </c>
      <c r="BR55" s="64">
        <f t="shared" ca="1" si="28"/>
        <v>0</v>
      </c>
    </row>
    <row r="56" spans="2:70" x14ac:dyDescent="0.25">
      <c r="C56" s="170" t="s">
        <v>208</v>
      </c>
      <c r="D56" s="259">
        <f>KeyInputs!G124</f>
        <v>0</v>
      </c>
      <c r="E56" s="65">
        <f ca="1">SUM(E53:E55)</f>
        <v>0</v>
      </c>
      <c r="F56" s="65">
        <f t="shared" ref="F56:I56" ca="1" si="29">SUM(F53:F55)</f>
        <v>0</v>
      </c>
      <c r="G56" s="65">
        <f t="shared" ca="1" si="29"/>
        <v>0</v>
      </c>
      <c r="H56" s="65">
        <f t="shared" ca="1" si="29"/>
        <v>0</v>
      </c>
      <c r="I56" s="65">
        <f t="shared" ca="1" si="29"/>
        <v>0</v>
      </c>
      <c r="J56" s="172">
        <f>$D$56</f>
        <v>0</v>
      </c>
      <c r="K56" s="65">
        <f ca="1">SUM(K53:K55)</f>
        <v>0</v>
      </c>
      <c r="L56" s="65">
        <f t="shared" ref="L56:BR56" ca="1" si="30">SUM(L53:L55)</f>
        <v>0</v>
      </c>
      <c r="M56" s="65">
        <f t="shared" ca="1" si="30"/>
        <v>0</v>
      </c>
      <c r="N56" s="65">
        <f t="shared" ca="1" si="30"/>
        <v>0</v>
      </c>
      <c r="O56" s="65">
        <f t="shared" ca="1" si="30"/>
        <v>0</v>
      </c>
      <c r="P56" s="65">
        <f t="shared" ca="1" si="30"/>
        <v>0</v>
      </c>
      <c r="Q56" s="65">
        <f t="shared" ca="1" si="30"/>
        <v>0</v>
      </c>
      <c r="R56" s="65">
        <f t="shared" ca="1" si="30"/>
        <v>0</v>
      </c>
      <c r="S56" s="65">
        <f t="shared" ca="1" si="30"/>
        <v>0</v>
      </c>
      <c r="T56" s="65">
        <f t="shared" ca="1" si="30"/>
        <v>0</v>
      </c>
      <c r="U56" s="65">
        <f t="shared" ca="1" si="30"/>
        <v>0</v>
      </c>
      <c r="V56" s="65">
        <f t="shared" ca="1" si="30"/>
        <v>0</v>
      </c>
      <c r="W56" s="65">
        <f t="shared" ca="1" si="30"/>
        <v>0</v>
      </c>
      <c r="X56" s="65">
        <f t="shared" ca="1" si="30"/>
        <v>0</v>
      </c>
      <c r="Y56" s="65">
        <f t="shared" ca="1" si="30"/>
        <v>0</v>
      </c>
      <c r="Z56" s="65">
        <f t="shared" ca="1" si="30"/>
        <v>0</v>
      </c>
      <c r="AA56" s="65">
        <f t="shared" ca="1" si="30"/>
        <v>0</v>
      </c>
      <c r="AB56" s="65">
        <f t="shared" ca="1" si="30"/>
        <v>0</v>
      </c>
      <c r="AC56" s="65">
        <f t="shared" ca="1" si="30"/>
        <v>0</v>
      </c>
      <c r="AD56" s="65">
        <f t="shared" ca="1" si="30"/>
        <v>0</v>
      </c>
      <c r="AE56" s="65">
        <f t="shared" ca="1" si="30"/>
        <v>0</v>
      </c>
      <c r="AF56" s="65">
        <f t="shared" ca="1" si="30"/>
        <v>0</v>
      </c>
      <c r="AG56" s="65">
        <f t="shared" ca="1" si="30"/>
        <v>0</v>
      </c>
      <c r="AH56" s="65">
        <f t="shared" ca="1" si="30"/>
        <v>0</v>
      </c>
      <c r="AI56" s="65">
        <f t="shared" ca="1" si="30"/>
        <v>0</v>
      </c>
      <c r="AJ56" s="65">
        <f t="shared" ca="1" si="30"/>
        <v>0</v>
      </c>
      <c r="AK56" s="65">
        <f t="shared" ca="1" si="30"/>
        <v>0</v>
      </c>
      <c r="AL56" s="65">
        <f t="shared" ca="1" si="30"/>
        <v>0</v>
      </c>
      <c r="AM56" s="65">
        <f t="shared" ca="1" si="30"/>
        <v>0</v>
      </c>
      <c r="AN56" s="65">
        <f t="shared" ca="1" si="30"/>
        <v>0</v>
      </c>
      <c r="AO56" s="65">
        <f t="shared" ca="1" si="30"/>
        <v>0</v>
      </c>
      <c r="AP56" s="65">
        <f t="shared" ca="1" si="30"/>
        <v>0</v>
      </c>
      <c r="AQ56" s="65">
        <f t="shared" ca="1" si="30"/>
        <v>0</v>
      </c>
      <c r="AR56" s="65">
        <f t="shared" ca="1" si="30"/>
        <v>0</v>
      </c>
      <c r="AS56" s="65">
        <f t="shared" ca="1" si="30"/>
        <v>0</v>
      </c>
      <c r="AT56" s="65">
        <f t="shared" ca="1" si="30"/>
        <v>0</v>
      </c>
      <c r="AU56" s="65">
        <f t="shared" ca="1" si="30"/>
        <v>0</v>
      </c>
      <c r="AV56" s="65">
        <f t="shared" ca="1" si="30"/>
        <v>0</v>
      </c>
      <c r="AW56" s="65">
        <f t="shared" ca="1" si="30"/>
        <v>0</v>
      </c>
      <c r="AX56" s="65">
        <f t="shared" ca="1" si="30"/>
        <v>0</v>
      </c>
      <c r="AY56" s="65">
        <f t="shared" ca="1" si="30"/>
        <v>0</v>
      </c>
      <c r="AZ56" s="65">
        <f t="shared" ca="1" si="30"/>
        <v>0</v>
      </c>
      <c r="BA56" s="65">
        <f t="shared" ca="1" si="30"/>
        <v>0</v>
      </c>
      <c r="BB56" s="65">
        <f t="shared" ca="1" si="30"/>
        <v>0</v>
      </c>
      <c r="BC56" s="65">
        <f t="shared" ca="1" si="30"/>
        <v>0</v>
      </c>
      <c r="BD56" s="65">
        <f t="shared" ca="1" si="30"/>
        <v>0</v>
      </c>
      <c r="BE56" s="65">
        <f t="shared" ca="1" si="30"/>
        <v>0</v>
      </c>
      <c r="BF56" s="65">
        <f t="shared" ca="1" si="30"/>
        <v>0</v>
      </c>
      <c r="BG56" s="65">
        <f t="shared" ca="1" si="30"/>
        <v>0</v>
      </c>
      <c r="BH56" s="65">
        <f t="shared" ca="1" si="30"/>
        <v>0</v>
      </c>
      <c r="BI56" s="65">
        <f t="shared" ca="1" si="30"/>
        <v>0</v>
      </c>
      <c r="BJ56" s="65">
        <f t="shared" ca="1" si="30"/>
        <v>0</v>
      </c>
      <c r="BK56" s="65">
        <f t="shared" ca="1" si="30"/>
        <v>0</v>
      </c>
      <c r="BL56" s="65">
        <f t="shared" ca="1" si="30"/>
        <v>0</v>
      </c>
      <c r="BM56" s="65">
        <f t="shared" ca="1" si="30"/>
        <v>0</v>
      </c>
      <c r="BN56" s="65">
        <f t="shared" ca="1" si="30"/>
        <v>0</v>
      </c>
      <c r="BO56" s="65">
        <f t="shared" ca="1" si="30"/>
        <v>0</v>
      </c>
      <c r="BP56" s="65">
        <f t="shared" ca="1" si="30"/>
        <v>0</v>
      </c>
      <c r="BQ56" s="65">
        <f t="shared" ca="1" si="30"/>
        <v>0</v>
      </c>
      <c r="BR56" s="65">
        <f t="shared" ca="1" si="30"/>
        <v>0</v>
      </c>
    </row>
    <row r="58" spans="2:70" x14ac:dyDescent="0.25">
      <c r="C58" s="139" t="s">
        <v>296</v>
      </c>
      <c r="K58" s="64">
        <f ca="1">(K56-K53)*-1</f>
        <v>0</v>
      </c>
      <c r="L58" s="64">
        <f t="shared" ref="L58:BR58" ca="1" si="31">(L56-L53)*-1</f>
        <v>0</v>
      </c>
      <c r="M58" s="64">
        <f t="shared" ca="1" si="31"/>
        <v>0</v>
      </c>
      <c r="N58" s="64">
        <f t="shared" ca="1" si="31"/>
        <v>0</v>
      </c>
      <c r="O58" s="64">
        <f t="shared" ca="1" si="31"/>
        <v>0</v>
      </c>
      <c r="P58" s="64">
        <f t="shared" ca="1" si="31"/>
        <v>0</v>
      </c>
      <c r="Q58" s="64">
        <f t="shared" ca="1" si="31"/>
        <v>0</v>
      </c>
      <c r="R58" s="64">
        <f t="shared" ca="1" si="31"/>
        <v>0</v>
      </c>
      <c r="S58" s="64">
        <f t="shared" ca="1" si="31"/>
        <v>0</v>
      </c>
      <c r="T58" s="64">
        <f t="shared" ca="1" si="31"/>
        <v>0</v>
      </c>
      <c r="U58" s="64">
        <f t="shared" ca="1" si="31"/>
        <v>0</v>
      </c>
      <c r="V58" s="64">
        <f t="shared" ca="1" si="31"/>
        <v>0</v>
      </c>
      <c r="W58" s="64">
        <f t="shared" ca="1" si="31"/>
        <v>0</v>
      </c>
      <c r="X58" s="64">
        <f t="shared" ca="1" si="31"/>
        <v>0</v>
      </c>
      <c r="Y58" s="64">
        <f t="shared" ca="1" si="31"/>
        <v>0</v>
      </c>
      <c r="Z58" s="64">
        <f t="shared" ca="1" si="31"/>
        <v>0</v>
      </c>
      <c r="AA58" s="64">
        <f t="shared" ca="1" si="31"/>
        <v>0</v>
      </c>
      <c r="AB58" s="64">
        <f t="shared" ca="1" si="31"/>
        <v>0</v>
      </c>
      <c r="AC58" s="64">
        <f t="shared" ca="1" si="31"/>
        <v>0</v>
      </c>
      <c r="AD58" s="64">
        <f t="shared" ca="1" si="31"/>
        <v>0</v>
      </c>
      <c r="AE58" s="64">
        <f t="shared" ca="1" si="31"/>
        <v>0</v>
      </c>
      <c r="AF58" s="64">
        <f t="shared" ca="1" si="31"/>
        <v>0</v>
      </c>
      <c r="AG58" s="64">
        <f t="shared" ca="1" si="31"/>
        <v>0</v>
      </c>
      <c r="AH58" s="64">
        <f t="shared" ca="1" si="31"/>
        <v>0</v>
      </c>
      <c r="AI58" s="64">
        <f t="shared" ca="1" si="31"/>
        <v>0</v>
      </c>
      <c r="AJ58" s="64">
        <f t="shared" ca="1" si="31"/>
        <v>0</v>
      </c>
      <c r="AK58" s="64">
        <f t="shared" ca="1" si="31"/>
        <v>0</v>
      </c>
      <c r="AL58" s="64">
        <f t="shared" ca="1" si="31"/>
        <v>0</v>
      </c>
      <c r="AM58" s="64">
        <f t="shared" ca="1" si="31"/>
        <v>0</v>
      </c>
      <c r="AN58" s="64">
        <f t="shared" ca="1" si="31"/>
        <v>0</v>
      </c>
      <c r="AO58" s="64">
        <f t="shared" ca="1" si="31"/>
        <v>0</v>
      </c>
      <c r="AP58" s="64">
        <f t="shared" ca="1" si="31"/>
        <v>0</v>
      </c>
      <c r="AQ58" s="64">
        <f t="shared" ca="1" si="31"/>
        <v>0</v>
      </c>
      <c r="AR58" s="64">
        <f t="shared" ca="1" si="31"/>
        <v>0</v>
      </c>
      <c r="AS58" s="64">
        <f t="shared" ca="1" si="31"/>
        <v>0</v>
      </c>
      <c r="AT58" s="64">
        <f t="shared" ca="1" si="31"/>
        <v>0</v>
      </c>
      <c r="AU58" s="64">
        <f t="shared" ca="1" si="31"/>
        <v>0</v>
      </c>
      <c r="AV58" s="64">
        <f t="shared" ca="1" si="31"/>
        <v>0</v>
      </c>
      <c r="AW58" s="64">
        <f t="shared" ca="1" si="31"/>
        <v>0</v>
      </c>
      <c r="AX58" s="64">
        <f t="shared" ca="1" si="31"/>
        <v>0</v>
      </c>
      <c r="AY58" s="64">
        <f t="shared" ca="1" si="31"/>
        <v>0</v>
      </c>
      <c r="AZ58" s="64">
        <f t="shared" ca="1" si="31"/>
        <v>0</v>
      </c>
      <c r="BA58" s="64">
        <f t="shared" ca="1" si="31"/>
        <v>0</v>
      </c>
      <c r="BB58" s="64">
        <f t="shared" ca="1" si="31"/>
        <v>0</v>
      </c>
      <c r="BC58" s="64">
        <f t="shared" ca="1" si="31"/>
        <v>0</v>
      </c>
      <c r="BD58" s="64">
        <f t="shared" ca="1" si="31"/>
        <v>0</v>
      </c>
      <c r="BE58" s="64">
        <f t="shared" ca="1" si="31"/>
        <v>0</v>
      </c>
      <c r="BF58" s="64">
        <f t="shared" ca="1" si="31"/>
        <v>0</v>
      </c>
      <c r="BG58" s="64">
        <f t="shared" ca="1" si="31"/>
        <v>0</v>
      </c>
      <c r="BH58" s="64">
        <f t="shared" ca="1" si="31"/>
        <v>0</v>
      </c>
      <c r="BI58" s="64">
        <f t="shared" ca="1" si="31"/>
        <v>0</v>
      </c>
      <c r="BJ58" s="64">
        <f t="shared" ca="1" si="31"/>
        <v>0</v>
      </c>
      <c r="BK58" s="64">
        <f t="shared" ca="1" si="31"/>
        <v>0</v>
      </c>
      <c r="BL58" s="64">
        <f t="shared" ca="1" si="31"/>
        <v>0</v>
      </c>
      <c r="BM58" s="64">
        <f t="shared" ca="1" si="31"/>
        <v>0</v>
      </c>
      <c r="BN58" s="64">
        <f t="shared" ca="1" si="31"/>
        <v>0</v>
      </c>
      <c r="BO58" s="64">
        <f t="shared" ca="1" si="31"/>
        <v>0</v>
      </c>
      <c r="BP58" s="64">
        <f t="shared" ca="1" si="31"/>
        <v>0</v>
      </c>
      <c r="BQ58" s="64">
        <f t="shared" ca="1" si="31"/>
        <v>0</v>
      </c>
      <c r="BR58" s="64">
        <f t="shared" ca="1" si="31"/>
        <v>0</v>
      </c>
    </row>
    <row r="60" spans="2:70" s="169" customFormat="1" ht="13.8" x14ac:dyDescent="0.25">
      <c r="B60" s="169" t="str">
        <f>Header2</f>
        <v>2.2</v>
      </c>
      <c r="C60" s="169" t="str">
        <f>KeyInputs!F26</f>
        <v>Insert Business Line2</v>
      </c>
    </row>
    <row r="62" spans="2:70" x14ac:dyDescent="0.25">
      <c r="C62" s="204" t="s">
        <v>149</v>
      </c>
      <c r="D62" s="205">
        <f>KeyInputs!F53</f>
        <v>0</v>
      </c>
    </row>
    <row r="64" spans="2:70" x14ac:dyDescent="0.25">
      <c r="C64" s="139" t="s">
        <v>207</v>
      </c>
      <c r="D64" s="193" t="str">
        <f>unit</f>
        <v>£</v>
      </c>
      <c r="E64" s="63">
        <f>D67</f>
        <v>0</v>
      </c>
      <c r="F64" s="63">
        <f t="shared" ref="F64:I64" ca="1" si="32">E67</f>
        <v>0</v>
      </c>
      <c r="G64" s="63">
        <f t="shared" ca="1" si="32"/>
        <v>0</v>
      </c>
      <c r="H64" s="63">
        <f t="shared" ca="1" si="32"/>
        <v>0</v>
      </c>
      <c r="I64" s="63">
        <f t="shared" ca="1" si="32"/>
        <v>0</v>
      </c>
      <c r="K64" s="64">
        <f>J67</f>
        <v>0</v>
      </c>
      <c r="L64" s="64">
        <f t="shared" ref="L64:BR64" ca="1" si="33">K67</f>
        <v>0</v>
      </c>
      <c r="M64" s="64">
        <f t="shared" ca="1" si="33"/>
        <v>0</v>
      </c>
      <c r="N64" s="64">
        <f t="shared" ca="1" si="33"/>
        <v>0</v>
      </c>
      <c r="O64" s="64">
        <f t="shared" ca="1" si="33"/>
        <v>0</v>
      </c>
      <c r="P64" s="64">
        <f t="shared" ca="1" si="33"/>
        <v>0</v>
      </c>
      <c r="Q64" s="64">
        <f t="shared" ca="1" si="33"/>
        <v>0</v>
      </c>
      <c r="R64" s="64">
        <f t="shared" ca="1" si="33"/>
        <v>0</v>
      </c>
      <c r="S64" s="64">
        <f t="shared" ca="1" si="33"/>
        <v>0</v>
      </c>
      <c r="T64" s="64">
        <f t="shared" ca="1" si="33"/>
        <v>0</v>
      </c>
      <c r="U64" s="64">
        <f t="shared" ca="1" si="33"/>
        <v>0</v>
      </c>
      <c r="V64" s="64">
        <f t="shared" ca="1" si="33"/>
        <v>0</v>
      </c>
      <c r="W64" s="64">
        <f t="shared" ca="1" si="33"/>
        <v>0</v>
      </c>
      <c r="X64" s="64">
        <f t="shared" ca="1" si="33"/>
        <v>0</v>
      </c>
      <c r="Y64" s="64">
        <f t="shared" ca="1" si="33"/>
        <v>0</v>
      </c>
      <c r="Z64" s="64">
        <f t="shared" ca="1" si="33"/>
        <v>0</v>
      </c>
      <c r="AA64" s="64">
        <f t="shared" ca="1" si="33"/>
        <v>0</v>
      </c>
      <c r="AB64" s="64">
        <f t="shared" ca="1" si="33"/>
        <v>0</v>
      </c>
      <c r="AC64" s="64">
        <f t="shared" ca="1" si="33"/>
        <v>0</v>
      </c>
      <c r="AD64" s="64">
        <f t="shared" ca="1" si="33"/>
        <v>0</v>
      </c>
      <c r="AE64" s="64">
        <f t="shared" ca="1" si="33"/>
        <v>0</v>
      </c>
      <c r="AF64" s="64">
        <f t="shared" ca="1" si="33"/>
        <v>0</v>
      </c>
      <c r="AG64" s="64">
        <f t="shared" ca="1" si="33"/>
        <v>0</v>
      </c>
      <c r="AH64" s="64">
        <f t="shared" ca="1" si="33"/>
        <v>0</v>
      </c>
      <c r="AI64" s="64">
        <f t="shared" ca="1" si="33"/>
        <v>0</v>
      </c>
      <c r="AJ64" s="64">
        <f t="shared" ca="1" si="33"/>
        <v>0</v>
      </c>
      <c r="AK64" s="64">
        <f t="shared" ca="1" si="33"/>
        <v>0</v>
      </c>
      <c r="AL64" s="64">
        <f t="shared" ca="1" si="33"/>
        <v>0</v>
      </c>
      <c r="AM64" s="64">
        <f t="shared" ca="1" si="33"/>
        <v>0</v>
      </c>
      <c r="AN64" s="64">
        <f t="shared" ca="1" si="33"/>
        <v>0</v>
      </c>
      <c r="AO64" s="64">
        <f t="shared" ca="1" si="33"/>
        <v>0</v>
      </c>
      <c r="AP64" s="64">
        <f t="shared" ca="1" si="33"/>
        <v>0</v>
      </c>
      <c r="AQ64" s="64">
        <f t="shared" ca="1" si="33"/>
        <v>0</v>
      </c>
      <c r="AR64" s="64">
        <f t="shared" ca="1" si="33"/>
        <v>0</v>
      </c>
      <c r="AS64" s="64">
        <f t="shared" ca="1" si="33"/>
        <v>0</v>
      </c>
      <c r="AT64" s="64">
        <f t="shared" ca="1" si="33"/>
        <v>0</v>
      </c>
      <c r="AU64" s="64">
        <f t="shared" ca="1" si="33"/>
        <v>0</v>
      </c>
      <c r="AV64" s="64">
        <f t="shared" ca="1" si="33"/>
        <v>0</v>
      </c>
      <c r="AW64" s="64">
        <f t="shared" ca="1" si="33"/>
        <v>0</v>
      </c>
      <c r="AX64" s="64">
        <f t="shared" ca="1" si="33"/>
        <v>0</v>
      </c>
      <c r="AY64" s="64">
        <f t="shared" ca="1" si="33"/>
        <v>0</v>
      </c>
      <c r="AZ64" s="64">
        <f t="shared" ca="1" si="33"/>
        <v>0</v>
      </c>
      <c r="BA64" s="64">
        <f t="shared" ca="1" si="33"/>
        <v>0</v>
      </c>
      <c r="BB64" s="64">
        <f t="shared" ca="1" si="33"/>
        <v>0</v>
      </c>
      <c r="BC64" s="64">
        <f t="shared" ca="1" si="33"/>
        <v>0</v>
      </c>
      <c r="BD64" s="64">
        <f t="shared" ca="1" si="33"/>
        <v>0</v>
      </c>
      <c r="BE64" s="64">
        <f t="shared" ca="1" si="33"/>
        <v>0</v>
      </c>
      <c r="BF64" s="64">
        <f t="shared" ca="1" si="33"/>
        <v>0</v>
      </c>
      <c r="BG64" s="64">
        <f t="shared" ca="1" si="33"/>
        <v>0</v>
      </c>
      <c r="BH64" s="64">
        <f t="shared" ca="1" si="33"/>
        <v>0</v>
      </c>
      <c r="BI64" s="64">
        <f t="shared" ca="1" si="33"/>
        <v>0</v>
      </c>
      <c r="BJ64" s="64">
        <f t="shared" ca="1" si="33"/>
        <v>0</v>
      </c>
      <c r="BK64" s="64">
        <f t="shared" ca="1" si="33"/>
        <v>0</v>
      </c>
      <c r="BL64" s="64">
        <f t="shared" ca="1" si="33"/>
        <v>0</v>
      </c>
      <c r="BM64" s="64">
        <f t="shared" ca="1" si="33"/>
        <v>0</v>
      </c>
      <c r="BN64" s="64">
        <f t="shared" ca="1" si="33"/>
        <v>0</v>
      </c>
      <c r="BO64" s="64">
        <f t="shared" ca="1" si="33"/>
        <v>0</v>
      </c>
      <c r="BP64" s="64">
        <f t="shared" ca="1" si="33"/>
        <v>0</v>
      </c>
      <c r="BQ64" s="64">
        <f t="shared" ca="1" si="33"/>
        <v>0</v>
      </c>
      <c r="BR64" s="64">
        <f t="shared" ca="1" si="33"/>
        <v>0</v>
      </c>
    </row>
    <row r="65" spans="2:70" x14ac:dyDescent="0.25">
      <c r="C65" s="170" t="s">
        <v>210</v>
      </c>
      <c r="D65" s="193" t="str">
        <f>unit</f>
        <v>£</v>
      </c>
      <c r="E65" s="63">
        <f>SUMIF($K$5:$BR$5,E$5,$K65:$BR65)</f>
        <v>0</v>
      </c>
      <c r="F65" s="63">
        <f t="shared" ref="F65:I66" si="34">SUMIF($K$5:$BR$5,F$5,$K65:$BR65)</f>
        <v>0</v>
      </c>
      <c r="G65" s="63">
        <f t="shared" si="34"/>
        <v>0</v>
      </c>
      <c r="H65" s="63">
        <f t="shared" si="34"/>
        <v>0</v>
      </c>
      <c r="I65" s="63">
        <f t="shared" si="34"/>
        <v>0</v>
      </c>
      <c r="K65" s="64">
        <f>VariableCosts!K71-(VariableCosts!K58*Revenue!K40)-(VariableCosts!K63*Revenue!K41)-(VariableCosts!K68*Revenue!K42)</f>
        <v>0</v>
      </c>
      <c r="L65" s="64">
        <f>VariableCosts!L71-(VariableCosts!L58*Revenue!L40)-(VariableCosts!L63*Revenue!L41)-(VariableCosts!L68*Revenue!L42)</f>
        <v>0</v>
      </c>
      <c r="M65" s="64">
        <f>VariableCosts!M71-(VariableCosts!M58*Revenue!M40)-(VariableCosts!M63*Revenue!M41)-(VariableCosts!M68*Revenue!M42)</f>
        <v>0</v>
      </c>
      <c r="N65" s="64">
        <f>VariableCosts!N71-(VariableCosts!N58*Revenue!N40)-(VariableCosts!N63*Revenue!N41)-(VariableCosts!N68*Revenue!N42)</f>
        <v>0</v>
      </c>
      <c r="O65" s="64">
        <f>VariableCosts!O71-(VariableCosts!O58*Revenue!O40)-(VariableCosts!O63*Revenue!O41)-(VariableCosts!O68*Revenue!O42)</f>
        <v>0</v>
      </c>
      <c r="P65" s="64">
        <f>VariableCosts!P71-(VariableCosts!P58*Revenue!P40)-(VariableCosts!P63*Revenue!P41)-(VariableCosts!P68*Revenue!P42)</f>
        <v>0</v>
      </c>
      <c r="Q65" s="64">
        <f>VariableCosts!Q71-(VariableCosts!Q58*Revenue!Q40)-(VariableCosts!Q63*Revenue!Q41)-(VariableCosts!Q68*Revenue!Q42)</f>
        <v>0</v>
      </c>
      <c r="R65" s="64">
        <f>VariableCosts!R71-(VariableCosts!R58*Revenue!R40)-(VariableCosts!R63*Revenue!R41)-(VariableCosts!R68*Revenue!R42)</f>
        <v>0</v>
      </c>
      <c r="S65" s="64">
        <f>VariableCosts!S71-(VariableCosts!S58*Revenue!S40)-(VariableCosts!S63*Revenue!S41)-(VariableCosts!S68*Revenue!S42)</f>
        <v>0</v>
      </c>
      <c r="T65" s="64">
        <f>VariableCosts!T71-(VariableCosts!T58*Revenue!T40)-(VariableCosts!T63*Revenue!T41)-(VariableCosts!T68*Revenue!T42)</f>
        <v>0</v>
      </c>
      <c r="U65" s="64">
        <f>VariableCosts!U71-(VariableCosts!U58*Revenue!U40)-(VariableCosts!U63*Revenue!U41)-(VariableCosts!U68*Revenue!U42)</f>
        <v>0</v>
      </c>
      <c r="V65" s="64">
        <f>VariableCosts!V71-(VariableCosts!V58*Revenue!V40)-(VariableCosts!V63*Revenue!V41)-(VariableCosts!V68*Revenue!V42)</f>
        <v>0</v>
      </c>
      <c r="W65" s="64">
        <f>VariableCosts!W71-(VariableCosts!W58*Revenue!W40)-(VariableCosts!W63*Revenue!W41)-(VariableCosts!W68*Revenue!W42)</f>
        <v>0</v>
      </c>
      <c r="X65" s="64">
        <f>VariableCosts!X71-(VariableCosts!X58*Revenue!X40)-(VariableCosts!X63*Revenue!X41)-(VariableCosts!X68*Revenue!X42)</f>
        <v>0</v>
      </c>
      <c r="Y65" s="64">
        <f>VariableCosts!Y71-(VariableCosts!Y58*Revenue!Y40)-(VariableCosts!Y63*Revenue!Y41)-(VariableCosts!Y68*Revenue!Y42)</f>
        <v>0</v>
      </c>
      <c r="Z65" s="64">
        <f>VariableCosts!Z71-(VariableCosts!Z58*Revenue!Z40)-(VariableCosts!Z63*Revenue!Z41)-(VariableCosts!Z68*Revenue!Z42)</f>
        <v>0</v>
      </c>
      <c r="AA65" s="64">
        <f>VariableCosts!AA71-(VariableCosts!AA58*Revenue!AA40)-(VariableCosts!AA63*Revenue!AA41)-(VariableCosts!AA68*Revenue!AA42)</f>
        <v>0</v>
      </c>
      <c r="AB65" s="64">
        <f>VariableCosts!AB71-(VariableCosts!AB58*Revenue!AB40)-(VariableCosts!AB63*Revenue!AB41)-(VariableCosts!AB68*Revenue!AB42)</f>
        <v>0</v>
      </c>
      <c r="AC65" s="64">
        <f>VariableCosts!AC71-(VariableCosts!AC58*Revenue!AC40)-(VariableCosts!AC63*Revenue!AC41)-(VariableCosts!AC68*Revenue!AC42)</f>
        <v>0</v>
      </c>
      <c r="AD65" s="64">
        <f>VariableCosts!AD71-(VariableCosts!AD58*Revenue!AD40)-(VariableCosts!AD63*Revenue!AD41)-(VariableCosts!AD68*Revenue!AD42)</f>
        <v>0</v>
      </c>
      <c r="AE65" s="64">
        <f>VariableCosts!AE71-(VariableCosts!AE58*Revenue!AE40)-(VariableCosts!AE63*Revenue!AE41)-(VariableCosts!AE68*Revenue!AE42)</f>
        <v>0</v>
      </c>
      <c r="AF65" s="64">
        <f>VariableCosts!AF71-(VariableCosts!AF58*Revenue!AF40)-(VariableCosts!AF63*Revenue!AF41)-(VariableCosts!AF68*Revenue!AF42)</f>
        <v>0</v>
      </c>
      <c r="AG65" s="64">
        <f>VariableCosts!AG71-(VariableCosts!AG58*Revenue!AG40)-(VariableCosts!AG63*Revenue!AG41)-(VariableCosts!AG68*Revenue!AG42)</f>
        <v>0</v>
      </c>
      <c r="AH65" s="64">
        <f>VariableCosts!AH71-(VariableCosts!AH58*Revenue!AH40)-(VariableCosts!AH63*Revenue!AH41)-(VariableCosts!AH68*Revenue!AH42)</f>
        <v>0</v>
      </c>
      <c r="AI65" s="64">
        <f>VariableCosts!AI71-(VariableCosts!AI58*Revenue!AI40)-(VariableCosts!AI63*Revenue!AI41)-(VariableCosts!AI68*Revenue!AI42)</f>
        <v>0</v>
      </c>
      <c r="AJ65" s="64">
        <f>VariableCosts!AJ71-(VariableCosts!AJ58*Revenue!AJ40)-(VariableCosts!AJ63*Revenue!AJ41)-(VariableCosts!AJ68*Revenue!AJ42)</f>
        <v>0</v>
      </c>
      <c r="AK65" s="64">
        <f>VariableCosts!AK71-(VariableCosts!AK58*Revenue!AK40)-(VariableCosts!AK63*Revenue!AK41)-(VariableCosts!AK68*Revenue!AK42)</f>
        <v>0</v>
      </c>
      <c r="AL65" s="64">
        <f>VariableCosts!AL71-(VariableCosts!AL58*Revenue!AL40)-(VariableCosts!AL63*Revenue!AL41)-(VariableCosts!AL68*Revenue!AL42)</f>
        <v>0</v>
      </c>
      <c r="AM65" s="64">
        <f>VariableCosts!AM71-(VariableCosts!AM58*Revenue!AM40)-(VariableCosts!AM63*Revenue!AM41)-(VariableCosts!AM68*Revenue!AM42)</f>
        <v>0</v>
      </c>
      <c r="AN65" s="64">
        <f>VariableCosts!AN71-(VariableCosts!AN58*Revenue!AN40)-(VariableCosts!AN63*Revenue!AN41)-(VariableCosts!AN68*Revenue!AN42)</f>
        <v>0</v>
      </c>
      <c r="AO65" s="64">
        <f>VariableCosts!AO71-(VariableCosts!AO58*Revenue!AO40)-(VariableCosts!AO63*Revenue!AO41)-(VariableCosts!AO68*Revenue!AO42)</f>
        <v>0</v>
      </c>
      <c r="AP65" s="64">
        <f>VariableCosts!AP71-(VariableCosts!AP58*Revenue!AP40)-(VariableCosts!AP63*Revenue!AP41)-(VariableCosts!AP68*Revenue!AP42)</f>
        <v>0</v>
      </c>
      <c r="AQ65" s="64">
        <f>VariableCosts!AQ71-(VariableCosts!AQ58*Revenue!AQ40)-(VariableCosts!AQ63*Revenue!AQ41)-(VariableCosts!AQ68*Revenue!AQ42)</f>
        <v>0</v>
      </c>
      <c r="AR65" s="64">
        <f>VariableCosts!AR71-(VariableCosts!AR58*Revenue!AR40)-(VariableCosts!AR63*Revenue!AR41)-(VariableCosts!AR68*Revenue!AR42)</f>
        <v>0</v>
      </c>
      <c r="AS65" s="64">
        <f>VariableCosts!AS71-(VariableCosts!AS58*Revenue!AS40)-(VariableCosts!AS63*Revenue!AS41)-(VariableCosts!AS68*Revenue!AS42)</f>
        <v>0</v>
      </c>
      <c r="AT65" s="64">
        <f>VariableCosts!AT71-(VariableCosts!AT58*Revenue!AT40)-(VariableCosts!AT63*Revenue!AT41)-(VariableCosts!AT68*Revenue!AT42)</f>
        <v>0</v>
      </c>
      <c r="AU65" s="64">
        <f>VariableCosts!AU71-(VariableCosts!AU58*Revenue!AU40)-(VariableCosts!AU63*Revenue!AU41)-(VariableCosts!AU68*Revenue!AU42)</f>
        <v>0</v>
      </c>
      <c r="AV65" s="64">
        <f>VariableCosts!AV71-(VariableCosts!AV58*Revenue!AV40)-(VariableCosts!AV63*Revenue!AV41)-(VariableCosts!AV68*Revenue!AV42)</f>
        <v>0</v>
      </c>
      <c r="AW65" s="64">
        <f>VariableCosts!AW71-(VariableCosts!AW58*Revenue!AW40)-(VariableCosts!AW63*Revenue!AW41)-(VariableCosts!AW68*Revenue!AW42)</f>
        <v>0</v>
      </c>
      <c r="AX65" s="64">
        <f>VariableCosts!AX71-(VariableCosts!AX58*Revenue!AX40)-(VariableCosts!AX63*Revenue!AX41)-(VariableCosts!AX68*Revenue!AX42)</f>
        <v>0</v>
      </c>
      <c r="AY65" s="64">
        <f>VariableCosts!AY71-(VariableCosts!AY58*Revenue!AY40)-(VariableCosts!AY63*Revenue!AY41)-(VariableCosts!AY68*Revenue!AY42)</f>
        <v>0</v>
      </c>
      <c r="AZ65" s="64">
        <f>VariableCosts!AZ71-(VariableCosts!AZ58*Revenue!AZ40)-(VariableCosts!AZ63*Revenue!AZ41)-(VariableCosts!AZ68*Revenue!AZ42)</f>
        <v>0</v>
      </c>
      <c r="BA65" s="64">
        <f>VariableCosts!BA71-(VariableCosts!BA58*Revenue!BA40)-(VariableCosts!BA63*Revenue!BA41)-(VariableCosts!BA68*Revenue!BA42)</f>
        <v>0</v>
      </c>
      <c r="BB65" s="64">
        <f>VariableCosts!BB71-(VariableCosts!BB58*Revenue!BB40)-(VariableCosts!BB63*Revenue!BB41)-(VariableCosts!BB68*Revenue!BB42)</f>
        <v>0</v>
      </c>
      <c r="BC65" s="64">
        <f>VariableCosts!BC71-(VariableCosts!BC58*Revenue!BC40)-(VariableCosts!BC63*Revenue!BC41)-(VariableCosts!BC68*Revenue!BC42)</f>
        <v>0</v>
      </c>
      <c r="BD65" s="64">
        <f>VariableCosts!BD71-(VariableCosts!BD58*Revenue!BD40)-(VariableCosts!BD63*Revenue!BD41)-(VariableCosts!BD68*Revenue!BD42)</f>
        <v>0</v>
      </c>
      <c r="BE65" s="64">
        <f>VariableCosts!BE71-(VariableCosts!BE58*Revenue!BE40)-(VariableCosts!BE63*Revenue!BE41)-(VariableCosts!BE68*Revenue!BE42)</f>
        <v>0</v>
      </c>
      <c r="BF65" s="64">
        <f>VariableCosts!BF71-(VariableCosts!BF58*Revenue!BF40)-(VariableCosts!BF63*Revenue!BF41)-(VariableCosts!BF68*Revenue!BF42)</f>
        <v>0</v>
      </c>
      <c r="BG65" s="64">
        <f>VariableCosts!BG71-(VariableCosts!BG58*Revenue!BG40)-(VariableCosts!BG63*Revenue!BG41)-(VariableCosts!BG68*Revenue!BG42)</f>
        <v>0</v>
      </c>
      <c r="BH65" s="64">
        <f>VariableCosts!BH71-(VariableCosts!BH58*Revenue!BH40)-(VariableCosts!BH63*Revenue!BH41)-(VariableCosts!BH68*Revenue!BH42)</f>
        <v>0</v>
      </c>
      <c r="BI65" s="64">
        <f>VariableCosts!BI71-(VariableCosts!BI58*Revenue!BI40)-(VariableCosts!BI63*Revenue!BI41)-(VariableCosts!BI68*Revenue!BI42)</f>
        <v>0</v>
      </c>
      <c r="BJ65" s="64">
        <f>VariableCosts!BJ71-(VariableCosts!BJ58*Revenue!BJ40)-(VariableCosts!BJ63*Revenue!BJ41)-(VariableCosts!BJ68*Revenue!BJ42)</f>
        <v>0</v>
      </c>
      <c r="BK65" s="64">
        <f>VariableCosts!BK71-(VariableCosts!BK58*Revenue!BK40)-(VariableCosts!BK63*Revenue!BK41)-(VariableCosts!BK68*Revenue!BK42)</f>
        <v>0</v>
      </c>
      <c r="BL65" s="64">
        <f>VariableCosts!BL71-(VariableCosts!BL58*Revenue!BL40)-(VariableCosts!BL63*Revenue!BL41)-(VariableCosts!BL68*Revenue!BL42)</f>
        <v>0</v>
      </c>
      <c r="BM65" s="64">
        <f>VariableCosts!BM71-(VariableCosts!BM58*Revenue!BM40)-(VariableCosts!BM63*Revenue!BM41)-(VariableCosts!BM68*Revenue!BM42)</f>
        <v>0</v>
      </c>
      <c r="BN65" s="64">
        <f>VariableCosts!BN71-(VariableCosts!BN58*Revenue!BN40)-(VariableCosts!BN63*Revenue!BN41)-(VariableCosts!BN68*Revenue!BN42)</f>
        <v>0</v>
      </c>
      <c r="BO65" s="64">
        <f>VariableCosts!BO71-(VariableCosts!BO58*Revenue!BO40)-(VariableCosts!BO63*Revenue!BO41)-(VariableCosts!BO68*Revenue!BO42)</f>
        <v>0</v>
      </c>
      <c r="BP65" s="64">
        <f>VariableCosts!BP71-(VariableCosts!BP58*Revenue!BP40)-(VariableCosts!BP63*Revenue!BP41)-(VariableCosts!BP68*Revenue!BP42)</f>
        <v>0</v>
      </c>
      <c r="BQ65" s="64">
        <f>VariableCosts!BQ71-(VariableCosts!BQ58*Revenue!BQ40)-(VariableCosts!BQ63*Revenue!BQ41)-(VariableCosts!BQ68*Revenue!BQ42)</f>
        <v>0</v>
      </c>
      <c r="BR65" s="64">
        <f>VariableCosts!BR71-(VariableCosts!BR58*Revenue!BR40)-(VariableCosts!BR63*Revenue!BR41)-(VariableCosts!BR68*Revenue!BR42)</f>
        <v>0</v>
      </c>
    </row>
    <row r="66" spans="2:70" x14ac:dyDescent="0.25">
      <c r="C66" s="170" t="s">
        <v>211</v>
      </c>
      <c r="D66" s="193" t="str">
        <f>unit</f>
        <v>£</v>
      </c>
      <c r="E66" s="63">
        <f ca="1">SUMIF($K$5:$BR$5,E$5,$K66:$BR66)</f>
        <v>0</v>
      </c>
      <c r="F66" s="63">
        <f t="shared" ca="1" si="34"/>
        <v>0</v>
      </c>
      <c r="G66" s="63">
        <f t="shared" ca="1" si="34"/>
        <v>0</v>
      </c>
      <c r="H66" s="63">
        <f t="shared" ca="1" si="34"/>
        <v>0</v>
      </c>
      <c r="I66" s="63">
        <f t="shared" ca="1" si="34"/>
        <v>0</v>
      </c>
      <c r="K66" s="64">
        <f t="shared" ref="K66:AP66" ca="1" si="35">IF(K6&gt;$D$62,OFFSET(K$65,0,-$D$62)*-1,0)</f>
        <v>0</v>
      </c>
      <c r="L66" s="64">
        <f t="shared" ca="1" si="35"/>
        <v>0</v>
      </c>
      <c r="M66" s="64">
        <f t="shared" ca="1" si="35"/>
        <v>0</v>
      </c>
      <c r="N66" s="64">
        <f t="shared" ca="1" si="35"/>
        <v>0</v>
      </c>
      <c r="O66" s="64">
        <f t="shared" ca="1" si="35"/>
        <v>0</v>
      </c>
      <c r="P66" s="64">
        <f t="shared" ca="1" si="35"/>
        <v>0</v>
      </c>
      <c r="Q66" s="64">
        <f t="shared" ca="1" si="35"/>
        <v>0</v>
      </c>
      <c r="R66" s="64">
        <f t="shared" ca="1" si="35"/>
        <v>0</v>
      </c>
      <c r="S66" s="64">
        <f t="shared" ca="1" si="35"/>
        <v>0</v>
      </c>
      <c r="T66" s="64">
        <f t="shared" ca="1" si="35"/>
        <v>0</v>
      </c>
      <c r="U66" s="64">
        <f t="shared" ca="1" si="35"/>
        <v>0</v>
      </c>
      <c r="V66" s="64">
        <f t="shared" ca="1" si="35"/>
        <v>0</v>
      </c>
      <c r="W66" s="64">
        <f t="shared" ca="1" si="35"/>
        <v>0</v>
      </c>
      <c r="X66" s="64">
        <f t="shared" ca="1" si="35"/>
        <v>0</v>
      </c>
      <c r="Y66" s="64">
        <f t="shared" ca="1" si="35"/>
        <v>0</v>
      </c>
      <c r="Z66" s="64">
        <f t="shared" ca="1" si="35"/>
        <v>0</v>
      </c>
      <c r="AA66" s="64">
        <f t="shared" ca="1" si="35"/>
        <v>0</v>
      </c>
      <c r="AB66" s="64">
        <f t="shared" ca="1" si="35"/>
        <v>0</v>
      </c>
      <c r="AC66" s="64">
        <f t="shared" ca="1" si="35"/>
        <v>0</v>
      </c>
      <c r="AD66" s="64">
        <f t="shared" ca="1" si="35"/>
        <v>0</v>
      </c>
      <c r="AE66" s="64">
        <f t="shared" ca="1" si="35"/>
        <v>0</v>
      </c>
      <c r="AF66" s="64">
        <f t="shared" ca="1" si="35"/>
        <v>0</v>
      </c>
      <c r="AG66" s="64">
        <f t="shared" ca="1" si="35"/>
        <v>0</v>
      </c>
      <c r="AH66" s="64">
        <f t="shared" ca="1" si="35"/>
        <v>0</v>
      </c>
      <c r="AI66" s="64">
        <f t="shared" ca="1" si="35"/>
        <v>0</v>
      </c>
      <c r="AJ66" s="64">
        <f t="shared" ca="1" si="35"/>
        <v>0</v>
      </c>
      <c r="AK66" s="64">
        <f t="shared" ca="1" si="35"/>
        <v>0</v>
      </c>
      <c r="AL66" s="64">
        <f t="shared" ca="1" si="35"/>
        <v>0</v>
      </c>
      <c r="AM66" s="64">
        <f t="shared" ca="1" si="35"/>
        <v>0</v>
      </c>
      <c r="AN66" s="64">
        <f t="shared" ca="1" si="35"/>
        <v>0</v>
      </c>
      <c r="AO66" s="64">
        <f t="shared" ca="1" si="35"/>
        <v>0</v>
      </c>
      <c r="AP66" s="64">
        <f t="shared" ca="1" si="35"/>
        <v>0</v>
      </c>
      <c r="AQ66" s="64">
        <f t="shared" ref="AQ66:BR66" ca="1" si="36">IF(AQ6&gt;$D$62,OFFSET(AQ$65,0,-$D$62)*-1,0)</f>
        <v>0</v>
      </c>
      <c r="AR66" s="64">
        <f t="shared" ca="1" si="36"/>
        <v>0</v>
      </c>
      <c r="AS66" s="64">
        <f t="shared" ca="1" si="36"/>
        <v>0</v>
      </c>
      <c r="AT66" s="64">
        <f t="shared" ca="1" si="36"/>
        <v>0</v>
      </c>
      <c r="AU66" s="64">
        <f t="shared" ca="1" si="36"/>
        <v>0</v>
      </c>
      <c r="AV66" s="64">
        <f t="shared" ca="1" si="36"/>
        <v>0</v>
      </c>
      <c r="AW66" s="64">
        <f t="shared" ca="1" si="36"/>
        <v>0</v>
      </c>
      <c r="AX66" s="64">
        <f t="shared" ca="1" si="36"/>
        <v>0</v>
      </c>
      <c r="AY66" s="64">
        <f t="shared" ca="1" si="36"/>
        <v>0</v>
      </c>
      <c r="AZ66" s="64">
        <f t="shared" ca="1" si="36"/>
        <v>0</v>
      </c>
      <c r="BA66" s="64">
        <f t="shared" ca="1" si="36"/>
        <v>0</v>
      </c>
      <c r="BB66" s="64">
        <f t="shared" ca="1" si="36"/>
        <v>0</v>
      </c>
      <c r="BC66" s="64">
        <f t="shared" ca="1" si="36"/>
        <v>0</v>
      </c>
      <c r="BD66" s="64">
        <f t="shared" ca="1" si="36"/>
        <v>0</v>
      </c>
      <c r="BE66" s="64">
        <f t="shared" ca="1" si="36"/>
        <v>0</v>
      </c>
      <c r="BF66" s="64">
        <f t="shared" ca="1" si="36"/>
        <v>0</v>
      </c>
      <c r="BG66" s="64">
        <f t="shared" ca="1" si="36"/>
        <v>0</v>
      </c>
      <c r="BH66" s="64">
        <f t="shared" ca="1" si="36"/>
        <v>0</v>
      </c>
      <c r="BI66" s="64">
        <f t="shared" ca="1" si="36"/>
        <v>0</v>
      </c>
      <c r="BJ66" s="64">
        <f t="shared" ca="1" si="36"/>
        <v>0</v>
      </c>
      <c r="BK66" s="64">
        <f t="shared" ca="1" si="36"/>
        <v>0</v>
      </c>
      <c r="BL66" s="64">
        <f t="shared" ca="1" si="36"/>
        <v>0</v>
      </c>
      <c r="BM66" s="64">
        <f t="shared" ca="1" si="36"/>
        <v>0</v>
      </c>
      <c r="BN66" s="64">
        <f t="shared" ca="1" si="36"/>
        <v>0</v>
      </c>
      <c r="BO66" s="64">
        <f t="shared" ca="1" si="36"/>
        <v>0</v>
      </c>
      <c r="BP66" s="64">
        <f t="shared" ca="1" si="36"/>
        <v>0</v>
      </c>
      <c r="BQ66" s="64">
        <f t="shared" ca="1" si="36"/>
        <v>0</v>
      </c>
      <c r="BR66" s="64">
        <f t="shared" ca="1" si="36"/>
        <v>0</v>
      </c>
    </row>
    <row r="67" spans="2:70" x14ac:dyDescent="0.25">
      <c r="C67" s="170" t="s">
        <v>208</v>
      </c>
      <c r="D67" s="259">
        <f>KeyInputs!G125</f>
        <v>0</v>
      </c>
      <c r="E67" s="59">
        <f ca="1">SUM(E64:E66)</f>
        <v>0</v>
      </c>
      <c r="F67" s="59">
        <f t="shared" ref="F67:I67" ca="1" si="37">SUM(F64:F66)</f>
        <v>0</v>
      </c>
      <c r="G67" s="59">
        <f t="shared" ca="1" si="37"/>
        <v>0</v>
      </c>
      <c r="H67" s="59">
        <f t="shared" ca="1" si="37"/>
        <v>0</v>
      </c>
      <c r="I67" s="59">
        <f t="shared" ca="1" si="37"/>
        <v>0</v>
      </c>
      <c r="J67" s="172">
        <f>$D$67</f>
        <v>0</v>
      </c>
      <c r="K67" s="59">
        <f ca="1">SUM(K64:K66)</f>
        <v>0</v>
      </c>
      <c r="L67" s="59">
        <f t="shared" ref="L67:BR67" ca="1" si="38">SUM(L64:L66)</f>
        <v>0</v>
      </c>
      <c r="M67" s="59">
        <f t="shared" ca="1" si="38"/>
        <v>0</v>
      </c>
      <c r="N67" s="59">
        <f t="shared" ca="1" si="38"/>
        <v>0</v>
      </c>
      <c r="O67" s="59">
        <f t="shared" ca="1" si="38"/>
        <v>0</v>
      </c>
      <c r="P67" s="59">
        <f t="shared" ca="1" si="38"/>
        <v>0</v>
      </c>
      <c r="Q67" s="59">
        <f t="shared" ca="1" si="38"/>
        <v>0</v>
      </c>
      <c r="R67" s="59">
        <f t="shared" ca="1" si="38"/>
        <v>0</v>
      </c>
      <c r="S67" s="59">
        <f t="shared" ca="1" si="38"/>
        <v>0</v>
      </c>
      <c r="T67" s="59">
        <f t="shared" ca="1" si="38"/>
        <v>0</v>
      </c>
      <c r="U67" s="59">
        <f t="shared" ca="1" si="38"/>
        <v>0</v>
      </c>
      <c r="V67" s="59">
        <f t="shared" ca="1" si="38"/>
        <v>0</v>
      </c>
      <c r="W67" s="59">
        <f t="shared" ca="1" si="38"/>
        <v>0</v>
      </c>
      <c r="X67" s="59">
        <f t="shared" ca="1" si="38"/>
        <v>0</v>
      </c>
      <c r="Y67" s="59">
        <f t="shared" ca="1" si="38"/>
        <v>0</v>
      </c>
      <c r="Z67" s="59">
        <f t="shared" ca="1" si="38"/>
        <v>0</v>
      </c>
      <c r="AA67" s="59">
        <f t="shared" ca="1" si="38"/>
        <v>0</v>
      </c>
      <c r="AB67" s="59">
        <f t="shared" ca="1" si="38"/>
        <v>0</v>
      </c>
      <c r="AC67" s="59">
        <f t="shared" ca="1" si="38"/>
        <v>0</v>
      </c>
      <c r="AD67" s="59">
        <f t="shared" ca="1" si="38"/>
        <v>0</v>
      </c>
      <c r="AE67" s="59">
        <f t="shared" ca="1" si="38"/>
        <v>0</v>
      </c>
      <c r="AF67" s="59">
        <f t="shared" ca="1" si="38"/>
        <v>0</v>
      </c>
      <c r="AG67" s="59">
        <f t="shared" ca="1" si="38"/>
        <v>0</v>
      </c>
      <c r="AH67" s="59">
        <f t="shared" ca="1" si="38"/>
        <v>0</v>
      </c>
      <c r="AI67" s="59">
        <f t="shared" ca="1" si="38"/>
        <v>0</v>
      </c>
      <c r="AJ67" s="59">
        <f t="shared" ca="1" si="38"/>
        <v>0</v>
      </c>
      <c r="AK67" s="59">
        <f t="shared" ca="1" si="38"/>
        <v>0</v>
      </c>
      <c r="AL67" s="59">
        <f t="shared" ca="1" si="38"/>
        <v>0</v>
      </c>
      <c r="AM67" s="59">
        <f t="shared" ca="1" si="38"/>
        <v>0</v>
      </c>
      <c r="AN67" s="59">
        <f t="shared" ca="1" si="38"/>
        <v>0</v>
      </c>
      <c r="AO67" s="59">
        <f t="shared" ca="1" si="38"/>
        <v>0</v>
      </c>
      <c r="AP67" s="59">
        <f t="shared" ca="1" si="38"/>
        <v>0</v>
      </c>
      <c r="AQ67" s="59">
        <f t="shared" ca="1" si="38"/>
        <v>0</v>
      </c>
      <c r="AR67" s="59">
        <f t="shared" ca="1" si="38"/>
        <v>0</v>
      </c>
      <c r="AS67" s="59">
        <f t="shared" ca="1" si="38"/>
        <v>0</v>
      </c>
      <c r="AT67" s="59">
        <f t="shared" ca="1" si="38"/>
        <v>0</v>
      </c>
      <c r="AU67" s="59">
        <f t="shared" ca="1" si="38"/>
        <v>0</v>
      </c>
      <c r="AV67" s="59">
        <f t="shared" ca="1" si="38"/>
        <v>0</v>
      </c>
      <c r="AW67" s="59">
        <f t="shared" ca="1" si="38"/>
        <v>0</v>
      </c>
      <c r="AX67" s="59">
        <f t="shared" ca="1" si="38"/>
        <v>0</v>
      </c>
      <c r="AY67" s="59">
        <f t="shared" ca="1" si="38"/>
        <v>0</v>
      </c>
      <c r="AZ67" s="59">
        <f t="shared" ca="1" si="38"/>
        <v>0</v>
      </c>
      <c r="BA67" s="59">
        <f t="shared" ca="1" si="38"/>
        <v>0</v>
      </c>
      <c r="BB67" s="59">
        <f t="shared" ca="1" si="38"/>
        <v>0</v>
      </c>
      <c r="BC67" s="59">
        <f t="shared" ca="1" si="38"/>
        <v>0</v>
      </c>
      <c r="BD67" s="59">
        <f t="shared" ca="1" si="38"/>
        <v>0</v>
      </c>
      <c r="BE67" s="59">
        <f t="shared" ca="1" si="38"/>
        <v>0</v>
      </c>
      <c r="BF67" s="59">
        <f t="shared" ca="1" si="38"/>
        <v>0</v>
      </c>
      <c r="BG67" s="59">
        <f t="shared" ca="1" si="38"/>
        <v>0</v>
      </c>
      <c r="BH67" s="59">
        <f t="shared" ca="1" si="38"/>
        <v>0</v>
      </c>
      <c r="BI67" s="59">
        <f t="shared" ca="1" si="38"/>
        <v>0</v>
      </c>
      <c r="BJ67" s="59">
        <f t="shared" ca="1" si="38"/>
        <v>0</v>
      </c>
      <c r="BK67" s="59">
        <f t="shared" ca="1" si="38"/>
        <v>0</v>
      </c>
      <c r="BL67" s="59">
        <f t="shared" ca="1" si="38"/>
        <v>0</v>
      </c>
      <c r="BM67" s="59">
        <f t="shared" ca="1" si="38"/>
        <v>0</v>
      </c>
      <c r="BN67" s="59">
        <f t="shared" ca="1" si="38"/>
        <v>0</v>
      </c>
      <c r="BO67" s="59">
        <f t="shared" ca="1" si="38"/>
        <v>0</v>
      </c>
      <c r="BP67" s="59">
        <f t="shared" ca="1" si="38"/>
        <v>0</v>
      </c>
      <c r="BQ67" s="59">
        <f t="shared" ca="1" si="38"/>
        <v>0</v>
      </c>
      <c r="BR67" s="59">
        <f t="shared" ca="1" si="38"/>
        <v>0</v>
      </c>
    </row>
    <row r="69" spans="2:70" x14ac:dyDescent="0.25">
      <c r="C69" s="139" t="s">
        <v>296</v>
      </c>
      <c r="K69" s="64">
        <f ca="1">(K67-K64)*-1</f>
        <v>0</v>
      </c>
      <c r="L69" s="64">
        <f t="shared" ref="L69:BR69" ca="1" si="39">(L67-L64)*-1</f>
        <v>0</v>
      </c>
      <c r="M69" s="64">
        <f t="shared" ca="1" si="39"/>
        <v>0</v>
      </c>
      <c r="N69" s="64">
        <f t="shared" ca="1" si="39"/>
        <v>0</v>
      </c>
      <c r="O69" s="64">
        <f t="shared" ca="1" si="39"/>
        <v>0</v>
      </c>
      <c r="P69" s="64">
        <f t="shared" ca="1" si="39"/>
        <v>0</v>
      </c>
      <c r="Q69" s="64">
        <f t="shared" ca="1" si="39"/>
        <v>0</v>
      </c>
      <c r="R69" s="64">
        <f t="shared" ca="1" si="39"/>
        <v>0</v>
      </c>
      <c r="S69" s="64">
        <f t="shared" ca="1" si="39"/>
        <v>0</v>
      </c>
      <c r="T69" s="64">
        <f t="shared" ca="1" si="39"/>
        <v>0</v>
      </c>
      <c r="U69" s="64">
        <f t="shared" ca="1" si="39"/>
        <v>0</v>
      </c>
      <c r="V69" s="64">
        <f t="shared" ca="1" si="39"/>
        <v>0</v>
      </c>
      <c r="W69" s="64">
        <f t="shared" ca="1" si="39"/>
        <v>0</v>
      </c>
      <c r="X69" s="64">
        <f t="shared" ca="1" si="39"/>
        <v>0</v>
      </c>
      <c r="Y69" s="64">
        <f t="shared" ca="1" si="39"/>
        <v>0</v>
      </c>
      <c r="Z69" s="64">
        <f t="shared" ca="1" si="39"/>
        <v>0</v>
      </c>
      <c r="AA69" s="64">
        <f t="shared" ca="1" si="39"/>
        <v>0</v>
      </c>
      <c r="AB69" s="64">
        <f t="shared" ca="1" si="39"/>
        <v>0</v>
      </c>
      <c r="AC69" s="64">
        <f t="shared" ca="1" si="39"/>
        <v>0</v>
      </c>
      <c r="AD69" s="64">
        <f t="shared" ca="1" si="39"/>
        <v>0</v>
      </c>
      <c r="AE69" s="64">
        <f t="shared" ca="1" si="39"/>
        <v>0</v>
      </c>
      <c r="AF69" s="64">
        <f t="shared" ca="1" si="39"/>
        <v>0</v>
      </c>
      <c r="AG69" s="64">
        <f t="shared" ca="1" si="39"/>
        <v>0</v>
      </c>
      <c r="AH69" s="64">
        <f t="shared" ca="1" si="39"/>
        <v>0</v>
      </c>
      <c r="AI69" s="64">
        <f t="shared" ca="1" si="39"/>
        <v>0</v>
      </c>
      <c r="AJ69" s="64">
        <f t="shared" ca="1" si="39"/>
        <v>0</v>
      </c>
      <c r="AK69" s="64">
        <f t="shared" ca="1" si="39"/>
        <v>0</v>
      </c>
      <c r="AL69" s="64">
        <f t="shared" ca="1" si="39"/>
        <v>0</v>
      </c>
      <c r="AM69" s="64">
        <f t="shared" ca="1" si="39"/>
        <v>0</v>
      </c>
      <c r="AN69" s="64">
        <f t="shared" ca="1" si="39"/>
        <v>0</v>
      </c>
      <c r="AO69" s="64">
        <f t="shared" ca="1" si="39"/>
        <v>0</v>
      </c>
      <c r="AP69" s="64">
        <f t="shared" ca="1" si="39"/>
        <v>0</v>
      </c>
      <c r="AQ69" s="64">
        <f t="shared" ca="1" si="39"/>
        <v>0</v>
      </c>
      <c r="AR69" s="64">
        <f t="shared" ca="1" si="39"/>
        <v>0</v>
      </c>
      <c r="AS69" s="64">
        <f t="shared" ca="1" si="39"/>
        <v>0</v>
      </c>
      <c r="AT69" s="64">
        <f t="shared" ca="1" si="39"/>
        <v>0</v>
      </c>
      <c r="AU69" s="64">
        <f t="shared" ca="1" si="39"/>
        <v>0</v>
      </c>
      <c r="AV69" s="64">
        <f t="shared" ca="1" si="39"/>
        <v>0</v>
      </c>
      <c r="AW69" s="64">
        <f t="shared" ca="1" si="39"/>
        <v>0</v>
      </c>
      <c r="AX69" s="64">
        <f t="shared" ca="1" si="39"/>
        <v>0</v>
      </c>
      <c r="AY69" s="64">
        <f t="shared" ca="1" si="39"/>
        <v>0</v>
      </c>
      <c r="AZ69" s="64">
        <f t="shared" ca="1" si="39"/>
        <v>0</v>
      </c>
      <c r="BA69" s="64">
        <f t="shared" ca="1" si="39"/>
        <v>0</v>
      </c>
      <c r="BB69" s="64">
        <f t="shared" ca="1" si="39"/>
        <v>0</v>
      </c>
      <c r="BC69" s="64">
        <f t="shared" ca="1" si="39"/>
        <v>0</v>
      </c>
      <c r="BD69" s="64">
        <f t="shared" ca="1" si="39"/>
        <v>0</v>
      </c>
      <c r="BE69" s="64">
        <f t="shared" ca="1" si="39"/>
        <v>0</v>
      </c>
      <c r="BF69" s="64">
        <f t="shared" ca="1" si="39"/>
        <v>0</v>
      </c>
      <c r="BG69" s="64">
        <f t="shared" ca="1" si="39"/>
        <v>0</v>
      </c>
      <c r="BH69" s="64">
        <f t="shared" ca="1" si="39"/>
        <v>0</v>
      </c>
      <c r="BI69" s="64">
        <f t="shared" ca="1" si="39"/>
        <v>0</v>
      </c>
      <c r="BJ69" s="64">
        <f t="shared" ca="1" si="39"/>
        <v>0</v>
      </c>
      <c r="BK69" s="64">
        <f t="shared" ca="1" si="39"/>
        <v>0</v>
      </c>
      <c r="BL69" s="64">
        <f t="shared" ca="1" si="39"/>
        <v>0</v>
      </c>
      <c r="BM69" s="64">
        <f t="shared" ca="1" si="39"/>
        <v>0</v>
      </c>
      <c r="BN69" s="64">
        <f t="shared" ca="1" si="39"/>
        <v>0</v>
      </c>
      <c r="BO69" s="64">
        <f t="shared" ca="1" si="39"/>
        <v>0</v>
      </c>
      <c r="BP69" s="64">
        <f t="shared" ca="1" si="39"/>
        <v>0</v>
      </c>
      <c r="BQ69" s="64">
        <f t="shared" ca="1" si="39"/>
        <v>0</v>
      </c>
      <c r="BR69" s="64">
        <f t="shared" ca="1" si="39"/>
        <v>0</v>
      </c>
    </row>
    <row r="71" spans="2:70" s="169" customFormat="1" ht="13.8" x14ac:dyDescent="0.25">
      <c r="B71" s="169" t="str">
        <f>Header2</f>
        <v>2.3</v>
      </c>
      <c r="C71" s="169" t="str">
        <f>KeyInputs!F31</f>
        <v>Insert Business Line3</v>
      </c>
    </row>
    <row r="72" spans="2:70" x14ac:dyDescent="0.25">
      <c r="C72" s="68"/>
    </row>
    <row r="73" spans="2:70" x14ac:dyDescent="0.25">
      <c r="C73" s="204" t="s">
        <v>149</v>
      </c>
      <c r="D73" s="205">
        <f>KeyInputs!F54</f>
        <v>0</v>
      </c>
    </row>
    <row r="75" spans="2:70" x14ac:dyDescent="0.25">
      <c r="C75" s="139" t="s">
        <v>207</v>
      </c>
      <c r="D75" s="193" t="str">
        <f>unit</f>
        <v>£</v>
      </c>
      <c r="E75" s="63">
        <f>D78</f>
        <v>0</v>
      </c>
      <c r="F75" s="63">
        <f t="shared" ref="F75:I75" ca="1" si="40">E78</f>
        <v>0</v>
      </c>
      <c r="G75" s="63">
        <f t="shared" ca="1" si="40"/>
        <v>0</v>
      </c>
      <c r="H75" s="63">
        <f t="shared" ca="1" si="40"/>
        <v>0</v>
      </c>
      <c r="I75" s="63">
        <f t="shared" ca="1" si="40"/>
        <v>0</v>
      </c>
      <c r="K75" s="64">
        <f>J78</f>
        <v>0</v>
      </c>
      <c r="L75" s="64">
        <f t="shared" ref="L75:BR75" ca="1" si="41">K78</f>
        <v>0</v>
      </c>
      <c r="M75" s="64">
        <f t="shared" ca="1" si="41"/>
        <v>0</v>
      </c>
      <c r="N75" s="64">
        <f t="shared" ca="1" si="41"/>
        <v>0</v>
      </c>
      <c r="O75" s="64">
        <f t="shared" ca="1" si="41"/>
        <v>0</v>
      </c>
      <c r="P75" s="64">
        <f t="shared" ca="1" si="41"/>
        <v>0</v>
      </c>
      <c r="Q75" s="64">
        <f t="shared" ca="1" si="41"/>
        <v>0</v>
      </c>
      <c r="R75" s="64">
        <f t="shared" ca="1" si="41"/>
        <v>0</v>
      </c>
      <c r="S75" s="64">
        <f t="shared" ca="1" si="41"/>
        <v>0</v>
      </c>
      <c r="T75" s="64">
        <f t="shared" ca="1" si="41"/>
        <v>0</v>
      </c>
      <c r="U75" s="64">
        <f t="shared" ca="1" si="41"/>
        <v>0</v>
      </c>
      <c r="V75" s="64">
        <f t="shared" ca="1" si="41"/>
        <v>0</v>
      </c>
      <c r="W75" s="64">
        <f t="shared" ca="1" si="41"/>
        <v>0</v>
      </c>
      <c r="X75" s="64">
        <f t="shared" ca="1" si="41"/>
        <v>0</v>
      </c>
      <c r="Y75" s="64">
        <f t="shared" ca="1" si="41"/>
        <v>0</v>
      </c>
      <c r="Z75" s="64">
        <f t="shared" ca="1" si="41"/>
        <v>0</v>
      </c>
      <c r="AA75" s="64">
        <f t="shared" ca="1" si="41"/>
        <v>0</v>
      </c>
      <c r="AB75" s="64">
        <f t="shared" ca="1" si="41"/>
        <v>0</v>
      </c>
      <c r="AC75" s="64">
        <f t="shared" ca="1" si="41"/>
        <v>0</v>
      </c>
      <c r="AD75" s="64">
        <f t="shared" ca="1" si="41"/>
        <v>0</v>
      </c>
      <c r="AE75" s="64">
        <f t="shared" ca="1" si="41"/>
        <v>0</v>
      </c>
      <c r="AF75" s="64">
        <f t="shared" ca="1" si="41"/>
        <v>0</v>
      </c>
      <c r="AG75" s="64">
        <f t="shared" ca="1" si="41"/>
        <v>0</v>
      </c>
      <c r="AH75" s="64">
        <f t="shared" ca="1" si="41"/>
        <v>0</v>
      </c>
      <c r="AI75" s="64">
        <f t="shared" ca="1" si="41"/>
        <v>0</v>
      </c>
      <c r="AJ75" s="64">
        <f t="shared" ca="1" si="41"/>
        <v>0</v>
      </c>
      <c r="AK75" s="64">
        <f t="shared" ca="1" si="41"/>
        <v>0</v>
      </c>
      <c r="AL75" s="64">
        <f t="shared" ca="1" si="41"/>
        <v>0</v>
      </c>
      <c r="AM75" s="64">
        <f t="shared" ca="1" si="41"/>
        <v>0</v>
      </c>
      <c r="AN75" s="64">
        <f t="shared" ca="1" si="41"/>
        <v>0</v>
      </c>
      <c r="AO75" s="64">
        <f t="shared" ca="1" si="41"/>
        <v>0</v>
      </c>
      <c r="AP75" s="64">
        <f t="shared" ca="1" si="41"/>
        <v>0</v>
      </c>
      <c r="AQ75" s="64">
        <f t="shared" ca="1" si="41"/>
        <v>0</v>
      </c>
      <c r="AR75" s="64">
        <f t="shared" ca="1" si="41"/>
        <v>0</v>
      </c>
      <c r="AS75" s="64">
        <f t="shared" ca="1" si="41"/>
        <v>0</v>
      </c>
      <c r="AT75" s="64">
        <f t="shared" ca="1" si="41"/>
        <v>0</v>
      </c>
      <c r="AU75" s="64">
        <f t="shared" ca="1" si="41"/>
        <v>0</v>
      </c>
      <c r="AV75" s="64">
        <f t="shared" ca="1" si="41"/>
        <v>0</v>
      </c>
      <c r="AW75" s="64">
        <f t="shared" ca="1" si="41"/>
        <v>0</v>
      </c>
      <c r="AX75" s="64">
        <f t="shared" ca="1" si="41"/>
        <v>0</v>
      </c>
      <c r="AY75" s="64">
        <f t="shared" ca="1" si="41"/>
        <v>0</v>
      </c>
      <c r="AZ75" s="64">
        <f t="shared" ca="1" si="41"/>
        <v>0</v>
      </c>
      <c r="BA75" s="64">
        <f t="shared" ca="1" si="41"/>
        <v>0</v>
      </c>
      <c r="BB75" s="64">
        <f t="shared" ca="1" si="41"/>
        <v>0</v>
      </c>
      <c r="BC75" s="64">
        <f t="shared" ca="1" si="41"/>
        <v>0</v>
      </c>
      <c r="BD75" s="64">
        <f t="shared" ca="1" si="41"/>
        <v>0</v>
      </c>
      <c r="BE75" s="64">
        <f t="shared" ca="1" si="41"/>
        <v>0</v>
      </c>
      <c r="BF75" s="64">
        <f t="shared" ca="1" si="41"/>
        <v>0</v>
      </c>
      <c r="BG75" s="64">
        <f t="shared" ca="1" si="41"/>
        <v>0</v>
      </c>
      <c r="BH75" s="64">
        <f t="shared" ca="1" si="41"/>
        <v>0</v>
      </c>
      <c r="BI75" s="64">
        <f t="shared" ca="1" si="41"/>
        <v>0</v>
      </c>
      <c r="BJ75" s="64">
        <f t="shared" ca="1" si="41"/>
        <v>0</v>
      </c>
      <c r="BK75" s="64">
        <f t="shared" ca="1" si="41"/>
        <v>0</v>
      </c>
      <c r="BL75" s="64">
        <f t="shared" ca="1" si="41"/>
        <v>0</v>
      </c>
      <c r="BM75" s="64">
        <f t="shared" ca="1" si="41"/>
        <v>0</v>
      </c>
      <c r="BN75" s="64">
        <f t="shared" ca="1" si="41"/>
        <v>0</v>
      </c>
      <c r="BO75" s="64">
        <f t="shared" ca="1" si="41"/>
        <v>0</v>
      </c>
      <c r="BP75" s="64">
        <f t="shared" ca="1" si="41"/>
        <v>0</v>
      </c>
      <c r="BQ75" s="64">
        <f t="shared" ca="1" si="41"/>
        <v>0</v>
      </c>
      <c r="BR75" s="64">
        <f t="shared" ca="1" si="41"/>
        <v>0</v>
      </c>
    </row>
    <row r="76" spans="2:70" x14ac:dyDescent="0.25">
      <c r="C76" s="170" t="s">
        <v>210</v>
      </c>
      <c r="D76" s="193" t="str">
        <f>unit</f>
        <v>£</v>
      </c>
      <c r="E76" s="63">
        <f>SUMIF($K$5:$BR$5,E$5,$K76:$BR76)</f>
        <v>0</v>
      </c>
      <c r="F76" s="63">
        <f t="shared" ref="F76:I77" si="42">SUMIF($K$5:$BR$5,F$5,$K76:$BR76)</f>
        <v>0</v>
      </c>
      <c r="G76" s="63">
        <f t="shared" si="42"/>
        <v>0</v>
      </c>
      <c r="H76" s="63">
        <f t="shared" si="42"/>
        <v>0</v>
      </c>
      <c r="I76" s="63">
        <f t="shared" si="42"/>
        <v>0</v>
      </c>
      <c r="K76" s="64">
        <f>VariableCosts!K92-(VariableCosts!K79*Revenue!K45)-(VariableCosts!K84*Revenue!K46)-(VariableCosts!K89*Revenue!K47)</f>
        <v>0</v>
      </c>
      <c r="L76" s="64">
        <f>VariableCosts!L92-(VariableCosts!L79*Revenue!L45)-(VariableCosts!L84*Revenue!L46)-(VariableCosts!L89*Revenue!L47)</f>
        <v>0</v>
      </c>
      <c r="M76" s="64">
        <f>VariableCosts!M92-(VariableCosts!M79*Revenue!M45)-(VariableCosts!M84*Revenue!M46)-(VariableCosts!M89*Revenue!M47)</f>
        <v>0</v>
      </c>
      <c r="N76" s="64">
        <f>VariableCosts!N92-(VariableCosts!N79*Revenue!N45)-(VariableCosts!N84*Revenue!N46)-(VariableCosts!N89*Revenue!N47)</f>
        <v>0</v>
      </c>
      <c r="O76" s="64">
        <f>VariableCosts!O92-(VariableCosts!O79*Revenue!O45)-(VariableCosts!O84*Revenue!O46)-(VariableCosts!O89*Revenue!O47)</f>
        <v>0</v>
      </c>
      <c r="P76" s="64">
        <f>VariableCosts!P92-(VariableCosts!P79*Revenue!P45)-(VariableCosts!P84*Revenue!P46)-(VariableCosts!P89*Revenue!P47)</f>
        <v>0</v>
      </c>
      <c r="Q76" s="64">
        <f>VariableCosts!Q92-(VariableCosts!Q79*Revenue!Q45)-(VariableCosts!Q84*Revenue!Q46)-(VariableCosts!Q89*Revenue!Q47)</f>
        <v>0</v>
      </c>
      <c r="R76" s="64">
        <f>VariableCosts!R92-(VariableCosts!R79*Revenue!R45)-(VariableCosts!R84*Revenue!R46)-(VariableCosts!R89*Revenue!R47)</f>
        <v>0</v>
      </c>
      <c r="S76" s="64">
        <f>VariableCosts!S92-(VariableCosts!S79*Revenue!S45)-(VariableCosts!S84*Revenue!S46)-(VariableCosts!S89*Revenue!S47)</f>
        <v>0</v>
      </c>
      <c r="T76" s="64">
        <f>VariableCosts!T92-(VariableCosts!T79*Revenue!T45)-(VariableCosts!T84*Revenue!T46)-(VariableCosts!T89*Revenue!T47)</f>
        <v>0</v>
      </c>
      <c r="U76" s="64">
        <f>VariableCosts!U92-(VariableCosts!U79*Revenue!U45)-(VariableCosts!U84*Revenue!U46)-(VariableCosts!U89*Revenue!U47)</f>
        <v>0</v>
      </c>
      <c r="V76" s="64">
        <f>VariableCosts!V92-(VariableCosts!V79*Revenue!V45)-(VariableCosts!V84*Revenue!V46)-(VariableCosts!V89*Revenue!V47)</f>
        <v>0</v>
      </c>
      <c r="W76" s="64">
        <f>VariableCosts!W92-(VariableCosts!W79*Revenue!W45)-(VariableCosts!W84*Revenue!W46)-(VariableCosts!W89*Revenue!W47)</f>
        <v>0</v>
      </c>
      <c r="X76" s="64">
        <f>VariableCosts!X92-(VariableCosts!X79*Revenue!X45)-(VariableCosts!X84*Revenue!X46)-(VariableCosts!X89*Revenue!X47)</f>
        <v>0</v>
      </c>
      <c r="Y76" s="64">
        <f>VariableCosts!Y92-(VariableCosts!Y79*Revenue!Y45)-(VariableCosts!Y84*Revenue!Y46)-(VariableCosts!Y89*Revenue!Y47)</f>
        <v>0</v>
      </c>
      <c r="Z76" s="64">
        <f>VariableCosts!Z92-(VariableCosts!Z79*Revenue!Z45)-(VariableCosts!Z84*Revenue!Z46)-(VariableCosts!Z89*Revenue!Z47)</f>
        <v>0</v>
      </c>
      <c r="AA76" s="64">
        <f>VariableCosts!AA92-(VariableCosts!AA79*Revenue!AA45)-(VariableCosts!AA84*Revenue!AA46)-(VariableCosts!AA89*Revenue!AA47)</f>
        <v>0</v>
      </c>
      <c r="AB76" s="64">
        <f>VariableCosts!AB92-(VariableCosts!AB79*Revenue!AB45)-(VariableCosts!AB84*Revenue!AB46)-(VariableCosts!AB89*Revenue!AB47)</f>
        <v>0</v>
      </c>
      <c r="AC76" s="64">
        <f>VariableCosts!AC92-(VariableCosts!AC79*Revenue!AC45)-(VariableCosts!AC84*Revenue!AC46)-(VariableCosts!AC89*Revenue!AC47)</f>
        <v>0</v>
      </c>
      <c r="AD76" s="64">
        <f>VariableCosts!AD92-(VariableCosts!AD79*Revenue!AD45)-(VariableCosts!AD84*Revenue!AD46)-(VariableCosts!AD89*Revenue!AD47)</f>
        <v>0</v>
      </c>
      <c r="AE76" s="64">
        <f>VariableCosts!AE92-(VariableCosts!AE79*Revenue!AE45)-(VariableCosts!AE84*Revenue!AE46)-(VariableCosts!AE89*Revenue!AE47)</f>
        <v>0</v>
      </c>
      <c r="AF76" s="64">
        <f>VariableCosts!AF92-(VariableCosts!AF79*Revenue!AF45)-(VariableCosts!AF84*Revenue!AF46)-(VariableCosts!AF89*Revenue!AF47)</f>
        <v>0</v>
      </c>
      <c r="AG76" s="64">
        <f>VariableCosts!AG92-(VariableCosts!AG79*Revenue!AG45)-(VariableCosts!AG84*Revenue!AG46)-(VariableCosts!AG89*Revenue!AG47)</f>
        <v>0</v>
      </c>
      <c r="AH76" s="64">
        <f>VariableCosts!AH92-(VariableCosts!AH79*Revenue!AH45)-(VariableCosts!AH84*Revenue!AH46)-(VariableCosts!AH89*Revenue!AH47)</f>
        <v>0</v>
      </c>
      <c r="AI76" s="64">
        <f>VariableCosts!AI92-(VariableCosts!AI79*Revenue!AI45)-(VariableCosts!AI84*Revenue!AI46)-(VariableCosts!AI89*Revenue!AI47)</f>
        <v>0</v>
      </c>
      <c r="AJ76" s="64">
        <f>VariableCosts!AJ92-(VariableCosts!AJ79*Revenue!AJ45)-(VariableCosts!AJ84*Revenue!AJ46)-(VariableCosts!AJ89*Revenue!AJ47)</f>
        <v>0</v>
      </c>
      <c r="AK76" s="64">
        <f>VariableCosts!AK92-(VariableCosts!AK79*Revenue!AK45)-(VariableCosts!AK84*Revenue!AK46)-(VariableCosts!AK89*Revenue!AK47)</f>
        <v>0</v>
      </c>
      <c r="AL76" s="64">
        <f>VariableCosts!AL92-(VariableCosts!AL79*Revenue!AL45)-(VariableCosts!AL84*Revenue!AL46)-(VariableCosts!AL89*Revenue!AL47)</f>
        <v>0</v>
      </c>
      <c r="AM76" s="64">
        <f>VariableCosts!AM92-(VariableCosts!AM79*Revenue!AM45)-(VariableCosts!AM84*Revenue!AM46)-(VariableCosts!AM89*Revenue!AM47)</f>
        <v>0</v>
      </c>
      <c r="AN76" s="64">
        <f>VariableCosts!AN92-(VariableCosts!AN79*Revenue!AN45)-(VariableCosts!AN84*Revenue!AN46)-(VariableCosts!AN89*Revenue!AN47)</f>
        <v>0</v>
      </c>
      <c r="AO76" s="64">
        <f>VariableCosts!AO92-(VariableCosts!AO79*Revenue!AO45)-(VariableCosts!AO84*Revenue!AO46)-(VariableCosts!AO89*Revenue!AO47)</f>
        <v>0</v>
      </c>
      <c r="AP76" s="64">
        <f>VariableCosts!AP92-(VariableCosts!AP79*Revenue!AP45)-(VariableCosts!AP84*Revenue!AP46)-(VariableCosts!AP89*Revenue!AP47)</f>
        <v>0</v>
      </c>
      <c r="AQ76" s="64">
        <f>VariableCosts!AQ92-(VariableCosts!AQ79*Revenue!AQ45)-(VariableCosts!AQ84*Revenue!AQ46)-(VariableCosts!AQ89*Revenue!AQ47)</f>
        <v>0</v>
      </c>
      <c r="AR76" s="64">
        <f>VariableCosts!AR92-(VariableCosts!AR79*Revenue!AR45)-(VariableCosts!AR84*Revenue!AR46)-(VariableCosts!AR89*Revenue!AR47)</f>
        <v>0</v>
      </c>
      <c r="AS76" s="64">
        <f>VariableCosts!AS92-(VariableCosts!AS79*Revenue!AS45)-(VariableCosts!AS84*Revenue!AS46)-(VariableCosts!AS89*Revenue!AS47)</f>
        <v>0</v>
      </c>
      <c r="AT76" s="64">
        <f>VariableCosts!AT92-(VariableCosts!AT79*Revenue!AT45)-(VariableCosts!AT84*Revenue!AT46)-(VariableCosts!AT89*Revenue!AT47)</f>
        <v>0</v>
      </c>
      <c r="AU76" s="64">
        <f>VariableCosts!AU92-(VariableCosts!AU79*Revenue!AU45)-(VariableCosts!AU84*Revenue!AU46)-(VariableCosts!AU89*Revenue!AU47)</f>
        <v>0</v>
      </c>
      <c r="AV76" s="64">
        <f>VariableCosts!AV92-(VariableCosts!AV79*Revenue!AV45)-(VariableCosts!AV84*Revenue!AV46)-(VariableCosts!AV89*Revenue!AV47)</f>
        <v>0</v>
      </c>
      <c r="AW76" s="64">
        <f>VariableCosts!AW92-(VariableCosts!AW79*Revenue!AW45)-(VariableCosts!AW84*Revenue!AW46)-(VariableCosts!AW89*Revenue!AW47)</f>
        <v>0</v>
      </c>
      <c r="AX76" s="64">
        <f>VariableCosts!AX92-(VariableCosts!AX79*Revenue!AX45)-(VariableCosts!AX84*Revenue!AX46)-(VariableCosts!AX89*Revenue!AX47)</f>
        <v>0</v>
      </c>
      <c r="AY76" s="64">
        <f>VariableCosts!AY92-(VariableCosts!AY79*Revenue!AY45)-(VariableCosts!AY84*Revenue!AY46)-(VariableCosts!AY89*Revenue!AY47)</f>
        <v>0</v>
      </c>
      <c r="AZ76" s="64">
        <f>VariableCosts!AZ92-(VariableCosts!AZ79*Revenue!AZ45)-(VariableCosts!AZ84*Revenue!AZ46)-(VariableCosts!AZ89*Revenue!AZ47)</f>
        <v>0</v>
      </c>
      <c r="BA76" s="64">
        <f>VariableCosts!BA92-(VariableCosts!BA79*Revenue!BA45)-(VariableCosts!BA84*Revenue!BA46)-(VariableCosts!BA89*Revenue!BA47)</f>
        <v>0</v>
      </c>
      <c r="BB76" s="64">
        <f>VariableCosts!BB92-(VariableCosts!BB79*Revenue!BB45)-(VariableCosts!BB84*Revenue!BB46)-(VariableCosts!BB89*Revenue!BB47)</f>
        <v>0</v>
      </c>
      <c r="BC76" s="64">
        <f>VariableCosts!BC92-(VariableCosts!BC79*Revenue!BC45)-(VariableCosts!BC84*Revenue!BC46)-(VariableCosts!BC89*Revenue!BC47)</f>
        <v>0</v>
      </c>
      <c r="BD76" s="64">
        <f>VariableCosts!BD92-(VariableCosts!BD79*Revenue!BD45)-(VariableCosts!BD84*Revenue!BD46)-(VariableCosts!BD89*Revenue!BD47)</f>
        <v>0</v>
      </c>
      <c r="BE76" s="64">
        <f>VariableCosts!BE92-(VariableCosts!BE79*Revenue!BE45)-(VariableCosts!BE84*Revenue!BE46)-(VariableCosts!BE89*Revenue!BE47)</f>
        <v>0</v>
      </c>
      <c r="BF76" s="64">
        <f>VariableCosts!BF92-(VariableCosts!BF79*Revenue!BF45)-(VariableCosts!BF84*Revenue!BF46)-(VariableCosts!BF89*Revenue!BF47)</f>
        <v>0</v>
      </c>
      <c r="BG76" s="64">
        <f>VariableCosts!BG92-(VariableCosts!BG79*Revenue!BG45)-(VariableCosts!BG84*Revenue!BG46)-(VariableCosts!BG89*Revenue!BG47)</f>
        <v>0</v>
      </c>
      <c r="BH76" s="64">
        <f>VariableCosts!BH92-(VariableCosts!BH79*Revenue!BH45)-(VariableCosts!BH84*Revenue!BH46)-(VariableCosts!BH89*Revenue!BH47)</f>
        <v>0</v>
      </c>
      <c r="BI76" s="64">
        <f>VariableCosts!BI92-(VariableCosts!BI79*Revenue!BI45)-(VariableCosts!BI84*Revenue!BI46)-(VariableCosts!BI89*Revenue!BI47)</f>
        <v>0</v>
      </c>
      <c r="BJ76" s="64">
        <f>VariableCosts!BJ92-(VariableCosts!BJ79*Revenue!BJ45)-(VariableCosts!BJ84*Revenue!BJ46)-(VariableCosts!BJ89*Revenue!BJ47)</f>
        <v>0</v>
      </c>
      <c r="BK76" s="64">
        <f>VariableCosts!BK92-(VariableCosts!BK79*Revenue!BK45)-(VariableCosts!BK84*Revenue!BK46)-(VariableCosts!BK89*Revenue!BK47)</f>
        <v>0</v>
      </c>
      <c r="BL76" s="64">
        <f>VariableCosts!BL92-(VariableCosts!BL79*Revenue!BL45)-(VariableCosts!BL84*Revenue!BL46)-(VariableCosts!BL89*Revenue!BL47)</f>
        <v>0</v>
      </c>
      <c r="BM76" s="64">
        <f>VariableCosts!BM92-(VariableCosts!BM79*Revenue!BM45)-(VariableCosts!BM84*Revenue!BM46)-(VariableCosts!BM89*Revenue!BM47)</f>
        <v>0</v>
      </c>
      <c r="BN76" s="64">
        <f>VariableCosts!BN92-(VariableCosts!BN79*Revenue!BN45)-(VariableCosts!BN84*Revenue!BN46)-(VariableCosts!BN89*Revenue!BN47)</f>
        <v>0</v>
      </c>
      <c r="BO76" s="64">
        <f>VariableCosts!BO92-(VariableCosts!BO79*Revenue!BO45)-(VariableCosts!BO84*Revenue!BO46)-(VariableCosts!BO89*Revenue!BO47)</f>
        <v>0</v>
      </c>
      <c r="BP76" s="64">
        <f>VariableCosts!BP92-(VariableCosts!BP79*Revenue!BP45)-(VariableCosts!BP84*Revenue!BP46)-(VariableCosts!BP89*Revenue!BP47)</f>
        <v>0</v>
      </c>
      <c r="BQ76" s="64">
        <f>VariableCosts!BQ92-(VariableCosts!BQ79*Revenue!BQ45)-(VariableCosts!BQ84*Revenue!BQ46)-(VariableCosts!BQ89*Revenue!BQ47)</f>
        <v>0</v>
      </c>
      <c r="BR76" s="64">
        <f>VariableCosts!BR92-(VariableCosts!BR79*Revenue!BR45)-(VariableCosts!BR84*Revenue!BR46)-(VariableCosts!BR89*Revenue!BR47)</f>
        <v>0</v>
      </c>
    </row>
    <row r="77" spans="2:70" x14ac:dyDescent="0.25">
      <c r="C77" s="170" t="s">
        <v>211</v>
      </c>
      <c r="D77" s="193" t="str">
        <f>unit</f>
        <v>£</v>
      </c>
      <c r="E77" s="63">
        <f ca="1">SUMIF($K$5:$BR$5,E$5,$K77:$BR77)</f>
        <v>0</v>
      </c>
      <c r="F77" s="63">
        <f t="shared" ca="1" si="42"/>
        <v>0</v>
      </c>
      <c r="G77" s="63">
        <f t="shared" ca="1" si="42"/>
        <v>0</v>
      </c>
      <c r="H77" s="63">
        <f t="shared" ca="1" si="42"/>
        <v>0</v>
      </c>
      <c r="I77" s="63">
        <f t="shared" ca="1" si="42"/>
        <v>0</v>
      </c>
      <c r="K77" s="64">
        <f t="shared" ref="K77:AP77" ca="1" si="43">IF(K6&gt;$D$73,OFFSET(K$76,0,-$D$73)*-1,0)</f>
        <v>0</v>
      </c>
      <c r="L77" s="64">
        <f t="shared" ca="1" si="43"/>
        <v>0</v>
      </c>
      <c r="M77" s="64">
        <f t="shared" ca="1" si="43"/>
        <v>0</v>
      </c>
      <c r="N77" s="64">
        <f t="shared" ca="1" si="43"/>
        <v>0</v>
      </c>
      <c r="O77" s="64">
        <f t="shared" ca="1" si="43"/>
        <v>0</v>
      </c>
      <c r="P77" s="64">
        <f t="shared" ca="1" si="43"/>
        <v>0</v>
      </c>
      <c r="Q77" s="64">
        <f t="shared" ca="1" si="43"/>
        <v>0</v>
      </c>
      <c r="R77" s="64">
        <f t="shared" ca="1" si="43"/>
        <v>0</v>
      </c>
      <c r="S77" s="64">
        <f t="shared" ca="1" si="43"/>
        <v>0</v>
      </c>
      <c r="T77" s="64">
        <f t="shared" ca="1" si="43"/>
        <v>0</v>
      </c>
      <c r="U77" s="64">
        <f t="shared" ca="1" si="43"/>
        <v>0</v>
      </c>
      <c r="V77" s="64">
        <f t="shared" ca="1" si="43"/>
        <v>0</v>
      </c>
      <c r="W77" s="64">
        <f t="shared" ca="1" si="43"/>
        <v>0</v>
      </c>
      <c r="X77" s="64">
        <f t="shared" ca="1" si="43"/>
        <v>0</v>
      </c>
      <c r="Y77" s="64">
        <f t="shared" ca="1" si="43"/>
        <v>0</v>
      </c>
      <c r="Z77" s="64">
        <f t="shared" ca="1" si="43"/>
        <v>0</v>
      </c>
      <c r="AA77" s="64">
        <f t="shared" ca="1" si="43"/>
        <v>0</v>
      </c>
      <c r="AB77" s="64">
        <f t="shared" ca="1" si="43"/>
        <v>0</v>
      </c>
      <c r="AC77" s="64">
        <f t="shared" ca="1" si="43"/>
        <v>0</v>
      </c>
      <c r="AD77" s="64">
        <f t="shared" ca="1" si="43"/>
        <v>0</v>
      </c>
      <c r="AE77" s="64">
        <f t="shared" ca="1" si="43"/>
        <v>0</v>
      </c>
      <c r="AF77" s="64">
        <f t="shared" ca="1" si="43"/>
        <v>0</v>
      </c>
      <c r="AG77" s="64">
        <f t="shared" ca="1" si="43"/>
        <v>0</v>
      </c>
      <c r="AH77" s="64">
        <f t="shared" ca="1" si="43"/>
        <v>0</v>
      </c>
      <c r="AI77" s="64">
        <f t="shared" ca="1" si="43"/>
        <v>0</v>
      </c>
      <c r="AJ77" s="64">
        <f t="shared" ca="1" si="43"/>
        <v>0</v>
      </c>
      <c r="AK77" s="64">
        <f t="shared" ca="1" si="43"/>
        <v>0</v>
      </c>
      <c r="AL77" s="64">
        <f t="shared" ca="1" si="43"/>
        <v>0</v>
      </c>
      <c r="AM77" s="64">
        <f t="shared" ca="1" si="43"/>
        <v>0</v>
      </c>
      <c r="AN77" s="64">
        <f t="shared" ca="1" si="43"/>
        <v>0</v>
      </c>
      <c r="AO77" s="64">
        <f t="shared" ca="1" si="43"/>
        <v>0</v>
      </c>
      <c r="AP77" s="64">
        <f t="shared" ca="1" si="43"/>
        <v>0</v>
      </c>
      <c r="AQ77" s="64">
        <f t="shared" ref="AQ77:BR77" ca="1" si="44">IF(AQ6&gt;$D$73,OFFSET(AQ$76,0,-$D$73)*-1,0)</f>
        <v>0</v>
      </c>
      <c r="AR77" s="64">
        <f t="shared" ca="1" si="44"/>
        <v>0</v>
      </c>
      <c r="AS77" s="64">
        <f t="shared" ca="1" si="44"/>
        <v>0</v>
      </c>
      <c r="AT77" s="64">
        <f t="shared" ca="1" si="44"/>
        <v>0</v>
      </c>
      <c r="AU77" s="64">
        <f t="shared" ca="1" si="44"/>
        <v>0</v>
      </c>
      <c r="AV77" s="64">
        <f t="shared" ca="1" si="44"/>
        <v>0</v>
      </c>
      <c r="AW77" s="64">
        <f t="shared" ca="1" si="44"/>
        <v>0</v>
      </c>
      <c r="AX77" s="64">
        <f t="shared" ca="1" si="44"/>
        <v>0</v>
      </c>
      <c r="AY77" s="64">
        <f t="shared" ca="1" si="44"/>
        <v>0</v>
      </c>
      <c r="AZ77" s="64">
        <f t="shared" ca="1" si="44"/>
        <v>0</v>
      </c>
      <c r="BA77" s="64">
        <f t="shared" ca="1" si="44"/>
        <v>0</v>
      </c>
      <c r="BB77" s="64">
        <f t="shared" ca="1" si="44"/>
        <v>0</v>
      </c>
      <c r="BC77" s="64">
        <f t="shared" ca="1" si="44"/>
        <v>0</v>
      </c>
      <c r="BD77" s="64">
        <f t="shared" ca="1" si="44"/>
        <v>0</v>
      </c>
      <c r="BE77" s="64">
        <f t="shared" ca="1" si="44"/>
        <v>0</v>
      </c>
      <c r="BF77" s="64">
        <f t="shared" ca="1" si="44"/>
        <v>0</v>
      </c>
      <c r="BG77" s="64">
        <f t="shared" ca="1" si="44"/>
        <v>0</v>
      </c>
      <c r="BH77" s="64">
        <f t="shared" ca="1" si="44"/>
        <v>0</v>
      </c>
      <c r="BI77" s="64">
        <f t="shared" ca="1" si="44"/>
        <v>0</v>
      </c>
      <c r="BJ77" s="64">
        <f t="shared" ca="1" si="44"/>
        <v>0</v>
      </c>
      <c r="BK77" s="64">
        <f t="shared" ca="1" si="44"/>
        <v>0</v>
      </c>
      <c r="BL77" s="64">
        <f t="shared" ca="1" si="44"/>
        <v>0</v>
      </c>
      <c r="BM77" s="64">
        <f t="shared" ca="1" si="44"/>
        <v>0</v>
      </c>
      <c r="BN77" s="64">
        <f t="shared" ca="1" si="44"/>
        <v>0</v>
      </c>
      <c r="BO77" s="64">
        <f t="shared" ca="1" si="44"/>
        <v>0</v>
      </c>
      <c r="BP77" s="64">
        <f t="shared" ca="1" si="44"/>
        <v>0</v>
      </c>
      <c r="BQ77" s="64">
        <f t="shared" ca="1" si="44"/>
        <v>0</v>
      </c>
      <c r="BR77" s="64">
        <f t="shared" ca="1" si="44"/>
        <v>0</v>
      </c>
    </row>
    <row r="78" spans="2:70" x14ac:dyDescent="0.25">
      <c r="C78" s="170" t="s">
        <v>208</v>
      </c>
      <c r="D78" s="259">
        <f>KeyInputs!G126</f>
        <v>0</v>
      </c>
      <c r="E78" s="59">
        <f ca="1">SUM(E75:E77)</f>
        <v>0</v>
      </c>
      <c r="F78" s="59">
        <f t="shared" ref="F78:I78" ca="1" si="45">SUM(F75:F77)</f>
        <v>0</v>
      </c>
      <c r="G78" s="59">
        <f t="shared" ca="1" si="45"/>
        <v>0</v>
      </c>
      <c r="H78" s="59">
        <f t="shared" ca="1" si="45"/>
        <v>0</v>
      </c>
      <c r="I78" s="59">
        <f t="shared" ca="1" si="45"/>
        <v>0</v>
      </c>
      <c r="J78" s="172">
        <f>$D$78</f>
        <v>0</v>
      </c>
      <c r="K78" s="59">
        <f ca="1">SUM(K75:K77)</f>
        <v>0</v>
      </c>
      <c r="L78" s="59">
        <f t="shared" ref="L78:BR78" ca="1" si="46">SUM(L75:L77)</f>
        <v>0</v>
      </c>
      <c r="M78" s="59">
        <f t="shared" ca="1" si="46"/>
        <v>0</v>
      </c>
      <c r="N78" s="59">
        <f t="shared" ca="1" si="46"/>
        <v>0</v>
      </c>
      <c r="O78" s="59">
        <f t="shared" ca="1" si="46"/>
        <v>0</v>
      </c>
      <c r="P78" s="59">
        <f t="shared" ca="1" si="46"/>
        <v>0</v>
      </c>
      <c r="Q78" s="59">
        <f t="shared" ca="1" si="46"/>
        <v>0</v>
      </c>
      <c r="R78" s="59">
        <f t="shared" ca="1" si="46"/>
        <v>0</v>
      </c>
      <c r="S78" s="59">
        <f t="shared" ca="1" si="46"/>
        <v>0</v>
      </c>
      <c r="T78" s="59">
        <f t="shared" ca="1" si="46"/>
        <v>0</v>
      </c>
      <c r="U78" s="59">
        <f t="shared" ca="1" si="46"/>
        <v>0</v>
      </c>
      <c r="V78" s="59">
        <f t="shared" ca="1" si="46"/>
        <v>0</v>
      </c>
      <c r="W78" s="59">
        <f t="shared" ca="1" si="46"/>
        <v>0</v>
      </c>
      <c r="X78" s="59">
        <f t="shared" ca="1" si="46"/>
        <v>0</v>
      </c>
      <c r="Y78" s="59">
        <f t="shared" ca="1" si="46"/>
        <v>0</v>
      </c>
      <c r="Z78" s="59">
        <f t="shared" ca="1" si="46"/>
        <v>0</v>
      </c>
      <c r="AA78" s="59">
        <f t="shared" ca="1" si="46"/>
        <v>0</v>
      </c>
      <c r="AB78" s="59">
        <f t="shared" ca="1" si="46"/>
        <v>0</v>
      </c>
      <c r="AC78" s="59">
        <f t="shared" ca="1" si="46"/>
        <v>0</v>
      </c>
      <c r="AD78" s="59">
        <f t="shared" ca="1" si="46"/>
        <v>0</v>
      </c>
      <c r="AE78" s="59">
        <f t="shared" ca="1" si="46"/>
        <v>0</v>
      </c>
      <c r="AF78" s="59">
        <f t="shared" ca="1" si="46"/>
        <v>0</v>
      </c>
      <c r="AG78" s="59">
        <f t="shared" ca="1" si="46"/>
        <v>0</v>
      </c>
      <c r="AH78" s="59">
        <f t="shared" ca="1" si="46"/>
        <v>0</v>
      </c>
      <c r="AI78" s="59">
        <f t="shared" ca="1" si="46"/>
        <v>0</v>
      </c>
      <c r="AJ78" s="59">
        <f t="shared" ca="1" si="46"/>
        <v>0</v>
      </c>
      <c r="AK78" s="59">
        <f t="shared" ca="1" si="46"/>
        <v>0</v>
      </c>
      <c r="AL78" s="59">
        <f t="shared" ca="1" si="46"/>
        <v>0</v>
      </c>
      <c r="AM78" s="59">
        <f t="shared" ca="1" si="46"/>
        <v>0</v>
      </c>
      <c r="AN78" s="59">
        <f t="shared" ca="1" si="46"/>
        <v>0</v>
      </c>
      <c r="AO78" s="59">
        <f t="shared" ca="1" si="46"/>
        <v>0</v>
      </c>
      <c r="AP78" s="59">
        <f t="shared" ca="1" si="46"/>
        <v>0</v>
      </c>
      <c r="AQ78" s="59">
        <f t="shared" ca="1" si="46"/>
        <v>0</v>
      </c>
      <c r="AR78" s="59">
        <f t="shared" ca="1" si="46"/>
        <v>0</v>
      </c>
      <c r="AS78" s="59">
        <f t="shared" ca="1" si="46"/>
        <v>0</v>
      </c>
      <c r="AT78" s="59">
        <f t="shared" ca="1" si="46"/>
        <v>0</v>
      </c>
      <c r="AU78" s="59">
        <f t="shared" ca="1" si="46"/>
        <v>0</v>
      </c>
      <c r="AV78" s="59">
        <f t="shared" ca="1" si="46"/>
        <v>0</v>
      </c>
      <c r="AW78" s="59">
        <f t="shared" ca="1" si="46"/>
        <v>0</v>
      </c>
      <c r="AX78" s="59">
        <f t="shared" ca="1" si="46"/>
        <v>0</v>
      </c>
      <c r="AY78" s="59">
        <f t="shared" ca="1" si="46"/>
        <v>0</v>
      </c>
      <c r="AZ78" s="59">
        <f t="shared" ca="1" si="46"/>
        <v>0</v>
      </c>
      <c r="BA78" s="59">
        <f t="shared" ca="1" si="46"/>
        <v>0</v>
      </c>
      <c r="BB78" s="59">
        <f t="shared" ca="1" si="46"/>
        <v>0</v>
      </c>
      <c r="BC78" s="59">
        <f t="shared" ca="1" si="46"/>
        <v>0</v>
      </c>
      <c r="BD78" s="59">
        <f t="shared" ca="1" si="46"/>
        <v>0</v>
      </c>
      <c r="BE78" s="59">
        <f t="shared" ca="1" si="46"/>
        <v>0</v>
      </c>
      <c r="BF78" s="59">
        <f t="shared" ca="1" si="46"/>
        <v>0</v>
      </c>
      <c r="BG78" s="59">
        <f t="shared" ca="1" si="46"/>
        <v>0</v>
      </c>
      <c r="BH78" s="59">
        <f t="shared" ca="1" si="46"/>
        <v>0</v>
      </c>
      <c r="BI78" s="59">
        <f t="shared" ca="1" si="46"/>
        <v>0</v>
      </c>
      <c r="BJ78" s="59">
        <f t="shared" ca="1" si="46"/>
        <v>0</v>
      </c>
      <c r="BK78" s="59">
        <f t="shared" ca="1" si="46"/>
        <v>0</v>
      </c>
      <c r="BL78" s="59">
        <f t="shared" ca="1" si="46"/>
        <v>0</v>
      </c>
      <c r="BM78" s="59">
        <f t="shared" ca="1" si="46"/>
        <v>0</v>
      </c>
      <c r="BN78" s="59">
        <f t="shared" ca="1" si="46"/>
        <v>0</v>
      </c>
      <c r="BO78" s="59">
        <f t="shared" ca="1" si="46"/>
        <v>0</v>
      </c>
      <c r="BP78" s="59">
        <f t="shared" ca="1" si="46"/>
        <v>0</v>
      </c>
      <c r="BQ78" s="59">
        <f t="shared" ca="1" si="46"/>
        <v>0</v>
      </c>
      <c r="BR78" s="59">
        <f t="shared" ca="1" si="46"/>
        <v>0</v>
      </c>
    </row>
    <row r="80" spans="2:70" x14ac:dyDescent="0.25">
      <c r="C80" s="139" t="s">
        <v>296</v>
      </c>
      <c r="K80" s="64">
        <f ca="1">(K78-K75)*-1</f>
        <v>0</v>
      </c>
      <c r="L80" s="64">
        <f t="shared" ref="L80:BR80" ca="1" si="47">(L78-L75)*-1</f>
        <v>0</v>
      </c>
      <c r="M80" s="64">
        <f t="shared" ca="1" si="47"/>
        <v>0</v>
      </c>
      <c r="N80" s="64">
        <f t="shared" ca="1" si="47"/>
        <v>0</v>
      </c>
      <c r="O80" s="64">
        <f t="shared" ca="1" si="47"/>
        <v>0</v>
      </c>
      <c r="P80" s="64">
        <f t="shared" ca="1" si="47"/>
        <v>0</v>
      </c>
      <c r="Q80" s="64">
        <f t="shared" ca="1" si="47"/>
        <v>0</v>
      </c>
      <c r="R80" s="64">
        <f t="shared" ca="1" si="47"/>
        <v>0</v>
      </c>
      <c r="S80" s="64">
        <f t="shared" ca="1" si="47"/>
        <v>0</v>
      </c>
      <c r="T80" s="64">
        <f t="shared" ca="1" si="47"/>
        <v>0</v>
      </c>
      <c r="U80" s="64">
        <f t="shared" ca="1" si="47"/>
        <v>0</v>
      </c>
      <c r="V80" s="64">
        <f t="shared" ca="1" si="47"/>
        <v>0</v>
      </c>
      <c r="W80" s="64">
        <f t="shared" ca="1" si="47"/>
        <v>0</v>
      </c>
      <c r="X80" s="64">
        <f t="shared" ca="1" si="47"/>
        <v>0</v>
      </c>
      <c r="Y80" s="64">
        <f t="shared" ca="1" si="47"/>
        <v>0</v>
      </c>
      <c r="Z80" s="64">
        <f t="shared" ca="1" si="47"/>
        <v>0</v>
      </c>
      <c r="AA80" s="64">
        <f t="shared" ca="1" si="47"/>
        <v>0</v>
      </c>
      <c r="AB80" s="64">
        <f t="shared" ca="1" si="47"/>
        <v>0</v>
      </c>
      <c r="AC80" s="64">
        <f t="shared" ca="1" si="47"/>
        <v>0</v>
      </c>
      <c r="AD80" s="64">
        <f t="shared" ca="1" si="47"/>
        <v>0</v>
      </c>
      <c r="AE80" s="64">
        <f t="shared" ca="1" si="47"/>
        <v>0</v>
      </c>
      <c r="AF80" s="64">
        <f t="shared" ca="1" si="47"/>
        <v>0</v>
      </c>
      <c r="AG80" s="64">
        <f t="shared" ca="1" si="47"/>
        <v>0</v>
      </c>
      <c r="AH80" s="64">
        <f t="shared" ca="1" si="47"/>
        <v>0</v>
      </c>
      <c r="AI80" s="64">
        <f t="shared" ca="1" si="47"/>
        <v>0</v>
      </c>
      <c r="AJ80" s="64">
        <f t="shared" ca="1" si="47"/>
        <v>0</v>
      </c>
      <c r="AK80" s="64">
        <f t="shared" ca="1" si="47"/>
        <v>0</v>
      </c>
      <c r="AL80" s="64">
        <f t="shared" ca="1" si="47"/>
        <v>0</v>
      </c>
      <c r="AM80" s="64">
        <f t="shared" ca="1" si="47"/>
        <v>0</v>
      </c>
      <c r="AN80" s="64">
        <f t="shared" ca="1" si="47"/>
        <v>0</v>
      </c>
      <c r="AO80" s="64">
        <f t="shared" ca="1" si="47"/>
        <v>0</v>
      </c>
      <c r="AP80" s="64">
        <f t="shared" ca="1" si="47"/>
        <v>0</v>
      </c>
      <c r="AQ80" s="64">
        <f t="shared" ca="1" si="47"/>
        <v>0</v>
      </c>
      <c r="AR80" s="64">
        <f t="shared" ca="1" si="47"/>
        <v>0</v>
      </c>
      <c r="AS80" s="64">
        <f t="shared" ca="1" si="47"/>
        <v>0</v>
      </c>
      <c r="AT80" s="64">
        <f t="shared" ca="1" si="47"/>
        <v>0</v>
      </c>
      <c r="AU80" s="64">
        <f t="shared" ca="1" si="47"/>
        <v>0</v>
      </c>
      <c r="AV80" s="64">
        <f t="shared" ca="1" si="47"/>
        <v>0</v>
      </c>
      <c r="AW80" s="64">
        <f t="shared" ca="1" si="47"/>
        <v>0</v>
      </c>
      <c r="AX80" s="64">
        <f t="shared" ca="1" si="47"/>
        <v>0</v>
      </c>
      <c r="AY80" s="64">
        <f t="shared" ca="1" si="47"/>
        <v>0</v>
      </c>
      <c r="AZ80" s="64">
        <f t="shared" ca="1" si="47"/>
        <v>0</v>
      </c>
      <c r="BA80" s="64">
        <f t="shared" ca="1" si="47"/>
        <v>0</v>
      </c>
      <c r="BB80" s="64">
        <f t="shared" ca="1" si="47"/>
        <v>0</v>
      </c>
      <c r="BC80" s="64">
        <f t="shared" ca="1" si="47"/>
        <v>0</v>
      </c>
      <c r="BD80" s="64">
        <f t="shared" ca="1" si="47"/>
        <v>0</v>
      </c>
      <c r="BE80" s="64">
        <f t="shared" ca="1" si="47"/>
        <v>0</v>
      </c>
      <c r="BF80" s="64">
        <f t="shared" ca="1" si="47"/>
        <v>0</v>
      </c>
      <c r="BG80" s="64">
        <f t="shared" ca="1" si="47"/>
        <v>0</v>
      </c>
      <c r="BH80" s="64">
        <f t="shared" ca="1" si="47"/>
        <v>0</v>
      </c>
      <c r="BI80" s="64">
        <f t="shared" ca="1" si="47"/>
        <v>0</v>
      </c>
      <c r="BJ80" s="64">
        <f t="shared" ca="1" si="47"/>
        <v>0</v>
      </c>
      <c r="BK80" s="64">
        <f t="shared" ca="1" si="47"/>
        <v>0</v>
      </c>
      <c r="BL80" s="64">
        <f t="shared" ca="1" si="47"/>
        <v>0</v>
      </c>
      <c r="BM80" s="64">
        <f t="shared" ca="1" si="47"/>
        <v>0</v>
      </c>
      <c r="BN80" s="64">
        <f t="shared" ca="1" si="47"/>
        <v>0</v>
      </c>
      <c r="BO80" s="64">
        <f t="shared" ca="1" si="47"/>
        <v>0</v>
      </c>
      <c r="BP80" s="64">
        <f t="shared" ca="1" si="47"/>
        <v>0</v>
      </c>
      <c r="BQ80" s="64">
        <f t="shared" ca="1" si="47"/>
        <v>0</v>
      </c>
      <c r="BR80" s="64">
        <f t="shared" ca="1" si="47"/>
        <v>0</v>
      </c>
    </row>
    <row r="82" spans="1:70" s="166" customFormat="1" ht="15.6" x14ac:dyDescent="0.3">
      <c r="A82" s="166">
        <f>Header1</f>
        <v>3</v>
      </c>
      <c r="B82" s="166" t="s">
        <v>212</v>
      </c>
    </row>
    <row r="83" spans="1:70" s="304" customFormat="1" ht="13.8" x14ac:dyDescent="0.25">
      <c r="B83" s="169"/>
      <c r="C83" s="80"/>
      <c r="D83" s="305"/>
      <c r="E83" s="306"/>
      <c r="F83" s="306"/>
      <c r="G83" s="306"/>
      <c r="H83" s="306"/>
      <c r="I83" s="306"/>
      <c r="J83" s="63"/>
    </row>
    <row r="84" spans="1:70" s="304" customFormat="1" x14ac:dyDescent="0.25">
      <c r="C84" s="204" t="s">
        <v>183</v>
      </c>
      <c r="D84" s="307">
        <f>KeyInputs!$F$100</f>
        <v>0.2</v>
      </c>
      <c r="E84" s="306"/>
      <c r="F84" s="306"/>
      <c r="G84" s="306"/>
      <c r="H84" s="306"/>
      <c r="I84" s="306"/>
      <c r="J84" s="63"/>
    </row>
    <row r="86" spans="1:70" x14ac:dyDescent="0.25">
      <c r="C86" s="204" t="s">
        <v>213</v>
      </c>
      <c r="D86" s="205">
        <f>KeyInputs!F49</f>
        <v>0</v>
      </c>
    </row>
    <row r="88" spans="1:70" x14ac:dyDescent="0.25">
      <c r="C88" s="139" t="s">
        <v>214</v>
      </c>
      <c r="D88" s="193" t="str">
        <f>unit</f>
        <v>£</v>
      </c>
      <c r="E88" s="63">
        <f>D91</f>
        <v>0</v>
      </c>
      <c r="F88" s="63">
        <f t="shared" ref="F88:I88" ca="1" si="48">E91</f>
        <v>0</v>
      </c>
      <c r="G88" s="63">
        <f t="shared" ca="1" si="48"/>
        <v>0</v>
      </c>
      <c r="H88" s="63">
        <f t="shared" ca="1" si="48"/>
        <v>0</v>
      </c>
      <c r="I88" s="63">
        <f t="shared" ca="1" si="48"/>
        <v>0</v>
      </c>
      <c r="K88" s="64">
        <f>J91</f>
        <v>0</v>
      </c>
      <c r="L88" s="64">
        <f t="shared" ref="L88:BR88" ca="1" si="49">K91</f>
        <v>0</v>
      </c>
      <c r="M88" s="64">
        <f t="shared" ca="1" si="49"/>
        <v>0</v>
      </c>
      <c r="N88" s="64">
        <f t="shared" ca="1" si="49"/>
        <v>0</v>
      </c>
      <c r="O88" s="64">
        <f t="shared" ca="1" si="49"/>
        <v>0</v>
      </c>
      <c r="P88" s="64">
        <f t="shared" ca="1" si="49"/>
        <v>0</v>
      </c>
      <c r="Q88" s="64">
        <f t="shared" ca="1" si="49"/>
        <v>0</v>
      </c>
      <c r="R88" s="64">
        <f t="shared" ca="1" si="49"/>
        <v>0</v>
      </c>
      <c r="S88" s="64">
        <f t="shared" ca="1" si="49"/>
        <v>0</v>
      </c>
      <c r="T88" s="64">
        <f t="shared" ca="1" si="49"/>
        <v>0</v>
      </c>
      <c r="U88" s="64">
        <f t="shared" ca="1" si="49"/>
        <v>0</v>
      </c>
      <c r="V88" s="64">
        <f t="shared" ca="1" si="49"/>
        <v>0</v>
      </c>
      <c r="W88" s="64">
        <f t="shared" ca="1" si="49"/>
        <v>0</v>
      </c>
      <c r="X88" s="64">
        <f t="shared" ca="1" si="49"/>
        <v>0</v>
      </c>
      <c r="Y88" s="64">
        <f t="shared" ca="1" si="49"/>
        <v>0</v>
      </c>
      <c r="Z88" s="64">
        <f t="shared" ca="1" si="49"/>
        <v>0</v>
      </c>
      <c r="AA88" s="64">
        <f t="shared" ca="1" si="49"/>
        <v>0</v>
      </c>
      <c r="AB88" s="64">
        <f t="shared" ca="1" si="49"/>
        <v>0</v>
      </c>
      <c r="AC88" s="64">
        <f t="shared" ca="1" si="49"/>
        <v>0</v>
      </c>
      <c r="AD88" s="64">
        <f t="shared" ca="1" si="49"/>
        <v>0</v>
      </c>
      <c r="AE88" s="64">
        <f t="shared" ca="1" si="49"/>
        <v>0</v>
      </c>
      <c r="AF88" s="64">
        <f t="shared" ca="1" si="49"/>
        <v>0</v>
      </c>
      <c r="AG88" s="64">
        <f t="shared" ca="1" si="49"/>
        <v>0</v>
      </c>
      <c r="AH88" s="64">
        <f t="shared" ca="1" si="49"/>
        <v>0</v>
      </c>
      <c r="AI88" s="64">
        <f t="shared" ca="1" si="49"/>
        <v>0</v>
      </c>
      <c r="AJ88" s="64">
        <f t="shared" ca="1" si="49"/>
        <v>0</v>
      </c>
      <c r="AK88" s="64">
        <f t="shared" ca="1" si="49"/>
        <v>0</v>
      </c>
      <c r="AL88" s="64">
        <f t="shared" ca="1" si="49"/>
        <v>0</v>
      </c>
      <c r="AM88" s="64">
        <f t="shared" ca="1" si="49"/>
        <v>0</v>
      </c>
      <c r="AN88" s="64">
        <f t="shared" ca="1" si="49"/>
        <v>0</v>
      </c>
      <c r="AO88" s="64">
        <f t="shared" ca="1" si="49"/>
        <v>0</v>
      </c>
      <c r="AP88" s="64">
        <f t="shared" ca="1" si="49"/>
        <v>0</v>
      </c>
      <c r="AQ88" s="64">
        <f t="shared" ca="1" si="49"/>
        <v>0</v>
      </c>
      <c r="AR88" s="64">
        <f t="shared" ca="1" si="49"/>
        <v>0</v>
      </c>
      <c r="AS88" s="64">
        <f t="shared" ca="1" si="49"/>
        <v>0</v>
      </c>
      <c r="AT88" s="64">
        <f t="shared" ca="1" si="49"/>
        <v>0</v>
      </c>
      <c r="AU88" s="64">
        <f t="shared" ca="1" si="49"/>
        <v>0</v>
      </c>
      <c r="AV88" s="64">
        <f t="shared" ca="1" si="49"/>
        <v>0</v>
      </c>
      <c r="AW88" s="64">
        <f t="shared" ca="1" si="49"/>
        <v>0</v>
      </c>
      <c r="AX88" s="64">
        <f t="shared" ca="1" si="49"/>
        <v>0</v>
      </c>
      <c r="AY88" s="64">
        <f t="shared" ca="1" si="49"/>
        <v>0</v>
      </c>
      <c r="AZ88" s="64">
        <f t="shared" ca="1" si="49"/>
        <v>0</v>
      </c>
      <c r="BA88" s="64">
        <f t="shared" ca="1" si="49"/>
        <v>0</v>
      </c>
      <c r="BB88" s="64">
        <f t="shared" ca="1" si="49"/>
        <v>0</v>
      </c>
      <c r="BC88" s="64">
        <f t="shared" ca="1" si="49"/>
        <v>0</v>
      </c>
      <c r="BD88" s="64">
        <f t="shared" ca="1" si="49"/>
        <v>0</v>
      </c>
      <c r="BE88" s="64">
        <f t="shared" ca="1" si="49"/>
        <v>0</v>
      </c>
      <c r="BF88" s="64">
        <f t="shared" ca="1" si="49"/>
        <v>0</v>
      </c>
      <c r="BG88" s="64">
        <f t="shared" ca="1" si="49"/>
        <v>0</v>
      </c>
      <c r="BH88" s="64">
        <f t="shared" ca="1" si="49"/>
        <v>0</v>
      </c>
      <c r="BI88" s="64">
        <f t="shared" ca="1" si="49"/>
        <v>0</v>
      </c>
      <c r="BJ88" s="64">
        <f t="shared" ca="1" si="49"/>
        <v>0</v>
      </c>
      <c r="BK88" s="64">
        <f t="shared" ca="1" si="49"/>
        <v>0</v>
      </c>
      <c r="BL88" s="64">
        <f t="shared" ca="1" si="49"/>
        <v>0</v>
      </c>
      <c r="BM88" s="64">
        <f t="shared" ca="1" si="49"/>
        <v>0</v>
      </c>
      <c r="BN88" s="64">
        <f t="shared" ca="1" si="49"/>
        <v>0</v>
      </c>
      <c r="BO88" s="64">
        <f t="shared" ca="1" si="49"/>
        <v>0</v>
      </c>
      <c r="BP88" s="64">
        <f t="shared" ca="1" si="49"/>
        <v>0</v>
      </c>
      <c r="BQ88" s="64">
        <f t="shared" ca="1" si="49"/>
        <v>0</v>
      </c>
      <c r="BR88" s="64">
        <f t="shared" ca="1" si="49"/>
        <v>0</v>
      </c>
    </row>
    <row r="89" spans="1:70" x14ac:dyDescent="0.25">
      <c r="C89" s="80" t="s">
        <v>464</v>
      </c>
      <c r="D89" s="193" t="str">
        <f>unit</f>
        <v>£</v>
      </c>
      <c r="E89" s="63">
        <f>SUMIF($K$5:$BR$5,E$5,$K89:$BR89)</f>
        <v>0</v>
      </c>
      <c r="F89" s="63">
        <f t="shared" ref="F89:I90" si="50">SUMIF($K$5:$BR$5,F$5,$K89:$BR89)</f>
        <v>0</v>
      </c>
      <c r="G89" s="63">
        <f t="shared" si="50"/>
        <v>0</v>
      </c>
      <c r="H89" s="63">
        <f t="shared" si="50"/>
        <v>0</v>
      </c>
      <c r="I89" s="63">
        <f t="shared" si="50"/>
        <v>0</v>
      </c>
      <c r="K89" s="64">
        <f>(VariableCosts!K16+VariableCosts!K22+VariableCosts!K27-CentralCosts!K32)*(1+$D$84)</f>
        <v>0</v>
      </c>
      <c r="L89" s="64">
        <f>(VariableCosts!L16+VariableCosts!L22+VariableCosts!L27-CentralCosts!L32)*(1+$D$84)</f>
        <v>0</v>
      </c>
      <c r="M89" s="64">
        <f>(VariableCosts!M16+VariableCosts!M22+VariableCosts!M27-CentralCosts!M32)*(1+$D$84)</f>
        <v>0</v>
      </c>
      <c r="N89" s="64">
        <f>(VariableCosts!N16+VariableCosts!N22+VariableCosts!N27-CentralCosts!N32)*(1+$D$84)</f>
        <v>0</v>
      </c>
      <c r="O89" s="64">
        <f>(VariableCosts!O16+VariableCosts!O22+VariableCosts!O27-CentralCosts!O32)*(1+$D$84)</f>
        <v>0</v>
      </c>
      <c r="P89" s="64">
        <f>(VariableCosts!P16+VariableCosts!P22+VariableCosts!P27-CentralCosts!P32)*(1+$D$84)</f>
        <v>0</v>
      </c>
      <c r="Q89" s="64">
        <f>(VariableCosts!Q16+VariableCosts!Q22+VariableCosts!Q27-CentralCosts!Q32)*(1+$D$84)</f>
        <v>0</v>
      </c>
      <c r="R89" s="64">
        <f>(VariableCosts!R16+VariableCosts!R22+VariableCosts!R27-CentralCosts!R32)*(1+$D$84)</f>
        <v>0</v>
      </c>
      <c r="S89" s="64">
        <f>(VariableCosts!S16+VariableCosts!S22+VariableCosts!S27-CentralCosts!S32)*(1+$D$84)</f>
        <v>0</v>
      </c>
      <c r="T89" s="64">
        <f>(VariableCosts!T16+VariableCosts!T22+VariableCosts!T27-CentralCosts!T32)*(1+$D$84)</f>
        <v>0</v>
      </c>
      <c r="U89" s="64">
        <f>(VariableCosts!U16+VariableCosts!U22+VariableCosts!U27-CentralCosts!U32)*(1+$D$84)</f>
        <v>0</v>
      </c>
      <c r="V89" s="64">
        <f>(VariableCosts!V16+VariableCosts!V22+VariableCosts!V27-CentralCosts!V32)*(1+$D$84)</f>
        <v>0</v>
      </c>
      <c r="W89" s="64">
        <f>(VariableCosts!W16+VariableCosts!W22+VariableCosts!W27-CentralCosts!W32)*(1+$D$84)</f>
        <v>0</v>
      </c>
      <c r="X89" s="64">
        <f>(VariableCosts!X16+VariableCosts!X22+VariableCosts!X27-CentralCosts!X32)*(1+$D$84)</f>
        <v>0</v>
      </c>
      <c r="Y89" s="64">
        <f>(VariableCosts!Y16+VariableCosts!Y22+VariableCosts!Y27-CentralCosts!Y32)*(1+$D$84)</f>
        <v>0</v>
      </c>
      <c r="Z89" s="64">
        <f>(VariableCosts!Z16+VariableCosts!Z22+VariableCosts!Z27-CentralCosts!Z32)*(1+$D$84)</f>
        <v>0</v>
      </c>
      <c r="AA89" s="64">
        <f>(VariableCosts!AA16+VariableCosts!AA22+VariableCosts!AA27-CentralCosts!AA32)*(1+$D$84)</f>
        <v>0</v>
      </c>
      <c r="AB89" s="64">
        <f>(VariableCosts!AB16+VariableCosts!AB22+VariableCosts!AB27-CentralCosts!AB32)*(1+$D$84)</f>
        <v>0</v>
      </c>
      <c r="AC89" s="64">
        <f>(VariableCosts!AC16+VariableCosts!AC22+VariableCosts!AC27-CentralCosts!AC32)*(1+$D$84)</f>
        <v>0</v>
      </c>
      <c r="AD89" s="64">
        <f>(VariableCosts!AD16+VariableCosts!AD22+VariableCosts!AD27-CentralCosts!AD32)*(1+$D$84)</f>
        <v>0</v>
      </c>
      <c r="AE89" s="64">
        <f>(VariableCosts!AE16+VariableCosts!AE22+VariableCosts!AE27-CentralCosts!AE32)*(1+$D$84)</f>
        <v>0</v>
      </c>
      <c r="AF89" s="64">
        <f>(VariableCosts!AF16+VariableCosts!AF22+VariableCosts!AF27-CentralCosts!AF32)*(1+$D$84)</f>
        <v>0</v>
      </c>
      <c r="AG89" s="64">
        <f>(VariableCosts!AG16+VariableCosts!AG22+VariableCosts!AG27-CentralCosts!AG32)*(1+$D$84)</f>
        <v>0</v>
      </c>
      <c r="AH89" s="64">
        <f>(VariableCosts!AH16+VariableCosts!AH22+VariableCosts!AH27-CentralCosts!AH32)*(1+$D$84)</f>
        <v>0</v>
      </c>
      <c r="AI89" s="64">
        <f>(VariableCosts!AI16+VariableCosts!AI22+VariableCosts!AI27-CentralCosts!AI32)*(1+$D$84)</f>
        <v>0</v>
      </c>
      <c r="AJ89" s="64">
        <f>(VariableCosts!AJ16+VariableCosts!AJ22+VariableCosts!AJ27-CentralCosts!AJ32)*(1+$D$84)</f>
        <v>0</v>
      </c>
      <c r="AK89" s="64">
        <f>(VariableCosts!AK16+VariableCosts!AK22+VariableCosts!AK27-CentralCosts!AK32)*(1+$D$84)</f>
        <v>0</v>
      </c>
      <c r="AL89" s="64">
        <f>(VariableCosts!AL16+VariableCosts!AL22+VariableCosts!AL27-CentralCosts!AL32)*(1+$D$84)</f>
        <v>0</v>
      </c>
      <c r="AM89" s="64">
        <f>(VariableCosts!AM16+VariableCosts!AM22+VariableCosts!AM27-CentralCosts!AM32)*(1+$D$84)</f>
        <v>0</v>
      </c>
      <c r="AN89" s="64">
        <f>(VariableCosts!AN16+VariableCosts!AN22+VariableCosts!AN27-CentralCosts!AN32)*(1+$D$84)</f>
        <v>0</v>
      </c>
      <c r="AO89" s="64">
        <f>(VariableCosts!AO16+VariableCosts!AO22+VariableCosts!AO27-CentralCosts!AO32)*(1+$D$84)</f>
        <v>0</v>
      </c>
      <c r="AP89" s="64">
        <f>(VariableCosts!AP16+VariableCosts!AP22+VariableCosts!AP27-CentralCosts!AP32)*(1+$D$84)</f>
        <v>0</v>
      </c>
      <c r="AQ89" s="64">
        <f>(VariableCosts!AQ16+VariableCosts!AQ22+VariableCosts!AQ27-CentralCosts!AQ32)*(1+$D$84)</f>
        <v>0</v>
      </c>
      <c r="AR89" s="64">
        <f>(VariableCosts!AR16+VariableCosts!AR22+VariableCosts!AR27-CentralCosts!AR32)*(1+$D$84)</f>
        <v>0</v>
      </c>
      <c r="AS89" s="64">
        <f>(VariableCosts!AS16+VariableCosts!AS22+VariableCosts!AS27-CentralCosts!AS32)*(1+$D$84)</f>
        <v>0</v>
      </c>
      <c r="AT89" s="64">
        <f>(VariableCosts!AT16+VariableCosts!AT22+VariableCosts!AT27-CentralCosts!AT32)*(1+$D$84)</f>
        <v>0</v>
      </c>
      <c r="AU89" s="64">
        <f>(VariableCosts!AU16+VariableCosts!AU22+VariableCosts!AU27-CentralCosts!AU32)*(1+$D$84)</f>
        <v>0</v>
      </c>
      <c r="AV89" s="64">
        <f>(VariableCosts!AV16+VariableCosts!AV22+VariableCosts!AV27-CentralCosts!AV32)*(1+$D$84)</f>
        <v>0</v>
      </c>
      <c r="AW89" s="64">
        <f>(VariableCosts!AW16+VariableCosts!AW22+VariableCosts!AW27-CentralCosts!AW32)*(1+$D$84)</f>
        <v>0</v>
      </c>
      <c r="AX89" s="64">
        <f>(VariableCosts!AX16+VariableCosts!AX22+VariableCosts!AX27-CentralCosts!AX32)*(1+$D$84)</f>
        <v>0</v>
      </c>
      <c r="AY89" s="64">
        <f>(VariableCosts!AY16+VariableCosts!AY22+VariableCosts!AY27-CentralCosts!AY32)*(1+$D$84)</f>
        <v>0</v>
      </c>
      <c r="AZ89" s="64">
        <f>(VariableCosts!AZ16+VariableCosts!AZ22+VariableCosts!AZ27-CentralCosts!AZ32)*(1+$D$84)</f>
        <v>0</v>
      </c>
      <c r="BA89" s="64">
        <f>(VariableCosts!BA16+VariableCosts!BA22+VariableCosts!BA27-CentralCosts!BA32)*(1+$D$84)</f>
        <v>0</v>
      </c>
      <c r="BB89" s="64">
        <f>(VariableCosts!BB16+VariableCosts!BB22+VariableCosts!BB27-CentralCosts!BB32)*(1+$D$84)</f>
        <v>0</v>
      </c>
      <c r="BC89" s="64">
        <f>(VariableCosts!BC16+VariableCosts!BC22+VariableCosts!BC27-CentralCosts!BC32)*(1+$D$84)</f>
        <v>0</v>
      </c>
      <c r="BD89" s="64">
        <f>(VariableCosts!BD16+VariableCosts!BD22+VariableCosts!BD27-CentralCosts!BD32)*(1+$D$84)</f>
        <v>0</v>
      </c>
      <c r="BE89" s="64">
        <f>(VariableCosts!BE16+VariableCosts!BE22+VariableCosts!BE27-CentralCosts!BE32)*(1+$D$84)</f>
        <v>0</v>
      </c>
      <c r="BF89" s="64">
        <f>(VariableCosts!BF16+VariableCosts!BF22+VariableCosts!BF27-CentralCosts!BF32)*(1+$D$84)</f>
        <v>0</v>
      </c>
      <c r="BG89" s="64">
        <f>(VariableCosts!BG16+VariableCosts!BG22+VariableCosts!BG27-CentralCosts!BG32)*(1+$D$84)</f>
        <v>0</v>
      </c>
      <c r="BH89" s="64">
        <f>(VariableCosts!BH16+VariableCosts!BH22+VariableCosts!BH27-CentralCosts!BH32)*(1+$D$84)</f>
        <v>0</v>
      </c>
      <c r="BI89" s="64">
        <f>(VariableCosts!BI16+VariableCosts!BI22+VariableCosts!BI27-CentralCosts!BI32)*(1+$D$84)</f>
        <v>0</v>
      </c>
      <c r="BJ89" s="64">
        <f>(VariableCosts!BJ16+VariableCosts!BJ22+VariableCosts!BJ27-CentralCosts!BJ32)*(1+$D$84)</f>
        <v>0</v>
      </c>
      <c r="BK89" s="64">
        <f>(VariableCosts!BK16+VariableCosts!BK22+VariableCosts!BK27-CentralCosts!BK32)*(1+$D$84)</f>
        <v>0</v>
      </c>
      <c r="BL89" s="64">
        <f>(VariableCosts!BL16+VariableCosts!BL22+VariableCosts!BL27-CentralCosts!BL32)*(1+$D$84)</f>
        <v>0</v>
      </c>
      <c r="BM89" s="64">
        <f>(VariableCosts!BM16+VariableCosts!BM22+VariableCosts!BM27-CentralCosts!BM32)*(1+$D$84)</f>
        <v>0</v>
      </c>
      <c r="BN89" s="64">
        <f>(VariableCosts!BN16+VariableCosts!BN22+VariableCosts!BN27-CentralCosts!BN32)*(1+$D$84)</f>
        <v>0</v>
      </c>
      <c r="BO89" s="64">
        <f>(VariableCosts!BO16+VariableCosts!BO22+VariableCosts!BO27-CentralCosts!BO32)*(1+$D$84)</f>
        <v>0</v>
      </c>
      <c r="BP89" s="64">
        <f>(VariableCosts!BP16+VariableCosts!BP22+VariableCosts!BP27-CentralCosts!BP32)*(1+$D$84)</f>
        <v>0</v>
      </c>
      <c r="BQ89" s="64">
        <f>(VariableCosts!BQ16+VariableCosts!BQ22+VariableCosts!BQ27-CentralCosts!BQ32)*(1+$D$84)</f>
        <v>0</v>
      </c>
      <c r="BR89" s="64">
        <f>(VariableCosts!BR16+VariableCosts!BR22+VariableCosts!BR27-CentralCosts!BR32)*(1+$D$84)</f>
        <v>0</v>
      </c>
    </row>
    <row r="90" spans="1:70" x14ac:dyDescent="0.25">
      <c r="C90" s="139" t="s">
        <v>215</v>
      </c>
      <c r="D90" s="193" t="str">
        <f>unit</f>
        <v>£</v>
      </c>
      <c r="E90" s="63">
        <f ca="1">SUMIF($K$5:$BR$5,E$5,$K90:$BR90)</f>
        <v>0</v>
      </c>
      <c r="F90" s="63">
        <f t="shared" ca="1" si="50"/>
        <v>0</v>
      </c>
      <c r="G90" s="63">
        <f t="shared" ca="1" si="50"/>
        <v>0</v>
      </c>
      <c r="H90" s="63">
        <f t="shared" ca="1" si="50"/>
        <v>0</v>
      </c>
      <c r="I90" s="63">
        <f t="shared" ca="1" si="50"/>
        <v>0</v>
      </c>
      <c r="K90" s="64">
        <f t="shared" ref="K90:AP90" ca="1" si="51">IF(K6&gt;$D$86,OFFSET(K89,0,-$D$86)*-1,0)</f>
        <v>0</v>
      </c>
      <c r="L90" s="64">
        <f t="shared" ca="1" si="51"/>
        <v>0</v>
      </c>
      <c r="M90" s="64">
        <f t="shared" ca="1" si="51"/>
        <v>0</v>
      </c>
      <c r="N90" s="64">
        <f t="shared" ca="1" si="51"/>
        <v>0</v>
      </c>
      <c r="O90" s="64">
        <f t="shared" ca="1" si="51"/>
        <v>0</v>
      </c>
      <c r="P90" s="64">
        <f t="shared" ca="1" si="51"/>
        <v>0</v>
      </c>
      <c r="Q90" s="64">
        <f t="shared" ca="1" si="51"/>
        <v>0</v>
      </c>
      <c r="R90" s="64">
        <f t="shared" ca="1" si="51"/>
        <v>0</v>
      </c>
      <c r="S90" s="64">
        <f t="shared" ca="1" si="51"/>
        <v>0</v>
      </c>
      <c r="T90" s="64">
        <f t="shared" ca="1" si="51"/>
        <v>0</v>
      </c>
      <c r="U90" s="64">
        <f t="shared" ca="1" si="51"/>
        <v>0</v>
      </c>
      <c r="V90" s="64">
        <f t="shared" ca="1" si="51"/>
        <v>0</v>
      </c>
      <c r="W90" s="64">
        <f t="shared" ca="1" si="51"/>
        <v>0</v>
      </c>
      <c r="X90" s="64">
        <f t="shared" ca="1" si="51"/>
        <v>0</v>
      </c>
      <c r="Y90" s="64">
        <f t="shared" ca="1" si="51"/>
        <v>0</v>
      </c>
      <c r="Z90" s="64">
        <f t="shared" ca="1" si="51"/>
        <v>0</v>
      </c>
      <c r="AA90" s="64">
        <f t="shared" ca="1" si="51"/>
        <v>0</v>
      </c>
      <c r="AB90" s="64">
        <f t="shared" ca="1" si="51"/>
        <v>0</v>
      </c>
      <c r="AC90" s="64">
        <f t="shared" ca="1" si="51"/>
        <v>0</v>
      </c>
      <c r="AD90" s="64">
        <f t="shared" ca="1" si="51"/>
        <v>0</v>
      </c>
      <c r="AE90" s="64">
        <f t="shared" ca="1" si="51"/>
        <v>0</v>
      </c>
      <c r="AF90" s="64">
        <f t="shared" ca="1" si="51"/>
        <v>0</v>
      </c>
      <c r="AG90" s="64">
        <f t="shared" ca="1" si="51"/>
        <v>0</v>
      </c>
      <c r="AH90" s="64">
        <f t="shared" ca="1" si="51"/>
        <v>0</v>
      </c>
      <c r="AI90" s="64">
        <f t="shared" ca="1" si="51"/>
        <v>0</v>
      </c>
      <c r="AJ90" s="64">
        <f t="shared" ca="1" si="51"/>
        <v>0</v>
      </c>
      <c r="AK90" s="64">
        <f t="shared" ca="1" si="51"/>
        <v>0</v>
      </c>
      <c r="AL90" s="64">
        <f t="shared" ca="1" si="51"/>
        <v>0</v>
      </c>
      <c r="AM90" s="64">
        <f t="shared" ca="1" si="51"/>
        <v>0</v>
      </c>
      <c r="AN90" s="64">
        <f t="shared" ca="1" si="51"/>
        <v>0</v>
      </c>
      <c r="AO90" s="64">
        <f t="shared" ca="1" si="51"/>
        <v>0</v>
      </c>
      <c r="AP90" s="64">
        <f t="shared" ca="1" si="51"/>
        <v>0</v>
      </c>
      <c r="AQ90" s="64">
        <f t="shared" ref="AQ90:BR90" ca="1" si="52">IF(AQ6&gt;$D$86,OFFSET(AQ89,0,-$D$86)*-1,0)</f>
        <v>0</v>
      </c>
      <c r="AR90" s="64">
        <f t="shared" ca="1" si="52"/>
        <v>0</v>
      </c>
      <c r="AS90" s="64">
        <f t="shared" ca="1" si="52"/>
        <v>0</v>
      </c>
      <c r="AT90" s="64">
        <f t="shared" ca="1" si="52"/>
        <v>0</v>
      </c>
      <c r="AU90" s="64">
        <f t="shared" ca="1" si="52"/>
        <v>0</v>
      </c>
      <c r="AV90" s="64">
        <f t="shared" ca="1" si="52"/>
        <v>0</v>
      </c>
      <c r="AW90" s="64">
        <f t="shared" ca="1" si="52"/>
        <v>0</v>
      </c>
      <c r="AX90" s="64">
        <f t="shared" ca="1" si="52"/>
        <v>0</v>
      </c>
      <c r="AY90" s="64">
        <f t="shared" ca="1" si="52"/>
        <v>0</v>
      </c>
      <c r="AZ90" s="64">
        <f t="shared" ca="1" si="52"/>
        <v>0</v>
      </c>
      <c r="BA90" s="64">
        <f t="shared" ca="1" si="52"/>
        <v>0</v>
      </c>
      <c r="BB90" s="64">
        <f t="shared" ca="1" si="52"/>
        <v>0</v>
      </c>
      <c r="BC90" s="64">
        <f t="shared" ca="1" si="52"/>
        <v>0</v>
      </c>
      <c r="BD90" s="64">
        <f t="shared" ca="1" si="52"/>
        <v>0</v>
      </c>
      <c r="BE90" s="64">
        <f t="shared" ca="1" si="52"/>
        <v>0</v>
      </c>
      <c r="BF90" s="64">
        <f t="shared" ca="1" si="52"/>
        <v>0</v>
      </c>
      <c r="BG90" s="64">
        <f t="shared" ca="1" si="52"/>
        <v>0</v>
      </c>
      <c r="BH90" s="64">
        <f t="shared" ca="1" si="52"/>
        <v>0</v>
      </c>
      <c r="BI90" s="64">
        <f t="shared" ca="1" si="52"/>
        <v>0</v>
      </c>
      <c r="BJ90" s="64">
        <f t="shared" ca="1" si="52"/>
        <v>0</v>
      </c>
      <c r="BK90" s="64">
        <f t="shared" ca="1" si="52"/>
        <v>0</v>
      </c>
      <c r="BL90" s="64">
        <f t="shared" ca="1" si="52"/>
        <v>0</v>
      </c>
      <c r="BM90" s="64">
        <f t="shared" ca="1" si="52"/>
        <v>0</v>
      </c>
      <c r="BN90" s="64">
        <f t="shared" ca="1" si="52"/>
        <v>0</v>
      </c>
      <c r="BO90" s="64">
        <f t="shared" ca="1" si="52"/>
        <v>0</v>
      </c>
      <c r="BP90" s="64">
        <f t="shared" ca="1" si="52"/>
        <v>0</v>
      </c>
      <c r="BQ90" s="64">
        <f t="shared" ca="1" si="52"/>
        <v>0</v>
      </c>
      <c r="BR90" s="64">
        <f t="shared" ca="1" si="52"/>
        <v>0</v>
      </c>
    </row>
    <row r="91" spans="1:70" x14ac:dyDescent="0.25">
      <c r="C91" s="139" t="s">
        <v>216</v>
      </c>
      <c r="D91" s="259">
        <f>KeyInputs!G131</f>
        <v>0</v>
      </c>
      <c r="E91" s="59">
        <f ca="1">SUM(E88:E90)</f>
        <v>0</v>
      </c>
      <c r="F91" s="59">
        <f t="shared" ref="F91:I91" ca="1" si="53">SUM(F88:F90)</f>
        <v>0</v>
      </c>
      <c r="G91" s="59">
        <f t="shared" ca="1" si="53"/>
        <v>0</v>
      </c>
      <c r="H91" s="59">
        <f t="shared" ca="1" si="53"/>
        <v>0</v>
      </c>
      <c r="I91" s="59">
        <f t="shared" ca="1" si="53"/>
        <v>0</v>
      </c>
      <c r="J91" s="69">
        <f>D91</f>
        <v>0</v>
      </c>
      <c r="K91" s="59">
        <f ca="1">SUM(K88:K90)</f>
        <v>0</v>
      </c>
      <c r="L91" s="59">
        <f t="shared" ref="L91:BR91" ca="1" si="54">SUM(L88:L90)</f>
        <v>0</v>
      </c>
      <c r="M91" s="59">
        <f t="shared" ca="1" si="54"/>
        <v>0</v>
      </c>
      <c r="N91" s="59">
        <f t="shared" ca="1" si="54"/>
        <v>0</v>
      </c>
      <c r="O91" s="59">
        <f t="shared" ca="1" si="54"/>
        <v>0</v>
      </c>
      <c r="P91" s="59">
        <f t="shared" ca="1" si="54"/>
        <v>0</v>
      </c>
      <c r="Q91" s="59">
        <f t="shared" ca="1" si="54"/>
        <v>0</v>
      </c>
      <c r="R91" s="59">
        <f t="shared" ca="1" si="54"/>
        <v>0</v>
      </c>
      <c r="S91" s="59">
        <f t="shared" ca="1" si="54"/>
        <v>0</v>
      </c>
      <c r="T91" s="59">
        <f t="shared" ca="1" si="54"/>
        <v>0</v>
      </c>
      <c r="U91" s="59">
        <f t="shared" ca="1" si="54"/>
        <v>0</v>
      </c>
      <c r="V91" s="59">
        <f t="shared" ca="1" si="54"/>
        <v>0</v>
      </c>
      <c r="W91" s="59">
        <f t="shared" ca="1" si="54"/>
        <v>0</v>
      </c>
      <c r="X91" s="59">
        <f t="shared" ca="1" si="54"/>
        <v>0</v>
      </c>
      <c r="Y91" s="59">
        <f t="shared" ca="1" si="54"/>
        <v>0</v>
      </c>
      <c r="Z91" s="59">
        <f t="shared" ca="1" si="54"/>
        <v>0</v>
      </c>
      <c r="AA91" s="59">
        <f t="shared" ca="1" si="54"/>
        <v>0</v>
      </c>
      <c r="AB91" s="59">
        <f t="shared" ca="1" si="54"/>
        <v>0</v>
      </c>
      <c r="AC91" s="59">
        <f t="shared" ca="1" si="54"/>
        <v>0</v>
      </c>
      <c r="AD91" s="59">
        <f t="shared" ca="1" si="54"/>
        <v>0</v>
      </c>
      <c r="AE91" s="59">
        <f t="shared" ca="1" si="54"/>
        <v>0</v>
      </c>
      <c r="AF91" s="59">
        <f t="shared" ca="1" si="54"/>
        <v>0</v>
      </c>
      <c r="AG91" s="59">
        <f t="shared" ca="1" si="54"/>
        <v>0</v>
      </c>
      <c r="AH91" s="59">
        <f t="shared" ca="1" si="54"/>
        <v>0</v>
      </c>
      <c r="AI91" s="59">
        <f t="shared" ca="1" si="54"/>
        <v>0</v>
      </c>
      <c r="AJ91" s="59">
        <f t="shared" ca="1" si="54"/>
        <v>0</v>
      </c>
      <c r="AK91" s="59">
        <f t="shared" ca="1" si="54"/>
        <v>0</v>
      </c>
      <c r="AL91" s="59">
        <f t="shared" ca="1" si="54"/>
        <v>0</v>
      </c>
      <c r="AM91" s="59">
        <f t="shared" ca="1" si="54"/>
        <v>0</v>
      </c>
      <c r="AN91" s="59">
        <f t="shared" ca="1" si="54"/>
        <v>0</v>
      </c>
      <c r="AO91" s="59">
        <f t="shared" ca="1" si="54"/>
        <v>0</v>
      </c>
      <c r="AP91" s="59">
        <f t="shared" ca="1" si="54"/>
        <v>0</v>
      </c>
      <c r="AQ91" s="59">
        <f t="shared" ca="1" si="54"/>
        <v>0</v>
      </c>
      <c r="AR91" s="59">
        <f t="shared" ca="1" si="54"/>
        <v>0</v>
      </c>
      <c r="AS91" s="59">
        <f t="shared" ca="1" si="54"/>
        <v>0</v>
      </c>
      <c r="AT91" s="59">
        <f t="shared" ca="1" si="54"/>
        <v>0</v>
      </c>
      <c r="AU91" s="59">
        <f t="shared" ca="1" si="54"/>
        <v>0</v>
      </c>
      <c r="AV91" s="59">
        <f t="shared" ca="1" si="54"/>
        <v>0</v>
      </c>
      <c r="AW91" s="59">
        <f t="shared" ca="1" si="54"/>
        <v>0</v>
      </c>
      <c r="AX91" s="59">
        <f t="shared" ca="1" si="54"/>
        <v>0</v>
      </c>
      <c r="AY91" s="59">
        <f t="shared" ca="1" si="54"/>
        <v>0</v>
      </c>
      <c r="AZ91" s="59">
        <f t="shared" ca="1" si="54"/>
        <v>0</v>
      </c>
      <c r="BA91" s="59">
        <f t="shared" ca="1" si="54"/>
        <v>0</v>
      </c>
      <c r="BB91" s="59">
        <f t="shared" ca="1" si="54"/>
        <v>0</v>
      </c>
      <c r="BC91" s="59">
        <f t="shared" ca="1" si="54"/>
        <v>0</v>
      </c>
      <c r="BD91" s="59">
        <f t="shared" ca="1" si="54"/>
        <v>0</v>
      </c>
      <c r="BE91" s="59">
        <f t="shared" ca="1" si="54"/>
        <v>0</v>
      </c>
      <c r="BF91" s="59">
        <f t="shared" ca="1" si="54"/>
        <v>0</v>
      </c>
      <c r="BG91" s="59">
        <f t="shared" ca="1" si="54"/>
        <v>0</v>
      </c>
      <c r="BH91" s="59">
        <f t="shared" ca="1" si="54"/>
        <v>0</v>
      </c>
      <c r="BI91" s="59">
        <f t="shared" ca="1" si="54"/>
        <v>0</v>
      </c>
      <c r="BJ91" s="59">
        <f t="shared" ca="1" si="54"/>
        <v>0</v>
      </c>
      <c r="BK91" s="59">
        <f t="shared" ca="1" si="54"/>
        <v>0</v>
      </c>
      <c r="BL91" s="59">
        <f t="shared" ca="1" si="54"/>
        <v>0</v>
      </c>
      <c r="BM91" s="59">
        <f t="shared" ca="1" si="54"/>
        <v>0</v>
      </c>
      <c r="BN91" s="59">
        <f t="shared" ca="1" si="54"/>
        <v>0</v>
      </c>
      <c r="BO91" s="59">
        <f t="shared" ca="1" si="54"/>
        <v>0</v>
      </c>
      <c r="BP91" s="59">
        <f t="shared" ca="1" si="54"/>
        <v>0</v>
      </c>
      <c r="BQ91" s="59">
        <f t="shared" ca="1" si="54"/>
        <v>0</v>
      </c>
      <c r="BR91" s="59">
        <f t="shared" ca="1" si="54"/>
        <v>0</v>
      </c>
    </row>
    <row r="93" spans="1:70" x14ac:dyDescent="0.25">
      <c r="C93" s="139" t="s">
        <v>302</v>
      </c>
      <c r="K93" s="64">
        <f ca="1">(K91-K88)*-1</f>
        <v>0</v>
      </c>
      <c r="L93" s="64">
        <f t="shared" ref="L93:BR93" ca="1" si="55">(L91-L88)*-1</f>
        <v>0</v>
      </c>
      <c r="M93" s="64">
        <f t="shared" ca="1" si="55"/>
        <v>0</v>
      </c>
      <c r="N93" s="64">
        <f t="shared" ca="1" si="55"/>
        <v>0</v>
      </c>
      <c r="O93" s="64">
        <f t="shared" ca="1" si="55"/>
        <v>0</v>
      </c>
      <c r="P93" s="64">
        <f t="shared" ca="1" si="55"/>
        <v>0</v>
      </c>
      <c r="Q93" s="64">
        <f t="shared" ca="1" si="55"/>
        <v>0</v>
      </c>
      <c r="R93" s="64">
        <f t="shared" ca="1" si="55"/>
        <v>0</v>
      </c>
      <c r="S93" s="64">
        <f t="shared" ca="1" si="55"/>
        <v>0</v>
      </c>
      <c r="T93" s="64">
        <f t="shared" ca="1" si="55"/>
        <v>0</v>
      </c>
      <c r="U93" s="64">
        <f t="shared" ca="1" si="55"/>
        <v>0</v>
      </c>
      <c r="V93" s="64">
        <f t="shared" ca="1" si="55"/>
        <v>0</v>
      </c>
      <c r="W93" s="64">
        <f t="shared" ca="1" si="55"/>
        <v>0</v>
      </c>
      <c r="X93" s="64">
        <f t="shared" ca="1" si="55"/>
        <v>0</v>
      </c>
      <c r="Y93" s="64">
        <f t="shared" ca="1" si="55"/>
        <v>0</v>
      </c>
      <c r="Z93" s="64">
        <f t="shared" ca="1" si="55"/>
        <v>0</v>
      </c>
      <c r="AA93" s="64">
        <f t="shared" ca="1" si="55"/>
        <v>0</v>
      </c>
      <c r="AB93" s="64">
        <f t="shared" ca="1" si="55"/>
        <v>0</v>
      </c>
      <c r="AC93" s="64">
        <f t="shared" ca="1" si="55"/>
        <v>0</v>
      </c>
      <c r="AD93" s="64">
        <f t="shared" ca="1" si="55"/>
        <v>0</v>
      </c>
      <c r="AE93" s="64">
        <f t="shared" ca="1" si="55"/>
        <v>0</v>
      </c>
      <c r="AF93" s="64">
        <f t="shared" ca="1" si="55"/>
        <v>0</v>
      </c>
      <c r="AG93" s="64">
        <f t="shared" ca="1" si="55"/>
        <v>0</v>
      </c>
      <c r="AH93" s="64">
        <f t="shared" ca="1" si="55"/>
        <v>0</v>
      </c>
      <c r="AI93" s="64">
        <f t="shared" ca="1" si="55"/>
        <v>0</v>
      </c>
      <c r="AJ93" s="64">
        <f t="shared" ca="1" si="55"/>
        <v>0</v>
      </c>
      <c r="AK93" s="64">
        <f t="shared" ca="1" si="55"/>
        <v>0</v>
      </c>
      <c r="AL93" s="64">
        <f t="shared" ca="1" si="55"/>
        <v>0</v>
      </c>
      <c r="AM93" s="64">
        <f t="shared" ca="1" si="55"/>
        <v>0</v>
      </c>
      <c r="AN93" s="64">
        <f t="shared" ca="1" si="55"/>
        <v>0</v>
      </c>
      <c r="AO93" s="64">
        <f t="shared" ca="1" si="55"/>
        <v>0</v>
      </c>
      <c r="AP93" s="64">
        <f t="shared" ca="1" si="55"/>
        <v>0</v>
      </c>
      <c r="AQ93" s="64">
        <f t="shared" ca="1" si="55"/>
        <v>0</v>
      </c>
      <c r="AR93" s="64">
        <f t="shared" ca="1" si="55"/>
        <v>0</v>
      </c>
      <c r="AS93" s="64">
        <f t="shared" ca="1" si="55"/>
        <v>0</v>
      </c>
      <c r="AT93" s="64">
        <f t="shared" ca="1" si="55"/>
        <v>0</v>
      </c>
      <c r="AU93" s="64">
        <f t="shared" ca="1" si="55"/>
        <v>0</v>
      </c>
      <c r="AV93" s="64">
        <f t="shared" ca="1" si="55"/>
        <v>0</v>
      </c>
      <c r="AW93" s="64">
        <f t="shared" ca="1" si="55"/>
        <v>0</v>
      </c>
      <c r="AX93" s="64">
        <f t="shared" ca="1" si="55"/>
        <v>0</v>
      </c>
      <c r="AY93" s="64">
        <f t="shared" ca="1" si="55"/>
        <v>0</v>
      </c>
      <c r="AZ93" s="64">
        <f t="shared" ca="1" si="55"/>
        <v>0</v>
      </c>
      <c r="BA93" s="64">
        <f t="shared" ca="1" si="55"/>
        <v>0</v>
      </c>
      <c r="BB93" s="64">
        <f t="shared" ca="1" si="55"/>
        <v>0</v>
      </c>
      <c r="BC93" s="64">
        <f t="shared" ca="1" si="55"/>
        <v>0</v>
      </c>
      <c r="BD93" s="64">
        <f t="shared" ca="1" si="55"/>
        <v>0</v>
      </c>
      <c r="BE93" s="64">
        <f t="shared" ca="1" si="55"/>
        <v>0</v>
      </c>
      <c r="BF93" s="64">
        <f t="shared" ca="1" si="55"/>
        <v>0</v>
      </c>
      <c r="BG93" s="64">
        <f t="shared" ca="1" si="55"/>
        <v>0</v>
      </c>
      <c r="BH93" s="64">
        <f t="shared" ca="1" si="55"/>
        <v>0</v>
      </c>
      <c r="BI93" s="64">
        <f t="shared" ca="1" si="55"/>
        <v>0</v>
      </c>
      <c r="BJ93" s="64">
        <f t="shared" ca="1" si="55"/>
        <v>0</v>
      </c>
      <c r="BK93" s="64">
        <f t="shared" ca="1" si="55"/>
        <v>0</v>
      </c>
      <c r="BL93" s="64">
        <f t="shared" ca="1" si="55"/>
        <v>0</v>
      </c>
      <c r="BM93" s="64">
        <f t="shared" ca="1" si="55"/>
        <v>0</v>
      </c>
      <c r="BN93" s="64">
        <f t="shared" ca="1" si="55"/>
        <v>0</v>
      </c>
      <c r="BO93" s="64">
        <f t="shared" ca="1" si="55"/>
        <v>0</v>
      </c>
      <c r="BP93" s="64">
        <f t="shared" ca="1" si="55"/>
        <v>0</v>
      </c>
      <c r="BQ93" s="64">
        <f t="shared" ca="1" si="55"/>
        <v>0</v>
      </c>
      <c r="BR93" s="64">
        <f t="shared" ca="1" si="55"/>
        <v>0</v>
      </c>
    </row>
    <row r="95" spans="1:70" s="166" customFormat="1" ht="15.6" x14ac:dyDescent="0.3">
      <c r="A95" s="166">
        <f>Header1</f>
        <v>4</v>
      </c>
      <c r="B95" s="166" t="s">
        <v>218</v>
      </c>
    </row>
    <row r="96" spans="1:70" s="304" customFormat="1" x14ac:dyDescent="0.25">
      <c r="D96" s="305"/>
      <c r="E96" s="306"/>
      <c r="F96" s="306"/>
      <c r="G96" s="306"/>
      <c r="H96" s="306"/>
      <c r="I96" s="306"/>
      <c r="J96" s="63"/>
    </row>
    <row r="97" spans="2:70" s="304" customFormat="1" ht="13.8" x14ac:dyDescent="0.25">
      <c r="B97" s="169" t="str">
        <f>Header2</f>
        <v>4.1</v>
      </c>
      <c r="C97" s="80" t="s">
        <v>415</v>
      </c>
      <c r="D97" s="305"/>
      <c r="E97" s="306"/>
      <c r="F97" s="306"/>
      <c r="G97" s="306"/>
      <c r="H97" s="306"/>
      <c r="I97" s="306"/>
      <c r="J97" s="63"/>
    </row>
    <row r="98" spans="2:70" s="304" customFormat="1" ht="13.8" x14ac:dyDescent="0.25">
      <c r="B98" s="169"/>
      <c r="C98" s="80"/>
      <c r="D98" s="305"/>
      <c r="E98" s="306"/>
      <c r="F98" s="306"/>
      <c r="G98" s="306"/>
      <c r="H98" s="306"/>
      <c r="I98" s="306"/>
      <c r="J98" s="63"/>
    </row>
    <row r="99" spans="2:70" s="304" customFormat="1" x14ac:dyDescent="0.25">
      <c r="C99" s="204" t="s">
        <v>183</v>
      </c>
      <c r="D99" s="307">
        <f>KeyInputs!$F$100</f>
        <v>0.2</v>
      </c>
      <c r="E99" s="306"/>
      <c r="F99" s="306"/>
      <c r="G99" s="306"/>
      <c r="H99" s="306"/>
      <c r="I99" s="306"/>
      <c r="J99" s="63"/>
    </row>
    <row r="100" spans="2:70" s="304" customFormat="1" x14ac:dyDescent="0.25">
      <c r="C100" s="204" t="s">
        <v>416</v>
      </c>
      <c r="D100" s="205">
        <f>KeyInputs!F101</f>
        <v>3</v>
      </c>
      <c r="E100" s="306"/>
      <c r="F100" s="306"/>
      <c r="G100" s="306"/>
      <c r="H100" s="306"/>
      <c r="I100" s="306"/>
      <c r="J100" s="63"/>
    </row>
    <row r="101" spans="2:70" s="304" customFormat="1" x14ac:dyDescent="0.25">
      <c r="C101" s="204"/>
      <c r="D101" s="205"/>
      <c r="E101" s="306"/>
      <c r="F101" s="306"/>
      <c r="G101" s="306"/>
      <c r="H101" s="306"/>
      <c r="I101" s="306"/>
      <c r="J101" s="63"/>
    </row>
    <row r="102" spans="2:70" s="304" customFormat="1" x14ac:dyDescent="0.25">
      <c r="C102" s="204" t="s">
        <v>417</v>
      </c>
      <c r="D102" s="205"/>
      <c r="E102" s="306"/>
      <c r="F102" s="306"/>
      <c r="G102" s="306"/>
      <c r="H102" s="306"/>
      <c r="I102" s="306"/>
      <c r="J102" s="63"/>
      <c r="K102" s="304">
        <f t="shared" ref="K102:AP102" si="56">IF(MOD(K$6,$D$100)=0,1,0)</f>
        <v>0</v>
      </c>
      <c r="L102" s="304">
        <f t="shared" si="56"/>
        <v>0</v>
      </c>
      <c r="M102" s="304">
        <f t="shared" si="56"/>
        <v>1</v>
      </c>
      <c r="N102" s="304">
        <f t="shared" si="56"/>
        <v>0</v>
      </c>
      <c r="O102" s="304">
        <f t="shared" si="56"/>
        <v>0</v>
      </c>
      <c r="P102" s="304">
        <f t="shared" si="56"/>
        <v>1</v>
      </c>
      <c r="Q102" s="304">
        <f t="shared" si="56"/>
        <v>0</v>
      </c>
      <c r="R102" s="304">
        <f t="shared" si="56"/>
        <v>0</v>
      </c>
      <c r="S102" s="304">
        <f t="shared" si="56"/>
        <v>1</v>
      </c>
      <c r="T102" s="304">
        <f t="shared" si="56"/>
        <v>0</v>
      </c>
      <c r="U102" s="304">
        <f t="shared" si="56"/>
        <v>0</v>
      </c>
      <c r="V102" s="304">
        <f t="shared" si="56"/>
        <v>1</v>
      </c>
      <c r="W102" s="304">
        <f t="shared" si="56"/>
        <v>0</v>
      </c>
      <c r="X102" s="304">
        <f t="shared" si="56"/>
        <v>0</v>
      </c>
      <c r="Y102" s="304">
        <f t="shared" si="56"/>
        <v>1</v>
      </c>
      <c r="Z102" s="304">
        <f t="shared" si="56"/>
        <v>0</v>
      </c>
      <c r="AA102" s="304">
        <f t="shared" si="56"/>
        <v>0</v>
      </c>
      <c r="AB102" s="304">
        <f t="shared" si="56"/>
        <v>1</v>
      </c>
      <c r="AC102" s="304">
        <f t="shared" si="56"/>
        <v>0</v>
      </c>
      <c r="AD102" s="304">
        <f t="shared" si="56"/>
        <v>0</v>
      </c>
      <c r="AE102" s="304">
        <f t="shared" si="56"/>
        <v>1</v>
      </c>
      <c r="AF102" s="304">
        <f t="shared" si="56"/>
        <v>0</v>
      </c>
      <c r="AG102" s="304">
        <f t="shared" si="56"/>
        <v>0</v>
      </c>
      <c r="AH102" s="304">
        <f t="shared" si="56"/>
        <v>1</v>
      </c>
      <c r="AI102" s="304">
        <f t="shared" si="56"/>
        <v>0</v>
      </c>
      <c r="AJ102" s="304">
        <f t="shared" si="56"/>
        <v>0</v>
      </c>
      <c r="AK102" s="304">
        <f t="shared" si="56"/>
        <v>1</v>
      </c>
      <c r="AL102" s="304">
        <f t="shared" si="56"/>
        <v>0</v>
      </c>
      <c r="AM102" s="304">
        <f t="shared" si="56"/>
        <v>0</v>
      </c>
      <c r="AN102" s="304">
        <f t="shared" si="56"/>
        <v>1</v>
      </c>
      <c r="AO102" s="304">
        <f t="shared" si="56"/>
        <v>0</v>
      </c>
      <c r="AP102" s="304">
        <f t="shared" si="56"/>
        <v>0</v>
      </c>
      <c r="AQ102" s="304">
        <f t="shared" ref="AQ102:BR102" si="57">IF(MOD(AQ$6,$D$100)=0,1,0)</f>
        <v>1</v>
      </c>
      <c r="AR102" s="304">
        <f t="shared" si="57"/>
        <v>0</v>
      </c>
      <c r="AS102" s="304">
        <f t="shared" si="57"/>
        <v>0</v>
      </c>
      <c r="AT102" s="304">
        <f t="shared" si="57"/>
        <v>1</v>
      </c>
      <c r="AU102" s="304">
        <f t="shared" si="57"/>
        <v>0</v>
      </c>
      <c r="AV102" s="304">
        <f t="shared" si="57"/>
        <v>0</v>
      </c>
      <c r="AW102" s="304">
        <f t="shared" si="57"/>
        <v>1</v>
      </c>
      <c r="AX102" s="304">
        <f t="shared" si="57"/>
        <v>0</v>
      </c>
      <c r="AY102" s="304">
        <f t="shared" si="57"/>
        <v>0</v>
      </c>
      <c r="AZ102" s="304">
        <f t="shared" si="57"/>
        <v>1</v>
      </c>
      <c r="BA102" s="304">
        <f t="shared" si="57"/>
        <v>0</v>
      </c>
      <c r="BB102" s="304">
        <f t="shared" si="57"/>
        <v>0</v>
      </c>
      <c r="BC102" s="304">
        <f t="shared" si="57"/>
        <v>1</v>
      </c>
      <c r="BD102" s="304">
        <f t="shared" si="57"/>
        <v>0</v>
      </c>
      <c r="BE102" s="304">
        <f t="shared" si="57"/>
        <v>0</v>
      </c>
      <c r="BF102" s="304">
        <f t="shared" si="57"/>
        <v>1</v>
      </c>
      <c r="BG102" s="304">
        <f t="shared" si="57"/>
        <v>0</v>
      </c>
      <c r="BH102" s="304">
        <f t="shared" si="57"/>
        <v>0</v>
      </c>
      <c r="BI102" s="304">
        <f t="shared" si="57"/>
        <v>1</v>
      </c>
      <c r="BJ102" s="304">
        <f t="shared" si="57"/>
        <v>0</v>
      </c>
      <c r="BK102" s="304">
        <f t="shared" si="57"/>
        <v>0</v>
      </c>
      <c r="BL102" s="304">
        <f t="shared" si="57"/>
        <v>1</v>
      </c>
      <c r="BM102" s="304">
        <f t="shared" si="57"/>
        <v>0</v>
      </c>
      <c r="BN102" s="304">
        <f t="shared" si="57"/>
        <v>0</v>
      </c>
      <c r="BO102" s="304">
        <f t="shared" si="57"/>
        <v>1</v>
      </c>
      <c r="BP102" s="304">
        <f t="shared" si="57"/>
        <v>0</v>
      </c>
      <c r="BQ102" s="304">
        <f t="shared" si="57"/>
        <v>0</v>
      </c>
      <c r="BR102" s="304">
        <f t="shared" si="57"/>
        <v>1</v>
      </c>
    </row>
    <row r="103" spans="2:70" s="304" customFormat="1" x14ac:dyDescent="0.25">
      <c r="C103" s="204"/>
      <c r="D103" s="307"/>
      <c r="E103" s="306"/>
      <c r="F103" s="306"/>
      <c r="G103" s="306"/>
      <c r="H103" s="306"/>
      <c r="I103" s="306"/>
      <c r="J103" s="63"/>
    </row>
    <row r="104" spans="2:70" s="304" customFormat="1" x14ac:dyDescent="0.25">
      <c r="C104" s="308" t="s">
        <v>418</v>
      </c>
      <c r="D104" s="309" t="str">
        <f>unit</f>
        <v>£</v>
      </c>
      <c r="E104" s="63">
        <f>D108</f>
        <v>0</v>
      </c>
      <c r="F104" s="63">
        <f>E108</f>
        <v>0</v>
      </c>
      <c r="G104" s="63">
        <f t="shared" ref="G104:I104" si="58">F108</f>
        <v>0</v>
      </c>
      <c r="H104" s="63">
        <f t="shared" si="58"/>
        <v>0</v>
      </c>
      <c r="I104" s="63">
        <f t="shared" si="58"/>
        <v>0</v>
      </c>
      <c r="J104" s="63"/>
      <c r="K104" s="64">
        <f>D108</f>
        <v>0</v>
      </c>
      <c r="L104" s="64">
        <f t="shared" ref="L104:BR104" si="59">K108</f>
        <v>0</v>
      </c>
      <c r="M104" s="64">
        <f t="shared" si="59"/>
        <v>0</v>
      </c>
      <c r="N104" s="64">
        <f t="shared" si="59"/>
        <v>0</v>
      </c>
      <c r="O104" s="64">
        <f t="shared" si="59"/>
        <v>0</v>
      </c>
      <c r="P104" s="64">
        <f t="shared" si="59"/>
        <v>0</v>
      </c>
      <c r="Q104" s="64">
        <f t="shared" si="59"/>
        <v>0</v>
      </c>
      <c r="R104" s="64">
        <f t="shared" si="59"/>
        <v>0</v>
      </c>
      <c r="S104" s="64">
        <f t="shared" si="59"/>
        <v>0</v>
      </c>
      <c r="T104" s="64">
        <f t="shared" si="59"/>
        <v>0</v>
      </c>
      <c r="U104" s="64">
        <f t="shared" si="59"/>
        <v>0</v>
      </c>
      <c r="V104" s="64">
        <f t="shared" si="59"/>
        <v>0</v>
      </c>
      <c r="W104" s="64">
        <f t="shared" si="59"/>
        <v>0</v>
      </c>
      <c r="X104" s="64">
        <f t="shared" si="59"/>
        <v>0</v>
      </c>
      <c r="Y104" s="64">
        <f t="shared" si="59"/>
        <v>0</v>
      </c>
      <c r="Z104" s="64">
        <f t="shared" si="59"/>
        <v>0</v>
      </c>
      <c r="AA104" s="64">
        <f t="shared" si="59"/>
        <v>0</v>
      </c>
      <c r="AB104" s="64">
        <f t="shared" si="59"/>
        <v>0</v>
      </c>
      <c r="AC104" s="64">
        <f t="shared" si="59"/>
        <v>0</v>
      </c>
      <c r="AD104" s="64">
        <f t="shared" si="59"/>
        <v>0</v>
      </c>
      <c r="AE104" s="64">
        <f t="shared" si="59"/>
        <v>0</v>
      </c>
      <c r="AF104" s="64">
        <f t="shared" si="59"/>
        <v>0</v>
      </c>
      <c r="AG104" s="64">
        <f t="shared" si="59"/>
        <v>0</v>
      </c>
      <c r="AH104" s="64">
        <f t="shared" si="59"/>
        <v>0</v>
      </c>
      <c r="AI104" s="64">
        <f t="shared" si="59"/>
        <v>0</v>
      </c>
      <c r="AJ104" s="64">
        <f t="shared" si="59"/>
        <v>0</v>
      </c>
      <c r="AK104" s="64">
        <f t="shared" si="59"/>
        <v>0</v>
      </c>
      <c r="AL104" s="64">
        <f t="shared" si="59"/>
        <v>0</v>
      </c>
      <c r="AM104" s="64">
        <f t="shared" si="59"/>
        <v>0</v>
      </c>
      <c r="AN104" s="64">
        <f t="shared" si="59"/>
        <v>0</v>
      </c>
      <c r="AO104" s="64">
        <f t="shared" si="59"/>
        <v>0</v>
      </c>
      <c r="AP104" s="64">
        <f t="shared" si="59"/>
        <v>0</v>
      </c>
      <c r="AQ104" s="64">
        <f t="shared" si="59"/>
        <v>0</v>
      </c>
      <c r="AR104" s="64">
        <f t="shared" si="59"/>
        <v>0</v>
      </c>
      <c r="AS104" s="64">
        <f t="shared" si="59"/>
        <v>0</v>
      </c>
      <c r="AT104" s="64">
        <f t="shared" si="59"/>
        <v>0</v>
      </c>
      <c r="AU104" s="64">
        <f t="shared" si="59"/>
        <v>0</v>
      </c>
      <c r="AV104" s="64">
        <f t="shared" si="59"/>
        <v>0</v>
      </c>
      <c r="AW104" s="64">
        <f t="shared" si="59"/>
        <v>0</v>
      </c>
      <c r="AX104" s="64">
        <f t="shared" si="59"/>
        <v>0</v>
      </c>
      <c r="AY104" s="64">
        <f t="shared" si="59"/>
        <v>0</v>
      </c>
      <c r="AZ104" s="64">
        <f t="shared" si="59"/>
        <v>0</v>
      </c>
      <c r="BA104" s="64">
        <f t="shared" si="59"/>
        <v>0</v>
      </c>
      <c r="BB104" s="64">
        <f t="shared" si="59"/>
        <v>0</v>
      </c>
      <c r="BC104" s="64">
        <f t="shared" si="59"/>
        <v>0</v>
      </c>
      <c r="BD104" s="64">
        <f t="shared" si="59"/>
        <v>0</v>
      </c>
      <c r="BE104" s="64">
        <f t="shared" si="59"/>
        <v>0</v>
      </c>
      <c r="BF104" s="64">
        <f t="shared" si="59"/>
        <v>0</v>
      </c>
      <c r="BG104" s="64">
        <f t="shared" si="59"/>
        <v>0</v>
      </c>
      <c r="BH104" s="64">
        <f t="shared" si="59"/>
        <v>0</v>
      </c>
      <c r="BI104" s="64">
        <f t="shared" si="59"/>
        <v>0</v>
      </c>
      <c r="BJ104" s="64">
        <f t="shared" si="59"/>
        <v>0</v>
      </c>
      <c r="BK104" s="64">
        <f t="shared" si="59"/>
        <v>0</v>
      </c>
      <c r="BL104" s="64">
        <f t="shared" si="59"/>
        <v>0</v>
      </c>
      <c r="BM104" s="64">
        <f t="shared" si="59"/>
        <v>0</v>
      </c>
      <c r="BN104" s="64">
        <f t="shared" si="59"/>
        <v>0</v>
      </c>
      <c r="BO104" s="64">
        <f t="shared" si="59"/>
        <v>0</v>
      </c>
      <c r="BP104" s="64">
        <f t="shared" si="59"/>
        <v>0</v>
      </c>
      <c r="BQ104" s="64">
        <f t="shared" si="59"/>
        <v>0</v>
      </c>
      <c r="BR104" s="64">
        <f t="shared" si="59"/>
        <v>0</v>
      </c>
    </row>
    <row r="105" spans="2:70" s="304" customFormat="1" x14ac:dyDescent="0.25">
      <c r="C105" s="320" t="s">
        <v>461</v>
      </c>
      <c r="D105" s="309" t="str">
        <f>unit</f>
        <v>£</v>
      </c>
      <c r="E105" s="63">
        <f>SUMIF($K$5:$BR$5,E$5,$K105:$BR105)</f>
        <v>0</v>
      </c>
      <c r="F105" s="63">
        <f t="shared" ref="F105:I107" si="60">SUMIF($K$5:$BR$5,F$5,$K105:$BR105)</f>
        <v>0</v>
      </c>
      <c r="G105" s="63">
        <f t="shared" si="60"/>
        <v>0</v>
      </c>
      <c r="H105" s="63">
        <f t="shared" si="60"/>
        <v>0</v>
      </c>
      <c r="I105" s="63">
        <f t="shared" si="60"/>
        <v>0</v>
      </c>
      <c r="J105" s="63"/>
      <c r="K105" s="64">
        <f>(K19+K30+K41)/(1+$D$99)*$D$99</f>
        <v>0</v>
      </c>
      <c r="L105" s="64">
        <f t="shared" ref="L105:BR105" si="61">(L19+L30+L41)/(1+$D$99)*$D$99</f>
        <v>0</v>
      </c>
      <c r="M105" s="64">
        <f t="shared" si="61"/>
        <v>0</v>
      </c>
      <c r="N105" s="64">
        <f t="shared" si="61"/>
        <v>0</v>
      </c>
      <c r="O105" s="64">
        <f t="shared" si="61"/>
        <v>0</v>
      </c>
      <c r="P105" s="64">
        <f t="shared" si="61"/>
        <v>0</v>
      </c>
      <c r="Q105" s="64">
        <f t="shared" si="61"/>
        <v>0</v>
      </c>
      <c r="R105" s="64">
        <f t="shared" si="61"/>
        <v>0</v>
      </c>
      <c r="S105" s="64">
        <f t="shared" si="61"/>
        <v>0</v>
      </c>
      <c r="T105" s="64">
        <f t="shared" si="61"/>
        <v>0</v>
      </c>
      <c r="U105" s="64">
        <f t="shared" si="61"/>
        <v>0</v>
      </c>
      <c r="V105" s="64">
        <f t="shared" si="61"/>
        <v>0</v>
      </c>
      <c r="W105" s="64">
        <f t="shared" si="61"/>
        <v>0</v>
      </c>
      <c r="X105" s="64">
        <f t="shared" si="61"/>
        <v>0</v>
      </c>
      <c r="Y105" s="64">
        <f t="shared" si="61"/>
        <v>0</v>
      </c>
      <c r="Z105" s="64">
        <f t="shared" si="61"/>
        <v>0</v>
      </c>
      <c r="AA105" s="64">
        <f t="shared" si="61"/>
        <v>0</v>
      </c>
      <c r="AB105" s="64">
        <f t="shared" si="61"/>
        <v>0</v>
      </c>
      <c r="AC105" s="64">
        <f t="shared" si="61"/>
        <v>0</v>
      </c>
      <c r="AD105" s="64">
        <f t="shared" si="61"/>
        <v>0</v>
      </c>
      <c r="AE105" s="64">
        <f t="shared" si="61"/>
        <v>0</v>
      </c>
      <c r="AF105" s="64">
        <f t="shared" si="61"/>
        <v>0</v>
      </c>
      <c r="AG105" s="64">
        <f t="shared" si="61"/>
        <v>0</v>
      </c>
      <c r="AH105" s="64">
        <f t="shared" si="61"/>
        <v>0</v>
      </c>
      <c r="AI105" s="64">
        <f t="shared" si="61"/>
        <v>0</v>
      </c>
      <c r="AJ105" s="64">
        <f t="shared" si="61"/>
        <v>0</v>
      </c>
      <c r="AK105" s="64">
        <f t="shared" si="61"/>
        <v>0</v>
      </c>
      <c r="AL105" s="64">
        <f t="shared" si="61"/>
        <v>0</v>
      </c>
      <c r="AM105" s="64">
        <f t="shared" si="61"/>
        <v>0</v>
      </c>
      <c r="AN105" s="64">
        <f t="shared" si="61"/>
        <v>0</v>
      </c>
      <c r="AO105" s="64">
        <f t="shared" si="61"/>
        <v>0</v>
      </c>
      <c r="AP105" s="64">
        <f t="shared" si="61"/>
        <v>0</v>
      </c>
      <c r="AQ105" s="64">
        <f t="shared" si="61"/>
        <v>0</v>
      </c>
      <c r="AR105" s="64">
        <f t="shared" si="61"/>
        <v>0</v>
      </c>
      <c r="AS105" s="64">
        <f t="shared" si="61"/>
        <v>0</v>
      </c>
      <c r="AT105" s="64">
        <f t="shared" si="61"/>
        <v>0</v>
      </c>
      <c r="AU105" s="64">
        <f t="shared" si="61"/>
        <v>0</v>
      </c>
      <c r="AV105" s="64">
        <f t="shared" si="61"/>
        <v>0</v>
      </c>
      <c r="AW105" s="64">
        <f t="shared" si="61"/>
        <v>0</v>
      </c>
      <c r="AX105" s="64">
        <f t="shared" si="61"/>
        <v>0</v>
      </c>
      <c r="AY105" s="64">
        <f t="shared" si="61"/>
        <v>0</v>
      </c>
      <c r="AZ105" s="64">
        <f t="shared" si="61"/>
        <v>0</v>
      </c>
      <c r="BA105" s="64">
        <f t="shared" si="61"/>
        <v>0</v>
      </c>
      <c r="BB105" s="64">
        <f t="shared" si="61"/>
        <v>0</v>
      </c>
      <c r="BC105" s="64">
        <f t="shared" si="61"/>
        <v>0</v>
      </c>
      <c r="BD105" s="64">
        <f t="shared" si="61"/>
        <v>0</v>
      </c>
      <c r="BE105" s="64">
        <f t="shared" si="61"/>
        <v>0</v>
      </c>
      <c r="BF105" s="64">
        <f t="shared" si="61"/>
        <v>0</v>
      </c>
      <c r="BG105" s="64">
        <f t="shared" si="61"/>
        <v>0</v>
      </c>
      <c r="BH105" s="64">
        <f t="shared" si="61"/>
        <v>0</v>
      </c>
      <c r="BI105" s="64">
        <f t="shared" si="61"/>
        <v>0</v>
      </c>
      <c r="BJ105" s="64">
        <f t="shared" si="61"/>
        <v>0</v>
      </c>
      <c r="BK105" s="64">
        <f t="shared" si="61"/>
        <v>0</v>
      </c>
      <c r="BL105" s="64">
        <f t="shared" si="61"/>
        <v>0</v>
      </c>
      <c r="BM105" s="64">
        <f t="shared" si="61"/>
        <v>0</v>
      </c>
      <c r="BN105" s="64">
        <f t="shared" si="61"/>
        <v>0</v>
      </c>
      <c r="BO105" s="64">
        <f t="shared" si="61"/>
        <v>0</v>
      </c>
      <c r="BP105" s="64">
        <f t="shared" si="61"/>
        <v>0</v>
      </c>
      <c r="BQ105" s="64">
        <f t="shared" si="61"/>
        <v>0</v>
      </c>
      <c r="BR105" s="64">
        <f t="shared" si="61"/>
        <v>0</v>
      </c>
    </row>
    <row r="106" spans="2:70" s="304" customFormat="1" x14ac:dyDescent="0.25">
      <c r="C106" s="320" t="s">
        <v>462</v>
      </c>
      <c r="D106" s="309" t="str">
        <f>unit</f>
        <v>£</v>
      </c>
      <c r="E106" s="63">
        <f>SUMIF($K$5:$BR$5,E$5,$K106:$BR106)</f>
        <v>0</v>
      </c>
      <c r="F106" s="63">
        <f t="shared" si="60"/>
        <v>0</v>
      </c>
      <c r="G106" s="63">
        <f t="shared" si="60"/>
        <v>0</v>
      </c>
      <c r="H106" s="63">
        <f t="shared" si="60"/>
        <v>0</v>
      </c>
      <c r="I106" s="63">
        <f t="shared" si="60"/>
        <v>0</v>
      </c>
      <c r="J106" s="171"/>
      <c r="K106" s="64">
        <f>K89/(1+$D$99)*$D$99</f>
        <v>0</v>
      </c>
      <c r="L106" s="64">
        <f t="shared" ref="L106:BR106" si="62">L89/(1+$D$99)*$D$99</f>
        <v>0</v>
      </c>
      <c r="M106" s="64">
        <f t="shared" si="62"/>
        <v>0</v>
      </c>
      <c r="N106" s="64">
        <f t="shared" si="62"/>
        <v>0</v>
      </c>
      <c r="O106" s="64">
        <f t="shared" si="62"/>
        <v>0</v>
      </c>
      <c r="P106" s="64">
        <f t="shared" si="62"/>
        <v>0</v>
      </c>
      <c r="Q106" s="64">
        <f t="shared" si="62"/>
        <v>0</v>
      </c>
      <c r="R106" s="64">
        <f t="shared" si="62"/>
        <v>0</v>
      </c>
      <c r="S106" s="64">
        <f t="shared" si="62"/>
        <v>0</v>
      </c>
      <c r="T106" s="64">
        <f t="shared" si="62"/>
        <v>0</v>
      </c>
      <c r="U106" s="64">
        <f t="shared" si="62"/>
        <v>0</v>
      </c>
      <c r="V106" s="64">
        <f t="shared" si="62"/>
        <v>0</v>
      </c>
      <c r="W106" s="64">
        <f t="shared" si="62"/>
        <v>0</v>
      </c>
      <c r="X106" s="64">
        <f t="shared" si="62"/>
        <v>0</v>
      </c>
      <c r="Y106" s="64">
        <f t="shared" si="62"/>
        <v>0</v>
      </c>
      <c r="Z106" s="64">
        <f t="shared" si="62"/>
        <v>0</v>
      </c>
      <c r="AA106" s="64">
        <f t="shared" si="62"/>
        <v>0</v>
      </c>
      <c r="AB106" s="64">
        <f t="shared" si="62"/>
        <v>0</v>
      </c>
      <c r="AC106" s="64">
        <f t="shared" si="62"/>
        <v>0</v>
      </c>
      <c r="AD106" s="64">
        <f t="shared" si="62"/>
        <v>0</v>
      </c>
      <c r="AE106" s="64">
        <f t="shared" si="62"/>
        <v>0</v>
      </c>
      <c r="AF106" s="64">
        <f t="shared" si="62"/>
        <v>0</v>
      </c>
      <c r="AG106" s="64">
        <f t="shared" si="62"/>
        <v>0</v>
      </c>
      <c r="AH106" s="64">
        <f t="shared" si="62"/>
        <v>0</v>
      </c>
      <c r="AI106" s="64">
        <f t="shared" si="62"/>
        <v>0</v>
      </c>
      <c r="AJ106" s="64">
        <f t="shared" si="62"/>
        <v>0</v>
      </c>
      <c r="AK106" s="64">
        <f t="shared" si="62"/>
        <v>0</v>
      </c>
      <c r="AL106" s="64">
        <f t="shared" si="62"/>
        <v>0</v>
      </c>
      <c r="AM106" s="64">
        <f t="shared" si="62"/>
        <v>0</v>
      </c>
      <c r="AN106" s="64">
        <f t="shared" si="62"/>
        <v>0</v>
      </c>
      <c r="AO106" s="64">
        <f t="shared" si="62"/>
        <v>0</v>
      </c>
      <c r="AP106" s="64">
        <f t="shared" si="62"/>
        <v>0</v>
      </c>
      <c r="AQ106" s="64">
        <f t="shared" si="62"/>
        <v>0</v>
      </c>
      <c r="AR106" s="64">
        <f t="shared" si="62"/>
        <v>0</v>
      </c>
      <c r="AS106" s="64">
        <f t="shared" si="62"/>
        <v>0</v>
      </c>
      <c r="AT106" s="64">
        <f t="shared" si="62"/>
        <v>0</v>
      </c>
      <c r="AU106" s="64">
        <f t="shared" si="62"/>
        <v>0</v>
      </c>
      <c r="AV106" s="64">
        <f t="shared" si="62"/>
        <v>0</v>
      </c>
      <c r="AW106" s="64">
        <f t="shared" si="62"/>
        <v>0</v>
      </c>
      <c r="AX106" s="64">
        <f t="shared" si="62"/>
        <v>0</v>
      </c>
      <c r="AY106" s="64">
        <f t="shared" si="62"/>
        <v>0</v>
      </c>
      <c r="AZ106" s="64">
        <f t="shared" si="62"/>
        <v>0</v>
      </c>
      <c r="BA106" s="64">
        <f t="shared" si="62"/>
        <v>0</v>
      </c>
      <c r="BB106" s="64">
        <f t="shared" si="62"/>
        <v>0</v>
      </c>
      <c r="BC106" s="64">
        <f t="shared" si="62"/>
        <v>0</v>
      </c>
      <c r="BD106" s="64">
        <f t="shared" si="62"/>
        <v>0</v>
      </c>
      <c r="BE106" s="64">
        <f t="shared" si="62"/>
        <v>0</v>
      </c>
      <c r="BF106" s="64">
        <f t="shared" si="62"/>
        <v>0</v>
      </c>
      <c r="BG106" s="64">
        <f t="shared" si="62"/>
        <v>0</v>
      </c>
      <c r="BH106" s="64">
        <f t="shared" si="62"/>
        <v>0</v>
      </c>
      <c r="BI106" s="64">
        <f t="shared" si="62"/>
        <v>0</v>
      </c>
      <c r="BJ106" s="64">
        <f t="shared" si="62"/>
        <v>0</v>
      </c>
      <c r="BK106" s="64">
        <f t="shared" si="62"/>
        <v>0</v>
      </c>
      <c r="BL106" s="64">
        <f t="shared" si="62"/>
        <v>0</v>
      </c>
      <c r="BM106" s="64">
        <f t="shared" si="62"/>
        <v>0</v>
      </c>
      <c r="BN106" s="64">
        <f t="shared" si="62"/>
        <v>0</v>
      </c>
      <c r="BO106" s="64">
        <f t="shared" si="62"/>
        <v>0</v>
      </c>
      <c r="BP106" s="64">
        <f t="shared" si="62"/>
        <v>0</v>
      </c>
      <c r="BQ106" s="64">
        <f t="shared" si="62"/>
        <v>0</v>
      </c>
      <c r="BR106" s="64">
        <f t="shared" si="62"/>
        <v>0</v>
      </c>
    </row>
    <row r="107" spans="2:70" s="304" customFormat="1" x14ac:dyDescent="0.25">
      <c r="C107" s="308" t="s">
        <v>419</v>
      </c>
      <c r="D107" s="309" t="str">
        <f>unit</f>
        <v>£</v>
      </c>
      <c r="E107" s="63">
        <f>SUMIF($K$5:$BR$5,E$5,$K107:$BR107)</f>
        <v>0</v>
      </c>
      <c r="F107" s="63">
        <f t="shared" si="60"/>
        <v>0</v>
      </c>
      <c r="G107" s="63">
        <f t="shared" si="60"/>
        <v>0</v>
      </c>
      <c r="H107" s="63">
        <f t="shared" si="60"/>
        <v>0</v>
      </c>
      <c r="I107" s="63">
        <f t="shared" si="60"/>
        <v>0</v>
      </c>
      <c r="J107" s="171"/>
      <c r="K107" s="64">
        <f t="shared" ref="K107:AP107" si="63">IF(K102=1,-SUM(K104:K106),0)</f>
        <v>0</v>
      </c>
      <c r="L107" s="64">
        <f t="shared" si="63"/>
        <v>0</v>
      </c>
      <c r="M107" s="64">
        <f t="shared" si="63"/>
        <v>0</v>
      </c>
      <c r="N107" s="64">
        <f t="shared" si="63"/>
        <v>0</v>
      </c>
      <c r="O107" s="64">
        <f t="shared" si="63"/>
        <v>0</v>
      </c>
      <c r="P107" s="64">
        <f t="shared" si="63"/>
        <v>0</v>
      </c>
      <c r="Q107" s="64">
        <f t="shared" si="63"/>
        <v>0</v>
      </c>
      <c r="R107" s="64">
        <f t="shared" si="63"/>
        <v>0</v>
      </c>
      <c r="S107" s="64">
        <f t="shared" si="63"/>
        <v>0</v>
      </c>
      <c r="T107" s="64">
        <f t="shared" si="63"/>
        <v>0</v>
      </c>
      <c r="U107" s="64">
        <f t="shared" si="63"/>
        <v>0</v>
      </c>
      <c r="V107" s="64">
        <f t="shared" si="63"/>
        <v>0</v>
      </c>
      <c r="W107" s="64">
        <f t="shared" si="63"/>
        <v>0</v>
      </c>
      <c r="X107" s="64">
        <f t="shared" si="63"/>
        <v>0</v>
      </c>
      <c r="Y107" s="64">
        <f t="shared" si="63"/>
        <v>0</v>
      </c>
      <c r="Z107" s="64">
        <f t="shared" si="63"/>
        <v>0</v>
      </c>
      <c r="AA107" s="64">
        <f t="shared" si="63"/>
        <v>0</v>
      </c>
      <c r="AB107" s="64">
        <f t="shared" si="63"/>
        <v>0</v>
      </c>
      <c r="AC107" s="64">
        <f t="shared" si="63"/>
        <v>0</v>
      </c>
      <c r="AD107" s="64">
        <f t="shared" si="63"/>
        <v>0</v>
      </c>
      <c r="AE107" s="64">
        <f t="shared" si="63"/>
        <v>0</v>
      </c>
      <c r="AF107" s="64">
        <f t="shared" si="63"/>
        <v>0</v>
      </c>
      <c r="AG107" s="64">
        <f t="shared" si="63"/>
        <v>0</v>
      </c>
      <c r="AH107" s="64">
        <f t="shared" si="63"/>
        <v>0</v>
      </c>
      <c r="AI107" s="64">
        <f t="shared" si="63"/>
        <v>0</v>
      </c>
      <c r="AJ107" s="64">
        <f t="shared" si="63"/>
        <v>0</v>
      </c>
      <c r="AK107" s="64">
        <f t="shared" si="63"/>
        <v>0</v>
      </c>
      <c r="AL107" s="64">
        <f t="shared" si="63"/>
        <v>0</v>
      </c>
      <c r="AM107" s="64">
        <f t="shared" si="63"/>
        <v>0</v>
      </c>
      <c r="AN107" s="64">
        <f t="shared" si="63"/>
        <v>0</v>
      </c>
      <c r="AO107" s="64">
        <f t="shared" si="63"/>
        <v>0</v>
      </c>
      <c r="AP107" s="64">
        <f t="shared" si="63"/>
        <v>0</v>
      </c>
      <c r="AQ107" s="64">
        <f t="shared" ref="AQ107:BR107" si="64">IF(AQ102=1,-SUM(AQ104:AQ106),0)</f>
        <v>0</v>
      </c>
      <c r="AR107" s="64">
        <f t="shared" si="64"/>
        <v>0</v>
      </c>
      <c r="AS107" s="64">
        <f t="shared" si="64"/>
        <v>0</v>
      </c>
      <c r="AT107" s="64">
        <f t="shared" si="64"/>
        <v>0</v>
      </c>
      <c r="AU107" s="64">
        <f t="shared" si="64"/>
        <v>0</v>
      </c>
      <c r="AV107" s="64">
        <f t="shared" si="64"/>
        <v>0</v>
      </c>
      <c r="AW107" s="64">
        <f t="shared" si="64"/>
        <v>0</v>
      </c>
      <c r="AX107" s="64">
        <f t="shared" si="64"/>
        <v>0</v>
      </c>
      <c r="AY107" s="64">
        <f t="shared" si="64"/>
        <v>0</v>
      </c>
      <c r="AZ107" s="64">
        <f t="shared" si="64"/>
        <v>0</v>
      </c>
      <c r="BA107" s="64">
        <f t="shared" si="64"/>
        <v>0</v>
      </c>
      <c r="BB107" s="64">
        <f t="shared" si="64"/>
        <v>0</v>
      </c>
      <c r="BC107" s="64">
        <f t="shared" si="64"/>
        <v>0</v>
      </c>
      <c r="BD107" s="64">
        <f t="shared" si="64"/>
        <v>0</v>
      </c>
      <c r="BE107" s="64">
        <f t="shared" si="64"/>
        <v>0</v>
      </c>
      <c r="BF107" s="64">
        <f t="shared" si="64"/>
        <v>0</v>
      </c>
      <c r="BG107" s="64">
        <f t="shared" si="64"/>
        <v>0</v>
      </c>
      <c r="BH107" s="64">
        <f t="shared" si="64"/>
        <v>0</v>
      </c>
      <c r="BI107" s="64">
        <f t="shared" si="64"/>
        <v>0</v>
      </c>
      <c r="BJ107" s="64">
        <f t="shared" si="64"/>
        <v>0</v>
      </c>
      <c r="BK107" s="64">
        <f t="shared" si="64"/>
        <v>0</v>
      </c>
      <c r="BL107" s="64">
        <f t="shared" si="64"/>
        <v>0</v>
      </c>
      <c r="BM107" s="64">
        <f t="shared" si="64"/>
        <v>0</v>
      </c>
      <c r="BN107" s="64">
        <f t="shared" si="64"/>
        <v>0</v>
      </c>
      <c r="BO107" s="64">
        <f t="shared" si="64"/>
        <v>0</v>
      </c>
      <c r="BP107" s="64">
        <f t="shared" si="64"/>
        <v>0</v>
      </c>
      <c r="BQ107" s="64">
        <f t="shared" si="64"/>
        <v>0</v>
      </c>
      <c r="BR107" s="64">
        <f t="shared" si="64"/>
        <v>0</v>
      </c>
    </row>
    <row r="108" spans="2:70" s="304" customFormat="1" x14ac:dyDescent="0.25">
      <c r="C108" s="308" t="s">
        <v>420</v>
      </c>
      <c r="D108" s="259">
        <f>-KeyInputs!G132</f>
        <v>0</v>
      </c>
      <c r="E108" s="59">
        <f>SUM(E104:E107)</f>
        <v>0</v>
      </c>
      <c r="F108" s="59">
        <f>SUM(F104:F107)</f>
        <v>0</v>
      </c>
      <c r="G108" s="59">
        <f>SUM(G104:G107)</f>
        <v>0</v>
      </c>
      <c r="H108" s="59">
        <f>SUM(H104:H107)</f>
        <v>0</v>
      </c>
      <c r="I108" s="59">
        <f>SUM(I104:I107)</f>
        <v>0</v>
      </c>
      <c r="J108" s="172">
        <f>D108</f>
        <v>0</v>
      </c>
      <c r="K108" s="65">
        <f t="shared" ref="K108:AP108" si="65">SUM(K104:K107)</f>
        <v>0</v>
      </c>
      <c r="L108" s="65">
        <f t="shared" si="65"/>
        <v>0</v>
      </c>
      <c r="M108" s="65">
        <f t="shared" si="65"/>
        <v>0</v>
      </c>
      <c r="N108" s="65">
        <f t="shared" si="65"/>
        <v>0</v>
      </c>
      <c r="O108" s="65">
        <f t="shared" si="65"/>
        <v>0</v>
      </c>
      <c r="P108" s="65">
        <f t="shared" si="65"/>
        <v>0</v>
      </c>
      <c r="Q108" s="65">
        <f t="shared" si="65"/>
        <v>0</v>
      </c>
      <c r="R108" s="65">
        <f t="shared" si="65"/>
        <v>0</v>
      </c>
      <c r="S108" s="65">
        <f t="shared" si="65"/>
        <v>0</v>
      </c>
      <c r="T108" s="65">
        <f t="shared" si="65"/>
        <v>0</v>
      </c>
      <c r="U108" s="65">
        <f t="shared" si="65"/>
        <v>0</v>
      </c>
      <c r="V108" s="65">
        <f t="shared" si="65"/>
        <v>0</v>
      </c>
      <c r="W108" s="65">
        <f t="shared" si="65"/>
        <v>0</v>
      </c>
      <c r="X108" s="65">
        <f t="shared" si="65"/>
        <v>0</v>
      </c>
      <c r="Y108" s="65">
        <f t="shared" si="65"/>
        <v>0</v>
      </c>
      <c r="Z108" s="65">
        <f t="shared" si="65"/>
        <v>0</v>
      </c>
      <c r="AA108" s="65">
        <f t="shared" si="65"/>
        <v>0</v>
      </c>
      <c r="AB108" s="65">
        <f t="shared" si="65"/>
        <v>0</v>
      </c>
      <c r="AC108" s="65">
        <f t="shared" si="65"/>
        <v>0</v>
      </c>
      <c r="AD108" s="65">
        <f t="shared" si="65"/>
        <v>0</v>
      </c>
      <c r="AE108" s="65">
        <f t="shared" si="65"/>
        <v>0</v>
      </c>
      <c r="AF108" s="65">
        <f t="shared" si="65"/>
        <v>0</v>
      </c>
      <c r="AG108" s="65">
        <f t="shared" si="65"/>
        <v>0</v>
      </c>
      <c r="AH108" s="65">
        <f t="shared" si="65"/>
        <v>0</v>
      </c>
      <c r="AI108" s="65">
        <f t="shared" si="65"/>
        <v>0</v>
      </c>
      <c r="AJ108" s="65">
        <f t="shared" si="65"/>
        <v>0</v>
      </c>
      <c r="AK108" s="65">
        <f t="shared" si="65"/>
        <v>0</v>
      </c>
      <c r="AL108" s="65">
        <f t="shared" si="65"/>
        <v>0</v>
      </c>
      <c r="AM108" s="65">
        <f t="shared" si="65"/>
        <v>0</v>
      </c>
      <c r="AN108" s="65">
        <f t="shared" si="65"/>
        <v>0</v>
      </c>
      <c r="AO108" s="65">
        <f t="shared" si="65"/>
        <v>0</v>
      </c>
      <c r="AP108" s="65">
        <f t="shared" si="65"/>
        <v>0</v>
      </c>
      <c r="AQ108" s="65">
        <f t="shared" ref="AQ108:BR108" si="66">SUM(AQ104:AQ107)</f>
        <v>0</v>
      </c>
      <c r="AR108" s="65">
        <f t="shared" si="66"/>
        <v>0</v>
      </c>
      <c r="AS108" s="65">
        <f t="shared" si="66"/>
        <v>0</v>
      </c>
      <c r="AT108" s="65">
        <f t="shared" si="66"/>
        <v>0</v>
      </c>
      <c r="AU108" s="65">
        <f t="shared" si="66"/>
        <v>0</v>
      </c>
      <c r="AV108" s="65">
        <f t="shared" si="66"/>
        <v>0</v>
      </c>
      <c r="AW108" s="65">
        <f t="shared" si="66"/>
        <v>0</v>
      </c>
      <c r="AX108" s="65">
        <f t="shared" si="66"/>
        <v>0</v>
      </c>
      <c r="AY108" s="65">
        <f t="shared" si="66"/>
        <v>0</v>
      </c>
      <c r="AZ108" s="65">
        <f t="shared" si="66"/>
        <v>0</v>
      </c>
      <c r="BA108" s="65">
        <f t="shared" si="66"/>
        <v>0</v>
      </c>
      <c r="BB108" s="65">
        <f t="shared" si="66"/>
        <v>0</v>
      </c>
      <c r="BC108" s="65">
        <f t="shared" si="66"/>
        <v>0</v>
      </c>
      <c r="BD108" s="65">
        <f t="shared" si="66"/>
        <v>0</v>
      </c>
      <c r="BE108" s="65">
        <f t="shared" si="66"/>
        <v>0</v>
      </c>
      <c r="BF108" s="65">
        <f t="shared" si="66"/>
        <v>0</v>
      </c>
      <c r="BG108" s="65">
        <f t="shared" si="66"/>
        <v>0</v>
      </c>
      <c r="BH108" s="65">
        <f t="shared" si="66"/>
        <v>0</v>
      </c>
      <c r="BI108" s="65">
        <f t="shared" si="66"/>
        <v>0</v>
      </c>
      <c r="BJ108" s="65">
        <f t="shared" si="66"/>
        <v>0</v>
      </c>
      <c r="BK108" s="65">
        <f t="shared" si="66"/>
        <v>0</v>
      </c>
      <c r="BL108" s="65">
        <f t="shared" si="66"/>
        <v>0</v>
      </c>
      <c r="BM108" s="65">
        <f t="shared" si="66"/>
        <v>0</v>
      </c>
      <c r="BN108" s="65">
        <f t="shared" si="66"/>
        <v>0</v>
      </c>
      <c r="BO108" s="65">
        <f t="shared" si="66"/>
        <v>0</v>
      </c>
      <c r="BP108" s="65">
        <f t="shared" si="66"/>
        <v>0</v>
      </c>
      <c r="BQ108" s="65">
        <f t="shared" si="66"/>
        <v>0</v>
      </c>
      <c r="BR108" s="65">
        <f t="shared" si="66"/>
        <v>0</v>
      </c>
    </row>
    <row r="109" spans="2:70" s="304" customFormat="1" x14ac:dyDescent="0.25">
      <c r="D109" s="305"/>
      <c r="E109" s="306"/>
      <c r="F109" s="306"/>
      <c r="G109" s="306"/>
      <c r="H109" s="306"/>
      <c r="I109" s="306"/>
      <c r="J109" s="63"/>
    </row>
    <row r="110" spans="2:70" s="304" customFormat="1" x14ac:dyDescent="0.25">
      <c r="C110" s="80" t="s">
        <v>465</v>
      </c>
      <c r="D110" s="305"/>
      <c r="E110" s="306"/>
      <c r="F110" s="306"/>
      <c r="G110" s="306"/>
      <c r="H110" s="306"/>
      <c r="I110" s="306"/>
      <c r="J110" s="63"/>
      <c r="K110" s="64">
        <f>(K108-J108)</f>
        <v>0</v>
      </c>
      <c r="L110" s="64">
        <f t="shared" ref="L110:BR110" si="67">(L108-K108)</f>
        <v>0</v>
      </c>
      <c r="M110" s="64">
        <f t="shared" si="67"/>
        <v>0</v>
      </c>
      <c r="N110" s="64">
        <f t="shared" si="67"/>
        <v>0</v>
      </c>
      <c r="O110" s="64">
        <f t="shared" si="67"/>
        <v>0</v>
      </c>
      <c r="P110" s="64">
        <f t="shared" si="67"/>
        <v>0</v>
      </c>
      <c r="Q110" s="64">
        <f t="shared" si="67"/>
        <v>0</v>
      </c>
      <c r="R110" s="64">
        <f t="shared" si="67"/>
        <v>0</v>
      </c>
      <c r="S110" s="64">
        <f t="shared" si="67"/>
        <v>0</v>
      </c>
      <c r="T110" s="64">
        <f t="shared" si="67"/>
        <v>0</v>
      </c>
      <c r="U110" s="64">
        <f t="shared" si="67"/>
        <v>0</v>
      </c>
      <c r="V110" s="64">
        <f t="shared" si="67"/>
        <v>0</v>
      </c>
      <c r="W110" s="64">
        <f t="shared" si="67"/>
        <v>0</v>
      </c>
      <c r="X110" s="64">
        <f t="shared" si="67"/>
        <v>0</v>
      </c>
      <c r="Y110" s="64">
        <f t="shared" si="67"/>
        <v>0</v>
      </c>
      <c r="Z110" s="64">
        <f t="shared" si="67"/>
        <v>0</v>
      </c>
      <c r="AA110" s="64">
        <f t="shared" si="67"/>
        <v>0</v>
      </c>
      <c r="AB110" s="64">
        <f t="shared" si="67"/>
        <v>0</v>
      </c>
      <c r="AC110" s="64">
        <f t="shared" si="67"/>
        <v>0</v>
      </c>
      <c r="AD110" s="64">
        <f t="shared" si="67"/>
        <v>0</v>
      </c>
      <c r="AE110" s="64">
        <f t="shared" si="67"/>
        <v>0</v>
      </c>
      <c r="AF110" s="64">
        <f t="shared" si="67"/>
        <v>0</v>
      </c>
      <c r="AG110" s="64">
        <f t="shared" si="67"/>
        <v>0</v>
      </c>
      <c r="AH110" s="64">
        <f t="shared" si="67"/>
        <v>0</v>
      </c>
      <c r="AI110" s="64">
        <f t="shared" si="67"/>
        <v>0</v>
      </c>
      <c r="AJ110" s="64">
        <f t="shared" si="67"/>
        <v>0</v>
      </c>
      <c r="AK110" s="64">
        <f t="shared" si="67"/>
        <v>0</v>
      </c>
      <c r="AL110" s="64">
        <f t="shared" si="67"/>
        <v>0</v>
      </c>
      <c r="AM110" s="64">
        <f t="shared" si="67"/>
        <v>0</v>
      </c>
      <c r="AN110" s="64">
        <f t="shared" si="67"/>
        <v>0</v>
      </c>
      <c r="AO110" s="64">
        <f t="shared" si="67"/>
        <v>0</v>
      </c>
      <c r="AP110" s="64">
        <f t="shared" si="67"/>
        <v>0</v>
      </c>
      <c r="AQ110" s="64">
        <f t="shared" si="67"/>
        <v>0</v>
      </c>
      <c r="AR110" s="64">
        <f t="shared" si="67"/>
        <v>0</v>
      </c>
      <c r="AS110" s="64">
        <f t="shared" si="67"/>
        <v>0</v>
      </c>
      <c r="AT110" s="64">
        <f t="shared" si="67"/>
        <v>0</v>
      </c>
      <c r="AU110" s="64">
        <f t="shared" si="67"/>
        <v>0</v>
      </c>
      <c r="AV110" s="64">
        <f t="shared" si="67"/>
        <v>0</v>
      </c>
      <c r="AW110" s="64">
        <f t="shared" si="67"/>
        <v>0</v>
      </c>
      <c r="AX110" s="64">
        <f t="shared" si="67"/>
        <v>0</v>
      </c>
      <c r="AY110" s="64">
        <f t="shared" si="67"/>
        <v>0</v>
      </c>
      <c r="AZ110" s="64">
        <f t="shared" si="67"/>
        <v>0</v>
      </c>
      <c r="BA110" s="64">
        <f t="shared" si="67"/>
        <v>0</v>
      </c>
      <c r="BB110" s="64">
        <f t="shared" si="67"/>
        <v>0</v>
      </c>
      <c r="BC110" s="64">
        <f t="shared" si="67"/>
        <v>0</v>
      </c>
      <c r="BD110" s="64">
        <f t="shared" si="67"/>
        <v>0</v>
      </c>
      <c r="BE110" s="64">
        <f t="shared" si="67"/>
        <v>0</v>
      </c>
      <c r="BF110" s="64">
        <f t="shared" si="67"/>
        <v>0</v>
      </c>
      <c r="BG110" s="64">
        <f t="shared" si="67"/>
        <v>0</v>
      </c>
      <c r="BH110" s="64">
        <f t="shared" si="67"/>
        <v>0</v>
      </c>
      <c r="BI110" s="64">
        <f t="shared" si="67"/>
        <v>0</v>
      </c>
      <c r="BJ110" s="64">
        <f t="shared" si="67"/>
        <v>0</v>
      </c>
      <c r="BK110" s="64">
        <f t="shared" si="67"/>
        <v>0</v>
      </c>
      <c r="BL110" s="64">
        <f t="shared" si="67"/>
        <v>0</v>
      </c>
      <c r="BM110" s="64">
        <f t="shared" si="67"/>
        <v>0</v>
      </c>
      <c r="BN110" s="64">
        <f t="shared" si="67"/>
        <v>0</v>
      </c>
      <c r="BO110" s="64">
        <f t="shared" si="67"/>
        <v>0</v>
      </c>
      <c r="BP110" s="64">
        <f t="shared" si="67"/>
        <v>0</v>
      </c>
      <c r="BQ110" s="64">
        <f t="shared" si="67"/>
        <v>0</v>
      </c>
      <c r="BR110" s="64">
        <f t="shared" si="67"/>
        <v>0</v>
      </c>
    </row>
    <row r="111" spans="2:70" x14ac:dyDescent="0.25">
      <c r="C111" s="304"/>
    </row>
    <row r="113" spans="1:1" s="166" customFormat="1" ht="15.6" x14ac:dyDescent="0.3">
      <c r="A113" s="166" t="s">
        <v>217</v>
      </c>
    </row>
  </sheetData>
  <pageMargins left="0.7" right="0.7" top="0.75" bottom="0.75" header="0.3" footer="0.3"/>
  <pageSetup paperSize="0" orientation="portrait"/>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7">
    <tabColor rgb="FF00B050"/>
    <pageSetUpPr fitToPage="1"/>
  </sheetPr>
  <dimension ref="A1:BZ118"/>
  <sheetViews>
    <sheetView showGridLines="0" zoomScale="80" zoomScaleNormal="80" zoomScalePageLayoutView="80" workbookViewId="0">
      <pane xSplit="10" ySplit="8" topLeftCell="K9" activePane="bottomRight" state="frozen"/>
      <selection activeCell="C10" sqref="C10"/>
      <selection pane="topRight" activeCell="C10" sqref="C10"/>
      <selection pane="bottomLeft" activeCell="C10" sqref="C10"/>
      <selection pane="bottomRight" activeCell="H44" sqref="H44"/>
    </sheetView>
  </sheetViews>
  <sheetFormatPr defaultColWidth="0" defaultRowHeight="13.2" x14ac:dyDescent="0.25"/>
  <cols>
    <col min="1" max="1" width="3.44140625" style="139" customWidth="1"/>
    <col min="2" max="2" width="31" style="139" customWidth="1"/>
    <col min="3" max="3" width="6.44140625" style="139" customWidth="1"/>
    <col min="4" max="4" width="7.88671875" style="139" customWidth="1"/>
    <col min="5" max="5" width="13" style="139" customWidth="1"/>
    <col min="6" max="6" width="11.44140625" style="139" customWidth="1"/>
    <col min="7" max="7" width="11.109375" style="139" customWidth="1"/>
    <col min="8" max="8" width="12.109375" style="139" customWidth="1"/>
    <col min="9" max="9" width="10" style="139" bestFit="1" customWidth="1"/>
    <col min="10" max="10" width="3.44140625" style="139" customWidth="1"/>
    <col min="11" max="11" width="10.109375" style="139" bestFit="1" customWidth="1"/>
    <col min="12" max="12" width="10.44140625" style="139" bestFit="1" customWidth="1"/>
    <col min="13" max="13" width="10.33203125" style="139" bestFit="1" customWidth="1"/>
    <col min="14" max="14" width="10" style="139" bestFit="1" customWidth="1"/>
    <col min="15" max="16" width="10.33203125" style="139" bestFit="1" customWidth="1"/>
    <col min="17" max="17" width="10" style="139" bestFit="1" customWidth="1"/>
    <col min="18" max="20" width="10.109375" style="139" bestFit="1" customWidth="1"/>
    <col min="21" max="21" width="10.44140625" style="139" bestFit="1" customWidth="1"/>
    <col min="22" max="22" width="10" style="139" bestFit="1" customWidth="1"/>
    <col min="23" max="23" width="12.109375" style="139" customWidth="1"/>
    <col min="24" max="24" width="10.44140625" style="139" bestFit="1" customWidth="1"/>
    <col min="25" max="25" width="10.33203125" style="139" bestFit="1" customWidth="1"/>
    <col min="26" max="26" width="10" style="139" bestFit="1" customWidth="1"/>
    <col min="27" max="28" width="10.33203125" style="139" bestFit="1" customWidth="1"/>
    <col min="29" max="29" width="10" style="139" bestFit="1" customWidth="1"/>
    <col min="30" max="32" width="10.109375" style="139" bestFit="1" customWidth="1"/>
    <col min="33" max="33" width="10.44140625" style="139" bestFit="1" customWidth="1"/>
    <col min="34" max="34" width="10" style="139" bestFit="1" customWidth="1"/>
    <col min="35" max="35" width="9.33203125" style="139" bestFit="1" customWidth="1"/>
    <col min="36" max="36" width="10.44140625" style="139" bestFit="1" customWidth="1"/>
    <col min="37" max="37" width="10.33203125" style="139" bestFit="1" customWidth="1"/>
    <col min="38" max="38" width="10" style="139" bestFit="1" customWidth="1"/>
    <col min="39" max="40" width="10.33203125" style="139" bestFit="1" customWidth="1"/>
    <col min="41" max="41" width="10" style="139" bestFit="1" customWidth="1"/>
    <col min="42" max="44" width="10.109375" style="139" bestFit="1" customWidth="1"/>
    <col min="45" max="45" width="10.44140625" style="139" bestFit="1" customWidth="1"/>
    <col min="46" max="46" width="17" style="139" customWidth="1"/>
    <col min="47" max="47" width="16.44140625" style="139" customWidth="1"/>
    <col min="48" max="48" width="10.44140625" style="139" bestFit="1" customWidth="1"/>
    <col min="49" max="49" width="10.33203125" style="139" bestFit="1" customWidth="1"/>
    <col min="50" max="50" width="10" style="139" bestFit="1" customWidth="1"/>
    <col min="51" max="52" width="10.33203125" style="139" bestFit="1" customWidth="1"/>
    <col min="53" max="53" width="10" style="139" bestFit="1" customWidth="1"/>
    <col min="54" max="56" width="10.109375" style="139" bestFit="1" customWidth="1"/>
    <col min="57" max="57" width="10.44140625" style="139" bestFit="1" customWidth="1"/>
    <col min="58" max="58" width="10" style="139" bestFit="1" customWidth="1"/>
    <col min="59" max="59" width="9.33203125" style="139" bestFit="1" customWidth="1"/>
    <col min="60" max="60" width="10.44140625" style="139" bestFit="1" customWidth="1"/>
    <col min="61" max="61" width="10.33203125" style="139" bestFit="1" customWidth="1"/>
    <col min="62" max="62" width="10" style="139" bestFit="1" customWidth="1"/>
    <col min="63" max="64" width="10.33203125" style="139" bestFit="1" customWidth="1"/>
    <col min="65" max="65" width="10" style="139" bestFit="1" customWidth="1"/>
    <col min="66" max="68" width="10.109375" style="139" bestFit="1" customWidth="1"/>
    <col min="69" max="69" width="10.44140625" style="139" bestFit="1" customWidth="1"/>
    <col min="70" max="70" width="10" style="139" bestFit="1" customWidth="1"/>
    <col min="71" max="71" width="3" style="139" customWidth="1"/>
    <col min="72" max="72" width="12.33203125" style="71" bestFit="1" customWidth="1"/>
    <col min="73" max="78" width="9.109375" style="139" customWidth="1"/>
    <col min="79" max="16384" width="9.109375" style="139" hidden="1"/>
  </cols>
  <sheetData>
    <row r="1" spans="1:78" s="285" customFormat="1" x14ac:dyDescent="0.25"/>
    <row r="2" spans="1:78" s="285" customFormat="1" x14ac:dyDescent="0.25"/>
    <row r="3" spans="1:78" s="285" customFormat="1" x14ac:dyDescent="0.25">
      <c r="A3" s="286" t="str">
        <f>IF(KeyInputs!$F$14=0,"Company Name",KeyInputs!$F$14)</f>
        <v>Company Name</v>
      </c>
      <c r="C3" s="286"/>
      <c r="D3" s="286"/>
      <c r="E3" s="286"/>
      <c r="F3" s="286"/>
      <c r="G3" s="286"/>
      <c r="H3" s="286"/>
      <c r="I3" s="286"/>
      <c r="J3" s="286"/>
    </row>
    <row r="4" spans="1:78" s="285" customFormat="1" x14ac:dyDescent="0.25">
      <c r="A4" s="285" t="s">
        <v>13</v>
      </c>
    </row>
    <row r="5" spans="1:78" s="285" customFormat="1" x14ac:dyDescent="0.25">
      <c r="D5" s="287" t="str">
        <f>KeyInputs!D5</f>
        <v>Year</v>
      </c>
      <c r="E5" s="287">
        <f>KeyInputs!H5</f>
        <v>2015</v>
      </c>
      <c r="F5" s="287">
        <f>KeyInputs!I5</f>
        <v>2016</v>
      </c>
      <c r="G5" s="287">
        <f>KeyInputs!J5</f>
        <v>2017</v>
      </c>
      <c r="H5" s="287">
        <f>KeyInputs!K5</f>
        <v>2018</v>
      </c>
      <c r="I5" s="287">
        <f>KeyInputs!L5</f>
        <v>2019</v>
      </c>
      <c r="J5" s="287"/>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8" customFormat="1" x14ac:dyDescent="0.25">
      <c r="D6" s="287" t="str">
        <f>KeyInputs!D6</f>
        <v>Period number</v>
      </c>
      <c r="E6" s="287">
        <f>KeyInputs!H6</f>
        <v>1</v>
      </c>
      <c r="F6" s="287">
        <f>KeyInputs!I6</f>
        <v>2</v>
      </c>
      <c r="G6" s="287">
        <f>KeyInputs!J6</f>
        <v>3</v>
      </c>
      <c r="H6" s="287">
        <f>KeyInputs!K6</f>
        <v>4</v>
      </c>
      <c r="I6" s="287">
        <f>KeyInputs!L6</f>
        <v>5</v>
      </c>
      <c r="J6" s="287"/>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8" customFormat="1" x14ac:dyDescent="0.25">
      <c r="D7" s="287" t="str">
        <f>KeyInputs!D7</f>
        <v>Period starts</v>
      </c>
      <c r="E7" s="294">
        <f>KeyInputs!H7</f>
        <v>42005</v>
      </c>
      <c r="F7" s="294">
        <f>KeyInputs!I7</f>
        <v>42370</v>
      </c>
      <c r="G7" s="294">
        <f>KeyInputs!J7</f>
        <v>42736</v>
      </c>
      <c r="H7" s="294">
        <f>KeyInputs!K7</f>
        <v>43101</v>
      </c>
      <c r="I7" s="294">
        <f>KeyInputs!L7</f>
        <v>43466</v>
      </c>
      <c r="J7" s="287"/>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2" customFormat="1"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87"/>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8"/>
      <c r="BT8" s="288"/>
      <c r="BU8" s="288"/>
      <c r="BV8" s="288"/>
      <c r="BW8" s="288"/>
      <c r="BX8" s="288"/>
      <c r="BY8" s="288"/>
      <c r="BZ8" s="288"/>
    </row>
    <row r="9" spans="1:78" s="123" customFormat="1" x14ac:dyDescent="0.25">
      <c r="D9" s="125"/>
      <c r="E9" s="164"/>
      <c r="F9" s="164"/>
      <c r="G9" s="164"/>
      <c r="H9" s="164"/>
      <c r="I9" s="164"/>
      <c r="K9" s="164"/>
      <c r="L9" s="164"/>
      <c r="M9" s="164"/>
      <c r="N9" s="164"/>
      <c r="O9" s="164"/>
      <c r="P9" s="164"/>
      <c r="Q9" s="164"/>
      <c r="R9" s="164"/>
      <c r="S9" s="164"/>
      <c r="T9" s="164"/>
      <c r="U9" s="164"/>
      <c r="V9" s="164"/>
      <c r="W9" s="164"/>
      <c r="X9" s="164"/>
      <c r="Y9" s="164"/>
      <c r="Z9" s="164"/>
      <c r="AA9" s="164"/>
      <c r="AB9" s="164"/>
      <c r="AC9" s="164"/>
      <c r="AD9" s="164"/>
      <c r="AE9" s="164"/>
      <c r="AF9" s="164"/>
      <c r="AG9" s="164"/>
      <c r="AH9" s="164"/>
      <c r="AI9" s="164"/>
      <c r="AJ9" s="164"/>
      <c r="AK9" s="164"/>
      <c r="AL9" s="164"/>
      <c r="AM9" s="164"/>
      <c r="AN9" s="164"/>
      <c r="AO9" s="164"/>
      <c r="AP9" s="164"/>
      <c r="AQ9" s="164"/>
      <c r="AR9" s="164"/>
      <c r="AS9" s="164"/>
      <c r="AT9" s="164"/>
      <c r="AU9" s="164"/>
      <c r="AV9" s="164"/>
      <c r="AW9" s="164"/>
      <c r="AX9" s="164"/>
      <c r="AY9" s="164"/>
      <c r="AZ9" s="164"/>
      <c r="BA9" s="164"/>
      <c r="BB9" s="164"/>
      <c r="BC9" s="164"/>
      <c r="BD9" s="164"/>
      <c r="BE9" s="164"/>
      <c r="BF9" s="164"/>
      <c r="BG9" s="164"/>
      <c r="BH9" s="164"/>
      <c r="BI9" s="164"/>
      <c r="BJ9" s="164"/>
      <c r="BK9" s="164"/>
      <c r="BL9" s="164"/>
      <c r="BM9" s="164"/>
      <c r="BN9" s="164"/>
      <c r="BO9" s="164"/>
      <c r="BP9" s="164"/>
      <c r="BQ9" s="164"/>
      <c r="BR9" s="164"/>
    </row>
    <row r="10" spans="1:78" s="166" customFormat="1" ht="15.6" x14ac:dyDescent="0.3">
      <c r="A10" s="166">
        <f>Header1</f>
        <v>1</v>
      </c>
      <c r="B10" s="166" t="s">
        <v>16</v>
      </c>
    </row>
    <row r="12" spans="1:78" s="157" customFormat="1" x14ac:dyDescent="0.25">
      <c r="B12" s="157" t="str">
        <f>KeyInputs!F21</f>
        <v>Test</v>
      </c>
      <c r="D12" s="200" t="str">
        <f>unit</f>
        <v>£</v>
      </c>
      <c r="E12" s="64">
        <f t="shared" ref="E12:I15" si="0">SUMIF($K$5:$BR$5,E$5,$K12:$BR12)</f>
        <v>0</v>
      </c>
      <c r="F12" s="64">
        <f t="shared" si="0"/>
        <v>0</v>
      </c>
      <c r="G12" s="64">
        <f t="shared" si="0"/>
        <v>0</v>
      </c>
      <c r="H12" s="64">
        <f t="shared" si="0"/>
        <v>0</v>
      </c>
      <c r="I12" s="64">
        <f t="shared" si="0"/>
        <v>0</v>
      </c>
      <c r="K12" s="94">
        <f>-SUMPRODUCT(K$96:K$115,$E$21:$E$40)</f>
        <v>0</v>
      </c>
      <c r="L12" s="94">
        <f t="shared" ref="L12:BR12" si="1">-SUMPRODUCT(L$96:L$115,$E$21:$E$40)</f>
        <v>0</v>
      </c>
      <c r="M12" s="94">
        <f t="shared" si="1"/>
        <v>0</v>
      </c>
      <c r="N12" s="94">
        <f t="shared" si="1"/>
        <v>0</v>
      </c>
      <c r="O12" s="94">
        <f t="shared" si="1"/>
        <v>0</v>
      </c>
      <c r="P12" s="94">
        <f t="shared" si="1"/>
        <v>0</v>
      </c>
      <c r="Q12" s="94">
        <f t="shared" si="1"/>
        <v>0</v>
      </c>
      <c r="R12" s="94">
        <f t="shared" si="1"/>
        <v>0</v>
      </c>
      <c r="S12" s="94">
        <f t="shared" si="1"/>
        <v>0</v>
      </c>
      <c r="T12" s="94">
        <f t="shared" si="1"/>
        <v>0</v>
      </c>
      <c r="U12" s="94">
        <f t="shared" si="1"/>
        <v>0</v>
      </c>
      <c r="V12" s="94">
        <f t="shared" si="1"/>
        <v>0</v>
      </c>
      <c r="W12" s="94">
        <f t="shared" si="1"/>
        <v>0</v>
      </c>
      <c r="X12" s="94">
        <f t="shared" si="1"/>
        <v>0</v>
      </c>
      <c r="Y12" s="94">
        <f t="shared" si="1"/>
        <v>0</v>
      </c>
      <c r="Z12" s="94">
        <f t="shared" si="1"/>
        <v>0</v>
      </c>
      <c r="AA12" s="94">
        <f t="shared" si="1"/>
        <v>0</v>
      </c>
      <c r="AB12" s="94">
        <f t="shared" si="1"/>
        <v>0</v>
      </c>
      <c r="AC12" s="94">
        <f t="shared" si="1"/>
        <v>0</v>
      </c>
      <c r="AD12" s="94">
        <f t="shared" si="1"/>
        <v>0</v>
      </c>
      <c r="AE12" s="94">
        <f t="shared" si="1"/>
        <v>0</v>
      </c>
      <c r="AF12" s="94">
        <f t="shared" si="1"/>
        <v>0</v>
      </c>
      <c r="AG12" s="94">
        <f t="shared" si="1"/>
        <v>0</v>
      </c>
      <c r="AH12" s="94">
        <f t="shared" si="1"/>
        <v>0</v>
      </c>
      <c r="AI12" s="94">
        <f t="shared" si="1"/>
        <v>0</v>
      </c>
      <c r="AJ12" s="94">
        <f t="shared" si="1"/>
        <v>0</v>
      </c>
      <c r="AK12" s="94">
        <f t="shared" si="1"/>
        <v>0</v>
      </c>
      <c r="AL12" s="94">
        <f t="shared" si="1"/>
        <v>0</v>
      </c>
      <c r="AM12" s="94">
        <f t="shared" si="1"/>
        <v>0</v>
      </c>
      <c r="AN12" s="94">
        <f t="shared" si="1"/>
        <v>0</v>
      </c>
      <c r="AO12" s="94">
        <f t="shared" si="1"/>
        <v>0</v>
      </c>
      <c r="AP12" s="94">
        <f t="shared" si="1"/>
        <v>0</v>
      </c>
      <c r="AQ12" s="94">
        <f t="shared" si="1"/>
        <v>0</v>
      </c>
      <c r="AR12" s="94">
        <f t="shared" si="1"/>
        <v>0</v>
      </c>
      <c r="AS12" s="94">
        <f t="shared" si="1"/>
        <v>0</v>
      </c>
      <c r="AT12" s="94">
        <f t="shared" si="1"/>
        <v>0</v>
      </c>
      <c r="AU12" s="94">
        <f t="shared" si="1"/>
        <v>0</v>
      </c>
      <c r="AV12" s="94">
        <f t="shared" si="1"/>
        <v>0</v>
      </c>
      <c r="AW12" s="94">
        <f t="shared" si="1"/>
        <v>0</v>
      </c>
      <c r="AX12" s="94">
        <f t="shared" si="1"/>
        <v>0</v>
      </c>
      <c r="AY12" s="94">
        <f t="shared" si="1"/>
        <v>0</v>
      </c>
      <c r="AZ12" s="94">
        <f t="shared" si="1"/>
        <v>0</v>
      </c>
      <c r="BA12" s="94">
        <f t="shared" si="1"/>
        <v>0</v>
      </c>
      <c r="BB12" s="94">
        <f t="shared" si="1"/>
        <v>0</v>
      </c>
      <c r="BC12" s="94">
        <f t="shared" si="1"/>
        <v>0</v>
      </c>
      <c r="BD12" s="94">
        <f t="shared" si="1"/>
        <v>0</v>
      </c>
      <c r="BE12" s="94">
        <f t="shared" si="1"/>
        <v>0</v>
      </c>
      <c r="BF12" s="94">
        <f t="shared" si="1"/>
        <v>0</v>
      </c>
      <c r="BG12" s="94">
        <f t="shared" si="1"/>
        <v>0</v>
      </c>
      <c r="BH12" s="94">
        <f t="shared" si="1"/>
        <v>0</v>
      </c>
      <c r="BI12" s="94">
        <f t="shared" si="1"/>
        <v>0</v>
      </c>
      <c r="BJ12" s="94">
        <f t="shared" si="1"/>
        <v>0</v>
      </c>
      <c r="BK12" s="94">
        <f t="shared" si="1"/>
        <v>0</v>
      </c>
      <c r="BL12" s="94">
        <f t="shared" si="1"/>
        <v>0</v>
      </c>
      <c r="BM12" s="94">
        <f t="shared" si="1"/>
        <v>0</v>
      </c>
      <c r="BN12" s="94">
        <f t="shared" si="1"/>
        <v>0</v>
      </c>
      <c r="BO12" s="94">
        <f t="shared" si="1"/>
        <v>0</v>
      </c>
      <c r="BP12" s="94">
        <f t="shared" si="1"/>
        <v>0</v>
      </c>
      <c r="BQ12" s="94">
        <f t="shared" si="1"/>
        <v>0</v>
      </c>
      <c r="BR12" s="94">
        <f t="shared" si="1"/>
        <v>0</v>
      </c>
      <c r="BT12" s="85"/>
    </row>
    <row r="13" spans="1:78" s="157" customFormat="1" x14ac:dyDescent="0.25">
      <c r="B13" s="157" t="str">
        <f>KeyInputs!F26</f>
        <v>Insert Business Line2</v>
      </c>
      <c r="D13" s="200" t="str">
        <f>unit</f>
        <v>£</v>
      </c>
      <c r="E13" s="64">
        <f t="shared" si="0"/>
        <v>0</v>
      </c>
      <c r="F13" s="64">
        <f t="shared" si="0"/>
        <v>0</v>
      </c>
      <c r="G13" s="64">
        <f t="shared" si="0"/>
        <v>0</v>
      </c>
      <c r="H13" s="64">
        <f t="shared" si="0"/>
        <v>0</v>
      </c>
      <c r="I13" s="64">
        <f t="shared" si="0"/>
        <v>0</v>
      </c>
      <c r="K13" s="94">
        <f>-SUMPRODUCT(K$96:K$115,$F$21:$F$40)</f>
        <v>0</v>
      </c>
      <c r="L13" s="94">
        <f t="shared" ref="L13:BR13" si="2">-SUMPRODUCT(L$96:L$115,$F$21:$F$40)</f>
        <v>0</v>
      </c>
      <c r="M13" s="94">
        <f t="shared" si="2"/>
        <v>0</v>
      </c>
      <c r="N13" s="94">
        <f t="shared" si="2"/>
        <v>0</v>
      </c>
      <c r="O13" s="94">
        <f t="shared" si="2"/>
        <v>0</v>
      </c>
      <c r="P13" s="94">
        <f t="shared" si="2"/>
        <v>0</v>
      </c>
      <c r="Q13" s="94">
        <f t="shared" si="2"/>
        <v>0</v>
      </c>
      <c r="R13" s="94">
        <f t="shared" si="2"/>
        <v>0</v>
      </c>
      <c r="S13" s="94">
        <f t="shared" si="2"/>
        <v>0</v>
      </c>
      <c r="T13" s="94">
        <f t="shared" si="2"/>
        <v>0</v>
      </c>
      <c r="U13" s="94">
        <f t="shared" si="2"/>
        <v>0</v>
      </c>
      <c r="V13" s="94">
        <f t="shared" si="2"/>
        <v>0</v>
      </c>
      <c r="W13" s="94">
        <f t="shared" si="2"/>
        <v>0</v>
      </c>
      <c r="X13" s="94">
        <f t="shared" si="2"/>
        <v>0</v>
      </c>
      <c r="Y13" s="94">
        <f t="shared" si="2"/>
        <v>0</v>
      </c>
      <c r="Z13" s="94">
        <f t="shared" si="2"/>
        <v>0</v>
      </c>
      <c r="AA13" s="94">
        <f t="shared" si="2"/>
        <v>0</v>
      </c>
      <c r="AB13" s="94">
        <f t="shared" si="2"/>
        <v>0</v>
      </c>
      <c r="AC13" s="94">
        <f t="shared" si="2"/>
        <v>0</v>
      </c>
      <c r="AD13" s="94">
        <f t="shared" si="2"/>
        <v>0</v>
      </c>
      <c r="AE13" s="94">
        <f t="shared" si="2"/>
        <v>0</v>
      </c>
      <c r="AF13" s="94">
        <f t="shared" si="2"/>
        <v>0</v>
      </c>
      <c r="AG13" s="94">
        <f t="shared" si="2"/>
        <v>0</v>
      </c>
      <c r="AH13" s="94">
        <f t="shared" si="2"/>
        <v>0</v>
      </c>
      <c r="AI13" s="94">
        <f t="shared" si="2"/>
        <v>0</v>
      </c>
      <c r="AJ13" s="94">
        <f t="shared" si="2"/>
        <v>0</v>
      </c>
      <c r="AK13" s="94">
        <f t="shared" si="2"/>
        <v>0</v>
      </c>
      <c r="AL13" s="94">
        <f t="shared" si="2"/>
        <v>0</v>
      </c>
      <c r="AM13" s="94">
        <f t="shared" si="2"/>
        <v>0</v>
      </c>
      <c r="AN13" s="94">
        <f t="shared" si="2"/>
        <v>0</v>
      </c>
      <c r="AO13" s="94">
        <f t="shared" si="2"/>
        <v>0</v>
      </c>
      <c r="AP13" s="94">
        <f t="shared" si="2"/>
        <v>0</v>
      </c>
      <c r="AQ13" s="94">
        <f t="shared" si="2"/>
        <v>0</v>
      </c>
      <c r="AR13" s="94">
        <f t="shared" si="2"/>
        <v>0</v>
      </c>
      <c r="AS13" s="94">
        <f t="shared" si="2"/>
        <v>0</v>
      </c>
      <c r="AT13" s="94">
        <f t="shared" si="2"/>
        <v>0</v>
      </c>
      <c r="AU13" s="94">
        <f t="shared" si="2"/>
        <v>0</v>
      </c>
      <c r="AV13" s="94">
        <f t="shared" si="2"/>
        <v>0</v>
      </c>
      <c r="AW13" s="94">
        <f t="shared" si="2"/>
        <v>0</v>
      </c>
      <c r="AX13" s="94">
        <f t="shared" si="2"/>
        <v>0</v>
      </c>
      <c r="AY13" s="94">
        <f t="shared" si="2"/>
        <v>0</v>
      </c>
      <c r="AZ13" s="94">
        <f t="shared" si="2"/>
        <v>0</v>
      </c>
      <c r="BA13" s="94">
        <f t="shared" si="2"/>
        <v>0</v>
      </c>
      <c r="BB13" s="94">
        <f t="shared" si="2"/>
        <v>0</v>
      </c>
      <c r="BC13" s="94">
        <f t="shared" si="2"/>
        <v>0</v>
      </c>
      <c r="BD13" s="94">
        <f t="shared" si="2"/>
        <v>0</v>
      </c>
      <c r="BE13" s="94">
        <f t="shared" si="2"/>
        <v>0</v>
      </c>
      <c r="BF13" s="94">
        <f t="shared" si="2"/>
        <v>0</v>
      </c>
      <c r="BG13" s="94">
        <f t="shared" si="2"/>
        <v>0</v>
      </c>
      <c r="BH13" s="94">
        <f t="shared" si="2"/>
        <v>0</v>
      </c>
      <c r="BI13" s="94">
        <f t="shared" si="2"/>
        <v>0</v>
      </c>
      <c r="BJ13" s="94">
        <f t="shared" si="2"/>
        <v>0</v>
      </c>
      <c r="BK13" s="94">
        <f t="shared" si="2"/>
        <v>0</v>
      </c>
      <c r="BL13" s="94">
        <f t="shared" si="2"/>
        <v>0</v>
      </c>
      <c r="BM13" s="94">
        <f t="shared" si="2"/>
        <v>0</v>
      </c>
      <c r="BN13" s="94">
        <f t="shared" si="2"/>
        <v>0</v>
      </c>
      <c r="BO13" s="94">
        <f t="shared" si="2"/>
        <v>0</v>
      </c>
      <c r="BP13" s="94">
        <f t="shared" si="2"/>
        <v>0</v>
      </c>
      <c r="BQ13" s="94">
        <f t="shared" si="2"/>
        <v>0</v>
      </c>
      <c r="BR13" s="94">
        <f t="shared" si="2"/>
        <v>0</v>
      </c>
      <c r="BT13" s="85"/>
    </row>
    <row r="14" spans="1:78" s="157" customFormat="1" x14ac:dyDescent="0.25">
      <c r="B14" s="157" t="str">
        <f>KeyInputs!F31</f>
        <v>Insert Business Line3</v>
      </c>
      <c r="D14" s="200" t="str">
        <f>unit</f>
        <v>£</v>
      </c>
      <c r="E14" s="64">
        <f t="shared" si="0"/>
        <v>0</v>
      </c>
      <c r="F14" s="64">
        <f t="shared" si="0"/>
        <v>0</v>
      </c>
      <c r="G14" s="64">
        <f t="shared" si="0"/>
        <v>0</v>
      </c>
      <c r="H14" s="64">
        <f t="shared" si="0"/>
        <v>0</v>
      </c>
      <c r="I14" s="64">
        <f t="shared" si="0"/>
        <v>0</v>
      </c>
      <c r="K14" s="94">
        <f>-SUMPRODUCT(K$96:K$115,$G$21:$G$40)</f>
        <v>0</v>
      </c>
      <c r="L14" s="94">
        <f t="shared" ref="L14:BR14" si="3">-SUMPRODUCT(L$96:L$115,$G$21:$G$40)</f>
        <v>0</v>
      </c>
      <c r="M14" s="94">
        <f t="shared" si="3"/>
        <v>0</v>
      </c>
      <c r="N14" s="94">
        <f t="shared" si="3"/>
        <v>0</v>
      </c>
      <c r="O14" s="94">
        <f t="shared" si="3"/>
        <v>0</v>
      </c>
      <c r="P14" s="94">
        <f t="shared" si="3"/>
        <v>0</v>
      </c>
      <c r="Q14" s="94">
        <f t="shared" si="3"/>
        <v>0</v>
      </c>
      <c r="R14" s="94">
        <f t="shared" si="3"/>
        <v>0</v>
      </c>
      <c r="S14" s="94">
        <f t="shared" si="3"/>
        <v>0</v>
      </c>
      <c r="T14" s="94">
        <f t="shared" si="3"/>
        <v>0</v>
      </c>
      <c r="U14" s="94">
        <f t="shared" si="3"/>
        <v>0</v>
      </c>
      <c r="V14" s="94">
        <f t="shared" si="3"/>
        <v>0</v>
      </c>
      <c r="W14" s="94">
        <f t="shared" si="3"/>
        <v>0</v>
      </c>
      <c r="X14" s="94">
        <f t="shared" si="3"/>
        <v>0</v>
      </c>
      <c r="Y14" s="94">
        <f t="shared" si="3"/>
        <v>0</v>
      </c>
      <c r="Z14" s="94">
        <f t="shared" si="3"/>
        <v>0</v>
      </c>
      <c r="AA14" s="94">
        <f t="shared" si="3"/>
        <v>0</v>
      </c>
      <c r="AB14" s="94">
        <f t="shared" si="3"/>
        <v>0</v>
      </c>
      <c r="AC14" s="94">
        <f t="shared" si="3"/>
        <v>0</v>
      </c>
      <c r="AD14" s="94">
        <f t="shared" si="3"/>
        <v>0</v>
      </c>
      <c r="AE14" s="94">
        <f t="shared" si="3"/>
        <v>0</v>
      </c>
      <c r="AF14" s="94">
        <f t="shared" si="3"/>
        <v>0</v>
      </c>
      <c r="AG14" s="94">
        <f t="shared" si="3"/>
        <v>0</v>
      </c>
      <c r="AH14" s="94">
        <f t="shared" si="3"/>
        <v>0</v>
      </c>
      <c r="AI14" s="94">
        <f t="shared" si="3"/>
        <v>0</v>
      </c>
      <c r="AJ14" s="94">
        <f t="shared" si="3"/>
        <v>0</v>
      </c>
      <c r="AK14" s="94">
        <f t="shared" si="3"/>
        <v>0</v>
      </c>
      <c r="AL14" s="94">
        <f t="shared" si="3"/>
        <v>0</v>
      </c>
      <c r="AM14" s="94">
        <f t="shared" si="3"/>
        <v>0</v>
      </c>
      <c r="AN14" s="94">
        <f t="shared" si="3"/>
        <v>0</v>
      </c>
      <c r="AO14" s="94">
        <f t="shared" si="3"/>
        <v>0</v>
      </c>
      <c r="AP14" s="94">
        <f t="shared" si="3"/>
        <v>0</v>
      </c>
      <c r="AQ14" s="94">
        <f t="shared" si="3"/>
        <v>0</v>
      </c>
      <c r="AR14" s="94">
        <f t="shared" si="3"/>
        <v>0</v>
      </c>
      <c r="AS14" s="94">
        <f t="shared" si="3"/>
        <v>0</v>
      </c>
      <c r="AT14" s="94">
        <f t="shared" si="3"/>
        <v>0</v>
      </c>
      <c r="AU14" s="94">
        <f t="shared" si="3"/>
        <v>0</v>
      </c>
      <c r="AV14" s="94">
        <f t="shared" si="3"/>
        <v>0</v>
      </c>
      <c r="AW14" s="94">
        <f t="shared" si="3"/>
        <v>0</v>
      </c>
      <c r="AX14" s="94">
        <f t="shared" si="3"/>
        <v>0</v>
      </c>
      <c r="AY14" s="94">
        <f t="shared" si="3"/>
        <v>0</v>
      </c>
      <c r="AZ14" s="94">
        <f t="shared" si="3"/>
        <v>0</v>
      </c>
      <c r="BA14" s="94">
        <f t="shared" si="3"/>
        <v>0</v>
      </c>
      <c r="BB14" s="94">
        <f t="shared" si="3"/>
        <v>0</v>
      </c>
      <c r="BC14" s="94">
        <f t="shared" si="3"/>
        <v>0</v>
      </c>
      <c r="BD14" s="94">
        <f t="shared" si="3"/>
        <v>0</v>
      </c>
      <c r="BE14" s="94">
        <f t="shared" si="3"/>
        <v>0</v>
      </c>
      <c r="BF14" s="94">
        <f t="shared" si="3"/>
        <v>0</v>
      </c>
      <c r="BG14" s="94">
        <f t="shared" si="3"/>
        <v>0</v>
      </c>
      <c r="BH14" s="94">
        <f t="shared" si="3"/>
        <v>0</v>
      </c>
      <c r="BI14" s="94">
        <f t="shared" si="3"/>
        <v>0</v>
      </c>
      <c r="BJ14" s="94">
        <f t="shared" si="3"/>
        <v>0</v>
      </c>
      <c r="BK14" s="94">
        <f t="shared" si="3"/>
        <v>0</v>
      </c>
      <c r="BL14" s="94">
        <f t="shared" si="3"/>
        <v>0</v>
      </c>
      <c r="BM14" s="94">
        <f t="shared" si="3"/>
        <v>0</v>
      </c>
      <c r="BN14" s="94">
        <f t="shared" si="3"/>
        <v>0</v>
      </c>
      <c r="BO14" s="94">
        <f t="shared" si="3"/>
        <v>0</v>
      </c>
      <c r="BP14" s="94">
        <f t="shared" si="3"/>
        <v>0</v>
      </c>
      <c r="BQ14" s="94">
        <f t="shared" si="3"/>
        <v>0</v>
      </c>
      <c r="BR14" s="94">
        <f t="shared" si="3"/>
        <v>0</v>
      </c>
      <c r="BT14" s="85"/>
    </row>
    <row r="15" spans="1:78" s="157" customFormat="1" x14ac:dyDescent="0.25">
      <c r="B15" s="157" t="s">
        <v>8</v>
      </c>
      <c r="D15" s="200" t="str">
        <f>unit</f>
        <v>£</v>
      </c>
      <c r="E15" s="64">
        <f t="shared" si="0"/>
        <v>0</v>
      </c>
      <c r="F15" s="64">
        <f t="shared" si="0"/>
        <v>0</v>
      </c>
      <c r="G15" s="64">
        <f t="shared" si="0"/>
        <v>0</v>
      </c>
      <c r="H15" s="64">
        <f t="shared" si="0"/>
        <v>0</v>
      </c>
      <c r="I15" s="64">
        <f t="shared" si="0"/>
        <v>0</v>
      </c>
      <c r="K15" s="94">
        <f>-SUMPRODUCT(K$96:K$115,$H$21:$H$40)</f>
        <v>0</v>
      </c>
      <c r="L15" s="94">
        <f t="shared" ref="L15:BR15" si="4">-SUMPRODUCT(L$96:L$115,$H$21:$H$40)</f>
        <v>0</v>
      </c>
      <c r="M15" s="94">
        <f t="shared" si="4"/>
        <v>0</v>
      </c>
      <c r="N15" s="94">
        <f t="shared" si="4"/>
        <v>0</v>
      </c>
      <c r="O15" s="94">
        <f t="shared" si="4"/>
        <v>0</v>
      </c>
      <c r="P15" s="94">
        <f t="shared" si="4"/>
        <v>0</v>
      </c>
      <c r="Q15" s="94">
        <f t="shared" si="4"/>
        <v>0</v>
      </c>
      <c r="R15" s="94">
        <f t="shared" si="4"/>
        <v>0</v>
      </c>
      <c r="S15" s="94">
        <f t="shared" si="4"/>
        <v>0</v>
      </c>
      <c r="T15" s="94">
        <f t="shared" si="4"/>
        <v>0</v>
      </c>
      <c r="U15" s="94">
        <f t="shared" si="4"/>
        <v>0</v>
      </c>
      <c r="V15" s="94">
        <f t="shared" si="4"/>
        <v>0</v>
      </c>
      <c r="W15" s="94">
        <f t="shared" si="4"/>
        <v>0</v>
      </c>
      <c r="X15" s="94">
        <f t="shared" si="4"/>
        <v>0</v>
      </c>
      <c r="Y15" s="94">
        <f t="shared" si="4"/>
        <v>0</v>
      </c>
      <c r="Z15" s="94">
        <f t="shared" si="4"/>
        <v>0</v>
      </c>
      <c r="AA15" s="94">
        <f t="shared" si="4"/>
        <v>0</v>
      </c>
      <c r="AB15" s="94">
        <f t="shared" si="4"/>
        <v>0</v>
      </c>
      <c r="AC15" s="94">
        <f t="shared" si="4"/>
        <v>0</v>
      </c>
      <c r="AD15" s="94">
        <f t="shared" si="4"/>
        <v>0</v>
      </c>
      <c r="AE15" s="94">
        <f t="shared" si="4"/>
        <v>0</v>
      </c>
      <c r="AF15" s="94">
        <f t="shared" si="4"/>
        <v>0</v>
      </c>
      <c r="AG15" s="94">
        <f t="shared" si="4"/>
        <v>0</v>
      </c>
      <c r="AH15" s="94">
        <f t="shared" si="4"/>
        <v>0</v>
      </c>
      <c r="AI15" s="94">
        <f t="shared" si="4"/>
        <v>0</v>
      </c>
      <c r="AJ15" s="94">
        <f t="shared" si="4"/>
        <v>0</v>
      </c>
      <c r="AK15" s="94">
        <f t="shared" si="4"/>
        <v>0</v>
      </c>
      <c r="AL15" s="94">
        <f t="shared" si="4"/>
        <v>0</v>
      </c>
      <c r="AM15" s="94">
        <f t="shared" si="4"/>
        <v>0</v>
      </c>
      <c r="AN15" s="94">
        <f t="shared" si="4"/>
        <v>0</v>
      </c>
      <c r="AO15" s="94">
        <f t="shared" si="4"/>
        <v>0</v>
      </c>
      <c r="AP15" s="94">
        <f t="shared" si="4"/>
        <v>0</v>
      </c>
      <c r="AQ15" s="94">
        <f t="shared" si="4"/>
        <v>0</v>
      </c>
      <c r="AR15" s="94">
        <f t="shared" si="4"/>
        <v>0</v>
      </c>
      <c r="AS15" s="94">
        <f t="shared" si="4"/>
        <v>0</v>
      </c>
      <c r="AT15" s="94">
        <f t="shared" si="4"/>
        <v>0</v>
      </c>
      <c r="AU15" s="94">
        <f t="shared" si="4"/>
        <v>0</v>
      </c>
      <c r="AV15" s="94">
        <f t="shared" si="4"/>
        <v>0</v>
      </c>
      <c r="AW15" s="94">
        <f t="shared" si="4"/>
        <v>0</v>
      </c>
      <c r="AX15" s="94">
        <f t="shared" si="4"/>
        <v>0</v>
      </c>
      <c r="AY15" s="94">
        <f t="shared" si="4"/>
        <v>0</v>
      </c>
      <c r="AZ15" s="94">
        <f t="shared" si="4"/>
        <v>0</v>
      </c>
      <c r="BA15" s="94">
        <f t="shared" si="4"/>
        <v>0</v>
      </c>
      <c r="BB15" s="94">
        <f t="shared" si="4"/>
        <v>0</v>
      </c>
      <c r="BC15" s="94">
        <f t="shared" si="4"/>
        <v>0</v>
      </c>
      <c r="BD15" s="94">
        <f t="shared" si="4"/>
        <v>0</v>
      </c>
      <c r="BE15" s="94">
        <f t="shared" si="4"/>
        <v>0</v>
      </c>
      <c r="BF15" s="94">
        <f t="shared" si="4"/>
        <v>0</v>
      </c>
      <c r="BG15" s="94">
        <f t="shared" si="4"/>
        <v>0</v>
      </c>
      <c r="BH15" s="94">
        <f t="shared" si="4"/>
        <v>0</v>
      </c>
      <c r="BI15" s="94">
        <f t="shared" si="4"/>
        <v>0</v>
      </c>
      <c r="BJ15" s="94">
        <f t="shared" si="4"/>
        <v>0</v>
      </c>
      <c r="BK15" s="94">
        <f t="shared" si="4"/>
        <v>0</v>
      </c>
      <c r="BL15" s="94">
        <f t="shared" si="4"/>
        <v>0</v>
      </c>
      <c r="BM15" s="94">
        <f t="shared" si="4"/>
        <v>0</v>
      </c>
      <c r="BN15" s="94">
        <f t="shared" si="4"/>
        <v>0</v>
      </c>
      <c r="BO15" s="94">
        <f t="shared" si="4"/>
        <v>0</v>
      </c>
      <c r="BP15" s="94">
        <f t="shared" si="4"/>
        <v>0</v>
      </c>
      <c r="BQ15" s="94">
        <f t="shared" si="4"/>
        <v>0</v>
      </c>
      <c r="BR15" s="94">
        <f t="shared" si="4"/>
        <v>0</v>
      </c>
      <c r="BT15" s="85" t="s">
        <v>191</v>
      </c>
    </row>
    <row r="16" spans="1:78" s="228" customFormat="1" x14ac:dyDescent="0.25">
      <c r="B16" s="228" t="s">
        <v>242</v>
      </c>
      <c r="D16" s="229" t="str">
        <f>unit</f>
        <v>£</v>
      </c>
      <c r="E16" s="227">
        <f>SUM(E12:E15)</f>
        <v>0</v>
      </c>
      <c r="F16" s="227">
        <f t="shared" ref="F16:I16" si="5">SUM(F12:F15)</f>
        <v>0</v>
      </c>
      <c r="G16" s="227">
        <f t="shared" si="5"/>
        <v>0</v>
      </c>
      <c r="H16" s="227">
        <f t="shared" si="5"/>
        <v>0</v>
      </c>
      <c r="I16" s="227">
        <f t="shared" si="5"/>
        <v>0</v>
      </c>
      <c r="K16" s="227">
        <f>SUM(K12:K15)</f>
        <v>0</v>
      </c>
      <c r="L16" s="227">
        <f t="shared" ref="L16:V16" si="6">SUM(L12:L15)</f>
        <v>0</v>
      </c>
      <c r="M16" s="227">
        <f t="shared" si="6"/>
        <v>0</v>
      </c>
      <c r="N16" s="227">
        <f t="shared" si="6"/>
        <v>0</v>
      </c>
      <c r="O16" s="227">
        <f t="shared" si="6"/>
        <v>0</v>
      </c>
      <c r="P16" s="227">
        <f t="shared" si="6"/>
        <v>0</v>
      </c>
      <c r="Q16" s="227">
        <f t="shared" si="6"/>
        <v>0</v>
      </c>
      <c r="R16" s="227">
        <f t="shared" si="6"/>
        <v>0</v>
      </c>
      <c r="S16" s="227">
        <f t="shared" si="6"/>
        <v>0</v>
      </c>
      <c r="T16" s="227">
        <f t="shared" si="6"/>
        <v>0</v>
      </c>
      <c r="U16" s="227">
        <f t="shared" si="6"/>
        <v>0</v>
      </c>
      <c r="V16" s="227">
        <f t="shared" si="6"/>
        <v>0</v>
      </c>
      <c r="W16" s="227">
        <f>SUM(W12:W15)</f>
        <v>0</v>
      </c>
      <c r="X16" s="227">
        <f t="shared" ref="X16:AH16" si="7">SUM(X12:X15)</f>
        <v>0</v>
      </c>
      <c r="Y16" s="227">
        <f t="shared" si="7"/>
        <v>0</v>
      </c>
      <c r="Z16" s="227">
        <f t="shared" si="7"/>
        <v>0</v>
      </c>
      <c r="AA16" s="227">
        <f t="shared" si="7"/>
        <v>0</v>
      </c>
      <c r="AB16" s="227">
        <f t="shared" si="7"/>
        <v>0</v>
      </c>
      <c r="AC16" s="227">
        <f t="shared" si="7"/>
        <v>0</v>
      </c>
      <c r="AD16" s="227">
        <f t="shared" si="7"/>
        <v>0</v>
      </c>
      <c r="AE16" s="227">
        <f t="shared" si="7"/>
        <v>0</v>
      </c>
      <c r="AF16" s="227">
        <f t="shared" si="7"/>
        <v>0</v>
      </c>
      <c r="AG16" s="227">
        <f t="shared" si="7"/>
        <v>0</v>
      </c>
      <c r="AH16" s="227">
        <f t="shared" si="7"/>
        <v>0</v>
      </c>
      <c r="AI16" s="227">
        <f>SUM(AI12:AI15)</f>
        <v>0</v>
      </c>
      <c r="AJ16" s="227">
        <f t="shared" ref="AJ16:AT16" si="8">SUM(AJ12:AJ15)</f>
        <v>0</v>
      </c>
      <c r="AK16" s="227">
        <f t="shared" si="8"/>
        <v>0</v>
      </c>
      <c r="AL16" s="227">
        <f t="shared" si="8"/>
        <v>0</v>
      </c>
      <c r="AM16" s="227">
        <f t="shared" si="8"/>
        <v>0</v>
      </c>
      <c r="AN16" s="227">
        <f t="shared" si="8"/>
        <v>0</v>
      </c>
      <c r="AO16" s="227">
        <f t="shared" si="8"/>
        <v>0</v>
      </c>
      <c r="AP16" s="227">
        <f t="shared" si="8"/>
        <v>0</v>
      </c>
      <c r="AQ16" s="227">
        <f t="shared" si="8"/>
        <v>0</v>
      </c>
      <c r="AR16" s="227">
        <f t="shared" si="8"/>
        <v>0</v>
      </c>
      <c r="AS16" s="227">
        <f t="shared" si="8"/>
        <v>0</v>
      </c>
      <c r="AT16" s="227">
        <f t="shared" si="8"/>
        <v>0</v>
      </c>
      <c r="AU16" s="227">
        <f>SUM(AU12:AU15)</f>
        <v>0</v>
      </c>
      <c r="AV16" s="227">
        <f t="shared" ref="AV16:BF16" si="9">SUM(AV12:AV15)</f>
        <v>0</v>
      </c>
      <c r="AW16" s="227">
        <f t="shared" si="9"/>
        <v>0</v>
      </c>
      <c r="AX16" s="227">
        <f t="shared" si="9"/>
        <v>0</v>
      </c>
      <c r="AY16" s="227">
        <f t="shared" si="9"/>
        <v>0</v>
      </c>
      <c r="AZ16" s="227">
        <f t="shared" si="9"/>
        <v>0</v>
      </c>
      <c r="BA16" s="227">
        <f t="shared" si="9"/>
        <v>0</v>
      </c>
      <c r="BB16" s="227">
        <f t="shared" si="9"/>
        <v>0</v>
      </c>
      <c r="BC16" s="227">
        <f t="shared" si="9"/>
        <v>0</v>
      </c>
      <c r="BD16" s="227">
        <f t="shared" si="9"/>
        <v>0</v>
      </c>
      <c r="BE16" s="227">
        <f t="shared" si="9"/>
        <v>0</v>
      </c>
      <c r="BF16" s="227">
        <f t="shared" si="9"/>
        <v>0</v>
      </c>
      <c r="BG16" s="227">
        <f>SUM(BG12:BG15)</f>
        <v>0</v>
      </c>
      <c r="BH16" s="227">
        <f t="shared" ref="BH16:BR16" si="10">SUM(BH12:BH15)</f>
        <v>0</v>
      </c>
      <c r="BI16" s="227">
        <f t="shared" si="10"/>
        <v>0</v>
      </c>
      <c r="BJ16" s="227">
        <f t="shared" si="10"/>
        <v>0</v>
      </c>
      <c r="BK16" s="227">
        <f t="shared" si="10"/>
        <v>0</v>
      </c>
      <c r="BL16" s="227">
        <f t="shared" si="10"/>
        <v>0</v>
      </c>
      <c r="BM16" s="227">
        <f t="shared" si="10"/>
        <v>0</v>
      </c>
      <c r="BN16" s="227">
        <f t="shared" si="10"/>
        <v>0</v>
      </c>
      <c r="BO16" s="227">
        <f t="shared" si="10"/>
        <v>0</v>
      </c>
      <c r="BP16" s="227">
        <f t="shared" si="10"/>
        <v>0</v>
      </c>
      <c r="BQ16" s="227">
        <f t="shared" si="10"/>
        <v>0</v>
      </c>
      <c r="BR16" s="227">
        <f t="shared" si="10"/>
        <v>0</v>
      </c>
    </row>
    <row r="17" spans="1:72" s="157" customFormat="1" x14ac:dyDescent="0.25">
      <c r="B17" s="84"/>
      <c r="C17" s="84"/>
      <c r="D17" s="84"/>
      <c r="E17" s="198"/>
      <c r="F17" s="198"/>
      <c r="G17" s="198"/>
      <c r="H17" s="198"/>
      <c r="I17" s="198"/>
      <c r="J17" s="84"/>
      <c r="K17" s="199"/>
      <c r="L17" s="199"/>
      <c r="M17" s="199"/>
      <c r="N17" s="199"/>
      <c r="O17" s="199"/>
      <c r="P17" s="199"/>
      <c r="Q17" s="199"/>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199"/>
      <c r="BK17" s="199"/>
      <c r="BL17" s="199"/>
      <c r="BM17" s="199"/>
      <c r="BN17" s="199"/>
      <c r="BO17" s="199"/>
      <c r="BP17" s="199"/>
      <c r="BQ17" s="199"/>
      <c r="BR17" s="199"/>
      <c r="BT17" s="85"/>
    </row>
    <row r="18" spans="1:72" s="166" customFormat="1" ht="15.6" x14ac:dyDescent="0.3">
      <c r="A18" s="166">
        <f>Header1</f>
        <v>2</v>
      </c>
      <c r="B18" s="166" t="s">
        <v>10</v>
      </c>
    </row>
    <row r="20" spans="1:72" s="194" customFormat="1" ht="39.6" x14ac:dyDescent="0.25">
      <c r="B20" s="72" t="s">
        <v>9</v>
      </c>
      <c r="C20" s="72"/>
      <c r="D20" s="72"/>
      <c r="E20" s="72" t="str">
        <f>KeyInputs!F21</f>
        <v>Test</v>
      </c>
      <c r="F20" s="72" t="str">
        <f>KeyInputs!F26</f>
        <v>Insert Business Line2</v>
      </c>
      <c r="G20" s="72" t="str">
        <f>KeyInputs!F31</f>
        <v>Insert Business Line3</v>
      </c>
      <c r="H20" s="81" t="s">
        <v>8</v>
      </c>
      <c r="I20" s="73"/>
      <c r="BT20" s="70"/>
    </row>
    <row r="21" spans="1:72" x14ac:dyDescent="0.25">
      <c r="B21" s="195" t="s">
        <v>432</v>
      </c>
      <c r="C21" s="157"/>
      <c r="D21" s="157"/>
      <c r="E21" s="196">
        <v>1</v>
      </c>
      <c r="F21" s="196">
        <v>0</v>
      </c>
      <c r="G21" s="196">
        <v>0</v>
      </c>
      <c r="H21" s="196">
        <v>0</v>
      </c>
      <c r="I21" s="93" t="str">
        <f t="shared" ref="I21:I40" si="11">IF(SUM(E21:H21)&lt;&gt;1,"ERROR","OK")</f>
        <v>OK</v>
      </c>
    </row>
    <row r="22" spans="1:72" x14ac:dyDescent="0.25">
      <c r="B22" s="195" t="s">
        <v>433</v>
      </c>
      <c r="C22" s="157"/>
      <c r="D22" s="157"/>
      <c r="E22" s="196">
        <v>1</v>
      </c>
      <c r="F22" s="196">
        <v>0</v>
      </c>
      <c r="G22" s="196">
        <v>0</v>
      </c>
      <c r="H22" s="196">
        <v>0</v>
      </c>
      <c r="I22" s="93" t="str">
        <f t="shared" si="11"/>
        <v>OK</v>
      </c>
    </row>
    <row r="23" spans="1:72" x14ac:dyDescent="0.25">
      <c r="B23" s="195" t="s">
        <v>434</v>
      </c>
      <c r="C23" s="157"/>
      <c r="D23" s="157"/>
      <c r="E23" s="196">
        <v>1</v>
      </c>
      <c r="F23" s="196">
        <v>0</v>
      </c>
      <c r="G23" s="196">
        <v>0</v>
      </c>
      <c r="H23" s="196">
        <v>0</v>
      </c>
      <c r="I23" s="93" t="str">
        <f t="shared" si="11"/>
        <v>OK</v>
      </c>
    </row>
    <row r="24" spans="1:72" x14ac:dyDescent="0.25">
      <c r="B24" s="195" t="s">
        <v>435</v>
      </c>
      <c r="C24" s="157"/>
      <c r="D24" s="157"/>
      <c r="E24" s="196">
        <v>1</v>
      </c>
      <c r="F24" s="196">
        <v>0</v>
      </c>
      <c r="G24" s="196">
        <v>0</v>
      </c>
      <c r="H24" s="196">
        <v>0</v>
      </c>
      <c r="I24" s="93" t="str">
        <f t="shared" si="11"/>
        <v>OK</v>
      </c>
    </row>
    <row r="25" spans="1:72" x14ac:dyDescent="0.25">
      <c r="B25" s="195" t="s">
        <v>436</v>
      </c>
      <c r="C25" s="157"/>
      <c r="D25" s="157"/>
      <c r="E25" s="196">
        <v>1</v>
      </c>
      <c r="F25" s="196">
        <v>0</v>
      </c>
      <c r="G25" s="196">
        <v>0</v>
      </c>
      <c r="H25" s="196">
        <v>0</v>
      </c>
      <c r="I25" s="93" t="str">
        <f t="shared" si="11"/>
        <v>OK</v>
      </c>
    </row>
    <row r="26" spans="1:72" x14ac:dyDescent="0.25">
      <c r="B26" s="195" t="s">
        <v>437</v>
      </c>
      <c r="C26" s="157"/>
      <c r="D26" s="157"/>
      <c r="E26" s="196">
        <v>1</v>
      </c>
      <c r="F26" s="196">
        <v>0</v>
      </c>
      <c r="G26" s="196">
        <v>0</v>
      </c>
      <c r="H26" s="196">
        <v>0</v>
      </c>
      <c r="I26" s="93" t="str">
        <f t="shared" si="11"/>
        <v>OK</v>
      </c>
    </row>
    <row r="27" spans="1:72" x14ac:dyDescent="0.25">
      <c r="B27" s="195" t="s">
        <v>438</v>
      </c>
      <c r="C27" s="157"/>
      <c r="D27" s="157"/>
      <c r="E27" s="196">
        <v>1</v>
      </c>
      <c r="F27" s="196">
        <v>0</v>
      </c>
      <c r="G27" s="196">
        <v>0</v>
      </c>
      <c r="H27" s="196">
        <v>0</v>
      </c>
      <c r="I27" s="93" t="str">
        <f t="shared" si="11"/>
        <v>OK</v>
      </c>
    </row>
    <row r="28" spans="1:72" x14ac:dyDescent="0.25">
      <c r="B28" s="195" t="s">
        <v>439</v>
      </c>
      <c r="C28" s="157"/>
      <c r="D28" s="157"/>
      <c r="E28" s="196">
        <v>1</v>
      </c>
      <c r="F28" s="196">
        <v>0</v>
      </c>
      <c r="G28" s="196">
        <v>0</v>
      </c>
      <c r="H28" s="196">
        <v>0</v>
      </c>
      <c r="I28" s="93" t="str">
        <f t="shared" si="11"/>
        <v>OK</v>
      </c>
    </row>
    <row r="29" spans="1:72" x14ac:dyDescent="0.25">
      <c r="B29" s="195" t="s">
        <v>440</v>
      </c>
      <c r="C29" s="157"/>
      <c r="D29" s="157"/>
      <c r="E29" s="196">
        <v>1</v>
      </c>
      <c r="F29" s="196">
        <v>0</v>
      </c>
      <c r="G29" s="196">
        <v>0</v>
      </c>
      <c r="H29" s="196">
        <v>0</v>
      </c>
      <c r="I29" s="93" t="str">
        <f t="shared" si="11"/>
        <v>OK</v>
      </c>
    </row>
    <row r="30" spans="1:72" x14ac:dyDescent="0.25">
      <c r="B30" s="195" t="s">
        <v>441</v>
      </c>
      <c r="C30" s="157"/>
      <c r="D30" s="157"/>
      <c r="E30" s="196">
        <v>1</v>
      </c>
      <c r="F30" s="196">
        <v>0</v>
      </c>
      <c r="G30" s="196">
        <v>0</v>
      </c>
      <c r="H30" s="196">
        <v>0</v>
      </c>
      <c r="I30" s="93" t="str">
        <f t="shared" si="11"/>
        <v>OK</v>
      </c>
    </row>
    <row r="31" spans="1:72" x14ac:dyDescent="0.25">
      <c r="B31" s="195" t="s">
        <v>442</v>
      </c>
      <c r="C31" s="157"/>
      <c r="D31" s="157"/>
      <c r="E31" s="196">
        <v>1</v>
      </c>
      <c r="F31" s="196">
        <v>0</v>
      </c>
      <c r="G31" s="196">
        <v>0</v>
      </c>
      <c r="H31" s="196">
        <v>0</v>
      </c>
      <c r="I31" s="93" t="str">
        <f t="shared" si="11"/>
        <v>OK</v>
      </c>
    </row>
    <row r="32" spans="1:72" x14ac:dyDescent="0.25">
      <c r="B32" s="195" t="s">
        <v>443</v>
      </c>
      <c r="C32" s="157"/>
      <c r="D32" s="157"/>
      <c r="E32" s="196">
        <v>1</v>
      </c>
      <c r="F32" s="196">
        <v>0</v>
      </c>
      <c r="G32" s="196">
        <v>0</v>
      </c>
      <c r="H32" s="196">
        <v>0</v>
      </c>
      <c r="I32" s="93" t="str">
        <f t="shared" si="11"/>
        <v>OK</v>
      </c>
    </row>
    <row r="33" spans="1:70" x14ac:dyDescent="0.25">
      <c r="B33" s="195" t="s">
        <v>444</v>
      </c>
      <c r="C33" s="157"/>
      <c r="D33" s="157"/>
      <c r="E33" s="196">
        <v>1</v>
      </c>
      <c r="F33" s="196">
        <v>0</v>
      </c>
      <c r="G33" s="196">
        <v>0</v>
      </c>
      <c r="H33" s="196">
        <v>0</v>
      </c>
      <c r="I33" s="93" t="str">
        <f t="shared" si="11"/>
        <v>OK</v>
      </c>
    </row>
    <row r="34" spans="1:70" x14ac:dyDescent="0.25">
      <c r="B34" s="195" t="s">
        <v>117</v>
      </c>
      <c r="C34" s="157"/>
      <c r="D34" s="157"/>
      <c r="E34" s="196">
        <v>0.2</v>
      </c>
      <c r="F34" s="196">
        <v>0.2</v>
      </c>
      <c r="G34" s="196">
        <v>0.2</v>
      </c>
      <c r="H34" s="196">
        <v>0.4</v>
      </c>
      <c r="I34" s="93" t="str">
        <f t="shared" si="11"/>
        <v>OK</v>
      </c>
    </row>
    <row r="35" spans="1:70" x14ac:dyDescent="0.25">
      <c r="B35" s="195" t="s">
        <v>118</v>
      </c>
      <c r="C35" s="157"/>
      <c r="D35" s="157"/>
      <c r="E35" s="196">
        <v>0.2</v>
      </c>
      <c r="F35" s="196">
        <v>0.2</v>
      </c>
      <c r="G35" s="196">
        <v>0.2</v>
      </c>
      <c r="H35" s="196">
        <v>0.4</v>
      </c>
      <c r="I35" s="93" t="str">
        <f t="shared" si="11"/>
        <v>OK</v>
      </c>
    </row>
    <row r="36" spans="1:70" x14ac:dyDescent="0.25">
      <c r="B36" s="195" t="s">
        <v>119</v>
      </c>
      <c r="C36" s="157"/>
      <c r="D36" s="157"/>
      <c r="E36" s="196">
        <v>0.2</v>
      </c>
      <c r="F36" s="196">
        <v>0.2</v>
      </c>
      <c r="G36" s="196">
        <v>0.2</v>
      </c>
      <c r="H36" s="196">
        <v>0.4</v>
      </c>
      <c r="I36" s="93" t="str">
        <f t="shared" si="11"/>
        <v>OK</v>
      </c>
    </row>
    <row r="37" spans="1:70" x14ac:dyDescent="0.25">
      <c r="B37" s="195" t="s">
        <v>120</v>
      </c>
      <c r="C37" s="157"/>
      <c r="D37" s="157"/>
      <c r="E37" s="196">
        <v>0.2</v>
      </c>
      <c r="F37" s="196">
        <v>0.2</v>
      </c>
      <c r="G37" s="196">
        <v>0.2</v>
      </c>
      <c r="H37" s="196">
        <v>0.4</v>
      </c>
      <c r="I37" s="93" t="str">
        <f t="shared" si="11"/>
        <v>OK</v>
      </c>
    </row>
    <row r="38" spans="1:70" x14ac:dyDescent="0.25">
      <c r="B38" s="195" t="s">
        <v>121</v>
      </c>
      <c r="C38" s="157"/>
      <c r="D38" s="157"/>
      <c r="E38" s="196">
        <v>0.2</v>
      </c>
      <c r="F38" s="196">
        <v>0.2</v>
      </c>
      <c r="G38" s="196">
        <v>0.2</v>
      </c>
      <c r="H38" s="196">
        <v>0.4</v>
      </c>
      <c r="I38" s="93" t="str">
        <f t="shared" si="11"/>
        <v>OK</v>
      </c>
    </row>
    <row r="39" spans="1:70" x14ac:dyDescent="0.25">
      <c r="B39" s="195" t="s">
        <v>122</v>
      </c>
      <c r="C39" s="157"/>
      <c r="D39" s="157"/>
      <c r="E39" s="196">
        <v>0.2</v>
      </c>
      <c r="F39" s="196">
        <v>0.2</v>
      </c>
      <c r="G39" s="196">
        <v>0.2</v>
      </c>
      <c r="H39" s="196">
        <v>0.4</v>
      </c>
      <c r="I39" s="93" t="str">
        <f t="shared" si="11"/>
        <v>OK</v>
      </c>
    </row>
    <row r="40" spans="1:70" x14ac:dyDescent="0.25">
      <c r="B40" s="195" t="s">
        <v>123</v>
      </c>
      <c r="C40" s="157"/>
      <c r="D40" s="157"/>
      <c r="E40" s="196">
        <v>0.2</v>
      </c>
      <c r="F40" s="196">
        <v>0.2</v>
      </c>
      <c r="G40" s="196">
        <v>0.2</v>
      </c>
      <c r="H40" s="196">
        <v>0.4</v>
      </c>
      <c r="I40" s="93" t="str">
        <f t="shared" si="11"/>
        <v>OK</v>
      </c>
    </row>
    <row r="42" spans="1:70" s="166" customFormat="1" ht="15.6" x14ac:dyDescent="0.3">
      <c r="A42" s="166">
        <f>Header1</f>
        <v>3</v>
      </c>
      <c r="B42" s="166" t="s">
        <v>29</v>
      </c>
    </row>
    <row r="43" spans="1:70" x14ac:dyDescent="0.25">
      <c r="B43" s="75"/>
      <c r="C43" s="75"/>
      <c r="D43" s="75"/>
      <c r="E43" s="75"/>
      <c r="F43" s="75"/>
      <c r="G43" s="75"/>
      <c r="H43" s="75"/>
      <c r="I43" s="75"/>
      <c r="J43" s="75"/>
    </row>
    <row r="44" spans="1:70" x14ac:dyDescent="0.25">
      <c r="B44" s="195" t="s">
        <v>180</v>
      </c>
      <c r="E44" s="195">
        <v>0</v>
      </c>
      <c r="F44" s="196">
        <v>1.05</v>
      </c>
      <c r="G44" s="196">
        <v>1.05</v>
      </c>
      <c r="H44" s="196">
        <v>1.05</v>
      </c>
      <c r="I44" s="196">
        <v>1.05</v>
      </c>
    </row>
    <row r="45" spans="1:70" x14ac:dyDescent="0.25">
      <c r="B45" s="75"/>
      <c r="C45" s="75"/>
      <c r="D45" s="75"/>
      <c r="E45" s="75"/>
      <c r="F45" s="75"/>
      <c r="G45" s="75"/>
      <c r="H45" s="75"/>
      <c r="I45" s="75"/>
      <c r="J45" s="75"/>
    </row>
    <row r="46" spans="1:70" x14ac:dyDescent="0.25">
      <c r="B46" s="139" t="str">
        <f>B21</f>
        <v>Post 1</v>
      </c>
      <c r="E46" s="197"/>
      <c r="F46" s="197">
        <f>E46*F$44</f>
        <v>0</v>
      </c>
      <c r="G46" s="197">
        <f>F46*G$44</f>
        <v>0</v>
      </c>
      <c r="H46" s="197">
        <f>G46*H$44</f>
        <v>0</v>
      </c>
      <c r="I46" s="197">
        <f>H46*I$44</f>
        <v>0</v>
      </c>
      <c r="K46" s="64">
        <f>INDEX($E46:$I46,0,MATCH(K$5,$E$5:$I$5,0))/12</f>
        <v>0</v>
      </c>
      <c r="L46" s="64">
        <f t="shared" ref="L46:BR50" si="12">INDEX($E46:$I46,0,MATCH(L$5,$E$5:$I$5,0))/12</f>
        <v>0</v>
      </c>
      <c r="M46" s="64">
        <f t="shared" si="12"/>
        <v>0</v>
      </c>
      <c r="N46" s="64">
        <f t="shared" si="12"/>
        <v>0</v>
      </c>
      <c r="O46" s="64">
        <f t="shared" si="12"/>
        <v>0</v>
      </c>
      <c r="P46" s="64">
        <f t="shared" si="12"/>
        <v>0</v>
      </c>
      <c r="Q46" s="64">
        <f t="shared" si="12"/>
        <v>0</v>
      </c>
      <c r="R46" s="64">
        <f t="shared" si="12"/>
        <v>0</v>
      </c>
      <c r="S46" s="64">
        <f t="shared" si="12"/>
        <v>0</v>
      </c>
      <c r="T46" s="64">
        <f t="shared" si="12"/>
        <v>0</v>
      </c>
      <c r="U46" s="64">
        <f t="shared" si="12"/>
        <v>0</v>
      </c>
      <c r="V46" s="64">
        <f t="shared" si="12"/>
        <v>0</v>
      </c>
      <c r="W46" s="64">
        <f t="shared" si="12"/>
        <v>0</v>
      </c>
      <c r="X46" s="64">
        <f t="shared" si="12"/>
        <v>0</v>
      </c>
      <c r="Y46" s="64">
        <f t="shared" si="12"/>
        <v>0</v>
      </c>
      <c r="Z46" s="64">
        <f t="shared" si="12"/>
        <v>0</v>
      </c>
      <c r="AA46" s="64">
        <f t="shared" si="12"/>
        <v>0</v>
      </c>
      <c r="AB46" s="64">
        <f t="shared" si="12"/>
        <v>0</v>
      </c>
      <c r="AC46" s="64">
        <f t="shared" si="12"/>
        <v>0</v>
      </c>
      <c r="AD46" s="64">
        <f t="shared" si="12"/>
        <v>0</v>
      </c>
      <c r="AE46" s="64">
        <f t="shared" si="12"/>
        <v>0</v>
      </c>
      <c r="AF46" s="64">
        <f t="shared" si="12"/>
        <v>0</v>
      </c>
      <c r="AG46" s="64">
        <f t="shared" si="12"/>
        <v>0</v>
      </c>
      <c r="AH46" s="64">
        <f t="shared" si="12"/>
        <v>0</v>
      </c>
      <c r="AI46" s="64">
        <f t="shared" si="12"/>
        <v>0</v>
      </c>
      <c r="AJ46" s="64">
        <f t="shared" si="12"/>
        <v>0</v>
      </c>
      <c r="AK46" s="64">
        <f t="shared" si="12"/>
        <v>0</v>
      </c>
      <c r="AL46" s="64">
        <f t="shared" si="12"/>
        <v>0</v>
      </c>
      <c r="AM46" s="64">
        <f t="shared" si="12"/>
        <v>0</v>
      </c>
      <c r="AN46" s="64">
        <f t="shared" si="12"/>
        <v>0</v>
      </c>
      <c r="AO46" s="64">
        <f t="shared" si="12"/>
        <v>0</v>
      </c>
      <c r="AP46" s="64">
        <f t="shared" si="12"/>
        <v>0</v>
      </c>
      <c r="AQ46" s="64">
        <f t="shared" si="12"/>
        <v>0</v>
      </c>
      <c r="AR46" s="64">
        <f t="shared" si="12"/>
        <v>0</v>
      </c>
      <c r="AS46" s="64">
        <f t="shared" si="12"/>
        <v>0</v>
      </c>
      <c r="AT46" s="64">
        <f t="shared" si="12"/>
        <v>0</v>
      </c>
      <c r="AU46" s="64">
        <f t="shared" si="12"/>
        <v>0</v>
      </c>
      <c r="AV46" s="64">
        <f t="shared" si="12"/>
        <v>0</v>
      </c>
      <c r="AW46" s="64">
        <f t="shared" si="12"/>
        <v>0</v>
      </c>
      <c r="AX46" s="64">
        <f t="shared" si="12"/>
        <v>0</v>
      </c>
      <c r="AY46" s="64">
        <f t="shared" si="12"/>
        <v>0</v>
      </c>
      <c r="AZ46" s="64">
        <f t="shared" si="12"/>
        <v>0</v>
      </c>
      <c r="BA46" s="64">
        <f t="shared" si="12"/>
        <v>0</v>
      </c>
      <c r="BB46" s="64">
        <f t="shared" si="12"/>
        <v>0</v>
      </c>
      <c r="BC46" s="64">
        <f t="shared" si="12"/>
        <v>0</v>
      </c>
      <c r="BD46" s="64">
        <f t="shared" si="12"/>
        <v>0</v>
      </c>
      <c r="BE46" s="64">
        <f t="shared" si="12"/>
        <v>0</v>
      </c>
      <c r="BF46" s="64">
        <f t="shared" si="12"/>
        <v>0</v>
      </c>
      <c r="BG46" s="64">
        <f t="shared" si="12"/>
        <v>0</v>
      </c>
      <c r="BH46" s="64">
        <f t="shared" si="12"/>
        <v>0</v>
      </c>
      <c r="BI46" s="64">
        <f t="shared" si="12"/>
        <v>0</v>
      </c>
      <c r="BJ46" s="64">
        <f t="shared" si="12"/>
        <v>0</v>
      </c>
      <c r="BK46" s="64">
        <f t="shared" si="12"/>
        <v>0</v>
      </c>
      <c r="BL46" s="64">
        <f t="shared" si="12"/>
        <v>0</v>
      </c>
      <c r="BM46" s="64">
        <f t="shared" si="12"/>
        <v>0</v>
      </c>
      <c r="BN46" s="64">
        <f t="shared" si="12"/>
        <v>0</v>
      </c>
      <c r="BO46" s="64">
        <f t="shared" si="12"/>
        <v>0</v>
      </c>
      <c r="BP46" s="64">
        <f t="shared" si="12"/>
        <v>0</v>
      </c>
      <c r="BQ46" s="64">
        <f t="shared" si="12"/>
        <v>0</v>
      </c>
      <c r="BR46" s="64">
        <f t="shared" si="12"/>
        <v>0</v>
      </c>
    </row>
    <row r="47" spans="1:70" x14ac:dyDescent="0.25">
      <c r="B47" s="139" t="str">
        <f t="shared" ref="B47:B65" si="13">B22</f>
        <v>Post 2</v>
      </c>
      <c r="E47" s="197"/>
      <c r="F47" s="197">
        <f t="shared" ref="F47:I47" si="14">E47*F$44</f>
        <v>0</v>
      </c>
      <c r="G47" s="197">
        <f t="shared" si="14"/>
        <v>0</v>
      </c>
      <c r="H47" s="197">
        <f t="shared" si="14"/>
        <v>0</v>
      </c>
      <c r="I47" s="197">
        <f t="shared" si="14"/>
        <v>0</v>
      </c>
      <c r="K47" s="64">
        <f t="shared" ref="K47:Z65" si="15">INDEX($E47:$I47,0,MATCH(K$5,$E$5:$I$5,0))/12</f>
        <v>0</v>
      </c>
      <c r="L47" s="64">
        <f t="shared" si="15"/>
        <v>0</v>
      </c>
      <c r="M47" s="64">
        <f t="shared" si="15"/>
        <v>0</v>
      </c>
      <c r="N47" s="64">
        <f t="shared" si="15"/>
        <v>0</v>
      </c>
      <c r="O47" s="64">
        <f t="shared" si="15"/>
        <v>0</v>
      </c>
      <c r="P47" s="64">
        <f t="shared" si="15"/>
        <v>0</v>
      </c>
      <c r="Q47" s="64">
        <f t="shared" si="15"/>
        <v>0</v>
      </c>
      <c r="R47" s="64">
        <f t="shared" si="15"/>
        <v>0</v>
      </c>
      <c r="S47" s="64">
        <f t="shared" si="15"/>
        <v>0</v>
      </c>
      <c r="T47" s="64">
        <f t="shared" si="15"/>
        <v>0</v>
      </c>
      <c r="U47" s="64">
        <f t="shared" si="15"/>
        <v>0</v>
      </c>
      <c r="V47" s="64">
        <f t="shared" si="15"/>
        <v>0</v>
      </c>
      <c r="W47" s="64">
        <f t="shared" si="15"/>
        <v>0</v>
      </c>
      <c r="X47" s="64">
        <f t="shared" si="15"/>
        <v>0</v>
      </c>
      <c r="Y47" s="64">
        <f t="shared" si="15"/>
        <v>0</v>
      </c>
      <c r="Z47" s="64">
        <f t="shared" si="15"/>
        <v>0</v>
      </c>
      <c r="AA47" s="64">
        <f t="shared" si="12"/>
        <v>0</v>
      </c>
      <c r="AB47" s="64">
        <f t="shared" si="12"/>
        <v>0</v>
      </c>
      <c r="AC47" s="64">
        <f t="shared" si="12"/>
        <v>0</v>
      </c>
      <c r="AD47" s="64">
        <f t="shared" si="12"/>
        <v>0</v>
      </c>
      <c r="AE47" s="64">
        <f t="shared" si="12"/>
        <v>0</v>
      </c>
      <c r="AF47" s="64">
        <f t="shared" si="12"/>
        <v>0</v>
      </c>
      <c r="AG47" s="64">
        <f t="shared" si="12"/>
        <v>0</v>
      </c>
      <c r="AH47" s="64">
        <f t="shared" si="12"/>
        <v>0</v>
      </c>
      <c r="AI47" s="64">
        <f t="shared" si="12"/>
        <v>0</v>
      </c>
      <c r="AJ47" s="64">
        <f t="shared" si="12"/>
        <v>0</v>
      </c>
      <c r="AK47" s="64">
        <f t="shared" si="12"/>
        <v>0</v>
      </c>
      <c r="AL47" s="64">
        <f t="shared" si="12"/>
        <v>0</v>
      </c>
      <c r="AM47" s="64">
        <f t="shared" si="12"/>
        <v>0</v>
      </c>
      <c r="AN47" s="64">
        <f t="shared" si="12"/>
        <v>0</v>
      </c>
      <c r="AO47" s="64">
        <f t="shared" si="12"/>
        <v>0</v>
      </c>
      <c r="AP47" s="64">
        <f t="shared" si="12"/>
        <v>0</v>
      </c>
      <c r="AQ47" s="64">
        <f t="shared" si="12"/>
        <v>0</v>
      </c>
      <c r="AR47" s="64">
        <f t="shared" si="12"/>
        <v>0</v>
      </c>
      <c r="AS47" s="64">
        <f t="shared" si="12"/>
        <v>0</v>
      </c>
      <c r="AT47" s="64">
        <f t="shared" si="12"/>
        <v>0</v>
      </c>
      <c r="AU47" s="64">
        <f t="shared" si="12"/>
        <v>0</v>
      </c>
      <c r="AV47" s="64">
        <f t="shared" si="12"/>
        <v>0</v>
      </c>
      <c r="AW47" s="64">
        <f t="shared" si="12"/>
        <v>0</v>
      </c>
      <c r="AX47" s="64">
        <f t="shared" si="12"/>
        <v>0</v>
      </c>
      <c r="AY47" s="64">
        <f t="shared" si="12"/>
        <v>0</v>
      </c>
      <c r="AZ47" s="64">
        <f t="shared" si="12"/>
        <v>0</v>
      </c>
      <c r="BA47" s="64">
        <f t="shared" si="12"/>
        <v>0</v>
      </c>
      <c r="BB47" s="64">
        <f t="shared" si="12"/>
        <v>0</v>
      </c>
      <c r="BC47" s="64">
        <f t="shared" si="12"/>
        <v>0</v>
      </c>
      <c r="BD47" s="64">
        <f t="shared" si="12"/>
        <v>0</v>
      </c>
      <c r="BE47" s="64">
        <f t="shared" si="12"/>
        <v>0</v>
      </c>
      <c r="BF47" s="64">
        <f t="shared" si="12"/>
        <v>0</v>
      </c>
      <c r="BG47" s="64">
        <f t="shared" si="12"/>
        <v>0</v>
      </c>
      <c r="BH47" s="64">
        <f t="shared" si="12"/>
        <v>0</v>
      </c>
      <c r="BI47" s="64">
        <f t="shared" si="12"/>
        <v>0</v>
      </c>
      <c r="BJ47" s="64">
        <f t="shared" si="12"/>
        <v>0</v>
      </c>
      <c r="BK47" s="64">
        <f t="shared" si="12"/>
        <v>0</v>
      </c>
      <c r="BL47" s="64">
        <f t="shared" si="12"/>
        <v>0</v>
      </c>
      <c r="BM47" s="64">
        <f t="shared" si="12"/>
        <v>0</v>
      </c>
      <c r="BN47" s="64">
        <f t="shared" si="12"/>
        <v>0</v>
      </c>
      <c r="BO47" s="64">
        <f t="shared" si="12"/>
        <v>0</v>
      </c>
      <c r="BP47" s="64">
        <f t="shared" si="12"/>
        <v>0</v>
      </c>
      <c r="BQ47" s="64">
        <f t="shared" si="12"/>
        <v>0</v>
      </c>
      <c r="BR47" s="64">
        <f t="shared" si="12"/>
        <v>0</v>
      </c>
    </row>
    <row r="48" spans="1:70" x14ac:dyDescent="0.25">
      <c r="B48" s="139" t="str">
        <f t="shared" si="13"/>
        <v>Post 3</v>
      </c>
      <c r="E48" s="197"/>
      <c r="F48" s="197">
        <f t="shared" ref="F48:I48" si="16">E48*F$44</f>
        <v>0</v>
      </c>
      <c r="G48" s="197">
        <f t="shared" si="16"/>
        <v>0</v>
      </c>
      <c r="H48" s="197">
        <f t="shared" si="16"/>
        <v>0</v>
      </c>
      <c r="I48" s="197">
        <f t="shared" si="16"/>
        <v>0</v>
      </c>
      <c r="K48" s="64">
        <f t="shared" si="15"/>
        <v>0</v>
      </c>
      <c r="L48" s="64">
        <f t="shared" si="12"/>
        <v>0</v>
      </c>
      <c r="M48" s="64">
        <f t="shared" si="12"/>
        <v>0</v>
      </c>
      <c r="N48" s="64">
        <f t="shared" si="12"/>
        <v>0</v>
      </c>
      <c r="O48" s="64">
        <f t="shared" si="12"/>
        <v>0</v>
      </c>
      <c r="P48" s="64">
        <f t="shared" si="12"/>
        <v>0</v>
      </c>
      <c r="Q48" s="64">
        <f t="shared" si="12"/>
        <v>0</v>
      </c>
      <c r="R48" s="64">
        <f t="shared" si="12"/>
        <v>0</v>
      </c>
      <c r="S48" s="64">
        <f t="shared" si="12"/>
        <v>0</v>
      </c>
      <c r="T48" s="64">
        <f t="shared" si="12"/>
        <v>0</v>
      </c>
      <c r="U48" s="64">
        <f t="shared" si="12"/>
        <v>0</v>
      </c>
      <c r="V48" s="64">
        <f t="shared" si="12"/>
        <v>0</v>
      </c>
      <c r="W48" s="64">
        <f t="shared" si="12"/>
        <v>0</v>
      </c>
      <c r="X48" s="64">
        <f t="shared" si="12"/>
        <v>0</v>
      </c>
      <c r="Y48" s="64">
        <f t="shared" si="12"/>
        <v>0</v>
      </c>
      <c r="Z48" s="64">
        <f t="shared" si="12"/>
        <v>0</v>
      </c>
      <c r="AA48" s="64">
        <f t="shared" si="12"/>
        <v>0</v>
      </c>
      <c r="AB48" s="64">
        <f t="shared" si="12"/>
        <v>0</v>
      </c>
      <c r="AC48" s="64">
        <f t="shared" si="12"/>
        <v>0</v>
      </c>
      <c r="AD48" s="64">
        <f t="shared" si="12"/>
        <v>0</v>
      </c>
      <c r="AE48" s="64">
        <f t="shared" si="12"/>
        <v>0</v>
      </c>
      <c r="AF48" s="64">
        <f t="shared" si="12"/>
        <v>0</v>
      </c>
      <c r="AG48" s="64">
        <f t="shared" si="12"/>
        <v>0</v>
      </c>
      <c r="AH48" s="64">
        <f t="shared" si="12"/>
        <v>0</v>
      </c>
      <c r="AI48" s="64">
        <f t="shared" si="12"/>
        <v>0</v>
      </c>
      <c r="AJ48" s="64">
        <f t="shared" si="12"/>
        <v>0</v>
      </c>
      <c r="AK48" s="64">
        <f t="shared" si="12"/>
        <v>0</v>
      </c>
      <c r="AL48" s="64">
        <f t="shared" si="12"/>
        <v>0</v>
      </c>
      <c r="AM48" s="64">
        <f t="shared" si="12"/>
        <v>0</v>
      </c>
      <c r="AN48" s="64">
        <f t="shared" si="12"/>
        <v>0</v>
      </c>
      <c r="AO48" s="64">
        <f t="shared" si="12"/>
        <v>0</v>
      </c>
      <c r="AP48" s="64">
        <f t="shared" si="12"/>
        <v>0</v>
      </c>
      <c r="AQ48" s="64">
        <f t="shared" si="12"/>
        <v>0</v>
      </c>
      <c r="AR48" s="64">
        <f t="shared" si="12"/>
        <v>0</v>
      </c>
      <c r="AS48" s="64">
        <f t="shared" si="12"/>
        <v>0</v>
      </c>
      <c r="AT48" s="64">
        <f t="shared" si="12"/>
        <v>0</v>
      </c>
      <c r="AU48" s="64">
        <f t="shared" si="12"/>
        <v>0</v>
      </c>
      <c r="AV48" s="64">
        <f t="shared" si="12"/>
        <v>0</v>
      </c>
      <c r="AW48" s="64">
        <f t="shared" si="12"/>
        <v>0</v>
      </c>
      <c r="AX48" s="64">
        <f t="shared" si="12"/>
        <v>0</v>
      </c>
      <c r="AY48" s="64">
        <f t="shared" si="12"/>
        <v>0</v>
      </c>
      <c r="AZ48" s="64">
        <f t="shared" si="12"/>
        <v>0</v>
      </c>
      <c r="BA48" s="64">
        <f t="shared" si="12"/>
        <v>0</v>
      </c>
      <c r="BB48" s="64">
        <f t="shared" si="12"/>
        <v>0</v>
      </c>
      <c r="BC48" s="64">
        <f t="shared" si="12"/>
        <v>0</v>
      </c>
      <c r="BD48" s="64">
        <f t="shared" si="12"/>
        <v>0</v>
      </c>
      <c r="BE48" s="64">
        <f t="shared" si="12"/>
        <v>0</v>
      </c>
      <c r="BF48" s="64">
        <f t="shared" si="12"/>
        <v>0</v>
      </c>
      <c r="BG48" s="64">
        <f t="shared" si="12"/>
        <v>0</v>
      </c>
      <c r="BH48" s="64">
        <f t="shared" si="12"/>
        <v>0</v>
      </c>
      <c r="BI48" s="64">
        <f t="shared" si="12"/>
        <v>0</v>
      </c>
      <c r="BJ48" s="64">
        <f t="shared" si="12"/>
        <v>0</v>
      </c>
      <c r="BK48" s="64">
        <f t="shared" si="12"/>
        <v>0</v>
      </c>
      <c r="BL48" s="64">
        <f t="shared" si="12"/>
        <v>0</v>
      </c>
      <c r="BM48" s="64">
        <f t="shared" si="12"/>
        <v>0</v>
      </c>
      <c r="BN48" s="64">
        <f t="shared" si="12"/>
        <v>0</v>
      </c>
      <c r="BO48" s="64">
        <f t="shared" si="12"/>
        <v>0</v>
      </c>
      <c r="BP48" s="64">
        <f t="shared" si="12"/>
        <v>0</v>
      </c>
      <c r="BQ48" s="64">
        <f t="shared" si="12"/>
        <v>0</v>
      </c>
      <c r="BR48" s="64">
        <f t="shared" si="12"/>
        <v>0</v>
      </c>
    </row>
    <row r="49" spans="2:70" x14ac:dyDescent="0.25">
      <c r="B49" s="139" t="str">
        <f t="shared" si="13"/>
        <v>Post 4</v>
      </c>
      <c r="E49" s="197"/>
      <c r="F49" s="197">
        <f t="shared" ref="F49:I49" si="17">E49*F$44</f>
        <v>0</v>
      </c>
      <c r="G49" s="197">
        <f t="shared" si="17"/>
        <v>0</v>
      </c>
      <c r="H49" s="197">
        <f t="shared" si="17"/>
        <v>0</v>
      </c>
      <c r="I49" s="197">
        <f t="shared" si="17"/>
        <v>0</v>
      </c>
      <c r="K49" s="64">
        <f t="shared" si="15"/>
        <v>0</v>
      </c>
      <c r="L49" s="64">
        <f t="shared" si="12"/>
        <v>0</v>
      </c>
      <c r="M49" s="64">
        <f t="shared" si="12"/>
        <v>0</v>
      </c>
      <c r="N49" s="64">
        <f t="shared" si="12"/>
        <v>0</v>
      </c>
      <c r="O49" s="64">
        <f t="shared" si="12"/>
        <v>0</v>
      </c>
      <c r="P49" s="64">
        <f t="shared" si="12"/>
        <v>0</v>
      </c>
      <c r="Q49" s="64">
        <f t="shared" si="12"/>
        <v>0</v>
      </c>
      <c r="R49" s="64">
        <f t="shared" si="12"/>
        <v>0</v>
      </c>
      <c r="S49" s="64">
        <f t="shared" si="12"/>
        <v>0</v>
      </c>
      <c r="T49" s="64">
        <f t="shared" si="12"/>
        <v>0</v>
      </c>
      <c r="U49" s="64">
        <f t="shared" si="12"/>
        <v>0</v>
      </c>
      <c r="V49" s="64">
        <f t="shared" si="12"/>
        <v>0</v>
      </c>
      <c r="W49" s="64">
        <f t="shared" si="12"/>
        <v>0</v>
      </c>
      <c r="X49" s="64">
        <f t="shared" si="12"/>
        <v>0</v>
      </c>
      <c r="Y49" s="64">
        <f t="shared" si="12"/>
        <v>0</v>
      </c>
      <c r="Z49" s="64">
        <f t="shared" si="12"/>
        <v>0</v>
      </c>
      <c r="AA49" s="64">
        <f t="shared" si="12"/>
        <v>0</v>
      </c>
      <c r="AB49" s="64">
        <f t="shared" si="12"/>
        <v>0</v>
      </c>
      <c r="AC49" s="64">
        <f t="shared" si="12"/>
        <v>0</v>
      </c>
      <c r="AD49" s="64">
        <f t="shared" si="12"/>
        <v>0</v>
      </c>
      <c r="AE49" s="64">
        <f t="shared" si="12"/>
        <v>0</v>
      </c>
      <c r="AF49" s="64">
        <f t="shared" si="12"/>
        <v>0</v>
      </c>
      <c r="AG49" s="64">
        <f t="shared" si="12"/>
        <v>0</v>
      </c>
      <c r="AH49" s="64">
        <f t="shared" si="12"/>
        <v>0</v>
      </c>
      <c r="AI49" s="64">
        <f t="shared" si="12"/>
        <v>0</v>
      </c>
      <c r="AJ49" s="64">
        <f t="shared" si="12"/>
        <v>0</v>
      </c>
      <c r="AK49" s="64">
        <f t="shared" si="12"/>
        <v>0</v>
      </c>
      <c r="AL49" s="64">
        <f t="shared" si="12"/>
        <v>0</v>
      </c>
      <c r="AM49" s="64">
        <f t="shared" si="12"/>
        <v>0</v>
      </c>
      <c r="AN49" s="64">
        <f t="shared" si="12"/>
        <v>0</v>
      </c>
      <c r="AO49" s="64">
        <f t="shared" si="12"/>
        <v>0</v>
      </c>
      <c r="AP49" s="64">
        <f t="shared" si="12"/>
        <v>0</v>
      </c>
      <c r="AQ49" s="64">
        <f t="shared" si="12"/>
        <v>0</v>
      </c>
      <c r="AR49" s="64">
        <f t="shared" si="12"/>
        <v>0</v>
      </c>
      <c r="AS49" s="64">
        <f t="shared" si="12"/>
        <v>0</v>
      </c>
      <c r="AT49" s="64">
        <f t="shared" si="12"/>
        <v>0</v>
      </c>
      <c r="AU49" s="64">
        <f t="shared" si="12"/>
        <v>0</v>
      </c>
      <c r="AV49" s="64">
        <f t="shared" si="12"/>
        <v>0</v>
      </c>
      <c r="AW49" s="64">
        <f t="shared" si="12"/>
        <v>0</v>
      </c>
      <c r="AX49" s="64">
        <f t="shared" si="12"/>
        <v>0</v>
      </c>
      <c r="AY49" s="64">
        <f t="shared" si="12"/>
        <v>0</v>
      </c>
      <c r="AZ49" s="64">
        <f t="shared" si="12"/>
        <v>0</v>
      </c>
      <c r="BA49" s="64">
        <f t="shared" si="12"/>
        <v>0</v>
      </c>
      <c r="BB49" s="64">
        <f t="shared" si="12"/>
        <v>0</v>
      </c>
      <c r="BC49" s="64">
        <f t="shared" si="12"/>
        <v>0</v>
      </c>
      <c r="BD49" s="64">
        <f t="shared" si="12"/>
        <v>0</v>
      </c>
      <c r="BE49" s="64">
        <f t="shared" si="12"/>
        <v>0</v>
      </c>
      <c r="BF49" s="64">
        <f t="shared" si="12"/>
        <v>0</v>
      </c>
      <c r="BG49" s="64">
        <f t="shared" si="12"/>
        <v>0</v>
      </c>
      <c r="BH49" s="64">
        <f t="shared" si="12"/>
        <v>0</v>
      </c>
      <c r="BI49" s="64">
        <f t="shared" si="12"/>
        <v>0</v>
      </c>
      <c r="BJ49" s="64">
        <f t="shared" si="12"/>
        <v>0</v>
      </c>
      <c r="BK49" s="64">
        <f t="shared" si="12"/>
        <v>0</v>
      </c>
      <c r="BL49" s="64">
        <f t="shared" si="12"/>
        <v>0</v>
      </c>
      <c r="BM49" s="64">
        <f t="shared" si="12"/>
        <v>0</v>
      </c>
      <c r="BN49" s="64">
        <f t="shared" si="12"/>
        <v>0</v>
      </c>
      <c r="BO49" s="64">
        <f t="shared" si="12"/>
        <v>0</v>
      </c>
      <c r="BP49" s="64">
        <f t="shared" si="12"/>
        <v>0</v>
      </c>
      <c r="BQ49" s="64">
        <f t="shared" si="12"/>
        <v>0</v>
      </c>
      <c r="BR49" s="64">
        <f t="shared" si="12"/>
        <v>0</v>
      </c>
    </row>
    <row r="50" spans="2:70" x14ac:dyDescent="0.25">
      <c r="B50" s="139" t="str">
        <f t="shared" si="13"/>
        <v>Post 5</v>
      </c>
      <c r="E50" s="197"/>
      <c r="F50" s="197">
        <f t="shared" ref="F50:I50" si="18">E50*F$44</f>
        <v>0</v>
      </c>
      <c r="G50" s="197">
        <f t="shared" si="18"/>
        <v>0</v>
      </c>
      <c r="H50" s="197">
        <f t="shared" si="18"/>
        <v>0</v>
      </c>
      <c r="I50" s="197">
        <f t="shared" si="18"/>
        <v>0</v>
      </c>
      <c r="K50" s="64">
        <f t="shared" si="15"/>
        <v>0</v>
      </c>
      <c r="L50" s="64">
        <f t="shared" si="12"/>
        <v>0</v>
      </c>
      <c r="M50" s="64">
        <f t="shared" si="12"/>
        <v>0</v>
      </c>
      <c r="N50" s="64">
        <f t="shared" si="12"/>
        <v>0</v>
      </c>
      <c r="O50" s="64">
        <f t="shared" si="12"/>
        <v>0</v>
      </c>
      <c r="P50" s="64">
        <f t="shared" si="12"/>
        <v>0</v>
      </c>
      <c r="Q50" s="64">
        <f t="shared" si="12"/>
        <v>0</v>
      </c>
      <c r="R50" s="64">
        <f t="shared" si="12"/>
        <v>0</v>
      </c>
      <c r="S50" s="64">
        <f t="shared" si="12"/>
        <v>0</v>
      </c>
      <c r="T50" s="64">
        <f t="shared" si="12"/>
        <v>0</v>
      </c>
      <c r="U50" s="64">
        <f t="shared" si="12"/>
        <v>0</v>
      </c>
      <c r="V50" s="64">
        <f t="shared" si="12"/>
        <v>0</v>
      </c>
      <c r="W50" s="64">
        <f t="shared" si="12"/>
        <v>0</v>
      </c>
      <c r="X50" s="64">
        <f t="shared" si="12"/>
        <v>0</v>
      </c>
      <c r="Y50" s="64">
        <f t="shared" si="12"/>
        <v>0</v>
      </c>
      <c r="Z50" s="64">
        <f t="shared" si="12"/>
        <v>0</v>
      </c>
      <c r="AA50" s="64">
        <f t="shared" si="12"/>
        <v>0</v>
      </c>
      <c r="AB50" s="64">
        <f t="shared" si="12"/>
        <v>0</v>
      </c>
      <c r="AC50" s="64">
        <f t="shared" si="12"/>
        <v>0</v>
      </c>
      <c r="AD50" s="64">
        <f t="shared" si="12"/>
        <v>0</v>
      </c>
      <c r="AE50" s="64">
        <f t="shared" si="12"/>
        <v>0</v>
      </c>
      <c r="AF50" s="64">
        <f t="shared" si="12"/>
        <v>0</v>
      </c>
      <c r="AG50" s="64">
        <f t="shared" si="12"/>
        <v>0</v>
      </c>
      <c r="AH50" s="64">
        <f t="shared" si="12"/>
        <v>0</v>
      </c>
      <c r="AI50" s="64">
        <f t="shared" si="12"/>
        <v>0</v>
      </c>
      <c r="AJ50" s="64">
        <f t="shared" si="12"/>
        <v>0</v>
      </c>
      <c r="AK50" s="64">
        <f t="shared" si="12"/>
        <v>0</v>
      </c>
      <c r="AL50" s="64">
        <f t="shared" si="12"/>
        <v>0</v>
      </c>
      <c r="AM50" s="64">
        <f t="shared" si="12"/>
        <v>0</v>
      </c>
      <c r="AN50" s="64">
        <f t="shared" si="12"/>
        <v>0</v>
      </c>
      <c r="AO50" s="64">
        <f t="shared" si="12"/>
        <v>0</v>
      </c>
      <c r="AP50" s="64">
        <f t="shared" si="12"/>
        <v>0</v>
      </c>
      <c r="AQ50" s="64">
        <f t="shared" si="12"/>
        <v>0</v>
      </c>
      <c r="AR50" s="64">
        <f t="shared" si="12"/>
        <v>0</v>
      </c>
      <c r="AS50" s="64">
        <f t="shared" si="12"/>
        <v>0</v>
      </c>
      <c r="AT50" s="64">
        <f t="shared" ref="L50:BR54" si="19">INDEX($E50:$I50,0,MATCH(AT$5,$E$5:$I$5,0))/12</f>
        <v>0</v>
      </c>
      <c r="AU50" s="64">
        <f t="shared" si="19"/>
        <v>0</v>
      </c>
      <c r="AV50" s="64">
        <f t="shared" si="19"/>
        <v>0</v>
      </c>
      <c r="AW50" s="64">
        <f t="shared" si="19"/>
        <v>0</v>
      </c>
      <c r="AX50" s="64">
        <f t="shared" si="19"/>
        <v>0</v>
      </c>
      <c r="AY50" s="64">
        <f t="shared" si="19"/>
        <v>0</v>
      </c>
      <c r="AZ50" s="64">
        <f t="shared" si="19"/>
        <v>0</v>
      </c>
      <c r="BA50" s="64">
        <f t="shared" si="19"/>
        <v>0</v>
      </c>
      <c r="BB50" s="64">
        <f t="shared" si="19"/>
        <v>0</v>
      </c>
      <c r="BC50" s="64">
        <f t="shared" si="19"/>
        <v>0</v>
      </c>
      <c r="BD50" s="64">
        <f t="shared" si="19"/>
        <v>0</v>
      </c>
      <c r="BE50" s="64">
        <f t="shared" si="19"/>
        <v>0</v>
      </c>
      <c r="BF50" s="64">
        <f t="shared" si="19"/>
        <v>0</v>
      </c>
      <c r="BG50" s="64">
        <f t="shared" si="19"/>
        <v>0</v>
      </c>
      <c r="BH50" s="64">
        <f t="shared" si="19"/>
        <v>0</v>
      </c>
      <c r="BI50" s="64">
        <f t="shared" si="19"/>
        <v>0</v>
      </c>
      <c r="BJ50" s="64">
        <f t="shared" si="19"/>
        <v>0</v>
      </c>
      <c r="BK50" s="64">
        <f t="shared" si="19"/>
        <v>0</v>
      </c>
      <c r="BL50" s="64">
        <f t="shared" si="19"/>
        <v>0</v>
      </c>
      <c r="BM50" s="64">
        <f t="shared" si="19"/>
        <v>0</v>
      </c>
      <c r="BN50" s="64">
        <f t="shared" si="19"/>
        <v>0</v>
      </c>
      <c r="BO50" s="64">
        <f t="shared" si="19"/>
        <v>0</v>
      </c>
      <c r="BP50" s="64">
        <f t="shared" si="19"/>
        <v>0</v>
      </c>
      <c r="BQ50" s="64">
        <f t="shared" si="19"/>
        <v>0</v>
      </c>
      <c r="BR50" s="64">
        <f t="shared" si="19"/>
        <v>0</v>
      </c>
    </row>
    <row r="51" spans="2:70" x14ac:dyDescent="0.25">
      <c r="B51" s="139" t="str">
        <f t="shared" si="13"/>
        <v>Post 6</v>
      </c>
      <c r="E51" s="197"/>
      <c r="F51" s="197">
        <f t="shared" ref="F51:I51" si="20">E51*F$44</f>
        <v>0</v>
      </c>
      <c r="G51" s="197">
        <f t="shared" si="20"/>
        <v>0</v>
      </c>
      <c r="H51" s="197">
        <f t="shared" si="20"/>
        <v>0</v>
      </c>
      <c r="I51" s="197">
        <f t="shared" si="20"/>
        <v>0</v>
      </c>
      <c r="K51" s="64">
        <f t="shared" si="15"/>
        <v>0</v>
      </c>
      <c r="L51" s="64">
        <f t="shared" si="19"/>
        <v>0</v>
      </c>
      <c r="M51" s="64">
        <f t="shared" si="19"/>
        <v>0</v>
      </c>
      <c r="N51" s="64">
        <f t="shared" si="19"/>
        <v>0</v>
      </c>
      <c r="O51" s="64">
        <f t="shared" si="19"/>
        <v>0</v>
      </c>
      <c r="P51" s="64">
        <f t="shared" si="19"/>
        <v>0</v>
      </c>
      <c r="Q51" s="64">
        <f t="shared" si="19"/>
        <v>0</v>
      </c>
      <c r="R51" s="64">
        <f t="shared" si="19"/>
        <v>0</v>
      </c>
      <c r="S51" s="64">
        <f t="shared" si="19"/>
        <v>0</v>
      </c>
      <c r="T51" s="64">
        <f t="shared" si="19"/>
        <v>0</v>
      </c>
      <c r="U51" s="64">
        <f t="shared" si="19"/>
        <v>0</v>
      </c>
      <c r="V51" s="64">
        <f t="shared" si="19"/>
        <v>0</v>
      </c>
      <c r="W51" s="64">
        <f t="shared" si="19"/>
        <v>0</v>
      </c>
      <c r="X51" s="64">
        <f t="shared" si="19"/>
        <v>0</v>
      </c>
      <c r="Y51" s="64">
        <f t="shared" si="19"/>
        <v>0</v>
      </c>
      <c r="Z51" s="64">
        <f t="shared" si="19"/>
        <v>0</v>
      </c>
      <c r="AA51" s="64">
        <f t="shared" si="19"/>
        <v>0</v>
      </c>
      <c r="AB51" s="64">
        <f t="shared" si="19"/>
        <v>0</v>
      </c>
      <c r="AC51" s="64">
        <f t="shared" si="19"/>
        <v>0</v>
      </c>
      <c r="AD51" s="64">
        <f t="shared" si="19"/>
        <v>0</v>
      </c>
      <c r="AE51" s="64">
        <f t="shared" si="19"/>
        <v>0</v>
      </c>
      <c r="AF51" s="64">
        <f t="shared" si="19"/>
        <v>0</v>
      </c>
      <c r="AG51" s="64">
        <f t="shared" si="19"/>
        <v>0</v>
      </c>
      <c r="AH51" s="64">
        <f t="shared" si="19"/>
        <v>0</v>
      </c>
      <c r="AI51" s="64">
        <f t="shared" si="19"/>
        <v>0</v>
      </c>
      <c r="AJ51" s="64">
        <f t="shared" si="19"/>
        <v>0</v>
      </c>
      <c r="AK51" s="64">
        <f t="shared" si="19"/>
        <v>0</v>
      </c>
      <c r="AL51" s="64">
        <f t="shared" si="19"/>
        <v>0</v>
      </c>
      <c r="AM51" s="64">
        <f t="shared" si="19"/>
        <v>0</v>
      </c>
      <c r="AN51" s="64">
        <f t="shared" si="19"/>
        <v>0</v>
      </c>
      <c r="AO51" s="64">
        <f t="shared" si="19"/>
        <v>0</v>
      </c>
      <c r="AP51" s="64">
        <f t="shared" si="19"/>
        <v>0</v>
      </c>
      <c r="AQ51" s="64">
        <f t="shared" si="19"/>
        <v>0</v>
      </c>
      <c r="AR51" s="64">
        <f t="shared" si="19"/>
        <v>0</v>
      </c>
      <c r="AS51" s="64">
        <f t="shared" si="19"/>
        <v>0</v>
      </c>
      <c r="AT51" s="64">
        <f t="shared" si="19"/>
        <v>0</v>
      </c>
      <c r="AU51" s="64">
        <f t="shared" si="19"/>
        <v>0</v>
      </c>
      <c r="AV51" s="64">
        <f t="shared" si="19"/>
        <v>0</v>
      </c>
      <c r="AW51" s="64">
        <f t="shared" si="19"/>
        <v>0</v>
      </c>
      <c r="AX51" s="64">
        <f t="shared" si="19"/>
        <v>0</v>
      </c>
      <c r="AY51" s="64">
        <f t="shared" si="19"/>
        <v>0</v>
      </c>
      <c r="AZ51" s="64">
        <f t="shared" si="19"/>
        <v>0</v>
      </c>
      <c r="BA51" s="64">
        <f t="shared" si="19"/>
        <v>0</v>
      </c>
      <c r="BB51" s="64">
        <f t="shared" si="19"/>
        <v>0</v>
      </c>
      <c r="BC51" s="64">
        <f t="shared" si="19"/>
        <v>0</v>
      </c>
      <c r="BD51" s="64">
        <f t="shared" si="19"/>
        <v>0</v>
      </c>
      <c r="BE51" s="64">
        <f t="shared" si="19"/>
        <v>0</v>
      </c>
      <c r="BF51" s="64">
        <f t="shared" si="19"/>
        <v>0</v>
      </c>
      <c r="BG51" s="64">
        <f t="shared" si="19"/>
        <v>0</v>
      </c>
      <c r="BH51" s="64">
        <f t="shared" si="19"/>
        <v>0</v>
      </c>
      <c r="BI51" s="64">
        <f t="shared" si="19"/>
        <v>0</v>
      </c>
      <c r="BJ51" s="64">
        <f t="shared" si="19"/>
        <v>0</v>
      </c>
      <c r="BK51" s="64">
        <f t="shared" si="19"/>
        <v>0</v>
      </c>
      <c r="BL51" s="64">
        <f t="shared" si="19"/>
        <v>0</v>
      </c>
      <c r="BM51" s="64">
        <f t="shared" si="19"/>
        <v>0</v>
      </c>
      <c r="BN51" s="64">
        <f t="shared" si="19"/>
        <v>0</v>
      </c>
      <c r="BO51" s="64">
        <f t="shared" si="19"/>
        <v>0</v>
      </c>
      <c r="BP51" s="64">
        <f t="shared" si="19"/>
        <v>0</v>
      </c>
      <c r="BQ51" s="64">
        <f t="shared" si="19"/>
        <v>0</v>
      </c>
      <c r="BR51" s="64">
        <f t="shared" si="19"/>
        <v>0</v>
      </c>
    </row>
    <row r="52" spans="2:70" x14ac:dyDescent="0.25">
      <c r="B52" s="139" t="str">
        <f t="shared" si="13"/>
        <v>Post 7</v>
      </c>
      <c r="E52" s="197"/>
      <c r="F52" s="197">
        <f t="shared" ref="F52:I52" si="21">E52*F$44</f>
        <v>0</v>
      </c>
      <c r="G52" s="197">
        <f t="shared" si="21"/>
        <v>0</v>
      </c>
      <c r="H52" s="197">
        <f t="shared" si="21"/>
        <v>0</v>
      </c>
      <c r="I52" s="197">
        <f t="shared" si="21"/>
        <v>0</v>
      </c>
      <c r="K52" s="64">
        <f t="shared" si="15"/>
        <v>0</v>
      </c>
      <c r="L52" s="64">
        <f t="shared" si="19"/>
        <v>0</v>
      </c>
      <c r="M52" s="64">
        <f t="shared" si="19"/>
        <v>0</v>
      </c>
      <c r="N52" s="64">
        <f t="shared" si="19"/>
        <v>0</v>
      </c>
      <c r="O52" s="64">
        <f t="shared" si="19"/>
        <v>0</v>
      </c>
      <c r="P52" s="64">
        <f t="shared" si="19"/>
        <v>0</v>
      </c>
      <c r="Q52" s="64">
        <f t="shared" si="19"/>
        <v>0</v>
      </c>
      <c r="R52" s="64">
        <f t="shared" si="19"/>
        <v>0</v>
      </c>
      <c r="S52" s="64">
        <f t="shared" si="19"/>
        <v>0</v>
      </c>
      <c r="T52" s="64">
        <f t="shared" si="19"/>
        <v>0</v>
      </c>
      <c r="U52" s="64">
        <f t="shared" si="19"/>
        <v>0</v>
      </c>
      <c r="V52" s="64">
        <f t="shared" si="19"/>
        <v>0</v>
      </c>
      <c r="W52" s="64">
        <f t="shared" si="19"/>
        <v>0</v>
      </c>
      <c r="X52" s="64">
        <f t="shared" si="19"/>
        <v>0</v>
      </c>
      <c r="Y52" s="64">
        <f t="shared" si="19"/>
        <v>0</v>
      </c>
      <c r="Z52" s="64">
        <f t="shared" si="19"/>
        <v>0</v>
      </c>
      <c r="AA52" s="64">
        <f t="shared" si="19"/>
        <v>0</v>
      </c>
      <c r="AB52" s="64">
        <f t="shared" si="19"/>
        <v>0</v>
      </c>
      <c r="AC52" s="64">
        <f t="shared" si="19"/>
        <v>0</v>
      </c>
      <c r="AD52" s="64">
        <f t="shared" si="19"/>
        <v>0</v>
      </c>
      <c r="AE52" s="64">
        <f t="shared" si="19"/>
        <v>0</v>
      </c>
      <c r="AF52" s="64">
        <f t="shared" si="19"/>
        <v>0</v>
      </c>
      <c r="AG52" s="64">
        <f t="shared" si="19"/>
        <v>0</v>
      </c>
      <c r="AH52" s="64">
        <f t="shared" si="19"/>
        <v>0</v>
      </c>
      <c r="AI52" s="64">
        <f t="shared" si="19"/>
        <v>0</v>
      </c>
      <c r="AJ52" s="64">
        <f t="shared" si="19"/>
        <v>0</v>
      </c>
      <c r="AK52" s="64">
        <f t="shared" si="19"/>
        <v>0</v>
      </c>
      <c r="AL52" s="64">
        <f t="shared" si="19"/>
        <v>0</v>
      </c>
      <c r="AM52" s="64">
        <f t="shared" si="19"/>
        <v>0</v>
      </c>
      <c r="AN52" s="64">
        <f t="shared" si="19"/>
        <v>0</v>
      </c>
      <c r="AO52" s="64">
        <f t="shared" si="19"/>
        <v>0</v>
      </c>
      <c r="AP52" s="64">
        <f t="shared" si="19"/>
        <v>0</v>
      </c>
      <c r="AQ52" s="64">
        <f t="shared" si="19"/>
        <v>0</v>
      </c>
      <c r="AR52" s="64">
        <f t="shared" si="19"/>
        <v>0</v>
      </c>
      <c r="AS52" s="64">
        <f t="shared" si="19"/>
        <v>0</v>
      </c>
      <c r="AT52" s="64">
        <f t="shared" si="19"/>
        <v>0</v>
      </c>
      <c r="AU52" s="64">
        <f t="shared" si="19"/>
        <v>0</v>
      </c>
      <c r="AV52" s="64">
        <f t="shared" si="19"/>
        <v>0</v>
      </c>
      <c r="AW52" s="64">
        <f t="shared" si="19"/>
        <v>0</v>
      </c>
      <c r="AX52" s="64">
        <f t="shared" si="19"/>
        <v>0</v>
      </c>
      <c r="AY52" s="64">
        <f t="shared" si="19"/>
        <v>0</v>
      </c>
      <c r="AZ52" s="64">
        <f t="shared" si="19"/>
        <v>0</v>
      </c>
      <c r="BA52" s="64">
        <f t="shared" si="19"/>
        <v>0</v>
      </c>
      <c r="BB52" s="64">
        <f t="shared" si="19"/>
        <v>0</v>
      </c>
      <c r="BC52" s="64">
        <f t="shared" si="19"/>
        <v>0</v>
      </c>
      <c r="BD52" s="64">
        <f t="shared" si="19"/>
        <v>0</v>
      </c>
      <c r="BE52" s="64">
        <f t="shared" si="19"/>
        <v>0</v>
      </c>
      <c r="BF52" s="64">
        <f t="shared" si="19"/>
        <v>0</v>
      </c>
      <c r="BG52" s="64">
        <f t="shared" si="19"/>
        <v>0</v>
      </c>
      <c r="BH52" s="64">
        <f t="shared" si="19"/>
        <v>0</v>
      </c>
      <c r="BI52" s="64">
        <f t="shared" si="19"/>
        <v>0</v>
      </c>
      <c r="BJ52" s="64">
        <f t="shared" si="19"/>
        <v>0</v>
      </c>
      <c r="BK52" s="64">
        <f t="shared" si="19"/>
        <v>0</v>
      </c>
      <c r="BL52" s="64">
        <f t="shared" si="19"/>
        <v>0</v>
      </c>
      <c r="BM52" s="64">
        <f t="shared" si="19"/>
        <v>0</v>
      </c>
      <c r="BN52" s="64">
        <f t="shared" si="19"/>
        <v>0</v>
      </c>
      <c r="BO52" s="64">
        <f t="shared" si="19"/>
        <v>0</v>
      </c>
      <c r="BP52" s="64">
        <f t="shared" si="19"/>
        <v>0</v>
      </c>
      <c r="BQ52" s="64">
        <f t="shared" si="19"/>
        <v>0</v>
      </c>
      <c r="BR52" s="64">
        <f t="shared" si="19"/>
        <v>0</v>
      </c>
    </row>
    <row r="53" spans="2:70" x14ac:dyDescent="0.25">
      <c r="B53" s="139" t="str">
        <f t="shared" si="13"/>
        <v>Post 8</v>
      </c>
      <c r="E53" s="197"/>
      <c r="F53" s="197">
        <f t="shared" ref="F53:I53" si="22">E53*F$44</f>
        <v>0</v>
      </c>
      <c r="G53" s="197">
        <f t="shared" si="22"/>
        <v>0</v>
      </c>
      <c r="H53" s="197">
        <f t="shared" si="22"/>
        <v>0</v>
      </c>
      <c r="I53" s="197">
        <f t="shared" si="22"/>
        <v>0</v>
      </c>
      <c r="K53" s="64">
        <f t="shared" si="15"/>
        <v>0</v>
      </c>
      <c r="L53" s="64">
        <f t="shared" si="19"/>
        <v>0</v>
      </c>
      <c r="M53" s="64">
        <f t="shared" si="19"/>
        <v>0</v>
      </c>
      <c r="N53" s="64">
        <f t="shared" si="19"/>
        <v>0</v>
      </c>
      <c r="O53" s="64">
        <f t="shared" si="19"/>
        <v>0</v>
      </c>
      <c r="P53" s="64">
        <f t="shared" si="19"/>
        <v>0</v>
      </c>
      <c r="Q53" s="64">
        <f t="shared" si="19"/>
        <v>0</v>
      </c>
      <c r="R53" s="64">
        <f t="shared" si="19"/>
        <v>0</v>
      </c>
      <c r="S53" s="64">
        <f t="shared" si="19"/>
        <v>0</v>
      </c>
      <c r="T53" s="64">
        <f t="shared" si="19"/>
        <v>0</v>
      </c>
      <c r="U53" s="64">
        <f t="shared" si="19"/>
        <v>0</v>
      </c>
      <c r="V53" s="64">
        <f t="shared" si="19"/>
        <v>0</v>
      </c>
      <c r="W53" s="64">
        <f t="shared" si="19"/>
        <v>0</v>
      </c>
      <c r="X53" s="64">
        <f t="shared" si="19"/>
        <v>0</v>
      </c>
      <c r="Y53" s="64">
        <f t="shared" si="19"/>
        <v>0</v>
      </c>
      <c r="Z53" s="64">
        <f t="shared" si="19"/>
        <v>0</v>
      </c>
      <c r="AA53" s="64">
        <f t="shared" si="19"/>
        <v>0</v>
      </c>
      <c r="AB53" s="64">
        <f t="shared" si="19"/>
        <v>0</v>
      </c>
      <c r="AC53" s="64">
        <f t="shared" si="19"/>
        <v>0</v>
      </c>
      <c r="AD53" s="64">
        <f t="shared" si="19"/>
        <v>0</v>
      </c>
      <c r="AE53" s="64">
        <f t="shared" si="19"/>
        <v>0</v>
      </c>
      <c r="AF53" s="64">
        <f t="shared" si="19"/>
        <v>0</v>
      </c>
      <c r="AG53" s="64">
        <f t="shared" si="19"/>
        <v>0</v>
      </c>
      <c r="AH53" s="64">
        <f t="shared" si="19"/>
        <v>0</v>
      </c>
      <c r="AI53" s="64">
        <f t="shared" si="19"/>
        <v>0</v>
      </c>
      <c r="AJ53" s="64">
        <f t="shared" si="19"/>
        <v>0</v>
      </c>
      <c r="AK53" s="64">
        <f t="shared" si="19"/>
        <v>0</v>
      </c>
      <c r="AL53" s="64">
        <f t="shared" si="19"/>
        <v>0</v>
      </c>
      <c r="AM53" s="64">
        <f t="shared" si="19"/>
        <v>0</v>
      </c>
      <c r="AN53" s="64">
        <f t="shared" si="19"/>
        <v>0</v>
      </c>
      <c r="AO53" s="64">
        <f t="shared" si="19"/>
        <v>0</v>
      </c>
      <c r="AP53" s="64">
        <f t="shared" si="19"/>
        <v>0</v>
      </c>
      <c r="AQ53" s="64">
        <f t="shared" si="19"/>
        <v>0</v>
      </c>
      <c r="AR53" s="64">
        <f t="shared" si="19"/>
        <v>0</v>
      </c>
      <c r="AS53" s="64">
        <f t="shared" si="19"/>
        <v>0</v>
      </c>
      <c r="AT53" s="64">
        <f t="shared" si="19"/>
        <v>0</v>
      </c>
      <c r="AU53" s="64">
        <f t="shared" si="19"/>
        <v>0</v>
      </c>
      <c r="AV53" s="64">
        <f t="shared" si="19"/>
        <v>0</v>
      </c>
      <c r="AW53" s="64">
        <f t="shared" si="19"/>
        <v>0</v>
      </c>
      <c r="AX53" s="64">
        <f t="shared" si="19"/>
        <v>0</v>
      </c>
      <c r="AY53" s="64">
        <f t="shared" si="19"/>
        <v>0</v>
      </c>
      <c r="AZ53" s="64">
        <f t="shared" si="19"/>
        <v>0</v>
      </c>
      <c r="BA53" s="64">
        <f t="shared" si="19"/>
        <v>0</v>
      </c>
      <c r="BB53" s="64">
        <f t="shared" si="19"/>
        <v>0</v>
      </c>
      <c r="BC53" s="64">
        <f t="shared" si="19"/>
        <v>0</v>
      </c>
      <c r="BD53" s="64">
        <f t="shared" si="19"/>
        <v>0</v>
      </c>
      <c r="BE53" s="64">
        <f t="shared" si="19"/>
        <v>0</v>
      </c>
      <c r="BF53" s="64">
        <f t="shared" si="19"/>
        <v>0</v>
      </c>
      <c r="BG53" s="64">
        <f t="shared" si="19"/>
        <v>0</v>
      </c>
      <c r="BH53" s="64">
        <f t="shared" si="19"/>
        <v>0</v>
      </c>
      <c r="BI53" s="64">
        <f t="shared" si="19"/>
        <v>0</v>
      </c>
      <c r="BJ53" s="64">
        <f t="shared" si="19"/>
        <v>0</v>
      </c>
      <c r="BK53" s="64">
        <f t="shared" si="19"/>
        <v>0</v>
      </c>
      <c r="BL53" s="64">
        <f t="shared" si="19"/>
        <v>0</v>
      </c>
      <c r="BM53" s="64">
        <f t="shared" si="19"/>
        <v>0</v>
      </c>
      <c r="BN53" s="64">
        <f t="shared" si="19"/>
        <v>0</v>
      </c>
      <c r="BO53" s="64">
        <f t="shared" si="19"/>
        <v>0</v>
      </c>
      <c r="BP53" s="64">
        <f t="shared" si="19"/>
        <v>0</v>
      </c>
      <c r="BQ53" s="64">
        <f t="shared" si="19"/>
        <v>0</v>
      </c>
      <c r="BR53" s="64">
        <f t="shared" si="19"/>
        <v>0</v>
      </c>
    </row>
    <row r="54" spans="2:70" x14ac:dyDescent="0.25">
      <c r="B54" s="139" t="str">
        <f t="shared" si="13"/>
        <v>Post 9</v>
      </c>
      <c r="E54" s="197"/>
      <c r="F54" s="197">
        <f t="shared" ref="F54:I54" si="23">E54*F$44</f>
        <v>0</v>
      </c>
      <c r="G54" s="197">
        <f t="shared" si="23"/>
        <v>0</v>
      </c>
      <c r="H54" s="197">
        <f t="shared" si="23"/>
        <v>0</v>
      </c>
      <c r="I54" s="197">
        <f t="shared" si="23"/>
        <v>0</v>
      </c>
      <c r="K54" s="64">
        <f t="shared" si="15"/>
        <v>0</v>
      </c>
      <c r="L54" s="64">
        <f t="shared" si="19"/>
        <v>0</v>
      </c>
      <c r="M54" s="64">
        <f t="shared" si="19"/>
        <v>0</v>
      </c>
      <c r="N54" s="64">
        <f t="shared" si="19"/>
        <v>0</v>
      </c>
      <c r="O54" s="64">
        <f t="shared" si="19"/>
        <v>0</v>
      </c>
      <c r="P54" s="64">
        <f t="shared" si="19"/>
        <v>0</v>
      </c>
      <c r="Q54" s="64">
        <f t="shared" si="19"/>
        <v>0</v>
      </c>
      <c r="R54" s="64">
        <f t="shared" si="19"/>
        <v>0</v>
      </c>
      <c r="S54" s="64">
        <f t="shared" si="19"/>
        <v>0</v>
      </c>
      <c r="T54" s="64">
        <f t="shared" si="19"/>
        <v>0</v>
      </c>
      <c r="U54" s="64">
        <f t="shared" si="19"/>
        <v>0</v>
      </c>
      <c r="V54" s="64">
        <f t="shared" si="19"/>
        <v>0</v>
      </c>
      <c r="W54" s="64">
        <f t="shared" si="19"/>
        <v>0</v>
      </c>
      <c r="X54" s="64">
        <f t="shared" si="19"/>
        <v>0</v>
      </c>
      <c r="Y54" s="64">
        <f t="shared" si="19"/>
        <v>0</v>
      </c>
      <c r="Z54" s="64">
        <f t="shared" si="19"/>
        <v>0</v>
      </c>
      <c r="AA54" s="64">
        <f t="shared" si="19"/>
        <v>0</v>
      </c>
      <c r="AB54" s="64">
        <f t="shared" si="19"/>
        <v>0</v>
      </c>
      <c r="AC54" s="64">
        <f t="shared" si="19"/>
        <v>0</v>
      </c>
      <c r="AD54" s="64">
        <f t="shared" si="19"/>
        <v>0</v>
      </c>
      <c r="AE54" s="64">
        <f t="shared" si="19"/>
        <v>0</v>
      </c>
      <c r="AF54" s="64">
        <f t="shared" si="19"/>
        <v>0</v>
      </c>
      <c r="AG54" s="64">
        <f t="shared" si="19"/>
        <v>0</v>
      </c>
      <c r="AH54" s="64">
        <f t="shared" si="19"/>
        <v>0</v>
      </c>
      <c r="AI54" s="64">
        <f t="shared" si="19"/>
        <v>0</v>
      </c>
      <c r="AJ54" s="64">
        <f t="shared" si="19"/>
        <v>0</v>
      </c>
      <c r="AK54" s="64">
        <f t="shared" si="19"/>
        <v>0</v>
      </c>
      <c r="AL54" s="64">
        <f t="shared" si="19"/>
        <v>0</v>
      </c>
      <c r="AM54" s="64">
        <f t="shared" si="19"/>
        <v>0</v>
      </c>
      <c r="AN54" s="64">
        <f t="shared" si="19"/>
        <v>0</v>
      </c>
      <c r="AO54" s="64">
        <f t="shared" si="19"/>
        <v>0</v>
      </c>
      <c r="AP54" s="64">
        <f t="shared" si="19"/>
        <v>0</v>
      </c>
      <c r="AQ54" s="64">
        <f t="shared" si="19"/>
        <v>0</v>
      </c>
      <c r="AR54" s="64">
        <f t="shared" si="19"/>
        <v>0</v>
      </c>
      <c r="AS54" s="64">
        <f t="shared" si="19"/>
        <v>0</v>
      </c>
      <c r="AT54" s="64">
        <f t="shared" si="19"/>
        <v>0</v>
      </c>
      <c r="AU54" s="64">
        <f t="shared" si="19"/>
        <v>0</v>
      </c>
      <c r="AV54" s="64">
        <f t="shared" si="19"/>
        <v>0</v>
      </c>
      <c r="AW54" s="64">
        <f t="shared" si="19"/>
        <v>0</v>
      </c>
      <c r="AX54" s="64">
        <f t="shared" si="19"/>
        <v>0</v>
      </c>
      <c r="AY54" s="64">
        <f t="shared" si="19"/>
        <v>0</v>
      </c>
      <c r="AZ54" s="64">
        <f t="shared" si="19"/>
        <v>0</v>
      </c>
      <c r="BA54" s="64">
        <f t="shared" si="19"/>
        <v>0</v>
      </c>
      <c r="BB54" s="64">
        <f t="shared" si="19"/>
        <v>0</v>
      </c>
      <c r="BC54" s="64">
        <f t="shared" si="19"/>
        <v>0</v>
      </c>
      <c r="BD54" s="64">
        <f t="shared" si="19"/>
        <v>0</v>
      </c>
      <c r="BE54" s="64">
        <f t="shared" si="19"/>
        <v>0</v>
      </c>
      <c r="BF54" s="64">
        <f t="shared" si="19"/>
        <v>0</v>
      </c>
      <c r="BG54" s="64">
        <f t="shared" si="19"/>
        <v>0</v>
      </c>
      <c r="BH54" s="64">
        <f t="shared" si="19"/>
        <v>0</v>
      </c>
      <c r="BI54" s="64">
        <f t="shared" si="19"/>
        <v>0</v>
      </c>
      <c r="BJ54" s="64">
        <f t="shared" si="19"/>
        <v>0</v>
      </c>
      <c r="BK54" s="64">
        <f t="shared" si="19"/>
        <v>0</v>
      </c>
      <c r="BL54" s="64">
        <f t="shared" si="19"/>
        <v>0</v>
      </c>
      <c r="BM54" s="64">
        <f t="shared" ref="L54:BR59" si="24">INDEX($E54:$I54,0,MATCH(BM$5,$E$5:$I$5,0))/12</f>
        <v>0</v>
      </c>
      <c r="BN54" s="64">
        <f t="shared" si="24"/>
        <v>0</v>
      </c>
      <c r="BO54" s="64">
        <f t="shared" si="24"/>
        <v>0</v>
      </c>
      <c r="BP54" s="64">
        <f t="shared" si="24"/>
        <v>0</v>
      </c>
      <c r="BQ54" s="64">
        <f t="shared" si="24"/>
        <v>0</v>
      </c>
      <c r="BR54" s="64">
        <f t="shared" si="24"/>
        <v>0</v>
      </c>
    </row>
    <row r="55" spans="2:70" x14ac:dyDescent="0.25">
      <c r="B55" s="139" t="str">
        <f t="shared" si="13"/>
        <v>Post 10</v>
      </c>
      <c r="E55" s="197"/>
      <c r="F55" s="197">
        <f t="shared" ref="F55:I55" si="25">E55*F$44</f>
        <v>0</v>
      </c>
      <c r="G55" s="197">
        <f t="shared" si="25"/>
        <v>0</v>
      </c>
      <c r="H55" s="197">
        <f t="shared" si="25"/>
        <v>0</v>
      </c>
      <c r="I55" s="197">
        <f t="shared" si="25"/>
        <v>0</v>
      </c>
      <c r="K55" s="64">
        <f t="shared" si="15"/>
        <v>0</v>
      </c>
      <c r="L55" s="64">
        <f t="shared" si="24"/>
        <v>0</v>
      </c>
      <c r="M55" s="64">
        <f t="shared" si="24"/>
        <v>0</v>
      </c>
      <c r="N55" s="64">
        <f t="shared" si="24"/>
        <v>0</v>
      </c>
      <c r="O55" s="64">
        <f t="shared" si="24"/>
        <v>0</v>
      </c>
      <c r="P55" s="64">
        <f t="shared" si="24"/>
        <v>0</v>
      </c>
      <c r="Q55" s="64">
        <f t="shared" si="24"/>
        <v>0</v>
      </c>
      <c r="R55" s="64">
        <f t="shared" si="24"/>
        <v>0</v>
      </c>
      <c r="S55" s="64">
        <f t="shared" si="24"/>
        <v>0</v>
      </c>
      <c r="T55" s="64">
        <f t="shared" si="24"/>
        <v>0</v>
      </c>
      <c r="U55" s="64">
        <f t="shared" si="24"/>
        <v>0</v>
      </c>
      <c r="V55" s="64">
        <f t="shared" si="24"/>
        <v>0</v>
      </c>
      <c r="W55" s="64">
        <f t="shared" si="24"/>
        <v>0</v>
      </c>
      <c r="X55" s="64">
        <f t="shared" si="24"/>
        <v>0</v>
      </c>
      <c r="Y55" s="64">
        <f t="shared" si="24"/>
        <v>0</v>
      </c>
      <c r="Z55" s="64">
        <f t="shared" si="24"/>
        <v>0</v>
      </c>
      <c r="AA55" s="64">
        <f t="shared" si="24"/>
        <v>0</v>
      </c>
      <c r="AB55" s="64">
        <f t="shared" si="24"/>
        <v>0</v>
      </c>
      <c r="AC55" s="64">
        <f t="shared" si="24"/>
        <v>0</v>
      </c>
      <c r="AD55" s="64">
        <f t="shared" si="24"/>
        <v>0</v>
      </c>
      <c r="AE55" s="64">
        <f t="shared" si="24"/>
        <v>0</v>
      </c>
      <c r="AF55" s="64">
        <f t="shared" si="24"/>
        <v>0</v>
      </c>
      <c r="AG55" s="64">
        <f t="shared" si="24"/>
        <v>0</v>
      </c>
      <c r="AH55" s="64">
        <f t="shared" si="24"/>
        <v>0</v>
      </c>
      <c r="AI55" s="64">
        <f t="shared" si="24"/>
        <v>0</v>
      </c>
      <c r="AJ55" s="64">
        <f t="shared" si="24"/>
        <v>0</v>
      </c>
      <c r="AK55" s="64">
        <f t="shared" si="24"/>
        <v>0</v>
      </c>
      <c r="AL55" s="64">
        <f t="shared" si="24"/>
        <v>0</v>
      </c>
      <c r="AM55" s="64">
        <f t="shared" si="24"/>
        <v>0</v>
      </c>
      <c r="AN55" s="64">
        <f t="shared" si="24"/>
        <v>0</v>
      </c>
      <c r="AO55" s="64">
        <f t="shared" si="24"/>
        <v>0</v>
      </c>
      <c r="AP55" s="64">
        <f t="shared" si="24"/>
        <v>0</v>
      </c>
      <c r="AQ55" s="64">
        <f t="shared" si="24"/>
        <v>0</v>
      </c>
      <c r="AR55" s="64">
        <f t="shared" si="24"/>
        <v>0</v>
      </c>
      <c r="AS55" s="64">
        <f t="shared" si="24"/>
        <v>0</v>
      </c>
      <c r="AT55" s="64">
        <f t="shared" si="24"/>
        <v>0</v>
      </c>
      <c r="AU55" s="64">
        <f t="shared" si="24"/>
        <v>0</v>
      </c>
      <c r="AV55" s="64">
        <f t="shared" si="24"/>
        <v>0</v>
      </c>
      <c r="AW55" s="64">
        <f t="shared" si="24"/>
        <v>0</v>
      </c>
      <c r="AX55" s="64">
        <f t="shared" si="24"/>
        <v>0</v>
      </c>
      <c r="AY55" s="64">
        <f t="shared" si="24"/>
        <v>0</v>
      </c>
      <c r="AZ55" s="64">
        <f t="shared" si="24"/>
        <v>0</v>
      </c>
      <c r="BA55" s="64">
        <f t="shared" si="24"/>
        <v>0</v>
      </c>
      <c r="BB55" s="64">
        <f t="shared" si="24"/>
        <v>0</v>
      </c>
      <c r="BC55" s="64">
        <f t="shared" si="24"/>
        <v>0</v>
      </c>
      <c r="BD55" s="64">
        <f t="shared" si="24"/>
        <v>0</v>
      </c>
      <c r="BE55" s="64">
        <f t="shared" si="24"/>
        <v>0</v>
      </c>
      <c r="BF55" s="64">
        <f t="shared" si="24"/>
        <v>0</v>
      </c>
      <c r="BG55" s="64">
        <f t="shared" si="24"/>
        <v>0</v>
      </c>
      <c r="BH55" s="64">
        <f t="shared" si="24"/>
        <v>0</v>
      </c>
      <c r="BI55" s="64">
        <f t="shared" si="24"/>
        <v>0</v>
      </c>
      <c r="BJ55" s="64">
        <f t="shared" si="24"/>
        <v>0</v>
      </c>
      <c r="BK55" s="64">
        <f t="shared" si="24"/>
        <v>0</v>
      </c>
      <c r="BL55" s="64">
        <f t="shared" si="24"/>
        <v>0</v>
      </c>
      <c r="BM55" s="64">
        <f t="shared" si="24"/>
        <v>0</v>
      </c>
      <c r="BN55" s="64">
        <f t="shared" si="24"/>
        <v>0</v>
      </c>
      <c r="BO55" s="64">
        <f t="shared" si="24"/>
        <v>0</v>
      </c>
      <c r="BP55" s="64">
        <f t="shared" si="24"/>
        <v>0</v>
      </c>
      <c r="BQ55" s="64">
        <f t="shared" si="24"/>
        <v>0</v>
      </c>
      <c r="BR55" s="64">
        <f t="shared" si="24"/>
        <v>0</v>
      </c>
    </row>
    <row r="56" spans="2:70" x14ac:dyDescent="0.25">
      <c r="B56" s="139" t="str">
        <f t="shared" si="13"/>
        <v>Post 11</v>
      </c>
      <c r="E56" s="195"/>
      <c r="F56" s="197">
        <f t="shared" ref="F56:I56" si="26">E56*F$44</f>
        <v>0</v>
      </c>
      <c r="G56" s="197">
        <f t="shared" si="26"/>
        <v>0</v>
      </c>
      <c r="H56" s="197">
        <f t="shared" si="26"/>
        <v>0</v>
      </c>
      <c r="I56" s="197">
        <f t="shared" si="26"/>
        <v>0</v>
      </c>
      <c r="K56" s="64">
        <f t="shared" si="15"/>
        <v>0</v>
      </c>
      <c r="L56" s="64">
        <f t="shared" si="24"/>
        <v>0</v>
      </c>
      <c r="M56" s="64">
        <f t="shared" si="24"/>
        <v>0</v>
      </c>
      <c r="N56" s="64">
        <f t="shared" si="24"/>
        <v>0</v>
      </c>
      <c r="O56" s="64">
        <f t="shared" si="24"/>
        <v>0</v>
      </c>
      <c r="P56" s="64">
        <f t="shared" si="24"/>
        <v>0</v>
      </c>
      <c r="Q56" s="64">
        <f t="shared" si="24"/>
        <v>0</v>
      </c>
      <c r="R56" s="64">
        <f t="shared" si="24"/>
        <v>0</v>
      </c>
      <c r="S56" s="64">
        <f t="shared" si="24"/>
        <v>0</v>
      </c>
      <c r="T56" s="64">
        <f t="shared" si="24"/>
        <v>0</v>
      </c>
      <c r="U56" s="64">
        <f t="shared" si="24"/>
        <v>0</v>
      </c>
      <c r="V56" s="64">
        <f t="shared" si="24"/>
        <v>0</v>
      </c>
      <c r="W56" s="64">
        <f t="shared" si="24"/>
        <v>0</v>
      </c>
      <c r="X56" s="64">
        <f t="shared" si="24"/>
        <v>0</v>
      </c>
      <c r="Y56" s="64">
        <f t="shared" si="24"/>
        <v>0</v>
      </c>
      <c r="Z56" s="64">
        <f t="shared" si="24"/>
        <v>0</v>
      </c>
      <c r="AA56" s="64">
        <f t="shared" si="24"/>
        <v>0</v>
      </c>
      <c r="AB56" s="64">
        <f t="shared" si="24"/>
        <v>0</v>
      </c>
      <c r="AC56" s="64">
        <f t="shared" si="24"/>
        <v>0</v>
      </c>
      <c r="AD56" s="64">
        <f t="shared" si="24"/>
        <v>0</v>
      </c>
      <c r="AE56" s="64">
        <f t="shared" si="24"/>
        <v>0</v>
      </c>
      <c r="AF56" s="64">
        <f t="shared" si="24"/>
        <v>0</v>
      </c>
      <c r="AG56" s="64">
        <f t="shared" si="24"/>
        <v>0</v>
      </c>
      <c r="AH56" s="64">
        <f t="shared" si="24"/>
        <v>0</v>
      </c>
      <c r="AI56" s="64">
        <f t="shared" si="24"/>
        <v>0</v>
      </c>
      <c r="AJ56" s="64">
        <f t="shared" si="24"/>
        <v>0</v>
      </c>
      <c r="AK56" s="64">
        <f t="shared" si="24"/>
        <v>0</v>
      </c>
      <c r="AL56" s="64">
        <f t="shared" si="24"/>
        <v>0</v>
      </c>
      <c r="AM56" s="64">
        <f t="shared" si="24"/>
        <v>0</v>
      </c>
      <c r="AN56" s="64">
        <f t="shared" si="24"/>
        <v>0</v>
      </c>
      <c r="AO56" s="64">
        <f t="shared" si="24"/>
        <v>0</v>
      </c>
      <c r="AP56" s="64">
        <f t="shared" si="24"/>
        <v>0</v>
      </c>
      <c r="AQ56" s="64">
        <f t="shared" si="24"/>
        <v>0</v>
      </c>
      <c r="AR56" s="64">
        <f t="shared" si="24"/>
        <v>0</v>
      </c>
      <c r="AS56" s="64">
        <f t="shared" si="24"/>
        <v>0</v>
      </c>
      <c r="AT56" s="64">
        <f t="shared" si="24"/>
        <v>0</v>
      </c>
      <c r="AU56" s="64">
        <f t="shared" si="24"/>
        <v>0</v>
      </c>
      <c r="AV56" s="64">
        <f t="shared" si="24"/>
        <v>0</v>
      </c>
      <c r="AW56" s="64">
        <f t="shared" si="24"/>
        <v>0</v>
      </c>
      <c r="AX56" s="64">
        <f t="shared" si="24"/>
        <v>0</v>
      </c>
      <c r="AY56" s="64">
        <f t="shared" si="24"/>
        <v>0</v>
      </c>
      <c r="AZ56" s="64">
        <f t="shared" si="24"/>
        <v>0</v>
      </c>
      <c r="BA56" s="64">
        <f t="shared" si="24"/>
        <v>0</v>
      </c>
      <c r="BB56" s="64">
        <f t="shared" si="24"/>
        <v>0</v>
      </c>
      <c r="BC56" s="64">
        <f t="shared" si="24"/>
        <v>0</v>
      </c>
      <c r="BD56" s="64">
        <f t="shared" si="24"/>
        <v>0</v>
      </c>
      <c r="BE56" s="64">
        <f t="shared" si="24"/>
        <v>0</v>
      </c>
      <c r="BF56" s="64">
        <f t="shared" si="24"/>
        <v>0</v>
      </c>
      <c r="BG56" s="64">
        <f t="shared" si="24"/>
        <v>0</v>
      </c>
      <c r="BH56" s="64">
        <f t="shared" si="24"/>
        <v>0</v>
      </c>
      <c r="BI56" s="64">
        <f t="shared" si="24"/>
        <v>0</v>
      </c>
      <c r="BJ56" s="64">
        <f t="shared" si="24"/>
        <v>0</v>
      </c>
      <c r="BK56" s="64">
        <f t="shared" si="24"/>
        <v>0</v>
      </c>
      <c r="BL56" s="64">
        <f t="shared" si="24"/>
        <v>0</v>
      </c>
      <c r="BM56" s="64">
        <f t="shared" si="24"/>
        <v>0</v>
      </c>
      <c r="BN56" s="64">
        <f t="shared" si="24"/>
        <v>0</v>
      </c>
      <c r="BO56" s="64">
        <f t="shared" si="24"/>
        <v>0</v>
      </c>
      <c r="BP56" s="64">
        <f t="shared" si="24"/>
        <v>0</v>
      </c>
      <c r="BQ56" s="64">
        <f t="shared" si="24"/>
        <v>0</v>
      </c>
      <c r="BR56" s="64">
        <f t="shared" si="24"/>
        <v>0</v>
      </c>
    </row>
    <row r="57" spans="2:70" x14ac:dyDescent="0.25">
      <c r="B57" s="139" t="str">
        <f t="shared" si="13"/>
        <v>Post 12</v>
      </c>
      <c r="E57" s="195"/>
      <c r="F57" s="197">
        <f t="shared" ref="F57:I57" si="27">E57*F$44</f>
        <v>0</v>
      </c>
      <c r="G57" s="197">
        <f t="shared" si="27"/>
        <v>0</v>
      </c>
      <c r="H57" s="197">
        <f t="shared" si="27"/>
        <v>0</v>
      </c>
      <c r="I57" s="197">
        <f t="shared" si="27"/>
        <v>0</v>
      </c>
      <c r="K57" s="64">
        <f t="shared" si="15"/>
        <v>0</v>
      </c>
      <c r="L57" s="64">
        <f t="shared" si="24"/>
        <v>0</v>
      </c>
      <c r="M57" s="64">
        <f t="shared" si="24"/>
        <v>0</v>
      </c>
      <c r="N57" s="64">
        <f t="shared" si="24"/>
        <v>0</v>
      </c>
      <c r="O57" s="64">
        <f t="shared" si="24"/>
        <v>0</v>
      </c>
      <c r="P57" s="64">
        <f t="shared" si="24"/>
        <v>0</v>
      </c>
      <c r="Q57" s="64">
        <f t="shared" si="24"/>
        <v>0</v>
      </c>
      <c r="R57" s="64">
        <f t="shared" si="24"/>
        <v>0</v>
      </c>
      <c r="S57" s="64">
        <f t="shared" si="24"/>
        <v>0</v>
      </c>
      <c r="T57" s="64">
        <f t="shared" si="24"/>
        <v>0</v>
      </c>
      <c r="U57" s="64">
        <f t="shared" si="24"/>
        <v>0</v>
      </c>
      <c r="V57" s="64">
        <f t="shared" si="24"/>
        <v>0</v>
      </c>
      <c r="W57" s="64">
        <f t="shared" si="24"/>
        <v>0</v>
      </c>
      <c r="X57" s="64">
        <f t="shared" si="24"/>
        <v>0</v>
      </c>
      <c r="Y57" s="64">
        <f t="shared" si="24"/>
        <v>0</v>
      </c>
      <c r="Z57" s="64">
        <f t="shared" si="24"/>
        <v>0</v>
      </c>
      <c r="AA57" s="64">
        <f t="shared" si="24"/>
        <v>0</v>
      </c>
      <c r="AB57" s="64">
        <f t="shared" si="24"/>
        <v>0</v>
      </c>
      <c r="AC57" s="64">
        <f t="shared" si="24"/>
        <v>0</v>
      </c>
      <c r="AD57" s="64">
        <f t="shared" si="24"/>
        <v>0</v>
      </c>
      <c r="AE57" s="64">
        <f t="shared" si="24"/>
        <v>0</v>
      </c>
      <c r="AF57" s="64">
        <f t="shared" si="24"/>
        <v>0</v>
      </c>
      <c r="AG57" s="64">
        <f t="shared" si="24"/>
        <v>0</v>
      </c>
      <c r="AH57" s="64">
        <f t="shared" si="24"/>
        <v>0</v>
      </c>
      <c r="AI57" s="64">
        <f t="shared" si="24"/>
        <v>0</v>
      </c>
      <c r="AJ57" s="64">
        <f t="shared" si="24"/>
        <v>0</v>
      </c>
      <c r="AK57" s="64">
        <f t="shared" si="24"/>
        <v>0</v>
      </c>
      <c r="AL57" s="64">
        <f t="shared" si="24"/>
        <v>0</v>
      </c>
      <c r="AM57" s="64">
        <f t="shared" si="24"/>
        <v>0</v>
      </c>
      <c r="AN57" s="64">
        <f t="shared" si="24"/>
        <v>0</v>
      </c>
      <c r="AO57" s="64">
        <f t="shared" si="24"/>
        <v>0</v>
      </c>
      <c r="AP57" s="64">
        <f t="shared" si="24"/>
        <v>0</v>
      </c>
      <c r="AQ57" s="64">
        <f t="shared" si="24"/>
        <v>0</v>
      </c>
      <c r="AR57" s="64">
        <f t="shared" si="24"/>
        <v>0</v>
      </c>
      <c r="AS57" s="64">
        <f t="shared" si="24"/>
        <v>0</v>
      </c>
      <c r="AT57" s="64">
        <f t="shared" si="24"/>
        <v>0</v>
      </c>
      <c r="AU57" s="64">
        <f t="shared" si="24"/>
        <v>0</v>
      </c>
      <c r="AV57" s="64">
        <f t="shared" si="24"/>
        <v>0</v>
      </c>
      <c r="AW57" s="64">
        <f t="shared" si="24"/>
        <v>0</v>
      </c>
      <c r="AX57" s="64">
        <f t="shared" si="24"/>
        <v>0</v>
      </c>
      <c r="AY57" s="64">
        <f t="shared" si="24"/>
        <v>0</v>
      </c>
      <c r="AZ57" s="64">
        <f t="shared" si="24"/>
        <v>0</v>
      </c>
      <c r="BA57" s="64">
        <f t="shared" si="24"/>
        <v>0</v>
      </c>
      <c r="BB57" s="64">
        <f t="shared" si="24"/>
        <v>0</v>
      </c>
      <c r="BC57" s="64">
        <f t="shared" si="24"/>
        <v>0</v>
      </c>
      <c r="BD57" s="64">
        <f t="shared" si="24"/>
        <v>0</v>
      </c>
      <c r="BE57" s="64">
        <f t="shared" si="24"/>
        <v>0</v>
      </c>
      <c r="BF57" s="64">
        <f t="shared" si="24"/>
        <v>0</v>
      </c>
      <c r="BG57" s="64">
        <f t="shared" si="24"/>
        <v>0</v>
      </c>
      <c r="BH57" s="64">
        <f t="shared" si="24"/>
        <v>0</v>
      </c>
      <c r="BI57" s="64">
        <f t="shared" si="24"/>
        <v>0</v>
      </c>
      <c r="BJ57" s="64">
        <f t="shared" si="24"/>
        <v>0</v>
      </c>
      <c r="BK57" s="64">
        <f t="shared" si="24"/>
        <v>0</v>
      </c>
      <c r="BL57" s="64">
        <f t="shared" si="24"/>
        <v>0</v>
      </c>
      <c r="BM57" s="64">
        <f t="shared" si="24"/>
        <v>0</v>
      </c>
      <c r="BN57" s="64">
        <f t="shared" si="24"/>
        <v>0</v>
      </c>
      <c r="BO57" s="64">
        <f t="shared" si="24"/>
        <v>0</v>
      </c>
      <c r="BP57" s="64">
        <f t="shared" si="24"/>
        <v>0</v>
      </c>
      <c r="BQ57" s="64">
        <f t="shared" si="24"/>
        <v>0</v>
      </c>
      <c r="BR57" s="64">
        <f t="shared" si="24"/>
        <v>0</v>
      </c>
    </row>
    <row r="58" spans="2:70" x14ac:dyDescent="0.25">
      <c r="B58" s="139" t="str">
        <f t="shared" si="13"/>
        <v>Post 13</v>
      </c>
      <c r="E58" s="195"/>
      <c r="F58" s="197">
        <f t="shared" ref="F58:I58" si="28">E58*F$44</f>
        <v>0</v>
      </c>
      <c r="G58" s="197">
        <f t="shared" si="28"/>
        <v>0</v>
      </c>
      <c r="H58" s="197">
        <f t="shared" si="28"/>
        <v>0</v>
      </c>
      <c r="I58" s="197">
        <f t="shared" si="28"/>
        <v>0</v>
      </c>
      <c r="K58" s="64">
        <f t="shared" si="15"/>
        <v>0</v>
      </c>
      <c r="L58" s="64">
        <f t="shared" si="24"/>
        <v>0</v>
      </c>
      <c r="M58" s="64">
        <f t="shared" si="24"/>
        <v>0</v>
      </c>
      <c r="N58" s="64">
        <f t="shared" si="24"/>
        <v>0</v>
      </c>
      <c r="O58" s="64">
        <f t="shared" si="24"/>
        <v>0</v>
      </c>
      <c r="P58" s="64">
        <f t="shared" si="24"/>
        <v>0</v>
      </c>
      <c r="Q58" s="64">
        <f t="shared" si="24"/>
        <v>0</v>
      </c>
      <c r="R58" s="64">
        <f t="shared" si="24"/>
        <v>0</v>
      </c>
      <c r="S58" s="64">
        <f t="shared" si="24"/>
        <v>0</v>
      </c>
      <c r="T58" s="64">
        <f t="shared" si="24"/>
        <v>0</v>
      </c>
      <c r="U58" s="64">
        <f t="shared" si="24"/>
        <v>0</v>
      </c>
      <c r="V58" s="64">
        <f t="shared" si="24"/>
        <v>0</v>
      </c>
      <c r="W58" s="64">
        <f t="shared" si="24"/>
        <v>0</v>
      </c>
      <c r="X58" s="64">
        <f t="shared" si="24"/>
        <v>0</v>
      </c>
      <c r="Y58" s="64">
        <f t="shared" si="24"/>
        <v>0</v>
      </c>
      <c r="Z58" s="64">
        <f t="shared" si="24"/>
        <v>0</v>
      </c>
      <c r="AA58" s="64">
        <f t="shared" si="24"/>
        <v>0</v>
      </c>
      <c r="AB58" s="64">
        <f t="shared" si="24"/>
        <v>0</v>
      </c>
      <c r="AC58" s="64">
        <f t="shared" si="24"/>
        <v>0</v>
      </c>
      <c r="AD58" s="64">
        <f t="shared" si="24"/>
        <v>0</v>
      </c>
      <c r="AE58" s="64">
        <f t="shared" si="24"/>
        <v>0</v>
      </c>
      <c r="AF58" s="64">
        <f t="shared" si="24"/>
        <v>0</v>
      </c>
      <c r="AG58" s="64">
        <f t="shared" si="24"/>
        <v>0</v>
      </c>
      <c r="AH58" s="64">
        <f t="shared" si="24"/>
        <v>0</v>
      </c>
      <c r="AI58" s="64">
        <f t="shared" si="24"/>
        <v>0</v>
      </c>
      <c r="AJ58" s="64">
        <f t="shared" si="24"/>
        <v>0</v>
      </c>
      <c r="AK58" s="64">
        <f t="shared" si="24"/>
        <v>0</v>
      </c>
      <c r="AL58" s="64">
        <f t="shared" si="24"/>
        <v>0</v>
      </c>
      <c r="AM58" s="64">
        <f t="shared" si="24"/>
        <v>0</v>
      </c>
      <c r="AN58" s="64">
        <f t="shared" si="24"/>
        <v>0</v>
      </c>
      <c r="AO58" s="64">
        <f t="shared" si="24"/>
        <v>0</v>
      </c>
      <c r="AP58" s="64">
        <f t="shared" si="24"/>
        <v>0</v>
      </c>
      <c r="AQ58" s="64">
        <f t="shared" si="24"/>
        <v>0</v>
      </c>
      <c r="AR58" s="64">
        <f t="shared" si="24"/>
        <v>0</v>
      </c>
      <c r="AS58" s="64">
        <f t="shared" si="24"/>
        <v>0</v>
      </c>
      <c r="AT58" s="64">
        <f t="shared" si="24"/>
        <v>0</v>
      </c>
      <c r="AU58" s="64">
        <f t="shared" si="24"/>
        <v>0</v>
      </c>
      <c r="AV58" s="64">
        <f t="shared" si="24"/>
        <v>0</v>
      </c>
      <c r="AW58" s="64">
        <f t="shared" si="24"/>
        <v>0</v>
      </c>
      <c r="AX58" s="64">
        <f t="shared" si="24"/>
        <v>0</v>
      </c>
      <c r="AY58" s="64">
        <f t="shared" si="24"/>
        <v>0</v>
      </c>
      <c r="AZ58" s="64">
        <f t="shared" si="24"/>
        <v>0</v>
      </c>
      <c r="BA58" s="64">
        <f t="shared" si="24"/>
        <v>0</v>
      </c>
      <c r="BB58" s="64">
        <f t="shared" si="24"/>
        <v>0</v>
      </c>
      <c r="BC58" s="64">
        <f t="shared" si="24"/>
        <v>0</v>
      </c>
      <c r="BD58" s="64">
        <f t="shared" si="24"/>
        <v>0</v>
      </c>
      <c r="BE58" s="64">
        <f t="shared" si="24"/>
        <v>0</v>
      </c>
      <c r="BF58" s="64">
        <f t="shared" si="24"/>
        <v>0</v>
      </c>
      <c r="BG58" s="64">
        <f t="shared" si="24"/>
        <v>0</v>
      </c>
      <c r="BH58" s="64">
        <f t="shared" si="24"/>
        <v>0</v>
      </c>
      <c r="BI58" s="64">
        <f t="shared" si="24"/>
        <v>0</v>
      </c>
      <c r="BJ58" s="64">
        <f t="shared" si="24"/>
        <v>0</v>
      </c>
      <c r="BK58" s="64">
        <f t="shared" si="24"/>
        <v>0</v>
      </c>
      <c r="BL58" s="64">
        <f t="shared" si="24"/>
        <v>0</v>
      </c>
      <c r="BM58" s="64">
        <f t="shared" si="24"/>
        <v>0</v>
      </c>
      <c r="BN58" s="64">
        <f t="shared" si="24"/>
        <v>0</v>
      </c>
      <c r="BO58" s="64">
        <f t="shared" si="24"/>
        <v>0</v>
      </c>
      <c r="BP58" s="64">
        <f t="shared" si="24"/>
        <v>0</v>
      </c>
      <c r="BQ58" s="64">
        <f t="shared" si="24"/>
        <v>0</v>
      </c>
      <c r="BR58" s="64">
        <f t="shared" si="24"/>
        <v>0</v>
      </c>
    </row>
    <row r="59" spans="2:70" x14ac:dyDescent="0.25">
      <c r="B59" s="139" t="str">
        <f t="shared" si="13"/>
        <v>Post 14</v>
      </c>
      <c r="E59" s="195"/>
      <c r="F59" s="197">
        <f t="shared" ref="F59:I59" si="29">E59*F$44</f>
        <v>0</v>
      </c>
      <c r="G59" s="197">
        <f t="shared" si="29"/>
        <v>0</v>
      </c>
      <c r="H59" s="197">
        <f t="shared" si="29"/>
        <v>0</v>
      </c>
      <c r="I59" s="197">
        <f t="shared" si="29"/>
        <v>0</v>
      </c>
      <c r="K59" s="64">
        <f t="shared" si="15"/>
        <v>0</v>
      </c>
      <c r="L59" s="64">
        <f t="shared" si="24"/>
        <v>0</v>
      </c>
      <c r="M59" s="64">
        <f t="shared" si="24"/>
        <v>0</v>
      </c>
      <c r="N59" s="64">
        <f t="shared" si="24"/>
        <v>0</v>
      </c>
      <c r="O59" s="64">
        <f t="shared" si="24"/>
        <v>0</v>
      </c>
      <c r="P59" s="64">
        <f t="shared" si="24"/>
        <v>0</v>
      </c>
      <c r="Q59" s="64">
        <f t="shared" si="24"/>
        <v>0</v>
      </c>
      <c r="R59" s="64">
        <f t="shared" si="24"/>
        <v>0</v>
      </c>
      <c r="S59" s="64">
        <f t="shared" si="24"/>
        <v>0</v>
      </c>
      <c r="T59" s="64">
        <f t="shared" si="24"/>
        <v>0</v>
      </c>
      <c r="U59" s="64">
        <f t="shared" si="24"/>
        <v>0</v>
      </c>
      <c r="V59" s="64">
        <f t="shared" si="24"/>
        <v>0</v>
      </c>
      <c r="W59" s="64">
        <f t="shared" si="24"/>
        <v>0</v>
      </c>
      <c r="X59" s="64">
        <f t="shared" si="24"/>
        <v>0</v>
      </c>
      <c r="Y59" s="64">
        <f t="shared" ref="L59:BR63" si="30">INDEX($E59:$I59,0,MATCH(Y$5,$E$5:$I$5,0))/12</f>
        <v>0</v>
      </c>
      <c r="Z59" s="64">
        <f t="shared" si="30"/>
        <v>0</v>
      </c>
      <c r="AA59" s="64">
        <f t="shared" si="30"/>
        <v>0</v>
      </c>
      <c r="AB59" s="64">
        <f t="shared" si="30"/>
        <v>0</v>
      </c>
      <c r="AC59" s="64">
        <f t="shared" si="30"/>
        <v>0</v>
      </c>
      <c r="AD59" s="64">
        <f t="shared" si="30"/>
        <v>0</v>
      </c>
      <c r="AE59" s="64">
        <f t="shared" si="30"/>
        <v>0</v>
      </c>
      <c r="AF59" s="64">
        <f t="shared" si="30"/>
        <v>0</v>
      </c>
      <c r="AG59" s="64">
        <f t="shared" si="30"/>
        <v>0</v>
      </c>
      <c r="AH59" s="64">
        <f t="shared" si="30"/>
        <v>0</v>
      </c>
      <c r="AI59" s="64">
        <f t="shared" si="30"/>
        <v>0</v>
      </c>
      <c r="AJ59" s="64">
        <f t="shared" si="30"/>
        <v>0</v>
      </c>
      <c r="AK59" s="64">
        <f t="shared" si="30"/>
        <v>0</v>
      </c>
      <c r="AL59" s="64">
        <f t="shared" si="30"/>
        <v>0</v>
      </c>
      <c r="AM59" s="64">
        <f t="shared" si="30"/>
        <v>0</v>
      </c>
      <c r="AN59" s="64">
        <f t="shared" si="30"/>
        <v>0</v>
      </c>
      <c r="AO59" s="64">
        <f t="shared" si="30"/>
        <v>0</v>
      </c>
      <c r="AP59" s="64">
        <f t="shared" si="30"/>
        <v>0</v>
      </c>
      <c r="AQ59" s="64">
        <f t="shared" si="30"/>
        <v>0</v>
      </c>
      <c r="AR59" s="64">
        <f t="shared" si="30"/>
        <v>0</v>
      </c>
      <c r="AS59" s="64">
        <f t="shared" si="30"/>
        <v>0</v>
      </c>
      <c r="AT59" s="64">
        <f t="shared" si="30"/>
        <v>0</v>
      </c>
      <c r="AU59" s="64">
        <f t="shared" si="30"/>
        <v>0</v>
      </c>
      <c r="AV59" s="64">
        <f t="shared" si="30"/>
        <v>0</v>
      </c>
      <c r="AW59" s="64">
        <f t="shared" si="30"/>
        <v>0</v>
      </c>
      <c r="AX59" s="64">
        <f t="shared" si="30"/>
        <v>0</v>
      </c>
      <c r="AY59" s="64">
        <f t="shared" si="30"/>
        <v>0</v>
      </c>
      <c r="AZ59" s="64">
        <f t="shared" si="30"/>
        <v>0</v>
      </c>
      <c r="BA59" s="64">
        <f t="shared" si="30"/>
        <v>0</v>
      </c>
      <c r="BB59" s="64">
        <f t="shared" si="30"/>
        <v>0</v>
      </c>
      <c r="BC59" s="64">
        <f t="shared" si="30"/>
        <v>0</v>
      </c>
      <c r="BD59" s="64">
        <f t="shared" si="30"/>
        <v>0</v>
      </c>
      <c r="BE59" s="64">
        <f t="shared" si="30"/>
        <v>0</v>
      </c>
      <c r="BF59" s="64">
        <f t="shared" si="30"/>
        <v>0</v>
      </c>
      <c r="BG59" s="64">
        <f t="shared" si="30"/>
        <v>0</v>
      </c>
      <c r="BH59" s="64">
        <f t="shared" si="30"/>
        <v>0</v>
      </c>
      <c r="BI59" s="64">
        <f t="shared" si="30"/>
        <v>0</v>
      </c>
      <c r="BJ59" s="64">
        <f t="shared" si="30"/>
        <v>0</v>
      </c>
      <c r="BK59" s="64">
        <f t="shared" si="30"/>
        <v>0</v>
      </c>
      <c r="BL59" s="64">
        <f t="shared" si="30"/>
        <v>0</v>
      </c>
      <c r="BM59" s="64">
        <f t="shared" si="30"/>
        <v>0</v>
      </c>
      <c r="BN59" s="64">
        <f t="shared" si="30"/>
        <v>0</v>
      </c>
      <c r="BO59" s="64">
        <f t="shared" si="30"/>
        <v>0</v>
      </c>
      <c r="BP59" s="64">
        <f t="shared" si="30"/>
        <v>0</v>
      </c>
      <c r="BQ59" s="64">
        <f t="shared" si="30"/>
        <v>0</v>
      </c>
      <c r="BR59" s="64">
        <f t="shared" si="30"/>
        <v>0</v>
      </c>
    </row>
    <row r="60" spans="2:70" x14ac:dyDescent="0.25">
      <c r="B60" s="139" t="str">
        <f t="shared" si="13"/>
        <v>Post 15</v>
      </c>
      <c r="E60" s="195"/>
      <c r="F60" s="197">
        <f t="shared" ref="F60:I60" si="31">E60*F$44</f>
        <v>0</v>
      </c>
      <c r="G60" s="197">
        <f t="shared" si="31"/>
        <v>0</v>
      </c>
      <c r="H60" s="197">
        <f t="shared" si="31"/>
        <v>0</v>
      </c>
      <c r="I60" s="197">
        <f t="shared" si="31"/>
        <v>0</v>
      </c>
      <c r="K60" s="64">
        <f t="shared" si="15"/>
        <v>0</v>
      </c>
      <c r="L60" s="64">
        <f t="shared" si="30"/>
        <v>0</v>
      </c>
      <c r="M60" s="64">
        <f t="shared" si="30"/>
        <v>0</v>
      </c>
      <c r="N60" s="64">
        <f t="shared" si="30"/>
        <v>0</v>
      </c>
      <c r="O60" s="64">
        <f t="shared" si="30"/>
        <v>0</v>
      </c>
      <c r="P60" s="64">
        <f t="shared" si="30"/>
        <v>0</v>
      </c>
      <c r="Q60" s="64">
        <f t="shared" si="30"/>
        <v>0</v>
      </c>
      <c r="R60" s="64">
        <f t="shared" si="30"/>
        <v>0</v>
      </c>
      <c r="S60" s="64">
        <f t="shared" si="30"/>
        <v>0</v>
      </c>
      <c r="T60" s="64">
        <f t="shared" si="30"/>
        <v>0</v>
      </c>
      <c r="U60" s="64">
        <f t="shared" si="30"/>
        <v>0</v>
      </c>
      <c r="V60" s="64">
        <f t="shared" si="30"/>
        <v>0</v>
      </c>
      <c r="W60" s="64">
        <f t="shared" si="30"/>
        <v>0</v>
      </c>
      <c r="X60" s="64">
        <f t="shared" si="30"/>
        <v>0</v>
      </c>
      <c r="Y60" s="64">
        <f t="shared" si="30"/>
        <v>0</v>
      </c>
      <c r="Z60" s="64">
        <f t="shared" si="30"/>
        <v>0</v>
      </c>
      <c r="AA60" s="64">
        <f t="shared" si="30"/>
        <v>0</v>
      </c>
      <c r="AB60" s="64">
        <f t="shared" si="30"/>
        <v>0</v>
      </c>
      <c r="AC60" s="64">
        <f t="shared" si="30"/>
        <v>0</v>
      </c>
      <c r="AD60" s="64">
        <f t="shared" si="30"/>
        <v>0</v>
      </c>
      <c r="AE60" s="64">
        <f t="shared" si="30"/>
        <v>0</v>
      </c>
      <c r="AF60" s="64">
        <f t="shared" si="30"/>
        <v>0</v>
      </c>
      <c r="AG60" s="64">
        <f t="shared" si="30"/>
        <v>0</v>
      </c>
      <c r="AH60" s="64">
        <f t="shared" si="30"/>
        <v>0</v>
      </c>
      <c r="AI60" s="64">
        <f t="shared" si="30"/>
        <v>0</v>
      </c>
      <c r="AJ60" s="64">
        <f t="shared" si="30"/>
        <v>0</v>
      </c>
      <c r="AK60" s="64">
        <f t="shared" si="30"/>
        <v>0</v>
      </c>
      <c r="AL60" s="64">
        <f t="shared" si="30"/>
        <v>0</v>
      </c>
      <c r="AM60" s="64">
        <f t="shared" si="30"/>
        <v>0</v>
      </c>
      <c r="AN60" s="64">
        <f t="shared" si="30"/>
        <v>0</v>
      </c>
      <c r="AO60" s="64">
        <f t="shared" si="30"/>
        <v>0</v>
      </c>
      <c r="AP60" s="64">
        <f t="shared" si="30"/>
        <v>0</v>
      </c>
      <c r="AQ60" s="64">
        <f t="shared" si="30"/>
        <v>0</v>
      </c>
      <c r="AR60" s="64">
        <f t="shared" si="30"/>
        <v>0</v>
      </c>
      <c r="AS60" s="64">
        <f t="shared" si="30"/>
        <v>0</v>
      </c>
      <c r="AT60" s="64">
        <f t="shared" si="30"/>
        <v>0</v>
      </c>
      <c r="AU60" s="64">
        <f t="shared" si="30"/>
        <v>0</v>
      </c>
      <c r="AV60" s="64">
        <f t="shared" si="30"/>
        <v>0</v>
      </c>
      <c r="AW60" s="64">
        <f t="shared" si="30"/>
        <v>0</v>
      </c>
      <c r="AX60" s="64">
        <f t="shared" si="30"/>
        <v>0</v>
      </c>
      <c r="AY60" s="64">
        <f t="shared" si="30"/>
        <v>0</v>
      </c>
      <c r="AZ60" s="64">
        <f t="shared" si="30"/>
        <v>0</v>
      </c>
      <c r="BA60" s="64">
        <f t="shared" si="30"/>
        <v>0</v>
      </c>
      <c r="BB60" s="64">
        <f t="shared" si="30"/>
        <v>0</v>
      </c>
      <c r="BC60" s="64">
        <f t="shared" si="30"/>
        <v>0</v>
      </c>
      <c r="BD60" s="64">
        <f t="shared" si="30"/>
        <v>0</v>
      </c>
      <c r="BE60" s="64">
        <f t="shared" si="30"/>
        <v>0</v>
      </c>
      <c r="BF60" s="64">
        <f t="shared" si="30"/>
        <v>0</v>
      </c>
      <c r="BG60" s="64">
        <f t="shared" si="30"/>
        <v>0</v>
      </c>
      <c r="BH60" s="64">
        <f t="shared" si="30"/>
        <v>0</v>
      </c>
      <c r="BI60" s="64">
        <f t="shared" si="30"/>
        <v>0</v>
      </c>
      <c r="BJ60" s="64">
        <f t="shared" si="30"/>
        <v>0</v>
      </c>
      <c r="BK60" s="64">
        <f t="shared" si="30"/>
        <v>0</v>
      </c>
      <c r="BL60" s="64">
        <f t="shared" si="30"/>
        <v>0</v>
      </c>
      <c r="BM60" s="64">
        <f t="shared" si="30"/>
        <v>0</v>
      </c>
      <c r="BN60" s="64">
        <f t="shared" si="30"/>
        <v>0</v>
      </c>
      <c r="BO60" s="64">
        <f t="shared" si="30"/>
        <v>0</v>
      </c>
      <c r="BP60" s="64">
        <f t="shared" si="30"/>
        <v>0</v>
      </c>
      <c r="BQ60" s="64">
        <f t="shared" si="30"/>
        <v>0</v>
      </c>
      <c r="BR60" s="64">
        <f t="shared" si="30"/>
        <v>0</v>
      </c>
    </row>
    <row r="61" spans="2:70" x14ac:dyDescent="0.25">
      <c r="B61" s="139" t="str">
        <f t="shared" si="13"/>
        <v>Post 16</v>
      </c>
      <c r="E61" s="195"/>
      <c r="F61" s="197">
        <f t="shared" ref="F61:I61" si="32">E61*F$44</f>
        <v>0</v>
      </c>
      <c r="G61" s="197">
        <f t="shared" si="32"/>
        <v>0</v>
      </c>
      <c r="H61" s="197">
        <f t="shared" si="32"/>
        <v>0</v>
      </c>
      <c r="I61" s="197">
        <f t="shared" si="32"/>
        <v>0</v>
      </c>
      <c r="K61" s="64">
        <f t="shared" si="15"/>
        <v>0</v>
      </c>
      <c r="L61" s="64">
        <f t="shared" si="30"/>
        <v>0</v>
      </c>
      <c r="M61" s="64">
        <f t="shared" si="30"/>
        <v>0</v>
      </c>
      <c r="N61" s="64">
        <f t="shared" si="30"/>
        <v>0</v>
      </c>
      <c r="O61" s="64">
        <f t="shared" si="30"/>
        <v>0</v>
      </c>
      <c r="P61" s="64">
        <f t="shared" si="30"/>
        <v>0</v>
      </c>
      <c r="Q61" s="64">
        <f t="shared" si="30"/>
        <v>0</v>
      </c>
      <c r="R61" s="64">
        <f t="shared" si="30"/>
        <v>0</v>
      </c>
      <c r="S61" s="64">
        <f t="shared" si="30"/>
        <v>0</v>
      </c>
      <c r="T61" s="64">
        <f t="shared" si="30"/>
        <v>0</v>
      </c>
      <c r="U61" s="64">
        <f t="shared" si="30"/>
        <v>0</v>
      </c>
      <c r="V61" s="64">
        <f t="shared" si="30"/>
        <v>0</v>
      </c>
      <c r="W61" s="64">
        <f t="shared" si="30"/>
        <v>0</v>
      </c>
      <c r="X61" s="64">
        <f t="shared" si="30"/>
        <v>0</v>
      </c>
      <c r="Y61" s="64">
        <f t="shared" si="30"/>
        <v>0</v>
      </c>
      <c r="Z61" s="64">
        <f t="shared" si="30"/>
        <v>0</v>
      </c>
      <c r="AA61" s="64">
        <f t="shared" si="30"/>
        <v>0</v>
      </c>
      <c r="AB61" s="64">
        <f t="shared" si="30"/>
        <v>0</v>
      </c>
      <c r="AC61" s="64">
        <f t="shared" si="30"/>
        <v>0</v>
      </c>
      <c r="AD61" s="64">
        <f t="shared" si="30"/>
        <v>0</v>
      </c>
      <c r="AE61" s="64">
        <f t="shared" si="30"/>
        <v>0</v>
      </c>
      <c r="AF61" s="64">
        <f t="shared" si="30"/>
        <v>0</v>
      </c>
      <c r="AG61" s="64">
        <f t="shared" si="30"/>
        <v>0</v>
      </c>
      <c r="AH61" s="64">
        <f t="shared" si="30"/>
        <v>0</v>
      </c>
      <c r="AI61" s="64">
        <f t="shared" si="30"/>
        <v>0</v>
      </c>
      <c r="AJ61" s="64">
        <f t="shared" si="30"/>
        <v>0</v>
      </c>
      <c r="AK61" s="64">
        <f t="shared" si="30"/>
        <v>0</v>
      </c>
      <c r="AL61" s="64">
        <f t="shared" si="30"/>
        <v>0</v>
      </c>
      <c r="AM61" s="64">
        <f t="shared" si="30"/>
        <v>0</v>
      </c>
      <c r="AN61" s="64">
        <f t="shared" si="30"/>
        <v>0</v>
      </c>
      <c r="AO61" s="64">
        <f t="shared" si="30"/>
        <v>0</v>
      </c>
      <c r="AP61" s="64">
        <f t="shared" si="30"/>
        <v>0</v>
      </c>
      <c r="AQ61" s="64">
        <f t="shared" si="30"/>
        <v>0</v>
      </c>
      <c r="AR61" s="64">
        <f t="shared" si="30"/>
        <v>0</v>
      </c>
      <c r="AS61" s="64">
        <f t="shared" si="30"/>
        <v>0</v>
      </c>
      <c r="AT61" s="64">
        <f t="shared" si="30"/>
        <v>0</v>
      </c>
      <c r="AU61" s="64">
        <f t="shared" si="30"/>
        <v>0</v>
      </c>
      <c r="AV61" s="64">
        <f t="shared" si="30"/>
        <v>0</v>
      </c>
      <c r="AW61" s="64">
        <f t="shared" si="30"/>
        <v>0</v>
      </c>
      <c r="AX61" s="64">
        <f t="shared" si="30"/>
        <v>0</v>
      </c>
      <c r="AY61" s="64">
        <f t="shared" si="30"/>
        <v>0</v>
      </c>
      <c r="AZ61" s="64">
        <f t="shared" si="30"/>
        <v>0</v>
      </c>
      <c r="BA61" s="64">
        <f t="shared" si="30"/>
        <v>0</v>
      </c>
      <c r="BB61" s="64">
        <f t="shared" si="30"/>
        <v>0</v>
      </c>
      <c r="BC61" s="64">
        <f t="shared" si="30"/>
        <v>0</v>
      </c>
      <c r="BD61" s="64">
        <f t="shared" si="30"/>
        <v>0</v>
      </c>
      <c r="BE61" s="64">
        <f t="shared" si="30"/>
        <v>0</v>
      </c>
      <c r="BF61" s="64">
        <f t="shared" si="30"/>
        <v>0</v>
      </c>
      <c r="BG61" s="64">
        <f t="shared" si="30"/>
        <v>0</v>
      </c>
      <c r="BH61" s="64">
        <f t="shared" si="30"/>
        <v>0</v>
      </c>
      <c r="BI61" s="64">
        <f t="shared" si="30"/>
        <v>0</v>
      </c>
      <c r="BJ61" s="64">
        <f t="shared" si="30"/>
        <v>0</v>
      </c>
      <c r="BK61" s="64">
        <f t="shared" si="30"/>
        <v>0</v>
      </c>
      <c r="BL61" s="64">
        <f t="shared" si="30"/>
        <v>0</v>
      </c>
      <c r="BM61" s="64">
        <f t="shared" si="30"/>
        <v>0</v>
      </c>
      <c r="BN61" s="64">
        <f t="shared" si="30"/>
        <v>0</v>
      </c>
      <c r="BO61" s="64">
        <f t="shared" si="30"/>
        <v>0</v>
      </c>
      <c r="BP61" s="64">
        <f t="shared" si="30"/>
        <v>0</v>
      </c>
      <c r="BQ61" s="64">
        <f t="shared" si="30"/>
        <v>0</v>
      </c>
      <c r="BR61" s="64">
        <f t="shared" si="30"/>
        <v>0</v>
      </c>
    </row>
    <row r="62" spans="2:70" x14ac:dyDescent="0.25">
      <c r="B62" s="139" t="str">
        <f t="shared" si="13"/>
        <v>Post 17</v>
      </c>
      <c r="E62" s="195"/>
      <c r="F62" s="197">
        <f t="shared" ref="F62:I62" si="33">E62*F$44</f>
        <v>0</v>
      </c>
      <c r="G62" s="197">
        <f t="shared" si="33"/>
        <v>0</v>
      </c>
      <c r="H62" s="197">
        <f t="shared" si="33"/>
        <v>0</v>
      </c>
      <c r="I62" s="197">
        <f t="shared" si="33"/>
        <v>0</v>
      </c>
      <c r="K62" s="64">
        <f t="shared" si="15"/>
        <v>0</v>
      </c>
      <c r="L62" s="64">
        <f t="shared" si="30"/>
        <v>0</v>
      </c>
      <c r="M62" s="64">
        <f t="shared" si="30"/>
        <v>0</v>
      </c>
      <c r="N62" s="64">
        <f t="shared" si="30"/>
        <v>0</v>
      </c>
      <c r="O62" s="64">
        <f t="shared" si="30"/>
        <v>0</v>
      </c>
      <c r="P62" s="64">
        <f t="shared" si="30"/>
        <v>0</v>
      </c>
      <c r="Q62" s="64">
        <f t="shared" si="30"/>
        <v>0</v>
      </c>
      <c r="R62" s="64">
        <f t="shared" si="30"/>
        <v>0</v>
      </c>
      <c r="S62" s="64">
        <f t="shared" si="30"/>
        <v>0</v>
      </c>
      <c r="T62" s="64">
        <f t="shared" si="30"/>
        <v>0</v>
      </c>
      <c r="U62" s="64">
        <f t="shared" si="30"/>
        <v>0</v>
      </c>
      <c r="V62" s="64">
        <f t="shared" si="30"/>
        <v>0</v>
      </c>
      <c r="W62" s="64">
        <f t="shared" si="30"/>
        <v>0</v>
      </c>
      <c r="X62" s="64">
        <f t="shared" si="30"/>
        <v>0</v>
      </c>
      <c r="Y62" s="64">
        <f t="shared" si="30"/>
        <v>0</v>
      </c>
      <c r="Z62" s="64">
        <f t="shared" si="30"/>
        <v>0</v>
      </c>
      <c r="AA62" s="64">
        <f t="shared" si="30"/>
        <v>0</v>
      </c>
      <c r="AB62" s="64">
        <f t="shared" si="30"/>
        <v>0</v>
      </c>
      <c r="AC62" s="64">
        <f t="shared" si="30"/>
        <v>0</v>
      </c>
      <c r="AD62" s="64">
        <f t="shared" si="30"/>
        <v>0</v>
      </c>
      <c r="AE62" s="64">
        <f t="shared" si="30"/>
        <v>0</v>
      </c>
      <c r="AF62" s="64">
        <f t="shared" si="30"/>
        <v>0</v>
      </c>
      <c r="AG62" s="64">
        <f t="shared" si="30"/>
        <v>0</v>
      </c>
      <c r="AH62" s="64">
        <f t="shared" si="30"/>
        <v>0</v>
      </c>
      <c r="AI62" s="64">
        <f t="shared" si="30"/>
        <v>0</v>
      </c>
      <c r="AJ62" s="64">
        <f t="shared" si="30"/>
        <v>0</v>
      </c>
      <c r="AK62" s="64">
        <f t="shared" si="30"/>
        <v>0</v>
      </c>
      <c r="AL62" s="64">
        <f t="shared" si="30"/>
        <v>0</v>
      </c>
      <c r="AM62" s="64">
        <f t="shared" si="30"/>
        <v>0</v>
      </c>
      <c r="AN62" s="64">
        <f t="shared" si="30"/>
        <v>0</v>
      </c>
      <c r="AO62" s="64">
        <f t="shared" si="30"/>
        <v>0</v>
      </c>
      <c r="AP62" s="64">
        <f t="shared" si="30"/>
        <v>0</v>
      </c>
      <c r="AQ62" s="64">
        <f t="shared" si="30"/>
        <v>0</v>
      </c>
      <c r="AR62" s="64">
        <f t="shared" si="30"/>
        <v>0</v>
      </c>
      <c r="AS62" s="64">
        <f t="shared" si="30"/>
        <v>0</v>
      </c>
      <c r="AT62" s="64">
        <f t="shared" si="30"/>
        <v>0</v>
      </c>
      <c r="AU62" s="64">
        <f t="shared" si="30"/>
        <v>0</v>
      </c>
      <c r="AV62" s="64">
        <f t="shared" si="30"/>
        <v>0</v>
      </c>
      <c r="AW62" s="64">
        <f t="shared" si="30"/>
        <v>0</v>
      </c>
      <c r="AX62" s="64">
        <f t="shared" si="30"/>
        <v>0</v>
      </c>
      <c r="AY62" s="64">
        <f t="shared" si="30"/>
        <v>0</v>
      </c>
      <c r="AZ62" s="64">
        <f t="shared" si="30"/>
        <v>0</v>
      </c>
      <c r="BA62" s="64">
        <f t="shared" si="30"/>
        <v>0</v>
      </c>
      <c r="BB62" s="64">
        <f t="shared" si="30"/>
        <v>0</v>
      </c>
      <c r="BC62" s="64">
        <f t="shared" si="30"/>
        <v>0</v>
      </c>
      <c r="BD62" s="64">
        <f t="shared" si="30"/>
        <v>0</v>
      </c>
      <c r="BE62" s="64">
        <f t="shared" si="30"/>
        <v>0</v>
      </c>
      <c r="BF62" s="64">
        <f t="shared" si="30"/>
        <v>0</v>
      </c>
      <c r="BG62" s="64">
        <f t="shared" si="30"/>
        <v>0</v>
      </c>
      <c r="BH62" s="64">
        <f t="shared" si="30"/>
        <v>0</v>
      </c>
      <c r="BI62" s="64">
        <f t="shared" si="30"/>
        <v>0</v>
      </c>
      <c r="BJ62" s="64">
        <f t="shared" si="30"/>
        <v>0</v>
      </c>
      <c r="BK62" s="64">
        <f t="shared" si="30"/>
        <v>0</v>
      </c>
      <c r="BL62" s="64">
        <f t="shared" si="30"/>
        <v>0</v>
      </c>
      <c r="BM62" s="64">
        <f t="shared" si="30"/>
        <v>0</v>
      </c>
      <c r="BN62" s="64">
        <f t="shared" si="30"/>
        <v>0</v>
      </c>
      <c r="BO62" s="64">
        <f t="shared" si="30"/>
        <v>0</v>
      </c>
      <c r="BP62" s="64">
        <f t="shared" si="30"/>
        <v>0</v>
      </c>
      <c r="BQ62" s="64">
        <f t="shared" si="30"/>
        <v>0</v>
      </c>
      <c r="BR62" s="64">
        <f t="shared" si="30"/>
        <v>0</v>
      </c>
    </row>
    <row r="63" spans="2:70" x14ac:dyDescent="0.25">
      <c r="B63" s="139" t="str">
        <f t="shared" si="13"/>
        <v>Post 18</v>
      </c>
      <c r="E63" s="195"/>
      <c r="F63" s="197">
        <f t="shared" ref="F63:I63" si="34">E63*F$44</f>
        <v>0</v>
      </c>
      <c r="G63" s="197">
        <f t="shared" si="34"/>
        <v>0</v>
      </c>
      <c r="H63" s="197">
        <f t="shared" si="34"/>
        <v>0</v>
      </c>
      <c r="I63" s="197">
        <f t="shared" si="34"/>
        <v>0</v>
      </c>
      <c r="K63" s="64">
        <f t="shared" si="15"/>
        <v>0</v>
      </c>
      <c r="L63" s="64">
        <f t="shared" si="30"/>
        <v>0</v>
      </c>
      <c r="M63" s="64">
        <f t="shared" si="30"/>
        <v>0</v>
      </c>
      <c r="N63" s="64">
        <f t="shared" si="30"/>
        <v>0</v>
      </c>
      <c r="O63" s="64">
        <f t="shared" si="30"/>
        <v>0</v>
      </c>
      <c r="P63" s="64">
        <f t="shared" si="30"/>
        <v>0</v>
      </c>
      <c r="Q63" s="64">
        <f t="shared" si="30"/>
        <v>0</v>
      </c>
      <c r="R63" s="64">
        <f t="shared" si="30"/>
        <v>0</v>
      </c>
      <c r="S63" s="64">
        <f t="shared" si="30"/>
        <v>0</v>
      </c>
      <c r="T63" s="64">
        <f t="shared" si="30"/>
        <v>0</v>
      </c>
      <c r="U63" s="64">
        <f t="shared" si="30"/>
        <v>0</v>
      </c>
      <c r="V63" s="64">
        <f t="shared" si="30"/>
        <v>0</v>
      </c>
      <c r="W63" s="64">
        <f t="shared" si="30"/>
        <v>0</v>
      </c>
      <c r="X63" s="64">
        <f t="shared" si="30"/>
        <v>0</v>
      </c>
      <c r="Y63" s="64">
        <f t="shared" si="30"/>
        <v>0</v>
      </c>
      <c r="Z63" s="64">
        <f t="shared" si="30"/>
        <v>0</v>
      </c>
      <c r="AA63" s="64">
        <f t="shared" si="30"/>
        <v>0</v>
      </c>
      <c r="AB63" s="64">
        <f t="shared" si="30"/>
        <v>0</v>
      </c>
      <c r="AC63" s="64">
        <f t="shared" si="30"/>
        <v>0</v>
      </c>
      <c r="AD63" s="64">
        <f t="shared" si="30"/>
        <v>0</v>
      </c>
      <c r="AE63" s="64">
        <f t="shared" si="30"/>
        <v>0</v>
      </c>
      <c r="AF63" s="64">
        <f t="shared" si="30"/>
        <v>0</v>
      </c>
      <c r="AG63" s="64">
        <f t="shared" si="30"/>
        <v>0</v>
      </c>
      <c r="AH63" s="64">
        <f t="shared" si="30"/>
        <v>0</v>
      </c>
      <c r="AI63" s="64">
        <f t="shared" si="30"/>
        <v>0</v>
      </c>
      <c r="AJ63" s="64">
        <f t="shared" si="30"/>
        <v>0</v>
      </c>
      <c r="AK63" s="64">
        <f t="shared" si="30"/>
        <v>0</v>
      </c>
      <c r="AL63" s="64">
        <f t="shared" si="30"/>
        <v>0</v>
      </c>
      <c r="AM63" s="64">
        <f t="shared" si="30"/>
        <v>0</v>
      </c>
      <c r="AN63" s="64">
        <f t="shared" si="30"/>
        <v>0</v>
      </c>
      <c r="AO63" s="64">
        <f t="shared" si="30"/>
        <v>0</v>
      </c>
      <c r="AP63" s="64">
        <f t="shared" si="30"/>
        <v>0</v>
      </c>
      <c r="AQ63" s="64">
        <f t="shared" si="30"/>
        <v>0</v>
      </c>
      <c r="AR63" s="64">
        <f t="shared" ref="L63:BR65" si="35">INDEX($E63:$I63,0,MATCH(AR$5,$E$5:$I$5,0))/12</f>
        <v>0</v>
      </c>
      <c r="AS63" s="64">
        <f t="shared" si="35"/>
        <v>0</v>
      </c>
      <c r="AT63" s="64">
        <f t="shared" si="35"/>
        <v>0</v>
      </c>
      <c r="AU63" s="64">
        <f t="shared" si="35"/>
        <v>0</v>
      </c>
      <c r="AV63" s="64">
        <f t="shared" si="35"/>
        <v>0</v>
      </c>
      <c r="AW63" s="64">
        <f t="shared" si="35"/>
        <v>0</v>
      </c>
      <c r="AX63" s="64">
        <f t="shared" si="35"/>
        <v>0</v>
      </c>
      <c r="AY63" s="64">
        <f t="shared" si="35"/>
        <v>0</v>
      </c>
      <c r="AZ63" s="64">
        <f t="shared" si="35"/>
        <v>0</v>
      </c>
      <c r="BA63" s="64">
        <f t="shared" si="35"/>
        <v>0</v>
      </c>
      <c r="BB63" s="64">
        <f t="shared" si="35"/>
        <v>0</v>
      </c>
      <c r="BC63" s="64">
        <f t="shared" si="35"/>
        <v>0</v>
      </c>
      <c r="BD63" s="64">
        <f t="shared" si="35"/>
        <v>0</v>
      </c>
      <c r="BE63" s="64">
        <f t="shared" si="35"/>
        <v>0</v>
      </c>
      <c r="BF63" s="64">
        <f t="shared" si="35"/>
        <v>0</v>
      </c>
      <c r="BG63" s="64">
        <f t="shared" si="35"/>
        <v>0</v>
      </c>
      <c r="BH63" s="64">
        <f t="shared" si="35"/>
        <v>0</v>
      </c>
      <c r="BI63" s="64">
        <f t="shared" si="35"/>
        <v>0</v>
      </c>
      <c r="BJ63" s="64">
        <f t="shared" si="35"/>
        <v>0</v>
      </c>
      <c r="BK63" s="64">
        <f t="shared" si="35"/>
        <v>0</v>
      </c>
      <c r="BL63" s="64">
        <f t="shared" si="35"/>
        <v>0</v>
      </c>
      <c r="BM63" s="64">
        <f t="shared" si="35"/>
        <v>0</v>
      </c>
      <c r="BN63" s="64">
        <f t="shared" si="35"/>
        <v>0</v>
      </c>
      <c r="BO63" s="64">
        <f t="shared" si="35"/>
        <v>0</v>
      </c>
      <c r="BP63" s="64">
        <f t="shared" si="35"/>
        <v>0</v>
      </c>
      <c r="BQ63" s="64">
        <f t="shared" si="35"/>
        <v>0</v>
      </c>
      <c r="BR63" s="64">
        <f t="shared" si="35"/>
        <v>0</v>
      </c>
    </row>
    <row r="64" spans="2:70" x14ac:dyDescent="0.25">
      <c r="B64" s="139" t="str">
        <f t="shared" si="13"/>
        <v>Post 19</v>
      </c>
      <c r="E64" s="195"/>
      <c r="F64" s="197">
        <f t="shared" ref="F64:I64" si="36">E64*F$44</f>
        <v>0</v>
      </c>
      <c r="G64" s="197">
        <f t="shared" si="36"/>
        <v>0</v>
      </c>
      <c r="H64" s="197">
        <f t="shared" si="36"/>
        <v>0</v>
      </c>
      <c r="I64" s="197">
        <f t="shared" si="36"/>
        <v>0</v>
      </c>
      <c r="K64" s="64">
        <f t="shared" si="15"/>
        <v>0</v>
      </c>
      <c r="L64" s="64">
        <f t="shared" si="35"/>
        <v>0</v>
      </c>
      <c r="M64" s="64">
        <f t="shared" si="35"/>
        <v>0</v>
      </c>
      <c r="N64" s="64">
        <f t="shared" si="35"/>
        <v>0</v>
      </c>
      <c r="O64" s="64">
        <f t="shared" si="35"/>
        <v>0</v>
      </c>
      <c r="P64" s="64">
        <f t="shared" si="35"/>
        <v>0</v>
      </c>
      <c r="Q64" s="64">
        <f t="shared" si="35"/>
        <v>0</v>
      </c>
      <c r="R64" s="64">
        <f t="shared" si="35"/>
        <v>0</v>
      </c>
      <c r="S64" s="64">
        <f t="shared" si="35"/>
        <v>0</v>
      </c>
      <c r="T64" s="64">
        <f t="shared" si="35"/>
        <v>0</v>
      </c>
      <c r="U64" s="64">
        <f t="shared" si="35"/>
        <v>0</v>
      </c>
      <c r="V64" s="64">
        <f t="shared" si="35"/>
        <v>0</v>
      </c>
      <c r="W64" s="64">
        <f t="shared" si="35"/>
        <v>0</v>
      </c>
      <c r="X64" s="64">
        <f t="shared" si="35"/>
        <v>0</v>
      </c>
      <c r="Y64" s="64">
        <f t="shared" si="35"/>
        <v>0</v>
      </c>
      <c r="Z64" s="64">
        <f t="shared" si="35"/>
        <v>0</v>
      </c>
      <c r="AA64" s="64">
        <f t="shared" si="35"/>
        <v>0</v>
      </c>
      <c r="AB64" s="64">
        <f t="shared" si="35"/>
        <v>0</v>
      </c>
      <c r="AC64" s="64">
        <f t="shared" si="35"/>
        <v>0</v>
      </c>
      <c r="AD64" s="64">
        <f t="shared" si="35"/>
        <v>0</v>
      </c>
      <c r="AE64" s="64">
        <f t="shared" si="35"/>
        <v>0</v>
      </c>
      <c r="AF64" s="64">
        <f t="shared" si="35"/>
        <v>0</v>
      </c>
      <c r="AG64" s="64">
        <f t="shared" si="35"/>
        <v>0</v>
      </c>
      <c r="AH64" s="64">
        <f t="shared" si="35"/>
        <v>0</v>
      </c>
      <c r="AI64" s="64">
        <f t="shared" si="35"/>
        <v>0</v>
      </c>
      <c r="AJ64" s="64">
        <f t="shared" si="35"/>
        <v>0</v>
      </c>
      <c r="AK64" s="64">
        <f t="shared" si="35"/>
        <v>0</v>
      </c>
      <c r="AL64" s="64">
        <f t="shared" si="35"/>
        <v>0</v>
      </c>
      <c r="AM64" s="64">
        <f t="shared" si="35"/>
        <v>0</v>
      </c>
      <c r="AN64" s="64">
        <f t="shared" si="35"/>
        <v>0</v>
      </c>
      <c r="AO64" s="64">
        <f t="shared" si="35"/>
        <v>0</v>
      </c>
      <c r="AP64" s="64">
        <f t="shared" si="35"/>
        <v>0</v>
      </c>
      <c r="AQ64" s="64">
        <f t="shared" si="35"/>
        <v>0</v>
      </c>
      <c r="AR64" s="64">
        <f t="shared" si="35"/>
        <v>0</v>
      </c>
      <c r="AS64" s="64">
        <f t="shared" si="35"/>
        <v>0</v>
      </c>
      <c r="AT64" s="64">
        <f t="shared" si="35"/>
        <v>0</v>
      </c>
      <c r="AU64" s="64">
        <f t="shared" si="35"/>
        <v>0</v>
      </c>
      <c r="AV64" s="64">
        <f t="shared" si="35"/>
        <v>0</v>
      </c>
      <c r="AW64" s="64">
        <f t="shared" si="35"/>
        <v>0</v>
      </c>
      <c r="AX64" s="64">
        <f t="shared" si="35"/>
        <v>0</v>
      </c>
      <c r="AY64" s="64">
        <f t="shared" si="35"/>
        <v>0</v>
      </c>
      <c r="AZ64" s="64">
        <f t="shared" si="35"/>
        <v>0</v>
      </c>
      <c r="BA64" s="64">
        <f t="shared" si="35"/>
        <v>0</v>
      </c>
      <c r="BB64" s="64">
        <f t="shared" si="35"/>
        <v>0</v>
      </c>
      <c r="BC64" s="64">
        <f t="shared" si="35"/>
        <v>0</v>
      </c>
      <c r="BD64" s="64">
        <f t="shared" si="35"/>
        <v>0</v>
      </c>
      <c r="BE64" s="64">
        <f t="shared" si="35"/>
        <v>0</v>
      </c>
      <c r="BF64" s="64">
        <f t="shared" si="35"/>
        <v>0</v>
      </c>
      <c r="BG64" s="64">
        <f t="shared" si="35"/>
        <v>0</v>
      </c>
      <c r="BH64" s="64">
        <f t="shared" si="35"/>
        <v>0</v>
      </c>
      <c r="BI64" s="64">
        <f t="shared" si="35"/>
        <v>0</v>
      </c>
      <c r="BJ64" s="64">
        <f t="shared" si="35"/>
        <v>0</v>
      </c>
      <c r="BK64" s="64">
        <f t="shared" si="35"/>
        <v>0</v>
      </c>
      <c r="BL64" s="64">
        <f t="shared" si="35"/>
        <v>0</v>
      </c>
      <c r="BM64" s="64">
        <f t="shared" si="35"/>
        <v>0</v>
      </c>
      <c r="BN64" s="64">
        <f t="shared" si="35"/>
        <v>0</v>
      </c>
      <c r="BO64" s="64">
        <f t="shared" si="35"/>
        <v>0</v>
      </c>
      <c r="BP64" s="64">
        <f t="shared" si="35"/>
        <v>0</v>
      </c>
      <c r="BQ64" s="64">
        <f t="shared" si="35"/>
        <v>0</v>
      </c>
      <c r="BR64" s="64">
        <f t="shared" si="35"/>
        <v>0</v>
      </c>
    </row>
    <row r="65" spans="1:70" x14ac:dyDescent="0.25">
      <c r="B65" s="139" t="str">
        <f t="shared" si="13"/>
        <v>Post 20</v>
      </c>
      <c r="E65" s="195"/>
      <c r="F65" s="197">
        <f t="shared" ref="F65:I65" si="37">E65*F$44</f>
        <v>0</v>
      </c>
      <c r="G65" s="197">
        <f t="shared" si="37"/>
        <v>0</v>
      </c>
      <c r="H65" s="197">
        <f t="shared" si="37"/>
        <v>0</v>
      </c>
      <c r="I65" s="197">
        <f t="shared" si="37"/>
        <v>0</v>
      </c>
      <c r="K65" s="64">
        <f t="shared" si="15"/>
        <v>0</v>
      </c>
      <c r="L65" s="64">
        <f t="shared" si="35"/>
        <v>0</v>
      </c>
      <c r="M65" s="64">
        <f t="shared" si="35"/>
        <v>0</v>
      </c>
      <c r="N65" s="64">
        <f t="shared" si="35"/>
        <v>0</v>
      </c>
      <c r="O65" s="64">
        <f t="shared" si="35"/>
        <v>0</v>
      </c>
      <c r="P65" s="64">
        <f t="shared" si="35"/>
        <v>0</v>
      </c>
      <c r="Q65" s="64">
        <f t="shared" si="35"/>
        <v>0</v>
      </c>
      <c r="R65" s="64">
        <f t="shared" si="35"/>
        <v>0</v>
      </c>
      <c r="S65" s="64">
        <f t="shared" si="35"/>
        <v>0</v>
      </c>
      <c r="T65" s="64">
        <f t="shared" si="35"/>
        <v>0</v>
      </c>
      <c r="U65" s="64">
        <f t="shared" si="35"/>
        <v>0</v>
      </c>
      <c r="V65" s="64">
        <f t="shared" si="35"/>
        <v>0</v>
      </c>
      <c r="W65" s="64">
        <f t="shared" si="35"/>
        <v>0</v>
      </c>
      <c r="X65" s="64">
        <f t="shared" si="35"/>
        <v>0</v>
      </c>
      <c r="Y65" s="64">
        <f t="shared" si="35"/>
        <v>0</v>
      </c>
      <c r="Z65" s="64">
        <f t="shared" si="35"/>
        <v>0</v>
      </c>
      <c r="AA65" s="64">
        <f t="shared" si="35"/>
        <v>0</v>
      </c>
      <c r="AB65" s="64">
        <f t="shared" si="35"/>
        <v>0</v>
      </c>
      <c r="AC65" s="64">
        <f t="shared" si="35"/>
        <v>0</v>
      </c>
      <c r="AD65" s="64">
        <f t="shared" si="35"/>
        <v>0</v>
      </c>
      <c r="AE65" s="64">
        <f t="shared" si="35"/>
        <v>0</v>
      </c>
      <c r="AF65" s="64">
        <f t="shared" si="35"/>
        <v>0</v>
      </c>
      <c r="AG65" s="64">
        <f t="shared" si="35"/>
        <v>0</v>
      </c>
      <c r="AH65" s="64">
        <f t="shared" si="35"/>
        <v>0</v>
      </c>
      <c r="AI65" s="64">
        <f t="shared" si="35"/>
        <v>0</v>
      </c>
      <c r="AJ65" s="64">
        <f t="shared" si="35"/>
        <v>0</v>
      </c>
      <c r="AK65" s="64">
        <f t="shared" si="35"/>
        <v>0</v>
      </c>
      <c r="AL65" s="64">
        <f t="shared" si="35"/>
        <v>0</v>
      </c>
      <c r="AM65" s="64">
        <f t="shared" si="35"/>
        <v>0</v>
      </c>
      <c r="AN65" s="64">
        <f t="shared" si="35"/>
        <v>0</v>
      </c>
      <c r="AO65" s="64">
        <f t="shared" si="35"/>
        <v>0</v>
      </c>
      <c r="AP65" s="64">
        <f t="shared" si="35"/>
        <v>0</v>
      </c>
      <c r="AQ65" s="64">
        <f t="shared" si="35"/>
        <v>0</v>
      </c>
      <c r="AR65" s="64">
        <f t="shared" si="35"/>
        <v>0</v>
      </c>
      <c r="AS65" s="64">
        <f t="shared" si="35"/>
        <v>0</v>
      </c>
      <c r="AT65" s="64">
        <f t="shared" si="35"/>
        <v>0</v>
      </c>
      <c r="AU65" s="64">
        <f t="shared" si="35"/>
        <v>0</v>
      </c>
      <c r="AV65" s="64">
        <f t="shared" si="35"/>
        <v>0</v>
      </c>
      <c r="AW65" s="64">
        <f t="shared" si="35"/>
        <v>0</v>
      </c>
      <c r="AX65" s="64">
        <f t="shared" si="35"/>
        <v>0</v>
      </c>
      <c r="AY65" s="64">
        <f t="shared" si="35"/>
        <v>0</v>
      </c>
      <c r="AZ65" s="64">
        <f t="shared" si="35"/>
        <v>0</v>
      </c>
      <c r="BA65" s="64">
        <f t="shared" si="35"/>
        <v>0</v>
      </c>
      <c r="BB65" s="64">
        <f t="shared" si="35"/>
        <v>0</v>
      </c>
      <c r="BC65" s="64">
        <f t="shared" si="35"/>
        <v>0</v>
      </c>
      <c r="BD65" s="64">
        <f t="shared" si="35"/>
        <v>0</v>
      </c>
      <c r="BE65" s="64">
        <f t="shared" si="35"/>
        <v>0</v>
      </c>
      <c r="BF65" s="64">
        <f t="shared" si="35"/>
        <v>0</v>
      </c>
      <c r="BG65" s="64">
        <f t="shared" si="35"/>
        <v>0</v>
      </c>
      <c r="BH65" s="64">
        <f t="shared" si="35"/>
        <v>0</v>
      </c>
      <c r="BI65" s="64">
        <f t="shared" si="35"/>
        <v>0</v>
      </c>
      <c r="BJ65" s="64">
        <f t="shared" si="35"/>
        <v>0</v>
      </c>
      <c r="BK65" s="64">
        <f t="shared" si="35"/>
        <v>0</v>
      </c>
      <c r="BL65" s="64">
        <f t="shared" si="35"/>
        <v>0</v>
      </c>
      <c r="BM65" s="64">
        <f t="shared" si="35"/>
        <v>0</v>
      </c>
      <c r="BN65" s="64">
        <f t="shared" si="35"/>
        <v>0</v>
      </c>
      <c r="BO65" s="64">
        <f t="shared" si="35"/>
        <v>0</v>
      </c>
      <c r="BP65" s="64">
        <f t="shared" si="35"/>
        <v>0</v>
      </c>
      <c r="BQ65" s="64">
        <f t="shared" si="35"/>
        <v>0</v>
      </c>
      <c r="BR65" s="64">
        <f t="shared" si="35"/>
        <v>0</v>
      </c>
    </row>
    <row r="66" spans="1:70" x14ac:dyDescent="0.25">
      <c r="B66" s="76"/>
      <c r="C66" s="76"/>
      <c r="D66" s="76"/>
      <c r="E66" s="76"/>
      <c r="F66" s="76"/>
      <c r="G66" s="76"/>
      <c r="H66" s="76"/>
      <c r="I66" s="76"/>
      <c r="J66" s="76"/>
    </row>
    <row r="67" spans="1:70" s="166" customFormat="1" ht="15.6" x14ac:dyDescent="0.3">
      <c r="A67" s="166">
        <f>Header1</f>
        <v>4</v>
      </c>
      <c r="B67" s="166" t="s">
        <v>11</v>
      </c>
    </row>
    <row r="68" spans="1:70" x14ac:dyDescent="0.25">
      <c r="K68" s="157"/>
      <c r="L68" s="157"/>
      <c r="M68" s="157"/>
      <c r="N68" s="157"/>
      <c r="O68" s="157"/>
      <c r="P68" s="157"/>
      <c r="Q68" s="157"/>
      <c r="R68" s="157"/>
      <c r="S68" s="157"/>
      <c r="T68" s="157"/>
      <c r="U68" s="157"/>
      <c r="V68" s="157"/>
      <c r="W68" s="157"/>
      <c r="X68" s="157"/>
      <c r="Y68" s="157"/>
      <c r="Z68" s="157"/>
      <c r="AA68" s="157"/>
      <c r="AB68" s="157"/>
      <c r="AC68" s="157"/>
      <c r="AD68" s="157"/>
      <c r="AE68" s="157"/>
      <c r="AF68" s="157"/>
      <c r="AG68" s="157"/>
      <c r="AH68" s="157"/>
      <c r="AI68" s="157"/>
      <c r="AJ68" s="157"/>
      <c r="AK68" s="157"/>
      <c r="AL68" s="157"/>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row>
    <row r="69" spans="1:70" x14ac:dyDescent="0.25">
      <c r="B69" s="139" t="str">
        <f t="shared" ref="B69:B78" si="38">B46</f>
        <v>Post 1</v>
      </c>
      <c r="K69" s="317"/>
      <c r="L69" s="317"/>
      <c r="M69" s="317"/>
      <c r="N69" s="317"/>
      <c r="O69" s="317"/>
      <c r="P69" s="317"/>
      <c r="Q69" s="317"/>
      <c r="R69" s="317"/>
      <c r="S69" s="317"/>
      <c r="T69" s="317"/>
      <c r="U69" s="317"/>
      <c r="V69" s="317"/>
      <c r="W69" s="317"/>
      <c r="X69" s="317"/>
      <c r="Y69" s="317"/>
      <c r="Z69" s="317"/>
      <c r="AA69" s="317"/>
      <c r="AB69" s="317"/>
      <c r="AC69" s="317"/>
      <c r="AD69" s="317"/>
      <c r="AE69" s="317"/>
      <c r="AF69" s="317"/>
      <c r="AG69" s="317"/>
      <c r="AH69" s="317"/>
      <c r="AI69" s="317"/>
      <c r="AJ69" s="317"/>
      <c r="AK69" s="317"/>
      <c r="AL69" s="317"/>
      <c r="AM69" s="317"/>
      <c r="AN69" s="317"/>
      <c r="AO69" s="317"/>
      <c r="AP69" s="317"/>
      <c r="AQ69" s="317"/>
      <c r="AR69" s="317"/>
      <c r="AS69" s="317"/>
      <c r="AT69" s="317"/>
      <c r="AU69" s="317"/>
      <c r="AV69" s="317"/>
      <c r="AW69" s="317"/>
      <c r="AX69" s="317"/>
      <c r="AY69" s="317"/>
      <c r="AZ69" s="317"/>
      <c r="BA69" s="317"/>
      <c r="BB69" s="317"/>
      <c r="BC69" s="317"/>
      <c r="BD69" s="317"/>
      <c r="BE69" s="317"/>
      <c r="BF69" s="317"/>
      <c r="BG69" s="317"/>
      <c r="BH69" s="317"/>
      <c r="BI69" s="317"/>
      <c r="BJ69" s="317"/>
      <c r="BK69" s="317"/>
      <c r="BL69" s="317"/>
      <c r="BM69" s="317"/>
      <c r="BN69" s="317"/>
      <c r="BO69" s="317"/>
      <c r="BP69" s="317"/>
      <c r="BQ69" s="317"/>
      <c r="BR69" s="317"/>
    </row>
    <row r="70" spans="1:70" x14ac:dyDescent="0.25">
      <c r="B70" s="139" t="str">
        <f t="shared" si="38"/>
        <v>Post 2</v>
      </c>
      <c r="K70" s="317"/>
      <c r="L70" s="317"/>
      <c r="M70" s="317"/>
      <c r="N70" s="317"/>
      <c r="O70" s="317"/>
      <c r="P70" s="317"/>
      <c r="Q70" s="317"/>
      <c r="R70" s="317"/>
      <c r="S70" s="317"/>
      <c r="T70" s="317"/>
      <c r="U70" s="317"/>
      <c r="V70" s="317"/>
      <c r="W70" s="317"/>
      <c r="X70" s="317"/>
      <c r="Y70" s="317"/>
      <c r="Z70" s="317"/>
      <c r="AA70" s="317"/>
      <c r="AB70" s="317"/>
      <c r="AC70" s="317"/>
      <c r="AD70" s="317"/>
      <c r="AE70" s="317"/>
      <c r="AF70" s="317"/>
      <c r="AG70" s="317"/>
      <c r="AH70" s="317"/>
      <c r="AI70" s="317"/>
      <c r="AJ70" s="317"/>
      <c r="AK70" s="317"/>
      <c r="AL70" s="317"/>
      <c r="AM70" s="317"/>
      <c r="AN70" s="317"/>
      <c r="AO70" s="317"/>
      <c r="AP70" s="317"/>
      <c r="AQ70" s="317"/>
      <c r="AR70" s="317"/>
      <c r="AS70" s="317"/>
      <c r="AT70" s="317"/>
      <c r="AU70" s="317"/>
      <c r="AV70" s="317"/>
      <c r="AW70" s="317"/>
      <c r="AX70" s="317"/>
      <c r="AY70" s="317"/>
      <c r="AZ70" s="317"/>
      <c r="BA70" s="317"/>
      <c r="BB70" s="317"/>
      <c r="BC70" s="317"/>
      <c r="BD70" s="317"/>
      <c r="BE70" s="317"/>
      <c r="BF70" s="317"/>
      <c r="BG70" s="317"/>
      <c r="BH70" s="317"/>
      <c r="BI70" s="317"/>
      <c r="BJ70" s="317"/>
      <c r="BK70" s="317"/>
      <c r="BL70" s="317"/>
      <c r="BM70" s="317"/>
      <c r="BN70" s="317"/>
      <c r="BO70" s="317"/>
      <c r="BP70" s="317"/>
      <c r="BQ70" s="317"/>
      <c r="BR70" s="317"/>
    </row>
    <row r="71" spans="1:70" x14ac:dyDescent="0.25">
      <c r="B71" s="139" t="str">
        <f t="shared" si="38"/>
        <v>Post 3</v>
      </c>
      <c r="K71" s="317"/>
      <c r="L71" s="317"/>
      <c r="M71" s="317"/>
      <c r="N71" s="317"/>
      <c r="O71" s="317"/>
      <c r="P71" s="317"/>
      <c r="Q71" s="317"/>
      <c r="R71" s="317"/>
      <c r="S71" s="317"/>
      <c r="T71" s="317"/>
      <c r="U71" s="317"/>
      <c r="V71" s="317"/>
      <c r="W71" s="317"/>
      <c r="X71" s="317"/>
      <c r="Y71" s="317"/>
      <c r="Z71" s="317"/>
      <c r="AA71" s="317"/>
      <c r="AB71" s="317"/>
      <c r="AC71" s="317"/>
      <c r="AD71" s="317"/>
      <c r="AE71" s="317"/>
      <c r="AF71" s="317"/>
      <c r="AG71" s="317"/>
      <c r="AH71" s="317"/>
      <c r="AI71" s="317"/>
      <c r="AJ71" s="317"/>
      <c r="AK71" s="317"/>
      <c r="AL71" s="317"/>
      <c r="AM71" s="317"/>
      <c r="AN71" s="317"/>
      <c r="AO71" s="317"/>
      <c r="AP71" s="317"/>
      <c r="AQ71" s="317"/>
      <c r="AR71" s="317"/>
      <c r="AS71" s="317"/>
      <c r="AT71" s="317"/>
      <c r="AU71" s="317"/>
      <c r="AV71" s="317"/>
      <c r="AW71" s="317"/>
      <c r="AX71" s="317"/>
      <c r="AY71" s="317"/>
      <c r="AZ71" s="317"/>
      <c r="BA71" s="317"/>
      <c r="BB71" s="317"/>
      <c r="BC71" s="317"/>
      <c r="BD71" s="317"/>
      <c r="BE71" s="317"/>
      <c r="BF71" s="317"/>
      <c r="BG71" s="317"/>
      <c r="BH71" s="317"/>
      <c r="BI71" s="317"/>
      <c r="BJ71" s="317"/>
      <c r="BK71" s="317"/>
      <c r="BL71" s="317"/>
      <c r="BM71" s="317"/>
      <c r="BN71" s="317"/>
      <c r="BO71" s="317"/>
      <c r="BP71" s="317"/>
      <c r="BQ71" s="317"/>
      <c r="BR71" s="317"/>
    </row>
    <row r="72" spans="1:70" x14ac:dyDescent="0.25">
      <c r="B72" s="139" t="str">
        <f t="shared" si="38"/>
        <v>Post 4</v>
      </c>
      <c r="K72" s="317"/>
      <c r="L72" s="317"/>
      <c r="M72" s="317"/>
      <c r="N72" s="317"/>
      <c r="O72" s="317"/>
      <c r="P72" s="317"/>
      <c r="Q72" s="317"/>
      <c r="R72" s="317"/>
      <c r="S72" s="317"/>
      <c r="T72" s="317"/>
      <c r="U72" s="317"/>
      <c r="V72" s="317"/>
      <c r="W72" s="317"/>
      <c r="X72" s="317"/>
      <c r="Y72" s="317"/>
      <c r="Z72" s="317"/>
      <c r="AA72" s="317"/>
      <c r="AB72" s="317"/>
      <c r="AC72" s="317"/>
      <c r="AD72" s="317"/>
      <c r="AE72" s="317"/>
      <c r="AF72" s="317"/>
      <c r="AG72" s="317"/>
      <c r="AH72" s="317"/>
      <c r="AI72" s="317"/>
      <c r="AJ72" s="317"/>
      <c r="AK72" s="317"/>
      <c r="AL72" s="317"/>
      <c r="AM72" s="317"/>
      <c r="AN72" s="317"/>
      <c r="AO72" s="317"/>
      <c r="AP72" s="317"/>
      <c r="AQ72" s="317"/>
      <c r="AR72" s="317"/>
      <c r="AS72" s="317"/>
      <c r="AT72" s="317"/>
      <c r="AU72" s="317"/>
      <c r="AV72" s="317"/>
      <c r="AW72" s="317"/>
      <c r="AX72" s="317"/>
      <c r="AY72" s="317"/>
      <c r="AZ72" s="317"/>
      <c r="BA72" s="317"/>
      <c r="BB72" s="317"/>
      <c r="BC72" s="317"/>
      <c r="BD72" s="317"/>
      <c r="BE72" s="317"/>
      <c r="BF72" s="317"/>
      <c r="BG72" s="317"/>
      <c r="BH72" s="317"/>
      <c r="BI72" s="317"/>
      <c r="BJ72" s="317"/>
      <c r="BK72" s="317"/>
      <c r="BL72" s="317"/>
      <c r="BM72" s="317"/>
      <c r="BN72" s="317"/>
      <c r="BO72" s="317"/>
      <c r="BP72" s="317"/>
      <c r="BQ72" s="317"/>
      <c r="BR72" s="317"/>
    </row>
    <row r="73" spans="1:70" x14ac:dyDescent="0.25">
      <c r="B73" s="139" t="str">
        <f t="shared" si="38"/>
        <v>Post 5</v>
      </c>
      <c r="K73" s="317"/>
      <c r="L73" s="317"/>
      <c r="M73" s="317"/>
      <c r="N73" s="317"/>
      <c r="O73" s="317"/>
      <c r="P73" s="317"/>
      <c r="Q73" s="317"/>
      <c r="R73" s="317"/>
      <c r="S73" s="317"/>
      <c r="T73" s="317"/>
      <c r="U73" s="317"/>
      <c r="V73" s="317"/>
      <c r="W73" s="317"/>
      <c r="X73" s="317"/>
      <c r="Y73" s="317"/>
      <c r="Z73" s="317"/>
      <c r="AA73" s="317"/>
      <c r="AB73" s="317"/>
      <c r="AC73" s="317"/>
      <c r="AD73" s="317"/>
      <c r="AE73" s="317"/>
      <c r="AF73" s="317"/>
      <c r="AG73" s="317"/>
      <c r="AH73" s="317"/>
      <c r="AI73" s="317"/>
      <c r="AJ73" s="317"/>
      <c r="AK73" s="317"/>
      <c r="AL73" s="317"/>
      <c r="AM73" s="317"/>
      <c r="AN73" s="317"/>
      <c r="AO73" s="317"/>
      <c r="AP73" s="317"/>
      <c r="AQ73" s="317"/>
      <c r="AR73" s="317"/>
      <c r="AS73" s="317"/>
      <c r="AT73" s="317"/>
      <c r="AU73" s="317"/>
      <c r="AV73" s="317"/>
      <c r="AW73" s="317"/>
      <c r="AX73" s="317"/>
      <c r="AY73" s="317"/>
      <c r="AZ73" s="317"/>
      <c r="BA73" s="317"/>
      <c r="BB73" s="317"/>
      <c r="BC73" s="317"/>
      <c r="BD73" s="317"/>
      <c r="BE73" s="317"/>
      <c r="BF73" s="317"/>
      <c r="BG73" s="317"/>
      <c r="BH73" s="317"/>
      <c r="BI73" s="317"/>
      <c r="BJ73" s="317"/>
      <c r="BK73" s="317"/>
      <c r="BL73" s="317"/>
      <c r="BM73" s="317"/>
      <c r="BN73" s="317"/>
      <c r="BO73" s="317"/>
      <c r="BP73" s="317"/>
      <c r="BQ73" s="317"/>
      <c r="BR73" s="317"/>
    </row>
    <row r="74" spans="1:70" x14ac:dyDescent="0.25">
      <c r="B74" s="139" t="str">
        <f t="shared" si="38"/>
        <v>Post 6</v>
      </c>
      <c r="K74" s="317"/>
      <c r="L74" s="317"/>
      <c r="M74" s="317"/>
      <c r="N74" s="317"/>
      <c r="O74" s="317"/>
      <c r="P74" s="317"/>
      <c r="Q74" s="317"/>
      <c r="R74" s="317"/>
      <c r="S74" s="317"/>
      <c r="T74" s="317"/>
      <c r="U74" s="317"/>
      <c r="V74" s="317"/>
      <c r="W74" s="317"/>
      <c r="X74" s="317"/>
      <c r="Y74" s="317"/>
      <c r="Z74" s="317"/>
      <c r="AA74" s="317"/>
      <c r="AB74" s="317"/>
      <c r="AC74" s="317"/>
      <c r="AD74" s="317"/>
      <c r="AE74" s="317"/>
      <c r="AF74" s="317"/>
      <c r="AG74" s="317"/>
      <c r="AH74" s="317"/>
      <c r="AI74" s="317"/>
      <c r="AJ74" s="317"/>
      <c r="AK74" s="317"/>
      <c r="AL74" s="317"/>
      <c r="AM74" s="317"/>
      <c r="AN74" s="317"/>
      <c r="AO74" s="317"/>
      <c r="AP74" s="317"/>
      <c r="AQ74" s="317"/>
      <c r="AR74" s="317"/>
      <c r="AS74" s="317"/>
      <c r="AT74" s="317"/>
      <c r="AU74" s="317"/>
      <c r="AV74" s="317"/>
      <c r="AW74" s="317"/>
      <c r="AX74" s="317"/>
      <c r="AY74" s="317"/>
      <c r="AZ74" s="317"/>
      <c r="BA74" s="317"/>
      <c r="BB74" s="317"/>
      <c r="BC74" s="317"/>
      <c r="BD74" s="317"/>
      <c r="BE74" s="317"/>
      <c r="BF74" s="317"/>
      <c r="BG74" s="317"/>
      <c r="BH74" s="317"/>
      <c r="BI74" s="317"/>
      <c r="BJ74" s="317"/>
      <c r="BK74" s="317"/>
      <c r="BL74" s="317"/>
      <c r="BM74" s="317"/>
      <c r="BN74" s="317"/>
      <c r="BO74" s="317"/>
      <c r="BP74" s="317"/>
      <c r="BQ74" s="317"/>
      <c r="BR74" s="317"/>
    </row>
    <row r="75" spans="1:70" x14ac:dyDescent="0.25">
      <c r="B75" s="139" t="str">
        <f t="shared" si="38"/>
        <v>Post 7</v>
      </c>
      <c r="K75" s="317"/>
      <c r="L75" s="317"/>
      <c r="M75" s="317"/>
      <c r="N75" s="317"/>
      <c r="O75" s="317"/>
      <c r="P75" s="317"/>
      <c r="Q75" s="317"/>
      <c r="R75" s="317"/>
      <c r="S75" s="317"/>
      <c r="T75" s="317"/>
      <c r="U75" s="317"/>
      <c r="V75" s="317"/>
      <c r="W75" s="317"/>
      <c r="X75" s="317"/>
      <c r="Y75" s="317"/>
      <c r="Z75" s="317"/>
      <c r="AA75" s="317"/>
      <c r="AB75" s="317"/>
      <c r="AC75" s="317"/>
      <c r="AD75" s="317"/>
      <c r="AE75" s="317"/>
      <c r="AF75" s="317"/>
      <c r="AG75" s="317"/>
      <c r="AH75" s="317"/>
      <c r="AI75" s="317"/>
      <c r="AJ75" s="317"/>
      <c r="AK75" s="317"/>
      <c r="AL75" s="317"/>
      <c r="AM75" s="317"/>
      <c r="AN75" s="317"/>
      <c r="AO75" s="317"/>
      <c r="AP75" s="317"/>
      <c r="AQ75" s="317"/>
      <c r="AR75" s="317"/>
      <c r="AS75" s="317"/>
      <c r="AT75" s="317"/>
      <c r="AU75" s="317"/>
      <c r="AV75" s="317"/>
      <c r="AW75" s="317"/>
      <c r="AX75" s="317"/>
      <c r="AY75" s="317"/>
      <c r="AZ75" s="317"/>
      <c r="BA75" s="317"/>
      <c r="BB75" s="317"/>
      <c r="BC75" s="317"/>
      <c r="BD75" s="317"/>
      <c r="BE75" s="317"/>
      <c r="BF75" s="317"/>
      <c r="BG75" s="317"/>
      <c r="BH75" s="317"/>
      <c r="BI75" s="317"/>
      <c r="BJ75" s="317"/>
      <c r="BK75" s="317"/>
      <c r="BL75" s="317"/>
      <c r="BM75" s="317"/>
      <c r="BN75" s="317"/>
      <c r="BO75" s="317"/>
      <c r="BP75" s="317"/>
      <c r="BQ75" s="317"/>
      <c r="BR75" s="317"/>
    </row>
    <row r="76" spans="1:70" x14ac:dyDescent="0.25">
      <c r="B76" s="139" t="str">
        <f t="shared" si="38"/>
        <v>Post 8</v>
      </c>
      <c r="K76" s="317"/>
      <c r="L76" s="317"/>
      <c r="M76" s="317"/>
      <c r="N76" s="317"/>
      <c r="O76" s="317"/>
      <c r="P76" s="317"/>
      <c r="Q76" s="317"/>
      <c r="R76" s="317"/>
      <c r="S76" s="317"/>
      <c r="T76" s="317"/>
      <c r="U76" s="317"/>
      <c r="V76" s="317"/>
      <c r="W76" s="317"/>
      <c r="X76" s="317"/>
      <c r="Y76" s="317"/>
      <c r="Z76" s="317"/>
      <c r="AA76" s="317"/>
      <c r="AB76" s="317"/>
      <c r="AC76" s="317"/>
      <c r="AD76" s="317"/>
      <c r="AE76" s="317"/>
      <c r="AF76" s="317"/>
      <c r="AG76" s="317"/>
      <c r="AH76" s="317"/>
      <c r="AI76" s="317"/>
      <c r="AJ76" s="317"/>
      <c r="AK76" s="317"/>
      <c r="AL76" s="317"/>
      <c r="AM76" s="317"/>
      <c r="AN76" s="317"/>
      <c r="AO76" s="317"/>
      <c r="AP76" s="317"/>
      <c r="AQ76" s="317"/>
      <c r="AR76" s="317"/>
      <c r="AS76" s="317"/>
      <c r="AT76" s="317"/>
      <c r="AU76" s="317"/>
      <c r="AV76" s="317"/>
      <c r="AW76" s="317"/>
      <c r="AX76" s="317"/>
      <c r="AY76" s="317"/>
      <c r="AZ76" s="317"/>
      <c r="BA76" s="317"/>
      <c r="BB76" s="317"/>
      <c r="BC76" s="317"/>
      <c r="BD76" s="317"/>
      <c r="BE76" s="317"/>
      <c r="BF76" s="317"/>
      <c r="BG76" s="317"/>
      <c r="BH76" s="317"/>
      <c r="BI76" s="317"/>
      <c r="BJ76" s="317"/>
      <c r="BK76" s="317"/>
      <c r="BL76" s="317"/>
      <c r="BM76" s="317"/>
      <c r="BN76" s="317"/>
      <c r="BO76" s="317"/>
      <c r="BP76" s="317"/>
      <c r="BQ76" s="317"/>
      <c r="BR76" s="317"/>
    </row>
    <row r="77" spans="1:70" x14ac:dyDescent="0.25">
      <c r="B77" s="139" t="str">
        <f t="shared" si="38"/>
        <v>Post 9</v>
      </c>
      <c r="K77" s="317"/>
      <c r="L77" s="317"/>
      <c r="M77" s="317"/>
      <c r="N77" s="317"/>
      <c r="O77" s="317"/>
      <c r="P77" s="317"/>
      <c r="Q77" s="317"/>
      <c r="R77" s="317"/>
      <c r="S77" s="317"/>
      <c r="T77" s="317"/>
      <c r="U77" s="317"/>
      <c r="V77" s="317"/>
      <c r="W77" s="317"/>
      <c r="X77" s="317"/>
      <c r="Y77" s="317"/>
      <c r="Z77" s="317"/>
      <c r="AA77" s="317"/>
      <c r="AB77" s="317"/>
      <c r="AC77" s="317"/>
      <c r="AD77" s="317"/>
      <c r="AE77" s="317"/>
      <c r="AF77" s="317"/>
      <c r="AG77" s="317"/>
      <c r="AH77" s="317"/>
      <c r="AI77" s="317"/>
      <c r="AJ77" s="317"/>
      <c r="AK77" s="317"/>
      <c r="AL77" s="317"/>
      <c r="AM77" s="317"/>
      <c r="AN77" s="317"/>
      <c r="AO77" s="317"/>
      <c r="AP77" s="317"/>
      <c r="AQ77" s="317"/>
      <c r="AR77" s="317"/>
      <c r="AS77" s="317"/>
      <c r="AT77" s="317"/>
      <c r="AU77" s="317"/>
      <c r="AV77" s="317"/>
      <c r="AW77" s="317"/>
      <c r="AX77" s="317"/>
      <c r="AY77" s="317"/>
      <c r="AZ77" s="317"/>
      <c r="BA77" s="317"/>
      <c r="BB77" s="317"/>
      <c r="BC77" s="317"/>
      <c r="BD77" s="317"/>
      <c r="BE77" s="317"/>
      <c r="BF77" s="317"/>
      <c r="BG77" s="317"/>
      <c r="BH77" s="317"/>
      <c r="BI77" s="317"/>
      <c r="BJ77" s="317"/>
      <c r="BK77" s="317"/>
      <c r="BL77" s="317"/>
      <c r="BM77" s="317"/>
      <c r="BN77" s="317"/>
      <c r="BO77" s="317"/>
      <c r="BP77" s="317"/>
      <c r="BQ77" s="317"/>
      <c r="BR77" s="317"/>
    </row>
    <row r="78" spans="1:70" x14ac:dyDescent="0.25">
      <c r="B78" s="139" t="str">
        <f t="shared" si="38"/>
        <v>Post 10</v>
      </c>
      <c r="K78" s="317"/>
      <c r="L78" s="317"/>
      <c r="M78" s="317"/>
      <c r="N78" s="317"/>
      <c r="O78" s="317"/>
      <c r="P78" s="317"/>
      <c r="Q78" s="317"/>
      <c r="R78" s="317"/>
      <c r="S78" s="317"/>
      <c r="T78" s="317"/>
      <c r="U78" s="317"/>
      <c r="V78" s="317"/>
      <c r="W78" s="317"/>
      <c r="X78" s="317"/>
      <c r="Y78" s="317"/>
      <c r="Z78" s="317"/>
      <c r="AA78" s="317"/>
      <c r="AB78" s="317"/>
      <c r="AC78" s="317"/>
      <c r="AD78" s="317"/>
      <c r="AE78" s="317"/>
      <c r="AF78" s="317"/>
      <c r="AG78" s="317"/>
      <c r="AH78" s="317"/>
      <c r="AI78" s="317"/>
      <c r="AJ78" s="317"/>
      <c r="AK78" s="317"/>
      <c r="AL78" s="317"/>
      <c r="AM78" s="317"/>
      <c r="AN78" s="317"/>
      <c r="AO78" s="317"/>
      <c r="AP78" s="317"/>
      <c r="AQ78" s="317"/>
      <c r="AR78" s="317"/>
      <c r="AS78" s="317"/>
      <c r="AT78" s="317"/>
      <c r="AU78" s="317"/>
      <c r="AV78" s="317"/>
      <c r="AW78" s="317"/>
      <c r="AX78" s="317"/>
      <c r="AY78" s="317"/>
      <c r="AZ78" s="317"/>
      <c r="BA78" s="317"/>
      <c r="BB78" s="317"/>
      <c r="BC78" s="317"/>
      <c r="BD78" s="317"/>
      <c r="BE78" s="317"/>
      <c r="BF78" s="317"/>
      <c r="BG78" s="317"/>
      <c r="BH78" s="317"/>
      <c r="BI78" s="317"/>
      <c r="BJ78" s="317"/>
      <c r="BK78" s="317"/>
      <c r="BL78" s="317"/>
      <c r="BM78" s="317"/>
      <c r="BN78" s="317"/>
      <c r="BO78" s="317"/>
      <c r="BP78" s="317"/>
      <c r="BQ78" s="317"/>
      <c r="BR78" s="317"/>
    </row>
    <row r="79" spans="1:70" x14ac:dyDescent="0.25">
      <c r="B79" s="139" t="str">
        <f t="shared" ref="B79:B87" si="39">B56</f>
        <v>Post 11</v>
      </c>
      <c r="K79" s="318"/>
      <c r="L79" s="318"/>
      <c r="M79" s="318"/>
      <c r="N79" s="318"/>
      <c r="O79" s="318"/>
      <c r="P79" s="318"/>
      <c r="Q79" s="318"/>
      <c r="R79" s="318"/>
      <c r="S79" s="318"/>
      <c r="T79" s="318"/>
      <c r="U79" s="318"/>
      <c r="V79" s="318"/>
      <c r="W79" s="318"/>
      <c r="X79" s="318"/>
      <c r="Y79" s="318"/>
      <c r="Z79" s="318"/>
      <c r="AA79" s="318"/>
      <c r="AB79" s="318"/>
      <c r="AC79" s="318"/>
      <c r="AD79" s="318"/>
      <c r="AE79" s="318"/>
      <c r="AF79" s="318"/>
      <c r="AG79" s="318"/>
      <c r="AH79" s="318"/>
      <c r="AI79" s="318"/>
      <c r="AJ79" s="318"/>
      <c r="AK79" s="318"/>
      <c r="AL79" s="318"/>
      <c r="AM79" s="318"/>
      <c r="AN79" s="318"/>
      <c r="AO79" s="318"/>
      <c r="AP79" s="318"/>
      <c r="AQ79" s="318"/>
      <c r="AR79" s="318"/>
      <c r="AS79" s="318"/>
      <c r="AT79" s="318"/>
      <c r="AU79" s="318"/>
      <c r="AV79" s="318"/>
      <c r="AW79" s="318"/>
      <c r="AX79" s="318"/>
      <c r="AY79" s="318"/>
      <c r="AZ79" s="318"/>
      <c r="BA79" s="318"/>
      <c r="BB79" s="318"/>
      <c r="BC79" s="318"/>
      <c r="BD79" s="318"/>
      <c r="BE79" s="318"/>
      <c r="BF79" s="318"/>
      <c r="BG79" s="318"/>
      <c r="BH79" s="318"/>
      <c r="BI79" s="318"/>
      <c r="BJ79" s="318"/>
      <c r="BK79" s="318"/>
      <c r="BL79" s="318"/>
      <c r="BM79" s="318"/>
      <c r="BN79" s="318"/>
      <c r="BO79" s="318"/>
      <c r="BP79" s="318"/>
      <c r="BQ79" s="318"/>
      <c r="BR79" s="318"/>
    </row>
    <row r="80" spans="1:70" x14ac:dyDescent="0.25">
      <c r="B80" s="139" t="str">
        <f t="shared" si="39"/>
        <v>Post 12</v>
      </c>
      <c r="K80" s="318"/>
      <c r="L80" s="318"/>
      <c r="M80" s="318"/>
      <c r="N80" s="318"/>
      <c r="O80" s="318"/>
      <c r="P80" s="318"/>
      <c r="Q80" s="318"/>
      <c r="R80" s="318"/>
      <c r="S80" s="318"/>
      <c r="T80" s="318"/>
      <c r="U80" s="318"/>
      <c r="V80" s="318"/>
      <c r="W80" s="318"/>
      <c r="X80" s="318"/>
      <c r="Y80" s="318"/>
      <c r="Z80" s="318"/>
      <c r="AA80" s="318"/>
      <c r="AB80" s="318"/>
      <c r="AC80" s="318"/>
      <c r="AD80" s="318"/>
      <c r="AE80" s="318"/>
      <c r="AF80" s="318"/>
      <c r="AG80" s="318"/>
      <c r="AH80" s="318"/>
      <c r="AI80" s="318"/>
      <c r="AJ80" s="318"/>
      <c r="AK80" s="318"/>
      <c r="AL80" s="318"/>
      <c r="AM80" s="318"/>
      <c r="AN80" s="318"/>
      <c r="AO80" s="318"/>
      <c r="AP80" s="318"/>
      <c r="AQ80" s="318"/>
      <c r="AR80" s="318"/>
      <c r="AS80" s="318"/>
      <c r="AT80" s="318"/>
      <c r="AU80" s="318"/>
      <c r="AV80" s="318"/>
      <c r="AW80" s="318"/>
      <c r="AX80" s="318"/>
      <c r="AY80" s="318"/>
      <c r="AZ80" s="318"/>
      <c r="BA80" s="318"/>
      <c r="BB80" s="318"/>
      <c r="BC80" s="318"/>
      <c r="BD80" s="318"/>
      <c r="BE80" s="318"/>
      <c r="BF80" s="318"/>
      <c r="BG80" s="318"/>
      <c r="BH80" s="318"/>
      <c r="BI80" s="318"/>
      <c r="BJ80" s="318"/>
      <c r="BK80" s="318"/>
      <c r="BL80" s="318"/>
      <c r="BM80" s="318"/>
      <c r="BN80" s="318"/>
      <c r="BO80" s="318"/>
      <c r="BP80" s="318"/>
      <c r="BQ80" s="318"/>
      <c r="BR80" s="318"/>
    </row>
    <row r="81" spans="1:72" x14ac:dyDescent="0.25">
      <c r="B81" s="139" t="str">
        <f t="shared" si="39"/>
        <v>Post 13</v>
      </c>
      <c r="K81" s="318"/>
      <c r="L81" s="318"/>
      <c r="M81" s="318"/>
      <c r="N81" s="318"/>
      <c r="O81" s="318"/>
      <c r="P81" s="318"/>
      <c r="Q81" s="318"/>
      <c r="R81" s="318"/>
      <c r="S81" s="318"/>
      <c r="T81" s="318"/>
      <c r="U81" s="318"/>
      <c r="V81" s="318"/>
      <c r="W81" s="318"/>
      <c r="X81" s="318"/>
      <c r="Y81" s="318"/>
      <c r="Z81" s="318"/>
      <c r="AA81" s="318"/>
      <c r="AB81" s="318"/>
      <c r="AC81" s="318"/>
      <c r="AD81" s="318"/>
      <c r="AE81" s="318"/>
      <c r="AF81" s="318"/>
      <c r="AG81" s="318"/>
      <c r="AH81" s="318"/>
      <c r="AI81" s="318"/>
      <c r="AJ81" s="318"/>
      <c r="AK81" s="318"/>
      <c r="AL81" s="318"/>
      <c r="AM81" s="318"/>
      <c r="AN81" s="318"/>
      <c r="AO81" s="318"/>
      <c r="AP81" s="318"/>
      <c r="AQ81" s="318"/>
      <c r="AR81" s="318"/>
      <c r="AS81" s="318"/>
      <c r="AT81" s="318"/>
      <c r="AU81" s="318"/>
      <c r="AV81" s="318"/>
      <c r="AW81" s="318"/>
      <c r="AX81" s="318"/>
      <c r="AY81" s="318"/>
      <c r="AZ81" s="318"/>
      <c r="BA81" s="318"/>
      <c r="BB81" s="318"/>
      <c r="BC81" s="318"/>
      <c r="BD81" s="318"/>
      <c r="BE81" s="318"/>
      <c r="BF81" s="318"/>
      <c r="BG81" s="318"/>
      <c r="BH81" s="318"/>
      <c r="BI81" s="318"/>
      <c r="BJ81" s="318"/>
      <c r="BK81" s="318"/>
      <c r="BL81" s="318"/>
      <c r="BM81" s="318"/>
      <c r="BN81" s="318"/>
      <c r="BO81" s="318"/>
      <c r="BP81" s="318"/>
      <c r="BQ81" s="318"/>
      <c r="BR81" s="318"/>
    </row>
    <row r="82" spans="1:72" x14ac:dyDescent="0.25">
      <c r="B82" s="139" t="str">
        <f t="shared" si="39"/>
        <v>Post 14</v>
      </c>
      <c r="K82" s="318"/>
      <c r="L82" s="318"/>
      <c r="M82" s="318"/>
      <c r="N82" s="318"/>
      <c r="O82" s="318"/>
      <c r="P82" s="318"/>
      <c r="Q82" s="318"/>
      <c r="R82" s="318"/>
      <c r="S82" s="318"/>
      <c r="T82" s="318"/>
      <c r="U82" s="318"/>
      <c r="V82" s="318"/>
      <c r="W82" s="318"/>
      <c r="X82" s="318"/>
      <c r="Y82" s="318"/>
      <c r="Z82" s="318"/>
      <c r="AA82" s="318"/>
      <c r="AB82" s="318"/>
      <c r="AC82" s="318"/>
      <c r="AD82" s="318"/>
      <c r="AE82" s="318"/>
      <c r="AF82" s="318"/>
      <c r="AG82" s="318"/>
      <c r="AH82" s="318"/>
      <c r="AI82" s="318"/>
      <c r="AJ82" s="318"/>
      <c r="AK82" s="318"/>
      <c r="AL82" s="318"/>
      <c r="AM82" s="318"/>
      <c r="AN82" s="318"/>
      <c r="AO82" s="318"/>
      <c r="AP82" s="318"/>
      <c r="AQ82" s="318"/>
      <c r="AR82" s="318"/>
      <c r="AS82" s="318"/>
      <c r="AT82" s="318"/>
      <c r="AU82" s="318"/>
      <c r="AV82" s="318"/>
      <c r="AW82" s="318"/>
      <c r="AX82" s="318"/>
      <c r="AY82" s="318"/>
      <c r="AZ82" s="318"/>
      <c r="BA82" s="318"/>
      <c r="BB82" s="318"/>
      <c r="BC82" s="318"/>
      <c r="BD82" s="318"/>
      <c r="BE82" s="318"/>
      <c r="BF82" s="318"/>
      <c r="BG82" s="318"/>
      <c r="BH82" s="318"/>
      <c r="BI82" s="318"/>
      <c r="BJ82" s="318"/>
      <c r="BK82" s="318"/>
      <c r="BL82" s="318"/>
      <c r="BM82" s="318"/>
      <c r="BN82" s="318"/>
      <c r="BO82" s="318"/>
      <c r="BP82" s="318"/>
      <c r="BQ82" s="318"/>
      <c r="BR82" s="318"/>
    </row>
    <row r="83" spans="1:72" x14ac:dyDescent="0.25">
      <c r="B83" s="139" t="str">
        <f t="shared" si="39"/>
        <v>Post 15</v>
      </c>
      <c r="K83" s="318"/>
      <c r="L83" s="318"/>
      <c r="M83" s="318"/>
      <c r="N83" s="318"/>
      <c r="O83" s="318"/>
      <c r="P83" s="318"/>
      <c r="Q83" s="318"/>
      <c r="R83" s="318"/>
      <c r="S83" s="318"/>
      <c r="T83" s="318"/>
      <c r="U83" s="318"/>
      <c r="V83" s="318"/>
      <c r="W83" s="318"/>
      <c r="X83" s="318"/>
      <c r="Y83" s="318"/>
      <c r="Z83" s="318"/>
      <c r="AA83" s="318"/>
      <c r="AB83" s="318"/>
      <c r="AC83" s="318"/>
      <c r="AD83" s="318"/>
      <c r="AE83" s="318"/>
      <c r="AF83" s="318"/>
      <c r="AG83" s="318"/>
      <c r="AH83" s="318"/>
      <c r="AI83" s="318"/>
      <c r="AJ83" s="318"/>
      <c r="AK83" s="318"/>
      <c r="AL83" s="318"/>
      <c r="AM83" s="318"/>
      <c r="AN83" s="318"/>
      <c r="AO83" s="318"/>
      <c r="AP83" s="318"/>
      <c r="AQ83" s="318"/>
      <c r="AR83" s="318"/>
      <c r="AS83" s="318"/>
      <c r="AT83" s="318"/>
      <c r="AU83" s="318"/>
      <c r="AV83" s="318"/>
      <c r="AW83" s="318"/>
      <c r="AX83" s="318"/>
      <c r="AY83" s="318"/>
      <c r="AZ83" s="318"/>
      <c r="BA83" s="318"/>
      <c r="BB83" s="318"/>
      <c r="BC83" s="318"/>
      <c r="BD83" s="318"/>
      <c r="BE83" s="318"/>
      <c r="BF83" s="318"/>
      <c r="BG83" s="318"/>
      <c r="BH83" s="318"/>
      <c r="BI83" s="318"/>
      <c r="BJ83" s="318"/>
      <c r="BK83" s="318"/>
      <c r="BL83" s="318"/>
      <c r="BM83" s="318"/>
      <c r="BN83" s="318"/>
      <c r="BO83" s="318"/>
      <c r="BP83" s="318"/>
      <c r="BQ83" s="318"/>
      <c r="BR83" s="318"/>
    </row>
    <row r="84" spans="1:72" x14ac:dyDescent="0.25">
      <c r="B84" s="139" t="str">
        <f t="shared" si="39"/>
        <v>Post 16</v>
      </c>
      <c r="K84" s="318"/>
      <c r="L84" s="318"/>
      <c r="M84" s="318"/>
      <c r="N84" s="318"/>
      <c r="O84" s="318"/>
      <c r="P84" s="318"/>
      <c r="Q84" s="318"/>
      <c r="R84" s="318"/>
      <c r="S84" s="318"/>
      <c r="T84" s="318"/>
      <c r="U84" s="318"/>
      <c r="V84" s="318"/>
      <c r="W84" s="318"/>
      <c r="X84" s="318"/>
      <c r="Y84" s="318"/>
      <c r="Z84" s="318"/>
      <c r="AA84" s="318"/>
      <c r="AB84" s="318"/>
      <c r="AC84" s="318"/>
      <c r="AD84" s="318"/>
      <c r="AE84" s="318"/>
      <c r="AF84" s="318"/>
      <c r="AG84" s="318"/>
      <c r="AH84" s="318"/>
      <c r="AI84" s="318"/>
      <c r="AJ84" s="318"/>
      <c r="AK84" s="318"/>
      <c r="AL84" s="318"/>
      <c r="AM84" s="318"/>
      <c r="AN84" s="318"/>
      <c r="AO84" s="318"/>
      <c r="AP84" s="318"/>
      <c r="AQ84" s="318"/>
      <c r="AR84" s="318"/>
      <c r="AS84" s="318"/>
      <c r="AT84" s="318"/>
      <c r="AU84" s="318"/>
      <c r="AV84" s="318"/>
      <c r="AW84" s="318"/>
      <c r="AX84" s="318"/>
      <c r="AY84" s="318"/>
      <c r="AZ84" s="318"/>
      <c r="BA84" s="318"/>
      <c r="BB84" s="318"/>
      <c r="BC84" s="318"/>
      <c r="BD84" s="318"/>
      <c r="BE84" s="318"/>
      <c r="BF84" s="318"/>
      <c r="BG84" s="318"/>
      <c r="BH84" s="318"/>
      <c r="BI84" s="318"/>
      <c r="BJ84" s="318"/>
      <c r="BK84" s="318"/>
      <c r="BL84" s="318"/>
      <c r="BM84" s="318"/>
      <c r="BN84" s="318"/>
      <c r="BO84" s="318"/>
      <c r="BP84" s="318"/>
      <c r="BQ84" s="318"/>
      <c r="BR84" s="318"/>
    </row>
    <row r="85" spans="1:72" x14ac:dyDescent="0.25">
      <c r="B85" s="139" t="str">
        <f t="shared" si="39"/>
        <v>Post 17</v>
      </c>
      <c r="K85" s="318"/>
      <c r="L85" s="318"/>
      <c r="M85" s="318"/>
      <c r="N85" s="318"/>
      <c r="O85" s="318"/>
      <c r="P85" s="318"/>
      <c r="Q85" s="318"/>
      <c r="R85" s="318"/>
      <c r="S85" s="318"/>
      <c r="T85" s="318"/>
      <c r="U85" s="318"/>
      <c r="V85" s="318"/>
      <c r="W85" s="318"/>
      <c r="X85" s="318"/>
      <c r="Y85" s="318"/>
      <c r="Z85" s="318"/>
      <c r="AA85" s="318"/>
      <c r="AB85" s="318"/>
      <c r="AC85" s="318"/>
      <c r="AD85" s="318"/>
      <c r="AE85" s="318"/>
      <c r="AF85" s="318"/>
      <c r="AG85" s="318"/>
      <c r="AH85" s="318"/>
      <c r="AI85" s="318"/>
      <c r="AJ85" s="318"/>
      <c r="AK85" s="318"/>
      <c r="AL85" s="318"/>
      <c r="AM85" s="318"/>
      <c r="AN85" s="318"/>
      <c r="AO85" s="318"/>
      <c r="AP85" s="318"/>
      <c r="AQ85" s="318"/>
      <c r="AR85" s="318"/>
      <c r="AS85" s="318"/>
      <c r="AT85" s="318"/>
      <c r="AU85" s="318"/>
      <c r="AV85" s="318"/>
      <c r="AW85" s="318"/>
      <c r="AX85" s="318"/>
      <c r="AY85" s="318"/>
      <c r="AZ85" s="318"/>
      <c r="BA85" s="318"/>
      <c r="BB85" s="318"/>
      <c r="BC85" s="318"/>
      <c r="BD85" s="318"/>
      <c r="BE85" s="318"/>
      <c r="BF85" s="318"/>
      <c r="BG85" s="318"/>
      <c r="BH85" s="318"/>
      <c r="BI85" s="318"/>
      <c r="BJ85" s="318"/>
      <c r="BK85" s="318"/>
      <c r="BL85" s="318"/>
      <c r="BM85" s="318"/>
      <c r="BN85" s="318"/>
      <c r="BO85" s="318"/>
      <c r="BP85" s="318"/>
      <c r="BQ85" s="318"/>
      <c r="BR85" s="318"/>
    </row>
    <row r="86" spans="1:72" x14ac:dyDescent="0.25">
      <c r="B86" s="139" t="str">
        <f t="shared" si="39"/>
        <v>Post 18</v>
      </c>
      <c r="K86" s="318"/>
      <c r="L86" s="318"/>
      <c r="M86" s="318"/>
      <c r="N86" s="318"/>
      <c r="O86" s="318"/>
      <c r="P86" s="318"/>
      <c r="Q86" s="318"/>
      <c r="R86" s="318"/>
      <c r="S86" s="318"/>
      <c r="T86" s="318"/>
      <c r="U86" s="318"/>
      <c r="V86" s="318"/>
      <c r="W86" s="318"/>
      <c r="X86" s="318"/>
      <c r="Y86" s="318"/>
      <c r="Z86" s="318"/>
      <c r="AA86" s="318"/>
      <c r="AB86" s="318"/>
      <c r="AC86" s="318"/>
      <c r="AD86" s="318"/>
      <c r="AE86" s="318"/>
      <c r="AF86" s="318"/>
      <c r="AG86" s="318"/>
      <c r="AH86" s="318"/>
      <c r="AI86" s="318"/>
      <c r="AJ86" s="318"/>
      <c r="AK86" s="318"/>
      <c r="AL86" s="318"/>
      <c r="AM86" s="318"/>
      <c r="AN86" s="318"/>
      <c r="AO86" s="318"/>
      <c r="AP86" s="318"/>
      <c r="AQ86" s="318"/>
      <c r="AR86" s="318"/>
      <c r="AS86" s="318"/>
      <c r="AT86" s="318"/>
      <c r="AU86" s="318"/>
      <c r="AV86" s="318"/>
      <c r="AW86" s="318"/>
      <c r="AX86" s="318"/>
      <c r="AY86" s="318"/>
      <c r="AZ86" s="318"/>
      <c r="BA86" s="318"/>
      <c r="BB86" s="318"/>
      <c r="BC86" s="318"/>
      <c r="BD86" s="318"/>
      <c r="BE86" s="318"/>
      <c r="BF86" s="318"/>
      <c r="BG86" s="318"/>
      <c r="BH86" s="318"/>
      <c r="BI86" s="318"/>
      <c r="BJ86" s="318"/>
      <c r="BK86" s="318"/>
      <c r="BL86" s="318"/>
      <c r="BM86" s="318"/>
      <c r="BN86" s="318"/>
      <c r="BO86" s="318"/>
      <c r="BP86" s="318"/>
      <c r="BQ86" s="318"/>
      <c r="BR86" s="318"/>
    </row>
    <row r="87" spans="1:72" x14ac:dyDescent="0.25">
      <c r="B87" s="139" t="str">
        <f t="shared" si="39"/>
        <v>Post 19</v>
      </c>
      <c r="K87" s="318"/>
      <c r="L87" s="318"/>
      <c r="M87" s="318"/>
      <c r="N87" s="318"/>
      <c r="O87" s="318"/>
      <c r="P87" s="318"/>
      <c r="Q87" s="318"/>
      <c r="R87" s="318"/>
      <c r="S87" s="318"/>
      <c r="T87" s="318"/>
      <c r="U87" s="318"/>
      <c r="V87" s="318"/>
      <c r="W87" s="318"/>
      <c r="X87" s="318"/>
      <c r="Y87" s="318"/>
      <c r="Z87" s="318"/>
      <c r="AA87" s="318"/>
      <c r="AB87" s="318"/>
      <c r="AC87" s="318"/>
      <c r="AD87" s="318"/>
      <c r="AE87" s="318"/>
      <c r="AF87" s="318"/>
      <c r="AG87" s="318"/>
      <c r="AH87" s="318"/>
      <c r="AI87" s="318"/>
      <c r="AJ87" s="318"/>
      <c r="AK87" s="318"/>
      <c r="AL87" s="318"/>
      <c r="AM87" s="318"/>
      <c r="AN87" s="318"/>
      <c r="AO87" s="318"/>
      <c r="AP87" s="318"/>
      <c r="AQ87" s="318"/>
      <c r="AR87" s="318"/>
      <c r="AS87" s="318"/>
      <c r="AT87" s="318"/>
      <c r="AU87" s="318"/>
      <c r="AV87" s="318"/>
      <c r="AW87" s="318"/>
      <c r="AX87" s="318"/>
      <c r="AY87" s="318"/>
      <c r="AZ87" s="318"/>
      <c r="BA87" s="318"/>
      <c r="BB87" s="318"/>
      <c r="BC87" s="318"/>
      <c r="BD87" s="318"/>
      <c r="BE87" s="318"/>
      <c r="BF87" s="318"/>
      <c r="BG87" s="318"/>
      <c r="BH87" s="318"/>
      <c r="BI87" s="318"/>
      <c r="BJ87" s="318"/>
      <c r="BK87" s="318"/>
      <c r="BL87" s="318"/>
      <c r="BM87" s="318"/>
      <c r="BN87" s="318"/>
      <c r="BO87" s="318"/>
      <c r="BP87" s="318"/>
      <c r="BQ87" s="318"/>
      <c r="BR87" s="318"/>
    </row>
    <row r="88" spans="1:72" x14ac:dyDescent="0.25">
      <c r="B88" s="139" t="str">
        <f>B65</f>
        <v>Post 20</v>
      </c>
      <c r="K88" s="318"/>
      <c r="L88" s="318"/>
      <c r="M88" s="318"/>
      <c r="N88" s="318"/>
      <c r="O88" s="318"/>
      <c r="P88" s="318"/>
      <c r="Q88" s="318"/>
      <c r="R88" s="318"/>
      <c r="S88" s="318"/>
      <c r="T88" s="318"/>
      <c r="U88" s="318"/>
      <c r="V88" s="318"/>
      <c r="W88" s="318"/>
      <c r="X88" s="318"/>
      <c r="Y88" s="318"/>
      <c r="Z88" s="318"/>
      <c r="AA88" s="318"/>
      <c r="AB88" s="318"/>
      <c r="AC88" s="318"/>
      <c r="AD88" s="318"/>
      <c r="AE88" s="318"/>
      <c r="AF88" s="318"/>
      <c r="AG88" s="318"/>
      <c r="AH88" s="318"/>
      <c r="AI88" s="318"/>
      <c r="AJ88" s="318"/>
      <c r="AK88" s="318"/>
      <c r="AL88" s="318"/>
      <c r="AM88" s="318"/>
      <c r="AN88" s="318"/>
      <c r="AO88" s="318"/>
      <c r="AP88" s="318"/>
      <c r="AQ88" s="318"/>
      <c r="AR88" s="318"/>
      <c r="AS88" s="318"/>
      <c r="AT88" s="318"/>
      <c r="AU88" s="318"/>
      <c r="AV88" s="318"/>
      <c r="AW88" s="318"/>
      <c r="AX88" s="318"/>
      <c r="AY88" s="318"/>
      <c r="AZ88" s="318"/>
      <c r="BA88" s="318"/>
      <c r="BB88" s="318"/>
      <c r="BC88" s="318"/>
      <c r="BD88" s="318"/>
      <c r="BE88" s="318"/>
      <c r="BF88" s="318"/>
      <c r="BG88" s="318"/>
      <c r="BH88" s="318"/>
      <c r="BI88" s="318"/>
      <c r="BJ88" s="318"/>
      <c r="BK88" s="318"/>
      <c r="BL88" s="318"/>
      <c r="BM88" s="318"/>
      <c r="BN88" s="318"/>
      <c r="BO88" s="318"/>
      <c r="BP88" s="318"/>
      <c r="BQ88" s="318"/>
      <c r="BR88" s="318"/>
    </row>
    <row r="89" spans="1:72" s="157" customFormat="1" x14ac:dyDescent="0.25">
      <c r="B89" s="84" t="s">
        <v>43</v>
      </c>
      <c r="C89" s="84"/>
      <c r="D89" s="84"/>
      <c r="E89" s="84"/>
      <c r="F89" s="84"/>
      <c r="G89" s="84"/>
      <c r="H89" s="84"/>
      <c r="I89" s="84"/>
      <c r="J89" s="84"/>
      <c r="K89" s="319"/>
      <c r="L89" s="319"/>
      <c r="M89" s="319"/>
      <c r="N89" s="319"/>
      <c r="O89" s="319"/>
      <c r="P89" s="319"/>
      <c r="Q89" s="319"/>
      <c r="R89" s="319"/>
      <c r="S89" s="319"/>
      <c r="T89" s="319"/>
      <c r="U89" s="319"/>
      <c r="V89" s="319"/>
      <c r="W89" s="319"/>
      <c r="X89" s="319"/>
      <c r="Y89" s="319"/>
      <c r="Z89" s="319"/>
      <c r="AA89" s="319"/>
      <c r="AB89" s="319"/>
      <c r="AC89" s="319"/>
      <c r="AD89" s="319"/>
      <c r="AE89" s="319"/>
      <c r="AF89" s="319"/>
      <c r="AG89" s="319"/>
      <c r="AH89" s="319"/>
      <c r="AI89" s="319"/>
      <c r="AJ89" s="319"/>
      <c r="AK89" s="319"/>
      <c r="AL89" s="319"/>
      <c r="AM89" s="319"/>
      <c r="AN89" s="319"/>
      <c r="AO89" s="319"/>
      <c r="AP89" s="319"/>
      <c r="AQ89" s="319"/>
      <c r="AR89" s="319"/>
      <c r="AS89" s="319"/>
      <c r="AT89" s="319"/>
      <c r="AU89" s="319"/>
      <c r="AV89" s="319"/>
      <c r="AW89" s="319"/>
      <c r="AX89" s="319"/>
      <c r="AY89" s="319"/>
      <c r="AZ89" s="319"/>
      <c r="BA89" s="319"/>
      <c r="BB89" s="319"/>
      <c r="BC89" s="319"/>
      <c r="BD89" s="319"/>
      <c r="BE89" s="319"/>
      <c r="BF89" s="319"/>
      <c r="BG89" s="319"/>
      <c r="BH89" s="319"/>
      <c r="BI89" s="319"/>
      <c r="BJ89" s="319"/>
      <c r="BK89" s="319"/>
      <c r="BL89" s="319"/>
      <c r="BM89" s="319"/>
      <c r="BN89" s="319"/>
      <c r="BO89" s="319"/>
      <c r="BP89" s="319"/>
      <c r="BQ89" s="319"/>
      <c r="BR89" s="319"/>
      <c r="BT89" s="85"/>
    </row>
    <row r="91" spans="1:72" s="166" customFormat="1" ht="15.6" x14ac:dyDescent="0.3">
      <c r="A91" s="166">
        <f>Header1</f>
        <v>5</v>
      </c>
      <c r="B91" s="166" t="s">
        <v>12</v>
      </c>
    </row>
    <row r="92" spans="1:72" s="140" customFormat="1" x14ac:dyDescent="0.25">
      <c r="BT92" s="89"/>
    </row>
    <row r="93" spans="1:72" s="140" customFormat="1" x14ac:dyDescent="0.25">
      <c r="B93" s="61" t="str">
        <f>KeyInputs!C92</f>
        <v>NI Employers' contribution</v>
      </c>
      <c r="C93" s="61"/>
      <c r="D93" s="90">
        <f>KeyInputs!$F$92</f>
        <v>0.13800000000000001</v>
      </c>
      <c r="BT93" s="89"/>
    </row>
    <row r="94" spans="1:72" s="306" customFormat="1" x14ac:dyDescent="0.25">
      <c r="B94" s="61" t="s">
        <v>429</v>
      </c>
      <c r="C94" s="61"/>
      <c r="D94" s="90">
        <f>KeyInputs!$F$94</f>
        <v>0</v>
      </c>
      <c r="BT94" s="89"/>
    </row>
    <row r="95" spans="1:72" s="140" customFormat="1" x14ac:dyDescent="0.25">
      <c r="BT95" s="89"/>
    </row>
    <row r="96" spans="1:72" x14ac:dyDescent="0.25">
      <c r="B96" s="139" t="str">
        <f t="shared" ref="B96:B105" si="40">B69</f>
        <v>Post 1</v>
      </c>
      <c r="D96" s="161" t="str">
        <f t="shared" ref="D96:D116" si="41">unit</f>
        <v>£</v>
      </c>
      <c r="E96" s="64">
        <f>SUMIF($K$5:$BR$5,E$5,$K96:$BR96)</f>
        <v>0</v>
      </c>
      <c r="F96" s="64">
        <f t="shared" ref="F96:I96" si="42">SUMIF($K$5:$BR$5,F$5,$K96:$BR96)</f>
        <v>0</v>
      </c>
      <c r="G96" s="64">
        <f t="shared" si="42"/>
        <v>0</v>
      </c>
      <c r="H96" s="64">
        <f t="shared" si="42"/>
        <v>0</v>
      </c>
      <c r="I96" s="64">
        <f t="shared" si="42"/>
        <v>0</v>
      </c>
      <c r="K96" s="62">
        <f>K69*K46*(1+$D$93+$D$94)</f>
        <v>0</v>
      </c>
      <c r="L96" s="62">
        <f t="shared" ref="L96:BR96" si="43">L69*L46*(1+$D$93+$D$94)</f>
        <v>0</v>
      </c>
      <c r="M96" s="62">
        <f t="shared" si="43"/>
        <v>0</v>
      </c>
      <c r="N96" s="62">
        <f t="shared" si="43"/>
        <v>0</v>
      </c>
      <c r="O96" s="62">
        <f t="shared" si="43"/>
        <v>0</v>
      </c>
      <c r="P96" s="62">
        <f t="shared" si="43"/>
        <v>0</v>
      </c>
      <c r="Q96" s="62">
        <f t="shared" si="43"/>
        <v>0</v>
      </c>
      <c r="R96" s="62">
        <f t="shared" si="43"/>
        <v>0</v>
      </c>
      <c r="S96" s="62">
        <f t="shared" si="43"/>
        <v>0</v>
      </c>
      <c r="T96" s="62">
        <f t="shared" si="43"/>
        <v>0</v>
      </c>
      <c r="U96" s="62">
        <f t="shared" si="43"/>
        <v>0</v>
      </c>
      <c r="V96" s="62">
        <f t="shared" si="43"/>
        <v>0</v>
      </c>
      <c r="W96" s="62">
        <f t="shared" si="43"/>
        <v>0</v>
      </c>
      <c r="X96" s="62">
        <f t="shared" si="43"/>
        <v>0</v>
      </c>
      <c r="Y96" s="62">
        <f t="shared" si="43"/>
        <v>0</v>
      </c>
      <c r="Z96" s="62">
        <f t="shared" si="43"/>
        <v>0</v>
      </c>
      <c r="AA96" s="62">
        <f t="shared" si="43"/>
        <v>0</v>
      </c>
      <c r="AB96" s="62">
        <f t="shared" si="43"/>
        <v>0</v>
      </c>
      <c r="AC96" s="62">
        <f t="shared" si="43"/>
        <v>0</v>
      </c>
      <c r="AD96" s="62">
        <f t="shared" si="43"/>
        <v>0</v>
      </c>
      <c r="AE96" s="62">
        <f t="shared" si="43"/>
        <v>0</v>
      </c>
      <c r="AF96" s="62">
        <f t="shared" si="43"/>
        <v>0</v>
      </c>
      <c r="AG96" s="62">
        <f t="shared" si="43"/>
        <v>0</v>
      </c>
      <c r="AH96" s="62">
        <f t="shared" si="43"/>
        <v>0</v>
      </c>
      <c r="AI96" s="62">
        <f t="shared" si="43"/>
        <v>0</v>
      </c>
      <c r="AJ96" s="62">
        <f t="shared" si="43"/>
        <v>0</v>
      </c>
      <c r="AK96" s="62">
        <f t="shared" si="43"/>
        <v>0</v>
      </c>
      <c r="AL96" s="62">
        <f t="shared" si="43"/>
        <v>0</v>
      </c>
      <c r="AM96" s="62">
        <f t="shared" si="43"/>
        <v>0</v>
      </c>
      <c r="AN96" s="62">
        <f t="shared" si="43"/>
        <v>0</v>
      </c>
      <c r="AO96" s="62">
        <f t="shared" si="43"/>
        <v>0</v>
      </c>
      <c r="AP96" s="62">
        <f t="shared" si="43"/>
        <v>0</v>
      </c>
      <c r="AQ96" s="62">
        <f t="shared" si="43"/>
        <v>0</v>
      </c>
      <c r="AR96" s="62">
        <f t="shared" si="43"/>
        <v>0</v>
      </c>
      <c r="AS96" s="62">
        <f t="shared" si="43"/>
        <v>0</v>
      </c>
      <c r="AT96" s="62">
        <f t="shared" si="43"/>
        <v>0</v>
      </c>
      <c r="AU96" s="62">
        <f t="shared" si="43"/>
        <v>0</v>
      </c>
      <c r="AV96" s="62">
        <f t="shared" si="43"/>
        <v>0</v>
      </c>
      <c r="AW96" s="62">
        <f t="shared" si="43"/>
        <v>0</v>
      </c>
      <c r="AX96" s="62">
        <f t="shared" si="43"/>
        <v>0</v>
      </c>
      <c r="AY96" s="62">
        <f t="shared" si="43"/>
        <v>0</v>
      </c>
      <c r="AZ96" s="62">
        <f t="shared" si="43"/>
        <v>0</v>
      </c>
      <c r="BA96" s="62">
        <f t="shared" si="43"/>
        <v>0</v>
      </c>
      <c r="BB96" s="62">
        <f t="shared" si="43"/>
        <v>0</v>
      </c>
      <c r="BC96" s="62">
        <f t="shared" si="43"/>
        <v>0</v>
      </c>
      <c r="BD96" s="62">
        <f t="shared" si="43"/>
        <v>0</v>
      </c>
      <c r="BE96" s="62">
        <f t="shared" si="43"/>
        <v>0</v>
      </c>
      <c r="BF96" s="62">
        <f t="shared" si="43"/>
        <v>0</v>
      </c>
      <c r="BG96" s="62">
        <f t="shared" si="43"/>
        <v>0</v>
      </c>
      <c r="BH96" s="62">
        <f t="shared" si="43"/>
        <v>0</v>
      </c>
      <c r="BI96" s="62">
        <f t="shared" si="43"/>
        <v>0</v>
      </c>
      <c r="BJ96" s="62">
        <f t="shared" si="43"/>
        <v>0</v>
      </c>
      <c r="BK96" s="62">
        <f t="shared" si="43"/>
        <v>0</v>
      </c>
      <c r="BL96" s="62">
        <f t="shared" si="43"/>
        <v>0</v>
      </c>
      <c r="BM96" s="62">
        <f t="shared" si="43"/>
        <v>0</v>
      </c>
      <c r="BN96" s="62">
        <f t="shared" si="43"/>
        <v>0</v>
      </c>
      <c r="BO96" s="62">
        <f t="shared" si="43"/>
        <v>0</v>
      </c>
      <c r="BP96" s="62">
        <f t="shared" si="43"/>
        <v>0</v>
      </c>
      <c r="BQ96" s="62">
        <f t="shared" si="43"/>
        <v>0</v>
      </c>
      <c r="BR96" s="62">
        <f t="shared" si="43"/>
        <v>0</v>
      </c>
    </row>
    <row r="97" spans="2:70" x14ac:dyDescent="0.25">
      <c r="B97" s="139" t="str">
        <f t="shared" si="40"/>
        <v>Post 2</v>
      </c>
      <c r="D97" s="161" t="str">
        <f t="shared" si="41"/>
        <v>£</v>
      </c>
      <c r="E97" s="64">
        <f t="shared" ref="E97:I115" si="44">SUMIF($K$5:$BR$5,E$5,$K97:$BR97)</f>
        <v>0</v>
      </c>
      <c r="F97" s="64">
        <f t="shared" si="44"/>
        <v>0</v>
      </c>
      <c r="G97" s="64">
        <f t="shared" si="44"/>
        <v>0</v>
      </c>
      <c r="H97" s="64">
        <f t="shared" si="44"/>
        <v>0</v>
      </c>
      <c r="I97" s="64">
        <f t="shared" si="44"/>
        <v>0</v>
      </c>
      <c r="K97" s="62">
        <f t="shared" ref="K97:BR97" si="45">K70*K47*(1+$D$93+$D$94)</f>
        <v>0</v>
      </c>
      <c r="L97" s="62">
        <f t="shared" si="45"/>
        <v>0</v>
      </c>
      <c r="M97" s="62">
        <f t="shared" si="45"/>
        <v>0</v>
      </c>
      <c r="N97" s="62">
        <f t="shared" si="45"/>
        <v>0</v>
      </c>
      <c r="O97" s="62">
        <f t="shared" si="45"/>
        <v>0</v>
      </c>
      <c r="P97" s="62">
        <f t="shared" si="45"/>
        <v>0</v>
      </c>
      <c r="Q97" s="62">
        <f t="shared" si="45"/>
        <v>0</v>
      </c>
      <c r="R97" s="62">
        <f t="shared" si="45"/>
        <v>0</v>
      </c>
      <c r="S97" s="62">
        <f t="shared" si="45"/>
        <v>0</v>
      </c>
      <c r="T97" s="62">
        <f t="shared" si="45"/>
        <v>0</v>
      </c>
      <c r="U97" s="62">
        <f t="shared" si="45"/>
        <v>0</v>
      </c>
      <c r="V97" s="62">
        <f t="shared" si="45"/>
        <v>0</v>
      </c>
      <c r="W97" s="62">
        <f t="shared" si="45"/>
        <v>0</v>
      </c>
      <c r="X97" s="62">
        <f t="shared" si="45"/>
        <v>0</v>
      </c>
      <c r="Y97" s="62">
        <f t="shared" si="45"/>
        <v>0</v>
      </c>
      <c r="Z97" s="62">
        <f t="shared" si="45"/>
        <v>0</v>
      </c>
      <c r="AA97" s="62">
        <f t="shared" si="45"/>
        <v>0</v>
      </c>
      <c r="AB97" s="62">
        <f t="shared" si="45"/>
        <v>0</v>
      </c>
      <c r="AC97" s="62">
        <f t="shared" si="45"/>
        <v>0</v>
      </c>
      <c r="AD97" s="62">
        <f t="shared" si="45"/>
        <v>0</v>
      </c>
      <c r="AE97" s="62">
        <f t="shared" si="45"/>
        <v>0</v>
      </c>
      <c r="AF97" s="62">
        <f t="shared" si="45"/>
        <v>0</v>
      </c>
      <c r="AG97" s="62">
        <f t="shared" si="45"/>
        <v>0</v>
      </c>
      <c r="AH97" s="62">
        <f t="shared" si="45"/>
        <v>0</v>
      </c>
      <c r="AI97" s="62">
        <f t="shared" si="45"/>
        <v>0</v>
      </c>
      <c r="AJ97" s="62">
        <f t="shared" si="45"/>
        <v>0</v>
      </c>
      <c r="AK97" s="62">
        <f t="shared" si="45"/>
        <v>0</v>
      </c>
      <c r="AL97" s="62">
        <f t="shared" si="45"/>
        <v>0</v>
      </c>
      <c r="AM97" s="62">
        <f t="shared" si="45"/>
        <v>0</v>
      </c>
      <c r="AN97" s="62">
        <f t="shared" si="45"/>
        <v>0</v>
      </c>
      <c r="AO97" s="62">
        <f t="shared" si="45"/>
        <v>0</v>
      </c>
      <c r="AP97" s="62">
        <f t="shared" si="45"/>
        <v>0</v>
      </c>
      <c r="AQ97" s="62">
        <f t="shared" si="45"/>
        <v>0</v>
      </c>
      <c r="AR97" s="62">
        <f t="shared" si="45"/>
        <v>0</v>
      </c>
      <c r="AS97" s="62">
        <f t="shared" si="45"/>
        <v>0</v>
      </c>
      <c r="AT97" s="62">
        <f t="shared" si="45"/>
        <v>0</v>
      </c>
      <c r="AU97" s="62">
        <f t="shared" si="45"/>
        <v>0</v>
      </c>
      <c r="AV97" s="62">
        <f t="shared" si="45"/>
        <v>0</v>
      </c>
      <c r="AW97" s="62">
        <f t="shared" si="45"/>
        <v>0</v>
      </c>
      <c r="AX97" s="62">
        <f t="shared" si="45"/>
        <v>0</v>
      </c>
      <c r="AY97" s="62">
        <f t="shared" si="45"/>
        <v>0</v>
      </c>
      <c r="AZ97" s="62">
        <f t="shared" si="45"/>
        <v>0</v>
      </c>
      <c r="BA97" s="62">
        <f t="shared" si="45"/>
        <v>0</v>
      </c>
      <c r="BB97" s="62">
        <f t="shared" si="45"/>
        <v>0</v>
      </c>
      <c r="BC97" s="62">
        <f t="shared" si="45"/>
        <v>0</v>
      </c>
      <c r="BD97" s="62">
        <f t="shared" si="45"/>
        <v>0</v>
      </c>
      <c r="BE97" s="62">
        <f t="shared" si="45"/>
        <v>0</v>
      </c>
      <c r="BF97" s="62">
        <f t="shared" si="45"/>
        <v>0</v>
      </c>
      <c r="BG97" s="62">
        <f t="shared" si="45"/>
        <v>0</v>
      </c>
      <c r="BH97" s="62">
        <f t="shared" si="45"/>
        <v>0</v>
      </c>
      <c r="BI97" s="62">
        <f t="shared" si="45"/>
        <v>0</v>
      </c>
      <c r="BJ97" s="62">
        <f t="shared" si="45"/>
        <v>0</v>
      </c>
      <c r="BK97" s="62">
        <f t="shared" si="45"/>
        <v>0</v>
      </c>
      <c r="BL97" s="62">
        <f t="shared" si="45"/>
        <v>0</v>
      </c>
      <c r="BM97" s="62">
        <f t="shared" si="45"/>
        <v>0</v>
      </c>
      <c r="BN97" s="62">
        <f t="shared" si="45"/>
        <v>0</v>
      </c>
      <c r="BO97" s="62">
        <f t="shared" si="45"/>
        <v>0</v>
      </c>
      <c r="BP97" s="62">
        <f t="shared" si="45"/>
        <v>0</v>
      </c>
      <c r="BQ97" s="62">
        <f t="shared" si="45"/>
        <v>0</v>
      </c>
      <c r="BR97" s="62">
        <f t="shared" si="45"/>
        <v>0</v>
      </c>
    </row>
    <row r="98" spans="2:70" x14ac:dyDescent="0.25">
      <c r="B98" s="139" t="str">
        <f t="shared" si="40"/>
        <v>Post 3</v>
      </c>
      <c r="D98" s="161" t="str">
        <f t="shared" si="41"/>
        <v>£</v>
      </c>
      <c r="E98" s="64">
        <f t="shared" si="44"/>
        <v>0</v>
      </c>
      <c r="F98" s="64">
        <f t="shared" si="44"/>
        <v>0</v>
      </c>
      <c r="G98" s="64">
        <f t="shared" si="44"/>
        <v>0</v>
      </c>
      <c r="H98" s="64">
        <f t="shared" si="44"/>
        <v>0</v>
      </c>
      <c r="I98" s="64">
        <f t="shared" si="44"/>
        <v>0</v>
      </c>
      <c r="K98" s="62">
        <f t="shared" ref="K98:BR98" si="46">K71*K48*(1+$D$93+$D$94)</f>
        <v>0</v>
      </c>
      <c r="L98" s="62">
        <f t="shared" si="46"/>
        <v>0</v>
      </c>
      <c r="M98" s="62">
        <f t="shared" si="46"/>
        <v>0</v>
      </c>
      <c r="N98" s="62">
        <f t="shared" si="46"/>
        <v>0</v>
      </c>
      <c r="O98" s="62">
        <f t="shared" si="46"/>
        <v>0</v>
      </c>
      <c r="P98" s="62">
        <f t="shared" si="46"/>
        <v>0</v>
      </c>
      <c r="Q98" s="62">
        <f t="shared" si="46"/>
        <v>0</v>
      </c>
      <c r="R98" s="62">
        <f t="shared" si="46"/>
        <v>0</v>
      </c>
      <c r="S98" s="62">
        <f t="shared" si="46"/>
        <v>0</v>
      </c>
      <c r="T98" s="62">
        <f t="shared" si="46"/>
        <v>0</v>
      </c>
      <c r="U98" s="62">
        <f t="shared" si="46"/>
        <v>0</v>
      </c>
      <c r="V98" s="62">
        <f t="shared" si="46"/>
        <v>0</v>
      </c>
      <c r="W98" s="62">
        <f t="shared" si="46"/>
        <v>0</v>
      </c>
      <c r="X98" s="62">
        <f t="shared" si="46"/>
        <v>0</v>
      </c>
      <c r="Y98" s="62">
        <f t="shared" si="46"/>
        <v>0</v>
      </c>
      <c r="Z98" s="62">
        <f t="shared" si="46"/>
        <v>0</v>
      </c>
      <c r="AA98" s="62">
        <f t="shared" si="46"/>
        <v>0</v>
      </c>
      <c r="AB98" s="62">
        <f t="shared" si="46"/>
        <v>0</v>
      </c>
      <c r="AC98" s="62">
        <f t="shared" si="46"/>
        <v>0</v>
      </c>
      <c r="AD98" s="62">
        <f t="shared" si="46"/>
        <v>0</v>
      </c>
      <c r="AE98" s="62">
        <f t="shared" si="46"/>
        <v>0</v>
      </c>
      <c r="AF98" s="62">
        <f t="shared" si="46"/>
        <v>0</v>
      </c>
      <c r="AG98" s="62">
        <f t="shared" si="46"/>
        <v>0</v>
      </c>
      <c r="AH98" s="62">
        <f t="shared" si="46"/>
        <v>0</v>
      </c>
      <c r="AI98" s="62">
        <f t="shared" si="46"/>
        <v>0</v>
      </c>
      <c r="AJ98" s="62">
        <f t="shared" si="46"/>
        <v>0</v>
      </c>
      <c r="AK98" s="62">
        <f t="shared" si="46"/>
        <v>0</v>
      </c>
      <c r="AL98" s="62">
        <f t="shared" si="46"/>
        <v>0</v>
      </c>
      <c r="AM98" s="62">
        <f t="shared" si="46"/>
        <v>0</v>
      </c>
      <c r="AN98" s="62">
        <f t="shared" si="46"/>
        <v>0</v>
      </c>
      <c r="AO98" s="62">
        <f t="shared" si="46"/>
        <v>0</v>
      </c>
      <c r="AP98" s="62">
        <f t="shared" si="46"/>
        <v>0</v>
      </c>
      <c r="AQ98" s="62">
        <f t="shared" si="46"/>
        <v>0</v>
      </c>
      <c r="AR98" s="62">
        <f t="shared" si="46"/>
        <v>0</v>
      </c>
      <c r="AS98" s="62">
        <f t="shared" si="46"/>
        <v>0</v>
      </c>
      <c r="AT98" s="62">
        <f t="shared" si="46"/>
        <v>0</v>
      </c>
      <c r="AU98" s="62">
        <f t="shared" si="46"/>
        <v>0</v>
      </c>
      <c r="AV98" s="62">
        <f t="shared" si="46"/>
        <v>0</v>
      </c>
      <c r="AW98" s="62">
        <f t="shared" si="46"/>
        <v>0</v>
      </c>
      <c r="AX98" s="62">
        <f t="shared" si="46"/>
        <v>0</v>
      </c>
      <c r="AY98" s="62">
        <f t="shared" si="46"/>
        <v>0</v>
      </c>
      <c r="AZ98" s="62">
        <f t="shared" si="46"/>
        <v>0</v>
      </c>
      <c r="BA98" s="62">
        <f t="shared" si="46"/>
        <v>0</v>
      </c>
      <c r="BB98" s="62">
        <f t="shared" si="46"/>
        <v>0</v>
      </c>
      <c r="BC98" s="62">
        <f t="shared" si="46"/>
        <v>0</v>
      </c>
      <c r="BD98" s="62">
        <f t="shared" si="46"/>
        <v>0</v>
      </c>
      <c r="BE98" s="62">
        <f t="shared" si="46"/>
        <v>0</v>
      </c>
      <c r="BF98" s="62">
        <f t="shared" si="46"/>
        <v>0</v>
      </c>
      <c r="BG98" s="62">
        <f t="shared" si="46"/>
        <v>0</v>
      </c>
      <c r="BH98" s="62">
        <f t="shared" si="46"/>
        <v>0</v>
      </c>
      <c r="BI98" s="62">
        <f t="shared" si="46"/>
        <v>0</v>
      </c>
      <c r="BJ98" s="62">
        <f t="shared" si="46"/>
        <v>0</v>
      </c>
      <c r="BK98" s="62">
        <f t="shared" si="46"/>
        <v>0</v>
      </c>
      <c r="BL98" s="62">
        <f t="shared" si="46"/>
        <v>0</v>
      </c>
      <c r="BM98" s="62">
        <f t="shared" si="46"/>
        <v>0</v>
      </c>
      <c r="BN98" s="62">
        <f t="shared" si="46"/>
        <v>0</v>
      </c>
      <c r="BO98" s="62">
        <f t="shared" si="46"/>
        <v>0</v>
      </c>
      <c r="BP98" s="62">
        <f t="shared" si="46"/>
        <v>0</v>
      </c>
      <c r="BQ98" s="62">
        <f t="shared" si="46"/>
        <v>0</v>
      </c>
      <c r="BR98" s="62">
        <f t="shared" si="46"/>
        <v>0</v>
      </c>
    </row>
    <row r="99" spans="2:70" x14ac:dyDescent="0.25">
      <c r="B99" s="139" t="str">
        <f t="shared" si="40"/>
        <v>Post 4</v>
      </c>
      <c r="D99" s="161" t="str">
        <f t="shared" si="41"/>
        <v>£</v>
      </c>
      <c r="E99" s="64">
        <f t="shared" si="44"/>
        <v>0</v>
      </c>
      <c r="F99" s="64">
        <f t="shared" si="44"/>
        <v>0</v>
      </c>
      <c r="G99" s="64">
        <f t="shared" si="44"/>
        <v>0</v>
      </c>
      <c r="H99" s="64">
        <f t="shared" si="44"/>
        <v>0</v>
      </c>
      <c r="I99" s="64">
        <f t="shared" si="44"/>
        <v>0</v>
      </c>
      <c r="K99" s="62">
        <f t="shared" ref="K99:BR99" si="47">K72*K49*(1+$D$93+$D$94)</f>
        <v>0</v>
      </c>
      <c r="L99" s="62">
        <f t="shared" si="47"/>
        <v>0</v>
      </c>
      <c r="M99" s="62">
        <f t="shared" si="47"/>
        <v>0</v>
      </c>
      <c r="N99" s="62">
        <f t="shared" si="47"/>
        <v>0</v>
      </c>
      <c r="O99" s="62">
        <f t="shared" si="47"/>
        <v>0</v>
      </c>
      <c r="P99" s="62">
        <f t="shared" si="47"/>
        <v>0</v>
      </c>
      <c r="Q99" s="62">
        <f t="shared" si="47"/>
        <v>0</v>
      </c>
      <c r="R99" s="62">
        <f t="shared" si="47"/>
        <v>0</v>
      </c>
      <c r="S99" s="62">
        <f t="shared" si="47"/>
        <v>0</v>
      </c>
      <c r="T99" s="62">
        <f t="shared" si="47"/>
        <v>0</v>
      </c>
      <c r="U99" s="62">
        <f t="shared" si="47"/>
        <v>0</v>
      </c>
      <c r="V99" s="62">
        <f t="shared" si="47"/>
        <v>0</v>
      </c>
      <c r="W99" s="62">
        <f t="shared" si="47"/>
        <v>0</v>
      </c>
      <c r="X99" s="62">
        <f t="shared" si="47"/>
        <v>0</v>
      </c>
      <c r="Y99" s="62">
        <f t="shared" si="47"/>
        <v>0</v>
      </c>
      <c r="Z99" s="62">
        <f t="shared" si="47"/>
        <v>0</v>
      </c>
      <c r="AA99" s="62">
        <f t="shared" si="47"/>
        <v>0</v>
      </c>
      <c r="AB99" s="62">
        <f t="shared" si="47"/>
        <v>0</v>
      </c>
      <c r="AC99" s="62">
        <f t="shared" si="47"/>
        <v>0</v>
      </c>
      <c r="AD99" s="62">
        <f t="shared" si="47"/>
        <v>0</v>
      </c>
      <c r="AE99" s="62">
        <f t="shared" si="47"/>
        <v>0</v>
      </c>
      <c r="AF99" s="62">
        <f t="shared" si="47"/>
        <v>0</v>
      </c>
      <c r="AG99" s="62">
        <f t="shared" si="47"/>
        <v>0</v>
      </c>
      <c r="AH99" s="62">
        <f t="shared" si="47"/>
        <v>0</v>
      </c>
      <c r="AI99" s="62">
        <f t="shared" si="47"/>
        <v>0</v>
      </c>
      <c r="AJ99" s="62">
        <f t="shared" si="47"/>
        <v>0</v>
      </c>
      <c r="AK99" s="62">
        <f t="shared" si="47"/>
        <v>0</v>
      </c>
      <c r="AL99" s="62">
        <f t="shared" si="47"/>
        <v>0</v>
      </c>
      <c r="AM99" s="62">
        <f t="shared" si="47"/>
        <v>0</v>
      </c>
      <c r="AN99" s="62">
        <f t="shared" si="47"/>
        <v>0</v>
      </c>
      <c r="AO99" s="62">
        <f t="shared" si="47"/>
        <v>0</v>
      </c>
      <c r="AP99" s="62">
        <f t="shared" si="47"/>
        <v>0</v>
      </c>
      <c r="AQ99" s="62">
        <f t="shared" si="47"/>
        <v>0</v>
      </c>
      <c r="AR99" s="62">
        <f t="shared" si="47"/>
        <v>0</v>
      </c>
      <c r="AS99" s="62">
        <f t="shared" si="47"/>
        <v>0</v>
      </c>
      <c r="AT99" s="62">
        <f t="shared" si="47"/>
        <v>0</v>
      </c>
      <c r="AU99" s="62">
        <f t="shared" si="47"/>
        <v>0</v>
      </c>
      <c r="AV99" s="62">
        <f t="shared" si="47"/>
        <v>0</v>
      </c>
      <c r="AW99" s="62">
        <f t="shared" si="47"/>
        <v>0</v>
      </c>
      <c r="AX99" s="62">
        <f t="shared" si="47"/>
        <v>0</v>
      </c>
      <c r="AY99" s="62">
        <f t="shared" si="47"/>
        <v>0</v>
      </c>
      <c r="AZ99" s="62">
        <f t="shared" si="47"/>
        <v>0</v>
      </c>
      <c r="BA99" s="62">
        <f t="shared" si="47"/>
        <v>0</v>
      </c>
      <c r="BB99" s="62">
        <f t="shared" si="47"/>
        <v>0</v>
      </c>
      <c r="BC99" s="62">
        <f t="shared" si="47"/>
        <v>0</v>
      </c>
      <c r="BD99" s="62">
        <f t="shared" si="47"/>
        <v>0</v>
      </c>
      <c r="BE99" s="62">
        <f t="shared" si="47"/>
        <v>0</v>
      </c>
      <c r="BF99" s="62">
        <f t="shared" si="47"/>
        <v>0</v>
      </c>
      <c r="BG99" s="62">
        <f t="shared" si="47"/>
        <v>0</v>
      </c>
      <c r="BH99" s="62">
        <f t="shared" si="47"/>
        <v>0</v>
      </c>
      <c r="BI99" s="62">
        <f t="shared" si="47"/>
        <v>0</v>
      </c>
      <c r="BJ99" s="62">
        <f t="shared" si="47"/>
        <v>0</v>
      </c>
      <c r="BK99" s="62">
        <f t="shared" si="47"/>
        <v>0</v>
      </c>
      <c r="BL99" s="62">
        <f t="shared" si="47"/>
        <v>0</v>
      </c>
      <c r="BM99" s="62">
        <f t="shared" si="47"/>
        <v>0</v>
      </c>
      <c r="BN99" s="62">
        <f t="shared" si="47"/>
        <v>0</v>
      </c>
      <c r="BO99" s="62">
        <f t="shared" si="47"/>
        <v>0</v>
      </c>
      <c r="BP99" s="62">
        <f t="shared" si="47"/>
        <v>0</v>
      </c>
      <c r="BQ99" s="62">
        <f t="shared" si="47"/>
        <v>0</v>
      </c>
      <c r="BR99" s="62">
        <f t="shared" si="47"/>
        <v>0</v>
      </c>
    </row>
    <row r="100" spans="2:70" x14ac:dyDescent="0.25">
      <c r="B100" s="139" t="str">
        <f t="shared" si="40"/>
        <v>Post 5</v>
      </c>
      <c r="D100" s="161" t="str">
        <f t="shared" si="41"/>
        <v>£</v>
      </c>
      <c r="E100" s="64">
        <f t="shared" si="44"/>
        <v>0</v>
      </c>
      <c r="F100" s="64">
        <f t="shared" si="44"/>
        <v>0</v>
      </c>
      <c r="G100" s="64">
        <f t="shared" si="44"/>
        <v>0</v>
      </c>
      <c r="H100" s="64">
        <f t="shared" si="44"/>
        <v>0</v>
      </c>
      <c r="I100" s="64">
        <f t="shared" si="44"/>
        <v>0</v>
      </c>
      <c r="K100" s="62">
        <f t="shared" ref="K100:BR100" si="48">K73*K50*(1+$D$93+$D$94)</f>
        <v>0</v>
      </c>
      <c r="L100" s="62">
        <f t="shared" si="48"/>
        <v>0</v>
      </c>
      <c r="M100" s="62">
        <f t="shared" si="48"/>
        <v>0</v>
      </c>
      <c r="N100" s="62">
        <f t="shared" si="48"/>
        <v>0</v>
      </c>
      <c r="O100" s="62">
        <f t="shared" si="48"/>
        <v>0</v>
      </c>
      <c r="P100" s="62">
        <f t="shared" si="48"/>
        <v>0</v>
      </c>
      <c r="Q100" s="62">
        <f t="shared" si="48"/>
        <v>0</v>
      </c>
      <c r="R100" s="62">
        <f t="shared" si="48"/>
        <v>0</v>
      </c>
      <c r="S100" s="62">
        <f t="shared" si="48"/>
        <v>0</v>
      </c>
      <c r="T100" s="62">
        <f t="shared" si="48"/>
        <v>0</v>
      </c>
      <c r="U100" s="62">
        <f t="shared" si="48"/>
        <v>0</v>
      </c>
      <c r="V100" s="62">
        <f t="shared" si="48"/>
        <v>0</v>
      </c>
      <c r="W100" s="62">
        <f t="shared" si="48"/>
        <v>0</v>
      </c>
      <c r="X100" s="62">
        <f t="shared" si="48"/>
        <v>0</v>
      </c>
      <c r="Y100" s="62">
        <f t="shared" si="48"/>
        <v>0</v>
      </c>
      <c r="Z100" s="62">
        <f t="shared" si="48"/>
        <v>0</v>
      </c>
      <c r="AA100" s="62">
        <f t="shared" si="48"/>
        <v>0</v>
      </c>
      <c r="AB100" s="62">
        <f t="shared" si="48"/>
        <v>0</v>
      </c>
      <c r="AC100" s="62">
        <f t="shared" si="48"/>
        <v>0</v>
      </c>
      <c r="AD100" s="62">
        <f t="shared" si="48"/>
        <v>0</v>
      </c>
      <c r="AE100" s="62">
        <f t="shared" si="48"/>
        <v>0</v>
      </c>
      <c r="AF100" s="62">
        <f t="shared" si="48"/>
        <v>0</v>
      </c>
      <c r="AG100" s="62">
        <f t="shared" si="48"/>
        <v>0</v>
      </c>
      <c r="AH100" s="62">
        <f t="shared" si="48"/>
        <v>0</v>
      </c>
      <c r="AI100" s="62">
        <f t="shared" si="48"/>
        <v>0</v>
      </c>
      <c r="AJ100" s="62">
        <f t="shared" si="48"/>
        <v>0</v>
      </c>
      <c r="AK100" s="62">
        <f t="shared" si="48"/>
        <v>0</v>
      </c>
      <c r="AL100" s="62">
        <f t="shared" si="48"/>
        <v>0</v>
      </c>
      <c r="AM100" s="62">
        <f t="shared" si="48"/>
        <v>0</v>
      </c>
      <c r="AN100" s="62">
        <f t="shared" si="48"/>
        <v>0</v>
      </c>
      <c r="AO100" s="62">
        <f t="shared" si="48"/>
        <v>0</v>
      </c>
      <c r="AP100" s="62">
        <f t="shared" si="48"/>
        <v>0</v>
      </c>
      <c r="AQ100" s="62">
        <f t="shared" si="48"/>
        <v>0</v>
      </c>
      <c r="AR100" s="62">
        <f t="shared" si="48"/>
        <v>0</v>
      </c>
      <c r="AS100" s="62">
        <f t="shared" si="48"/>
        <v>0</v>
      </c>
      <c r="AT100" s="62">
        <f t="shared" si="48"/>
        <v>0</v>
      </c>
      <c r="AU100" s="62">
        <f t="shared" si="48"/>
        <v>0</v>
      </c>
      <c r="AV100" s="62">
        <f t="shared" si="48"/>
        <v>0</v>
      </c>
      <c r="AW100" s="62">
        <f t="shared" si="48"/>
        <v>0</v>
      </c>
      <c r="AX100" s="62">
        <f t="shared" si="48"/>
        <v>0</v>
      </c>
      <c r="AY100" s="62">
        <f t="shared" si="48"/>
        <v>0</v>
      </c>
      <c r="AZ100" s="62">
        <f t="shared" si="48"/>
        <v>0</v>
      </c>
      <c r="BA100" s="62">
        <f t="shared" si="48"/>
        <v>0</v>
      </c>
      <c r="BB100" s="62">
        <f t="shared" si="48"/>
        <v>0</v>
      </c>
      <c r="BC100" s="62">
        <f t="shared" si="48"/>
        <v>0</v>
      </c>
      <c r="BD100" s="62">
        <f t="shared" si="48"/>
        <v>0</v>
      </c>
      <c r="BE100" s="62">
        <f t="shared" si="48"/>
        <v>0</v>
      </c>
      <c r="BF100" s="62">
        <f t="shared" si="48"/>
        <v>0</v>
      </c>
      <c r="BG100" s="62">
        <f t="shared" si="48"/>
        <v>0</v>
      </c>
      <c r="BH100" s="62">
        <f t="shared" si="48"/>
        <v>0</v>
      </c>
      <c r="BI100" s="62">
        <f t="shared" si="48"/>
        <v>0</v>
      </c>
      <c r="BJ100" s="62">
        <f t="shared" si="48"/>
        <v>0</v>
      </c>
      <c r="BK100" s="62">
        <f t="shared" si="48"/>
        <v>0</v>
      </c>
      <c r="BL100" s="62">
        <f t="shared" si="48"/>
        <v>0</v>
      </c>
      <c r="BM100" s="62">
        <f t="shared" si="48"/>
        <v>0</v>
      </c>
      <c r="BN100" s="62">
        <f t="shared" si="48"/>
        <v>0</v>
      </c>
      <c r="BO100" s="62">
        <f t="shared" si="48"/>
        <v>0</v>
      </c>
      <c r="BP100" s="62">
        <f t="shared" si="48"/>
        <v>0</v>
      </c>
      <c r="BQ100" s="62">
        <f t="shared" si="48"/>
        <v>0</v>
      </c>
      <c r="BR100" s="62">
        <f t="shared" si="48"/>
        <v>0</v>
      </c>
    </row>
    <row r="101" spans="2:70" x14ac:dyDescent="0.25">
      <c r="B101" s="139" t="str">
        <f t="shared" si="40"/>
        <v>Post 6</v>
      </c>
      <c r="D101" s="161" t="str">
        <f t="shared" si="41"/>
        <v>£</v>
      </c>
      <c r="E101" s="64">
        <f t="shared" si="44"/>
        <v>0</v>
      </c>
      <c r="F101" s="64">
        <f t="shared" si="44"/>
        <v>0</v>
      </c>
      <c r="G101" s="64">
        <f t="shared" si="44"/>
        <v>0</v>
      </c>
      <c r="H101" s="64">
        <f t="shared" si="44"/>
        <v>0</v>
      </c>
      <c r="I101" s="64">
        <f t="shared" si="44"/>
        <v>0</v>
      </c>
      <c r="K101" s="62">
        <f t="shared" ref="K101:BR101" si="49">K74*K51*(1+$D$93+$D$94)</f>
        <v>0</v>
      </c>
      <c r="L101" s="62">
        <f t="shared" si="49"/>
        <v>0</v>
      </c>
      <c r="M101" s="62">
        <f t="shared" si="49"/>
        <v>0</v>
      </c>
      <c r="N101" s="62">
        <f t="shared" si="49"/>
        <v>0</v>
      </c>
      <c r="O101" s="62">
        <f t="shared" si="49"/>
        <v>0</v>
      </c>
      <c r="P101" s="62">
        <f t="shared" si="49"/>
        <v>0</v>
      </c>
      <c r="Q101" s="62">
        <f t="shared" si="49"/>
        <v>0</v>
      </c>
      <c r="R101" s="62">
        <f t="shared" si="49"/>
        <v>0</v>
      </c>
      <c r="S101" s="62">
        <f t="shared" si="49"/>
        <v>0</v>
      </c>
      <c r="T101" s="62">
        <f t="shared" si="49"/>
        <v>0</v>
      </c>
      <c r="U101" s="62">
        <f t="shared" si="49"/>
        <v>0</v>
      </c>
      <c r="V101" s="62">
        <f t="shared" si="49"/>
        <v>0</v>
      </c>
      <c r="W101" s="62">
        <f t="shared" si="49"/>
        <v>0</v>
      </c>
      <c r="X101" s="62">
        <f t="shared" si="49"/>
        <v>0</v>
      </c>
      <c r="Y101" s="62">
        <f t="shared" si="49"/>
        <v>0</v>
      </c>
      <c r="Z101" s="62">
        <f t="shared" si="49"/>
        <v>0</v>
      </c>
      <c r="AA101" s="62">
        <f t="shared" si="49"/>
        <v>0</v>
      </c>
      <c r="AB101" s="62">
        <f t="shared" si="49"/>
        <v>0</v>
      </c>
      <c r="AC101" s="62">
        <f t="shared" si="49"/>
        <v>0</v>
      </c>
      <c r="AD101" s="62">
        <f t="shared" si="49"/>
        <v>0</v>
      </c>
      <c r="AE101" s="62">
        <f t="shared" si="49"/>
        <v>0</v>
      </c>
      <c r="AF101" s="62">
        <f t="shared" si="49"/>
        <v>0</v>
      </c>
      <c r="AG101" s="62">
        <f t="shared" si="49"/>
        <v>0</v>
      </c>
      <c r="AH101" s="62">
        <f t="shared" si="49"/>
        <v>0</v>
      </c>
      <c r="AI101" s="62">
        <f t="shared" si="49"/>
        <v>0</v>
      </c>
      <c r="AJ101" s="62">
        <f t="shared" si="49"/>
        <v>0</v>
      </c>
      <c r="AK101" s="62">
        <f t="shared" si="49"/>
        <v>0</v>
      </c>
      <c r="AL101" s="62">
        <f t="shared" si="49"/>
        <v>0</v>
      </c>
      <c r="AM101" s="62">
        <f t="shared" si="49"/>
        <v>0</v>
      </c>
      <c r="AN101" s="62">
        <f t="shared" si="49"/>
        <v>0</v>
      </c>
      <c r="AO101" s="62">
        <f t="shared" si="49"/>
        <v>0</v>
      </c>
      <c r="AP101" s="62">
        <f t="shared" si="49"/>
        <v>0</v>
      </c>
      <c r="AQ101" s="62">
        <f t="shared" si="49"/>
        <v>0</v>
      </c>
      <c r="AR101" s="62">
        <f t="shared" si="49"/>
        <v>0</v>
      </c>
      <c r="AS101" s="62">
        <f t="shared" si="49"/>
        <v>0</v>
      </c>
      <c r="AT101" s="62">
        <f t="shared" si="49"/>
        <v>0</v>
      </c>
      <c r="AU101" s="62">
        <f t="shared" si="49"/>
        <v>0</v>
      </c>
      <c r="AV101" s="62">
        <f t="shared" si="49"/>
        <v>0</v>
      </c>
      <c r="AW101" s="62">
        <f t="shared" si="49"/>
        <v>0</v>
      </c>
      <c r="AX101" s="62">
        <f t="shared" si="49"/>
        <v>0</v>
      </c>
      <c r="AY101" s="62">
        <f t="shared" si="49"/>
        <v>0</v>
      </c>
      <c r="AZ101" s="62">
        <f t="shared" si="49"/>
        <v>0</v>
      </c>
      <c r="BA101" s="62">
        <f t="shared" si="49"/>
        <v>0</v>
      </c>
      <c r="BB101" s="62">
        <f t="shared" si="49"/>
        <v>0</v>
      </c>
      <c r="BC101" s="62">
        <f t="shared" si="49"/>
        <v>0</v>
      </c>
      <c r="BD101" s="62">
        <f t="shared" si="49"/>
        <v>0</v>
      </c>
      <c r="BE101" s="62">
        <f t="shared" si="49"/>
        <v>0</v>
      </c>
      <c r="BF101" s="62">
        <f t="shared" si="49"/>
        <v>0</v>
      </c>
      <c r="BG101" s="62">
        <f t="shared" si="49"/>
        <v>0</v>
      </c>
      <c r="BH101" s="62">
        <f t="shared" si="49"/>
        <v>0</v>
      </c>
      <c r="BI101" s="62">
        <f t="shared" si="49"/>
        <v>0</v>
      </c>
      <c r="BJ101" s="62">
        <f t="shared" si="49"/>
        <v>0</v>
      </c>
      <c r="BK101" s="62">
        <f t="shared" si="49"/>
        <v>0</v>
      </c>
      <c r="BL101" s="62">
        <f t="shared" si="49"/>
        <v>0</v>
      </c>
      <c r="BM101" s="62">
        <f t="shared" si="49"/>
        <v>0</v>
      </c>
      <c r="BN101" s="62">
        <f t="shared" si="49"/>
        <v>0</v>
      </c>
      <c r="BO101" s="62">
        <f t="shared" si="49"/>
        <v>0</v>
      </c>
      <c r="BP101" s="62">
        <f t="shared" si="49"/>
        <v>0</v>
      </c>
      <c r="BQ101" s="62">
        <f t="shared" si="49"/>
        <v>0</v>
      </c>
      <c r="BR101" s="62">
        <f t="shared" si="49"/>
        <v>0</v>
      </c>
    </row>
    <row r="102" spans="2:70" x14ac:dyDescent="0.25">
      <c r="B102" s="139" t="str">
        <f t="shared" si="40"/>
        <v>Post 7</v>
      </c>
      <c r="D102" s="161" t="str">
        <f t="shared" si="41"/>
        <v>£</v>
      </c>
      <c r="E102" s="64">
        <f t="shared" si="44"/>
        <v>0</v>
      </c>
      <c r="F102" s="64">
        <f t="shared" si="44"/>
        <v>0</v>
      </c>
      <c r="G102" s="64">
        <f t="shared" si="44"/>
        <v>0</v>
      </c>
      <c r="H102" s="64">
        <f t="shared" si="44"/>
        <v>0</v>
      </c>
      <c r="I102" s="64">
        <f t="shared" si="44"/>
        <v>0</v>
      </c>
      <c r="K102" s="62">
        <f t="shared" ref="K102:BR102" si="50">K75*K52*(1+$D$93+$D$94)</f>
        <v>0</v>
      </c>
      <c r="L102" s="62">
        <f t="shared" si="50"/>
        <v>0</v>
      </c>
      <c r="M102" s="62">
        <f t="shared" si="50"/>
        <v>0</v>
      </c>
      <c r="N102" s="62">
        <f t="shared" si="50"/>
        <v>0</v>
      </c>
      <c r="O102" s="62">
        <f t="shared" si="50"/>
        <v>0</v>
      </c>
      <c r="P102" s="62">
        <f t="shared" si="50"/>
        <v>0</v>
      </c>
      <c r="Q102" s="62">
        <f t="shared" si="50"/>
        <v>0</v>
      </c>
      <c r="R102" s="62">
        <f t="shared" si="50"/>
        <v>0</v>
      </c>
      <c r="S102" s="62">
        <f t="shared" si="50"/>
        <v>0</v>
      </c>
      <c r="T102" s="62">
        <f t="shared" si="50"/>
        <v>0</v>
      </c>
      <c r="U102" s="62">
        <f t="shared" si="50"/>
        <v>0</v>
      </c>
      <c r="V102" s="62">
        <f t="shared" si="50"/>
        <v>0</v>
      </c>
      <c r="W102" s="62">
        <f t="shared" si="50"/>
        <v>0</v>
      </c>
      <c r="X102" s="62">
        <f t="shared" si="50"/>
        <v>0</v>
      </c>
      <c r="Y102" s="62">
        <f t="shared" si="50"/>
        <v>0</v>
      </c>
      <c r="Z102" s="62">
        <f t="shared" si="50"/>
        <v>0</v>
      </c>
      <c r="AA102" s="62">
        <f t="shared" si="50"/>
        <v>0</v>
      </c>
      <c r="AB102" s="62">
        <f t="shared" si="50"/>
        <v>0</v>
      </c>
      <c r="AC102" s="62">
        <f t="shared" si="50"/>
        <v>0</v>
      </c>
      <c r="AD102" s="62">
        <f t="shared" si="50"/>
        <v>0</v>
      </c>
      <c r="AE102" s="62">
        <f t="shared" si="50"/>
        <v>0</v>
      </c>
      <c r="AF102" s="62">
        <f t="shared" si="50"/>
        <v>0</v>
      </c>
      <c r="AG102" s="62">
        <f t="shared" si="50"/>
        <v>0</v>
      </c>
      <c r="AH102" s="62">
        <f t="shared" si="50"/>
        <v>0</v>
      </c>
      <c r="AI102" s="62">
        <f t="shared" si="50"/>
        <v>0</v>
      </c>
      <c r="AJ102" s="62">
        <f t="shared" si="50"/>
        <v>0</v>
      </c>
      <c r="AK102" s="62">
        <f t="shared" si="50"/>
        <v>0</v>
      </c>
      <c r="AL102" s="62">
        <f t="shared" si="50"/>
        <v>0</v>
      </c>
      <c r="AM102" s="62">
        <f t="shared" si="50"/>
        <v>0</v>
      </c>
      <c r="AN102" s="62">
        <f t="shared" si="50"/>
        <v>0</v>
      </c>
      <c r="AO102" s="62">
        <f t="shared" si="50"/>
        <v>0</v>
      </c>
      <c r="AP102" s="62">
        <f t="shared" si="50"/>
        <v>0</v>
      </c>
      <c r="AQ102" s="62">
        <f t="shared" si="50"/>
        <v>0</v>
      </c>
      <c r="AR102" s="62">
        <f t="shared" si="50"/>
        <v>0</v>
      </c>
      <c r="AS102" s="62">
        <f t="shared" si="50"/>
        <v>0</v>
      </c>
      <c r="AT102" s="62">
        <f t="shared" si="50"/>
        <v>0</v>
      </c>
      <c r="AU102" s="62">
        <f t="shared" si="50"/>
        <v>0</v>
      </c>
      <c r="AV102" s="62">
        <f t="shared" si="50"/>
        <v>0</v>
      </c>
      <c r="AW102" s="62">
        <f t="shared" si="50"/>
        <v>0</v>
      </c>
      <c r="AX102" s="62">
        <f t="shared" si="50"/>
        <v>0</v>
      </c>
      <c r="AY102" s="62">
        <f t="shared" si="50"/>
        <v>0</v>
      </c>
      <c r="AZ102" s="62">
        <f t="shared" si="50"/>
        <v>0</v>
      </c>
      <c r="BA102" s="62">
        <f t="shared" si="50"/>
        <v>0</v>
      </c>
      <c r="BB102" s="62">
        <f t="shared" si="50"/>
        <v>0</v>
      </c>
      <c r="BC102" s="62">
        <f t="shared" si="50"/>
        <v>0</v>
      </c>
      <c r="BD102" s="62">
        <f t="shared" si="50"/>
        <v>0</v>
      </c>
      <c r="BE102" s="62">
        <f t="shared" si="50"/>
        <v>0</v>
      </c>
      <c r="BF102" s="62">
        <f t="shared" si="50"/>
        <v>0</v>
      </c>
      <c r="BG102" s="62">
        <f t="shared" si="50"/>
        <v>0</v>
      </c>
      <c r="BH102" s="62">
        <f t="shared" si="50"/>
        <v>0</v>
      </c>
      <c r="BI102" s="62">
        <f t="shared" si="50"/>
        <v>0</v>
      </c>
      <c r="BJ102" s="62">
        <f t="shared" si="50"/>
        <v>0</v>
      </c>
      <c r="BK102" s="62">
        <f t="shared" si="50"/>
        <v>0</v>
      </c>
      <c r="BL102" s="62">
        <f t="shared" si="50"/>
        <v>0</v>
      </c>
      <c r="BM102" s="62">
        <f t="shared" si="50"/>
        <v>0</v>
      </c>
      <c r="BN102" s="62">
        <f t="shared" si="50"/>
        <v>0</v>
      </c>
      <c r="BO102" s="62">
        <f t="shared" si="50"/>
        <v>0</v>
      </c>
      <c r="BP102" s="62">
        <f t="shared" si="50"/>
        <v>0</v>
      </c>
      <c r="BQ102" s="62">
        <f t="shared" si="50"/>
        <v>0</v>
      </c>
      <c r="BR102" s="62">
        <f t="shared" si="50"/>
        <v>0</v>
      </c>
    </row>
    <row r="103" spans="2:70" x14ac:dyDescent="0.25">
      <c r="B103" s="139" t="str">
        <f t="shared" si="40"/>
        <v>Post 8</v>
      </c>
      <c r="D103" s="161" t="str">
        <f t="shared" si="41"/>
        <v>£</v>
      </c>
      <c r="E103" s="64">
        <f t="shared" si="44"/>
        <v>0</v>
      </c>
      <c r="F103" s="64">
        <f t="shared" si="44"/>
        <v>0</v>
      </c>
      <c r="G103" s="64">
        <f t="shared" si="44"/>
        <v>0</v>
      </c>
      <c r="H103" s="64">
        <f t="shared" si="44"/>
        <v>0</v>
      </c>
      <c r="I103" s="64">
        <f t="shared" si="44"/>
        <v>0</v>
      </c>
      <c r="K103" s="62">
        <f t="shared" ref="K103:BR103" si="51">K76*K53*(1+$D$93+$D$94)</f>
        <v>0</v>
      </c>
      <c r="L103" s="62">
        <f t="shared" si="51"/>
        <v>0</v>
      </c>
      <c r="M103" s="62">
        <f t="shared" si="51"/>
        <v>0</v>
      </c>
      <c r="N103" s="62">
        <f t="shared" si="51"/>
        <v>0</v>
      </c>
      <c r="O103" s="62">
        <f t="shared" si="51"/>
        <v>0</v>
      </c>
      <c r="P103" s="62">
        <f t="shared" si="51"/>
        <v>0</v>
      </c>
      <c r="Q103" s="62">
        <f t="shared" si="51"/>
        <v>0</v>
      </c>
      <c r="R103" s="62">
        <f t="shared" si="51"/>
        <v>0</v>
      </c>
      <c r="S103" s="62">
        <f t="shared" si="51"/>
        <v>0</v>
      </c>
      <c r="T103" s="62">
        <f t="shared" si="51"/>
        <v>0</v>
      </c>
      <c r="U103" s="62">
        <f t="shared" si="51"/>
        <v>0</v>
      </c>
      <c r="V103" s="62">
        <f t="shared" si="51"/>
        <v>0</v>
      </c>
      <c r="W103" s="62">
        <f t="shared" si="51"/>
        <v>0</v>
      </c>
      <c r="X103" s="62">
        <f t="shared" si="51"/>
        <v>0</v>
      </c>
      <c r="Y103" s="62">
        <f t="shared" si="51"/>
        <v>0</v>
      </c>
      <c r="Z103" s="62">
        <f t="shared" si="51"/>
        <v>0</v>
      </c>
      <c r="AA103" s="62">
        <f t="shared" si="51"/>
        <v>0</v>
      </c>
      <c r="AB103" s="62">
        <f t="shared" si="51"/>
        <v>0</v>
      </c>
      <c r="AC103" s="62">
        <f t="shared" si="51"/>
        <v>0</v>
      </c>
      <c r="AD103" s="62">
        <f t="shared" si="51"/>
        <v>0</v>
      </c>
      <c r="AE103" s="62">
        <f t="shared" si="51"/>
        <v>0</v>
      </c>
      <c r="AF103" s="62">
        <f t="shared" si="51"/>
        <v>0</v>
      </c>
      <c r="AG103" s="62">
        <f t="shared" si="51"/>
        <v>0</v>
      </c>
      <c r="AH103" s="62">
        <f t="shared" si="51"/>
        <v>0</v>
      </c>
      <c r="AI103" s="62">
        <f t="shared" si="51"/>
        <v>0</v>
      </c>
      <c r="AJ103" s="62">
        <f t="shared" si="51"/>
        <v>0</v>
      </c>
      <c r="AK103" s="62">
        <f t="shared" si="51"/>
        <v>0</v>
      </c>
      <c r="AL103" s="62">
        <f t="shared" si="51"/>
        <v>0</v>
      </c>
      <c r="AM103" s="62">
        <f t="shared" si="51"/>
        <v>0</v>
      </c>
      <c r="AN103" s="62">
        <f t="shared" si="51"/>
        <v>0</v>
      </c>
      <c r="AO103" s="62">
        <f t="shared" si="51"/>
        <v>0</v>
      </c>
      <c r="AP103" s="62">
        <f t="shared" si="51"/>
        <v>0</v>
      </c>
      <c r="AQ103" s="62">
        <f t="shared" si="51"/>
        <v>0</v>
      </c>
      <c r="AR103" s="62">
        <f t="shared" si="51"/>
        <v>0</v>
      </c>
      <c r="AS103" s="62">
        <f t="shared" si="51"/>
        <v>0</v>
      </c>
      <c r="AT103" s="62">
        <f t="shared" si="51"/>
        <v>0</v>
      </c>
      <c r="AU103" s="62">
        <f t="shared" si="51"/>
        <v>0</v>
      </c>
      <c r="AV103" s="62">
        <f t="shared" si="51"/>
        <v>0</v>
      </c>
      <c r="AW103" s="62">
        <f t="shared" si="51"/>
        <v>0</v>
      </c>
      <c r="AX103" s="62">
        <f t="shared" si="51"/>
        <v>0</v>
      </c>
      <c r="AY103" s="62">
        <f t="shared" si="51"/>
        <v>0</v>
      </c>
      <c r="AZ103" s="62">
        <f t="shared" si="51"/>
        <v>0</v>
      </c>
      <c r="BA103" s="62">
        <f t="shared" si="51"/>
        <v>0</v>
      </c>
      <c r="BB103" s="62">
        <f t="shared" si="51"/>
        <v>0</v>
      </c>
      <c r="BC103" s="62">
        <f t="shared" si="51"/>
        <v>0</v>
      </c>
      <c r="BD103" s="62">
        <f t="shared" si="51"/>
        <v>0</v>
      </c>
      <c r="BE103" s="62">
        <f t="shared" si="51"/>
        <v>0</v>
      </c>
      <c r="BF103" s="62">
        <f t="shared" si="51"/>
        <v>0</v>
      </c>
      <c r="BG103" s="62">
        <f t="shared" si="51"/>
        <v>0</v>
      </c>
      <c r="BH103" s="62">
        <f t="shared" si="51"/>
        <v>0</v>
      </c>
      <c r="BI103" s="62">
        <f t="shared" si="51"/>
        <v>0</v>
      </c>
      <c r="BJ103" s="62">
        <f t="shared" si="51"/>
        <v>0</v>
      </c>
      <c r="BK103" s="62">
        <f t="shared" si="51"/>
        <v>0</v>
      </c>
      <c r="BL103" s="62">
        <f t="shared" si="51"/>
        <v>0</v>
      </c>
      <c r="BM103" s="62">
        <f t="shared" si="51"/>
        <v>0</v>
      </c>
      <c r="BN103" s="62">
        <f t="shared" si="51"/>
        <v>0</v>
      </c>
      <c r="BO103" s="62">
        <f t="shared" si="51"/>
        <v>0</v>
      </c>
      <c r="BP103" s="62">
        <f t="shared" si="51"/>
        <v>0</v>
      </c>
      <c r="BQ103" s="62">
        <f t="shared" si="51"/>
        <v>0</v>
      </c>
      <c r="BR103" s="62">
        <f t="shared" si="51"/>
        <v>0</v>
      </c>
    </row>
    <row r="104" spans="2:70" x14ac:dyDescent="0.25">
      <c r="B104" s="139" t="str">
        <f t="shared" si="40"/>
        <v>Post 9</v>
      </c>
      <c r="D104" s="161" t="str">
        <f t="shared" si="41"/>
        <v>£</v>
      </c>
      <c r="E104" s="64">
        <f t="shared" si="44"/>
        <v>0</v>
      </c>
      <c r="F104" s="64">
        <f t="shared" si="44"/>
        <v>0</v>
      </c>
      <c r="G104" s="64">
        <f t="shared" si="44"/>
        <v>0</v>
      </c>
      <c r="H104" s="64">
        <f t="shared" si="44"/>
        <v>0</v>
      </c>
      <c r="I104" s="64">
        <f t="shared" si="44"/>
        <v>0</v>
      </c>
      <c r="K104" s="62">
        <f t="shared" ref="K104:BR104" si="52">K77*K54*(1+$D$93+$D$94)</f>
        <v>0</v>
      </c>
      <c r="L104" s="62">
        <f t="shared" si="52"/>
        <v>0</v>
      </c>
      <c r="M104" s="62">
        <f t="shared" si="52"/>
        <v>0</v>
      </c>
      <c r="N104" s="62">
        <f t="shared" si="52"/>
        <v>0</v>
      </c>
      <c r="O104" s="62">
        <f t="shared" si="52"/>
        <v>0</v>
      </c>
      <c r="P104" s="62">
        <f t="shared" si="52"/>
        <v>0</v>
      </c>
      <c r="Q104" s="62">
        <f t="shared" si="52"/>
        <v>0</v>
      </c>
      <c r="R104" s="62">
        <f t="shared" si="52"/>
        <v>0</v>
      </c>
      <c r="S104" s="62">
        <f t="shared" si="52"/>
        <v>0</v>
      </c>
      <c r="T104" s="62">
        <f t="shared" si="52"/>
        <v>0</v>
      </c>
      <c r="U104" s="62">
        <f t="shared" si="52"/>
        <v>0</v>
      </c>
      <c r="V104" s="62">
        <f t="shared" si="52"/>
        <v>0</v>
      </c>
      <c r="W104" s="62">
        <f t="shared" si="52"/>
        <v>0</v>
      </c>
      <c r="X104" s="62">
        <f t="shared" si="52"/>
        <v>0</v>
      </c>
      <c r="Y104" s="62">
        <f t="shared" si="52"/>
        <v>0</v>
      </c>
      <c r="Z104" s="62">
        <f t="shared" si="52"/>
        <v>0</v>
      </c>
      <c r="AA104" s="62">
        <f t="shared" si="52"/>
        <v>0</v>
      </c>
      <c r="AB104" s="62">
        <f t="shared" si="52"/>
        <v>0</v>
      </c>
      <c r="AC104" s="62">
        <f t="shared" si="52"/>
        <v>0</v>
      </c>
      <c r="AD104" s="62">
        <f t="shared" si="52"/>
        <v>0</v>
      </c>
      <c r="AE104" s="62">
        <f t="shared" si="52"/>
        <v>0</v>
      </c>
      <c r="AF104" s="62">
        <f t="shared" si="52"/>
        <v>0</v>
      </c>
      <c r="AG104" s="62">
        <f t="shared" si="52"/>
        <v>0</v>
      </c>
      <c r="AH104" s="62">
        <f t="shared" si="52"/>
        <v>0</v>
      </c>
      <c r="AI104" s="62">
        <f t="shared" si="52"/>
        <v>0</v>
      </c>
      <c r="AJ104" s="62">
        <f t="shared" si="52"/>
        <v>0</v>
      </c>
      <c r="AK104" s="62">
        <f t="shared" si="52"/>
        <v>0</v>
      </c>
      <c r="AL104" s="62">
        <f t="shared" si="52"/>
        <v>0</v>
      </c>
      <c r="AM104" s="62">
        <f t="shared" si="52"/>
        <v>0</v>
      </c>
      <c r="AN104" s="62">
        <f t="shared" si="52"/>
        <v>0</v>
      </c>
      <c r="AO104" s="62">
        <f t="shared" si="52"/>
        <v>0</v>
      </c>
      <c r="AP104" s="62">
        <f t="shared" si="52"/>
        <v>0</v>
      </c>
      <c r="AQ104" s="62">
        <f t="shared" si="52"/>
        <v>0</v>
      </c>
      <c r="AR104" s="62">
        <f t="shared" si="52"/>
        <v>0</v>
      </c>
      <c r="AS104" s="62">
        <f t="shared" si="52"/>
        <v>0</v>
      </c>
      <c r="AT104" s="62">
        <f t="shared" si="52"/>
        <v>0</v>
      </c>
      <c r="AU104" s="62">
        <f t="shared" si="52"/>
        <v>0</v>
      </c>
      <c r="AV104" s="62">
        <f t="shared" si="52"/>
        <v>0</v>
      </c>
      <c r="AW104" s="62">
        <f t="shared" si="52"/>
        <v>0</v>
      </c>
      <c r="AX104" s="62">
        <f t="shared" si="52"/>
        <v>0</v>
      </c>
      <c r="AY104" s="62">
        <f t="shared" si="52"/>
        <v>0</v>
      </c>
      <c r="AZ104" s="62">
        <f t="shared" si="52"/>
        <v>0</v>
      </c>
      <c r="BA104" s="62">
        <f t="shared" si="52"/>
        <v>0</v>
      </c>
      <c r="BB104" s="62">
        <f t="shared" si="52"/>
        <v>0</v>
      </c>
      <c r="BC104" s="62">
        <f t="shared" si="52"/>
        <v>0</v>
      </c>
      <c r="BD104" s="62">
        <f t="shared" si="52"/>
        <v>0</v>
      </c>
      <c r="BE104" s="62">
        <f t="shared" si="52"/>
        <v>0</v>
      </c>
      <c r="BF104" s="62">
        <f t="shared" si="52"/>
        <v>0</v>
      </c>
      <c r="BG104" s="62">
        <f t="shared" si="52"/>
        <v>0</v>
      </c>
      <c r="BH104" s="62">
        <f t="shared" si="52"/>
        <v>0</v>
      </c>
      <c r="BI104" s="62">
        <f t="shared" si="52"/>
        <v>0</v>
      </c>
      <c r="BJ104" s="62">
        <f t="shared" si="52"/>
        <v>0</v>
      </c>
      <c r="BK104" s="62">
        <f t="shared" si="52"/>
        <v>0</v>
      </c>
      <c r="BL104" s="62">
        <f t="shared" si="52"/>
        <v>0</v>
      </c>
      <c r="BM104" s="62">
        <f t="shared" si="52"/>
        <v>0</v>
      </c>
      <c r="BN104" s="62">
        <f t="shared" si="52"/>
        <v>0</v>
      </c>
      <c r="BO104" s="62">
        <f t="shared" si="52"/>
        <v>0</v>
      </c>
      <c r="BP104" s="62">
        <f t="shared" si="52"/>
        <v>0</v>
      </c>
      <c r="BQ104" s="62">
        <f t="shared" si="52"/>
        <v>0</v>
      </c>
      <c r="BR104" s="62">
        <f t="shared" si="52"/>
        <v>0</v>
      </c>
    </row>
    <row r="105" spans="2:70" x14ac:dyDescent="0.25">
      <c r="B105" s="139" t="str">
        <f t="shared" si="40"/>
        <v>Post 10</v>
      </c>
      <c r="D105" s="161" t="str">
        <f t="shared" si="41"/>
        <v>£</v>
      </c>
      <c r="E105" s="64">
        <f t="shared" si="44"/>
        <v>0</v>
      </c>
      <c r="F105" s="64">
        <f t="shared" si="44"/>
        <v>0</v>
      </c>
      <c r="G105" s="64">
        <f t="shared" si="44"/>
        <v>0</v>
      </c>
      <c r="H105" s="64">
        <f t="shared" si="44"/>
        <v>0</v>
      </c>
      <c r="I105" s="64">
        <f t="shared" si="44"/>
        <v>0</v>
      </c>
      <c r="K105" s="62">
        <f t="shared" ref="K105:BR105" si="53">K78*K55*(1+$D$93+$D$94)</f>
        <v>0</v>
      </c>
      <c r="L105" s="62">
        <f t="shared" si="53"/>
        <v>0</v>
      </c>
      <c r="M105" s="62">
        <f t="shared" si="53"/>
        <v>0</v>
      </c>
      <c r="N105" s="62">
        <f t="shared" si="53"/>
        <v>0</v>
      </c>
      <c r="O105" s="62">
        <f t="shared" si="53"/>
        <v>0</v>
      </c>
      <c r="P105" s="62">
        <f t="shared" si="53"/>
        <v>0</v>
      </c>
      <c r="Q105" s="62">
        <f t="shared" si="53"/>
        <v>0</v>
      </c>
      <c r="R105" s="62">
        <f t="shared" si="53"/>
        <v>0</v>
      </c>
      <c r="S105" s="62">
        <f t="shared" si="53"/>
        <v>0</v>
      </c>
      <c r="T105" s="62">
        <f t="shared" si="53"/>
        <v>0</v>
      </c>
      <c r="U105" s="62">
        <f t="shared" si="53"/>
        <v>0</v>
      </c>
      <c r="V105" s="62">
        <f t="shared" si="53"/>
        <v>0</v>
      </c>
      <c r="W105" s="62">
        <f t="shared" si="53"/>
        <v>0</v>
      </c>
      <c r="X105" s="62">
        <f t="shared" si="53"/>
        <v>0</v>
      </c>
      <c r="Y105" s="62">
        <f t="shared" si="53"/>
        <v>0</v>
      </c>
      <c r="Z105" s="62">
        <f t="shared" si="53"/>
        <v>0</v>
      </c>
      <c r="AA105" s="62">
        <f t="shared" si="53"/>
        <v>0</v>
      </c>
      <c r="AB105" s="62">
        <f t="shared" si="53"/>
        <v>0</v>
      </c>
      <c r="AC105" s="62">
        <f t="shared" si="53"/>
        <v>0</v>
      </c>
      <c r="AD105" s="62">
        <f t="shared" si="53"/>
        <v>0</v>
      </c>
      <c r="AE105" s="62">
        <f t="shared" si="53"/>
        <v>0</v>
      </c>
      <c r="AF105" s="62">
        <f t="shared" si="53"/>
        <v>0</v>
      </c>
      <c r="AG105" s="62">
        <f t="shared" si="53"/>
        <v>0</v>
      </c>
      <c r="AH105" s="62">
        <f t="shared" si="53"/>
        <v>0</v>
      </c>
      <c r="AI105" s="62">
        <f t="shared" si="53"/>
        <v>0</v>
      </c>
      <c r="AJ105" s="62">
        <f t="shared" si="53"/>
        <v>0</v>
      </c>
      <c r="AK105" s="62">
        <f t="shared" si="53"/>
        <v>0</v>
      </c>
      <c r="AL105" s="62">
        <f t="shared" si="53"/>
        <v>0</v>
      </c>
      <c r="AM105" s="62">
        <f t="shared" si="53"/>
        <v>0</v>
      </c>
      <c r="AN105" s="62">
        <f t="shared" si="53"/>
        <v>0</v>
      </c>
      <c r="AO105" s="62">
        <f t="shared" si="53"/>
        <v>0</v>
      </c>
      <c r="AP105" s="62">
        <f t="shared" si="53"/>
        <v>0</v>
      </c>
      <c r="AQ105" s="62">
        <f t="shared" si="53"/>
        <v>0</v>
      </c>
      <c r="AR105" s="62">
        <f t="shared" si="53"/>
        <v>0</v>
      </c>
      <c r="AS105" s="62">
        <f t="shared" si="53"/>
        <v>0</v>
      </c>
      <c r="AT105" s="62">
        <f t="shared" si="53"/>
        <v>0</v>
      </c>
      <c r="AU105" s="62">
        <f t="shared" si="53"/>
        <v>0</v>
      </c>
      <c r="AV105" s="62">
        <f t="shared" si="53"/>
        <v>0</v>
      </c>
      <c r="AW105" s="62">
        <f t="shared" si="53"/>
        <v>0</v>
      </c>
      <c r="AX105" s="62">
        <f t="shared" si="53"/>
        <v>0</v>
      </c>
      <c r="AY105" s="62">
        <f t="shared" si="53"/>
        <v>0</v>
      </c>
      <c r="AZ105" s="62">
        <f t="shared" si="53"/>
        <v>0</v>
      </c>
      <c r="BA105" s="62">
        <f t="shared" si="53"/>
        <v>0</v>
      </c>
      <c r="BB105" s="62">
        <f t="shared" si="53"/>
        <v>0</v>
      </c>
      <c r="BC105" s="62">
        <f t="shared" si="53"/>
        <v>0</v>
      </c>
      <c r="BD105" s="62">
        <f t="shared" si="53"/>
        <v>0</v>
      </c>
      <c r="BE105" s="62">
        <f t="shared" si="53"/>
        <v>0</v>
      </c>
      <c r="BF105" s="62">
        <f t="shared" si="53"/>
        <v>0</v>
      </c>
      <c r="BG105" s="62">
        <f t="shared" si="53"/>
        <v>0</v>
      </c>
      <c r="BH105" s="62">
        <f t="shared" si="53"/>
        <v>0</v>
      </c>
      <c r="BI105" s="62">
        <f t="shared" si="53"/>
        <v>0</v>
      </c>
      <c r="BJ105" s="62">
        <f t="shared" si="53"/>
        <v>0</v>
      </c>
      <c r="BK105" s="62">
        <f t="shared" si="53"/>
        <v>0</v>
      </c>
      <c r="BL105" s="62">
        <f t="shared" si="53"/>
        <v>0</v>
      </c>
      <c r="BM105" s="62">
        <f t="shared" si="53"/>
        <v>0</v>
      </c>
      <c r="BN105" s="62">
        <f t="shared" si="53"/>
        <v>0</v>
      </c>
      <c r="BO105" s="62">
        <f t="shared" si="53"/>
        <v>0</v>
      </c>
      <c r="BP105" s="62">
        <f t="shared" si="53"/>
        <v>0</v>
      </c>
      <c r="BQ105" s="62">
        <f t="shared" si="53"/>
        <v>0</v>
      </c>
      <c r="BR105" s="62">
        <f t="shared" si="53"/>
        <v>0</v>
      </c>
    </row>
    <row r="106" spans="2:70" x14ac:dyDescent="0.25">
      <c r="B106" s="139" t="str">
        <f t="shared" ref="B106:B115" si="54">B79</f>
        <v>Post 11</v>
      </c>
      <c r="D106" s="161" t="str">
        <f t="shared" si="41"/>
        <v>£</v>
      </c>
      <c r="E106" s="64">
        <f t="shared" si="44"/>
        <v>0</v>
      </c>
      <c r="F106" s="64">
        <f t="shared" si="44"/>
        <v>0</v>
      </c>
      <c r="G106" s="64">
        <f t="shared" si="44"/>
        <v>0</v>
      </c>
      <c r="H106" s="64">
        <f t="shared" si="44"/>
        <v>0</v>
      </c>
      <c r="I106" s="64">
        <f t="shared" si="44"/>
        <v>0</v>
      </c>
      <c r="K106" s="62">
        <f t="shared" ref="K106:BR106" si="55">K79*K56*(1+$D$93+$D$94)</f>
        <v>0</v>
      </c>
      <c r="L106" s="62">
        <f t="shared" si="55"/>
        <v>0</v>
      </c>
      <c r="M106" s="62">
        <f t="shared" si="55"/>
        <v>0</v>
      </c>
      <c r="N106" s="62">
        <f t="shared" si="55"/>
        <v>0</v>
      </c>
      <c r="O106" s="62">
        <f t="shared" si="55"/>
        <v>0</v>
      </c>
      <c r="P106" s="62">
        <f t="shared" si="55"/>
        <v>0</v>
      </c>
      <c r="Q106" s="62">
        <f t="shared" si="55"/>
        <v>0</v>
      </c>
      <c r="R106" s="62">
        <f t="shared" si="55"/>
        <v>0</v>
      </c>
      <c r="S106" s="62">
        <f t="shared" si="55"/>
        <v>0</v>
      </c>
      <c r="T106" s="62">
        <f t="shared" si="55"/>
        <v>0</v>
      </c>
      <c r="U106" s="62">
        <f t="shared" si="55"/>
        <v>0</v>
      </c>
      <c r="V106" s="62">
        <f t="shared" si="55"/>
        <v>0</v>
      </c>
      <c r="W106" s="62">
        <f t="shared" si="55"/>
        <v>0</v>
      </c>
      <c r="X106" s="62">
        <f t="shared" si="55"/>
        <v>0</v>
      </c>
      <c r="Y106" s="62">
        <f t="shared" si="55"/>
        <v>0</v>
      </c>
      <c r="Z106" s="62">
        <f t="shared" si="55"/>
        <v>0</v>
      </c>
      <c r="AA106" s="62">
        <f t="shared" si="55"/>
        <v>0</v>
      </c>
      <c r="AB106" s="62">
        <f t="shared" si="55"/>
        <v>0</v>
      </c>
      <c r="AC106" s="62">
        <f t="shared" si="55"/>
        <v>0</v>
      </c>
      <c r="AD106" s="62">
        <f t="shared" si="55"/>
        <v>0</v>
      </c>
      <c r="AE106" s="62">
        <f t="shared" si="55"/>
        <v>0</v>
      </c>
      <c r="AF106" s="62">
        <f t="shared" si="55"/>
        <v>0</v>
      </c>
      <c r="AG106" s="62">
        <f t="shared" si="55"/>
        <v>0</v>
      </c>
      <c r="AH106" s="62">
        <f t="shared" si="55"/>
        <v>0</v>
      </c>
      <c r="AI106" s="62">
        <f t="shared" si="55"/>
        <v>0</v>
      </c>
      <c r="AJ106" s="62">
        <f t="shared" si="55"/>
        <v>0</v>
      </c>
      <c r="AK106" s="62">
        <f t="shared" si="55"/>
        <v>0</v>
      </c>
      <c r="AL106" s="62">
        <f t="shared" si="55"/>
        <v>0</v>
      </c>
      <c r="AM106" s="62">
        <f t="shared" si="55"/>
        <v>0</v>
      </c>
      <c r="AN106" s="62">
        <f t="shared" si="55"/>
        <v>0</v>
      </c>
      <c r="AO106" s="62">
        <f t="shared" si="55"/>
        <v>0</v>
      </c>
      <c r="AP106" s="62">
        <f t="shared" si="55"/>
        <v>0</v>
      </c>
      <c r="AQ106" s="62">
        <f t="shared" si="55"/>
        <v>0</v>
      </c>
      <c r="AR106" s="62">
        <f t="shared" si="55"/>
        <v>0</v>
      </c>
      <c r="AS106" s="62">
        <f t="shared" si="55"/>
        <v>0</v>
      </c>
      <c r="AT106" s="62">
        <f t="shared" si="55"/>
        <v>0</v>
      </c>
      <c r="AU106" s="62">
        <f t="shared" si="55"/>
        <v>0</v>
      </c>
      <c r="AV106" s="62">
        <f t="shared" si="55"/>
        <v>0</v>
      </c>
      <c r="AW106" s="62">
        <f t="shared" si="55"/>
        <v>0</v>
      </c>
      <c r="AX106" s="62">
        <f t="shared" si="55"/>
        <v>0</v>
      </c>
      <c r="AY106" s="62">
        <f t="shared" si="55"/>
        <v>0</v>
      </c>
      <c r="AZ106" s="62">
        <f t="shared" si="55"/>
        <v>0</v>
      </c>
      <c r="BA106" s="62">
        <f t="shared" si="55"/>
        <v>0</v>
      </c>
      <c r="BB106" s="62">
        <f t="shared" si="55"/>
        <v>0</v>
      </c>
      <c r="BC106" s="62">
        <f t="shared" si="55"/>
        <v>0</v>
      </c>
      <c r="BD106" s="62">
        <f t="shared" si="55"/>
        <v>0</v>
      </c>
      <c r="BE106" s="62">
        <f t="shared" si="55"/>
        <v>0</v>
      </c>
      <c r="BF106" s="62">
        <f t="shared" si="55"/>
        <v>0</v>
      </c>
      <c r="BG106" s="62">
        <f t="shared" si="55"/>
        <v>0</v>
      </c>
      <c r="BH106" s="62">
        <f t="shared" si="55"/>
        <v>0</v>
      </c>
      <c r="BI106" s="62">
        <f t="shared" si="55"/>
        <v>0</v>
      </c>
      <c r="BJ106" s="62">
        <f t="shared" si="55"/>
        <v>0</v>
      </c>
      <c r="BK106" s="62">
        <f t="shared" si="55"/>
        <v>0</v>
      </c>
      <c r="BL106" s="62">
        <f t="shared" si="55"/>
        <v>0</v>
      </c>
      <c r="BM106" s="62">
        <f t="shared" si="55"/>
        <v>0</v>
      </c>
      <c r="BN106" s="62">
        <f t="shared" si="55"/>
        <v>0</v>
      </c>
      <c r="BO106" s="62">
        <f t="shared" si="55"/>
        <v>0</v>
      </c>
      <c r="BP106" s="62">
        <f t="shared" si="55"/>
        <v>0</v>
      </c>
      <c r="BQ106" s="62">
        <f t="shared" si="55"/>
        <v>0</v>
      </c>
      <c r="BR106" s="62">
        <f t="shared" si="55"/>
        <v>0</v>
      </c>
    </row>
    <row r="107" spans="2:70" x14ac:dyDescent="0.25">
      <c r="B107" s="139" t="str">
        <f t="shared" si="54"/>
        <v>Post 12</v>
      </c>
      <c r="D107" s="161" t="str">
        <f t="shared" si="41"/>
        <v>£</v>
      </c>
      <c r="E107" s="64">
        <f t="shared" si="44"/>
        <v>0</v>
      </c>
      <c r="F107" s="64">
        <f t="shared" si="44"/>
        <v>0</v>
      </c>
      <c r="G107" s="64">
        <f t="shared" si="44"/>
        <v>0</v>
      </c>
      <c r="H107" s="64">
        <f t="shared" si="44"/>
        <v>0</v>
      </c>
      <c r="I107" s="64">
        <f t="shared" si="44"/>
        <v>0</v>
      </c>
      <c r="K107" s="62">
        <f t="shared" ref="K107:BR107" si="56">K80*K57*(1+$D$93+$D$94)</f>
        <v>0</v>
      </c>
      <c r="L107" s="62">
        <f t="shared" si="56"/>
        <v>0</v>
      </c>
      <c r="M107" s="62">
        <f t="shared" si="56"/>
        <v>0</v>
      </c>
      <c r="N107" s="62">
        <f t="shared" si="56"/>
        <v>0</v>
      </c>
      <c r="O107" s="62">
        <f t="shared" si="56"/>
        <v>0</v>
      </c>
      <c r="P107" s="62">
        <f t="shared" si="56"/>
        <v>0</v>
      </c>
      <c r="Q107" s="62">
        <f t="shared" si="56"/>
        <v>0</v>
      </c>
      <c r="R107" s="62">
        <f t="shared" si="56"/>
        <v>0</v>
      </c>
      <c r="S107" s="62">
        <f t="shared" si="56"/>
        <v>0</v>
      </c>
      <c r="T107" s="62">
        <f t="shared" si="56"/>
        <v>0</v>
      </c>
      <c r="U107" s="62">
        <f t="shared" si="56"/>
        <v>0</v>
      </c>
      <c r="V107" s="62">
        <f t="shared" si="56"/>
        <v>0</v>
      </c>
      <c r="W107" s="62">
        <f t="shared" si="56"/>
        <v>0</v>
      </c>
      <c r="X107" s="62">
        <f t="shared" si="56"/>
        <v>0</v>
      </c>
      <c r="Y107" s="62">
        <f t="shared" si="56"/>
        <v>0</v>
      </c>
      <c r="Z107" s="62">
        <f t="shared" si="56"/>
        <v>0</v>
      </c>
      <c r="AA107" s="62">
        <f t="shared" si="56"/>
        <v>0</v>
      </c>
      <c r="AB107" s="62">
        <f t="shared" si="56"/>
        <v>0</v>
      </c>
      <c r="AC107" s="62">
        <f t="shared" si="56"/>
        <v>0</v>
      </c>
      <c r="AD107" s="62">
        <f t="shared" si="56"/>
        <v>0</v>
      </c>
      <c r="AE107" s="62">
        <f t="shared" si="56"/>
        <v>0</v>
      </c>
      <c r="AF107" s="62">
        <f t="shared" si="56"/>
        <v>0</v>
      </c>
      <c r="AG107" s="62">
        <f t="shared" si="56"/>
        <v>0</v>
      </c>
      <c r="AH107" s="62">
        <f t="shared" si="56"/>
        <v>0</v>
      </c>
      <c r="AI107" s="62">
        <f t="shared" si="56"/>
        <v>0</v>
      </c>
      <c r="AJ107" s="62">
        <f t="shared" si="56"/>
        <v>0</v>
      </c>
      <c r="AK107" s="62">
        <f t="shared" si="56"/>
        <v>0</v>
      </c>
      <c r="AL107" s="62">
        <f t="shared" si="56"/>
        <v>0</v>
      </c>
      <c r="AM107" s="62">
        <f t="shared" si="56"/>
        <v>0</v>
      </c>
      <c r="AN107" s="62">
        <f t="shared" si="56"/>
        <v>0</v>
      </c>
      <c r="AO107" s="62">
        <f t="shared" si="56"/>
        <v>0</v>
      </c>
      <c r="AP107" s="62">
        <f t="shared" si="56"/>
        <v>0</v>
      </c>
      <c r="AQ107" s="62">
        <f t="shared" si="56"/>
        <v>0</v>
      </c>
      <c r="AR107" s="62">
        <f t="shared" si="56"/>
        <v>0</v>
      </c>
      <c r="AS107" s="62">
        <f t="shared" si="56"/>
        <v>0</v>
      </c>
      <c r="AT107" s="62">
        <f t="shared" si="56"/>
        <v>0</v>
      </c>
      <c r="AU107" s="62">
        <f t="shared" si="56"/>
        <v>0</v>
      </c>
      <c r="AV107" s="62">
        <f t="shared" si="56"/>
        <v>0</v>
      </c>
      <c r="AW107" s="62">
        <f t="shared" si="56"/>
        <v>0</v>
      </c>
      <c r="AX107" s="62">
        <f t="shared" si="56"/>
        <v>0</v>
      </c>
      <c r="AY107" s="62">
        <f t="shared" si="56"/>
        <v>0</v>
      </c>
      <c r="AZ107" s="62">
        <f t="shared" si="56"/>
        <v>0</v>
      </c>
      <c r="BA107" s="62">
        <f t="shared" si="56"/>
        <v>0</v>
      </c>
      <c r="BB107" s="62">
        <f t="shared" si="56"/>
        <v>0</v>
      </c>
      <c r="BC107" s="62">
        <f t="shared" si="56"/>
        <v>0</v>
      </c>
      <c r="BD107" s="62">
        <f t="shared" si="56"/>
        <v>0</v>
      </c>
      <c r="BE107" s="62">
        <f t="shared" si="56"/>
        <v>0</v>
      </c>
      <c r="BF107" s="62">
        <f t="shared" si="56"/>
        <v>0</v>
      </c>
      <c r="BG107" s="62">
        <f t="shared" si="56"/>
        <v>0</v>
      </c>
      <c r="BH107" s="62">
        <f t="shared" si="56"/>
        <v>0</v>
      </c>
      <c r="BI107" s="62">
        <f t="shared" si="56"/>
        <v>0</v>
      </c>
      <c r="BJ107" s="62">
        <f t="shared" si="56"/>
        <v>0</v>
      </c>
      <c r="BK107" s="62">
        <f t="shared" si="56"/>
        <v>0</v>
      </c>
      <c r="BL107" s="62">
        <f t="shared" si="56"/>
        <v>0</v>
      </c>
      <c r="BM107" s="62">
        <f t="shared" si="56"/>
        <v>0</v>
      </c>
      <c r="BN107" s="62">
        <f t="shared" si="56"/>
        <v>0</v>
      </c>
      <c r="BO107" s="62">
        <f t="shared" si="56"/>
        <v>0</v>
      </c>
      <c r="BP107" s="62">
        <f t="shared" si="56"/>
        <v>0</v>
      </c>
      <c r="BQ107" s="62">
        <f t="shared" si="56"/>
        <v>0</v>
      </c>
      <c r="BR107" s="62">
        <f t="shared" si="56"/>
        <v>0</v>
      </c>
    </row>
    <row r="108" spans="2:70" x14ac:dyDescent="0.25">
      <c r="B108" s="139" t="str">
        <f t="shared" si="54"/>
        <v>Post 13</v>
      </c>
      <c r="D108" s="161" t="str">
        <f t="shared" si="41"/>
        <v>£</v>
      </c>
      <c r="E108" s="64">
        <f t="shared" si="44"/>
        <v>0</v>
      </c>
      <c r="F108" s="64">
        <f t="shared" si="44"/>
        <v>0</v>
      </c>
      <c r="G108" s="64">
        <f t="shared" si="44"/>
        <v>0</v>
      </c>
      <c r="H108" s="64">
        <f t="shared" si="44"/>
        <v>0</v>
      </c>
      <c r="I108" s="64">
        <f t="shared" si="44"/>
        <v>0</v>
      </c>
      <c r="K108" s="62">
        <f t="shared" ref="K108:BR108" si="57">K81*K58*(1+$D$93+$D$94)</f>
        <v>0</v>
      </c>
      <c r="L108" s="62">
        <f t="shared" si="57"/>
        <v>0</v>
      </c>
      <c r="M108" s="62">
        <f t="shared" si="57"/>
        <v>0</v>
      </c>
      <c r="N108" s="62">
        <f t="shared" si="57"/>
        <v>0</v>
      </c>
      <c r="O108" s="62">
        <f t="shared" si="57"/>
        <v>0</v>
      </c>
      <c r="P108" s="62">
        <f t="shared" si="57"/>
        <v>0</v>
      </c>
      <c r="Q108" s="62">
        <f t="shared" si="57"/>
        <v>0</v>
      </c>
      <c r="R108" s="62">
        <f t="shared" si="57"/>
        <v>0</v>
      </c>
      <c r="S108" s="62">
        <f t="shared" si="57"/>
        <v>0</v>
      </c>
      <c r="T108" s="62">
        <f t="shared" si="57"/>
        <v>0</v>
      </c>
      <c r="U108" s="62">
        <f t="shared" si="57"/>
        <v>0</v>
      </c>
      <c r="V108" s="62">
        <f t="shared" si="57"/>
        <v>0</v>
      </c>
      <c r="W108" s="62">
        <f t="shared" si="57"/>
        <v>0</v>
      </c>
      <c r="X108" s="62">
        <f t="shared" si="57"/>
        <v>0</v>
      </c>
      <c r="Y108" s="62">
        <f t="shared" si="57"/>
        <v>0</v>
      </c>
      <c r="Z108" s="62">
        <f t="shared" si="57"/>
        <v>0</v>
      </c>
      <c r="AA108" s="62">
        <f t="shared" si="57"/>
        <v>0</v>
      </c>
      <c r="AB108" s="62">
        <f t="shared" si="57"/>
        <v>0</v>
      </c>
      <c r="AC108" s="62">
        <f t="shared" si="57"/>
        <v>0</v>
      </c>
      <c r="AD108" s="62">
        <f t="shared" si="57"/>
        <v>0</v>
      </c>
      <c r="AE108" s="62">
        <f t="shared" si="57"/>
        <v>0</v>
      </c>
      <c r="AF108" s="62">
        <f t="shared" si="57"/>
        <v>0</v>
      </c>
      <c r="AG108" s="62">
        <f t="shared" si="57"/>
        <v>0</v>
      </c>
      <c r="AH108" s="62">
        <f t="shared" si="57"/>
        <v>0</v>
      </c>
      <c r="AI108" s="62">
        <f t="shared" si="57"/>
        <v>0</v>
      </c>
      <c r="AJ108" s="62">
        <f t="shared" si="57"/>
        <v>0</v>
      </c>
      <c r="AK108" s="62">
        <f t="shared" si="57"/>
        <v>0</v>
      </c>
      <c r="AL108" s="62">
        <f t="shared" si="57"/>
        <v>0</v>
      </c>
      <c r="AM108" s="62">
        <f t="shared" si="57"/>
        <v>0</v>
      </c>
      <c r="AN108" s="62">
        <f t="shared" si="57"/>
        <v>0</v>
      </c>
      <c r="AO108" s="62">
        <f t="shared" si="57"/>
        <v>0</v>
      </c>
      <c r="AP108" s="62">
        <f t="shared" si="57"/>
        <v>0</v>
      </c>
      <c r="AQ108" s="62">
        <f t="shared" si="57"/>
        <v>0</v>
      </c>
      <c r="AR108" s="62">
        <f t="shared" si="57"/>
        <v>0</v>
      </c>
      <c r="AS108" s="62">
        <f t="shared" si="57"/>
        <v>0</v>
      </c>
      <c r="AT108" s="62">
        <f t="shared" si="57"/>
        <v>0</v>
      </c>
      <c r="AU108" s="62">
        <f t="shared" si="57"/>
        <v>0</v>
      </c>
      <c r="AV108" s="62">
        <f t="shared" si="57"/>
        <v>0</v>
      </c>
      <c r="AW108" s="62">
        <f t="shared" si="57"/>
        <v>0</v>
      </c>
      <c r="AX108" s="62">
        <f t="shared" si="57"/>
        <v>0</v>
      </c>
      <c r="AY108" s="62">
        <f t="shared" si="57"/>
        <v>0</v>
      </c>
      <c r="AZ108" s="62">
        <f t="shared" si="57"/>
        <v>0</v>
      </c>
      <c r="BA108" s="62">
        <f t="shared" si="57"/>
        <v>0</v>
      </c>
      <c r="BB108" s="62">
        <f t="shared" si="57"/>
        <v>0</v>
      </c>
      <c r="BC108" s="62">
        <f t="shared" si="57"/>
        <v>0</v>
      </c>
      <c r="BD108" s="62">
        <f t="shared" si="57"/>
        <v>0</v>
      </c>
      <c r="BE108" s="62">
        <f t="shared" si="57"/>
        <v>0</v>
      </c>
      <c r="BF108" s="62">
        <f t="shared" si="57"/>
        <v>0</v>
      </c>
      <c r="BG108" s="62">
        <f t="shared" si="57"/>
        <v>0</v>
      </c>
      <c r="BH108" s="62">
        <f t="shared" si="57"/>
        <v>0</v>
      </c>
      <c r="BI108" s="62">
        <f t="shared" si="57"/>
        <v>0</v>
      </c>
      <c r="BJ108" s="62">
        <f t="shared" si="57"/>
        <v>0</v>
      </c>
      <c r="BK108" s="62">
        <f t="shared" si="57"/>
        <v>0</v>
      </c>
      <c r="BL108" s="62">
        <f t="shared" si="57"/>
        <v>0</v>
      </c>
      <c r="BM108" s="62">
        <f t="shared" si="57"/>
        <v>0</v>
      </c>
      <c r="BN108" s="62">
        <f t="shared" si="57"/>
        <v>0</v>
      </c>
      <c r="BO108" s="62">
        <f t="shared" si="57"/>
        <v>0</v>
      </c>
      <c r="BP108" s="62">
        <f t="shared" si="57"/>
        <v>0</v>
      </c>
      <c r="BQ108" s="62">
        <f t="shared" si="57"/>
        <v>0</v>
      </c>
      <c r="BR108" s="62">
        <f t="shared" si="57"/>
        <v>0</v>
      </c>
    </row>
    <row r="109" spans="2:70" x14ac:dyDescent="0.25">
      <c r="B109" s="139" t="str">
        <f t="shared" si="54"/>
        <v>Post 14</v>
      </c>
      <c r="D109" s="161" t="str">
        <f t="shared" si="41"/>
        <v>£</v>
      </c>
      <c r="E109" s="64">
        <f t="shared" si="44"/>
        <v>0</v>
      </c>
      <c r="F109" s="64">
        <f t="shared" si="44"/>
        <v>0</v>
      </c>
      <c r="G109" s="64">
        <f t="shared" si="44"/>
        <v>0</v>
      </c>
      <c r="H109" s="64">
        <f t="shared" si="44"/>
        <v>0</v>
      </c>
      <c r="I109" s="64">
        <f t="shared" si="44"/>
        <v>0</v>
      </c>
      <c r="K109" s="62">
        <f t="shared" ref="K109:BR109" si="58">K82*K59*(1+$D$93+$D$94)</f>
        <v>0</v>
      </c>
      <c r="L109" s="62">
        <f t="shared" si="58"/>
        <v>0</v>
      </c>
      <c r="M109" s="62">
        <f t="shared" si="58"/>
        <v>0</v>
      </c>
      <c r="N109" s="62">
        <f t="shared" si="58"/>
        <v>0</v>
      </c>
      <c r="O109" s="62">
        <f t="shared" si="58"/>
        <v>0</v>
      </c>
      <c r="P109" s="62">
        <f t="shared" si="58"/>
        <v>0</v>
      </c>
      <c r="Q109" s="62">
        <f t="shared" si="58"/>
        <v>0</v>
      </c>
      <c r="R109" s="62">
        <f t="shared" si="58"/>
        <v>0</v>
      </c>
      <c r="S109" s="62">
        <f t="shared" si="58"/>
        <v>0</v>
      </c>
      <c r="T109" s="62">
        <f t="shared" si="58"/>
        <v>0</v>
      </c>
      <c r="U109" s="62">
        <f t="shared" si="58"/>
        <v>0</v>
      </c>
      <c r="V109" s="62">
        <f t="shared" si="58"/>
        <v>0</v>
      </c>
      <c r="W109" s="62">
        <f t="shared" si="58"/>
        <v>0</v>
      </c>
      <c r="X109" s="62">
        <f t="shared" si="58"/>
        <v>0</v>
      </c>
      <c r="Y109" s="62">
        <f t="shared" si="58"/>
        <v>0</v>
      </c>
      <c r="Z109" s="62">
        <f t="shared" si="58"/>
        <v>0</v>
      </c>
      <c r="AA109" s="62">
        <f t="shared" si="58"/>
        <v>0</v>
      </c>
      <c r="AB109" s="62">
        <f t="shared" si="58"/>
        <v>0</v>
      </c>
      <c r="AC109" s="62">
        <f t="shared" si="58"/>
        <v>0</v>
      </c>
      <c r="AD109" s="62">
        <f t="shared" si="58"/>
        <v>0</v>
      </c>
      <c r="AE109" s="62">
        <f t="shared" si="58"/>
        <v>0</v>
      </c>
      <c r="AF109" s="62">
        <f t="shared" si="58"/>
        <v>0</v>
      </c>
      <c r="AG109" s="62">
        <f t="shared" si="58"/>
        <v>0</v>
      </c>
      <c r="AH109" s="62">
        <f t="shared" si="58"/>
        <v>0</v>
      </c>
      <c r="AI109" s="62">
        <f t="shared" si="58"/>
        <v>0</v>
      </c>
      <c r="AJ109" s="62">
        <f t="shared" si="58"/>
        <v>0</v>
      </c>
      <c r="AK109" s="62">
        <f t="shared" si="58"/>
        <v>0</v>
      </c>
      <c r="AL109" s="62">
        <f t="shared" si="58"/>
        <v>0</v>
      </c>
      <c r="AM109" s="62">
        <f t="shared" si="58"/>
        <v>0</v>
      </c>
      <c r="AN109" s="62">
        <f t="shared" si="58"/>
        <v>0</v>
      </c>
      <c r="AO109" s="62">
        <f t="shared" si="58"/>
        <v>0</v>
      </c>
      <c r="AP109" s="62">
        <f t="shared" si="58"/>
        <v>0</v>
      </c>
      <c r="AQ109" s="62">
        <f t="shared" si="58"/>
        <v>0</v>
      </c>
      <c r="AR109" s="62">
        <f t="shared" si="58"/>
        <v>0</v>
      </c>
      <c r="AS109" s="62">
        <f t="shared" si="58"/>
        <v>0</v>
      </c>
      <c r="AT109" s="62">
        <f t="shared" si="58"/>
        <v>0</v>
      </c>
      <c r="AU109" s="62">
        <f t="shared" si="58"/>
        <v>0</v>
      </c>
      <c r="AV109" s="62">
        <f t="shared" si="58"/>
        <v>0</v>
      </c>
      <c r="AW109" s="62">
        <f t="shared" si="58"/>
        <v>0</v>
      </c>
      <c r="AX109" s="62">
        <f t="shared" si="58"/>
        <v>0</v>
      </c>
      <c r="AY109" s="62">
        <f t="shared" si="58"/>
        <v>0</v>
      </c>
      <c r="AZ109" s="62">
        <f t="shared" si="58"/>
        <v>0</v>
      </c>
      <c r="BA109" s="62">
        <f t="shared" si="58"/>
        <v>0</v>
      </c>
      <c r="BB109" s="62">
        <f t="shared" si="58"/>
        <v>0</v>
      </c>
      <c r="BC109" s="62">
        <f t="shared" si="58"/>
        <v>0</v>
      </c>
      <c r="BD109" s="62">
        <f t="shared" si="58"/>
        <v>0</v>
      </c>
      <c r="BE109" s="62">
        <f t="shared" si="58"/>
        <v>0</v>
      </c>
      <c r="BF109" s="62">
        <f t="shared" si="58"/>
        <v>0</v>
      </c>
      <c r="BG109" s="62">
        <f t="shared" si="58"/>
        <v>0</v>
      </c>
      <c r="BH109" s="62">
        <f t="shared" si="58"/>
        <v>0</v>
      </c>
      <c r="BI109" s="62">
        <f t="shared" si="58"/>
        <v>0</v>
      </c>
      <c r="BJ109" s="62">
        <f t="shared" si="58"/>
        <v>0</v>
      </c>
      <c r="BK109" s="62">
        <f t="shared" si="58"/>
        <v>0</v>
      </c>
      <c r="BL109" s="62">
        <f t="shared" si="58"/>
        <v>0</v>
      </c>
      <c r="BM109" s="62">
        <f t="shared" si="58"/>
        <v>0</v>
      </c>
      <c r="BN109" s="62">
        <f t="shared" si="58"/>
        <v>0</v>
      </c>
      <c r="BO109" s="62">
        <f t="shared" si="58"/>
        <v>0</v>
      </c>
      <c r="BP109" s="62">
        <f t="shared" si="58"/>
        <v>0</v>
      </c>
      <c r="BQ109" s="62">
        <f t="shared" si="58"/>
        <v>0</v>
      </c>
      <c r="BR109" s="62">
        <f t="shared" si="58"/>
        <v>0</v>
      </c>
    </row>
    <row r="110" spans="2:70" x14ac:dyDescent="0.25">
      <c r="B110" s="139" t="str">
        <f t="shared" si="54"/>
        <v>Post 15</v>
      </c>
      <c r="D110" s="161" t="str">
        <f t="shared" si="41"/>
        <v>£</v>
      </c>
      <c r="E110" s="64">
        <f t="shared" si="44"/>
        <v>0</v>
      </c>
      <c r="F110" s="64">
        <f t="shared" si="44"/>
        <v>0</v>
      </c>
      <c r="G110" s="64">
        <f t="shared" si="44"/>
        <v>0</v>
      </c>
      <c r="H110" s="64">
        <f t="shared" si="44"/>
        <v>0</v>
      </c>
      <c r="I110" s="64">
        <f t="shared" si="44"/>
        <v>0</v>
      </c>
      <c r="K110" s="62">
        <f t="shared" ref="K110:BR110" si="59">K83*K60*(1+$D$93+$D$94)</f>
        <v>0</v>
      </c>
      <c r="L110" s="62">
        <f t="shared" si="59"/>
        <v>0</v>
      </c>
      <c r="M110" s="62">
        <f t="shared" si="59"/>
        <v>0</v>
      </c>
      <c r="N110" s="62">
        <f t="shared" si="59"/>
        <v>0</v>
      </c>
      <c r="O110" s="62">
        <f t="shared" si="59"/>
        <v>0</v>
      </c>
      <c r="P110" s="62">
        <f t="shared" si="59"/>
        <v>0</v>
      </c>
      <c r="Q110" s="62">
        <f t="shared" si="59"/>
        <v>0</v>
      </c>
      <c r="R110" s="62">
        <f t="shared" si="59"/>
        <v>0</v>
      </c>
      <c r="S110" s="62">
        <f t="shared" si="59"/>
        <v>0</v>
      </c>
      <c r="T110" s="62">
        <f t="shared" si="59"/>
        <v>0</v>
      </c>
      <c r="U110" s="62">
        <f t="shared" si="59"/>
        <v>0</v>
      </c>
      <c r="V110" s="62">
        <f t="shared" si="59"/>
        <v>0</v>
      </c>
      <c r="W110" s="62">
        <f t="shared" si="59"/>
        <v>0</v>
      </c>
      <c r="X110" s="62">
        <f t="shared" si="59"/>
        <v>0</v>
      </c>
      <c r="Y110" s="62">
        <f t="shared" si="59"/>
        <v>0</v>
      </c>
      <c r="Z110" s="62">
        <f t="shared" si="59"/>
        <v>0</v>
      </c>
      <c r="AA110" s="62">
        <f t="shared" si="59"/>
        <v>0</v>
      </c>
      <c r="AB110" s="62">
        <f t="shared" si="59"/>
        <v>0</v>
      </c>
      <c r="AC110" s="62">
        <f t="shared" si="59"/>
        <v>0</v>
      </c>
      <c r="AD110" s="62">
        <f t="shared" si="59"/>
        <v>0</v>
      </c>
      <c r="AE110" s="62">
        <f t="shared" si="59"/>
        <v>0</v>
      </c>
      <c r="AF110" s="62">
        <f t="shared" si="59"/>
        <v>0</v>
      </c>
      <c r="AG110" s="62">
        <f t="shared" si="59"/>
        <v>0</v>
      </c>
      <c r="AH110" s="62">
        <f t="shared" si="59"/>
        <v>0</v>
      </c>
      <c r="AI110" s="62">
        <f t="shared" si="59"/>
        <v>0</v>
      </c>
      <c r="AJ110" s="62">
        <f t="shared" si="59"/>
        <v>0</v>
      </c>
      <c r="AK110" s="62">
        <f t="shared" si="59"/>
        <v>0</v>
      </c>
      <c r="AL110" s="62">
        <f t="shared" si="59"/>
        <v>0</v>
      </c>
      <c r="AM110" s="62">
        <f t="shared" si="59"/>
        <v>0</v>
      </c>
      <c r="AN110" s="62">
        <f t="shared" si="59"/>
        <v>0</v>
      </c>
      <c r="AO110" s="62">
        <f t="shared" si="59"/>
        <v>0</v>
      </c>
      <c r="AP110" s="62">
        <f t="shared" si="59"/>
        <v>0</v>
      </c>
      <c r="AQ110" s="62">
        <f t="shared" si="59"/>
        <v>0</v>
      </c>
      <c r="AR110" s="62">
        <f t="shared" si="59"/>
        <v>0</v>
      </c>
      <c r="AS110" s="62">
        <f t="shared" si="59"/>
        <v>0</v>
      </c>
      <c r="AT110" s="62">
        <f t="shared" si="59"/>
        <v>0</v>
      </c>
      <c r="AU110" s="62">
        <f t="shared" si="59"/>
        <v>0</v>
      </c>
      <c r="AV110" s="62">
        <f t="shared" si="59"/>
        <v>0</v>
      </c>
      <c r="AW110" s="62">
        <f t="shared" si="59"/>
        <v>0</v>
      </c>
      <c r="AX110" s="62">
        <f t="shared" si="59"/>
        <v>0</v>
      </c>
      <c r="AY110" s="62">
        <f t="shared" si="59"/>
        <v>0</v>
      </c>
      <c r="AZ110" s="62">
        <f t="shared" si="59"/>
        <v>0</v>
      </c>
      <c r="BA110" s="62">
        <f t="shared" si="59"/>
        <v>0</v>
      </c>
      <c r="BB110" s="62">
        <f t="shared" si="59"/>
        <v>0</v>
      </c>
      <c r="BC110" s="62">
        <f t="shared" si="59"/>
        <v>0</v>
      </c>
      <c r="BD110" s="62">
        <f t="shared" si="59"/>
        <v>0</v>
      </c>
      <c r="BE110" s="62">
        <f t="shared" si="59"/>
        <v>0</v>
      </c>
      <c r="BF110" s="62">
        <f t="shared" si="59"/>
        <v>0</v>
      </c>
      <c r="BG110" s="62">
        <f t="shared" si="59"/>
        <v>0</v>
      </c>
      <c r="BH110" s="62">
        <f t="shared" si="59"/>
        <v>0</v>
      </c>
      <c r="BI110" s="62">
        <f t="shared" si="59"/>
        <v>0</v>
      </c>
      <c r="BJ110" s="62">
        <f t="shared" si="59"/>
        <v>0</v>
      </c>
      <c r="BK110" s="62">
        <f t="shared" si="59"/>
        <v>0</v>
      </c>
      <c r="BL110" s="62">
        <f t="shared" si="59"/>
        <v>0</v>
      </c>
      <c r="BM110" s="62">
        <f t="shared" si="59"/>
        <v>0</v>
      </c>
      <c r="BN110" s="62">
        <f t="shared" si="59"/>
        <v>0</v>
      </c>
      <c r="BO110" s="62">
        <f t="shared" si="59"/>
        <v>0</v>
      </c>
      <c r="BP110" s="62">
        <f t="shared" si="59"/>
        <v>0</v>
      </c>
      <c r="BQ110" s="62">
        <f t="shared" si="59"/>
        <v>0</v>
      </c>
      <c r="BR110" s="62">
        <f t="shared" si="59"/>
        <v>0</v>
      </c>
    </row>
    <row r="111" spans="2:70" x14ac:dyDescent="0.25">
      <c r="B111" s="139" t="str">
        <f t="shared" si="54"/>
        <v>Post 16</v>
      </c>
      <c r="D111" s="161" t="str">
        <f t="shared" si="41"/>
        <v>£</v>
      </c>
      <c r="E111" s="64">
        <f t="shared" si="44"/>
        <v>0</v>
      </c>
      <c r="F111" s="64">
        <f t="shared" si="44"/>
        <v>0</v>
      </c>
      <c r="G111" s="64">
        <f t="shared" si="44"/>
        <v>0</v>
      </c>
      <c r="H111" s="64">
        <f t="shared" si="44"/>
        <v>0</v>
      </c>
      <c r="I111" s="64">
        <f t="shared" si="44"/>
        <v>0</v>
      </c>
      <c r="K111" s="62">
        <f t="shared" ref="K111:BR111" si="60">K84*K61*(1+$D$93+$D$94)</f>
        <v>0</v>
      </c>
      <c r="L111" s="62">
        <f t="shared" si="60"/>
        <v>0</v>
      </c>
      <c r="M111" s="62">
        <f t="shared" si="60"/>
        <v>0</v>
      </c>
      <c r="N111" s="62">
        <f t="shared" si="60"/>
        <v>0</v>
      </c>
      <c r="O111" s="62">
        <f t="shared" si="60"/>
        <v>0</v>
      </c>
      <c r="P111" s="62">
        <f t="shared" si="60"/>
        <v>0</v>
      </c>
      <c r="Q111" s="62">
        <f t="shared" si="60"/>
        <v>0</v>
      </c>
      <c r="R111" s="62">
        <f t="shared" si="60"/>
        <v>0</v>
      </c>
      <c r="S111" s="62">
        <f t="shared" si="60"/>
        <v>0</v>
      </c>
      <c r="T111" s="62">
        <f t="shared" si="60"/>
        <v>0</v>
      </c>
      <c r="U111" s="62">
        <f t="shared" si="60"/>
        <v>0</v>
      </c>
      <c r="V111" s="62">
        <f t="shared" si="60"/>
        <v>0</v>
      </c>
      <c r="W111" s="62">
        <f t="shared" si="60"/>
        <v>0</v>
      </c>
      <c r="X111" s="62">
        <f t="shared" si="60"/>
        <v>0</v>
      </c>
      <c r="Y111" s="62">
        <f t="shared" si="60"/>
        <v>0</v>
      </c>
      <c r="Z111" s="62">
        <f t="shared" si="60"/>
        <v>0</v>
      </c>
      <c r="AA111" s="62">
        <f t="shared" si="60"/>
        <v>0</v>
      </c>
      <c r="AB111" s="62">
        <f t="shared" si="60"/>
        <v>0</v>
      </c>
      <c r="AC111" s="62">
        <f t="shared" si="60"/>
        <v>0</v>
      </c>
      <c r="AD111" s="62">
        <f t="shared" si="60"/>
        <v>0</v>
      </c>
      <c r="AE111" s="62">
        <f t="shared" si="60"/>
        <v>0</v>
      </c>
      <c r="AF111" s="62">
        <f t="shared" si="60"/>
        <v>0</v>
      </c>
      <c r="AG111" s="62">
        <f t="shared" si="60"/>
        <v>0</v>
      </c>
      <c r="AH111" s="62">
        <f t="shared" si="60"/>
        <v>0</v>
      </c>
      <c r="AI111" s="62">
        <f t="shared" si="60"/>
        <v>0</v>
      </c>
      <c r="AJ111" s="62">
        <f t="shared" si="60"/>
        <v>0</v>
      </c>
      <c r="AK111" s="62">
        <f t="shared" si="60"/>
        <v>0</v>
      </c>
      <c r="AL111" s="62">
        <f t="shared" si="60"/>
        <v>0</v>
      </c>
      <c r="AM111" s="62">
        <f t="shared" si="60"/>
        <v>0</v>
      </c>
      <c r="AN111" s="62">
        <f t="shared" si="60"/>
        <v>0</v>
      </c>
      <c r="AO111" s="62">
        <f t="shared" si="60"/>
        <v>0</v>
      </c>
      <c r="AP111" s="62">
        <f t="shared" si="60"/>
        <v>0</v>
      </c>
      <c r="AQ111" s="62">
        <f t="shared" si="60"/>
        <v>0</v>
      </c>
      <c r="AR111" s="62">
        <f t="shared" si="60"/>
        <v>0</v>
      </c>
      <c r="AS111" s="62">
        <f t="shared" si="60"/>
        <v>0</v>
      </c>
      <c r="AT111" s="62">
        <f t="shared" si="60"/>
        <v>0</v>
      </c>
      <c r="AU111" s="62">
        <f t="shared" si="60"/>
        <v>0</v>
      </c>
      <c r="AV111" s="62">
        <f t="shared" si="60"/>
        <v>0</v>
      </c>
      <c r="AW111" s="62">
        <f t="shared" si="60"/>
        <v>0</v>
      </c>
      <c r="AX111" s="62">
        <f t="shared" si="60"/>
        <v>0</v>
      </c>
      <c r="AY111" s="62">
        <f t="shared" si="60"/>
        <v>0</v>
      </c>
      <c r="AZ111" s="62">
        <f t="shared" si="60"/>
        <v>0</v>
      </c>
      <c r="BA111" s="62">
        <f t="shared" si="60"/>
        <v>0</v>
      </c>
      <c r="BB111" s="62">
        <f t="shared" si="60"/>
        <v>0</v>
      </c>
      <c r="BC111" s="62">
        <f t="shared" si="60"/>
        <v>0</v>
      </c>
      <c r="BD111" s="62">
        <f t="shared" si="60"/>
        <v>0</v>
      </c>
      <c r="BE111" s="62">
        <f t="shared" si="60"/>
        <v>0</v>
      </c>
      <c r="BF111" s="62">
        <f t="shared" si="60"/>
        <v>0</v>
      </c>
      <c r="BG111" s="62">
        <f t="shared" si="60"/>
        <v>0</v>
      </c>
      <c r="BH111" s="62">
        <f t="shared" si="60"/>
        <v>0</v>
      </c>
      <c r="BI111" s="62">
        <f t="shared" si="60"/>
        <v>0</v>
      </c>
      <c r="BJ111" s="62">
        <f t="shared" si="60"/>
        <v>0</v>
      </c>
      <c r="BK111" s="62">
        <f t="shared" si="60"/>
        <v>0</v>
      </c>
      <c r="BL111" s="62">
        <f t="shared" si="60"/>
        <v>0</v>
      </c>
      <c r="BM111" s="62">
        <f t="shared" si="60"/>
        <v>0</v>
      </c>
      <c r="BN111" s="62">
        <f t="shared" si="60"/>
        <v>0</v>
      </c>
      <c r="BO111" s="62">
        <f t="shared" si="60"/>
        <v>0</v>
      </c>
      <c r="BP111" s="62">
        <f t="shared" si="60"/>
        <v>0</v>
      </c>
      <c r="BQ111" s="62">
        <f t="shared" si="60"/>
        <v>0</v>
      </c>
      <c r="BR111" s="62">
        <f t="shared" si="60"/>
        <v>0</v>
      </c>
    </row>
    <row r="112" spans="2:70" x14ac:dyDescent="0.25">
      <c r="B112" s="139" t="str">
        <f t="shared" si="54"/>
        <v>Post 17</v>
      </c>
      <c r="D112" s="161" t="str">
        <f t="shared" si="41"/>
        <v>£</v>
      </c>
      <c r="E112" s="64">
        <f t="shared" si="44"/>
        <v>0</v>
      </c>
      <c r="F112" s="64">
        <f t="shared" si="44"/>
        <v>0</v>
      </c>
      <c r="G112" s="64">
        <f t="shared" si="44"/>
        <v>0</v>
      </c>
      <c r="H112" s="64">
        <f t="shared" si="44"/>
        <v>0</v>
      </c>
      <c r="I112" s="64">
        <f t="shared" si="44"/>
        <v>0</v>
      </c>
      <c r="K112" s="62">
        <f t="shared" ref="K112:BR112" si="61">K85*K62*(1+$D$93+$D$94)</f>
        <v>0</v>
      </c>
      <c r="L112" s="62">
        <f t="shared" si="61"/>
        <v>0</v>
      </c>
      <c r="M112" s="62">
        <f t="shared" si="61"/>
        <v>0</v>
      </c>
      <c r="N112" s="62">
        <f t="shared" si="61"/>
        <v>0</v>
      </c>
      <c r="O112" s="62">
        <f t="shared" si="61"/>
        <v>0</v>
      </c>
      <c r="P112" s="62">
        <f t="shared" si="61"/>
        <v>0</v>
      </c>
      <c r="Q112" s="62">
        <f t="shared" si="61"/>
        <v>0</v>
      </c>
      <c r="R112" s="62">
        <f t="shared" si="61"/>
        <v>0</v>
      </c>
      <c r="S112" s="62">
        <f t="shared" si="61"/>
        <v>0</v>
      </c>
      <c r="T112" s="62">
        <f t="shared" si="61"/>
        <v>0</v>
      </c>
      <c r="U112" s="62">
        <f t="shared" si="61"/>
        <v>0</v>
      </c>
      <c r="V112" s="62">
        <f t="shared" si="61"/>
        <v>0</v>
      </c>
      <c r="W112" s="62">
        <f t="shared" si="61"/>
        <v>0</v>
      </c>
      <c r="X112" s="62">
        <f t="shared" si="61"/>
        <v>0</v>
      </c>
      <c r="Y112" s="62">
        <f t="shared" si="61"/>
        <v>0</v>
      </c>
      <c r="Z112" s="62">
        <f t="shared" si="61"/>
        <v>0</v>
      </c>
      <c r="AA112" s="62">
        <f t="shared" si="61"/>
        <v>0</v>
      </c>
      <c r="AB112" s="62">
        <f t="shared" si="61"/>
        <v>0</v>
      </c>
      <c r="AC112" s="62">
        <f t="shared" si="61"/>
        <v>0</v>
      </c>
      <c r="AD112" s="62">
        <f t="shared" si="61"/>
        <v>0</v>
      </c>
      <c r="AE112" s="62">
        <f t="shared" si="61"/>
        <v>0</v>
      </c>
      <c r="AF112" s="62">
        <f t="shared" si="61"/>
        <v>0</v>
      </c>
      <c r="AG112" s="62">
        <f t="shared" si="61"/>
        <v>0</v>
      </c>
      <c r="AH112" s="62">
        <f t="shared" si="61"/>
        <v>0</v>
      </c>
      <c r="AI112" s="62">
        <f t="shared" si="61"/>
        <v>0</v>
      </c>
      <c r="AJ112" s="62">
        <f t="shared" si="61"/>
        <v>0</v>
      </c>
      <c r="AK112" s="62">
        <f t="shared" si="61"/>
        <v>0</v>
      </c>
      <c r="AL112" s="62">
        <f t="shared" si="61"/>
        <v>0</v>
      </c>
      <c r="AM112" s="62">
        <f t="shared" si="61"/>
        <v>0</v>
      </c>
      <c r="AN112" s="62">
        <f t="shared" si="61"/>
        <v>0</v>
      </c>
      <c r="AO112" s="62">
        <f t="shared" si="61"/>
        <v>0</v>
      </c>
      <c r="AP112" s="62">
        <f t="shared" si="61"/>
        <v>0</v>
      </c>
      <c r="AQ112" s="62">
        <f t="shared" si="61"/>
        <v>0</v>
      </c>
      <c r="AR112" s="62">
        <f t="shared" si="61"/>
        <v>0</v>
      </c>
      <c r="AS112" s="62">
        <f t="shared" si="61"/>
        <v>0</v>
      </c>
      <c r="AT112" s="62">
        <f t="shared" si="61"/>
        <v>0</v>
      </c>
      <c r="AU112" s="62">
        <f t="shared" si="61"/>
        <v>0</v>
      </c>
      <c r="AV112" s="62">
        <f t="shared" si="61"/>
        <v>0</v>
      </c>
      <c r="AW112" s="62">
        <f t="shared" si="61"/>
        <v>0</v>
      </c>
      <c r="AX112" s="62">
        <f t="shared" si="61"/>
        <v>0</v>
      </c>
      <c r="AY112" s="62">
        <f t="shared" si="61"/>
        <v>0</v>
      </c>
      <c r="AZ112" s="62">
        <f t="shared" si="61"/>
        <v>0</v>
      </c>
      <c r="BA112" s="62">
        <f t="shared" si="61"/>
        <v>0</v>
      </c>
      <c r="BB112" s="62">
        <f t="shared" si="61"/>
        <v>0</v>
      </c>
      <c r="BC112" s="62">
        <f t="shared" si="61"/>
        <v>0</v>
      </c>
      <c r="BD112" s="62">
        <f t="shared" si="61"/>
        <v>0</v>
      </c>
      <c r="BE112" s="62">
        <f t="shared" si="61"/>
        <v>0</v>
      </c>
      <c r="BF112" s="62">
        <f t="shared" si="61"/>
        <v>0</v>
      </c>
      <c r="BG112" s="62">
        <f t="shared" si="61"/>
        <v>0</v>
      </c>
      <c r="BH112" s="62">
        <f t="shared" si="61"/>
        <v>0</v>
      </c>
      <c r="BI112" s="62">
        <f t="shared" si="61"/>
        <v>0</v>
      </c>
      <c r="BJ112" s="62">
        <f t="shared" si="61"/>
        <v>0</v>
      </c>
      <c r="BK112" s="62">
        <f t="shared" si="61"/>
        <v>0</v>
      </c>
      <c r="BL112" s="62">
        <f t="shared" si="61"/>
        <v>0</v>
      </c>
      <c r="BM112" s="62">
        <f t="shared" si="61"/>
        <v>0</v>
      </c>
      <c r="BN112" s="62">
        <f t="shared" si="61"/>
        <v>0</v>
      </c>
      <c r="BO112" s="62">
        <f t="shared" si="61"/>
        <v>0</v>
      </c>
      <c r="BP112" s="62">
        <f t="shared" si="61"/>
        <v>0</v>
      </c>
      <c r="BQ112" s="62">
        <f t="shared" si="61"/>
        <v>0</v>
      </c>
      <c r="BR112" s="62">
        <f t="shared" si="61"/>
        <v>0</v>
      </c>
    </row>
    <row r="113" spans="1:72" x14ac:dyDescent="0.25">
      <c r="B113" s="139" t="str">
        <f t="shared" si="54"/>
        <v>Post 18</v>
      </c>
      <c r="D113" s="161" t="str">
        <f t="shared" si="41"/>
        <v>£</v>
      </c>
      <c r="E113" s="64">
        <f t="shared" si="44"/>
        <v>0</v>
      </c>
      <c r="F113" s="64">
        <f t="shared" si="44"/>
        <v>0</v>
      </c>
      <c r="G113" s="64">
        <f t="shared" si="44"/>
        <v>0</v>
      </c>
      <c r="H113" s="64">
        <f t="shared" si="44"/>
        <v>0</v>
      </c>
      <c r="I113" s="64">
        <f t="shared" si="44"/>
        <v>0</v>
      </c>
      <c r="K113" s="62">
        <f t="shared" ref="K113:BR113" si="62">K86*K63*(1+$D$93+$D$94)</f>
        <v>0</v>
      </c>
      <c r="L113" s="62">
        <f t="shared" si="62"/>
        <v>0</v>
      </c>
      <c r="M113" s="62">
        <f t="shared" si="62"/>
        <v>0</v>
      </c>
      <c r="N113" s="62">
        <f t="shared" si="62"/>
        <v>0</v>
      </c>
      <c r="O113" s="62">
        <f t="shared" si="62"/>
        <v>0</v>
      </c>
      <c r="P113" s="62">
        <f t="shared" si="62"/>
        <v>0</v>
      </c>
      <c r="Q113" s="62">
        <f t="shared" si="62"/>
        <v>0</v>
      </c>
      <c r="R113" s="62">
        <f t="shared" si="62"/>
        <v>0</v>
      </c>
      <c r="S113" s="62">
        <f t="shared" si="62"/>
        <v>0</v>
      </c>
      <c r="T113" s="62">
        <f t="shared" si="62"/>
        <v>0</v>
      </c>
      <c r="U113" s="62">
        <f t="shared" si="62"/>
        <v>0</v>
      </c>
      <c r="V113" s="62">
        <f t="shared" si="62"/>
        <v>0</v>
      </c>
      <c r="W113" s="62">
        <f t="shared" si="62"/>
        <v>0</v>
      </c>
      <c r="X113" s="62">
        <f t="shared" si="62"/>
        <v>0</v>
      </c>
      <c r="Y113" s="62">
        <f t="shared" si="62"/>
        <v>0</v>
      </c>
      <c r="Z113" s="62">
        <f t="shared" si="62"/>
        <v>0</v>
      </c>
      <c r="AA113" s="62">
        <f t="shared" si="62"/>
        <v>0</v>
      </c>
      <c r="AB113" s="62">
        <f t="shared" si="62"/>
        <v>0</v>
      </c>
      <c r="AC113" s="62">
        <f t="shared" si="62"/>
        <v>0</v>
      </c>
      <c r="AD113" s="62">
        <f t="shared" si="62"/>
        <v>0</v>
      </c>
      <c r="AE113" s="62">
        <f t="shared" si="62"/>
        <v>0</v>
      </c>
      <c r="AF113" s="62">
        <f t="shared" si="62"/>
        <v>0</v>
      </c>
      <c r="AG113" s="62">
        <f t="shared" si="62"/>
        <v>0</v>
      </c>
      <c r="AH113" s="62">
        <f t="shared" si="62"/>
        <v>0</v>
      </c>
      <c r="AI113" s="62">
        <f t="shared" si="62"/>
        <v>0</v>
      </c>
      <c r="AJ113" s="62">
        <f t="shared" si="62"/>
        <v>0</v>
      </c>
      <c r="AK113" s="62">
        <f t="shared" si="62"/>
        <v>0</v>
      </c>
      <c r="AL113" s="62">
        <f t="shared" si="62"/>
        <v>0</v>
      </c>
      <c r="AM113" s="62">
        <f t="shared" si="62"/>
        <v>0</v>
      </c>
      <c r="AN113" s="62">
        <f t="shared" si="62"/>
        <v>0</v>
      </c>
      <c r="AO113" s="62">
        <f t="shared" si="62"/>
        <v>0</v>
      </c>
      <c r="AP113" s="62">
        <f t="shared" si="62"/>
        <v>0</v>
      </c>
      <c r="AQ113" s="62">
        <f t="shared" si="62"/>
        <v>0</v>
      </c>
      <c r="AR113" s="62">
        <f t="shared" si="62"/>
        <v>0</v>
      </c>
      <c r="AS113" s="62">
        <f t="shared" si="62"/>
        <v>0</v>
      </c>
      <c r="AT113" s="62">
        <f t="shared" si="62"/>
        <v>0</v>
      </c>
      <c r="AU113" s="62">
        <f t="shared" si="62"/>
        <v>0</v>
      </c>
      <c r="AV113" s="62">
        <f t="shared" si="62"/>
        <v>0</v>
      </c>
      <c r="AW113" s="62">
        <f t="shared" si="62"/>
        <v>0</v>
      </c>
      <c r="AX113" s="62">
        <f t="shared" si="62"/>
        <v>0</v>
      </c>
      <c r="AY113" s="62">
        <f t="shared" si="62"/>
        <v>0</v>
      </c>
      <c r="AZ113" s="62">
        <f t="shared" si="62"/>
        <v>0</v>
      </c>
      <c r="BA113" s="62">
        <f t="shared" si="62"/>
        <v>0</v>
      </c>
      <c r="BB113" s="62">
        <f t="shared" si="62"/>
        <v>0</v>
      </c>
      <c r="BC113" s="62">
        <f t="shared" si="62"/>
        <v>0</v>
      </c>
      <c r="BD113" s="62">
        <f t="shared" si="62"/>
        <v>0</v>
      </c>
      <c r="BE113" s="62">
        <f t="shared" si="62"/>
        <v>0</v>
      </c>
      <c r="BF113" s="62">
        <f t="shared" si="62"/>
        <v>0</v>
      </c>
      <c r="BG113" s="62">
        <f t="shared" si="62"/>
        <v>0</v>
      </c>
      <c r="BH113" s="62">
        <f t="shared" si="62"/>
        <v>0</v>
      </c>
      <c r="BI113" s="62">
        <f t="shared" si="62"/>
        <v>0</v>
      </c>
      <c r="BJ113" s="62">
        <f t="shared" si="62"/>
        <v>0</v>
      </c>
      <c r="BK113" s="62">
        <f t="shared" si="62"/>
        <v>0</v>
      </c>
      <c r="BL113" s="62">
        <f t="shared" si="62"/>
        <v>0</v>
      </c>
      <c r="BM113" s="62">
        <f t="shared" si="62"/>
        <v>0</v>
      </c>
      <c r="BN113" s="62">
        <f t="shared" si="62"/>
        <v>0</v>
      </c>
      <c r="BO113" s="62">
        <f t="shared" si="62"/>
        <v>0</v>
      </c>
      <c r="BP113" s="62">
        <f t="shared" si="62"/>
        <v>0</v>
      </c>
      <c r="BQ113" s="62">
        <f t="shared" si="62"/>
        <v>0</v>
      </c>
      <c r="BR113" s="62">
        <f t="shared" si="62"/>
        <v>0</v>
      </c>
    </row>
    <row r="114" spans="1:72" x14ac:dyDescent="0.25">
      <c r="B114" s="139" t="str">
        <f t="shared" si="54"/>
        <v>Post 19</v>
      </c>
      <c r="D114" s="161" t="str">
        <f t="shared" si="41"/>
        <v>£</v>
      </c>
      <c r="E114" s="64">
        <f t="shared" si="44"/>
        <v>0</v>
      </c>
      <c r="F114" s="64">
        <f t="shared" si="44"/>
        <v>0</v>
      </c>
      <c r="G114" s="64">
        <f t="shared" si="44"/>
        <v>0</v>
      </c>
      <c r="H114" s="64">
        <f t="shared" si="44"/>
        <v>0</v>
      </c>
      <c r="I114" s="64">
        <f t="shared" si="44"/>
        <v>0</v>
      </c>
      <c r="K114" s="62">
        <f t="shared" ref="K114:BR114" si="63">K87*K64*(1+$D$93+$D$94)</f>
        <v>0</v>
      </c>
      <c r="L114" s="62">
        <f t="shared" si="63"/>
        <v>0</v>
      </c>
      <c r="M114" s="62">
        <f t="shared" si="63"/>
        <v>0</v>
      </c>
      <c r="N114" s="62">
        <f t="shared" si="63"/>
        <v>0</v>
      </c>
      <c r="O114" s="62">
        <f t="shared" si="63"/>
        <v>0</v>
      </c>
      <c r="P114" s="62">
        <f t="shared" si="63"/>
        <v>0</v>
      </c>
      <c r="Q114" s="62">
        <f t="shared" si="63"/>
        <v>0</v>
      </c>
      <c r="R114" s="62">
        <f t="shared" si="63"/>
        <v>0</v>
      </c>
      <c r="S114" s="62">
        <f t="shared" si="63"/>
        <v>0</v>
      </c>
      <c r="T114" s="62">
        <f t="shared" si="63"/>
        <v>0</v>
      </c>
      <c r="U114" s="62">
        <f t="shared" si="63"/>
        <v>0</v>
      </c>
      <c r="V114" s="62">
        <f t="shared" si="63"/>
        <v>0</v>
      </c>
      <c r="W114" s="62">
        <f t="shared" si="63"/>
        <v>0</v>
      </c>
      <c r="X114" s="62">
        <f t="shared" si="63"/>
        <v>0</v>
      </c>
      <c r="Y114" s="62">
        <f t="shared" si="63"/>
        <v>0</v>
      </c>
      <c r="Z114" s="62">
        <f t="shared" si="63"/>
        <v>0</v>
      </c>
      <c r="AA114" s="62">
        <f t="shared" si="63"/>
        <v>0</v>
      </c>
      <c r="AB114" s="62">
        <f t="shared" si="63"/>
        <v>0</v>
      </c>
      <c r="AC114" s="62">
        <f t="shared" si="63"/>
        <v>0</v>
      </c>
      <c r="AD114" s="62">
        <f t="shared" si="63"/>
        <v>0</v>
      </c>
      <c r="AE114" s="62">
        <f t="shared" si="63"/>
        <v>0</v>
      </c>
      <c r="AF114" s="62">
        <f t="shared" si="63"/>
        <v>0</v>
      </c>
      <c r="AG114" s="62">
        <f t="shared" si="63"/>
        <v>0</v>
      </c>
      <c r="AH114" s="62">
        <f t="shared" si="63"/>
        <v>0</v>
      </c>
      <c r="AI114" s="62">
        <f t="shared" si="63"/>
        <v>0</v>
      </c>
      <c r="AJ114" s="62">
        <f t="shared" si="63"/>
        <v>0</v>
      </c>
      <c r="AK114" s="62">
        <f t="shared" si="63"/>
        <v>0</v>
      </c>
      <c r="AL114" s="62">
        <f t="shared" si="63"/>
        <v>0</v>
      </c>
      <c r="AM114" s="62">
        <f t="shared" si="63"/>
        <v>0</v>
      </c>
      <c r="AN114" s="62">
        <f t="shared" si="63"/>
        <v>0</v>
      </c>
      <c r="AO114" s="62">
        <f t="shared" si="63"/>
        <v>0</v>
      </c>
      <c r="AP114" s="62">
        <f t="shared" si="63"/>
        <v>0</v>
      </c>
      <c r="AQ114" s="62">
        <f t="shared" si="63"/>
        <v>0</v>
      </c>
      <c r="AR114" s="62">
        <f t="shared" si="63"/>
        <v>0</v>
      </c>
      <c r="AS114" s="62">
        <f t="shared" si="63"/>
        <v>0</v>
      </c>
      <c r="AT114" s="62">
        <f t="shared" si="63"/>
        <v>0</v>
      </c>
      <c r="AU114" s="62">
        <f t="shared" si="63"/>
        <v>0</v>
      </c>
      <c r="AV114" s="62">
        <f t="shared" si="63"/>
        <v>0</v>
      </c>
      <c r="AW114" s="62">
        <f t="shared" si="63"/>
        <v>0</v>
      </c>
      <c r="AX114" s="62">
        <f t="shared" si="63"/>
        <v>0</v>
      </c>
      <c r="AY114" s="62">
        <f t="shared" si="63"/>
        <v>0</v>
      </c>
      <c r="AZ114" s="62">
        <f t="shared" si="63"/>
        <v>0</v>
      </c>
      <c r="BA114" s="62">
        <f t="shared" si="63"/>
        <v>0</v>
      </c>
      <c r="BB114" s="62">
        <f t="shared" si="63"/>
        <v>0</v>
      </c>
      <c r="BC114" s="62">
        <f t="shared" si="63"/>
        <v>0</v>
      </c>
      <c r="BD114" s="62">
        <f t="shared" si="63"/>
        <v>0</v>
      </c>
      <c r="BE114" s="62">
        <f t="shared" si="63"/>
        <v>0</v>
      </c>
      <c r="BF114" s="62">
        <f t="shared" si="63"/>
        <v>0</v>
      </c>
      <c r="BG114" s="62">
        <f t="shared" si="63"/>
        <v>0</v>
      </c>
      <c r="BH114" s="62">
        <f t="shared" si="63"/>
        <v>0</v>
      </c>
      <c r="BI114" s="62">
        <f t="shared" si="63"/>
        <v>0</v>
      </c>
      <c r="BJ114" s="62">
        <f t="shared" si="63"/>
        <v>0</v>
      </c>
      <c r="BK114" s="62">
        <f t="shared" si="63"/>
        <v>0</v>
      </c>
      <c r="BL114" s="62">
        <f t="shared" si="63"/>
        <v>0</v>
      </c>
      <c r="BM114" s="62">
        <f t="shared" si="63"/>
        <v>0</v>
      </c>
      <c r="BN114" s="62">
        <f t="shared" si="63"/>
        <v>0</v>
      </c>
      <c r="BO114" s="62">
        <f t="shared" si="63"/>
        <v>0</v>
      </c>
      <c r="BP114" s="62">
        <f t="shared" si="63"/>
        <v>0</v>
      </c>
      <c r="BQ114" s="62">
        <f t="shared" si="63"/>
        <v>0</v>
      </c>
      <c r="BR114" s="62">
        <f t="shared" si="63"/>
        <v>0</v>
      </c>
    </row>
    <row r="115" spans="1:72" x14ac:dyDescent="0.25">
      <c r="B115" s="139" t="str">
        <f t="shared" si="54"/>
        <v>Post 20</v>
      </c>
      <c r="D115" s="161" t="str">
        <f t="shared" si="41"/>
        <v>£</v>
      </c>
      <c r="E115" s="64">
        <f t="shared" si="44"/>
        <v>0</v>
      </c>
      <c r="F115" s="64">
        <f t="shared" si="44"/>
        <v>0</v>
      </c>
      <c r="G115" s="64">
        <f t="shared" si="44"/>
        <v>0</v>
      </c>
      <c r="H115" s="64">
        <f t="shared" si="44"/>
        <v>0</v>
      </c>
      <c r="I115" s="64">
        <f t="shared" si="44"/>
        <v>0</v>
      </c>
      <c r="K115" s="62">
        <f t="shared" ref="K115:BR115" si="64">K88*K65*(1+$D$93+$D$94)</f>
        <v>0</v>
      </c>
      <c r="L115" s="62">
        <f t="shared" si="64"/>
        <v>0</v>
      </c>
      <c r="M115" s="62">
        <f t="shared" si="64"/>
        <v>0</v>
      </c>
      <c r="N115" s="62">
        <f t="shared" si="64"/>
        <v>0</v>
      </c>
      <c r="O115" s="62">
        <f t="shared" si="64"/>
        <v>0</v>
      </c>
      <c r="P115" s="62">
        <f t="shared" si="64"/>
        <v>0</v>
      </c>
      <c r="Q115" s="62">
        <f t="shared" si="64"/>
        <v>0</v>
      </c>
      <c r="R115" s="62">
        <f t="shared" si="64"/>
        <v>0</v>
      </c>
      <c r="S115" s="62">
        <f t="shared" si="64"/>
        <v>0</v>
      </c>
      <c r="T115" s="62">
        <f t="shared" si="64"/>
        <v>0</v>
      </c>
      <c r="U115" s="62">
        <f t="shared" si="64"/>
        <v>0</v>
      </c>
      <c r="V115" s="62">
        <f t="shared" si="64"/>
        <v>0</v>
      </c>
      <c r="W115" s="62">
        <f t="shared" si="64"/>
        <v>0</v>
      </c>
      <c r="X115" s="62">
        <f t="shared" si="64"/>
        <v>0</v>
      </c>
      <c r="Y115" s="62">
        <f t="shared" si="64"/>
        <v>0</v>
      </c>
      <c r="Z115" s="62">
        <f t="shared" si="64"/>
        <v>0</v>
      </c>
      <c r="AA115" s="62">
        <f t="shared" si="64"/>
        <v>0</v>
      </c>
      <c r="AB115" s="62">
        <f t="shared" si="64"/>
        <v>0</v>
      </c>
      <c r="AC115" s="62">
        <f t="shared" si="64"/>
        <v>0</v>
      </c>
      <c r="AD115" s="62">
        <f t="shared" si="64"/>
        <v>0</v>
      </c>
      <c r="AE115" s="62">
        <f t="shared" si="64"/>
        <v>0</v>
      </c>
      <c r="AF115" s="62">
        <f t="shared" si="64"/>
        <v>0</v>
      </c>
      <c r="AG115" s="62">
        <f t="shared" si="64"/>
        <v>0</v>
      </c>
      <c r="AH115" s="62">
        <f t="shared" si="64"/>
        <v>0</v>
      </c>
      <c r="AI115" s="62">
        <f t="shared" si="64"/>
        <v>0</v>
      </c>
      <c r="AJ115" s="62">
        <f t="shared" si="64"/>
        <v>0</v>
      </c>
      <c r="AK115" s="62">
        <f t="shared" si="64"/>
        <v>0</v>
      </c>
      <c r="AL115" s="62">
        <f t="shared" si="64"/>
        <v>0</v>
      </c>
      <c r="AM115" s="62">
        <f t="shared" si="64"/>
        <v>0</v>
      </c>
      <c r="AN115" s="62">
        <f t="shared" si="64"/>
        <v>0</v>
      </c>
      <c r="AO115" s="62">
        <f t="shared" si="64"/>
        <v>0</v>
      </c>
      <c r="AP115" s="62">
        <f t="shared" si="64"/>
        <v>0</v>
      </c>
      <c r="AQ115" s="62">
        <f t="shared" si="64"/>
        <v>0</v>
      </c>
      <c r="AR115" s="62">
        <f t="shared" si="64"/>
        <v>0</v>
      </c>
      <c r="AS115" s="62">
        <f t="shared" si="64"/>
        <v>0</v>
      </c>
      <c r="AT115" s="62">
        <f t="shared" si="64"/>
        <v>0</v>
      </c>
      <c r="AU115" s="62">
        <f t="shared" si="64"/>
        <v>0</v>
      </c>
      <c r="AV115" s="62">
        <f t="shared" si="64"/>
        <v>0</v>
      </c>
      <c r="AW115" s="62">
        <f t="shared" si="64"/>
        <v>0</v>
      </c>
      <c r="AX115" s="62">
        <f t="shared" si="64"/>
        <v>0</v>
      </c>
      <c r="AY115" s="62">
        <f t="shared" si="64"/>
        <v>0</v>
      </c>
      <c r="AZ115" s="62">
        <f t="shared" si="64"/>
        <v>0</v>
      </c>
      <c r="BA115" s="62">
        <f t="shared" si="64"/>
        <v>0</v>
      </c>
      <c r="BB115" s="62">
        <f t="shared" si="64"/>
        <v>0</v>
      </c>
      <c r="BC115" s="62">
        <f t="shared" si="64"/>
        <v>0</v>
      </c>
      <c r="BD115" s="62">
        <f t="shared" si="64"/>
        <v>0</v>
      </c>
      <c r="BE115" s="62">
        <f t="shared" si="64"/>
        <v>0</v>
      </c>
      <c r="BF115" s="62">
        <f t="shared" si="64"/>
        <v>0</v>
      </c>
      <c r="BG115" s="62">
        <f t="shared" si="64"/>
        <v>0</v>
      </c>
      <c r="BH115" s="62">
        <f t="shared" si="64"/>
        <v>0</v>
      </c>
      <c r="BI115" s="62">
        <f t="shared" si="64"/>
        <v>0</v>
      </c>
      <c r="BJ115" s="62">
        <f t="shared" si="64"/>
        <v>0</v>
      </c>
      <c r="BK115" s="62">
        <f t="shared" si="64"/>
        <v>0</v>
      </c>
      <c r="BL115" s="62">
        <f t="shared" si="64"/>
        <v>0</v>
      </c>
      <c r="BM115" s="62">
        <f t="shared" si="64"/>
        <v>0</v>
      </c>
      <c r="BN115" s="62">
        <f t="shared" si="64"/>
        <v>0</v>
      </c>
      <c r="BO115" s="62">
        <f t="shared" si="64"/>
        <v>0</v>
      </c>
      <c r="BP115" s="62">
        <f t="shared" si="64"/>
        <v>0</v>
      </c>
      <c r="BQ115" s="62">
        <f t="shared" si="64"/>
        <v>0</v>
      </c>
      <c r="BR115" s="62">
        <f t="shared" si="64"/>
        <v>0</v>
      </c>
    </row>
    <row r="116" spans="1:72" s="91" customFormat="1" x14ac:dyDescent="0.25">
      <c r="B116" s="91" t="s">
        <v>14</v>
      </c>
      <c r="D116" s="206" t="str">
        <f t="shared" si="41"/>
        <v>£</v>
      </c>
      <c r="E116" s="92">
        <f>SUM(E96:E115)</f>
        <v>0</v>
      </c>
      <c r="F116" s="92">
        <f t="shared" ref="F116:I116" si="65">SUM(F96:F115)</f>
        <v>0</v>
      </c>
      <c r="G116" s="92">
        <f t="shared" si="65"/>
        <v>0</v>
      </c>
      <c r="H116" s="92">
        <f t="shared" si="65"/>
        <v>0</v>
      </c>
      <c r="I116" s="92">
        <f t="shared" si="65"/>
        <v>0</v>
      </c>
      <c r="K116" s="227">
        <f>SUM(K96:K115)</f>
        <v>0</v>
      </c>
      <c r="L116" s="227">
        <f t="shared" ref="L116:BR116" si="66">SUM(L96:L115)</f>
        <v>0</v>
      </c>
      <c r="M116" s="227">
        <f t="shared" si="66"/>
        <v>0</v>
      </c>
      <c r="N116" s="227">
        <f t="shared" si="66"/>
        <v>0</v>
      </c>
      <c r="O116" s="227">
        <f t="shared" si="66"/>
        <v>0</v>
      </c>
      <c r="P116" s="227">
        <f t="shared" si="66"/>
        <v>0</v>
      </c>
      <c r="Q116" s="227">
        <f t="shared" si="66"/>
        <v>0</v>
      </c>
      <c r="R116" s="227">
        <f t="shared" si="66"/>
        <v>0</v>
      </c>
      <c r="S116" s="227">
        <f t="shared" si="66"/>
        <v>0</v>
      </c>
      <c r="T116" s="227">
        <f t="shared" si="66"/>
        <v>0</v>
      </c>
      <c r="U116" s="227">
        <f t="shared" si="66"/>
        <v>0</v>
      </c>
      <c r="V116" s="227">
        <f t="shared" si="66"/>
        <v>0</v>
      </c>
      <c r="W116" s="227">
        <f t="shared" si="66"/>
        <v>0</v>
      </c>
      <c r="X116" s="227">
        <f t="shared" si="66"/>
        <v>0</v>
      </c>
      <c r="Y116" s="227">
        <f t="shared" si="66"/>
        <v>0</v>
      </c>
      <c r="Z116" s="227">
        <f t="shared" si="66"/>
        <v>0</v>
      </c>
      <c r="AA116" s="227">
        <f t="shared" si="66"/>
        <v>0</v>
      </c>
      <c r="AB116" s="227">
        <f t="shared" si="66"/>
        <v>0</v>
      </c>
      <c r="AC116" s="227">
        <f t="shared" si="66"/>
        <v>0</v>
      </c>
      <c r="AD116" s="227">
        <f t="shared" si="66"/>
        <v>0</v>
      </c>
      <c r="AE116" s="227">
        <f t="shared" si="66"/>
        <v>0</v>
      </c>
      <c r="AF116" s="227">
        <f t="shared" si="66"/>
        <v>0</v>
      </c>
      <c r="AG116" s="227">
        <f t="shared" si="66"/>
        <v>0</v>
      </c>
      <c r="AH116" s="227">
        <f t="shared" si="66"/>
        <v>0</v>
      </c>
      <c r="AI116" s="227">
        <f t="shared" si="66"/>
        <v>0</v>
      </c>
      <c r="AJ116" s="227">
        <f t="shared" si="66"/>
        <v>0</v>
      </c>
      <c r="AK116" s="227">
        <f t="shared" si="66"/>
        <v>0</v>
      </c>
      <c r="AL116" s="227">
        <f t="shared" si="66"/>
        <v>0</v>
      </c>
      <c r="AM116" s="227">
        <f t="shared" si="66"/>
        <v>0</v>
      </c>
      <c r="AN116" s="227">
        <f t="shared" si="66"/>
        <v>0</v>
      </c>
      <c r="AO116" s="227">
        <f t="shared" si="66"/>
        <v>0</v>
      </c>
      <c r="AP116" s="227">
        <f t="shared" si="66"/>
        <v>0</v>
      </c>
      <c r="AQ116" s="227">
        <f t="shared" si="66"/>
        <v>0</v>
      </c>
      <c r="AR116" s="227">
        <f t="shared" si="66"/>
        <v>0</v>
      </c>
      <c r="AS116" s="227">
        <f t="shared" si="66"/>
        <v>0</v>
      </c>
      <c r="AT116" s="227">
        <f t="shared" si="66"/>
        <v>0</v>
      </c>
      <c r="AU116" s="227">
        <f t="shared" si="66"/>
        <v>0</v>
      </c>
      <c r="AV116" s="227">
        <f t="shared" si="66"/>
        <v>0</v>
      </c>
      <c r="AW116" s="227">
        <f t="shared" si="66"/>
        <v>0</v>
      </c>
      <c r="AX116" s="227">
        <f t="shared" si="66"/>
        <v>0</v>
      </c>
      <c r="AY116" s="227">
        <f t="shared" si="66"/>
        <v>0</v>
      </c>
      <c r="AZ116" s="227">
        <f t="shared" si="66"/>
        <v>0</v>
      </c>
      <c r="BA116" s="227">
        <f t="shared" si="66"/>
        <v>0</v>
      </c>
      <c r="BB116" s="227">
        <f t="shared" si="66"/>
        <v>0</v>
      </c>
      <c r="BC116" s="227">
        <f t="shared" si="66"/>
        <v>0</v>
      </c>
      <c r="BD116" s="227">
        <f t="shared" si="66"/>
        <v>0</v>
      </c>
      <c r="BE116" s="227">
        <f t="shared" si="66"/>
        <v>0</v>
      </c>
      <c r="BF116" s="227">
        <f t="shared" si="66"/>
        <v>0</v>
      </c>
      <c r="BG116" s="227">
        <f t="shared" si="66"/>
        <v>0</v>
      </c>
      <c r="BH116" s="227">
        <f t="shared" si="66"/>
        <v>0</v>
      </c>
      <c r="BI116" s="227">
        <f t="shared" si="66"/>
        <v>0</v>
      </c>
      <c r="BJ116" s="227">
        <f t="shared" si="66"/>
        <v>0</v>
      </c>
      <c r="BK116" s="227">
        <f t="shared" si="66"/>
        <v>0</v>
      </c>
      <c r="BL116" s="227">
        <f t="shared" si="66"/>
        <v>0</v>
      </c>
      <c r="BM116" s="227">
        <f t="shared" si="66"/>
        <v>0</v>
      </c>
      <c r="BN116" s="227">
        <f t="shared" si="66"/>
        <v>0</v>
      </c>
      <c r="BO116" s="227">
        <f t="shared" si="66"/>
        <v>0</v>
      </c>
      <c r="BP116" s="227">
        <f t="shared" si="66"/>
        <v>0</v>
      </c>
      <c r="BQ116" s="227">
        <f t="shared" si="66"/>
        <v>0</v>
      </c>
      <c r="BR116" s="227">
        <f t="shared" si="66"/>
        <v>0</v>
      </c>
      <c r="BT116" s="187"/>
    </row>
    <row r="118" spans="1:72" s="166" customFormat="1" ht="15.6" x14ac:dyDescent="0.3">
      <c r="A118" s="166" t="s">
        <v>217</v>
      </c>
    </row>
  </sheetData>
  <pageMargins left="0.70866141732283472" right="0.70866141732283472" top="0.74803149606299213" bottom="0.74803149606299213" header="0.31496062992125984" footer="0.31496062992125984"/>
  <pageSetup paperSize="9" scale="32" orientation="landscape"/>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8">
    <tabColor rgb="FF00B050"/>
  </sheetPr>
  <dimension ref="A1:BZ34"/>
  <sheetViews>
    <sheetView showGridLines="0" zoomScale="80" zoomScaleNormal="80" zoomScalePageLayoutView="80" workbookViewId="0">
      <pane xSplit="10" ySplit="8" topLeftCell="K9" activePane="bottomRight" state="frozen"/>
      <selection activeCell="C10" sqref="C10"/>
      <selection pane="topRight" activeCell="C10" sqref="C10"/>
      <selection pane="bottomLeft" activeCell="C10" sqref="C10"/>
      <selection pane="bottomRight" activeCell="K9" sqref="K9"/>
    </sheetView>
  </sheetViews>
  <sheetFormatPr defaultColWidth="8.88671875" defaultRowHeight="13.2" x14ac:dyDescent="0.25"/>
  <cols>
    <col min="1" max="1" width="5.109375" style="139" customWidth="1"/>
    <col min="2" max="2" width="32.6640625" style="139" customWidth="1"/>
    <col min="3" max="3" width="5.88671875" style="139" customWidth="1"/>
    <col min="4" max="4" width="9.33203125" style="139" customWidth="1"/>
    <col min="5" max="9" width="10" style="139" bestFit="1" customWidth="1"/>
    <col min="10" max="10" width="3.44140625" style="139" customWidth="1"/>
    <col min="11" max="70" width="11.44140625" style="139" bestFit="1" customWidth="1"/>
    <col min="71" max="71" width="3" style="139" customWidth="1"/>
    <col min="72" max="72" width="13.88671875" style="71" bestFit="1" customWidth="1"/>
    <col min="73" max="16384" width="8.88671875" style="139"/>
  </cols>
  <sheetData>
    <row r="1" spans="1:78" s="285" customFormat="1" x14ac:dyDescent="0.25"/>
    <row r="2" spans="1:78" s="285" customFormat="1" x14ac:dyDescent="0.25"/>
    <row r="3" spans="1:78" s="285" customFormat="1" x14ac:dyDescent="0.25">
      <c r="A3" s="286" t="str">
        <f>IF(KeyInputs!$F$14=0,"Company Name",KeyInputs!$F$14)</f>
        <v>Company Name</v>
      </c>
      <c r="C3" s="286"/>
      <c r="D3" s="286"/>
      <c r="E3" s="286"/>
      <c r="F3" s="286"/>
      <c r="G3" s="286"/>
      <c r="H3" s="286"/>
      <c r="I3" s="286"/>
      <c r="J3" s="286"/>
    </row>
    <row r="4" spans="1:78" s="285" customFormat="1" x14ac:dyDescent="0.25">
      <c r="A4" s="285" t="s">
        <v>15</v>
      </c>
    </row>
    <row r="5" spans="1:78" s="285" customFormat="1" x14ac:dyDescent="0.25">
      <c r="D5" s="287" t="str">
        <f>KeyInputs!D5</f>
        <v>Year</v>
      </c>
      <c r="E5" s="287">
        <f>KeyInputs!H5</f>
        <v>2015</v>
      </c>
      <c r="F5" s="287">
        <f>KeyInputs!I5</f>
        <v>2016</v>
      </c>
      <c r="G5" s="287">
        <f>KeyInputs!J5</f>
        <v>2017</v>
      </c>
      <c r="H5" s="287">
        <f>KeyInputs!K5</f>
        <v>2018</v>
      </c>
      <c r="I5" s="287">
        <f>KeyInputs!L5</f>
        <v>2019</v>
      </c>
      <c r="J5" s="287"/>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8" customFormat="1" x14ac:dyDescent="0.25">
      <c r="D6" s="287" t="str">
        <f>KeyInputs!D6</f>
        <v>Period number</v>
      </c>
      <c r="E6" s="287">
        <f>KeyInputs!H6</f>
        <v>1</v>
      </c>
      <c r="F6" s="287">
        <f>KeyInputs!I6</f>
        <v>2</v>
      </c>
      <c r="G6" s="287">
        <f>KeyInputs!J6</f>
        <v>3</v>
      </c>
      <c r="H6" s="287">
        <f>KeyInputs!K6</f>
        <v>4</v>
      </c>
      <c r="I6" s="287">
        <f>KeyInputs!L6</f>
        <v>5</v>
      </c>
      <c r="J6" s="287"/>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8" customFormat="1" x14ac:dyDescent="0.25">
      <c r="D7" s="287" t="str">
        <f>KeyInputs!D7</f>
        <v>Period starts</v>
      </c>
      <c r="E7" s="294">
        <f>KeyInputs!H7</f>
        <v>42005</v>
      </c>
      <c r="F7" s="294">
        <f>KeyInputs!I7</f>
        <v>42370</v>
      </c>
      <c r="G7" s="294">
        <f>KeyInputs!J7</f>
        <v>42736</v>
      </c>
      <c r="H7" s="294">
        <f>KeyInputs!K7</f>
        <v>43101</v>
      </c>
      <c r="I7" s="294">
        <f>KeyInputs!L7</f>
        <v>43466</v>
      </c>
      <c r="J7" s="287"/>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2" customFormat="1"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87"/>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8"/>
      <c r="BT8" s="288"/>
      <c r="BU8" s="288"/>
      <c r="BV8" s="288"/>
      <c r="BW8" s="288"/>
      <c r="BX8" s="288"/>
      <c r="BY8" s="288"/>
      <c r="BZ8" s="288"/>
    </row>
    <row r="9" spans="1:78" s="96" customFormat="1" x14ac:dyDescent="0.25">
      <c r="A9" s="95"/>
      <c r="D9" s="97"/>
      <c r="E9" s="98"/>
      <c r="F9" s="98"/>
      <c r="G9" s="98"/>
      <c r="H9" s="98"/>
      <c r="I9" s="98"/>
      <c r="J9" s="97"/>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row>
    <row r="10" spans="1:78" s="166" customFormat="1" ht="15.6" x14ac:dyDescent="0.3">
      <c r="A10" s="166">
        <f>Header1</f>
        <v>1</v>
      </c>
      <c r="B10" s="166" t="s">
        <v>162</v>
      </c>
    </row>
    <row r="11" spans="1:78" s="96" customFormat="1" x14ac:dyDescent="0.25">
      <c r="A11" s="95"/>
      <c r="D11" s="97"/>
      <c r="E11" s="98"/>
      <c r="F11" s="98"/>
      <c r="G11" s="98"/>
      <c r="H11" s="98"/>
      <c r="I11" s="98"/>
      <c r="J11" s="97"/>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row>
    <row r="12" spans="1:78" s="140" customFormat="1" x14ac:dyDescent="0.25">
      <c r="B12" s="195" t="s">
        <v>445</v>
      </c>
      <c r="C12" s="157"/>
      <c r="D12" s="200" t="str">
        <f t="shared" ref="D12:D32" si="0">unit</f>
        <v>£</v>
      </c>
      <c r="E12" s="94">
        <f>SUMIF($K$5:$BR$5,E$5,$K12:$BR12)</f>
        <v>0</v>
      </c>
      <c r="F12" s="94">
        <f t="shared" ref="F12:I12" si="1">SUMIF($K$5:$BR$5,F$5,$K12:$BR12)</f>
        <v>0</v>
      </c>
      <c r="G12" s="94">
        <f t="shared" si="1"/>
        <v>0</v>
      </c>
      <c r="H12" s="94">
        <f t="shared" si="1"/>
        <v>0</v>
      </c>
      <c r="I12" s="94">
        <f t="shared" si="1"/>
        <v>0</v>
      </c>
      <c r="J12" s="157"/>
      <c r="K12" s="144"/>
      <c r="L12" s="144"/>
      <c r="M12" s="144"/>
      <c r="N12" s="144"/>
      <c r="O12" s="144"/>
      <c r="P12" s="144"/>
      <c r="Q12" s="144"/>
      <c r="R12" s="144"/>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c r="AR12" s="144"/>
      <c r="AS12" s="144"/>
      <c r="AT12" s="144"/>
      <c r="AU12" s="144"/>
      <c r="AV12" s="144"/>
      <c r="AW12" s="144"/>
      <c r="AX12" s="144"/>
      <c r="AY12" s="144"/>
      <c r="AZ12" s="144"/>
      <c r="BA12" s="144"/>
      <c r="BB12" s="144"/>
      <c r="BC12" s="144"/>
      <c r="BD12" s="144"/>
      <c r="BE12" s="144"/>
      <c r="BF12" s="144"/>
      <c r="BG12" s="144"/>
      <c r="BH12" s="144"/>
      <c r="BI12" s="144"/>
      <c r="BJ12" s="144"/>
      <c r="BK12" s="144"/>
      <c r="BL12" s="144"/>
      <c r="BM12" s="144"/>
      <c r="BN12" s="144"/>
      <c r="BO12" s="144"/>
      <c r="BP12" s="144"/>
      <c r="BQ12" s="144"/>
      <c r="BR12" s="144"/>
      <c r="BT12" s="89"/>
    </row>
    <row r="13" spans="1:78" s="140" customFormat="1" x14ac:dyDescent="0.25">
      <c r="B13" s="195" t="s">
        <v>446</v>
      </c>
      <c r="C13" s="157"/>
      <c r="D13" s="200" t="str">
        <f t="shared" si="0"/>
        <v>£</v>
      </c>
      <c r="E13" s="94">
        <f t="shared" ref="E13:I31" si="2">SUMIF($K$5:$BR$5,E$5,$K13:$BR13)</f>
        <v>0</v>
      </c>
      <c r="F13" s="94">
        <f t="shared" si="2"/>
        <v>0</v>
      </c>
      <c r="G13" s="94">
        <f t="shared" si="2"/>
        <v>0</v>
      </c>
      <c r="H13" s="94">
        <f t="shared" si="2"/>
        <v>0</v>
      </c>
      <c r="I13" s="94">
        <f t="shared" si="2"/>
        <v>0</v>
      </c>
      <c r="J13" s="157"/>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T13" s="89"/>
    </row>
    <row r="14" spans="1:78" s="140" customFormat="1" x14ac:dyDescent="0.25">
      <c r="B14" s="195" t="s">
        <v>447</v>
      </c>
      <c r="C14" s="157"/>
      <c r="D14" s="200" t="str">
        <f t="shared" si="0"/>
        <v>£</v>
      </c>
      <c r="E14" s="94">
        <f t="shared" si="2"/>
        <v>0</v>
      </c>
      <c r="F14" s="94">
        <f t="shared" si="2"/>
        <v>0</v>
      </c>
      <c r="G14" s="94">
        <f t="shared" si="2"/>
        <v>0</v>
      </c>
      <c r="H14" s="94">
        <f t="shared" si="2"/>
        <v>0</v>
      </c>
      <c r="I14" s="94">
        <f t="shared" si="2"/>
        <v>0</v>
      </c>
      <c r="J14" s="157"/>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4"/>
      <c r="BT14" s="89"/>
    </row>
    <row r="15" spans="1:78" s="140" customFormat="1" x14ac:dyDescent="0.25">
      <c r="B15" s="195" t="s">
        <v>448</v>
      </c>
      <c r="C15" s="157"/>
      <c r="D15" s="200" t="str">
        <f t="shared" si="0"/>
        <v>£</v>
      </c>
      <c r="E15" s="94">
        <f t="shared" si="2"/>
        <v>0</v>
      </c>
      <c r="F15" s="94">
        <f t="shared" si="2"/>
        <v>0</v>
      </c>
      <c r="G15" s="94">
        <f t="shared" si="2"/>
        <v>0</v>
      </c>
      <c r="H15" s="94">
        <f t="shared" si="2"/>
        <v>0</v>
      </c>
      <c r="I15" s="94">
        <f t="shared" si="2"/>
        <v>0</v>
      </c>
      <c r="J15" s="157"/>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4"/>
      <c r="BO15" s="144"/>
      <c r="BP15" s="144"/>
      <c r="BQ15" s="144"/>
      <c r="BR15" s="144"/>
      <c r="BT15" s="89"/>
    </row>
    <row r="16" spans="1:78" s="140" customFormat="1" x14ac:dyDescent="0.25">
      <c r="B16" s="195" t="s">
        <v>449</v>
      </c>
      <c r="C16" s="157"/>
      <c r="D16" s="200" t="str">
        <f t="shared" si="0"/>
        <v>£</v>
      </c>
      <c r="E16" s="94">
        <f t="shared" si="2"/>
        <v>0</v>
      </c>
      <c r="F16" s="94">
        <f t="shared" si="2"/>
        <v>0</v>
      </c>
      <c r="G16" s="94">
        <f t="shared" si="2"/>
        <v>0</v>
      </c>
      <c r="H16" s="94">
        <f t="shared" si="2"/>
        <v>0</v>
      </c>
      <c r="I16" s="94">
        <f t="shared" si="2"/>
        <v>0</v>
      </c>
      <c r="J16" s="157"/>
      <c r="K16" s="144"/>
      <c r="L16" s="144"/>
      <c r="M16" s="144"/>
      <c r="N16" s="144"/>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c r="AR16" s="144"/>
      <c r="AS16" s="144"/>
      <c r="AT16" s="144"/>
      <c r="AU16" s="144"/>
      <c r="AV16" s="144"/>
      <c r="AW16" s="144"/>
      <c r="AX16" s="144"/>
      <c r="AY16" s="144"/>
      <c r="AZ16" s="144"/>
      <c r="BA16" s="144"/>
      <c r="BB16" s="144"/>
      <c r="BC16" s="144"/>
      <c r="BD16" s="144"/>
      <c r="BE16" s="144"/>
      <c r="BF16" s="144"/>
      <c r="BG16" s="144"/>
      <c r="BH16" s="144"/>
      <c r="BI16" s="144"/>
      <c r="BJ16" s="144"/>
      <c r="BK16" s="144"/>
      <c r="BL16" s="144"/>
      <c r="BM16" s="144"/>
      <c r="BN16" s="144"/>
      <c r="BO16" s="144"/>
      <c r="BP16" s="144"/>
      <c r="BQ16" s="144"/>
      <c r="BR16" s="144"/>
      <c r="BT16" s="89"/>
    </row>
    <row r="17" spans="2:72" s="140" customFormat="1" x14ac:dyDescent="0.25">
      <c r="B17" s="195" t="s">
        <v>450</v>
      </c>
      <c r="C17" s="157"/>
      <c r="D17" s="200" t="str">
        <f t="shared" si="0"/>
        <v>£</v>
      </c>
      <c r="E17" s="94">
        <f t="shared" si="2"/>
        <v>0</v>
      </c>
      <c r="F17" s="94">
        <f t="shared" si="2"/>
        <v>0</v>
      </c>
      <c r="G17" s="94">
        <f t="shared" si="2"/>
        <v>0</v>
      </c>
      <c r="H17" s="94">
        <f t="shared" si="2"/>
        <v>0</v>
      </c>
      <c r="I17" s="94">
        <f t="shared" si="2"/>
        <v>0</v>
      </c>
      <c r="J17" s="157"/>
      <c r="K17" s="144"/>
      <c r="L17" s="144"/>
      <c r="M17" s="144"/>
      <c r="N17" s="144"/>
      <c r="O17" s="144"/>
      <c r="P17" s="144"/>
      <c r="Q17" s="144"/>
      <c r="R17" s="144"/>
      <c r="S17" s="144"/>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c r="AS17" s="144"/>
      <c r="AT17" s="144"/>
      <c r="AU17" s="144"/>
      <c r="AV17" s="144"/>
      <c r="AW17" s="144"/>
      <c r="AX17" s="144"/>
      <c r="AY17" s="144"/>
      <c r="AZ17" s="144"/>
      <c r="BA17" s="144"/>
      <c r="BB17" s="144"/>
      <c r="BC17" s="144"/>
      <c r="BD17" s="144"/>
      <c r="BE17" s="144"/>
      <c r="BF17" s="144"/>
      <c r="BG17" s="144"/>
      <c r="BH17" s="144"/>
      <c r="BI17" s="144"/>
      <c r="BJ17" s="144"/>
      <c r="BK17" s="144"/>
      <c r="BL17" s="144"/>
      <c r="BM17" s="144"/>
      <c r="BN17" s="144"/>
      <c r="BO17" s="144"/>
      <c r="BP17" s="144"/>
      <c r="BQ17" s="144"/>
      <c r="BR17" s="144"/>
      <c r="BT17" s="89"/>
    </row>
    <row r="18" spans="2:72" s="140" customFormat="1" x14ac:dyDescent="0.25">
      <c r="B18" s="195" t="s">
        <v>451</v>
      </c>
      <c r="C18" s="157"/>
      <c r="D18" s="200" t="str">
        <f t="shared" si="0"/>
        <v>£</v>
      </c>
      <c r="E18" s="94">
        <f t="shared" si="2"/>
        <v>0</v>
      </c>
      <c r="F18" s="94">
        <f t="shared" si="2"/>
        <v>0</v>
      </c>
      <c r="G18" s="94">
        <f t="shared" si="2"/>
        <v>0</v>
      </c>
      <c r="H18" s="94">
        <f t="shared" si="2"/>
        <v>0</v>
      </c>
      <c r="I18" s="94">
        <f t="shared" si="2"/>
        <v>0</v>
      </c>
      <c r="J18" s="157"/>
      <c r="K18" s="144"/>
      <c r="L18" s="144"/>
      <c r="M18" s="144"/>
      <c r="N18" s="144"/>
      <c r="O18" s="144"/>
      <c r="P18" s="144"/>
      <c r="Q18" s="144"/>
      <c r="R18" s="144"/>
      <c r="S18" s="144"/>
      <c r="T18" s="144"/>
      <c r="U18" s="144"/>
      <c r="V18" s="144"/>
      <c r="W18" s="144"/>
      <c r="X18" s="144"/>
      <c r="Y18" s="144"/>
      <c r="Z18" s="144"/>
      <c r="AA18" s="144"/>
      <c r="AB18" s="144"/>
      <c r="AC18" s="144"/>
      <c r="AD18" s="144"/>
      <c r="AE18" s="144"/>
      <c r="AF18" s="144"/>
      <c r="AG18" s="144"/>
      <c r="AH18" s="144"/>
      <c r="AI18" s="144"/>
      <c r="AJ18" s="144"/>
      <c r="AK18" s="144"/>
      <c r="AL18" s="144"/>
      <c r="AM18" s="144"/>
      <c r="AN18" s="144"/>
      <c r="AO18" s="144"/>
      <c r="AP18" s="144"/>
      <c r="AQ18" s="144"/>
      <c r="AR18" s="144"/>
      <c r="AS18" s="144"/>
      <c r="AT18" s="144"/>
      <c r="AU18" s="144"/>
      <c r="AV18" s="144"/>
      <c r="AW18" s="144"/>
      <c r="AX18" s="144"/>
      <c r="AY18" s="144"/>
      <c r="AZ18" s="144"/>
      <c r="BA18" s="144"/>
      <c r="BB18" s="144"/>
      <c r="BC18" s="144"/>
      <c r="BD18" s="144"/>
      <c r="BE18" s="144"/>
      <c r="BF18" s="144"/>
      <c r="BG18" s="144"/>
      <c r="BH18" s="144"/>
      <c r="BI18" s="144"/>
      <c r="BJ18" s="144"/>
      <c r="BK18" s="144"/>
      <c r="BL18" s="144"/>
      <c r="BM18" s="144"/>
      <c r="BN18" s="144"/>
      <c r="BO18" s="144"/>
      <c r="BP18" s="144"/>
      <c r="BQ18" s="144"/>
      <c r="BR18" s="144"/>
      <c r="BT18" s="89"/>
    </row>
    <row r="19" spans="2:72" s="140" customFormat="1" x14ac:dyDescent="0.25">
      <c r="B19" s="195" t="s">
        <v>452</v>
      </c>
      <c r="C19" s="157"/>
      <c r="D19" s="200" t="str">
        <f t="shared" si="0"/>
        <v>£</v>
      </c>
      <c r="E19" s="94">
        <f t="shared" si="2"/>
        <v>0</v>
      </c>
      <c r="F19" s="94">
        <f t="shared" si="2"/>
        <v>0</v>
      </c>
      <c r="G19" s="94">
        <f t="shared" si="2"/>
        <v>0</v>
      </c>
      <c r="H19" s="94">
        <f t="shared" si="2"/>
        <v>0</v>
      </c>
      <c r="I19" s="94">
        <f t="shared" si="2"/>
        <v>0</v>
      </c>
      <c r="J19" s="157"/>
      <c r="K19" s="144"/>
      <c r="L19" s="144"/>
      <c r="M19" s="144"/>
      <c r="N19" s="144"/>
      <c r="O19" s="144"/>
      <c r="P19" s="144"/>
      <c r="Q19" s="144"/>
      <c r="R19" s="144"/>
      <c r="S19" s="144"/>
      <c r="T19" s="144"/>
      <c r="U19" s="144"/>
      <c r="V19" s="144"/>
      <c r="W19" s="144"/>
      <c r="X19" s="144"/>
      <c r="Y19" s="144"/>
      <c r="Z19" s="144"/>
      <c r="AA19" s="144"/>
      <c r="AB19" s="144"/>
      <c r="AC19" s="144"/>
      <c r="AD19" s="144"/>
      <c r="AE19" s="144"/>
      <c r="AF19" s="144"/>
      <c r="AG19" s="144"/>
      <c r="AH19" s="144"/>
      <c r="AI19" s="144"/>
      <c r="AJ19" s="144"/>
      <c r="AK19" s="144"/>
      <c r="AL19" s="144"/>
      <c r="AM19" s="144"/>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44"/>
      <c r="BL19" s="144"/>
      <c r="BM19" s="144"/>
      <c r="BN19" s="144"/>
      <c r="BO19" s="144"/>
      <c r="BP19" s="144"/>
      <c r="BQ19" s="144"/>
      <c r="BR19" s="144"/>
      <c r="BT19" s="89"/>
    </row>
    <row r="20" spans="2:72" s="140" customFormat="1" x14ac:dyDescent="0.25">
      <c r="B20" s="195" t="s">
        <v>453</v>
      </c>
      <c r="C20" s="157"/>
      <c r="D20" s="200" t="str">
        <f t="shared" si="0"/>
        <v>£</v>
      </c>
      <c r="E20" s="94">
        <f t="shared" si="2"/>
        <v>0</v>
      </c>
      <c r="F20" s="94">
        <f t="shared" si="2"/>
        <v>0</v>
      </c>
      <c r="G20" s="94">
        <f t="shared" si="2"/>
        <v>0</v>
      </c>
      <c r="H20" s="94">
        <f t="shared" si="2"/>
        <v>0</v>
      </c>
      <c r="I20" s="94">
        <f t="shared" si="2"/>
        <v>0</v>
      </c>
      <c r="J20" s="157"/>
      <c r="K20" s="144"/>
      <c r="L20" s="144"/>
      <c r="M20" s="144"/>
      <c r="N20" s="144"/>
      <c r="O20" s="144"/>
      <c r="P20" s="144"/>
      <c r="Q20" s="144"/>
      <c r="R20" s="144"/>
      <c r="S20" s="144"/>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c r="AQ20" s="144"/>
      <c r="AR20" s="144"/>
      <c r="AS20" s="144"/>
      <c r="AT20" s="144"/>
      <c r="AU20" s="144"/>
      <c r="AV20" s="144"/>
      <c r="AW20" s="144"/>
      <c r="AX20" s="144"/>
      <c r="AY20" s="144"/>
      <c r="AZ20" s="144"/>
      <c r="BA20" s="144"/>
      <c r="BB20" s="144"/>
      <c r="BC20" s="144"/>
      <c r="BD20" s="144"/>
      <c r="BE20" s="144"/>
      <c r="BF20" s="144"/>
      <c r="BG20" s="144"/>
      <c r="BH20" s="144"/>
      <c r="BI20" s="144"/>
      <c r="BJ20" s="144"/>
      <c r="BK20" s="144"/>
      <c r="BL20" s="144"/>
      <c r="BM20" s="144"/>
      <c r="BN20" s="144"/>
      <c r="BO20" s="144"/>
      <c r="BP20" s="144"/>
      <c r="BQ20" s="144"/>
      <c r="BR20" s="144"/>
      <c r="BT20" s="89"/>
    </row>
    <row r="21" spans="2:72" s="140" customFormat="1" x14ac:dyDescent="0.25">
      <c r="B21" s="195" t="s">
        <v>454</v>
      </c>
      <c r="C21" s="157"/>
      <c r="D21" s="200" t="str">
        <f t="shared" si="0"/>
        <v>£</v>
      </c>
      <c r="E21" s="94">
        <f t="shared" si="2"/>
        <v>0</v>
      </c>
      <c r="F21" s="94">
        <f t="shared" si="2"/>
        <v>0</v>
      </c>
      <c r="G21" s="94">
        <f t="shared" si="2"/>
        <v>0</v>
      </c>
      <c r="H21" s="94">
        <f t="shared" si="2"/>
        <v>0</v>
      </c>
      <c r="I21" s="94">
        <f t="shared" si="2"/>
        <v>0</v>
      </c>
      <c r="J21" s="157"/>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T21" s="89"/>
    </row>
    <row r="22" spans="2:72" s="140" customFormat="1" x14ac:dyDescent="0.25">
      <c r="B22" s="195" t="s">
        <v>455</v>
      </c>
      <c r="C22" s="157"/>
      <c r="D22" s="200" t="str">
        <f t="shared" si="0"/>
        <v>£</v>
      </c>
      <c r="E22" s="94">
        <f t="shared" si="2"/>
        <v>0</v>
      </c>
      <c r="F22" s="94">
        <f t="shared" si="2"/>
        <v>0</v>
      </c>
      <c r="G22" s="94">
        <f t="shared" si="2"/>
        <v>0</v>
      </c>
      <c r="H22" s="94">
        <f t="shared" si="2"/>
        <v>0</v>
      </c>
      <c r="I22" s="94">
        <f t="shared" si="2"/>
        <v>0</v>
      </c>
      <c r="J22" s="157"/>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T22" s="89"/>
    </row>
    <row r="23" spans="2:72" s="140" customFormat="1" x14ac:dyDescent="0.25">
      <c r="B23" s="195" t="s">
        <v>456</v>
      </c>
      <c r="C23" s="157"/>
      <c r="D23" s="200" t="str">
        <f t="shared" si="0"/>
        <v>£</v>
      </c>
      <c r="E23" s="94">
        <f t="shared" si="2"/>
        <v>0</v>
      </c>
      <c r="F23" s="94">
        <f t="shared" si="2"/>
        <v>0</v>
      </c>
      <c r="G23" s="94">
        <f t="shared" si="2"/>
        <v>0</v>
      </c>
      <c r="H23" s="94">
        <f t="shared" si="2"/>
        <v>0</v>
      </c>
      <c r="I23" s="94">
        <f t="shared" si="2"/>
        <v>0</v>
      </c>
      <c r="J23" s="157"/>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44"/>
      <c r="BL23" s="144"/>
      <c r="BM23" s="144"/>
      <c r="BN23" s="144"/>
      <c r="BO23" s="144"/>
      <c r="BP23" s="144"/>
      <c r="BQ23" s="144"/>
      <c r="BR23" s="144"/>
      <c r="BT23" s="89"/>
    </row>
    <row r="24" spans="2:72" s="140" customFormat="1" x14ac:dyDescent="0.25">
      <c r="B24" s="195" t="s">
        <v>457</v>
      </c>
      <c r="C24" s="157"/>
      <c r="D24" s="200" t="str">
        <f t="shared" si="0"/>
        <v>£</v>
      </c>
      <c r="E24" s="94">
        <f t="shared" si="2"/>
        <v>0</v>
      </c>
      <c r="F24" s="94">
        <f t="shared" si="2"/>
        <v>0</v>
      </c>
      <c r="G24" s="94">
        <f t="shared" si="2"/>
        <v>0</v>
      </c>
      <c r="H24" s="94">
        <f t="shared" si="2"/>
        <v>0</v>
      </c>
      <c r="I24" s="94">
        <f t="shared" si="2"/>
        <v>0</v>
      </c>
      <c r="J24" s="157"/>
      <c r="K24" s="144"/>
      <c r="L24" s="144"/>
      <c r="M24" s="144"/>
      <c r="N24" s="144"/>
      <c r="O24" s="144"/>
      <c r="P24" s="144"/>
      <c r="Q24" s="144"/>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44"/>
      <c r="BL24" s="144"/>
      <c r="BM24" s="144"/>
      <c r="BN24" s="144"/>
      <c r="BO24" s="144"/>
      <c r="BP24" s="144"/>
      <c r="BQ24" s="144"/>
      <c r="BR24" s="144"/>
      <c r="BT24" s="89"/>
    </row>
    <row r="25" spans="2:72" s="140" customFormat="1" x14ac:dyDescent="0.25">
      <c r="B25" s="195" t="s">
        <v>458</v>
      </c>
      <c r="C25" s="157"/>
      <c r="D25" s="200" t="str">
        <f t="shared" si="0"/>
        <v>£</v>
      </c>
      <c r="E25" s="94">
        <f t="shared" si="2"/>
        <v>0</v>
      </c>
      <c r="F25" s="94">
        <f t="shared" si="2"/>
        <v>0</v>
      </c>
      <c r="G25" s="94">
        <f t="shared" si="2"/>
        <v>0</v>
      </c>
      <c r="H25" s="94">
        <f t="shared" si="2"/>
        <v>0</v>
      </c>
      <c r="I25" s="94">
        <f t="shared" si="2"/>
        <v>0</v>
      </c>
      <c r="J25" s="157"/>
      <c r="K25" s="144"/>
      <c r="L25" s="144"/>
      <c r="M25" s="144"/>
      <c r="N25" s="144"/>
      <c r="O25" s="144"/>
      <c r="P25" s="144"/>
      <c r="Q25" s="144"/>
      <c r="R25" s="144"/>
      <c r="S25" s="144"/>
      <c r="T25" s="144"/>
      <c r="U25" s="144"/>
      <c r="V25" s="144"/>
      <c r="W25" s="144"/>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44"/>
      <c r="BL25" s="144"/>
      <c r="BM25" s="144"/>
      <c r="BN25" s="144"/>
      <c r="BO25" s="144"/>
      <c r="BP25" s="144"/>
      <c r="BQ25" s="144"/>
      <c r="BR25" s="144"/>
      <c r="BT25" s="89"/>
    </row>
    <row r="26" spans="2:72" s="140" customFormat="1" x14ac:dyDescent="0.25">
      <c r="B26" s="195" t="s">
        <v>124</v>
      </c>
      <c r="C26" s="157"/>
      <c r="D26" s="200" t="str">
        <f t="shared" si="0"/>
        <v>£</v>
      </c>
      <c r="E26" s="94">
        <f t="shared" si="2"/>
        <v>0</v>
      </c>
      <c r="F26" s="94">
        <f t="shared" si="2"/>
        <v>0</v>
      </c>
      <c r="G26" s="94">
        <f t="shared" si="2"/>
        <v>0</v>
      </c>
      <c r="H26" s="94">
        <f t="shared" si="2"/>
        <v>0</v>
      </c>
      <c r="I26" s="94">
        <f t="shared" si="2"/>
        <v>0</v>
      </c>
      <c r="J26" s="157"/>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44"/>
      <c r="AY26" s="144"/>
      <c r="AZ26" s="144"/>
      <c r="BA26" s="144"/>
      <c r="BB26" s="144"/>
      <c r="BC26" s="144"/>
      <c r="BD26" s="144"/>
      <c r="BE26" s="144"/>
      <c r="BF26" s="144"/>
      <c r="BG26" s="144"/>
      <c r="BH26" s="144"/>
      <c r="BI26" s="144"/>
      <c r="BJ26" s="144"/>
      <c r="BK26" s="144"/>
      <c r="BL26" s="144"/>
      <c r="BM26" s="144"/>
      <c r="BN26" s="144"/>
      <c r="BO26" s="144"/>
      <c r="BP26" s="144"/>
      <c r="BQ26" s="144"/>
      <c r="BR26" s="144"/>
      <c r="BT26" s="89"/>
    </row>
    <row r="27" spans="2:72" s="140" customFormat="1" x14ac:dyDescent="0.25">
      <c r="B27" s="195" t="s">
        <v>106</v>
      </c>
      <c r="C27" s="157"/>
      <c r="D27" s="200" t="str">
        <f t="shared" si="0"/>
        <v>£</v>
      </c>
      <c r="E27" s="94">
        <f t="shared" si="2"/>
        <v>0</v>
      </c>
      <c r="F27" s="94">
        <f t="shared" si="2"/>
        <v>0</v>
      </c>
      <c r="G27" s="94">
        <f t="shared" si="2"/>
        <v>0</v>
      </c>
      <c r="H27" s="94">
        <f t="shared" si="2"/>
        <v>0</v>
      </c>
      <c r="I27" s="94">
        <f t="shared" si="2"/>
        <v>0</v>
      </c>
      <c r="J27" s="157"/>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4"/>
      <c r="BN27" s="144"/>
      <c r="BO27" s="144"/>
      <c r="BP27" s="144"/>
      <c r="BQ27" s="144"/>
      <c r="BR27" s="144"/>
      <c r="BT27" s="89"/>
    </row>
    <row r="28" spans="2:72" s="140" customFormat="1" x14ac:dyDescent="0.25">
      <c r="B28" s="195" t="s">
        <v>66</v>
      </c>
      <c r="C28" s="157"/>
      <c r="D28" s="200" t="str">
        <f t="shared" si="0"/>
        <v>£</v>
      </c>
      <c r="E28" s="94">
        <f t="shared" si="2"/>
        <v>0</v>
      </c>
      <c r="F28" s="94">
        <f t="shared" si="2"/>
        <v>0</v>
      </c>
      <c r="G28" s="94">
        <f t="shared" si="2"/>
        <v>0</v>
      </c>
      <c r="H28" s="94">
        <f t="shared" si="2"/>
        <v>0</v>
      </c>
      <c r="I28" s="94">
        <f t="shared" si="2"/>
        <v>0</v>
      </c>
      <c r="J28" s="157"/>
      <c r="K28" s="144"/>
      <c r="L28" s="144"/>
      <c r="M28" s="144"/>
      <c r="N28" s="144"/>
      <c r="O28" s="144"/>
      <c r="P28" s="144"/>
      <c r="Q28" s="144"/>
      <c r="R28" s="144"/>
      <c r="S28" s="144"/>
      <c r="T28" s="144"/>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4"/>
      <c r="AX28" s="144"/>
      <c r="AY28" s="144"/>
      <c r="AZ28" s="144"/>
      <c r="BA28" s="144"/>
      <c r="BB28" s="144"/>
      <c r="BC28" s="144"/>
      <c r="BD28" s="144"/>
      <c r="BE28" s="144"/>
      <c r="BF28" s="144"/>
      <c r="BG28" s="144"/>
      <c r="BH28" s="144"/>
      <c r="BI28" s="144"/>
      <c r="BJ28" s="144"/>
      <c r="BK28" s="144"/>
      <c r="BL28" s="144"/>
      <c r="BM28" s="144"/>
      <c r="BN28" s="144"/>
      <c r="BO28" s="144"/>
      <c r="BP28" s="144"/>
      <c r="BQ28" s="144"/>
      <c r="BR28" s="144"/>
      <c r="BT28" s="89"/>
    </row>
    <row r="29" spans="2:72" s="140" customFormat="1" x14ac:dyDescent="0.25">
      <c r="B29" s="195" t="s">
        <v>67</v>
      </c>
      <c r="C29" s="157"/>
      <c r="D29" s="200" t="str">
        <f t="shared" si="0"/>
        <v>£</v>
      </c>
      <c r="E29" s="94">
        <f t="shared" si="2"/>
        <v>0</v>
      </c>
      <c r="F29" s="94">
        <f t="shared" si="2"/>
        <v>0</v>
      </c>
      <c r="G29" s="94">
        <f t="shared" si="2"/>
        <v>0</v>
      </c>
      <c r="H29" s="94">
        <f t="shared" si="2"/>
        <v>0</v>
      </c>
      <c r="I29" s="94">
        <f t="shared" si="2"/>
        <v>0</v>
      </c>
      <c r="J29" s="157"/>
      <c r="K29" s="144"/>
      <c r="L29" s="144"/>
      <c r="M29" s="144"/>
      <c r="N29" s="144"/>
      <c r="O29" s="144"/>
      <c r="P29" s="144"/>
      <c r="Q29" s="144"/>
      <c r="R29" s="144"/>
      <c r="S29" s="144"/>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44"/>
      <c r="AZ29" s="144"/>
      <c r="BA29" s="144"/>
      <c r="BB29" s="144"/>
      <c r="BC29" s="144"/>
      <c r="BD29" s="144"/>
      <c r="BE29" s="144"/>
      <c r="BF29" s="144"/>
      <c r="BG29" s="144"/>
      <c r="BH29" s="144"/>
      <c r="BI29" s="144"/>
      <c r="BJ29" s="144"/>
      <c r="BK29" s="144"/>
      <c r="BL29" s="144"/>
      <c r="BM29" s="144"/>
      <c r="BN29" s="144"/>
      <c r="BO29" s="144"/>
      <c r="BP29" s="144"/>
      <c r="BQ29" s="144"/>
      <c r="BR29" s="144"/>
      <c r="BT29" s="89"/>
    </row>
    <row r="30" spans="2:72" s="140" customFormat="1" x14ac:dyDescent="0.25">
      <c r="B30" s="195" t="s">
        <v>68</v>
      </c>
      <c r="C30" s="157"/>
      <c r="D30" s="200" t="str">
        <f t="shared" si="0"/>
        <v>£</v>
      </c>
      <c r="E30" s="94">
        <f t="shared" si="2"/>
        <v>0</v>
      </c>
      <c r="F30" s="94">
        <f t="shared" si="2"/>
        <v>0</v>
      </c>
      <c r="G30" s="94">
        <f t="shared" si="2"/>
        <v>0</v>
      </c>
      <c r="H30" s="94">
        <f t="shared" si="2"/>
        <v>0</v>
      </c>
      <c r="I30" s="94">
        <f t="shared" si="2"/>
        <v>0</v>
      </c>
      <c r="J30" s="157"/>
      <c r="K30" s="144"/>
      <c r="L30" s="144"/>
      <c r="M30" s="144"/>
      <c r="N30" s="144"/>
      <c r="O30" s="144"/>
      <c r="P30" s="144"/>
      <c r="Q30" s="144"/>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T30" s="89"/>
    </row>
    <row r="31" spans="2:72" s="140" customFormat="1" x14ac:dyDescent="0.25">
      <c r="B31" s="195" t="s">
        <v>95</v>
      </c>
      <c r="C31" s="157"/>
      <c r="D31" s="200" t="str">
        <f t="shared" si="0"/>
        <v>£</v>
      </c>
      <c r="E31" s="94">
        <f t="shared" si="2"/>
        <v>0</v>
      </c>
      <c r="F31" s="94">
        <f t="shared" si="2"/>
        <v>0</v>
      </c>
      <c r="G31" s="94">
        <f t="shared" si="2"/>
        <v>0</v>
      </c>
      <c r="H31" s="94">
        <f t="shared" si="2"/>
        <v>0</v>
      </c>
      <c r="I31" s="94">
        <f t="shared" si="2"/>
        <v>0</v>
      </c>
      <c r="J31" s="157"/>
      <c r="K31" s="144"/>
      <c r="L31" s="144"/>
      <c r="M31" s="144"/>
      <c r="N31" s="144"/>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44"/>
      <c r="AZ31" s="144"/>
      <c r="BA31" s="144"/>
      <c r="BB31" s="144"/>
      <c r="BC31" s="144"/>
      <c r="BD31" s="144"/>
      <c r="BE31" s="144"/>
      <c r="BF31" s="144"/>
      <c r="BG31" s="144"/>
      <c r="BH31" s="144"/>
      <c r="BI31" s="144"/>
      <c r="BJ31" s="144"/>
      <c r="BK31" s="144"/>
      <c r="BL31" s="144"/>
      <c r="BM31" s="144"/>
      <c r="BN31" s="144"/>
      <c r="BO31" s="144"/>
      <c r="BP31" s="144"/>
      <c r="BQ31" s="144"/>
      <c r="BR31" s="144"/>
      <c r="BT31" s="89"/>
    </row>
    <row r="32" spans="2:72" s="140" customFormat="1" x14ac:dyDescent="0.25">
      <c r="B32" s="84" t="s">
        <v>69</v>
      </c>
      <c r="C32" s="84"/>
      <c r="D32" s="200" t="str">
        <f t="shared" si="0"/>
        <v>£</v>
      </c>
      <c r="E32" s="92">
        <f>SUM(E12:E31)</f>
        <v>0</v>
      </c>
      <c r="F32" s="92">
        <f>SUM(F12:F31)</f>
        <v>0</v>
      </c>
      <c r="G32" s="92">
        <f>SUM(G12:G31)</f>
        <v>0</v>
      </c>
      <c r="H32" s="92">
        <f>SUM(H12:H31)</f>
        <v>0</v>
      </c>
      <c r="I32" s="92">
        <f>SUM(I12:I31)</f>
        <v>0</v>
      </c>
      <c r="J32" s="84"/>
      <c r="K32" s="227">
        <f t="shared" ref="K32:AP32" si="3">SUM(K12:K31)</f>
        <v>0</v>
      </c>
      <c r="L32" s="227">
        <f t="shared" si="3"/>
        <v>0</v>
      </c>
      <c r="M32" s="227">
        <f t="shared" si="3"/>
        <v>0</v>
      </c>
      <c r="N32" s="227">
        <f t="shared" si="3"/>
        <v>0</v>
      </c>
      <c r="O32" s="227">
        <f t="shared" si="3"/>
        <v>0</v>
      </c>
      <c r="P32" s="227">
        <f t="shared" si="3"/>
        <v>0</v>
      </c>
      <c r="Q32" s="227">
        <f t="shared" si="3"/>
        <v>0</v>
      </c>
      <c r="R32" s="227">
        <f t="shared" si="3"/>
        <v>0</v>
      </c>
      <c r="S32" s="227">
        <f t="shared" si="3"/>
        <v>0</v>
      </c>
      <c r="T32" s="227">
        <f t="shared" si="3"/>
        <v>0</v>
      </c>
      <c r="U32" s="227">
        <f t="shared" si="3"/>
        <v>0</v>
      </c>
      <c r="V32" s="227">
        <f t="shared" si="3"/>
        <v>0</v>
      </c>
      <c r="W32" s="227">
        <f t="shared" si="3"/>
        <v>0</v>
      </c>
      <c r="X32" s="227">
        <f t="shared" si="3"/>
        <v>0</v>
      </c>
      <c r="Y32" s="227">
        <f t="shared" si="3"/>
        <v>0</v>
      </c>
      <c r="Z32" s="227">
        <f t="shared" si="3"/>
        <v>0</v>
      </c>
      <c r="AA32" s="227">
        <f t="shared" si="3"/>
        <v>0</v>
      </c>
      <c r="AB32" s="227">
        <f t="shared" si="3"/>
        <v>0</v>
      </c>
      <c r="AC32" s="227">
        <f t="shared" si="3"/>
        <v>0</v>
      </c>
      <c r="AD32" s="227">
        <f t="shared" si="3"/>
        <v>0</v>
      </c>
      <c r="AE32" s="227">
        <f t="shared" si="3"/>
        <v>0</v>
      </c>
      <c r="AF32" s="227">
        <f t="shared" si="3"/>
        <v>0</v>
      </c>
      <c r="AG32" s="227">
        <f t="shared" si="3"/>
        <v>0</v>
      </c>
      <c r="AH32" s="227">
        <f t="shared" si="3"/>
        <v>0</v>
      </c>
      <c r="AI32" s="227">
        <f t="shared" si="3"/>
        <v>0</v>
      </c>
      <c r="AJ32" s="227">
        <f t="shared" si="3"/>
        <v>0</v>
      </c>
      <c r="AK32" s="227">
        <f t="shared" si="3"/>
        <v>0</v>
      </c>
      <c r="AL32" s="227">
        <f t="shared" si="3"/>
        <v>0</v>
      </c>
      <c r="AM32" s="227">
        <f t="shared" si="3"/>
        <v>0</v>
      </c>
      <c r="AN32" s="227">
        <f t="shared" si="3"/>
        <v>0</v>
      </c>
      <c r="AO32" s="227">
        <f t="shared" si="3"/>
        <v>0</v>
      </c>
      <c r="AP32" s="227">
        <f t="shared" si="3"/>
        <v>0</v>
      </c>
      <c r="AQ32" s="227">
        <f t="shared" ref="AQ32:BG32" si="4">SUM(AQ12:AQ31)</f>
        <v>0</v>
      </c>
      <c r="AR32" s="227">
        <f t="shared" si="4"/>
        <v>0</v>
      </c>
      <c r="AS32" s="227">
        <f t="shared" si="4"/>
        <v>0</v>
      </c>
      <c r="AT32" s="227">
        <f t="shared" si="4"/>
        <v>0</v>
      </c>
      <c r="AU32" s="227">
        <f t="shared" si="4"/>
        <v>0</v>
      </c>
      <c r="AV32" s="227">
        <f t="shared" si="4"/>
        <v>0</v>
      </c>
      <c r="AW32" s="227">
        <f t="shared" si="4"/>
        <v>0</v>
      </c>
      <c r="AX32" s="227">
        <f t="shared" si="4"/>
        <v>0</v>
      </c>
      <c r="AY32" s="227">
        <f t="shared" si="4"/>
        <v>0</v>
      </c>
      <c r="AZ32" s="227">
        <f t="shared" si="4"/>
        <v>0</v>
      </c>
      <c r="BA32" s="227">
        <f t="shared" si="4"/>
        <v>0</v>
      </c>
      <c r="BB32" s="227">
        <f t="shared" si="4"/>
        <v>0</v>
      </c>
      <c r="BC32" s="227">
        <f t="shared" si="4"/>
        <v>0</v>
      </c>
      <c r="BD32" s="227">
        <f t="shared" si="4"/>
        <v>0</v>
      </c>
      <c r="BE32" s="227">
        <f t="shared" si="4"/>
        <v>0</v>
      </c>
      <c r="BF32" s="227">
        <f t="shared" si="4"/>
        <v>0</v>
      </c>
      <c r="BG32" s="227">
        <f t="shared" si="4"/>
        <v>0</v>
      </c>
      <c r="BH32" s="227">
        <f t="shared" ref="BH32:BR32" si="5">SUM(BH12:BH31)</f>
        <v>0</v>
      </c>
      <c r="BI32" s="227">
        <f t="shared" si="5"/>
        <v>0</v>
      </c>
      <c r="BJ32" s="227">
        <f t="shared" si="5"/>
        <v>0</v>
      </c>
      <c r="BK32" s="227">
        <f t="shared" si="5"/>
        <v>0</v>
      </c>
      <c r="BL32" s="227">
        <f t="shared" si="5"/>
        <v>0</v>
      </c>
      <c r="BM32" s="227">
        <f t="shared" si="5"/>
        <v>0</v>
      </c>
      <c r="BN32" s="227">
        <f t="shared" si="5"/>
        <v>0</v>
      </c>
      <c r="BO32" s="227">
        <f t="shared" si="5"/>
        <v>0</v>
      </c>
      <c r="BP32" s="227">
        <f t="shared" si="5"/>
        <v>0</v>
      </c>
      <c r="BQ32" s="227">
        <f t="shared" si="5"/>
        <v>0</v>
      </c>
      <c r="BR32" s="227">
        <f t="shared" si="5"/>
        <v>0</v>
      </c>
      <c r="BT32" s="89" t="s">
        <v>192</v>
      </c>
    </row>
    <row r="33" spans="1:72" s="140" customFormat="1" x14ac:dyDescent="0.25">
      <c r="BT33" s="89"/>
    </row>
    <row r="34" spans="1:72" s="166" customFormat="1" ht="15.6" x14ac:dyDescent="0.3">
      <c r="A34" s="166" t="s">
        <v>217</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0">
    <tabColor rgb="FF00B050"/>
  </sheetPr>
  <dimension ref="A1:BZ97"/>
  <sheetViews>
    <sheetView showGridLines="0" zoomScale="80" zoomScaleNormal="80" zoomScalePageLayoutView="80" workbookViewId="0">
      <pane xSplit="10" ySplit="8" topLeftCell="K9" activePane="bottomRight" state="frozen"/>
      <selection activeCell="C10" sqref="C10"/>
      <selection pane="topRight" activeCell="C10" sqref="C10"/>
      <selection pane="bottomLeft" activeCell="C10" sqref="C10"/>
      <selection pane="bottomRight" activeCell="K13" sqref="K13:K18"/>
    </sheetView>
  </sheetViews>
  <sheetFormatPr defaultColWidth="8.88671875" defaultRowHeight="13.2" x14ac:dyDescent="0.25"/>
  <cols>
    <col min="1" max="1" width="3.44140625" style="139" customWidth="1"/>
    <col min="2" max="2" width="6.44140625" style="139" customWidth="1"/>
    <col min="3" max="3" width="22.6640625" style="139" bestFit="1" customWidth="1"/>
    <col min="4" max="4" width="9.109375" style="139" customWidth="1"/>
    <col min="5" max="9" width="10" style="139" bestFit="1" customWidth="1"/>
    <col min="10" max="10" width="7.88671875" style="57" bestFit="1" customWidth="1"/>
    <col min="11" max="65" width="11.88671875" style="139" bestFit="1" customWidth="1"/>
    <col min="66" max="66" width="12" style="71" bestFit="1" customWidth="1"/>
    <col min="67" max="70" width="11.88671875" style="139" bestFit="1" customWidth="1"/>
    <col min="71" max="16384" width="8.88671875" style="139"/>
  </cols>
  <sheetData>
    <row r="1" spans="1:78" s="285" customFormat="1" x14ac:dyDescent="0.25">
      <c r="J1" s="293"/>
    </row>
    <row r="2" spans="1:78" s="285" customFormat="1" x14ac:dyDescent="0.25">
      <c r="J2" s="293"/>
    </row>
    <row r="3" spans="1:78" s="285" customFormat="1" x14ac:dyDescent="0.25">
      <c r="A3" s="286" t="str">
        <f>IF(KeyInputs!$F$14=0,"Company Name",KeyInputs!$F$14)</f>
        <v>Company Name</v>
      </c>
      <c r="J3" s="293"/>
    </row>
    <row r="4" spans="1:78" s="285" customFormat="1" x14ac:dyDescent="0.25">
      <c r="A4" s="285" t="s">
        <v>17</v>
      </c>
      <c r="J4" s="293"/>
    </row>
    <row r="5" spans="1:78" s="285" customFormat="1" x14ac:dyDescent="0.25">
      <c r="D5" s="287" t="str">
        <f>KeyInputs!D5</f>
        <v>Year</v>
      </c>
      <c r="E5" s="287">
        <f>KeyInputs!H5</f>
        <v>2015</v>
      </c>
      <c r="F5" s="287">
        <f>KeyInputs!I5</f>
        <v>2016</v>
      </c>
      <c r="G5" s="287">
        <f>KeyInputs!J5</f>
        <v>2017</v>
      </c>
      <c r="H5" s="287">
        <f>KeyInputs!K5</f>
        <v>2018</v>
      </c>
      <c r="I5" s="287">
        <f>KeyInputs!L5</f>
        <v>2019</v>
      </c>
      <c r="J5" s="293"/>
      <c r="K5" s="287">
        <f>KeyInputs!N5</f>
        <v>2015</v>
      </c>
      <c r="L5" s="287">
        <f>KeyInputs!O5</f>
        <v>2015</v>
      </c>
      <c r="M5" s="287">
        <f>KeyInputs!P5</f>
        <v>2015</v>
      </c>
      <c r="N5" s="287">
        <f>KeyInputs!Q5</f>
        <v>2015</v>
      </c>
      <c r="O5" s="287">
        <f>KeyInputs!R5</f>
        <v>2015</v>
      </c>
      <c r="P5" s="287">
        <f>KeyInputs!S5</f>
        <v>2015</v>
      </c>
      <c r="Q5" s="287">
        <f>KeyInputs!T5</f>
        <v>2015</v>
      </c>
      <c r="R5" s="287">
        <f>KeyInputs!U5</f>
        <v>2015</v>
      </c>
      <c r="S5" s="287">
        <f>KeyInputs!V5</f>
        <v>2015</v>
      </c>
      <c r="T5" s="287">
        <f>KeyInputs!W5</f>
        <v>2015</v>
      </c>
      <c r="U5" s="287">
        <f>KeyInputs!X5</f>
        <v>2015</v>
      </c>
      <c r="V5" s="287">
        <f>KeyInputs!Y5</f>
        <v>2015</v>
      </c>
      <c r="W5" s="287">
        <f>KeyInputs!Z5</f>
        <v>2016</v>
      </c>
      <c r="X5" s="287">
        <f>KeyInputs!AA5</f>
        <v>2016</v>
      </c>
      <c r="Y5" s="287">
        <f>KeyInputs!AB5</f>
        <v>2016</v>
      </c>
      <c r="Z5" s="287">
        <f>KeyInputs!AC5</f>
        <v>2016</v>
      </c>
      <c r="AA5" s="287">
        <f>KeyInputs!AD5</f>
        <v>2016</v>
      </c>
      <c r="AB5" s="287">
        <f>KeyInputs!AE5</f>
        <v>2016</v>
      </c>
      <c r="AC5" s="287">
        <f>KeyInputs!AF5</f>
        <v>2016</v>
      </c>
      <c r="AD5" s="287">
        <f>KeyInputs!AG5</f>
        <v>2016</v>
      </c>
      <c r="AE5" s="287">
        <f>KeyInputs!AH5</f>
        <v>2016</v>
      </c>
      <c r="AF5" s="287">
        <f>KeyInputs!AI5</f>
        <v>2016</v>
      </c>
      <c r="AG5" s="287">
        <f>KeyInputs!AJ5</f>
        <v>2016</v>
      </c>
      <c r="AH5" s="287">
        <f>KeyInputs!AK5</f>
        <v>2016</v>
      </c>
      <c r="AI5" s="287">
        <f>KeyInputs!AL5</f>
        <v>2017</v>
      </c>
      <c r="AJ5" s="287">
        <f>KeyInputs!AM5</f>
        <v>2017</v>
      </c>
      <c r="AK5" s="287">
        <f>KeyInputs!AN5</f>
        <v>2017</v>
      </c>
      <c r="AL5" s="287">
        <f>KeyInputs!AO5</f>
        <v>2017</v>
      </c>
      <c r="AM5" s="287">
        <f>KeyInputs!AP5</f>
        <v>2017</v>
      </c>
      <c r="AN5" s="287">
        <f>KeyInputs!AQ5</f>
        <v>2017</v>
      </c>
      <c r="AO5" s="287">
        <f>KeyInputs!AR5</f>
        <v>2017</v>
      </c>
      <c r="AP5" s="287">
        <f>KeyInputs!AS5</f>
        <v>2017</v>
      </c>
      <c r="AQ5" s="287">
        <f>KeyInputs!AT5</f>
        <v>2017</v>
      </c>
      <c r="AR5" s="287">
        <f>KeyInputs!AU5</f>
        <v>2017</v>
      </c>
      <c r="AS5" s="287">
        <f>KeyInputs!AV5</f>
        <v>2017</v>
      </c>
      <c r="AT5" s="287">
        <f>KeyInputs!AW5</f>
        <v>2017</v>
      </c>
      <c r="AU5" s="287">
        <f>KeyInputs!AX5</f>
        <v>2018</v>
      </c>
      <c r="AV5" s="287">
        <f>KeyInputs!AY5</f>
        <v>2018</v>
      </c>
      <c r="AW5" s="287">
        <f>KeyInputs!AZ5</f>
        <v>2018</v>
      </c>
      <c r="AX5" s="287">
        <f>KeyInputs!BA5</f>
        <v>2018</v>
      </c>
      <c r="AY5" s="287">
        <f>KeyInputs!BB5</f>
        <v>2018</v>
      </c>
      <c r="AZ5" s="287">
        <f>KeyInputs!BC5</f>
        <v>2018</v>
      </c>
      <c r="BA5" s="287">
        <f>KeyInputs!BD5</f>
        <v>2018</v>
      </c>
      <c r="BB5" s="287">
        <f>KeyInputs!BE5</f>
        <v>2018</v>
      </c>
      <c r="BC5" s="287">
        <f>KeyInputs!BF5</f>
        <v>2018</v>
      </c>
      <c r="BD5" s="287">
        <f>KeyInputs!BG5</f>
        <v>2018</v>
      </c>
      <c r="BE5" s="287">
        <f>KeyInputs!BH5</f>
        <v>2018</v>
      </c>
      <c r="BF5" s="287">
        <f>KeyInputs!BI5</f>
        <v>2018</v>
      </c>
      <c r="BG5" s="287">
        <f>KeyInputs!BJ5</f>
        <v>2019</v>
      </c>
      <c r="BH5" s="287">
        <f>KeyInputs!BK5</f>
        <v>2019</v>
      </c>
      <c r="BI5" s="287">
        <f>KeyInputs!BL5</f>
        <v>2019</v>
      </c>
      <c r="BJ5" s="287">
        <f>KeyInputs!BM5</f>
        <v>2019</v>
      </c>
      <c r="BK5" s="287">
        <f>KeyInputs!BN5</f>
        <v>2019</v>
      </c>
      <c r="BL5" s="287">
        <f>KeyInputs!BO5</f>
        <v>2019</v>
      </c>
      <c r="BM5" s="287">
        <f>KeyInputs!BP5</f>
        <v>2019</v>
      </c>
      <c r="BN5" s="287">
        <f>KeyInputs!BQ5</f>
        <v>2019</v>
      </c>
      <c r="BO5" s="287">
        <f>KeyInputs!BR5</f>
        <v>2019</v>
      </c>
      <c r="BP5" s="287">
        <f>KeyInputs!BS5</f>
        <v>2019</v>
      </c>
      <c r="BQ5" s="287">
        <f>KeyInputs!BT5</f>
        <v>2019</v>
      </c>
      <c r="BR5" s="287">
        <f>KeyInputs!BU5</f>
        <v>2019</v>
      </c>
    </row>
    <row r="6" spans="1:78" s="285" customFormat="1" x14ac:dyDescent="0.25">
      <c r="D6" s="287" t="str">
        <f>KeyInputs!D6</f>
        <v>Period number</v>
      </c>
      <c r="E6" s="287">
        <f>KeyInputs!H6</f>
        <v>1</v>
      </c>
      <c r="F6" s="287">
        <f>KeyInputs!I6</f>
        <v>2</v>
      </c>
      <c r="G6" s="287">
        <f>KeyInputs!J6</f>
        <v>3</v>
      </c>
      <c r="H6" s="287">
        <f>KeyInputs!K6</f>
        <v>4</v>
      </c>
      <c r="I6" s="287">
        <f>KeyInputs!L6</f>
        <v>5</v>
      </c>
      <c r="J6" s="293"/>
      <c r="K6" s="287">
        <f>KeyInputs!N6</f>
        <v>1</v>
      </c>
      <c r="L6" s="287">
        <f>KeyInputs!O6</f>
        <v>2</v>
      </c>
      <c r="M6" s="287">
        <f>KeyInputs!P6</f>
        <v>3</v>
      </c>
      <c r="N6" s="287">
        <f>KeyInputs!Q6</f>
        <v>4</v>
      </c>
      <c r="O6" s="287">
        <f>KeyInputs!R6</f>
        <v>5</v>
      </c>
      <c r="P6" s="287">
        <f>KeyInputs!S6</f>
        <v>6</v>
      </c>
      <c r="Q6" s="287">
        <f>KeyInputs!T6</f>
        <v>7</v>
      </c>
      <c r="R6" s="287">
        <f>KeyInputs!U6</f>
        <v>8</v>
      </c>
      <c r="S6" s="287">
        <f>KeyInputs!V6</f>
        <v>9</v>
      </c>
      <c r="T6" s="287">
        <f>KeyInputs!W6</f>
        <v>10</v>
      </c>
      <c r="U6" s="287">
        <f>KeyInputs!X6</f>
        <v>11</v>
      </c>
      <c r="V6" s="287">
        <f>KeyInputs!Y6</f>
        <v>12</v>
      </c>
      <c r="W6" s="287">
        <f>KeyInputs!Z6</f>
        <v>13</v>
      </c>
      <c r="X6" s="287">
        <f>KeyInputs!AA6</f>
        <v>14</v>
      </c>
      <c r="Y6" s="287">
        <f>KeyInputs!AB6</f>
        <v>15</v>
      </c>
      <c r="Z6" s="287">
        <f>KeyInputs!AC6</f>
        <v>16</v>
      </c>
      <c r="AA6" s="287">
        <f>KeyInputs!AD6</f>
        <v>17</v>
      </c>
      <c r="AB6" s="287">
        <f>KeyInputs!AE6</f>
        <v>18</v>
      </c>
      <c r="AC6" s="287">
        <f>KeyInputs!AF6</f>
        <v>19</v>
      </c>
      <c r="AD6" s="287">
        <f>KeyInputs!AG6</f>
        <v>20</v>
      </c>
      <c r="AE6" s="287">
        <f>KeyInputs!AH6</f>
        <v>21</v>
      </c>
      <c r="AF6" s="287">
        <f>KeyInputs!AI6</f>
        <v>22</v>
      </c>
      <c r="AG6" s="287">
        <f>KeyInputs!AJ6</f>
        <v>23</v>
      </c>
      <c r="AH6" s="287">
        <f>KeyInputs!AK6</f>
        <v>24</v>
      </c>
      <c r="AI6" s="287">
        <f>KeyInputs!AL6</f>
        <v>25</v>
      </c>
      <c r="AJ6" s="287">
        <f>KeyInputs!AM6</f>
        <v>26</v>
      </c>
      <c r="AK6" s="287">
        <f>KeyInputs!AN6</f>
        <v>27</v>
      </c>
      <c r="AL6" s="287">
        <f>KeyInputs!AO6</f>
        <v>28</v>
      </c>
      <c r="AM6" s="287">
        <f>KeyInputs!AP6</f>
        <v>29</v>
      </c>
      <c r="AN6" s="287">
        <f>KeyInputs!AQ6</f>
        <v>30</v>
      </c>
      <c r="AO6" s="287">
        <f>KeyInputs!AR6</f>
        <v>31</v>
      </c>
      <c r="AP6" s="287">
        <f>KeyInputs!AS6</f>
        <v>32</v>
      </c>
      <c r="AQ6" s="287">
        <f>KeyInputs!AT6</f>
        <v>33</v>
      </c>
      <c r="AR6" s="287">
        <f>KeyInputs!AU6</f>
        <v>34</v>
      </c>
      <c r="AS6" s="287">
        <f>KeyInputs!AV6</f>
        <v>35</v>
      </c>
      <c r="AT6" s="287">
        <f>KeyInputs!AW6</f>
        <v>36</v>
      </c>
      <c r="AU6" s="287">
        <f>KeyInputs!AX6</f>
        <v>37</v>
      </c>
      <c r="AV6" s="287">
        <f>KeyInputs!AY6</f>
        <v>38</v>
      </c>
      <c r="AW6" s="287">
        <f>KeyInputs!AZ6</f>
        <v>39</v>
      </c>
      <c r="AX6" s="287">
        <f>KeyInputs!BA6</f>
        <v>40</v>
      </c>
      <c r="AY6" s="287">
        <f>KeyInputs!BB6</f>
        <v>41</v>
      </c>
      <c r="AZ6" s="287">
        <f>KeyInputs!BC6</f>
        <v>42</v>
      </c>
      <c r="BA6" s="287">
        <f>KeyInputs!BD6</f>
        <v>43</v>
      </c>
      <c r="BB6" s="287">
        <f>KeyInputs!BE6</f>
        <v>44</v>
      </c>
      <c r="BC6" s="287">
        <f>KeyInputs!BF6</f>
        <v>45</v>
      </c>
      <c r="BD6" s="287">
        <f>KeyInputs!BG6</f>
        <v>46</v>
      </c>
      <c r="BE6" s="287">
        <f>KeyInputs!BH6</f>
        <v>47</v>
      </c>
      <c r="BF6" s="287">
        <f>KeyInputs!BI6</f>
        <v>48</v>
      </c>
      <c r="BG6" s="287">
        <f>KeyInputs!BJ6</f>
        <v>49</v>
      </c>
      <c r="BH6" s="287">
        <f>KeyInputs!BK6</f>
        <v>50</v>
      </c>
      <c r="BI6" s="287">
        <f>KeyInputs!BL6</f>
        <v>51</v>
      </c>
      <c r="BJ6" s="287">
        <f>KeyInputs!BM6</f>
        <v>52</v>
      </c>
      <c r="BK6" s="287">
        <f>KeyInputs!BN6</f>
        <v>53</v>
      </c>
      <c r="BL6" s="287">
        <f>KeyInputs!BO6</f>
        <v>54</v>
      </c>
      <c r="BM6" s="287">
        <f>KeyInputs!BP6</f>
        <v>55</v>
      </c>
      <c r="BN6" s="287">
        <f>KeyInputs!BQ6</f>
        <v>56</v>
      </c>
      <c r="BO6" s="287">
        <f>KeyInputs!BR6</f>
        <v>57</v>
      </c>
      <c r="BP6" s="287">
        <f>KeyInputs!BS6</f>
        <v>58</v>
      </c>
      <c r="BQ6" s="287">
        <f>KeyInputs!BT6</f>
        <v>59</v>
      </c>
      <c r="BR6" s="287">
        <f>KeyInputs!BU6</f>
        <v>60</v>
      </c>
    </row>
    <row r="7" spans="1:78" s="285" customFormat="1" x14ac:dyDescent="0.25">
      <c r="D7" s="287" t="str">
        <f>KeyInputs!D7</f>
        <v>Period starts</v>
      </c>
      <c r="E7" s="294">
        <f>KeyInputs!H7</f>
        <v>42005</v>
      </c>
      <c r="F7" s="294">
        <f>KeyInputs!I7</f>
        <v>42370</v>
      </c>
      <c r="G7" s="294">
        <f>KeyInputs!J7</f>
        <v>42736</v>
      </c>
      <c r="H7" s="294">
        <f>KeyInputs!K7</f>
        <v>43101</v>
      </c>
      <c r="I7" s="294">
        <f>KeyInputs!L7</f>
        <v>43466</v>
      </c>
      <c r="J7" s="293"/>
      <c r="K7" s="294">
        <f>KeyInputs!N7</f>
        <v>42005</v>
      </c>
      <c r="L7" s="294">
        <f>KeyInputs!O7</f>
        <v>42036</v>
      </c>
      <c r="M7" s="294">
        <f>KeyInputs!P7</f>
        <v>42064</v>
      </c>
      <c r="N7" s="294">
        <f>KeyInputs!Q7</f>
        <v>42095</v>
      </c>
      <c r="O7" s="294">
        <f>KeyInputs!R7</f>
        <v>42125</v>
      </c>
      <c r="P7" s="294">
        <f>KeyInputs!S7</f>
        <v>42156</v>
      </c>
      <c r="Q7" s="294">
        <f>KeyInputs!T7</f>
        <v>42186</v>
      </c>
      <c r="R7" s="294">
        <f>KeyInputs!U7</f>
        <v>42217</v>
      </c>
      <c r="S7" s="294">
        <f>KeyInputs!V7</f>
        <v>42248</v>
      </c>
      <c r="T7" s="294">
        <f>KeyInputs!W7</f>
        <v>42278</v>
      </c>
      <c r="U7" s="294">
        <f>KeyInputs!X7</f>
        <v>42309</v>
      </c>
      <c r="V7" s="294">
        <f>KeyInputs!Y7</f>
        <v>42339</v>
      </c>
      <c r="W7" s="294">
        <f>KeyInputs!Z7</f>
        <v>42370</v>
      </c>
      <c r="X7" s="294">
        <f>KeyInputs!AA7</f>
        <v>42401</v>
      </c>
      <c r="Y7" s="294">
        <f>KeyInputs!AB7</f>
        <v>42430</v>
      </c>
      <c r="Z7" s="294">
        <f>KeyInputs!AC7</f>
        <v>42461</v>
      </c>
      <c r="AA7" s="294">
        <f>KeyInputs!AD7</f>
        <v>42491</v>
      </c>
      <c r="AB7" s="294">
        <f>KeyInputs!AE7</f>
        <v>42522</v>
      </c>
      <c r="AC7" s="294">
        <f>KeyInputs!AF7</f>
        <v>42552</v>
      </c>
      <c r="AD7" s="294">
        <f>KeyInputs!AG7</f>
        <v>42583</v>
      </c>
      <c r="AE7" s="294">
        <f>KeyInputs!AH7</f>
        <v>42614</v>
      </c>
      <c r="AF7" s="294">
        <f>KeyInputs!AI7</f>
        <v>42644</v>
      </c>
      <c r="AG7" s="294">
        <f>KeyInputs!AJ7</f>
        <v>42675</v>
      </c>
      <c r="AH7" s="294">
        <f>KeyInputs!AK7</f>
        <v>42705</v>
      </c>
      <c r="AI7" s="294">
        <f>KeyInputs!AL7</f>
        <v>42736</v>
      </c>
      <c r="AJ7" s="294">
        <f>KeyInputs!AM7</f>
        <v>42767</v>
      </c>
      <c r="AK7" s="294">
        <f>KeyInputs!AN7</f>
        <v>42795</v>
      </c>
      <c r="AL7" s="294">
        <f>KeyInputs!AO7</f>
        <v>42826</v>
      </c>
      <c r="AM7" s="294">
        <f>KeyInputs!AP7</f>
        <v>42856</v>
      </c>
      <c r="AN7" s="294">
        <f>KeyInputs!AQ7</f>
        <v>42887</v>
      </c>
      <c r="AO7" s="294">
        <f>KeyInputs!AR7</f>
        <v>42917</v>
      </c>
      <c r="AP7" s="294">
        <f>KeyInputs!AS7</f>
        <v>42948</v>
      </c>
      <c r="AQ7" s="294">
        <f>KeyInputs!AT7</f>
        <v>42979</v>
      </c>
      <c r="AR7" s="294">
        <f>KeyInputs!AU7</f>
        <v>43009</v>
      </c>
      <c r="AS7" s="294">
        <f>KeyInputs!AV7</f>
        <v>43040</v>
      </c>
      <c r="AT7" s="294">
        <f>KeyInputs!AW7</f>
        <v>43070</v>
      </c>
      <c r="AU7" s="294">
        <f>KeyInputs!AX7</f>
        <v>43101</v>
      </c>
      <c r="AV7" s="294">
        <f>KeyInputs!AY7</f>
        <v>43132</v>
      </c>
      <c r="AW7" s="294">
        <f>KeyInputs!AZ7</f>
        <v>43160</v>
      </c>
      <c r="AX7" s="294">
        <f>KeyInputs!BA7</f>
        <v>43191</v>
      </c>
      <c r="AY7" s="294">
        <f>KeyInputs!BB7</f>
        <v>43221</v>
      </c>
      <c r="AZ7" s="294">
        <f>KeyInputs!BC7</f>
        <v>43252</v>
      </c>
      <c r="BA7" s="294">
        <f>KeyInputs!BD7</f>
        <v>43282</v>
      </c>
      <c r="BB7" s="294">
        <f>KeyInputs!BE7</f>
        <v>43313</v>
      </c>
      <c r="BC7" s="294">
        <f>KeyInputs!BF7</f>
        <v>43344</v>
      </c>
      <c r="BD7" s="294">
        <f>KeyInputs!BG7</f>
        <v>43374</v>
      </c>
      <c r="BE7" s="294">
        <f>KeyInputs!BH7</f>
        <v>43405</v>
      </c>
      <c r="BF7" s="294">
        <f>KeyInputs!BI7</f>
        <v>43435</v>
      </c>
      <c r="BG7" s="294">
        <f>KeyInputs!BJ7</f>
        <v>43466</v>
      </c>
      <c r="BH7" s="294">
        <f>KeyInputs!BK7</f>
        <v>43497</v>
      </c>
      <c r="BI7" s="294">
        <f>KeyInputs!BL7</f>
        <v>43525</v>
      </c>
      <c r="BJ7" s="294">
        <f>KeyInputs!BM7</f>
        <v>43556</v>
      </c>
      <c r="BK7" s="294">
        <f>KeyInputs!BN7</f>
        <v>43586</v>
      </c>
      <c r="BL7" s="294">
        <f>KeyInputs!BO7</f>
        <v>43617</v>
      </c>
      <c r="BM7" s="294">
        <f>KeyInputs!BP7</f>
        <v>43647</v>
      </c>
      <c r="BN7" s="294">
        <f>KeyInputs!BQ7</f>
        <v>43678</v>
      </c>
      <c r="BO7" s="294">
        <f>KeyInputs!BR7</f>
        <v>43709</v>
      </c>
      <c r="BP7" s="294">
        <f>KeyInputs!BS7</f>
        <v>43739</v>
      </c>
      <c r="BQ7" s="294">
        <f>KeyInputs!BT7</f>
        <v>43770</v>
      </c>
      <c r="BR7" s="294">
        <f>KeyInputs!BU7</f>
        <v>43800</v>
      </c>
    </row>
    <row r="8" spans="1:78" s="290" customFormat="1" x14ac:dyDescent="0.25">
      <c r="B8" s="291" t="str">
        <f ca="1">IF(Check!$C$12=0,"All checks are OK","There are "&amp;Check!$C$12&amp;" error/errors")</f>
        <v>All checks are OK</v>
      </c>
      <c r="D8" s="287" t="str">
        <f>KeyInputs!D8</f>
        <v>Period ends</v>
      </c>
      <c r="E8" s="294">
        <f>KeyInputs!H8</f>
        <v>42369</v>
      </c>
      <c r="F8" s="294">
        <f>KeyInputs!I8</f>
        <v>42735</v>
      </c>
      <c r="G8" s="294">
        <f>KeyInputs!J8</f>
        <v>43100</v>
      </c>
      <c r="H8" s="294">
        <f>KeyInputs!K8</f>
        <v>43465</v>
      </c>
      <c r="I8" s="294">
        <f>KeyInputs!L8</f>
        <v>43830</v>
      </c>
      <c r="J8" s="293"/>
      <c r="K8" s="294">
        <f>KeyInputs!N8</f>
        <v>42035</v>
      </c>
      <c r="L8" s="294">
        <f>KeyInputs!O8</f>
        <v>42063</v>
      </c>
      <c r="M8" s="294">
        <f>KeyInputs!P8</f>
        <v>42094</v>
      </c>
      <c r="N8" s="294">
        <f>KeyInputs!Q8</f>
        <v>42124</v>
      </c>
      <c r="O8" s="294">
        <f>KeyInputs!R8</f>
        <v>42155</v>
      </c>
      <c r="P8" s="294">
        <f>KeyInputs!S8</f>
        <v>42185</v>
      </c>
      <c r="Q8" s="294">
        <f>KeyInputs!T8</f>
        <v>42216</v>
      </c>
      <c r="R8" s="294">
        <f>KeyInputs!U8</f>
        <v>42247</v>
      </c>
      <c r="S8" s="294">
        <f>KeyInputs!V8</f>
        <v>42277</v>
      </c>
      <c r="T8" s="294">
        <f>KeyInputs!W8</f>
        <v>42308</v>
      </c>
      <c r="U8" s="294">
        <f>KeyInputs!X8</f>
        <v>42338</v>
      </c>
      <c r="V8" s="294">
        <f>KeyInputs!Y8</f>
        <v>42369</v>
      </c>
      <c r="W8" s="294">
        <f>KeyInputs!Z8</f>
        <v>42400</v>
      </c>
      <c r="X8" s="294">
        <f>KeyInputs!AA8</f>
        <v>42429</v>
      </c>
      <c r="Y8" s="294">
        <f>KeyInputs!AB8</f>
        <v>42460</v>
      </c>
      <c r="Z8" s="294">
        <f>KeyInputs!AC8</f>
        <v>42490</v>
      </c>
      <c r="AA8" s="294">
        <f>KeyInputs!AD8</f>
        <v>42521</v>
      </c>
      <c r="AB8" s="294">
        <f>KeyInputs!AE8</f>
        <v>42551</v>
      </c>
      <c r="AC8" s="294">
        <f>KeyInputs!AF8</f>
        <v>42582</v>
      </c>
      <c r="AD8" s="294">
        <f>KeyInputs!AG8</f>
        <v>42613</v>
      </c>
      <c r="AE8" s="294">
        <f>KeyInputs!AH8</f>
        <v>42643</v>
      </c>
      <c r="AF8" s="294">
        <f>KeyInputs!AI8</f>
        <v>42674</v>
      </c>
      <c r="AG8" s="294">
        <f>KeyInputs!AJ8</f>
        <v>42704</v>
      </c>
      <c r="AH8" s="294">
        <f>KeyInputs!AK8</f>
        <v>42735</v>
      </c>
      <c r="AI8" s="294">
        <f>KeyInputs!AL8</f>
        <v>42766</v>
      </c>
      <c r="AJ8" s="294">
        <f>KeyInputs!AM8</f>
        <v>42794</v>
      </c>
      <c r="AK8" s="294">
        <f>KeyInputs!AN8</f>
        <v>42825</v>
      </c>
      <c r="AL8" s="294">
        <f>KeyInputs!AO8</f>
        <v>42855</v>
      </c>
      <c r="AM8" s="294">
        <f>KeyInputs!AP8</f>
        <v>42886</v>
      </c>
      <c r="AN8" s="294">
        <f>KeyInputs!AQ8</f>
        <v>42916</v>
      </c>
      <c r="AO8" s="294">
        <f>KeyInputs!AR8</f>
        <v>42947</v>
      </c>
      <c r="AP8" s="294">
        <f>KeyInputs!AS8</f>
        <v>42978</v>
      </c>
      <c r="AQ8" s="294">
        <f>KeyInputs!AT8</f>
        <v>43008</v>
      </c>
      <c r="AR8" s="294">
        <f>KeyInputs!AU8</f>
        <v>43039</v>
      </c>
      <c r="AS8" s="294">
        <f>KeyInputs!AV8</f>
        <v>43069</v>
      </c>
      <c r="AT8" s="294">
        <f>KeyInputs!AW8</f>
        <v>43100</v>
      </c>
      <c r="AU8" s="294">
        <f>KeyInputs!AX8</f>
        <v>43131</v>
      </c>
      <c r="AV8" s="294">
        <f>KeyInputs!AY8</f>
        <v>43159</v>
      </c>
      <c r="AW8" s="294">
        <f>KeyInputs!AZ8</f>
        <v>43190</v>
      </c>
      <c r="AX8" s="294">
        <f>KeyInputs!BA8</f>
        <v>43220</v>
      </c>
      <c r="AY8" s="294">
        <f>KeyInputs!BB8</f>
        <v>43251</v>
      </c>
      <c r="AZ8" s="294">
        <f>KeyInputs!BC8</f>
        <v>43281</v>
      </c>
      <c r="BA8" s="294">
        <f>KeyInputs!BD8</f>
        <v>43312</v>
      </c>
      <c r="BB8" s="294">
        <f>KeyInputs!BE8</f>
        <v>43343</v>
      </c>
      <c r="BC8" s="294">
        <f>KeyInputs!BF8</f>
        <v>43373</v>
      </c>
      <c r="BD8" s="294">
        <f>KeyInputs!BG8</f>
        <v>43404</v>
      </c>
      <c r="BE8" s="294">
        <f>KeyInputs!BH8</f>
        <v>43434</v>
      </c>
      <c r="BF8" s="294">
        <f>KeyInputs!BI8</f>
        <v>43465</v>
      </c>
      <c r="BG8" s="294">
        <f>KeyInputs!BJ8</f>
        <v>43496</v>
      </c>
      <c r="BH8" s="294">
        <f>KeyInputs!BK8</f>
        <v>43524</v>
      </c>
      <c r="BI8" s="294">
        <f>KeyInputs!BL8</f>
        <v>43555</v>
      </c>
      <c r="BJ8" s="294">
        <f>KeyInputs!BM8</f>
        <v>43585</v>
      </c>
      <c r="BK8" s="294">
        <f>KeyInputs!BN8</f>
        <v>43616</v>
      </c>
      <c r="BL8" s="294">
        <f>KeyInputs!BO8</f>
        <v>43646</v>
      </c>
      <c r="BM8" s="294">
        <f>KeyInputs!BP8</f>
        <v>43677</v>
      </c>
      <c r="BN8" s="294">
        <f>KeyInputs!BQ8</f>
        <v>43708</v>
      </c>
      <c r="BO8" s="294">
        <f>KeyInputs!BR8</f>
        <v>43738</v>
      </c>
      <c r="BP8" s="294">
        <f>KeyInputs!BS8</f>
        <v>43769</v>
      </c>
      <c r="BQ8" s="294">
        <f>KeyInputs!BT8</f>
        <v>43799</v>
      </c>
      <c r="BR8" s="294">
        <f>KeyInputs!BU8</f>
        <v>43830</v>
      </c>
      <c r="BS8" s="285"/>
      <c r="BT8" s="285"/>
      <c r="BU8" s="285"/>
      <c r="BV8" s="285"/>
      <c r="BW8" s="285"/>
      <c r="BX8" s="285"/>
      <c r="BY8" s="285"/>
      <c r="BZ8" s="285"/>
    </row>
    <row r="10" spans="1:78" s="151" customFormat="1" x14ac:dyDescent="0.25">
      <c r="A10" s="151">
        <f>Header1</f>
        <v>1</v>
      </c>
      <c r="B10" s="151" t="s">
        <v>243</v>
      </c>
      <c r="J10" s="176"/>
    </row>
    <row r="12" spans="1:78" s="149" customFormat="1" x14ac:dyDescent="0.25">
      <c r="B12" s="149" t="str">
        <f>Header2</f>
        <v>1.1</v>
      </c>
      <c r="C12" s="149" t="s">
        <v>225</v>
      </c>
      <c r="J12" s="57"/>
    </row>
    <row r="13" spans="1:78" x14ac:dyDescent="0.25">
      <c r="C13" s="152" t="str">
        <f>KeyInputs!F61</f>
        <v>ICT equipement</v>
      </c>
      <c r="D13" s="161" t="str">
        <f>unit</f>
        <v>£</v>
      </c>
      <c r="E13" s="64">
        <f>SUMIF($K$5:$BR$5,E$5,$K13:$BR13)</f>
        <v>0</v>
      </c>
      <c r="F13" s="64">
        <f t="shared" ref="F13:I13" si="0">SUMIF($K$5:$BR$5,F$5,$K13:$BR13)</f>
        <v>0</v>
      </c>
      <c r="G13" s="64">
        <f t="shared" si="0"/>
        <v>0</v>
      </c>
      <c r="H13" s="64">
        <f t="shared" si="0"/>
        <v>0</v>
      </c>
      <c r="I13" s="64">
        <f t="shared" si="0"/>
        <v>0</v>
      </c>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row>
    <row r="14" spans="1:78" x14ac:dyDescent="0.25">
      <c r="C14" s="152" t="str">
        <f>KeyInputs!F62</f>
        <v>F&amp;F</v>
      </c>
      <c r="D14" s="161" t="str">
        <f>unit</f>
        <v>£</v>
      </c>
      <c r="E14" s="64">
        <f t="shared" ref="E14:I17" si="1">SUMIF($K$5:$BR$5,E$5,$K14:$BR14)</f>
        <v>0</v>
      </c>
      <c r="F14" s="64">
        <f t="shared" si="1"/>
        <v>0</v>
      </c>
      <c r="G14" s="64">
        <f t="shared" si="1"/>
        <v>0</v>
      </c>
      <c r="H14" s="64">
        <f t="shared" si="1"/>
        <v>0</v>
      </c>
      <c r="I14" s="64">
        <f t="shared" si="1"/>
        <v>0</v>
      </c>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4"/>
    </row>
    <row r="15" spans="1:78" x14ac:dyDescent="0.25">
      <c r="C15" s="152" t="str">
        <f>KeyInputs!F63</f>
        <v xml:space="preserve">Property </v>
      </c>
      <c r="D15" s="161" t="str">
        <f>unit</f>
        <v>£</v>
      </c>
      <c r="E15" s="64">
        <f t="shared" si="1"/>
        <v>0</v>
      </c>
      <c r="F15" s="64">
        <f t="shared" si="1"/>
        <v>0</v>
      </c>
      <c r="G15" s="64">
        <f t="shared" si="1"/>
        <v>0</v>
      </c>
      <c r="H15" s="64">
        <f t="shared" si="1"/>
        <v>0</v>
      </c>
      <c r="I15" s="64">
        <f t="shared" si="1"/>
        <v>0</v>
      </c>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4"/>
      <c r="BO15" s="144"/>
      <c r="BP15" s="144"/>
      <c r="BQ15" s="144"/>
      <c r="BR15" s="144"/>
    </row>
    <row r="16" spans="1:78" x14ac:dyDescent="0.25">
      <c r="C16" s="152" t="str">
        <f>KeyInputs!F64</f>
        <v>Vehicles</v>
      </c>
      <c r="D16" s="161" t="str">
        <f>unit</f>
        <v>£</v>
      </c>
      <c r="E16" s="64">
        <f t="shared" si="1"/>
        <v>0</v>
      </c>
      <c r="F16" s="64">
        <f t="shared" si="1"/>
        <v>0</v>
      </c>
      <c r="G16" s="64">
        <f t="shared" si="1"/>
        <v>0</v>
      </c>
      <c r="H16" s="64">
        <f t="shared" si="1"/>
        <v>0</v>
      </c>
      <c r="I16" s="64">
        <f t="shared" si="1"/>
        <v>0</v>
      </c>
      <c r="K16" s="144"/>
      <c r="L16" s="144"/>
      <c r="M16" s="144"/>
      <c r="N16" s="144"/>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c r="AR16" s="144"/>
      <c r="AS16" s="144"/>
      <c r="AT16" s="144"/>
      <c r="AU16" s="144"/>
      <c r="AV16" s="144"/>
      <c r="AW16" s="144"/>
      <c r="AX16" s="144"/>
      <c r="AY16" s="144"/>
      <c r="AZ16" s="144"/>
      <c r="BA16" s="144"/>
      <c r="BB16" s="144"/>
      <c r="BC16" s="144"/>
      <c r="BD16" s="144"/>
      <c r="BE16" s="144"/>
      <c r="BF16" s="144"/>
      <c r="BG16" s="144"/>
      <c r="BH16" s="144"/>
      <c r="BI16" s="144"/>
      <c r="BJ16" s="144"/>
      <c r="BK16" s="144"/>
      <c r="BL16" s="144"/>
      <c r="BM16" s="144"/>
      <c r="BN16" s="144"/>
      <c r="BO16" s="144"/>
      <c r="BP16" s="144"/>
      <c r="BQ16" s="144"/>
      <c r="BR16" s="144"/>
    </row>
    <row r="17" spans="1:70" x14ac:dyDescent="0.25">
      <c r="C17" s="152" t="str">
        <f>KeyInputs!F65</f>
        <v>n/a</v>
      </c>
      <c r="D17" s="161" t="str">
        <f>unit</f>
        <v>£</v>
      </c>
      <c r="E17" s="64">
        <f t="shared" si="1"/>
        <v>0</v>
      </c>
      <c r="F17" s="64">
        <f t="shared" si="1"/>
        <v>0</v>
      </c>
      <c r="G17" s="64">
        <f t="shared" si="1"/>
        <v>0</v>
      </c>
      <c r="H17" s="64">
        <f t="shared" si="1"/>
        <v>0</v>
      </c>
      <c r="I17" s="64">
        <f t="shared" si="1"/>
        <v>0</v>
      </c>
      <c r="K17" s="144"/>
      <c r="L17" s="144"/>
      <c r="M17" s="144"/>
      <c r="N17" s="144"/>
      <c r="O17" s="144"/>
      <c r="P17" s="144"/>
      <c r="Q17" s="144"/>
      <c r="R17" s="144"/>
      <c r="S17" s="144"/>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c r="AS17" s="144"/>
      <c r="AT17" s="144"/>
      <c r="AU17" s="144"/>
      <c r="AV17" s="144"/>
      <c r="AW17" s="144"/>
      <c r="AX17" s="144"/>
      <c r="AY17" s="144"/>
      <c r="AZ17" s="144"/>
      <c r="BA17" s="144"/>
      <c r="BB17" s="144"/>
      <c r="BC17" s="144"/>
      <c r="BD17" s="144"/>
      <c r="BE17" s="144"/>
      <c r="BF17" s="144"/>
      <c r="BG17" s="144"/>
      <c r="BH17" s="144"/>
      <c r="BI17" s="144"/>
      <c r="BJ17" s="144"/>
      <c r="BK17" s="144"/>
      <c r="BL17" s="144"/>
      <c r="BM17" s="144"/>
      <c r="BN17" s="144"/>
      <c r="BO17" s="144"/>
      <c r="BP17" s="144"/>
      <c r="BQ17" s="144"/>
      <c r="BR17" s="144"/>
    </row>
    <row r="19" spans="1:70" s="153" customFormat="1" x14ac:dyDescent="0.25">
      <c r="C19" s="154"/>
      <c r="D19" s="154"/>
      <c r="J19" s="178"/>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row>
    <row r="20" spans="1:70" s="149" customFormat="1" x14ac:dyDescent="0.25">
      <c r="B20" s="149" t="str">
        <f>Header2</f>
        <v>1.2</v>
      </c>
      <c r="C20" s="149" t="s">
        <v>226</v>
      </c>
      <c r="J20" s="57"/>
    </row>
    <row r="21" spans="1:70" x14ac:dyDescent="0.25">
      <c r="C21" s="152" t="str">
        <f>C13</f>
        <v>ICT equipement</v>
      </c>
      <c r="D21" s="161" t="str">
        <f>unit</f>
        <v>£</v>
      </c>
      <c r="E21" s="64">
        <f t="shared" ref="E21:I25" si="2">SUMIF($K$5:$BR$5,E$5,$K21:$BR21)</f>
        <v>0</v>
      </c>
      <c r="F21" s="64">
        <f t="shared" si="2"/>
        <v>0</v>
      </c>
      <c r="G21" s="64">
        <f t="shared" si="2"/>
        <v>0</v>
      </c>
      <c r="H21" s="64">
        <f t="shared" si="2"/>
        <v>0</v>
      </c>
      <c r="I21" s="64">
        <f t="shared" si="2"/>
        <v>0</v>
      </c>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row>
    <row r="22" spans="1:70" x14ac:dyDescent="0.25">
      <c r="C22" s="152" t="str">
        <f>C14</f>
        <v>F&amp;F</v>
      </c>
      <c r="D22" s="161" t="str">
        <f>unit</f>
        <v>£</v>
      </c>
      <c r="E22" s="64">
        <f t="shared" si="2"/>
        <v>0</v>
      </c>
      <c r="F22" s="64">
        <f t="shared" si="2"/>
        <v>0</v>
      </c>
      <c r="G22" s="64">
        <f t="shared" si="2"/>
        <v>0</v>
      </c>
      <c r="H22" s="64">
        <f t="shared" si="2"/>
        <v>0</v>
      </c>
      <c r="I22" s="64">
        <f t="shared" si="2"/>
        <v>0</v>
      </c>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row>
    <row r="23" spans="1:70" x14ac:dyDescent="0.25">
      <c r="C23" s="152" t="str">
        <f>C15</f>
        <v xml:space="preserve">Property </v>
      </c>
      <c r="D23" s="161" t="str">
        <f>unit</f>
        <v>£</v>
      </c>
      <c r="E23" s="64">
        <f t="shared" si="2"/>
        <v>0</v>
      </c>
      <c r="F23" s="64">
        <f t="shared" si="2"/>
        <v>0</v>
      </c>
      <c r="G23" s="64">
        <f t="shared" si="2"/>
        <v>0</v>
      </c>
      <c r="H23" s="64">
        <f t="shared" si="2"/>
        <v>0</v>
      </c>
      <c r="I23" s="64">
        <f t="shared" si="2"/>
        <v>0</v>
      </c>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44"/>
      <c r="BL23" s="144"/>
      <c r="BM23" s="144"/>
      <c r="BN23" s="144"/>
      <c r="BO23" s="144"/>
      <c r="BP23" s="144"/>
      <c r="BQ23" s="144"/>
      <c r="BR23" s="144"/>
    </row>
    <row r="24" spans="1:70" x14ac:dyDescent="0.25">
      <c r="C24" s="152" t="str">
        <f>C16</f>
        <v>Vehicles</v>
      </c>
      <c r="D24" s="161" t="str">
        <f>unit</f>
        <v>£</v>
      </c>
      <c r="E24" s="64">
        <f t="shared" si="2"/>
        <v>0</v>
      </c>
      <c r="F24" s="64">
        <f t="shared" si="2"/>
        <v>0</v>
      </c>
      <c r="G24" s="64">
        <f t="shared" si="2"/>
        <v>0</v>
      </c>
      <c r="H24" s="64">
        <f t="shared" si="2"/>
        <v>0</v>
      </c>
      <c r="I24" s="64">
        <f t="shared" si="2"/>
        <v>0</v>
      </c>
      <c r="K24" s="144"/>
      <c r="L24" s="144"/>
      <c r="M24" s="144"/>
      <c r="N24" s="144"/>
      <c r="O24" s="144"/>
      <c r="P24" s="144"/>
      <c r="Q24" s="144"/>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44"/>
      <c r="BL24" s="144"/>
      <c r="BM24" s="144"/>
      <c r="BN24" s="144"/>
      <c r="BO24" s="144"/>
      <c r="BP24" s="144"/>
      <c r="BQ24" s="144"/>
      <c r="BR24" s="144"/>
    </row>
    <row r="25" spans="1:70" x14ac:dyDescent="0.25">
      <c r="C25" s="152" t="str">
        <f>C17</f>
        <v>n/a</v>
      </c>
      <c r="D25" s="161" t="str">
        <f>unit</f>
        <v>£</v>
      </c>
      <c r="E25" s="64">
        <f t="shared" si="2"/>
        <v>0</v>
      </c>
      <c r="F25" s="64">
        <f t="shared" si="2"/>
        <v>0</v>
      </c>
      <c r="G25" s="64">
        <f t="shared" si="2"/>
        <v>0</v>
      </c>
      <c r="H25" s="64">
        <f t="shared" si="2"/>
        <v>0</v>
      </c>
      <c r="I25" s="64">
        <f t="shared" si="2"/>
        <v>0</v>
      </c>
      <c r="K25" s="144"/>
      <c r="L25" s="144"/>
      <c r="M25" s="144"/>
      <c r="N25" s="144"/>
      <c r="O25" s="144"/>
      <c r="P25" s="144"/>
      <c r="Q25" s="144"/>
      <c r="R25" s="144"/>
      <c r="S25" s="144"/>
      <c r="T25" s="144"/>
      <c r="U25" s="144"/>
      <c r="V25" s="144"/>
      <c r="W25" s="144"/>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44"/>
      <c r="BL25" s="144"/>
      <c r="BM25" s="144"/>
      <c r="BN25" s="144"/>
      <c r="BO25" s="144"/>
      <c r="BP25" s="144"/>
      <c r="BQ25" s="144"/>
      <c r="BR25" s="144"/>
    </row>
    <row r="26" spans="1:70" s="153" customFormat="1" x14ac:dyDescent="0.25">
      <c r="C26" s="154"/>
      <c r="D26" s="154"/>
      <c r="J26" s="178"/>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6"/>
      <c r="BM26" s="146"/>
      <c r="BN26" s="146"/>
      <c r="BO26" s="146"/>
      <c r="BP26" s="146"/>
      <c r="BQ26" s="146"/>
      <c r="BR26" s="146"/>
    </row>
    <row r="27" spans="1:70" s="151" customFormat="1" x14ac:dyDescent="0.25">
      <c r="A27" s="151">
        <f>Header1</f>
        <v>2</v>
      </c>
      <c r="B27" s="151" t="s">
        <v>224</v>
      </c>
      <c r="J27" s="176"/>
    </row>
    <row r="29" spans="1:70" s="149" customFormat="1" x14ac:dyDescent="0.25">
      <c r="B29" s="149" t="str">
        <f>Header2</f>
        <v>2.1</v>
      </c>
      <c r="C29" s="149" t="str">
        <f>C13</f>
        <v>ICT equipement</v>
      </c>
      <c r="J29" s="57"/>
    </row>
    <row r="30" spans="1:70" s="149" customFormat="1" x14ac:dyDescent="0.25">
      <c r="C30" s="150" t="s">
        <v>227</v>
      </c>
      <c r="D30" s="150">
        <f>KeyInputs!G61</f>
        <v>3</v>
      </c>
      <c r="J30" s="57"/>
    </row>
    <row r="31" spans="1:70" s="149" customFormat="1" x14ac:dyDescent="0.25">
      <c r="C31" s="202" t="s">
        <v>231</v>
      </c>
      <c r="D31" s="203">
        <f>1/$D$30</f>
        <v>0.33333333333333331</v>
      </c>
      <c r="J31" s="57"/>
    </row>
    <row r="33" spans="2:70" x14ac:dyDescent="0.25">
      <c r="C33" s="147" t="s">
        <v>228</v>
      </c>
      <c r="D33" s="161" t="str">
        <f>unit</f>
        <v>£</v>
      </c>
      <c r="E33" s="64">
        <f>INDEX($K33:$BR33,0,MATCH(E$7,$K$7:$BR$7,0))</f>
        <v>0</v>
      </c>
      <c r="F33" s="64">
        <f t="shared" ref="F33:I33" si="3">INDEX($K33:$BR33,0,MATCH(F$7,$K$7:$BR$7,0))</f>
        <v>0</v>
      </c>
      <c r="G33" s="64">
        <f t="shared" si="3"/>
        <v>0</v>
      </c>
      <c r="H33" s="64">
        <f t="shared" si="3"/>
        <v>0</v>
      </c>
      <c r="I33" s="64">
        <f t="shared" si="3"/>
        <v>0</v>
      </c>
      <c r="K33" s="64">
        <f>J37</f>
        <v>0</v>
      </c>
      <c r="L33" s="155">
        <f>K37</f>
        <v>0</v>
      </c>
      <c r="M33" s="155">
        <f t="shared" ref="M33:BR33" si="4">L37</f>
        <v>0</v>
      </c>
      <c r="N33" s="155">
        <f t="shared" si="4"/>
        <v>0</v>
      </c>
      <c r="O33" s="155">
        <f t="shared" si="4"/>
        <v>0</v>
      </c>
      <c r="P33" s="155">
        <f t="shared" si="4"/>
        <v>0</v>
      </c>
      <c r="Q33" s="155">
        <f t="shared" si="4"/>
        <v>0</v>
      </c>
      <c r="R33" s="155">
        <f t="shared" si="4"/>
        <v>0</v>
      </c>
      <c r="S33" s="155">
        <f t="shared" si="4"/>
        <v>0</v>
      </c>
      <c r="T33" s="155">
        <f t="shared" si="4"/>
        <v>0</v>
      </c>
      <c r="U33" s="155">
        <f t="shared" si="4"/>
        <v>0</v>
      </c>
      <c r="V33" s="155">
        <f t="shared" si="4"/>
        <v>0</v>
      </c>
      <c r="W33" s="155">
        <f t="shared" si="4"/>
        <v>0</v>
      </c>
      <c r="X33" s="155">
        <f t="shared" si="4"/>
        <v>0</v>
      </c>
      <c r="Y33" s="155">
        <f t="shared" si="4"/>
        <v>0</v>
      </c>
      <c r="Z33" s="155">
        <f t="shared" si="4"/>
        <v>0</v>
      </c>
      <c r="AA33" s="155">
        <f t="shared" si="4"/>
        <v>0</v>
      </c>
      <c r="AB33" s="155">
        <f t="shared" si="4"/>
        <v>0</v>
      </c>
      <c r="AC33" s="155">
        <f t="shared" si="4"/>
        <v>0</v>
      </c>
      <c r="AD33" s="155">
        <f t="shared" si="4"/>
        <v>0</v>
      </c>
      <c r="AE33" s="155">
        <f t="shared" si="4"/>
        <v>0</v>
      </c>
      <c r="AF33" s="155">
        <f t="shared" si="4"/>
        <v>0</v>
      </c>
      <c r="AG33" s="155">
        <f t="shared" si="4"/>
        <v>0</v>
      </c>
      <c r="AH33" s="155">
        <f t="shared" si="4"/>
        <v>0</v>
      </c>
      <c r="AI33" s="155">
        <f t="shared" si="4"/>
        <v>0</v>
      </c>
      <c r="AJ33" s="155">
        <f t="shared" si="4"/>
        <v>0</v>
      </c>
      <c r="AK33" s="155">
        <f t="shared" si="4"/>
        <v>0</v>
      </c>
      <c r="AL33" s="155">
        <f t="shared" si="4"/>
        <v>0</v>
      </c>
      <c r="AM33" s="155">
        <f t="shared" si="4"/>
        <v>0</v>
      </c>
      <c r="AN33" s="155">
        <f t="shared" si="4"/>
        <v>0</v>
      </c>
      <c r="AO33" s="155">
        <f t="shared" si="4"/>
        <v>0</v>
      </c>
      <c r="AP33" s="155">
        <f t="shared" si="4"/>
        <v>0</v>
      </c>
      <c r="AQ33" s="155">
        <f t="shared" si="4"/>
        <v>0</v>
      </c>
      <c r="AR33" s="155">
        <f t="shared" si="4"/>
        <v>0</v>
      </c>
      <c r="AS33" s="155">
        <f t="shared" si="4"/>
        <v>0</v>
      </c>
      <c r="AT33" s="155">
        <f t="shared" si="4"/>
        <v>0</v>
      </c>
      <c r="AU33" s="155">
        <f t="shared" si="4"/>
        <v>0</v>
      </c>
      <c r="AV33" s="155">
        <f t="shared" si="4"/>
        <v>0</v>
      </c>
      <c r="AW33" s="155">
        <f t="shared" si="4"/>
        <v>0</v>
      </c>
      <c r="AX33" s="155">
        <f t="shared" si="4"/>
        <v>0</v>
      </c>
      <c r="AY33" s="155">
        <f t="shared" si="4"/>
        <v>0</v>
      </c>
      <c r="AZ33" s="155">
        <f t="shared" si="4"/>
        <v>0</v>
      </c>
      <c r="BA33" s="155">
        <f t="shared" si="4"/>
        <v>0</v>
      </c>
      <c r="BB33" s="155">
        <f t="shared" si="4"/>
        <v>0</v>
      </c>
      <c r="BC33" s="155">
        <f t="shared" si="4"/>
        <v>0</v>
      </c>
      <c r="BD33" s="155">
        <f t="shared" si="4"/>
        <v>0</v>
      </c>
      <c r="BE33" s="155">
        <f t="shared" si="4"/>
        <v>0</v>
      </c>
      <c r="BF33" s="155">
        <f t="shared" si="4"/>
        <v>0</v>
      </c>
      <c r="BG33" s="155">
        <f t="shared" si="4"/>
        <v>0</v>
      </c>
      <c r="BH33" s="155">
        <f t="shared" si="4"/>
        <v>0</v>
      </c>
      <c r="BI33" s="155">
        <f t="shared" si="4"/>
        <v>0</v>
      </c>
      <c r="BJ33" s="155">
        <f t="shared" si="4"/>
        <v>0</v>
      </c>
      <c r="BK33" s="155">
        <f t="shared" si="4"/>
        <v>0</v>
      </c>
      <c r="BL33" s="155">
        <f t="shared" si="4"/>
        <v>0</v>
      </c>
      <c r="BM33" s="155">
        <f t="shared" si="4"/>
        <v>0</v>
      </c>
      <c r="BN33" s="155">
        <f t="shared" si="4"/>
        <v>0</v>
      </c>
      <c r="BO33" s="155">
        <f t="shared" si="4"/>
        <v>0</v>
      </c>
      <c r="BP33" s="155">
        <f t="shared" si="4"/>
        <v>0</v>
      </c>
      <c r="BQ33" s="155">
        <f t="shared" si="4"/>
        <v>0</v>
      </c>
      <c r="BR33" s="155">
        <f t="shared" si="4"/>
        <v>0</v>
      </c>
    </row>
    <row r="34" spans="2:70" x14ac:dyDescent="0.25">
      <c r="C34" s="147" t="s">
        <v>225</v>
      </c>
      <c r="D34" s="161" t="str">
        <f>unit</f>
        <v>£</v>
      </c>
      <c r="E34" s="64">
        <f t="shared" ref="E34:I36" si="5">SUMIF($K$5:$BR$5,E$5,$K34:$BR34)</f>
        <v>0</v>
      </c>
      <c r="F34" s="64">
        <f t="shared" si="5"/>
        <v>0</v>
      </c>
      <c r="G34" s="64">
        <f t="shared" si="5"/>
        <v>0</v>
      </c>
      <c r="H34" s="64">
        <f t="shared" si="5"/>
        <v>0</v>
      </c>
      <c r="I34" s="64">
        <f t="shared" si="5"/>
        <v>0</v>
      </c>
      <c r="K34" s="64">
        <f>K13</f>
        <v>0</v>
      </c>
      <c r="L34" s="64">
        <f>L13</f>
        <v>0</v>
      </c>
      <c r="M34" s="64">
        <f t="shared" ref="M34:BR34" si="6">M13</f>
        <v>0</v>
      </c>
      <c r="N34" s="64">
        <f t="shared" si="6"/>
        <v>0</v>
      </c>
      <c r="O34" s="64">
        <f t="shared" si="6"/>
        <v>0</v>
      </c>
      <c r="P34" s="64">
        <f t="shared" si="6"/>
        <v>0</v>
      </c>
      <c r="Q34" s="64">
        <f t="shared" si="6"/>
        <v>0</v>
      </c>
      <c r="R34" s="64">
        <f t="shared" si="6"/>
        <v>0</v>
      </c>
      <c r="S34" s="64">
        <f t="shared" si="6"/>
        <v>0</v>
      </c>
      <c r="T34" s="64">
        <f t="shared" si="6"/>
        <v>0</v>
      </c>
      <c r="U34" s="64">
        <f t="shared" si="6"/>
        <v>0</v>
      </c>
      <c r="V34" s="64">
        <f t="shared" si="6"/>
        <v>0</v>
      </c>
      <c r="W34" s="64">
        <f t="shared" si="6"/>
        <v>0</v>
      </c>
      <c r="X34" s="64">
        <f t="shared" si="6"/>
        <v>0</v>
      </c>
      <c r="Y34" s="64">
        <f t="shared" si="6"/>
        <v>0</v>
      </c>
      <c r="Z34" s="64">
        <f t="shared" si="6"/>
        <v>0</v>
      </c>
      <c r="AA34" s="64">
        <f t="shared" si="6"/>
        <v>0</v>
      </c>
      <c r="AB34" s="64">
        <f t="shared" si="6"/>
        <v>0</v>
      </c>
      <c r="AC34" s="64">
        <f t="shared" si="6"/>
        <v>0</v>
      </c>
      <c r="AD34" s="64">
        <f t="shared" si="6"/>
        <v>0</v>
      </c>
      <c r="AE34" s="64">
        <f t="shared" si="6"/>
        <v>0</v>
      </c>
      <c r="AF34" s="64">
        <f t="shared" si="6"/>
        <v>0</v>
      </c>
      <c r="AG34" s="64">
        <f t="shared" si="6"/>
        <v>0</v>
      </c>
      <c r="AH34" s="64">
        <f t="shared" si="6"/>
        <v>0</v>
      </c>
      <c r="AI34" s="64">
        <f t="shared" si="6"/>
        <v>0</v>
      </c>
      <c r="AJ34" s="64">
        <f t="shared" si="6"/>
        <v>0</v>
      </c>
      <c r="AK34" s="64">
        <f t="shared" si="6"/>
        <v>0</v>
      </c>
      <c r="AL34" s="64">
        <f t="shared" si="6"/>
        <v>0</v>
      </c>
      <c r="AM34" s="64">
        <f t="shared" si="6"/>
        <v>0</v>
      </c>
      <c r="AN34" s="64">
        <f t="shared" si="6"/>
        <v>0</v>
      </c>
      <c r="AO34" s="64">
        <f t="shared" si="6"/>
        <v>0</v>
      </c>
      <c r="AP34" s="64">
        <f t="shared" si="6"/>
        <v>0</v>
      </c>
      <c r="AQ34" s="64">
        <f t="shared" si="6"/>
        <v>0</v>
      </c>
      <c r="AR34" s="64">
        <f t="shared" si="6"/>
        <v>0</v>
      </c>
      <c r="AS34" s="64">
        <f t="shared" si="6"/>
        <v>0</v>
      </c>
      <c r="AT34" s="64">
        <f t="shared" si="6"/>
        <v>0</v>
      </c>
      <c r="AU34" s="64">
        <f t="shared" si="6"/>
        <v>0</v>
      </c>
      <c r="AV34" s="64">
        <f t="shared" si="6"/>
        <v>0</v>
      </c>
      <c r="AW34" s="64">
        <f t="shared" si="6"/>
        <v>0</v>
      </c>
      <c r="AX34" s="64">
        <f t="shared" si="6"/>
        <v>0</v>
      </c>
      <c r="AY34" s="64">
        <f t="shared" si="6"/>
        <v>0</v>
      </c>
      <c r="AZ34" s="64">
        <f t="shared" si="6"/>
        <v>0</v>
      </c>
      <c r="BA34" s="64">
        <f t="shared" si="6"/>
        <v>0</v>
      </c>
      <c r="BB34" s="64">
        <f t="shared" si="6"/>
        <v>0</v>
      </c>
      <c r="BC34" s="64">
        <f t="shared" si="6"/>
        <v>0</v>
      </c>
      <c r="BD34" s="64">
        <f t="shared" si="6"/>
        <v>0</v>
      </c>
      <c r="BE34" s="64">
        <f t="shared" si="6"/>
        <v>0</v>
      </c>
      <c r="BF34" s="64">
        <f t="shared" si="6"/>
        <v>0</v>
      </c>
      <c r="BG34" s="64">
        <f t="shared" si="6"/>
        <v>0</v>
      </c>
      <c r="BH34" s="64">
        <f t="shared" si="6"/>
        <v>0</v>
      </c>
      <c r="BI34" s="64">
        <f t="shared" si="6"/>
        <v>0</v>
      </c>
      <c r="BJ34" s="64">
        <f t="shared" si="6"/>
        <v>0</v>
      </c>
      <c r="BK34" s="64">
        <f t="shared" si="6"/>
        <v>0</v>
      </c>
      <c r="BL34" s="64">
        <f t="shared" si="6"/>
        <v>0</v>
      </c>
      <c r="BM34" s="64">
        <f t="shared" si="6"/>
        <v>0</v>
      </c>
      <c r="BN34" s="64">
        <f t="shared" si="6"/>
        <v>0</v>
      </c>
      <c r="BO34" s="64">
        <f t="shared" si="6"/>
        <v>0</v>
      </c>
      <c r="BP34" s="64">
        <f t="shared" si="6"/>
        <v>0</v>
      </c>
      <c r="BQ34" s="64">
        <f t="shared" si="6"/>
        <v>0</v>
      </c>
      <c r="BR34" s="64">
        <f t="shared" si="6"/>
        <v>0</v>
      </c>
    </row>
    <row r="35" spans="2:70" x14ac:dyDescent="0.25">
      <c r="C35" s="147" t="s">
        <v>24</v>
      </c>
      <c r="D35" s="161" t="str">
        <f>unit</f>
        <v>£</v>
      </c>
      <c r="E35" s="64">
        <f t="shared" si="5"/>
        <v>0</v>
      </c>
      <c r="F35" s="64">
        <f t="shared" si="5"/>
        <v>0</v>
      </c>
      <c r="G35" s="64">
        <f t="shared" si="5"/>
        <v>0</v>
      </c>
      <c r="H35" s="64">
        <f t="shared" si="5"/>
        <v>0</v>
      </c>
      <c r="I35" s="64">
        <f t="shared" si="5"/>
        <v>0</v>
      </c>
      <c r="K35" s="64">
        <f>-K33*$D$31/12</f>
        <v>0</v>
      </c>
      <c r="L35" s="64">
        <f>-L33*$D$31/12</f>
        <v>0</v>
      </c>
      <c r="M35" s="64">
        <f t="shared" ref="M35:BR35" si="7">-M33*$D$31/12</f>
        <v>0</v>
      </c>
      <c r="N35" s="64">
        <f t="shared" si="7"/>
        <v>0</v>
      </c>
      <c r="O35" s="64">
        <f t="shared" si="7"/>
        <v>0</v>
      </c>
      <c r="P35" s="64">
        <f t="shared" si="7"/>
        <v>0</v>
      </c>
      <c r="Q35" s="64">
        <f t="shared" si="7"/>
        <v>0</v>
      </c>
      <c r="R35" s="64">
        <f t="shared" si="7"/>
        <v>0</v>
      </c>
      <c r="S35" s="64">
        <f t="shared" si="7"/>
        <v>0</v>
      </c>
      <c r="T35" s="64">
        <f t="shared" si="7"/>
        <v>0</v>
      </c>
      <c r="U35" s="64">
        <f t="shared" si="7"/>
        <v>0</v>
      </c>
      <c r="V35" s="64">
        <f t="shared" si="7"/>
        <v>0</v>
      </c>
      <c r="W35" s="64">
        <f t="shared" si="7"/>
        <v>0</v>
      </c>
      <c r="X35" s="64">
        <f t="shared" si="7"/>
        <v>0</v>
      </c>
      <c r="Y35" s="64">
        <f t="shared" si="7"/>
        <v>0</v>
      </c>
      <c r="Z35" s="64">
        <f t="shared" si="7"/>
        <v>0</v>
      </c>
      <c r="AA35" s="64">
        <f t="shared" si="7"/>
        <v>0</v>
      </c>
      <c r="AB35" s="64">
        <f t="shared" si="7"/>
        <v>0</v>
      </c>
      <c r="AC35" s="64">
        <f t="shared" si="7"/>
        <v>0</v>
      </c>
      <c r="AD35" s="64">
        <f t="shared" si="7"/>
        <v>0</v>
      </c>
      <c r="AE35" s="64">
        <f t="shared" si="7"/>
        <v>0</v>
      </c>
      <c r="AF35" s="64">
        <f t="shared" si="7"/>
        <v>0</v>
      </c>
      <c r="AG35" s="64">
        <f t="shared" si="7"/>
        <v>0</v>
      </c>
      <c r="AH35" s="64">
        <f t="shared" si="7"/>
        <v>0</v>
      </c>
      <c r="AI35" s="64">
        <f t="shared" si="7"/>
        <v>0</v>
      </c>
      <c r="AJ35" s="64">
        <f t="shared" si="7"/>
        <v>0</v>
      </c>
      <c r="AK35" s="64">
        <f t="shared" si="7"/>
        <v>0</v>
      </c>
      <c r="AL35" s="64">
        <f t="shared" si="7"/>
        <v>0</v>
      </c>
      <c r="AM35" s="64">
        <f t="shared" si="7"/>
        <v>0</v>
      </c>
      <c r="AN35" s="64">
        <f t="shared" si="7"/>
        <v>0</v>
      </c>
      <c r="AO35" s="64">
        <f t="shared" si="7"/>
        <v>0</v>
      </c>
      <c r="AP35" s="64">
        <f t="shared" si="7"/>
        <v>0</v>
      </c>
      <c r="AQ35" s="64">
        <f t="shared" si="7"/>
        <v>0</v>
      </c>
      <c r="AR35" s="64">
        <f t="shared" si="7"/>
        <v>0</v>
      </c>
      <c r="AS35" s="64">
        <f t="shared" si="7"/>
        <v>0</v>
      </c>
      <c r="AT35" s="64">
        <f t="shared" si="7"/>
        <v>0</v>
      </c>
      <c r="AU35" s="64">
        <f t="shared" si="7"/>
        <v>0</v>
      </c>
      <c r="AV35" s="64">
        <f t="shared" si="7"/>
        <v>0</v>
      </c>
      <c r="AW35" s="64">
        <f t="shared" si="7"/>
        <v>0</v>
      </c>
      <c r="AX35" s="64">
        <f t="shared" si="7"/>
        <v>0</v>
      </c>
      <c r="AY35" s="64">
        <f t="shared" si="7"/>
        <v>0</v>
      </c>
      <c r="AZ35" s="64">
        <f t="shared" si="7"/>
        <v>0</v>
      </c>
      <c r="BA35" s="64">
        <f t="shared" si="7"/>
        <v>0</v>
      </c>
      <c r="BB35" s="64">
        <f t="shared" si="7"/>
        <v>0</v>
      </c>
      <c r="BC35" s="64">
        <f t="shared" si="7"/>
        <v>0</v>
      </c>
      <c r="BD35" s="64">
        <f t="shared" si="7"/>
        <v>0</v>
      </c>
      <c r="BE35" s="64">
        <f t="shared" si="7"/>
        <v>0</v>
      </c>
      <c r="BF35" s="64">
        <f t="shared" si="7"/>
        <v>0</v>
      </c>
      <c r="BG35" s="64">
        <f t="shared" si="7"/>
        <v>0</v>
      </c>
      <c r="BH35" s="64">
        <f t="shared" si="7"/>
        <v>0</v>
      </c>
      <c r="BI35" s="64">
        <f t="shared" si="7"/>
        <v>0</v>
      </c>
      <c r="BJ35" s="64">
        <f t="shared" si="7"/>
        <v>0</v>
      </c>
      <c r="BK35" s="64">
        <f t="shared" si="7"/>
        <v>0</v>
      </c>
      <c r="BL35" s="64">
        <f t="shared" si="7"/>
        <v>0</v>
      </c>
      <c r="BM35" s="64">
        <f t="shared" si="7"/>
        <v>0</v>
      </c>
      <c r="BN35" s="64">
        <f t="shared" si="7"/>
        <v>0</v>
      </c>
      <c r="BO35" s="64">
        <f t="shared" si="7"/>
        <v>0</v>
      </c>
      <c r="BP35" s="64">
        <f t="shared" si="7"/>
        <v>0</v>
      </c>
      <c r="BQ35" s="64">
        <f t="shared" si="7"/>
        <v>0</v>
      </c>
      <c r="BR35" s="64">
        <f t="shared" si="7"/>
        <v>0</v>
      </c>
    </row>
    <row r="36" spans="2:70" x14ac:dyDescent="0.25">
      <c r="C36" s="147" t="s">
        <v>229</v>
      </c>
      <c r="D36" s="161" t="str">
        <f>unit</f>
        <v>£</v>
      </c>
      <c r="E36" s="64">
        <f t="shared" si="5"/>
        <v>0</v>
      </c>
      <c r="F36" s="64">
        <f t="shared" si="5"/>
        <v>0</v>
      </c>
      <c r="G36" s="64">
        <f t="shared" si="5"/>
        <v>0</v>
      </c>
      <c r="H36" s="64">
        <f t="shared" si="5"/>
        <v>0</v>
      </c>
      <c r="I36" s="64">
        <f t="shared" si="5"/>
        <v>0</v>
      </c>
      <c r="K36" s="64">
        <f>K21</f>
        <v>0</v>
      </c>
      <c r="L36" s="64">
        <f>L21</f>
        <v>0</v>
      </c>
      <c r="M36" s="64">
        <f t="shared" ref="M36:BR36" si="8">M21</f>
        <v>0</v>
      </c>
      <c r="N36" s="64">
        <f t="shared" si="8"/>
        <v>0</v>
      </c>
      <c r="O36" s="64">
        <f t="shared" si="8"/>
        <v>0</v>
      </c>
      <c r="P36" s="64">
        <f t="shared" si="8"/>
        <v>0</v>
      </c>
      <c r="Q36" s="64">
        <f t="shared" si="8"/>
        <v>0</v>
      </c>
      <c r="R36" s="64">
        <f t="shared" si="8"/>
        <v>0</v>
      </c>
      <c r="S36" s="64">
        <f t="shared" si="8"/>
        <v>0</v>
      </c>
      <c r="T36" s="64">
        <f t="shared" si="8"/>
        <v>0</v>
      </c>
      <c r="U36" s="64">
        <f t="shared" si="8"/>
        <v>0</v>
      </c>
      <c r="V36" s="64">
        <f t="shared" si="8"/>
        <v>0</v>
      </c>
      <c r="W36" s="64">
        <f t="shared" si="8"/>
        <v>0</v>
      </c>
      <c r="X36" s="64">
        <f t="shared" si="8"/>
        <v>0</v>
      </c>
      <c r="Y36" s="64">
        <f t="shared" si="8"/>
        <v>0</v>
      </c>
      <c r="Z36" s="64">
        <f t="shared" si="8"/>
        <v>0</v>
      </c>
      <c r="AA36" s="64">
        <f t="shared" si="8"/>
        <v>0</v>
      </c>
      <c r="AB36" s="64">
        <f t="shared" si="8"/>
        <v>0</v>
      </c>
      <c r="AC36" s="64">
        <f t="shared" si="8"/>
        <v>0</v>
      </c>
      <c r="AD36" s="64">
        <f t="shared" si="8"/>
        <v>0</v>
      </c>
      <c r="AE36" s="64">
        <f t="shared" si="8"/>
        <v>0</v>
      </c>
      <c r="AF36" s="64">
        <f t="shared" si="8"/>
        <v>0</v>
      </c>
      <c r="AG36" s="64">
        <f t="shared" si="8"/>
        <v>0</v>
      </c>
      <c r="AH36" s="64">
        <f t="shared" si="8"/>
        <v>0</v>
      </c>
      <c r="AI36" s="64">
        <f t="shared" si="8"/>
        <v>0</v>
      </c>
      <c r="AJ36" s="64">
        <f t="shared" si="8"/>
        <v>0</v>
      </c>
      <c r="AK36" s="64">
        <f t="shared" si="8"/>
        <v>0</v>
      </c>
      <c r="AL36" s="64">
        <f t="shared" si="8"/>
        <v>0</v>
      </c>
      <c r="AM36" s="64">
        <f t="shared" si="8"/>
        <v>0</v>
      </c>
      <c r="AN36" s="64">
        <f t="shared" si="8"/>
        <v>0</v>
      </c>
      <c r="AO36" s="64">
        <f t="shared" si="8"/>
        <v>0</v>
      </c>
      <c r="AP36" s="64">
        <f t="shared" si="8"/>
        <v>0</v>
      </c>
      <c r="AQ36" s="64">
        <f t="shared" si="8"/>
        <v>0</v>
      </c>
      <c r="AR36" s="64">
        <f t="shared" si="8"/>
        <v>0</v>
      </c>
      <c r="AS36" s="64">
        <f t="shared" si="8"/>
        <v>0</v>
      </c>
      <c r="AT36" s="64">
        <f t="shared" si="8"/>
        <v>0</v>
      </c>
      <c r="AU36" s="64">
        <f t="shared" si="8"/>
        <v>0</v>
      </c>
      <c r="AV36" s="64">
        <f t="shared" si="8"/>
        <v>0</v>
      </c>
      <c r="AW36" s="64">
        <f t="shared" si="8"/>
        <v>0</v>
      </c>
      <c r="AX36" s="64">
        <f t="shared" si="8"/>
        <v>0</v>
      </c>
      <c r="AY36" s="64">
        <f t="shared" si="8"/>
        <v>0</v>
      </c>
      <c r="AZ36" s="64">
        <f t="shared" si="8"/>
        <v>0</v>
      </c>
      <c r="BA36" s="64">
        <f t="shared" si="8"/>
        <v>0</v>
      </c>
      <c r="BB36" s="64">
        <f t="shared" si="8"/>
        <v>0</v>
      </c>
      <c r="BC36" s="64">
        <f t="shared" si="8"/>
        <v>0</v>
      </c>
      <c r="BD36" s="64">
        <f t="shared" si="8"/>
        <v>0</v>
      </c>
      <c r="BE36" s="64">
        <f t="shared" si="8"/>
        <v>0</v>
      </c>
      <c r="BF36" s="64">
        <f t="shared" si="8"/>
        <v>0</v>
      </c>
      <c r="BG36" s="64">
        <f t="shared" si="8"/>
        <v>0</v>
      </c>
      <c r="BH36" s="64">
        <f t="shared" si="8"/>
        <v>0</v>
      </c>
      <c r="BI36" s="64">
        <f t="shared" si="8"/>
        <v>0</v>
      </c>
      <c r="BJ36" s="64">
        <f t="shared" si="8"/>
        <v>0</v>
      </c>
      <c r="BK36" s="64">
        <f t="shared" si="8"/>
        <v>0</v>
      </c>
      <c r="BL36" s="64">
        <f t="shared" si="8"/>
        <v>0</v>
      </c>
      <c r="BM36" s="64">
        <f t="shared" si="8"/>
        <v>0</v>
      </c>
      <c r="BN36" s="64">
        <f t="shared" si="8"/>
        <v>0</v>
      </c>
      <c r="BO36" s="64">
        <f t="shared" si="8"/>
        <v>0</v>
      </c>
      <c r="BP36" s="64">
        <f t="shared" si="8"/>
        <v>0</v>
      </c>
      <c r="BQ36" s="64">
        <f t="shared" si="8"/>
        <v>0</v>
      </c>
      <c r="BR36" s="64">
        <f t="shared" si="8"/>
        <v>0</v>
      </c>
    </row>
    <row r="37" spans="2:70" x14ac:dyDescent="0.25">
      <c r="C37" s="147" t="s">
        <v>230</v>
      </c>
      <c r="D37" s="260">
        <f>KeyInputs!G112</f>
        <v>0</v>
      </c>
      <c r="E37" s="59">
        <f>INDEX($K37:$BR37,0,MATCH(E$8,$K$8:$BR$8,0))</f>
        <v>0</v>
      </c>
      <c r="F37" s="59">
        <f t="shared" ref="F37:I37" si="9">INDEX($K37:$BR37,0,MATCH(F$8,$K$8:$BR$8,0))</f>
        <v>0</v>
      </c>
      <c r="G37" s="59">
        <f t="shared" si="9"/>
        <v>0</v>
      </c>
      <c r="H37" s="59">
        <f t="shared" si="9"/>
        <v>0</v>
      </c>
      <c r="I37" s="59">
        <f t="shared" si="9"/>
        <v>0</v>
      </c>
      <c r="J37" s="260">
        <f>D37</f>
        <v>0</v>
      </c>
      <c r="K37" s="59">
        <f>SUM(K33:K36)</f>
        <v>0</v>
      </c>
      <c r="L37" s="59">
        <f>SUM(L33:L36)</f>
        <v>0</v>
      </c>
      <c r="M37" s="59">
        <f t="shared" ref="M37:BR37" si="10">SUM(M33:M36)</f>
        <v>0</v>
      </c>
      <c r="N37" s="59">
        <f t="shared" si="10"/>
        <v>0</v>
      </c>
      <c r="O37" s="59">
        <f t="shared" si="10"/>
        <v>0</v>
      </c>
      <c r="P37" s="59">
        <f t="shared" si="10"/>
        <v>0</v>
      </c>
      <c r="Q37" s="59">
        <f t="shared" si="10"/>
        <v>0</v>
      </c>
      <c r="R37" s="59">
        <f t="shared" si="10"/>
        <v>0</v>
      </c>
      <c r="S37" s="59">
        <f t="shared" si="10"/>
        <v>0</v>
      </c>
      <c r="T37" s="59">
        <f t="shared" si="10"/>
        <v>0</v>
      </c>
      <c r="U37" s="59">
        <f t="shared" si="10"/>
        <v>0</v>
      </c>
      <c r="V37" s="59">
        <f t="shared" si="10"/>
        <v>0</v>
      </c>
      <c r="W37" s="59">
        <f t="shared" si="10"/>
        <v>0</v>
      </c>
      <c r="X37" s="59">
        <f t="shared" si="10"/>
        <v>0</v>
      </c>
      <c r="Y37" s="59">
        <f t="shared" si="10"/>
        <v>0</v>
      </c>
      <c r="Z37" s="59">
        <f t="shared" si="10"/>
        <v>0</v>
      </c>
      <c r="AA37" s="59">
        <f t="shared" si="10"/>
        <v>0</v>
      </c>
      <c r="AB37" s="59">
        <f t="shared" si="10"/>
        <v>0</v>
      </c>
      <c r="AC37" s="59">
        <f t="shared" si="10"/>
        <v>0</v>
      </c>
      <c r="AD37" s="59">
        <f t="shared" si="10"/>
        <v>0</v>
      </c>
      <c r="AE37" s="59">
        <f t="shared" si="10"/>
        <v>0</v>
      </c>
      <c r="AF37" s="59">
        <f t="shared" si="10"/>
        <v>0</v>
      </c>
      <c r="AG37" s="59">
        <f t="shared" si="10"/>
        <v>0</v>
      </c>
      <c r="AH37" s="59">
        <f t="shared" si="10"/>
        <v>0</v>
      </c>
      <c r="AI37" s="59">
        <f t="shared" si="10"/>
        <v>0</v>
      </c>
      <c r="AJ37" s="59">
        <f t="shared" si="10"/>
        <v>0</v>
      </c>
      <c r="AK37" s="59">
        <f t="shared" si="10"/>
        <v>0</v>
      </c>
      <c r="AL37" s="59">
        <f t="shared" si="10"/>
        <v>0</v>
      </c>
      <c r="AM37" s="59">
        <f t="shared" si="10"/>
        <v>0</v>
      </c>
      <c r="AN37" s="59">
        <f t="shared" si="10"/>
        <v>0</v>
      </c>
      <c r="AO37" s="59">
        <f t="shared" si="10"/>
        <v>0</v>
      </c>
      <c r="AP37" s="59">
        <f t="shared" si="10"/>
        <v>0</v>
      </c>
      <c r="AQ37" s="59">
        <f t="shared" si="10"/>
        <v>0</v>
      </c>
      <c r="AR37" s="59">
        <f t="shared" si="10"/>
        <v>0</v>
      </c>
      <c r="AS37" s="59">
        <f t="shared" si="10"/>
        <v>0</v>
      </c>
      <c r="AT37" s="59">
        <f t="shared" si="10"/>
        <v>0</v>
      </c>
      <c r="AU37" s="59">
        <f t="shared" si="10"/>
        <v>0</v>
      </c>
      <c r="AV37" s="59">
        <f t="shared" si="10"/>
        <v>0</v>
      </c>
      <c r="AW37" s="59">
        <f t="shared" si="10"/>
        <v>0</v>
      </c>
      <c r="AX37" s="59">
        <f t="shared" si="10"/>
        <v>0</v>
      </c>
      <c r="AY37" s="59">
        <f t="shared" si="10"/>
        <v>0</v>
      </c>
      <c r="AZ37" s="59">
        <f t="shared" si="10"/>
        <v>0</v>
      </c>
      <c r="BA37" s="59">
        <f t="shared" si="10"/>
        <v>0</v>
      </c>
      <c r="BB37" s="59">
        <f t="shared" si="10"/>
        <v>0</v>
      </c>
      <c r="BC37" s="59">
        <f t="shared" si="10"/>
        <v>0</v>
      </c>
      <c r="BD37" s="59">
        <f t="shared" si="10"/>
        <v>0</v>
      </c>
      <c r="BE37" s="59">
        <f t="shared" si="10"/>
        <v>0</v>
      </c>
      <c r="BF37" s="59">
        <f t="shared" si="10"/>
        <v>0</v>
      </c>
      <c r="BG37" s="59">
        <f t="shared" si="10"/>
        <v>0</v>
      </c>
      <c r="BH37" s="59">
        <f t="shared" si="10"/>
        <v>0</v>
      </c>
      <c r="BI37" s="59">
        <f t="shared" si="10"/>
        <v>0</v>
      </c>
      <c r="BJ37" s="59">
        <f t="shared" si="10"/>
        <v>0</v>
      </c>
      <c r="BK37" s="59">
        <f t="shared" si="10"/>
        <v>0</v>
      </c>
      <c r="BL37" s="59">
        <f t="shared" si="10"/>
        <v>0</v>
      </c>
      <c r="BM37" s="59">
        <f t="shared" si="10"/>
        <v>0</v>
      </c>
      <c r="BN37" s="59">
        <f t="shared" si="10"/>
        <v>0</v>
      </c>
      <c r="BO37" s="59">
        <f t="shared" si="10"/>
        <v>0</v>
      </c>
      <c r="BP37" s="59">
        <f t="shared" si="10"/>
        <v>0</v>
      </c>
      <c r="BQ37" s="59">
        <f t="shared" si="10"/>
        <v>0</v>
      </c>
      <c r="BR37" s="59">
        <f t="shared" si="10"/>
        <v>0</v>
      </c>
    </row>
    <row r="39" spans="2:70" s="149" customFormat="1" x14ac:dyDescent="0.25">
      <c r="B39" s="149" t="str">
        <f>Header2</f>
        <v>2.2</v>
      </c>
      <c r="C39" s="149" t="str">
        <f>C14</f>
        <v>F&amp;F</v>
      </c>
      <c r="J39" s="57"/>
    </row>
    <row r="40" spans="2:70" s="149" customFormat="1" x14ac:dyDescent="0.25">
      <c r="C40" s="150" t="s">
        <v>227</v>
      </c>
      <c r="D40" s="150">
        <f>KeyInputs!G62</f>
        <v>5</v>
      </c>
      <c r="J40" s="57"/>
    </row>
    <row r="41" spans="2:70" s="149" customFormat="1" x14ac:dyDescent="0.25">
      <c r="C41" s="202" t="s">
        <v>231</v>
      </c>
      <c r="D41" s="203">
        <f>1/$D$40</f>
        <v>0.2</v>
      </c>
      <c r="J41" s="57"/>
    </row>
    <row r="43" spans="2:70" x14ac:dyDescent="0.25">
      <c r="C43" s="147" t="s">
        <v>228</v>
      </c>
      <c r="D43" s="161" t="str">
        <f>unit</f>
        <v>£</v>
      </c>
      <c r="E43" s="64">
        <f>INDEX($K43:$BR43,0,MATCH(E$7,$K$7:$BR$7,0))</f>
        <v>0</v>
      </c>
      <c r="F43" s="64">
        <f t="shared" ref="F43:I43" si="11">INDEX($K43:$BR43,0,MATCH(F$7,$K$7:$BR$7,0))</f>
        <v>0</v>
      </c>
      <c r="G43" s="64">
        <f t="shared" si="11"/>
        <v>0</v>
      </c>
      <c r="H43" s="64">
        <f t="shared" si="11"/>
        <v>0</v>
      </c>
      <c r="I43" s="64">
        <f t="shared" si="11"/>
        <v>0</v>
      </c>
      <c r="K43" s="64">
        <f>J47</f>
        <v>0</v>
      </c>
      <c r="L43" s="155">
        <f>K47</f>
        <v>0</v>
      </c>
      <c r="M43" s="155">
        <f t="shared" ref="M43:BR43" si="12">L47</f>
        <v>0</v>
      </c>
      <c r="N43" s="155">
        <f t="shared" si="12"/>
        <v>0</v>
      </c>
      <c r="O43" s="155">
        <f t="shared" si="12"/>
        <v>0</v>
      </c>
      <c r="P43" s="155">
        <f t="shared" si="12"/>
        <v>0</v>
      </c>
      <c r="Q43" s="155">
        <f t="shared" si="12"/>
        <v>0</v>
      </c>
      <c r="R43" s="155">
        <f t="shared" si="12"/>
        <v>0</v>
      </c>
      <c r="S43" s="155">
        <f t="shared" si="12"/>
        <v>0</v>
      </c>
      <c r="T43" s="155">
        <f t="shared" si="12"/>
        <v>0</v>
      </c>
      <c r="U43" s="155">
        <f t="shared" si="12"/>
        <v>0</v>
      </c>
      <c r="V43" s="155">
        <f t="shared" si="12"/>
        <v>0</v>
      </c>
      <c r="W43" s="155">
        <f t="shared" si="12"/>
        <v>0</v>
      </c>
      <c r="X43" s="155">
        <f t="shared" si="12"/>
        <v>0</v>
      </c>
      <c r="Y43" s="155">
        <f t="shared" si="12"/>
        <v>0</v>
      </c>
      <c r="Z43" s="155">
        <f t="shared" si="12"/>
        <v>0</v>
      </c>
      <c r="AA43" s="155">
        <f t="shared" si="12"/>
        <v>0</v>
      </c>
      <c r="AB43" s="155">
        <f t="shared" si="12"/>
        <v>0</v>
      </c>
      <c r="AC43" s="155">
        <f t="shared" si="12"/>
        <v>0</v>
      </c>
      <c r="AD43" s="155">
        <f t="shared" si="12"/>
        <v>0</v>
      </c>
      <c r="AE43" s="155">
        <f t="shared" si="12"/>
        <v>0</v>
      </c>
      <c r="AF43" s="155">
        <f t="shared" si="12"/>
        <v>0</v>
      </c>
      <c r="AG43" s="155">
        <f t="shared" si="12"/>
        <v>0</v>
      </c>
      <c r="AH43" s="155">
        <f t="shared" si="12"/>
        <v>0</v>
      </c>
      <c r="AI43" s="155">
        <f t="shared" si="12"/>
        <v>0</v>
      </c>
      <c r="AJ43" s="155">
        <f t="shared" si="12"/>
        <v>0</v>
      </c>
      <c r="AK43" s="155">
        <f t="shared" si="12"/>
        <v>0</v>
      </c>
      <c r="AL43" s="155">
        <f t="shared" si="12"/>
        <v>0</v>
      </c>
      <c r="AM43" s="155">
        <f t="shared" si="12"/>
        <v>0</v>
      </c>
      <c r="AN43" s="155">
        <f t="shared" si="12"/>
        <v>0</v>
      </c>
      <c r="AO43" s="155">
        <f t="shared" si="12"/>
        <v>0</v>
      </c>
      <c r="AP43" s="155">
        <f t="shared" si="12"/>
        <v>0</v>
      </c>
      <c r="AQ43" s="155">
        <f t="shared" si="12"/>
        <v>0</v>
      </c>
      <c r="AR43" s="155">
        <f t="shared" si="12"/>
        <v>0</v>
      </c>
      <c r="AS43" s="155">
        <f t="shared" si="12"/>
        <v>0</v>
      </c>
      <c r="AT43" s="155">
        <f t="shared" si="12"/>
        <v>0</v>
      </c>
      <c r="AU43" s="155">
        <f t="shared" si="12"/>
        <v>0</v>
      </c>
      <c r="AV43" s="155">
        <f t="shared" si="12"/>
        <v>0</v>
      </c>
      <c r="AW43" s="155">
        <f t="shared" si="12"/>
        <v>0</v>
      </c>
      <c r="AX43" s="155">
        <f t="shared" si="12"/>
        <v>0</v>
      </c>
      <c r="AY43" s="155">
        <f t="shared" si="12"/>
        <v>0</v>
      </c>
      <c r="AZ43" s="155">
        <f t="shared" si="12"/>
        <v>0</v>
      </c>
      <c r="BA43" s="155">
        <f t="shared" si="12"/>
        <v>0</v>
      </c>
      <c r="BB43" s="155">
        <f t="shared" si="12"/>
        <v>0</v>
      </c>
      <c r="BC43" s="155">
        <f t="shared" si="12"/>
        <v>0</v>
      </c>
      <c r="BD43" s="155">
        <f t="shared" si="12"/>
        <v>0</v>
      </c>
      <c r="BE43" s="155">
        <f t="shared" si="12"/>
        <v>0</v>
      </c>
      <c r="BF43" s="155">
        <f t="shared" si="12"/>
        <v>0</v>
      </c>
      <c r="BG43" s="155">
        <f t="shared" si="12"/>
        <v>0</v>
      </c>
      <c r="BH43" s="155">
        <f t="shared" si="12"/>
        <v>0</v>
      </c>
      <c r="BI43" s="155">
        <f t="shared" si="12"/>
        <v>0</v>
      </c>
      <c r="BJ43" s="155">
        <f t="shared" si="12"/>
        <v>0</v>
      </c>
      <c r="BK43" s="155">
        <f t="shared" si="12"/>
        <v>0</v>
      </c>
      <c r="BL43" s="155">
        <f t="shared" si="12"/>
        <v>0</v>
      </c>
      <c r="BM43" s="155">
        <f t="shared" si="12"/>
        <v>0</v>
      </c>
      <c r="BN43" s="155">
        <f t="shared" si="12"/>
        <v>0</v>
      </c>
      <c r="BO43" s="155">
        <f t="shared" si="12"/>
        <v>0</v>
      </c>
      <c r="BP43" s="155">
        <f t="shared" si="12"/>
        <v>0</v>
      </c>
      <c r="BQ43" s="155">
        <f t="shared" si="12"/>
        <v>0</v>
      </c>
      <c r="BR43" s="155">
        <f t="shared" si="12"/>
        <v>0</v>
      </c>
    </row>
    <row r="44" spans="2:70" x14ac:dyDescent="0.25">
      <c r="C44" s="147" t="s">
        <v>225</v>
      </c>
      <c r="D44" s="161" t="str">
        <f>unit</f>
        <v>£</v>
      </c>
      <c r="E44" s="64">
        <f t="shared" ref="E44:I46" si="13">SUMIF($K$5:$BR$5,E$5,$K44:$BR44)</f>
        <v>0</v>
      </c>
      <c r="F44" s="64">
        <f t="shared" si="13"/>
        <v>0</v>
      </c>
      <c r="G44" s="64">
        <f t="shared" si="13"/>
        <v>0</v>
      </c>
      <c r="H44" s="64">
        <f t="shared" si="13"/>
        <v>0</v>
      </c>
      <c r="I44" s="64">
        <f t="shared" si="13"/>
        <v>0</v>
      </c>
      <c r="K44" s="64">
        <f>K14</f>
        <v>0</v>
      </c>
      <c r="L44" s="64">
        <f t="shared" ref="L44:BR44" si="14">L14</f>
        <v>0</v>
      </c>
      <c r="M44" s="64">
        <f t="shared" si="14"/>
        <v>0</v>
      </c>
      <c r="N44" s="64">
        <f t="shared" si="14"/>
        <v>0</v>
      </c>
      <c r="O44" s="64">
        <f t="shared" si="14"/>
        <v>0</v>
      </c>
      <c r="P44" s="64">
        <f t="shared" si="14"/>
        <v>0</v>
      </c>
      <c r="Q44" s="64">
        <f t="shared" si="14"/>
        <v>0</v>
      </c>
      <c r="R44" s="64">
        <f t="shared" si="14"/>
        <v>0</v>
      </c>
      <c r="S44" s="64">
        <f t="shared" si="14"/>
        <v>0</v>
      </c>
      <c r="T44" s="64">
        <f t="shared" si="14"/>
        <v>0</v>
      </c>
      <c r="U44" s="64">
        <f t="shared" si="14"/>
        <v>0</v>
      </c>
      <c r="V44" s="64">
        <f t="shared" si="14"/>
        <v>0</v>
      </c>
      <c r="W44" s="64">
        <f t="shared" si="14"/>
        <v>0</v>
      </c>
      <c r="X44" s="64">
        <f t="shared" si="14"/>
        <v>0</v>
      </c>
      <c r="Y44" s="64">
        <f t="shared" si="14"/>
        <v>0</v>
      </c>
      <c r="Z44" s="64">
        <f t="shared" si="14"/>
        <v>0</v>
      </c>
      <c r="AA44" s="64">
        <f t="shared" si="14"/>
        <v>0</v>
      </c>
      <c r="AB44" s="64">
        <f t="shared" si="14"/>
        <v>0</v>
      </c>
      <c r="AC44" s="64">
        <f t="shared" si="14"/>
        <v>0</v>
      </c>
      <c r="AD44" s="64">
        <f t="shared" si="14"/>
        <v>0</v>
      </c>
      <c r="AE44" s="64">
        <f t="shared" si="14"/>
        <v>0</v>
      </c>
      <c r="AF44" s="64">
        <f t="shared" si="14"/>
        <v>0</v>
      </c>
      <c r="AG44" s="64">
        <f t="shared" si="14"/>
        <v>0</v>
      </c>
      <c r="AH44" s="64">
        <f t="shared" si="14"/>
        <v>0</v>
      </c>
      <c r="AI44" s="64">
        <f t="shared" si="14"/>
        <v>0</v>
      </c>
      <c r="AJ44" s="64">
        <f t="shared" si="14"/>
        <v>0</v>
      </c>
      <c r="AK44" s="64">
        <f t="shared" si="14"/>
        <v>0</v>
      </c>
      <c r="AL44" s="64">
        <f t="shared" si="14"/>
        <v>0</v>
      </c>
      <c r="AM44" s="64">
        <f t="shared" si="14"/>
        <v>0</v>
      </c>
      <c r="AN44" s="64">
        <f t="shared" si="14"/>
        <v>0</v>
      </c>
      <c r="AO44" s="64">
        <f t="shared" si="14"/>
        <v>0</v>
      </c>
      <c r="AP44" s="64">
        <f t="shared" si="14"/>
        <v>0</v>
      </c>
      <c r="AQ44" s="64">
        <f t="shared" si="14"/>
        <v>0</v>
      </c>
      <c r="AR44" s="64">
        <f t="shared" si="14"/>
        <v>0</v>
      </c>
      <c r="AS44" s="64">
        <f t="shared" si="14"/>
        <v>0</v>
      </c>
      <c r="AT44" s="64">
        <f t="shared" si="14"/>
        <v>0</v>
      </c>
      <c r="AU44" s="64">
        <f t="shared" si="14"/>
        <v>0</v>
      </c>
      <c r="AV44" s="64">
        <f t="shared" si="14"/>
        <v>0</v>
      </c>
      <c r="AW44" s="64">
        <f t="shared" si="14"/>
        <v>0</v>
      </c>
      <c r="AX44" s="64">
        <f t="shared" si="14"/>
        <v>0</v>
      </c>
      <c r="AY44" s="64">
        <f t="shared" si="14"/>
        <v>0</v>
      </c>
      <c r="AZ44" s="64">
        <f t="shared" si="14"/>
        <v>0</v>
      </c>
      <c r="BA44" s="64">
        <f t="shared" si="14"/>
        <v>0</v>
      </c>
      <c r="BB44" s="64">
        <f t="shared" si="14"/>
        <v>0</v>
      </c>
      <c r="BC44" s="64">
        <f t="shared" si="14"/>
        <v>0</v>
      </c>
      <c r="BD44" s="64">
        <f t="shared" si="14"/>
        <v>0</v>
      </c>
      <c r="BE44" s="64">
        <f t="shared" si="14"/>
        <v>0</v>
      </c>
      <c r="BF44" s="64">
        <f t="shared" si="14"/>
        <v>0</v>
      </c>
      <c r="BG44" s="64">
        <f t="shared" si="14"/>
        <v>0</v>
      </c>
      <c r="BH44" s="64">
        <f t="shared" si="14"/>
        <v>0</v>
      </c>
      <c r="BI44" s="64">
        <f t="shared" si="14"/>
        <v>0</v>
      </c>
      <c r="BJ44" s="64">
        <f t="shared" si="14"/>
        <v>0</v>
      </c>
      <c r="BK44" s="64">
        <f t="shared" si="14"/>
        <v>0</v>
      </c>
      <c r="BL44" s="64">
        <f t="shared" si="14"/>
        <v>0</v>
      </c>
      <c r="BM44" s="64">
        <f t="shared" si="14"/>
        <v>0</v>
      </c>
      <c r="BN44" s="64">
        <f t="shared" si="14"/>
        <v>0</v>
      </c>
      <c r="BO44" s="64">
        <f t="shared" si="14"/>
        <v>0</v>
      </c>
      <c r="BP44" s="64">
        <f t="shared" si="14"/>
        <v>0</v>
      </c>
      <c r="BQ44" s="64">
        <f t="shared" si="14"/>
        <v>0</v>
      </c>
      <c r="BR44" s="64">
        <f t="shared" si="14"/>
        <v>0</v>
      </c>
    </row>
    <row r="45" spans="2:70" x14ac:dyDescent="0.25">
      <c r="C45" s="147" t="s">
        <v>24</v>
      </c>
      <c r="D45" s="161" t="str">
        <f>unit</f>
        <v>£</v>
      </c>
      <c r="E45" s="64">
        <f t="shared" si="13"/>
        <v>0</v>
      </c>
      <c r="F45" s="64">
        <f t="shared" si="13"/>
        <v>0</v>
      </c>
      <c r="G45" s="64">
        <f t="shared" si="13"/>
        <v>0</v>
      </c>
      <c r="H45" s="64">
        <f t="shared" si="13"/>
        <v>0</v>
      </c>
      <c r="I45" s="64">
        <f t="shared" si="13"/>
        <v>0</v>
      </c>
      <c r="K45" s="64">
        <f>-K43*$D$41/12</f>
        <v>0</v>
      </c>
      <c r="L45" s="64">
        <f t="shared" ref="L45:BR45" si="15">-L43*$D$41/12</f>
        <v>0</v>
      </c>
      <c r="M45" s="64">
        <f t="shared" si="15"/>
        <v>0</v>
      </c>
      <c r="N45" s="64">
        <f t="shared" si="15"/>
        <v>0</v>
      </c>
      <c r="O45" s="64">
        <f t="shared" si="15"/>
        <v>0</v>
      </c>
      <c r="P45" s="64">
        <f t="shared" si="15"/>
        <v>0</v>
      </c>
      <c r="Q45" s="64">
        <f t="shared" si="15"/>
        <v>0</v>
      </c>
      <c r="R45" s="64">
        <f t="shared" si="15"/>
        <v>0</v>
      </c>
      <c r="S45" s="64">
        <f t="shared" si="15"/>
        <v>0</v>
      </c>
      <c r="T45" s="64">
        <f t="shared" si="15"/>
        <v>0</v>
      </c>
      <c r="U45" s="64">
        <f t="shared" si="15"/>
        <v>0</v>
      </c>
      <c r="V45" s="64">
        <f t="shared" si="15"/>
        <v>0</v>
      </c>
      <c r="W45" s="64">
        <f t="shared" si="15"/>
        <v>0</v>
      </c>
      <c r="X45" s="64">
        <f t="shared" si="15"/>
        <v>0</v>
      </c>
      <c r="Y45" s="64">
        <f t="shared" si="15"/>
        <v>0</v>
      </c>
      <c r="Z45" s="64">
        <f t="shared" si="15"/>
        <v>0</v>
      </c>
      <c r="AA45" s="64">
        <f t="shared" si="15"/>
        <v>0</v>
      </c>
      <c r="AB45" s="64">
        <f t="shared" si="15"/>
        <v>0</v>
      </c>
      <c r="AC45" s="64">
        <f t="shared" si="15"/>
        <v>0</v>
      </c>
      <c r="AD45" s="64">
        <f t="shared" si="15"/>
        <v>0</v>
      </c>
      <c r="AE45" s="64">
        <f t="shared" si="15"/>
        <v>0</v>
      </c>
      <c r="AF45" s="64">
        <f t="shared" si="15"/>
        <v>0</v>
      </c>
      <c r="AG45" s="64">
        <f t="shared" si="15"/>
        <v>0</v>
      </c>
      <c r="AH45" s="64">
        <f t="shared" si="15"/>
        <v>0</v>
      </c>
      <c r="AI45" s="64">
        <f t="shared" si="15"/>
        <v>0</v>
      </c>
      <c r="AJ45" s="64">
        <f t="shared" si="15"/>
        <v>0</v>
      </c>
      <c r="AK45" s="64">
        <f t="shared" si="15"/>
        <v>0</v>
      </c>
      <c r="AL45" s="64">
        <f t="shared" si="15"/>
        <v>0</v>
      </c>
      <c r="AM45" s="64">
        <f t="shared" si="15"/>
        <v>0</v>
      </c>
      <c r="AN45" s="64">
        <f t="shared" si="15"/>
        <v>0</v>
      </c>
      <c r="AO45" s="64">
        <f t="shared" si="15"/>
        <v>0</v>
      </c>
      <c r="AP45" s="64">
        <f t="shared" si="15"/>
        <v>0</v>
      </c>
      <c r="AQ45" s="64">
        <f t="shared" si="15"/>
        <v>0</v>
      </c>
      <c r="AR45" s="64">
        <f t="shared" si="15"/>
        <v>0</v>
      </c>
      <c r="AS45" s="64">
        <f t="shared" si="15"/>
        <v>0</v>
      </c>
      <c r="AT45" s="64">
        <f t="shared" si="15"/>
        <v>0</v>
      </c>
      <c r="AU45" s="64">
        <f t="shared" si="15"/>
        <v>0</v>
      </c>
      <c r="AV45" s="64">
        <f t="shared" si="15"/>
        <v>0</v>
      </c>
      <c r="AW45" s="64">
        <f t="shared" si="15"/>
        <v>0</v>
      </c>
      <c r="AX45" s="64">
        <f t="shared" si="15"/>
        <v>0</v>
      </c>
      <c r="AY45" s="64">
        <f t="shared" si="15"/>
        <v>0</v>
      </c>
      <c r="AZ45" s="64">
        <f t="shared" si="15"/>
        <v>0</v>
      </c>
      <c r="BA45" s="64">
        <f t="shared" si="15"/>
        <v>0</v>
      </c>
      <c r="BB45" s="64">
        <f t="shared" si="15"/>
        <v>0</v>
      </c>
      <c r="BC45" s="64">
        <f t="shared" si="15"/>
        <v>0</v>
      </c>
      <c r="BD45" s="64">
        <f t="shared" si="15"/>
        <v>0</v>
      </c>
      <c r="BE45" s="64">
        <f t="shared" si="15"/>
        <v>0</v>
      </c>
      <c r="BF45" s="64">
        <f t="shared" si="15"/>
        <v>0</v>
      </c>
      <c r="BG45" s="64">
        <f t="shared" si="15"/>
        <v>0</v>
      </c>
      <c r="BH45" s="64">
        <f t="shared" si="15"/>
        <v>0</v>
      </c>
      <c r="BI45" s="64">
        <f t="shared" si="15"/>
        <v>0</v>
      </c>
      <c r="BJ45" s="64">
        <f t="shared" si="15"/>
        <v>0</v>
      </c>
      <c r="BK45" s="64">
        <f t="shared" si="15"/>
        <v>0</v>
      </c>
      <c r="BL45" s="64">
        <f t="shared" si="15"/>
        <v>0</v>
      </c>
      <c r="BM45" s="64">
        <f t="shared" si="15"/>
        <v>0</v>
      </c>
      <c r="BN45" s="64">
        <f t="shared" si="15"/>
        <v>0</v>
      </c>
      <c r="BO45" s="64">
        <f t="shared" si="15"/>
        <v>0</v>
      </c>
      <c r="BP45" s="64">
        <f t="shared" si="15"/>
        <v>0</v>
      </c>
      <c r="BQ45" s="64">
        <f t="shared" si="15"/>
        <v>0</v>
      </c>
      <c r="BR45" s="64">
        <f t="shared" si="15"/>
        <v>0</v>
      </c>
    </row>
    <row r="46" spans="2:70" x14ac:dyDescent="0.25">
      <c r="C46" s="147" t="s">
        <v>229</v>
      </c>
      <c r="D46" s="161" t="str">
        <f>unit</f>
        <v>£</v>
      </c>
      <c r="E46" s="64">
        <f t="shared" si="13"/>
        <v>0</v>
      </c>
      <c r="F46" s="64">
        <f t="shared" si="13"/>
        <v>0</v>
      </c>
      <c r="G46" s="64">
        <f t="shared" si="13"/>
        <v>0</v>
      </c>
      <c r="H46" s="64">
        <f t="shared" si="13"/>
        <v>0</v>
      </c>
      <c r="I46" s="64">
        <f t="shared" si="13"/>
        <v>0</v>
      </c>
      <c r="K46" s="64">
        <f>K22</f>
        <v>0</v>
      </c>
      <c r="L46" s="64">
        <f>L22</f>
        <v>0</v>
      </c>
      <c r="M46" s="64">
        <f t="shared" ref="M46:BR46" si="16">M22</f>
        <v>0</v>
      </c>
      <c r="N46" s="64">
        <f t="shared" si="16"/>
        <v>0</v>
      </c>
      <c r="O46" s="64">
        <f t="shared" si="16"/>
        <v>0</v>
      </c>
      <c r="P46" s="64">
        <f t="shared" si="16"/>
        <v>0</v>
      </c>
      <c r="Q46" s="64">
        <f t="shared" si="16"/>
        <v>0</v>
      </c>
      <c r="R46" s="64">
        <f t="shared" si="16"/>
        <v>0</v>
      </c>
      <c r="S46" s="64">
        <f t="shared" si="16"/>
        <v>0</v>
      </c>
      <c r="T46" s="64">
        <f t="shared" si="16"/>
        <v>0</v>
      </c>
      <c r="U46" s="64">
        <f t="shared" si="16"/>
        <v>0</v>
      </c>
      <c r="V46" s="64">
        <f t="shared" si="16"/>
        <v>0</v>
      </c>
      <c r="W46" s="64">
        <f t="shared" si="16"/>
        <v>0</v>
      </c>
      <c r="X46" s="64">
        <f t="shared" si="16"/>
        <v>0</v>
      </c>
      <c r="Y46" s="64">
        <f t="shared" si="16"/>
        <v>0</v>
      </c>
      <c r="Z46" s="64">
        <f t="shared" si="16"/>
        <v>0</v>
      </c>
      <c r="AA46" s="64">
        <f t="shared" si="16"/>
        <v>0</v>
      </c>
      <c r="AB46" s="64">
        <f t="shared" si="16"/>
        <v>0</v>
      </c>
      <c r="AC46" s="64">
        <f t="shared" si="16"/>
        <v>0</v>
      </c>
      <c r="AD46" s="64">
        <f t="shared" si="16"/>
        <v>0</v>
      </c>
      <c r="AE46" s="64">
        <f t="shared" si="16"/>
        <v>0</v>
      </c>
      <c r="AF46" s="64">
        <f t="shared" si="16"/>
        <v>0</v>
      </c>
      <c r="AG46" s="64">
        <f t="shared" si="16"/>
        <v>0</v>
      </c>
      <c r="AH46" s="64">
        <f t="shared" si="16"/>
        <v>0</v>
      </c>
      <c r="AI46" s="64">
        <f t="shared" si="16"/>
        <v>0</v>
      </c>
      <c r="AJ46" s="64">
        <f t="shared" si="16"/>
        <v>0</v>
      </c>
      <c r="AK46" s="64">
        <f t="shared" si="16"/>
        <v>0</v>
      </c>
      <c r="AL46" s="64">
        <f t="shared" si="16"/>
        <v>0</v>
      </c>
      <c r="AM46" s="64">
        <f t="shared" si="16"/>
        <v>0</v>
      </c>
      <c r="AN46" s="64">
        <f t="shared" si="16"/>
        <v>0</v>
      </c>
      <c r="AO46" s="64">
        <f t="shared" si="16"/>
        <v>0</v>
      </c>
      <c r="AP46" s="64">
        <f t="shared" si="16"/>
        <v>0</v>
      </c>
      <c r="AQ46" s="64">
        <f t="shared" si="16"/>
        <v>0</v>
      </c>
      <c r="AR46" s="64">
        <f t="shared" si="16"/>
        <v>0</v>
      </c>
      <c r="AS46" s="64">
        <f t="shared" si="16"/>
        <v>0</v>
      </c>
      <c r="AT46" s="64">
        <f t="shared" si="16"/>
        <v>0</v>
      </c>
      <c r="AU46" s="64">
        <f t="shared" si="16"/>
        <v>0</v>
      </c>
      <c r="AV46" s="64">
        <f t="shared" si="16"/>
        <v>0</v>
      </c>
      <c r="AW46" s="64">
        <f t="shared" si="16"/>
        <v>0</v>
      </c>
      <c r="AX46" s="64">
        <f t="shared" si="16"/>
        <v>0</v>
      </c>
      <c r="AY46" s="64">
        <f t="shared" si="16"/>
        <v>0</v>
      </c>
      <c r="AZ46" s="64">
        <f t="shared" si="16"/>
        <v>0</v>
      </c>
      <c r="BA46" s="64">
        <f t="shared" si="16"/>
        <v>0</v>
      </c>
      <c r="BB46" s="64">
        <f t="shared" si="16"/>
        <v>0</v>
      </c>
      <c r="BC46" s="64">
        <f t="shared" si="16"/>
        <v>0</v>
      </c>
      <c r="BD46" s="64">
        <f t="shared" si="16"/>
        <v>0</v>
      </c>
      <c r="BE46" s="64">
        <f t="shared" si="16"/>
        <v>0</v>
      </c>
      <c r="BF46" s="64">
        <f t="shared" si="16"/>
        <v>0</v>
      </c>
      <c r="BG46" s="64">
        <f t="shared" si="16"/>
        <v>0</v>
      </c>
      <c r="BH46" s="64">
        <f t="shared" si="16"/>
        <v>0</v>
      </c>
      <c r="BI46" s="64">
        <f t="shared" si="16"/>
        <v>0</v>
      </c>
      <c r="BJ46" s="64">
        <f t="shared" si="16"/>
        <v>0</v>
      </c>
      <c r="BK46" s="64">
        <f t="shared" si="16"/>
        <v>0</v>
      </c>
      <c r="BL46" s="64">
        <f t="shared" si="16"/>
        <v>0</v>
      </c>
      <c r="BM46" s="64">
        <f t="shared" si="16"/>
        <v>0</v>
      </c>
      <c r="BN46" s="64">
        <f t="shared" si="16"/>
        <v>0</v>
      </c>
      <c r="BO46" s="64">
        <f t="shared" si="16"/>
        <v>0</v>
      </c>
      <c r="BP46" s="64">
        <f t="shared" si="16"/>
        <v>0</v>
      </c>
      <c r="BQ46" s="64">
        <f t="shared" si="16"/>
        <v>0</v>
      </c>
      <c r="BR46" s="64">
        <f t="shared" si="16"/>
        <v>0</v>
      </c>
    </row>
    <row r="47" spans="2:70" x14ac:dyDescent="0.25">
      <c r="C47" s="147" t="s">
        <v>230</v>
      </c>
      <c r="D47" s="260">
        <f>KeyInputs!G113</f>
        <v>0</v>
      </c>
      <c r="E47" s="59">
        <f>INDEX($K47:$BR47,0,MATCH(E$8,$K$8:$BR$8,0))</f>
        <v>0</v>
      </c>
      <c r="F47" s="59">
        <f t="shared" ref="F47:I47" si="17">INDEX($K47:$BR47,0,MATCH(F$8,$K$8:$BR$8,0))</f>
        <v>0</v>
      </c>
      <c r="G47" s="59">
        <f t="shared" si="17"/>
        <v>0</v>
      </c>
      <c r="H47" s="59">
        <f t="shared" si="17"/>
        <v>0</v>
      </c>
      <c r="I47" s="59">
        <f t="shared" si="17"/>
        <v>0</v>
      </c>
      <c r="J47" s="260">
        <f>D47</f>
        <v>0</v>
      </c>
      <c r="K47" s="59">
        <f>SUM(K43:K46)</f>
        <v>0</v>
      </c>
      <c r="L47" s="59">
        <f>SUM(L43:L46)</f>
        <v>0</v>
      </c>
      <c r="M47" s="59">
        <f t="shared" ref="M47" si="18">SUM(M43:M46)</f>
        <v>0</v>
      </c>
      <c r="N47" s="59">
        <f t="shared" ref="N47" si="19">SUM(N43:N46)</f>
        <v>0</v>
      </c>
      <c r="O47" s="59">
        <f t="shared" ref="O47" si="20">SUM(O43:O46)</f>
        <v>0</v>
      </c>
      <c r="P47" s="59">
        <f t="shared" ref="P47" si="21">SUM(P43:P46)</f>
        <v>0</v>
      </c>
      <c r="Q47" s="59">
        <f t="shared" ref="Q47" si="22">SUM(Q43:Q46)</f>
        <v>0</v>
      </c>
      <c r="R47" s="59">
        <f t="shared" ref="R47" si="23">SUM(R43:R46)</f>
        <v>0</v>
      </c>
      <c r="S47" s="59">
        <f t="shared" ref="S47" si="24">SUM(S43:S46)</f>
        <v>0</v>
      </c>
      <c r="T47" s="59">
        <f t="shared" ref="T47" si="25">SUM(T43:T46)</f>
        <v>0</v>
      </c>
      <c r="U47" s="59">
        <f t="shared" ref="U47" si="26">SUM(U43:U46)</f>
        <v>0</v>
      </c>
      <c r="V47" s="59">
        <f t="shared" ref="V47" si="27">SUM(V43:V46)</f>
        <v>0</v>
      </c>
      <c r="W47" s="59">
        <f t="shared" ref="W47" si="28">SUM(W43:W46)</f>
        <v>0</v>
      </c>
      <c r="X47" s="59">
        <f t="shared" ref="X47" si="29">SUM(X43:X46)</f>
        <v>0</v>
      </c>
      <c r="Y47" s="59">
        <f t="shared" ref="Y47" si="30">SUM(Y43:Y46)</f>
        <v>0</v>
      </c>
      <c r="Z47" s="59">
        <f t="shared" ref="Z47" si="31">SUM(Z43:Z46)</f>
        <v>0</v>
      </c>
      <c r="AA47" s="59">
        <f t="shared" ref="AA47" si="32">SUM(AA43:AA46)</f>
        <v>0</v>
      </c>
      <c r="AB47" s="59">
        <f t="shared" ref="AB47" si="33">SUM(AB43:AB46)</f>
        <v>0</v>
      </c>
      <c r="AC47" s="59">
        <f t="shared" ref="AC47" si="34">SUM(AC43:AC46)</f>
        <v>0</v>
      </c>
      <c r="AD47" s="59">
        <f t="shared" ref="AD47" si="35">SUM(AD43:AD46)</f>
        <v>0</v>
      </c>
      <c r="AE47" s="59">
        <f t="shared" ref="AE47" si="36">SUM(AE43:AE46)</f>
        <v>0</v>
      </c>
      <c r="AF47" s="59">
        <f t="shared" ref="AF47" si="37">SUM(AF43:AF46)</f>
        <v>0</v>
      </c>
      <c r="AG47" s="59">
        <f t="shared" ref="AG47" si="38">SUM(AG43:AG46)</f>
        <v>0</v>
      </c>
      <c r="AH47" s="59">
        <f t="shared" ref="AH47" si="39">SUM(AH43:AH46)</f>
        <v>0</v>
      </c>
      <c r="AI47" s="59">
        <f t="shared" ref="AI47" si="40">SUM(AI43:AI46)</f>
        <v>0</v>
      </c>
      <c r="AJ47" s="59">
        <f t="shared" ref="AJ47" si="41">SUM(AJ43:AJ46)</f>
        <v>0</v>
      </c>
      <c r="AK47" s="59">
        <f t="shared" ref="AK47" si="42">SUM(AK43:AK46)</f>
        <v>0</v>
      </c>
      <c r="AL47" s="59">
        <f t="shared" ref="AL47" si="43">SUM(AL43:AL46)</f>
        <v>0</v>
      </c>
      <c r="AM47" s="59">
        <f t="shared" ref="AM47" si="44">SUM(AM43:AM46)</f>
        <v>0</v>
      </c>
      <c r="AN47" s="59">
        <f t="shared" ref="AN47" si="45">SUM(AN43:AN46)</f>
        <v>0</v>
      </c>
      <c r="AO47" s="59">
        <f t="shared" ref="AO47" si="46">SUM(AO43:AO46)</f>
        <v>0</v>
      </c>
      <c r="AP47" s="59">
        <f t="shared" ref="AP47" si="47">SUM(AP43:AP46)</f>
        <v>0</v>
      </c>
      <c r="AQ47" s="59">
        <f t="shared" ref="AQ47" si="48">SUM(AQ43:AQ46)</f>
        <v>0</v>
      </c>
      <c r="AR47" s="59">
        <f t="shared" ref="AR47" si="49">SUM(AR43:AR46)</f>
        <v>0</v>
      </c>
      <c r="AS47" s="59">
        <f t="shared" ref="AS47" si="50">SUM(AS43:AS46)</f>
        <v>0</v>
      </c>
      <c r="AT47" s="59">
        <f t="shared" ref="AT47" si="51">SUM(AT43:AT46)</f>
        <v>0</v>
      </c>
      <c r="AU47" s="59">
        <f t="shared" ref="AU47" si="52">SUM(AU43:AU46)</f>
        <v>0</v>
      </c>
      <c r="AV47" s="59">
        <f t="shared" ref="AV47" si="53">SUM(AV43:AV46)</f>
        <v>0</v>
      </c>
      <c r="AW47" s="59">
        <f t="shared" ref="AW47" si="54">SUM(AW43:AW46)</f>
        <v>0</v>
      </c>
      <c r="AX47" s="59">
        <f t="shared" ref="AX47" si="55">SUM(AX43:AX46)</f>
        <v>0</v>
      </c>
      <c r="AY47" s="59">
        <f t="shared" ref="AY47" si="56">SUM(AY43:AY46)</f>
        <v>0</v>
      </c>
      <c r="AZ47" s="59">
        <f t="shared" ref="AZ47" si="57">SUM(AZ43:AZ46)</f>
        <v>0</v>
      </c>
      <c r="BA47" s="59">
        <f t="shared" ref="BA47" si="58">SUM(BA43:BA46)</f>
        <v>0</v>
      </c>
      <c r="BB47" s="59">
        <f t="shared" ref="BB47" si="59">SUM(BB43:BB46)</f>
        <v>0</v>
      </c>
      <c r="BC47" s="59">
        <f t="shared" ref="BC47" si="60">SUM(BC43:BC46)</f>
        <v>0</v>
      </c>
      <c r="BD47" s="59">
        <f t="shared" ref="BD47" si="61">SUM(BD43:BD46)</f>
        <v>0</v>
      </c>
      <c r="BE47" s="59">
        <f t="shared" ref="BE47" si="62">SUM(BE43:BE46)</f>
        <v>0</v>
      </c>
      <c r="BF47" s="59">
        <f t="shared" ref="BF47" si="63">SUM(BF43:BF46)</f>
        <v>0</v>
      </c>
      <c r="BG47" s="59">
        <f t="shared" ref="BG47" si="64">SUM(BG43:BG46)</f>
        <v>0</v>
      </c>
      <c r="BH47" s="59">
        <f t="shared" ref="BH47" si="65">SUM(BH43:BH46)</f>
        <v>0</v>
      </c>
      <c r="BI47" s="59">
        <f t="shared" ref="BI47" si="66">SUM(BI43:BI46)</f>
        <v>0</v>
      </c>
      <c r="BJ47" s="59">
        <f t="shared" ref="BJ47" si="67">SUM(BJ43:BJ46)</f>
        <v>0</v>
      </c>
      <c r="BK47" s="59">
        <f t="shared" ref="BK47" si="68">SUM(BK43:BK46)</f>
        <v>0</v>
      </c>
      <c r="BL47" s="59">
        <f t="shared" ref="BL47" si="69">SUM(BL43:BL46)</f>
        <v>0</v>
      </c>
      <c r="BM47" s="59">
        <f t="shared" ref="BM47" si="70">SUM(BM43:BM46)</f>
        <v>0</v>
      </c>
      <c r="BN47" s="59">
        <f t="shared" ref="BN47" si="71">SUM(BN43:BN46)</f>
        <v>0</v>
      </c>
      <c r="BO47" s="59">
        <f t="shared" ref="BO47" si="72">SUM(BO43:BO46)</f>
        <v>0</v>
      </c>
      <c r="BP47" s="59">
        <f t="shared" ref="BP47" si="73">SUM(BP43:BP46)</f>
        <v>0</v>
      </c>
      <c r="BQ47" s="59">
        <f t="shared" ref="BQ47" si="74">SUM(BQ43:BQ46)</f>
        <v>0</v>
      </c>
      <c r="BR47" s="59">
        <f t="shared" ref="BR47" si="75">SUM(BR43:BR46)</f>
        <v>0</v>
      </c>
    </row>
    <row r="48" spans="2:70" s="157" customFormat="1" x14ac:dyDescent="0.25">
      <c r="C48" s="147"/>
      <c r="D48" s="158"/>
      <c r="J48" s="56"/>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c r="AI48" s="148"/>
      <c r="AJ48" s="148"/>
      <c r="AK48" s="148"/>
      <c r="AL48" s="148"/>
      <c r="AM48" s="148"/>
      <c r="AN48" s="148"/>
      <c r="AO48" s="148"/>
      <c r="AP48" s="148"/>
      <c r="AQ48" s="148"/>
      <c r="AR48" s="148"/>
      <c r="AS48" s="148"/>
      <c r="AT48" s="148"/>
      <c r="AU48" s="148"/>
      <c r="AV48" s="148"/>
      <c r="AW48" s="148"/>
      <c r="AX48" s="148"/>
      <c r="AY48" s="148"/>
      <c r="AZ48" s="148"/>
      <c r="BA48" s="148"/>
      <c r="BB48" s="148"/>
      <c r="BC48" s="148"/>
      <c r="BD48" s="148"/>
      <c r="BE48" s="148"/>
      <c r="BF48" s="148"/>
      <c r="BG48" s="148"/>
      <c r="BH48" s="148"/>
      <c r="BI48" s="148"/>
      <c r="BJ48" s="148"/>
      <c r="BK48" s="148"/>
      <c r="BL48" s="148"/>
      <c r="BM48" s="148"/>
      <c r="BN48" s="148"/>
      <c r="BO48" s="148"/>
      <c r="BP48" s="148"/>
      <c r="BQ48" s="148"/>
      <c r="BR48" s="148"/>
    </row>
    <row r="49" spans="2:70" s="149" customFormat="1" x14ac:dyDescent="0.25">
      <c r="B49" s="149" t="str">
        <f>Header2</f>
        <v>2.3</v>
      </c>
      <c r="C49" s="149" t="str">
        <f>C15</f>
        <v xml:space="preserve">Property </v>
      </c>
      <c r="J49" s="57"/>
    </row>
    <row r="50" spans="2:70" s="149" customFormat="1" x14ac:dyDescent="0.25">
      <c r="C50" s="150" t="s">
        <v>227</v>
      </c>
      <c r="D50" s="150">
        <f>KeyInputs!G63</f>
        <v>25</v>
      </c>
      <c r="J50" s="57"/>
    </row>
    <row r="51" spans="2:70" s="149" customFormat="1" x14ac:dyDescent="0.25">
      <c r="C51" s="202" t="s">
        <v>231</v>
      </c>
      <c r="D51" s="203">
        <f>1/$D$50</f>
        <v>0.04</v>
      </c>
      <c r="J51" s="57"/>
    </row>
    <row r="53" spans="2:70" x14ac:dyDescent="0.25">
      <c r="C53" s="147" t="s">
        <v>228</v>
      </c>
      <c r="D53" s="161" t="str">
        <f>unit</f>
        <v>£</v>
      </c>
      <c r="E53" s="64">
        <f>INDEX($K53:$BR53,0,MATCH(E$7,$K$7:$BR$7,0))</f>
        <v>0</v>
      </c>
      <c r="F53" s="64">
        <f t="shared" ref="F53:I53" si="76">INDEX($K53:$BR53,0,MATCH(F$7,$K$7:$BR$7,0))</f>
        <v>0</v>
      </c>
      <c r="G53" s="64">
        <f t="shared" si="76"/>
        <v>0</v>
      </c>
      <c r="H53" s="64">
        <f t="shared" si="76"/>
        <v>0</v>
      </c>
      <c r="I53" s="64">
        <f t="shared" si="76"/>
        <v>0</v>
      </c>
      <c r="K53" s="64">
        <f>J57</f>
        <v>0</v>
      </c>
      <c r="L53" s="155">
        <f>K57</f>
        <v>0</v>
      </c>
      <c r="M53" s="155">
        <f t="shared" ref="M53:BR53" si="77">L57</f>
        <v>0</v>
      </c>
      <c r="N53" s="155">
        <f t="shared" si="77"/>
        <v>0</v>
      </c>
      <c r="O53" s="155">
        <f t="shared" si="77"/>
        <v>0</v>
      </c>
      <c r="P53" s="155">
        <f t="shared" si="77"/>
        <v>0</v>
      </c>
      <c r="Q53" s="155">
        <f t="shared" si="77"/>
        <v>0</v>
      </c>
      <c r="R53" s="155">
        <f t="shared" si="77"/>
        <v>0</v>
      </c>
      <c r="S53" s="155">
        <f t="shared" si="77"/>
        <v>0</v>
      </c>
      <c r="T53" s="155">
        <f t="shared" si="77"/>
        <v>0</v>
      </c>
      <c r="U53" s="155">
        <f t="shared" si="77"/>
        <v>0</v>
      </c>
      <c r="V53" s="155">
        <f t="shared" si="77"/>
        <v>0</v>
      </c>
      <c r="W53" s="155">
        <f t="shared" si="77"/>
        <v>0</v>
      </c>
      <c r="X53" s="155">
        <f t="shared" si="77"/>
        <v>0</v>
      </c>
      <c r="Y53" s="155">
        <f t="shared" si="77"/>
        <v>0</v>
      </c>
      <c r="Z53" s="155">
        <f t="shared" si="77"/>
        <v>0</v>
      </c>
      <c r="AA53" s="155">
        <f t="shared" si="77"/>
        <v>0</v>
      </c>
      <c r="AB53" s="155">
        <f t="shared" si="77"/>
        <v>0</v>
      </c>
      <c r="AC53" s="155">
        <f t="shared" si="77"/>
        <v>0</v>
      </c>
      <c r="AD53" s="155">
        <f t="shared" si="77"/>
        <v>0</v>
      </c>
      <c r="AE53" s="155">
        <f t="shared" si="77"/>
        <v>0</v>
      </c>
      <c r="AF53" s="155">
        <f t="shared" si="77"/>
        <v>0</v>
      </c>
      <c r="AG53" s="155">
        <f t="shared" si="77"/>
        <v>0</v>
      </c>
      <c r="AH53" s="155">
        <f t="shared" si="77"/>
        <v>0</v>
      </c>
      <c r="AI53" s="155">
        <f t="shared" si="77"/>
        <v>0</v>
      </c>
      <c r="AJ53" s="155">
        <f t="shared" si="77"/>
        <v>0</v>
      </c>
      <c r="AK53" s="155">
        <f t="shared" si="77"/>
        <v>0</v>
      </c>
      <c r="AL53" s="155">
        <f t="shared" si="77"/>
        <v>0</v>
      </c>
      <c r="AM53" s="155">
        <f t="shared" si="77"/>
        <v>0</v>
      </c>
      <c r="AN53" s="155">
        <f t="shared" si="77"/>
        <v>0</v>
      </c>
      <c r="AO53" s="155">
        <f t="shared" si="77"/>
        <v>0</v>
      </c>
      <c r="AP53" s="155">
        <f t="shared" si="77"/>
        <v>0</v>
      </c>
      <c r="AQ53" s="155">
        <f t="shared" si="77"/>
        <v>0</v>
      </c>
      <c r="AR53" s="155">
        <f t="shared" si="77"/>
        <v>0</v>
      </c>
      <c r="AS53" s="155">
        <f t="shared" si="77"/>
        <v>0</v>
      </c>
      <c r="AT53" s="155">
        <f t="shared" si="77"/>
        <v>0</v>
      </c>
      <c r="AU53" s="155">
        <f t="shared" si="77"/>
        <v>0</v>
      </c>
      <c r="AV53" s="155">
        <f t="shared" si="77"/>
        <v>0</v>
      </c>
      <c r="AW53" s="155">
        <f t="shared" si="77"/>
        <v>0</v>
      </c>
      <c r="AX53" s="155">
        <f t="shared" si="77"/>
        <v>0</v>
      </c>
      <c r="AY53" s="155">
        <f t="shared" si="77"/>
        <v>0</v>
      </c>
      <c r="AZ53" s="155">
        <f t="shared" si="77"/>
        <v>0</v>
      </c>
      <c r="BA53" s="155">
        <f t="shared" si="77"/>
        <v>0</v>
      </c>
      <c r="BB53" s="155">
        <f t="shared" si="77"/>
        <v>0</v>
      </c>
      <c r="BC53" s="155">
        <f t="shared" si="77"/>
        <v>0</v>
      </c>
      <c r="BD53" s="155">
        <f t="shared" si="77"/>
        <v>0</v>
      </c>
      <c r="BE53" s="155">
        <f t="shared" si="77"/>
        <v>0</v>
      </c>
      <c r="BF53" s="155">
        <f t="shared" si="77"/>
        <v>0</v>
      </c>
      <c r="BG53" s="155">
        <f t="shared" si="77"/>
        <v>0</v>
      </c>
      <c r="BH53" s="155">
        <f t="shared" si="77"/>
        <v>0</v>
      </c>
      <c r="BI53" s="155">
        <f t="shared" si="77"/>
        <v>0</v>
      </c>
      <c r="BJ53" s="155">
        <f t="shared" si="77"/>
        <v>0</v>
      </c>
      <c r="BK53" s="155">
        <f t="shared" si="77"/>
        <v>0</v>
      </c>
      <c r="BL53" s="155">
        <f t="shared" si="77"/>
        <v>0</v>
      </c>
      <c r="BM53" s="155">
        <f t="shared" si="77"/>
        <v>0</v>
      </c>
      <c r="BN53" s="155">
        <f t="shared" si="77"/>
        <v>0</v>
      </c>
      <c r="BO53" s="155">
        <f t="shared" si="77"/>
        <v>0</v>
      </c>
      <c r="BP53" s="155">
        <f t="shared" si="77"/>
        <v>0</v>
      </c>
      <c r="BQ53" s="155">
        <f t="shared" si="77"/>
        <v>0</v>
      </c>
      <c r="BR53" s="155">
        <f t="shared" si="77"/>
        <v>0</v>
      </c>
    </row>
    <row r="54" spans="2:70" x14ac:dyDescent="0.25">
      <c r="C54" s="147" t="s">
        <v>225</v>
      </c>
      <c r="D54" s="161" t="str">
        <f>unit</f>
        <v>£</v>
      </c>
      <c r="E54" s="64">
        <f t="shared" ref="E54:I56" si="78">SUMIF($K$5:$BR$5,E$5,$K54:$BR54)</f>
        <v>0</v>
      </c>
      <c r="F54" s="64">
        <f t="shared" si="78"/>
        <v>0</v>
      </c>
      <c r="G54" s="64">
        <f t="shared" si="78"/>
        <v>0</v>
      </c>
      <c r="H54" s="64">
        <f t="shared" si="78"/>
        <v>0</v>
      </c>
      <c r="I54" s="64">
        <f t="shared" si="78"/>
        <v>0</v>
      </c>
      <c r="K54" s="64">
        <f>K15</f>
        <v>0</v>
      </c>
      <c r="L54" s="64">
        <f t="shared" ref="L54:BR54" si="79">L15</f>
        <v>0</v>
      </c>
      <c r="M54" s="64">
        <f t="shared" si="79"/>
        <v>0</v>
      </c>
      <c r="N54" s="64">
        <f t="shared" si="79"/>
        <v>0</v>
      </c>
      <c r="O54" s="64">
        <f t="shared" si="79"/>
        <v>0</v>
      </c>
      <c r="P54" s="64">
        <f t="shared" si="79"/>
        <v>0</v>
      </c>
      <c r="Q54" s="64">
        <f t="shared" si="79"/>
        <v>0</v>
      </c>
      <c r="R54" s="64">
        <f t="shared" si="79"/>
        <v>0</v>
      </c>
      <c r="S54" s="64">
        <f t="shared" si="79"/>
        <v>0</v>
      </c>
      <c r="T54" s="64">
        <f t="shared" si="79"/>
        <v>0</v>
      </c>
      <c r="U54" s="64">
        <f t="shared" si="79"/>
        <v>0</v>
      </c>
      <c r="V54" s="64">
        <f t="shared" si="79"/>
        <v>0</v>
      </c>
      <c r="W54" s="64">
        <f t="shared" si="79"/>
        <v>0</v>
      </c>
      <c r="X54" s="64">
        <f t="shared" si="79"/>
        <v>0</v>
      </c>
      <c r="Y54" s="64">
        <f t="shared" si="79"/>
        <v>0</v>
      </c>
      <c r="Z54" s="64">
        <f t="shared" si="79"/>
        <v>0</v>
      </c>
      <c r="AA54" s="64">
        <f t="shared" si="79"/>
        <v>0</v>
      </c>
      <c r="AB54" s="64">
        <f t="shared" si="79"/>
        <v>0</v>
      </c>
      <c r="AC54" s="64">
        <f t="shared" si="79"/>
        <v>0</v>
      </c>
      <c r="AD54" s="64">
        <f t="shared" si="79"/>
        <v>0</v>
      </c>
      <c r="AE54" s="64">
        <f t="shared" si="79"/>
        <v>0</v>
      </c>
      <c r="AF54" s="64">
        <f t="shared" si="79"/>
        <v>0</v>
      </c>
      <c r="AG54" s="64">
        <f t="shared" si="79"/>
        <v>0</v>
      </c>
      <c r="AH54" s="64">
        <f t="shared" si="79"/>
        <v>0</v>
      </c>
      <c r="AI54" s="64">
        <f t="shared" si="79"/>
        <v>0</v>
      </c>
      <c r="AJ54" s="64">
        <f t="shared" si="79"/>
        <v>0</v>
      </c>
      <c r="AK54" s="64">
        <f t="shared" si="79"/>
        <v>0</v>
      </c>
      <c r="AL54" s="64">
        <f t="shared" si="79"/>
        <v>0</v>
      </c>
      <c r="AM54" s="64">
        <f t="shared" si="79"/>
        <v>0</v>
      </c>
      <c r="AN54" s="64">
        <f t="shared" si="79"/>
        <v>0</v>
      </c>
      <c r="AO54" s="64">
        <f t="shared" si="79"/>
        <v>0</v>
      </c>
      <c r="AP54" s="64">
        <f t="shared" si="79"/>
        <v>0</v>
      </c>
      <c r="AQ54" s="64">
        <f t="shared" si="79"/>
        <v>0</v>
      </c>
      <c r="AR54" s="64">
        <f t="shared" si="79"/>
        <v>0</v>
      </c>
      <c r="AS54" s="64">
        <f t="shared" si="79"/>
        <v>0</v>
      </c>
      <c r="AT54" s="64">
        <f t="shared" si="79"/>
        <v>0</v>
      </c>
      <c r="AU54" s="64">
        <f t="shared" si="79"/>
        <v>0</v>
      </c>
      <c r="AV54" s="64">
        <f t="shared" si="79"/>
        <v>0</v>
      </c>
      <c r="AW54" s="64">
        <f t="shared" si="79"/>
        <v>0</v>
      </c>
      <c r="AX54" s="64">
        <f t="shared" si="79"/>
        <v>0</v>
      </c>
      <c r="AY54" s="64">
        <f t="shared" si="79"/>
        <v>0</v>
      </c>
      <c r="AZ54" s="64">
        <f t="shared" si="79"/>
        <v>0</v>
      </c>
      <c r="BA54" s="64">
        <f t="shared" si="79"/>
        <v>0</v>
      </c>
      <c r="BB54" s="64">
        <f t="shared" si="79"/>
        <v>0</v>
      </c>
      <c r="BC54" s="64">
        <f t="shared" si="79"/>
        <v>0</v>
      </c>
      <c r="BD54" s="64">
        <f t="shared" si="79"/>
        <v>0</v>
      </c>
      <c r="BE54" s="64">
        <f t="shared" si="79"/>
        <v>0</v>
      </c>
      <c r="BF54" s="64">
        <f t="shared" si="79"/>
        <v>0</v>
      </c>
      <c r="BG54" s="64">
        <f t="shared" si="79"/>
        <v>0</v>
      </c>
      <c r="BH54" s="64">
        <f t="shared" si="79"/>
        <v>0</v>
      </c>
      <c r="BI54" s="64">
        <f t="shared" si="79"/>
        <v>0</v>
      </c>
      <c r="BJ54" s="64">
        <f t="shared" si="79"/>
        <v>0</v>
      </c>
      <c r="BK54" s="64">
        <f t="shared" si="79"/>
        <v>0</v>
      </c>
      <c r="BL54" s="64">
        <f t="shared" si="79"/>
        <v>0</v>
      </c>
      <c r="BM54" s="64">
        <f t="shared" si="79"/>
        <v>0</v>
      </c>
      <c r="BN54" s="64">
        <f t="shared" si="79"/>
        <v>0</v>
      </c>
      <c r="BO54" s="64">
        <f t="shared" si="79"/>
        <v>0</v>
      </c>
      <c r="BP54" s="64">
        <f t="shared" si="79"/>
        <v>0</v>
      </c>
      <c r="BQ54" s="64">
        <f t="shared" si="79"/>
        <v>0</v>
      </c>
      <c r="BR54" s="64">
        <f t="shared" si="79"/>
        <v>0</v>
      </c>
    </row>
    <row r="55" spans="2:70" x14ac:dyDescent="0.25">
      <c r="C55" s="147" t="s">
        <v>24</v>
      </c>
      <c r="D55" s="161" t="str">
        <f>unit</f>
        <v>£</v>
      </c>
      <c r="E55" s="64">
        <f t="shared" si="78"/>
        <v>0</v>
      </c>
      <c r="F55" s="64">
        <f t="shared" si="78"/>
        <v>0</v>
      </c>
      <c r="G55" s="64">
        <f t="shared" si="78"/>
        <v>0</v>
      </c>
      <c r="H55" s="64">
        <f t="shared" si="78"/>
        <v>0</v>
      </c>
      <c r="I55" s="64">
        <f t="shared" si="78"/>
        <v>0</v>
      </c>
      <c r="K55" s="64">
        <f>-K53*$D$51/12</f>
        <v>0</v>
      </c>
      <c r="L55" s="64">
        <f t="shared" ref="L55:BR55" si="80">-L53*$D$51/12</f>
        <v>0</v>
      </c>
      <c r="M55" s="64">
        <f t="shared" si="80"/>
        <v>0</v>
      </c>
      <c r="N55" s="64">
        <f t="shared" si="80"/>
        <v>0</v>
      </c>
      <c r="O55" s="64">
        <f t="shared" si="80"/>
        <v>0</v>
      </c>
      <c r="P55" s="64">
        <f t="shared" si="80"/>
        <v>0</v>
      </c>
      <c r="Q55" s="64">
        <f t="shared" si="80"/>
        <v>0</v>
      </c>
      <c r="R55" s="64">
        <f t="shared" si="80"/>
        <v>0</v>
      </c>
      <c r="S55" s="64">
        <f t="shared" si="80"/>
        <v>0</v>
      </c>
      <c r="T55" s="64">
        <f t="shared" si="80"/>
        <v>0</v>
      </c>
      <c r="U55" s="64">
        <f t="shared" si="80"/>
        <v>0</v>
      </c>
      <c r="V55" s="64">
        <f t="shared" si="80"/>
        <v>0</v>
      </c>
      <c r="W55" s="64">
        <f t="shared" si="80"/>
        <v>0</v>
      </c>
      <c r="X55" s="64">
        <f t="shared" si="80"/>
        <v>0</v>
      </c>
      <c r="Y55" s="64">
        <f t="shared" si="80"/>
        <v>0</v>
      </c>
      <c r="Z55" s="64">
        <f t="shared" si="80"/>
        <v>0</v>
      </c>
      <c r="AA55" s="64">
        <f t="shared" si="80"/>
        <v>0</v>
      </c>
      <c r="AB55" s="64">
        <f t="shared" si="80"/>
        <v>0</v>
      </c>
      <c r="AC55" s="64">
        <f t="shared" si="80"/>
        <v>0</v>
      </c>
      <c r="AD55" s="64">
        <f t="shared" si="80"/>
        <v>0</v>
      </c>
      <c r="AE55" s="64">
        <f t="shared" si="80"/>
        <v>0</v>
      </c>
      <c r="AF55" s="64">
        <f t="shared" si="80"/>
        <v>0</v>
      </c>
      <c r="AG55" s="64">
        <f t="shared" si="80"/>
        <v>0</v>
      </c>
      <c r="AH55" s="64">
        <f t="shared" si="80"/>
        <v>0</v>
      </c>
      <c r="AI55" s="64">
        <f t="shared" si="80"/>
        <v>0</v>
      </c>
      <c r="AJ55" s="64">
        <f t="shared" si="80"/>
        <v>0</v>
      </c>
      <c r="AK55" s="64">
        <f t="shared" si="80"/>
        <v>0</v>
      </c>
      <c r="AL55" s="64">
        <f t="shared" si="80"/>
        <v>0</v>
      </c>
      <c r="AM55" s="64">
        <f t="shared" si="80"/>
        <v>0</v>
      </c>
      <c r="AN55" s="64">
        <f t="shared" si="80"/>
        <v>0</v>
      </c>
      <c r="AO55" s="64">
        <f t="shared" si="80"/>
        <v>0</v>
      </c>
      <c r="AP55" s="64">
        <f t="shared" si="80"/>
        <v>0</v>
      </c>
      <c r="AQ55" s="64">
        <f t="shared" si="80"/>
        <v>0</v>
      </c>
      <c r="AR55" s="64">
        <f t="shared" si="80"/>
        <v>0</v>
      </c>
      <c r="AS55" s="64">
        <f t="shared" si="80"/>
        <v>0</v>
      </c>
      <c r="AT55" s="64">
        <f t="shared" si="80"/>
        <v>0</v>
      </c>
      <c r="AU55" s="64">
        <f t="shared" si="80"/>
        <v>0</v>
      </c>
      <c r="AV55" s="64">
        <f t="shared" si="80"/>
        <v>0</v>
      </c>
      <c r="AW55" s="64">
        <f t="shared" si="80"/>
        <v>0</v>
      </c>
      <c r="AX55" s="64">
        <f t="shared" si="80"/>
        <v>0</v>
      </c>
      <c r="AY55" s="64">
        <f t="shared" si="80"/>
        <v>0</v>
      </c>
      <c r="AZ55" s="64">
        <f t="shared" si="80"/>
        <v>0</v>
      </c>
      <c r="BA55" s="64">
        <f t="shared" si="80"/>
        <v>0</v>
      </c>
      <c r="BB55" s="64">
        <f t="shared" si="80"/>
        <v>0</v>
      </c>
      <c r="BC55" s="64">
        <f t="shared" si="80"/>
        <v>0</v>
      </c>
      <c r="BD55" s="64">
        <f t="shared" si="80"/>
        <v>0</v>
      </c>
      <c r="BE55" s="64">
        <f t="shared" si="80"/>
        <v>0</v>
      </c>
      <c r="BF55" s="64">
        <f t="shared" si="80"/>
        <v>0</v>
      </c>
      <c r="BG55" s="64">
        <f t="shared" si="80"/>
        <v>0</v>
      </c>
      <c r="BH55" s="64">
        <f t="shared" si="80"/>
        <v>0</v>
      </c>
      <c r="BI55" s="64">
        <f t="shared" si="80"/>
        <v>0</v>
      </c>
      <c r="BJ55" s="64">
        <f t="shared" si="80"/>
        <v>0</v>
      </c>
      <c r="BK55" s="64">
        <f t="shared" si="80"/>
        <v>0</v>
      </c>
      <c r="BL55" s="64">
        <f t="shared" si="80"/>
        <v>0</v>
      </c>
      <c r="BM55" s="64">
        <f t="shared" si="80"/>
        <v>0</v>
      </c>
      <c r="BN55" s="64">
        <f t="shared" si="80"/>
        <v>0</v>
      </c>
      <c r="BO55" s="64">
        <f t="shared" si="80"/>
        <v>0</v>
      </c>
      <c r="BP55" s="64">
        <f t="shared" si="80"/>
        <v>0</v>
      </c>
      <c r="BQ55" s="64">
        <f t="shared" si="80"/>
        <v>0</v>
      </c>
      <c r="BR55" s="64">
        <f t="shared" si="80"/>
        <v>0</v>
      </c>
    </row>
    <row r="56" spans="2:70" x14ac:dyDescent="0.25">
      <c r="C56" s="147" t="s">
        <v>229</v>
      </c>
      <c r="D56" s="161" t="str">
        <f>unit</f>
        <v>£</v>
      </c>
      <c r="E56" s="64">
        <f t="shared" si="78"/>
        <v>0</v>
      </c>
      <c r="F56" s="64">
        <f t="shared" si="78"/>
        <v>0</v>
      </c>
      <c r="G56" s="64">
        <f t="shared" si="78"/>
        <v>0</v>
      </c>
      <c r="H56" s="64">
        <f t="shared" si="78"/>
        <v>0</v>
      </c>
      <c r="I56" s="64">
        <f t="shared" si="78"/>
        <v>0</v>
      </c>
      <c r="K56" s="64">
        <f>K23</f>
        <v>0</v>
      </c>
      <c r="L56" s="64">
        <f t="shared" ref="L56:BR56" si="81">L23</f>
        <v>0</v>
      </c>
      <c r="M56" s="64">
        <f t="shared" si="81"/>
        <v>0</v>
      </c>
      <c r="N56" s="64">
        <f t="shared" si="81"/>
        <v>0</v>
      </c>
      <c r="O56" s="64">
        <f t="shared" si="81"/>
        <v>0</v>
      </c>
      <c r="P56" s="64">
        <f t="shared" si="81"/>
        <v>0</v>
      </c>
      <c r="Q56" s="64">
        <f t="shared" si="81"/>
        <v>0</v>
      </c>
      <c r="R56" s="64">
        <f t="shared" si="81"/>
        <v>0</v>
      </c>
      <c r="S56" s="64">
        <f t="shared" si="81"/>
        <v>0</v>
      </c>
      <c r="T56" s="64">
        <f t="shared" si="81"/>
        <v>0</v>
      </c>
      <c r="U56" s="64">
        <f t="shared" si="81"/>
        <v>0</v>
      </c>
      <c r="V56" s="64">
        <f t="shared" si="81"/>
        <v>0</v>
      </c>
      <c r="W56" s="64">
        <f t="shared" si="81"/>
        <v>0</v>
      </c>
      <c r="X56" s="64">
        <f t="shared" si="81"/>
        <v>0</v>
      </c>
      <c r="Y56" s="64">
        <f t="shared" si="81"/>
        <v>0</v>
      </c>
      <c r="Z56" s="64">
        <f t="shared" si="81"/>
        <v>0</v>
      </c>
      <c r="AA56" s="64">
        <f t="shared" si="81"/>
        <v>0</v>
      </c>
      <c r="AB56" s="64">
        <f t="shared" si="81"/>
        <v>0</v>
      </c>
      <c r="AC56" s="64">
        <f t="shared" si="81"/>
        <v>0</v>
      </c>
      <c r="AD56" s="64">
        <f t="shared" si="81"/>
        <v>0</v>
      </c>
      <c r="AE56" s="64">
        <f t="shared" si="81"/>
        <v>0</v>
      </c>
      <c r="AF56" s="64">
        <f t="shared" si="81"/>
        <v>0</v>
      </c>
      <c r="AG56" s="64">
        <f t="shared" si="81"/>
        <v>0</v>
      </c>
      <c r="AH56" s="64">
        <f t="shared" si="81"/>
        <v>0</v>
      </c>
      <c r="AI56" s="64">
        <f t="shared" si="81"/>
        <v>0</v>
      </c>
      <c r="AJ56" s="64">
        <f t="shared" si="81"/>
        <v>0</v>
      </c>
      <c r="AK56" s="64">
        <f t="shared" si="81"/>
        <v>0</v>
      </c>
      <c r="AL56" s="64">
        <f t="shared" si="81"/>
        <v>0</v>
      </c>
      <c r="AM56" s="64">
        <f t="shared" si="81"/>
        <v>0</v>
      </c>
      <c r="AN56" s="64">
        <f t="shared" si="81"/>
        <v>0</v>
      </c>
      <c r="AO56" s="64">
        <f t="shared" si="81"/>
        <v>0</v>
      </c>
      <c r="AP56" s="64">
        <f t="shared" si="81"/>
        <v>0</v>
      </c>
      <c r="AQ56" s="64">
        <f t="shared" si="81"/>
        <v>0</v>
      </c>
      <c r="AR56" s="64">
        <f t="shared" si="81"/>
        <v>0</v>
      </c>
      <c r="AS56" s="64">
        <f t="shared" si="81"/>
        <v>0</v>
      </c>
      <c r="AT56" s="64">
        <f t="shared" si="81"/>
        <v>0</v>
      </c>
      <c r="AU56" s="64">
        <f t="shared" si="81"/>
        <v>0</v>
      </c>
      <c r="AV56" s="64">
        <f t="shared" si="81"/>
        <v>0</v>
      </c>
      <c r="AW56" s="64">
        <f t="shared" si="81"/>
        <v>0</v>
      </c>
      <c r="AX56" s="64">
        <f t="shared" si="81"/>
        <v>0</v>
      </c>
      <c r="AY56" s="64">
        <f t="shared" si="81"/>
        <v>0</v>
      </c>
      <c r="AZ56" s="64">
        <f t="shared" si="81"/>
        <v>0</v>
      </c>
      <c r="BA56" s="64">
        <f t="shared" si="81"/>
        <v>0</v>
      </c>
      <c r="BB56" s="64">
        <f t="shared" si="81"/>
        <v>0</v>
      </c>
      <c r="BC56" s="64">
        <f t="shared" si="81"/>
        <v>0</v>
      </c>
      <c r="BD56" s="64">
        <f t="shared" si="81"/>
        <v>0</v>
      </c>
      <c r="BE56" s="64">
        <f t="shared" si="81"/>
        <v>0</v>
      </c>
      <c r="BF56" s="64">
        <f t="shared" si="81"/>
        <v>0</v>
      </c>
      <c r="BG56" s="64">
        <f t="shared" si="81"/>
        <v>0</v>
      </c>
      <c r="BH56" s="64">
        <f t="shared" si="81"/>
        <v>0</v>
      </c>
      <c r="BI56" s="64">
        <f t="shared" si="81"/>
        <v>0</v>
      </c>
      <c r="BJ56" s="64">
        <f t="shared" si="81"/>
        <v>0</v>
      </c>
      <c r="BK56" s="64">
        <f t="shared" si="81"/>
        <v>0</v>
      </c>
      <c r="BL56" s="64">
        <f t="shared" si="81"/>
        <v>0</v>
      </c>
      <c r="BM56" s="64">
        <f t="shared" si="81"/>
        <v>0</v>
      </c>
      <c r="BN56" s="64">
        <f t="shared" si="81"/>
        <v>0</v>
      </c>
      <c r="BO56" s="64">
        <f t="shared" si="81"/>
        <v>0</v>
      </c>
      <c r="BP56" s="64">
        <f t="shared" si="81"/>
        <v>0</v>
      </c>
      <c r="BQ56" s="64">
        <f t="shared" si="81"/>
        <v>0</v>
      </c>
      <c r="BR56" s="64">
        <f t="shared" si="81"/>
        <v>0</v>
      </c>
    </row>
    <row r="57" spans="2:70" x14ac:dyDescent="0.25">
      <c r="C57" s="147" t="s">
        <v>230</v>
      </c>
      <c r="D57" s="260">
        <f>KeyInputs!G114</f>
        <v>0</v>
      </c>
      <c r="E57" s="59">
        <f>INDEX($K57:$BR57,0,MATCH(E$8,$K$8:$BR$8,0))</f>
        <v>0</v>
      </c>
      <c r="F57" s="59">
        <f t="shared" ref="F57:I57" si="82">INDEX($K57:$BR57,0,MATCH(F$8,$K$8:$BR$8,0))</f>
        <v>0</v>
      </c>
      <c r="G57" s="59">
        <f t="shared" si="82"/>
        <v>0</v>
      </c>
      <c r="H57" s="59">
        <f t="shared" si="82"/>
        <v>0</v>
      </c>
      <c r="I57" s="59">
        <f t="shared" si="82"/>
        <v>0</v>
      </c>
      <c r="J57" s="260">
        <f>D57</f>
        <v>0</v>
      </c>
      <c r="K57" s="59">
        <f>SUM(K53:K56)</f>
        <v>0</v>
      </c>
      <c r="L57" s="59">
        <f>SUM(L53:L56)</f>
        <v>0</v>
      </c>
      <c r="M57" s="59">
        <f t="shared" ref="M57" si="83">SUM(M53:M56)</f>
        <v>0</v>
      </c>
      <c r="N57" s="59">
        <f t="shared" ref="N57" si="84">SUM(N53:N56)</f>
        <v>0</v>
      </c>
      <c r="O57" s="59">
        <f t="shared" ref="O57" si="85">SUM(O53:O56)</f>
        <v>0</v>
      </c>
      <c r="P57" s="59">
        <f t="shared" ref="P57" si="86">SUM(P53:P56)</f>
        <v>0</v>
      </c>
      <c r="Q57" s="59">
        <f t="shared" ref="Q57" si="87">SUM(Q53:Q56)</f>
        <v>0</v>
      </c>
      <c r="R57" s="59">
        <f t="shared" ref="R57" si="88">SUM(R53:R56)</f>
        <v>0</v>
      </c>
      <c r="S57" s="59">
        <f t="shared" ref="S57" si="89">SUM(S53:S56)</f>
        <v>0</v>
      </c>
      <c r="T57" s="59">
        <f t="shared" ref="T57" si="90">SUM(T53:T56)</f>
        <v>0</v>
      </c>
      <c r="U57" s="59">
        <f t="shared" ref="U57" si="91">SUM(U53:U56)</f>
        <v>0</v>
      </c>
      <c r="V57" s="59">
        <f t="shared" ref="V57" si="92">SUM(V53:V56)</f>
        <v>0</v>
      </c>
      <c r="W57" s="59">
        <f t="shared" ref="W57" si="93">SUM(W53:W56)</f>
        <v>0</v>
      </c>
      <c r="X57" s="59">
        <f t="shared" ref="X57" si="94">SUM(X53:X56)</f>
        <v>0</v>
      </c>
      <c r="Y57" s="59">
        <f t="shared" ref="Y57" si="95">SUM(Y53:Y56)</f>
        <v>0</v>
      </c>
      <c r="Z57" s="59">
        <f t="shared" ref="Z57" si="96">SUM(Z53:Z56)</f>
        <v>0</v>
      </c>
      <c r="AA57" s="59">
        <f t="shared" ref="AA57" si="97">SUM(AA53:AA56)</f>
        <v>0</v>
      </c>
      <c r="AB57" s="59">
        <f t="shared" ref="AB57" si="98">SUM(AB53:AB56)</f>
        <v>0</v>
      </c>
      <c r="AC57" s="59">
        <f t="shared" ref="AC57" si="99">SUM(AC53:AC56)</f>
        <v>0</v>
      </c>
      <c r="AD57" s="59">
        <f t="shared" ref="AD57" si="100">SUM(AD53:AD56)</f>
        <v>0</v>
      </c>
      <c r="AE57" s="59">
        <f t="shared" ref="AE57" si="101">SUM(AE53:AE56)</f>
        <v>0</v>
      </c>
      <c r="AF57" s="59">
        <f t="shared" ref="AF57" si="102">SUM(AF53:AF56)</f>
        <v>0</v>
      </c>
      <c r="AG57" s="59">
        <f t="shared" ref="AG57" si="103">SUM(AG53:AG56)</f>
        <v>0</v>
      </c>
      <c r="AH57" s="59">
        <f t="shared" ref="AH57" si="104">SUM(AH53:AH56)</f>
        <v>0</v>
      </c>
      <c r="AI57" s="59">
        <f t="shared" ref="AI57" si="105">SUM(AI53:AI56)</f>
        <v>0</v>
      </c>
      <c r="AJ57" s="59">
        <f t="shared" ref="AJ57" si="106">SUM(AJ53:AJ56)</f>
        <v>0</v>
      </c>
      <c r="AK57" s="59">
        <f t="shared" ref="AK57" si="107">SUM(AK53:AK56)</f>
        <v>0</v>
      </c>
      <c r="AL57" s="59">
        <f t="shared" ref="AL57" si="108">SUM(AL53:AL56)</f>
        <v>0</v>
      </c>
      <c r="AM57" s="59">
        <f t="shared" ref="AM57" si="109">SUM(AM53:AM56)</f>
        <v>0</v>
      </c>
      <c r="AN57" s="59">
        <f t="shared" ref="AN57" si="110">SUM(AN53:AN56)</f>
        <v>0</v>
      </c>
      <c r="AO57" s="59">
        <f t="shared" ref="AO57" si="111">SUM(AO53:AO56)</f>
        <v>0</v>
      </c>
      <c r="AP57" s="59">
        <f t="shared" ref="AP57" si="112">SUM(AP53:AP56)</f>
        <v>0</v>
      </c>
      <c r="AQ57" s="59">
        <f t="shared" ref="AQ57" si="113">SUM(AQ53:AQ56)</f>
        <v>0</v>
      </c>
      <c r="AR57" s="59">
        <f t="shared" ref="AR57" si="114">SUM(AR53:AR56)</f>
        <v>0</v>
      </c>
      <c r="AS57" s="59">
        <f t="shared" ref="AS57" si="115">SUM(AS53:AS56)</f>
        <v>0</v>
      </c>
      <c r="AT57" s="59">
        <f t="shared" ref="AT57" si="116">SUM(AT53:AT56)</f>
        <v>0</v>
      </c>
      <c r="AU57" s="59">
        <f t="shared" ref="AU57" si="117">SUM(AU53:AU56)</f>
        <v>0</v>
      </c>
      <c r="AV57" s="59">
        <f t="shared" ref="AV57" si="118">SUM(AV53:AV56)</f>
        <v>0</v>
      </c>
      <c r="AW57" s="59">
        <f t="shared" ref="AW57" si="119">SUM(AW53:AW56)</f>
        <v>0</v>
      </c>
      <c r="AX57" s="59">
        <f t="shared" ref="AX57" si="120">SUM(AX53:AX56)</f>
        <v>0</v>
      </c>
      <c r="AY57" s="59">
        <f t="shared" ref="AY57" si="121">SUM(AY53:AY56)</f>
        <v>0</v>
      </c>
      <c r="AZ57" s="59">
        <f t="shared" ref="AZ57" si="122">SUM(AZ53:AZ56)</f>
        <v>0</v>
      </c>
      <c r="BA57" s="59">
        <f t="shared" ref="BA57" si="123">SUM(BA53:BA56)</f>
        <v>0</v>
      </c>
      <c r="BB57" s="59">
        <f t="shared" ref="BB57" si="124">SUM(BB53:BB56)</f>
        <v>0</v>
      </c>
      <c r="BC57" s="59">
        <f t="shared" ref="BC57" si="125">SUM(BC53:BC56)</f>
        <v>0</v>
      </c>
      <c r="BD57" s="59">
        <f t="shared" ref="BD57" si="126">SUM(BD53:BD56)</f>
        <v>0</v>
      </c>
      <c r="BE57" s="59">
        <f t="shared" ref="BE57" si="127">SUM(BE53:BE56)</f>
        <v>0</v>
      </c>
      <c r="BF57" s="59">
        <f t="shared" ref="BF57" si="128">SUM(BF53:BF56)</f>
        <v>0</v>
      </c>
      <c r="BG57" s="59">
        <f t="shared" ref="BG57" si="129">SUM(BG53:BG56)</f>
        <v>0</v>
      </c>
      <c r="BH57" s="59">
        <f t="shared" ref="BH57" si="130">SUM(BH53:BH56)</f>
        <v>0</v>
      </c>
      <c r="BI57" s="59">
        <f t="shared" ref="BI57" si="131">SUM(BI53:BI56)</f>
        <v>0</v>
      </c>
      <c r="BJ57" s="59">
        <f t="shared" ref="BJ57" si="132">SUM(BJ53:BJ56)</f>
        <v>0</v>
      </c>
      <c r="BK57" s="59">
        <f t="shared" ref="BK57" si="133">SUM(BK53:BK56)</f>
        <v>0</v>
      </c>
      <c r="BL57" s="59">
        <f t="shared" ref="BL57" si="134">SUM(BL53:BL56)</f>
        <v>0</v>
      </c>
      <c r="BM57" s="59">
        <f t="shared" ref="BM57" si="135">SUM(BM53:BM56)</f>
        <v>0</v>
      </c>
      <c r="BN57" s="59">
        <f t="shared" ref="BN57" si="136">SUM(BN53:BN56)</f>
        <v>0</v>
      </c>
      <c r="BO57" s="59">
        <f t="shared" ref="BO57" si="137">SUM(BO53:BO56)</f>
        <v>0</v>
      </c>
      <c r="BP57" s="59">
        <f t="shared" ref="BP57" si="138">SUM(BP53:BP56)</f>
        <v>0</v>
      </c>
      <c r="BQ57" s="59">
        <f t="shared" ref="BQ57" si="139">SUM(BQ53:BQ56)</f>
        <v>0</v>
      </c>
      <c r="BR57" s="59">
        <f t="shared" ref="BR57" si="140">SUM(BR53:BR56)</f>
        <v>0</v>
      </c>
    </row>
    <row r="58" spans="2:70" s="157" customFormat="1" x14ac:dyDescent="0.25">
      <c r="C58" s="147"/>
      <c r="D58" s="158"/>
      <c r="J58" s="56"/>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148"/>
      <c r="BC58" s="148"/>
      <c r="BD58" s="148"/>
      <c r="BE58" s="148"/>
      <c r="BF58" s="148"/>
      <c r="BG58" s="148"/>
      <c r="BH58" s="148"/>
      <c r="BI58" s="148"/>
      <c r="BJ58" s="148"/>
      <c r="BK58" s="148"/>
      <c r="BL58" s="148"/>
      <c r="BM58" s="148"/>
      <c r="BN58" s="148"/>
      <c r="BO58" s="148"/>
      <c r="BP58" s="148"/>
      <c r="BQ58" s="148"/>
      <c r="BR58" s="148"/>
    </row>
    <row r="59" spans="2:70" s="149" customFormat="1" x14ac:dyDescent="0.25">
      <c r="B59" s="149" t="str">
        <f>Header2</f>
        <v>2.4</v>
      </c>
      <c r="C59" s="149" t="str">
        <f>C16</f>
        <v>Vehicles</v>
      </c>
      <c r="J59" s="57"/>
    </row>
    <row r="60" spans="2:70" s="149" customFormat="1" x14ac:dyDescent="0.25">
      <c r="C60" s="150" t="s">
        <v>227</v>
      </c>
      <c r="D60" s="150">
        <f>KeyInputs!G64</f>
        <v>3</v>
      </c>
      <c r="J60" s="57"/>
    </row>
    <row r="61" spans="2:70" s="149" customFormat="1" x14ac:dyDescent="0.25">
      <c r="C61" s="202" t="s">
        <v>231</v>
      </c>
      <c r="D61" s="203">
        <f>1/$D$60</f>
        <v>0.33333333333333331</v>
      </c>
      <c r="J61" s="57"/>
    </row>
    <row r="63" spans="2:70" x14ac:dyDescent="0.25">
      <c r="C63" s="147" t="s">
        <v>228</v>
      </c>
      <c r="D63" s="161" t="str">
        <f>unit</f>
        <v>£</v>
      </c>
      <c r="E63" s="64">
        <f>INDEX($K63:$BR63,0,MATCH(E$7,$K$7:$BR$7,0))</f>
        <v>0</v>
      </c>
      <c r="F63" s="64">
        <f t="shared" ref="F63:I63" si="141">INDEX($K63:$BR63,0,MATCH(F$7,$K$7:$BR$7,0))</f>
        <v>0</v>
      </c>
      <c r="G63" s="64">
        <f t="shared" si="141"/>
        <v>0</v>
      </c>
      <c r="H63" s="64">
        <f t="shared" si="141"/>
        <v>0</v>
      </c>
      <c r="I63" s="64">
        <f t="shared" si="141"/>
        <v>0</v>
      </c>
      <c r="K63" s="64">
        <f>J67</f>
        <v>0</v>
      </c>
      <c r="L63" s="155">
        <f>K67</f>
        <v>0</v>
      </c>
      <c r="M63" s="155">
        <f t="shared" ref="M63:BR63" si="142">L67</f>
        <v>0</v>
      </c>
      <c r="N63" s="155">
        <f t="shared" si="142"/>
        <v>0</v>
      </c>
      <c r="O63" s="155">
        <f t="shared" si="142"/>
        <v>0</v>
      </c>
      <c r="P63" s="155">
        <f t="shared" si="142"/>
        <v>0</v>
      </c>
      <c r="Q63" s="155">
        <f t="shared" si="142"/>
        <v>0</v>
      </c>
      <c r="R63" s="155">
        <f t="shared" si="142"/>
        <v>0</v>
      </c>
      <c r="S63" s="155">
        <f t="shared" si="142"/>
        <v>0</v>
      </c>
      <c r="T63" s="155">
        <f t="shared" si="142"/>
        <v>0</v>
      </c>
      <c r="U63" s="155">
        <f t="shared" si="142"/>
        <v>0</v>
      </c>
      <c r="V63" s="155">
        <f t="shared" si="142"/>
        <v>0</v>
      </c>
      <c r="W63" s="155">
        <f t="shared" si="142"/>
        <v>0</v>
      </c>
      <c r="X63" s="155">
        <f t="shared" si="142"/>
        <v>0</v>
      </c>
      <c r="Y63" s="155">
        <f t="shared" si="142"/>
        <v>0</v>
      </c>
      <c r="Z63" s="155">
        <f t="shared" si="142"/>
        <v>0</v>
      </c>
      <c r="AA63" s="155">
        <f t="shared" si="142"/>
        <v>0</v>
      </c>
      <c r="AB63" s="155">
        <f t="shared" si="142"/>
        <v>0</v>
      </c>
      <c r="AC63" s="155">
        <f t="shared" si="142"/>
        <v>0</v>
      </c>
      <c r="AD63" s="155">
        <f t="shared" si="142"/>
        <v>0</v>
      </c>
      <c r="AE63" s="155">
        <f t="shared" si="142"/>
        <v>0</v>
      </c>
      <c r="AF63" s="155">
        <f t="shared" si="142"/>
        <v>0</v>
      </c>
      <c r="AG63" s="155">
        <f t="shared" si="142"/>
        <v>0</v>
      </c>
      <c r="AH63" s="155">
        <f t="shared" si="142"/>
        <v>0</v>
      </c>
      <c r="AI63" s="155">
        <f t="shared" si="142"/>
        <v>0</v>
      </c>
      <c r="AJ63" s="155">
        <f t="shared" si="142"/>
        <v>0</v>
      </c>
      <c r="AK63" s="155">
        <f t="shared" si="142"/>
        <v>0</v>
      </c>
      <c r="AL63" s="155">
        <f t="shared" si="142"/>
        <v>0</v>
      </c>
      <c r="AM63" s="155">
        <f t="shared" si="142"/>
        <v>0</v>
      </c>
      <c r="AN63" s="155">
        <f t="shared" si="142"/>
        <v>0</v>
      </c>
      <c r="AO63" s="155">
        <f t="shared" si="142"/>
        <v>0</v>
      </c>
      <c r="AP63" s="155">
        <f t="shared" si="142"/>
        <v>0</v>
      </c>
      <c r="AQ63" s="155">
        <f t="shared" si="142"/>
        <v>0</v>
      </c>
      <c r="AR63" s="155">
        <f t="shared" si="142"/>
        <v>0</v>
      </c>
      <c r="AS63" s="155">
        <f t="shared" si="142"/>
        <v>0</v>
      </c>
      <c r="AT63" s="155">
        <f t="shared" si="142"/>
        <v>0</v>
      </c>
      <c r="AU63" s="155">
        <f t="shared" si="142"/>
        <v>0</v>
      </c>
      <c r="AV63" s="155">
        <f t="shared" si="142"/>
        <v>0</v>
      </c>
      <c r="AW63" s="155">
        <f t="shared" si="142"/>
        <v>0</v>
      </c>
      <c r="AX63" s="155">
        <f t="shared" si="142"/>
        <v>0</v>
      </c>
      <c r="AY63" s="155">
        <f t="shared" si="142"/>
        <v>0</v>
      </c>
      <c r="AZ63" s="155">
        <f t="shared" si="142"/>
        <v>0</v>
      </c>
      <c r="BA63" s="155">
        <f t="shared" si="142"/>
        <v>0</v>
      </c>
      <c r="BB63" s="155">
        <f t="shared" si="142"/>
        <v>0</v>
      </c>
      <c r="BC63" s="155">
        <f t="shared" si="142"/>
        <v>0</v>
      </c>
      <c r="BD63" s="155">
        <f t="shared" si="142"/>
        <v>0</v>
      </c>
      <c r="BE63" s="155">
        <f t="shared" si="142"/>
        <v>0</v>
      </c>
      <c r="BF63" s="155">
        <f t="shared" si="142"/>
        <v>0</v>
      </c>
      <c r="BG63" s="155">
        <f t="shared" si="142"/>
        <v>0</v>
      </c>
      <c r="BH63" s="155">
        <f t="shared" si="142"/>
        <v>0</v>
      </c>
      <c r="BI63" s="155">
        <f t="shared" si="142"/>
        <v>0</v>
      </c>
      <c r="BJ63" s="155">
        <f t="shared" si="142"/>
        <v>0</v>
      </c>
      <c r="BK63" s="155">
        <f t="shared" si="142"/>
        <v>0</v>
      </c>
      <c r="BL63" s="155">
        <f t="shared" si="142"/>
        <v>0</v>
      </c>
      <c r="BM63" s="155">
        <f t="shared" si="142"/>
        <v>0</v>
      </c>
      <c r="BN63" s="155">
        <f t="shared" si="142"/>
        <v>0</v>
      </c>
      <c r="BO63" s="155">
        <f t="shared" si="142"/>
        <v>0</v>
      </c>
      <c r="BP63" s="155">
        <f t="shared" si="142"/>
        <v>0</v>
      </c>
      <c r="BQ63" s="155">
        <f t="shared" si="142"/>
        <v>0</v>
      </c>
      <c r="BR63" s="155">
        <f t="shared" si="142"/>
        <v>0</v>
      </c>
    </row>
    <row r="64" spans="2:70" x14ac:dyDescent="0.25">
      <c r="C64" s="147" t="s">
        <v>225</v>
      </c>
      <c r="D64" s="161" t="str">
        <f>unit</f>
        <v>£</v>
      </c>
      <c r="E64" s="64">
        <f t="shared" ref="E64:I66" si="143">SUMIF($K$5:$BR$5,E$5,$K64:$BR64)</f>
        <v>0</v>
      </c>
      <c r="F64" s="64">
        <f t="shared" si="143"/>
        <v>0</v>
      </c>
      <c r="G64" s="64">
        <f t="shared" si="143"/>
        <v>0</v>
      </c>
      <c r="H64" s="64">
        <f t="shared" si="143"/>
        <v>0</v>
      </c>
      <c r="I64" s="64">
        <f t="shared" si="143"/>
        <v>0</v>
      </c>
      <c r="K64" s="64">
        <f>K16</f>
        <v>0</v>
      </c>
      <c r="L64" s="64">
        <f t="shared" ref="L64:BR64" si="144">L16</f>
        <v>0</v>
      </c>
      <c r="M64" s="64">
        <f t="shared" si="144"/>
        <v>0</v>
      </c>
      <c r="N64" s="64">
        <f t="shared" si="144"/>
        <v>0</v>
      </c>
      <c r="O64" s="64">
        <f t="shared" si="144"/>
        <v>0</v>
      </c>
      <c r="P64" s="64">
        <f t="shared" si="144"/>
        <v>0</v>
      </c>
      <c r="Q64" s="64">
        <f t="shared" si="144"/>
        <v>0</v>
      </c>
      <c r="R64" s="64">
        <f t="shared" si="144"/>
        <v>0</v>
      </c>
      <c r="S64" s="64">
        <f t="shared" si="144"/>
        <v>0</v>
      </c>
      <c r="T64" s="64">
        <f t="shared" si="144"/>
        <v>0</v>
      </c>
      <c r="U64" s="64">
        <f t="shared" si="144"/>
        <v>0</v>
      </c>
      <c r="V64" s="64">
        <f t="shared" si="144"/>
        <v>0</v>
      </c>
      <c r="W64" s="64">
        <f t="shared" si="144"/>
        <v>0</v>
      </c>
      <c r="X64" s="64">
        <f t="shared" si="144"/>
        <v>0</v>
      </c>
      <c r="Y64" s="64">
        <f t="shared" si="144"/>
        <v>0</v>
      </c>
      <c r="Z64" s="64">
        <f t="shared" si="144"/>
        <v>0</v>
      </c>
      <c r="AA64" s="64">
        <f t="shared" si="144"/>
        <v>0</v>
      </c>
      <c r="AB64" s="64">
        <f t="shared" si="144"/>
        <v>0</v>
      </c>
      <c r="AC64" s="64">
        <f t="shared" si="144"/>
        <v>0</v>
      </c>
      <c r="AD64" s="64">
        <f t="shared" si="144"/>
        <v>0</v>
      </c>
      <c r="AE64" s="64">
        <f t="shared" si="144"/>
        <v>0</v>
      </c>
      <c r="AF64" s="64">
        <f t="shared" si="144"/>
        <v>0</v>
      </c>
      <c r="AG64" s="64">
        <f t="shared" si="144"/>
        <v>0</v>
      </c>
      <c r="AH64" s="64">
        <f t="shared" si="144"/>
        <v>0</v>
      </c>
      <c r="AI64" s="64">
        <f t="shared" si="144"/>
        <v>0</v>
      </c>
      <c r="AJ64" s="64">
        <f t="shared" si="144"/>
        <v>0</v>
      </c>
      <c r="AK64" s="64">
        <f t="shared" si="144"/>
        <v>0</v>
      </c>
      <c r="AL64" s="64">
        <f t="shared" si="144"/>
        <v>0</v>
      </c>
      <c r="AM64" s="64">
        <f t="shared" si="144"/>
        <v>0</v>
      </c>
      <c r="AN64" s="64">
        <f t="shared" si="144"/>
        <v>0</v>
      </c>
      <c r="AO64" s="64">
        <f t="shared" si="144"/>
        <v>0</v>
      </c>
      <c r="AP64" s="64">
        <f t="shared" si="144"/>
        <v>0</v>
      </c>
      <c r="AQ64" s="64">
        <f t="shared" si="144"/>
        <v>0</v>
      </c>
      <c r="AR64" s="64">
        <f t="shared" si="144"/>
        <v>0</v>
      </c>
      <c r="AS64" s="64">
        <f t="shared" si="144"/>
        <v>0</v>
      </c>
      <c r="AT64" s="64">
        <f t="shared" si="144"/>
        <v>0</v>
      </c>
      <c r="AU64" s="64">
        <f t="shared" si="144"/>
        <v>0</v>
      </c>
      <c r="AV64" s="64">
        <f t="shared" si="144"/>
        <v>0</v>
      </c>
      <c r="AW64" s="64">
        <f t="shared" si="144"/>
        <v>0</v>
      </c>
      <c r="AX64" s="64">
        <f t="shared" si="144"/>
        <v>0</v>
      </c>
      <c r="AY64" s="64">
        <f t="shared" si="144"/>
        <v>0</v>
      </c>
      <c r="AZ64" s="64">
        <f t="shared" si="144"/>
        <v>0</v>
      </c>
      <c r="BA64" s="64">
        <f t="shared" si="144"/>
        <v>0</v>
      </c>
      <c r="BB64" s="64">
        <f t="shared" si="144"/>
        <v>0</v>
      </c>
      <c r="BC64" s="64">
        <f t="shared" si="144"/>
        <v>0</v>
      </c>
      <c r="BD64" s="64">
        <f t="shared" si="144"/>
        <v>0</v>
      </c>
      <c r="BE64" s="64">
        <f t="shared" si="144"/>
        <v>0</v>
      </c>
      <c r="BF64" s="64">
        <f t="shared" si="144"/>
        <v>0</v>
      </c>
      <c r="BG64" s="64">
        <f t="shared" si="144"/>
        <v>0</v>
      </c>
      <c r="BH64" s="64">
        <f t="shared" si="144"/>
        <v>0</v>
      </c>
      <c r="BI64" s="64">
        <f t="shared" si="144"/>
        <v>0</v>
      </c>
      <c r="BJ64" s="64">
        <f t="shared" si="144"/>
        <v>0</v>
      </c>
      <c r="BK64" s="64">
        <f t="shared" si="144"/>
        <v>0</v>
      </c>
      <c r="BL64" s="64">
        <f t="shared" si="144"/>
        <v>0</v>
      </c>
      <c r="BM64" s="64">
        <f t="shared" si="144"/>
        <v>0</v>
      </c>
      <c r="BN64" s="64">
        <f t="shared" si="144"/>
        <v>0</v>
      </c>
      <c r="BO64" s="64">
        <f t="shared" si="144"/>
        <v>0</v>
      </c>
      <c r="BP64" s="64">
        <f t="shared" si="144"/>
        <v>0</v>
      </c>
      <c r="BQ64" s="64">
        <f t="shared" si="144"/>
        <v>0</v>
      </c>
      <c r="BR64" s="64">
        <f t="shared" si="144"/>
        <v>0</v>
      </c>
    </row>
    <row r="65" spans="1:70" x14ac:dyDescent="0.25">
      <c r="C65" s="147" t="s">
        <v>24</v>
      </c>
      <c r="D65" s="161" t="str">
        <f>unit</f>
        <v>£</v>
      </c>
      <c r="E65" s="64">
        <f t="shared" si="143"/>
        <v>0</v>
      </c>
      <c r="F65" s="64">
        <f t="shared" si="143"/>
        <v>0</v>
      </c>
      <c r="G65" s="64">
        <f t="shared" si="143"/>
        <v>0</v>
      </c>
      <c r="H65" s="64">
        <f t="shared" si="143"/>
        <v>0</v>
      </c>
      <c r="I65" s="64">
        <f t="shared" si="143"/>
        <v>0</v>
      </c>
      <c r="K65" s="64">
        <f>-K63*$D$61/12</f>
        <v>0</v>
      </c>
      <c r="L65" s="64">
        <f t="shared" ref="L65:BR65" si="145">-L63*$D$61/12</f>
        <v>0</v>
      </c>
      <c r="M65" s="64">
        <f t="shared" si="145"/>
        <v>0</v>
      </c>
      <c r="N65" s="64">
        <f t="shared" si="145"/>
        <v>0</v>
      </c>
      <c r="O65" s="64">
        <f t="shared" si="145"/>
        <v>0</v>
      </c>
      <c r="P65" s="64">
        <f t="shared" si="145"/>
        <v>0</v>
      </c>
      <c r="Q65" s="64">
        <f t="shared" si="145"/>
        <v>0</v>
      </c>
      <c r="R65" s="64">
        <f t="shared" si="145"/>
        <v>0</v>
      </c>
      <c r="S65" s="64">
        <f t="shared" si="145"/>
        <v>0</v>
      </c>
      <c r="T65" s="64">
        <f t="shared" si="145"/>
        <v>0</v>
      </c>
      <c r="U65" s="64">
        <f t="shared" si="145"/>
        <v>0</v>
      </c>
      <c r="V65" s="64">
        <f t="shared" si="145"/>
        <v>0</v>
      </c>
      <c r="W65" s="64">
        <f t="shared" si="145"/>
        <v>0</v>
      </c>
      <c r="X65" s="64">
        <f t="shared" si="145"/>
        <v>0</v>
      </c>
      <c r="Y65" s="64">
        <f t="shared" si="145"/>
        <v>0</v>
      </c>
      <c r="Z65" s="64">
        <f t="shared" si="145"/>
        <v>0</v>
      </c>
      <c r="AA65" s="64">
        <f t="shared" si="145"/>
        <v>0</v>
      </c>
      <c r="AB65" s="64">
        <f t="shared" si="145"/>
        <v>0</v>
      </c>
      <c r="AC65" s="64">
        <f t="shared" si="145"/>
        <v>0</v>
      </c>
      <c r="AD65" s="64">
        <f t="shared" si="145"/>
        <v>0</v>
      </c>
      <c r="AE65" s="64">
        <f t="shared" si="145"/>
        <v>0</v>
      </c>
      <c r="AF65" s="64">
        <f t="shared" si="145"/>
        <v>0</v>
      </c>
      <c r="AG65" s="64">
        <f t="shared" si="145"/>
        <v>0</v>
      </c>
      <c r="AH65" s="64">
        <f t="shared" si="145"/>
        <v>0</v>
      </c>
      <c r="AI65" s="64">
        <f t="shared" si="145"/>
        <v>0</v>
      </c>
      <c r="AJ65" s="64">
        <f t="shared" si="145"/>
        <v>0</v>
      </c>
      <c r="AK65" s="64">
        <f t="shared" si="145"/>
        <v>0</v>
      </c>
      <c r="AL65" s="64">
        <f t="shared" si="145"/>
        <v>0</v>
      </c>
      <c r="AM65" s="64">
        <f t="shared" si="145"/>
        <v>0</v>
      </c>
      <c r="AN65" s="64">
        <f t="shared" si="145"/>
        <v>0</v>
      </c>
      <c r="AO65" s="64">
        <f t="shared" si="145"/>
        <v>0</v>
      </c>
      <c r="AP65" s="64">
        <f t="shared" si="145"/>
        <v>0</v>
      </c>
      <c r="AQ65" s="64">
        <f t="shared" si="145"/>
        <v>0</v>
      </c>
      <c r="AR65" s="64">
        <f t="shared" si="145"/>
        <v>0</v>
      </c>
      <c r="AS65" s="64">
        <f t="shared" si="145"/>
        <v>0</v>
      </c>
      <c r="AT65" s="64">
        <f t="shared" si="145"/>
        <v>0</v>
      </c>
      <c r="AU65" s="64">
        <f t="shared" si="145"/>
        <v>0</v>
      </c>
      <c r="AV65" s="64">
        <f t="shared" si="145"/>
        <v>0</v>
      </c>
      <c r="AW65" s="64">
        <f t="shared" si="145"/>
        <v>0</v>
      </c>
      <c r="AX65" s="64">
        <f t="shared" si="145"/>
        <v>0</v>
      </c>
      <c r="AY65" s="64">
        <f t="shared" si="145"/>
        <v>0</v>
      </c>
      <c r="AZ65" s="64">
        <f t="shared" si="145"/>
        <v>0</v>
      </c>
      <c r="BA65" s="64">
        <f t="shared" si="145"/>
        <v>0</v>
      </c>
      <c r="BB65" s="64">
        <f t="shared" si="145"/>
        <v>0</v>
      </c>
      <c r="BC65" s="64">
        <f t="shared" si="145"/>
        <v>0</v>
      </c>
      <c r="BD65" s="64">
        <f t="shared" si="145"/>
        <v>0</v>
      </c>
      <c r="BE65" s="64">
        <f t="shared" si="145"/>
        <v>0</v>
      </c>
      <c r="BF65" s="64">
        <f t="shared" si="145"/>
        <v>0</v>
      </c>
      <c r="BG65" s="64">
        <f t="shared" si="145"/>
        <v>0</v>
      </c>
      <c r="BH65" s="64">
        <f t="shared" si="145"/>
        <v>0</v>
      </c>
      <c r="BI65" s="64">
        <f t="shared" si="145"/>
        <v>0</v>
      </c>
      <c r="BJ65" s="64">
        <f t="shared" si="145"/>
        <v>0</v>
      </c>
      <c r="BK65" s="64">
        <f t="shared" si="145"/>
        <v>0</v>
      </c>
      <c r="BL65" s="64">
        <f t="shared" si="145"/>
        <v>0</v>
      </c>
      <c r="BM65" s="64">
        <f t="shared" si="145"/>
        <v>0</v>
      </c>
      <c r="BN65" s="64">
        <f t="shared" si="145"/>
        <v>0</v>
      </c>
      <c r="BO65" s="64">
        <f t="shared" si="145"/>
        <v>0</v>
      </c>
      <c r="BP65" s="64">
        <f t="shared" si="145"/>
        <v>0</v>
      </c>
      <c r="BQ65" s="64">
        <f t="shared" si="145"/>
        <v>0</v>
      </c>
      <c r="BR65" s="64">
        <f t="shared" si="145"/>
        <v>0</v>
      </c>
    </row>
    <row r="66" spans="1:70" x14ac:dyDescent="0.25">
      <c r="C66" s="147" t="s">
        <v>229</v>
      </c>
      <c r="D66" s="161" t="str">
        <f>unit</f>
        <v>£</v>
      </c>
      <c r="E66" s="64">
        <f t="shared" si="143"/>
        <v>0</v>
      </c>
      <c r="F66" s="64">
        <f t="shared" si="143"/>
        <v>0</v>
      </c>
      <c r="G66" s="64">
        <f t="shared" si="143"/>
        <v>0</v>
      </c>
      <c r="H66" s="64">
        <f t="shared" si="143"/>
        <v>0</v>
      </c>
      <c r="I66" s="64">
        <f t="shared" si="143"/>
        <v>0</v>
      </c>
      <c r="K66" s="64">
        <f>K24</f>
        <v>0</v>
      </c>
      <c r="L66" s="64">
        <f t="shared" ref="L66:BR66" si="146">L24</f>
        <v>0</v>
      </c>
      <c r="M66" s="64">
        <f t="shared" si="146"/>
        <v>0</v>
      </c>
      <c r="N66" s="64">
        <f t="shared" si="146"/>
        <v>0</v>
      </c>
      <c r="O66" s="64">
        <f t="shared" si="146"/>
        <v>0</v>
      </c>
      <c r="P66" s="64">
        <f t="shared" si="146"/>
        <v>0</v>
      </c>
      <c r="Q66" s="64">
        <f t="shared" si="146"/>
        <v>0</v>
      </c>
      <c r="R66" s="64">
        <f t="shared" si="146"/>
        <v>0</v>
      </c>
      <c r="S66" s="64">
        <f t="shared" si="146"/>
        <v>0</v>
      </c>
      <c r="T66" s="64">
        <f t="shared" si="146"/>
        <v>0</v>
      </c>
      <c r="U66" s="64">
        <f t="shared" si="146"/>
        <v>0</v>
      </c>
      <c r="V66" s="64">
        <f t="shared" si="146"/>
        <v>0</v>
      </c>
      <c r="W66" s="64">
        <f t="shared" si="146"/>
        <v>0</v>
      </c>
      <c r="X66" s="64">
        <f t="shared" si="146"/>
        <v>0</v>
      </c>
      <c r="Y66" s="64">
        <f t="shared" si="146"/>
        <v>0</v>
      </c>
      <c r="Z66" s="64">
        <f t="shared" si="146"/>
        <v>0</v>
      </c>
      <c r="AA66" s="64">
        <f t="shared" si="146"/>
        <v>0</v>
      </c>
      <c r="AB66" s="64">
        <f t="shared" si="146"/>
        <v>0</v>
      </c>
      <c r="AC66" s="64">
        <f t="shared" si="146"/>
        <v>0</v>
      </c>
      <c r="AD66" s="64">
        <f t="shared" si="146"/>
        <v>0</v>
      </c>
      <c r="AE66" s="64">
        <f t="shared" si="146"/>
        <v>0</v>
      </c>
      <c r="AF66" s="64">
        <f t="shared" si="146"/>
        <v>0</v>
      </c>
      <c r="AG66" s="64">
        <f t="shared" si="146"/>
        <v>0</v>
      </c>
      <c r="AH66" s="64">
        <f t="shared" si="146"/>
        <v>0</v>
      </c>
      <c r="AI66" s="64">
        <f t="shared" si="146"/>
        <v>0</v>
      </c>
      <c r="AJ66" s="64">
        <f t="shared" si="146"/>
        <v>0</v>
      </c>
      <c r="AK66" s="64">
        <f t="shared" si="146"/>
        <v>0</v>
      </c>
      <c r="AL66" s="64">
        <f t="shared" si="146"/>
        <v>0</v>
      </c>
      <c r="AM66" s="64">
        <f t="shared" si="146"/>
        <v>0</v>
      </c>
      <c r="AN66" s="64">
        <f t="shared" si="146"/>
        <v>0</v>
      </c>
      <c r="AO66" s="64">
        <f t="shared" si="146"/>
        <v>0</v>
      </c>
      <c r="AP66" s="64">
        <f t="shared" si="146"/>
        <v>0</v>
      </c>
      <c r="AQ66" s="64">
        <f t="shared" si="146"/>
        <v>0</v>
      </c>
      <c r="AR66" s="64">
        <f t="shared" si="146"/>
        <v>0</v>
      </c>
      <c r="AS66" s="64">
        <f t="shared" si="146"/>
        <v>0</v>
      </c>
      <c r="AT66" s="64">
        <f t="shared" si="146"/>
        <v>0</v>
      </c>
      <c r="AU66" s="64">
        <f t="shared" si="146"/>
        <v>0</v>
      </c>
      <c r="AV66" s="64">
        <f t="shared" si="146"/>
        <v>0</v>
      </c>
      <c r="AW66" s="64">
        <f t="shared" si="146"/>
        <v>0</v>
      </c>
      <c r="AX66" s="64">
        <f t="shared" si="146"/>
        <v>0</v>
      </c>
      <c r="AY66" s="64">
        <f t="shared" si="146"/>
        <v>0</v>
      </c>
      <c r="AZ66" s="64">
        <f t="shared" si="146"/>
        <v>0</v>
      </c>
      <c r="BA66" s="64">
        <f t="shared" si="146"/>
        <v>0</v>
      </c>
      <c r="BB66" s="64">
        <f t="shared" si="146"/>
        <v>0</v>
      </c>
      <c r="BC66" s="64">
        <f t="shared" si="146"/>
        <v>0</v>
      </c>
      <c r="BD66" s="64">
        <f t="shared" si="146"/>
        <v>0</v>
      </c>
      <c r="BE66" s="64">
        <f t="shared" si="146"/>
        <v>0</v>
      </c>
      <c r="BF66" s="64">
        <f t="shared" si="146"/>
        <v>0</v>
      </c>
      <c r="BG66" s="64">
        <f t="shared" si="146"/>
        <v>0</v>
      </c>
      <c r="BH66" s="64">
        <f t="shared" si="146"/>
        <v>0</v>
      </c>
      <c r="BI66" s="64">
        <f t="shared" si="146"/>
        <v>0</v>
      </c>
      <c r="BJ66" s="64">
        <f t="shared" si="146"/>
        <v>0</v>
      </c>
      <c r="BK66" s="64">
        <f t="shared" si="146"/>
        <v>0</v>
      </c>
      <c r="BL66" s="64">
        <f t="shared" si="146"/>
        <v>0</v>
      </c>
      <c r="BM66" s="64">
        <f t="shared" si="146"/>
        <v>0</v>
      </c>
      <c r="BN66" s="64">
        <f t="shared" si="146"/>
        <v>0</v>
      </c>
      <c r="BO66" s="64">
        <f t="shared" si="146"/>
        <v>0</v>
      </c>
      <c r="BP66" s="64">
        <f t="shared" si="146"/>
        <v>0</v>
      </c>
      <c r="BQ66" s="64">
        <f t="shared" si="146"/>
        <v>0</v>
      </c>
      <c r="BR66" s="64">
        <f t="shared" si="146"/>
        <v>0</v>
      </c>
    </row>
    <row r="67" spans="1:70" x14ac:dyDescent="0.25">
      <c r="C67" s="147" t="s">
        <v>230</v>
      </c>
      <c r="D67" s="260">
        <f>KeyInputs!G115</f>
        <v>0</v>
      </c>
      <c r="E67" s="59">
        <f>INDEX($K67:$BR67,0,MATCH(E$8,$K$8:$BR$8,0))</f>
        <v>0</v>
      </c>
      <c r="F67" s="59">
        <f t="shared" ref="F67:I67" si="147">INDEX($K67:$BR67,0,MATCH(F$8,$K$8:$BR$8,0))</f>
        <v>0</v>
      </c>
      <c r="G67" s="59">
        <f t="shared" si="147"/>
        <v>0</v>
      </c>
      <c r="H67" s="59">
        <f t="shared" si="147"/>
        <v>0</v>
      </c>
      <c r="I67" s="59">
        <f t="shared" si="147"/>
        <v>0</v>
      </c>
      <c r="J67" s="260">
        <f>D67</f>
        <v>0</v>
      </c>
      <c r="K67" s="59">
        <f>SUM(K63:K66)</f>
        <v>0</v>
      </c>
      <c r="L67" s="59">
        <f>SUM(L63:L66)</f>
        <v>0</v>
      </c>
      <c r="M67" s="59">
        <f t="shared" ref="M67" si="148">SUM(M63:M66)</f>
        <v>0</v>
      </c>
      <c r="N67" s="59">
        <f t="shared" ref="N67" si="149">SUM(N63:N66)</f>
        <v>0</v>
      </c>
      <c r="O67" s="59">
        <f t="shared" ref="O67" si="150">SUM(O63:O66)</f>
        <v>0</v>
      </c>
      <c r="P67" s="59">
        <f t="shared" ref="P67" si="151">SUM(P63:P66)</f>
        <v>0</v>
      </c>
      <c r="Q67" s="59">
        <f t="shared" ref="Q67" si="152">SUM(Q63:Q66)</f>
        <v>0</v>
      </c>
      <c r="R67" s="59">
        <f t="shared" ref="R67" si="153">SUM(R63:R66)</f>
        <v>0</v>
      </c>
      <c r="S67" s="59">
        <f t="shared" ref="S67" si="154">SUM(S63:S66)</f>
        <v>0</v>
      </c>
      <c r="T67" s="59">
        <f t="shared" ref="T67" si="155">SUM(T63:T66)</f>
        <v>0</v>
      </c>
      <c r="U67" s="59">
        <f t="shared" ref="U67" si="156">SUM(U63:U66)</f>
        <v>0</v>
      </c>
      <c r="V67" s="59">
        <f t="shared" ref="V67" si="157">SUM(V63:V66)</f>
        <v>0</v>
      </c>
      <c r="W67" s="59">
        <f t="shared" ref="W67" si="158">SUM(W63:W66)</f>
        <v>0</v>
      </c>
      <c r="X67" s="59">
        <f t="shared" ref="X67" si="159">SUM(X63:X66)</f>
        <v>0</v>
      </c>
      <c r="Y67" s="59">
        <f t="shared" ref="Y67" si="160">SUM(Y63:Y66)</f>
        <v>0</v>
      </c>
      <c r="Z67" s="59">
        <f t="shared" ref="Z67" si="161">SUM(Z63:Z66)</f>
        <v>0</v>
      </c>
      <c r="AA67" s="59">
        <f t="shared" ref="AA67" si="162">SUM(AA63:AA66)</f>
        <v>0</v>
      </c>
      <c r="AB67" s="59">
        <f t="shared" ref="AB67" si="163">SUM(AB63:AB66)</f>
        <v>0</v>
      </c>
      <c r="AC67" s="59">
        <f t="shared" ref="AC67" si="164">SUM(AC63:AC66)</f>
        <v>0</v>
      </c>
      <c r="AD67" s="59">
        <f t="shared" ref="AD67" si="165">SUM(AD63:AD66)</f>
        <v>0</v>
      </c>
      <c r="AE67" s="59">
        <f t="shared" ref="AE67" si="166">SUM(AE63:AE66)</f>
        <v>0</v>
      </c>
      <c r="AF67" s="59">
        <f t="shared" ref="AF67" si="167">SUM(AF63:AF66)</f>
        <v>0</v>
      </c>
      <c r="AG67" s="59">
        <f t="shared" ref="AG67" si="168">SUM(AG63:AG66)</f>
        <v>0</v>
      </c>
      <c r="AH67" s="59">
        <f t="shared" ref="AH67" si="169">SUM(AH63:AH66)</f>
        <v>0</v>
      </c>
      <c r="AI67" s="59">
        <f t="shared" ref="AI67" si="170">SUM(AI63:AI66)</f>
        <v>0</v>
      </c>
      <c r="AJ67" s="59">
        <f t="shared" ref="AJ67" si="171">SUM(AJ63:AJ66)</f>
        <v>0</v>
      </c>
      <c r="AK67" s="59">
        <f t="shared" ref="AK67" si="172">SUM(AK63:AK66)</f>
        <v>0</v>
      </c>
      <c r="AL67" s="59">
        <f t="shared" ref="AL67" si="173">SUM(AL63:AL66)</f>
        <v>0</v>
      </c>
      <c r="AM67" s="59">
        <f t="shared" ref="AM67" si="174">SUM(AM63:AM66)</f>
        <v>0</v>
      </c>
      <c r="AN67" s="59">
        <f t="shared" ref="AN67" si="175">SUM(AN63:AN66)</f>
        <v>0</v>
      </c>
      <c r="AO67" s="59">
        <f t="shared" ref="AO67" si="176">SUM(AO63:AO66)</f>
        <v>0</v>
      </c>
      <c r="AP67" s="59">
        <f t="shared" ref="AP67" si="177">SUM(AP63:AP66)</f>
        <v>0</v>
      </c>
      <c r="AQ67" s="59">
        <f t="shared" ref="AQ67" si="178">SUM(AQ63:AQ66)</f>
        <v>0</v>
      </c>
      <c r="AR67" s="59">
        <f t="shared" ref="AR67" si="179">SUM(AR63:AR66)</f>
        <v>0</v>
      </c>
      <c r="AS67" s="59">
        <f t="shared" ref="AS67" si="180">SUM(AS63:AS66)</f>
        <v>0</v>
      </c>
      <c r="AT67" s="59">
        <f t="shared" ref="AT67" si="181">SUM(AT63:AT66)</f>
        <v>0</v>
      </c>
      <c r="AU67" s="59">
        <f t="shared" ref="AU67" si="182">SUM(AU63:AU66)</f>
        <v>0</v>
      </c>
      <c r="AV67" s="59">
        <f t="shared" ref="AV67" si="183">SUM(AV63:AV66)</f>
        <v>0</v>
      </c>
      <c r="AW67" s="59">
        <f t="shared" ref="AW67" si="184">SUM(AW63:AW66)</f>
        <v>0</v>
      </c>
      <c r="AX67" s="59">
        <f t="shared" ref="AX67" si="185">SUM(AX63:AX66)</f>
        <v>0</v>
      </c>
      <c r="AY67" s="59">
        <f t="shared" ref="AY67" si="186">SUM(AY63:AY66)</f>
        <v>0</v>
      </c>
      <c r="AZ67" s="59">
        <f t="shared" ref="AZ67" si="187">SUM(AZ63:AZ66)</f>
        <v>0</v>
      </c>
      <c r="BA67" s="59">
        <f t="shared" ref="BA67" si="188">SUM(BA63:BA66)</f>
        <v>0</v>
      </c>
      <c r="BB67" s="59">
        <f t="shared" ref="BB67" si="189">SUM(BB63:BB66)</f>
        <v>0</v>
      </c>
      <c r="BC67" s="59">
        <f t="shared" ref="BC67" si="190">SUM(BC63:BC66)</f>
        <v>0</v>
      </c>
      <c r="BD67" s="59">
        <f t="shared" ref="BD67" si="191">SUM(BD63:BD66)</f>
        <v>0</v>
      </c>
      <c r="BE67" s="59">
        <f t="shared" ref="BE67" si="192">SUM(BE63:BE66)</f>
        <v>0</v>
      </c>
      <c r="BF67" s="59">
        <f t="shared" ref="BF67" si="193">SUM(BF63:BF66)</f>
        <v>0</v>
      </c>
      <c r="BG67" s="59">
        <f t="shared" ref="BG67" si="194">SUM(BG63:BG66)</f>
        <v>0</v>
      </c>
      <c r="BH67" s="59">
        <f t="shared" ref="BH67" si="195">SUM(BH63:BH66)</f>
        <v>0</v>
      </c>
      <c r="BI67" s="59">
        <f t="shared" ref="BI67" si="196">SUM(BI63:BI66)</f>
        <v>0</v>
      </c>
      <c r="BJ67" s="59">
        <f t="shared" ref="BJ67" si="197">SUM(BJ63:BJ66)</f>
        <v>0</v>
      </c>
      <c r="BK67" s="59">
        <f t="shared" ref="BK67" si="198">SUM(BK63:BK66)</f>
        <v>0</v>
      </c>
      <c r="BL67" s="59">
        <f t="shared" ref="BL67" si="199">SUM(BL63:BL66)</f>
        <v>0</v>
      </c>
      <c r="BM67" s="59">
        <f t="shared" ref="BM67" si="200">SUM(BM63:BM66)</f>
        <v>0</v>
      </c>
      <c r="BN67" s="59">
        <f t="shared" ref="BN67" si="201">SUM(BN63:BN66)</f>
        <v>0</v>
      </c>
      <c r="BO67" s="59">
        <f t="shared" ref="BO67" si="202">SUM(BO63:BO66)</f>
        <v>0</v>
      </c>
      <c r="BP67" s="59">
        <f t="shared" ref="BP67" si="203">SUM(BP63:BP66)</f>
        <v>0</v>
      </c>
      <c r="BQ67" s="59">
        <f t="shared" ref="BQ67" si="204">SUM(BQ63:BQ66)</f>
        <v>0</v>
      </c>
      <c r="BR67" s="59">
        <f t="shared" ref="BR67" si="205">SUM(BR63:BR66)</f>
        <v>0</v>
      </c>
    </row>
    <row r="68" spans="1:70" s="157" customFormat="1" x14ac:dyDescent="0.25">
      <c r="C68" s="147"/>
      <c r="D68" s="158"/>
      <c r="J68" s="56"/>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c r="AI68" s="148"/>
      <c r="AJ68" s="148"/>
      <c r="AK68" s="148"/>
      <c r="AL68" s="148"/>
      <c r="AM68" s="148"/>
      <c r="AN68" s="148"/>
      <c r="AO68" s="148"/>
      <c r="AP68" s="148"/>
      <c r="AQ68" s="148"/>
      <c r="AR68" s="148"/>
      <c r="AS68" s="148"/>
      <c r="AT68" s="148"/>
      <c r="AU68" s="148"/>
      <c r="AV68" s="148"/>
      <c r="AW68" s="148"/>
      <c r="AX68" s="148"/>
      <c r="AY68" s="148"/>
      <c r="AZ68" s="148"/>
      <c r="BA68" s="148"/>
      <c r="BB68" s="148"/>
      <c r="BC68" s="148"/>
      <c r="BD68" s="148"/>
      <c r="BE68" s="148"/>
      <c r="BF68" s="148"/>
      <c r="BG68" s="148"/>
      <c r="BH68" s="148"/>
      <c r="BI68" s="148"/>
      <c r="BJ68" s="148"/>
      <c r="BK68" s="148"/>
      <c r="BL68" s="148"/>
      <c r="BM68" s="148"/>
      <c r="BN68" s="148"/>
      <c r="BO68" s="148"/>
      <c r="BP68" s="148"/>
      <c r="BQ68" s="148"/>
      <c r="BR68" s="148"/>
    </row>
    <row r="69" spans="1:70" s="149" customFormat="1" x14ac:dyDescent="0.25">
      <c r="B69" s="149" t="str">
        <f>Header2</f>
        <v>2.5</v>
      </c>
      <c r="C69" s="149" t="str">
        <f>C17</f>
        <v>n/a</v>
      </c>
      <c r="J69" s="57"/>
    </row>
    <row r="70" spans="1:70" s="149" customFormat="1" x14ac:dyDescent="0.25">
      <c r="C70" s="150" t="s">
        <v>227</v>
      </c>
      <c r="D70" s="150">
        <f>KeyInputs!G65</f>
        <v>4</v>
      </c>
      <c r="J70" s="57"/>
    </row>
    <row r="71" spans="1:70" s="149" customFormat="1" x14ac:dyDescent="0.25">
      <c r="C71" s="202" t="s">
        <v>231</v>
      </c>
      <c r="D71" s="203">
        <f>1/$D$70</f>
        <v>0.25</v>
      </c>
      <c r="J71" s="57"/>
    </row>
    <row r="73" spans="1:70" x14ac:dyDescent="0.25">
      <c r="C73" s="147" t="s">
        <v>228</v>
      </c>
      <c r="D73" s="161" t="str">
        <f>unit</f>
        <v>£</v>
      </c>
      <c r="E73" s="64">
        <f>INDEX($K73:$BR73,0,MATCH(E$7,$K$7:$BR$7,0))</f>
        <v>0</v>
      </c>
      <c r="F73" s="64">
        <f t="shared" ref="F73:I73" si="206">INDEX($K73:$BR73,0,MATCH(F$7,$K$7:$BR$7,0))</f>
        <v>0</v>
      </c>
      <c r="G73" s="64">
        <f t="shared" si="206"/>
        <v>0</v>
      </c>
      <c r="H73" s="64">
        <f t="shared" si="206"/>
        <v>0</v>
      </c>
      <c r="I73" s="64">
        <f t="shared" si="206"/>
        <v>0</v>
      </c>
      <c r="K73" s="64">
        <f>J77</f>
        <v>0</v>
      </c>
      <c r="L73" s="155">
        <f>K77</f>
        <v>0</v>
      </c>
      <c r="M73" s="155">
        <f t="shared" ref="M73:BR73" si="207">L77</f>
        <v>0</v>
      </c>
      <c r="N73" s="155">
        <f t="shared" si="207"/>
        <v>0</v>
      </c>
      <c r="O73" s="155">
        <f t="shared" si="207"/>
        <v>0</v>
      </c>
      <c r="P73" s="155">
        <f t="shared" si="207"/>
        <v>0</v>
      </c>
      <c r="Q73" s="155">
        <f t="shared" si="207"/>
        <v>0</v>
      </c>
      <c r="R73" s="155">
        <f t="shared" si="207"/>
        <v>0</v>
      </c>
      <c r="S73" s="155">
        <f t="shared" si="207"/>
        <v>0</v>
      </c>
      <c r="T73" s="155">
        <f t="shared" si="207"/>
        <v>0</v>
      </c>
      <c r="U73" s="155">
        <f t="shared" si="207"/>
        <v>0</v>
      </c>
      <c r="V73" s="155">
        <f t="shared" si="207"/>
        <v>0</v>
      </c>
      <c r="W73" s="155">
        <f t="shared" si="207"/>
        <v>0</v>
      </c>
      <c r="X73" s="155">
        <f t="shared" si="207"/>
        <v>0</v>
      </c>
      <c r="Y73" s="155">
        <f t="shared" si="207"/>
        <v>0</v>
      </c>
      <c r="Z73" s="155">
        <f t="shared" si="207"/>
        <v>0</v>
      </c>
      <c r="AA73" s="155">
        <f t="shared" si="207"/>
        <v>0</v>
      </c>
      <c r="AB73" s="155">
        <f t="shared" si="207"/>
        <v>0</v>
      </c>
      <c r="AC73" s="155">
        <f t="shared" si="207"/>
        <v>0</v>
      </c>
      <c r="AD73" s="155">
        <f t="shared" si="207"/>
        <v>0</v>
      </c>
      <c r="AE73" s="155">
        <f t="shared" si="207"/>
        <v>0</v>
      </c>
      <c r="AF73" s="155">
        <f t="shared" si="207"/>
        <v>0</v>
      </c>
      <c r="AG73" s="155">
        <f t="shared" si="207"/>
        <v>0</v>
      </c>
      <c r="AH73" s="155">
        <f t="shared" si="207"/>
        <v>0</v>
      </c>
      <c r="AI73" s="155">
        <f t="shared" si="207"/>
        <v>0</v>
      </c>
      <c r="AJ73" s="155">
        <f t="shared" si="207"/>
        <v>0</v>
      </c>
      <c r="AK73" s="155">
        <f t="shared" si="207"/>
        <v>0</v>
      </c>
      <c r="AL73" s="155">
        <f t="shared" si="207"/>
        <v>0</v>
      </c>
      <c r="AM73" s="155">
        <f t="shared" si="207"/>
        <v>0</v>
      </c>
      <c r="AN73" s="155">
        <f t="shared" si="207"/>
        <v>0</v>
      </c>
      <c r="AO73" s="155">
        <f t="shared" si="207"/>
        <v>0</v>
      </c>
      <c r="AP73" s="155">
        <f t="shared" si="207"/>
        <v>0</v>
      </c>
      <c r="AQ73" s="155">
        <f t="shared" si="207"/>
        <v>0</v>
      </c>
      <c r="AR73" s="155">
        <f t="shared" si="207"/>
        <v>0</v>
      </c>
      <c r="AS73" s="155">
        <f t="shared" si="207"/>
        <v>0</v>
      </c>
      <c r="AT73" s="155">
        <f t="shared" si="207"/>
        <v>0</v>
      </c>
      <c r="AU73" s="155">
        <f t="shared" si="207"/>
        <v>0</v>
      </c>
      <c r="AV73" s="155">
        <f t="shared" si="207"/>
        <v>0</v>
      </c>
      <c r="AW73" s="155">
        <f t="shared" si="207"/>
        <v>0</v>
      </c>
      <c r="AX73" s="155">
        <f t="shared" si="207"/>
        <v>0</v>
      </c>
      <c r="AY73" s="155">
        <f t="shared" si="207"/>
        <v>0</v>
      </c>
      <c r="AZ73" s="155">
        <f t="shared" si="207"/>
        <v>0</v>
      </c>
      <c r="BA73" s="155">
        <f t="shared" si="207"/>
        <v>0</v>
      </c>
      <c r="BB73" s="155">
        <f t="shared" si="207"/>
        <v>0</v>
      </c>
      <c r="BC73" s="155">
        <f t="shared" si="207"/>
        <v>0</v>
      </c>
      <c r="BD73" s="155">
        <f t="shared" si="207"/>
        <v>0</v>
      </c>
      <c r="BE73" s="155">
        <f t="shared" si="207"/>
        <v>0</v>
      </c>
      <c r="BF73" s="155">
        <f t="shared" si="207"/>
        <v>0</v>
      </c>
      <c r="BG73" s="155">
        <f t="shared" si="207"/>
        <v>0</v>
      </c>
      <c r="BH73" s="155">
        <f t="shared" si="207"/>
        <v>0</v>
      </c>
      <c r="BI73" s="155">
        <f t="shared" si="207"/>
        <v>0</v>
      </c>
      <c r="BJ73" s="155">
        <f t="shared" si="207"/>
        <v>0</v>
      </c>
      <c r="BK73" s="155">
        <f t="shared" si="207"/>
        <v>0</v>
      </c>
      <c r="BL73" s="155">
        <f t="shared" si="207"/>
        <v>0</v>
      </c>
      <c r="BM73" s="155">
        <f t="shared" si="207"/>
        <v>0</v>
      </c>
      <c r="BN73" s="155">
        <f t="shared" si="207"/>
        <v>0</v>
      </c>
      <c r="BO73" s="155">
        <f t="shared" si="207"/>
        <v>0</v>
      </c>
      <c r="BP73" s="155">
        <f t="shared" si="207"/>
        <v>0</v>
      </c>
      <c r="BQ73" s="155">
        <f t="shared" si="207"/>
        <v>0</v>
      </c>
      <c r="BR73" s="155">
        <f t="shared" si="207"/>
        <v>0</v>
      </c>
    </row>
    <row r="74" spans="1:70" x14ac:dyDescent="0.25">
      <c r="C74" s="147" t="s">
        <v>225</v>
      </c>
      <c r="D74" s="161" t="str">
        <f>unit</f>
        <v>£</v>
      </c>
      <c r="E74" s="64">
        <f t="shared" ref="E74:I76" si="208">SUMIF($K$5:$BR$5,E$5,$K74:$BR74)</f>
        <v>0</v>
      </c>
      <c r="F74" s="64">
        <f t="shared" si="208"/>
        <v>0</v>
      </c>
      <c r="G74" s="64">
        <f t="shared" si="208"/>
        <v>0</v>
      </c>
      <c r="H74" s="64">
        <f t="shared" si="208"/>
        <v>0</v>
      </c>
      <c r="I74" s="64">
        <f t="shared" si="208"/>
        <v>0</v>
      </c>
      <c r="K74" s="64">
        <f>K17</f>
        <v>0</v>
      </c>
      <c r="L74" s="64">
        <f t="shared" ref="L74:BR74" si="209">L17</f>
        <v>0</v>
      </c>
      <c r="M74" s="64">
        <f t="shared" si="209"/>
        <v>0</v>
      </c>
      <c r="N74" s="64">
        <f t="shared" si="209"/>
        <v>0</v>
      </c>
      <c r="O74" s="64">
        <f t="shared" si="209"/>
        <v>0</v>
      </c>
      <c r="P74" s="64">
        <f t="shared" si="209"/>
        <v>0</v>
      </c>
      <c r="Q74" s="64">
        <f t="shared" si="209"/>
        <v>0</v>
      </c>
      <c r="R74" s="64">
        <f t="shared" si="209"/>
        <v>0</v>
      </c>
      <c r="S74" s="64">
        <f t="shared" si="209"/>
        <v>0</v>
      </c>
      <c r="T74" s="64">
        <f t="shared" si="209"/>
        <v>0</v>
      </c>
      <c r="U74" s="64">
        <f t="shared" si="209"/>
        <v>0</v>
      </c>
      <c r="V74" s="64">
        <f t="shared" si="209"/>
        <v>0</v>
      </c>
      <c r="W74" s="64">
        <f t="shared" si="209"/>
        <v>0</v>
      </c>
      <c r="X74" s="64">
        <f t="shared" si="209"/>
        <v>0</v>
      </c>
      <c r="Y74" s="64">
        <f t="shared" si="209"/>
        <v>0</v>
      </c>
      <c r="Z74" s="64">
        <f t="shared" si="209"/>
        <v>0</v>
      </c>
      <c r="AA74" s="64">
        <f t="shared" si="209"/>
        <v>0</v>
      </c>
      <c r="AB74" s="64">
        <f t="shared" si="209"/>
        <v>0</v>
      </c>
      <c r="AC74" s="64">
        <f t="shared" si="209"/>
        <v>0</v>
      </c>
      <c r="AD74" s="64">
        <f t="shared" si="209"/>
        <v>0</v>
      </c>
      <c r="AE74" s="64">
        <f t="shared" si="209"/>
        <v>0</v>
      </c>
      <c r="AF74" s="64">
        <f t="shared" si="209"/>
        <v>0</v>
      </c>
      <c r="AG74" s="64">
        <f t="shared" si="209"/>
        <v>0</v>
      </c>
      <c r="AH74" s="64">
        <f t="shared" si="209"/>
        <v>0</v>
      </c>
      <c r="AI74" s="64">
        <f t="shared" si="209"/>
        <v>0</v>
      </c>
      <c r="AJ74" s="64">
        <f t="shared" si="209"/>
        <v>0</v>
      </c>
      <c r="AK74" s="64">
        <f t="shared" si="209"/>
        <v>0</v>
      </c>
      <c r="AL74" s="64">
        <f t="shared" si="209"/>
        <v>0</v>
      </c>
      <c r="AM74" s="64">
        <f t="shared" si="209"/>
        <v>0</v>
      </c>
      <c r="AN74" s="64">
        <f t="shared" si="209"/>
        <v>0</v>
      </c>
      <c r="AO74" s="64">
        <f t="shared" si="209"/>
        <v>0</v>
      </c>
      <c r="AP74" s="64">
        <f t="shared" si="209"/>
        <v>0</v>
      </c>
      <c r="AQ74" s="64">
        <f t="shared" si="209"/>
        <v>0</v>
      </c>
      <c r="AR74" s="64">
        <f t="shared" si="209"/>
        <v>0</v>
      </c>
      <c r="AS74" s="64">
        <f t="shared" si="209"/>
        <v>0</v>
      </c>
      <c r="AT74" s="64">
        <f t="shared" si="209"/>
        <v>0</v>
      </c>
      <c r="AU74" s="64">
        <f t="shared" si="209"/>
        <v>0</v>
      </c>
      <c r="AV74" s="64">
        <f t="shared" si="209"/>
        <v>0</v>
      </c>
      <c r="AW74" s="64">
        <f t="shared" si="209"/>
        <v>0</v>
      </c>
      <c r="AX74" s="64">
        <f t="shared" si="209"/>
        <v>0</v>
      </c>
      <c r="AY74" s="64">
        <f t="shared" si="209"/>
        <v>0</v>
      </c>
      <c r="AZ74" s="64">
        <f t="shared" si="209"/>
        <v>0</v>
      </c>
      <c r="BA74" s="64">
        <f t="shared" si="209"/>
        <v>0</v>
      </c>
      <c r="BB74" s="64">
        <f t="shared" si="209"/>
        <v>0</v>
      </c>
      <c r="BC74" s="64">
        <f t="shared" si="209"/>
        <v>0</v>
      </c>
      <c r="BD74" s="64">
        <f t="shared" si="209"/>
        <v>0</v>
      </c>
      <c r="BE74" s="64">
        <f t="shared" si="209"/>
        <v>0</v>
      </c>
      <c r="BF74" s="64">
        <f t="shared" si="209"/>
        <v>0</v>
      </c>
      <c r="BG74" s="64">
        <f t="shared" si="209"/>
        <v>0</v>
      </c>
      <c r="BH74" s="64">
        <f t="shared" si="209"/>
        <v>0</v>
      </c>
      <c r="BI74" s="64">
        <f t="shared" si="209"/>
        <v>0</v>
      </c>
      <c r="BJ74" s="64">
        <f t="shared" si="209"/>
        <v>0</v>
      </c>
      <c r="BK74" s="64">
        <f t="shared" si="209"/>
        <v>0</v>
      </c>
      <c r="BL74" s="64">
        <f t="shared" si="209"/>
        <v>0</v>
      </c>
      <c r="BM74" s="64">
        <f t="shared" si="209"/>
        <v>0</v>
      </c>
      <c r="BN74" s="64">
        <f t="shared" si="209"/>
        <v>0</v>
      </c>
      <c r="BO74" s="64">
        <f t="shared" si="209"/>
        <v>0</v>
      </c>
      <c r="BP74" s="64">
        <f t="shared" si="209"/>
        <v>0</v>
      </c>
      <c r="BQ74" s="64">
        <f t="shared" si="209"/>
        <v>0</v>
      </c>
      <c r="BR74" s="64">
        <f t="shared" si="209"/>
        <v>0</v>
      </c>
    </row>
    <row r="75" spans="1:70" x14ac:dyDescent="0.25">
      <c r="C75" s="147" t="s">
        <v>24</v>
      </c>
      <c r="D75" s="161" t="str">
        <f>unit</f>
        <v>£</v>
      </c>
      <c r="E75" s="64">
        <f t="shared" si="208"/>
        <v>0</v>
      </c>
      <c r="F75" s="64">
        <f t="shared" si="208"/>
        <v>0</v>
      </c>
      <c r="G75" s="64">
        <f t="shared" si="208"/>
        <v>0</v>
      </c>
      <c r="H75" s="64">
        <f t="shared" si="208"/>
        <v>0</v>
      </c>
      <c r="I75" s="64">
        <f t="shared" si="208"/>
        <v>0</v>
      </c>
      <c r="K75" s="64">
        <f>-K73*$D$71/12</f>
        <v>0</v>
      </c>
      <c r="L75" s="64">
        <f t="shared" ref="L75:BR75" si="210">-L73*$D$71/12</f>
        <v>0</v>
      </c>
      <c r="M75" s="64">
        <f t="shared" si="210"/>
        <v>0</v>
      </c>
      <c r="N75" s="64">
        <f t="shared" si="210"/>
        <v>0</v>
      </c>
      <c r="O75" s="64">
        <f t="shared" si="210"/>
        <v>0</v>
      </c>
      <c r="P75" s="64">
        <f t="shared" si="210"/>
        <v>0</v>
      </c>
      <c r="Q75" s="64">
        <f t="shared" si="210"/>
        <v>0</v>
      </c>
      <c r="R75" s="64">
        <f t="shared" si="210"/>
        <v>0</v>
      </c>
      <c r="S75" s="64">
        <f t="shared" si="210"/>
        <v>0</v>
      </c>
      <c r="T75" s="64">
        <f t="shared" si="210"/>
        <v>0</v>
      </c>
      <c r="U75" s="64">
        <f t="shared" si="210"/>
        <v>0</v>
      </c>
      <c r="V75" s="64">
        <f t="shared" si="210"/>
        <v>0</v>
      </c>
      <c r="W75" s="64">
        <f t="shared" si="210"/>
        <v>0</v>
      </c>
      <c r="X75" s="64">
        <f t="shared" si="210"/>
        <v>0</v>
      </c>
      <c r="Y75" s="64">
        <f t="shared" si="210"/>
        <v>0</v>
      </c>
      <c r="Z75" s="64">
        <f t="shared" si="210"/>
        <v>0</v>
      </c>
      <c r="AA75" s="64">
        <f t="shared" si="210"/>
        <v>0</v>
      </c>
      <c r="AB75" s="64">
        <f t="shared" si="210"/>
        <v>0</v>
      </c>
      <c r="AC75" s="64">
        <f t="shared" si="210"/>
        <v>0</v>
      </c>
      <c r="AD75" s="64">
        <f t="shared" si="210"/>
        <v>0</v>
      </c>
      <c r="AE75" s="64">
        <f t="shared" si="210"/>
        <v>0</v>
      </c>
      <c r="AF75" s="64">
        <f t="shared" si="210"/>
        <v>0</v>
      </c>
      <c r="AG75" s="64">
        <f t="shared" si="210"/>
        <v>0</v>
      </c>
      <c r="AH75" s="64">
        <f t="shared" si="210"/>
        <v>0</v>
      </c>
      <c r="AI75" s="64">
        <f t="shared" si="210"/>
        <v>0</v>
      </c>
      <c r="AJ75" s="64">
        <f t="shared" si="210"/>
        <v>0</v>
      </c>
      <c r="AK75" s="64">
        <f t="shared" si="210"/>
        <v>0</v>
      </c>
      <c r="AL75" s="64">
        <f t="shared" si="210"/>
        <v>0</v>
      </c>
      <c r="AM75" s="64">
        <f t="shared" si="210"/>
        <v>0</v>
      </c>
      <c r="AN75" s="64">
        <f t="shared" si="210"/>
        <v>0</v>
      </c>
      <c r="AO75" s="64">
        <f t="shared" si="210"/>
        <v>0</v>
      </c>
      <c r="AP75" s="64">
        <f t="shared" si="210"/>
        <v>0</v>
      </c>
      <c r="AQ75" s="64">
        <f t="shared" si="210"/>
        <v>0</v>
      </c>
      <c r="AR75" s="64">
        <f t="shared" si="210"/>
        <v>0</v>
      </c>
      <c r="AS75" s="64">
        <f t="shared" si="210"/>
        <v>0</v>
      </c>
      <c r="AT75" s="64">
        <f t="shared" si="210"/>
        <v>0</v>
      </c>
      <c r="AU75" s="64">
        <f t="shared" si="210"/>
        <v>0</v>
      </c>
      <c r="AV75" s="64">
        <f t="shared" si="210"/>
        <v>0</v>
      </c>
      <c r="AW75" s="64">
        <f t="shared" si="210"/>
        <v>0</v>
      </c>
      <c r="AX75" s="64">
        <f t="shared" si="210"/>
        <v>0</v>
      </c>
      <c r="AY75" s="64">
        <f t="shared" si="210"/>
        <v>0</v>
      </c>
      <c r="AZ75" s="64">
        <f t="shared" si="210"/>
        <v>0</v>
      </c>
      <c r="BA75" s="64">
        <f t="shared" si="210"/>
        <v>0</v>
      </c>
      <c r="BB75" s="64">
        <f t="shared" si="210"/>
        <v>0</v>
      </c>
      <c r="BC75" s="64">
        <f t="shared" si="210"/>
        <v>0</v>
      </c>
      <c r="BD75" s="64">
        <f t="shared" si="210"/>
        <v>0</v>
      </c>
      <c r="BE75" s="64">
        <f t="shared" si="210"/>
        <v>0</v>
      </c>
      <c r="BF75" s="64">
        <f t="shared" si="210"/>
        <v>0</v>
      </c>
      <c r="BG75" s="64">
        <f t="shared" si="210"/>
        <v>0</v>
      </c>
      <c r="BH75" s="64">
        <f t="shared" si="210"/>
        <v>0</v>
      </c>
      <c r="BI75" s="64">
        <f t="shared" si="210"/>
        <v>0</v>
      </c>
      <c r="BJ75" s="64">
        <f t="shared" si="210"/>
        <v>0</v>
      </c>
      <c r="BK75" s="64">
        <f t="shared" si="210"/>
        <v>0</v>
      </c>
      <c r="BL75" s="64">
        <f t="shared" si="210"/>
        <v>0</v>
      </c>
      <c r="BM75" s="64">
        <f t="shared" si="210"/>
        <v>0</v>
      </c>
      <c r="BN75" s="64">
        <f t="shared" si="210"/>
        <v>0</v>
      </c>
      <c r="BO75" s="64">
        <f t="shared" si="210"/>
        <v>0</v>
      </c>
      <c r="BP75" s="64">
        <f t="shared" si="210"/>
        <v>0</v>
      </c>
      <c r="BQ75" s="64">
        <f t="shared" si="210"/>
        <v>0</v>
      </c>
      <c r="BR75" s="64">
        <f t="shared" si="210"/>
        <v>0</v>
      </c>
    </row>
    <row r="76" spans="1:70" x14ac:dyDescent="0.25">
      <c r="C76" s="147" t="s">
        <v>229</v>
      </c>
      <c r="D76" s="161" t="str">
        <f>unit</f>
        <v>£</v>
      </c>
      <c r="E76" s="64">
        <f t="shared" si="208"/>
        <v>0</v>
      </c>
      <c r="F76" s="64">
        <f t="shared" si="208"/>
        <v>0</v>
      </c>
      <c r="G76" s="64">
        <f t="shared" si="208"/>
        <v>0</v>
      </c>
      <c r="H76" s="64">
        <f t="shared" si="208"/>
        <v>0</v>
      </c>
      <c r="I76" s="64">
        <f t="shared" si="208"/>
        <v>0</v>
      </c>
      <c r="K76" s="64">
        <f>K25</f>
        <v>0</v>
      </c>
      <c r="L76" s="64">
        <f t="shared" ref="L76:BR76" si="211">L25</f>
        <v>0</v>
      </c>
      <c r="M76" s="64">
        <f t="shared" si="211"/>
        <v>0</v>
      </c>
      <c r="N76" s="64">
        <f t="shared" si="211"/>
        <v>0</v>
      </c>
      <c r="O76" s="64">
        <f t="shared" si="211"/>
        <v>0</v>
      </c>
      <c r="P76" s="64">
        <f t="shared" si="211"/>
        <v>0</v>
      </c>
      <c r="Q76" s="64">
        <f t="shared" si="211"/>
        <v>0</v>
      </c>
      <c r="R76" s="64">
        <f t="shared" si="211"/>
        <v>0</v>
      </c>
      <c r="S76" s="64">
        <f t="shared" si="211"/>
        <v>0</v>
      </c>
      <c r="T76" s="64">
        <f t="shared" si="211"/>
        <v>0</v>
      </c>
      <c r="U76" s="64">
        <f t="shared" si="211"/>
        <v>0</v>
      </c>
      <c r="V76" s="64">
        <f t="shared" si="211"/>
        <v>0</v>
      </c>
      <c r="W76" s="64">
        <f t="shared" si="211"/>
        <v>0</v>
      </c>
      <c r="X76" s="64">
        <f t="shared" si="211"/>
        <v>0</v>
      </c>
      <c r="Y76" s="64">
        <f t="shared" si="211"/>
        <v>0</v>
      </c>
      <c r="Z76" s="64">
        <f t="shared" si="211"/>
        <v>0</v>
      </c>
      <c r="AA76" s="64">
        <f t="shared" si="211"/>
        <v>0</v>
      </c>
      <c r="AB76" s="64">
        <f t="shared" si="211"/>
        <v>0</v>
      </c>
      <c r="AC76" s="64">
        <f t="shared" si="211"/>
        <v>0</v>
      </c>
      <c r="AD76" s="64">
        <f t="shared" si="211"/>
        <v>0</v>
      </c>
      <c r="AE76" s="64">
        <f t="shared" si="211"/>
        <v>0</v>
      </c>
      <c r="AF76" s="64">
        <f t="shared" si="211"/>
        <v>0</v>
      </c>
      <c r="AG76" s="64">
        <f t="shared" si="211"/>
        <v>0</v>
      </c>
      <c r="AH76" s="64">
        <f t="shared" si="211"/>
        <v>0</v>
      </c>
      <c r="AI76" s="64">
        <f t="shared" si="211"/>
        <v>0</v>
      </c>
      <c r="AJ76" s="64">
        <f t="shared" si="211"/>
        <v>0</v>
      </c>
      <c r="AK76" s="64">
        <f t="shared" si="211"/>
        <v>0</v>
      </c>
      <c r="AL76" s="64">
        <f t="shared" si="211"/>
        <v>0</v>
      </c>
      <c r="AM76" s="64">
        <f t="shared" si="211"/>
        <v>0</v>
      </c>
      <c r="AN76" s="64">
        <f t="shared" si="211"/>
        <v>0</v>
      </c>
      <c r="AO76" s="64">
        <f t="shared" si="211"/>
        <v>0</v>
      </c>
      <c r="AP76" s="64">
        <f t="shared" si="211"/>
        <v>0</v>
      </c>
      <c r="AQ76" s="64">
        <f t="shared" si="211"/>
        <v>0</v>
      </c>
      <c r="AR76" s="64">
        <f t="shared" si="211"/>
        <v>0</v>
      </c>
      <c r="AS76" s="64">
        <f t="shared" si="211"/>
        <v>0</v>
      </c>
      <c r="AT76" s="64">
        <f t="shared" si="211"/>
        <v>0</v>
      </c>
      <c r="AU76" s="64">
        <f t="shared" si="211"/>
        <v>0</v>
      </c>
      <c r="AV76" s="64">
        <f t="shared" si="211"/>
        <v>0</v>
      </c>
      <c r="AW76" s="64">
        <f t="shared" si="211"/>
        <v>0</v>
      </c>
      <c r="AX76" s="64">
        <f t="shared" si="211"/>
        <v>0</v>
      </c>
      <c r="AY76" s="64">
        <f t="shared" si="211"/>
        <v>0</v>
      </c>
      <c r="AZ76" s="64">
        <f t="shared" si="211"/>
        <v>0</v>
      </c>
      <c r="BA76" s="64">
        <f t="shared" si="211"/>
        <v>0</v>
      </c>
      <c r="BB76" s="64">
        <f t="shared" si="211"/>
        <v>0</v>
      </c>
      <c r="BC76" s="64">
        <f t="shared" si="211"/>
        <v>0</v>
      </c>
      <c r="BD76" s="64">
        <f t="shared" si="211"/>
        <v>0</v>
      </c>
      <c r="BE76" s="64">
        <f t="shared" si="211"/>
        <v>0</v>
      </c>
      <c r="BF76" s="64">
        <f t="shared" si="211"/>
        <v>0</v>
      </c>
      <c r="BG76" s="64">
        <f t="shared" si="211"/>
        <v>0</v>
      </c>
      <c r="BH76" s="64">
        <f t="shared" si="211"/>
        <v>0</v>
      </c>
      <c r="BI76" s="64">
        <f t="shared" si="211"/>
        <v>0</v>
      </c>
      <c r="BJ76" s="64">
        <f t="shared" si="211"/>
        <v>0</v>
      </c>
      <c r="BK76" s="64">
        <f t="shared" si="211"/>
        <v>0</v>
      </c>
      <c r="BL76" s="64">
        <f t="shared" si="211"/>
        <v>0</v>
      </c>
      <c r="BM76" s="64">
        <f t="shared" si="211"/>
        <v>0</v>
      </c>
      <c r="BN76" s="64">
        <f t="shared" si="211"/>
        <v>0</v>
      </c>
      <c r="BO76" s="64">
        <f t="shared" si="211"/>
        <v>0</v>
      </c>
      <c r="BP76" s="64">
        <f t="shared" si="211"/>
        <v>0</v>
      </c>
      <c r="BQ76" s="64">
        <f t="shared" si="211"/>
        <v>0</v>
      </c>
      <c r="BR76" s="64">
        <f t="shared" si="211"/>
        <v>0</v>
      </c>
    </row>
    <row r="77" spans="1:70" x14ac:dyDescent="0.25">
      <c r="C77" s="147" t="s">
        <v>230</v>
      </c>
      <c r="D77" s="260">
        <f>KeyInputs!G116</f>
        <v>0</v>
      </c>
      <c r="E77" s="59">
        <f>INDEX($K77:$BR77,0,MATCH(E$8,$K$8:$BR$8,0))</f>
        <v>0</v>
      </c>
      <c r="F77" s="59">
        <f t="shared" ref="F77:I77" si="212">INDEX($K77:$BR77,0,MATCH(F$8,$K$8:$BR$8,0))</f>
        <v>0</v>
      </c>
      <c r="G77" s="59">
        <f t="shared" si="212"/>
        <v>0</v>
      </c>
      <c r="H77" s="59">
        <f t="shared" si="212"/>
        <v>0</v>
      </c>
      <c r="I77" s="59">
        <f t="shared" si="212"/>
        <v>0</v>
      </c>
      <c r="J77" s="260">
        <f>D77</f>
        <v>0</v>
      </c>
      <c r="K77" s="59">
        <f>SUM(K73:K76)</f>
        <v>0</v>
      </c>
      <c r="L77" s="59">
        <f>SUM(L73:L76)</f>
        <v>0</v>
      </c>
      <c r="M77" s="59">
        <f t="shared" ref="M77" si="213">SUM(M73:M76)</f>
        <v>0</v>
      </c>
      <c r="N77" s="59">
        <f t="shared" ref="N77" si="214">SUM(N73:N76)</f>
        <v>0</v>
      </c>
      <c r="O77" s="59">
        <f t="shared" ref="O77" si="215">SUM(O73:O76)</f>
        <v>0</v>
      </c>
      <c r="P77" s="59">
        <f t="shared" ref="P77" si="216">SUM(P73:P76)</f>
        <v>0</v>
      </c>
      <c r="Q77" s="59">
        <f t="shared" ref="Q77" si="217">SUM(Q73:Q76)</f>
        <v>0</v>
      </c>
      <c r="R77" s="59">
        <f t="shared" ref="R77" si="218">SUM(R73:R76)</f>
        <v>0</v>
      </c>
      <c r="S77" s="59">
        <f t="shared" ref="S77" si="219">SUM(S73:S76)</f>
        <v>0</v>
      </c>
      <c r="T77" s="59">
        <f t="shared" ref="T77" si="220">SUM(T73:T76)</f>
        <v>0</v>
      </c>
      <c r="U77" s="59">
        <f t="shared" ref="U77" si="221">SUM(U73:U76)</f>
        <v>0</v>
      </c>
      <c r="V77" s="59">
        <f t="shared" ref="V77" si="222">SUM(V73:V76)</f>
        <v>0</v>
      </c>
      <c r="W77" s="59">
        <f t="shared" ref="W77" si="223">SUM(W73:W76)</f>
        <v>0</v>
      </c>
      <c r="X77" s="59">
        <f t="shared" ref="X77" si="224">SUM(X73:X76)</f>
        <v>0</v>
      </c>
      <c r="Y77" s="59">
        <f t="shared" ref="Y77" si="225">SUM(Y73:Y76)</f>
        <v>0</v>
      </c>
      <c r="Z77" s="59">
        <f t="shared" ref="Z77" si="226">SUM(Z73:Z76)</f>
        <v>0</v>
      </c>
      <c r="AA77" s="59">
        <f t="shared" ref="AA77" si="227">SUM(AA73:AA76)</f>
        <v>0</v>
      </c>
      <c r="AB77" s="59">
        <f t="shared" ref="AB77" si="228">SUM(AB73:AB76)</f>
        <v>0</v>
      </c>
      <c r="AC77" s="59">
        <f t="shared" ref="AC77" si="229">SUM(AC73:AC76)</f>
        <v>0</v>
      </c>
      <c r="AD77" s="59">
        <f t="shared" ref="AD77" si="230">SUM(AD73:AD76)</f>
        <v>0</v>
      </c>
      <c r="AE77" s="59">
        <f t="shared" ref="AE77" si="231">SUM(AE73:AE76)</f>
        <v>0</v>
      </c>
      <c r="AF77" s="59">
        <f t="shared" ref="AF77" si="232">SUM(AF73:AF76)</f>
        <v>0</v>
      </c>
      <c r="AG77" s="59">
        <f t="shared" ref="AG77" si="233">SUM(AG73:AG76)</f>
        <v>0</v>
      </c>
      <c r="AH77" s="59">
        <f t="shared" ref="AH77" si="234">SUM(AH73:AH76)</f>
        <v>0</v>
      </c>
      <c r="AI77" s="59">
        <f t="shared" ref="AI77" si="235">SUM(AI73:AI76)</f>
        <v>0</v>
      </c>
      <c r="AJ77" s="59">
        <f t="shared" ref="AJ77" si="236">SUM(AJ73:AJ76)</f>
        <v>0</v>
      </c>
      <c r="AK77" s="59">
        <f t="shared" ref="AK77" si="237">SUM(AK73:AK76)</f>
        <v>0</v>
      </c>
      <c r="AL77" s="59">
        <f t="shared" ref="AL77" si="238">SUM(AL73:AL76)</f>
        <v>0</v>
      </c>
      <c r="AM77" s="59">
        <f t="shared" ref="AM77" si="239">SUM(AM73:AM76)</f>
        <v>0</v>
      </c>
      <c r="AN77" s="59">
        <f t="shared" ref="AN77" si="240">SUM(AN73:AN76)</f>
        <v>0</v>
      </c>
      <c r="AO77" s="59">
        <f t="shared" ref="AO77" si="241">SUM(AO73:AO76)</f>
        <v>0</v>
      </c>
      <c r="AP77" s="59">
        <f t="shared" ref="AP77" si="242">SUM(AP73:AP76)</f>
        <v>0</v>
      </c>
      <c r="AQ77" s="59">
        <f t="shared" ref="AQ77" si="243">SUM(AQ73:AQ76)</f>
        <v>0</v>
      </c>
      <c r="AR77" s="59">
        <f t="shared" ref="AR77" si="244">SUM(AR73:AR76)</f>
        <v>0</v>
      </c>
      <c r="AS77" s="59">
        <f t="shared" ref="AS77" si="245">SUM(AS73:AS76)</f>
        <v>0</v>
      </c>
      <c r="AT77" s="59">
        <f t="shared" ref="AT77" si="246">SUM(AT73:AT76)</f>
        <v>0</v>
      </c>
      <c r="AU77" s="59">
        <f t="shared" ref="AU77" si="247">SUM(AU73:AU76)</f>
        <v>0</v>
      </c>
      <c r="AV77" s="59">
        <f t="shared" ref="AV77" si="248">SUM(AV73:AV76)</f>
        <v>0</v>
      </c>
      <c r="AW77" s="59">
        <f t="shared" ref="AW77" si="249">SUM(AW73:AW76)</f>
        <v>0</v>
      </c>
      <c r="AX77" s="59">
        <f t="shared" ref="AX77" si="250">SUM(AX73:AX76)</f>
        <v>0</v>
      </c>
      <c r="AY77" s="59">
        <f t="shared" ref="AY77" si="251">SUM(AY73:AY76)</f>
        <v>0</v>
      </c>
      <c r="AZ77" s="59">
        <f t="shared" ref="AZ77" si="252">SUM(AZ73:AZ76)</f>
        <v>0</v>
      </c>
      <c r="BA77" s="59">
        <f t="shared" ref="BA77" si="253">SUM(BA73:BA76)</f>
        <v>0</v>
      </c>
      <c r="BB77" s="59">
        <f t="shared" ref="BB77" si="254">SUM(BB73:BB76)</f>
        <v>0</v>
      </c>
      <c r="BC77" s="59">
        <f t="shared" ref="BC77" si="255">SUM(BC73:BC76)</f>
        <v>0</v>
      </c>
      <c r="BD77" s="59">
        <f t="shared" ref="BD77" si="256">SUM(BD73:BD76)</f>
        <v>0</v>
      </c>
      <c r="BE77" s="59">
        <f t="shared" ref="BE77" si="257">SUM(BE73:BE76)</f>
        <v>0</v>
      </c>
      <c r="BF77" s="59">
        <f t="shared" ref="BF77" si="258">SUM(BF73:BF76)</f>
        <v>0</v>
      </c>
      <c r="BG77" s="59">
        <f t="shared" ref="BG77" si="259">SUM(BG73:BG76)</f>
        <v>0</v>
      </c>
      <c r="BH77" s="59">
        <f t="shared" ref="BH77" si="260">SUM(BH73:BH76)</f>
        <v>0</v>
      </c>
      <c r="BI77" s="59">
        <f t="shared" ref="BI77" si="261">SUM(BI73:BI76)</f>
        <v>0</v>
      </c>
      <c r="BJ77" s="59">
        <f t="shared" ref="BJ77" si="262">SUM(BJ73:BJ76)</f>
        <v>0</v>
      </c>
      <c r="BK77" s="59">
        <f t="shared" ref="BK77" si="263">SUM(BK73:BK76)</f>
        <v>0</v>
      </c>
      <c r="BL77" s="59">
        <f t="shared" ref="BL77" si="264">SUM(BL73:BL76)</f>
        <v>0</v>
      </c>
      <c r="BM77" s="59">
        <f t="shared" ref="BM77" si="265">SUM(BM73:BM76)</f>
        <v>0</v>
      </c>
      <c r="BN77" s="59">
        <f t="shared" ref="BN77" si="266">SUM(BN73:BN76)</f>
        <v>0</v>
      </c>
      <c r="BO77" s="59">
        <f t="shared" ref="BO77" si="267">SUM(BO73:BO76)</f>
        <v>0</v>
      </c>
      <c r="BP77" s="59">
        <f t="shared" ref="BP77" si="268">SUM(BP73:BP76)</f>
        <v>0</v>
      </c>
      <c r="BQ77" s="59">
        <f t="shared" ref="BQ77" si="269">SUM(BQ73:BQ76)</f>
        <v>0</v>
      </c>
      <c r="BR77" s="59">
        <f t="shared" ref="BR77" si="270">SUM(BR73:BR76)</f>
        <v>0</v>
      </c>
    </row>
    <row r="78" spans="1:70" s="157" customFormat="1" x14ac:dyDescent="0.25">
      <c r="C78" s="147"/>
      <c r="D78" s="158"/>
      <c r="J78" s="56"/>
      <c r="K78" s="148"/>
      <c r="L78" s="148"/>
      <c r="M78" s="148"/>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8"/>
      <c r="AR78" s="148"/>
      <c r="AS78" s="148"/>
      <c r="AT78" s="148"/>
      <c r="AU78" s="148"/>
      <c r="AV78" s="148"/>
      <c r="AW78" s="148"/>
      <c r="AX78" s="148"/>
      <c r="AY78" s="148"/>
      <c r="AZ78" s="148"/>
      <c r="BA78" s="148"/>
      <c r="BB78" s="148"/>
      <c r="BC78" s="148"/>
      <c r="BD78" s="148"/>
      <c r="BE78" s="148"/>
      <c r="BF78" s="148"/>
      <c r="BG78" s="148"/>
      <c r="BH78" s="148"/>
      <c r="BI78" s="148"/>
      <c r="BJ78" s="148"/>
      <c r="BK78" s="148"/>
      <c r="BL78" s="148"/>
      <c r="BM78" s="148"/>
      <c r="BN78" s="148"/>
      <c r="BO78" s="148"/>
      <c r="BP78" s="148"/>
      <c r="BQ78" s="148"/>
      <c r="BR78" s="148"/>
    </row>
    <row r="79" spans="1:70" s="151" customFormat="1" x14ac:dyDescent="0.25">
      <c r="A79" s="151" t="s">
        <v>217</v>
      </c>
      <c r="J79" s="176"/>
    </row>
    <row r="80" spans="1:70" s="157" customFormat="1" x14ac:dyDescent="0.25">
      <c r="C80" s="147"/>
      <c r="D80" s="158"/>
      <c r="J80" s="56"/>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8"/>
      <c r="AH80" s="148"/>
      <c r="AI80" s="148"/>
      <c r="AJ80" s="148"/>
      <c r="AK80" s="148"/>
      <c r="AL80" s="148"/>
      <c r="AM80" s="148"/>
      <c r="AN80" s="148"/>
      <c r="AO80" s="148"/>
      <c r="AP80" s="148"/>
      <c r="AQ80" s="148"/>
      <c r="AR80" s="148"/>
      <c r="AS80" s="148"/>
      <c r="AT80" s="148"/>
      <c r="AU80" s="148"/>
      <c r="AV80" s="148"/>
      <c r="AW80" s="148"/>
      <c r="AX80" s="148"/>
      <c r="AY80" s="148"/>
      <c r="AZ80" s="148"/>
      <c r="BA80" s="148"/>
      <c r="BB80" s="148"/>
      <c r="BC80" s="148"/>
      <c r="BD80" s="148"/>
      <c r="BE80" s="148"/>
      <c r="BF80" s="148"/>
      <c r="BG80" s="148"/>
      <c r="BH80" s="148"/>
      <c r="BI80" s="148"/>
      <c r="BJ80" s="148"/>
      <c r="BK80" s="148"/>
      <c r="BL80" s="148"/>
      <c r="BM80" s="148"/>
      <c r="BN80" s="148"/>
      <c r="BO80" s="148"/>
      <c r="BP80" s="148"/>
      <c r="BQ80" s="148"/>
      <c r="BR80" s="148"/>
    </row>
    <row r="81" spans="3:70" s="157" customFormat="1" x14ac:dyDescent="0.25">
      <c r="C81" s="147"/>
      <c r="D81" s="158"/>
      <c r="J81" s="56"/>
      <c r="K81" s="148"/>
      <c r="L81" s="148"/>
      <c r="M81" s="148"/>
      <c r="N81" s="148"/>
      <c r="O81" s="148"/>
      <c r="P81" s="148"/>
      <c r="Q81" s="148"/>
      <c r="R81" s="148"/>
      <c r="S81" s="148"/>
      <c r="T81" s="148"/>
      <c r="U81" s="148"/>
      <c r="V81" s="148"/>
      <c r="W81" s="148"/>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8"/>
      <c r="AU81" s="148"/>
      <c r="AV81" s="148"/>
      <c r="AW81" s="148"/>
      <c r="AX81" s="148"/>
      <c r="AY81" s="148"/>
      <c r="AZ81" s="148"/>
      <c r="BA81" s="148"/>
      <c r="BB81" s="148"/>
      <c r="BC81" s="148"/>
      <c r="BD81" s="148"/>
      <c r="BE81" s="148"/>
      <c r="BF81" s="148"/>
      <c r="BG81" s="148"/>
      <c r="BH81" s="148"/>
      <c r="BI81" s="148"/>
      <c r="BJ81" s="148"/>
      <c r="BK81" s="148"/>
      <c r="BL81" s="148"/>
      <c r="BM81" s="148"/>
      <c r="BN81" s="148"/>
      <c r="BO81" s="148"/>
      <c r="BP81" s="148"/>
      <c r="BQ81" s="148"/>
      <c r="BR81" s="148"/>
    </row>
    <row r="82" spans="3:70" s="157" customFormat="1" x14ac:dyDescent="0.25">
      <c r="C82" s="147"/>
      <c r="D82" s="158"/>
      <c r="J82" s="56"/>
      <c r="K82" s="148"/>
      <c r="L82" s="148"/>
      <c r="M82" s="148"/>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148"/>
      <c r="BC82" s="148"/>
      <c r="BD82" s="148"/>
      <c r="BE82" s="148"/>
      <c r="BF82" s="148"/>
      <c r="BG82" s="148"/>
      <c r="BH82" s="148"/>
      <c r="BI82" s="148"/>
      <c r="BJ82" s="148"/>
      <c r="BK82" s="148"/>
      <c r="BL82" s="148"/>
      <c r="BM82" s="148"/>
      <c r="BN82" s="148"/>
      <c r="BO82" s="148"/>
      <c r="BP82" s="148"/>
      <c r="BQ82" s="148"/>
      <c r="BR82" s="148"/>
    </row>
    <row r="83" spans="3:70" s="157" customFormat="1" x14ac:dyDescent="0.25">
      <c r="C83" s="147"/>
      <c r="D83" s="158"/>
      <c r="J83" s="56"/>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48"/>
      <c r="AZ83" s="148"/>
      <c r="BA83" s="148"/>
      <c r="BB83" s="148"/>
      <c r="BC83" s="148"/>
      <c r="BD83" s="148"/>
      <c r="BE83" s="148"/>
      <c r="BF83" s="148"/>
      <c r="BG83" s="148"/>
      <c r="BH83" s="148"/>
      <c r="BI83" s="148"/>
      <c r="BJ83" s="148"/>
      <c r="BK83" s="148"/>
      <c r="BL83" s="148"/>
      <c r="BM83" s="148"/>
      <c r="BN83" s="148"/>
      <c r="BO83" s="148"/>
      <c r="BP83" s="148"/>
      <c r="BQ83" s="148"/>
      <c r="BR83" s="148"/>
    </row>
    <row r="84" spans="3:70" s="157" customFormat="1" x14ac:dyDescent="0.25">
      <c r="C84" s="147"/>
      <c r="D84" s="158"/>
      <c r="J84" s="56"/>
      <c r="K84" s="148"/>
      <c r="L84" s="148"/>
      <c r="M84" s="148"/>
      <c r="N84" s="148"/>
      <c r="O84" s="148"/>
      <c r="P84" s="148"/>
      <c r="Q84" s="148"/>
      <c r="R84" s="148"/>
      <c r="S84" s="148"/>
      <c r="T84" s="148"/>
      <c r="U84" s="148"/>
      <c r="V84" s="148"/>
      <c r="W84" s="148"/>
      <c r="X84" s="148"/>
      <c r="Y84" s="148"/>
      <c r="Z84" s="148"/>
      <c r="AA84" s="148"/>
      <c r="AB84" s="148"/>
      <c r="AC84" s="148"/>
      <c r="AD84" s="148"/>
      <c r="AE84" s="148"/>
      <c r="AF84" s="148"/>
      <c r="AG84" s="148"/>
      <c r="AH84" s="148"/>
      <c r="AI84" s="148"/>
      <c r="AJ84" s="148"/>
      <c r="AK84" s="148"/>
      <c r="AL84" s="148"/>
      <c r="AM84" s="148"/>
      <c r="AN84" s="148"/>
      <c r="AO84" s="148"/>
      <c r="AP84" s="148"/>
      <c r="AQ84" s="148"/>
      <c r="AR84" s="148"/>
      <c r="AS84" s="148"/>
      <c r="AT84" s="148"/>
      <c r="AU84" s="148"/>
      <c r="AV84" s="148"/>
      <c r="AW84" s="148"/>
      <c r="AX84" s="148"/>
      <c r="AY84" s="148"/>
      <c r="AZ84" s="148"/>
      <c r="BA84" s="148"/>
      <c r="BB84" s="148"/>
      <c r="BC84" s="148"/>
      <c r="BD84" s="148"/>
      <c r="BE84" s="148"/>
      <c r="BF84" s="148"/>
      <c r="BG84" s="148"/>
      <c r="BH84" s="148"/>
      <c r="BI84" s="148"/>
      <c r="BJ84" s="148"/>
      <c r="BK84" s="148"/>
      <c r="BL84" s="148"/>
      <c r="BM84" s="148"/>
      <c r="BN84" s="148"/>
      <c r="BO84" s="148"/>
      <c r="BP84" s="148"/>
      <c r="BQ84" s="148"/>
      <c r="BR84" s="148"/>
    </row>
    <row r="85" spans="3:70" s="157" customFormat="1" x14ac:dyDescent="0.25">
      <c r="C85" s="147"/>
      <c r="D85" s="158"/>
      <c r="J85" s="56"/>
      <c r="K85" s="148"/>
      <c r="L85" s="148"/>
      <c r="M85" s="148"/>
      <c r="N85" s="148"/>
      <c r="O85" s="148"/>
      <c r="P85" s="148"/>
      <c r="Q85" s="148"/>
      <c r="R85" s="148"/>
      <c r="S85" s="148"/>
      <c r="T85" s="148"/>
      <c r="U85" s="148"/>
      <c r="V85" s="148"/>
      <c r="W85" s="148"/>
      <c r="X85" s="148"/>
      <c r="Y85" s="148"/>
      <c r="Z85" s="148"/>
      <c r="AA85" s="148"/>
      <c r="AB85" s="148"/>
      <c r="AC85" s="148"/>
      <c r="AD85" s="148"/>
      <c r="AE85" s="148"/>
      <c r="AF85" s="148"/>
      <c r="AG85" s="148"/>
      <c r="AH85" s="148"/>
      <c r="AI85" s="148"/>
      <c r="AJ85" s="148"/>
      <c r="AK85" s="148"/>
      <c r="AL85" s="148"/>
      <c r="AM85" s="148"/>
      <c r="AN85" s="148"/>
      <c r="AO85" s="148"/>
      <c r="AP85" s="148"/>
      <c r="AQ85" s="148"/>
      <c r="AR85" s="148"/>
      <c r="AS85" s="148"/>
      <c r="AT85" s="148"/>
      <c r="AU85" s="148"/>
      <c r="AV85" s="148"/>
      <c r="AW85" s="148"/>
      <c r="AX85" s="148"/>
      <c r="AY85" s="148"/>
      <c r="AZ85" s="148"/>
      <c r="BA85" s="148"/>
      <c r="BB85" s="148"/>
      <c r="BC85" s="148"/>
      <c r="BD85" s="148"/>
      <c r="BE85" s="148"/>
      <c r="BF85" s="148"/>
      <c r="BG85" s="148"/>
      <c r="BH85" s="148"/>
      <c r="BI85" s="148"/>
      <c r="BJ85" s="148"/>
      <c r="BK85" s="148"/>
      <c r="BL85" s="148"/>
      <c r="BM85" s="148"/>
      <c r="BN85" s="148"/>
      <c r="BO85" s="148"/>
      <c r="BP85" s="148"/>
      <c r="BQ85" s="148"/>
      <c r="BR85" s="148"/>
    </row>
    <row r="86" spans="3:70" s="157" customFormat="1" x14ac:dyDescent="0.25">
      <c r="C86" s="147"/>
      <c r="D86" s="158"/>
      <c r="J86" s="56"/>
      <c r="K86" s="148"/>
      <c r="L86" s="148"/>
      <c r="M86" s="148"/>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48"/>
      <c r="AZ86" s="148"/>
      <c r="BA86" s="148"/>
      <c r="BB86" s="148"/>
      <c r="BC86" s="148"/>
      <c r="BD86" s="148"/>
      <c r="BE86" s="148"/>
      <c r="BF86" s="148"/>
      <c r="BG86" s="148"/>
      <c r="BH86" s="148"/>
      <c r="BI86" s="148"/>
      <c r="BJ86" s="148"/>
      <c r="BK86" s="148"/>
      <c r="BL86" s="148"/>
      <c r="BM86" s="148"/>
      <c r="BN86" s="148"/>
      <c r="BO86" s="148"/>
      <c r="BP86" s="148"/>
      <c r="BQ86" s="148"/>
      <c r="BR86" s="148"/>
    </row>
    <row r="87" spans="3:70" s="157" customFormat="1" x14ac:dyDescent="0.25">
      <c r="C87" s="147"/>
      <c r="D87" s="158"/>
      <c r="J87" s="56"/>
      <c r="K87" s="148"/>
      <c r="L87" s="148"/>
      <c r="M87" s="148"/>
      <c r="N87" s="148"/>
      <c r="O87" s="148"/>
      <c r="P87" s="148"/>
      <c r="Q87" s="148"/>
      <c r="R87" s="148"/>
      <c r="S87" s="148"/>
      <c r="T87" s="148"/>
      <c r="U87" s="148"/>
      <c r="V87" s="148"/>
      <c r="W87" s="148"/>
      <c r="X87" s="148"/>
      <c r="Y87" s="148"/>
      <c r="Z87" s="148"/>
      <c r="AA87" s="148"/>
      <c r="AB87" s="148"/>
      <c r="AC87" s="148"/>
      <c r="AD87" s="148"/>
      <c r="AE87" s="148"/>
      <c r="AF87" s="148"/>
      <c r="AG87" s="148"/>
      <c r="AH87" s="148"/>
      <c r="AI87" s="148"/>
      <c r="AJ87" s="148"/>
      <c r="AK87" s="148"/>
      <c r="AL87" s="148"/>
      <c r="AM87" s="148"/>
      <c r="AN87" s="148"/>
      <c r="AO87" s="148"/>
      <c r="AP87" s="148"/>
      <c r="AQ87" s="148"/>
      <c r="AR87" s="148"/>
      <c r="AS87" s="148"/>
      <c r="AT87" s="148"/>
      <c r="AU87" s="148"/>
      <c r="AV87" s="148"/>
      <c r="AW87" s="148"/>
      <c r="AX87" s="148"/>
      <c r="AY87" s="148"/>
      <c r="AZ87" s="148"/>
      <c r="BA87" s="148"/>
      <c r="BB87" s="148"/>
      <c r="BC87" s="148"/>
      <c r="BD87" s="148"/>
      <c r="BE87" s="148"/>
      <c r="BF87" s="148"/>
      <c r="BG87" s="148"/>
      <c r="BH87" s="148"/>
      <c r="BI87" s="148"/>
      <c r="BJ87" s="148"/>
      <c r="BK87" s="148"/>
      <c r="BL87" s="148"/>
      <c r="BM87" s="148"/>
      <c r="BN87" s="148"/>
      <c r="BO87" s="148"/>
      <c r="BP87" s="148"/>
      <c r="BQ87" s="148"/>
      <c r="BR87" s="148"/>
    </row>
    <row r="88" spans="3:70" s="157" customFormat="1" x14ac:dyDescent="0.25">
      <c r="C88" s="147"/>
      <c r="D88" s="158"/>
      <c r="J88" s="56"/>
      <c r="K88" s="148"/>
      <c r="L88" s="148"/>
      <c r="M88" s="148"/>
      <c r="N88" s="148"/>
      <c r="O88" s="148"/>
      <c r="P88" s="148"/>
      <c r="Q88" s="148"/>
      <c r="R88" s="148"/>
      <c r="S88" s="148"/>
      <c r="T88" s="148"/>
      <c r="U88" s="148"/>
      <c r="V88" s="148"/>
      <c r="W88" s="148"/>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8"/>
      <c r="AU88" s="148"/>
      <c r="AV88" s="148"/>
      <c r="AW88" s="148"/>
      <c r="AX88" s="148"/>
      <c r="AY88" s="148"/>
      <c r="AZ88" s="148"/>
      <c r="BA88" s="148"/>
      <c r="BB88" s="148"/>
      <c r="BC88" s="148"/>
      <c r="BD88" s="148"/>
      <c r="BE88" s="148"/>
      <c r="BF88" s="148"/>
      <c r="BG88" s="148"/>
      <c r="BH88" s="148"/>
      <c r="BI88" s="148"/>
      <c r="BJ88" s="148"/>
      <c r="BK88" s="148"/>
      <c r="BL88" s="148"/>
      <c r="BM88" s="148"/>
      <c r="BN88" s="148"/>
      <c r="BO88" s="148"/>
      <c r="BP88" s="148"/>
      <c r="BQ88" s="148"/>
      <c r="BR88" s="148"/>
    </row>
    <row r="89" spans="3:70" s="157" customFormat="1" x14ac:dyDescent="0.25">
      <c r="C89" s="147"/>
      <c r="D89" s="158"/>
      <c r="J89" s="56"/>
      <c r="K89" s="148"/>
      <c r="L89" s="148"/>
      <c r="M89" s="148"/>
      <c r="N89" s="148"/>
      <c r="O89" s="148"/>
      <c r="P89" s="148"/>
      <c r="Q89" s="148"/>
      <c r="R89" s="148"/>
      <c r="S89" s="148"/>
      <c r="T89" s="148"/>
      <c r="U89" s="148"/>
      <c r="V89" s="148"/>
      <c r="W89" s="148"/>
      <c r="X89" s="148"/>
      <c r="Y89" s="148"/>
      <c r="Z89" s="148"/>
      <c r="AA89" s="148"/>
      <c r="AB89" s="148"/>
      <c r="AC89" s="148"/>
      <c r="AD89" s="148"/>
      <c r="AE89" s="148"/>
      <c r="AF89" s="148"/>
      <c r="AG89" s="148"/>
      <c r="AH89" s="148"/>
      <c r="AI89" s="148"/>
      <c r="AJ89" s="148"/>
      <c r="AK89" s="148"/>
      <c r="AL89" s="148"/>
      <c r="AM89" s="148"/>
      <c r="AN89" s="148"/>
      <c r="AO89" s="148"/>
      <c r="AP89" s="148"/>
      <c r="AQ89" s="148"/>
      <c r="AR89" s="148"/>
      <c r="AS89" s="148"/>
      <c r="AT89" s="148"/>
      <c r="AU89" s="148"/>
      <c r="AV89" s="148"/>
      <c r="AW89" s="148"/>
      <c r="AX89" s="148"/>
      <c r="AY89" s="148"/>
      <c r="AZ89" s="148"/>
      <c r="BA89" s="148"/>
      <c r="BB89" s="148"/>
      <c r="BC89" s="148"/>
      <c r="BD89" s="148"/>
      <c r="BE89" s="148"/>
      <c r="BF89" s="148"/>
      <c r="BG89" s="148"/>
      <c r="BH89" s="148"/>
      <c r="BI89" s="148"/>
      <c r="BJ89" s="148"/>
      <c r="BK89" s="148"/>
      <c r="BL89" s="148"/>
      <c r="BM89" s="148"/>
      <c r="BN89" s="148"/>
      <c r="BO89" s="148"/>
      <c r="BP89" s="148"/>
      <c r="BQ89" s="148"/>
      <c r="BR89" s="148"/>
    </row>
    <row r="90" spans="3:70" s="157" customFormat="1" x14ac:dyDescent="0.25">
      <c r="C90" s="147"/>
      <c r="D90" s="158"/>
      <c r="J90" s="56"/>
      <c r="K90" s="148"/>
      <c r="L90" s="148"/>
      <c r="M90" s="148"/>
      <c r="N90" s="148"/>
      <c r="O90" s="148"/>
      <c r="P90" s="148"/>
      <c r="Q90" s="148"/>
      <c r="R90" s="148"/>
      <c r="S90" s="148"/>
      <c r="T90" s="148"/>
      <c r="U90" s="148"/>
      <c r="V90" s="148"/>
      <c r="W90" s="148"/>
      <c r="X90" s="148"/>
      <c r="Y90" s="148"/>
      <c r="Z90" s="148"/>
      <c r="AA90" s="148"/>
      <c r="AB90" s="148"/>
      <c r="AC90" s="148"/>
      <c r="AD90" s="148"/>
      <c r="AE90" s="148"/>
      <c r="AF90" s="148"/>
      <c r="AG90" s="148"/>
      <c r="AH90" s="148"/>
      <c r="AI90" s="148"/>
      <c r="AJ90" s="148"/>
      <c r="AK90" s="148"/>
      <c r="AL90" s="148"/>
      <c r="AM90" s="148"/>
      <c r="AN90" s="148"/>
      <c r="AO90" s="148"/>
      <c r="AP90" s="148"/>
      <c r="AQ90" s="148"/>
      <c r="AR90" s="148"/>
      <c r="AS90" s="148"/>
      <c r="AT90" s="148"/>
      <c r="AU90" s="148"/>
      <c r="AV90" s="148"/>
      <c r="AW90" s="148"/>
      <c r="AX90" s="148"/>
      <c r="AY90" s="148"/>
      <c r="AZ90" s="148"/>
      <c r="BA90" s="148"/>
      <c r="BB90" s="148"/>
      <c r="BC90" s="148"/>
      <c r="BD90" s="148"/>
      <c r="BE90" s="148"/>
      <c r="BF90" s="148"/>
      <c r="BG90" s="148"/>
      <c r="BH90" s="148"/>
      <c r="BI90" s="148"/>
      <c r="BJ90" s="148"/>
      <c r="BK90" s="148"/>
      <c r="BL90" s="148"/>
      <c r="BM90" s="148"/>
      <c r="BN90" s="148"/>
      <c r="BO90" s="148"/>
      <c r="BP90" s="148"/>
      <c r="BQ90" s="148"/>
      <c r="BR90" s="148"/>
    </row>
    <row r="91" spans="3:70" s="157" customFormat="1" x14ac:dyDescent="0.25">
      <c r="C91" s="147"/>
      <c r="D91" s="158"/>
      <c r="J91" s="56"/>
      <c r="K91" s="148"/>
      <c r="L91" s="148"/>
      <c r="M91" s="148"/>
      <c r="N91" s="148"/>
      <c r="O91" s="148"/>
      <c r="P91" s="148"/>
      <c r="Q91" s="148"/>
      <c r="R91" s="148"/>
      <c r="S91" s="148"/>
      <c r="T91" s="148"/>
      <c r="U91" s="148"/>
      <c r="V91" s="148"/>
      <c r="W91" s="148"/>
      <c r="X91" s="148"/>
      <c r="Y91" s="148"/>
      <c r="Z91" s="148"/>
      <c r="AA91" s="148"/>
      <c r="AB91" s="148"/>
      <c r="AC91" s="148"/>
      <c r="AD91" s="148"/>
      <c r="AE91" s="148"/>
      <c r="AF91" s="148"/>
      <c r="AG91" s="148"/>
      <c r="AH91" s="148"/>
      <c r="AI91" s="148"/>
      <c r="AJ91" s="148"/>
      <c r="AK91" s="148"/>
      <c r="AL91" s="148"/>
      <c r="AM91" s="148"/>
      <c r="AN91" s="148"/>
      <c r="AO91" s="148"/>
      <c r="AP91" s="148"/>
      <c r="AQ91" s="148"/>
      <c r="AR91" s="148"/>
      <c r="AS91" s="148"/>
      <c r="AT91" s="148"/>
      <c r="AU91" s="148"/>
      <c r="AV91" s="148"/>
      <c r="AW91" s="148"/>
      <c r="AX91" s="148"/>
      <c r="AY91" s="148"/>
      <c r="AZ91" s="148"/>
      <c r="BA91" s="148"/>
      <c r="BB91" s="148"/>
      <c r="BC91" s="148"/>
      <c r="BD91" s="148"/>
      <c r="BE91" s="148"/>
      <c r="BF91" s="148"/>
      <c r="BG91" s="148"/>
      <c r="BH91" s="148"/>
      <c r="BI91" s="148"/>
      <c r="BJ91" s="148"/>
      <c r="BK91" s="148"/>
      <c r="BL91" s="148"/>
      <c r="BM91" s="148"/>
      <c r="BN91" s="148"/>
      <c r="BO91" s="148"/>
      <c r="BP91" s="148"/>
      <c r="BQ91" s="148"/>
      <c r="BR91" s="148"/>
    </row>
    <row r="92" spans="3:70" s="157" customFormat="1" x14ac:dyDescent="0.25">
      <c r="C92" s="147"/>
      <c r="D92" s="158"/>
      <c r="J92" s="56"/>
      <c r="K92" s="148"/>
      <c r="L92" s="148"/>
      <c r="M92" s="148"/>
      <c r="N92" s="148"/>
      <c r="O92" s="148"/>
      <c r="P92" s="148"/>
      <c r="Q92" s="148"/>
      <c r="R92" s="148"/>
      <c r="S92" s="148"/>
      <c r="T92" s="148"/>
      <c r="U92" s="148"/>
      <c r="V92" s="148"/>
      <c r="W92" s="148"/>
      <c r="X92" s="148"/>
      <c r="Y92" s="148"/>
      <c r="Z92" s="148"/>
      <c r="AA92" s="148"/>
      <c r="AB92" s="148"/>
      <c r="AC92" s="148"/>
      <c r="AD92" s="148"/>
      <c r="AE92" s="148"/>
      <c r="AF92" s="148"/>
      <c r="AG92" s="148"/>
      <c r="AH92" s="148"/>
      <c r="AI92" s="148"/>
      <c r="AJ92" s="148"/>
      <c r="AK92" s="148"/>
      <c r="AL92" s="148"/>
      <c r="AM92" s="148"/>
      <c r="AN92" s="148"/>
      <c r="AO92" s="148"/>
      <c r="AP92" s="148"/>
      <c r="AQ92" s="148"/>
      <c r="AR92" s="148"/>
      <c r="AS92" s="148"/>
      <c r="AT92" s="148"/>
      <c r="AU92" s="148"/>
      <c r="AV92" s="148"/>
      <c r="AW92" s="148"/>
      <c r="AX92" s="148"/>
      <c r="AY92" s="148"/>
      <c r="AZ92" s="148"/>
      <c r="BA92" s="148"/>
      <c r="BB92" s="148"/>
      <c r="BC92" s="148"/>
      <c r="BD92" s="148"/>
      <c r="BE92" s="148"/>
      <c r="BF92" s="148"/>
      <c r="BG92" s="148"/>
      <c r="BH92" s="148"/>
      <c r="BI92" s="148"/>
      <c r="BJ92" s="148"/>
      <c r="BK92" s="148"/>
      <c r="BL92" s="148"/>
      <c r="BM92" s="148"/>
      <c r="BN92" s="148"/>
      <c r="BO92" s="148"/>
      <c r="BP92" s="148"/>
      <c r="BQ92" s="148"/>
      <c r="BR92" s="148"/>
    </row>
    <row r="93" spans="3:70" s="157" customFormat="1" x14ac:dyDescent="0.25">
      <c r="C93" s="147"/>
      <c r="D93" s="158"/>
      <c r="J93" s="56"/>
      <c r="K93" s="148"/>
      <c r="L93" s="148"/>
      <c r="M93" s="148"/>
      <c r="N93" s="148"/>
      <c r="O93" s="148"/>
      <c r="P93" s="148"/>
      <c r="Q93" s="148"/>
      <c r="R93" s="148"/>
      <c r="S93" s="148"/>
      <c r="T93" s="148"/>
      <c r="U93" s="148"/>
      <c r="V93" s="148"/>
      <c r="W93" s="148"/>
      <c r="X93" s="148"/>
      <c r="Y93" s="148"/>
      <c r="Z93" s="148"/>
      <c r="AA93" s="148"/>
      <c r="AB93" s="148"/>
      <c r="AC93" s="148"/>
      <c r="AD93" s="148"/>
      <c r="AE93" s="148"/>
      <c r="AF93" s="148"/>
      <c r="AG93" s="148"/>
      <c r="AH93" s="148"/>
      <c r="AI93" s="148"/>
      <c r="AJ93" s="148"/>
      <c r="AK93" s="148"/>
      <c r="AL93" s="148"/>
      <c r="AM93" s="148"/>
      <c r="AN93" s="148"/>
      <c r="AO93" s="148"/>
      <c r="AP93" s="148"/>
      <c r="AQ93" s="148"/>
      <c r="AR93" s="148"/>
      <c r="AS93" s="148"/>
      <c r="AT93" s="148"/>
      <c r="AU93" s="148"/>
      <c r="AV93" s="148"/>
      <c r="AW93" s="148"/>
      <c r="AX93" s="148"/>
      <c r="AY93" s="148"/>
      <c r="AZ93" s="148"/>
      <c r="BA93" s="148"/>
      <c r="BB93" s="148"/>
      <c r="BC93" s="148"/>
      <c r="BD93" s="148"/>
      <c r="BE93" s="148"/>
      <c r="BF93" s="148"/>
      <c r="BG93" s="148"/>
      <c r="BH93" s="148"/>
      <c r="BI93" s="148"/>
      <c r="BJ93" s="148"/>
      <c r="BK93" s="148"/>
      <c r="BL93" s="148"/>
      <c r="BM93" s="148"/>
      <c r="BN93" s="148"/>
      <c r="BO93" s="148"/>
      <c r="BP93" s="148"/>
      <c r="BQ93" s="148"/>
      <c r="BR93" s="148"/>
    </row>
    <row r="94" spans="3:70" s="157" customFormat="1" x14ac:dyDescent="0.25">
      <c r="C94" s="147"/>
      <c r="D94" s="158"/>
      <c r="J94" s="56"/>
      <c r="K94" s="148"/>
      <c r="L94" s="148"/>
      <c r="M94" s="148"/>
      <c r="N94" s="148"/>
      <c r="O94" s="148"/>
      <c r="P94" s="148"/>
      <c r="Q94" s="148"/>
      <c r="R94" s="148"/>
      <c r="S94" s="148"/>
      <c r="T94" s="148"/>
      <c r="U94" s="148"/>
      <c r="V94" s="148"/>
      <c r="W94" s="148"/>
      <c r="X94" s="148"/>
      <c r="Y94" s="148"/>
      <c r="Z94" s="148"/>
      <c r="AA94" s="148"/>
      <c r="AB94" s="148"/>
      <c r="AC94" s="148"/>
      <c r="AD94" s="148"/>
      <c r="AE94" s="148"/>
      <c r="AF94" s="148"/>
      <c r="AG94" s="148"/>
      <c r="AH94" s="148"/>
      <c r="AI94" s="148"/>
      <c r="AJ94" s="148"/>
      <c r="AK94" s="148"/>
      <c r="AL94" s="148"/>
      <c r="AM94" s="148"/>
      <c r="AN94" s="148"/>
      <c r="AO94" s="148"/>
      <c r="AP94" s="148"/>
      <c r="AQ94" s="148"/>
      <c r="AR94" s="148"/>
      <c r="AS94" s="148"/>
      <c r="AT94" s="148"/>
      <c r="AU94" s="148"/>
      <c r="AV94" s="148"/>
      <c r="AW94" s="148"/>
      <c r="AX94" s="148"/>
      <c r="AY94" s="148"/>
      <c r="AZ94" s="148"/>
      <c r="BA94" s="148"/>
      <c r="BB94" s="148"/>
      <c r="BC94" s="148"/>
      <c r="BD94" s="148"/>
      <c r="BE94" s="148"/>
      <c r="BF94" s="148"/>
      <c r="BG94" s="148"/>
      <c r="BH94" s="148"/>
      <c r="BI94" s="148"/>
      <c r="BJ94" s="148"/>
      <c r="BK94" s="148"/>
      <c r="BL94" s="148"/>
      <c r="BM94" s="148"/>
      <c r="BN94" s="148"/>
      <c r="BO94" s="148"/>
      <c r="BP94" s="148"/>
      <c r="BQ94" s="148"/>
      <c r="BR94" s="148"/>
    </row>
    <row r="95" spans="3:70" s="157" customFormat="1" x14ac:dyDescent="0.25">
      <c r="C95" s="147"/>
      <c r="D95" s="158"/>
      <c r="J95" s="56"/>
      <c r="K95" s="148"/>
      <c r="L95" s="148"/>
      <c r="M95" s="148"/>
      <c r="N95" s="148"/>
      <c r="O95" s="148"/>
      <c r="P95" s="148"/>
      <c r="Q95" s="148"/>
      <c r="R95" s="148"/>
      <c r="S95" s="148"/>
      <c r="T95" s="148"/>
      <c r="U95" s="148"/>
      <c r="V95" s="148"/>
      <c r="W95" s="148"/>
      <c r="X95" s="148"/>
      <c r="Y95" s="148"/>
      <c r="Z95" s="148"/>
      <c r="AA95" s="148"/>
      <c r="AB95" s="148"/>
      <c r="AC95" s="148"/>
      <c r="AD95" s="148"/>
      <c r="AE95" s="148"/>
      <c r="AF95" s="148"/>
      <c r="AG95" s="148"/>
      <c r="AH95" s="148"/>
      <c r="AI95" s="148"/>
      <c r="AJ95" s="148"/>
      <c r="AK95" s="148"/>
      <c r="AL95" s="148"/>
      <c r="AM95" s="148"/>
      <c r="AN95" s="148"/>
      <c r="AO95" s="148"/>
      <c r="AP95" s="148"/>
      <c r="AQ95" s="148"/>
      <c r="AR95" s="148"/>
      <c r="AS95" s="148"/>
      <c r="AT95" s="148"/>
      <c r="AU95" s="148"/>
      <c r="AV95" s="148"/>
      <c r="AW95" s="148"/>
      <c r="AX95" s="148"/>
      <c r="AY95" s="148"/>
      <c r="AZ95" s="148"/>
      <c r="BA95" s="148"/>
      <c r="BB95" s="148"/>
      <c r="BC95" s="148"/>
      <c r="BD95" s="148"/>
      <c r="BE95" s="148"/>
      <c r="BF95" s="148"/>
      <c r="BG95" s="148"/>
      <c r="BH95" s="148"/>
      <c r="BI95" s="148"/>
      <c r="BJ95" s="148"/>
      <c r="BK95" s="148"/>
      <c r="BL95" s="148"/>
      <c r="BM95" s="148"/>
      <c r="BN95" s="148"/>
      <c r="BO95" s="148"/>
      <c r="BP95" s="148"/>
      <c r="BQ95" s="148"/>
      <c r="BR95" s="148"/>
    </row>
    <row r="96" spans="3:70" s="157" customFormat="1" x14ac:dyDescent="0.25">
      <c r="C96" s="147"/>
      <c r="D96" s="158"/>
      <c r="J96" s="56"/>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8"/>
      <c r="AH96" s="148"/>
      <c r="AI96" s="148"/>
      <c r="AJ96" s="148"/>
      <c r="AK96" s="148"/>
      <c r="AL96" s="148"/>
      <c r="AM96" s="148"/>
      <c r="AN96" s="148"/>
      <c r="AO96" s="148"/>
      <c r="AP96" s="148"/>
      <c r="AQ96" s="148"/>
      <c r="AR96" s="148"/>
      <c r="AS96" s="148"/>
      <c r="AT96" s="148"/>
      <c r="AU96" s="148"/>
      <c r="AV96" s="148"/>
      <c r="AW96" s="148"/>
      <c r="AX96" s="148"/>
      <c r="AY96" s="148"/>
      <c r="AZ96" s="148"/>
      <c r="BA96" s="148"/>
      <c r="BB96" s="148"/>
      <c r="BC96" s="148"/>
      <c r="BD96" s="148"/>
      <c r="BE96" s="148"/>
      <c r="BF96" s="148"/>
      <c r="BG96" s="148"/>
      <c r="BH96" s="148"/>
      <c r="BI96" s="148"/>
      <c r="BJ96" s="148"/>
      <c r="BK96" s="148"/>
      <c r="BL96" s="148"/>
      <c r="BM96" s="148"/>
      <c r="BN96" s="148"/>
      <c r="BO96" s="148"/>
      <c r="BP96" s="148"/>
      <c r="BQ96" s="148"/>
      <c r="BR96" s="148"/>
    </row>
    <row r="97" spans="3:70" s="157" customFormat="1" x14ac:dyDescent="0.25">
      <c r="C97" s="147"/>
      <c r="D97" s="158"/>
      <c r="J97" s="56"/>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8"/>
      <c r="AU97" s="148"/>
      <c r="AV97" s="148"/>
      <c r="AW97" s="148"/>
      <c r="AX97" s="148"/>
      <c r="AY97" s="148"/>
      <c r="AZ97" s="148"/>
      <c r="BA97" s="148"/>
      <c r="BB97" s="148"/>
      <c r="BC97" s="148"/>
      <c r="BD97" s="148"/>
      <c r="BE97" s="148"/>
      <c r="BF97" s="148"/>
      <c r="BG97" s="148"/>
      <c r="BH97" s="148"/>
      <c r="BI97" s="148"/>
      <c r="BJ97" s="148"/>
      <c r="BK97" s="148"/>
      <c r="BL97" s="148"/>
      <c r="BM97" s="148"/>
      <c r="BN97" s="148"/>
      <c r="BO97" s="148"/>
      <c r="BP97" s="148"/>
      <c r="BQ97" s="148"/>
      <c r="BR97" s="148"/>
    </row>
  </sheetData>
  <pageMargins left="0.7" right="0.7" top="0.75" bottom="0.75" header="0.3" footer="0.3"/>
  <pageSetup paperSize="9" orientation="portrait"/>
  <ignoredErrors>
    <ignoredError sqref="D31 D41 D51 D61 D71" unlockedFormula="1"/>
  </ignoredErrors>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A1:BZ172"/>
  <sheetViews>
    <sheetView showGridLines="0" zoomScale="70" zoomScaleNormal="70" zoomScalePageLayoutView="70" workbookViewId="0">
      <pane xSplit="10" ySplit="8" topLeftCell="K159" activePane="bottomRight" state="frozen"/>
      <selection activeCell="C10" sqref="C10"/>
      <selection pane="topRight" activeCell="C10" sqref="C10"/>
      <selection pane="bottomLeft" activeCell="C10" sqref="C10"/>
      <selection pane="bottomRight" activeCell="E28" sqref="E28"/>
    </sheetView>
  </sheetViews>
  <sheetFormatPr defaultColWidth="0" defaultRowHeight="13.2" outlineLevelRow="1" x14ac:dyDescent="0.25"/>
  <cols>
    <col min="1" max="1" width="3.44140625" style="139" customWidth="1"/>
    <col min="2" max="2" width="5.6640625" style="139" customWidth="1"/>
    <col min="3" max="3" width="34.44140625" style="139" bestFit="1" customWidth="1"/>
    <col min="4" max="4" width="14.109375" style="139" bestFit="1" customWidth="1"/>
    <col min="5" max="6" width="11.33203125" style="139" bestFit="1" customWidth="1"/>
    <col min="7" max="9" width="10" style="139" bestFit="1" customWidth="1"/>
    <col min="10" max="10" width="8.44140625" style="139" bestFit="1" customWidth="1"/>
    <col min="11" max="34" width="11.33203125" style="139" bestFit="1" customWidth="1"/>
    <col min="35" max="35" width="9.44140625" style="139" bestFit="1" customWidth="1"/>
    <col min="36" max="36" width="10.44140625" style="139" bestFit="1" customWidth="1"/>
    <col min="37" max="37" width="10.33203125" style="139" bestFit="1" customWidth="1"/>
    <col min="38" max="38" width="10" style="139" bestFit="1" customWidth="1"/>
    <col min="39" max="40" width="10.33203125" style="139" bestFit="1" customWidth="1"/>
    <col min="41" max="41" width="10" style="139" bestFit="1" customWidth="1"/>
    <col min="42" max="44" width="10.109375" style="139" bestFit="1" customWidth="1"/>
    <col min="45" max="45" width="10.44140625" style="139" bestFit="1" customWidth="1"/>
    <col min="46" max="46" width="10" style="139" bestFit="1" customWidth="1"/>
    <col min="47" max="47" width="9.44140625" style="139" bestFit="1" customWidth="1"/>
    <col min="48" max="48" width="10.44140625" style="139" bestFit="1" customWidth="1"/>
    <col min="49" max="49" width="10.33203125" style="139" bestFit="1" customWidth="1"/>
    <col min="50" max="50" width="10" style="139" bestFit="1" customWidth="1"/>
    <col min="51" max="52" width="10.33203125" style="139" bestFit="1" customWidth="1"/>
    <col min="53" max="53" width="10" style="139" bestFit="1" customWidth="1"/>
    <col min="54" max="56" width="10.109375" style="139" bestFit="1" customWidth="1"/>
    <col min="57" max="57" width="10.44140625" style="139" bestFit="1" customWidth="1"/>
    <col min="58" max="58" width="10" style="139" bestFit="1" customWidth="1"/>
    <col min="59" max="59" width="9.44140625" style="139" bestFit="1" customWidth="1"/>
    <col min="60" max="60" width="10.44140625" style="139" bestFit="1" customWidth="1"/>
    <col min="61" max="61" width="10.33203125" style="139" bestFit="1" customWidth="1"/>
    <col min="62" max="62" width="10" style="139" bestFit="1" customWidth="1"/>
    <col min="63" max="64" width="10.33203125" style="139" bestFit="1" customWidth="1"/>
    <col min="65" max="65" width="10" style="139" bestFit="1" customWidth="1"/>
    <col min="66" max="68" width="10.109375" style="139" bestFit="1" customWidth="1"/>
    <col min="69" max="69" width="10.44140625" style="139" bestFit="1" customWidth="1"/>
    <col min="70" max="70" width="10" style="139" bestFit="1" customWidth="1"/>
    <col min="71" max="71" width="3" style="139" customWidth="1"/>
    <col min="72" max="72" width="10.33203125" style="71" bestFit="1" customWidth="1"/>
    <col min="73" max="78" width="9.109375" style="139" customWidth="1"/>
    <col min="79" max="16384" width="9.109375" style="139" hidden="1"/>
  </cols>
  <sheetData>
    <row r="1" spans="1:78" s="285" customFormat="1" x14ac:dyDescent="0.25"/>
    <row r="2" spans="1:78" s="285" customFormat="1" x14ac:dyDescent="0.25"/>
    <row r="3" spans="1:78" s="285" customFormat="1" x14ac:dyDescent="0.25">
      <c r="A3" s="286" t="str">
        <f>IF(KeyInputs!$F$14=0,"Company Name",KeyInputs!$F$14)</f>
        <v>Company Name</v>
      </c>
    </row>
    <row r="4" spans="1:78" s="285" customFormat="1" x14ac:dyDescent="0.25">
      <c r="A4" s="285" t="s">
        <v>18</v>
      </c>
    </row>
    <row r="5" spans="1:78" s="288" customFormat="1" x14ac:dyDescent="0.25">
      <c r="A5" s="285"/>
      <c r="B5" s="285"/>
      <c r="C5" s="285"/>
      <c r="D5" s="287" t="str">
        <f>KeyInputs!D5</f>
        <v>Year</v>
      </c>
      <c r="E5" s="285">
        <f>KeyInputs!H5</f>
        <v>2015</v>
      </c>
      <c r="F5" s="285">
        <f>KeyInputs!I5</f>
        <v>2016</v>
      </c>
      <c r="G5" s="285">
        <f>KeyInputs!J5</f>
        <v>2017</v>
      </c>
      <c r="H5" s="285">
        <f>KeyInputs!K5</f>
        <v>2018</v>
      </c>
      <c r="I5" s="285">
        <f>KeyInputs!L5</f>
        <v>2019</v>
      </c>
      <c r="J5" s="285"/>
      <c r="K5" s="288">
        <f>KeyInputs!N5</f>
        <v>2015</v>
      </c>
      <c r="L5" s="288">
        <f>KeyInputs!O5</f>
        <v>2015</v>
      </c>
      <c r="M5" s="288">
        <f>KeyInputs!P5</f>
        <v>2015</v>
      </c>
      <c r="N5" s="288">
        <f>KeyInputs!Q5</f>
        <v>2015</v>
      </c>
      <c r="O5" s="288">
        <f>KeyInputs!R5</f>
        <v>2015</v>
      </c>
      <c r="P5" s="288">
        <f>KeyInputs!S5</f>
        <v>2015</v>
      </c>
      <c r="Q5" s="288">
        <f>KeyInputs!T5</f>
        <v>2015</v>
      </c>
      <c r="R5" s="288">
        <f>KeyInputs!U5</f>
        <v>2015</v>
      </c>
      <c r="S5" s="288">
        <f>KeyInputs!V5</f>
        <v>2015</v>
      </c>
      <c r="T5" s="288">
        <f>KeyInputs!W5</f>
        <v>2015</v>
      </c>
      <c r="U5" s="288">
        <f>KeyInputs!X5</f>
        <v>2015</v>
      </c>
      <c r="V5" s="288">
        <f>KeyInputs!Y5</f>
        <v>2015</v>
      </c>
      <c r="W5" s="288">
        <f>KeyInputs!Z5</f>
        <v>2016</v>
      </c>
      <c r="X5" s="288">
        <f>KeyInputs!AA5</f>
        <v>2016</v>
      </c>
      <c r="Y5" s="288">
        <f>KeyInputs!AB5</f>
        <v>2016</v>
      </c>
      <c r="Z5" s="288">
        <f>KeyInputs!AC5</f>
        <v>2016</v>
      </c>
      <c r="AA5" s="288">
        <f>KeyInputs!AD5</f>
        <v>2016</v>
      </c>
      <c r="AB5" s="288">
        <f>KeyInputs!AE5</f>
        <v>2016</v>
      </c>
      <c r="AC5" s="288">
        <f>KeyInputs!AF5</f>
        <v>2016</v>
      </c>
      <c r="AD5" s="288">
        <f>KeyInputs!AG5</f>
        <v>2016</v>
      </c>
      <c r="AE5" s="288">
        <f>KeyInputs!AH5</f>
        <v>2016</v>
      </c>
      <c r="AF5" s="288">
        <f>KeyInputs!AI5</f>
        <v>2016</v>
      </c>
      <c r="AG5" s="288">
        <f>KeyInputs!AJ5</f>
        <v>2016</v>
      </c>
      <c r="AH5" s="288">
        <f>KeyInputs!AK5</f>
        <v>2016</v>
      </c>
      <c r="AI5" s="288">
        <f>KeyInputs!AL5</f>
        <v>2017</v>
      </c>
      <c r="AJ5" s="288">
        <f>KeyInputs!AM5</f>
        <v>2017</v>
      </c>
      <c r="AK5" s="288">
        <f>KeyInputs!AN5</f>
        <v>2017</v>
      </c>
      <c r="AL5" s="288">
        <f>KeyInputs!AO5</f>
        <v>2017</v>
      </c>
      <c r="AM5" s="288">
        <f>KeyInputs!AP5</f>
        <v>2017</v>
      </c>
      <c r="AN5" s="288">
        <f>KeyInputs!AQ5</f>
        <v>2017</v>
      </c>
      <c r="AO5" s="288">
        <f>KeyInputs!AR5</f>
        <v>2017</v>
      </c>
      <c r="AP5" s="288">
        <f>KeyInputs!AS5</f>
        <v>2017</v>
      </c>
      <c r="AQ5" s="288">
        <f>KeyInputs!AT5</f>
        <v>2017</v>
      </c>
      <c r="AR5" s="288">
        <f>KeyInputs!AU5</f>
        <v>2017</v>
      </c>
      <c r="AS5" s="288">
        <f>KeyInputs!AV5</f>
        <v>2017</v>
      </c>
      <c r="AT5" s="288">
        <f>KeyInputs!AW5</f>
        <v>2017</v>
      </c>
      <c r="AU5" s="288">
        <f>KeyInputs!AX5</f>
        <v>2018</v>
      </c>
      <c r="AV5" s="288">
        <f>KeyInputs!AY5</f>
        <v>2018</v>
      </c>
      <c r="AW5" s="288">
        <f>KeyInputs!AZ5</f>
        <v>2018</v>
      </c>
      <c r="AX5" s="288">
        <f>KeyInputs!BA5</f>
        <v>2018</v>
      </c>
      <c r="AY5" s="288">
        <f>KeyInputs!BB5</f>
        <v>2018</v>
      </c>
      <c r="AZ5" s="288">
        <f>KeyInputs!BC5</f>
        <v>2018</v>
      </c>
      <c r="BA5" s="288">
        <f>KeyInputs!BD5</f>
        <v>2018</v>
      </c>
      <c r="BB5" s="288">
        <f>KeyInputs!BE5</f>
        <v>2018</v>
      </c>
      <c r="BC5" s="288">
        <f>KeyInputs!BF5</f>
        <v>2018</v>
      </c>
      <c r="BD5" s="288">
        <f>KeyInputs!BG5</f>
        <v>2018</v>
      </c>
      <c r="BE5" s="288">
        <f>KeyInputs!BH5</f>
        <v>2018</v>
      </c>
      <c r="BF5" s="288">
        <f>KeyInputs!BI5</f>
        <v>2018</v>
      </c>
      <c r="BG5" s="288">
        <f>KeyInputs!BJ5</f>
        <v>2019</v>
      </c>
      <c r="BH5" s="288">
        <f>KeyInputs!BK5</f>
        <v>2019</v>
      </c>
      <c r="BI5" s="288">
        <f>KeyInputs!BL5</f>
        <v>2019</v>
      </c>
      <c r="BJ5" s="288">
        <f>KeyInputs!BM5</f>
        <v>2019</v>
      </c>
      <c r="BK5" s="288">
        <f>KeyInputs!BN5</f>
        <v>2019</v>
      </c>
      <c r="BL5" s="288">
        <f>KeyInputs!BO5</f>
        <v>2019</v>
      </c>
      <c r="BM5" s="288">
        <f>KeyInputs!BP5</f>
        <v>2019</v>
      </c>
      <c r="BN5" s="288">
        <f>KeyInputs!BQ5</f>
        <v>2019</v>
      </c>
      <c r="BO5" s="288">
        <f>KeyInputs!BR5</f>
        <v>2019</v>
      </c>
      <c r="BP5" s="288">
        <f>KeyInputs!BS5</f>
        <v>2019</v>
      </c>
      <c r="BQ5" s="288">
        <f>KeyInputs!BT5</f>
        <v>2019</v>
      </c>
      <c r="BR5" s="288">
        <f>KeyInputs!BU5</f>
        <v>2019</v>
      </c>
    </row>
    <row r="6" spans="1:78" s="288" customFormat="1" x14ac:dyDescent="0.25">
      <c r="A6" s="285"/>
      <c r="B6" s="285"/>
      <c r="C6" s="285"/>
      <c r="D6" s="287" t="str">
        <f>KeyInputs!D6</f>
        <v>Period number</v>
      </c>
      <c r="E6" s="285">
        <f>KeyInputs!H6</f>
        <v>1</v>
      </c>
      <c r="F6" s="285">
        <f>KeyInputs!I6</f>
        <v>2</v>
      </c>
      <c r="G6" s="285">
        <f>KeyInputs!J6</f>
        <v>3</v>
      </c>
      <c r="H6" s="285">
        <f>KeyInputs!K6</f>
        <v>4</v>
      </c>
      <c r="I6" s="285">
        <f>KeyInputs!L6</f>
        <v>5</v>
      </c>
      <c r="J6" s="285"/>
      <c r="K6" s="288">
        <f>KeyInputs!N6</f>
        <v>1</v>
      </c>
      <c r="L6" s="288">
        <f>KeyInputs!O6</f>
        <v>2</v>
      </c>
      <c r="M6" s="288">
        <f>KeyInputs!P6</f>
        <v>3</v>
      </c>
      <c r="N6" s="288">
        <f>KeyInputs!Q6</f>
        <v>4</v>
      </c>
      <c r="O6" s="288">
        <f>KeyInputs!R6</f>
        <v>5</v>
      </c>
      <c r="P6" s="288">
        <f>KeyInputs!S6</f>
        <v>6</v>
      </c>
      <c r="Q6" s="288">
        <f>KeyInputs!T6</f>
        <v>7</v>
      </c>
      <c r="R6" s="288">
        <f>KeyInputs!U6</f>
        <v>8</v>
      </c>
      <c r="S6" s="288">
        <f>KeyInputs!V6</f>
        <v>9</v>
      </c>
      <c r="T6" s="288">
        <f>KeyInputs!W6</f>
        <v>10</v>
      </c>
      <c r="U6" s="288">
        <f>KeyInputs!X6</f>
        <v>11</v>
      </c>
      <c r="V6" s="288">
        <f>KeyInputs!Y6</f>
        <v>12</v>
      </c>
      <c r="W6" s="288">
        <f>KeyInputs!Z6</f>
        <v>13</v>
      </c>
      <c r="X6" s="288">
        <f>KeyInputs!AA6</f>
        <v>14</v>
      </c>
      <c r="Y6" s="288">
        <f>KeyInputs!AB6</f>
        <v>15</v>
      </c>
      <c r="Z6" s="288">
        <f>KeyInputs!AC6</f>
        <v>16</v>
      </c>
      <c r="AA6" s="288">
        <f>KeyInputs!AD6</f>
        <v>17</v>
      </c>
      <c r="AB6" s="288">
        <f>KeyInputs!AE6</f>
        <v>18</v>
      </c>
      <c r="AC6" s="288">
        <f>KeyInputs!AF6</f>
        <v>19</v>
      </c>
      <c r="AD6" s="288">
        <f>KeyInputs!AG6</f>
        <v>20</v>
      </c>
      <c r="AE6" s="288">
        <f>KeyInputs!AH6</f>
        <v>21</v>
      </c>
      <c r="AF6" s="288">
        <f>KeyInputs!AI6</f>
        <v>22</v>
      </c>
      <c r="AG6" s="288">
        <f>KeyInputs!AJ6</f>
        <v>23</v>
      </c>
      <c r="AH6" s="288">
        <f>KeyInputs!AK6</f>
        <v>24</v>
      </c>
      <c r="AI6" s="288">
        <f>KeyInputs!AL6</f>
        <v>25</v>
      </c>
      <c r="AJ6" s="288">
        <f>KeyInputs!AM6</f>
        <v>26</v>
      </c>
      <c r="AK6" s="288">
        <f>KeyInputs!AN6</f>
        <v>27</v>
      </c>
      <c r="AL6" s="288">
        <f>KeyInputs!AO6</f>
        <v>28</v>
      </c>
      <c r="AM6" s="288">
        <f>KeyInputs!AP6</f>
        <v>29</v>
      </c>
      <c r="AN6" s="288">
        <f>KeyInputs!AQ6</f>
        <v>30</v>
      </c>
      <c r="AO6" s="288">
        <f>KeyInputs!AR6</f>
        <v>31</v>
      </c>
      <c r="AP6" s="288">
        <f>KeyInputs!AS6</f>
        <v>32</v>
      </c>
      <c r="AQ6" s="288">
        <f>KeyInputs!AT6</f>
        <v>33</v>
      </c>
      <c r="AR6" s="288">
        <f>KeyInputs!AU6</f>
        <v>34</v>
      </c>
      <c r="AS6" s="288">
        <f>KeyInputs!AV6</f>
        <v>35</v>
      </c>
      <c r="AT6" s="288">
        <f>KeyInputs!AW6</f>
        <v>36</v>
      </c>
      <c r="AU6" s="288">
        <f>KeyInputs!AX6</f>
        <v>37</v>
      </c>
      <c r="AV6" s="288">
        <f>KeyInputs!AY6</f>
        <v>38</v>
      </c>
      <c r="AW6" s="288">
        <f>KeyInputs!AZ6</f>
        <v>39</v>
      </c>
      <c r="AX6" s="288">
        <f>KeyInputs!BA6</f>
        <v>40</v>
      </c>
      <c r="AY6" s="288">
        <f>KeyInputs!BB6</f>
        <v>41</v>
      </c>
      <c r="AZ6" s="288">
        <f>KeyInputs!BC6</f>
        <v>42</v>
      </c>
      <c r="BA6" s="288">
        <f>KeyInputs!BD6</f>
        <v>43</v>
      </c>
      <c r="BB6" s="288">
        <f>KeyInputs!BE6</f>
        <v>44</v>
      </c>
      <c r="BC6" s="288">
        <f>KeyInputs!BF6</f>
        <v>45</v>
      </c>
      <c r="BD6" s="288">
        <f>KeyInputs!BG6</f>
        <v>46</v>
      </c>
      <c r="BE6" s="288">
        <f>KeyInputs!BH6</f>
        <v>47</v>
      </c>
      <c r="BF6" s="288">
        <f>KeyInputs!BI6</f>
        <v>48</v>
      </c>
      <c r="BG6" s="288">
        <f>KeyInputs!BJ6</f>
        <v>49</v>
      </c>
      <c r="BH6" s="288">
        <f>KeyInputs!BK6</f>
        <v>50</v>
      </c>
      <c r="BI6" s="288">
        <f>KeyInputs!BL6</f>
        <v>51</v>
      </c>
      <c r="BJ6" s="288">
        <f>KeyInputs!BM6</f>
        <v>52</v>
      </c>
      <c r="BK6" s="288">
        <f>KeyInputs!BN6</f>
        <v>53</v>
      </c>
      <c r="BL6" s="288">
        <f>KeyInputs!BO6</f>
        <v>54</v>
      </c>
      <c r="BM6" s="288">
        <f>KeyInputs!BP6</f>
        <v>55</v>
      </c>
      <c r="BN6" s="288">
        <f>KeyInputs!BQ6</f>
        <v>56</v>
      </c>
      <c r="BO6" s="288">
        <f>KeyInputs!BR6</f>
        <v>57</v>
      </c>
      <c r="BP6" s="288">
        <f>KeyInputs!BS6</f>
        <v>58</v>
      </c>
      <c r="BQ6" s="288">
        <f>KeyInputs!BT6</f>
        <v>59</v>
      </c>
      <c r="BR6" s="288">
        <f>KeyInputs!BU6</f>
        <v>60</v>
      </c>
    </row>
    <row r="7" spans="1:78" s="288" customFormat="1" x14ac:dyDescent="0.25">
      <c r="A7" s="285"/>
      <c r="B7" s="285"/>
      <c r="C7" s="285"/>
      <c r="D7" s="287" t="str">
        <f>KeyInputs!D7</f>
        <v>Period starts</v>
      </c>
      <c r="E7" s="289">
        <f>KeyInputs!H7</f>
        <v>42005</v>
      </c>
      <c r="F7" s="289">
        <f>KeyInputs!I7</f>
        <v>42370</v>
      </c>
      <c r="G7" s="289">
        <f>KeyInputs!J7</f>
        <v>42736</v>
      </c>
      <c r="H7" s="289">
        <f>KeyInputs!K7</f>
        <v>43101</v>
      </c>
      <c r="I7" s="289">
        <f>KeyInputs!L7</f>
        <v>43466</v>
      </c>
      <c r="J7" s="285"/>
      <c r="K7" s="289">
        <f>KeyInputs!N7</f>
        <v>42005</v>
      </c>
      <c r="L7" s="289">
        <f>KeyInputs!O7</f>
        <v>42036</v>
      </c>
      <c r="M7" s="289">
        <f>KeyInputs!P7</f>
        <v>42064</v>
      </c>
      <c r="N7" s="289">
        <f>KeyInputs!Q7</f>
        <v>42095</v>
      </c>
      <c r="O7" s="289">
        <f>KeyInputs!R7</f>
        <v>42125</v>
      </c>
      <c r="P7" s="289">
        <f>KeyInputs!S7</f>
        <v>42156</v>
      </c>
      <c r="Q7" s="289">
        <f>KeyInputs!T7</f>
        <v>42186</v>
      </c>
      <c r="R7" s="289">
        <f>KeyInputs!U7</f>
        <v>42217</v>
      </c>
      <c r="S7" s="289">
        <f>KeyInputs!V7</f>
        <v>42248</v>
      </c>
      <c r="T7" s="289">
        <f>KeyInputs!W7</f>
        <v>42278</v>
      </c>
      <c r="U7" s="289">
        <f>KeyInputs!X7</f>
        <v>42309</v>
      </c>
      <c r="V7" s="289">
        <f>KeyInputs!Y7</f>
        <v>42339</v>
      </c>
      <c r="W7" s="289">
        <f>KeyInputs!Z7</f>
        <v>42370</v>
      </c>
      <c r="X7" s="289">
        <f>KeyInputs!AA7</f>
        <v>42401</v>
      </c>
      <c r="Y7" s="289">
        <f>KeyInputs!AB7</f>
        <v>42430</v>
      </c>
      <c r="Z7" s="289">
        <f>KeyInputs!AC7</f>
        <v>42461</v>
      </c>
      <c r="AA7" s="289">
        <f>KeyInputs!AD7</f>
        <v>42491</v>
      </c>
      <c r="AB7" s="289">
        <f>KeyInputs!AE7</f>
        <v>42522</v>
      </c>
      <c r="AC7" s="289">
        <f>KeyInputs!AF7</f>
        <v>42552</v>
      </c>
      <c r="AD7" s="289">
        <f>KeyInputs!AG7</f>
        <v>42583</v>
      </c>
      <c r="AE7" s="289">
        <f>KeyInputs!AH7</f>
        <v>42614</v>
      </c>
      <c r="AF7" s="289">
        <f>KeyInputs!AI7</f>
        <v>42644</v>
      </c>
      <c r="AG7" s="289">
        <f>KeyInputs!AJ7</f>
        <v>42675</v>
      </c>
      <c r="AH7" s="289">
        <f>KeyInputs!AK7</f>
        <v>42705</v>
      </c>
      <c r="AI7" s="289">
        <f>KeyInputs!AL7</f>
        <v>42736</v>
      </c>
      <c r="AJ7" s="289">
        <f>KeyInputs!AM7</f>
        <v>42767</v>
      </c>
      <c r="AK7" s="289">
        <f>KeyInputs!AN7</f>
        <v>42795</v>
      </c>
      <c r="AL7" s="289">
        <f>KeyInputs!AO7</f>
        <v>42826</v>
      </c>
      <c r="AM7" s="289">
        <f>KeyInputs!AP7</f>
        <v>42856</v>
      </c>
      <c r="AN7" s="289">
        <f>KeyInputs!AQ7</f>
        <v>42887</v>
      </c>
      <c r="AO7" s="289">
        <f>KeyInputs!AR7</f>
        <v>42917</v>
      </c>
      <c r="AP7" s="289">
        <f>KeyInputs!AS7</f>
        <v>42948</v>
      </c>
      <c r="AQ7" s="289">
        <f>KeyInputs!AT7</f>
        <v>42979</v>
      </c>
      <c r="AR7" s="289">
        <f>KeyInputs!AU7</f>
        <v>43009</v>
      </c>
      <c r="AS7" s="289">
        <f>KeyInputs!AV7</f>
        <v>43040</v>
      </c>
      <c r="AT7" s="289">
        <f>KeyInputs!AW7</f>
        <v>43070</v>
      </c>
      <c r="AU7" s="289">
        <f>KeyInputs!AX7</f>
        <v>43101</v>
      </c>
      <c r="AV7" s="289">
        <f>KeyInputs!AY7</f>
        <v>43132</v>
      </c>
      <c r="AW7" s="289">
        <f>KeyInputs!AZ7</f>
        <v>43160</v>
      </c>
      <c r="AX7" s="289">
        <f>KeyInputs!BA7</f>
        <v>43191</v>
      </c>
      <c r="AY7" s="289">
        <f>KeyInputs!BB7</f>
        <v>43221</v>
      </c>
      <c r="AZ7" s="289">
        <f>KeyInputs!BC7</f>
        <v>43252</v>
      </c>
      <c r="BA7" s="289">
        <f>KeyInputs!BD7</f>
        <v>43282</v>
      </c>
      <c r="BB7" s="289">
        <f>KeyInputs!BE7</f>
        <v>43313</v>
      </c>
      <c r="BC7" s="289">
        <f>KeyInputs!BF7</f>
        <v>43344</v>
      </c>
      <c r="BD7" s="289">
        <f>KeyInputs!BG7</f>
        <v>43374</v>
      </c>
      <c r="BE7" s="289">
        <f>KeyInputs!BH7</f>
        <v>43405</v>
      </c>
      <c r="BF7" s="289">
        <f>KeyInputs!BI7</f>
        <v>43435</v>
      </c>
      <c r="BG7" s="289">
        <f>KeyInputs!BJ7</f>
        <v>43466</v>
      </c>
      <c r="BH7" s="289">
        <f>KeyInputs!BK7</f>
        <v>43497</v>
      </c>
      <c r="BI7" s="289">
        <f>KeyInputs!BL7</f>
        <v>43525</v>
      </c>
      <c r="BJ7" s="289">
        <f>KeyInputs!BM7</f>
        <v>43556</v>
      </c>
      <c r="BK7" s="289">
        <f>KeyInputs!BN7</f>
        <v>43586</v>
      </c>
      <c r="BL7" s="289">
        <f>KeyInputs!BO7</f>
        <v>43617</v>
      </c>
      <c r="BM7" s="289">
        <f>KeyInputs!BP7</f>
        <v>43647</v>
      </c>
      <c r="BN7" s="289">
        <f>KeyInputs!BQ7</f>
        <v>43678</v>
      </c>
      <c r="BO7" s="289">
        <f>KeyInputs!BR7</f>
        <v>43709</v>
      </c>
      <c r="BP7" s="289">
        <f>KeyInputs!BS7</f>
        <v>43739</v>
      </c>
      <c r="BQ7" s="289">
        <f>KeyInputs!BT7</f>
        <v>43770</v>
      </c>
      <c r="BR7" s="289">
        <f>KeyInputs!BU7</f>
        <v>43800</v>
      </c>
    </row>
    <row r="8" spans="1:78" s="292" customFormat="1" x14ac:dyDescent="0.25">
      <c r="A8" s="290"/>
      <c r="B8" s="291" t="str">
        <f ca="1">IF(Check!$C$12=0,"All checks are OK","There are "&amp;Check!$C$12&amp;" error/errors")</f>
        <v>All checks are OK</v>
      </c>
      <c r="C8" s="290"/>
      <c r="D8" s="287" t="str">
        <f>KeyInputs!D8</f>
        <v>Period ends</v>
      </c>
      <c r="E8" s="289">
        <f>KeyInputs!H8</f>
        <v>42369</v>
      </c>
      <c r="F8" s="289">
        <f>KeyInputs!I8</f>
        <v>42735</v>
      </c>
      <c r="G8" s="289">
        <f>KeyInputs!J8</f>
        <v>43100</v>
      </c>
      <c r="H8" s="289">
        <f>KeyInputs!K8</f>
        <v>43465</v>
      </c>
      <c r="I8" s="289">
        <f>KeyInputs!L8</f>
        <v>43830</v>
      </c>
      <c r="J8" s="285"/>
      <c r="K8" s="289">
        <f>KeyInputs!N8</f>
        <v>42035</v>
      </c>
      <c r="L8" s="289">
        <f>KeyInputs!O8</f>
        <v>42063</v>
      </c>
      <c r="M8" s="289">
        <f>KeyInputs!P8</f>
        <v>42094</v>
      </c>
      <c r="N8" s="289">
        <f>KeyInputs!Q8</f>
        <v>42124</v>
      </c>
      <c r="O8" s="289">
        <f>KeyInputs!R8</f>
        <v>42155</v>
      </c>
      <c r="P8" s="289">
        <f>KeyInputs!S8</f>
        <v>42185</v>
      </c>
      <c r="Q8" s="289">
        <f>KeyInputs!T8</f>
        <v>42216</v>
      </c>
      <c r="R8" s="289">
        <f>KeyInputs!U8</f>
        <v>42247</v>
      </c>
      <c r="S8" s="289">
        <f>KeyInputs!V8</f>
        <v>42277</v>
      </c>
      <c r="T8" s="289">
        <f>KeyInputs!W8</f>
        <v>42308</v>
      </c>
      <c r="U8" s="289">
        <f>KeyInputs!X8</f>
        <v>42338</v>
      </c>
      <c r="V8" s="289">
        <f>KeyInputs!Y8</f>
        <v>42369</v>
      </c>
      <c r="W8" s="289">
        <f>KeyInputs!Z8</f>
        <v>42400</v>
      </c>
      <c r="X8" s="289">
        <f>KeyInputs!AA8</f>
        <v>42429</v>
      </c>
      <c r="Y8" s="289">
        <f>KeyInputs!AB8</f>
        <v>42460</v>
      </c>
      <c r="Z8" s="289">
        <f>KeyInputs!AC8</f>
        <v>42490</v>
      </c>
      <c r="AA8" s="289">
        <f>KeyInputs!AD8</f>
        <v>42521</v>
      </c>
      <c r="AB8" s="289">
        <f>KeyInputs!AE8</f>
        <v>42551</v>
      </c>
      <c r="AC8" s="289">
        <f>KeyInputs!AF8</f>
        <v>42582</v>
      </c>
      <c r="AD8" s="289">
        <f>KeyInputs!AG8</f>
        <v>42613</v>
      </c>
      <c r="AE8" s="289">
        <f>KeyInputs!AH8</f>
        <v>42643</v>
      </c>
      <c r="AF8" s="289">
        <f>KeyInputs!AI8</f>
        <v>42674</v>
      </c>
      <c r="AG8" s="289">
        <f>KeyInputs!AJ8</f>
        <v>42704</v>
      </c>
      <c r="AH8" s="289">
        <f>KeyInputs!AK8</f>
        <v>42735</v>
      </c>
      <c r="AI8" s="289">
        <f>KeyInputs!AL8</f>
        <v>42766</v>
      </c>
      <c r="AJ8" s="289">
        <f>KeyInputs!AM8</f>
        <v>42794</v>
      </c>
      <c r="AK8" s="289">
        <f>KeyInputs!AN8</f>
        <v>42825</v>
      </c>
      <c r="AL8" s="289">
        <f>KeyInputs!AO8</f>
        <v>42855</v>
      </c>
      <c r="AM8" s="289">
        <f>KeyInputs!AP8</f>
        <v>42886</v>
      </c>
      <c r="AN8" s="289">
        <f>KeyInputs!AQ8</f>
        <v>42916</v>
      </c>
      <c r="AO8" s="289">
        <f>KeyInputs!AR8</f>
        <v>42947</v>
      </c>
      <c r="AP8" s="289">
        <f>KeyInputs!AS8</f>
        <v>42978</v>
      </c>
      <c r="AQ8" s="289">
        <f>KeyInputs!AT8</f>
        <v>43008</v>
      </c>
      <c r="AR8" s="289">
        <f>KeyInputs!AU8</f>
        <v>43039</v>
      </c>
      <c r="AS8" s="289">
        <f>KeyInputs!AV8</f>
        <v>43069</v>
      </c>
      <c r="AT8" s="289">
        <f>KeyInputs!AW8</f>
        <v>43100</v>
      </c>
      <c r="AU8" s="289">
        <f>KeyInputs!AX8</f>
        <v>43131</v>
      </c>
      <c r="AV8" s="289">
        <f>KeyInputs!AY8</f>
        <v>43159</v>
      </c>
      <c r="AW8" s="289">
        <f>KeyInputs!AZ8</f>
        <v>43190</v>
      </c>
      <c r="AX8" s="289">
        <f>KeyInputs!BA8</f>
        <v>43220</v>
      </c>
      <c r="AY8" s="289">
        <f>KeyInputs!BB8</f>
        <v>43251</v>
      </c>
      <c r="AZ8" s="289">
        <f>KeyInputs!BC8</f>
        <v>43281</v>
      </c>
      <c r="BA8" s="289">
        <f>KeyInputs!BD8</f>
        <v>43312</v>
      </c>
      <c r="BB8" s="289">
        <f>KeyInputs!BE8</f>
        <v>43343</v>
      </c>
      <c r="BC8" s="289">
        <f>KeyInputs!BF8</f>
        <v>43373</v>
      </c>
      <c r="BD8" s="289">
        <f>KeyInputs!BG8</f>
        <v>43404</v>
      </c>
      <c r="BE8" s="289">
        <f>KeyInputs!BH8</f>
        <v>43434</v>
      </c>
      <c r="BF8" s="289">
        <f>KeyInputs!BI8</f>
        <v>43465</v>
      </c>
      <c r="BG8" s="289">
        <f>KeyInputs!BJ8</f>
        <v>43496</v>
      </c>
      <c r="BH8" s="289">
        <f>KeyInputs!BK8</f>
        <v>43524</v>
      </c>
      <c r="BI8" s="289">
        <f>KeyInputs!BL8</f>
        <v>43555</v>
      </c>
      <c r="BJ8" s="289">
        <f>KeyInputs!BM8</f>
        <v>43585</v>
      </c>
      <c r="BK8" s="289">
        <f>KeyInputs!BN8</f>
        <v>43616</v>
      </c>
      <c r="BL8" s="289">
        <f>KeyInputs!BO8</f>
        <v>43646</v>
      </c>
      <c r="BM8" s="289">
        <f>KeyInputs!BP8</f>
        <v>43677</v>
      </c>
      <c r="BN8" s="289">
        <f>KeyInputs!BQ8</f>
        <v>43708</v>
      </c>
      <c r="BO8" s="289">
        <f>KeyInputs!BR8</f>
        <v>43738</v>
      </c>
      <c r="BP8" s="289">
        <f>KeyInputs!BS8</f>
        <v>43769</v>
      </c>
      <c r="BQ8" s="289">
        <f>KeyInputs!BT8</f>
        <v>43799</v>
      </c>
      <c r="BR8" s="289">
        <f>KeyInputs!BU8</f>
        <v>43830</v>
      </c>
      <c r="BS8" s="288"/>
      <c r="BT8" s="288"/>
      <c r="BU8" s="288"/>
      <c r="BV8" s="288"/>
      <c r="BW8" s="288"/>
      <c r="BX8" s="288"/>
      <c r="BY8" s="288"/>
      <c r="BZ8" s="288"/>
    </row>
    <row r="9" spans="1:78" s="137" customFormat="1" x14ac:dyDescent="0.25">
      <c r="A9" s="96"/>
      <c r="B9" s="95"/>
      <c r="C9" s="134"/>
      <c r="D9" s="135"/>
      <c r="E9" s="136"/>
      <c r="F9" s="136"/>
      <c r="G9" s="136"/>
      <c r="H9" s="136"/>
      <c r="I9" s="136"/>
      <c r="J9" s="134"/>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6"/>
      <c r="BQ9" s="136"/>
      <c r="BR9" s="136"/>
    </row>
    <row r="10" spans="1:78" s="166" customFormat="1" ht="15.6" x14ac:dyDescent="0.3">
      <c r="A10" s="166">
        <f>Header1</f>
        <v>1</v>
      </c>
      <c r="B10" s="166" t="s">
        <v>382</v>
      </c>
    </row>
    <row r="11" spans="1:78" s="137" customFormat="1" x14ac:dyDescent="0.25">
      <c r="A11" s="96"/>
      <c r="B11" s="95"/>
      <c r="C11" s="134"/>
      <c r="D11" s="135"/>
      <c r="E11" s="136"/>
      <c r="F11" s="136"/>
      <c r="G11" s="136"/>
      <c r="H11" s="136"/>
      <c r="I11" s="136"/>
      <c r="J11" s="134"/>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6"/>
      <c r="BQ11" s="136"/>
      <c r="BR11" s="136"/>
    </row>
    <row r="12" spans="1:78" s="169" customFormat="1" ht="13.8" x14ac:dyDescent="0.25">
      <c r="B12" s="169" t="str">
        <f>Header2</f>
        <v>1.1</v>
      </c>
      <c r="C12" s="169" t="s">
        <v>368</v>
      </c>
    </row>
    <row r="13" spans="1:78" s="147" customFormat="1" x14ac:dyDescent="0.25">
      <c r="A13" s="211"/>
      <c r="F13" s="212"/>
    </row>
    <row r="14" spans="1:78" s="147" customFormat="1" x14ac:dyDescent="0.25">
      <c r="A14" s="211"/>
      <c r="C14" s="147" t="s">
        <v>228</v>
      </c>
      <c r="D14" s="231" t="str">
        <f>unit</f>
        <v>£</v>
      </c>
      <c r="E14" s="147">
        <f>INDEX($K14:$BR14,0,MATCH(E$7,$K$7:$BR$7,0))</f>
        <v>0</v>
      </c>
      <c r="F14" s="147">
        <f t="shared" ref="F14:I14" si="0">INDEX($K14:$BR14,0,MATCH(F$7,$K$7:$BR$7,0))</f>
        <v>0</v>
      </c>
      <c r="G14" s="147">
        <f t="shared" si="0"/>
        <v>0</v>
      </c>
      <c r="H14" s="147">
        <f t="shared" si="0"/>
        <v>0</v>
      </c>
      <c r="I14" s="147">
        <f t="shared" si="0"/>
        <v>0</v>
      </c>
      <c r="K14" s="147">
        <f t="shared" ref="K14:AP14" si="1">K38+K63+K89+K115+K140+K166</f>
        <v>0</v>
      </c>
      <c r="L14" s="147">
        <f t="shared" si="1"/>
        <v>0</v>
      </c>
      <c r="M14" s="147">
        <f t="shared" si="1"/>
        <v>0</v>
      </c>
      <c r="N14" s="147">
        <f t="shared" si="1"/>
        <v>0</v>
      </c>
      <c r="O14" s="147">
        <f t="shared" si="1"/>
        <v>0</v>
      </c>
      <c r="P14" s="147">
        <f t="shared" si="1"/>
        <v>0</v>
      </c>
      <c r="Q14" s="147">
        <f t="shared" si="1"/>
        <v>0</v>
      </c>
      <c r="R14" s="147">
        <f t="shared" si="1"/>
        <v>0</v>
      </c>
      <c r="S14" s="147">
        <f t="shared" si="1"/>
        <v>0</v>
      </c>
      <c r="T14" s="147">
        <f t="shared" si="1"/>
        <v>0</v>
      </c>
      <c r="U14" s="147">
        <f t="shared" si="1"/>
        <v>0</v>
      </c>
      <c r="V14" s="147">
        <f t="shared" si="1"/>
        <v>0</v>
      </c>
      <c r="W14" s="147">
        <f t="shared" si="1"/>
        <v>0</v>
      </c>
      <c r="X14" s="147">
        <f t="shared" si="1"/>
        <v>0</v>
      </c>
      <c r="Y14" s="147">
        <f t="shared" si="1"/>
        <v>0</v>
      </c>
      <c r="Z14" s="147">
        <f t="shared" si="1"/>
        <v>0</v>
      </c>
      <c r="AA14" s="147">
        <f t="shared" si="1"/>
        <v>0</v>
      </c>
      <c r="AB14" s="147">
        <f t="shared" si="1"/>
        <v>0</v>
      </c>
      <c r="AC14" s="147">
        <f t="shared" si="1"/>
        <v>0</v>
      </c>
      <c r="AD14" s="147">
        <f t="shared" si="1"/>
        <v>0</v>
      </c>
      <c r="AE14" s="147">
        <f t="shared" si="1"/>
        <v>0</v>
      </c>
      <c r="AF14" s="147">
        <f t="shared" si="1"/>
        <v>0</v>
      </c>
      <c r="AG14" s="147">
        <f t="shared" si="1"/>
        <v>0</v>
      </c>
      <c r="AH14" s="147">
        <f t="shared" si="1"/>
        <v>0</v>
      </c>
      <c r="AI14" s="147">
        <f t="shared" si="1"/>
        <v>0</v>
      </c>
      <c r="AJ14" s="147">
        <f t="shared" si="1"/>
        <v>0</v>
      </c>
      <c r="AK14" s="147">
        <f t="shared" si="1"/>
        <v>0</v>
      </c>
      <c r="AL14" s="147">
        <f t="shared" si="1"/>
        <v>0</v>
      </c>
      <c r="AM14" s="147">
        <f t="shared" si="1"/>
        <v>0</v>
      </c>
      <c r="AN14" s="147">
        <f t="shared" si="1"/>
        <v>0</v>
      </c>
      <c r="AO14" s="147">
        <f t="shared" si="1"/>
        <v>0</v>
      </c>
      <c r="AP14" s="147">
        <f t="shared" si="1"/>
        <v>0</v>
      </c>
      <c r="AQ14" s="147">
        <f t="shared" ref="AQ14:BR14" si="2">AQ38+AQ63+AQ89+AQ115+AQ140+AQ166</f>
        <v>0</v>
      </c>
      <c r="AR14" s="147">
        <f t="shared" si="2"/>
        <v>0</v>
      </c>
      <c r="AS14" s="147">
        <f t="shared" si="2"/>
        <v>0</v>
      </c>
      <c r="AT14" s="147">
        <f t="shared" si="2"/>
        <v>0</v>
      </c>
      <c r="AU14" s="147">
        <f t="shared" si="2"/>
        <v>0</v>
      </c>
      <c r="AV14" s="147">
        <f t="shared" si="2"/>
        <v>0</v>
      </c>
      <c r="AW14" s="147">
        <f t="shared" si="2"/>
        <v>0</v>
      </c>
      <c r="AX14" s="147">
        <f t="shared" si="2"/>
        <v>0</v>
      </c>
      <c r="AY14" s="147">
        <f t="shared" si="2"/>
        <v>0</v>
      </c>
      <c r="AZ14" s="147">
        <f t="shared" si="2"/>
        <v>0</v>
      </c>
      <c r="BA14" s="147">
        <f t="shared" si="2"/>
        <v>0</v>
      </c>
      <c r="BB14" s="147">
        <f t="shared" si="2"/>
        <v>0</v>
      </c>
      <c r="BC14" s="147">
        <f t="shared" si="2"/>
        <v>0</v>
      </c>
      <c r="BD14" s="147">
        <f t="shared" si="2"/>
        <v>0</v>
      </c>
      <c r="BE14" s="147">
        <f t="shared" si="2"/>
        <v>0</v>
      </c>
      <c r="BF14" s="147">
        <f t="shared" si="2"/>
        <v>0</v>
      </c>
      <c r="BG14" s="147">
        <f t="shared" si="2"/>
        <v>0</v>
      </c>
      <c r="BH14" s="147">
        <f t="shared" si="2"/>
        <v>0</v>
      </c>
      <c r="BI14" s="147">
        <f t="shared" si="2"/>
        <v>0</v>
      </c>
      <c r="BJ14" s="147">
        <f t="shared" si="2"/>
        <v>0</v>
      </c>
      <c r="BK14" s="147">
        <f t="shared" si="2"/>
        <v>0</v>
      </c>
      <c r="BL14" s="147">
        <f t="shared" si="2"/>
        <v>0</v>
      </c>
      <c r="BM14" s="147">
        <f t="shared" si="2"/>
        <v>0</v>
      </c>
      <c r="BN14" s="147">
        <f t="shared" si="2"/>
        <v>0</v>
      </c>
      <c r="BO14" s="147">
        <f t="shared" si="2"/>
        <v>0</v>
      </c>
      <c r="BP14" s="147">
        <f t="shared" si="2"/>
        <v>0</v>
      </c>
      <c r="BQ14" s="147">
        <f t="shared" si="2"/>
        <v>0</v>
      </c>
      <c r="BR14" s="147">
        <f t="shared" si="2"/>
        <v>0</v>
      </c>
    </row>
    <row r="15" spans="1:78" s="147" customFormat="1" x14ac:dyDescent="0.25">
      <c r="A15" s="211"/>
      <c r="C15" s="147" t="s">
        <v>249</v>
      </c>
      <c r="D15" s="231" t="str">
        <f>unit</f>
        <v>£</v>
      </c>
      <c r="E15" s="147">
        <f>SUMIF($K$5:$BR$5,E$5,$K15:$BR15)</f>
        <v>0</v>
      </c>
      <c r="F15" s="147">
        <f t="shared" ref="F15:I16" si="3">SUMIF($K$5:$BR$5,F$5,$K15:$BR15)</f>
        <v>0</v>
      </c>
      <c r="G15" s="147">
        <f t="shared" si="3"/>
        <v>0</v>
      </c>
      <c r="H15" s="147">
        <f t="shared" si="3"/>
        <v>0</v>
      </c>
      <c r="I15" s="147">
        <f t="shared" si="3"/>
        <v>0</v>
      </c>
      <c r="K15" s="147">
        <f>K64+K90+K116+K141+K167</f>
        <v>0</v>
      </c>
      <c r="L15" s="147">
        <f t="shared" ref="L15:BR15" si="4">L64+L90+L116+L141+L167</f>
        <v>0</v>
      </c>
      <c r="M15" s="147">
        <f t="shared" si="4"/>
        <v>0</v>
      </c>
      <c r="N15" s="147">
        <f t="shared" si="4"/>
        <v>0</v>
      </c>
      <c r="O15" s="147">
        <f t="shared" si="4"/>
        <v>0</v>
      </c>
      <c r="P15" s="147">
        <f t="shared" si="4"/>
        <v>0</v>
      </c>
      <c r="Q15" s="147">
        <f t="shared" si="4"/>
        <v>0</v>
      </c>
      <c r="R15" s="147">
        <f t="shared" si="4"/>
        <v>0</v>
      </c>
      <c r="S15" s="147">
        <f t="shared" si="4"/>
        <v>0</v>
      </c>
      <c r="T15" s="147">
        <f t="shared" si="4"/>
        <v>0</v>
      </c>
      <c r="U15" s="147">
        <f t="shared" si="4"/>
        <v>0</v>
      </c>
      <c r="V15" s="147">
        <f t="shared" si="4"/>
        <v>0</v>
      </c>
      <c r="W15" s="147">
        <f t="shared" si="4"/>
        <v>0</v>
      </c>
      <c r="X15" s="147">
        <f t="shared" si="4"/>
        <v>0</v>
      </c>
      <c r="Y15" s="147">
        <f t="shared" si="4"/>
        <v>0</v>
      </c>
      <c r="Z15" s="147">
        <f t="shared" si="4"/>
        <v>0</v>
      </c>
      <c r="AA15" s="147">
        <f t="shared" si="4"/>
        <v>0</v>
      </c>
      <c r="AB15" s="147">
        <f t="shared" si="4"/>
        <v>0</v>
      </c>
      <c r="AC15" s="147">
        <f t="shared" si="4"/>
        <v>0</v>
      </c>
      <c r="AD15" s="147">
        <f t="shared" si="4"/>
        <v>0</v>
      </c>
      <c r="AE15" s="147">
        <f t="shared" si="4"/>
        <v>0</v>
      </c>
      <c r="AF15" s="147">
        <f t="shared" si="4"/>
        <v>0</v>
      </c>
      <c r="AG15" s="147">
        <f t="shared" si="4"/>
        <v>0</v>
      </c>
      <c r="AH15" s="147">
        <f t="shared" si="4"/>
        <v>0</v>
      </c>
      <c r="AI15" s="147">
        <f t="shared" si="4"/>
        <v>0</v>
      </c>
      <c r="AJ15" s="147">
        <f t="shared" si="4"/>
        <v>0</v>
      </c>
      <c r="AK15" s="147">
        <f t="shared" si="4"/>
        <v>0</v>
      </c>
      <c r="AL15" s="147">
        <f t="shared" si="4"/>
        <v>0</v>
      </c>
      <c r="AM15" s="147">
        <f t="shared" si="4"/>
        <v>0</v>
      </c>
      <c r="AN15" s="147">
        <f t="shared" si="4"/>
        <v>0</v>
      </c>
      <c r="AO15" s="147">
        <f t="shared" si="4"/>
        <v>0</v>
      </c>
      <c r="AP15" s="147">
        <f t="shared" si="4"/>
        <v>0</v>
      </c>
      <c r="AQ15" s="147">
        <f t="shared" si="4"/>
        <v>0</v>
      </c>
      <c r="AR15" s="147">
        <f t="shared" si="4"/>
        <v>0</v>
      </c>
      <c r="AS15" s="147">
        <f t="shared" si="4"/>
        <v>0</v>
      </c>
      <c r="AT15" s="147">
        <f t="shared" si="4"/>
        <v>0</v>
      </c>
      <c r="AU15" s="147">
        <f t="shared" si="4"/>
        <v>0</v>
      </c>
      <c r="AV15" s="147">
        <f t="shared" si="4"/>
        <v>0</v>
      </c>
      <c r="AW15" s="147">
        <f t="shared" si="4"/>
        <v>0</v>
      </c>
      <c r="AX15" s="147">
        <f t="shared" si="4"/>
        <v>0</v>
      </c>
      <c r="AY15" s="147">
        <f t="shared" si="4"/>
        <v>0</v>
      </c>
      <c r="AZ15" s="147">
        <f t="shared" si="4"/>
        <v>0</v>
      </c>
      <c r="BA15" s="147">
        <f t="shared" si="4"/>
        <v>0</v>
      </c>
      <c r="BB15" s="147">
        <f t="shared" si="4"/>
        <v>0</v>
      </c>
      <c r="BC15" s="147">
        <f t="shared" si="4"/>
        <v>0</v>
      </c>
      <c r="BD15" s="147">
        <f t="shared" si="4"/>
        <v>0</v>
      </c>
      <c r="BE15" s="147">
        <f t="shared" si="4"/>
        <v>0</v>
      </c>
      <c r="BF15" s="147">
        <f t="shared" si="4"/>
        <v>0</v>
      </c>
      <c r="BG15" s="147">
        <f t="shared" si="4"/>
        <v>0</v>
      </c>
      <c r="BH15" s="147">
        <f t="shared" si="4"/>
        <v>0</v>
      </c>
      <c r="BI15" s="147">
        <f t="shared" si="4"/>
        <v>0</v>
      </c>
      <c r="BJ15" s="147">
        <f t="shared" si="4"/>
        <v>0</v>
      </c>
      <c r="BK15" s="147">
        <f t="shared" si="4"/>
        <v>0</v>
      </c>
      <c r="BL15" s="147">
        <f t="shared" si="4"/>
        <v>0</v>
      </c>
      <c r="BM15" s="147">
        <f t="shared" si="4"/>
        <v>0</v>
      </c>
      <c r="BN15" s="147">
        <f t="shared" si="4"/>
        <v>0</v>
      </c>
      <c r="BO15" s="147">
        <f t="shared" si="4"/>
        <v>0</v>
      </c>
      <c r="BP15" s="147">
        <f t="shared" si="4"/>
        <v>0</v>
      </c>
      <c r="BQ15" s="147">
        <f t="shared" si="4"/>
        <v>0</v>
      </c>
      <c r="BR15" s="147">
        <f t="shared" si="4"/>
        <v>0</v>
      </c>
    </row>
    <row r="16" spans="1:78" s="147" customFormat="1" x14ac:dyDescent="0.25">
      <c r="A16" s="211"/>
      <c r="C16" s="147" t="s">
        <v>379</v>
      </c>
      <c r="D16" s="231" t="str">
        <f>unit</f>
        <v>£</v>
      </c>
      <c r="E16" s="147">
        <f>SUMIF($K$5:$BR$5,E$5,$K16:$BR16)</f>
        <v>0</v>
      </c>
      <c r="F16" s="147">
        <f t="shared" si="3"/>
        <v>0</v>
      </c>
      <c r="G16" s="147">
        <f t="shared" si="3"/>
        <v>0</v>
      </c>
      <c r="H16" s="147">
        <f t="shared" si="3"/>
        <v>0</v>
      </c>
      <c r="I16" s="147">
        <f t="shared" si="3"/>
        <v>0</v>
      </c>
      <c r="K16" s="147">
        <f t="shared" ref="K16:AP16" si="5">K39+K65+K91+K117+K142+K168</f>
        <v>0</v>
      </c>
      <c r="L16" s="147">
        <f t="shared" si="5"/>
        <v>0</v>
      </c>
      <c r="M16" s="147">
        <f t="shared" si="5"/>
        <v>0</v>
      </c>
      <c r="N16" s="147">
        <f t="shared" si="5"/>
        <v>0</v>
      </c>
      <c r="O16" s="147">
        <f t="shared" si="5"/>
        <v>0</v>
      </c>
      <c r="P16" s="147">
        <f t="shared" si="5"/>
        <v>0</v>
      </c>
      <c r="Q16" s="147">
        <f t="shared" si="5"/>
        <v>0</v>
      </c>
      <c r="R16" s="147">
        <f t="shared" si="5"/>
        <v>0</v>
      </c>
      <c r="S16" s="147">
        <f t="shared" si="5"/>
        <v>0</v>
      </c>
      <c r="T16" s="147">
        <f t="shared" si="5"/>
        <v>0</v>
      </c>
      <c r="U16" s="147">
        <f t="shared" si="5"/>
        <v>0</v>
      </c>
      <c r="V16" s="147">
        <f t="shared" si="5"/>
        <v>0</v>
      </c>
      <c r="W16" s="147">
        <f t="shared" si="5"/>
        <v>0</v>
      </c>
      <c r="X16" s="147">
        <f t="shared" si="5"/>
        <v>0</v>
      </c>
      <c r="Y16" s="147">
        <f t="shared" si="5"/>
        <v>0</v>
      </c>
      <c r="Z16" s="147">
        <f t="shared" si="5"/>
        <v>0</v>
      </c>
      <c r="AA16" s="147">
        <f t="shared" si="5"/>
        <v>0</v>
      </c>
      <c r="AB16" s="147">
        <f t="shared" si="5"/>
        <v>0</v>
      </c>
      <c r="AC16" s="147">
        <f t="shared" si="5"/>
        <v>0</v>
      </c>
      <c r="AD16" s="147">
        <f t="shared" si="5"/>
        <v>0</v>
      </c>
      <c r="AE16" s="147">
        <f t="shared" si="5"/>
        <v>0</v>
      </c>
      <c r="AF16" s="147">
        <f t="shared" si="5"/>
        <v>0</v>
      </c>
      <c r="AG16" s="147">
        <f t="shared" si="5"/>
        <v>0</v>
      </c>
      <c r="AH16" s="147">
        <f t="shared" si="5"/>
        <v>0</v>
      </c>
      <c r="AI16" s="147">
        <f t="shared" si="5"/>
        <v>0</v>
      </c>
      <c r="AJ16" s="147">
        <f t="shared" si="5"/>
        <v>0</v>
      </c>
      <c r="AK16" s="147">
        <f t="shared" si="5"/>
        <v>0</v>
      </c>
      <c r="AL16" s="147">
        <f t="shared" si="5"/>
        <v>0</v>
      </c>
      <c r="AM16" s="147">
        <f t="shared" si="5"/>
        <v>0</v>
      </c>
      <c r="AN16" s="147">
        <f t="shared" si="5"/>
        <v>0</v>
      </c>
      <c r="AO16" s="147">
        <f t="shared" si="5"/>
        <v>0</v>
      </c>
      <c r="AP16" s="147">
        <f t="shared" si="5"/>
        <v>0</v>
      </c>
      <c r="AQ16" s="147">
        <f t="shared" ref="AQ16:BR16" si="6">AQ39+AQ65+AQ91+AQ117+AQ142+AQ168</f>
        <v>0</v>
      </c>
      <c r="AR16" s="147">
        <f t="shared" si="6"/>
        <v>0</v>
      </c>
      <c r="AS16" s="147">
        <f t="shared" si="6"/>
        <v>0</v>
      </c>
      <c r="AT16" s="147">
        <f t="shared" si="6"/>
        <v>0</v>
      </c>
      <c r="AU16" s="147">
        <f t="shared" si="6"/>
        <v>0</v>
      </c>
      <c r="AV16" s="147">
        <f t="shared" si="6"/>
        <v>0</v>
      </c>
      <c r="AW16" s="147">
        <f t="shared" si="6"/>
        <v>0</v>
      </c>
      <c r="AX16" s="147">
        <f t="shared" si="6"/>
        <v>0</v>
      </c>
      <c r="AY16" s="147">
        <f t="shared" si="6"/>
        <v>0</v>
      </c>
      <c r="AZ16" s="147">
        <f t="shared" si="6"/>
        <v>0</v>
      </c>
      <c r="BA16" s="147">
        <f t="shared" si="6"/>
        <v>0</v>
      </c>
      <c r="BB16" s="147">
        <f t="shared" si="6"/>
        <v>0</v>
      </c>
      <c r="BC16" s="147">
        <f t="shared" si="6"/>
        <v>0</v>
      </c>
      <c r="BD16" s="147">
        <f t="shared" si="6"/>
        <v>0</v>
      </c>
      <c r="BE16" s="147">
        <f t="shared" si="6"/>
        <v>0</v>
      </c>
      <c r="BF16" s="147">
        <f t="shared" si="6"/>
        <v>0</v>
      </c>
      <c r="BG16" s="147">
        <f t="shared" si="6"/>
        <v>0</v>
      </c>
      <c r="BH16" s="147">
        <f t="shared" si="6"/>
        <v>0</v>
      </c>
      <c r="BI16" s="147">
        <f t="shared" si="6"/>
        <v>0</v>
      </c>
      <c r="BJ16" s="147">
        <f t="shared" si="6"/>
        <v>0</v>
      </c>
      <c r="BK16" s="147">
        <f t="shared" si="6"/>
        <v>0</v>
      </c>
      <c r="BL16" s="147">
        <f t="shared" si="6"/>
        <v>0</v>
      </c>
      <c r="BM16" s="147">
        <f t="shared" si="6"/>
        <v>0</v>
      </c>
      <c r="BN16" s="147">
        <f t="shared" si="6"/>
        <v>0</v>
      </c>
      <c r="BO16" s="147">
        <f t="shared" si="6"/>
        <v>0</v>
      </c>
      <c r="BP16" s="147">
        <f t="shared" si="6"/>
        <v>0</v>
      </c>
      <c r="BQ16" s="147">
        <f t="shared" si="6"/>
        <v>0</v>
      </c>
      <c r="BR16" s="147">
        <f t="shared" si="6"/>
        <v>0</v>
      </c>
    </row>
    <row r="17" spans="1:70" s="147" customFormat="1" x14ac:dyDescent="0.25">
      <c r="A17" s="211"/>
      <c r="C17" s="147" t="s">
        <v>230</v>
      </c>
      <c r="D17" s="263">
        <f>KeyInputs!G135</f>
        <v>0</v>
      </c>
      <c r="E17" s="230">
        <f>SUM(E14:E16)</f>
        <v>0</v>
      </c>
      <c r="F17" s="230">
        <f t="shared" ref="F17:I17" si="7">SUM(F14:F16)</f>
        <v>0</v>
      </c>
      <c r="G17" s="230">
        <f t="shared" si="7"/>
        <v>0</v>
      </c>
      <c r="H17" s="230">
        <f t="shared" si="7"/>
        <v>0</v>
      </c>
      <c r="I17" s="230">
        <f t="shared" si="7"/>
        <v>0</v>
      </c>
      <c r="J17" s="216">
        <f>D17</f>
        <v>0</v>
      </c>
      <c r="K17" s="214">
        <f t="shared" ref="K17:BR17" si="8">SUM(K14:K16)</f>
        <v>0</v>
      </c>
      <c r="L17" s="214">
        <f t="shared" si="8"/>
        <v>0</v>
      </c>
      <c r="M17" s="214">
        <f t="shared" si="8"/>
        <v>0</v>
      </c>
      <c r="N17" s="214">
        <f t="shared" si="8"/>
        <v>0</v>
      </c>
      <c r="O17" s="214">
        <f t="shared" si="8"/>
        <v>0</v>
      </c>
      <c r="P17" s="214">
        <f t="shared" si="8"/>
        <v>0</v>
      </c>
      <c r="Q17" s="214">
        <f t="shared" si="8"/>
        <v>0</v>
      </c>
      <c r="R17" s="214">
        <f t="shared" si="8"/>
        <v>0</v>
      </c>
      <c r="S17" s="214">
        <f t="shared" si="8"/>
        <v>0</v>
      </c>
      <c r="T17" s="214">
        <f t="shared" si="8"/>
        <v>0</v>
      </c>
      <c r="U17" s="214">
        <f t="shared" si="8"/>
        <v>0</v>
      </c>
      <c r="V17" s="214">
        <f t="shared" si="8"/>
        <v>0</v>
      </c>
      <c r="W17" s="214">
        <f t="shared" si="8"/>
        <v>0</v>
      </c>
      <c r="X17" s="214">
        <f t="shared" si="8"/>
        <v>0</v>
      </c>
      <c r="Y17" s="214">
        <f t="shared" si="8"/>
        <v>0</v>
      </c>
      <c r="Z17" s="214">
        <f t="shared" si="8"/>
        <v>0</v>
      </c>
      <c r="AA17" s="214">
        <f t="shared" si="8"/>
        <v>0</v>
      </c>
      <c r="AB17" s="214">
        <f t="shared" si="8"/>
        <v>0</v>
      </c>
      <c r="AC17" s="214">
        <f t="shared" si="8"/>
        <v>0</v>
      </c>
      <c r="AD17" s="214">
        <f t="shared" si="8"/>
        <v>0</v>
      </c>
      <c r="AE17" s="214">
        <f t="shared" si="8"/>
        <v>0</v>
      </c>
      <c r="AF17" s="214">
        <f t="shared" si="8"/>
        <v>0</v>
      </c>
      <c r="AG17" s="214">
        <f t="shared" si="8"/>
        <v>0</v>
      </c>
      <c r="AH17" s="214">
        <f t="shared" si="8"/>
        <v>0</v>
      </c>
      <c r="AI17" s="214">
        <f t="shared" si="8"/>
        <v>0</v>
      </c>
      <c r="AJ17" s="214">
        <f t="shared" si="8"/>
        <v>0</v>
      </c>
      <c r="AK17" s="214">
        <f t="shared" si="8"/>
        <v>0</v>
      </c>
      <c r="AL17" s="214">
        <f t="shared" si="8"/>
        <v>0</v>
      </c>
      <c r="AM17" s="214">
        <f t="shared" si="8"/>
        <v>0</v>
      </c>
      <c r="AN17" s="214">
        <f t="shared" si="8"/>
        <v>0</v>
      </c>
      <c r="AO17" s="214">
        <f t="shared" si="8"/>
        <v>0</v>
      </c>
      <c r="AP17" s="214">
        <f t="shared" si="8"/>
        <v>0</v>
      </c>
      <c r="AQ17" s="214">
        <f t="shared" si="8"/>
        <v>0</v>
      </c>
      <c r="AR17" s="214">
        <f t="shared" si="8"/>
        <v>0</v>
      </c>
      <c r="AS17" s="214">
        <f t="shared" si="8"/>
        <v>0</v>
      </c>
      <c r="AT17" s="214">
        <f t="shared" si="8"/>
        <v>0</v>
      </c>
      <c r="AU17" s="214">
        <f t="shared" si="8"/>
        <v>0</v>
      </c>
      <c r="AV17" s="214">
        <f t="shared" si="8"/>
        <v>0</v>
      </c>
      <c r="AW17" s="214">
        <f t="shared" si="8"/>
        <v>0</v>
      </c>
      <c r="AX17" s="214">
        <f t="shared" si="8"/>
        <v>0</v>
      </c>
      <c r="AY17" s="214">
        <f t="shared" si="8"/>
        <v>0</v>
      </c>
      <c r="AZ17" s="214">
        <f t="shared" si="8"/>
        <v>0</v>
      </c>
      <c r="BA17" s="214">
        <f t="shared" si="8"/>
        <v>0</v>
      </c>
      <c r="BB17" s="214">
        <f t="shared" si="8"/>
        <v>0</v>
      </c>
      <c r="BC17" s="214">
        <f t="shared" si="8"/>
        <v>0</v>
      </c>
      <c r="BD17" s="214">
        <f t="shared" si="8"/>
        <v>0</v>
      </c>
      <c r="BE17" s="214">
        <f t="shared" si="8"/>
        <v>0</v>
      </c>
      <c r="BF17" s="214">
        <f t="shared" si="8"/>
        <v>0</v>
      </c>
      <c r="BG17" s="214">
        <f t="shared" si="8"/>
        <v>0</v>
      </c>
      <c r="BH17" s="214">
        <f t="shared" si="8"/>
        <v>0</v>
      </c>
      <c r="BI17" s="214">
        <f t="shared" si="8"/>
        <v>0</v>
      </c>
      <c r="BJ17" s="214">
        <f t="shared" si="8"/>
        <v>0</v>
      </c>
      <c r="BK17" s="214">
        <f t="shared" si="8"/>
        <v>0</v>
      </c>
      <c r="BL17" s="214">
        <f t="shared" si="8"/>
        <v>0</v>
      </c>
      <c r="BM17" s="214">
        <f t="shared" si="8"/>
        <v>0</v>
      </c>
      <c r="BN17" s="214">
        <f t="shared" si="8"/>
        <v>0</v>
      </c>
      <c r="BO17" s="214">
        <f t="shared" si="8"/>
        <v>0</v>
      </c>
      <c r="BP17" s="214">
        <f t="shared" si="8"/>
        <v>0</v>
      </c>
      <c r="BQ17" s="214">
        <f t="shared" si="8"/>
        <v>0</v>
      </c>
      <c r="BR17" s="214">
        <f t="shared" si="8"/>
        <v>0</v>
      </c>
    </row>
    <row r="18" spans="1:70" s="147" customFormat="1" x14ac:dyDescent="0.25">
      <c r="A18" s="211"/>
      <c r="F18" s="212"/>
    </row>
    <row r="19" spans="1:70" s="137" customFormat="1" x14ac:dyDescent="0.25">
      <c r="A19" s="96"/>
      <c r="B19" s="95"/>
      <c r="C19" s="134"/>
      <c r="D19" s="135"/>
      <c r="E19" s="136"/>
      <c r="F19" s="136"/>
      <c r="G19" s="136"/>
      <c r="H19" s="136"/>
      <c r="I19" s="136"/>
      <c r="J19" s="134"/>
      <c r="K19" s="136"/>
      <c r="L19" s="136"/>
      <c r="M19" s="136"/>
      <c r="N19" s="136"/>
      <c r="O19" s="136"/>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6"/>
      <c r="BQ19" s="136"/>
      <c r="BR19" s="136"/>
    </row>
    <row r="20" spans="1:70" s="166" customFormat="1" ht="15.6" x14ac:dyDescent="0.3">
      <c r="A20" s="166">
        <f>Header1</f>
        <v>2</v>
      </c>
      <c r="B20" s="166" t="s">
        <v>369</v>
      </c>
    </row>
    <row r="22" spans="1:70" x14ac:dyDescent="0.25">
      <c r="C22" s="217" t="s">
        <v>380</v>
      </c>
      <c r="D22" s="220">
        <f>KeyInputs!G135</f>
        <v>0</v>
      </c>
    </row>
    <row r="23" spans="1:70" x14ac:dyDescent="0.25">
      <c r="C23" s="219" t="str">
        <f>KeyInputs!C87</f>
        <v>Drawdown date</v>
      </c>
      <c r="D23" s="222">
        <f>KeyInputs!F87</f>
        <v>42005</v>
      </c>
    </row>
    <row r="24" spans="1:70" x14ac:dyDescent="0.25">
      <c r="C24" s="219" t="str">
        <f>KeyInputs!C88</f>
        <v>Grant term (years)</v>
      </c>
      <c r="D24" s="219">
        <f>KeyInputs!F88</f>
        <v>5</v>
      </c>
    </row>
    <row r="25" spans="1:70" x14ac:dyDescent="0.25">
      <c r="C25" s="219"/>
      <c r="D25" s="220"/>
    </row>
    <row r="26" spans="1:70" x14ac:dyDescent="0.25">
      <c r="C26" s="57" t="s">
        <v>425</v>
      </c>
      <c r="D26" s="221">
        <f>EDATE(D23,12)-1</f>
        <v>42369</v>
      </c>
    </row>
    <row r="27" spans="1:70" x14ac:dyDescent="0.25">
      <c r="C27" s="57" t="s">
        <v>424</v>
      </c>
      <c r="D27" s="57">
        <f>INDEX($K$6:$BR$6,0,MATCH($D26,$K$8:$BR$8,0))</f>
        <v>12</v>
      </c>
    </row>
    <row r="28" spans="1:70" x14ac:dyDescent="0.25">
      <c r="C28" s="57" t="s">
        <v>426</v>
      </c>
      <c r="D28" s="221">
        <f>EDATE($D$26,(D24-1)*12)</f>
        <v>43830</v>
      </c>
    </row>
    <row r="29" spans="1:70" x14ac:dyDescent="0.25">
      <c r="C29" s="57" t="s">
        <v>427</v>
      </c>
      <c r="D29" s="57">
        <f>D22/D24</f>
        <v>0</v>
      </c>
    </row>
    <row r="30" spans="1:70" x14ac:dyDescent="0.25">
      <c r="C30" s="219"/>
      <c r="D30" s="222"/>
    </row>
    <row r="31" spans="1:70" s="143" customFormat="1" ht="13.8" x14ac:dyDescent="0.25">
      <c r="B31" s="143" t="str">
        <f>Header2</f>
        <v>2.1</v>
      </c>
      <c r="C31" s="143" t="s">
        <v>254</v>
      </c>
    </row>
    <row r="33" spans="1:70" x14ac:dyDescent="0.25">
      <c r="C33" s="147" t="s">
        <v>381</v>
      </c>
      <c r="K33" s="57">
        <f>IF(K$8&gt;$D28,0,IF(K$7=$D$26,1,IF(MOD((K$6-$D$27),12)=0,1,0)))</f>
        <v>0</v>
      </c>
      <c r="L33" s="57">
        <f t="shared" ref="L33:AQ33" si="9">IF(L$8&gt;$D28,0,IF(L$7=$D$26,1,IF(MOD((L$6-E24),12)=0,1,0)))</f>
        <v>0</v>
      </c>
      <c r="M33" s="57">
        <f t="shared" si="9"/>
        <v>0</v>
      </c>
      <c r="N33" s="57">
        <f t="shared" si="9"/>
        <v>0</v>
      </c>
      <c r="O33" s="57">
        <f t="shared" si="9"/>
        <v>0</v>
      </c>
      <c r="P33" s="57">
        <f t="shared" si="9"/>
        <v>0</v>
      </c>
      <c r="Q33" s="57">
        <f t="shared" si="9"/>
        <v>0</v>
      </c>
      <c r="R33" s="57">
        <f t="shared" si="9"/>
        <v>0</v>
      </c>
      <c r="S33" s="57">
        <f t="shared" si="9"/>
        <v>0</v>
      </c>
      <c r="T33" s="57">
        <f t="shared" si="9"/>
        <v>0</v>
      </c>
      <c r="U33" s="57">
        <f t="shared" si="9"/>
        <v>0</v>
      </c>
      <c r="V33" s="57">
        <f t="shared" si="9"/>
        <v>1</v>
      </c>
      <c r="W33" s="57">
        <f t="shared" si="9"/>
        <v>0</v>
      </c>
      <c r="X33" s="57">
        <f t="shared" si="9"/>
        <v>0</v>
      </c>
      <c r="Y33" s="57">
        <f t="shared" si="9"/>
        <v>0</v>
      </c>
      <c r="Z33" s="57">
        <f t="shared" si="9"/>
        <v>0</v>
      </c>
      <c r="AA33" s="57">
        <f t="shared" si="9"/>
        <v>0</v>
      </c>
      <c r="AB33" s="57">
        <f t="shared" si="9"/>
        <v>0</v>
      </c>
      <c r="AC33" s="57">
        <f t="shared" si="9"/>
        <v>0</v>
      </c>
      <c r="AD33" s="57">
        <f t="shared" si="9"/>
        <v>0</v>
      </c>
      <c r="AE33" s="57">
        <f t="shared" si="9"/>
        <v>0</v>
      </c>
      <c r="AF33" s="57">
        <f t="shared" si="9"/>
        <v>0</v>
      </c>
      <c r="AG33" s="57">
        <f t="shared" si="9"/>
        <v>0</v>
      </c>
      <c r="AH33" s="57">
        <f t="shared" si="9"/>
        <v>1</v>
      </c>
      <c r="AI33" s="57">
        <f t="shared" si="9"/>
        <v>0</v>
      </c>
      <c r="AJ33" s="57">
        <f t="shared" si="9"/>
        <v>0</v>
      </c>
      <c r="AK33" s="57">
        <f t="shared" si="9"/>
        <v>0</v>
      </c>
      <c r="AL33" s="57">
        <f t="shared" si="9"/>
        <v>0</v>
      </c>
      <c r="AM33" s="57">
        <f t="shared" si="9"/>
        <v>0</v>
      </c>
      <c r="AN33" s="57">
        <f t="shared" si="9"/>
        <v>0</v>
      </c>
      <c r="AO33" s="57">
        <f t="shared" si="9"/>
        <v>0</v>
      </c>
      <c r="AP33" s="57">
        <f t="shared" si="9"/>
        <v>0</v>
      </c>
      <c r="AQ33" s="57">
        <f t="shared" si="9"/>
        <v>0</v>
      </c>
      <c r="AR33" s="57">
        <f t="shared" ref="AR33:BR33" si="10">IF(AR$8&gt;$D28,0,IF(AR$7=$D$26,1,IF(MOD((AR$6-AK24),12)=0,1,0)))</f>
        <v>0</v>
      </c>
      <c r="AS33" s="57">
        <f t="shared" si="10"/>
        <v>0</v>
      </c>
      <c r="AT33" s="57">
        <f t="shared" si="10"/>
        <v>1</v>
      </c>
      <c r="AU33" s="57">
        <f t="shared" si="10"/>
        <v>0</v>
      </c>
      <c r="AV33" s="57">
        <f t="shared" si="10"/>
        <v>0</v>
      </c>
      <c r="AW33" s="57">
        <f t="shared" si="10"/>
        <v>0</v>
      </c>
      <c r="AX33" s="57">
        <f t="shared" si="10"/>
        <v>0</v>
      </c>
      <c r="AY33" s="57">
        <f t="shared" si="10"/>
        <v>0</v>
      </c>
      <c r="AZ33" s="57">
        <f t="shared" si="10"/>
        <v>0</v>
      </c>
      <c r="BA33" s="57">
        <f t="shared" si="10"/>
        <v>0</v>
      </c>
      <c r="BB33" s="57">
        <f t="shared" si="10"/>
        <v>0</v>
      </c>
      <c r="BC33" s="57">
        <f t="shared" si="10"/>
        <v>0</v>
      </c>
      <c r="BD33" s="57">
        <f t="shared" si="10"/>
        <v>0</v>
      </c>
      <c r="BE33" s="57">
        <f t="shared" si="10"/>
        <v>0</v>
      </c>
      <c r="BF33" s="57">
        <f t="shared" si="10"/>
        <v>1</v>
      </c>
      <c r="BG33" s="57">
        <f t="shared" si="10"/>
        <v>0</v>
      </c>
      <c r="BH33" s="57">
        <f t="shared" si="10"/>
        <v>0</v>
      </c>
      <c r="BI33" s="57">
        <f t="shared" si="10"/>
        <v>0</v>
      </c>
      <c r="BJ33" s="57">
        <f t="shared" si="10"/>
        <v>0</v>
      </c>
      <c r="BK33" s="57">
        <f t="shared" si="10"/>
        <v>0</v>
      </c>
      <c r="BL33" s="57">
        <f t="shared" si="10"/>
        <v>0</v>
      </c>
      <c r="BM33" s="57">
        <f t="shared" si="10"/>
        <v>0</v>
      </c>
      <c r="BN33" s="57">
        <f t="shared" si="10"/>
        <v>0</v>
      </c>
      <c r="BO33" s="57">
        <f t="shared" si="10"/>
        <v>0</v>
      </c>
      <c r="BP33" s="57">
        <f t="shared" si="10"/>
        <v>0</v>
      </c>
      <c r="BQ33" s="57">
        <f t="shared" si="10"/>
        <v>0</v>
      </c>
      <c r="BR33" s="57">
        <f t="shared" si="10"/>
        <v>1</v>
      </c>
    </row>
    <row r="36" spans="1:70" s="145" customFormat="1" ht="13.8" x14ac:dyDescent="0.25">
      <c r="B36" s="145" t="str">
        <f>Header2</f>
        <v>2.2</v>
      </c>
      <c r="C36" s="145" t="s">
        <v>378</v>
      </c>
    </row>
    <row r="37" spans="1:70" s="147" customFormat="1" x14ac:dyDescent="0.25">
      <c r="A37" s="211"/>
      <c r="F37" s="212"/>
    </row>
    <row r="38" spans="1:70" s="147" customFormat="1" x14ac:dyDescent="0.25">
      <c r="A38" s="211"/>
      <c r="C38" s="147" t="s">
        <v>228</v>
      </c>
      <c r="D38" s="231" t="str">
        <f>unit</f>
        <v>£</v>
      </c>
      <c r="E38" s="147">
        <f>INDEX($K38:$BR38,0,MATCH(E$7,$K$7:$BR$7,0))</f>
        <v>0</v>
      </c>
      <c r="F38" s="147">
        <f t="shared" ref="F38:I38" si="11">INDEX($K38:$BR38,0,MATCH(F$7,$K$7:$BR$7,0))</f>
        <v>0</v>
      </c>
      <c r="G38" s="147">
        <f t="shared" si="11"/>
        <v>0</v>
      </c>
      <c r="H38" s="147">
        <f t="shared" si="11"/>
        <v>0</v>
      </c>
      <c r="I38" s="147">
        <f t="shared" si="11"/>
        <v>0</v>
      </c>
      <c r="K38" s="223">
        <f>D22</f>
        <v>0</v>
      </c>
      <c r="L38" s="223">
        <f t="shared" ref="L38:BR38" si="12">K40</f>
        <v>0</v>
      </c>
      <c r="M38" s="223">
        <f t="shared" si="12"/>
        <v>0</v>
      </c>
      <c r="N38" s="223">
        <f t="shared" si="12"/>
        <v>0</v>
      </c>
      <c r="O38" s="223">
        <f t="shared" si="12"/>
        <v>0</v>
      </c>
      <c r="P38" s="223">
        <f t="shared" si="12"/>
        <v>0</v>
      </c>
      <c r="Q38" s="223">
        <f t="shared" si="12"/>
        <v>0</v>
      </c>
      <c r="R38" s="223">
        <f t="shared" si="12"/>
        <v>0</v>
      </c>
      <c r="S38" s="223">
        <f t="shared" si="12"/>
        <v>0</v>
      </c>
      <c r="T38" s="223">
        <f t="shared" si="12"/>
        <v>0</v>
      </c>
      <c r="U38" s="223">
        <f t="shared" si="12"/>
        <v>0</v>
      </c>
      <c r="V38" s="223">
        <f t="shared" si="12"/>
        <v>0</v>
      </c>
      <c r="W38" s="223">
        <f t="shared" si="12"/>
        <v>0</v>
      </c>
      <c r="X38" s="223">
        <f t="shared" si="12"/>
        <v>0</v>
      </c>
      <c r="Y38" s="223">
        <f t="shared" si="12"/>
        <v>0</v>
      </c>
      <c r="Z38" s="223">
        <f t="shared" si="12"/>
        <v>0</v>
      </c>
      <c r="AA38" s="223">
        <f t="shared" si="12"/>
        <v>0</v>
      </c>
      <c r="AB38" s="223">
        <f t="shared" si="12"/>
        <v>0</v>
      </c>
      <c r="AC38" s="223">
        <f t="shared" si="12"/>
        <v>0</v>
      </c>
      <c r="AD38" s="223">
        <f t="shared" si="12"/>
        <v>0</v>
      </c>
      <c r="AE38" s="223">
        <f t="shared" si="12"/>
        <v>0</v>
      </c>
      <c r="AF38" s="223">
        <f t="shared" si="12"/>
        <v>0</v>
      </c>
      <c r="AG38" s="223">
        <f t="shared" si="12"/>
        <v>0</v>
      </c>
      <c r="AH38" s="223">
        <f t="shared" si="12"/>
        <v>0</v>
      </c>
      <c r="AI38" s="223">
        <f t="shared" si="12"/>
        <v>0</v>
      </c>
      <c r="AJ38" s="223">
        <f t="shared" si="12"/>
        <v>0</v>
      </c>
      <c r="AK38" s="223">
        <f t="shared" si="12"/>
        <v>0</v>
      </c>
      <c r="AL38" s="223">
        <f t="shared" si="12"/>
        <v>0</v>
      </c>
      <c r="AM38" s="223">
        <f t="shared" si="12"/>
        <v>0</v>
      </c>
      <c r="AN38" s="223">
        <f t="shared" si="12"/>
        <v>0</v>
      </c>
      <c r="AO38" s="223">
        <f t="shared" si="12"/>
        <v>0</v>
      </c>
      <c r="AP38" s="223">
        <f t="shared" si="12"/>
        <v>0</v>
      </c>
      <c r="AQ38" s="223">
        <f t="shared" si="12"/>
        <v>0</v>
      </c>
      <c r="AR38" s="223">
        <f t="shared" si="12"/>
        <v>0</v>
      </c>
      <c r="AS38" s="223">
        <f t="shared" si="12"/>
        <v>0</v>
      </c>
      <c r="AT38" s="223">
        <f t="shared" si="12"/>
        <v>0</v>
      </c>
      <c r="AU38" s="223">
        <f t="shared" si="12"/>
        <v>0</v>
      </c>
      <c r="AV38" s="223">
        <f t="shared" si="12"/>
        <v>0</v>
      </c>
      <c r="AW38" s="223">
        <f t="shared" si="12"/>
        <v>0</v>
      </c>
      <c r="AX38" s="223">
        <f t="shared" si="12"/>
        <v>0</v>
      </c>
      <c r="AY38" s="223">
        <f t="shared" si="12"/>
        <v>0</v>
      </c>
      <c r="AZ38" s="223">
        <f t="shared" si="12"/>
        <v>0</v>
      </c>
      <c r="BA38" s="223">
        <f t="shared" si="12"/>
        <v>0</v>
      </c>
      <c r="BB38" s="223">
        <f t="shared" si="12"/>
        <v>0</v>
      </c>
      <c r="BC38" s="223">
        <f t="shared" si="12"/>
        <v>0</v>
      </c>
      <c r="BD38" s="223">
        <f t="shared" si="12"/>
        <v>0</v>
      </c>
      <c r="BE38" s="223">
        <f t="shared" si="12"/>
        <v>0</v>
      </c>
      <c r="BF38" s="223">
        <f t="shared" si="12"/>
        <v>0</v>
      </c>
      <c r="BG38" s="223">
        <f t="shared" si="12"/>
        <v>0</v>
      </c>
      <c r="BH38" s="223">
        <f t="shared" si="12"/>
        <v>0</v>
      </c>
      <c r="BI38" s="223">
        <f t="shared" si="12"/>
        <v>0</v>
      </c>
      <c r="BJ38" s="223">
        <f t="shared" si="12"/>
        <v>0</v>
      </c>
      <c r="BK38" s="223">
        <f t="shared" si="12"/>
        <v>0</v>
      </c>
      <c r="BL38" s="223">
        <f t="shared" si="12"/>
        <v>0</v>
      </c>
      <c r="BM38" s="223">
        <f t="shared" si="12"/>
        <v>0</v>
      </c>
      <c r="BN38" s="223">
        <f t="shared" si="12"/>
        <v>0</v>
      </c>
      <c r="BO38" s="223">
        <f t="shared" si="12"/>
        <v>0</v>
      </c>
      <c r="BP38" s="223">
        <f t="shared" si="12"/>
        <v>0</v>
      </c>
      <c r="BQ38" s="223">
        <f t="shared" si="12"/>
        <v>0</v>
      </c>
      <c r="BR38" s="223">
        <f t="shared" si="12"/>
        <v>0</v>
      </c>
    </row>
    <row r="39" spans="1:70" s="147" customFormat="1" x14ac:dyDescent="0.25">
      <c r="A39" s="211"/>
      <c r="C39" s="147" t="s">
        <v>391</v>
      </c>
      <c r="D39" s="231" t="str">
        <f>unit</f>
        <v>£</v>
      </c>
      <c r="E39" s="147">
        <f>SUMIF($K$5:$BR$5,E$5,$K39:$BR39)</f>
        <v>0</v>
      </c>
      <c r="F39" s="147">
        <f t="shared" ref="F39:I39" si="13">SUMIF($K$5:$BR$5,F$5,$K39:$BR39)</f>
        <v>0</v>
      </c>
      <c r="G39" s="147">
        <f t="shared" si="13"/>
        <v>0</v>
      </c>
      <c r="H39" s="147">
        <f t="shared" si="13"/>
        <v>0</v>
      </c>
      <c r="I39" s="147">
        <f t="shared" si="13"/>
        <v>0</v>
      </c>
      <c r="K39" s="147">
        <f t="shared" ref="K39:AP39" si="14">-K33*$D29</f>
        <v>0</v>
      </c>
      <c r="L39" s="147">
        <f t="shared" si="14"/>
        <v>0</v>
      </c>
      <c r="M39" s="147">
        <f t="shared" si="14"/>
        <v>0</v>
      </c>
      <c r="N39" s="147">
        <f t="shared" si="14"/>
        <v>0</v>
      </c>
      <c r="O39" s="147">
        <f t="shared" si="14"/>
        <v>0</v>
      </c>
      <c r="P39" s="147">
        <f t="shared" si="14"/>
        <v>0</v>
      </c>
      <c r="Q39" s="147">
        <f t="shared" si="14"/>
        <v>0</v>
      </c>
      <c r="R39" s="147">
        <f t="shared" si="14"/>
        <v>0</v>
      </c>
      <c r="S39" s="147">
        <f t="shared" si="14"/>
        <v>0</v>
      </c>
      <c r="T39" s="147">
        <f t="shared" si="14"/>
        <v>0</v>
      </c>
      <c r="U39" s="147">
        <f t="shared" si="14"/>
        <v>0</v>
      </c>
      <c r="V39" s="147">
        <f t="shared" si="14"/>
        <v>0</v>
      </c>
      <c r="W39" s="147">
        <f t="shared" si="14"/>
        <v>0</v>
      </c>
      <c r="X39" s="147">
        <f t="shared" si="14"/>
        <v>0</v>
      </c>
      <c r="Y39" s="147">
        <f t="shared" si="14"/>
        <v>0</v>
      </c>
      <c r="Z39" s="147">
        <f t="shared" si="14"/>
        <v>0</v>
      </c>
      <c r="AA39" s="147">
        <f t="shared" si="14"/>
        <v>0</v>
      </c>
      <c r="AB39" s="147">
        <f t="shared" si="14"/>
        <v>0</v>
      </c>
      <c r="AC39" s="147">
        <f t="shared" si="14"/>
        <v>0</v>
      </c>
      <c r="AD39" s="147">
        <f t="shared" si="14"/>
        <v>0</v>
      </c>
      <c r="AE39" s="147">
        <f t="shared" si="14"/>
        <v>0</v>
      </c>
      <c r="AF39" s="147">
        <f t="shared" si="14"/>
        <v>0</v>
      </c>
      <c r="AG39" s="147">
        <f t="shared" si="14"/>
        <v>0</v>
      </c>
      <c r="AH39" s="147">
        <f t="shared" si="14"/>
        <v>0</v>
      </c>
      <c r="AI39" s="147">
        <f t="shared" si="14"/>
        <v>0</v>
      </c>
      <c r="AJ39" s="147">
        <f t="shared" si="14"/>
        <v>0</v>
      </c>
      <c r="AK39" s="147">
        <f t="shared" si="14"/>
        <v>0</v>
      </c>
      <c r="AL39" s="147">
        <f t="shared" si="14"/>
        <v>0</v>
      </c>
      <c r="AM39" s="147">
        <f t="shared" si="14"/>
        <v>0</v>
      </c>
      <c r="AN39" s="147">
        <f t="shared" si="14"/>
        <v>0</v>
      </c>
      <c r="AO39" s="147">
        <f t="shared" si="14"/>
        <v>0</v>
      </c>
      <c r="AP39" s="147">
        <f t="shared" si="14"/>
        <v>0</v>
      </c>
      <c r="AQ39" s="147">
        <f t="shared" ref="AQ39:BR39" si="15">-AQ33*$D29</f>
        <v>0</v>
      </c>
      <c r="AR39" s="147">
        <f t="shared" si="15"/>
        <v>0</v>
      </c>
      <c r="AS39" s="147">
        <f t="shared" si="15"/>
        <v>0</v>
      </c>
      <c r="AT39" s="147">
        <f t="shared" si="15"/>
        <v>0</v>
      </c>
      <c r="AU39" s="147">
        <f t="shared" si="15"/>
        <v>0</v>
      </c>
      <c r="AV39" s="147">
        <f t="shared" si="15"/>
        <v>0</v>
      </c>
      <c r="AW39" s="147">
        <f t="shared" si="15"/>
        <v>0</v>
      </c>
      <c r="AX39" s="147">
        <f t="shared" si="15"/>
        <v>0</v>
      </c>
      <c r="AY39" s="147">
        <f t="shared" si="15"/>
        <v>0</v>
      </c>
      <c r="AZ39" s="147">
        <f t="shared" si="15"/>
        <v>0</v>
      </c>
      <c r="BA39" s="147">
        <f t="shared" si="15"/>
        <v>0</v>
      </c>
      <c r="BB39" s="147">
        <f t="shared" si="15"/>
        <v>0</v>
      </c>
      <c r="BC39" s="147">
        <f t="shared" si="15"/>
        <v>0</v>
      </c>
      <c r="BD39" s="147">
        <f t="shared" si="15"/>
        <v>0</v>
      </c>
      <c r="BE39" s="147">
        <f t="shared" si="15"/>
        <v>0</v>
      </c>
      <c r="BF39" s="147">
        <f t="shared" si="15"/>
        <v>0</v>
      </c>
      <c r="BG39" s="147">
        <f t="shared" si="15"/>
        <v>0</v>
      </c>
      <c r="BH39" s="147">
        <f t="shared" si="15"/>
        <v>0</v>
      </c>
      <c r="BI39" s="147">
        <f t="shared" si="15"/>
        <v>0</v>
      </c>
      <c r="BJ39" s="147">
        <f t="shared" si="15"/>
        <v>0</v>
      </c>
      <c r="BK39" s="147">
        <f t="shared" si="15"/>
        <v>0</v>
      </c>
      <c r="BL39" s="147">
        <f t="shared" si="15"/>
        <v>0</v>
      </c>
      <c r="BM39" s="147">
        <f t="shared" si="15"/>
        <v>0</v>
      </c>
      <c r="BN39" s="147">
        <f t="shared" si="15"/>
        <v>0</v>
      </c>
      <c r="BO39" s="147">
        <f t="shared" si="15"/>
        <v>0</v>
      </c>
      <c r="BP39" s="147">
        <f t="shared" si="15"/>
        <v>0</v>
      </c>
      <c r="BQ39" s="147">
        <f t="shared" si="15"/>
        <v>0</v>
      </c>
      <c r="BR39" s="147">
        <f t="shared" si="15"/>
        <v>0</v>
      </c>
    </row>
    <row r="40" spans="1:70" s="147" customFormat="1" x14ac:dyDescent="0.25">
      <c r="A40" s="211"/>
      <c r="C40" s="147" t="s">
        <v>230</v>
      </c>
      <c r="D40" s="263">
        <f>KeyInputs!G135</f>
        <v>0</v>
      </c>
      <c r="E40" s="230">
        <f>SUM(E38:E39)</f>
        <v>0</v>
      </c>
      <c r="F40" s="230">
        <f>SUM(F38:F39)</f>
        <v>0</v>
      </c>
      <c r="G40" s="230">
        <f>SUM(G38:G39)</f>
        <v>0</v>
      </c>
      <c r="H40" s="230">
        <f>SUM(H38:H39)</f>
        <v>0</v>
      </c>
      <c r="I40" s="230">
        <f>SUM(I38:I39)</f>
        <v>0</v>
      </c>
      <c r="J40" s="213">
        <f>D40</f>
        <v>0</v>
      </c>
      <c r="K40" s="214">
        <f t="shared" ref="K40:AP40" si="16">SUM(K38:K39)</f>
        <v>0</v>
      </c>
      <c r="L40" s="214">
        <f t="shared" si="16"/>
        <v>0</v>
      </c>
      <c r="M40" s="214">
        <f t="shared" si="16"/>
        <v>0</v>
      </c>
      <c r="N40" s="214">
        <f t="shared" si="16"/>
        <v>0</v>
      </c>
      <c r="O40" s="214">
        <f t="shared" si="16"/>
        <v>0</v>
      </c>
      <c r="P40" s="214">
        <f t="shared" si="16"/>
        <v>0</v>
      </c>
      <c r="Q40" s="214">
        <f t="shared" si="16"/>
        <v>0</v>
      </c>
      <c r="R40" s="214">
        <f t="shared" si="16"/>
        <v>0</v>
      </c>
      <c r="S40" s="214">
        <f t="shared" si="16"/>
        <v>0</v>
      </c>
      <c r="T40" s="214">
        <f t="shared" si="16"/>
        <v>0</v>
      </c>
      <c r="U40" s="214">
        <f t="shared" si="16"/>
        <v>0</v>
      </c>
      <c r="V40" s="214">
        <f t="shared" si="16"/>
        <v>0</v>
      </c>
      <c r="W40" s="214">
        <f t="shared" si="16"/>
        <v>0</v>
      </c>
      <c r="X40" s="214">
        <f t="shared" si="16"/>
        <v>0</v>
      </c>
      <c r="Y40" s="214">
        <f t="shared" si="16"/>
        <v>0</v>
      </c>
      <c r="Z40" s="214">
        <f t="shared" si="16"/>
        <v>0</v>
      </c>
      <c r="AA40" s="214">
        <f t="shared" si="16"/>
        <v>0</v>
      </c>
      <c r="AB40" s="214">
        <f t="shared" si="16"/>
        <v>0</v>
      </c>
      <c r="AC40" s="214">
        <f t="shared" si="16"/>
        <v>0</v>
      </c>
      <c r="AD40" s="214">
        <f t="shared" si="16"/>
        <v>0</v>
      </c>
      <c r="AE40" s="214">
        <f t="shared" si="16"/>
        <v>0</v>
      </c>
      <c r="AF40" s="214">
        <f t="shared" si="16"/>
        <v>0</v>
      </c>
      <c r="AG40" s="214">
        <f t="shared" si="16"/>
        <v>0</v>
      </c>
      <c r="AH40" s="214">
        <f t="shared" si="16"/>
        <v>0</v>
      </c>
      <c r="AI40" s="214">
        <f t="shared" si="16"/>
        <v>0</v>
      </c>
      <c r="AJ40" s="214">
        <f t="shared" si="16"/>
        <v>0</v>
      </c>
      <c r="AK40" s="214">
        <f t="shared" si="16"/>
        <v>0</v>
      </c>
      <c r="AL40" s="214">
        <f t="shared" si="16"/>
        <v>0</v>
      </c>
      <c r="AM40" s="214">
        <f t="shared" si="16"/>
        <v>0</v>
      </c>
      <c r="AN40" s="214">
        <f t="shared" si="16"/>
        <v>0</v>
      </c>
      <c r="AO40" s="214">
        <f t="shared" si="16"/>
        <v>0</v>
      </c>
      <c r="AP40" s="214">
        <f t="shared" si="16"/>
        <v>0</v>
      </c>
      <c r="AQ40" s="214">
        <f t="shared" ref="AQ40:BR40" si="17">SUM(AQ38:AQ39)</f>
        <v>0</v>
      </c>
      <c r="AR40" s="214">
        <f t="shared" si="17"/>
        <v>0</v>
      </c>
      <c r="AS40" s="214">
        <f t="shared" si="17"/>
        <v>0</v>
      </c>
      <c r="AT40" s="214">
        <f t="shared" si="17"/>
        <v>0</v>
      </c>
      <c r="AU40" s="214">
        <f t="shared" si="17"/>
        <v>0</v>
      </c>
      <c r="AV40" s="214">
        <f t="shared" si="17"/>
        <v>0</v>
      </c>
      <c r="AW40" s="214">
        <f t="shared" si="17"/>
        <v>0</v>
      </c>
      <c r="AX40" s="214">
        <f t="shared" si="17"/>
        <v>0</v>
      </c>
      <c r="AY40" s="214">
        <f t="shared" si="17"/>
        <v>0</v>
      </c>
      <c r="AZ40" s="214">
        <f t="shared" si="17"/>
        <v>0</v>
      </c>
      <c r="BA40" s="214">
        <f t="shared" si="17"/>
        <v>0</v>
      </c>
      <c r="BB40" s="214">
        <f t="shared" si="17"/>
        <v>0</v>
      </c>
      <c r="BC40" s="214">
        <f t="shared" si="17"/>
        <v>0</v>
      </c>
      <c r="BD40" s="214">
        <f t="shared" si="17"/>
        <v>0</v>
      </c>
      <c r="BE40" s="214">
        <f t="shared" si="17"/>
        <v>0</v>
      </c>
      <c r="BF40" s="214">
        <f t="shared" si="17"/>
        <v>0</v>
      </c>
      <c r="BG40" s="214">
        <f t="shared" si="17"/>
        <v>0</v>
      </c>
      <c r="BH40" s="214">
        <f t="shared" si="17"/>
        <v>0</v>
      </c>
      <c r="BI40" s="214">
        <f t="shared" si="17"/>
        <v>0</v>
      </c>
      <c r="BJ40" s="214">
        <f t="shared" si="17"/>
        <v>0</v>
      </c>
      <c r="BK40" s="214">
        <f t="shared" si="17"/>
        <v>0</v>
      </c>
      <c r="BL40" s="214">
        <f t="shared" si="17"/>
        <v>0</v>
      </c>
      <c r="BM40" s="214">
        <f t="shared" si="17"/>
        <v>0</v>
      </c>
      <c r="BN40" s="214">
        <f t="shared" si="17"/>
        <v>0</v>
      </c>
      <c r="BO40" s="214">
        <f t="shared" si="17"/>
        <v>0</v>
      </c>
      <c r="BP40" s="214">
        <f t="shared" si="17"/>
        <v>0</v>
      </c>
      <c r="BQ40" s="214">
        <f t="shared" si="17"/>
        <v>0</v>
      </c>
      <c r="BR40" s="214">
        <f t="shared" si="17"/>
        <v>0</v>
      </c>
    </row>
    <row r="41" spans="1:70" x14ac:dyDescent="0.25">
      <c r="E41" s="147"/>
      <c r="F41" s="212"/>
      <c r="G41" s="147"/>
      <c r="H41" s="147"/>
      <c r="I41" s="147"/>
    </row>
    <row r="43" spans="1:70" s="166" customFormat="1" ht="15.6" x14ac:dyDescent="0.3">
      <c r="A43" s="166">
        <f>Header1</f>
        <v>3</v>
      </c>
      <c r="B43" s="166" t="str">
        <f>KeyInputs!G85</f>
        <v>Grant 1</v>
      </c>
    </row>
    <row r="44" spans="1:70" outlineLevel="1" x14ac:dyDescent="0.25"/>
    <row r="45" spans="1:70" outlineLevel="1" x14ac:dyDescent="0.25">
      <c r="C45" s="217" t="str">
        <f>KeyInputs!C86</f>
        <v>Drawdown</v>
      </c>
      <c r="D45" s="220">
        <f>KeyInputs!G86</f>
        <v>0</v>
      </c>
    </row>
    <row r="46" spans="1:70" outlineLevel="1" x14ac:dyDescent="0.25">
      <c r="C46" s="217" t="str">
        <f>KeyInputs!C87</f>
        <v>Drawdown date</v>
      </c>
      <c r="D46" s="222">
        <f>KeyInputs!G87</f>
        <v>41395</v>
      </c>
    </row>
    <row r="47" spans="1:70" outlineLevel="1" x14ac:dyDescent="0.25">
      <c r="C47" s="217" t="str">
        <f>KeyInputs!C88</f>
        <v>Grant term (years)</v>
      </c>
      <c r="D47" s="219">
        <f>KeyInputs!G88</f>
        <v>5</v>
      </c>
    </row>
    <row r="48" spans="1:70" outlineLevel="1" x14ac:dyDescent="0.25"/>
    <row r="49" spans="1:70" outlineLevel="1" x14ac:dyDescent="0.25">
      <c r="C49" s="57" t="s">
        <v>425</v>
      </c>
      <c r="D49" s="221">
        <f>EDATE(D46,1)-1</f>
        <v>41425</v>
      </c>
    </row>
    <row r="50" spans="1:70" outlineLevel="1" x14ac:dyDescent="0.25">
      <c r="C50" s="57" t="s">
        <v>246</v>
      </c>
      <c r="D50" s="57">
        <f>IFERROR(INDEX($K$6:$BR$6,0,MATCH($D46,$K$7:$BR$7,0)),0)</f>
        <v>0</v>
      </c>
    </row>
    <row r="51" spans="1:70" outlineLevel="1" x14ac:dyDescent="0.25">
      <c r="C51" s="57" t="s">
        <v>424</v>
      </c>
      <c r="D51" s="57">
        <f>IFERROR(INDEX($K$6:$BR$6,0,MATCH($D49,$K$8:$BR$8,0)),0)</f>
        <v>0</v>
      </c>
    </row>
    <row r="52" spans="1:70" outlineLevel="1" x14ac:dyDescent="0.25">
      <c r="C52" s="57" t="s">
        <v>426</v>
      </c>
      <c r="D52" s="221">
        <f>EDATE($D$49,(D47-1)*12)</f>
        <v>42886</v>
      </c>
    </row>
    <row r="53" spans="1:70" outlineLevel="1" x14ac:dyDescent="0.25">
      <c r="C53" s="57" t="s">
        <v>427</v>
      </c>
      <c r="D53" s="57">
        <f>IFERROR(D45/D47,0)</f>
        <v>0</v>
      </c>
    </row>
    <row r="54" spans="1:70" outlineLevel="1" x14ac:dyDescent="0.25"/>
    <row r="55" spans="1:70" s="143" customFormat="1" ht="13.8" outlineLevel="1" x14ac:dyDescent="0.25">
      <c r="B55" s="143" t="str">
        <f>Header2</f>
        <v>3.1</v>
      </c>
      <c r="C55" s="143" t="s">
        <v>254</v>
      </c>
    </row>
    <row r="56" spans="1:70" outlineLevel="1" x14ac:dyDescent="0.25"/>
    <row r="57" spans="1:70" outlineLevel="1" x14ac:dyDescent="0.25">
      <c r="C57" s="147" t="s">
        <v>255</v>
      </c>
      <c r="K57" s="57">
        <f>(K$7&lt;=$D46)*(K$8&gt;=$D46)</f>
        <v>0</v>
      </c>
      <c r="L57" s="57">
        <f t="shared" ref="L57:BR57" si="18">(L$7&lt;=$D46)*(L$8&gt;=$D46)</f>
        <v>0</v>
      </c>
      <c r="M57" s="57">
        <f t="shared" si="18"/>
        <v>0</v>
      </c>
      <c r="N57" s="57">
        <f t="shared" si="18"/>
        <v>0</v>
      </c>
      <c r="O57" s="57">
        <f t="shared" si="18"/>
        <v>0</v>
      </c>
      <c r="P57" s="57">
        <f t="shared" si="18"/>
        <v>0</v>
      </c>
      <c r="Q57" s="57">
        <f t="shared" si="18"/>
        <v>0</v>
      </c>
      <c r="R57" s="57">
        <f t="shared" si="18"/>
        <v>0</v>
      </c>
      <c r="S57" s="57">
        <f t="shared" si="18"/>
        <v>0</v>
      </c>
      <c r="T57" s="57">
        <f t="shared" si="18"/>
        <v>0</v>
      </c>
      <c r="U57" s="57">
        <f t="shared" si="18"/>
        <v>0</v>
      </c>
      <c r="V57" s="57">
        <f t="shared" si="18"/>
        <v>0</v>
      </c>
      <c r="W57" s="57">
        <f t="shared" si="18"/>
        <v>0</v>
      </c>
      <c r="X57" s="57">
        <f t="shared" si="18"/>
        <v>0</v>
      </c>
      <c r="Y57" s="57">
        <f t="shared" si="18"/>
        <v>0</v>
      </c>
      <c r="Z57" s="57">
        <f t="shared" si="18"/>
        <v>0</v>
      </c>
      <c r="AA57" s="57">
        <f t="shared" si="18"/>
        <v>0</v>
      </c>
      <c r="AB57" s="57">
        <f t="shared" si="18"/>
        <v>0</v>
      </c>
      <c r="AC57" s="57">
        <f t="shared" si="18"/>
        <v>0</v>
      </c>
      <c r="AD57" s="57">
        <f t="shared" si="18"/>
        <v>0</v>
      </c>
      <c r="AE57" s="57">
        <f t="shared" si="18"/>
        <v>0</v>
      </c>
      <c r="AF57" s="57">
        <f t="shared" si="18"/>
        <v>0</v>
      </c>
      <c r="AG57" s="57">
        <f t="shared" si="18"/>
        <v>0</v>
      </c>
      <c r="AH57" s="57">
        <f t="shared" si="18"/>
        <v>0</v>
      </c>
      <c r="AI57" s="57">
        <f t="shared" si="18"/>
        <v>0</v>
      </c>
      <c r="AJ57" s="57">
        <f t="shared" si="18"/>
        <v>0</v>
      </c>
      <c r="AK57" s="57">
        <f t="shared" si="18"/>
        <v>0</v>
      </c>
      <c r="AL57" s="57">
        <f t="shared" si="18"/>
        <v>0</v>
      </c>
      <c r="AM57" s="57">
        <f t="shared" si="18"/>
        <v>0</v>
      </c>
      <c r="AN57" s="57">
        <f t="shared" si="18"/>
        <v>0</v>
      </c>
      <c r="AO57" s="57">
        <f t="shared" si="18"/>
        <v>0</v>
      </c>
      <c r="AP57" s="57">
        <f t="shared" si="18"/>
        <v>0</v>
      </c>
      <c r="AQ57" s="57">
        <f t="shared" si="18"/>
        <v>0</v>
      </c>
      <c r="AR57" s="57">
        <f t="shared" si="18"/>
        <v>0</v>
      </c>
      <c r="AS57" s="57">
        <f t="shared" si="18"/>
        <v>0</v>
      </c>
      <c r="AT57" s="57">
        <f t="shared" si="18"/>
        <v>0</v>
      </c>
      <c r="AU57" s="57">
        <f t="shared" si="18"/>
        <v>0</v>
      </c>
      <c r="AV57" s="57">
        <f t="shared" si="18"/>
        <v>0</v>
      </c>
      <c r="AW57" s="57">
        <f t="shared" si="18"/>
        <v>0</v>
      </c>
      <c r="AX57" s="57">
        <f t="shared" si="18"/>
        <v>0</v>
      </c>
      <c r="AY57" s="57">
        <f t="shared" si="18"/>
        <v>0</v>
      </c>
      <c r="AZ57" s="57">
        <f t="shared" si="18"/>
        <v>0</v>
      </c>
      <c r="BA57" s="57">
        <f t="shared" si="18"/>
        <v>0</v>
      </c>
      <c r="BB57" s="57">
        <f t="shared" si="18"/>
        <v>0</v>
      </c>
      <c r="BC57" s="57">
        <f t="shared" si="18"/>
        <v>0</v>
      </c>
      <c r="BD57" s="57">
        <f t="shared" si="18"/>
        <v>0</v>
      </c>
      <c r="BE57" s="57">
        <f t="shared" si="18"/>
        <v>0</v>
      </c>
      <c r="BF57" s="57">
        <f t="shared" si="18"/>
        <v>0</v>
      </c>
      <c r="BG57" s="57">
        <f t="shared" si="18"/>
        <v>0</v>
      </c>
      <c r="BH57" s="57">
        <f t="shared" si="18"/>
        <v>0</v>
      </c>
      <c r="BI57" s="57">
        <f t="shared" si="18"/>
        <v>0</v>
      </c>
      <c r="BJ57" s="57">
        <f t="shared" si="18"/>
        <v>0</v>
      </c>
      <c r="BK57" s="57">
        <f t="shared" si="18"/>
        <v>0</v>
      </c>
      <c r="BL57" s="57">
        <f t="shared" si="18"/>
        <v>0</v>
      </c>
      <c r="BM57" s="57">
        <f t="shared" si="18"/>
        <v>0</v>
      </c>
      <c r="BN57" s="57">
        <f t="shared" si="18"/>
        <v>0</v>
      </c>
      <c r="BO57" s="57">
        <f t="shared" si="18"/>
        <v>0</v>
      </c>
      <c r="BP57" s="57">
        <f t="shared" si="18"/>
        <v>0</v>
      </c>
      <c r="BQ57" s="57">
        <f t="shared" si="18"/>
        <v>0</v>
      </c>
      <c r="BR57" s="57">
        <f t="shared" si="18"/>
        <v>0</v>
      </c>
    </row>
    <row r="58" spans="1:70" outlineLevel="1" x14ac:dyDescent="0.25">
      <c r="C58" s="147" t="s">
        <v>381</v>
      </c>
      <c r="K58" s="57">
        <f t="shared" ref="K58:AP58" si="19">IF(K6&lt;$D$51,0,IF(K$8&gt;$D52,0,IF(K$7=$D$49,1,IF(MOD((K$6-$D$51),12)=0,1,0))))</f>
        <v>0</v>
      </c>
      <c r="L58" s="57">
        <f t="shared" si="19"/>
        <v>0</v>
      </c>
      <c r="M58" s="57">
        <f t="shared" si="19"/>
        <v>0</v>
      </c>
      <c r="N58" s="57">
        <f t="shared" si="19"/>
        <v>0</v>
      </c>
      <c r="O58" s="57">
        <f t="shared" si="19"/>
        <v>0</v>
      </c>
      <c r="P58" s="57">
        <f t="shared" si="19"/>
        <v>0</v>
      </c>
      <c r="Q58" s="57">
        <f t="shared" si="19"/>
        <v>0</v>
      </c>
      <c r="R58" s="57">
        <f t="shared" si="19"/>
        <v>0</v>
      </c>
      <c r="S58" s="57">
        <f t="shared" si="19"/>
        <v>0</v>
      </c>
      <c r="T58" s="57">
        <f t="shared" si="19"/>
        <v>0</v>
      </c>
      <c r="U58" s="57">
        <f t="shared" si="19"/>
        <v>0</v>
      </c>
      <c r="V58" s="57">
        <f t="shared" si="19"/>
        <v>1</v>
      </c>
      <c r="W58" s="57">
        <f t="shared" si="19"/>
        <v>0</v>
      </c>
      <c r="X58" s="57">
        <f t="shared" si="19"/>
        <v>0</v>
      </c>
      <c r="Y58" s="57">
        <f t="shared" si="19"/>
        <v>0</v>
      </c>
      <c r="Z58" s="57">
        <f t="shared" si="19"/>
        <v>0</v>
      </c>
      <c r="AA58" s="57">
        <f t="shared" si="19"/>
        <v>0</v>
      </c>
      <c r="AB58" s="57">
        <f t="shared" si="19"/>
        <v>0</v>
      </c>
      <c r="AC58" s="57">
        <f t="shared" si="19"/>
        <v>0</v>
      </c>
      <c r="AD58" s="57">
        <f t="shared" si="19"/>
        <v>0</v>
      </c>
      <c r="AE58" s="57">
        <f t="shared" si="19"/>
        <v>0</v>
      </c>
      <c r="AF58" s="57">
        <f t="shared" si="19"/>
        <v>0</v>
      </c>
      <c r="AG58" s="57">
        <f t="shared" si="19"/>
        <v>0</v>
      </c>
      <c r="AH58" s="57">
        <f t="shared" si="19"/>
        <v>1</v>
      </c>
      <c r="AI58" s="57">
        <f t="shared" si="19"/>
        <v>0</v>
      </c>
      <c r="AJ58" s="57">
        <f t="shared" si="19"/>
        <v>0</v>
      </c>
      <c r="AK58" s="57">
        <f t="shared" si="19"/>
        <v>0</v>
      </c>
      <c r="AL58" s="57">
        <f t="shared" si="19"/>
        <v>0</v>
      </c>
      <c r="AM58" s="57">
        <f t="shared" si="19"/>
        <v>0</v>
      </c>
      <c r="AN58" s="57">
        <f t="shared" si="19"/>
        <v>0</v>
      </c>
      <c r="AO58" s="57">
        <f t="shared" si="19"/>
        <v>0</v>
      </c>
      <c r="AP58" s="57">
        <f t="shared" si="19"/>
        <v>0</v>
      </c>
      <c r="AQ58" s="57">
        <f t="shared" ref="AQ58:BR58" si="20">IF(AQ6&lt;$D$51,0,IF(AQ$8&gt;$D52,0,IF(AQ$7=$D$49,1,IF(MOD((AQ$6-$D$51),12)=0,1,0))))</f>
        <v>0</v>
      </c>
      <c r="AR58" s="57">
        <f t="shared" si="20"/>
        <v>0</v>
      </c>
      <c r="AS58" s="57">
        <f t="shared" si="20"/>
        <v>0</v>
      </c>
      <c r="AT58" s="57">
        <f t="shared" si="20"/>
        <v>0</v>
      </c>
      <c r="AU58" s="57">
        <f t="shared" si="20"/>
        <v>0</v>
      </c>
      <c r="AV58" s="57">
        <f t="shared" si="20"/>
        <v>0</v>
      </c>
      <c r="AW58" s="57">
        <f t="shared" si="20"/>
        <v>0</v>
      </c>
      <c r="AX58" s="57">
        <f t="shared" si="20"/>
        <v>0</v>
      </c>
      <c r="AY58" s="57">
        <f t="shared" si="20"/>
        <v>0</v>
      </c>
      <c r="AZ58" s="57">
        <f t="shared" si="20"/>
        <v>0</v>
      </c>
      <c r="BA58" s="57">
        <f t="shared" si="20"/>
        <v>0</v>
      </c>
      <c r="BB58" s="57">
        <f t="shared" si="20"/>
        <v>0</v>
      </c>
      <c r="BC58" s="57">
        <f t="shared" si="20"/>
        <v>0</v>
      </c>
      <c r="BD58" s="57">
        <f t="shared" si="20"/>
        <v>0</v>
      </c>
      <c r="BE58" s="57">
        <f t="shared" si="20"/>
        <v>0</v>
      </c>
      <c r="BF58" s="57">
        <f t="shared" si="20"/>
        <v>0</v>
      </c>
      <c r="BG58" s="57">
        <f t="shared" si="20"/>
        <v>0</v>
      </c>
      <c r="BH58" s="57">
        <f t="shared" si="20"/>
        <v>0</v>
      </c>
      <c r="BI58" s="57">
        <f t="shared" si="20"/>
        <v>0</v>
      </c>
      <c r="BJ58" s="57">
        <f t="shared" si="20"/>
        <v>0</v>
      </c>
      <c r="BK58" s="57">
        <f t="shared" si="20"/>
        <v>0</v>
      </c>
      <c r="BL58" s="57">
        <f t="shared" si="20"/>
        <v>0</v>
      </c>
      <c r="BM58" s="57">
        <f t="shared" si="20"/>
        <v>0</v>
      </c>
      <c r="BN58" s="57">
        <f t="shared" si="20"/>
        <v>0</v>
      </c>
      <c r="BO58" s="57">
        <f t="shared" si="20"/>
        <v>0</v>
      </c>
      <c r="BP58" s="57">
        <f t="shared" si="20"/>
        <v>0</v>
      </c>
      <c r="BQ58" s="57">
        <f t="shared" si="20"/>
        <v>0</v>
      </c>
      <c r="BR58" s="57">
        <f t="shared" si="20"/>
        <v>0</v>
      </c>
    </row>
    <row r="59" spans="1:70" outlineLevel="1" x14ac:dyDescent="0.25"/>
    <row r="60" spans="1:70" outlineLevel="1" x14ac:dyDescent="0.25"/>
    <row r="61" spans="1:70" s="145" customFormat="1" ht="13.8" outlineLevel="1" x14ac:dyDescent="0.25">
      <c r="B61" s="145" t="str">
        <f>Header2</f>
        <v>3.2</v>
      </c>
      <c r="C61" s="145" t="s">
        <v>261</v>
      </c>
    </row>
    <row r="62" spans="1:70" s="147" customFormat="1" outlineLevel="1" x14ac:dyDescent="0.25">
      <c r="A62" s="211"/>
      <c r="F62" s="212"/>
    </row>
    <row r="63" spans="1:70" s="147" customFormat="1" outlineLevel="1" x14ac:dyDescent="0.25">
      <c r="A63" s="211"/>
      <c r="C63" s="147" t="s">
        <v>228</v>
      </c>
      <c r="D63" s="231" t="str">
        <f>unit</f>
        <v>£</v>
      </c>
      <c r="E63" s="147">
        <f>INDEX($K63:$BR63,0,MATCH(E$7,$K$7:$BR$7,0))</f>
        <v>0</v>
      </c>
      <c r="F63" s="147">
        <f t="shared" ref="F63:I63" si="21">INDEX($K63:$BR63,0,MATCH(F$7,$K$7:$BR$7,0))</f>
        <v>0</v>
      </c>
      <c r="G63" s="147">
        <f t="shared" si="21"/>
        <v>0</v>
      </c>
      <c r="H63" s="147">
        <f t="shared" si="21"/>
        <v>0</v>
      </c>
      <c r="I63" s="147">
        <f t="shared" si="21"/>
        <v>0</v>
      </c>
      <c r="K63" s="223">
        <v>0</v>
      </c>
      <c r="L63" s="223">
        <f t="shared" ref="L63:BR63" si="22">K66</f>
        <v>0</v>
      </c>
      <c r="M63" s="223">
        <f t="shared" si="22"/>
        <v>0</v>
      </c>
      <c r="N63" s="223">
        <f t="shared" si="22"/>
        <v>0</v>
      </c>
      <c r="O63" s="223">
        <f t="shared" si="22"/>
        <v>0</v>
      </c>
      <c r="P63" s="223">
        <f t="shared" si="22"/>
        <v>0</v>
      </c>
      <c r="Q63" s="223">
        <f t="shared" si="22"/>
        <v>0</v>
      </c>
      <c r="R63" s="223">
        <f t="shared" si="22"/>
        <v>0</v>
      </c>
      <c r="S63" s="223">
        <f t="shared" si="22"/>
        <v>0</v>
      </c>
      <c r="T63" s="223">
        <f t="shared" si="22"/>
        <v>0</v>
      </c>
      <c r="U63" s="223">
        <f t="shared" si="22"/>
        <v>0</v>
      </c>
      <c r="V63" s="223">
        <f t="shared" si="22"/>
        <v>0</v>
      </c>
      <c r="W63" s="223">
        <f t="shared" si="22"/>
        <v>0</v>
      </c>
      <c r="X63" s="223">
        <f t="shared" si="22"/>
        <v>0</v>
      </c>
      <c r="Y63" s="223">
        <f t="shared" si="22"/>
        <v>0</v>
      </c>
      <c r="Z63" s="223">
        <f t="shared" si="22"/>
        <v>0</v>
      </c>
      <c r="AA63" s="223">
        <f t="shared" si="22"/>
        <v>0</v>
      </c>
      <c r="AB63" s="223">
        <f t="shared" si="22"/>
        <v>0</v>
      </c>
      <c r="AC63" s="223">
        <f t="shared" si="22"/>
        <v>0</v>
      </c>
      <c r="AD63" s="223">
        <f t="shared" si="22"/>
        <v>0</v>
      </c>
      <c r="AE63" s="223">
        <f t="shared" si="22"/>
        <v>0</v>
      </c>
      <c r="AF63" s="223">
        <f t="shared" si="22"/>
        <v>0</v>
      </c>
      <c r="AG63" s="223">
        <f t="shared" si="22"/>
        <v>0</v>
      </c>
      <c r="AH63" s="223">
        <f t="shared" si="22"/>
        <v>0</v>
      </c>
      <c r="AI63" s="223">
        <f t="shared" si="22"/>
        <v>0</v>
      </c>
      <c r="AJ63" s="223">
        <f t="shared" si="22"/>
        <v>0</v>
      </c>
      <c r="AK63" s="223">
        <f t="shared" si="22"/>
        <v>0</v>
      </c>
      <c r="AL63" s="223">
        <f t="shared" si="22"/>
        <v>0</v>
      </c>
      <c r="AM63" s="223">
        <f t="shared" si="22"/>
        <v>0</v>
      </c>
      <c r="AN63" s="223">
        <f t="shared" si="22"/>
        <v>0</v>
      </c>
      <c r="AO63" s="223">
        <f t="shared" si="22"/>
        <v>0</v>
      </c>
      <c r="AP63" s="223">
        <f t="shared" si="22"/>
        <v>0</v>
      </c>
      <c r="AQ63" s="223">
        <f t="shared" si="22"/>
        <v>0</v>
      </c>
      <c r="AR63" s="223">
        <f t="shared" si="22"/>
        <v>0</v>
      </c>
      <c r="AS63" s="223">
        <f t="shared" si="22"/>
        <v>0</v>
      </c>
      <c r="AT63" s="223">
        <f t="shared" si="22"/>
        <v>0</v>
      </c>
      <c r="AU63" s="223">
        <f t="shared" si="22"/>
        <v>0</v>
      </c>
      <c r="AV63" s="223">
        <f t="shared" si="22"/>
        <v>0</v>
      </c>
      <c r="AW63" s="223">
        <f t="shared" si="22"/>
        <v>0</v>
      </c>
      <c r="AX63" s="223">
        <f t="shared" si="22"/>
        <v>0</v>
      </c>
      <c r="AY63" s="223">
        <f t="shared" si="22"/>
        <v>0</v>
      </c>
      <c r="AZ63" s="223">
        <f t="shared" si="22"/>
        <v>0</v>
      </c>
      <c r="BA63" s="223">
        <f t="shared" si="22"/>
        <v>0</v>
      </c>
      <c r="BB63" s="223">
        <f t="shared" si="22"/>
        <v>0</v>
      </c>
      <c r="BC63" s="223">
        <f t="shared" si="22"/>
        <v>0</v>
      </c>
      <c r="BD63" s="223">
        <f t="shared" si="22"/>
        <v>0</v>
      </c>
      <c r="BE63" s="223">
        <f t="shared" si="22"/>
        <v>0</v>
      </c>
      <c r="BF63" s="223">
        <f t="shared" si="22"/>
        <v>0</v>
      </c>
      <c r="BG63" s="223">
        <f t="shared" si="22"/>
        <v>0</v>
      </c>
      <c r="BH63" s="223">
        <f t="shared" si="22"/>
        <v>0</v>
      </c>
      <c r="BI63" s="223">
        <f t="shared" si="22"/>
        <v>0</v>
      </c>
      <c r="BJ63" s="223">
        <f t="shared" si="22"/>
        <v>0</v>
      </c>
      <c r="BK63" s="223">
        <f t="shared" si="22"/>
        <v>0</v>
      </c>
      <c r="BL63" s="223">
        <f t="shared" si="22"/>
        <v>0</v>
      </c>
      <c r="BM63" s="223">
        <f t="shared" si="22"/>
        <v>0</v>
      </c>
      <c r="BN63" s="223">
        <f t="shared" si="22"/>
        <v>0</v>
      </c>
      <c r="BO63" s="223">
        <f t="shared" si="22"/>
        <v>0</v>
      </c>
      <c r="BP63" s="223">
        <f t="shared" si="22"/>
        <v>0</v>
      </c>
      <c r="BQ63" s="223">
        <f t="shared" si="22"/>
        <v>0</v>
      </c>
      <c r="BR63" s="223">
        <f t="shared" si="22"/>
        <v>0</v>
      </c>
    </row>
    <row r="64" spans="1:70" s="147" customFormat="1" outlineLevel="1" x14ac:dyDescent="0.25">
      <c r="A64" s="211"/>
      <c r="C64" s="147" t="s">
        <v>249</v>
      </c>
      <c r="D64" s="231" t="str">
        <f>unit</f>
        <v>£</v>
      </c>
      <c r="E64" s="147">
        <f>SUMIF($K$5:$BR$5,E$5,$K64:$BR64)</f>
        <v>0</v>
      </c>
      <c r="F64" s="147">
        <f t="shared" ref="F64:I65" si="23">SUMIF($K$5:$BR$5,F$5,$K64:$BR64)</f>
        <v>0</v>
      </c>
      <c r="G64" s="147">
        <f t="shared" si="23"/>
        <v>0</v>
      </c>
      <c r="H64" s="147">
        <f t="shared" si="23"/>
        <v>0</v>
      </c>
      <c r="I64" s="147">
        <f t="shared" si="23"/>
        <v>0</v>
      </c>
      <c r="K64" s="147">
        <f t="shared" ref="K64:AP64" si="24">$D45*K57</f>
        <v>0</v>
      </c>
      <c r="L64" s="147">
        <f t="shared" si="24"/>
        <v>0</v>
      </c>
      <c r="M64" s="147">
        <f t="shared" si="24"/>
        <v>0</v>
      </c>
      <c r="N64" s="147">
        <f t="shared" si="24"/>
        <v>0</v>
      </c>
      <c r="O64" s="147">
        <f t="shared" si="24"/>
        <v>0</v>
      </c>
      <c r="P64" s="147">
        <f t="shared" si="24"/>
        <v>0</v>
      </c>
      <c r="Q64" s="147">
        <f t="shared" si="24"/>
        <v>0</v>
      </c>
      <c r="R64" s="147">
        <f t="shared" si="24"/>
        <v>0</v>
      </c>
      <c r="S64" s="147">
        <f t="shared" si="24"/>
        <v>0</v>
      </c>
      <c r="T64" s="147">
        <f t="shared" si="24"/>
        <v>0</v>
      </c>
      <c r="U64" s="147">
        <f t="shared" si="24"/>
        <v>0</v>
      </c>
      <c r="V64" s="147">
        <f t="shared" si="24"/>
        <v>0</v>
      </c>
      <c r="W64" s="147">
        <f t="shared" si="24"/>
        <v>0</v>
      </c>
      <c r="X64" s="147">
        <f t="shared" si="24"/>
        <v>0</v>
      </c>
      <c r="Y64" s="147">
        <f t="shared" si="24"/>
        <v>0</v>
      </c>
      <c r="Z64" s="147">
        <f t="shared" si="24"/>
        <v>0</v>
      </c>
      <c r="AA64" s="147">
        <f t="shared" si="24"/>
        <v>0</v>
      </c>
      <c r="AB64" s="147">
        <f t="shared" si="24"/>
        <v>0</v>
      </c>
      <c r="AC64" s="147">
        <f t="shared" si="24"/>
        <v>0</v>
      </c>
      <c r="AD64" s="147">
        <f t="shared" si="24"/>
        <v>0</v>
      </c>
      <c r="AE64" s="147">
        <f t="shared" si="24"/>
        <v>0</v>
      </c>
      <c r="AF64" s="147">
        <f t="shared" si="24"/>
        <v>0</v>
      </c>
      <c r="AG64" s="147">
        <f t="shared" si="24"/>
        <v>0</v>
      </c>
      <c r="AH64" s="147">
        <f t="shared" si="24"/>
        <v>0</v>
      </c>
      <c r="AI64" s="147">
        <f t="shared" si="24"/>
        <v>0</v>
      </c>
      <c r="AJ64" s="147">
        <f t="shared" si="24"/>
        <v>0</v>
      </c>
      <c r="AK64" s="147">
        <f t="shared" si="24"/>
        <v>0</v>
      </c>
      <c r="AL64" s="147">
        <f t="shared" si="24"/>
        <v>0</v>
      </c>
      <c r="AM64" s="147">
        <f t="shared" si="24"/>
        <v>0</v>
      </c>
      <c r="AN64" s="147">
        <f t="shared" si="24"/>
        <v>0</v>
      </c>
      <c r="AO64" s="147">
        <f t="shared" si="24"/>
        <v>0</v>
      </c>
      <c r="AP64" s="147">
        <f t="shared" si="24"/>
        <v>0</v>
      </c>
      <c r="AQ64" s="147">
        <f t="shared" ref="AQ64:BR64" si="25">$D45*AQ57</f>
        <v>0</v>
      </c>
      <c r="AR64" s="147">
        <f t="shared" si="25"/>
        <v>0</v>
      </c>
      <c r="AS64" s="147">
        <f t="shared" si="25"/>
        <v>0</v>
      </c>
      <c r="AT64" s="147">
        <f t="shared" si="25"/>
        <v>0</v>
      </c>
      <c r="AU64" s="147">
        <f t="shared" si="25"/>
        <v>0</v>
      </c>
      <c r="AV64" s="147">
        <f t="shared" si="25"/>
        <v>0</v>
      </c>
      <c r="AW64" s="147">
        <f t="shared" si="25"/>
        <v>0</v>
      </c>
      <c r="AX64" s="147">
        <f t="shared" si="25"/>
        <v>0</v>
      </c>
      <c r="AY64" s="147">
        <f t="shared" si="25"/>
        <v>0</v>
      </c>
      <c r="AZ64" s="147">
        <f t="shared" si="25"/>
        <v>0</v>
      </c>
      <c r="BA64" s="147">
        <f t="shared" si="25"/>
        <v>0</v>
      </c>
      <c r="BB64" s="147">
        <f t="shared" si="25"/>
        <v>0</v>
      </c>
      <c r="BC64" s="147">
        <f t="shared" si="25"/>
        <v>0</v>
      </c>
      <c r="BD64" s="147">
        <f t="shared" si="25"/>
        <v>0</v>
      </c>
      <c r="BE64" s="147">
        <f t="shared" si="25"/>
        <v>0</v>
      </c>
      <c r="BF64" s="147">
        <f t="shared" si="25"/>
        <v>0</v>
      </c>
      <c r="BG64" s="147">
        <f t="shared" si="25"/>
        <v>0</v>
      </c>
      <c r="BH64" s="147">
        <f t="shared" si="25"/>
        <v>0</v>
      </c>
      <c r="BI64" s="147">
        <f t="shared" si="25"/>
        <v>0</v>
      </c>
      <c r="BJ64" s="147">
        <f t="shared" si="25"/>
        <v>0</v>
      </c>
      <c r="BK64" s="147">
        <f t="shared" si="25"/>
        <v>0</v>
      </c>
      <c r="BL64" s="147">
        <f t="shared" si="25"/>
        <v>0</v>
      </c>
      <c r="BM64" s="147">
        <f t="shared" si="25"/>
        <v>0</v>
      </c>
      <c r="BN64" s="147">
        <f t="shared" si="25"/>
        <v>0</v>
      </c>
      <c r="BO64" s="147">
        <f t="shared" si="25"/>
        <v>0</v>
      </c>
      <c r="BP64" s="147">
        <f t="shared" si="25"/>
        <v>0</v>
      </c>
      <c r="BQ64" s="147">
        <f t="shared" si="25"/>
        <v>0</v>
      </c>
      <c r="BR64" s="147">
        <f t="shared" si="25"/>
        <v>0</v>
      </c>
    </row>
    <row r="65" spans="1:70" s="147" customFormat="1" outlineLevel="1" x14ac:dyDescent="0.25">
      <c r="A65" s="211"/>
      <c r="C65" s="147" t="s">
        <v>250</v>
      </c>
      <c r="D65" s="231" t="str">
        <f>unit</f>
        <v>£</v>
      </c>
      <c r="E65" s="147">
        <f>SUMIF($K$5:$BR$5,E$5,$K65:$BR65)</f>
        <v>0</v>
      </c>
      <c r="F65" s="147">
        <f t="shared" si="23"/>
        <v>0</v>
      </c>
      <c r="G65" s="147">
        <f t="shared" si="23"/>
        <v>0</v>
      </c>
      <c r="H65" s="147">
        <f t="shared" si="23"/>
        <v>0</v>
      </c>
      <c r="I65" s="147">
        <f t="shared" si="23"/>
        <v>0</v>
      </c>
      <c r="K65" s="147">
        <f>-K58*$D53</f>
        <v>0</v>
      </c>
      <c r="L65" s="147">
        <f t="shared" ref="L65:BR65" si="26">-L58*$D53</f>
        <v>0</v>
      </c>
      <c r="M65" s="147">
        <f t="shared" si="26"/>
        <v>0</v>
      </c>
      <c r="N65" s="147">
        <f t="shared" si="26"/>
        <v>0</v>
      </c>
      <c r="O65" s="147">
        <f t="shared" si="26"/>
        <v>0</v>
      </c>
      <c r="P65" s="147">
        <f t="shared" si="26"/>
        <v>0</v>
      </c>
      <c r="Q65" s="147">
        <f t="shared" si="26"/>
        <v>0</v>
      </c>
      <c r="R65" s="147">
        <f t="shared" si="26"/>
        <v>0</v>
      </c>
      <c r="S65" s="147">
        <f t="shared" si="26"/>
        <v>0</v>
      </c>
      <c r="T65" s="147">
        <f t="shared" si="26"/>
        <v>0</v>
      </c>
      <c r="U65" s="147">
        <f t="shared" si="26"/>
        <v>0</v>
      </c>
      <c r="V65" s="147">
        <f t="shared" si="26"/>
        <v>0</v>
      </c>
      <c r="W65" s="147">
        <f t="shared" si="26"/>
        <v>0</v>
      </c>
      <c r="X65" s="147">
        <f t="shared" si="26"/>
        <v>0</v>
      </c>
      <c r="Y65" s="147">
        <f t="shared" si="26"/>
        <v>0</v>
      </c>
      <c r="Z65" s="147">
        <f t="shared" si="26"/>
        <v>0</v>
      </c>
      <c r="AA65" s="147">
        <f t="shared" si="26"/>
        <v>0</v>
      </c>
      <c r="AB65" s="147">
        <f t="shared" si="26"/>
        <v>0</v>
      </c>
      <c r="AC65" s="147">
        <f t="shared" si="26"/>
        <v>0</v>
      </c>
      <c r="AD65" s="147">
        <f t="shared" si="26"/>
        <v>0</v>
      </c>
      <c r="AE65" s="147">
        <f t="shared" si="26"/>
        <v>0</v>
      </c>
      <c r="AF65" s="147">
        <f t="shared" si="26"/>
        <v>0</v>
      </c>
      <c r="AG65" s="147">
        <f t="shared" si="26"/>
        <v>0</v>
      </c>
      <c r="AH65" s="147">
        <f t="shared" si="26"/>
        <v>0</v>
      </c>
      <c r="AI65" s="147">
        <f t="shared" si="26"/>
        <v>0</v>
      </c>
      <c r="AJ65" s="147">
        <f t="shared" si="26"/>
        <v>0</v>
      </c>
      <c r="AK65" s="147">
        <f t="shared" si="26"/>
        <v>0</v>
      </c>
      <c r="AL65" s="147">
        <f t="shared" si="26"/>
        <v>0</v>
      </c>
      <c r="AM65" s="147">
        <f t="shared" si="26"/>
        <v>0</v>
      </c>
      <c r="AN65" s="147">
        <f t="shared" si="26"/>
        <v>0</v>
      </c>
      <c r="AO65" s="147">
        <f t="shared" si="26"/>
        <v>0</v>
      </c>
      <c r="AP65" s="147">
        <f t="shared" si="26"/>
        <v>0</v>
      </c>
      <c r="AQ65" s="147">
        <f t="shared" si="26"/>
        <v>0</v>
      </c>
      <c r="AR65" s="147">
        <f t="shared" si="26"/>
        <v>0</v>
      </c>
      <c r="AS65" s="147">
        <f t="shared" si="26"/>
        <v>0</v>
      </c>
      <c r="AT65" s="147">
        <f t="shared" si="26"/>
        <v>0</v>
      </c>
      <c r="AU65" s="147">
        <f t="shared" si="26"/>
        <v>0</v>
      </c>
      <c r="AV65" s="147">
        <f t="shared" si="26"/>
        <v>0</v>
      </c>
      <c r="AW65" s="147">
        <f t="shared" si="26"/>
        <v>0</v>
      </c>
      <c r="AX65" s="147">
        <f t="shared" si="26"/>
        <v>0</v>
      </c>
      <c r="AY65" s="147">
        <f t="shared" si="26"/>
        <v>0</v>
      </c>
      <c r="AZ65" s="147">
        <f t="shared" si="26"/>
        <v>0</v>
      </c>
      <c r="BA65" s="147">
        <f t="shared" si="26"/>
        <v>0</v>
      </c>
      <c r="BB65" s="147">
        <f t="shared" si="26"/>
        <v>0</v>
      </c>
      <c r="BC65" s="147">
        <f t="shared" si="26"/>
        <v>0</v>
      </c>
      <c r="BD65" s="147">
        <f t="shared" si="26"/>
        <v>0</v>
      </c>
      <c r="BE65" s="147">
        <f t="shared" si="26"/>
        <v>0</v>
      </c>
      <c r="BF65" s="147">
        <f t="shared" si="26"/>
        <v>0</v>
      </c>
      <c r="BG65" s="147">
        <f t="shared" si="26"/>
        <v>0</v>
      </c>
      <c r="BH65" s="147">
        <f t="shared" si="26"/>
        <v>0</v>
      </c>
      <c r="BI65" s="147">
        <f t="shared" si="26"/>
        <v>0</v>
      </c>
      <c r="BJ65" s="147">
        <f t="shared" si="26"/>
        <v>0</v>
      </c>
      <c r="BK65" s="147">
        <f t="shared" si="26"/>
        <v>0</v>
      </c>
      <c r="BL65" s="147">
        <f t="shared" si="26"/>
        <v>0</v>
      </c>
      <c r="BM65" s="147">
        <f t="shared" si="26"/>
        <v>0</v>
      </c>
      <c r="BN65" s="147">
        <f t="shared" si="26"/>
        <v>0</v>
      </c>
      <c r="BO65" s="147">
        <f t="shared" si="26"/>
        <v>0</v>
      </c>
      <c r="BP65" s="147">
        <f t="shared" si="26"/>
        <v>0</v>
      </c>
      <c r="BQ65" s="147">
        <f t="shared" si="26"/>
        <v>0</v>
      </c>
      <c r="BR65" s="147">
        <f t="shared" si="26"/>
        <v>0</v>
      </c>
    </row>
    <row r="66" spans="1:70" s="147" customFormat="1" outlineLevel="1" x14ac:dyDescent="0.25">
      <c r="A66" s="211"/>
      <c r="C66" s="147" t="s">
        <v>230</v>
      </c>
      <c r="D66" s="231" t="str">
        <f>unit</f>
        <v>£</v>
      </c>
      <c r="E66" s="230">
        <f>SUM(E63:E65)</f>
        <v>0</v>
      </c>
      <c r="F66" s="230">
        <f t="shared" ref="F66:I66" si="27">SUM(F63:F65)</f>
        <v>0</v>
      </c>
      <c r="G66" s="230">
        <f t="shared" si="27"/>
        <v>0</v>
      </c>
      <c r="H66" s="230">
        <f t="shared" si="27"/>
        <v>0</v>
      </c>
      <c r="I66" s="230">
        <f t="shared" si="27"/>
        <v>0</v>
      </c>
      <c r="J66" s="224"/>
      <c r="K66" s="214">
        <f t="shared" ref="K66:BR66" si="28">SUM(K63:K65)</f>
        <v>0</v>
      </c>
      <c r="L66" s="214">
        <f t="shared" si="28"/>
        <v>0</v>
      </c>
      <c r="M66" s="214">
        <f t="shared" si="28"/>
        <v>0</v>
      </c>
      <c r="N66" s="214">
        <f t="shared" si="28"/>
        <v>0</v>
      </c>
      <c r="O66" s="214">
        <f t="shared" si="28"/>
        <v>0</v>
      </c>
      <c r="P66" s="214">
        <f t="shared" si="28"/>
        <v>0</v>
      </c>
      <c r="Q66" s="214">
        <f t="shared" si="28"/>
        <v>0</v>
      </c>
      <c r="R66" s="214">
        <f t="shared" si="28"/>
        <v>0</v>
      </c>
      <c r="S66" s="214">
        <f t="shared" si="28"/>
        <v>0</v>
      </c>
      <c r="T66" s="214">
        <f t="shared" si="28"/>
        <v>0</v>
      </c>
      <c r="U66" s="214">
        <f t="shared" si="28"/>
        <v>0</v>
      </c>
      <c r="V66" s="214">
        <f t="shared" si="28"/>
        <v>0</v>
      </c>
      <c r="W66" s="214">
        <f t="shared" si="28"/>
        <v>0</v>
      </c>
      <c r="X66" s="214">
        <f t="shared" si="28"/>
        <v>0</v>
      </c>
      <c r="Y66" s="214">
        <f t="shared" si="28"/>
        <v>0</v>
      </c>
      <c r="Z66" s="214">
        <f t="shared" si="28"/>
        <v>0</v>
      </c>
      <c r="AA66" s="214">
        <f t="shared" si="28"/>
        <v>0</v>
      </c>
      <c r="AB66" s="214">
        <f t="shared" si="28"/>
        <v>0</v>
      </c>
      <c r="AC66" s="214">
        <f t="shared" si="28"/>
        <v>0</v>
      </c>
      <c r="AD66" s="214">
        <f t="shared" si="28"/>
        <v>0</v>
      </c>
      <c r="AE66" s="214">
        <f t="shared" si="28"/>
        <v>0</v>
      </c>
      <c r="AF66" s="214">
        <f t="shared" si="28"/>
        <v>0</v>
      </c>
      <c r="AG66" s="214">
        <f t="shared" si="28"/>
        <v>0</v>
      </c>
      <c r="AH66" s="214">
        <f t="shared" si="28"/>
        <v>0</v>
      </c>
      <c r="AI66" s="214">
        <f t="shared" si="28"/>
        <v>0</v>
      </c>
      <c r="AJ66" s="214">
        <f t="shared" si="28"/>
        <v>0</v>
      </c>
      <c r="AK66" s="214">
        <f t="shared" si="28"/>
        <v>0</v>
      </c>
      <c r="AL66" s="214">
        <f t="shared" si="28"/>
        <v>0</v>
      </c>
      <c r="AM66" s="214">
        <f t="shared" si="28"/>
        <v>0</v>
      </c>
      <c r="AN66" s="214">
        <f t="shared" si="28"/>
        <v>0</v>
      </c>
      <c r="AO66" s="214">
        <f t="shared" si="28"/>
        <v>0</v>
      </c>
      <c r="AP66" s="214">
        <f t="shared" si="28"/>
        <v>0</v>
      </c>
      <c r="AQ66" s="214">
        <f t="shared" si="28"/>
        <v>0</v>
      </c>
      <c r="AR66" s="214">
        <f t="shared" si="28"/>
        <v>0</v>
      </c>
      <c r="AS66" s="214">
        <f t="shared" si="28"/>
        <v>0</v>
      </c>
      <c r="AT66" s="214">
        <f t="shared" si="28"/>
        <v>0</v>
      </c>
      <c r="AU66" s="214">
        <f t="shared" si="28"/>
        <v>0</v>
      </c>
      <c r="AV66" s="214">
        <f t="shared" si="28"/>
        <v>0</v>
      </c>
      <c r="AW66" s="214">
        <f t="shared" si="28"/>
        <v>0</v>
      </c>
      <c r="AX66" s="214">
        <f t="shared" si="28"/>
        <v>0</v>
      </c>
      <c r="AY66" s="214">
        <f t="shared" si="28"/>
        <v>0</v>
      </c>
      <c r="AZ66" s="214">
        <f t="shared" si="28"/>
        <v>0</v>
      </c>
      <c r="BA66" s="214">
        <f t="shared" si="28"/>
        <v>0</v>
      </c>
      <c r="BB66" s="214">
        <f t="shared" si="28"/>
        <v>0</v>
      </c>
      <c r="BC66" s="214">
        <f t="shared" si="28"/>
        <v>0</v>
      </c>
      <c r="BD66" s="214">
        <f t="shared" si="28"/>
        <v>0</v>
      </c>
      <c r="BE66" s="214">
        <f t="shared" si="28"/>
        <v>0</v>
      </c>
      <c r="BF66" s="214">
        <f t="shared" si="28"/>
        <v>0</v>
      </c>
      <c r="BG66" s="214">
        <f t="shared" si="28"/>
        <v>0</v>
      </c>
      <c r="BH66" s="214">
        <f t="shared" si="28"/>
        <v>0</v>
      </c>
      <c r="BI66" s="214">
        <f t="shared" si="28"/>
        <v>0</v>
      </c>
      <c r="BJ66" s="214">
        <f t="shared" si="28"/>
        <v>0</v>
      </c>
      <c r="BK66" s="214">
        <f t="shared" si="28"/>
        <v>0</v>
      </c>
      <c r="BL66" s="214">
        <f t="shared" si="28"/>
        <v>0</v>
      </c>
      <c r="BM66" s="214">
        <f t="shared" si="28"/>
        <v>0</v>
      </c>
      <c r="BN66" s="214">
        <f t="shared" si="28"/>
        <v>0</v>
      </c>
      <c r="BO66" s="214">
        <f t="shared" si="28"/>
        <v>0</v>
      </c>
      <c r="BP66" s="214">
        <f t="shared" si="28"/>
        <v>0</v>
      </c>
      <c r="BQ66" s="214">
        <f t="shared" si="28"/>
        <v>0</v>
      </c>
      <c r="BR66" s="214">
        <f t="shared" si="28"/>
        <v>0</v>
      </c>
    </row>
    <row r="67" spans="1:70" outlineLevel="1" x14ac:dyDescent="0.25">
      <c r="E67" s="147"/>
      <c r="F67" s="212"/>
      <c r="G67" s="147"/>
      <c r="H67" s="147"/>
      <c r="I67" s="147"/>
    </row>
    <row r="69" spans="1:70" s="166" customFormat="1" ht="15.6" x14ac:dyDescent="0.3">
      <c r="A69" s="166">
        <f>Header1</f>
        <v>4</v>
      </c>
      <c r="B69" s="166" t="str">
        <f>KeyInputs!H85</f>
        <v>Grant 2</v>
      </c>
    </row>
    <row r="70" spans="1:70" outlineLevel="1" x14ac:dyDescent="0.25"/>
    <row r="71" spans="1:70" outlineLevel="1" x14ac:dyDescent="0.25">
      <c r="C71" s="217" t="str">
        <f>C45</f>
        <v>Drawdown</v>
      </c>
      <c r="D71" s="220">
        <f>KeyInputs!H86</f>
        <v>0</v>
      </c>
    </row>
    <row r="72" spans="1:70" outlineLevel="1" x14ac:dyDescent="0.25">
      <c r="C72" s="217" t="str">
        <f t="shared" ref="C72:C73" si="29">C46</f>
        <v>Drawdown date</v>
      </c>
      <c r="D72" s="222">
        <f>KeyInputs!H87</f>
        <v>41548</v>
      </c>
    </row>
    <row r="73" spans="1:70" outlineLevel="1" x14ac:dyDescent="0.25">
      <c r="C73" s="217" t="str">
        <f t="shared" si="29"/>
        <v>Grant term (years)</v>
      </c>
      <c r="D73" s="219">
        <f>KeyInputs!H88</f>
        <v>5</v>
      </c>
    </row>
    <row r="74" spans="1:70" outlineLevel="1" x14ac:dyDescent="0.25"/>
    <row r="75" spans="1:70" outlineLevel="1" x14ac:dyDescent="0.25">
      <c r="C75" s="57" t="s">
        <v>425</v>
      </c>
      <c r="D75" s="221">
        <f>EDATE(D72,1)-1</f>
        <v>41578</v>
      </c>
    </row>
    <row r="76" spans="1:70" outlineLevel="1" x14ac:dyDescent="0.25">
      <c r="C76" s="57" t="s">
        <v>246</v>
      </c>
      <c r="D76" s="57">
        <f>IFERROR(INDEX($K$6:$BR$6,0,MATCH($D72,$K$7:$BR$7,0)),0)</f>
        <v>0</v>
      </c>
    </row>
    <row r="77" spans="1:70" outlineLevel="1" x14ac:dyDescent="0.25">
      <c r="C77" s="57" t="s">
        <v>424</v>
      </c>
      <c r="D77" s="57">
        <f>IFERROR(INDEX($K$6:$BR$6,0,MATCH($D75,$K$8:$BR$8,0)),0)</f>
        <v>0</v>
      </c>
    </row>
    <row r="78" spans="1:70" outlineLevel="1" x14ac:dyDescent="0.25">
      <c r="C78" s="57" t="s">
        <v>426</v>
      </c>
      <c r="D78" s="221">
        <f>EDATE($D$75,(D73-1)*12)</f>
        <v>43039</v>
      </c>
    </row>
    <row r="79" spans="1:70" outlineLevel="1" x14ac:dyDescent="0.25">
      <c r="C79" s="57" t="s">
        <v>427</v>
      </c>
      <c r="D79" s="57">
        <f>IFERROR(D71/D73,0)</f>
        <v>0</v>
      </c>
    </row>
    <row r="80" spans="1:70" outlineLevel="1" x14ac:dyDescent="0.25"/>
    <row r="81" spans="1:70" s="143" customFormat="1" ht="13.8" outlineLevel="1" x14ac:dyDescent="0.25">
      <c r="B81" s="143" t="str">
        <f>Header2</f>
        <v>4.1</v>
      </c>
      <c r="C81" s="143" t="s">
        <v>254</v>
      </c>
    </row>
    <row r="82" spans="1:70" outlineLevel="1" x14ac:dyDescent="0.25"/>
    <row r="83" spans="1:70" outlineLevel="1" x14ac:dyDescent="0.25">
      <c r="C83" s="147" t="s">
        <v>255</v>
      </c>
      <c r="K83" s="57">
        <f>(K$7&lt;=$D72)*(K$8&gt;=$D72)</f>
        <v>0</v>
      </c>
      <c r="L83" s="57">
        <f t="shared" ref="L83:BR83" si="30">(L$7&lt;=$D72)*(L$8&gt;=$D72)</f>
        <v>0</v>
      </c>
      <c r="M83" s="57">
        <f t="shared" si="30"/>
        <v>0</v>
      </c>
      <c r="N83" s="57">
        <f t="shared" si="30"/>
        <v>0</v>
      </c>
      <c r="O83" s="57">
        <f t="shared" si="30"/>
        <v>0</v>
      </c>
      <c r="P83" s="57">
        <f t="shared" si="30"/>
        <v>0</v>
      </c>
      <c r="Q83" s="57">
        <f t="shared" si="30"/>
        <v>0</v>
      </c>
      <c r="R83" s="57">
        <f t="shared" si="30"/>
        <v>0</v>
      </c>
      <c r="S83" s="57">
        <f t="shared" si="30"/>
        <v>0</v>
      </c>
      <c r="T83" s="57">
        <f t="shared" si="30"/>
        <v>0</v>
      </c>
      <c r="U83" s="57">
        <f t="shared" si="30"/>
        <v>0</v>
      </c>
      <c r="V83" s="57">
        <f t="shared" si="30"/>
        <v>0</v>
      </c>
      <c r="W83" s="57">
        <f t="shared" si="30"/>
        <v>0</v>
      </c>
      <c r="X83" s="57">
        <f t="shared" si="30"/>
        <v>0</v>
      </c>
      <c r="Y83" s="57">
        <f t="shared" si="30"/>
        <v>0</v>
      </c>
      <c r="Z83" s="57">
        <f t="shared" si="30"/>
        <v>0</v>
      </c>
      <c r="AA83" s="57">
        <f t="shared" si="30"/>
        <v>0</v>
      </c>
      <c r="AB83" s="57">
        <f t="shared" si="30"/>
        <v>0</v>
      </c>
      <c r="AC83" s="57">
        <f t="shared" si="30"/>
        <v>0</v>
      </c>
      <c r="AD83" s="57">
        <f t="shared" si="30"/>
        <v>0</v>
      </c>
      <c r="AE83" s="57">
        <f t="shared" si="30"/>
        <v>0</v>
      </c>
      <c r="AF83" s="57">
        <f t="shared" si="30"/>
        <v>0</v>
      </c>
      <c r="AG83" s="57">
        <f t="shared" si="30"/>
        <v>0</v>
      </c>
      <c r="AH83" s="57">
        <f t="shared" si="30"/>
        <v>0</v>
      </c>
      <c r="AI83" s="57">
        <f t="shared" si="30"/>
        <v>0</v>
      </c>
      <c r="AJ83" s="57">
        <f t="shared" si="30"/>
        <v>0</v>
      </c>
      <c r="AK83" s="57">
        <f t="shared" si="30"/>
        <v>0</v>
      </c>
      <c r="AL83" s="57">
        <f t="shared" si="30"/>
        <v>0</v>
      </c>
      <c r="AM83" s="57">
        <f t="shared" si="30"/>
        <v>0</v>
      </c>
      <c r="AN83" s="57">
        <f t="shared" si="30"/>
        <v>0</v>
      </c>
      <c r="AO83" s="57">
        <f t="shared" si="30"/>
        <v>0</v>
      </c>
      <c r="AP83" s="57">
        <f t="shared" si="30"/>
        <v>0</v>
      </c>
      <c r="AQ83" s="57">
        <f t="shared" si="30"/>
        <v>0</v>
      </c>
      <c r="AR83" s="57">
        <f t="shared" si="30"/>
        <v>0</v>
      </c>
      <c r="AS83" s="57">
        <f t="shared" si="30"/>
        <v>0</v>
      </c>
      <c r="AT83" s="57">
        <f t="shared" si="30"/>
        <v>0</v>
      </c>
      <c r="AU83" s="57">
        <f t="shared" si="30"/>
        <v>0</v>
      </c>
      <c r="AV83" s="57">
        <f t="shared" si="30"/>
        <v>0</v>
      </c>
      <c r="AW83" s="57">
        <f t="shared" si="30"/>
        <v>0</v>
      </c>
      <c r="AX83" s="57">
        <f t="shared" si="30"/>
        <v>0</v>
      </c>
      <c r="AY83" s="57">
        <f t="shared" si="30"/>
        <v>0</v>
      </c>
      <c r="AZ83" s="57">
        <f t="shared" si="30"/>
        <v>0</v>
      </c>
      <c r="BA83" s="57">
        <f t="shared" si="30"/>
        <v>0</v>
      </c>
      <c r="BB83" s="57">
        <f t="shared" si="30"/>
        <v>0</v>
      </c>
      <c r="BC83" s="57">
        <f t="shared" si="30"/>
        <v>0</v>
      </c>
      <c r="BD83" s="57">
        <f t="shared" si="30"/>
        <v>0</v>
      </c>
      <c r="BE83" s="57">
        <f t="shared" si="30"/>
        <v>0</v>
      </c>
      <c r="BF83" s="57">
        <f t="shared" si="30"/>
        <v>0</v>
      </c>
      <c r="BG83" s="57">
        <f t="shared" si="30"/>
        <v>0</v>
      </c>
      <c r="BH83" s="57">
        <f t="shared" si="30"/>
        <v>0</v>
      </c>
      <c r="BI83" s="57">
        <f t="shared" si="30"/>
        <v>0</v>
      </c>
      <c r="BJ83" s="57">
        <f t="shared" si="30"/>
        <v>0</v>
      </c>
      <c r="BK83" s="57">
        <f t="shared" si="30"/>
        <v>0</v>
      </c>
      <c r="BL83" s="57">
        <f t="shared" si="30"/>
        <v>0</v>
      </c>
      <c r="BM83" s="57">
        <f t="shared" si="30"/>
        <v>0</v>
      </c>
      <c r="BN83" s="57">
        <f t="shared" si="30"/>
        <v>0</v>
      </c>
      <c r="BO83" s="57">
        <f t="shared" si="30"/>
        <v>0</v>
      </c>
      <c r="BP83" s="57">
        <f t="shared" si="30"/>
        <v>0</v>
      </c>
      <c r="BQ83" s="57">
        <f t="shared" si="30"/>
        <v>0</v>
      </c>
      <c r="BR83" s="57">
        <f t="shared" si="30"/>
        <v>0</v>
      </c>
    </row>
    <row r="84" spans="1:70" outlineLevel="1" x14ac:dyDescent="0.25">
      <c r="C84" s="147" t="s">
        <v>381</v>
      </c>
      <c r="K84" s="57">
        <f t="shared" ref="K84:AP84" si="31">IF(K6&lt;$D$77,0,IF(K$8&gt;$D78,0,IF(K$7=$D$75,1,IF(MOD((K$6-$D$77),12)=0,1,0))))</f>
        <v>0</v>
      </c>
      <c r="L84" s="57">
        <f t="shared" si="31"/>
        <v>0</v>
      </c>
      <c r="M84" s="57">
        <f t="shared" si="31"/>
        <v>0</v>
      </c>
      <c r="N84" s="57">
        <f t="shared" si="31"/>
        <v>0</v>
      </c>
      <c r="O84" s="57">
        <f t="shared" si="31"/>
        <v>0</v>
      </c>
      <c r="P84" s="57">
        <f t="shared" si="31"/>
        <v>0</v>
      </c>
      <c r="Q84" s="57">
        <f t="shared" si="31"/>
        <v>0</v>
      </c>
      <c r="R84" s="57">
        <f t="shared" si="31"/>
        <v>0</v>
      </c>
      <c r="S84" s="57">
        <f t="shared" si="31"/>
        <v>0</v>
      </c>
      <c r="T84" s="57">
        <f t="shared" si="31"/>
        <v>0</v>
      </c>
      <c r="U84" s="57">
        <f t="shared" si="31"/>
        <v>0</v>
      </c>
      <c r="V84" s="57">
        <f t="shared" si="31"/>
        <v>1</v>
      </c>
      <c r="W84" s="57">
        <f t="shared" si="31"/>
        <v>0</v>
      </c>
      <c r="X84" s="57">
        <f t="shared" si="31"/>
        <v>0</v>
      </c>
      <c r="Y84" s="57">
        <f t="shared" si="31"/>
        <v>0</v>
      </c>
      <c r="Z84" s="57">
        <f t="shared" si="31"/>
        <v>0</v>
      </c>
      <c r="AA84" s="57">
        <f t="shared" si="31"/>
        <v>0</v>
      </c>
      <c r="AB84" s="57">
        <f t="shared" si="31"/>
        <v>0</v>
      </c>
      <c r="AC84" s="57">
        <f t="shared" si="31"/>
        <v>0</v>
      </c>
      <c r="AD84" s="57">
        <f t="shared" si="31"/>
        <v>0</v>
      </c>
      <c r="AE84" s="57">
        <f t="shared" si="31"/>
        <v>0</v>
      </c>
      <c r="AF84" s="57">
        <f t="shared" si="31"/>
        <v>0</v>
      </c>
      <c r="AG84" s="57">
        <f t="shared" si="31"/>
        <v>0</v>
      </c>
      <c r="AH84" s="57">
        <f t="shared" si="31"/>
        <v>1</v>
      </c>
      <c r="AI84" s="57">
        <f t="shared" si="31"/>
        <v>0</v>
      </c>
      <c r="AJ84" s="57">
        <f t="shared" si="31"/>
        <v>0</v>
      </c>
      <c r="AK84" s="57">
        <f t="shared" si="31"/>
        <v>0</v>
      </c>
      <c r="AL84" s="57">
        <f t="shared" si="31"/>
        <v>0</v>
      </c>
      <c r="AM84" s="57">
        <f t="shared" si="31"/>
        <v>0</v>
      </c>
      <c r="AN84" s="57">
        <f t="shared" si="31"/>
        <v>0</v>
      </c>
      <c r="AO84" s="57">
        <f t="shared" si="31"/>
        <v>0</v>
      </c>
      <c r="AP84" s="57">
        <f t="shared" si="31"/>
        <v>0</v>
      </c>
      <c r="AQ84" s="57">
        <f t="shared" ref="AQ84:BR84" si="32">IF(AQ6&lt;$D$77,0,IF(AQ$8&gt;$D78,0,IF(AQ$7=$D$75,1,IF(MOD((AQ$6-$D$77),12)=0,1,0))))</f>
        <v>0</v>
      </c>
      <c r="AR84" s="57">
        <f t="shared" si="32"/>
        <v>0</v>
      </c>
      <c r="AS84" s="57">
        <f t="shared" si="32"/>
        <v>0</v>
      </c>
      <c r="AT84" s="57">
        <f t="shared" si="32"/>
        <v>0</v>
      </c>
      <c r="AU84" s="57">
        <f t="shared" si="32"/>
        <v>0</v>
      </c>
      <c r="AV84" s="57">
        <f t="shared" si="32"/>
        <v>0</v>
      </c>
      <c r="AW84" s="57">
        <f t="shared" si="32"/>
        <v>0</v>
      </c>
      <c r="AX84" s="57">
        <f t="shared" si="32"/>
        <v>0</v>
      </c>
      <c r="AY84" s="57">
        <f t="shared" si="32"/>
        <v>0</v>
      </c>
      <c r="AZ84" s="57">
        <f t="shared" si="32"/>
        <v>0</v>
      </c>
      <c r="BA84" s="57">
        <f t="shared" si="32"/>
        <v>0</v>
      </c>
      <c r="BB84" s="57">
        <f t="shared" si="32"/>
        <v>0</v>
      </c>
      <c r="BC84" s="57">
        <f t="shared" si="32"/>
        <v>0</v>
      </c>
      <c r="BD84" s="57">
        <f t="shared" si="32"/>
        <v>0</v>
      </c>
      <c r="BE84" s="57">
        <f t="shared" si="32"/>
        <v>0</v>
      </c>
      <c r="BF84" s="57">
        <f t="shared" si="32"/>
        <v>0</v>
      </c>
      <c r="BG84" s="57">
        <f t="shared" si="32"/>
        <v>0</v>
      </c>
      <c r="BH84" s="57">
        <f t="shared" si="32"/>
        <v>0</v>
      </c>
      <c r="BI84" s="57">
        <f t="shared" si="32"/>
        <v>0</v>
      </c>
      <c r="BJ84" s="57">
        <f t="shared" si="32"/>
        <v>0</v>
      </c>
      <c r="BK84" s="57">
        <f t="shared" si="32"/>
        <v>0</v>
      </c>
      <c r="BL84" s="57">
        <f t="shared" si="32"/>
        <v>0</v>
      </c>
      <c r="BM84" s="57">
        <f t="shared" si="32"/>
        <v>0</v>
      </c>
      <c r="BN84" s="57">
        <f t="shared" si="32"/>
        <v>0</v>
      </c>
      <c r="BO84" s="57">
        <f t="shared" si="32"/>
        <v>0</v>
      </c>
      <c r="BP84" s="57">
        <f t="shared" si="32"/>
        <v>0</v>
      </c>
      <c r="BQ84" s="57">
        <f t="shared" si="32"/>
        <v>0</v>
      </c>
      <c r="BR84" s="57">
        <f t="shared" si="32"/>
        <v>0</v>
      </c>
    </row>
    <row r="85" spans="1:70" outlineLevel="1" x14ac:dyDescent="0.25"/>
    <row r="86" spans="1:70" outlineLevel="1" x14ac:dyDescent="0.25"/>
    <row r="87" spans="1:70" s="145" customFormat="1" ht="13.8" outlineLevel="1" x14ac:dyDescent="0.25">
      <c r="B87" s="145" t="str">
        <f>Header2</f>
        <v>4.2</v>
      </c>
      <c r="C87" s="145" t="s">
        <v>261</v>
      </c>
    </row>
    <row r="88" spans="1:70" s="147" customFormat="1" outlineLevel="1" x14ac:dyDescent="0.25">
      <c r="A88" s="211"/>
      <c r="F88" s="212"/>
    </row>
    <row r="89" spans="1:70" s="147" customFormat="1" outlineLevel="1" x14ac:dyDescent="0.25">
      <c r="A89" s="211"/>
      <c r="C89" s="147" t="s">
        <v>228</v>
      </c>
      <c r="D89" s="231" t="str">
        <f>unit</f>
        <v>£</v>
      </c>
      <c r="E89" s="147">
        <f>INDEX($K89:$BR89,0,MATCH(E$7,$K$7:$BR$7,0))</f>
        <v>0</v>
      </c>
      <c r="F89" s="147">
        <f t="shared" ref="F89:I89" si="33">INDEX($K89:$BR89,0,MATCH(F$7,$K$7:$BR$7,0))</f>
        <v>0</v>
      </c>
      <c r="G89" s="147">
        <f t="shared" si="33"/>
        <v>0</v>
      </c>
      <c r="H89" s="147">
        <f t="shared" si="33"/>
        <v>0</v>
      </c>
      <c r="I89" s="147">
        <f t="shared" si="33"/>
        <v>0</v>
      </c>
      <c r="K89" s="213">
        <v>0</v>
      </c>
      <c r="L89" s="223">
        <f t="shared" ref="L89:BR89" si="34">K92</f>
        <v>0</v>
      </c>
      <c r="M89" s="223">
        <f t="shared" si="34"/>
        <v>0</v>
      </c>
      <c r="N89" s="223">
        <f t="shared" si="34"/>
        <v>0</v>
      </c>
      <c r="O89" s="223">
        <f t="shared" si="34"/>
        <v>0</v>
      </c>
      <c r="P89" s="223">
        <f t="shared" si="34"/>
        <v>0</v>
      </c>
      <c r="Q89" s="223">
        <f t="shared" si="34"/>
        <v>0</v>
      </c>
      <c r="R89" s="223">
        <f t="shared" si="34"/>
        <v>0</v>
      </c>
      <c r="S89" s="223">
        <f t="shared" si="34"/>
        <v>0</v>
      </c>
      <c r="T89" s="223">
        <f t="shared" si="34"/>
        <v>0</v>
      </c>
      <c r="U89" s="223">
        <f t="shared" si="34"/>
        <v>0</v>
      </c>
      <c r="V89" s="223">
        <f t="shared" si="34"/>
        <v>0</v>
      </c>
      <c r="W89" s="223">
        <f t="shared" si="34"/>
        <v>0</v>
      </c>
      <c r="X89" s="223">
        <f t="shared" si="34"/>
        <v>0</v>
      </c>
      <c r="Y89" s="223">
        <f t="shared" si="34"/>
        <v>0</v>
      </c>
      <c r="Z89" s="223">
        <f t="shared" si="34"/>
        <v>0</v>
      </c>
      <c r="AA89" s="223">
        <f t="shared" si="34"/>
        <v>0</v>
      </c>
      <c r="AB89" s="223">
        <f t="shared" si="34"/>
        <v>0</v>
      </c>
      <c r="AC89" s="223">
        <f t="shared" si="34"/>
        <v>0</v>
      </c>
      <c r="AD89" s="223">
        <f t="shared" si="34"/>
        <v>0</v>
      </c>
      <c r="AE89" s="223">
        <f t="shared" si="34"/>
        <v>0</v>
      </c>
      <c r="AF89" s="223">
        <f t="shared" si="34"/>
        <v>0</v>
      </c>
      <c r="AG89" s="223">
        <f t="shared" si="34"/>
        <v>0</v>
      </c>
      <c r="AH89" s="223">
        <f t="shared" si="34"/>
        <v>0</v>
      </c>
      <c r="AI89" s="223">
        <f t="shared" si="34"/>
        <v>0</v>
      </c>
      <c r="AJ89" s="223">
        <f t="shared" si="34"/>
        <v>0</v>
      </c>
      <c r="AK89" s="223">
        <f t="shared" si="34"/>
        <v>0</v>
      </c>
      <c r="AL89" s="223">
        <f t="shared" si="34"/>
        <v>0</v>
      </c>
      <c r="AM89" s="223">
        <f t="shared" si="34"/>
        <v>0</v>
      </c>
      <c r="AN89" s="223">
        <f t="shared" si="34"/>
        <v>0</v>
      </c>
      <c r="AO89" s="223">
        <f t="shared" si="34"/>
        <v>0</v>
      </c>
      <c r="AP89" s="223">
        <f t="shared" si="34"/>
        <v>0</v>
      </c>
      <c r="AQ89" s="223">
        <f t="shared" si="34"/>
        <v>0</v>
      </c>
      <c r="AR89" s="223">
        <f t="shared" si="34"/>
        <v>0</v>
      </c>
      <c r="AS89" s="223">
        <f t="shared" si="34"/>
        <v>0</v>
      </c>
      <c r="AT89" s="223">
        <f t="shared" si="34"/>
        <v>0</v>
      </c>
      <c r="AU89" s="223">
        <f t="shared" si="34"/>
        <v>0</v>
      </c>
      <c r="AV89" s="223">
        <f t="shared" si="34"/>
        <v>0</v>
      </c>
      <c r="AW89" s="223">
        <f t="shared" si="34"/>
        <v>0</v>
      </c>
      <c r="AX89" s="223">
        <f t="shared" si="34"/>
        <v>0</v>
      </c>
      <c r="AY89" s="223">
        <f t="shared" si="34"/>
        <v>0</v>
      </c>
      <c r="AZ89" s="223">
        <f t="shared" si="34"/>
        <v>0</v>
      </c>
      <c r="BA89" s="223">
        <f t="shared" si="34"/>
        <v>0</v>
      </c>
      <c r="BB89" s="223">
        <f t="shared" si="34"/>
        <v>0</v>
      </c>
      <c r="BC89" s="223">
        <f t="shared" si="34"/>
        <v>0</v>
      </c>
      <c r="BD89" s="223">
        <f t="shared" si="34"/>
        <v>0</v>
      </c>
      <c r="BE89" s="223">
        <f t="shared" si="34"/>
        <v>0</v>
      </c>
      <c r="BF89" s="223">
        <f t="shared" si="34"/>
        <v>0</v>
      </c>
      <c r="BG89" s="223">
        <f t="shared" si="34"/>
        <v>0</v>
      </c>
      <c r="BH89" s="223">
        <f t="shared" si="34"/>
        <v>0</v>
      </c>
      <c r="BI89" s="223">
        <f t="shared" si="34"/>
        <v>0</v>
      </c>
      <c r="BJ89" s="223">
        <f t="shared" si="34"/>
        <v>0</v>
      </c>
      <c r="BK89" s="223">
        <f t="shared" si="34"/>
        <v>0</v>
      </c>
      <c r="BL89" s="223">
        <f t="shared" si="34"/>
        <v>0</v>
      </c>
      <c r="BM89" s="223">
        <f t="shared" si="34"/>
        <v>0</v>
      </c>
      <c r="BN89" s="223">
        <f t="shared" si="34"/>
        <v>0</v>
      </c>
      <c r="BO89" s="223">
        <f t="shared" si="34"/>
        <v>0</v>
      </c>
      <c r="BP89" s="223">
        <f t="shared" si="34"/>
        <v>0</v>
      </c>
      <c r="BQ89" s="223">
        <f t="shared" si="34"/>
        <v>0</v>
      </c>
      <c r="BR89" s="223">
        <f t="shared" si="34"/>
        <v>0</v>
      </c>
    </row>
    <row r="90" spans="1:70" s="147" customFormat="1" outlineLevel="1" x14ac:dyDescent="0.25">
      <c r="A90" s="211"/>
      <c r="C90" s="147" t="s">
        <v>249</v>
      </c>
      <c r="D90" s="231" t="str">
        <f>unit</f>
        <v>£</v>
      </c>
      <c r="E90" s="147">
        <f>SUMIF($K$5:$BR$5,E$5,$K90:$BR90)</f>
        <v>0</v>
      </c>
      <c r="F90" s="147">
        <f t="shared" ref="F90:I91" si="35">SUMIF($K$5:$BR$5,F$5,$K90:$BR90)</f>
        <v>0</v>
      </c>
      <c r="G90" s="147">
        <f t="shared" si="35"/>
        <v>0</v>
      </c>
      <c r="H90" s="147">
        <f t="shared" si="35"/>
        <v>0</v>
      </c>
      <c r="I90" s="147">
        <f t="shared" si="35"/>
        <v>0</v>
      </c>
      <c r="K90" s="147">
        <f t="shared" ref="K90:AP90" si="36">$D71*K83</f>
        <v>0</v>
      </c>
      <c r="L90" s="147">
        <f t="shared" si="36"/>
        <v>0</v>
      </c>
      <c r="M90" s="147">
        <f t="shared" si="36"/>
        <v>0</v>
      </c>
      <c r="N90" s="147">
        <f t="shared" si="36"/>
        <v>0</v>
      </c>
      <c r="O90" s="147">
        <f t="shared" si="36"/>
        <v>0</v>
      </c>
      <c r="P90" s="147">
        <f t="shared" si="36"/>
        <v>0</v>
      </c>
      <c r="Q90" s="147">
        <f t="shared" si="36"/>
        <v>0</v>
      </c>
      <c r="R90" s="147">
        <f t="shared" si="36"/>
        <v>0</v>
      </c>
      <c r="S90" s="147">
        <f t="shared" si="36"/>
        <v>0</v>
      </c>
      <c r="T90" s="147">
        <f t="shared" si="36"/>
        <v>0</v>
      </c>
      <c r="U90" s="147">
        <f t="shared" si="36"/>
        <v>0</v>
      </c>
      <c r="V90" s="147">
        <f t="shared" si="36"/>
        <v>0</v>
      </c>
      <c r="W90" s="147">
        <f t="shared" si="36"/>
        <v>0</v>
      </c>
      <c r="X90" s="147">
        <f t="shared" si="36"/>
        <v>0</v>
      </c>
      <c r="Y90" s="147">
        <f t="shared" si="36"/>
        <v>0</v>
      </c>
      <c r="Z90" s="147">
        <f t="shared" si="36"/>
        <v>0</v>
      </c>
      <c r="AA90" s="147">
        <f t="shared" si="36"/>
        <v>0</v>
      </c>
      <c r="AB90" s="147">
        <f t="shared" si="36"/>
        <v>0</v>
      </c>
      <c r="AC90" s="147">
        <f t="shared" si="36"/>
        <v>0</v>
      </c>
      <c r="AD90" s="147">
        <f t="shared" si="36"/>
        <v>0</v>
      </c>
      <c r="AE90" s="147">
        <f t="shared" si="36"/>
        <v>0</v>
      </c>
      <c r="AF90" s="147">
        <f t="shared" si="36"/>
        <v>0</v>
      </c>
      <c r="AG90" s="147">
        <f t="shared" si="36"/>
        <v>0</v>
      </c>
      <c r="AH90" s="147">
        <f t="shared" si="36"/>
        <v>0</v>
      </c>
      <c r="AI90" s="147">
        <f t="shared" si="36"/>
        <v>0</v>
      </c>
      <c r="AJ90" s="147">
        <f t="shared" si="36"/>
        <v>0</v>
      </c>
      <c r="AK90" s="147">
        <f t="shared" si="36"/>
        <v>0</v>
      </c>
      <c r="AL90" s="147">
        <f t="shared" si="36"/>
        <v>0</v>
      </c>
      <c r="AM90" s="147">
        <f t="shared" si="36"/>
        <v>0</v>
      </c>
      <c r="AN90" s="147">
        <f t="shared" si="36"/>
        <v>0</v>
      </c>
      <c r="AO90" s="147">
        <f t="shared" si="36"/>
        <v>0</v>
      </c>
      <c r="AP90" s="147">
        <f t="shared" si="36"/>
        <v>0</v>
      </c>
      <c r="AQ90" s="147">
        <f t="shared" ref="AQ90:BR90" si="37">$D71*AQ83</f>
        <v>0</v>
      </c>
      <c r="AR90" s="147">
        <f t="shared" si="37"/>
        <v>0</v>
      </c>
      <c r="AS90" s="147">
        <f t="shared" si="37"/>
        <v>0</v>
      </c>
      <c r="AT90" s="147">
        <f t="shared" si="37"/>
        <v>0</v>
      </c>
      <c r="AU90" s="147">
        <f t="shared" si="37"/>
        <v>0</v>
      </c>
      <c r="AV90" s="147">
        <f t="shared" si="37"/>
        <v>0</v>
      </c>
      <c r="AW90" s="147">
        <f t="shared" si="37"/>
        <v>0</v>
      </c>
      <c r="AX90" s="147">
        <f t="shared" si="37"/>
        <v>0</v>
      </c>
      <c r="AY90" s="147">
        <f t="shared" si="37"/>
        <v>0</v>
      </c>
      <c r="AZ90" s="147">
        <f t="shared" si="37"/>
        <v>0</v>
      </c>
      <c r="BA90" s="147">
        <f t="shared" si="37"/>
        <v>0</v>
      </c>
      <c r="BB90" s="147">
        <f t="shared" si="37"/>
        <v>0</v>
      </c>
      <c r="BC90" s="147">
        <f t="shared" si="37"/>
        <v>0</v>
      </c>
      <c r="BD90" s="147">
        <f t="shared" si="37"/>
        <v>0</v>
      </c>
      <c r="BE90" s="147">
        <f t="shared" si="37"/>
        <v>0</v>
      </c>
      <c r="BF90" s="147">
        <f t="shared" si="37"/>
        <v>0</v>
      </c>
      <c r="BG90" s="147">
        <f t="shared" si="37"/>
        <v>0</v>
      </c>
      <c r="BH90" s="147">
        <f t="shared" si="37"/>
        <v>0</v>
      </c>
      <c r="BI90" s="147">
        <f t="shared" si="37"/>
        <v>0</v>
      </c>
      <c r="BJ90" s="147">
        <f t="shared" si="37"/>
        <v>0</v>
      </c>
      <c r="BK90" s="147">
        <f t="shared" si="37"/>
        <v>0</v>
      </c>
      <c r="BL90" s="147">
        <f t="shared" si="37"/>
        <v>0</v>
      </c>
      <c r="BM90" s="147">
        <f t="shared" si="37"/>
        <v>0</v>
      </c>
      <c r="BN90" s="147">
        <f t="shared" si="37"/>
        <v>0</v>
      </c>
      <c r="BO90" s="147">
        <f t="shared" si="37"/>
        <v>0</v>
      </c>
      <c r="BP90" s="147">
        <f t="shared" si="37"/>
        <v>0</v>
      </c>
      <c r="BQ90" s="147">
        <f t="shared" si="37"/>
        <v>0</v>
      </c>
      <c r="BR90" s="147">
        <f t="shared" si="37"/>
        <v>0</v>
      </c>
    </row>
    <row r="91" spans="1:70" s="147" customFormat="1" outlineLevel="1" x14ac:dyDescent="0.25">
      <c r="A91" s="211"/>
      <c r="C91" s="147" t="s">
        <v>250</v>
      </c>
      <c r="D91" s="231" t="str">
        <f>unit</f>
        <v>£</v>
      </c>
      <c r="E91" s="147">
        <f>SUMIF($K$5:$BR$5,E$5,$K91:$BR91)</f>
        <v>0</v>
      </c>
      <c r="F91" s="147">
        <f t="shared" si="35"/>
        <v>0</v>
      </c>
      <c r="G91" s="147">
        <f t="shared" si="35"/>
        <v>0</v>
      </c>
      <c r="H91" s="147">
        <f t="shared" si="35"/>
        <v>0</v>
      </c>
      <c r="I91" s="147">
        <f t="shared" si="35"/>
        <v>0</v>
      </c>
      <c r="K91" s="147">
        <f>-K84*$D79</f>
        <v>0</v>
      </c>
      <c r="L91" s="147">
        <f t="shared" ref="L91:BR91" si="38">-L84*$D79</f>
        <v>0</v>
      </c>
      <c r="M91" s="147">
        <f t="shared" si="38"/>
        <v>0</v>
      </c>
      <c r="N91" s="147">
        <f t="shared" si="38"/>
        <v>0</v>
      </c>
      <c r="O91" s="147">
        <f t="shared" si="38"/>
        <v>0</v>
      </c>
      <c r="P91" s="147">
        <f t="shared" si="38"/>
        <v>0</v>
      </c>
      <c r="Q91" s="147">
        <f t="shared" si="38"/>
        <v>0</v>
      </c>
      <c r="R91" s="147">
        <f t="shared" si="38"/>
        <v>0</v>
      </c>
      <c r="S91" s="147">
        <f t="shared" si="38"/>
        <v>0</v>
      </c>
      <c r="T91" s="147">
        <f t="shared" si="38"/>
        <v>0</v>
      </c>
      <c r="U91" s="147">
        <f t="shared" si="38"/>
        <v>0</v>
      </c>
      <c r="V91" s="147">
        <f t="shared" si="38"/>
        <v>0</v>
      </c>
      <c r="W91" s="147">
        <f t="shared" si="38"/>
        <v>0</v>
      </c>
      <c r="X91" s="147">
        <f t="shared" si="38"/>
        <v>0</v>
      </c>
      <c r="Y91" s="147">
        <f t="shared" si="38"/>
        <v>0</v>
      </c>
      <c r="Z91" s="147">
        <f t="shared" si="38"/>
        <v>0</v>
      </c>
      <c r="AA91" s="147">
        <f t="shared" si="38"/>
        <v>0</v>
      </c>
      <c r="AB91" s="147">
        <f t="shared" si="38"/>
        <v>0</v>
      </c>
      <c r="AC91" s="147">
        <f t="shared" si="38"/>
        <v>0</v>
      </c>
      <c r="AD91" s="147">
        <f t="shared" si="38"/>
        <v>0</v>
      </c>
      <c r="AE91" s="147">
        <f t="shared" si="38"/>
        <v>0</v>
      </c>
      <c r="AF91" s="147">
        <f t="shared" si="38"/>
        <v>0</v>
      </c>
      <c r="AG91" s="147">
        <f t="shared" si="38"/>
        <v>0</v>
      </c>
      <c r="AH91" s="147">
        <f t="shared" si="38"/>
        <v>0</v>
      </c>
      <c r="AI91" s="147">
        <f t="shared" si="38"/>
        <v>0</v>
      </c>
      <c r="AJ91" s="147">
        <f t="shared" si="38"/>
        <v>0</v>
      </c>
      <c r="AK91" s="147">
        <f t="shared" si="38"/>
        <v>0</v>
      </c>
      <c r="AL91" s="147">
        <f t="shared" si="38"/>
        <v>0</v>
      </c>
      <c r="AM91" s="147">
        <f t="shared" si="38"/>
        <v>0</v>
      </c>
      <c r="AN91" s="147">
        <f t="shared" si="38"/>
        <v>0</v>
      </c>
      <c r="AO91" s="147">
        <f t="shared" si="38"/>
        <v>0</v>
      </c>
      <c r="AP91" s="147">
        <f t="shared" si="38"/>
        <v>0</v>
      </c>
      <c r="AQ91" s="147">
        <f t="shared" si="38"/>
        <v>0</v>
      </c>
      <c r="AR91" s="147">
        <f t="shared" si="38"/>
        <v>0</v>
      </c>
      <c r="AS91" s="147">
        <f t="shared" si="38"/>
        <v>0</v>
      </c>
      <c r="AT91" s="147">
        <f t="shared" si="38"/>
        <v>0</v>
      </c>
      <c r="AU91" s="147">
        <f t="shared" si="38"/>
        <v>0</v>
      </c>
      <c r="AV91" s="147">
        <f t="shared" si="38"/>
        <v>0</v>
      </c>
      <c r="AW91" s="147">
        <f t="shared" si="38"/>
        <v>0</v>
      </c>
      <c r="AX91" s="147">
        <f t="shared" si="38"/>
        <v>0</v>
      </c>
      <c r="AY91" s="147">
        <f t="shared" si="38"/>
        <v>0</v>
      </c>
      <c r="AZ91" s="147">
        <f t="shared" si="38"/>
        <v>0</v>
      </c>
      <c r="BA91" s="147">
        <f t="shared" si="38"/>
        <v>0</v>
      </c>
      <c r="BB91" s="147">
        <f t="shared" si="38"/>
        <v>0</v>
      </c>
      <c r="BC91" s="147">
        <f t="shared" si="38"/>
        <v>0</v>
      </c>
      <c r="BD91" s="147">
        <f t="shared" si="38"/>
        <v>0</v>
      </c>
      <c r="BE91" s="147">
        <f t="shared" si="38"/>
        <v>0</v>
      </c>
      <c r="BF91" s="147">
        <f t="shared" si="38"/>
        <v>0</v>
      </c>
      <c r="BG91" s="147">
        <f t="shared" si="38"/>
        <v>0</v>
      </c>
      <c r="BH91" s="147">
        <f t="shared" si="38"/>
        <v>0</v>
      </c>
      <c r="BI91" s="147">
        <f t="shared" si="38"/>
        <v>0</v>
      </c>
      <c r="BJ91" s="147">
        <f t="shared" si="38"/>
        <v>0</v>
      </c>
      <c r="BK91" s="147">
        <f t="shared" si="38"/>
        <v>0</v>
      </c>
      <c r="BL91" s="147">
        <f t="shared" si="38"/>
        <v>0</v>
      </c>
      <c r="BM91" s="147">
        <f t="shared" si="38"/>
        <v>0</v>
      </c>
      <c r="BN91" s="147">
        <f t="shared" si="38"/>
        <v>0</v>
      </c>
      <c r="BO91" s="147">
        <f t="shared" si="38"/>
        <v>0</v>
      </c>
      <c r="BP91" s="147">
        <f t="shared" si="38"/>
        <v>0</v>
      </c>
      <c r="BQ91" s="147">
        <f t="shared" si="38"/>
        <v>0</v>
      </c>
      <c r="BR91" s="147">
        <f t="shared" si="38"/>
        <v>0</v>
      </c>
    </row>
    <row r="92" spans="1:70" s="147" customFormat="1" outlineLevel="1" x14ac:dyDescent="0.25">
      <c r="A92" s="211"/>
      <c r="C92" s="147" t="s">
        <v>230</v>
      </c>
      <c r="D92" s="231" t="str">
        <f>unit</f>
        <v>£</v>
      </c>
      <c r="E92" s="230">
        <f>SUM(E89:E91)</f>
        <v>0</v>
      </c>
      <c r="F92" s="230">
        <f t="shared" ref="F92:I92" si="39">SUM(F89:F91)</f>
        <v>0</v>
      </c>
      <c r="G92" s="230">
        <f t="shared" si="39"/>
        <v>0</v>
      </c>
      <c r="H92" s="230">
        <f t="shared" si="39"/>
        <v>0</v>
      </c>
      <c r="I92" s="230">
        <f t="shared" si="39"/>
        <v>0</v>
      </c>
      <c r="J92" s="224"/>
      <c r="K92" s="214">
        <f t="shared" ref="K92:BR92" si="40">SUM(K89:K91)</f>
        <v>0</v>
      </c>
      <c r="L92" s="214">
        <f t="shared" si="40"/>
        <v>0</v>
      </c>
      <c r="M92" s="214">
        <f t="shared" si="40"/>
        <v>0</v>
      </c>
      <c r="N92" s="214">
        <f t="shared" si="40"/>
        <v>0</v>
      </c>
      <c r="O92" s="214">
        <f t="shared" si="40"/>
        <v>0</v>
      </c>
      <c r="P92" s="214">
        <f t="shared" si="40"/>
        <v>0</v>
      </c>
      <c r="Q92" s="214">
        <f t="shared" si="40"/>
        <v>0</v>
      </c>
      <c r="R92" s="214">
        <f t="shared" si="40"/>
        <v>0</v>
      </c>
      <c r="S92" s="214">
        <f t="shared" si="40"/>
        <v>0</v>
      </c>
      <c r="T92" s="214">
        <f t="shared" si="40"/>
        <v>0</v>
      </c>
      <c r="U92" s="214">
        <f t="shared" si="40"/>
        <v>0</v>
      </c>
      <c r="V92" s="214">
        <f t="shared" si="40"/>
        <v>0</v>
      </c>
      <c r="W92" s="214">
        <f t="shared" si="40"/>
        <v>0</v>
      </c>
      <c r="X92" s="214">
        <f t="shared" si="40"/>
        <v>0</v>
      </c>
      <c r="Y92" s="214">
        <f t="shared" si="40"/>
        <v>0</v>
      </c>
      <c r="Z92" s="214">
        <f t="shared" si="40"/>
        <v>0</v>
      </c>
      <c r="AA92" s="214">
        <f t="shared" si="40"/>
        <v>0</v>
      </c>
      <c r="AB92" s="214">
        <f t="shared" si="40"/>
        <v>0</v>
      </c>
      <c r="AC92" s="214">
        <f t="shared" si="40"/>
        <v>0</v>
      </c>
      <c r="AD92" s="214">
        <f t="shared" si="40"/>
        <v>0</v>
      </c>
      <c r="AE92" s="214">
        <f t="shared" si="40"/>
        <v>0</v>
      </c>
      <c r="AF92" s="214">
        <f t="shared" si="40"/>
        <v>0</v>
      </c>
      <c r="AG92" s="214">
        <f t="shared" si="40"/>
        <v>0</v>
      </c>
      <c r="AH92" s="214">
        <f t="shared" si="40"/>
        <v>0</v>
      </c>
      <c r="AI92" s="214">
        <f t="shared" si="40"/>
        <v>0</v>
      </c>
      <c r="AJ92" s="214">
        <f t="shared" si="40"/>
        <v>0</v>
      </c>
      <c r="AK92" s="214">
        <f t="shared" si="40"/>
        <v>0</v>
      </c>
      <c r="AL92" s="214">
        <f t="shared" si="40"/>
        <v>0</v>
      </c>
      <c r="AM92" s="214">
        <f t="shared" si="40"/>
        <v>0</v>
      </c>
      <c r="AN92" s="214">
        <f t="shared" si="40"/>
        <v>0</v>
      </c>
      <c r="AO92" s="214">
        <f t="shared" si="40"/>
        <v>0</v>
      </c>
      <c r="AP92" s="214">
        <f t="shared" si="40"/>
        <v>0</v>
      </c>
      <c r="AQ92" s="214">
        <f t="shared" si="40"/>
        <v>0</v>
      </c>
      <c r="AR92" s="214">
        <f t="shared" si="40"/>
        <v>0</v>
      </c>
      <c r="AS92" s="214">
        <f t="shared" si="40"/>
        <v>0</v>
      </c>
      <c r="AT92" s="214">
        <f t="shared" si="40"/>
        <v>0</v>
      </c>
      <c r="AU92" s="214">
        <f t="shared" si="40"/>
        <v>0</v>
      </c>
      <c r="AV92" s="214">
        <f t="shared" si="40"/>
        <v>0</v>
      </c>
      <c r="AW92" s="214">
        <f t="shared" si="40"/>
        <v>0</v>
      </c>
      <c r="AX92" s="214">
        <f t="shared" si="40"/>
        <v>0</v>
      </c>
      <c r="AY92" s="214">
        <f t="shared" si="40"/>
        <v>0</v>
      </c>
      <c r="AZ92" s="214">
        <f t="shared" si="40"/>
        <v>0</v>
      </c>
      <c r="BA92" s="214">
        <f t="shared" si="40"/>
        <v>0</v>
      </c>
      <c r="BB92" s="214">
        <f t="shared" si="40"/>
        <v>0</v>
      </c>
      <c r="BC92" s="214">
        <f t="shared" si="40"/>
        <v>0</v>
      </c>
      <c r="BD92" s="214">
        <f t="shared" si="40"/>
        <v>0</v>
      </c>
      <c r="BE92" s="214">
        <f t="shared" si="40"/>
        <v>0</v>
      </c>
      <c r="BF92" s="214">
        <f t="shared" si="40"/>
        <v>0</v>
      </c>
      <c r="BG92" s="214">
        <f t="shared" si="40"/>
        <v>0</v>
      </c>
      <c r="BH92" s="214">
        <f t="shared" si="40"/>
        <v>0</v>
      </c>
      <c r="BI92" s="214">
        <f t="shared" si="40"/>
        <v>0</v>
      </c>
      <c r="BJ92" s="214">
        <f t="shared" si="40"/>
        <v>0</v>
      </c>
      <c r="BK92" s="214">
        <f t="shared" si="40"/>
        <v>0</v>
      </c>
      <c r="BL92" s="214">
        <f t="shared" si="40"/>
        <v>0</v>
      </c>
      <c r="BM92" s="214">
        <f t="shared" si="40"/>
        <v>0</v>
      </c>
      <c r="BN92" s="214">
        <f t="shared" si="40"/>
        <v>0</v>
      </c>
      <c r="BO92" s="214">
        <f t="shared" si="40"/>
        <v>0</v>
      </c>
      <c r="BP92" s="214">
        <f t="shared" si="40"/>
        <v>0</v>
      </c>
      <c r="BQ92" s="214">
        <f t="shared" si="40"/>
        <v>0</v>
      </c>
      <c r="BR92" s="214">
        <f t="shared" si="40"/>
        <v>0</v>
      </c>
    </row>
    <row r="93" spans="1:70" outlineLevel="1" x14ac:dyDescent="0.25">
      <c r="E93" s="147"/>
      <c r="F93" s="212"/>
      <c r="G93" s="147"/>
      <c r="H93" s="147"/>
      <c r="I93" s="147"/>
    </row>
    <row r="95" spans="1:70" s="166" customFormat="1" ht="15.6" x14ac:dyDescent="0.3">
      <c r="A95" s="166">
        <f>Header1</f>
        <v>5</v>
      </c>
      <c r="B95" s="166" t="str">
        <f>KeyInputs!I85</f>
        <v>Grant 3</v>
      </c>
    </row>
    <row r="96" spans="1:70" outlineLevel="1" x14ac:dyDescent="0.25"/>
    <row r="97" spans="2:70" outlineLevel="1" x14ac:dyDescent="0.25">
      <c r="C97" s="217" t="str">
        <f>C71</f>
        <v>Drawdown</v>
      </c>
      <c r="D97" s="220">
        <f>KeyInputs!I86</f>
        <v>0</v>
      </c>
    </row>
    <row r="98" spans="2:70" outlineLevel="1" x14ac:dyDescent="0.25">
      <c r="C98" s="217" t="str">
        <f t="shared" ref="C98:C99" si="41">C72</f>
        <v>Drawdown date</v>
      </c>
      <c r="D98" s="222">
        <f>KeyInputs!I87</f>
        <v>41456</v>
      </c>
    </row>
    <row r="99" spans="2:70" outlineLevel="1" x14ac:dyDescent="0.25">
      <c r="C99" s="217" t="str">
        <f t="shared" si="41"/>
        <v>Grant term (years)</v>
      </c>
      <c r="D99" s="219">
        <f>KeyInputs!I88</f>
        <v>5</v>
      </c>
    </row>
    <row r="100" spans="2:70" outlineLevel="1" x14ac:dyDescent="0.25"/>
    <row r="101" spans="2:70" outlineLevel="1" x14ac:dyDescent="0.25">
      <c r="C101" s="57" t="s">
        <v>425</v>
      </c>
      <c r="D101" s="221">
        <f>EDATE(D98,1)-1</f>
        <v>41486</v>
      </c>
    </row>
    <row r="102" spans="2:70" outlineLevel="1" x14ac:dyDescent="0.25">
      <c r="C102" s="57" t="s">
        <v>246</v>
      </c>
      <c r="D102" s="57">
        <f>IFERROR(INDEX($K$6:$BR$6,0,MATCH($D98,$K$7:$BR$7,0)),0)</f>
        <v>0</v>
      </c>
    </row>
    <row r="103" spans="2:70" outlineLevel="1" x14ac:dyDescent="0.25">
      <c r="C103" s="57" t="s">
        <v>424</v>
      </c>
      <c r="D103" s="57">
        <f>IFERROR(INDEX($K$6:$BR$6,0,MATCH($D101,$K$8:$BR$8,0)),0)</f>
        <v>0</v>
      </c>
    </row>
    <row r="104" spans="2:70" outlineLevel="1" x14ac:dyDescent="0.25">
      <c r="C104" s="57" t="s">
        <v>426</v>
      </c>
      <c r="D104" s="221">
        <f>EDATE($D$101,(D99-1)*12)</f>
        <v>42947</v>
      </c>
    </row>
    <row r="105" spans="2:70" outlineLevel="1" x14ac:dyDescent="0.25">
      <c r="C105" s="57" t="s">
        <v>427</v>
      </c>
      <c r="D105" s="57">
        <f>IFERROR(D97/D99,0)</f>
        <v>0</v>
      </c>
    </row>
    <row r="106" spans="2:70" outlineLevel="1" x14ac:dyDescent="0.25"/>
    <row r="107" spans="2:70" s="143" customFormat="1" ht="13.8" outlineLevel="1" x14ac:dyDescent="0.25">
      <c r="B107" s="143" t="str">
        <f>Header2</f>
        <v>5.1</v>
      </c>
      <c r="C107" s="143" t="s">
        <v>254</v>
      </c>
    </row>
    <row r="108" spans="2:70" outlineLevel="1" x14ac:dyDescent="0.25"/>
    <row r="109" spans="2:70" outlineLevel="1" x14ac:dyDescent="0.25">
      <c r="C109" s="147" t="s">
        <v>255</v>
      </c>
      <c r="K109" s="57">
        <f>(K$7&lt;=$D98)*(K$8&gt;=$D98)</f>
        <v>0</v>
      </c>
      <c r="L109" s="57">
        <f t="shared" ref="L109:BR109" si="42">(L$7&lt;=$D98)*(L$8&gt;=$D98)</f>
        <v>0</v>
      </c>
      <c r="M109" s="57">
        <f t="shared" si="42"/>
        <v>0</v>
      </c>
      <c r="N109" s="57">
        <f t="shared" si="42"/>
        <v>0</v>
      </c>
      <c r="O109" s="57">
        <f t="shared" si="42"/>
        <v>0</v>
      </c>
      <c r="P109" s="57">
        <f t="shared" si="42"/>
        <v>0</v>
      </c>
      <c r="Q109" s="57">
        <f t="shared" si="42"/>
        <v>0</v>
      </c>
      <c r="R109" s="57">
        <f t="shared" si="42"/>
        <v>0</v>
      </c>
      <c r="S109" s="57">
        <f t="shared" si="42"/>
        <v>0</v>
      </c>
      <c r="T109" s="57">
        <f t="shared" si="42"/>
        <v>0</v>
      </c>
      <c r="U109" s="57">
        <f t="shared" si="42"/>
        <v>0</v>
      </c>
      <c r="V109" s="57">
        <f t="shared" si="42"/>
        <v>0</v>
      </c>
      <c r="W109" s="57">
        <f t="shared" si="42"/>
        <v>0</v>
      </c>
      <c r="X109" s="57">
        <f t="shared" si="42"/>
        <v>0</v>
      </c>
      <c r="Y109" s="57">
        <f t="shared" si="42"/>
        <v>0</v>
      </c>
      <c r="Z109" s="57">
        <f t="shared" si="42"/>
        <v>0</v>
      </c>
      <c r="AA109" s="57">
        <f t="shared" si="42"/>
        <v>0</v>
      </c>
      <c r="AB109" s="57">
        <f t="shared" si="42"/>
        <v>0</v>
      </c>
      <c r="AC109" s="57">
        <f t="shared" si="42"/>
        <v>0</v>
      </c>
      <c r="AD109" s="57">
        <f t="shared" si="42"/>
        <v>0</v>
      </c>
      <c r="AE109" s="57">
        <f t="shared" si="42"/>
        <v>0</v>
      </c>
      <c r="AF109" s="57">
        <f t="shared" si="42"/>
        <v>0</v>
      </c>
      <c r="AG109" s="57">
        <f t="shared" si="42"/>
        <v>0</v>
      </c>
      <c r="AH109" s="57">
        <f t="shared" si="42"/>
        <v>0</v>
      </c>
      <c r="AI109" s="57">
        <f t="shared" si="42"/>
        <v>0</v>
      </c>
      <c r="AJ109" s="57">
        <f t="shared" si="42"/>
        <v>0</v>
      </c>
      <c r="AK109" s="57">
        <f t="shared" si="42"/>
        <v>0</v>
      </c>
      <c r="AL109" s="57">
        <f t="shared" si="42"/>
        <v>0</v>
      </c>
      <c r="AM109" s="57">
        <f t="shared" si="42"/>
        <v>0</v>
      </c>
      <c r="AN109" s="57">
        <f t="shared" si="42"/>
        <v>0</v>
      </c>
      <c r="AO109" s="57">
        <f t="shared" si="42"/>
        <v>0</v>
      </c>
      <c r="AP109" s="57">
        <f t="shared" si="42"/>
        <v>0</v>
      </c>
      <c r="AQ109" s="57">
        <f t="shared" si="42"/>
        <v>0</v>
      </c>
      <c r="AR109" s="57">
        <f t="shared" si="42"/>
        <v>0</v>
      </c>
      <c r="AS109" s="57">
        <f t="shared" si="42"/>
        <v>0</v>
      </c>
      <c r="AT109" s="57">
        <f t="shared" si="42"/>
        <v>0</v>
      </c>
      <c r="AU109" s="57">
        <f t="shared" si="42"/>
        <v>0</v>
      </c>
      <c r="AV109" s="57">
        <f t="shared" si="42"/>
        <v>0</v>
      </c>
      <c r="AW109" s="57">
        <f t="shared" si="42"/>
        <v>0</v>
      </c>
      <c r="AX109" s="57">
        <f t="shared" si="42"/>
        <v>0</v>
      </c>
      <c r="AY109" s="57">
        <f t="shared" si="42"/>
        <v>0</v>
      </c>
      <c r="AZ109" s="57">
        <f t="shared" si="42"/>
        <v>0</v>
      </c>
      <c r="BA109" s="57">
        <f t="shared" si="42"/>
        <v>0</v>
      </c>
      <c r="BB109" s="57">
        <f t="shared" si="42"/>
        <v>0</v>
      </c>
      <c r="BC109" s="57">
        <f t="shared" si="42"/>
        <v>0</v>
      </c>
      <c r="BD109" s="57">
        <f t="shared" si="42"/>
        <v>0</v>
      </c>
      <c r="BE109" s="57">
        <f t="shared" si="42"/>
        <v>0</v>
      </c>
      <c r="BF109" s="57">
        <f t="shared" si="42"/>
        <v>0</v>
      </c>
      <c r="BG109" s="57">
        <f t="shared" si="42"/>
        <v>0</v>
      </c>
      <c r="BH109" s="57">
        <f t="shared" si="42"/>
        <v>0</v>
      </c>
      <c r="BI109" s="57">
        <f t="shared" si="42"/>
        <v>0</v>
      </c>
      <c r="BJ109" s="57">
        <f t="shared" si="42"/>
        <v>0</v>
      </c>
      <c r="BK109" s="57">
        <f t="shared" si="42"/>
        <v>0</v>
      </c>
      <c r="BL109" s="57">
        <f t="shared" si="42"/>
        <v>0</v>
      </c>
      <c r="BM109" s="57">
        <f t="shared" si="42"/>
        <v>0</v>
      </c>
      <c r="BN109" s="57">
        <f t="shared" si="42"/>
        <v>0</v>
      </c>
      <c r="BO109" s="57">
        <f t="shared" si="42"/>
        <v>0</v>
      </c>
      <c r="BP109" s="57">
        <f t="shared" si="42"/>
        <v>0</v>
      </c>
      <c r="BQ109" s="57">
        <f t="shared" si="42"/>
        <v>0</v>
      </c>
      <c r="BR109" s="57">
        <f t="shared" si="42"/>
        <v>0</v>
      </c>
    </row>
    <row r="110" spans="2:70" outlineLevel="1" x14ac:dyDescent="0.25">
      <c r="C110" s="147" t="s">
        <v>256</v>
      </c>
      <c r="K110" s="57">
        <f t="shared" ref="K110:AP110" si="43">IF(K$6&lt;$D$103,0,IF(K$8&gt;$D104,0,IF(K$7=$D$101,1,IF(MOD((K$6-$D$103),12)=0,1,0))))</f>
        <v>0</v>
      </c>
      <c r="L110" s="57">
        <f t="shared" si="43"/>
        <v>0</v>
      </c>
      <c r="M110" s="57">
        <f t="shared" si="43"/>
        <v>0</v>
      </c>
      <c r="N110" s="57">
        <f t="shared" si="43"/>
        <v>0</v>
      </c>
      <c r="O110" s="57">
        <f t="shared" si="43"/>
        <v>0</v>
      </c>
      <c r="P110" s="57">
        <f t="shared" si="43"/>
        <v>0</v>
      </c>
      <c r="Q110" s="57">
        <f t="shared" si="43"/>
        <v>0</v>
      </c>
      <c r="R110" s="57">
        <f t="shared" si="43"/>
        <v>0</v>
      </c>
      <c r="S110" s="57">
        <f t="shared" si="43"/>
        <v>0</v>
      </c>
      <c r="T110" s="57">
        <f t="shared" si="43"/>
        <v>0</v>
      </c>
      <c r="U110" s="57">
        <f t="shared" si="43"/>
        <v>0</v>
      </c>
      <c r="V110" s="57">
        <f t="shared" si="43"/>
        <v>1</v>
      </c>
      <c r="W110" s="57">
        <f t="shared" si="43"/>
        <v>0</v>
      </c>
      <c r="X110" s="57">
        <f t="shared" si="43"/>
        <v>0</v>
      </c>
      <c r="Y110" s="57">
        <f t="shared" si="43"/>
        <v>0</v>
      </c>
      <c r="Z110" s="57">
        <f t="shared" si="43"/>
        <v>0</v>
      </c>
      <c r="AA110" s="57">
        <f t="shared" si="43"/>
        <v>0</v>
      </c>
      <c r="AB110" s="57">
        <f t="shared" si="43"/>
        <v>0</v>
      </c>
      <c r="AC110" s="57">
        <f t="shared" si="43"/>
        <v>0</v>
      </c>
      <c r="AD110" s="57">
        <f t="shared" si="43"/>
        <v>0</v>
      </c>
      <c r="AE110" s="57">
        <f t="shared" si="43"/>
        <v>0</v>
      </c>
      <c r="AF110" s="57">
        <f t="shared" si="43"/>
        <v>0</v>
      </c>
      <c r="AG110" s="57">
        <f t="shared" si="43"/>
        <v>0</v>
      </c>
      <c r="AH110" s="57">
        <f t="shared" si="43"/>
        <v>1</v>
      </c>
      <c r="AI110" s="57">
        <f t="shared" si="43"/>
        <v>0</v>
      </c>
      <c r="AJ110" s="57">
        <f t="shared" si="43"/>
        <v>0</v>
      </c>
      <c r="AK110" s="57">
        <f t="shared" si="43"/>
        <v>0</v>
      </c>
      <c r="AL110" s="57">
        <f t="shared" si="43"/>
        <v>0</v>
      </c>
      <c r="AM110" s="57">
        <f t="shared" si="43"/>
        <v>0</v>
      </c>
      <c r="AN110" s="57">
        <f t="shared" si="43"/>
        <v>0</v>
      </c>
      <c r="AO110" s="57">
        <f t="shared" si="43"/>
        <v>0</v>
      </c>
      <c r="AP110" s="57">
        <f t="shared" si="43"/>
        <v>0</v>
      </c>
      <c r="AQ110" s="57">
        <f t="shared" ref="AQ110:BR110" si="44">IF(AQ$6&lt;$D$103,0,IF(AQ$8&gt;$D104,0,IF(AQ$7=$D$101,1,IF(MOD((AQ$6-$D$103),12)=0,1,0))))</f>
        <v>0</v>
      </c>
      <c r="AR110" s="57">
        <f t="shared" si="44"/>
        <v>0</v>
      </c>
      <c r="AS110" s="57">
        <f t="shared" si="44"/>
        <v>0</v>
      </c>
      <c r="AT110" s="57">
        <f t="shared" si="44"/>
        <v>0</v>
      </c>
      <c r="AU110" s="57">
        <f t="shared" si="44"/>
        <v>0</v>
      </c>
      <c r="AV110" s="57">
        <f t="shared" si="44"/>
        <v>0</v>
      </c>
      <c r="AW110" s="57">
        <f t="shared" si="44"/>
        <v>0</v>
      </c>
      <c r="AX110" s="57">
        <f t="shared" si="44"/>
        <v>0</v>
      </c>
      <c r="AY110" s="57">
        <f t="shared" si="44"/>
        <v>0</v>
      </c>
      <c r="AZ110" s="57">
        <f t="shared" si="44"/>
        <v>0</v>
      </c>
      <c r="BA110" s="57">
        <f t="shared" si="44"/>
        <v>0</v>
      </c>
      <c r="BB110" s="57">
        <f t="shared" si="44"/>
        <v>0</v>
      </c>
      <c r="BC110" s="57">
        <f t="shared" si="44"/>
        <v>0</v>
      </c>
      <c r="BD110" s="57">
        <f t="shared" si="44"/>
        <v>0</v>
      </c>
      <c r="BE110" s="57">
        <f t="shared" si="44"/>
        <v>0</v>
      </c>
      <c r="BF110" s="57">
        <f t="shared" si="44"/>
        <v>0</v>
      </c>
      <c r="BG110" s="57">
        <f t="shared" si="44"/>
        <v>0</v>
      </c>
      <c r="BH110" s="57">
        <f t="shared" si="44"/>
        <v>0</v>
      </c>
      <c r="BI110" s="57">
        <f t="shared" si="44"/>
        <v>0</v>
      </c>
      <c r="BJ110" s="57">
        <f t="shared" si="44"/>
        <v>0</v>
      </c>
      <c r="BK110" s="57">
        <f t="shared" si="44"/>
        <v>0</v>
      </c>
      <c r="BL110" s="57">
        <f t="shared" si="44"/>
        <v>0</v>
      </c>
      <c r="BM110" s="57">
        <f t="shared" si="44"/>
        <v>0</v>
      </c>
      <c r="BN110" s="57">
        <f t="shared" si="44"/>
        <v>0</v>
      </c>
      <c r="BO110" s="57">
        <f t="shared" si="44"/>
        <v>0</v>
      </c>
      <c r="BP110" s="57">
        <f t="shared" si="44"/>
        <v>0</v>
      </c>
      <c r="BQ110" s="57">
        <f t="shared" si="44"/>
        <v>0</v>
      </c>
      <c r="BR110" s="57">
        <f t="shared" si="44"/>
        <v>0</v>
      </c>
    </row>
    <row r="111" spans="2:70" outlineLevel="1" x14ac:dyDescent="0.25"/>
    <row r="112" spans="2:70" outlineLevel="1" x14ac:dyDescent="0.25"/>
    <row r="113" spans="1:70" s="145" customFormat="1" ht="13.8" outlineLevel="1" x14ac:dyDescent="0.25">
      <c r="B113" s="145" t="str">
        <f>Header2</f>
        <v>5.2</v>
      </c>
      <c r="C113" s="145" t="s">
        <v>261</v>
      </c>
    </row>
    <row r="114" spans="1:70" s="147" customFormat="1" outlineLevel="1" x14ac:dyDescent="0.25">
      <c r="A114" s="211"/>
      <c r="F114" s="212"/>
    </row>
    <row r="115" spans="1:70" s="147" customFormat="1" outlineLevel="1" x14ac:dyDescent="0.25">
      <c r="A115" s="211"/>
      <c r="C115" s="147" t="s">
        <v>228</v>
      </c>
      <c r="D115" s="231" t="str">
        <f>unit</f>
        <v>£</v>
      </c>
      <c r="E115" s="147">
        <f>INDEX($K115:$BR115,0,MATCH(E$7,$K$7:$BR$7,0))</f>
        <v>0</v>
      </c>
      <c r="F115" s="147">
        <f t="shared" ref="F115:I115" si="45">INDEX($K115:$BR115,0,MATCH(F$7,$K$7:$BR$7,0))</f>
        <v>0</v>
      </c>
      <c r="G115" s="147">
        <f t="shared" si="45"/>
        <v>0</v>
      </c>
      <c r="H115" s="147">
        <f t="shared" si="45"/>
        <v>0</v>
      </c>
      <c r="I115" s="147">
        <f t="shared" si="45"/>
        <v>0</v>
      </c>
      <c r="K115" s="213">
        <v>0</v>
      </c>
      <c r="L115" s="223">
        <f t="shared" ref="L115:BR115" si="46">K118</f>
        <v>0</v>
      </c>
      <c r="M115" s="223">
        <f t="shared" si="46"/>
        <v>0</v>
      </c>
      <c r="N115" s="223">
        <f t="shared" si="46"/>
        <v>0</v>
      </c>
      <c r="O115" s="223">
        <f t="shared" si="46"/>
        <v>0</v>
      </c>
      <c r="P115" s="223">
        <f t="shared" si="46"/>
        <v>0</v>
      </c>
      <c r="Q115" s="223">
        <f t="shared" si="46"/>
        <v>0</v>
      </c>
      <c r="R115" s="223">
        <f t="shared" si="46"/>
        <v>0</v>
      </c>
      <c r="S115" s="223">
        <f t="shared" si="46"/>
        <v>0</v>
      </c>
      <c r="T115" s="223">
        <f t="shared" si="46"/>
        <v>0</v>
      </c>
      <c r="U115" s="223">
        <f t="shared" si="46"/>
        <v>0</v>
      </c>
      <c r="V115" s="223">
        <f t="shared" si="46"/>
        <v>0</v>
      </c>
      <c r="W115" s="223">
        <f t="shared" si="46"/>
        <v>0</v>
      </c>
      <c r="X115" s="223">
        <f t="shared" si="46"/>
        <v>0</v>
      </c>
      <c r="Y115" s="223">
        <f t="shared" si="46"/>
        <v>0</v>
      </c>
      <c r="Z115" s="223">
        <f t="shared" si="46"/>
        <v>0</v>
      </c>
      <c r="AA115" s="223">
        <f t="shared" si="46"/>
        <v>0</v>
      </c>
      <c r="AB115" s="223">
        <f t="shared" si="46"/>
        <v>0</v>
      </c>
      <c r="AC115" s="223">
        <f t="shared" si="46"/>
        <v>0</v>
      </c>
      <c r="AD115" s="223">
        <f t="shared" si="46"/>
        <v>0</v>
      </c>
      <c r="AE115" s="223">
        <f t="shared" si="46"/>
        <v>0</v>
      </c>
      <c r="AF115" s="223">
        <f t="shared" si="46"/>
        <v>0</v>
      </c>
      <c r="AG115" s="223">
        <f t="shared" si="46"/>
        <v>0</v>
      </c>
      <c r="AH115" s="223">
        <f t="shared" si="46"/>
        <v>0</v>
      </c>
      <c r="AI115" s="223">
        <f t="shared" si="46"/>
        <v>0</v>
      </c>
      <c r="AJ115" s="223">
        <f t="shared" si="46"/>
        <v>0</v>
      </c>
      <c r="AK115" s="223">
        <f t="shared" si="46"/>
        <v>0</v>
      </c>
      <c r="AL115" s="223">
        <f t="shared" si="46"/>
        <v>0</v>
      </c>
      <c r="AM115" s="223">
        <f t="shared" si="46"/>
        <v>0</v>
      </c>
      <c r="AN115" s="223">
        <f t="shared" si="46"/>
        <v>0</v>
      </c>
      <c r="AO115" s="223">
        <f t="shared" si="46"/>
        <v>0</v>
      </c>
      <c r="AP115" s="223">
        <f t="shared" si="46"/>
        <v>0</v>
      </c>
      <c r="AQ115" s="223">
        <f t="shared" si="46"/>
        <v>0</v>
      </c>
      <c r="AR115" s="223">
        <f t="shared" si="46"/>
        <v>0</v>
      </c>
      <c r="AS115" s="223">
        <f t="shared" si="46"/>
        <v>0</v>
      </c>
      <c r="AT115" s="223">
        <f t="shared" si="46"/>
        <v>0</v>
      </c>
      <c r="AU115" s="223">
        <f t="shared" si="46"/>
        <v>0</v>
      </c>
      <c r="AV115" s="223">
        <f t="shared" si="46"/>
        <v>0</v>
      </c>
      <c r="AW115" s="223">
        <f t="shared" si="46"/>
        <v>0</v>
      </c>
      <c r="AX115" s="223">
        <f t="shared" si="46"/>
        <v>0</v>
      </c>
      <c r="AY115" s="223">
        <f t="shared" si="46"/>
        <v>0</v>
      </c>
      <c r="AZ115" s="223">
        <f t="shared" si="46"/>
        <v>0</v>
      </c>
      <c r="BA115" s="223">
        <f t="shared" si="46"/>
        <v>0</v>
      </c>
      <c r="BB115" s="223">
        <f t="shared" si="46"/>
        <v>0</v>
      </c>
      <c r="BC115" s="223">
        <f t="shared" si="46"/>
        <v>0</v>
      </c>
      <c r="BD115" s="223">
        <f t="shared" si="46"/>
        <v>0</v>
      </c>
      <c r="BE115" s="223">
        <f t="shared" si="46"/>
        <v>0</v>
      </c>
      <c r="BF115" s="223">
        <f t="shared" si="46"/>
        <v>0</v>
      </c>
      <c r="BG115" s="223">
        <f t="shared" si="46"/>
        <v>0</v>
      </c>
      <c r="BH115" s="223">
        <f t="shared" si="46"/>
        <v>0</v>
      </c>
      <c r="BI115" s="223">
        <f t="shared" si="46"/>
        <v>0</v>
      </c>
      <c r="BJ115" s="223">
        <f t="shared" si="46"/>
        <v>0</v>
      </c>
      <c r="BK115" s="223">
        <f t="shared" si="46"/>
        <v>0</v>
      </c>
      <c r="BL115" s="223">
        <f t="shared" si="46"/>
        <v>0</v>
      </c>
      <c r="BM115" s="223">
        <f t="shared" si="46"/>
        <v>0</v>
      </c>
      <c r="BN115" s="223">
        <f t="shared" si="46"/>
        <v>0</v>
      </c>
      <c r="BO115" s="223">
        <f t="shared" si="46"/>
        <v>0</v>
      </c>
      <c r="BP115" s="223">
        <f t="shared" si="46"/>
        <v>0</v>
      </c>
      <c r="BQ115" s="223">
        <f t="shared" si="46"/>
        <v>0</v>
      </c>
      <c r="BR115" s="223">
        <f t="shared" si="46"/>
        <v>0</v>
      </c>
    </row>
    <row r="116" spans="1:70" s="147" customFormat="1" outlineLevel="1" x14ac:dyDescent="0.25">
      <c r="A116" s="211"/>
      <c r="C116" s="147" t="s">
        <v>249</v>
      </c>
      <c r="D116" s="231" t="str">
        <f>unit</f>
        <v>£</v>
      </c>
      <c r="E116" s="147">
        <f>SUMIF($K$5:$BR$5,E$5,$K116:$BR116)</f>
        <v>0</v>
      </c>
      <c r="F116" s="147">
        <f t="shared" ref="F116:I117" si="47">SUMIF($K$5:$BR$5,F$5,$K116:$BR116)</f>
        <v>0</v>
      </c>
      <c r="G116" s="147">
        <f t="shared" si="47"/>
        <v>0</v>
      </c>
      <c r="H116" s="147">
        <f t="shared" si="47"/>
        <v>0</v>
      </c>
      <c r="I116" s="147">
        <f t="shared" si="47"/>
        <v>0</v>
      </c>
      <c r="K116" s="147">
        <f t="shared" ref="K116:AP116" si="48">$D97*K109</f>
        <v>0</v>
      </c>
      <c r="L116" s="147">
        <f t="shared" si="48"/>
        <v>0</v>
      </c>
      <c r="M116" s="147">
        <f t="shared" si="48"/>
        <v>0</v>
      </c>
      <c r="N116" s="147">
        <f t="shared" si="48"/>
        <v>0</v>
      </c>
      <c r="O116" s="147">
        <f t="shared" si="48"/>
        <v>0</v>
      </c>
      <c r="P116" s="147">
        <f t="shared" si="48"/>
        <v>0</v>
      </c>
      <c r="Q116" s="147">
        <f t="shared" si="48"/>
        <v>0</v>
      </c>
      <c r="R116" s="147">
        <f t="shared" si="48"/>
        <v>0</v>
      </c>
      <c r="S116" s="147">
        <f t="shared" si="48"/>
        <v>0</v>
      </c>
      <c r="T116" s="147">
        <f t="shared" si="48"/>
        <v>0</v>
      </c>
      <c r="U116" s="147">
        <f t="shared" si="48"/>
        <v>0</v>
      </c>
      <c r="V116" s="147">
        <f t="shared" si="48"/>
        <v>0</v>
      </c>
      <c r="W116" s="147">
        <f t="shared" si="48"/>
        <v>0</v>
      </c>
      <c r="X116" s="147">
        <f t="shared" si="48"/>
        <v>0</v>
      </c>
      <c r="Y116" s="147">
        <f t="shared" si="48"/>
        <v>0</v>
      </c>
      <c r="Z116" s="147">
        <f t="shared" si="48"/>
        <v>0</v>
      </c>
      <c r="AA116" s="147">
        <f t="shared" si="48"/>
        <v>0</v>
      </c>
      <c r="AB116" s="147">
        <f t="shared" si="48"/>
        <v>0</v>
      </c>
      <c r="AC116" s="147">
        <f t="shared" si="48"/>
        <v>0</v>
      </c>
      <c r="AD116" s="147">
        <f t="shared" si="48"/>
        <v>0</v>
      </c>
      <c r="AE116" s="147">
        <f t="shared" si="48"/>
        <v>0</v>
      </c>
      <c r="AF116" s="147">
        <f t="shared" si="48"/>
        <v>0</v>
      </c>
      <c r="AG116" s="147">
        <f t="shared" si="48"/>
        <v>0</v>
      </c>
      <c r="AH116" s="147">
        <f t="shared" si="48"/>
        <v>0</v>
      </c>
      <c r="AI116" s="147">
        <f t="shared" si="48"/>
        <v>0</v>
      </c>
      <c r="AJ116" s="147">
        <f t="shared" si="48"/>
        <v>0</v>
      </c>
      <c r="AK116" s="147">
        <f t="shared" si="48"/>
        <v>0</v>
      </c>
      <c r="AL116" s="147">
        <f t="shared" si="48"/>
        <v>0</v>
      </c>
      <c r="AM116" s="147">
        <f t="shared" si="48"/>
        <v>0</v>
      </c>
      <c r="AN116" s="147">
        <f t="shared" si="48"/>
        <v>0</v>
      </c>
      <c r="AO116" s="147">
        <f t="shared" si="48"/>
        <v>0</v>
      </c>
      <c r="AP116" s="147">
        <f t="shared" si="48"/>
        <v>0</v>
      </c>
      <c r="AQ116" s="147">
        <f t="shared" ref="AQ116:BR116" si="49">$D97*AQ109</f>
        <v>0</v>
      </c>
      <c r="AR116" s="147">
        <f t="shared" si="49"/>
        <v>0</v>
      </c>
      <c r="AS116" s="147">
        <f t="shared" si="49"/>
        <v>0</v>
      </c>
      <c r="AT116" s="147">
        <f t="shared" si="49"/>
        <v>0</v>
      </c>
      <c r="AU116" s="147">
        <f t="shared" si="49"/>
        <v>0</v>
      </c>
      <c r="AV116" s="147">
        <f t="shared" si="49"/>
        <v>0</v>
      </c>
      <c r="AW116" s="147">
        <f t="shared" si="49"/>
        <v>0</v>
      </c>
      <c r="AX116" s="147">
        <f t="shared" si="49"/>
        <v>0</v>
      </c>
      <c r="AY116" s="147">
        <f t="shared" si="49"/>
        <v>0</v>
      </c>
      <c r="AZ116" s="147">
        <f t="shared" si="49"/>
        <v>0</v>
      </c>
      <c r="BA116" s="147">
        <f t="shared" si="49"/>
        <v>0</v>
      </c>
      <c r="BB116" s="147">
        <f t="shared" si="49"/>
        <v>0</v>
      </c>
      <c r="BC116" s="147">
        <f t="shared" si="49"/>
        <v>0</v>
      </c>
      <c r="BD116" s="147">
        <f t="shared" si="49"/>
        <v>0</v>
      </c>
      <c r="BE116" s="147">
        <f t="shared" si="49"/>
        <v>0</v>
      </c>
      <c r="BF116" s="147">
        <f t="shared" si="49"/>
        <v>0</v>
      </c>
      <c r="BG116" s="147">
        <f t="shared" si="49"/>
        <v>0</v>
      </c>
      <c r="BH116" s="147">
        <f t="shared" si="49"/>
        <v>0</v>
      </c>
      <c r="BI116" s="147">
        <f t="shared" si="49"/>
        <v>0</v>
      </c>
      <c r="BJ116" s="147">
        <f t="shared" si="49"/>
        <v>0</v>
      </c>
      <c r="BK116" s="147">
        <f t="shared" si="49"/>
        <v>0</v>
      </c>
      <c r="BL116" s="147">
        <f t="shared" si="49"/>
        <v>0</v>
      </c>
      <c r="BM116" s="147">
        <f t="shared" si="49"/>
        <v>0</v>
      </c>
      <c r="BN116" s="147">
        <f t="shared" si="49"/>
        <v>0</v>
      </c>
      <c r="BO116" s="147">
        <f t="shared" si="49"/>
        <v>0</v>
      </c>
      <c r="BP116" s="147">
        <f t="shared" si="49"/>
        <v>0</v>
      </c>
      <c r="BQ116" s="147">
        <f t="shared" si="49"/>
        <v>0</v>
      </c>
      <c r="BR116" s="147">
        <f t="shared" si="49"/>
        <v>0</v>
      </c>
    </row>
    <row r="117" spans="1:70" s="147" customFormat="1" outlineLevel="1" x14ac:dyDescent="0.25">
      <c r="A117" s="211"/>
      <c r="C117" s="147" t="s">
        <v>250</v>
      </c>
      <c r="D117" s="231" t="str">
        <f>unit</f>
        <v>£</v>
      </c>
      <c r="E117" s="147">
        <f>SUMIF($K$5:$BR$5,E$5,$K117:$BR117)</f>
        <v>0</v>
      </c>
      <c r="F117" s="147">
        <f t="shared" si="47"/>
        <v>0</v>
      </c>
      <c r="G117" s="147">
        <f t="shared" si="47"/>
        <v>0</v>
      </c>
      <c r="H117" s="147">
        <f t="shared" si="47"/>
        <v>0</v>
      </c>
      <c r="I117" s="147">
        <f t="shared" si="47"/>
        <v>0</v>
      </c>
      <c r="K117" s="147">
        <f>-K110*$D105</f>
        <v>0</v>
      </c>
      <c r="L117" s="147">
        <f t="shared" ref="L117:BR117" si="50">-L110*$D105</f>
        <v>0</v>
      </c>
      <c r="M117" s="147">
        <f t="shared" si="50"/>
        <v>0</v>
      </c>
      <c r="N117" s="147">
        <f t="shared" si="50"/>
        <v>0</v>
      </c>
      <c r="O117" s="147">
        <f t="shared" si="50"/>
        <v>0</v>
      </c>
      <c r="P117" s="147">
        <f t="shared" si="50"/>
        <v>0</v>
      </c>
      <c r="Q117" s="147">
        <f t="shared" si="50"/>
        <v>0</v>
      </c>
      <c r="R117" s="147">
        <f t="shared" si="50"/>
        <v>0</v>
      </c>
      <c r="S117" s="147">
        <f t="shared" si="50"/>
        <v>0</v>
      </c>
      <c r="T117" s="147">
        <f t="shared" si="50"/>
        <v>0</v>
      </c>
      <c r="U117" s="147">
        <f t="shared" si="50"/>
        <v>0</v>
      </c>
      <c r="V117" s="147">
        <f t="shared" si="50"/>
        <v>0</v>
      </c>
      <c r="W117" s="147">
        <f t="shared" si="50"/>
        <v>0</v>
      </c>
      <c r="X117" s="147">
        <f t="shared" si="50"/>
        <v>0</v>
      </c>
      <c r="Y117" s="147">
        <f t="shared" si="50"/>
        <v>0</v>
      </c>
      <c r="Z117" s="147">
        <f t="shared" si="50"/>
        <v>0</v>
      </c>
      <c r="AA117" s="147">
        <f t="shared" si="50"/>
        <v>0</v>
      </c>
      <c r="AB117" s="147">
        <f t="shared" si="50"/>
        <v>0</v>
      </c>
      <c r="AC117" s="147">
        <f t="shared" si="50"/>
        <v>0</v>
      </c>
      <c r="AD117" s="147">
        <f t="shared" si="50"/>
        <v>0</v>
      </c>
      <c r="AE117" s="147">
        <f t="shared" si="50"/>
        <v>0</v>
      </c>
      <c r="AF117" s="147">
        <f t="shared" si="50"/>
        <v>0</v>
      </c>
      <c r="AG117" s="147">
        <f t="shared" si="50"/>
        <v>0</v>
      </c>
      <c r="AH117" s="147">
        <f t="shared" si="50"/>
        <v>0</v>
      </c>
      <c r="AI117" s="147">
        <f t="shared" si="50"/>
        <v>0</v>
      </c>
      <c r="AJ117" s="147">
        <f t="shared" si="50"/>
        <v>0</v>
      </c>
      <c r="AK117" s="147">
        <f t="shared" si="50"/>
        <v>0</v>
      </c>
      <c r="AL117" s="147">
        <f t="shared" si="50"/>
        <v>0</v>
      </c>
      <c r="AM117" s="147">
        <f t="shared" si="50"/>
        <v>0</v>
      </c>
      <c r="AN117" s="147">
        <f t="shared" si="50"/>
        <v>0</v>
      </c>
      <c r="AO117" s="147">
        <f t="shared" si="50"/>
        <v>0</v>
      </c>
      <c r="AP117" s="147">
        <f t="shared" si="50"/>
        <v>0</v>
      </c>
      <c r="AQ117" s="147">
        <f t="shared" si="50"/>
        <v>0</v>
      </c>
      <c r="AR117" s="147">
        <f t="shared" si="50"/>
        <v>0</v>
      </c>
      <c r="AS117" s="147">
        <f t="shared" si="50"/>
        <v>0</v>
      </c>
      <c r="AT117" s="147">
        <f t="shared" si="50"/>
        <v>0</v>
      </c>
      <c r="AU117" s="147">
        <f t="shared" si="50"/>
        <v>0</v>
      </c>
      <c r="AV117" s="147">
        <f t="shared" si="50"/>
        <v>0</v>
      </c>
      <c r="AW117" s="147">
        <f t="shared" si="50"/>
        <v>0</v>
      </c>
      <c r="AX117" s="147">
        <f t="shared" si="50"/>
        <v>0</v>
      </c>
      <c r="AY117" s="147">
        <f t="shared" si="50"/>
        <v>0</v>
      </c>
      <c r="AZ117" s="147">
        <f t="shared" si="50"/>
        <v>0</v>
      </c>
      <c r="BA117" s="147">
        <f t="shared" si="50"/>
        <v>0</v>
      </c>
      <c r="BB117" s="147">
        <f t="shared" si="50"/>
        <v>0</v>
      </c>
      <c r="BC117" s="147">
        <f t="shared" si="50"/>
        <v>0</v>
      </c>
      <c r="BD117" s="147">
        <f t="shared" si="50"/>
        <v>0</v>
      </c>
      <c r="BE117" s="147">
        <f t="shared" si="50"/>
        <v>0</v>
      </c>
      <c r="BF117" s="147">
        <f t="shared" si="50"/>
        <v>0</v>
      </c>
      <c r="BG117" s="147">
        <f t="shared" si="50"/>
        <v>0</v>
      </c>
      <c r="BH117" s="147">
        <f t="shared" si="50"/>
        <v>0</v>
      </c>
      <c r="BI117" s="147">
        <f t="shared" si="50"/>
        <v>0</v>
      </c>
      <c r="BJ117" s="147">
        <f t="shared" si="50"/>
        <v>0</v>
      </c>
      <c r="BK117" s="147">
        <f t="shared" si="50"/>
        <v>0</v>
      </c>
      <c r="BL117" s="147">
        <f t="shared" si="50"/>
        <v>0</v>
      </c>
      <c r="BM117" s="147">
        <f t="shared" si="50"/>
        <v>0</v>
      </c>
      <c r="BN117" s="147">
        <f t="shared" si="50"/>
        <v>0</v>
      </c>
      <c r="BO117" s="147">
        <f t="shared" si="50"/>
        <v>0</v>
      </c>
      <c r="BP117" s="147">
        <f t="shared" si="50"/>
        <v>0</v>
      </c>
      <c r="BQ117" s="147">
        <f t="shared" si="50"/>
        <v>0</v>
      </c>
      <c r="BR117" s="147">
        <f t="shared" si="50"/>
        <v>0</v>
      </c>
    </row>
    <row r="118" spans="1:70" s="147" customFormat="1" outlineLevel="1" x14ac:dyDescent="0.25">
      <c r="A118" s="211"/>
      <c r="C118" s="147" t="s">
        <v>230</v>
      </c>
      <c r="D118" s="231" t="str">
        <f>unit</f>
        <v>£</v>
      </c>
      <c r="E118" s="230">
        <f>SUM(E115:E117)</f>
        <v>0</v>
      </c>
      <c r="F118" s="230">
        <f t="shared" ref="F118:I118" si="51">SUM(F115:F117)</f>
        <v>0</v>
      </c>
      <c r="G118" s="230">
        <f t="shared" si="51"/>
        <v>0</v>
      </c>
      <c r="H118" s="230">
        <f t="shared" si="51"/>
        <v>0</v>
      </c>
      <c r="I118" s="230">
        <f t="shared" si="51"/>
        <v>0</v>
      </c>
      <c r="J118" s="224"/>
      <c r="K118" s="214">
        <f t="shared" ref="K118:BR118" si="52">SUM(K115:K117)</f>
        <v>0</v>
      </c>
      <c r="L118" s="214">
        <f t="shared" si="52"/>
        <v>0</v>
      </c>
      <c r="M118" s="214">
        <f t="shared" si="52"/>
        <v>0</v>
      </c>
      <c r="N118" s="214">
        <f t="shared" si="52"/>
        <v>0</v>
      </c>
      <c r="O118" s="214">
        <f t="shared" si="52"/>
        <v>0</v>
      </c>
      <c r="P118" s="214">
        <f t="shared" si="52"/>
        <v>0</v>
      </c>
      <c r="Q118" s="214">
        <f t="shared" si="52"/>
        <v>0</v>
      </c>
      <c r="R118" s="214">
        <f t="shared" si="52"/>
        <v>0</v>
      </c>
      <c r="S118" s="214">
        <f t="shared" si="52"/>
        <v>0</v>
      </c>
      <c r="T118" s="214">
        <f t="shared" si="52"/>
        <v>0</v>
      </c>
      <c r="U118" s="214">
        <f t="shared" si="52"/>
        <v>0</v>
      </c>
      <c r="V118" s="214">
        <f t="shared" si="52"/>
        <v>0</v>
      </c>
      <c r="W118" s="214">
        <f t="shared" si="52"/>
        <v>0</v>
      </c>
      <c r="X118" s="214">
        <f t="shared" si="52"/>
        <v>0</v>
      </c>
      <c r="Y118" s="214">
        <f t="shared" si="52"/>
        <v>0</v>
      </c>
      <c r="Z118" s="214">
        <f t="shared" si="52"/>
        <v>0</v>
      </c>
      <c r="AA118" s="214">
        <f t="shared" si="52"/>
        <v>0</v>
      </c>
      <c r="AB118" s="214">
        <f t="shared" si="52"/>
        <v>0</v>
      </c>
      <c r="AC118" s="214">
        <f t="shared" si="52"/>
        <v>0</v>
      </c>
      <c r="AD118" s="214">
        <f t="shared" si="52"/>
        <v>0</v>
      </c>
      <c r="AE118" s="214">
        <f t="shared" si="52"/>
        <v>0</v>
      </c>
      <c r="AF118" s="214">
        <f t="shared" si="52"/>
        <v>0</v>
      </c>
      <c r="AG118" s="214">
        <f t="shared" si="52"/>
        <v>0</v>
      </c>
      <c r="AH118" s="214">
        <f t="shared" si="52"/>
        <v>0</v>
      </c>
      <c r="AI118" s="214">
        <f t="shared" si="52"/>
        <v>0</v>
      </c>
      <c r="AJ118" s="214">
        <f t="shared" si="52"/>
        <v>0</v>
      </c>
      <c r="AK118" s="214">
        <f t="shared" si="52"/>
        <v>0</v>
      </c>
      <c r="AL118" s="214">
        <f t="shared" si="52"/>
        <v>0</v>
      </c>
      <c r="AM118" s="214">
        <f t="shared" si="52"/>
        <v>0</v>
      </c>
      <c r="AN118" s="214">
        <f t="shared" si="52"/>
        <v>0</v>
      </c>
      <c r="AO118" s="214">
        <f t="shared" si="52"/>
        <v>0</v>
      </c>
      <c r="AP118" s="214">
        <f t="shared" si="52"/>
        <v>0</v>
      </c>
      <c r="AQ118" s="214">
        <f t="shared" si="52"/>
        <v>0</v>
      </c>
      <c r="AR118" s="214">
        <f t="shared" si="52"/>
        <v>0</v>
      </c>
      <c r="AS118" s="214">
        <f t="shared" si="52"/>
        <v>0</v>
      </c>
      <c r="AT118" s="214">
        <f t="shared" si="52"/>
        <v>0</v>
      </c>
      <c r="AU118" s="214">
        <f t="shared" si="52"/>
        <v>0</v>
      </c>
      <c r="AV118" s="214">
        <f t="shared" si="52"/>
        <v>0</v>
      </c>
      <c r="AW118" s="214">
        <f t="shared" si="52"/>
        <v>0</v>
      </c>
      <c r="AX118" s="214">
        <f t="shared" si="52"/>
        <v>0</v>
      </c>
      <c r="AY118" s="214">
        <f t="shared" si="52"/>
        <v>0</v>
      </c>
      <c r="AZ118" s="214">
        <f t="shared" si="52"/>
        <v>0</v>
      </c>
      <c r="BA118" s="214">
        <f t="shared" si="52"/>
        <v>0</v>
      </c>
      <c r="BB118" s="214">
        <f t="shared" si="52"/>
        <v>0</v>
      </c>
      <c r="BC118" s="214">
        <f t="shared" si="52"/>
        <v>0</v>
      </c>
      <c r="BD118" s="214">
        <f t="shared" si="52"/>
        <v>0</v>
      </c>
      <c r="BE118" s="214">
        <f t="shared" si="52"/>
        <v>0</v>
      </c>
      <c r="BF118" s="214">
        <f t="shared" si="52"/>
        <v>0</v>
      </c>
      <c r="BG118" s="214">
        <f t="shared" si="52"/>
        <v>0</v>
      </c>
      <c r="BH118" s="214">
        <f t="shared" si="52"/>
        <v>0</v>
      </c>
      <c r="BI118" s="214">
        <f t="shared" si="52"/>
        <v>0</v>
      </c>
      <c r="BJ118" s="214">
        <f t="shared" si="52"/>
        <v>0</v>
      </c>
      <c r="BK118" s="214">
        <f t="shared" si="52"/>
        <v>0</v>
      </c>
      <c r="BL118" s="214">
        <f t="shared" si="52"/>
        <v>0</v>
      </c>
      <c r="BM118" s="214">
        <f t="shared" si="52"/>
        <v>0</v>
      </c>
      <c r="BN118" s="214">
        <f t="shared" si="52"/>
        <v>0</v>
      </c>
      <c r="BO118" s="214">
        <f t="shared" si="52"/>
        <v>0</v>
      </c>
      <c r="BP118" s="214">
        <f t="shared" si="52"/>
        <v>0</v>
      </c>
      <c r="BQ118" s="214">
        <f t="shared" si="52"/>
        <v>0</v>
      </c>
      <c r="BR118" s="214">
        <f t="shared" si="52"/>
        <v>0</v>
      </c>
    </row>
    <row r="119" spans="1:70" outlineLevel="1" x14ac:dyDescent="0.25">
      <c r="E119" s="147"/>
      <c r="F119" s="212"/>
      <c r="G119" s="147"/>
      <c r="H119" s="147"/>
      <c r="I119" s="147"/>
    </row>
    <row r="120" spans="1:70" s="166" customFormat="1" ht="15.6" x14ac:dyDescent="0.3">
      <c r="A120" s="166">
        <f>Header1</f>
        <v>6</v>
      </c>
      <c r="B120" s="166" t="str">
        <f>KeyInputs!J85</f>
        <v>Grant 4</v>
      </c>
    </row>
    <row r="121" spans="1:70" outlineLevel="1" x14ac:dyDescent="0.25"/>
    <row r="122" spans="1:70" outlineLevel="1" x14ac:dyDescent="0.25">
      <c r="C122" s="217" t="e">
        <f>#REF!</f>
        <v>#REF!</v>
      </c>
      <c r="D122" s="220">
        <f>KeyInputs!J86</f>
        <v>0</v>
      </c>
    </row>
    <row r="123" spans="1:70" outlineLevel="1" x14ac:dyDescent="0.25">
      <c r="C123" s="217" t="str">
        <f>C23</f>
        <v>Drawdown date</v>
      </c>
      <c r="D123" s="222">
        <f>KeyInputs!J87</f>
        <v>41974</v>
      </c>
    </row>
    <row r="124" spans="1:70" outlineLevel="1" x14ac:dyDescent="0.25">
      <c r="C124" s="217" t="str">
        <f t="shared" ref="C124" si="53">C24</f>
        <v>Grant term (years)</v>
      </c>
      <c r="D124" s="219">
        <f>KeyInputs!J88</f>
        <v>5</v>
      </c>
    </row>
    <row r="125" spans="1:70" outlineLevel="1" x14ac:dyDescent="0.25"/>
    <row r="126" spans="1:70" outlineLevel="1" x14ac:dyDescent="0.25">
      <c r="C126" s="57" t="s">
        <v>425</v>
      </c>
      <c r="D126" s="221">
        <f>EDATE(D123,1)-1</f>
        <v>42004</v>
      </c>
    </row>
    <row r="127" spans="1:70" outlineLevel="1" x14ac:dyDescent="0.25">
      <c r="C127" s="57" t="s">
        <v>246</v>
      </c>
      <c r="D127" s="57">
        <f>IFERROR(INDEX($K$6:$BR$6,0,MATCH($D123,$K$7:$BR$7,0)),0)</f>
        <v>0</v>
      </c>
    </row>
    <row r="128" spans="1:70" outlineLevel="1" x14ac:dyDescent="0.25">
      <c r="C128" s="57" t="s">
        <v>424</v>
      </c>
      <c r="D128" s="57">
        <f>IFERROR(INDEX($K$6:$BR$6,0,MATCH($D126,$K$8:$BR$8,0)),0)</f>
        <v>0</v>
      </c>
    </row>
    <row r="129" spans="1:70" outlineLevel="1" x14ac:dyDescent="0.25">
      <c r="C129" s="57" t="s">
        <v>426</v>
      </c>
      <c r="D129" s="221">
        <f>EDATE($D$126,(D124-1)*12)</f>
        <v>43465</v>
      </c>
    </row>
    <row r="130" spans="1:70" outlineLevel="1" x14ac:dyDescent="0.25">
      <c r="C130" s="57" t="s">
        <v>427</v>
      </c>
      <c r="D130" s="57">
        <f>IFERROR(D122/D124,0)</f>
        <v>0</v>
      </c>
    </row>
    <row r="131" spans="1:70" outlineLevel="1" x14ac:dyDescent="0.25"/>
    <row r="132" spans="1:70" s="143" customFormat="1" ht="13.8" outlineLevel="1" x14ac:dyDescent="0.25">
      <c r="B132" s="143" t="str">
        <f>Header2</f>
        <v>6.1</v>
      </c>
      <c r="C132" s="143" t="s">
        <v>254</v>
      </c>
    </row>
    <row r="133" spans="1:70" outlineLevel="1" x14ac:dyDescent="0.25"/>
    <row r="134" spans="1:70" outlineLevel="1" x14ac:dyDescent="0.25">
      <c r="C134" s="147" t="s">
        <v>255</v>
      </c>
      <c r="K134" s="57">
        <f>(K$7&lt;=$D123)*(K$8&gt;=$D123)</f>
        <v>0</v>
      </c>
      <c r="L134" s="57">
        <f t="shared" ref="L134:BR134" si="54">(L$7&lt;=$D123)*(L$8&gt;=$D123)</f>
        <v>0</v>
      </c>
      <c r="M134" s="57">
        <f t="shared" si="54"/>
        <v>0</v>
      </c>
      <c r="N134" s="57">
        <f t="shared" si="54"/>
        <v>0</v>
      </c>
      <c r="O134" s="57">
        <f t="shared" si="54"/>
        <v>0</v>
      </c>
      <c r="P134" s="57">
        <f t="shared" si="54"/>
        <v>0</v>
      </c>
      <c r="Q134" s="57">
        <f t="shared" si="54"/>
        <v>0</v>
      </c>
      <c r="R134" s="57">
        <f t="shared" si="54"/>
        <v>0</v>
      </c>
      <c r="S134" s="57">
        <f t="shared" si="54"/>
        <v>0</v>
      </c>
      <c r="T134" s="57">
        <f t="shared" si="54"/>
        <v>0</v>
      </c>
      <c r="U134" s="57">
        <f t="shared" si="54"/>
        <v>0</v>
      </c>
      <c r="V134" s="57">
        <f t="shared" si="54"/>
        <v>0</v>
      </c>
      <c r="W134" s="57">
        <f t="shared" si="54"/>
        <v>0</v>
      </c>
      <c r="X134" s="57">
        <f t="shared" si="54"/>
        <v>0</v>
      </c>
      <c r="Y134" s="57">
        <f t="shared" si="54"/>
        <v>0</v>
      </c>
      <c r="Z134" s="57">
        <f t="shared" si="54"/>
        <v>0</v>
      </c>
      <c r="AA134" s="57">
        <f t="shared" si="54"/>
        <v>0</v>
      </c>
      <c r="AB134" s="57">
        <f t="shared" si="54"/>
        <v>0</v>
      </c>
      <c r="AC134" s="57">
        <f t="shared" si="54"/>
        <v>0</v>
      </c>
      <c r="AD134" s="57">
        <f t="shared" si="54"/>
        <v>0</v>
      </c>
      <c r="AE134" s="57">
        <f t="shared" si="54"/>
        <v>0</v>
      </c>
      <c r="AF134" s="57">
        <f t="shared" si="54"/>
        <v>0</v>
      </c>
      <c r="AG134" s="57">
        <f t="shared" si="54"/>
        <v>0</v>
      </c>
      <c r="AH134" s="57">
        <f t="shared" si="54"/>
        <v>0</v>
      </c>
      <c r="AI134" s="57">
        <f t="shared" si="54"/>
        <v>0</v>
      </c>
      <c r="AJ134" s="57">
        <f t="shared" si="54"/>
        <v>0</v>
      </c>
      <c r="AK134" s="57">
        <f t="shared" si="54"/>
        <v>0</v>
      </c>
      <c r="AL134" s="57">
        <f t="shared" si="54"/>
        <v>0</v>
      </c>
      <c r="AM134" s="57">
        <f t="shared" si="54"/>
        <v>0</v>
      </c>
      <c r="AN134" s="57">
        <f t="shared" si="54"/>
        <v>0</v>
      </c>
      <c r="AO134" s="57">
        <f t="shared" si="54"/>
        <v>0</v>
      </c>
      <c r="AP134" s="57">
        <f t="shared" si="54"/>
        <v>0</v>
      </c>
      <c r="AQ134" s="57">
        <f t="shared" si="54"/>
        <v>0</v>
      </c>
      <c r="AR134" s="57">
        <f t="shared" si="54"/>
        <v>0</v>
      </c>
      <c r="AS134" s="57">
        <f t="shared" si="54"/>
        <v>0</v>
      </c>
      <c r="AT134" s="57">
        <f t="shared" si="54"/>
        <v>0</v>
      </c>
      <c r="AU134" s="57">
        <f t="shared" si="54"/>
        <v>0</v>
      </c>
      <c r="AV134" s="57">
        <f t="shared" si="54"/>
        <v>0</v>
      </c>
      <c r="AW134" s="57">
        <f t="shared" si="54"/>
        <v>0</v>
      </c>
      <c r="AX134" s="57">
        <f t="shared" si="54"/>
        <v>0</v>
      </c>
      <c r="AY134" s="57">
        <f t="shared" si="54"/>
        <v>0</v>
      </c>
      <c r="AZ134" s="57">
        <f t="shared" si="54"/>
        <v>0</v>
      </c>
      <c r="BA134" s="57">
        <f t="shared" si="54"/>
        <v>0</v>
      </c>
      <c r="BB134" s="57">
        <f t="shared" si="54"/>
        <v>0</v>
      </c>
      <c r="BC134" s="57">
        <f t="shared" si="54"/>
        <v>0</v>
      </c>
      <c r="BD134" s="57">
        <f t="shared" si="54"/>
        <v>0</v>
      </c>
      <c r="BE134" s="57">
        <f t="shared" si="54"/>
        <v>0</v>
      </c>
      <c r="BF134" s="57">
        <f t="shared" si="54"/>
        <v>0</v>
      </c>
      <c r="BG134" s="57">
        <f t="shared" si="54"/>
        <v>0</v>
      </c>
      <c r="BH134" s="57">
        <f t="shared" si="54"/>
        <v>0</v>
      </c>
      <c r="BI134" s="57">
        <f t="shared" si="54"/>
        <v>0</v>
      </c>
      <c r="BJ134" s="57">
        <f t="shared" si="54"/>
        <v>0</v>
      </c>
      <c r="BK134" s="57">
        <f t="shared" si="54"/>
        <v>0</v>
      </c>
      <c r="BL134" s="57">
        <f t="shared" si="54"/>
        <v>0</v>
      </c>
      <c r="BM134" s="57">
        <f t="shared" si="54"/>
        <v>0</v>
      </c>
      <c r="BN134" s="57">
        <f t="shared" si="54"/>
        <v>0</v>
      </c>
      <c r="BO134" s="57">
        <f t="shared" si="54"/>
        <v>0</v>
      </c>
      <c r="BP134" s="57">
        <f t="shared" si="54"/>
        <v>0</v>
      </c>
      <c r="BQ134" s="57">
        <f t="shared" si="54"/>
        <v>0</v>
      </c>
      <c r="BR134" s="57">
        <f t="shared" si="54"/>
        <v>0</v>
      </c>
    </row>
    <row r="135" spans="1:70" outlineLevel="1" x14ac:dyDescent="0.25">
      <c r="C135" s="147" t="s">
        <v>256</v>
      </c>
      <c r="K135" s="57">
        <f t="shared" ref="K135:AP135" si="55">IF(K$6&lt;$D$128,0,IF(K$8&gt;$D129,0,IF(K$7=$D$126,1,IF(MOD((K$6-$D$128),12)=0,1,0))))</f>
        <v>0</v>
      </c>
      <c r="L135" s="57">
        <f t="shared" si="55"/>
        <v>0</v>
      </c>
      <c r="M135" s="57">
        <f t="shared" si="55"/>
        <v>0</v>
      </c>
      <c r="N135" s="57">
        <f t="shared" si="55"/>
        <v>0</v>
      </c>
      <c r="O135" s="57">
        <f t="shared" si="55"/>
        <v>0</v>
      </c>
      <c r="P135" s="57">
        <f t="shared" si="55"/>
        <v>0</v>
      </c>
      <c r="Q135" s="57">
        <f t="shared" si="55"/>
        <v>0</v>
      </c>
      <c r="R135" s="57">
        <f t="shared" si="55"/>
        <v>0</v>
      </c>
      <c r="S135" s="57">
        <f t="shared" si="55"/>
        <v>0</v>
      </c>
      <c r="T135" s="57">
        <f t="shared" si="55"/>
        <v>0</v>
      </c>
      <c r="U135" s="57">
        <f t="shared" si="55"/>
        <v>0</v>
      </c>
      <c r="V135" s="57">
        <f t="shared" si="55"/>
        <v>1</v>
      </c>
      <c r="W135" s="57">
        <f t="shared" si="55"/>
        <v>0</v>
      </c>
      <c r="X135" s="57">
        <f t="shared" si="55"/>
        <v>0</v>
      </c>
      <c r="Y135" s="57">
        <f t="shared" si="55"/>
        <v>0</v>
      </c>
      <c r="Z135" s="57">
        <f t="shared" si="55"/>
        <v>0</v>
      </c>
      <c r="AA135" s="57">
        <f t="shared" si="55"/>
        <v>0</v>
      </c>
      <c r="AB135" s="57">
        <f t="shared" si="55"/>
        <v>0</v>
      </c>
      <c r="AC135" s="57">
        <f t="shared" si="55"/>
        <v>0</v>
      </c>
      <c r="AD135" s="57">
        <f t="shared" si="55"/>
        <v>0</v>
      </c>
      <c r="AE135" s="57">
        <f t="shared" si="55"/>
        <v>0</v>
      </c>
      <c r="AF135" s="57">
        <f t="shared" si="55"/>
        <v>0</v>
      </c>
      <c r="AG135" s="57">
        <f t="shared" si="55"/>
        <v>0</v>
      </c>
      <c r="AH135" s="57">
        <f t="shared" si="55"/>
        <v>1</v>
      </c>
      <c r="AI135" s="57">
        <f t="shared" si="55"/>
        <v>0</v>
      </c>
      <c r="AJ135" s="57">
        <f t="shared" si="55"/>
        <v>0</v>
      </c>
      <c r="AK135" s="57">
        <f t="shared" si="55"/>
        <v>0</v>
      </c>
      <c r="AL135" s="57">
        <f t="shared" si="55"/>
        <v>0</v>
      </c>
      <c r="AM135" s="57">
        <f t="shared" si="55"/>
        <v>0</v>
      </c>
      <c r="AN135" s="57">
        <f t="shared" si="55"/>
        <v>0</v>
      </c>
      <c r="AO135" s="57">
        <f t="shared" si="55"/>
        <v>0</v>
      </c>
      <c r="AP135" s="57">
        <f t="shared" si="55"/>
        <v>0</v>
      </c>
      <c r="AQ135" s="57">
        <f t="shared" ref="AQ135:BR135" si="56">IF(AQ$6&lt;$D$128,0,IF(AQ$8&gt;$D129,0,IF(AQ$7=$D$126,1,IF(MOD((AQ$6-$D$128),12)=0,1,0))))</f>
        <v>0</v>
      </c>
      <c r="AR135" s="57">
        <f t="shared" si="56"/>
        <v>0</v>
      </c>
      <c r="AS135" s="57">
        <f t="shared" si="56"/>
        <v>0</v>
      </c>
      <c r="AT135" s="57">
        <f t="shared" si="56"/>
        <v>1</v>
      </c>
      <c r="AU135" s="57">
        <f t="shared" si="56"/>
        <v>0</v>
      </c>
      <c r="AV135" s="57">
        <f t="shared" si="56"/>
        <v>0</v>
      </c>
      <c r="AW135" s="57">
        <f t="shared" si="56"/>
        <v>0</v>
      </c>
      <c r="AX135" s="57">
        <f t="shared" si="56"/>
        <v>0</v>
      </c>
      <c r="AY135" s="57">
        <f t="shared" si="56"/>
        <v>0</v>
      </c>
      <c r="AZ135" s="57">
        <f t="shared" si="56"/>
        <v>0</v>
      </c>
      <c r="BA135" s="57">
        <f t="shared" si="56"/>
        <v>0</v>
      </c>
      <c r="BB135" s="57">
        <f t="shared" si="56"/>
        <v>0</v>
      </c>
      <c r="BC135" s="57">
        <f t="shared" si="56"/>
        <v>0</v>
      </c>
      <c r="BD135" s="57">
        <f t="shared" si="56"/>
        <v>0</v>
      </c>
      <c r="BE135" s="57">
        <f t="shared" si="56"/>
        <v>0</v>
      </c>
      <c r="BF135" s="57">
        <f t="shared" si="56"/>
        <v>1</v>
      </c>
      <c r="BG135" s="57">
        <f t="shared" si="56"/>
        <v>0</v>
      </c>
      <c r="BH135" s="57">
        <f t="shared" si="56"/>
        <v>0</v>
      </c>
      <c r="BI135" s="57">
        <f t="shared" si="56"/>
        <v>0</v>
      </c>
      <c r="BJ135" s="57">
        <f t="shared" si="56"/>
        <v>0</v>
      </c>
      <c r="BK135" s="57">
        <f t="shared" si="56"/>
        <v>0</v>
      </c>
      <c r="BL135" s="57">
        <f t="shared" si="56"/>
        <v>0</v>
      </c>
      <c r="BM135" s="57">
        <f t="shared" si="56"/>
        <v>0</v>
      </c>
      <c r="BN135" s="57">
        <f t="shared" si="56"/>
        <v>0</v>
      </c>
      <c r="BO135" s="57">
        <f t="shared" si="56"/>
        <v>0</v>
      </c>
      <c r="BP135" s="57">
        <f t="shared" si="56"/>
        <v>0</v>
      </c>
      <c r="BQ135" s="57">
        <f t="shared" si="56"/>
        <v>0</v>
      </c>
      <c r="BR135" s="57">
        <f t="shared" si="56"/>
        <v>0</v>
      </c>
    </row>
    <row r="136" spans="1:70" outlineLevel="1" x14ac:dyDescent="0.25"/>
    <row r="137" spans="1:70" outlineLevel="1" x14ac:dyDescent="0.25"/>
    <row r="138" spans="1:70" s="145" customFormat="1" ht="13.8" outlineLevel="1" x14ac:dyDescent="0.25">
      <c r="B138" s="145" t="str">
        <f>Header2</f>
        <v>6.2</v>
      </c>
      <c r="C138" s="145" t="s">
        <v>261</v>
      </c>
    </row>
    <row r="139" spans="1:70" s="147" customFormat="1" outlineLevel="1" x14ac:dyDescent="0.25">
      <c r="A139" s="211"/>
      <c r="F139" s="212"/>
    </row>
    <row r="140" spans="1:70" s="147" customFormat="1" outlineLevel="1" x14ac:dyDescent="0.25">
      <c r="A140" s="211"/>
      <c r="C140" s="147" t="s">
        <v>228</v>
      </c>
      <c r="D140" s="231" t="str">
        <f>unit</f>
        <v>£</v>
      </c>
      <c r="E140" s="147">
        <f>INDEX($K140:$BR140,0,MATCH(E$7,$K$7:$BR$7,0))</f>
        <v>0</v>
      </c>
      <c r="F140" s="147">
        <f t="shared" ref="F140:I140" si="57">INDEX($K140:$BR140,0,MATCH(F$7,$K$7:$BR$7,0))</f>
        <v>0</v>
      </c>
      <c r="G140" s="147">
        <f t="shared" si="57"/>
        <v>0</v>
      </c>
      <c r="H140" s="147">
        <f t="shared" si="57"/>
        <v>0</v>
      </c>
      <c r="I140" s="147">
        <f t="shared" si="57"/>
        <v>0</v>
      </c>
      <c r="K140" s="213">
        <v>0</v>
      </c>
      <c r="L140" s="223">
        <f t="shared" ref="L140:BR140" si="58">K143</f>
        <v>0</v>
      </c>
      <c r="M140" s="223">
        <f t="shared" si="58"/>
        <v>0</v>
      </c>
      <c r="N140" s="223">
        <f t="shared" si="58"/>
        <v>0</v>
      </c>
      <c r="O140" s="223">
        <f t="shared" si="58"/>
        <v>0</v>
      </c>
      <c r="P140" s="223">
        <f t="shared" si="58"/>
        <v>0</v>
      </c>
      <c r="Q140" s="223">
        <f t="shared" si="58"/>
        <v>0</v>
      </c>
      <c r="R140" s="223">
        <f t="shared" si="58"/>
        <v>0</v>
      </c>
      <c r="S140" s="223">
        <f t="shared" si="58"/>
        <v>0</v>
      </c>
      <c r="T140" s="223">
        <f t="shared" si="58"/>
        <v>0</v>
      </c>
      <c r="U140" s="223">
        <f t="shared" si="58"/>
        <v>0</v>
      </c>
      <c r="V140" s="223">
        <f t="shared" si="58"/>
        <v>0</v>
      </c>
      <c r="W140" s="223">
        <f t="shared" si="58"/>
        <v>0</v>
      </c>
      <c r="X140" s="223">
        <f t="shared" si="58"/>
        <v>0</v>
      </c>
      <c r="Y140" s="223">
        <f t="shared" si="58"/>
        <v>0</v>
      </c>
      <c r="Z140" s="223">
        <f t="shared" si="58"/>
        <v>0</v>
      </c>
      <c r="AA140" s="223">
        <f t="shared" si="58"/>
        <v>0</v>
      </c>
      <c r="AB140" s="223">
        <f t="shared" si="58"/>
        <v>0</v>
      </c>
      <c r="AC140" s="223">
        <f t="shared" si="58"/>
        <v>0</v>
      </c>
      <c r="AD140" s="223">
        <f t="shared" si="58"/>
        <v>0</v>
      </c>
      <c r="AE140" s="223">
        <f t="shared" si="58"/>
        <v>0</v>
      </c>
      <c r="AF140" s="223">
        <f t="shared" si="58"/>
        <v>0</v>
      </c>
      <c r="AG140" s="223">
        <f t="shared" si="58"/>
        <v>0</v>
      </c>
      <c r="AH140" s="223">
        <f t="shared" si="58"/>
        <v>0</v>
      </c>
      <c r="AI140" s="223">
        <f t="shared" si="58"/>
        <v>0</v>
      </c>
      <c r="AJ140" s="223">
        <f t="shared" si="58"/>
        <v>0</v>
      </c>
      <c r="AK140" s="223">
        <f t="shared" si="58"/>
        <v>0</v>
      </c>
      <c r="AL140" s="223">
        <f t="shared" si="58"/>
        <v>0</v>
      </c>
      <c r="AM140" s="223">
        <f t="shared" si="58"/>
        <v>0</v>
      </c>
      <c r="AN140" s="223">
        <f t="shared" si="58"/>
        <v>0</v>
      </c>
      <c r="AO140" s="223">
        <f t="shared" si="58"/>
        <v>0</v>
      </c>
      <c r="AP140" s="223">
        <f t="shared" si="58"/>
        <v>0</v>
      </c>
      <c r="AQ140" s="223">
        <f t="shared" si="58"/>
        <v>0</v>
      </c>
      <c r="AR140" s="223">
        <f t="shared" si="58"/>
        <v>0</v>
      </c>
      <c r="AS140" s="223">
        <f t="shared" si="58"/>
        <v>0</v>
      </c>
      <c r="AT140" s="223">
        <f t="shared" si="58"/>
        <v>0</v>
      </c>
      <c r="AU140" s="223">
        <f t="shared" si="58"/>
        <v>0</v>
      </c>
      <c r="AV140" s="223">
        <f t="shared" si="58"/>
        <v>0</v>
      </c>
      <c r="AW140" s="223">
        <f t="shared" si="58"/>
        <v>0</v>
      </c>
      <c r="AX140" s="223">
        <f t="shared" si="58"/>
        <v>0</v>
      </c>
      <c r="AY140" s="223">
        <f t="shared" si="58"/>
        <v>0</v>
      </c>
      <c r="AZ140" s="223">
        <f t="shared" si="58"/>
        <v>0</v>
      </c>
      <c r="BA140" s="223">
        <f t="shared" si="58"/>
        <v>0</v>
      </c>
      <c r="BB140" s="223">
        <f t="shared" si="58"/>
        <v>0</v>
      </c>
      <c r="BC140" s="223">
        <f t="shared" si="58"/>
        <v>0</v>
      </c>
      <c r="BD140" s="223">
        <f t="shared" si="58"/>
        <v>0</v>
      </c>
      <c r="BE140" s="223">
        <f t="shared" si="58"/>
        <v>0</v>
      </c>
      <c r="BF140" s="223">
        <f t="shared" si="58"/>
        <v>0</v>
      </c>
      <c r="BG140" s="223">
        <f t="shared" si="58"/>
        <v>0</v>
      </c>
      <c r="BH140" s="223">
        <f t="shared" si="58"/>
        <v>0</v>
      </c>
      <c r="BI140" s="223">
        <f t="shared" si="58"/>
        <v>0</v>
      </c>
      <c r="BJ140" s="223">
        <f t="shared" si="58"/>
        <v>0</v>
      </c>
      <c r="BK140" s="223">
        <f t="shared" si="58"/>
        <v>0</v>
      </c>
      <c r="BL140" s="223">
        <f t="shared" si="58"/>
        <v>0</v>
      </c>
      <c r="BM140" s="223">
        <f t="shared" si="58"/>
        <v>0</v>
      </c>
      <c r="BN140" s="223">
        <f t="shared" si="58"/>
        <v>0</v>
      </c>
      <c r="BO140" s="223">
        <f t="shared" si="58"/>
        <v>0</v>
      </c>
      <c r="BP140" s="223">
        <f t="shared" si="58"/>
        <v>0</v>
      </c>
      <c r="BQ140" s="223">
        <f t="shared" si="58"/>
        <v>0</v>
      </c>
      <c r="BR140" s="223">
        <f t="shared" si="58"/>
        <v>0</v>
      </c>
    </row>
    <row r="141" spans="1:70" s="147" customFormat="1" outlineLevel="1" x14ac:dyDescent="0.25">
      <c r="A141" s="211"/>
      <c r="C141" s="147" t="s">
        <v>249</v>
      </c>
      <c r="D141" s="231" t="str">
        <f>unit</f>
        <v>£</v>
      </c>
      <c r="E141" s="147">
        <f>SUMIF($K$5:$BR$5,E$5,$K141:$BR141)</f>
        <v>0</v>
      </c>
      <c r="F141" s="147">
        <f t="shared" ref="F141:I142" si="59">SUMIF($K$5:$BR$5,F$5,$K141:$BR141)</f>
        <v>0</v>
      </c>
      <c r="G141" s="147">
        <f t="shared" si="59"/>
        <v>0</v>
      </c>
      <c r="H141" s="147">
        <f t="shared" si="59"/>
        <v>0</v>
      </c>
      <c r="I141" s="147">
        <f t="shared" si="59"/>
        <v>0</v>
      </c>
      <c r="K141" s="147">
        <f t="shared" ref="K141:AP141" si="60">$D122*K134</f>
        <v>0</v>
      </c>
      <c r="L141" s="147">
        <f t="shared" si="60"/>
        <v>0</v>
      </c>
      <c r="M141" s="147">
        <f t="shared" si="60"/>
        <v>0</v>
      </c>
      <c r="N141" s="147">
        <f t="shared" si="60"/>
        <v>0</v>
      </c>
      <c r="O141" s="147">
        <f t="shared" si="60"/>
        <v>0</v>
      </c>
      <c r="P141" s="147">
        <f t="shared" si="60"/>
        <v>0</v>
      </c>
      <c r="Q141" s="147">
        <f t="shared" si="60"/>
        <v>0</v>
      </c>
      <c r="R141" s="147">
        <f t="shared" si="60"/>
        <v>0</v>
      </c>
      <c r="S141" s="147">
        <f t="shared" si="60"/>
        <v>0</v>
      </c>
      <c r="T141" s="147">
        <f t="shared" si="60"/>
        <v>0</v>
      </c>
      <c r="U141" s="147">
        <f t="shared" si="60"/>
        <v>0</v>
      </c>
      <c r="V141" s="147">
        <f t="shared" si="60"/>
        <v>0</v>
      </c>
      <c r="W141" s="147">
        <f t="shared" si="60"/>
        <v>0</v>
      </c>
      <c r="X141" s="147">
        <f t="shared" si="60"/>
        <v>0</v>
      </c>
      <c r="Y141" s="147">
        <f t="shared" si="60"/>
        <v>0</v>
      </c>
      <c r="Z141" s="147">
        <f t="shared" si="60"/>
        <v>0</v>
      </c>
      <c r="AA141" s="147">
        <f t="shared" si="60"/>
        <v>0</v>
      </c>
      <c r="AB141" s="147">
        <f t="shared" si="60"/>
        <v>0</v>
      </c>
      <c r="AC141" s="147">
        <f t="shared" si="60"/>
        <v>0</v>
      </c>
      <c r="AD141" s="147">
        <f t="shared" si="60"/>
        <v>0</v>
      </c>
      <c r="AE141" s="147">
        <f t="shared" si="60"/>
        <v>0</v>
      </c>
      <c r="AF141" s="147">
        <f t="shared" si="60"/>
        <v>0</v>
      </c>
      <c r="AG141" s="147">
        <f t="shared" si="60"/>
        <v>0</v>
      </c>
      <c r="AH141" s="147">
        <f t="shared" si="60"/>
        <v>0</v>
      </c>
      <c r="AI141" s="147">
        <f t="shared" si="60"/>
        <v>0</v>
      </c>
      <c r="AJ141" s="147">
        <f t="shared" si="60"/>
        <v>0</v>
      </c>
      <c r="AK141" s="147">
        <f t="shared" si="60"/>
        <v>0</v>
      </c>
      <c r="AL141" s="147">
        <f t="shared" si="60"/>
        <v>0</v>
      </c>
      <c r="AM141" s="147">
        <f t="shared" si="60"/>
        <v>0</v>
      </c>
      <c r="AN141" s="147">
        <f t="shared" si="60"/>
        <v>0</v>
      </c>
      <c r="AO141" s="147">
        <f t="shared" si="60"/>
        <v>0</v>
      </c>
      <c r="AP141" s="147">
        <f t="shared" si="60"/>
        <v>0</v>
      </c>
      <c r="AQ141" s="147">
        <f t="shared" ref="AQ141:BR141" si="61">$D122*AQ134</f>
        <v>0</v>
      </c>
      <c r="AR141" s="147">
        <f t="shared" si="61"/>
        <v>0</v>
      </c>
      <c r="AS141" s="147">
        <f t="shared" si="61"/>
        <v>0</v>
      </c>
      <c r="AT141" s="147">
        <f t="shared" si="61"/>
        <v>0</v>
      </c>
      <c r="AU141" s="147">
        <f t="shared" si="61"/>
        <v>0</v>
      </c>
      <c r="AV141" s="147">
        <f t="shared" si="61"/>
        <v>0</v>
      </c>
      <c r="AW141" s="147">
        <f t="shared" si="61"/>
        <v>0</v>
      </c>
      <c r="AX141" s="147">
        <f t="shared" si="61"/>
        <v>0</v>
      </c>
      <c r="AY141" s="147">
        <f t="shared" si="61"/>
        <v>0</v>
      </c>
      <c r="AZ141" s="147">
        <f t="shared" si="61"/>
        <v>0</v>
      </c>
      <c r="BA141" s="147">
        <f t="shared" si="61"/>
        <v>0</v>
      </c>
      <c r="BB141" s="147">
        <f t="shared" si="61"/>
        <v>0</v>
      </c>
      <c r="BC141" s="147">
        <f t="shared" si="61"/>
        <v>0</v>
      </c>
      <c r="BD141" s="147">
        <f t="shared" si="61"/>
        <v>0</v>
      </c>
      <c r="BE141" s="147">
        <f t="shared" si="61"/>
        <v>0</v>
      </c>
      <c r="BF141" s="147">
        <f t="shared" si="61"/>
        <v>0</v>
      </c>
      <c r="BG141" s="147">
        <f t="shared" si="61"/>
        <v>0</v>
      </c>
      <c r="BH141" s="147">
        <f t="shared" si="61"/>
        <v>0</v>
      </c>
      <c r="BI141" s="147">
        <f t="shared" si="61"/>
        <v>0</v>
      </c>
      <c r="BJ141" s="147">
        <f t="shared" si="61"/>
        <v>0</v>
      </c>
      <c r="BK141" s="147">
        <f t="shared" si="61"/>
        <v>0</v>
      </c>
      <c r="BL141" s="147">
        <f t="shared" si="61"/>
        <v>0</v>
      </c>
      <c r="BM141" s="147">
        <f t="shared" si="61"/>
        <v>0</v>
      </c>
      <c r="BN141" s="147">
        <f t="shared" si="61"/>
        <v>0</v>
      </c>
      <c r="BO141" s="147">
        <f t="shared" si="61"/>
        <v>0</v>
      </c>
      <c r="BP141" s="147">
        <f t="shared" si="61"/>
        <v>0</v>
      </c>
      <c r="BQ141" s="147">
        <f t="shared" si="61"/>
        <v>0</v>
      </c>
      <c r="BR141" s="147">
        <f t="shared" si="61"/>
        <v>0</v>
      </c>
    </row>
    <row r="142" spans="1:70" s="147" customFormat="1" outlineLevel="1" x14ac:dyDescent="0.25">
      <c r="A142" s="211"/>
      <c r="C142" s="147" t="s">
        <v>250</v>
      </c>
      <c r="D142" s="231" t="str">
        <f>unit</f>
        <v>£</v>
      </c>
      <c r="E142" s="147">
        <f>SUMIF($K$5:$BR$5,E$5,$K142:$BR142)</f>
        <v>0</v>
      </c>
      <c r="F142" s="147">
        <f t="shared" si="59"/>
        <v>0</v>
      </c>
      <c r="G142" s="147">
        <f t="shared" si="59"/>
        <v>0</v>
      </c>
      <c r="H142" s="147">
        <f t="shared" si="59"/>
        <v>0</v>
      </c>
      <c r="I142" s="147">
        <f t="shared" si="59"/>
        <v>0</v>
      </c>
      <c r="K142" s="147">
        <f>-K135*$D130</f>
        <v>0</v>
      </c>
      <c r="L142" s="147">
        <f t="shared" ref="L142:BR142" si="62">-L135*$D130</f>
        <v>0</v>
      </c>
      <c r="M142" s="147">
        <f t="shared" si="62"/>
        <v>0</v>
      </c>
      <c r="N142" s="147">
        <f t="shared" si="62"/>
        <v>0</v>
      </c>
      <c r="O142" s="147">
        <f t="shared" si="62"/>
        <v>0</v>
      </c>
      <c r="P142" s="147">
        <f t="shared" si="62"/>
        <v>0</v>
      </c>
      <c r="Q142" s="147">
        <f t="shared" si="62"/>
        <v>0</v>
      </c>
      <c r="R142" s="147">
        <f t="shared" si="62"/>
        <v>0</v>
      </c>
      <c r="S142" s="147">
        <f t="shared" si="62"/>
        <v>0</v>
      </c>
      <c r="T142" s="147">
        <f t="shared" si="62"/>
        <v>0</v>
      </c>
      <c r="U142" s="147">
        <f t="shared" si="62"/>
        <v>0</v>
      </c>
      <c r="V142" s="147">
        <f t="shared" si="62"/>
        <v>0</v>
      </c>
      <c r="W142" s="147">
        <f t="shared" si="62"/>
        <v>0</v>
      </c>
      <c r="X142" s="147">
        <f t="shared" si="62"/>
        <v>0</v>
      </c>
      <c r="Y142" s="147">
        <f t="shared" si="62"/>
        <v>0</v>
      </c>
      <c r="Z142" s="147">
        <f t="shared" si="62"/>
        <v>0</v>
      </c>
      <c r="AA142" s="147">
        <f t="shared" si="62"/>
        <v>0</v>
      </c>
      <c r="AB142" s="147">
        <f t="shared" si="62"/>
        <v>0</v>
      </c>
      <c r="AC142" s="147">
        <f t="shared" si="62"/>
        <v>0</v>
      </c>
      <c r="AD142" s="147">
        <f t="shared" si="62"/>
        <v>0</v>
      </c>
      <c r="AE142" s="147">
        <f t="shared" si="62"/>
        <v>0</v>
      </c>
      <c r="AF142" s="147">
        <f t="shared" si="62"/>
        <v>0</v>
      </c>
      <c r="AG142" s="147">
        <f t="shared" si="62"/>
        <v>0</v>
      </c>
      <c r="AH142" s="147">
        <f t="shared" si="62"/>
        <v>0</v>
      </c>
      <c r="AI142" s="147">
        <f t="shared" si="62"/>
        <v>0</v>
      </c>
      <c r="AJ142" s="147">
        <f t="shared" si="62"/>
        <v>0</v>
      </c>
      <c r="AK142" s="147">
        <f t="shared" si="62"/>
        <v>0</v>
      </c>
      <c r="AL142" s="147">
        <f t="shared" si="62"/>
        <v>0</v>
      </c>
      <c r="AM142" s="147">
        <f t="shared" si="62"/>
        <v>0</v>
      </c>
      <c r="AN142" s="147">
        <f t="shared" si="62"/>
        <v>0</v>
      </c>
      <c r="AO142" s="147">
        <f t="shared" si="62"/>
        <v>0</v>
      </c>
      <c r="AP142" s="147">
        <f t="shared" si="62"/>
        <v>0</v>
      </c>
      <c r="AQ142" s="147">
        <f t="shared" si="62"/>
        <v>0</v>
      </c>
      <c r="AR142" s="147">
        <f t="shared" si="62"/>
        <v>0</v>
      </c>
      <c r="AS142" s="147">
        <f t="shared" si="62"/>
        <v>0</v>
      </c>
      <c r="AT142" s="147">
        <f t="shared" si="62"/>
        <v>0</v>
      </c>
      <c r="AU142" s="147">
        <f t="shared" si="62"/>
        <v>0</v>
      </c>
      <c r="AV142" s="147">
        <f t="shared" si="62"/>
        <v>0</v>
      </c>
      <c r="AW142" s="147">
        <f t="shared" si="62"/>
        <v>0</v>
      </c>
      <c r="AX142" s="147">
        <f t="shared" si="62"/>
        <v>0</v>
      </c>
      <c r="AY142" s="147">
        <f t="shared" si="62"/>
        <v>0</v>
      </c>
      <c r="AZ142" s="147">
        <f t="shared" si="62"/>
        <v>0</v>
      </c>
      <c r="BA142" s="147">
        <f t="shared" si="62"/>
        <v>0</v>
      </c>
      <c r="BB142" s="147">
        <f t="shared" si="62"/>
        <v>0</v>
      </c>
      <c r="BC142" s="147">
        <f t="shared" si="62"/>
        <v>0</v>
      </c>
      <c r="BD142" s="147">
        <f t="shared" si="62"/>
        <v>0</v>
      </c>
      <c r="BE142" s="147">
        <f t="shared" si="62"/>
        <v>0</v>
      </c>
      <c r="BF142" s="147">
        <f t="shared" si="62"/>
        <v>0</v>
      </c>
      <c r="BG142" s="147">
        <f t="shared" si="62"/>
        <v>0</v>
      </c>
      <c r="BH142" s="147">
        <f t="shared" si="62"/>
        <v>0</v>
      </c>
      <c r="BI142" s="147">
        <f t="shared" si="62"/>
        <v>0</v>
      </c>
      <c r="BJ142" s="147">
        <f t="shared" si="62"/>
        <v>0</v>
      </c>
      <c r="BK142" s="147">
        <f t="shared" si="62"/>
        <v>0</v>
      </c>
      <c r="BL142" s="147">
        <f t="shared" si="62"/>
        <v>0</v>
      </c>
      <c r="BM142" s="147">
        <f t="shared" si="62"/>
        <v>0</v>
      </c>
      <c r="BN142" s="147">
        <f t="shared" si="62"/>
        <v>0</v>
      </c>
      <c r="BO142" s="147">
        <f t="shared" si="62"/>
        <v>0</v>
      </c>
      <c r="BP142" s="147">
        <f t="shared" si="62"/>
        <v>0</v>
      </c>
      <c r="BQ142" s="147">
        <f t="shared" si="62"/>
        <v>0</v>
      </c>
      <c r="BR142" s="147">
        <f t="shared" si="62"/>
        <v>0</v>
      </c>
    </row>
    <row r="143" spans="1:70" s="147" customFormat="1" outlineLevel="1" x14ac:dyDescent="0.25">
      <c r="A143" s="211"/>
      <c r="C143" s="147" t="s">
        <v>230</v>
      </c>
      <c r="D143" s="231" t="str">
        <f>unit</f>
        <v>£</v>
      </c>
      <c r="E143" s="230">
        <f>SUM(E140:E142)</f>
        <v>0</v>
      </c>
      <c r="F143" s="230">
        <f t="shared" ref="F143:I143" si="63">SUM(F140:F142)</f>
        <v>0</v>
      </c>
      <c r="G143" s="230">
        <f t="shared" si="63"/>
        <v>0</v>
      </c>
      <c r="H143" s="230">
        <f t="shared" si="63"/>
        <v>0</v>
      </c>
      <c r="I143" s="230">
        <f t="shared" si="63"/>
        <v>0</v>
      </c>
      <c r="J143" s="224"/>
      <c r="K143" s="214">
        <f t="shared" ref="K143:BR143" si="64">SUM(K140:K142)</f>
        <v>0</v>
      </c>
      <c r="L143" s="214">
        <f t="shared" si="64"/>
        <v>0</v>
      </c>
      <c r="M143" s="214">
        <f t="shared" si="64"/>
        <v>0</v>
      </c>
      <c r="N143" s="214">
        <f t="shared" si="64"/>
        <v>0</v>
      </c>
      <c r="O143" s="214">
        <f t="shared" si="64"/>
        <v>0</v>
      </c>
      <c r="P143" s="214">
        <f t="shared" si="64"/>
        <v>0</v>
      </c>
      <c r="Q143" s="214">
        <f t="shared" si="64"/>
        <v>0</v>
      </c>
      <c r="R143" s="214">
        <f t="shared" si="64"/>
        <v>0</v>
      </c>
      <c r="S143" s="214">
        <f t="shared" si="64"/>
        <v>0</v>
      </c>
      <c r="T143" s="214">
        <f t="shared" si="64"/>
        <v>0</v>
      </c>
      <c r="U143" s="214">
        <f t="shared" si="64"/>
        <v>0</v>
      </c>
      <c r="V143" s="214">
        <f t="shared" si="64"/>
        <v>0</v>
      </c>
      <c r="W143" s="214">
        <f t="shared" si="64"/>
        <v>0</v>
      </c>
      <c r="X143" s="214">
        <f t="shared" si="64"/>
        <v>0</v>
      </c>
      <c r="Y143" s="214">
        <f t="shared" si="64"/>
        <v>0</v>
      </c>
      <c r="Z143" s="214">
        <f t="shared" si="64"/>
        <v>0</v>
      </c>
      <c r="AA143" s="214">
        <f t="shared" si="64"/>
        <v>0</v>
      </c>
      <c r="AB143" s="214">
        <f t="shared" si="64"/>
        <v>0</v>
      </c>
      <c r="AC143" s="214">
        <f t="shared" si="64"/>
        <v>0</v>
      </c>
      <c r="AD143" s="214">
        <f t="shared" si="64"/>
        <v>0</v>
      </c>
      <c r="AE143" s="214">
        <f t="shared" si="64"/>
        <v>0</v>
      </c>
      <c r="AF143" s="214">
        <f t="shared" si="64"/>
        <v>0</v>
      </c>
      <c r="AG143" s="214">
        <f t="shared" si="64"/>
        <v>0</v>
      </c>
      <c r="AH143" s="214">
        <f t="shared" si="64"/>
        <v>0</v>
      </c>
      <c r="AI143" s="214">
        <f t="shared" si="64"/>
        <v>0</v>
      </c>
      <c r="AJ143" s="214">
        <f t="shared" si="64"/>
        <v>0</v>
      </c>
      <c r="AK143" s="214">
        <f t="shared" si="64"/>
        <v>0</v>
      </c>
      <c r="AL143" s="214">
        <f t="shared" si="64"/>
        <v>0</v>
      </c>
      <c r="AM143" s="214">
        <f t="shared" si="64"/>
        <v>0</v>
      </c>
      <c r="AN143" s="214">
        <f t="shared" si="64"/>
        <v>0</v>
      </c>
      <c r="AO143" s="214">
        <f t="shared" si="64"/>
        <v>0</v>
      </c>
      <c r="AP143" s="214">
        <f t="shared" si="64"/>
        <v>0</v>
      </c>
      <c r="AQ143" s="214">
        <f t="shared" si="64"/>
        <v>0</v>
      </c>
      <c r="AR143" s="214">
        <f t="shared" si="64"/>
        <v>0</v>
      </c>
      <c r="AS143" s="214">
        <f t="shared" si="64"/>
        <v>0</v>
      </c>
      <c r="AT143" s="214">
        <f t="shared" si="64"/>
        <v>0</v>
      </c>
      <c r="AU143" s="214">
        <f t="shared" si="64"/>
        <v>0</v>
      </c>
      <c r="AV143" s="214">
        <f t="shared" si="64"/>
        <v>0</v>
      </c>
      <c r="AW143" s="214">
        <f t="shared" si="64"/>
        <v>0</v>
      </c>
      <c r="AX143" s="214">
        <f t="shared" si="64"/>
        <v>0</v>
      </c>
      <c r="AY143" s="214">
        <f t="shared" si="64"/>
        <v>0</v>
      </c>
      <c r="AZ143" s="214">
        <f t="shared" si="64"/>
        <v>0</v>
      </c>
      <c r="BA143" s="214">
        <f t="shared" si="64"/>
        <v>0</v>
      </c>
      <c r="BB143" s="214">
        <f t="shared" si="64"/>
        <v>0</v>
      </c>
      <c r="BC143" s="214">
        <f t="shared" si="64"/>
        <v>0</v>
      </c>
      <c r="BD143" s="214">
        <f t="shared" si="64"/>
        <v>0</v>
      </c>
      <c r="BE143" s="214">
        <f t="shared" si="64"/>
        <v>0</v>
      </c>
      <c r="BF143" s="214">
        <f t="shared" si="64"/>
        <v>0</v>
      </c>
      <c r="BG143" s="214">
        <f t="shared" si="64"/>
        <v>0</v>
      </c>
      <c r="BH143" s="214">
        <f t="shared" si="64"/>
        <v>0</v>
      </c>
      <c r="BI143" s="214">
        <f t="shared" si="64"/>
        <v>0</v>
      </c>
      <c r="BJ143" s="214">
        <f t="shared" si="64"/>
        <v>0</v>
      </c>
      <c r="BK143" s="214">
        <f t="shared" si="64"/>
        <v>0</v>
      </c>
      <c r="BL143" s="214">
        <f t="shared" si="64"/>
        <v>0</v>
      </c>
      <c r="BM143" s="214">
        <f t="shared" si="64"/>
        <v>0</v>
      </c>
      <c r="BN143" s="214">
        <f t="shared" si="64"/>
        <v>0</v>
      </c>
      <c r="BO143" s="214">
        <f t="shared" si="64"/>
        <v>0</v>
      </c>
      <c r="BP143" s="214">
        <f t="shared" si="64"/>
        <v>0</v>
      </c>
      <c r="BQ143" s="214">
        <f t="shared" si="64"/>
        <v>0</v>
      </c>
      <c r="BR143" s="214">
        <f t="shared" si="64"/>
        <v>0</v>
      </c>
    </row>
    <row r="144" spans="1:70" outlineLevel="1" x14ac:dyDescent="0.25">
      <c r="E144" s="147"/>
      <c r="F144" s="212"/>
      <c r="G144" s="147"/>
      <c r="H144" s="147"/>
      <c r="I144" s="147"/>
    </row>
    <row r="146" spans="1:70" s="166" customFormat="1" ht="15.6" x14ac:dyDescent="0.3">
      <c r="A146" s="166">
        <f>Header1</f>
        <v>7</v>
      </c>
      <c r="B146" s="166" t="str">
        <f>KeyInputs!K85</f>
        <v>Grant 5</v>
      </c>
    </row>
    <row r="147" spans="1:70" outlineLevel="1" x14ac:dyDescent="0.25"/>
    <row r="148" spans="1:70" outlineLevel="1" x14ac:dyDescent="0.25">
      <c r="C148" s="217" t="e">
        <f>#REF!</f>
        <v>#REF!</v>
      </c>
      <c r="D148" s="220">
        <f>KeyInputs!K86</f>
        <v>0</v>
      </c>
    </row>
    <row r="149" spans="1:70" outlineLevel="1" x14ac:dyDescent="0.25">
      <c r="C149" s="217" t="str">
        <f>C23</f>
        <v>Drawdown date</v>
      </c>
      <c r="D149" s="222">
        <f>KeyInputs!K87</f>
        <v>42186</v>
      </c>
    </row>
    <row r="150" spans="1:70" outlineLevel="1" x14ac:dyDescent="0.25">
      <c r="C150" s="217" t="str">
        <f t="shared" ref="C150" si="65">C24</f>
        <v>Grant term (years)</v>
      </c>
      <c r="D150" s="219">
        <f>KeyInputs!K88</f>
        <v>5</v>
      </c>
    </row>
    <row r="151" spans="1:70" outlineLevel="1" x14ac:dyDescent="0.25"/>
    <row r="152" spans="1:70" outlineLevel="1" x14ac:dyDescent="0.25">
      <c r="C152" s="57" t="s">
        <v>425</v>
      </c>
      <c r="D152" s="221">
        <f>EDATE(D149,1)-1</f>
        <v>42216</v>
      </c>
    </row>
    <row r="153" spans="1:70" outlineLevel="1" x14ac:dyDescent="0.25">
      <c r="C153" s="57" t="s">
        <v>246</v>
      </c>
      <c r="D153" s="57">
        <f>IFERROR(INDEX($K$6:$BR$6,0,MATCH($D149,$K$7:$BR$7,0)),0)</f>
        <v>7</v>
      </c>
    </row>
    <row r="154" spans="1:70" outlineLevel="1" x14ac:dyDescent="0.25">
      <c r="C154" s="57" t="s">
        <v>424</v>
      </c>
      <c r="D154" s="57">
        <f>IFERROR(INDEX($K$6:$BR$6,0,MATCH($D152,$K$8:$BR$8,0)),0)</f>
        <v>7</v>
      </c>
    </row>
    <row r="155" spans="1:70" outlineLevel="1" x14ac:dyDescent="0.25">
      <c r="C155" s="57" t="s">
        <v>426</v>
      </c>
      <c r="D155" s="221">
        <f>EDATE($D$152,(D150-1)*12)</f>
        <v>43677</v>
      </c>
    </row>
    <row r="156" spans="1:70" outlineLevel="1" x14ac:dyDescent="0.25">
      <c r="C156" s="57" t="s">
        <v>427</v>
      </c>
      <c r="D156" s="57">
        <f>IFERROR(D148/D150,0)</f>
        <v>0</v>
      </c>
    </row>
    <row r="157" spans="1:70" outlineLevel="1" x14ac:dyDescent="0.25"/>
    <row r="158" spans="1:70" s="143" customFormat="1" ht="13.8" outlineLevel="1" x14ac:dyDescent="0.25">
      <c r="B158" s="143" t="str">
        <f>Header2</f>
        <v>7.1</v>
      </c>
      <c r="C158" s="143" t="s">
        <v>254</v>
      </c>
    </row>
    <row r="159" spans="1:70" outlineLevel="1" x14ac:dyDescent="0.25"/>
    <row r="160" spans="1:70" outlineLevel="1" x14ac:dyDescent="0.25">
      <c r="C160" s="147" t="s">
        <v>255</v>
      </c>
      <c r="K160" s="57">
        <f>(K$7&lt;=$D149)*(K$8&gt;=$D149)</f>
        <v>0</v>
      </c>
      <c r="L160" s="57">
        <f t="shared" ref="L160:BR160" si="66">(L$7&lt;=$D149)*(L$8&gt;=$D149)</f>
        <v>0</v>
      </c>
      <c r="M160" s="57">
        <f t="shared" si="66"/>
        <v>0</v>
      </c>
      <c r="N160" s="57">
        <f t="shared" si="66"/>
        <v>0</v>
      </c>
      <c r="O160" s="57">
        <f t="shared" si="66"/>
        <v>0</v>
      </c>
      <c r="P160" s="57">
        <f t="shared" si="66"/>
        <v>0</v>
      </c>
      <c r="Q160" s="57">
        <f t="shared" si="66"/>
        <v>1</v>
      </c>
      <c r="R160" s="57">
        <f t="shared" si="66"/>
        <v>0</v>
      </c>
      <c r="S160" s="57">
        <f t="shared" si="66"/>
        <v>0</v>
      </c>
      <c r="T160" s="57">
        <f t="shared" si="66"/>
        <v>0</v>
      </c>
      <c r="U160" s="57">
        <f t="shared" si="66"/>
        <v>0</v>
      </c>
      <c r="V160" s="57">
        <f t="shared" si="66"/>
        <v>0</v>
      </c>
      <c r="W160" s="57">
        <f t="shared" si="66"/>
        <v>0</v>
      </c>
      <c r="X160" s="57">
        <f t="shared" si="66"/>
        <v>0</v>
      </c>
      <c r="Y160" s="57">
        <f t="shared" si="66"/>
        <v>0</v>
      </c>
      <c r="Z160" s="57">
        <f t="shared" si="66"/>
        <v>0</v>
      </c>
      <c r="AA160" s="57">
        <f t="shared" si="66"/>
        <v>0</v>
      </c>
      <c r="AB160" s="57">
        <f t="shared" si="66"/>
        <v>0</v>
      </c>
      <c r="AC160" s="57">
        <f t="shared" si="66"/>
        <v>0</v>
      </c>
      <c r="AD160" s="57">
        <f t="shared" si="66"/>
        <v>0</v>
      </c>
      <c r="AE160" s="57">
        <f t="shared" si="66"/>
        <v>0</v>
      </c>
      <c r="AF160" s="57">
        <f t="shared" si="66"/>
        <v>0</v>
      </c>
      <c r="AG160" s="57">
        <f t="shared" si="66"/>
        <v>0</v>
      </c>
      <c r="AH160" s="57">
        <f t="shared" si="66"/>
        <v>0</v>
      </c>
      <c r="AI160" s="57">
        <f t="shared" si="66"/>
        <v>0</v>
      </c>
      <c r="AJ160" s="57">
        <f t="shared" si="66"/>
        <v>0</v>
      </c>
      <c r="AK160" s="57">
        <f t="shared" si="66"/>
        <v>0</v>
      </c>
      <c r="AL160" s="57">
        <f t="shared" si="66"/>
        <v>0</v>
      </c>
      <c r="AM160" s="57">
        <f t="shared" si="66"/>
        <v>0</v>
      </c>
      <c r="AN160" s="57">
        <f t="shared" si="66"/>
        <v>0</v>
      </c>
      <c r="AO160" s="57">
        <f t="shared" si="66"/>
        <v>0</v>
      </c>
      <c r="AP160" s="57">
        <f t="shared" si="66"/>
        <v>0</v>
      </c>
      <c r="AQ160" s="57">
        <f t="shared" si="66"/>
        <v>0</v>
      </c>
      <c r="AR160" s="57">
        <f t="shared" si="66"/>
        <v>0</v>
      </c>
      <c r="AS160" s="57">
        <f t="shared" si="66"/>
        <v>0</v>
      </c>
      <c r="AT160" s="57">
        <f t="shared" si="66"/>
        <v>0</v>
      </c>
      <c r="AU160" s="57">
        <f t="shared" si="66"/>
        <v>0</v>
      </c>
      <c r="AV160" s="57">
        <f t="shared" si="66"/>
        <v>0</v>
      </c>
      <c r="AW160" s="57">
        <f t="shared" si="66"/>
        <v>0</v>
      </c>
      <c r="AX160" s="57">
        <f t="shared" si="66"/>
        <v>0</v>
      </c>
      <c r="AY160" s="57">
        <f t="shared" si="66"/>
        <v>0</v>
      </c>
      <c r="AZ160" s="57">
        <f t="shared" si="66"/>
        <v>0</v>
      </c>
      <c r="BA160" s="57">
        <f t="shared" si="66"/>
        <v>0</v>
      </c>
      <c r="BB160" s="57">
        <f t="shared" si="66"/>
        <v>0</v>
      </c>
      <c r="BC160" s="57">
        <f t="shared" si="66"/>
        <v>0</v>
      </c>
      <c r="BD160" s="57">
        <f t="shared" si="66"/>
        <v>0</v>
      </c>
      <c r="BE160" s="57">
        <f t="shared" si="66"/>
        <v>0</v>
      </c>
      <c r="BF160" s="57">
        <f t="shared" si="66"/>
        <v>0</v>
      </c>
      <c r="BG160" s="57">
        <f t="shared" si="66"/>
        <v>0</v>
      </c>
      <c r="BH160" s="57">
        <f t="shared" si="66"/>
        <v>0</v>
      </c>
      <c r="BI160" s="57">
        <f t="shared" si="66"/>
        <v>0</v>
      </c>
      <c r="BJ160" s="57">
        <f t="shared" si="66"/>
        <v>0</v>
      </c>
      <c r="BK160" s="57">
        <f t="shared" si="66"/>
        <v>0</v>
      </c>
      <c r="BL160" s="57">
        <f t="shared" si="66"/>
        <v>0</v>
      </c>
      <c r="BM160" s="57">
        <f t="shared" si="66"/>
        <v>0</v>
      </c>
      <c r="BN160" s="57">
        <f t="shared" si="66"/>
        <v>0</v>
      </c>
      <c r="BO160" s="57">
        <f t="shared" si="66"/>
        <v>0</v>
      </c>
      <c r="BP160" s="57">
        <f t="shared" si="66"/>
        <v>0</v>
      </c>
      <c r="BQ160" s="57">
        <f t="shared" si="66"/>
        <v>0</v>
      </c>
      <c r="BR160" s="57">
        <f t="shared" si="66"/>
        <v>0</v>
      </c>
    </row>
    <row r="161" spans="1:70" outlineLevel="1" x14ac:dyDescent="0.25">
      <c r="C161" s="147" t="s">
        <v>256</v>
      </c>
      <c r="K161" s="57">
        <f t="shared" ref="K161:AP161" si="67">IF(K6&lt;$D$154,0,IF(K$8&gt;$D155,0,IF(K$7=$D$152,1,IF(MOD((K$6-$D$154),12)=0,1,0))))</f>
        <v>0</v>
      </c>
      <c r="L161" s="57">
        <f t="shared" si="67"/>
        <v>0</v>
      </c>
      <c r="M161" s="57">
        <f t="shared" si="67"/>
        <v>0</v>
      </c>
      <c r="N161" s="57">
        <f t="shared" si="67"/>
        <v>0</v>
      </c>
      <c r="O161" s="57">
        <f t="shared" si="67"/>
        <v>0</v>
      </c>
      <c r="P161" s="57">
        <f t="shared" si="67"/>
        <v>0</v>
      </c>
      <c r="Q161" s="57">
        <f t="shared" si="67"/>
        <v>1</v>
      </c>
      <c r="R161" s="57">
        <f t="shared" si="67"/>
        <v>0</v>
      </c>
      <c r="S161" s="57">
        <f t="shared" si="67"/>
        <v>0</v>
      </c>
      <c r="T161" s="57">
        <f t="shared" si="67"/>
        <v>0</v>
      </c>
      <c r="U161" s="57">
        <f t="shared" si="67"/>
        <v>0</v>
      </c>
      <c r="V161" s="57">
        <f t="shared" si="67"/>
        <v>0</v>
      </c>
      <c r="W161" s="57">
        <f t="shared" si="67"/>
        <v>0</v>
      </c>
      <c r="X161" s="57">
        <f t="shared" si="67"/>
        <v>0</v>
      </c>
      <c r="Y161" s="57">
        <f t="shared" si="67"/>
        <v>0</v>
      </c>
      <c r="Z161" s="57">
        <f t="shared" si="67"/>
        <v>0</v>
      </c>
      <c r="AA161" s="57">
        <f t="shared" si="67"/>
        <v>0</v>
      </c>
      <c r="AB161" s="57">
        <f t="shared" si="67"/>
        <v>0</v>
      </c>
      <c r="AC161" s="57">
        <f t="shared" si="67"/>
        <v>1</v>
      </c>
      <c r="AD161" s="57">
        <f t="shared" si="67"/>
        <v>0</v>
      </c>
      <c r="AE161" s="57">
        <f t="shared" si="67"/>
        <v>0</v>
      </c>
      <c r="AF161" s="57">
        <f t="shared" si="67"/>
        <v>0</v>
      </c>
      <c r="AG161" s="57">
        <f t="shared" si="67"/>
        <v>0</v>
      </c>
      <c r="AH161" s="57">
        <f t="shared" si="67"/>
        <v>0</v>
      </c>
      <c r="AI161" s="57">
        <f t="shared" si="67"/>
        <v>0</v>
      </c>
      <c r="AJ161" s="57">
        <f t="shared" si="67"/>
        <v>0</v>
      </c>
      <c r="AK161" s="57">
        <f t="shared" si="67"/>
        <v>0</v>
      </c>
      <c r="AL161" s="57">
        <f t="shared" si="67"/>
        <v>0</v>
      </c>
      <c r="AM161" s="57">
        <f t="shared" si="67"/>
        <v>0</v>
      </c>
      <c r="AN161" s="57">
        <f t="shared" si="67"/>
        <v>0</v>
      </c>
      <c r="AO161" s="57">
        <f t="shared" si="67"/>
        <v>1</v>
      </c>
      <c r="AP161" s="57">
        <f t="shared" si="67"/>
        <v>0</v>
      </c>
      <c r="AQ161" s="57">
        <f t="shared" ref="AQ161:BR161" si="68">IF(AQ6&lt;$D$154,0,IF(AQ$8&gt;$D155,0,IF(AQ$7=$D$152,1,IF(MOD((AQ$6-$D$154),12)=0,1,0))))</f>
        <v>0</v>
      </c>
      <c r="AR161" s="57">
        <f t="shared" si="68"/>
        <v>0</v>
      </c>
      <c r="AS161" s="57">
        <f t="shared" si="68"/>
        <v>0</v>
      </c>
      <c r="AT161" s="57">
        <f t="shared" si="68"/>
        <v>0</v>
      </c>
      <c r="AU161" s="57">
        <f t="shared" si="68"/>
        <v>0</v>
      </c>
      <c r="AV161" s="57">
        <f t="shared" si="68"/>
        <v>0</v>
      </c>
      <c r="AW161" s="57">
        <f t="shared" si="68"/>
        <v>0</v>
      </c>
      <c r="AX161" s="57">
        <f t="shared" si="68"/>
        <v>0</v>
      </c>
      <c r="AY161" s="57">
        <f t="shared" si="68"/>
        <v>0</v>
      </c>
      <c r="AZ161" s="57">
        <f t="shared" si="68"/>
        <v>0</v>
      </c>
      <c r="BA161" s="57">
        <f t="shared" si="68"/>
        <v>1</v>
      </c>
      <c r="BB161" s="57">
        <f t="shared" si="68"/>
        <v>0</v>
      </c>
      <c r="BC161" s="57">
        <f t="shared" si="68"/>
        <v>0</v>
      </c>
      <c r="BD161" s="57">
        <f t="shared" si="68"/>
        <v>0</v>
      </c>
      <c r="BE161" s="57">
        <f t="shared" si="68"/>
        <v>0</v>
      </c>
      <c r="BF161" s="57">
        <f t="shared" si="68"/>
        <v>0</v>
      </c>
      <c r="BG161" s="57">
        <f t="shared" si="68"/>
        <v>0</v>
      </c>
      <c r="BH161" s="57">
        <f t="shared" si="68"/>
        <v>0</v>
      </c>
      <c r="BI161" s="57">
        <f t="shared" si="68"/>
        <v>0</v>
      </c>
      <c r="BJ161" s="57">
        <f t="shared" si="68"/>
        <v>0</v>
      </c>
      <c r="BK161" s="57">
        <f t="shared" si="68"/>
        <v>0</v>
      </c>
      <c r="BL161" s="57">
        <f t="shared" si="68"/>
        <v>0</v>
      </c>
      <c r="BM161" s="57">
        <f t="shared" si="68"/>
        <v>1</v>
      </c>
      <c r="BN161" s="57">
        <f t="shared" si="68"/>
        <v>0</v>
      </c>
      <c r="BO161" s="57">
        <f t="shared" si="68"/>
        <v>0</v>
      </c>
      <c r="BP161" s="57">
        <f t="shared" si="68"/>
        <v>0</v>
      </c>
      <c r="BQ161" s="57">
        <f t="shared" si="68"/>
        <v>0</v>
      </c>
      <c r="BR161" s="57">
        <f t="shared" si="68"/>
        <v>0</v>
      </c>
    </row>
    <row r="162" spans="1:70" outlineLevel="1" x14ac:dyDescent="0.25"/>
    <row r="163" spans="1:70" outlineLevel="1" x14ac:dyDescent="0.25"/>
    <row r="164" spans="1:70" s="145" customFormat="1" ht="13.8" outlineLevel="1" x14ac:dyDescent="0.25">
      <c r="B164" s="145" t="str">
        <f>Header2</f>
        <v>7.2</v>
      </c>
      <c r="C164" s="145" t="s">
        <v>261</v>
      </c>
    </row>
    <row r="165" spans="1:70" s="147" customFormat="1" outlineLevel="1" x14ac:dyDescent="0.25">
      <c r="A165" s="211"/>
      <c r="F165" s="212"/>
    </row>
    <row r="166" spans="1:70" s="147" customFormat="1" outlineLevel="1" x14ac:dyDescent="0.25">
      <c r="A166" s="211"/>
      <c r="C166" s="147" t="s">
        <v>228</v>
      </c>
      <c r="D166" s="231" t="str">
        <f>unit</f>
        <v>£</v>
      </c>
      <c r="E166" s="147">
        <f>INDEX($K166:$BR166,0,MATCH(E$7,$K$7:$BR$7,0))</f>
        <v>0</v>
      </c>
      <c r="F166" s="147">
        <f t="shared" ref="F166:I166" si="69">INDEX($K166:$BR166,0,MATCH(F$7,$K$7:$BR$7,0))</f>
        <v>0</v>
      </c>
      <c r="G166" s="147">
        <f t="shared" si="69"/>
        <v>0</v>
      </c>
      <c r="H166" s="147">
        <f t="shared" si="69"/>
        <v>0</v>
      </c>
      <c r="I166" s="147">
        <f t="shared" si="69"/>
        <v>0</v>
      </c>
      <c r="K166" s="213">
        <v>0</v>
      </c>
      <c r="L166" s="223">
        <f t="shared" ref="L166:BR166" si="70">K169</f>
        <v>0</v>
      </c>
      <c r="M166" s="223">
        <f t="shared" si="70"/>
        <v>0</v>
      </c>
      <c r="N166" s="223">
        <f t="shared" si="70"/>
        <v>0</v>
      </c>
      <c r="O166" s="223">
        <f t="shared" si="70"/>
        <v>0</v>
      </c>
      <c r="P166" s="223">
        <f t="shared" si="70"/>
        <v>0</v>
      </c>
      <c r="Q166" s="223">
        <f t="shared" si="70"/>
        <v>0</v>
      </c>
      <c r="R166" s="223">
        <f t="shared" si="70"/>
        <v>0</v>
      </c>
      <c r="S166" s="223">
        <f t="shared" si="70"/>
        <v>0</v>
      </c>
      <c r="T166" s="223">
        <f t="shared" si="70"/>
        <v>0</v>
      </c>
      <c r="U166" s="223">
        <f t="shared" si="70"/>
        <v>0</v>
      </c>
      <c r="V166" s="223">
        <f t="shared" si="70"/>
        <v>0</v>
      </c>
      <c r="W166" s="223">
        <f t="shared" si="70"/>
        <v>0</v>
      </c>
      <c r="X166" s="223">
        <f t="shared" si="70"/>
        <v>0</v>
      </c>
      <c r="Y166" s="223">
        <f t="shared" si="70"/>
        <v>0</v>
      </c>
      <c r="Z166" s="223">
        <f t="shared" si="70"/>
        <v>0</v>
      </c>
      <c r="AA166" s="223">
        <f t="shared" si="70"/>
        <v>0</v>
      </c>
      <c r="AB166" s="223">
        <f t="shared" si="70"/>
        <v>0</v>
      </c>
      <c r="AC166" s="223">
        <f t="shared" si="70"/>
        <v>0</v>
      </c>
      <c r="AD166" s="223">
        <f t="shared" si="70"/>
        <v>0</v>
      </c>
      <c r="AE166" s="223">
        <f t="shared" si="70"/>
        <v>0</v>
      </c>
      <c r="AF166" s="223">
        <f t="shared" si="70"/>
        <v>0</v>
      </c>
      <c r="AG166" s="223">
        <f t="shared" si="70"/>
        <v>0</v>
      </c>
      <c r="AH166" s="223">
        <f t="shared" si="70"/>
        <v>0</v>
      </c>
      <c r="AI166" s="223">
        <f t="shared" si="70"/>
        <v>0</v>
      </c>
      <c r="AJ166" s="223">
        <f t="shared" si="70"/>
        <v>0</v>
      </c>
      <c r="AK166" s="223">
        <f t="shared" si="70"/>
        <v>0</v>
      </c>
      <c r="AL166" s="223">
        <f t="shared" si="70"/>
        <v>0</v>
      </c>
      <c r="AM166" s="223">
        <f t="shared" si="70"/>
        <v>0</v>
      </c>
      <c r="AN166" s="223">
        <f t="shared" si="70"/>
        <v>0</v>
      </c>
      <c r="AO166" s="223">
        <f t="shared" si="70"/>
        <v>0</v>
      </c>
      <c r="AP166" s="223">
        <f t="shared" si="70"/>
        <v>0</v>
      </c>
      <c r="AQ166" s="223">
        <f t="shared" si="70"/>
        <v>0</v>
      </c>
      <c r="AR166" s="223">
        <f t="shared" si="70"/>
        <v>0</v>
      </c>
      <c r="AS166" s="223">
        <f t="shared" si="70"/>
        <v>0</v>
      </c>
      <c r="AT166" s="223">
        <f t="shared" si="70"/>
        <v>0</v>
      </c>
      <c r="AU166" s="223">
        <f t="shared" si="70"/>
        <v>0</v>
      </c>
      <c r="AV166" s="223">
        <f t="shared" si="70"/>
        <v>0</v>
      </c>
      <c r="AW166" s="223">
        <f t="shared" si="70"/>
        <v>0</v>
      </c>
      <c r="AX166" s="223">
        <f t="shared" si="70"/>
        <v>0</v>
      </c>
      <c r="AY166" s="223">
        <f t="shared" si="70"/>
        <v>0</v>
      </c>
      <c r="AZ166" s="223">
        <f t="shared" si="70"/>
        <v>0</v>
      </c>
      <c r="BA166" s="223">
        <f t="shared" si="70"/>
        <v>0</v>
      </c>
      <c r="BB166" s="223">
        <f t="shared" si="70"/>
        <v>0</v>
      </c>
      <c r="BC166" s="223">
        <f t="shared" si="70"/>
        <v>0</v>
      </c>
      <c r="BD166" s="223">
        <f t="shared" si="70"/>
        <v>0</v>
      </c>
      <c r="BE166" s="223">
        <f t="shared" si="70"/>
        <v>0</v>
      </c>
      <c r="BF166" s="223">
        <f t="shared" si="70"/>
        <v>0</v>
      </c>
      <c r="BG166" s="223">
        <f t="shared" si="70"/>
        <v>0</v>
      </c>
      <c r="BH166" s="223">
        <f t="shared" si="70"/>
        <v>0</v>
      </c>
      <c r="BI166" s="223">
        <f t="shared" si="70"/>
        <v>0</v>
      </c>
      <c r="BJ166" s="223">
        <f t="shared" si="70"/>
        <v>0</v>
      </c>
      <c r="BK166" s="223">
        <f t="shared" si="70"/>
        <v>0</v>
      </c>
      <c r="BL166" s="223">
        <f t="shared" si="70"/>
        <v>0</v>
      </c>
      <c r="BM166" s="223">
        <f t="shared" si="70"/>
        <v>0</v>
      </c>
      <c r="BN166" s="223">
        <f t="shared" si="70"/>
        <v>0</v>
      </c>
      <c r="BO166" s="223">
        <f t="shared" si="70"/>
        <v>0</v>
      </c>
      <c r="BP166" s="223">
        <f t="shared" si="70"/>
        <v>0</v>
      </c>
      <c r="BQ166" s="223">
        <f t="shared" si="70"/>
        <v>0</v>
      </c>
      <c r="BR166" s="223">
        <f t="shared" si="70"/>
        <v>0</v>
      </c>
    </row>
    <row r="167" spans="1:70" s="147" customFormat="1" outlineLevel="1" x14ac:dyDescent="0.25">
      <c r="A167" s="211"/>
      <c r="C167" s="147" t="s">
        <v>249</v>
      </c>
      <c r="D167" s="231" t="str">
        <f>unit</f>
        <v>£</v>
      </c>
      <c r="E167" s="147">
        <f>SUMIF($K$5:$BR$5,E$5,$K167:$BR167)</f>
        <v>0</v>
      </c>
      <c r="F167" s="147">
        <f t="shared" ref="F167:I168" si="71">SUMIF($K$5:$BR$5,F$5,$K167:$BR167)</f>
        <v>0</v>
      </c>
      <c r="G167" s="147">
        <f t="shared" si="71"/>
        <v>0</v>
      </c>
      <c r="H167" s="147">
        <f t="shared" si="71"/>
        <v>0</v>
      </c>
      <c r="I167" s="147">
        <f t="shared" si="71"/>
        <v>0</v>
      </c>
      <c r="K167" s="147">
        <f t="shared" ref="K167:AP167" si="72">$D148*K160</f>
        <v>0</v>
      </c>
      <c r="L167" s="147">
        <f t="shared" si="72"/>
        <v>0</v>
      </c>
      <c r="M167" s="147">
        <f t="shared" si="72"/>
        <v>0</v>
      </c>
      <c r="N167" s="147">
        <f t="shared" si="72"/>
        <v>0</v>
      </c>
      <c r="O167" s="147">
        <f t="shared" si="72"/>
        <v>0</v>
      </c>
      <c r="P167" s="147">
        <f t="shared" si="72"/>
        <v>0</v>
      </c>
      <c r="Q167" s="147">
        <f t="shared" si="72"/>
        <v>0</v>
      </c>
      <c r="R167" s="147">
        <f t="shared" si="72"/>
        <v>0</v>
      </c>
      <c r="S167" s="147">
        <f t="shared" si="72"/>
        <v>0</v>
      </c>
      <c r="T167" s="147">
        <f t="shared" si="72"/>
        <v>0</v>
      </c>
      <c r="U167" s="147">
        <f t="shared" si="72"/>
        <v>0</v>
      </c>
      <c r="V167" s="147">
        <f t="shared" si="72"/>
        <v>0</v>
      </c>
      <c r="W167" s="147">
        <f t="shared" si="72"/>
        <v>0</v>
      </c>
      <c r="X167" s="147">
        <f t="shared" si="72"/>
        <v>0</v>
      </c>
      <c r="Y167" s="147">
        <f t="shared" si="72"/>
        <v>0</v>
      </c>
      <c r="Z167" s="147">
        <f t="shared" si="72"/>
        <v>0</v>
      </c>
      <c r="AA167" s="147">
        <f t="shared" si="72"/>
        <v>0</v>
      </c>
      <c r="AB167" s="147">
        <f t="shared" si="72"/>
        <v>0</v>
      </c>
      <c r="AC167" s="147">
        <f t="shared" si="72"/>
        <v>0</v>
      </c>
      <c r="AD167" s="147">
        <f t="shared" si="72"/>
        <v>0</v>
      </c>
      <c r="AE167" s="147">
        <f t="shared" si="72"/>
        <v>0</v>
      </c>
      <c r="AF167" s="147">
        <f t="shared" si="72"/>
        <v>0</v>
      </c>
      <c r="AG167" s="147">
        <f t="shared" si="72"/>
        <v>0</v>
      </c>
      <c r="AH167" s="147">
        <f t="shared" si="72"/>
        <v>0</v>
      </c>
      <c r="AI167" s="147">
        <f t="shared" si="72"/>
        <v>0</v>
      </c>
      <c r="AJ167" s="147">
        <f t="shared" si="72"/>
        <v>0</v>
      </c>
      <c r="AK167" s="147">
        <f t="shared" si="72"/>
        <v>0</v>
      </c>
      <c r="AL167" s="147">
        <f t="shared" si="72"/>
        <v>0</v>
      </c>
      <c r="AM167" s="147">
        <f t="shared" si="72"/>
        <v>0</v>
      </c>
      <c r="AN167" s="147">
        <f t="shared" si="72"/>
        <v>0</v>
      </c>
      <c r="AO167" s="147">
        <f t="shared" si="72"/>
        <v>0</v>
      </c>
      <c r="AP167" s="147">
        <f t="shared" si="72"/>
        <v>0</v>
      </c>
      <c r="AQ167" s="147">
        <f t="shared" ref="AQ167:BR167" si="73">$D148*AQ160</f>
        <v>0</v>
      </c>
      <c r="AR167" s="147">
        <f t="shared" si="73"/>
        <v>0</v>
      </c>
      <c r="AS167" s="147">
        <f t="shared" si="73"/>
        <v>0</v>
      </c>
      <c r="AT167" s="147">
        <f t="shared" si="73"/>
        <v>0</v>
      </c>
      <c r="AU167" s="147">
        <f t="shared" si="73"/>
        <v>0</v>
      </c>
      <c r="AV167" s="147">
        <f t="shared" si="73"/>
        <v>0</v>
      </c>
      <c r="AW167" s="147">
        <f t="shared" si="73"/>
        <v>0</v>
      </c>
      <c r="AX167" s="147">
        <f t="shared" si="73"/>
        <v>0</v>
      </c>
      <c r="AY167" s="147">
        <f t="shared" si="73"/>
        <v>0</v>
      </c>
      <c r="AZ167" s="147">
        <f t="shared" si="73"/>
        <v>0</v>
      </c>
      <c r="BA167" s="147">
        <f t="shared" si="73"/>
        <v>0</v>
      </c>
      <c r="BB167" s="147">
        <f t="shared" si="73"/>
        <v>0</v>
      </c>
      <c r="BC167" s="147">
        <f t="shared" si="73"/>
        <v>0</v>
      </c>
      <c r="BD167" s="147">
        <f t="shared" si="73"/>
        <v>0</v>
      </c>
      <c r="BE167" s="147">
        <f t="shared" si="73"/>
        <v>0</v>
      </c>
      <c r="BF167" s="147">
        <f t="shared" si="73"/>
        <v>0</v>
      </c>
      <c r="BG167" s="147">
        <f t="shared" si="73"/>
        <v>0</v>
      </c>
      <c r="BH167" s="147">
        <f t="shared" si="73"/>
        <v>0</v>
      </c>
      <c r="BI167" s="147">
        <f t="shared" si="73"/>
        <v>0</v>
      </c>
      <c r="BJ167" s="147">
        <f t="shared" si="73"/>
        <v>0</v>
      </c>
      <c r="BK167" s="147">
        <f t="shared" si="73"/>
        <v>0</v>
      </c>
      <c r="BL167" s="147">
        <f t="shared" si="73"/>
        <v>0</v>
      </c>
      <c r="BM167" s="147">
        <f t="shared" si="73"/>
        <v>0</v>
      </c>
      <c r="BN167" s="147">
        <f t="shared" si="73"/>
        <v>0</v>
      </c>
      <c r="BO167" s="147">
        <f t="shared" si="73"/>
        <v>0</v>
      </c>
      <c r="BP167" s="147">
        <f t="shared" si="73"/>
        <v>0</v>
      </c>
      <c r="BQ167" s="147">
        <f t="shared" si="73"/>
        <v>0</v>
      </c>
      <c r="BR167" s="147">
        <f t="shared" si="73"/>
        <v>0</v>
      </c>
    </row>
    <row r="168" spans="1:70" s="147" customFormat="1" outlineLevel="1" x14ac:dyDescent="0.25">
      <c r="A168" s="211"/>
      <c r="C168" s="147" t="s">
        <v>250</v>
      </c>
      <c r="D168" s="231" t="str">
        <f>unit</f>
        <v>£</v>
      </c>
      <c r="E168" s="147">
        <f>SUMIF($K$5:$BR$5,E$5,$K168:$BR168)</f>
        <v>0</v>
      </c>
      <c r="F168" s="147">
        <f t="shared" si="71"/>
        <v>0</v>
      </c>
      <c r="G168" s="147">
        <f t="shared" si="71"/>
        <v>0</v>
      </c>
      <c r="H168" s="147">
        <f t="shared" si="71"/>
        <v>0</v>
      </c>
      <c r="I168" s="147">
        <f t="shared" si="71"/>
        <v>0</v>
      </c>
      <c r="K168" s="147">
        <f>-K161*$D156</f>
        <v>0</v>
      </c>
      <c r="L168" s="147">
        <f t="shared" ref="L168:BR168" si="74">-L161*$D156</f>
        <v>0</v>
      </c>
      <c r="M168" s="147">
        <f t="shared" si="74"/>
        <v>0</v>
      </c>
      <c r="N168" s="147">
        <f t="shared" si="74"/>
        <v>0</v>
      </c>
      <c r="O168" s="147">
        <f t="shared" si="74"/>
        <v>0</v>
      </c>
      <c r="P168" s="147">
        <f t="shared" si="74"/>
        <v>0</v>
      </c>
      <c r="Q168" s="147">
        <f t="shared" si="74"/>
        <v>0</v>
      </c>
      <c r="R168" s="147">
        <f t="shared" si="74"/>
        <v>0</v>
      </c>
      <c r="S168" s="147">
        <f t="shared" si="74"/>
        <v>0</v>
      </c>
      <c r="T168" s="147">
        <f t="shared" si="74"/>
        <v>0</v>
      </c>
      <c r="U168" s="147">
        <f t="shared" si="74"/>
        <v>0</v>
      </c>
      <c r="V168" s="147">
        <f t="shared" si="74"/>
        <v>0</v>
      </c>
      <c r="W168" s="147">
        <f t="shared" si="74"/>
        <v>0</v>
      </c>
      <c r="X168" s="147">
        <f t="shared" si="74"/>
        <v>0</v>
      </c>
      <c r="Y168" s="147">
        <f t="shared" si="74"/>
        <v>0</v>
      </c>
      <c r="Z168" s="147">
        <f t="shared" si="74"/>
        <v>0</v>
      </c>
      <c r="AA168" s="147">
        <f t="shared" si="74"/>
        <v>0</v>
      </c>
      <c r="AB168" s="147">
        <f t="shared" si="74"/>
        <v>0</v>
      </c>
      <c r="AC168" s="147">
        <f t="shared" si="74"/>
        <v>0</v>
      </c>
      <c r="AD168" s="147">
        <f t="shared" si="74"/>
        <v>0</v>
      </c>
      <c r="AE168" s="147">
        <f t="shared" si="74"/>
        <v>0</v>
      </c>
      <c r="AF168" s="147">
        <f t="shared" si="74"/>
        <v>0</v>
      </c>
      <c r="AG168" s="147">
        <f t="shared" si="74"/>
        <v>0</v>
      </c>
      <c r="AH168" s="147">
        <f t="shared" si="74"/>
        <v>0</v>
      </c>
      <c r="AI168" s="147">
        <f t="shared" si="74"/>
        <v>0</v>
      </c>
      <c r="AJ168" s="147">
        <f t="shared" si="74"/>
        <v>0</v>
      </c>
      <c r="AK168" s="147">
        <f t="shared" si="74"/>
        <v>0</v>
      </c>
      <c r="AL168" s="147">
        <f t="shared" si="74"/>
        <v>0</v>
      </c>
      <c r="AM168" s="147">
        <f t="shared" si="74"/>
        <v>0</v>
      </c>
      <c r="AN168" s="147">
        <f t="shared" si="74"/>
        <v>0</v>
      </c>
      <c r="AO168" s="147">
        <f t="shared" si="74"/>
        <v>0</v>
      </c>
      <c r="AP168" s="147">
        <f t="shared" si="74"/>
        <v>0</v>
      </c>
      <c r="AQ168" s="147">
        <f t="shared" si="74"/>
        <v>0</v>
      </c>
      <c r="AR168" s="147">
        <f t="shared" si="74"/>
        <v>0</v>
      </c>
      <c r="AS168" s="147">
        <f t="shared" si="74"/>
        <v>0</v>
      </c>
      <c r="AT168" s="147">
        <f t="shared" si="74"/>
        <v>0</v>
      </c>
      <c r="AU168" s="147">
        <f t="shared" si="74"/>
        <v>0</v>
      </c>
      <c r="AV168" s="147">
        <f t="shared" si="74"/>
        <v>0</v>
      </c>
      <c r="AW168" s="147">
        <f t="shared" si="74"/>
        <v>0</v>
      </c>
      <c r="AX168" s="147">
        <f t="shared" si="74"/>
        <v>0</v>
      </c>
      <c r="AY168" s="147">
        <f t="shared" si="74"/>
        <v>0</v>
      </c>
      <c r="AZ168" s="147">
        <f t="shared" si="74"/>
        <v>0</v>
      </c>
      <c r="BA168" s="147">
        <f t="shared" si="74"/>
        <v>0</v>
      </c>
      <c r="BB168" s="147">
        <f t="shared" si="74"/>
        <v>0</v>
      </c>
      <c r="BC168" s="147">
        <f t="shared" si="74"/>
        <v>0</v>
      </c>
      <c r="BD168" s="147">
        <f t="shared" si="74"/>
        <v>0</v>
      </c>
      <c r="BE168" s="147">
        <f t="shared" si="74"/>
        <v>0</v>
      </c>
      <c r="BF168" s="147">
        <f t="shared" si="74"/>
        <v>0</v>
      </c>
      <c r="BG168" s="147">
        <f t="shared" si="74"/>
        <v>0</v>
      </c>
      <c r="BH168" s="147">
        <f t="shared" si="74"/>
        <v>0</v>
      </c>
      <c r="BI168" s="147">
        <f t="shared" si="74"/>
        <v>0</v>
      </c>
      <c r="BJ168" s="147">
        <f t="shared" si="74"/>
        <v>0</v>
      </c>
      <c r="BK168" s="147">
        <f t="shared" si="74"/>
        <v>0</v>
      </c>
      <c r="BL168" s="147">
        <f t="shared" si="74"/>
        <v>0</v>
      </c>
      <c r="BM168" s="147">
        <f t="shared" si="74"/>
        <v>0</v>
      </c>
      <c r="BN168" s="147">
        <f t="shared" si="74"/>
        <v>0</v>
      </c>
      <c r="BO168" s="147">
        <f t="shared" si="74"/>
        <v>0</v>
      </c>
      <c r="BP168" s="147">
        <f t="shared" si="74"/>
        <v>0</v>
      </c>
      <c r="BQ168" s="147">
        <f t="shared" si="74"/>
        <v>0</v>
      </c>
      <c r="BR168" s="147">
        <f t="shared" si="74"/>
        <v>0</v>
      </c>
    </row>
    <row r="169" spans="1:70" s="147" customFormat="1" outlineLevel="1" x14ac:dyDescent="0.25">
      <c r="A169" s="211"/>
      <c r="C169" s="147" t="s">
        <v>230</v>
      </c>
      <c r="D169" s="231" t="str">
        <f>unit</f>
        <v>£</v>
      </c>
      <c r="E169" s="230">
        <f>SUM(E166:E168)</f>
        <v>0</v>
      </c>
      <c r="F169" s="230">
        <f t="shared" ref="F169:I169" si="75">SUM(F166:F168)</f>
        <v>0</v>
      </c>
      <c r="G169" s="230">
        <f t="shared" si="75"/>
        <v>0</v>
      </c>
      <c r="H169" s="230">
        <f t="shared" si="75"/>
        <v>0</v>
      </c>
      <c r="I169" s="230">
        <f t="shared" si="75"/>
        <v>0</v>
      </c>
      <c r="J169" s="224"/>
      <c r="K169" s="214">
        <f t="shared" ref="K169:BR169" si="76">SUM(K166:K168)</f>
        <v>0</v>
      </c>
      <c r="L169" s="214">
        <f t="shared" si="76"/>
        <v>0</v>
      </c>
      <c r="M169" s="214">
        <f t="shared" si="76"/>
        <v>0</v>
      </c>
      <c r="N169" s="214">
        <f t="shared" si="76"/>
        <v>0</v>
      </c>
      <c r="O169" s="214">
        <f t="shared" si="76"/>
        <v>0</v>
      </c>
      <c r="P169" s="214">
        <f t="shared" si="76"/>
        <v>0</v>
      </c>
      <c r="Q169" s="214">
        <f t="shared" si="76"/>
        <v>0</v>
      </c>
      <c r="R169" s="214">
        <f t="shared" si="76"/>
        <v>0</v>
      </c>
      <c r="S169" s="214">
        <f t="shared" si="76"/>
        <v>0</v>
      </c>
      <c r="T169" s="214">
        <f t="shared" si="76"/>
        <v>0</v>
      </c>
      <c r="U169" s="214">
        <f t="shared" si="76"/>
        <v>0</v>
      </c>
      <c r="V169" s="214">
        <f t="shared" si="76"/>
        <v>0</v>
      </c>
      <c r="W169" s="214">
        <f t="shared" si="76"/>
        <v>0</v>
      </c>
      <c r="X169" s="214">
        <f t="shared" si="76"/>
        <v>0</v>
      </c>
      <c r="Y169" s="214">
        <f t="shared" si="76"/>
        <v>0</v>
      </c>
      <c r="Z169" s="214">
        <f t="shared" si="76"/>
        <v>0</v>
      </c>
      <c r="AA169" s="214">
        <f t="shared" si="76"/>
        <v>0</v>
      </c>
      <c r="AB169" s="214">
        <f t="shared" si="76"/>
        <v>0</v>
      </c>
      <c r="AC169" s="214">
        <f t="shared" si="76"/>
        <v>0</v>
      </c>
      <c r="AD169" s="214">
        <f t="shared" si="76"/>
        <v>0</v>
      </c>
      <c r="AE169" s="214">
        <f t="shared" si="76"/>
        <v>0</v>
      </c>
      <c r="AF169" s="214">
        <f t="shared" si="76"/>
        <v>0</v>
      </c>
      <c r="AG169" s="214">
        <f t="shared" si="76"/>
        <v>0</v>
      </c>
      <c r="AH169" s="214">
        <f t="shared" si="76"/>
        <v>0</v>
      </c>
      <c r="AI169" s="214">
        <f t="shared" si="76"/>
        <v>0</v>
      </c>
      <c r="AJ169" s="214">
        <f t="shared" si="76"/>
        <v>0</v>
      </c>
      <c r="AK169" s="214">
        <f t="shared" si="76"/>
        <v>0</v>
      </c>
      <c r="AL169" s="214">
        <f t="shared" si="76"/>
        <v>0</v>
      </c>
      <c r="AM169" s="214">
        <f t="shared" si="76"/>
        <v>0</v>
      </c>
      <c r="AN169" s="214">
        <f t="shared" si="76"/>
        <v>0</v>
      </c>
      <c r="AO169" s="214">
        <f t="shared" si="76"/>
        <v>0</v>
      </c>
      <c r="AP169" s="214">
        <f t="shared" si="76"/>
        <v>0</v>
      </c>
      <c r="AQ169" s="214">
        <f t="shared" si="76"/>
        <v>0</v>
      </c>
      <c r="AR169" s="214">
        <f t="shared" si="76"/>
        <v>0</v>
      </c>
      <c r="AS169" s="214">
        <f t="shared" si="76"/>
        <v>0</v>
      </c>
      <c r="AT169" s="214">
        <f t="shared" si="76"/>
        <v>0</v>
      </c>
      <c r="AU169" s="214">
        <f t="shared" si="76"/>
        <v>0</v>
      </c>
      <c r="AV169" s="214">
        <f t="shared" si="76"/>
        <v>0</v>
      </c>
      <c r="AW169" s="214">
        <f t="shared" si="76"/>
        <v>0</v>
      </c>
      <c r="AX169" s="214">
        <f t="shared" si="76"/>
        <v>0</v>
      </c>
      <c r="AY169" s="214">
        <f t="shared" si="76"/>
        <v>0</v>
      </c>
      <c r="AZ169" s="214">
        <f t="shared" si="76"/>
        <v>0</v>
      </c>
      <c r="BA169" s="214">
        <f t="shared" si="76"/>
        <v>0</v>
      </c>
      <c r="BB169" s="214">
        <f t="shared" si="76"/>
        <v>0</v>
      </c>
      <c r="BC169" s="214">
        <f t="shared" si="76"/>
        <v>0</v>
      </c>
      <c r="BD169" s="214">
        <f t="shared" si="76"/>
        <v>0</v>
      </c>
      <c r="BE169" s="214">
        <f t="shared" si="76"/>
        <v>0</v>
      </c>
      <c r="BF169" s="214">
        <f t="shared" si="76"/>
        <v>0</v>
      </c>
      <c r="BG169" s="214">
        <f t="shared" si="76"/>
        <v>0</v>
      </c>
      <c r="BH169" s="214">
        <f t="shared" si="76"/>
        <v>0</v>
      </c>
      <c r="BI169" s="214">
        <f t="shared" si="76"/>
        <v>0</v>
      </c>
      <c r="BJ169" s="214">
        <f t="shared" si="76"/>
        <v>0</v>
      </c>
      <c r="BK169" s="214">
        <f t="shared" si="76"/>
        <v>0</v>
      </c>
      <c r="BL169" s="214">
        <f t="shared" si="76"/>
        <v>0</v>
      </c>
      <c r="BM169" s="214">
        <f t="shared" si="76"/>
        <v>0</v>
      </c>
      <c r="BN169" s="214">
        <f t="shared" si="76"/>
        <v>0</v>
      </c>
      <c r="BO169" s="214">
        <f t="shared" si="76"/>
        <v>0</v>
      </c>
      <c r="BP169" s="214">
        <f t="shared" si="76"/>
        <v>0</v>
      </c>
      <c r="BQ169" s="214">
        <f t="shared" si="76"/>
        <v>0</v>
      </c>
      <c r="BR169" s="214">
        <f t="shared" si="76"/>
        <v>0</v>
      </c>
    </row>
    <row r="170" spans="1:70" outlineLevel="1" x14ac:dyDescent="0.25">
      <c r="E170" s="147"/>
      <c r="F170" s="212"/>
      <c r="G170" s="147"/>
      <c r="H170" s="147"/>
      <c r="I170" s="147"/>
    </row>
    <row r="172" spans="1:70" s="142" customFormat="1" ht="15.6" x14ac:dyDescent="0.3">
      <c r="A172" s="142" t="s">
        <v>217</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2"/>
  <dimension ref="A1:AP59"/>
  <sheetViews>
    <sheetView zoomScale="75" zoomScaleNormal="75" zoomScalePageLayoutView="75" workbookViewId="0">
      <pane xSplit="4" ySplit="5" topLeftCell="E6" activePane="bottomRight" state="frozen"/>
      <selection pane="topRight" activeCell="E1" sqref="E1"/>
      <selection pane="bottomLeft" activeCell="A6" sqref="A6"/>
      <selection pane="bottomRight" activeCell="B10" sqref="B10"/>
    </sheetView>
  </sheetViews>
  <sheetFormatPr defaultColWidth="8.88671875" defaultRowHeight="14.4" x14ac:dyDescent="0.3"/>
  <cols>
    <col min="1" max="1" width="25" bestFit="1" customWidth="1"/>
    <col min="2" max="2" width="12.44140625" bestFit="1" customWidth="1"/>
    <col min="3" max="3" width="12.33203125" customWidth="1"/>
    <col min="4" max="4" width="1.6640625" customWidth="1"/>
    <col min="5" max="16" width="11.109375" customWidth="1"/>
    <col min="17" max="17" width="3.44140625" customWidth="1"/>
    <col min="18" max="29" width="11.109375" customWidth="1"/>
    <col min="30" max="30" width="3.6640625" customWidth="1"/>
    <col min="31" max="42" width="11.109375" customWidth="1"/>
  </cols>
  <sheetData>
    <row r="1" spans="1:42" ht="18" x14ac:dyDescent="0.35">
      <c r="A1" s="4">
        <f>KeyInputs!F14</f>
        <v>0</v>
      </c>
      <c r="B1" s="4"/>
      <c r="C1" s="4"/>
      <c r="D1" s="4"/>
    </row>
    <row r="2" spans="1:42" ht="18" x14ac:dyDescent="0.35">
      <c r="A2" s="4" t="s">
        <v>19</v>
      </c>
      <c r="B2" s="4"/>
      <c r="C2" s="4"/>
      <c r="D2" s="4"/>
    </row>
    <row r="4" spans="1:42" x14ac:dyDescent="0.3">
      <c r="E4" s="336">
        <f>KeyInputs!$F$17</f>
        <v>42005</v>
      </c>
      <c r="F4" s="337"/>
      <c r="G4" s="337"/>
      <c r="H4" s="337"/>
      <c r="I4" s="337"/>
      <c r="J4" s="337"/>
      <c r="K4" s="337"/>
      <c r="L4" s="337"/>
      <c r="M4" s="337"/>
      <c r="N4" s="337"/>
      <c r="O4" s="337"/>
      <c r="P4" s="338"/>
      <c r="R4" s="336">
        <f>KeyInputs!$F$17+1</f>
        <v>42006</v>
      </c>
      <c r="S4" s="337"/>
      <c r="T4" s="337"/>
      <c r="U4" s="337"/>
      <c r="V4" s="337"/>
      <c r="W4" s="337"/>
      <c r="X4" s="337"/>
      <c r="Y4" s="337"/>
      <c r="Z4" s="337"/>
      <c r="AA4" s="337"/>
      <c r="AB4" s="337"/>
      <c r="AC4" s="338"/>
      <c r="AE4" s="336">
        <f>KeyInputs!$F$17+2</f>
        <v>42007</v>
      </c>
      <c r="AF4" s="337"/>
      <c r="AG4" s="337"/>
      <c r="AH4" s="337"/>
      <c r="AI4" s="337"/>
      <c r="AJ4" s="337"/>
      <c r="AK4" s="337"/>
      <c r="AL4" s="337"/>
      <c r="AM4" s="337"/>
      <c r="AN4" s="337"/>
      <c r="AO4" s="337"/>
      <c r="AP4" s="338"/>
    </row>
    <row r="5" spans="1:42" x14ac:dyDescent="0.3">
      <c r="B5" s="41" t="s">
        <v>58</v>
      </c>
      <c r="C5" s="40" t="s">
        <v>59</v>
      </c>
      <c r="D5" s="12"/>
      <c r="E5" s="31" t="e">
        <f>KeyInputs!#REF!</f>
        <v>#REF!</v>
      </c>
      <c r="F5" s="32" t="e">
        <f ca="1">OFFSET(Worksheet!$A$14,,(HLOOKUP(KeyInputs!#REF!,Worksheet!$A$14:$L$15,2,FALSE)))</f>
        <v>#REF!</v>
      </c>
      <c r="G5" s="32" t="e">
        <f ca="1">OFFSET(Worksheet!$A$14,,(HLOOKUP(KeyInputs!#REF!,Worksheet!$A$14:$L$15,2,FALSE))+Worksheet!$A$15)</f>
        <v>#REF!</v>
      </c>
      <c r="H5" s="32" t="e">
        <f ca="1">OFFSET(Worksheet!$A$14,,(HLOOKUP(KeyInputs!#REF!,Worksheet!$A$14:$L$15,2,FALSE))+Worksheet!$B$15)</f>
        <v>#REF!</v>
      </c>
      <c r="I5" s="32" t="e">
        <f ca="1">OFFSET(Worksheet!$A$14,,(HLOOKUP(KeyInputs!#REF!,Worksheet!$A$14:$L$15,2,FALSE))+Worksheet!$C$15)</f>
        <v>#REF!</v>
      </c>
      <c r="J5" s="32" t="e">
        <f ca="1">OFFSET(Worksheet!$A$14,,(HLOOKUP(KeyInputs!#REF!,Worksheet!$A$14:$L$15,2,FALSE))+Worksheet!$D$15)</f>
        <v>#REF!</v>
      </c>
      <c r="K5" s="32" t="e">
        <f ca="1">OFFSET(Worksheet!$A$14,,(HLOOKUP(KeyInputs!#REF!,Worksheet!$A$14:$L$15,2,FALSE))+Worksheet!$E$15)</f>
        <v>#REF!</v>
      </c>
      <c r="L5" s="32" t="e">
        <f ca="1">OFFSET(Worksheet!$A$14,,(HLOOKUP(KeyInputs!#REF!,Worksheet!$A$14:$L$15,2,FALSE))+Worksheet!$F$15)</f>
        <v>#REF!</v>
      </c>
      <c r="M5" s="32" t="e">
        <f ca="1">OFFSET(Worksheet!$A$14,,(HLOOKUP(KeyInputs!#REF!,Worksheet!$A$14:$L$15,2,FALSE))+Worksheet!$G$15)</f>
        <v>#REF!</v>
      </c>
      <c r="N5" s="32" t="e">
        <f ca="1">OFFSET(Worksheet!$A$14,,(HLOOKUP(KeyInputs!#REF!,Worksheet!$A$14:$L$15,2,FALSE))+Worksheet!$H$15)</f>
        <v>#REF!</v>
      </c>
      <c r="O5" s="32" t="e">
        <f ca="1">OFFSET(Worksheet!$A$14,,(HLOOKUP(KeyInputs!#REF!,Worksheet!$A$14:$L$15,2,FALSE))+Worksheet!$I$15)</f>
        <v>#REF!</v>
      </c>
      <c r="P5" s="32" t="e">
        <f ca="1">OFFSET(Worksheet!$A$14,,(HLOOKUP(KeyInputs!#REF!,Worksheet!$A$14:$L$15,2,FALSE))+Worksheet!$J$15)</f>
        <v>#REF!</v>
      </c>
      <c r="R5" s="31" t="e">
        <f>KeyInputs!#REF!</f>
        <v>#REF!</v>
      </c>
      <c r="S5" s="32" t="e">
        <f ca="1">OFFSET(Worksheet!$A$14,,(HLOOKUP(KeyInputs!#REF!,Worksheet!$A$14:$L$15,2,FALSE)))</f>
        <v>#REF!</v>
      </c>
      <c r="T5" s="32" t="e">
        <f ca="1">OFFSET(Worksheet!$A$14,,(HLOOKUP(KeyInputs!#REF!,Worksheet!$A$14:$L$15,2,FALSE))+Worksheet!$A$15)</f>
        <v>#REF!</v>
      </c>
      <c r="U5" s="32" t="e">
        <f ca="1">OFFSET(Worksheet!$A$14,,(HLOOKUP(KeyInputs!#REF!,Worksheet!$A$14:$L$15,2,FALSE))+Worksheet!$B$15)</f>
        <v>#REF!</v>
      </c>
      <c r="V5" s="32" t="e">
        <f ca="1">OFFSET(Worksheet!$A$14,,(HLOOKUP(KeyInputs!#REF!,Worksheet!$A$14:$L$15,2,FALSE))+Worksheet!$C$15)</f>
        <v>#REF!</v>
      </c>
      <c r="W5" s="32" t="e">
        <f ca="1">OFFSET(Worksheet!$A$14,,(HLOOKUP(KeyInputs!#REF!,Worksheet!$A$14:$L$15,2,FALSE))+Worksheet!$D$15)</f>
        <v>#REF!</v>
      </c>
      <c r="X5" s="32" t="e">
        <f ca="1">OFFSET(Worksheet!$A$14,,(HLOOKUP(KeyInputs!#REF!,Worksheet!$A$14:$L$15,2,FALSE))+Worksheet!$E$15)</f>
        <v>#REF!</v>
      </c>
      <c r="Y5" s="32" t="e">
        <f ca="1">OFFSET(Worksheet!$A$14,,(HLOOKUP(KeyInputs!#REF!,Worksheet!$A$14:$L$15,2,FALSE))+Worksheet!$F$15)</f>
        <v>#REF!</v>
      </c>
      <c r="Z5" s="32" t="e">
        <f ca="1">OFFSET(Worksheet!$A$14,,(HLOOKUP(KeyInputs!#REF!,Worksheet!$A$14:$L$15,2,FALSE))+Worksheet!$G$15)</f>
        <v>#REF!</v>
      </c>
      <c r="AA5" s="32" t="e">
        <f ca="1">OFFSET(Worksheet!$A$14,,(HLOOKUP(KeyInputs!#REF!,Worksheet!$A$14:$L$15,2,FALSE))+Worksheet!$H$15)</f>
        <v>#REF!</v>
      </c>
      <c r="AB5" s="32" t="e">
        <f ca="1">OFFSET(Worksheet!$A$14,,(HLOOKUP(KeyInputs!#REF!,Worksheet!$A$14:$L$15,2,FALSE))+Worksheet!$I$15)</f>
        <v>#REF!</v>
      </c>
      <c r="AC5" s="32" t="e">
        <f ca="1">OFFSET(Worksheet!$A$14,,(HLOOKUP(KeyInputs!#REF!,Worksheet!$A$14:$L$15,2,FALSE))+Worksheet!$J$15)</f>
        <v>#REF!</v>
      </c>
      <c r="AE5" s="31" t="e">
        <f>KeyInputs!#REF!</f>
        <v>#REF!</v>
      </c>
      <c r="AF5" s="32" t="e">
        <f ca="1">OFFSET(Worksheet!$A$14,,(HLOOKUP(KeyInputs!#REF!,Worksheet!$A$14:$L$15,2,FALSE)))</f>
        <v>#REF!</v>
      </c>
      <c r="AG5" s="32" t="e">
        <f ca="1">OFFSET(Worksheet!$A$14,,(HLOOKUP(KeyInputs!#REF!,Worksheet!$A$14:$L$15,2,FALSE))+Worksheet!$A$15)</f>
        <v>#REF!</v>
      </c>
      <c r="AH5" s="32" t="e">
        <f ca="1">OFFSET(Worksheet!$A$14,,(HLOOKUP(KeyInputs!#REF!,Worksheet!$A$14:$L$15,2,FALSE))+Worksheet!$B$15)</f>
        <v>#REF!</v>
      </c>
      <c r="AI5" s="32" t="e">
        <f ca="1">OFFSET(Worksheet!$A$14,,(HLOOKUP(KeyInputs!#REF!,Worksheet!$A$14:$L$15,2,FALSE))+Worksheet!$C$15)</f>
        <v>#REF!</v>
      </c>
      <c r="AJ5" s="32" t="e">
        <f ca="1">OFFSET(Worksheet!$A$14,,(HLOOKUP(KeyInputs!#REF!,Worksheet!$A$14:$L$15,2,FALSE))+Worksheet!$D$15)</f>
        <v>#REF!</v>
      </c>
      <c r="AK5" s="32" t="e">
        <f ca="1">OFFSET(Worksheet!$A$14,,(HLOOKUP(KeyInputs!#REF!,Worksheet!$A$14:$L$15,2,FALSE))+Worksheet!$E$15)</f>
        <v>#REF!</v>
      </c>
      <c r="AL5" s="32" t="e">
        <f ca="1">OFFSET(Worksheet!$A$14,,(HLOOKUP(KeyInputs!#REF!,Worksheet!$A$14:$L$15,2,FALSE))+Worksheet!$F$15)</f>
        <v>#REF!</v>
      </c>
      <c r="AM5" s="32" t="e">
        <f ca="1">OFFSET(Worksheet!$A$14,,(HLOOKUP(KeyInputs!#REF!,Worksheet!$A$14:$L$15,2,FALSE))+Worksheet!$G$15)</f>
        <v>#REF!</v>
      </c>
      <c r="AN5" s="32" t="e">
        <f ca="1">OFFSET(Worksheet!$A$14,,(HLOOKUP(KeyInputs!#REF!,Worksheet!$A$14:$L$15,2,FALSE))+Worksheet!$H$15)</f>
        <v>#REF!</v>
      </c>
      <c r="AO5" s="32" t="e">
        <f ca="1">OFFSET(Worksheet!$A$14,,(HLOOKUP(KeyInputs!#REF!,Worksheet!$A$14:$L$15,2,FALSE))+Worksheet!$I$15)</f>
        <v>#REF!</v>
      </c>
      <c r="AP5" s="32" t="e">
        <f ca="1">OFFSET(Worksheet!$A$14,,(HLOOKUP(KeyInputs!#REF!,Worksheet!$A$14:$L$15,2,FALSE))+Worksheet!$J$15)</f>
        <v>#REF!</v>
      </c>
    </row>
    <row r="6" spans="1:42" x14ac:dyDescent="0.3">
      <c r="A6" s="21" t="s">
        <v>37</v>
      </c>
      <c r="B6" s="22"/>
      <c r="C6" s="23"/>
      <c r="D6" s="13"/>
      <c r="E6" s="8"/>
      <c r="F6" s="8"/>
      <c r="G6" s="8"/>
      <c r="H6" s="8"/>
      <c r="I6" s="8"/>
      <c r="J6" s="8"/>
      <c r="K6" s="8"/>
      <c r="L6" s="8"/>
      <c r="M6" s="8"/>
      <c r="N6" s="8"/>
      <c r="O6" s="8"/>
      <c r="P6" s="8"/>
      <c r="R6" s="8"/>
      <c r="S6" s="8"/>
      <c r="T6" s="8"/>
      <c r="U6" s="8"/>
      <c r="V6" s="8"/>
      <c r="W6" s="8"/>
      <c r="X6" s="8"/>
      <c r="Y6" s="8"/>
      <c r="Z6" s="8"/>
      <c r="AA6" s="8"/>
      <c r="AB6" s="8"/>
      <c r="AC6" s="8"/>
      <c r="AE6" s="8"/>
      <c r="AF6" s="8"/>
      <c r="AG6" s="8"/>
      <c r="AH6" s="8"/>
      <c r="AI6" s="8"/>
      <c r="AJ6" s="8"/>
      <c r="AK6" s="8"/>
      <c r="AL6" s="8"/>
      <c r="AM6" s="8"/>
      <c r="AN6" s="8"/>
      <c r="AO6" s="8"/>
      <c r="AP6" s="8"/>
    </row>
    <row r="7" spans="1:42" x14ac:dyDescent="0.3">
      <c r="A7" s="21" t="s">
        <v>38</v>
      </c>
      <c r="B7" s="22"/>
      <c r="C7" s="24"/>
      <c r="D7" s="13"/>
      <c r="E7" s="9"/>
      <c r="F7" s="9"/>
      <c r="G7" s="9"/>
      <c r="H7" s="9"/>
      <c r="I7" s="9"/>
      <c r="J7" s="9"/>
      <c r="K7" s="9"/>
      <c r="L7" s="9"/>
      <c r="M7" s="9"/>
      <c r="N7" s="9"/>
      <c r="O7" s="9"/>
      <c r="P7" s="9"/>
      <c r="R7" s="9"/>
      <c r="S7" s="9"/>
      <c r="T7" s="9"/>
      <c r="U7" s="9"/>
      <c r="V7" s="9"/>
      <c r="W7" s="9"/>
      <c r="X7" s="9"/>
      <c r="Y7" s="9"/>
      <c r="Z7" s="9"/>
      <c r="AA7" s="9"/>
      <c r="AB7" s="9"/>
      <c r="AC7" s="9"/>
      <c r="AE7" s="9"/>
      <c r="AF7" s="9"/>
      <c r="AG7" s="9"/>
      <c r="AH7" s="9"/>
      <c r="AI7" s="9"/>
      <c r="AJ7" s="9"/>
      <c r="AK7" s="9"/>
      <c r="AL7" s="9"/>
      <c r="AM7" s="9"/>
      <c r="AN7" s="9"/>
      <c r="AO7" s="9"/>
      <c r="AP7" s="9"/>
    </row>
    <row r="8" spans="1:42" x14ac:dyDescent="0.3">
      <c r="A8" s="21" t="s">
        <v>39</v>
      </c>
      <c r="B8" s="22"/>
      <c r="C8" s="24"/>
      <c r="D8" s="13"/>
      <c r="E8" s="9"/>
      <c r="F8" s="9"/>
      <c r="G8" s="9"/>
      <c r="H8" s="9"/>
      <c r="I8" s="9"/>
      <c r="J8" s="9"/>
      <c r="K8" s="9"/>
      <c r="L8" s="9"/>
      <c r="M8" s="9"/>
      <c r="N8" s="9"/>
      <c r="O8" s="9"/>
      <c r="P8" s="9"/>
      <c r="R8" s="9"/>
      <c r="S8" s="9"/>
      <c r="T8" s="9"/>
      <c r="U8" s="9"/>
      <c r="V8" s="9"/>
      <c r="W8" s="9"/>
      <c r="X8" s="9"/>
      <c r="Y8" s="9"/>
      <c r="Z8" s="9"/>
      <c r="AA8" s="9"/>
      <c r="AB8" s="9"/>
      <c r="AC8" s="9"/>
      <c r="AE8" s="9"/>
      <c r="AF8" s="9"/>
      <c r="AG8" s="9"/>
      <c r="AH8" s="9"/>
      <c r="AI8" s="9"/>
      <c r="AJ8" s="9"/>
      <c r="AK8" s="9"/>
      <c r="AL8" s="9"/>
      <c r="AM8" s="9"/>
      <c r="AN8" s="9"/>
      <c r="AO8" s="9"/>
      <c r="AP8" s="9"/>
    </row>
    <row r="9" spans="1:42" x14ac:dyDescent="0.3">
      <c r="A9" s="21" t="s">
        <v>40</v>
      </c>
      <c r="B9" s="22"/>
      <c r="C9" s="24"/>
      <c r="D9" s="13"/>
      <c r="E9" s="9"/>
      <c r="F9" s="9"/>
      <c r="G9" s="9"/>
      <c r="H9" s="9"/>
      <c r="I9" s="9"/>
      <c r="J9" s="9"/>
      <c r="K9" s="9"/>
      <c r="L9" s="9"/>
      <c r="M9" s="9"/>
      <c r="N9" s="9"/>
      <c r="O9" s="9"/>
      <c r="P9" s="9"/>
      <c r="R9" s="9"/>
      <c r="S9" s="9"/>
      <c r="T9" s="9"/>
      <c r="U9" s="9"/>
      <c r="V9" s="9"/>
      <c r="W9" s="9"/>
      <c r="X9" s="9"/>
      <c r="Y9" s="9"/>
      <c r="Z9" s="9"/>
      <c r="AA9" s="9"/>
      <c r="AB9" s="9"/>
      <c r="AC9" s="9"/>
      <c r="AE9" s="9"/>
      <c r="AF9" s="9"/>
      <c r="AG9" s="9"/>
      <c r="AH9" s="9"/>
      <c r="AI9" s="9"/>
      <c r="AJ9" s="9"/>
      <c r="AK9" s="9"/>
      <c r="AL9" s="9"/>
      <c r="AM9" s="9"/>
      <c r="AN9" s="9"/>
      <c r="AO9" s="9"/>
      <c r="AP9" s="9"/>
    </row>
    <row r="10" spans="1:42" x14ac:dyDescent="0.3">
      <c r="A10" s="21" t="s">
        <v>41</v>
      </c>
      <c r="B10" s="22"/>
      <c r="C10" s="24"/>
      <c r="D10" s="13"/>
      <c r="E10" s="9"/>
      <c r="F10" s="9"/>
      <c r="G10" s="9"/>
      <c r="H10" s="9"/>
      <c r="I10" s="9"/>
      <c r="J10" s="9"/>
      <c r="K10" s="9"/>
      <c r="L10" s="9"/>
      <c r="M10" s="9"/>
      <c r="N10" s="9"/>
      <c r="O10" s="9"/>
      <c r="P10" s="9"/>
      <c r="R10" s="9"/>
      <c r="S10" s="9"/>
      <c r="T10" s="9"/>
      <c r="U10" s="9"/>
      <c r="V10" s="9"/>
      <c r="W10" s="9"/>
      <c r="X10" s="9"/>
      <c r="Y10" s="9"/>
      <c r="Z10" s="9"/>
      <c r="AA10" s="9"/>
      <c r="AB10" s="9"/>
      <c r="AC10" s="9"/>
      <c r="AE10" s="9"/>
      <c r="AF10" s="9"/>
      <c r="AG10" s="9"/>
      <c r="AH10" s="9"/>
      <c r="AI10" s="9"/>
      <c r="AJ10" s="9"/>
      <c r="AK10" s="9"/>
      <c r="AL10" s="9"/>
      <c r="AM10" s="9"/>
      <c r="AN10" s="9"/>
      <c r="AO10" s="9"/>
      <c r="AP10" s="9"/>
    </row>
    <row r="11" spans="1:42" x14ac:dyDescent="0.3">
      <c r="A11" s="21" t="s">
        <v>42</v>
      </c>
      <c r="B11" s="22"/>
      <c r="C11" s="24"/>
      <c r="D11" s="13"/>
      <c r="E11" s="9"/>
      <c r="F11" s="9"/>
      <c r="G11" s="9"/>
      <c r="H11" s="9"/>
      <c r="I11" s="9"/>
      <c r="J11" s="9"/>
      <c r="K11" s="9"/>
      <c r="L11" s="9"/>
      <c r="M11" s="9"/>
      <c r="N11" s="9"/>
      <c r="O11" s="9"/>
      <c r="P11" s="9"/>
      <c r="R11" s="9"/>
      <c r="S11" s="9"/>
      <c r="T11" s="9"/>
      <c r="U11" s="9"/>
      <c r="V11" s="9"/>
      <c r="W11" s="9"/>
      <c r="X11" s="9"/>
      <c r="Y11" s="9"/>
      <c r="Z11" s="9"/>
      <c r="AA11" s="9"/>
      <c r="AB11" s="9"/>
      <c r="AC11" s="9"/>
      <c r="AE11" s="9"/>
      <c r="AF11" s="9"/>
      <c r="AG11" s="9"/>
      <c r="AH11" s="9"/>
      <c r="AI11" s="9"/>
      <c r="AJ11" s="9"/>
      <c r="AK11" s="9"/>
      <c r="AL11" s="9"/>
      <c r="AM11" s="9"/>
      <c r="AN11" s="9"/>
      <c r="AO11" s="9"/>
      <c r="AP11" s="9"/>
    </row>
    <row r="12" spans="1:42" x14ac:dyDescent="0.3">
      <c r="A12" s="21" t="s">
        <v>55</v>
      </c>
      <c r="B12" s="22"/>
      <c r="C12" s="24"/>
      <c r="D12" s="13"/>
      <c r="E12" s="9"/>
      <c r="F12" s="9"/>
      <c r="G12" s="9"/>
      <c r="H12" s="9"/>
      <c r="I12" s="9"/>
      <c r="J12" s="9"/>
      <c r="K12" s="9"/>
      <c r="L12" s="9"/>
      <c r="M12" s="9"/>
      <c r="N12" s="9"/>
      <c r="O12" s="9"/>
      <c r="P12" s="9"/>
      <c r="R12" s="9"/>
      <c r="S12" s="9"/>
      <c r="T12" s="9"/>
      <c r="U12" s="9"/>
      <c r="V12" s="9"/>
      <c r="W12" s="9"/>
      <c r="X12" s="9"/>
      <c r="Y12" s="9"/>
      <c r="Z12" s="9"/>
      <c r="AA12" s="9"/>
      <c r="AB12" s="9"/>
      <c r="AC12" s="9"/>
      <c r="AE12" s="9"/>
      <c r="AF12" s="9"/>
      <c r="AG12" s="9"/>
      <c r="AH12" s="9"/>
      <c r="AI12" s="9"/>
      <c r="AJ12" s="9"/>
      <c r="AK12" s="9"/>
      <c r="AL12" s="9"/>
      <c r="AM12" s="9"/>
      <c r="AN12" s="9"/>
      <c r="AO12" s="9"/>
      <c r="AP12" s="9"/>
    </row>
    <row r="13" spans="1:42" x14ac:dyDescent="0.3">
      <c r="A13" s="21" t="s">
        <v>56</v>
      </c>
      <c r="B13" s="22"/>
      <c r="C13" s="24"/>
      <c r="D13" s="13"/>
      <c r="E13" s="9"/>
      <c r="F13" s="9"/>
      <c r="G13" s="9"/>
      <c r="H13" s="9"/>
      <c r="I13" s="9"/>
      <c r="J13" s="9"/>
      <c r="K13" s="9"/>
      <c r="L13" s="9"/>
      <c r="M13" s="9"/>
      <c r="N13" s="9"/>
      <c r="O13" s="9"/>
      <c r="P13" s="9"/>
      <c r="R13" s="9"/>
      <c r="S13" s="9"/>
      <c r="T13" s="9"/>
      <c r="U13" s="9"/>
      <c r="V13" s="9"/>
      <c r="W13" s="9"/>
      <c r="X13" s="9"/>
      <c r="Y13" s="9"/>
      <c r="Z13" s="9"/>
      <c r="AA13" s="9"/>
      <c r="AB13" s="9"/>
      <c r="AC13" s="9"/>
      <c r="AE13" s="9"/>
      <c r="AF13" s="9"/>
      <c r="AG13" s="9"/>
      <c r="AH13" s="9"/>
      <c r="AI13" s="9"/>
      <c r="AJ13" s="9"/>
      <c r="AK13" s="9"/>
      <c r="AL13" s="9"/>
      <c r="AM13" s="9"/>
      <c r="AN13" s="9"/>
      <c r="AO13" s="9"/>
      <c r="AP13" s="9"/>
    </row>
    <row r="14" spans="1:42" hidden="1" x14ac:dyDescent="0.3">
      <c r="A14" s="21" t="s">
        <v>57</v>
      </c>
      <c r="B14" s="33"/>
      <c r="C14" s="34"/>
      <c r="D14" s="13"/>
      <c r="E14" s="9"/>
      <c r="F14" s="9"/>
      <c r="G14" s="9"/>
      <c r="H14" s="9"/>
      <c r="I14" s="9"/>
      <c r="J14" s="9"/>
      <c r="K14" s="9"/>
      <c r="L14" s="9"/>
      <c r="M14" s="9"/>
      <c r="N14" s="9"/>
      <c r="O14" s="9"/>
      <c r="P14" s="9"/>
      <c r="R14" s="9"/>
      <c r="S14" s="9"/>
      <c r="T14" s="9"/>
      <c r="U14" s="9"/>
      <c r="V14" s="9"/>
      <c r="W14" s="9"/>
      <c r="X14" s="9"/>
      <c r="Y14" s="9"/>
      <c r="Z14" s="9"/>
      <c r="AA14" s="9"/>
      <c r="AB14" s="9"/>
      <c r="AC14" s="9"/>
      <c r="AE14" s="9"/>
      <c r="AF14" s="9"/>
      <c r="AG14" s="9"/>
      <c r="AH14" s="9"/>
      <c r="AI14" s="9"/>
      <c r="AJ14" s="9"/>
      <c r="AK14" s="9"/>
      <c r="AL14" s="9"/>
      <c r="AM14" s="9"/>
      <c r="AN14" s="9"/>
      <c r="AO14" s="9"/>
      <c r="AP14" s="9"/>
    </row>
    <row r="15" spans="1:42" x14ac:dyDescent="0.3">
      <c r="A15" s="7"/>
      <c r="B15" s="10"/>
      <c r="C15" s="11"/>
      <c r="D15" s="14"/>
      <c r="E15" s="6">
        <f t="shared" ref="E15:P15" si="0">SUM(E6:E14)</f>
        <v>0</v>
      </c>
      <c r="F15" s="5">
        <f t="shared" si="0"/>
        <v>0</v>
      </c>
      <c r="G15" s="5">
        <f t="shared" si="0"/>
        <v>0</v>
      </c>
      <c r="H15" s="5">
        <f t="shared" si="0"/>
        <v>0</v>
      </c>
      <c r="I15" s="5">
        <f t="shared" si="0"/>
        <v>0</v>
      </c>
      <c r="J15" s="5">
        <f t="shared" si="0"/>
        <v>0</v>
      </c>
      <c r="K15" s="5">
        <f t="shared" si="0"/>
        <v>0</v>
      </c>
      <c r="L15" s="5">
        <f t="shared" si="0"/>
        <v>0</v>
      </c>
      <c r="M15" s="5">
        <f t="shared" si="0"/>
        <v>0</v>
      </c>
      <c r="N15" s="5">
        <f t="shared" si="0"/>
        <v>0</v>
      </c>
      <c r="O15" s="5">
        <f t="shared" si="0"/>
        <v>0</v>
      </c>
      <c r="P15" s="5">
        <f t="shared" si="0"/>
        <v>0</v>
      </c>
      <c r="R15" s="5">
        <f t="shared" ref="R15:AC15" si="1">SUM(R6:R14)</f>
        <v>0</v>
      </c>
      <c r="S15" s="5">
        <f t="shared" si="1"/>
        <v>0</v>
      </c>
      <c r="T15" s="5">
        <f t="shared" si="1"/>
        <v>0</v>
      </c>
      <c r="U15" s="5">
        <f t="shared" si="1"/>
        <v>0</v>
      </c>
      <c r="V15" s="5">
        <f t="shared" si="1"/>
        <v>0</v>
      </c>
      <c r="W15" s="5">
        <f t="shared" si="1"/>
        <v>0</v>
      </c>
      <c r="X15" s="5">
        <f t="shared" si="1"/>
        <v>0</v>
      </c>
      <c r="Y15" s="5">
        <f t="shared" si="1"/>
        <v>0</v>
      </c>
      <c r="Z15" s="5">
        <f t="shared" si="1"/>
        <v>0</v>
      </c>
      <c r="AA15" s="5">
        <f t="shared" si="1"/>
        <v>0</v>
      </c>
      <c r="AB15" s="5">
        <f t="shared" si="1"/>
        <v>0</v>
      </c>
      <c r="AC15" s="5">
        <f t="shared" si="1"/>
        <v>0</v>
      </c>
      <c r="AE15" s="5">
        <f t="shared" ref="AE15:AP15" si="2">SUM(AE6:AE14)</f>
        <v>0</v>
      </c>
      <c r="AF15" s="5">
        <f t="shared" si="2"/>
        <v>0</v>
      </c>
      <c r="AG15" s="5">
        <f t="shared" si="2"/>
        <v>0</v>
      </c>
      <c r="AH15" s="5">
        <f t="shared" si="2"/>
        <v>0</v>
      </c>
      <c r="AI15" s="5">
        <f t="shared" si="2"/>
        <v>0</v>
      </c>
      <c r="AJ15" s="5">
        <f t="shared" si="2"/>
        <v>0</v>
      </c>
      <c r="AK15" s="5">
        <f t="shared" si="2"/>
        <v>0</v>
      </c>
      <c r="AL15" s="5">
        <f t="shared" si="2"/>
        <v>0</v>
      </c>
      <c r="AM15" s="5">
        <f t="shared" si="2"/>
        <v>0</v>
      </c>
      <c r="AN15" s="5">
        <f t="shared" si="2"/>
        <v>0</v>
      </c>
      <c r="AO15" s="5">
        <f t="shared" si="2"/>
        <v>0</v>
      </c>
      <c r="AP15" s="5">
        <f t="shared" si="2"/>
        <v>0</v>
      </c>
    </row>
    <row r="17" spans="1:42" x14ac:dyDescent="0.3">
      <c r="A17" s="15" t="s">
        <v>62</v>
      </c>
      <c r="E17" s="336">
        <f>KeyInputs!$F$17</f>
        <v>42005</v>
      </c>
      <c r="F17" s="337"/>
      <c r="G17" s="337"/>
      <c r="H17" s="337"/>
      <c r="I17" s="337"/>
      <c r="J17" s="337"/>
      <c r="K17" s="337"/>
      <c r="L17" s="337"/>
      <c r="M17" s="337"/>
      <c r="N17" s="337"/>
      <c r="O17" s="337"/>
      <c r="P17" s="338"/>
      <c r="R17" s="336">
        <f>KeyInputs!$F$17+1</f>
        <v>42006</v>
      </c>
      <c r="S17" s="337"/>
      <c r="T17" s="337"/>
      <c r="U17" s="337"/>
      <c r="V17" s="337"/>
      <c r="W17" s="337"/>
      <c r="X17" s="337"/>
      <c r="Y17" s="337"/>
      <c r="Z17" s="337"/>
      <c r="AA17" s="337"/>
      <c r="AB17" s="337"/>
      <c r="AC17" s="338"/>
      <c r="AE17" s="336">
        <f>KeyInputs!$F$17+2</f>
        <v>42007</v>
      </c>
      <c r="AF17" s="337"/>
      <c r="AG17" s="337"/>
      <c r="AH17" s="337"/>
      <c r="AI17" s="337"/>
      <c r="AJ17" s="337"/>
      <c r="AK17" s="337"/>
      <c r="AL17" s="337"/>
      <c r="AM17" s="337"/>
      <c r="AN17" s="337"/>
      <c r="AO17" s="337"/>
      <c r="AP17" s="338"/>
    </row>
    <row r="18" spans="1:42" x14ac:dyDescent="0.3">
      <c r="E18" s="31" t="e">
        <f>KeyInputs!#REF!</f>
        <v>#REF!</v>
      </c>
      <c r="F18" s="32" t="e">
        <f ca="1">OFFSET(Worksheet!$A$14,,(HLOOKUP(KeyInputs!#REF!,Worksheet!$A$14:$L$15,2,FALSE)))</f>
        <v>#REF!</v>
      </c>
      <c r="G18" s="32" t="e">
        <f ca="1">OFFSET(Worksheet!$A$14,,(HLOOKUP(KeyInputs!#REF!,Worksheet!$A$14:$L$15,2,FALSE))+Worksheet!$A$15)</f>
        <v>#REF!</v>
      </c>
      <c r="H18" s="32" t="e">
        <f ca="1">OFFSET(Worksheet!$A$14,,(HLOOKUP(KeyInputs!#REF!,Worksheet!$A$14:$L$15,2,FALSE))+Worksheet!$B$15)</f>
        <v>#REF!</v>
      </c>
      <c r="I18" s="32" t="e">
        <f ca="1">OFFSET(Worksheet!$A$14,,(HLOOKUP(KeyInputs!#REF!,Worksheet!$A$14:$L$15,2,FALSE))+Worksheet!$C$15)</f>
        <v>#REF!</v>
      </c>
      <c r="J18" s="32" t="e">
        <f ca="1">OFFSET(Worksheet!$A$14,,(HLOOKUP(KeyInputs!#REF!,Worksheet!$A$14:$L$15,2,FALSE))+Worksheet!$D$15)</f>
        <v>#REF!</v>
      </c>
      <c r="K18" s="32" t="e">
        <f ca="1">OFFSET(Worksheet!$A$14,,(HLOOKUP(KeyInputs!#REF!,Worksheet!$A$14:$L$15,2,FALSE))+Worksheet!$E$15)</f>
        <v>#REF!</v>
      </c>
      <c r="L18" s="32" t="e">
        <f ca="1">OFFSET(Worksheet!$A$14,,(HLOOKUP(KeyInputs!#REF!,Worksheet!$A$14:$L$15,2,FALSE))+Worksheet!$F$15)</f>
        <v>#REF!</v>
      </c>
      <c r="M18" s="32" t="e">
        <f ca="1">OFFSET(Worksheet!$A$14,,(HLOOKUP(KeyInputs!#REF!,Worksheet!$A$14:$L$15,2,FALSE))+Worksheet!$G$15)</f>
        <v>#REF!</v>
      </c>
      <c r="N18" s="32" t="e">
        <f ca="1">OFFSET(Worksheet!$A$14,,(HLOOKUP(KeyInputs!#REF!,Worksheet!$A$14:$L$15,2,FALSE))+Worksheet!$H$15)</f>
        <v>#REF!</v>
      </c>
      <c r="O18" s="32" t="e">
        <f ca="1">OFFSET(Worksheet!$A$14,,(HLOOKUP(KeyInputs!#REF!,Worksheet!$A$14:$L$15,2,FALSE))+Worksheet!$I$15)</f>
        <v>#REF!</v>
      </c>
      <c r="P18" s="32" t="e">
        <f ca="1">OFFSET(Worksheet!$A$14,,(HLOOKUP(KeyInputs!#REF!,Worksheet!$A$14:$L$15,2,FALSE))+Worksheet!$J$15)</f>
        <v>#REF!</v>
      </c>
      <c r="R18" s="31" t="e">
        <f>KeyInputs!#REF!</f>
        <v>#REF!</v>
      </c>
      <c r="S18" s="32" t="e">
        <f ca="1">OFFSET(Worksheet!$A$14,,(HLOOKUP(KeyInputs!#REF!,Worksheet!$A$14:$L$15,2,FALSE)))</f>
        <v>#REF!</v>
      </c>
      <c r="T18" s="32" t="e">
        <f ca="1">OFFSET(Worksheet!$A$14,,(HLOOKUP(KeyInputs!#REF!,Worksheet!$A$14:$L$15,2,FALSE))+Worksheet!$A$15)</f>
        <v>#REF!</v>
      </c>
      <c r="U18" s="32" t="e">
        <f ca="1">OFFSET(Worksheet!$A$14,,(HLOOKUP(KeyInputs!#REF!,Worksheet!$A$14:$L$15,2,FALSE))+Worksheet!$B$15)</f>
        <v>#REF!</v>
      </c>
      <c r="V18" s="32" t="e">
        <f ca="1">OFFSET(Worksheet!$A$14,,(HLOOKUP(KeyInputs!#REF!,Worksheet!$A$14:$L$15,2,FALSE))+Worksheet!$C$15)</f>
        <v>#REF!</v>
      </c>
      <c r="W18" s="32" t="e">
        <f ca="1">OFFSET(Worksheet!$A$14,,(HLOOKUP(KeyInputs!#REF!,Worksheet!$A$14:$L$15,2,FALSE))+Worksheet!$D$15)</f>
        <v>#REF!</v>
      </c>
      <c r="X18" s="32" t="e">
        <f ca="1">OFFSET(Worksheet!$A$14,,(HLOOKUP(KeyInputs!#REF!,Worksheet!$A$14:$L$15,2,FALSE))+Worksheet!$E$15)</f>
        <v>#REF!</v>
      </c>
      <c r="Y18" s="32" t="e">
        <f ca="1">OFFSET(Worksheet!$A$14,,(HLOOKUP(KeyInputs!#REF!,Worksheet!$A$14:$L$15,2,FALSE))+Worksheet!$F$15)</f>
        <v>#REF!</v>
      </c>
      <c r="Z18" s="32" t="e">
        <f ca="1">OFFSET(Worksheet!$A$14,,(HLOOKUP(KeyInputs!#REF!,Worksheet!$A$14:$L$15,2,FALSE))+Worksheet!$G$15)</f>
        <v>#REF!</v>
      </c>
      <c r="AA18" s="32" t="e">
        <f ca="1">OFFSET(Worksheet!$A$14,,(HLOOKUP(KeyInputs!#REF!,Worksheet!$A$14:$L$15,2,FALSE))+Worksheet!$H$15)</f>
        <v>#REF!</v>
      </c>
      <c r="AB18" s="32" t="e">
        <f ca="1">OFFSET(Worksheet!$A$14,,(HLOOKUP(KeyInputs!#REF!,Worksheet!$A$14:$L$15,2,FALSE))+Worksheet!$I$15)</f>
        <v>#REF!</v>
      </c>
      <c r="AC18" s="32" t="e">
        <f ca="1">OFFSET(Worksheet!$A$14,,(HLOOKUP(KeyInputs!#REF!,Worksheet!$A$14:$L$15,2,FALSE))+Worksheet!$J$15)</f>
        <v>#REF!</v>
      </c>
      <c r="AE18" s="31" t="e">
        <f>KeyInputs!#REF!</f>
        <v>#REF!</v>
      </c>
      <c r="AF18" s="32" t="e">
        <f ca="1">OFFSET(Worksheet!$A$14,,(HLOOKUP(KeyInputs!#REF!,Worksheet!$A$14:$L$15,2,FALSE)))</f>
        <v>#REF!</v>
      </c>
      <c r="AG18" s="32" t="e">
        <f ca="1">OFFSET(Worksheet!$A$14,,(HLOOKUP(KeyInputs!#REF!,Worksheet!$A$14:$L$15,2,FALSE))+Worksheet!$A$15)</f>
        <v>#REF!</v>
      </c>
      <c r="AH18" s="32" t="e">
        <f ca="1">OFFSET(Worksheet!$A$14,,(HLOOKUP(KeyInputs!#REF!,Worksheet!$A$14:$L$15,2,FALSE))+Worksheet!$B$15)</f>
        <v>#REF!</v>
      </c>
      <c r="AI18" s="32" t="e">
        <f ca="1">OFFSET(Worksheet!$A$14,,(HLOOKUP(KeyInputs!#REF!,Worksheet!$A$14:$L$15,2,FALSE))+Worksheet!$C$15)</f>
        <v>#REF!</v>
      </c>
      <c r="AJ18" s="32" t="e">
        <f ca="1">OFFSET(Worksheet!$A$14,,(HLOOKUP(KeyInputs!#REF!,Worksheet!$A$14:$L$15,2,FALSE))+Worksheet!$D$15)</f>
        <v>#REF!</v>
      </c>
      <c r="AK18" s="32" t="e">
        <f ca="1">OFFSET(Worksheet!$A$14,,(HLOOKUP(KeyInputs!#REF!,Worksheet!$A$14:$L$15,2,FALSE))+Worksheet!$E$15)</f>
        <v>#REF!</v>
      </c>
      <c r="AL18" s="32" t="e">
        <f ca="1">OFFSET(Worksheet!$A$14,,(HLOOKUP(KeyInputs!#REF!,Worksheet!$A$14:$L$15,2,FALSE))+Worksheet!$F$15)</f>
        <v>#REF!</v>
      </c>
      <c r="AM18" s="32" t="e">
        <f ca="1">OFFSET(Worksheet!$A$14,,(HLOOKUP(KeyInputs!#REF!,Worksheet!$A$14:$L$15,2,FALSE))+Worksheet!$G$15)</f>
        <v>#REF!</v>
      </c>
      <c r="AN18" s="32" t="e">
        <f ca="1">OFFSET(Worksheet!$A$14,,(HLOOKUP(KeyInputs!#REF!,Worksheet!$A$14:$L$15,2,FALSE))+Worksheet!$H$15)</f>
        <v>#REF!</v>
      </c>
      <c r="AO18" s="32" t="e">
        <f ca="1">OFFSET(Worksheet!$A$14,,(HLOOKUP(KeyInputs!#REF!,Worksheet!$A$14:$L$15,2,FALSE))+Worksheet!$I$15)</f>
        <v>#REF!</v>
      </c>
      <c r="AP18" s="32" t="e">
        <f ca="1">OFFSET(Worksheet!$A$14,,(HLOOKUP(KeyInputs!#REF!,Worksheet!$A$14:$L$15,2,FALSE))+Worksheet!$J$15)</f>
        <v>#REF!</v>
      </c>
    </row>
    <row r="19" spans="1:42" x14ac:dyDescent="0.3">
      <c r="A19" t="str">
        <f>A6</f>
        <v>Investment 1</v>
      </c>
      <c r="E19" s="17">
        <f>IF(E6&gt;0,IF(E6/$C$6/12&gt;0,E6/$C$6/12,0),IF(D19&gt;0,IF(D37&gt;0,D19,0),0))</f>
        <v>0</v>
      </c>
      <c r="F19" s="17">
        <f t="shared" ref="F19:P19" si="3">IF(F6&gt;0,IF(F6/$C$6/12&gt;0,F6/$C$6/12,0),IF(E19&gt;0,IF(E37&gt;0,E19,0),0))</f>
        <v>0</v>
      </c>
      <c r="G19" s="17">
        <f t="shared" si="3"/>
        <v>0</v>
      </c>
      <c r="H19" s="17">
        <f t="shared" si="3"/>
        <v>0</v>
      </c>
      <c r="I19" s="17">
        <f t="shared" si="3"/>
        <v>0</v>
      </c>
      <c r="J19" s="17">
        <f t="shared" si="3"/>
        <v>0</v>
      </c>
      <c r="K19" s="17">
        <f t="shared" si="3"/>
        <v>0</v>
      </c>
      <c r="L19" s="17">
        <f t="shared" si="3"/>
        <v>0</v>
      </c>
      <c r="M19" s="17">
        <f t="shared" si="3"/>
        <v>0</v>
      </c>
      <c r="N19" s="17">
        <f t="shared" si="3"/>
        <v>0</v>
      </c>
      <c r="O19" s="17">
        <f t="shared" si="3"/>
        <v>0</v>
      </c>
      <c r="P19" s="17">
        <f t="shared" si="3"/>
        <v>0</v>
      </c>
      <c r="R19" s="17">
        <f>IF(R6&gt;0,IF(R6/$C$6/12&gt;0,R6/$C$6/12,0),IF(P19&gt;0,IF(P37&gt;0,P19,0),0))</f>
        <v>0</v>
      </c>
      <c r="S19" s="17">
        <f>IF(S6&gt;0,IF(S6/$C$6/12&gt;0,S6/$C$6/12,0),IF(R19&gt;0,IF(R37&gt;0,R19,0),0))</f>
        <v>0</v>
      </c>
      <c r="T19" s="17">
        <f t="shared" ref="T19:AC19" si="4">IF(T6&gt;0,IF(T6/$C$6/12&gt;0,T6/$C$6/12,0),IF(S19&gt;0,IF(S37&gt;0,S19,0),0))</f>
        <v>0</v>
      </c>
      <c r="U19" s="17">
        <f t="shared" si="4"/>
        <v>0</v>
      </c>
      <c r="V19" s="17">
        <f t="shared" si="4"/>
        <v>0</v>
      </c>
      <c r="W19" s="17">
        <f t="shared" si="4"/>
        <v>0</v>
      </c>
      <c r="X19" s="17">
        <f t="shared" si="4"/>
        <v>0</v>
      </c>
      <c r="Y19" s="17">
        <f t="shared" si="4"/>
        <v>0</v>
      </c>
      <c r="Z19" s="17">
        <f t="shared" si="4"/>
        <v>0</v>
      </c>
      <c r="AA19" s="17">
        <f t="shared" si="4"/>
        <v>0</v>
      </c>
      <c r="AB19" s="17">
        <f t="shared" si="4"/>
        <v>0</v>
      </c>
      <c r="AC19" s="17">
        <f t="shared" si="4"/>
        <v>0</v>
      </c>
      <c r="AE19" s="17">
        <f>IF(AE6&gt;0,IF(AE6/$C$6/12&gt;0,AE6/$C$6/12,0),IF(AC19&gt;0,IF(AC37&gt;0,AC19,0),0))</f>
        <v>0</v>
      </c>
      <c r="AF19" s="17">
        <f t="shared" ref="AF19:AP19" si="5">IF(AF6&gt;0,IF(AF6/$C$6/12&gt;0,AF6/$C$6/12,0),IF(AE19&gt;0,IF(AE37&gt;0,AE19,0),0))</f>
        <v>0</v>
      </c>
      <c r="AG19" s="17">
        <f t="shared" si="5"/>
        <v>0</v>
      </c>
      <c r="AH19" s="17">
        <f t="shared" si="5"/>
        <v>0</v>
      </c>
      <c r="AI19" s="17">
        <f t="shared" si="5"/>
        <v>0</v>
      </c>
      <c r="AJ19" s="17">
        <f t="shared" si="5"/>
        <v>0</v>
      </c>
      <c r="AK19" s="17">
        <f t="shared" si="5"/>
        <v>0</v>
      </c>
      <c r="AL19" s="17">
        <f t="shared" si="5"/>
        <v>0</v>
      </c>
      <c r="AM19" s="17">
        <f t="shared" si="5"/>
        <v>0</v>
      </c>
      <c r="AN19" s="17">
        <f t="shared" si="5"/>
        <v>0</v>
      </c>
      <c r="AO19" s="17">
        <f t="shared" si="5"/>
        <v>0</v>
      </c>
      <c r="AP19" s="17">
        <f t="shared" si="5"/>
        <v>0</v>
      </c>
    </row>
    <row r="20" spans="1:42" x14ac:dyDescent="0.3">
      <c r="A20" t="str">
        <f t="shared" ref="A20:A25" si="6">A7</f>
        <v>Investment 2</v>
      </c>
      <c r="E20" s="17">
        <f>IF(E7&gt;0,IF(E7/$C$7/12&gt;0,E7/$C$7/12,0),IF(D20&gt;0,IF(D38&gt;0,D20,0),0))</f>
        <v>0</v>
      </c>
      <c r="F20" s="17">
        <f t="shared" ref="F20:P20" si="7">IF(F7&gt;0,IF(F7/$C$7/12&gt;0,F7/$C$7/12,0),IF(E20&gt;0,IF(E38&gt;0,E20,0),0))</f>
        <v>0</v>
      </c>
      <c r="G20" s="17">
        <f t="shared" si="7"/>
        <v>0</v>
      </c>
      <c r="H20" s="17">
        <f t="shared" si="7"/>
        <v>0</v>
      </c>
      <c r="I20" s="17">
        <f t="shared" si="7"/>
        <v>0</v>
      </c>
      <c r="J20" s="17">
        <f t="shared" si="7"/>
        <v>0</v>
      </c>
      <c r="K20" s="17">
        <f t="shared" si="7"/>
        <v>0</v>
      </c>
      <c r="L20" s="17">
        <f t="shared" si="7"/>
        <v>0</v>
      </c>
      <c r="M20" s="17">
        <f t="shared" si="7"/>
        <v>0</v>
      </c>
      <c r="N20" s="17">
        <f t="shared" si="7"/>
        <v>0</v>
      </c>
      <c r="O20" s="17">
        <f t="shared" si="7"/>
        <v>0</v>
      </c>
      <c r="P20" s="17">
        <f t="shared" si="7"/>
        <v>0</v>
      </c>
      <c r="R20" s="17">
        <f>IF(R7&gt;0,IF(R7/$C$7/12&gt;0,R7/$C$7/12,0),IF(P20&gt;0,IF(P38&gt;0,P20,0),0))</f>
        <v>0</v>
      </c>
      <c r="S20" s="17">
        <f>IF(S7&gt;0,IF(S7/$C$7/12&gt;0,S7/$C$7/12,0),IF(R20&gt;0,IF(R38&gt;0,R20,0),0))</f>
        <v>0</v>
      </c>
      <c r="T20" s="17">
        <f t="shared" ref="T20:AC20" si="8">IF(T7&gt;0,IF(T7/$C$7/12&gt;0,T7/$C$7/12,0),IF(S20&gt;0,IF(S38&gt;0,S20,0),0))</f>
        <v>0</v>
      </c>
      <c r="U20" s="17">
        <f t="shared" si="8"/>
        <v>0</v>
      </c>
      <c r="V20" s="17">
        <f t="shared" si="8"/>
        <v>0</v>
      </c>
      <c r="W20" s="17">
        <f t="shared" si="8"/>
        <v>0</v>
      </c>
      <c r="X20" s="17">
        <f t="shared" si="8"/>
        <v>0</v>
      </c>
      <c r="Y20" s="17">
        <f t="shared" si="8"/>
        <v>0</v>
      </c>
      <c r="Z20" s="17">
        <f t="shared" si="8"/>
        <v>0</v>
      </c>
      <c r="AA20" s="17">
        <f t="shared" si="8"/>
        <v>0</v>
      </c>
      <c r="AB20" s="17">
        <f t="shared" si="8"/>
        <v>0</v>
      </c>
      <c r="AC20" s="17">
        <f t="shared" si="8"/>
        <v>0</v>
      </c>
      <c r="AE20" s="17">
        <f>IF(AE7&gt;0,IF(AE7/$C$7/12&gt;0,AE7/$C$7/12,0),IF(AC20&gt;0,IF(AC38&gt;0,AC20,0),0))</f>
        <v>0</v>
      </c>
      <c r="AF20" s="17">
        <f t="shared" ref="AF20:AP20" si="9">IF(AF7&gt;0,IF(AF7/$C$7/4&gt;0,AF7/$C$7/4,0),IF(AE20&gt;0,IF(AE38&gt;0,AE20,0),0))</f>
        <v>0</v>
      </c>
      <c r="AG20" s="17">
        <f t="shared" si="9"/>
        <v>0</v>
      </c>
      <c r="AH20" s="17">
        <f t="shared" si="9"/>
        <v>0</v>
      </c>
      <c r="AI20" s="17">
        <f t="shared" si="9"/>
        <v>0</v>
      </c>
      <c r="AJ20" s="17">
        <f t="shared" si="9"/>
        <v>0</v>
      </c>
      <c r="AK20" s="17">
        <f t="shared" si="9"/>
        <v>0</v>
      </c>
      <c r="AL20" s="17">
        <f t="shared" si="9"/>
        <v>0</v>
      </c>
      <c r="AM20" s="17">
        <f t="shared" si="9"/>
        <v>0</v>
      </c>
      <c r="AN20" s="17">
        <f t="shared" si="9"/>
        <v>0</v>
      </c>
      <c r="AO20" s="17">
        <f t="shared" si="9"/>
        <v>0</v>
      </c>
      <c r="AP20" s="17">
        <f t="shared" si="9"/>
        <v>0</v>
      </c>
    </row>
    <row r="21" spans="1:42" x14ac:dyDescent="0.3">
      <c r="A21" t="str">
        <f t="shared" si="6"/>
        <v>Investment 3</v>
      </c>
      <c r="E21" s="17">
        <f>IF(E8&gt;0,IF(E8/$C$8/12&gt;0,E8/$C$8/12,0),IF(D21&gt;0,IF(D39&gt;0,D21,0),0))</f>
        <v>0</v>
      </c>
      <c r="F21" s="17">
        <f t="shared" ref="F21:P21" si="10">IF(F8&gt;0,IF(F8/$C$8/12&gt;0,F8/$C$8/12,0),IF(E21&gt;0,IF(E39&gt;0,E21,0),0))</f>
        <v>0</v>
      </c>
      <c r="G21" s="17">
        <f t="shared" si="10"/>
        <v>0</v>
      </c>
      <c r="H21" s="17">
        <f t="shared" si="10"/>
        <v>0</v>
      </c>
      <c r="I21" s="17">
        <f t="shared" si="10"/>
        <v>0</v>
      </c>
      <c r="J21" s="17">
        <f t="shared" si="10"/>
        <v>0</v>
      </c>
      <c r="K21" s="17">
        <f t="shared" si="10"/>
        <v>0</v>
      </c>
      <c r="L21" s="17">
        <f t="shared" si="10"/>
        <v>0</v>
      </c>
      <c r="M21" s="17">
        <f t="shared" si="10"/>
        <v>0</v>
      </c>
      <c r="N21" s="17">
        <f t="shared" si="10"/>
        <v>0</v>
      </c>
      <c r="O21" s="17">
        <f t="shared" si="10"/>
        <v>0</v>
      </c>
      <c r="P21" s="17">
        <f t="shared" si="10"/>
        <v>0</v>
      </c>
      <c r="R21" s="17">
        <f>IF(R8&gt;0,IF(R8/$C$8/12&gt;0,R8/$C$8/12,0),IF(P21&gt;0,IF(P39&gt;0,P21,0),0))</f>
        <v>0</v>
      </c>
      <c r="S21" s="17">
        <f>IF(S8&gt;0,IF(S8/$C$8/12&gt;0,S8/$C$8/12,0),IF(R21&gt;0,IF(R39&gt;0,R21,0),0))</f>
        <v>0</v>
      </c>
      <c r="T21" s="17">
        <f t="shared" ref="T21:AC21" si="11">IF(T8&gt;0,IF(T8/$C$8/12&gt;0,T8/$C$8/12,0),IF(S21&gt;0,IF(S39&gt;0,S21,0),0))</f>
        <v>0</v>
      </c>
      <c r="U21" s="17">
        <f t="shared" si="11"/>
        <v>0</v>
      </c>
      <c r="V21" s="17">
        <f t="shared" si="11"/>
        <v>0</v>
      </c>
      <c r="W21" s="17">
        <f t="shared" si="11"/>
        <v>0</v>
      </c>
      <c r="X21" s="17">
        <f t="shared" si="11"/>
        <v>0</v>
      </c>
      <c r="Y21" s="17">
        <f t="shared" si="11"/>
        <v>0</v>
      </c>
      <c r="Z21" s="17">
        <f t="shared" si="11"/>
        <v>0</v>
      </c>
      <c r="AA21" s="17">
        <f t="shared" si="11"/>
        <v>0</v>
      </c>
      <c r="AB21" s="17">
        <f t="shared" si="11"/>
        <v>0</v>
      </c>
      <c r="AC21" s="17">
        <f t="shared" si="11"/>
        <v>0</v>
      </c>
      <c r="AE21" s="17">
        <f>IF(AE8&gt;0,IF(AE8/$C$8/12&gt;0,AE8/$C$8/12,0),IF(AC21&gt;0,IF(AC39&gt;0,AC21,0),0))</f>
        <v>0</v>
      </c>
      <c r="AF21" s="17">
        <f t="shared" ref="AF21:AP21" si="12">IF(AF8&gt;0,IF(AF8/$C$8/4&gt;0,AF8/$C$8/4,0),IF(AE21&gt;0,IF(AE39&gt;0,AE21,0),0))</f>
        <v>0</v>
      </c>
      <c r="AG21" s="17">
        <f t="shared" si="12"/>
        <v>0</v>
      </c>
      <c r="AH21" s="17">
        <f t="shared" si="12"/>
        <v>0</v>
      </c>
      <c r="AI21" s="17">
        <f t="shared" si="12"/>
        <v>0</v>
      </c>
      <c r="AJ21" s="17">
        <f t="shared" si="12"/>
        <v>0</v>
      </c>
      <c r="AK21" s="17">
        <f t="shared" si="12"/>
        <v>0</v>
      </c>
      <c r="AL21" s="17">
        <f t="shared" si="12"/>
        <v>0</v>
      </c>
      <c r="AM21" s="17">
        <f t="shared" si="12"/>
        <v>0</v>
      </c>
      <c r="AN21" s="17">
        <f t="shared" si="12"/>
        <v>0</v>
      </c>
      <c r="AO21" s="17">
        <f t="shared" si="12"/>
        <v>0</v>
      </c>
      <c r="AP21" s="17">
        <f t="shared" si="12"/>
        <v>0</v>
      </c>
    </row>
    <row r="22" spans="1:42" x14ac:dyDescent="0.3">
      <c r="A22" t="str">
        <f t="shared" si="6"/>
        <v>Investment 4</v>
      </c>
      <c r="E22" s="17">
        <f>IF(E9&gt;0,IF(E9/$C$9/12&gt;0,E9/$C$9/12,0),IF(D22&gt;0,IF(D40&gt;0,D22,0),0))</f>
        <v>0</v>
      </c>
      <c r="F22" s="17">
        <f t="shared" ref="F22:P22" si="13">IF(F9&gt;0,IF(F9/$C$9/12&gt;0,F9/$C$9/12,0),IF(E22&gt;0,IF(E40&gt;0,E22,0),0))</f>
        <v>0</v>
      </c>
      <c r="G22" s="17">
        <f t="shared" si="13"/>
        <v>0</v>
      </c>
      <c r="H22" s="17">
        <f t="shared" si="13"/>
        <v>0</v>
      </c>
      <c r="I22" s="17">
        <f t="shared" si="13"/>
        <v>0</v>
      </c>
      <c r="J22" s="17">
        <f t="shared" si="13"/>
        <v>0</v>
      </c>
      <c r="K22" s="17">
        <f t="shared" si="13"/>
        <v>0</v>
      </c>
      <c r="L22" s="17">
        <f t="shared" si="13"/>
        <v>0</v>
      </c>
      <c r="M22" s="17">
        <f t="shared" si="13"/>
        <v>0</v>
      </c>
      <c r="N22" s="17">
        <f t="shared" si="13"/>
        <v>0</v>
      </c>
      <c r="O22" s="17">
        <f t="shared" si="13"/>
        <v>0</v>
      </c>
      <c r="P22" s="17">
        <f t="shared" si="13"/>
        <v>0</v>
      </c>
      <c r="R22" s="17">
        <f>IF(R9&gt;0,IF(R9/$C$9/12&gt;0,R9/$C$9/12,0),IF(P22&gt;0,IF(P40&gt;0,P22,0),0))</f>
        <v>0</v>
      </c>
      <c r="S22" s="17">
        <f>IF(S9&gt;0,IF(S9/$C$9/12&gt;0,S9/$C$9/12,0),IF(R22&gt;0,IF(R40&gt;0,R22,0),0))</f>
        <v>0</v>
      </c>
      <c r="T22" s="17">
        <f t="shared" ref="T22:AC22" si="14">IF(T9&gt;0,IF(T9/$C$9/12&gt;0,T9/$C$9/12,0),IF(S22&gt;0,IF(S40&gt;0,S22,0),0))</f>
        <v>0</v>
      </c>
      <c r="U22" s="17">
        <f t="shared" si="14"/>
        <v>0</v>
      </c>
      <c r="V22" s="17">
        <f t="shared" si="14"/>
        <v>0</v>
      </c>
      <c r="W22" s="17">
        <f t="shared" si="14"/>
        <v>0</v>
      </c>
      <c r="X22" s="17">
        <f t="shared" si="14"/>
        <v>0</v>
      </c>
      <c r="Y22" s="17">
        <f t="shared" si="14"/>
        <v>0</v>
      </c>
      <c r="Z22" s="17">
        <f t="shared" si="14"/>
        <v>0</v>
      </c>
      <c r="AA22" s="17">
        <f t="shared" si="14"/>
        <v>0</v>
      </c>
      <c r="AB22" s="17">
        <f t="shared" si="14"/>
        <v>0</v>
      </c>
      <c r="AC22" s="17">
        <f t="shared" si="14"/>
        <v>0</v>
      </c>
      <c r="AE22" s="17">
        <f>IF(AE9&gt;0,IF(AE9/$C$9/12&gt;0,AE9/$C$9/12,0),IF(AC22&gt;0,IF(AC40&gt;0,AC22,0),0))</f>
        <v>0</v>
      </c>
      <c r="AF22" s="17">
        <f t="shared" ref="AF22:AP22" si="15">IF(AF9&gt;0,IF(AF9/$C$9/4&gt;0,AF9/$C$9/4,0),IF(AE22&gt;0,IF(AE40&gt;0,AE22,0),0))</f>
        <v>0</v>
      </c>
      <c r="AG22" s="17">
        <f t="shared" si="15"/>
        <v>0</v>
      </c>
      <c r="AH22" s="17">
        <f t="shared" si="15"/>
        <v>0</v>
      </c>
      <c r="AI22" s="17">
        <f t="shared" si="15"/>
        <v>0</v>
      </c>
      <c r="AJ22" s="17">
        <f t="shared" si="15"/>
        <v>0</v>
      </c>
      <c r="AK22" s="17">
        <f t="shared" si="15"/>
        <v>0</v>
      </c>
      <c r="AL22" s="17">
        <f t="shared" si="15"/>
        <v>0</v>
      </c>
      <c r="AM22" s="17">
        <f t="shared" si="15"/>
        <v>0</v>
      </c>
      <c r="AN22" s="17">
        <f t="shared" si="15"/>
        <v>0</v>
      </c>
      <c r="AO22" s="17">
        <f t="shared" si="15"/>
        <v>0</v>
      </c>
      <c r="AP22" s="17">
        <f t="shared" si="15"/>
        <v>0</v>
      </c>
    </row>
    <row r="23" spans="1:42" x14ac:dyDescent="0.3">
      <c r="A23" t="str">
        <f t="shared" si="6"/>
        <v>Investment 5</v>
      </c>
      <c r="E23" s="17">
        <f>IF(E10&gt;0,IF(E10/$C$10/12&gt;0,E10/$C$10/12,0),IF(D23&gt;0,IF(D41&gt;0,D23,0),0))</f>
        <v>0</v>
      </c>
      <c r="F23" s="17">
        <f t="shared" ref="F23:P23" si="16">IF(F10&gt;0,IF(F10/$C$10/12&gt;0,F10/$C$10/12,0),IF(E23&gt;0,IF(E41&gt;0,E23,0),0))</f>
        <v>0</v>
      </c>
      <c r="G23" s="17">
        <f t="shared" si="16"/>
        <v>0</v>
      </c>
      <c r="H23" s="17">
        <f t="shared" si="16"/>
        <v>0</v>
      </c>
      <c r="I23" s="17">
        <f t="shared" si="16"/>
        <v>0</v>
      </c>
      <c r="J23" s="17">
        <f t="shared" si="16"/>
        <v>0</v>
      </c>
      <c r="K23" s="17">
        <f t="shared" si="16"/>
        <v>0</v>
      </c>
      <c r="L23" s="17">
        <f t="shared" si="16"/>
        <v>0</v>
      </c>
      <c r="M23" s="17">
        <f t="shared" si="16"/>
        <v>0</v>
      </c>
      <c r="N23" s="17">
        <f t="shared" si="16"/>
        <v>0</v>
      </c>
      <c r="O23" s="17">
        <f t="shared" si="16"/>
        <v>0</v>
      </c>
      <c r="P23" s="17">
        <f t="shared" si="16"/>
        <v>0</v>
      </c>
      <c r="R23" s="17">
        <f>IF(R10&gt;0,IF(R10/$C$10/12&gt;0,R10/$C$10/12,0),IF(P23&gt;0,IF(P41&gt;0,P23,0),0))</f>
        <v>0</v>
      </c>
      <c r="S23" s="17">
        <f>IF(S10&gt;0,IF(S10/$C$10/12&gt;0,S10/$C$10/12,0),IF(R23&gt;0,IF(R41&gt;0,R23,0),0))</f>
        <v>0</v>
      </c>
      <c r="T23" s="17">
        <f t="shared" ref="T23:AC23" si="17">IF(T10&gt;0,IF(T10/$C$10/12&gt;0,T10/$C$10/12,0),IF(S23&gt;0,IF(S41&gt;0,S23,0),0))</f>
        <v>0</v>
      </c>
      <c r="U23" s="17">
        <f t="shared" si="17"/>
        <v>0</v>
      </c>
      <c r="V23" s="17">
        <f t="shared" si="17"/>
        <v>0</v>
      </c>
      <c r="W23" s="17">
        <f t="shared" si="17"/>
        <v>0</v>
      </c>
      <c r="X23" s="17">
        <f t="shared" si="17"/>
        <v>0</v>
      </c>
      <c r="Y23" s="17">
        <f t="shared" si="17"/>
        <v>0</v>
      </c>
      <c r="Z23" s="17">
        <f t="shared" si="17"/>
        <v>0</v>
      </c>
      <c r="AA23" s="17">
        <f t="shared" si="17"/>
        <v>0</v>
      </c>
      <c r="AB23" s="17">
        <f t="shared" si="17"/>
        <v>0</v>
      </c>
      <c r="AC23" s="17">
        <f t="shared" si="17"/>
        <v>0</v>
      </c>
      <c r="AE23" s="17">
        <f>IF(AE10&gt;0,IF(AE10/$C$10/12&gt;0,AE10/$C$10/12,0),IF(AC23&gt;0,IF(AC41&gt;0,AC23,0),0))</f>
        <v>0</v>
      </c>
      <c r="AF23" s="17">
        <f t="shared" ref="AF23:AP23" si="18">IF(AF10&gt;0,IF(AF10/$C$10/4&gt;0,AF10/$C$10/4,0),IF(AE23&gt;0,IF(AE41&gt;0,AE23,0),0))</f>
        <v>0</v>
      </c>
      <c r="AG23" s="17">
        <f t="shared" si="18"/>
        <v>0</v>
      </c>
      <c r="AH23" s="17">
        <f t="shared" si="18"/>
        <v>0</v>
      </c>
      <c r="AI23" s="17">
        <f t="shared" si="18"/>
        <v>0</v>
      </c>
      <c r="AJ23" s="17">
        <f t="shared" si="18"/>
        <v>0</v>
      </c>
      <c r="AK23" s="17">
        <f t="shared" si="18"/>
        <v>0</v>
      </c>
      <c r="AL23" s="17">
        <f t="shared" si="18"/>
        <v>0</v>
      </c>
      <c r="AM23" s="17">
        <f t="shared" si="18"/>
        <v>0</v>
      </c>
      <c r="AN23" s="17">
        <f t="shared" si="18"/>
        <v>0</v>
      </c>
      <c r="AO23" s="17">
        <f t="shared" si="18"/>
        <v>0</v>
      </c>
      <c r="AP23" s="17">
        <f t="shared" si="18"/>
        <v>0</v>
      </c>
    </row>
    <row r="24" spans="1:42" x14ac:dyDescent="0.3">
      <c r="A24" t="str">
        <f t="shared" si="6"/>
        <v>Investment 6</v>
      </c>
      <c r="E24" s="17">
        <f>IF(E11&gt;0,IF(E11/$C$11/12&gt;0,E11/$C$11/12,0),IF(D24&gt;0,IF(D42&gt;0,D24,0),0))</f>
        <v>0</v>
      </c>
      <c r="F24" s="17">
        <f t="shared" ref="F24:P24" si="19">IF(F11&gt;0,IF(F11/$C$11/12&gt;0,F11/$C$11/12,0),IF(E24&gt;0,IF(E42&gt;0,E24,0),0))</f>
        <v>0</v>
      </c>
      <c r="G24" s="17">
        <f t="shared" si="19"/>
        <v>0</v>
      </c>
      <c r="H24" s="17">
        <f t="shared" si="19"/>
        <v>0</v>
      </c>
      <c r="I24" s="17">
        <f t="shared" si="19"/>
        <v>0</v>
      </c>
      <c r="J24" s="17">
        <f t="shared" si="19"/>
        <v>0</v>
      </c>
      <c r="K24" s="17">
        <f t="shared" si="19"/>
        <v>0</v>
      </c>
      <c r="L24" s="17">
        <f t="shared" si="19"/>
        <v>0</v>
      </c>
      <c r="M24" s="17">
        <f t="shared" si="19"/>
        <v>0</v>
      </c>
      <c r="N24" s="17">
        <f t="shared" si="19"/>
        <v>0</v>
      </c>
      <c r="O24" s="17">
        <f t="shared" si="19"/>
        <v>0</v>
      </c>
      <c r="P24" s="17">
        <f t="shared" si="19"/>
        <v>0</v>
      </c>
      <c r="R24" s="17">
        <f>IF(R11&gt;0,IF(R11/$C$11/12&gt;0,R11/$C$11/12,0),IF(P24&gt;0,IF(P42&gt;0,P24,0),0))</f>
        <v>0</v>
      </c>
      <c r="S24" s="17">
        <f>IF(S11&gt;0,IF(S11/$C$11/12&gt;0,S11/$C$11/12,0),IF(R24&gt;0,IF(R42&gt;0,R24,0),0))</f>
        <v>0</v>
      </c>
      <c r="T24" s="17">
        <f t="shared" ref="T24:AC24" si="20">IF(T11&gt;0,IF(T11/$C$11/12&gt;0,T11/$C$11/12,0),IF(S24&gt;0,IF(S42&gt;0,S24,0),0))</f>
        <v>0</v>
      </c>
      <c r="U24" s="17">
        <f t="shared" si="20"/>
        <v>0</v>
      </c>
      <c r="V24" s="17">
        <f t="shared" si="20"/>
        <v>0</v>
      </c>
      <c r="W24" s="17">
        <f t="shared" si="20"/>
        <v>0</v>
      </c>
      <c r="X24" s="17">
        <f t="shared" si="20"/>
        <v>0</v>
      </c>
      <c r="Y24" s="17">
        <f t="shared" si="20"/>
        <v>0</v>
      </c>
      <c r="Z24" s="17">
        <f t="shared" si="20"/>
        <v>0</v>
      </c>
      <c r="AA24" s="17">
        <f t="shared" si="20"/>
        <v>0</v>
      </c>
      <c r="AB24" s="17">
        <f t="shared" si="20"/>
        <v>0</v>
      </c>
      <c r="AC24" s="17">
        <f t="shared" si="20"/>
        <v>0</v>
      </c>
      <c r="AE24" s="17">
        <f>IF(AE11&gt;0,IF(AE11/$C$11/12&gt;0,AE11/$C$11/12,0),IF(AC24&gt;0,IF(AC42&gt;0,AC24,0),0))</f>
        <v>0</v>
      </c>
      <c r="AF24" s="17">
        <f t="shared" ref="AF24:AP24" si="21">IF(AF11&gt;0,IF(AF11/$C$11/4&gt;0,AF11/$C$11/4,0),IF(AE24&gt;0,IF(AE42&gt;0,AE24,0),0))</f>
        <v>0</v>
      </c>
      <c r="AG24" s="17">
        <f t="shared" si="21"/>
        <v>0</v>
      </c>
      <c r="AH24" s="17">
        <f t="shared" si="21"/>
        <v>0</v>
      </c>
      <c r="AI24" s="17">
        <f t="shared" si="21"/>
        <v>0</v>
      </c>
      <c r="AJ24" s="17">
        <f t="shared" si="21"/>
        <v>0</v>
      </c>
      <c r="AK24" s="17">
        <f t="shared" si="21"/>
        <v>0</v>
      </c>
      <c r="AL24" s="17">
        <f t="shared" si="21"/>
        <v>0</v>
      </c>
      <c r="AM24" s="17">
        <f t="shared" si="21"/>
        <v>0</v>
      </c>
      <c r="AN24" s="17">
        <f t="shared" si="21"/>
        <v>0</v>
      </c>
      <c r="AO24" s="17">
        <f t="shared" si="21"/>
        <v>0</v>
      </c>
      <c r="AP24" s="17">
        <f t="shared" si="21"/>
        <v>0</v>
      </c>
    </row>
    <row r="25" spans="1:42" hidden="1" x14ac:dyDescent="0.3">
      <c r="A25" t="str">
        <f t="shared" si="6"/>
        <v>Interest Only Investment 1</v>
      </c>
      <c r="E25" s="17">
        <f>IF(E12&gt;0,IF(E12/$C$12/12&gt;0,E12/$C$12/12,0),IF(D25&gt;0,IF(D43&gt;0,D25,0),0))</f>
        <v>0</v>
      </c>
      <c r="F25" s="17">
        <f t="shared" ref="F25:P25" si="22">IF(F12&gt;0,IF(F12/$C$12/12&gt;0,F12/$C$12/12,0),IF(E25&gt;0,IF(E43&gt;0,E25,0),0))</f>
        <v>0</v>
      </c>
      <c r="G25" s="17">
        <f t="shared" si="22"/>
        <v>0</v>
      </c>
      <c r="H25" s="17">
        <f t="shared" si="22"/>
        <v>0</v>
      </c>
      <c r="I25" s="17">
        <f t="shared" si="22"/>
        <v>0</v>
      </c>
      <c r="J25" s="17">
        <f t="shared" si="22"/>
        <v>0</v>
      </c>
      <c r="K25" s="17">
        <f t="shared" si="22"/>
        <v>0</v>
      </c>
      <c r="L25" s="17">
        <f t="shared" si="22"/>
        <v>0</v>
      </c>
      <c r="M25" s="17">
        <f t="shared" si="22"/>
        <v>0</v>
      </c>
      <c r="N25" s="17">
        <f t="shared" si="22"/>
        <v>0</v>
      </c>
      <c r="O25" s="17">
        <f t="shared" si="22"/>
        <v>0</v>
      </c>
      <c r="P25" s="17">
        <f t="shared" si="22"/>
        <v>0</v>
      </c>
      <c r="R25" s="17">
        <f>IF(R12&gt;0,IF(R12/$C$12/12&gt;0,R12/$C$12/12,0),IF(P25&gt;0,IF(P43&gt;0,P25,0),0))</f>
        <v>0</v>
      </c>
      <c r="S25" s="17">
        <f>IF(S12&gt;0,IF(S12/$C$12/12&gt;0,S12/$C$12/12,0),IF(R25&gt;0,IF(R43&gt;0,R25,0),0))</f>
        <v>0</v>
      </c>
      <c r="T25" s="17">
        <f t="shared" ref="T25:AC25" si="23">IF(T12&gt;0,IF(T12/$C$12/12&gt;0,T12/$C$12/12,0),IF(S25&gt;0,IF(S43&gt;0,S25,0),0))</f>
        <v>0</v>
      </c>
      <c r="U25" s="17">
        <f t="shared" si="23"/>
        <v>0</v>
      </c>
      <c r="V25" s="17">
        <f t="shared" si="23"/>
        <v>0</v>
      </c>
      <c r="W25" s="17">
        <f t="shared" si="23"/>
        <v>0</v>
      </c>
      <c r="X25" s="17">
        <f t="shared" si="23"/>
        <v>0</v>
      </c>
      <c r="Y25" s="17">
        <f t="shared" si="23"/>
        <v>0</v>
      </c>
      <c r="Z25" s="17">
        <f t="shared" si="23"/>
        <v>0</v>
      </c>
      <c r="AA25" s="17">
        <f t="shared" si="23"/>
        <v>0</v>
      </c>
      <c r="AB25" s="17">
        <f t="shared" si="23"/>
        <v>0</v>
      </c>
      <c r="AC25" s="17">
        <f t="shared" si="23"/>
        <v>0</v>
      </c>
      <c r="AE25" s="17">
        <f>IF(AE12&gt;0,IF(AE12/$C$12/12&gt;0,AE12/$C$12/12,0),IF(AC25&gt;0,IF(AC43&gt;0,AC25,0),0))</f>
        <v>0</v>
      </c>
      <c r="AF25" s="17">
        <f>IF(AF12&gt;0,IF(AF12/$C$12/12&gt;0,AF12/$C$12/12,0),IF(AE25&gt;0,IF(AE43&gt;0,AE25,0),0))</f>
        <v>0</v>
      </c>
      <c r="AG25" s="17">
        <f t="shared" ref="AG25:AP25" si="24">IF(AG12&gt;0,IF(AG12/$C$12/12&gt;0,AG12/$C$12/12,0),IF(AF25&gt;0,IF(AF43&gt;0,AF25,0),0))</f>
        <v>0</v>
      </c>
      <c r="AH25" s="17">
        <f t="shared" si="24"/>
        <v>0</v>
      </c>
      <c r="AI25" s="17">
        <f t="shared" si="24"/>
        <v>0</v>
      </c>
      <c r="AJ25" s="17">
        <f t="shared" si="24"/>
        <v>0</v>
      </c>
      <c r="AK25" s="17">
        <f t="shared" si="24"/>
        <v>0</v>
      </c>
      <c r="AL25" s="17">
        <f t="shared" si="24"/>
        <v>0</v>
      </c>
      <c r="AM25" s="17">
        <f t="shared" si="24"/>
        <v>0</v>
      </c>
      <c r="AN25" s="17">
        <f t="shared" si="24"/>
        <v>0</v>
      </c>
      <c r="AO25" s="17">
        <f t="shared" si="24"/>
        <v>0</v>
      </c>
      <c r="AP25" s="17">
        <f t="shared" si="24"/>
        <v>0</v>
      </c>
    </row>
    <row r="26" spans="1:42" hidden="1" x14ac:dyDescent="0.3">
      <c r="A26" t="str">
        <f>A12</f>
        <v>Interest Only Investment 1</v>
      </c>
      <c r="E26" s="17">
        <f>E25</f>
        <v>0</v>
      </c>
      <c r="F26" s="17">
        <f>F25+E26</f>
        <v>0</v>
      </c>
      <c r="G26" s="17">
        <f t="shared" ref="G26:P26" si="25">G25+F26</f>
        <v>0</v>
      </c>
      <c r="H26" s="17">
        <f t="shared" si="25"/>
        <v>0</v>
      </c>
      <c r="I26" s="17">
        <f t="shared" si="25"/>
        <v>0</v>
      </c>
      <c r="J26" s="17">
        <f t="shared" si="25"/>
        <v>0</v>
      </c>
      <c r="K26" s="17">
        <f t="shared" si="25"/>
        <v>0</v>
      </c>
      <c r="L26" s="17">
        <f t="shared" si="25"/>
        <v>0</v>
      </c>
      <c r="M26" s="17">
        <f t="shared" si="25"/>
        <v>0</v>
      </c>
      <c r="N26" s="17">
        <f t="shared" si="25"/>
        <v>0</v>
      </c>
      <c r="O26" s="17">
        <f t="shared" si="25"/>
        <v>0</v>
      </c>
      <c r="P26" s="17">
        <f t="shared" si="25"/>
        <v>0</v>
      </c>
      <c r="R26" s="17">
        <f>R25+P26</f>
        <v>0</v>
      </c>
      <c r="S26" s="17">
        <f>S25+R26</f>
        <v>0</v>
      </c>
      <c r="T26" s="17">
        <f t="shared" ref="T26:AC26" si="26">T25+S26</f>
        <v>0</v>
      </c>
      <c r="U26" s="17">
        <f t="shared" si="26"/>
        <v>0</v>
      </c>
      <c r="V26" s="17">
        <f t="shared" si="26"/>
        <v>0</v>
      </c>
      <c r="W26" s="17">
        <f t="shared" si="26"/>
        <v>0</v>
      </c>
      <c r="X26" s="17">
        <f t="shared" si="26"/>
        <v>0</v>
      </c>
      <c r="Y26" s="17">
        <f t="shared" si="26"/>
        <v>0</v>
      </c>
      <c r="Z26" s="17">
        <f t="shared" si="26"/>
        <v>0</v>
      </c>
      <c r="AA26" s="17">
        <f t="shared" si="26"/>
        <v>0</v>
      </c>
      <c r="AB26" s="17">
        <f t="shared" si="26"/>
        <v>0</v>
      </c>
      <c r="AC26" s="17">
        <f t="shared" si="26"/>
        <v>0</v>
      </c>
      <c r="AE26" s="17">
        <f>AE25+AC26</f>
        <v>0</v>
      </c>
      <c r="AF26" s="17">
        <f>AF25+AE26</f>
        <v>0</v>
      </c>
      <c r="AG26" s="17">
        <f t="shared" ref="AG26:AP26" si="27">AG25+AF26</f>
        <v>0</v>
      </c>
      <c r="AH26" s="17">
        <f t="shared" si="27"/>
        <v>0</v>
      </c>
      <c r="AI26" s="17">
        <f t="shared" si="27"/>
        <v>0</v>
      </c>
      <c r="AJ26" s="17">
        <f t="shared" si="27"/>
        <v>0</v>
      </c>
      <c r="AK26" s="17">
        <f t="shared" si="27"/>
        <v>0</v>
      </c>
      <c r="AL26" s="17">
        <f t="shared" si="27"/>
        <v>0</v>
      </c>
      <c r="AM26" s="17">
        <f t="shared" si="27"/>
        <v>0</v>
      </c>
      <c r="AN26" s="17">
        <f t="shared" si="27"/>
        <v>0</v>
      </c>
      <c r="AO26" s="17">
        <f t="shared" si="27"/>
        <v>0</v>
      </c>
      <c r="AP26" s="17">
        <f t="shared" si="27"/>
        <v>0</v>
      </c>
    </row>
    <row r="27" spans="1:42" hidden="1" x14ac:dyDescent="0.3">
      <c r="A27" t="str">
        <f>A13</f>
        <v>Interest Only Investment 2</v>
      </c>
      <c r="E27" s="17">
        <f>IF(E13&gt;0,IF(E13/$C$13/12&gt;0,E13/$C$13/12,0),IF(D27&gt;0,IF(D44&gt;0,D27,0),0))</f>
        <v>0</v>
      </c>
      <c r="F27" s="17">
        <f t="shared" ref="F27:P27" si="28">IF(F13&gt;0,IF(F13/$C$13/12&gt;0,F13/$C$13/12,0),IF(E27&gt;0,IF(E44&gt;0,E27,0),0))</f>
        <v>0</v>
      </c>
      <c r="G27" s="17">
        <f t="shared" si="28"/>
        <v>0</v>
      </c>
      <c r="H27" s="17">
        <f t="shared" si="28"/>
        <v>0</v>
      </c>
      <c r="I27" s="17">
        <f t="shared" si="28"/>
        <v>0</v>
      </c>
      <c r="J27" s="17">
        <f t="shared" si="28"/>
        <v>0</v>
      </c>
      <c r="K27" s="17">
        <f t="shared" si="28"/>
        <v>0</v>
      </c>
      <c r="L27" s="17">
        <f t="shared" si="28"/>
        <v>0</v>
      </c>
      <c r="M27" s="17">
        <f t="shared" si="28"/>
        <v>0</v>
      </c>
      <c r="N27" s="17">
        <f t="shared" si="28"/>
        <v>0</v>
      </c>
      <c r="O27" s="17">
        <f t="shared" si="28"/>
        <v>0</v>
      </c>
      <c r="P27" s="17">
        <f t="shared" si="28"/>
        <v>0</v>
      </c>
      <c r="R27" s="17">
        <f>IF(R13&gt;0,IF(R13/$C$13/12&gt;0,R13/$C$13/12,0),IF(P27&gt;0,IF(P44&gt;0,P27,0),0))</f>
        <v>0</v>
      </c>
      <c r="S27" s="17">
        <f>IF(S13&gt;0,IF(S13/$C$13/12&gt;0,S13/$C$13/12,0),IF(R27&gt;0,IF(R44&gt;0,R27,0),0))</f>
        <v>0</v>
      </c>
      <c r="T27" s="17">
        <f t="shared" ref="T27:AC27" si="29">IF(T13&gt;0,IF(T13/$C$13/12&gt;0,T13/$C$13/12,0),IF(R27&gt;0,IF(R44&gt;0,R27,0),0))</f>
        <v>0</v>
      </c>
      <c r="U27" s="17">
        <f t="shared" si="29"/>
        <v>0</v>
      </c>
      <c r="V27" s="17">
        <f t="shared" si="29"/>
        <v>0</v>
      </c>
      <c r="W27" s="17">
        <f t="shared" si="29"/>
        <v>0</v>
      </c>
      <c r="X27" s="17">
        <f t="shared" si="29"/>
        <v>0</v>
      </c>
      <c r="Y27" s="17">
        <f t="shared" si="29"/>
        <v>0</v>
      </c>
      <c r="Z27" s="17">
        <f t="shared" si="29"/>
        <v>0</v>
      </c>
      <c r="AA27" s="17">
        <f t="shared" si="29"/>
        <v>0</v>
      </c>
      <c r="AB27" s="17">
        <f t="shared" si="29"/>
        <v>0</v>
      </c>
      <c r="AC27" s="17">
        <f t="shared" si="29"/>
        <v>0</v>
      </c>
      <c r="AE27" s="17">
        <f>IF(AE13&gt;0,IF(AE13/$C$13/4&gt;0,AE13/$C$13/4,0),IF(AC27&gt;0,IF(AC44&gt;0,AC27,0),0))</f>
        <v>0</v>
      </c>
      <c r="AF27" s="17">
        <f t="shared" ref="AF27:AP27" si="30">IF(AF13&gt;0,IF(AF13/$C$13/4&gt;0,AF13/$C$13/4,0),IF(AE27&gt;0,IF(AE44&gt;0,AE27,0),0))</f>
        <v>0</v>
      </c>
      <c r="AG27" s="17">
        <f t="shared" si="30"/>
        <v>0</v>
      </c>
      <c r="AH27" s="17">
        <f t="shared" si="30"/>
        <v>0</v>
      </c>
      <c r="AI27" s="17">
        <f t="shared" si="30"/>
        <v>0</v>
      </c>
      <c r="AJ27" s="17">
        <f t="shared" si="30"/>
        <v>0</v>
      </c>
      <c r="AK27" s="17">
        <f t="shared" si="30"/>
        <v>0</v>
      </c>
      <c r="AL27" s="17">
        <f t="shared" si="30"/>
        <v>0</v>
      </c>
      <c r="AM27" s="17">
        <f t="shared" si="30"/>
        <v>0</v>
      </c>
      <c r="AN27" s="17">
        <f t="shared" si="30"/>
        <v>0</v>
      </c>
      <c r="AO27" s="17">
        <f t="shared" si="30"/>
        <v>0</v>
      </c>
      <c r="AP27" s="17">
        <f t="shared" si="30"/>
        <v>0</v>
      </c>
    </row>
    <row r="28" spans="1:42" hidden="1" x14ac:dyDescent="0.3">
      <c r="A28" t="str">
        <f>A13</f>
        <v>Interest Only Investment 2</v>
      </c>
      <c r="E28" s="17">
        <f>E27</f>
        <v>0</v>
      </c>
      <c r="F28" s="17">
        <f>F27+E28</f>
        <v>0</v>
      </c>
      <c r="G28" s="17">
        <f t="shared" ref="G28:P28" si="31">G27+F28</f>
        <v>0</v>
      </c>
      <c r="H28" s="17">
        <f t="shared" si="31"/>
        <v>0</v>
      </c>
      <c r="I28" s="17">
        <f t="shared" si="31"/>
        <v>0</v>
      </c>
      <c r="J28" s="17">
        <f t="shared" si="31"/>
        <v>0</v>
      </c>
      <c r="K28" s="17">
        <f t="shared" si="31"/>
        <v>0</v>
      </c>
      <c r="L28" s="17">
        <f t="shared" si="31"/>
        <v>0</v>
      </c>
      <c r="M28" s="17">
        <f t="shared" si="31"/>
        <v>0</v>
      </c>
      <c r="N28" s="17">
        <f t="shared" si="31"/>
        <v>0</v>
      </c>
      <c r="O28" s="17">
        <f t="shared" si="31"/>
        <v>0</v>
      </c>
      <c r="P28" s="17">
        <f t="shared" si="31"/>
        <v>0</v>
      </c>
      <c r="R28" s="17">
        <f>R27+P28</f>
        <v>0</v>
      </c>
      <c r="S28" s="17">
        <f>S27+R28</f>
        <v>0</v>
      </c>
      <c r="T28" s="17">
        <f t="shared" ref="T28:AC28" si="32">T27+S28</f>
        <v>0</v>
      </c>
      <c r="U28" s="17">
        <f t="shared" si="32"/>
        <v>0</v>
      </c>
      <c r="V28" s="17">
        <f t="shared" si="32"/>
        <v>0</v>
      </c>
      <c r="W28" s="17">
        <f t="shared" si="32"/>
        <v>0</v>
      </c>
      <c r="X28" s="17">
        <f t="shared" si="32"/>
        <v>0</v>
      </c>
      <c r="Y28" s="17">
        <f t="shared" si="32"/>
        <v>0</v>
      </c>
      <c r="Z28" s="17">
        <f t="shared" si="32"/>
        <v>0</v>
      </c>
      <c r="AA28" s="17">
        <f t="shared" si="32"/>
        <v>0</v>
      </c>
      <c r="AB28" s="17">
        <f t="shared" si="32"/>
        <v>0</v>
      </c>
      <c r="AC28" s="17">
        <f t="shared" si="32"/>
        <v>0</v>
      </c>
      <c r="AE28" s="17">
        <f>AE27+AC28</f>
        <v>0</v>
      </c>
      <c r="AF28" s="17">
        <f>AF27+AE28</f>
        <v>0</v>
      </c>
      <c r="AG28" s="17">
        <f t="shared" ref="AG28:AP28" si="33">AG27+AF28</f>
        <v>0</v>
      </c>
      <c r="AH28" s="17">
        <f t="shared" si="33"/>
        <v>0</v>
      </c>
      <c r="AI28" s="17">
        <f t="shared" si="33"/>
        <v>0</v>
      </c>
      <c r="AJ28" s="17">
        <f t="shared" si="33"/>
        <v>0</v>
      </c>
      <c r="AK28" s="17">
        <f t="shared" si="33"/>
        <v>0</v>
      </c>
      <c r="AL28" s="17">
        <f t="shared" si="33"/>
        <v>0</v>
      </c>
      <c r="AM28" s="17">
        <f t="shared" si="33"/>
        <v>0</v>
      </c>
      <c r="AN28" s="17">
        <f t="shared" si="33"/>
        <v>0</v>
      </c>
      <c r="AO28" s="17">
        <f t="shared" si="33"/>
        <v>0</v>
      </c>
      <c r="AP28" s="17">
        <f t="shared" si="33"/>
        <v>0</v>
      </c>
    </row>
    <row r="29" spans="1:42" hidden="1" x14ac:dyDescent="0.3">
      <c r="A29" t="str">
        <f>A14</f>
        <v>Interest Only Investment 3</v>
      </c>
      <c r="E29" s="17">
        <f t="shared" ref="E29:P29" si="34">IF(E14&gt;0,IF(E14/$C$14/4&gt;0,E14/$C$14/4,0),IF(D29&gt;0,IF(D45&gt;0,D29,0),0))</f>
        <v>0</v>
      </c>
      <c r="F29" s="17">
        <f t="shared" si="34"/>
        <v>0</v>
      </c>
      <c r="G29" s="17">
        <f t="shared" si="34"/>
        <v>0</v>
      </c>
      <c r="H29" s="17">
        <f t="shared" si="34"/>
        <v>0</v>
      </c>
      <c r="I29" s="17">
        <f t="shared" si="34"/>
        <v>0</v>
      </c>
      <c r="J29" s="17">
        <f t="shared" si="34"/>
        <v>0</v>
      </c>
      <c r="K29" s="17">
        <f t="shared" si="34"/>
        <v>0</v>
      </c>
      <c r="L29" s="17">
        <f t="shared" si="34"/>
        <v>0</v>
      </c>
      <c r="M29" s="17">
        <f t="shared" si="34"/>
        <v>0</v>
      </c>
      <c r="N29" s="17">
        <f t="shared" si="34"/>
        <v>0</v>
      </c>
      <c r="O29" s="17">
        <f t="shared" si="34"/>
        <v>0</v>
      </c>
      <c r="P29" s="17">
        <f t="shared" si="34"/>
        <v>0</v>
      </c>
      <c r="R29" s="17">
        <f t="shared" ref="R29:AC29" si="35">IF(R14&gt;0,IF(R14/$C$14/4&gt;0,R14/$C$14/4,0),IF(Q29&gt;0,IF(Q45&gt;0,Q29,0),0))</f>
        <v>0</v>
      </c>
      <c r="S29" s="17">
        <f t="shared" si="35"/>
        <v>0</v>
      </c>
      <c r="T29" s="17">
        <f t="shared" si="35"/>
        <v>0</v>
      </c>
      <c r="U29" s="17">
        <f t="shared" si="35"/>
        <v>0</v>
      </c>
      <c r="V29" s="17">
        <f t="shared" si="35"/>
        <v>0</v>
      </c>
      <c r="W29" s="17">
        <f t="shared" si="35"/>
        <v>0</v>
      </c>
      <c r="X29" s="17">
        <f t="shared" si="35"/>
        <v>0</v>
      </c>
      <c r="Y29" s="17">
        <f t="shared" si="35"/>
        <v>0</v>
      </c>
      <c r="Z29" s="17">
        <f t="shared" si="35"/>
        <v>0</v>
      </c>
      <c r="AA29" s="17">
        <f t="shared" si="35"/>
        <v>0</v>
      </c>
      <c r="AB29" s="17">
        <f t="shared" si="35"/>
        <v>0</v>
      </c>
      <c r="AC29" s="17">
        <f t="shared" si="35"/>
        <v>0</v>
      </c>
      <c r="AE29" s="17">
        <f t="shared" ref="AE29:AP29" si="36">IF(AE14&gt;0,IF(AE14/$C$14/4&gt;0,AE14/$C$14/4,0),IF(AD29&gt;0,IF(AD45&gt;0,AD29,0),0))</f>
        <v>0</v>
      </c>
      <c r="AF29" s="17">
        <f t="shared" si="36"/>
        <v>0</v>
      </c>
      <c r="AG29" s="17">
        <f t="shared" si="36"/>
        <v>0</v>
      </c>
      <c r="AH29" s="17">
        <f t="shared" si="36"/>
        <v>0</v>
      </c>
      <c r="AI29" s="17">
        <f t="shared" si="36"/>
        <v>0</v>
      </c>
      <c r="AJ29" s="17">
        <f t="shared" si="36"/>
        <v>0</v>
      </c>
      <c r="AK29" s="17">
        <f t="shared" si="36"/>
        <v>0</v>
      </c>
      <c r="AL29" s="17">
        <f t="shared" si="36"/>
        <v>0</v>
      </c>
      <c r="AM29" s="17">
        <f t="shared" si="36"/>
        <v>0</v>
      </c>
      <c r="AN29" s="17">
        <f t="shared" si="36"/>
        <v>0</v>
      </c>
      <c r="AO29" s="17">
        <f t="shared" si="36"/>
        <v>0</v>
      </c>
      <c r="AP29" s="17">
        <f t="shared" si="36"/>
        <v>0</v>
      </c>
    </row>
    <row r="30" spans="1:42" x14ac:dyDescent="0.3">
      <c r="A30" t="str">
        <f>A12</f>
        <v>Interest Only Investment 1</v>
      </c>
      <c r="E30" s="17"/>
      <c r="F30" s="17">
        <f>IF(E43&gt;0,IF(F43=0,E43,0),0)</f>
        <v>0</v>
      </c>
      <c r="G30" s="17">
        <f t="shared" ref="G30:P30" si="37">IF(F43&gt;0,IF(G43=0,F43,0),0)</f>
        <v>0</v>
      </c>
      <c r="H30" s="17">
        <f t="shared" si="37"/>
        <v>0</v>
      </c>
      <c r="I30" s="17">
        <f t="shared" si="37"/>
        <v>0</v>
      </c>
      <c r="J30" s="17">
        <f t="shared" si="37"/>
        <v>0</v>
      </c>
      <c r="K30" s="17">
        <f t="shared" si="37"/>
        <v>0</v>
      </c>
      <c r="L30" s="17">
        <f t="shared" si="37"/>
        <v>0</v>
      </c>
      <c r="M30" s="17">
        <f t="shared" si="37"/>
        <v>0</v>
      </c>
      <c r="N30" s="17">
        <f t="shared" si="37"/>
        <v>0</v>
      </c>
      <c r="O30" s="17">
        <f t="shared" si="37"/>
        <v>0</v>
      </c>
      <c r="P30" s="17">
        <f t="shared" si="37"/>
        <v>0</v>
      </c>
      <c r="R30" s="17">
        <f>IF(P43&gt;0,IF(R43=0,P43,0),0)</f>
        <v>0</v>
      </c>
      <c r="S30" s="17">
        <f>IF(R43&gt;0,IF(S43=0,R43,0),0)</f>
        <v>0</v>
      </c>
      <c r="T30" s="17">
        <f t="shared" ref="T30:AC32" si="38">IF(S43&gt;0,IF(T43=0,S43,0),0)</f>
        <v>0</v>
      </c>
      <c r="U30" s="17">
        <f t="shared" si="38"/>
        <v>0</v>
      </c>
      <c r="V30" s="17">
        <f t="shared" si="38"/>
        <v>0</v>
      </c>
      <c r="W30" s="17">
        <f t="shared" si="38"/>
        <v>0</v>
      </c>
      <c r="X30" s="17">
        <f t="shared" si="38"/>
        <v>0</v>
      </c>
      <c r="Y30" s="17">
        <f t="shared" si="38"/>
        <v>0</v>
      </c>
      <c r="Z30" s="17">
        <f t="shared" si="38"/>
        <v>0</v>
      </c>
      <c r="AA30" s="17">
        <f t="shared" si="38"/>
        <v>0</v>
      </c>
      <c r="AB30" s="17">
        <f t="shared" si="38"/>
        <v>0</v>
      </c>
      <c r="AC30" s="17">
        <f t="shared" si="38"/>
        <v>0</v>
      </c>
      <c r="AE30" s="17">
        <f>IF(AC43&gt;0,IF(AE43=0,AC43,0),0)</f>
        <v>0</v>
      </c>
      <c r="AF30" s="17">
        <f>IF(AE43&gt;0,IF(AF43=0,AE43,0),0)</f>
        <v>0</v>
      </c>
      <c r="AG30" s="17">
        <f t="shared" ref="AG30:AP32" si="39">IF(AF43&gt;0,IF(AG43=0,AF43,0),0)</f>
        <v>0</v>
      </c>
      <c r="AH30" s="17">
        <f t="shared" si="39"/>
        <v>0</v>
      </c>
      <c r="AI30" s="17">
        <f t="shared" si="39"/>
        <v>0</v>
      </c>
      <c r="AJ30" s="17">
        <f t="shared" si="39"/>
        <v>0</v>
      </c>
      <c r="AK30" s="17">
        <f t="shared" si="39"/>
        <v>0</v>
      </c>
      <c r="AL30" s="17">
        <f t="shared" si="39"/>
        <v>0</v>
      </c>
      <c r="AM30" s="17">
        <f t="shared" si="39"/>
        <v>0</v>
      </c>
      <c r="AN30" s="17">
        <f t="shared" si="39"/>
        <v>0</v>
      </c>
      <c r="AO30" s="17">
        <f t="shared" si="39"/>
        <v>0</v>
      </c>
      <c r="AP30" s="17">
        <f t="shared" si="39"/>
        <v>0</v>
      </c>
    </row>
    <row r="31" spans="1:42" x14ac:dyDescent="0.3">
      <c r="A31" t="str">
        <f>A13</f>
        <v>Interest Only Investment 2</v>
      </c>
      <c r="E31" s="17"/>
      <c r="F31" s="17">
        <f t="shared" ref="F31:P32" si="40">IF(E44&gt;0,IF(F44=0,E44,0),0)</f>
        <v>0</v>
      </c>
      <c r="G31" s="17">
        <f t="shared" si="40"/>
        <v>0</v>
      </c>
      <c r="H31" s="17">
        <f t="shared" si="40"/>
        <v>0</v>
      </c>
      <c r="I31" s="17">
        <f t="shared" si="40"/>
        <v>0</v>
      </c>
      <c r="J31" s="17">
        <f t="shared" si="40"/>
        <v>0</v>
      </c>
      <c r="K31" s="17">
        <f t="shared" si="40"/>
        <v>0</v>
      </c>
      <c r="L31" s="17">
        <f t="shared" si="40"/>
        <v>0</v>
      </c>
      <c r="M31" s="17">
        <f t="shared" si="40"/>
        <v>0</v>
      </c>
      <c r="N31" s="17">
        <f t="shared" si="40"/>
        <v>0</v>
      </c>
      <c r="O31" s="17">
        <f t="shared" si="40"/>
        <v>0</v>
      </c>
      <c r="P31" s="17">
        <f t="shared" si="40"/>
        <v>0</v>
      </c>
      <c r="R31" s="17">
        <f>IF(P44&gt;0,IF(R44=0,P44,0),0)</f>
        <v>0</v>
      </c>
      <c r="S31" s="17">
        <f>IF(R44&gt;0,IF(S44=0,R44,0),0)</f>
        <v>0</v>
      </c>
      <c r="T31" s="17">
        <f t="shared" si="38"/>
        <v>0</v>
      </c>
      <c r="U31" s="17">
        <f t="shared" si="38"/>
        <v>0</v>
      </c>
      <c r="V31" s="17">
        <f t="shared" si="38"/>
        <v>0</v>
      </c>
      <c r="W31" s="17">
        <f t="shared" si="38"/>
        <v>0</v>
      </c>
      <c r="X31" s="17">
        <f t="shared" si="38"/>
        <v>0</v>
      </c>
      <c r="Y31" s="17">
        <f t="shared" si="38"/>
        <v>0</v>
      </c>
      <c r="Z31" s="17">
        <f t="shared" si="38"/>
        <v>0</v>
      </c>
      <c r="AA31" s="17">
        <f t="shared" si="38"/>
        <v>0</v>
      </c>
      <c r="AB31" s="17">
        <f t="shared" si="38"/>
        <v>0</v>
      </c>
      <c r="AC31" s="17">
        <f t="shared" si="38"/>
        <v>0</v>
      </c>
      <c r="AE31" s="17">
        <f>IF(AC44&gt;0,IF(AE44=0,AC44,0),0)</f>
        <v>0</v>
      </c>
      <c r="AF31" s="17">
        <f>IF(AE44&gt;0,IF(AF44=0,AE44,0),0)</f>
        <v>0</v>
      </c>
      <c r="AG31" s="17">
        <f t="shared" si="39"/>
        <v>0</v>
      </c>
      <c r="AH31" s="17">
        <f t="shared" si="39"/>
        <v>0</v>
      </c>
      <c r="AI31" s="17">
        <f t="shared" si="39"/>
        <v>0</v>
      </c>
      <c r="AJ31" s="17">
        <f t="shared" si="39"/>
        <v>0</v>
      </c>
      <c r="AK31" s="17">
        <f t="shared" si="39"/>
        <v>0</v>
      </c>
      <c r="AL31" s="17">
        <f t="shared" si="39"/>
        <v>0</v>
      </c>
      <c r="AM31" s="17">
        <f t="shared" si="39"/>
        <v>0</v>
      </c>
      <c r="AN31" s="17">
        <f t="shared" si="39"/>
        <v>0</v>
      </c>
      <c r="AO31" s="17">
        <f t="shared" si="39"/>
        <v>0</v>
      </c>
      <c r="AP31" s="17">
        <f t="shared" si="39"/>
        <v>0</v>
      </c>
    </row>
    <row r="32" spans="1:42" hidden="1" x14ac:dyDescent="0.3">
      <c r="A32" t="str">
        <f>A14</f>
        <v>Interest Only Investment 3</v>
      </c>
      <c r="E32" s="17"/>
      <c r="F32" s="17">
        <f t="shared" si="40"/>
        <v>0</v>
      </c>
      <c r="G32" s="17">
        <f t="shared" si="40"/>
        <v>0</v>
      </c>
      <c r="H32" s="17">
        <f t="shared" si="40"/>
        <v>0</v>
      </c>
      <c r="I32" s="17">
        <f t="shared" si="40"/>
        <v>0</v>
      </c>
      <c r="J32" s="17">
        <f t="shared" si="40"/>
        <v>0</v>
      </c>
      <c r="K32" s="17">
        <f t="shared" si="40"/>
        <v>0</v>
      </c>
      <c r="L32" s="17">
        <f t="shared" si="40"/>
        <v>0</v>
      </c>
      <c r="M32" s="17">
        <f t="shared" si="40"/>
        <v>0</v>
      </c>
      <c r="N32" s="17">
        <f t="shared" si="40"/>
        <v>0</v>
      </c>
      <c r="O32" s="17">
        <f t="shared" si="40"/>
        <v>0</v>
      </c>
      <c r="P32" s="17">
        <f t="shared" si="40"/>
        <v>0</v>
      </c>
      <c r="R32" s="17">
        <f>IF(P45&gt;0,IF(R45=0,P45,0),0)</f>
        <v>0</v>
      </c>
      <c r="S32" s="17">
        <f>IF(R45&gt;0,IF(S45=0,R45,0),0)</f>
        <v>0</v>
      </c>
      <c r="T32" s="17">
        <f t="shared" si="38"/>
        <v>0</v>
      </c>
      <c r="U32" s="17">
        <f t="shared" si="38"/>
        <v>0</v>
      </c>
      <c r="V32" s="17">
        <f t="shared" si="38"/>
        <v>0</v>
      </c>
      <c r="W32" s="17">
        <f t="shared" si="38"/>
        <v>0</v>
      </c>
      <c r="X32" s="17">
        <f t="shared" si="38"/>
        <v>0</v>
      </c>
      <c r="Y32" s="17">
        <f t="shared" si="38"/>
        <v>0</v>
      </c>
      <c r="Z32" s="17">
        <f t="shared" si="38"/>
        <v>0</v>
      </c>
      <c r="AA32" s="17">
        <f t="shared" si="38"/>
        <v>0</v>
      </c>
      <c r="AB32" s="17">
        <f t="shared" si="38"/>
        <v>0</v>
      </c>
      <c r="AC32" s="17">
        <f t="shared" si="38"/>
        <v>0</v>
      </c>
      <c r="AE32" s="17">
        <f>IF(AC45&gt;0,IF(AE45=0,AC45,0),0)</f>
        <v>0</v>
      </c>
      <c r="AF32" s="17">
        <f>IF(AE45&gt;0,IF(AF45=0,AE45,0),0)</f>
        <v>0</v>
      </c>
      <c r="AG32" s="17">
        <f t="shared" si="39"/>
        <v>0</v>
      </c>
      <c r="AH32" s="17">
        <f t="shared" si="39"/>
        <v>0</v>
      </c>
      <c r="AI32" s="17">
        <f t="shared" si="39"/>
        <v>0</v>
      </c>
      <c r="AJ32" s="17">
        <f t="shared" si="39"/>
        <v>0</v>
      </c>
      <c r="AK32" s="17">
        <f t="shared" si="39"/>
        <v>0</v>
      </c>
      <c r="AL32" s="17">
        <f t="shared" si="39"/>
        <v>0</v>
      </c>
      <c r="AM32" s="17">
        <f t="shared" si="39"/>
        <v>0</v>
      </c>
      <c r="AN32" s="17">
        <f t="shared" si="39"/>
        <v>0</v>
      </c>
      <c r="AO32" s="17">
        <f t="shared" si="39"/>
        <v>0</v>
      </c>
      <c r="AP32" s="17">
        <f t="shared" si="39"/>
        <v>0</v>
      </c>
    </row>
    <row r="33" spans="1:42" x14ac:dyDescent="0.3">
      <c r="B33" s="3" t="s">
        <v>65</v>
      </c>
      <c r="E33" s="18">
        <f>SUM(E19:E24)+SUM(E30:E32)</f>
        <v>0</v>
      </c>
      <c r="F33" s="18">
        <f t="shared" ref="F33:P33" si="41">SUM(F19:F24)+SUM(F30:F32)</f>
        <v>0</v>
      </c>
      <c r="G33" s="18">
        <f t="shared" si="41"/>
        <v>0</v>
      </c>
      <c r="H33" s="18">
        <f t="shared" si="41"/>
        <v>0</v>
      </c>
      <c r="I33" s="18">
        <f t="shared" si="41"/>
        <v>0</v>
      </c>
      <c r="J33" s="18">
        <f t="shared" si="41"/>
        <v>0</v>
      </c>
      <c r="K33" s="18">
        <f t="shared" si="41"/>
        <v>0</v>
      </c>
      <c r="L33" s="18">
        <f t="shared" si="41"/>
        <v>0</v>
      </c>
      <c r="M33" s="18">
        <f t="shared" si="41"/>
        <v>0</v>
      </c>
      <c r="N33" s="18">
        <f t="shared" si="41"/>
        <v>0</v>
      </c>
      <c r="O33" s="18">
        <f t="shared" si="41"/>
        <v>0</v>
      </c>
      <c r="P33" s="18">
        <f t="shared" si="41"/>
        <v>0</v>
      </c>
      <c r="R33" s="18">
        <f>SUM(R19:R24)+SUM(R30:R32)</f>
        <v>0</v>
      </c>
      <c r="S33" s="18">
        <f t="shared" ref="S33:AC33" si="42">SUM(S19:S24)+SUM(S30:S32)</f>
        <v>0</v>
      </c>
      <c r="T33" s="18">
        <f t="shared" si="42"/>
        <v>0</v>
      </c>
      <c r="U33" s="18">
        <f t="shared" si="42"/>
        <v>0</v>
      </c>
      <c r="V33" s="18">
        <f t="shared" si="42"/>
        <v>0</v>
      </c>
      <c r="W33" s="18">
        <f t="shared" si="42"/>
        <v>0</v>
      </c>
      <c r="X33" s="18">
        <f t="shared" si="42"/>
        <v>0</v>
      </c>
      <c r="Y33" s="18">
        <f t="shared" si="42"/>
        <v>0</v>
      </c>
      <c r="Z33" s="18">
        <f t="shared" si="42"/>
        <v>0</v>
      </c>
      <c r="AA33" s="18">
        <f t="shared" si="42"/>
        <v>0</v>
      </c>
      <c r="AB33" s="18">
        <f t="shared" si="42"/>
        <v>0</v>
      </c>
      <c r="AC33" s="18">
        <f t="shared" si="42"/>
        <v>0</v>
      </c>
      <c r="AE33" s="18">
        <f>SUM(AE19:AE24)+SUM(AE30:AE32)</f>
        <v>0</v>
      </c>
      <c r="AF33" s="18">
        <f t="shared" ref="AF33:AP33" si="43">SUM(AF19:AF24)+SUM(AF30:AF32)</f>
        <v>0</v>
      </c>
      <c r="AG33" s="18">
        <f t="shared" si="43"/>
        <v>0</v>
      </c>
      <c r="AH33" s="18">
        <f t="shared" si="43"/>
        <v>0</v>
      </c>
      <c r="AI33" s="18">
        <f t="shared" si="43"/>
        <v>0</v>
      </c>
      <c r="AJ33" s="18">
        <f t="shared" si="43"/>
        <v>0</v>
      </c>
      <c r="AK33" s="18">
        <f t="shared" si="43"/>
        <v>0</v>
      </c>
      <c r="AL33" s="18">
        <f t="shared" si="43"/>
        <v>0</v>
      </c>
      <c r="AM33" s="18">
        <f t="shared" si="43"/>
        <v>0</v>
      </c>
      <c r="AN33" s="18">
        <f t="shared" si="43"/>
        <v>0</v>
      </c>
      <c r="AO33" s="18">
        <f t="shared" si="43"/>
        <v>0</v>
      </c>
      <c r="AP33" s="18">
        <f t="shared" si="43"/>
        <v>0</v>
      </c>
    </row>
    <row r="34" spans="1:42" x14ac:dyDescent="0.3">
      <c r="E34" s="19"/>
      <c r="F34" s="19"/>
      <c r="G34" s="19"/>
      <c r="H34" s="19"/>
      <c r="I34" s="19"/>
      <c r="J34" s="19"/>
      <c r="K34" s="19"/>
      <c r="L34" s="19"/>
      <c r="M34" s="19"/>
      <c r="N34" s="19"/>
      <c r="O34" s="19"/>
      <c r="P34" s="19"/>
      <c r="R34" s="19"/>
      <c r="S34" s="19"/>
      <c r="T34" s="19"/>
      <c r="U34" s="19"/>
      <c r="V34" s="19"/>
      <c r="W34" s="19"/>
      <c r="X34" s="19"/>
      <c r="Y34" s="19"/>
      <c r="Z34" s="19"/>
      <c r="AA34" s="19"/>
      <c r="AB34" s="19"/>
      <c r="AC34" s="19"/>
      <c r="AE34" s="19"/>
      <c r="AF34" s="19"/>
      <c r="AG34" s="19"/>
      <c r="AH34" s="19"/>
      <c r="AI34" s="19"/>
      <c r="AJ34" s="19"/>
      <c r="AK34" s="19"/>
      <c r="AL34" s="19"/>
      <c r="AM34" s="19"/>
      <c r="AN34" s="19"/>
      <c r="AO34" s="19"/>
      <c r="AP34" s="19"/>
    </row>
    <row r="35" spans="1:42" x14ac:dyDescent="0.3">
      <c r="A35" s="15" t="s">
        <v>60</v>
      </c>
      <c r="E35" s="336">
        <f>KeyInputs!$F$17</f>
        <v>42005</v>
      </c>
      <c r="F35" s="337"/>
      <c r="G35" s="337"/>
      <c r="H35" s="337"/>
      <c r="I35" s="337"/>
      <c r="J35" s="337"/>
      <c r="K35" s="337"/>
      <c r="L35" s="337"/>
      <c r="M35" s="337"/>
      <c r="N35" s="337"/>
      <c r="O35" s="337"/>
      <c r="P35" s="338"/>
      <c r="R35" s="336">
        <f>KeyInputs!$F$17+1</f>
        <v>42006</v>
      </c>
      <c r="S35" s="337"/>
      <c r="T35" s="337"/>
      <c r="U35" s="337"/>
      <c r="V35" s="337"/>
      <c r="W35" s="337"/>
      <c r="X35" s="337"/>
      <c r="Y35" s="337"/>
      <c r="Z35" s="337"/>
      <c r="AA35" s="337"/>
      <c r="AB35" s="337"/>
      <c r="AC35" s="338"/>
      <c r="AE35" s="336">
        <f>KeyInputs!$F$17+2</f>
        <v>42007</v>
      </c>
      <c r="AF35" s="337"/>
      <c r="AG35" s="337"/>
      <c r="AH35" s="337"/>
      <c r="AI35" s="337"/>
      <c r="AJ35" s="337"/>
      <c r="AK35" s="337"/>
      <c r="AL35" s="337"/>
      <c r="AM35" s="337"/>
      <c r="AN35" s="337"/>
      <c r="AO35" s="337"/>
      <c r="AP35" s="338"/>
    </row>
    <row r="36" spans="1:42" x14ac:dyDescent="0.3">
      <c r="E36" s="31" t="e">
        <f>KeyInputs!#REF!</f>
        <v>#REF!</v>
      </c>
      <c r="F36" s="32" t="e">
        <f ca="1">OFFSET(Worksheet!$A$14,,(HLOOKUP(KeyInputs!#REF!,Worksheet!$A$14:$L$15,2,FALSE)))</f>
        <v>#REF!</v>
      </c>
      <c r="G36" s="32" t="e">
        <f ca="1">OFFSET(Worksheet!$A$14,,(HLOOKUP(KeyInputs!#REF!,Worksheet!$A$14:$L$15,2,FALSE))+Worksheet!$A$15)</f>
        <v>#REF!</v>
      </c>
      <c r="H36" s="32" t="e">
        <f ca="1">OFFSET(Worksheet!$A$14,,(HLOOKUP(KeyInputs!#REF!,Worksheet!$A$14:$L$15,2,FALSE))+Worksheet!$B$15)</f>
        <v>#REF!</v>
      </c>
      <c r="I36" s="32" t="e">
        <f ca="1">OFFSET(Worksheet!$A$14,,(HLOOKUP(KeyInputs!#REF!,Worksheet!$A$14:$L$15,2,FALSE))+Worksheet!$C$15)</f>
        <v>#REF!</v>
      </c>
      <c r="J36" s="32" t="e">
        <f ca="1">OFFSET(Worksheet!$A$14,,(HLOOKUP(KeyInputs!#REF!,Worksheet!$A$14:$L$15,2,FALSE))+Worksheet!$D$15)</f>
        <v>#REF!</v>
      </c>
      <c r="K36" s="32" t="e">
        <f ca="1">OFFSET(Worksheet!$A$14,,(HLOOKUP(KeyInputs!#REF!,Worksheet!$A$14:$L$15,2,FALSE))+Worksheet!$E$15)</f>
        <v>#REF!</v>
      </c>
      <c r="L36" s="32" t="e">
        <f ca="1">OFFSET(Worksheet!$A$14,,(HLOOKUP(KeyInputs!#REF!,Worksheet!$A$14:$L$15,2,FALSE))+Worksheet!$F$15)</f>
        <v>#REF!</v>
      </c>
      <c r="M36" s="32" t="e">
        <f ca="1">OFFSET(Worksheet!$A$14,,(HLOOKUP(KeyInputs!#REF!,Worksheet!$A$14:$L$15,2,FALSE))+Worksheet!$G$15)</f>
        <v>#REF!</v>
      </c>
      <c r="N36" s="32" t="e">
        <f ca="1">OFFSET(Worksheet!$A$14,,(HLOOKUP(KeyInputs!#REF!,Worksheet!$A$14:$L$15,2,FALSE))+Worksheet!$H$15)</f>
        <v>#REF!</v>
      </c>
      <c r="O36" s="32" t="e">
        <f ca="1">OFFSET(Worksheet!$A$14,,(HLOOKUP(KeyInputs!#REF!,Worksheet!$A$14:$L$15,2,FALSE))+Worksheet!$I$15)</f>
        <v>#REF!</v>
      </c>
      <c r="P36" s="32" t="e">
        <f ca="1">OFFSET(Worksheet!$A$14,,(HLOOKUP(KeyInputs!#REF!,Worksheet!$A$14:$L$15,2,FALSE))+Worksheet!$J$15)</f>
        <v>#REF!</v>
      </c>
      <c r="R36" s="31" t="e">
        <f>KeyInputs!#REF!</f>
        <v>#REF!</v>
      </c>
      <c r="S36" s="32" t="e">
        <f ca="1">OFFSET(Worksheet!$A$14,,(HLOOKUP(KeyInputs!#REF!,Worksheet!$A$14:$L$15,2,FALSE)))</f>
        <v>#REF!</v>
      </c>
      <c r="T36" s="32" t="e">
        <f ca="1">OFFSET(Worksheet!$A$14,,(HLOOKUP(KeyInputs!#REF!,Worksheet!$A$14:$L$15,2,FALSE))+Worksheet!$A$15)</f>
        <v>#REF!</v>
      </c>
      <c r="U36" s="32" t="e">
        <f ca="1">OFFSET(Worksheet!$A$14,,(HLOOKUP(KeyInputs!#REF!,Worksheet!$A$14:$L$15,2,FALSE))+Worksheet!$B$15)</f>
        <v>#REF!</v>
      </c>
      <c r="V36" s="32" t="e">
        <f ca="1">OFFSET(Worksheet!$A$14,,(HLOOKUP(KeyInputs!#REF!,Worksheet!$A$14:$L$15,2,FALSE))+Worksheet!$C$15)</f>
        <v>#REF!</v>
      </c>
      <c r="W36" s="32" t="e">
        <f ca="1">OFFSET(Worksheet!$A$14,,(HLOOKUP(KeyInputs!#REF!,Worksheet!$A$14:$L$15,2,FALSE))+Worksheet!$D$15)</f>
        <v>#REF!</v>
      </c>
      <c r="X36" s="32" t="e">
        <f ca="1">OFFSET(Worksheet!$A$14,,(HLOOKUP(KeyInputs!#REF!,Worksheet!$A$14:$L$15,2,FALSE))+Worksheet!$E$15)</f>
        <v>#REF!</v>
      </c>
      <c r="Y36" s="32" t="e">
        <f ca="1">OFFSET(Worksheet!$A$14,,(HLOOKUP(KeyInputs!#REF!,Worksheet!$A$14:$L$15,2,FALSE))+Worksheet!$F$15)</f>
        <v>#REF!</v>
      </c>
      <c r="Z36" s="32" t="e">
        <f ca="1">OFFSET(Worksheet!$A$14,,(HLOOKUP(KeyInputs!#REF!,Worksheet!$A$14:$L$15,2,FALSE))+Worksheet!$G$15)</f>
        <v>#REF!</v>
      </c>
      <c r="AA36" s="32" t="e">
        <f ca="1">OFFSET(Worksheet!$A$14,,(HLOOKUP(KeyInputs!#REF!,Worksheet!$A$14:$L$15,2,FALSE))+Worksheet!$H$15)</f>
        <v>#REF!</v>
      </c>
      <c r="AB36" s="32" t="e">
        <f ca="1">OFFSET(Worksheet!$A$14,,(HLOOKUP(KeyInputs!#REF!,Worksheet!$A$14:$L$15,2,FALSE))+Worksheet!$I$15)</f>
        <v>#REF!</v>
      </c>
      <c r="AC36" s="32" t="e">
        <f ca="1">OFFSET(Worksheet!$A$14,,(HLOOKUP(KeyInputs!#REF!,Worksheet!$A$14:$L$15,2,FALSE))+Worksheet!$J$15)</f>
        <v>#REF!</v>
      </c>
      <c r="AE36" s="31" t="e">
        <f>KeyInputs!#REF!</f>
        <v>#REF!</v>
      </c>
      <c r="AF36" s="32" t="e">
        <f ca="1">OFFSET(Worksheet!$A$14,,(HLOOKUP(KeyInputs!#REF!,Worksheet!$A$14:$L$15,2,FALSE)))</f>
        <v>#REF!</v>
      </c>
      <c r="AG36" s="32" t="e">
        <f ca="1">OFFSET(Worksheet!$A$14,,(HLOOKUP(KeyInputs!#REF!,Worksheet!$A$14:$L$15,2,FALSE))+Worksheet!$A$15)</f>
        <v>#REF!</v>
      </c>
      <c r="AH36" s="32" t="e">
        <f ca="1">OFFSET(Worksheet!$A$14,,(HLOOKUP(KeyInputs!#REF!,Worksheet!$A$14:$L$15,2,FALSE))+Worksheet!$B$15)</f>
        <v>#REF!</v>
      </c>
      <c r="AI36" s="32" t="e">
        <f ca="1">OFFSET(Worksheet!$A$14,,(HLOOKUP(KeyInputs!#REF!,Worksheet!$A$14:$L$15,2,FALSE))+Worksheet!$C$15)</f>
        <v>#REF!</v>
      </c>
      <c r="AJ36" s="32" t="e">
        <f ca="1">OFFSET(Worksheet!$A$14,,(HLOOKUP(KeyInputs!#REF!,Worksheet!$A$14:$L$15,2,FALSE))+Worksheet!$D$15)</f>
        <v>#REF!</v>
      </c>
      <c r="AK36" s="32" t="e">
        <f ca="1">OFFSET(Worksheet!$A$14,,(HLOOKUP(KeyInputs!#REF!,Worksheet!$A$14:$L$15,2,FALSE))+Worksheet!$E$15)</f>
        <v>#REF!</v>
      </c>
      <c r="AL36" s="32" t="e">
        <f ca="1">OFFSET(Worksheet!$A$14,,(HLOOKUP(KeyInputs!#REF!,Worksheet!$A$14:$L$15,2,FALSE))+Worksheet!$F$15)</f>
        <v>#REF!</v>
      </c>
      <c r="AM36" s="32" t="e">
        <f ca="1">OFFSET(Worksheet!$A$14,,(HLOOKUP(KeyInputs!#REF!,Worksheet!$A$14:$L$15,2,FALSE))+Worksheet!$G$15)</f>
        <v>#REF!</v>
      </c>
      <c r="AN36" s="32" t="e">
        <f ca="1">OFFSET(Worksheet!$A$14,,(HLOOKUP(KeyInputs!#REF!,Worksheet!$A$14:$L$15,2,FALSE))+Worksheet!$H$15)</f>
        <v>#REF!</v>
      </c>
      <c r="AO36" s="32" t="e">
        <f ca="1">OFFSET(Worksheet!$A$14,,(HLOOKUP(KeyInputs!#REF!,Worksheet!$A$14:$L$15,2,FALSE))+Worksheet!$I$15)</f>
        <v>#REF!</v>
      </c>
      <c r="AP36" s="32" t="e">
        <f ca="1">OFFSET(Worksheet!$A$14,,(HLOOKUP(KeyInputs!#REF!,Worksheet!$A$14:$L$15,2,FALSE))+Worksheet!$J$15)</f>
        <v>#REF!</v>
      </c>
    </row>
    <row r="37" spans="1:42" x14ac:dyDescent="0.3">
      <c r="A37" t="str">
        <f t="shared" ref="A37:A45" si="44">A6</f>
        <v>Investment 1</v>
      </c>
      <c r="E37" s="20">
        <f t="shared" ref="E37:E42" si="45">E6-E19</f>
        <v>0</v>
      </c>
      <c r="F37" s="20">
        <f t="shared" ref="F37:P42" si="46">IF(E37&gt;0,E37-F19,F6-F19)</f>
        <v>0</v>
      </c>
      <c r="G37" s="20">
        <f t="shared" si="46"/>
        <v>0</v>
      </c>
      <c r="H37" s="20">
        <f t="shared" si="46"/>
        <v>0</v>
      </c>
      <c r="I37" s="20">
        <f t="shared" si="46"/>
        <v>0</v>
      </c>
      <c r="J37" s="20">
        <f t="shared" si="46"/>
        <v>0</v>
      </c>
      <c r="K37" s="20">
        <f t="shared" si="46"/>
        <v>0</v>
      </c>
      <c r="L37" s="20">
        <f t="shared" si="46"/>
        <v>0</v>
      </c>
      <c r="M37" s="20">
        <f t="shared" si="46"/>
        <v>0</v>
      </c>
      <c r="N37" s="20">
        <f t="shared" si="46"/>
        <v>0</v>
      </c>
      <c r="O37" s="20">
        <f t="shared" si="46"/>
        <v>0</v>
      </c>
      <c r="P37" s="20">
        <f t="shared" si="46"/>
        <v>0</v>
      </c>
      <c r="R37" s="20">
        <f t="shared" ref="R37:R42" si="47">IF(P37&gt;0,P37-R19,R6-R19)</f>
        <v>0</v>
      </c>
      <c r="S37" s="20">
        <f t="shared" ref="S37:AC42" si="48">IF(R37&gt;0,R37-S19,S6-S19)</f>
        <v>0</v>
      </c>
      <c r="T37" s="20">
        <f t="shared" si="48"/>
        <v>0</v>
      </c>
      <c r="U37" s="20">
        <f t="shared" si="48"/>
        <v>0</v>
      </c>
      <c r="V37" s="20">
        <f t="shared" si="48"/>
        <v>0</v>
      </c>
      <c r="W37" s="20">
        <f t="shared" si="48"/>
        <v>0</v>
      </c>
      <c r="X37" s="20">
        <f t="shared" si="48"/>
        <v>0</v>
      </c>
      <c r="Y37" s="20">
        <f t="shared" si="48"/>
        <v>0</v>
      </c>
      <c r="Z37" s="20">
        <f t="shared" si="48"/>
        <v>0</v>
      </c>
      <c r="AA37" s="20">
        <f t="shared" si="48"/>
        <v>0</v>
      </c>
      <c r="AB37" s="20">
        <f t="shared" si="48"/>
        <v>0</v>
      </c>
      <c r="AC37" s="20">
        <f t="shared" si="48"/>
        <v>0</v>
      </c>
      <c r="AE37" s="20">
        <f t="shared" ref="AE37:AE42" si="49">IF(AC37&gt;0,AC37-AE19,AE6-AE19)</f>
        <v>0</v>
      </c>
      <c r="AF37" s="20">
        <f t="shared" ref="AF37:AP42" si="50">IF(AE37&gt;0,AE37-AF19,AF6-AF19)</f>
        <v>0</v>
      </c>
      <c r="AG37" s="20">
        <f t="shared" si="50"/>
        <v>0</v>
      </c>
      <c r="AH37" s="20">
        <f t="shared" si="50"/>
        <v>0</v>
      </c>
      <c r="AI37" s="20">
        <f t="shared" si="50"/>
        <v>0</v>
      </c>
      <c r="AJ37" s="20">
        <f t="shared" si="50"/>
        <v>0</v>
      </c>
      <c r="AK37" s="20">
        <f t="shared" si="50"/>
        <v>0</v>
      </c>
      <c r="AL37" s="20">
        <f t="shared" si="50"/>
        <v>0</v>
      </c>
      <c r="AM37" s="20">
        <f t="shared" si="50"/>
        <v>0</v>
      </c>
      <c r="AN37" s="20">
        <f t="shared" si="50"/>
        <v>0</v>
      </c>
      <c r="AO37" s="20">
        <f t="shared" si="50"/>
        <v>0</v>
      </c>
      <c r="AP37" s="20">
        <f t="shared" si="50"/>
        <v>0</v>
      </c>
    </row>
    <row r="38" spans="1:42" x14ac:dyDescent="0.3">
      <c r="A38" t="str">
        <f t="shared" si="44"/>
        <v>Investment 2</v>
      </c>
      <c r="E38" s="20">
        <f t="shared" si="45"/>
        <v>0</v>
      </c>
      <c r="F38" s="20">
        <f t="shared" si="46"/>
        <v>0</v>
      </c>
      <c r="G38" s="20">
        <f t="shared" si="46"/>
        <v>0</v>
      </c>
      <c r="H38" s="20">
        <f t="shared" si="46"/>
        <v>0</v>
      </c>
      <c r="I38" s="20">
        <f t="shared" si="46"/>
        <v>0</v>
      </c>
      <c r="J38" s="20">
        <f t="shared" si="46"/>
        <v>0</v>
      </c>
      <c r="K38" s="20">
        <f t="shared" si="46"/>
        <v>0</v>
      </c>
      <c r="L38" s="20">
        <f t="shared" si="46"/>
        <v>0</v>
      </c>
      <c r="M38" s="20">
        <f t="shared" si="46"/>
        <v>0</v>
      </c>
      <c r="N38" s="20">
        <f t="shared" si="46"/>
        <v>0</v>
      </c>
      <c r="O38" s="20">
        <f t="shared" si="46"/>
        <v>0</v>
      </c>
      <c r="P38" s="20">
        <f t="shared" si="46"/>
        <v>0</v>
      </c>
      <c r="R38" s="20">
        <f t="shared" si="47"/>
        <v>0</v>
      </c>
      <c r="S38" s="20">
        <f t="shared" si="48"/>
        <v>0</v>
      </c>
      <c r="T38" s="20">
        <f t="shared" si="48"/>
        <v>0</v>
      </c>
      <c r="U38" s="20">
        <f t="shared" si="48"/>
        <v>0</v>
      </c>
      <c r="V38" s="20">
        <f t="shared" si="48"/>
        <v>0</v>
      </c>
      <c r="W38" s="20">
        <f t="shared" si="48"/>
        <v>0</v>
      </c>
      <c r="X38" s="20">
        <f t="shared" si="48"/>
        <v>0</v>
      </c>
      <c r="Y38" s="20">
        <f t="shared" si="48"/>
        <v>0</v>
      </c>
      <c r="Z38" s="20">
        <f t="shared" si="48"/>
        <v>0</v>
      </c>
      <c r="AA38" s="20">
        <f t="shared" si="48"/>
        <v>0</v>
      </c>
      <c r="AB38" s="20">
        <f t="shared" si="48"/>
        <v>0</v>
      </c>
      <c r="AC38" s="20">
        <f t="shared" si="48"/>
        <v>0</v>
      </c>
      <c r="AE38" s="20">
        <f t="shared" si="49"/>
        <v>0</v>
      </c>
      <c r="AF38" s="20">
        <f t="shared" si="50"/>
        <v>0</v>
      </c>
      <c r="AG38" s="20">
        <f t="shared" si="50"/>
        <v>0</v>
      </c>
      <c r="AH38" s="20">
        <f t="shared" si="50"/>
        <v>0</v>
      </c>
      <c r="AI38" s="20">
        <f t="shared" si="50"/>
        <v>0</v>
      </c>
      <c r="AJ38" s="20">
        <f t="shared" si="50"/>
        <v>0</v>
      </c>
      <c r="AK38" s="20">
        <f t="shared" si="50"/>
        <v>0</v>
      </c>
      <c r="AL38" s="20">
        <f t="shared" si="50"/>
        <v>0</v>
      </c>
      <c r="AM38" s="20">
        <f t="shared" si="50"/>
        <v>0</v>
      </c>
      <c r="AN38" s="20">
        <f t="shared" si="50"/>
        <v>0</v>
      </c>
      <c r="AO38" s="20">
        <f t="shared" si="50"/>
        <v>0</v>
      </c>
      <c r="AP38" s="20">
        <f t="shared" si="50"/>
        <v>0</v>
      </c>
    </row>
    <row r="39" spans="1:42" x14ac:dyDescent="0.3">
      <c r="A39" t="str">
        <f t="shared" si="44"/>
        <v>Investment 3</v>
      </c>
      <c r="E39" s="20">
        <f t="shared" si="45"/>
        <v>0</v>
      </c>
      <c r="F39" s="20">
        <f t="shared" si="46"/>
        <v>0</v>
      </c>
      <c r="G39" s="20">
        <f t="shared" si="46"/>
        <v>0</v>
      </c>
      <c r="H39" s="20">
        <f t="shared" si="46"/>
        <v>0</v>
      </c>
      <c r="I39" s="20">
        <f t="shared" si="46"/>
        <v>0</v>
      </c>
      <c r="J39" s="20">
        <f t="shared" si="46"/>
        <v>0</v>
      </c>
      <c r="K39" s="20">
        <f t="shared" si="46"/>
        <v>0</v>
      </c>
      <c r="L39" s="20">
        <f t="shared" si="46"/>
        <v>0</v>
      </c>
      <c r="M39" s="20">
        <f t="shared" si="46"/>
        <v>0</v>
      </c>
      <c r="N39" s="20">
        <f t="shared" si="46"/>
        <v>0</v>
      </c>
      <c r="O39" s="20">
        <f t="shared" si="46"/>
        <v>0</v>
      </c>
      <c r="P39" s="20">
        <f t="shared" si="46"/>
        <v>0</v>
      </c>
      <c r="R39" s="20">
        <f t="shared" si="47"/>
        <v>0</v>
      </c>
      <c r="S39" s="20">
        <f t="shared" si="48"/>
        <v>0</v>
      </c>
      <c r="T39" s="20">
        <f t="shared" si="48"/>
        <v>0</v>
      </c>
      <c r="U39" s="20">
        <f t="shared" si="48"/>
        <v>0</v>
      </c>
      <c r="V39" s="20">
        <f t="shared" si="48"/>
        <v>0</v>
      </c>
      <c r="W39" s="20">
        <f t="shared" si="48"/>
        <v>0</v>
      </c>
      <c r="X39" s="20">
        <f t="shared" si="48"/>
        <v>0</v>
      </c>
      <c r="Y39" s="20">
        <f t="shared" si="48"/>
        <v>0</v>
      </c>
      <c r="Z39" s="20">
        <f t="shared" si="48"/>
        <v>0</v>
      </c>
      <c r="AA39" s="20">
        <f t="shared" si="48"/>
        <v>0</v>
      </c>
      <c r="AB39" s="20">
        <f t="shared" si="48"/>
        <v>0</v>
      </c>
      <c r="AC39" s="20">
        <f t="shared" si="48"/>
        <v>0</v>
      </c>
      <c r="AE39" s="20">
        <f t="shared" si="49"/>
        <v>0</v>
      </c>
      <c r="AF39" s="20">
        <f t="shared" si="50"/>
        <v>0</v>
      </c>
      <c r="AG39" s="20">
        <f t="shared" si="50"/>
        <v>0</v>
      </c>
      <c r="AH39" s="20">
        <f t="shared" si="50"/>
        <v>0</v>
      </c>
      <c r="AI39" s="20">
        <f t="shared" si="50"/>
        <v>0</v>
      </c>
      <c r="AJ39" s="20">
        <f t="shared" si="50"/>
        <v>0</v>
      </c>
      <c r="AK39" s="20">
        <f t="shared" si="50"/>
        <v>0</v>
      </c>
      <c r="AL39" s="20">
        <f t="shared" si="50"/>
        <v>0</v>
      </c>
      <c r="AM39" s="20">
        <f t="shared" si="50"/>
        <v>0</v>
      </c>
      <c r="AN39" s="20">
        <f t="shared" si="50"/>
        <v>0</v>
      </c>
      <c r="AO39" s="20">
        <f t="shared" si="50"/>
        <v>0</v>
      </c>
      <c r="AP39" s="20">
        <f t="shared" si="50"/>
        <v>0</v>
      </c>
    </row>
    <row r="40" spans="1:42" x14ac:dyDescent="0.3">
      <c r="A40" t="str">
        <f t="shared" si="44"/>
        <v>Investment 4</v>
      </c>
      <c r="E40" s="20">
        <f t="shared" si="45"/>
        <v>0</v>
      </c>
      <c r="F40" s="20">
        <f t="shared" si="46"/>
        <v>0</v>
      </c>
      <c r="G40" s="20">
        <f t="shared" si="46"/>
        <v>0</v>
      </c>
      <c r="H40" s="20">
        <f t="shared" si="46"/>
        <v>0</v>
      </c>
      <c r="I40" s="20">
        <f t="shared" si="46"/>
        <v>0</v>
      </c>
      <c r="J40" s="20">
        <f t="shared" si="46"/>
        <v>0</v>
      </c>
      <c r="K40" s="20">
        <f t="shared" si="46"/>
        <v>0</v>
      </c>
      <c r="L40" s="20">
        <f t="shared" si="46"/>
        <v>0</v>
      </c>
      <c r="M40" s="20">
        <f t="shared" si="46"/>
        <v>0</v>
      </c>
      <c r="N40" s="20">
        <f t="shared" si="46"/>
        <v>0</v>
      </c>
      <c r="O40" s="20">
        <f t="shared" si="46"/>
        <v>0</v>
      </c>
      <c r="P40" s="20">
        <f t="shared" si="46"/>
        <v>0</v>
      </c>
      <c r="R40" s="20">
        <f t="shared" si="47"/>
        <v>0</v>
      </c>
      <c r="S40" s="20">
        <f t="shared" si="48"/>
        <v>0</v>
      </c>
      <c r="T40" s="20">
        <f t="shared" si="48"/>
        <v>0</v>
      </c>
      <c r="U40" s="20">
        <f t="shared" si="48"/>
        <v>0</v>
      </c>
      <c r="V40" s="20">
        <f t="shared" si="48"/>
        <v>0</v>
      </c>
      <c r="W40" s="20">
        <f t="shared" si="48"/>
        <v>0</v>
      </c>
      <c r="X40" s="20">
        <f t="shared" si="48"/>
        <v>0</v>
      </c>
      <c r="Y40" s="20">
        <f t="shared" si="48"/>
        <v>0</v>
      </c>
      <c r="Z40" s="20">
        <f t="shared" si="48"/>
        <v>0</v>
      </c>
      <c r="AA40" s="20">
        <f t="shared" si="48"/>
        <v>0</v>
      </c>
      <c r="AB40" s="20">
        <f t="shared" si="48"/>
        <v>0</v>
      </c>
      <c r="AC40" s="20">
        <f t="shared" si="48"/>
        <v>0</v>
      </c>
      <c r="AE40" s="20">
        <f t="shared" si="49"/>
        <v>0</v>
      </c>
      <c r="AF40" s="20">
        <f t="shared" si="50"/>
        <v>0</v>
      </c>
      <c r="AG40" s="20">
        <f t="shared" si="50"/>
        <v>0</v>
      </c>
      <c r="AH40" s="20">
        <f t="shared" si="50"/>
        <v>0</v>
      </c>
      <c r="AI40" s="20">
        <f t="shared" si="50"/>
        <v>0</v>
      </c>
      <c r="AJ40" s="20">
        <f t="shared" si="50"/>
        <v>0</v>
      </c>
      <c r="AK40" s="20">
        <f t="shared" si="50"/>
        <v>0</v>
      </c>
      <c r="AL40" s="20">
        <f t="shared" si="50"/>
        <v>0</v>
      </c>
      <c r="AM40" s="20">
        <f t="shared" si="50"/>
        <v>0</v>
      </c>
      <c r="AN40" s="20">
        <f t="shared" si="50"/>
        <v>0</v>
      </c>
      <c r="AO40" s="20">
        <f t="shared" si="50"/>
        <v>0</v>
      </c>
      <c r="AP40" s="20">
        <f t="shared" si="50"/>
        <v>0</v>
      </c>
    </row>
    <row r="41" spans="1:42" x14ac:dyDescent="0.3">
      <c r="A41" t="str">
        <f t="shared" si="44"/>
        <v>Investment 5</v>
      </c>
      <c r="E41" s="20">
        <f t="shared" si="45"/>
        <v>0</v>
      </c>
      <c r="F41" s="20">
        <f t="shared" si="46"/>
        <v>0</v>
      </c>
      <c r="G41" s="20">
        <f t="shared" si="46"/>
        <v>0</v>
      </c>
      <c r="H41" s="20">
        <f t="shared" si="46"/>
        <v>0</v>
      </c>
      <c r="I41" s="20">
        <f t="shared" si="46"/>
        <v>0</v>
      </c>
      <c r="J41" s="20">
        <f t="shared" si="46"/>
        <v>0</v>
      </c>
      <c r="K41" s="20">
        <f t="shared" si="46"/>
        <v>0</v>
      </c>
      <c r="L41" s="20">
        <f t="shared" si="46"/>
        <v>0</v>
      </c>
      <c r="M41" s="20">
        <f t="shared" si="46"/>
        <v>0</v>
      </c>
      <c r="N41" s="20">
        <f t="shared" si="46"/>
        <v>0</v>
      </c>
      <c r="O41" s="20">
        <f t="shared" si="46"/>
        <v>0</v>
      </c>
      <c r="P41" s="20">
        <f t="shared" si="46"/>
        <v>0</v>
      </c>
      <c r="R41" s="20">
        <f t="shared" si="47"/>
        <v>0</v>
      </c>
      <c r="S41" s="20">
        <f t="shared" si="48"/>
        <v>0</v>
      </c>
      <c r="T41" s="20">
        <f t="shared" si="48"/>
        <v>0</v>
      </c>
      <c r="U41" s="20">
        <f t="shared" si="48"/>
        <v>0</v>
      </c>
      <c r="V41" s="20">
        <f t="shared" si="48"/>
        <v>0</v>
      </c>
      <c r="W41" s="20">
        <f t="shared" si="48"/>
        <v>0</v>
      </c>
      <c r="X41" s="20">
        <f t="shared" si="48"/>
        <v>0</v>
      </c>
      <c r="Y41" s="20">
        <f t="shared" si="48"/>
        <v>0</v>
      </c>
      <c r="Z41" s="20">
        <f t="shared" si="48"/>
        <v>0</v>
      </c>
      <c r="AA41" s="20">
        <f t="shared" si="48"/>
        <v>0</v>
      </c>
      <c r="AB41" s="20">
        <f t="shared" si="48"/>
        <v>0</v>
      </c>
      <c r="AC41" s="20">
        <f t="shared" si="48"/>
        <v>0</v>
      </c>
      <c r="AE41" s="20">
        <f t="shared" si="49"/>
        <v>0</v>
      </c>
      <c r="AF41" s="20">
        <f t="shared" si="50"/>
        <v>0</v>
      </c>
      <c r="AG41" s="20">
        <f t="shared" si="50"/>
        <v>0</v>
      </c>
      <c r="AH41" s="20">
        <f t="shared" si="50"/>
        <v>0</v>
      </c>
      <c r="AI41" s="20">
        <f t="shared" si="50"/>
        <v>0</v>
      </c>
      <c r="AJ41" s="20">
        <f t="shared" si="50"/>
        <v>0</v>
      </c>
      <c r="AK41" s="20">
        <f t="shared" si="50"/>
        <v>0</v>
      </c>
      <c r="AL41" s="20">
        <f t="shared" si="50"/>
        <v>0</v>
      </c>
      <c r="AM41" s="20">
        <f t="shared" si="50"/>
        <v>0</v>
      </c>
      <c r="AN41" s="20">
        <f t="shared" si="50"/>
        <v>0</v>
      </c>
      <c r="AO41" s="20">
        <f t="shared" si="50"/>
        <v>0</v>
      </c>
      <c r="AP41" s="20">
        <f t="shared" si="50"/>
        <v>0</v>
      </c>
    </row>
    <row r="42" spans="1:42" x14ac:dyDescent="0.3">
      <c r="A42" t="str">
        <f t="shared" si="44"/>
        <v>Investment 6</v>
      </c>
      <c r="E42" s="20">
        <f t="shared" si="45"/>
        <v>0</v>
      </c>
      <c r="F42" s="20">
        <f t="shared" si="46"/>
        <v>0</v>
      </c>
      <c r="G42" s="20">
        <f t="shared" si="46"/>
        <v>0</v>
      </c>
      <c r="H42" s="20">
        <f t="shared" si="46"/>
        <v>0</v>
      </c>
      <c r="I42" s="20">
        <f t="shared" si="46"/>
        <v>0</v>
      </c>
      <c r="J42" s="20">
        <f t="shared" si="46"/>
        <v>0</v>
      </c>
      <c r="K42" s="20">
        <f t="shared" si="46"/>
        <v>0</v>
      </c>
      <c r="L42" s="20">
        <f t="shared" si="46"/>
        <v>0</v>
      </c>
      <c r="M42" s="20">
        <f t="shared" si="46"/>
        <v>0</v>
      </c>
      <c r="N42" s="20">
        <f t="shared" si="46"/>
        <v>0</v>
      </c>
      <c r="O42" s="20">
        <f t="shared" si="46"/>
        <v>0</v>
      </c>
      <c r="P42" s="20">
        <f t="shared" si="46"/>
        <v>0</v>
      </c>
      <c r="R42" s="20">
        <f t="shared" si="47"/>
        <v>0</v>
      </c>
      <c r="S42" s="20">
        <f t="shared" si="48"/>
        <v>0</v>
      </c>
      <c r="T42" s="20">
        <f t="shared" si="48"/>
        <v>0</v>
      </c>
      <c r="U42" s="20">
        <f t="shared" si="48"/>
        <v>0</v>
      </c>
      <c r="V42" s="20">
        <f t="shared" si="48"/>
        <v>0</v>
      </c>
      <c r="W42" s="20">
        <f t="shared" si="48"/>
        <v>0</v>
      </c>
      <c r="X42" s="20">
        <f t="shared" si="48"/>
        <v>0</v>
      </c>
      <c r="Y42" s="20">
        <f t="shared" si="48"/>
        <v>0</v>
      </c>
      <c r="Z42" s="20">
        <f t="shared" si="48"/>
        <v>0</v>
      </c>
      <c r="AA42" s="20">
        <f t="shared" si="48"/>
        <v>0</v>
      </c>
      <c r="AB42" s="20">
        <f t="shared" si="48"/>
        <v>0</v>
      </c>
      <c r="AC42" s="20">
        <f t="shared" si="48"/>
        <v>0</v>
      </c>
      <c r="AE42" s="20">
        <f t="shared" si="49"/>
        <v>0</v>
      </c>
      <c r="AF42" s="20">
        <f t="shared" si="50"/>
        <v>0</v>
      </c>
      <c r="AG42" s="20">
        <f t="shared" si="50"/>
        <v>0</v>
      </c>
      <c r="AH42" s="20">
        <f t="shared" si="50"/>
        <v>0</v>
      </c>
      <c r="AI42" s="20">
        <f t="shared" si="50"/>
        <v>0</v>
      </c>
      <c r="AJ42" s="20">
        <f t="shared" si="50"/>
        <v>0</v>
      </c>
      <c r="AK42" s="20">
        <f t="shared" si="50"/>
        <v>0</v>
      </c>
      <c r="AL42" s="20">
        <f t="shared" si="50"/>
        <v>0</v>
      </c>
      <c r="AM42" s="20">
        <f t="shared" si="50"/>
        <v>0</v>
      </c>
      <c r="AN42" s="20">
        <f t="shared" si="50"/>
        <v>0</v>
      </c>
      <c r="AO42" s="20">
        <f t="shared" si="50"/>
        <v>0</v>
      </c>
      <c r="AP42" s="20">
        <f t="shared" si="50"/>
        <v>0</v>
      </c>
    </row>
    <row r="43" spans="1:42" x14ac:dyDescent="0.3">
      <c r="A43" t="str">
        <f t="shared" si="44"/>
        <v>Interest Only Investment 1</v>
      </c>
      <c r="E43" s="20">
        <f>E12</f>
        <v>0</v>
      </c>
      <c r="F43" s="20">
        <f t="shared" ref="F43:P43" si="51">IF(F12&gt;0,F12,IF(E43&gt;0,IF(E26=E43,0,E43),0))</f>
        <v>0</v>
      </c>
      <c r="G43" s="20">
        <f t="shared" si="51"/>
        <v>0</v>
      </c>
      <c r="H43" s="20">
        <f t="shared" si="51"/>
        <v>0</v>
      </c>
      <c r="I43" s="20">
        <f t="shared" si="51"/>
        <v>0</v>
      </c>
      <c r="J43" s="20">
        <f t="shared" si="51"/>
        <v>0</v>
      </c>
      <c r="K43" s="20">
        <f t="shared" si="51"/>
        <v>0</v>
      </c>
      <c r="L43" s="20">
        <f t="shared" si="51"/>
        <v>0</v>
      </c>
      <c r="M43" s="20">
        <f t="shared" si="51"/>
        <v>0</v>
      </c>
      <c r="N43" s="20">
        <f t="shared" si="51"/>
        <v>0</v>
      </c>
      <c r="O43" s="20">
        <f t="shared" si="51"/>
        <v>0</v>
      </c>
      <c r="P43" s="20">
        <f t="shared" si="51"/>
        <v>0</v>
      </c>
      <c r="R43" s="20">
        <f>IF(R12&gt;0,R12,IF(P43&gt;0,IF(P26=P43,0,P43),0))</f>
        <v>0</v>
      </c>
      <c r="S43" s="20">
        <f>IF(S12&gt;0,S12,IF(R43&gt;0,IF(R26=R43,0,R43),0))</f>
        <v>0</v>
      </c>
      <c r="T43" s="20">
        <f t="shared" ref="T43:AC43" si="52">IF(T12&gt;0,T12,IF(S43&gt;0,IF(S26=S43,0,S43),0))</f>
        <v>0</v>
      </c>
      <c r="U43" s="20">
        <f t="shared" si="52"/>
        <v>0</v>
      </c>
      <c r="V43" s="20">
        <f t="shared" si="52"/>
        <v>0</v>
      </c>
      <c r="W43" s="20">
        <f t="shared" si="52"/>
        <v>0</v>
      </c>
      <c r="X43" s="20">
        <f t="shared" si="52"/>
        <v>0</v>
      </c>
      <c r="Y43" s="20">
        <f t="shared" si="52"/>
        <v>0</v>
      </c>
      <c r="Z43" s="20">
        <f t="shared" si="52"/>
        <v>0</v>
      </c>
      <c r="AA43" s="20">
        <f t="shared" si="52"/>
        <v>0</v>
      </c>
      <c r="AB43" s="20">
        <f t="shared" si="52"/>
        <v>0</v>
      </c>
      <c r="AC43" s="20">
        <f t="shared" si="52"/>
        <v>0</v>
      </c>
      <c r="AE43" s="20">
        <f>IF(AE12&gt;0,AE12,IF(AC43&gt;0,IF(AC26=AC43,0,AC43),0))</f>
        <v>0</v>
      </c>
      <c r="AF43" s="20">
        <f t="shared" ref="AF43:AP43" si="53">IF(AF12&gt;0,AF12,IF(AE43&gt;0,IF(AE26=AE43,0,AE43),0))</f>
        <v>0</v>
      </c>
      <c r="AG43" s="20">
        <f t="shared" si="53"/>
        <v>0</v>
      </c>
      <c r="AH43" s="20">
        <f t="shared" si="53"/>
        <v>0</v>
      </c>
      <c r="AI43" s="20">
        <f t="shared" si="53"/>
        <v>0</v>
      </c>
      <c r="AJ43" s="20">
        <f t="shared" si="53"/>
        <v>0</v>
      </c>
      <c r="AK43" s="20">
        <f t="shared" si="53"/>
        <v>0</v>
      </c>
      <c r="AL43" s="20">
        <f t="shared" si="53"/>
        <v>0</v>
      </c>
      <c r="AM43" s="20">
        <f t="shared" si="53"/>
        <v>0</v>
      </c>
      <c r="AN43" s="20">
        <f t="shared" si="53"/>
        <v>0</v>
      </c>
      <c r="AO43" s="20">
        <f t="shared" si="53"/>
        <v>0</v>
      </c>
      <c r="AP43" s="20">
        <f t="shared" si="53"/>
        <v>0</v>
      </c>
    </row>
    <row r="44" spans="1:42" x14ac:dyDescent="0.3">
      <c r="A44" t="str">
        <f t="shared" si="44"/>
        <v>Interest Only Investment 2</v>
      </c>
      <c r="E44" s="20">
        <f>E13</f>
        <v>0</v>
      </c>
      <c r="F44" s="20">
        <f>IF(F13&gt;0,F13,IF(E44&gt;0,IF(E28=E44,0,E44),0))</f>
        <v>0</v>
      </c>
      <c r="G44" s="20">
        <f t="shared" ref="G44:P44" si="54">IF(G13&gt;0,G13,IF(F44&gt;0,IF(F28=F44,0,F44),0))</f>
        <v>0</v>
      </c>
      <c r="H44" s="20">
        <f t="shared" si="54"/>
        <v>0</v>
      </c>
      <c r="I44" s="20">
        <f t="shared" si="54"/>
        <v>0</v>
      </c>
      <c r="J44" s="20">
        <f t="shared" si="54"/>
        <v>0</v>
      </c>
      <c r="K44" s="20">
        <f t="shared" si="54"/>
        <v>0</v>
      </c>
      <c r="L44" s="20">
        <f t="shared" si="54"/>
        <v>0</v>
      </c>
      <c r="M44" s="20">
        <f t="shared" si="54"/>
        <v>0</v>
      </c>
      <c r="N44" s="20">
        <f t="shared" si="54"/>
        <v>0</v>
      </c>
      <c r="O44" s="20">
        <f t="shared" si="54"/>
        <v>0</v>
      </c>
      <c r="P44" s="20">
        <f t="shared" si="54"/>
        <v>0</v>
      </c>
      <c r="R44" s="20">
        <f>IF(R13&gt;0,R13,IF(P44&gt;0,IF(P28=P44,0,P44),0))</f>
        <v>0</v>
      </c>
      <c r="S44" s="20">
        <f>IF(S13&gt;0,S13,IF(R44&gt;0,IF(R28=R44,0,R44),0))</f>
        <v>0</v>
      </c>
      <c r="T44" s="20">
        <f t="shared" ref="T44:AC44" si="55">IF(T13&gt;0,T13,IF(S44&gt;0,IF(S28=S44,0,S44),0))</f>
        <v>0</v>
      </c>
      <c r="U44" s="20">
        <f t="shared" si="55"/>
        <v>0</v>
      </c>
      <c r="V44" s="20">
        <f t="shared" si="55"/>
        <v>0</v>
      </c>
      <c r="W44" s="20">
        <f t="shared" si="55"/>
        <v>0</v>
      </c>
      <c r="X44" s="20">
        <f t="shared" si="55"/>
        <v>0</v>
      </c>
      <c r="Y44" s="20">
        <f t="shared" si="55"/>
        <v>0</v>
      </c>
      <c r="Z44" s="20">
        <f t="shared" si="55"/>
        <v>0</v>
      </c>
      <c r="AA44" s="20">
        <f t="shared" si="55"/>
        <v>0</v>
      </c>
      <c r="AB44" s="20">
        <f t="shared" si="55"/>
        <v>0</v>
      </c>
      <c r="AC44" s="20">
        <f t="shared" si="55"/>
        <v>0</v>
      </c>
      <c r="AE44" s="20">
        <f>IF(AE13&gt;0,AE13,IF(AC44&gt;0,IF(AC28=AC44,0,AC44),0))</f>
        <v>0</v>
      </c>
      <c r="AF44" s="20">
        <f>IF(AF13&gt;0,AF13,IF(AE44&gt;0,IF(AE28=AE44,0,AE44),0))</f>
        <v>0</v>
      </c>
      <c r="AG44" s="20">
        <f t="shared" ref="AG44:AP44" si="56">IF(AG13&gt;0,AG13,IF(AF44&gt;0,IF(AF28=AF44,0,AF44),0))</f>
        <v>0</v>
      </c>
      <c r="AH44" s="20">
        <f t="shared" si="56"/>
        <v>0</v>
      </c>
      <c r="AI44" s="20">
        <f t="shared" si="56"/>
        <v>0</v>
      </c>
      <c r="AJ44" s="20">
        <f t="shared" si="56"/>
        <v>0</v>
      </c>
      <c r="AK44" s="20">
        <f t="shared" si="56"/>
        <v>0</v>
      </c>
      <c r="AL44" s="20">
        <f t="shared" si="56"/>
        <v>0</v>
      </c>
      <c r="AM44" s="20">
        <f t="shared" si="56"/>
        <v>0</v>
      </c>
      <c r="AN44" s="20">
        <f t="shared" si="56"/>
        <v>0</v>
      </c>
      <c r="AO44" s="20">
        <f t="shared" si="56"/>
        <v>0</v>
      </c>
      <c r="AP44" s="20">
        <f t="shared" si="56"/>
        <v>0</v>
      </c>
    </row>
    <row r="45" spans="1:42" x14ac:dyDescent="0.3">
      <c r="A45" t="str">
        <f t="shared" si="44"/>
        <v>Interest Only Investment 3</v>
      </c>
      <c r="E45" s="20">
        <f>E14</f>
        <v>0</v>
      </c>
      <c r="F45" s="20">
        <f>IF(F14&gt;0,F14,IF(E45&gt;0,IF(E29=E45,0,E45),0))</f>
        <v>0</v>
      </c>
      <c r="G45" s="20">
        <f>IF(G14&gt;0,G14,IF(F45&gt;0,IF(SUM(E29:F29)=F45,0,F45),0))</f>
        <v>0</v>
      </c>
      <c r="H45" s="20">
        <f>IF(H14&gt;0,H14,IF(G45&gt;0,IF(SUM(E29:G29)=G45,0,G45),0))</f>
        <v>0</v>
      </c>
      <c r="I45" s="20">
        <f>IF(I14&gt;0,I14,IF(H45&gt;0,IF(SUM(E29:H29)=H45,0,H45),0))</f>
        <v>0</v>
      </c>
      <c r="J45" s="20">
        <f>IF(J14&gt;0,J14,IF(I45&gt;0,IF(SUM(E29:I29)=I45,0,I45),0))</f>
        <v>0</v>
      </c>
      <c r="K45" s="20">
        <f>IF(K14&gt;0,K14,IF(J45&gt;0,IF(SUM(E29:J29)=J45,0,J45),0))</f>
        <v>0</v>
      </c>
      <c r="L45" s="20">
        <f>IF(L14&gt;0,L14,IF(K45&gt;0,IF(SUM(E29:K29)=K45,0,K45),0))</f>
        <v>0</v>
      </c>
      <c r="M45" s="20">
        <f>IF(M14&gt;0,M14,IF(L45&gt;0,IF(SUM(E29:L29)=L45,0,L45),0))</f>
        <v>0</v>
      </c>
      <c r="N45" s="20">
        <f>IF(N14&gt;0,N14,IF(M45&gt;0,IF(SUM(E29:M29)=M45,0,M45),0))</f>
        <v>0</v>
      </c>
      <c r="O45" s="20">
        <f>IF(O14&gt;0,O14,IF(N45&gt;0,IF(SUM(E29:N29)=N45,0,N45),0))</f>
        <v>0</v>
      </c>
      <c r="P45" s="20">
        <f>IF(P14&gt;0,P14,IF(O45&gt;0,IF(SUM(E29:O29)=O45,0,O45),0))</f>
        <v>0</v>
      </c>
      <c r="R45" s="20">
        <f>R14</f>
        <v>0</v>
      </c>
      <c r="S45" s="20">
        <f>IF(S14&gt;0,S14,IF(R45&gt;0,IF(R29=R45,0,R45),0))</f>
        <v>0</v>
      </c>
      <c r="T45" s="20">
        <f>IF(T14&gt;0,T14,IF(S45&gt;0,IF(SUM(R29:S29)=S45,0,S45),0))</f>
        <v>0</v>
      </c>
      <c r="U45" s="20">
        <f>IF(U14&gt;0,U14,IF(T45&gt;0,IF(SUM(R29:T29)=T45,0,T45),0))</f>
        <v>0</v>
      </c>
      <c r="V45" s="20">
        <f>IF(V14&gt;0,V14,IF(U45&gt;0,IF(SUM(R29:U29)=U45,0,U45),0))</f>
        <v>0</v>
      </c>
      <c r="W45" s="20">
        <f>IF(W14&gt;0,W14,IF(V45&gt;0,IF(SUM(R29:V29)=V45,0,V45),0))</f>
        <v>0</v>
      </c>
      <c r="X45" s="20">
        <f>IF(X14&gt;0,X14,IF(W45&gt;0,IF(SUM(R29:W29)=W45,0,W45),0))</f>
        <v>0</v>
      </c>
      <c r="Y45" s="20">
        <f>IF(Y14&gt;0,Y14,IF(X45&gt;0,IF(SUM(R29:X29)=X45,0,X45),0))</f>
        <v>0</v>
      </c>
      <c r="Z45" s="20">
        <f>IF(Z14&gt;0,Z14,IF(Y45&gt;0,IF(SUM(R29:Y29)=Y45,0,Y45),0))</f>
        <v>0</v>
      </c>
      <c r="AA45" s="20">
        <f>IF(AA14&gt;0,AA14,IF(Z45&gt;0,IF(SUM(R29:Z29)=Z45,0,Z45),0))</f>
        <v>0</v>
      </c>
      <c r="AB45" s="20">
        <f>IF(AB14&gt;0,AB14,IF(AA45&gt;0,IF(SUM(R29:AA29)=AA45,0,AA45),0))</f>
        <v>0</v>
      </c>
      <c r="AC45" s="20">
        <f>IF(AC14&gt;0,AC14,IF(AB45&gt;0,IF(SUM(R29:AB29)=AB45,0,AB45),0))</f>
        <v>0</v>
      </c>
      <c r="AE45" s="20">
        <f>AE14</f>
        <v>0</v>
      </c>
      <c r="AF45" s="20">
        <f>IF(AF14&gt;0,AF14,IF(AE45&gt;0,IF(AE29=AE45,0,AE45),0))</f>
        <v>0</v>
      </c>
      <c r="AG45" s="20">
        <f>IF(AG14&gt;0,AG14,IF(AF45&gt;0,IF(SUM(AE29:AF29)=AF45,0,AF45),0))</f>
        <v>0</v>
      </c>
      <c r="AH45" s="20">
        <f>IF(AH14&gt;0,AH14,IF(AG45&gt;0,IF(SUM(AE29:AG29)=AG45,0,AG45),0))</f>
        <v>0</v>
      </c>
      <c r="AI45" s="20">
        <f>IF(AI14&gt;0,AI14,IF(AH45&gt;0,IF(SUM(AE29:AH29)=AH45,0,AH45),0))</f>
        <v>0</v>
      </c>
      <c r="AJ45" s="20">
        <f>IF(AJ14&gt;0,AJ14,IF(AI45&gt;0,IF(SUM(AE29:AI29)=AI45,0,AI45),0))</f>
        <v>0</v>
      </c>
      <c r="AK45" s="20">
        <f>IF(AK14&gt;0,AK14,IF(AJ45&gt;0,IF(SUM(AE29:AJ29)=AJ45,0,AJ45),0))</f>
        <v>0</v>
      </c>
      <c r="AL45" s="20">
        <f>IF(AL14&gt;0,AL14,IF(AK45&gt;0,IF(SUM(AE29:AK29)=AK45,0,AK45),0))</f>
        <v>0</v>
      </c>
      <c r="AM45" s="20">
        <f>IF(AM14&gt;0,AM14,IF(AL45&gt;0,IF(SUM(AE29:AL29)=AL45,0,AL45),0))</f>
        <v>0</v>
      </c>
      <c r="AN45" s="20">
        <f>IF(AN14&gt;0,AN14,IF(AM45&gt;0,IF(SUM(AE29:AM29)=AM45,0,AM45),0))</f>
        <v>0</v>
      </c>
      <c r="AO45" s="20">
        <f>IF(AO14&gt;0,AO14,IF(AN45&gt;0,IF(SUM(AE29:AN29)=AN45,0,AN45),0))</f>
        <v>0</v>
      </c>
      <c r="AP45" s="20">
        <f>IF(AP14&gt;0,AP14,IF(AO45&gt;0,IF(SUM(AE29:AO29)=AO45,0,AO45),0))</f>
        <v>0</v>
      </c>
    </row>
    <row r="46" spans="1:42" x14ac:dyDescent="0.3">
      <c r="B46" s="3" t="s">
        <v>64</v>
      </c>
      <c r="E46" s="18">
        <f t="shared" ref="E46:P46" si="57">SUM(E37:E45)</f>
        <v>0</v>
      </c>
      <c r="F46" s="18">
        <f t="shared" si="57"/>
        <v>0</v>
      </c>
      <c r="G46" s="18">
        <f t="shared" si="57"/>
        <v>0</v>
      </c>
      <c r="H46" s="18">
        <f t="shared" si="57"/>
        <v>0</v>
      </c>
      <c r="I46" s="18">
        <f t="shared" si="57"/>
        <v>0</v>
      </c>
      <c r="J46" s="18">
        <f t="shared" si="57"/>
        <v>0</v>
      </c>
      <c r="K46" s="18">
        <f t="shared" si="57"/>
        <v>0</v>
      </c>
      <c r="L46" s="18">
        <f t="shared" si="57"/>
        <v>0</v>
      </c>
      <c r="M46" s="18">
        <f t="shared" si="57"/>
        <v>0</v>
      </c>
      <c r="N46" s="18">
        <f t="shared" si="57"/>
        <v>0</v>
      </c>
      <c r="O46" s="18">
        <f t="shared" si="57"/>
        <v>0</v>
      </c>
      <c r="P46" s="18">
        <f t="shared" si="57"/>
        <v>0</v>
      </c>
      <c r="R46" s="18">
        <f t="shared" ref="R46:AC46" si="58">SUM(R37:R45)</f>
        <v>0</v>
      </c>
      <c r="S46" s="18">
        <f t="shared" si="58"/>
        <v>0</v>
      </c>
      <c r="T46" s="18">
        <f t="shared" si="58"/>
        <v>0</v>
      </c>
      <c r="U46" s="18">
        <f t="shared" si="58"/>
        <v>0</v>
      </c>
      <c r="V46" s="18">
        <f t="shared" si="58"/>
        <v>0</v>
      </c>
      <c r="W46" s="18">
        <f t="shared" si="58"/>
        <v>0</v>
      </c>
      <c r="X46" s="18">
        <f t="shared" si="58"/>
        <v>0</v>
      </c>
      <c r="Y46" s="18">
        <f t="shared" si="58"/>
        <v>0</v>
      </c>
      <c r="Z46" s="18">
        <f t="shared" si="58"/>
        <v>0</v>
      </c>
      <c r="AA46" s="18">
        <f t="shared" si="58"/>
        <v>0</v>
      </c>
      <c r="AB46" s="18">
        <f t="shared" si="58"/>
        <v>0</v>
      </c>
      <c r="AC46" s="18">
        <f t="shared" si="58"/>
        <v>0</v>
      </c>
      <c r="AE46" s="18">
        <f t="shared" ref="AE46:AP46" si="59">SUM(AE37:AE45)</f>
        <v>0</v>
      </c>
      <c r="AF46" s="18">
        <f t="shared" si="59"/>
        <v>0</v>
      </c>
      <c r="AG46" s="18">
        <f t="shared" si="59"/>
        <v>0</v>
      </c>
      <c r="AH46" s="18">
        <f t="shared" si="59"/>
        <v>0</v>
      </c>
      <c r="AI46" s="18">
        <f t="shared" si="59"/>
        <v>0</v>
      </c>
      <c r="AJ46" s="18">
        <f t="shared" si="59"/>
        <v>0</v>
      </c>
      <c r="AK46" s="18">
        <f t="shared" si="59"/>
        <v>0</v>
      </c>
      <c r="AL46" s="18">
        <f t="shared" si="59"/>
        <v>0</v>
      </c>
      <c r="AM46" s="18">
        <f t="shared" si="59"/>
        <v>0</v>
      </c>
      <c r="AN46" s="18">
        <f t="shared" si="59"/>
        <v>0</v>
      </c>
      <c r="AO46" s="18">
        <f t="shared" si="59"/>
        <v>0</v>
      </c>
      <c r="AP46" s="18">
        <f t="shared" si="59"/>
        <v>0</v>
      </c>
    </row>
    <row r="47" spans="1:42" x14ac:dyDescent="0.3">
      <c r="E47" s="19"/>
      <c r="F47" s="19"/>
      <c r="G47" s="19"/>
      <c r="H47" s="19"/>
      <c r="I47" s="19"/>
      <c r="J47" s="19"/>
      <c r="K47" s="19"/>
      <c r="L47" s="19"/>
      <c r="M47" s="19"/>
      <c r="N47" s="19"/>
      <c r="O47" s="19"/>
      <c r="P47" s="19"/>
      <c r="R47" s="19"/>
      <c r="S47" s="19"/>
      <c r="T47" s="19"/>
      <c r="U47" s="19"/>
      <c r="V47" s="19"/>
      <c r="W47" s="19"/>
      <c r="X47" s="19"/>
      <c r="Y47" s="19"/>
      <c r="Z47" s="19"/>
      <c r="AA47" s="19"/>
      <c r="AB47" s="19"/>
      <c r="AC47" s="19"/>
      <c r="AE47" s="19"/>
      <c r="AF47" s="19"/>
      <c r="AG47" s="19"/>
      <c r="AH47" s="19"/>
      <c r="AI47" s="19"/>
      <c r="AJ47" s="19"/>
      <c r="AK47" s="19"/>
      <c r="AL47" s="19"/>
      <c r="AM47" s="19"/>
      <c r="AN47" s="19"/>
      <c r="AO47" s="19"/>
      <c r="AP47" s="19"/>
    </row>
    <row r="48" spans="1:42" x14ac:dyDescent="0.3">
      <c r="A48" s="3" t="s">
        <v>61</v>
      </c>
      <c r="E48" s="336">
        <f>KeyInputs!$F$17</f>
        <v>42005</v>
      </c>
      <c r="F48" s="337"/>
      <c r="G48" s="337"/>
      <c r="H48" s="337"/>
      <c r="I48" s="337"/>
      <c r="J48" s="337"/>
      <c r="K48" s="337"/>
      <c r="L48" s="337"/>
      <c r="M48" s="337"/>
      <c r="N48" s="337"/>
      <c r="O48" s="337"/>
      <c r="P48" s="338"/>
      <c r="R48" s="336">
        <f>KeyInputs!$F$17+1</f>
        <v>42006</v>
      </c>
      <c r="S48" s="337"/>
      <c r="T48" s="337"/>
      <c r="U48" s="337"/>
      <c r="V48" s="337"/>
      <c r="W48" s="337"/>
      <c r="X48" s="337"/>
      <c r="Y48" s="337"/>
      <c r="Z48" s="337"/>
      <c r="AA48" s="337"/>
      <c r="AB48" s="337"/>
      <c r="AC48" s="338"/>
      <c r="AE48" s="336">
        <f>KeyInputs!$F$17+2</f>
        <v>42007</v>
      </c>
      <c r="AF48" s="337"/>
      <c r="AG48" s="337"/>
      <c r="AH48" s="337"/>
      <c r="AI48" s="337"/>
      <c r="AJ48" s="337"/>
      <c r="AK48" s="337"/>
      <c r="AL48" s="337"/>
      <c r="AM48" s="337"/>
      <c r="AN48" s="337"/>
      <c r="AO48" s="337"/>
      <c r="AP48" s="338"/>
    </row>
    <row r="49" spans="1:42" x14ac:dyDescent="0.3">
      <c r="E49" s="31" t="e">
        <f>KeyInputs!#REF!</f>
        <v>#REF!</v>
      </c>
      <c r="F49" s="32" t="e">
        <f ca="1">OFFSET(Worksheet!$A$14,,(HLOOKUP(KeyInputs!#REF!,Worksheet!$A$14:$L$15,2,FALSE)))</f>
        <v>#REF!</v>
      </c>
      <c r="G49" s="32" t="e">
        <f ca="1">OFFSET(Worksheet!$A$14,,(HLOOKUP(KeyInputs!#REF!,Worksheet!$A$14:$L$15,2,FALSE))+Worksheet!$A$15)</f>
        <v>#REF!</v>
      </c>
      <c r="H49" s="32" t="e">
        <f ca="1">OFFSET(Worksheet!$A$14,,(HLOOKUP(KeyInputs!#REF!,Worksheet!$A$14:$L$15,2,FALSE))+Worksheet!$B$15)</f>
        <v>#REF!</v>
      </c>
      <c r="I49" s="32" t="e">
        <f ca="1">OFFSET(Worksheet!$A$14,,(HLOOKUP(KeyInputs!#REF!,Worksheet!$A$14:$L$15,2,FALSE))+Worksheet!$C$15)</f>
        <v>#REF!</v>
      </c>
      <c r="J49" s="32" t="e">
        <f ca="1">OFFSET(Worksheet!$A$14,,(HLOOKUP(KeyInputs!#REF!,Worksheet!$A$14:$L$15,2,FALSE))+Worksheet!$D$15)</f>
        <v>#REF!</v>
      </c>
      <c r="K49" s="32" t="e">
        <f ca="1">OFFSET(Worksheet!$A$14,,(HLOOKUP(KeyInputs!#REF!,Worksheet!$A$14:$L$15,2,FALSE))+Worksheet!$E$15)</f>
        <v>#REF!</v>
      </c>
      <c r="L49" s="32" t="e">
        <f ca="1">OFFSET(Worksheet!$A$14,,(HLOOKUP(KeyInputs!#REF!,Worksheet!$A$14:$L$15,2,FALSE))+Worksheet!$F$15)</f>
        <v>#REF!</v>
      </c>
      <c r="M49" s="32" t="e">
        <f ca="1">OFFSET(Worksheet!$A$14,,(HLOOKUP(KeyInputs!#REF!,Worksheet!$A$14:$L$15,2,FALSE))+Worksheet!$G$15)</f>
        <v>#REF!</v>
      </c>
      <c r="N49" s="32" t="e">
        <f ca="1">OFFSET(Worksheet!$A$14,,(HLOOKUP(KeyInputs!#REF!,Worksheet!$A$14:$L$15,2,FALSE))+Worksheet!$H$15)</f>
        <v>#REF!</v>
      </c>
      <c r="O49" s="32" t="e">
        <f ca="1">OFFSET(Worksheet!$A$14,,(HLOOKUP(KeyInputs!#REF!,Worksheet!$A$14:$L$15,2,FALSE))+Worksheet!$I$15)</f>
        <v>#REF!</v>
      </c>
      <c r="P49" s="32" t="e">
        <f ca="1">OFFSET(Worksheet!$A$14,,(HLOOKUP(KeyInputs!#REF!,Worksheet!$A$14:$L$15,2,FALSE))+Worksheet!$J$15)</f>
        <v>#REF!</v>
      </c>
      <c r="R49" s="31" t="e">
        <f>KeyInputs!#REF!</f>
        <v>#REF!</v>
      </c>
      <c r="S49" s="32" t="e">
        <f ca="1">OFFSET(Worksheet!$A$14,,(HLOOKUP(KeyInputs!#REF!,Worksheet!$A$14:$L$15,2,FALSE)))</f>
        <v>#REF!</v>
      </c>
      <c r="T49" s="32" t="e">
        <f ca="1">OFFSET(Worksheet!$A$14,,(HLOOKUP(KeyInputs!#REF!,Worksheet!$A$14:$L$15,2,FALSE))+Worksheet!$A$15)</f>
        <v>#REF!</v>
      </c>
      <c r="U49" s="32" t="e">
        <f ca="1">OFFSET(Worksheet!$A$14,,(HLOOKUP(KeyInputs!#REF!,Worksheet!$A$14:$L$15,2,FALSE))+Worksheet!$B$15)</f>
        <v>#REF!</v>
      </c>
      <c r="V49" s="32" t="e">
        <f ca="1">OFFSET(Worksheet!$A$14,,(HLOOKUP(KeyInputs!#REF!,Worksheet!$A$14:$L$15,2,FALSE))+Worksheet!$C$15)</f>
        <v>#REF!</v>
      </c>
      <c r="W49" s="32" t="e">
        <f ca="1">OFFSET(Worksheet!$A$14,,(HLOOKUP(KeyInputs!#REF!,Worksheet!$A$14:$L$15,2,FALSE))+Worksheet!$D$15)</f>
        <v>#REF!</v>
      </c>
      <c r="X49" s="32" t="e">
        <f ca="1">OFFSET(Worksheet!$A$14,,(HLOOKUP(KeyInputs!#REF!,Worksheet!$A$14:$L$15,2,FALSE))+Worksheet!$E$15)</f>
        <v>#REF!</v>
      </c>
      <c r="Y49" s="32" t="e">
        <f ca="1">OFFSET(Worksheet!$A$14,,(HLOOKUP(KeyInputs!#REF!,Worksheet!$A$14:$L$15,2,FALSE))+Worksheet!$F$15)</f>
        <v>#REF!</v>
      </c>
      <c r="Z49" s="32" t="e">
        <f ca="1">OFFSET(Worksheet!$A$14,,(HLOOKUP(KeyInputs!#REF!,Worksheet!$A$14:$L$15,2,FALSE))+Worksheet!$G$15)</f>
        <v>#REF!</v>
      </c>
      <c r="AA49" s="32" t="e">
        <f ca="1">OFFSET(Worksheet!$A$14,,(HLOOKUP(KeyInputs!#REF!,Worksheet!$A$14:$L$15,2,FALSE))+Worksheet!$H$15)</f>
        <v>#REF!</v>
      </c>
      <c r="AB49" s="32" t="e">
        <f ca="1">OFFSET(Worksheet!$A$14,,(HLOOKUP(KeyInputs!#REF!,Worksheet!$A$14:$L$15,2,FALSE))+Worksheet!$I$15)</f>
        <v>#REF!</v>
      </c>
      <c r="AC49" s="32" t="e">
        <f ca="1">OFFSET(Worksheet!$A$14,,(HLOOKUP(KeyInputs!#REF!,Worksheet!$A$14:$L$15,2,FALSE))+Worksheet!$J$15)</f>
        <v>#REF!</v>
      </c>
      <c r="AE49" s="31" t="e">
        <f>KeyInputs!#REF!</f>
        <v>#REF!</v>
      </c>
      <c r="AF49" s="32" t="e">
        <f ca="1">OFFSET(Worksheet!$A$14,,(HLOOKUP(KeyInputs!#REF!,Worksheet!$A$14:$L$15,2,FALSE)))</f>
        <v>#REF!</v>
      </c>
      <c r="AG49" s="32" t="e">
        <f ca="1">OFFSET(Worksheet!$A$14,,(HLOOKUP(KeyInputs!#REF!,Worksheet!$A$14:$L$15,2,FALSE))+Worksheet!$A$15)</f>
        <v>#REF!</v>
      </c>
      <c r="AH49" s="32" t="e">
        <f ca="1">OFFSET(Worksheet!$A$14,,(HLOOKUP(KeyInputs!#REF!,Worksheet!$A$14:$L$15,2,FALSE))+Worksheet!$B$15)</f>
        <v>#REF!</v>
      </c>
      <c r="AI49" s="32" t="e">
        <f ca="1">OFFSET(Worksheet!$A$14,,(HLOOKUP(KeyInputs!#REF!,Worksheet!$A$14:$L$15,2,FALSE))+Worksheet!$C$15)</f>
        <v>#REF!</v>
      </c>
      <c r="AJ49" s="32" t="e">
        <f ca="1">OFFSET(Worksheet!$A$14,,(HLOOKUP(KeyInputs!#REF!,Worksheet!$A$14:$L$15,2,FALSE))+Worksheet!$D$15)</f>
        <v>#REF!</v>
      </c>
      <c r="AK49" s="32" t="e">
        <f ca="1">OFFSET(Worksheet!$A$14,,(HLOOKUP(KeyInputs!#REF!,Worksheet!$A$14:$L$15,2,FALSE))+Worksheet!$E$15)</f>
        <v>#REF!</v>
      </c>
      <c r="AL49" s="32" t="e">
        <f ca="1">OFFSET(Worksheet!$A$14,,(HLOOKUP(KeyInputs!#REF!,Worksheet!$A$14:$L$15,2,FALSE))+Worksheet!$F$15)</f>
        <v>#REF!</v>
      </c>
      <c r="AM49" s="32" t="e">
        <f ca="1">OFFSET(Worksheet!$A$14,,(HLOOKUP(KeyInputs!#REF!,Worksheet!$A$14:$L$15,2,FALSE))+Worksheet!$G$15)</f>
        <v>#REF!</v>
      </c>
      <c r="AN49" s="32" t="e">
        <f ca="1">OFFSET(Worksheet!$A$14,,(HLOOKUP(KeyInputs!#REF!,Worksheet!$A$14:$L$15,2,FALSE))+Worksheet!$H$15)</f>
        <v>#REF!</v>
      </c>
      <c r="AO49" s="32" t="e">
        <f ca="1">OFFSET(Worksheet!$A$14,,(HLOOKUP(KeyInputs!#REF!,Worksheet!$A$14:$L$15,2,FALSE))+Worksheet!$I$15)</f>
        <v>#REF!</v>
      </c>
      <c r="AP49" s="32" t="e">
        <f ca="1">OFFSET(Worksheet!$A$14,,(HLOOKUP(KeyInputs!#REF!,Worksheet!$A$14:$L$15,2,FALSE))+Worksheet!$J$15)</f>
        <v>#REF!</v>
      </c>
    </row>
    <row r="50" spans="1:42" x14ac:dyDescent="0.3">
      <c r="A50" t="str">
        <f>A37</f>
        <v>Investment 1</v>
      </c>
      <c r="E50" s="20">
        <f>(E37+E19)*$B6/12</f>
        <v>0</v>
      </c>
      <c r="F50" s="20">
        <f t="shared" ref="F50:P50" si="60">(F37+F19)*$B6/12</f>
        <v>0</v>
      </c>
      <c r="G50" s="20">
        <f t="shared" si="60"/>
        <v>0</v>
      </c>
      <c r="H50" s="20">
        <f t="shared" si="60"/>
        <v>0</v>
      </c>
      <c r="I50" s="20">
        <f t="shared" si="60"/>
        <v>0</v>
      </c>
      <c r="J50" s="20">
        <f t="shared" si="60"/>
        <v>0</v>
      </c>
      <c r="K50" s="20">
        <f t="shared" si="60"/>
        <v>0</v>
      </c>
      <c r="L50" s="20">
        <f t="shared" si="60"/>
        <v>0</v>
      </c>
      <c r="M50" s="20">
        <f t="shared" si="60"/>
        <v>0</v>
      </c>
      <c r="N50" s="20">
        <f t="shared" si="60"/>
        <v>0</v>
      </c>
      <c r="O50" s="20">
        <f t="shared" si="60"/>
        <v>0</v>
      </c>
      <c r="P50" s="20">
        <f t="shared" si="60"/>
        <v>0</v>
      </c>
      <c r="R50" s="20">
        <f>(R37+R19)*$B6/12</f>
        <v>0</v>
      </c>
      <c r="S50" s="20">
        <f t="shared" ref="S50:AC50" si="61">(S37+S19)*$B6/12</f>
        <v>0</v>
      </c>
      <c r="T50" s="20">
        <f t="shared" si="61"/>
        <v>0</v>
      </c>
      <c r="U50" s="20">
        <f t="shared" si="61"/>
        <v>0</v>
      </c>
      <c r="V50" s="20">
        <f t="shared" si="61"/>
        <v>0</v>
      </c>
      <c r="W50" s="20">
        <f t="shared" si="61"/>
        <v>0</v>
      </c>
      <c r="X50" s="20">
        <f t="shared" si="61"/>
        <v>0</v>
      </c>
      <c r="Y50" s="20">
        <f t="shared" si="61"/>
        <v>0</v>
      </c>
      <c r="Z50" s="20">
        <f t="shared" si="61"/>
        <v>0</v>
      </c>
      <c r="AA50" s="20">
        <f t="shared" si="61"/>
        <v>0</v>
      </c>
      <c r="AB50" s="20">
        <f t="shared" si="61"/>
        <v>0</v>
      </c>
      <c r="AC50" s="20">
        <f t="shared" si="61"/>
        <v>0</v>
      </c>
      <c r="AE50" s="20">
        <f>(AE37+AE19)*$B6/12</f>
        <v>0</v>
      </c>
      <c r="AF50" s="20">
        <f t="shared" ref="AF50:AP50" si="62">(AF37+AF19)*$B6/12</f>
        <v>0</v>
      </c>
      <c r="AG50" s="20">
        <f t="shared" si="62"/>
        <v>0</v>
      </c>
      <c r="AH50" s="20">
        <f t="shared" si="62"/>
        <v>0</v>
      </c>
      <c r="AI50" s="20">
        <f t="shared" si="62"/>
        <v>0</v>
      </c>
      <c r="AJ50" s="20">
        <f t="shared" si="62"/>
        <v>0</v>
      </c>
      <c r="AK50" s="20">
        <f t="shared" si="62"/>
        <v>0</v>
      </c>
      <c r="AL50" s="20">
        <f t="shared" si="62"/>
        <v>0</v>
      </c>
      <c r="AM50" s="20">
        <f t="shared" si="62"/>
        <v>0</v>
      </c>
      <c r="AN50" s="20">
        <f t="shared" si="62"/>
        <v>0</v>
      </c>
      <c r="AO50" s="20">
        <f t="shared" si="62"/>
        <v>0</v>
      </c>
      <c r="AP50" s="20">
        <f t="shared" si="62"/>
        <v>0</v>
      </c>
    </row>
    <row r="51" spans="1:42" x14ac:dyDescent="0.3">
      <c r="A51" t="str">
        <f t="shared" ref="A51:A58" si="63">A38</f>
        <v>Investment 2</v>
      </c>
      <c r="E51" s="20">
        <f t="shared" ref="E51:P55" si="64">(E38+E20)*$B7/12</f>
        <v>0</v>
      </c>
      <c r="F51" s="20">
        <f t="shared" si="64"/>
        <v>0</v>
      </c>
      <c r="G51" s="20">
        <f t="shared" si="64"/>
        <v>0</v>
      </c>
      <c r="H51" s="20">
        <f t="shared" si="64"/>
        <v>0</v>
      </c>
      <c r="I51" s="20">
        <f t="shared" si="64"/>
        <v>0</v>
      </c>
      <c r="J51" s="20">
        <f t="shared" si="64"/>
        <v>0</v>
      </c>
      <c r="K51" s="20">
        <f t="shared" si="64"/>
        <v>0</v>
      </c>
      <c r="L51" s="20">
        <f t="shared" si="64"/>
        <v>0</v>
      </c>
      <c r="M51" s="20">
        <f t="shared" si="64"/>
        <v>0</v>
      </c>
      <c r="N51" s="20">
        <f t="shared" si="64"/>
        <v>0</v>
      </c>
      <c r="O51" s="20">
        <f t="shared" si="64"/>
        <v>0</v>
      </c>
      <c r="P51" s="20">
        <f t="shared" si="64"/>
        <v>0</v>
      </c>
      <c r="R51" s="20">
        <f t="shared" ref="R51:AC55" si="65">(R38+R20)*$B7/12</f>
        <v>0</v>
      </c>
      <c r="S51" s="20">
        <f t="shared" si="65"/>
        <v>0</v>
      </c>
      <c r="T51" s="20">
        <f t="shared" si="65"/>
        <v>0</v>
      </c>
      <c r="U51" s="20">
        <f t="shared" si="65"/>
        <v>0</v>
      </c>
      <c r="V51" s="20">
        <f t="shared" si="65"/>
        <v>0</v>
      </c>
      <c r="W51" s="20">
        <f t="shared" si="65"/>
        <v>0</v>
      </c>
      <c r="X51" s="20">
        <f t="shared" si="65"/>
        <v>0</v>
      </c>
      <c r="Y51" s="20">
        <f t="shared" si="65"/>
        <v>0</v>
      </c>
      <c r="Z51" s="20">
        <f t="shared" si="65"/>
        <v>0</v>
      </c>
      <c r="AA51" s="20">
        <f t="shared" si="65"/>
        <v>0</v>
      </c>
      <c r="AB51" s="20">
        <f t="shared" si="65"/>
        <v>0</v>
      </c>
      <c r="AC51" s="20">
        <f t="shared" si="65"/>
        <v>0</v>
      </c>
      <c r="AE51" s="20">
        <f t="shared" ref="AE51:AP55" si="66">(AE38+AE20)*$B7/12</f>
        <v>0</v>
      </c>
      <c r="AF51" s="20">
        <f t="shared" si="66"/>
        <v>0</v>
      </c>
      <c r="AG51" s="20">
        <f t="shared" si="66"/>
        <v>0</v>
      </c>
      <c r="AH51" s="20">
        <f t="shared" si="66"/>
        <v>0</v>
      </c>
      <c r="AI51" s="20">
        <f t="shared" si="66"/>
        <v>0</v>
      </c>
      <c r="AJ51" s="20">
        <f t="shared" si="66"/>
        <v>0</v>
      </c>
      <c r="AK51" s="20">
        <f t="shared" si="66"/>
        <v>0</v>
      </c>
      <c r="AL51" s="20">
        <f t="shared" si="66"/>
        <v>0</v>
      </c>
      <c r="AM51" s="20">
        <f t="shared" si="66"/>
        <v>0</v>
      </c>
      <c r="AN51" s="20">
        <f t="shared" si="66"/>
        <v>0</v>
      </c>
      <c r="AO51" s="20">
        <f t="shared" si="66"/>
        <v>0</v>
      </c>
      <c r="AP51" s="20">
        <f t="shared" si="66"/>
        <v>0</v>
      </c>
    </row>
    <row r="52" spans="1:42" x14ac:dyDescent="0.3">
      <c r="A52" t="str">
        <f t="shared" si="63"/>
        <v>Investment 3</v>
      </c>
      <c r="E52" s="20">
        <f t="shared" si="64"/>
        <v>0</v>
      </c>
      <c r="F52" s="20">
        <f t="shared" si="64"/>
        <v>0</v>
      </c>
      <c r="G52" s="20">
        <f t="shared" si="64"/>
        <v>0</v>
      </c>
      <c r="H52" s="20">
        <f t="shared" si="64"/>
        <v>0</v>
      </c>
      <c r="I52" s="20">
        <f t="shared" si="64"/>
        <v>0</v>
      </c>
      <c r="J52" s="20">
        <f t="shared" si="64"/>
        <v>0</v>
      </c>
      <c r="K52" s="20">
        <f t="shared" si="64"/>
        <v>0</v>
      </c>
      <c r="L52" s="20">
        <f t="shared" si="64"/>
        <v>0</v>
      </c>
      <c r="M52" s="20">
        <f t="shared" si="64"/>
        <v>0</v>
      </c>
      <c r="N52" s="20">
        <f t="shared" si="64"/>
        <v>0</v>
      </c>
      <c r="O52" s="20">
        <f t="shared" si="64"/>
        <v>0</v>
      </c>
      <c r="P52" s="20">
        <f t="shared" si="64"/>
        <v>0</v>
      </c>
      <c r="R52" s="20">
        <f t="shared" si="65"/>
        <v>0</v>
      </c>
      <c r="S52" s="20">
        <f t="shared" si="65"/>
        <v>0</v>
      </c>
      <c r="T52" s="20">
        <f t="shared" si="65"/>
        <v>0</v>
      </c>
      <c r="U52" s="20">
        <f t="shared" si="65"/>
        <v>0</v>
      </c>
      <c r="V52" s="20">
        <f t="shared" si="65"/>
        <v>0</v>
      </c>
      <c r="W52" s="20">
        <f t="shared" si="65"/>
        <v>0</v>
      </c>
      <c r="X52" s="20">
        <f t="shared" si="65"/>
        <v>0</v>
      </c>
      <c r="Y52" s="20">
        <f t="shared" si="65"/>
        <v>0</v>
      </c>
      <c r="Z52" s="20">
        <f t="shared" si="65"/>
        <v>0</v>
      </c>
      <c r="AA52" s="20">
        <f t="shared" si="65"/>
        <v>0</v>
      </c>
      <c r="AB52" s="20">
        <f t="shared" si="65"/>
        <v>0</v>
      </c>
      <c r="AC52" s="20">
        <f t="shared" si="65"/>
        <v>0</v>
      </c>
      <c r="AE52" s="20">
        <f t="shared" si="66"/>
        <v>0</v>
      </c>
      <c r="AF52" s="20">
        <f t="shared" si="66"/>
        <v>0</v>
      </c>
      <c r="AG52" s="20">
        <f t="shared" si="66"/>
        <v>0</v>
      </c>
      <c r="AH52" s="20">
        <f t="shared" si="66"/>
        <v>0</v>
      </c>
      <c r="AI52" s="20">
        <f t="shared" si="66"/>
        <v>0</v>
      </c>
      <c r="AJ52" s="20">
        <f t="shared" si="66"/>
        <v>0</v>
      </c>
      <c r="AK52" s="20">
        <f t="shared" si="66"/>
        <v>0</v>
      </c>
      <c r="AL52" s="20">
        <f t="shared" si="66"/>
        <v>0</v>
      </c>
      <c r="AM52" s="20">
        <f t="shared" si="66"/>
        <v>0</v>
      </c>
      <c r="AN52" s="20">
        <f t="shared" si="66"/>
        <v>0</v>
      </c>
      <c r="AO52" s="20">
        <f t="shared" si="66"/>
        <v>0</v>
      </c>
      <c r="AP52" s="20">
        <f t="shared" si="66"/>
        <v>0</v>
      </c>
    </row>
    <row r="53" spans="1:42" x14ac:dyDescent="0.3">
      <c r="A53" t="str">
        <f t="shared" si="63"/>
        <v>Investment 4</v>
      </c>
      <c r="E53" s="20">
        <f t="shared" si="64"/>
        <v>0</v>
      </c>
      <c r="F53" s="20">
        <f t="shared" si="64"/>
        <v>0</v>
      </c>
      <c r="G53" s="20">
        <f t="shared" si="64"/>
        <v>0</v>
      </c>
      <c r="H53" s="20">
        <f t="shared" si="64"/>
        <v>0</v>
      </c>
      <c r="I53" s="20">
        <f t="shared" si="64"/>
        <v>0</v>
      </c>
      <c r="J53" s="20">
        <f t="shared" si="64"/>
        <v>0</v>
      </c>
      <c r="K53" s="20">
        <f t="shared" si="64"/>
        <v>0</v>
      </c>
      <c r="L53" s="20">
        <f t="shared" si="64"/>
        <v>0</v>
      </c>
      <c r="M53" s="20">
        <f t="shared" si="64"/>
        <v>0</v>
      </c>
      <c r="N53" s="20">
        <f t="shared" si="64"/>
        <v>0</v>
      </c>
      <c r="O53" s="20">
        <f t="shared" si="64"/>
        <v>0</v>
      </c>
      <c r="P53" s="20">
        <f t="shared" si="64"/>
        <v>0</v>
      </c>
      <c r="R53" s="20">
        <f t="shared" si="65"/>
        <v>0</v>
      </c>
      <c r="S53" s="20">
        <f t="shared" si="65"/>
        <v>0</v>
      </c>
      <c r="T53" s="20">
        <f t="shared" si="65"/>
        <v>0</v>
      </c>
      <c r="U53" s="20">
        <f t="shared" si="65"/>
        <v>0</v>
      </c>
      <c r="V53" s="20">
        <f t="shared" si="65"/>
        <v>0</v>
      </c>
      <c r="W53" s="20">
        <f t="shared" si="65"/>
        <v>0</v>
      </c>
      <c r="X53" s="20">
        <f t="shared" si="65"/>
        <v>0</v>
      </c>
      <c r="Y53" s="20">
        <f t="shared" si="65"/>
        <v>0</v>
      </c>
      <c r="Z53" s="20">
        <f t="shared" si="65"/>
        <v>0</v>
      </c>
      <c r="AA53" s="20">
        <f t="shared" si="65"/>
        <v>0</v>
      </c>
      <c r="AB53" s="20">
        <f t="shared" si="65"/>
        <v>0</v>
      </c>
      <c r="AC53" s="20">
        <f t="shared" si="65"/>
        <v>0</v>
      </c>
      <c r="AE53" s="20">
        <f t="shared" si="66"/>
        <v>0</v>
      </c>
      <c r="AF53" s="20">
        <f t="shared" si="66"/>
        <v>0</v>
      </c>
      <c r="AG53" s="20">
        <f t="shared" si="66"/>
        <v>0</v>
      </c>
      <c r="AH53" s="20">
        <f t="shared" si="66"/>
        <v>0</v>
      </c>
      <c r="AI53" s="20">
        <f t="shared" si="66"/>
        <v>0</v>
      </c>
      <c r="AJ53" s="20">
        <f t="shared" si="66"/>
        <v>0</v>
      </c>
      <c r="AK53" s="20">
        <f t="shared" si="66"/>
        <v>0</v>
      </c>
      <c r="AL53" s="20">
        <f t="shared" si="66"/>
        <v>0</v>
      </c>
      <c r="AM53" s="20">
        <f t="shared" si="66"/>
        <v>0</v>
      </c>
      <c r="AN53" s="20">
        <f t="shared" si="66"/>
        <v>0</v>
      </c>
      <c r="AO53" s="20">
        <f t="shared" si="66"/>
        <v>0</v>
      </c>
      <c r="AP53" s="20">
        <f t="shared" si="66"/>
        <v>0</v>
      </c>
    </row>
    <row r="54" spans="1:42" x14ac:dyDescent="0.3">
      <c r="A54" t="str">
        <f t="shared" si="63"/>
        <v>Investment 5</v>
      </c>
      <c r="E54" s="20">
        <f t="shared" si="64"/>
        <v>0</v>
      </c>
      <c r="F54" s="20">
        <f t="shared" si="64"/>
        <v>0</v>
      </c>
      <c r="G54" s="20">
        <f t="shared" si="64"/>
        <v>0</v>
      </c>
      <c r="H54" s="20">
        <f t="shared" si="64"/>
        <v>0</v>
      </c>
      <c r="I54" s="20">
        <f t="shared" si="64"/>
        <v>0</v>
      </c>
      <c r="J54" s="20">
        <f t="shared" si="64"/>
        <v>0</v>
      </c>
      <c r="K54" s="20">
        <f t="shared" si="64"/>
        <v>0</v>
      </c>
      <c r="L54" s="20">
        <f t="shared" si="64"/>
        <v>0</v>
      </c>
      <c r="M54" s="20">
        <f t="shared" si="64"/>
        <v>0</v>
      </c>
      <c r="N54" s="20">
        <f t="shared" si="64"/>
        <v>0</v>
      </c>
      <c r="O54" s="20">
        <f t="shared" si="64"/>
        <v>0</v>
      </c>
      <c r="P54" s="20">
        <f t="shared" si="64"/>
        <v>0</v>
      </c>
      <c r="R54" s="20">
        <f t="shared" si="65"/>
        <v>0</v>
      </c>
      <c r="S54" s="20">
        <f t="shared" si="65"/>
        <v>0</v>
      </c>
      <c r="T54" s="20">
        <f t="shared" si="65"/>
        <v>0</v>
      </c>
      <c r="U54" s="20">
        <f t="shared" si="65"/>
        <v>0</v>
      </c>
      <c r="V54" s="20">
        <f t="shared" si="65"/>
        <v>0</v>
      </c>
      <c r="W54" s="20">
        <f t="shared" si="65"/>
        <v>0</v>
      </c>
      <c r="X54" s="20">
        <f t="shared" si="65"/>
        <v>0</v>
      </c>
      <c r="Y54" s="20">
        <f t="shared" si="65"/>
        <v>0</v>
      </c>
      <c r="Z54" s="20">
        <f t="shared" si="65"/>
        <v>0</v>
      </c>
      <c r="AA54" s="20">
        <f t="shared" si="65"/>
        <v>0</v>
      </c>
      <c r="AB54" s="20">
        <f t="shared" si="65"/>
        <v>0</v>
      </c>
      <c r="AC54" s="20">
        <f t="shared" si="65"/>
        <v>0</v>
      </c>
      <c r="AE54" s="20">
        <f t="shared" si="66"/>
        <v>0</v>
      </c>
      <c r="AF54" s="20">
        <f t="shared" si="66"/>
        <v>0</v>
      </c>
      <c r="AG54" s="20">
        <f t="shared" si="66"/>
        <v>0</v>
      </c>
      <c r="AH54" s="20">
        <f t="shared" si="66"/>
        <v>0</v>
      </c>
      <c r="AI54" s="20">
        <f t="shared" si="66"/>
        <v>0</v>
      </c>
      <c r="AJ54" s="20">
        <f t="shared" si="66"/>
        <v>0</v>
      </c>
      <c r="AK54" s="20">
        <f t="shared" si="66"/>
        <v>0</v>
      </c>
      <c r="AL54" s="20">
        <f t="shared" si="66"/>
        <v>0</v>
      </c>
      <c r="AM54" s="20">
        <f t="shared" si="66"/>
        <v>0</v>
      </c>
      <c r="AN54" s="20">
        <f t="shared" si="66"/>
        <v>0</v>
      </c>
      <c r="AO54" s="20">
        <f t="shared" si="66"/>
        <v>0</v>
      </c>
      <c r="AP54" s="20">
        <f t="shared" si="66"/>
        <v>0</v>
      </c>
    </row>
    <row r="55" spans="1:42" x14ac:dyDescent="0.3">
      <c r="A55" t="str">
        <f t="shared" si="63"/>
        <v>Investment 6</v>
      </c>
      <c r="E55" s="20">
        <f t="shared" si="64"/>
        <v>0</v>
      </c>
      <c r="F55" s="20">
        <f t="shared" si="64"/>
        <v>0</v>
      </c>
      <c r="G55" s="20">
        <f t="shared" si="64"/>
        <v>0</v>
      </c>
      <c r="H55" s="20">
        <f t="shared" si="64"/>
        <v>0</v>
      </c>
      <c r="I55" s="20">
        <f t="shared" si="64"/>
        <v>0</v>
      </c>
      <c r="J55" s="20">
        <f t="shared" si="64"/>
        <v>0</v>
      </c>
      <c r="K55" s="20">
        <f t="shared" si="64"/>
        <v>0</v>
      </c>
      <c r="L55" s="20">
        <f t="shared" si="64"/>
        <v>0</v>
      </c>
      <c r="M55" s="20">
        <f t="shared" si="64"/>
        <v>0</v>
      </c>
      <c r="N55" s="20">
        <f t="shared" si="64"/>
        <v>0</v>
      </c>
      <c r="O55" s="20">
        <f t="shared" si="64"/>
        <v>0</v>
      </c>
      <c r="P55" s="20">
        <f t="shared" si="64"/>
        <v>0</v>
      </c>
      <c r="R55" s="20">
        <f t="shared" si="65"/>
        <v>0</v>
      </c>
      <c r="S55" s="20">
        <f t="shared" si="65"/>
        <v>0</v>
      </c>
      <c r="T55" s="20">
        <f t="shared" si="65"/>
        <v>0</v>
      </c>
      <c r="U55" s="20">
        <f t="shared" si="65"/>
        <v>0</v>
      </c>
      <c r="V55" s="20">
        <f t="shared" si="65"/>
        <v>0</v>
      </c>
      <c r="W55" s="20">
        <f t="shared" si="65"/>
        <v>0</v>
      </c>
      <c r="X55" s="20">
        <f t="shared" si="65"/>
        <v>0</v>
      </c>
      <c r="Y55" s="20">
        <f t="shared" si="65"/>
        <v>0</v>
      </c>
      <c r="Z55" s="20">
        <f t="shared" si="65"/>
        <v>0</v>
      </c>
      <c r="AA55" s="20">
        <f t="shared" si="65"/>
        <v>0</v>
      </c>
      <c r="AB55" s="20">
        <f t="shared" si="65"/>
        <v>0</v>
      </c>
      <c r="AC55" s="20">
        <f t="shared" si="65"/>
        <v>0</v>
      </c>
      <c r="AE55" s="20">
        <f t="shared" si="66"/>
        <v>0</v>
      </c>
      <c r="AF55" s="20">
        <f t="shared" si="66"/>
        <v>0</v>
      </c>
      <c r="AG55" s="20">
        <f t="shared" si="66"/>
        <v>0</v>
      </c>
      <c r="AH55" s="20">
        <f t="shared" si="66"/>
        <v>0</v>
      </c>
      <c r="AI55" s="20">
        <f t="shared" si="66"/>
        <v>0</v>
      </c>
      <c r="AJ55" s="20">
        <f t="shared" si="66"/>
        <v>0</v>
      </c>
      <c r="AK55" s="20">
        <f t="shared" si="66"/>
        <v>0</v>
      </c>
      <c r="AL55" s="20">
        <f t="shared" si="66"/>
        <v>0</v>
      </c>
      <c r="AM55" s="20">
        <f t="shared" si="66"/>
        <v>0</v>
      </c>
      <c r="AN55" s="20">
        <f t="shared" si="66"/>
        <v>0</v>
      </c>
      <c r="AO55" s="20">
        <f t="shared" si="66"/>
        <v>0</v>
      </c>
      <c r="AP55" s="20">
        <f t="shared" si="66"/>
        <v>0</v>
      </c>
    </row>
    <row r="56" spans="1:42" x14ac:dyDescent="0.3">
      <c r="A56" t="str">
        <f t="shared" si="63"/>
        <v>Interest Only Investment 1</v>
      </c>
      <c r="E56" s="20">
        <f>E43*$B12/12</f>
        <v>0</v>
      </c>
      <c r="F56" s="20">
        <f>F43*$B12/12</f>
        <v>0</v>
      </c>
      <c r="G56" s="20">
        <f t="shared" ref="G56:P56" si="67">G43*$B12/12</f>
        <v>0</v>
      </c>
      <c r="H56" s="20">
        <f t="shared" si="67"/>
        <v>0</v>
      </c>
      <c r="I56" s="20">
        <f t="shared" si="67"/>
        <v>0</v>
      </c>
      <c r="J56" s="20">
        <f t="shared" si="67"/>
        <v>0</v>
      </c>
      <c r="K56" s="20">
        <f t="shared" si="67"/>
        <v>0</v>
      </c>
      <c r="L56" s="20">
        <f t="shared" si="67"/>
        <v>0</v>
      </c>
      <c r="M56" s="20">
        <f t="shared" si="67"/>
        <v>0</v>
      </c>
      <c r="N56" s="20">
        <f t="shared" si="67"/>
        <v>0</v>
      </c>
      <c r="O56" s="20">
        <f t="shared" si="67"/>
        <v>0</v>
      </c>
      <c r="P56" s="20">
        <f t="shared" si="67"/>
        <v>0</v>
      </c>
      <c r="R56" s="20">
        <f>R43*$B12/12</f>
        <v>0</v>
      </c>
      <c r="S56" s="20">
        <f>S43*$B12/12</f>
        <v>0</v>
      </c>
      <c r="T56" s="20">
        <f t="shared" ref="T56:AC56" si="68">T43*$B12/12</f>
        <v>0</v>
      </c>
      <c r="U56" s="20">
        <f t="shared" si="68"/>
        <v>0</v>
      </c>
      <c r="V56" s="20">
        <f t="shared" si="68"/>
        <v>0</v>
      </c>
      <c r="W56" s="20">
        <f t="shared" si="68"/>
        <v>0</v>
      </c>
      <c r="X56" s="20">
        <f t="shared" si="68"/>
        <v>0</v>
      </c>
      <c r="Y56" s="20">
        <f t="shared" si="68"/>
        <v>0</v>
      </c>
      <c r="Z56" s="20">
        <f t="shared" si="68"/>
        <v>0</v>
      </c>
      <c r="AA56" s="20">
        <f t="shared" si="68"/>
        <v>0</v>
      </c>
      <c r="AB56" s="20">
        <f t="shared" si="68"/>
        <v>0</v>
      </c>
      <c r="AC56" s="20">
        <f t="shared" si="68"/>
        <v>0</v>
      </c>
      <c r="AE56" s="20">
        <f>AE43*$B12/12</f>
        <v>0</v>
      </c>
      <c r="AF56" s="20">
        <f t="shared" ref="AF56:AP56" si="69">AF43*$B12/12</f>
        <v>0</v>
      </c>
      <c r="AG56" s="20">
        <f t="shared" si="69"/>
        <v>0</v>
      </c>
      <c r="AH56" s="20">
        <f t="shared" si="69"/>
        <v>0</v>
      </c>
      <c r="AI56" s="20">
        <f t="shared" si="69"/>
        <v>0</v>
      </c>
      <c r="AJ56" s="20">
        <f t="shared" si="69"/>
        <v>0</v>
      </c>
      <c r="AK56" s="20">
        <f t="shared" si="69"/>
        <v>0</v>
      </c>
      <c r="AL56" s="20">
        <f t="shared" si="69"/>
        <v>0</v>
      </c>
      <c r="AM56" s="20">
        <f t="shared" si="69"/>
        <v>0</v>
      </c>
      <c r="AN56" s="20">
        <f t="shared" si="69"/>
        <v>0</v>
      </c>
      <c r="AO56" s="20">
        <f t="shared" si="69"/>
        <v>0</v>
      </c>
      <c r="AP56" s="20">
        <f t="shared" si="69"/>
        <v>0</v>
      </c>
    </row>
    <row r="57" spans="1:42" x14ac:dyDescent="0.3">
      <c r="A57" t="str">
        <f t="shared" si="63"/>
        <v>Interest Only Investment 2</v>
      </c>
      <c r="E57" s="20">
        <f>E13</f>
        <v>0</v>
      </c>
      <c r="F57" s="20">
        <f t="shared" ref="F57:P58" si="70">F44*$B13/4</f>
        <v>0</v>
      </c>
      <c r="G57" s="20">
        <f t="shared" si="70"/>
        <v>0</v>
      </c>
      <c r="H57" s="20">
        <f t="shared" si="70"/>
        <v>0</v>
      </c>
      <c r="I57" s="20">
        <f t="shared" si="70"/>
        <v>0</v>
      </c>
      <c r="J57" s="20">
        <f t="shared" si="70"/>
        <v>0</v>
      </c>
      <c r="K57" s="20">
        <f t="shared" si="70"/>
        <v>0</v>
      </c>
      <c r="L57" s="20">
        <f t="shared" si="70"/>
        <v>0</v>
      </c>
      <c r="M57" s="20">
        <f t="shared" si="70"/>
        <v>0</v>
      </c>
      <c r="N57" s="20">
        <f t="shared" si="70"/>
        <v>0</v>
      </c>
      <c r="O57" s="20">
        <f t="shared" si="70"/>
        <v>0</v>
      </c>
      <c r="P57" s="20">
        <f t="shared" si="70"/>
        <v>0</v>
      </c>
      <c r="R57" s="20">
        <f>R13</f>
        <v>0</v>
      </c>
      <c r="S57" s="20">
        <f t="shared" ref="S57:AC58" si="71">S44*$B13/4</f>
        <v>0</v>
      </c>
      <c r="T57" s="20">
        <f t="shared" si="71"/>
        <v>0</v>
      </c>
      <c r="U57" s="20">
        <f t="shared" si="71"/>
        <v>0</v>
      </c>
      <c r="V57" s="20">
        <f t="shared" si="71"/>
        <v>0</v>
      </c>
      <c r="W57" s="20">
        <f t="shared" si="71"/>
        <v>0</v>
      </c>
      <c r="X57" s="20">
        <f t="shared" si="71"/>
        <v>0</v>
      </c>
      <c r="Y57" s="20">
        <f t="shared" si="71"/>
        <v>0</v>
      </c>
      <c r="Z57" s="20">
        <f t="shared" si="71"/>
        <v>0</v>
      </c>
      <c r="AA57" s="20">
        <f t="shared" si="71"/>
        <v>0</v>
      </c>
      <c r="AB57" s="20">
        <f t="shared" si="71"/>
        <v>0</v>
      </c>
      <c r="AC57" s="20">
        <f t="shared" si="71"/>
        <v>0</v>
      </c>
      <c r="AE57" s="20">
        <f>AE13</f>
        <v>0</v>
      </c>
      <c r="AF57" s="20">
        <f t="shared" ref="AF57:AP58" si="72">AF44*$B13/4</f>
        <v>0</v>
      </c>
      <c r="AG57" s="20">
        <f t="shared" si="72"/>
        <v>0</v>
      </c>
      <c r="AH57" s="20">
        <f t="shared" si="72"/>
        <v>0</v>
      </c>
      <c r="AI57" s="20">
        <f t="shared" si="72"/>
        <v>0</v>
      </c>
      <c r="AJ57" s="20">
        <f t="shared" si="72"/>
        <v>0</v>
      </c>
      <c r="AK57" s="20">
        <f t="shared" si="72"/>
        <v>0</v>
      </c>
      <c r="AL57" s="20">
        <f t="shared" si="72"/>
        <v>0</v>
      </c>
      <c r="AM57" s="20">
        <f t="shared" si="72"/>
        <v>0</v>
      </c>
      <c r="AN57" s="20">
        <f t="shared" si="72"/>
        <v>0</v>
      </c>
      <c r="AO57" s="20">
        <f t="shared" si="72"/>
        <v>0</v>
      </c>
      <c r="AP57" s="20">
        <f t="shared" si="72"/>
        <v>0</v>
      </c>
    </row>
    <row r="58" spans="1:42" x14ac:dyDescent="0.3">
      <c r="A58" t="str">
        <f t="shared" si="63"/>
        <v>Interest Only Investment 3</v>
      </c>
      <c r="E58" s="20">
        <f>E14</f>
        <v>0</v>
      </c>
      <c r="F58" s="20">
        <f t="shared" si="70"/>
        <v>0</v>
      </c>
      <c r="G58" s="20">
        <f t="shared" si="70"/>
        <v>0</v>
      </c>
      <c r="H58" s="20">
        <f t="shared" si="70"/>
        <v>0</v>
      </c>
      <c r="I58" s="20">
        <f t="shared" si="70"/>
        <v>0</v>
      </c>
      <c r="J58" s="20">
        <f t="shared" si="70"/>
        <v>0</v>
      </c>
      <c r="K58" s="20">
        <f t="shared" si="70"/>
        <v>0</v>
      </c>
      <c r="L58" s="20">
        <f t="shared" si="70"/>
        <v>0</v>
      </c>
      <c r="M58" s="20">
        <f t="shared" si="70"/>
        <v>0</v>
      </c>
      <c r="N58" s="20">
        <f t="shared" si="70"/>
        <v>0</v>
      </c>
      <c r="O58" s="20">
        <f t="shared" si="70"/>
        <v>0</v>
      </c>
      <c r="P58" s="20">
        <f t="shared" si="70"/>
        <v>0</v>
      </c>
      <c r="R58" s="20">
        <f>R14</f>
        <v>0</v>
      </c>
      <c r="S58" s="20">
        <f t="shared" si="71"/>
        <v>0</v>
      </c>
      <c r="T58" s="20">
        <f t="shared" si="71"/>
        <v>0</v>
      </c>
      <c r="U58" s="20">
        <f t="shared" si="71"/>
        <v>0</v>
      </c>
      <c r="V58" s="20">
        <f t="shared" si="71"/>
        <v>0</v>
      </c>
      <c r="W58" s="20">
        <f t="shared" si="71"/>
        <v>0</v>
      </c>
      <c r="X58" s="20">
        <f t="shared" si="71"/>
        <v>0</v>
      </c>
      <c r="Y58" s="20">
        <f t="shared" si="71"/>
        <v>0</v>
      </c>
      <c r="Z58" s="20">
        <f t="shared" si="71"/>
        <v>0</v>
      </c>
      <c r="AA58" s="20">
        <f t="shared" si="71"/>
        <v>0</v>
      </c>
      <c r="AB58" s="20">
        <f t="shared" si="71"/>
        <v>0</v>
      </c>
      <c r="AC58" s="20">
        <f t="shared" si="71"/>
        <v>0</v>
      </c>
      <c r="AE58" s="20">
        <f>AE14</f>
        <v>0</v>
      </c>
      <c r="AF58" s="20">
        <f t="shared" si="72"/>
        <v>0</v>
      </c>
      <c r="AG58" s="20">
        <f t="shared" si="72"/>
        <v>0</v>
      </c>
      <c r="AH58" s="20">
        <f t="shared" si="72"/>
        <v>0</v>
      </c>
      <c r="AI58" s="20">
        <f t="shared" si="72"/>
        <v>0</v>
      </c>
      <c r="AJ58" s="20">
        <f t="shared" si="72"/>
        <v>0</v>
      </c>
      <c r="AK58" s="20">
        <f t="shared" si="72"/>
        <v>0</v>
      </c>
      <c r="AL58" s="20">
        <f t="shared" si="72"/>
        <v>0</v>
      </c>
      <c r="AM58" s="20">
        <f t="shared" si="72"/>
        <v>0</v>
      </c>
      <c r="AN58" s="20">
        <f t="shared" si="72"/>
        <v>0</v>
      </c>
      <c r="AO58" s="20">
        <f t="shared" si="72"/>
        <v>0</v>
      </c>
      <c r="AP58" s="20">
        <f t="shared" si="72"/>
        <v>0</v>
      </c>
    </row>
    <row r="59" spans="1:42" x14ac:dyDescent="0.3">
      <c r="B59" s="3" t="s">
        <v>63</v>
      </c>
      <c r="E59" s="18">
        <f t="shared" ref="E59:P59" si="73">SUM(E50:E58)</f>
        <v>0</v>
      </c>
      <c r="F59" s="18">
        <f t="shared" si="73"/>
        <v>0</v>
      </c>
      <c r="G59" s="18">
        <f t="shared" si="73"/>
        <v>0</v>
      </c>
      <c r="H59" s="18">
        <f t="shared" si="73"/>
        <v>0</v>
      </c>
      <c r="I59" s="18">
        <f t="shared" si="73"/>
        <v>0</v>
      </c>
      <c r="J59" s="18">
        <f t="shared" si="73"/>
        <v>0</v>
      </c>
      <c r="K59" s="18">
        <f t="shared" si="73"/>
        <v>0</v>
      </c>
      <c r="L59" s="18">
        <f t="shared" si="73"/>
        <v>0</v>
      </c>
      <c r="M59" s="18">
        <f t="shared" si="73"/>
        <v>0</v>
      </c>
      <c r="N59" s="18">
        <f t="shared" si="73"/>
        <v>0</v>
      </c>
      <c r="O59" s="18">
        <f t="shared" si="73"/>
        <v>0</v>
      </c>
      <c r="P59" s="18">
        <f t="shared" si="73"/>
        <v>0</v>
      </c>
      <c r="R59" s="18">
        <f t="shared" ref="R59:AC59" si="74">SUM(R50:R58)</f>
        <v>0</v>
      </c>
      <c r="S59" s="18">
        <f t="shared" si="74"/>
        <v>0</v>
      </c>
      <c r="T59" s="18">
        <f t="shared" si="74"/>
        <v>0</v>
      </c>
      <c r="U59" s="18">
        <f t="shared" si="74"/>
        <v>0</v>
      </c>
      <c r="V59" s="18">
        <f t="shared" si="74"/>
        <v>0</v>
      </c>
      <c r="W59" s="18">
        <f t="shared" si="74"/>
        <v>0</v>
      </c>
      <c r="X59" s="18">
        <f t="shared" si="74"/>
        <v>0</v>
      </c>
      <c r="Y59" s="18">
        <f t="shared" si="74"/>
        <v>0</v>
      </c>
      <c r="Z59" s="18">
        <f t="shared" si="74"/>
        <v>0</v>
      </c>
      <c r="AA59" s="18">
        <f t="shared" si="74"/>
        <v>0</v>
      </c>
      <c r="AB59" s="18">
        <f t="shared" si="74"/>
        <v>0</v>
      </c>
      <c r="AC59" s="18">
        <f t="shared" si="74"/>
        <v>0</v>
      </c>
      <c r="AE59" s="18">
        <f t="shared" ref="AE59:AP59" si="75">SUM(AE50:AE58)</f>
        <v>0</v>
      </c>
      <c r="AF59" s="18">
        <f t="shared" si="75"/>
        <v>0</v>
      </c>
      <c r="AG59" s="18">
        <f t="shared" si="75"/>
        <v>0</v>
      </c>
      <c r="AH59" s="18">
        <f t="shared" si="75"/>
        <v>0</v>
      </c>
      <c r="AI59" s="18">
        <f t="shared" si="75"/>
        <v>0</v>
      </c>
      <c r="AJ59" s="18">
        <f t="shared" si="75"/>
        <v>0</v>
      </c>
      <c r="AK59" s="18">
        <f t="shared" si="75"/>
        <v>0</v>
      </c>
      <c r="AL59" s="18">
        <f t="shared" si="75"/>
        <v>0</v>
      </c>
      <c r="AM59" s="18">
        <f t="shared" si="75"/>
        <v>0</v>
      </c>
      <c r="AN59" s="18">
        <f t="shared" si="75"/>
        <v>0</v>
      </c>
      <c r="AO59" s="18">
        <f t="shared" si="75"/>
        <v>0</v>
      </c>
      <c r="AP59" s="18">
        <f t="shared" si="75"/>
        <v>0</v>
      </c>
    </row>
  </sheetData>
  <mergeCells count="12">
    <mergeCell ref="E35:P35"/>
    <mergeCell ref="R35:AC35"/>
    <mergeCell ref="AE35:AP35"/>
    <mergeCell ref="E48:P48"/>
    <mergeCell ref="R48:AC48"/>
    <mergeCell ref="AE48:AP48"/>
    <mergeCell ref="E4:P4"/>
    <mergeCell ref="R4:AC4"/>
    <mergeCell ref="AE4:AP4"/>
    <mergeCell ref="E17:P17"/>
    <mergeCell ref="R17:AC17"/>
    <mergeCell ref="AE17:AP17"/>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50"/>
  </sheetPr>
  <dimension ref="A1:BZ24"/>
  <sheetViews>
    <sheetView showGridLines="0" zoomScale="80" zoomScaleNormal="80" zoomScalePageLayoutView="80" workbookViewId="0">
      <pane xSplit="10" ySplit="8" topLeftCell="K9" activePane="bottomRight" state="frozen"/>
      <selection activeCell="C10" sqref="C10"/>
      <selection pane="topRight" activeCell="C10" sqref="C10"/>
      <selection pane="bottomLeft" activeCell="C10" sqref="C10"/>
      <selection pane="bottomRight" activeCell="D13" sqref="D13"/>
    </sheetView>
  </sheetViews>
  <sheetFormatPr defaultColWidth="0" defaultRowHeight="13.2" x14ac:dyDescent="0.25"/>
  <cols>
    <col min="1" max="1" width="6.33203125" style="139" customWidth="1"/>
    <col min="2" max="2" width="18.6640625" style="139" bestFit="1" customWidth="1"/>
    <col min="3" max="3" width="4.33203125" style="139" customWidth="1"/>
    <col min="4" max="4" width="10.88671875" style="139" customWidth="1"/>
    <col min="5" max="9" width="10" style="139" bestFit="1" customWidth="1"/>
    <col min="10" max="10" width="3.109375" style="139" customWidth="1"/>
    <col min="11" max="11" width="9.33203125" style="139" bestFit="1" customWidth="1"/>
    <col min="12" max="12" width="10.44140625" style="139" bestFit="1" customWidth="1"/>
    <col min="13" max="13" width="10.33203125" style="139" bestFit="1" customWidth="1"/>
    <col min="14" max="14" width="10" style="139" bestFit="1" customWidth="1"/>
    <col min="15" max="16" width="10.33203125" style="139" bestFit="1" customWidth="1"/>
    <col min="17" max="17" width="10" style="139" bestFit="1" customWidth="1"/>
    <col min="18" max="20" width="10.109375" style="139" bestFit="1" customWidth="1"/>
    <col min="21" max="21" width="10.44140625" style="139" bestFit="1" customWidth="1"/>
    <col min="22" max="22" width="10" style="139" bestFit="1" customWidth="1"/>
    <col min="23" max="23" width="9.33203125" style="139" bestFit="1" customWidth="1"/>
    <col min="24" max="24" width="10.44140625" style="139" bestFit="1" customWidth="1"/>
    <col min="25" max="25" width="10.33203125" style="139" bestFit="1" customWidth="1"/>
    <col min="26" max="26" width="10" style="139" bestFit="1" customWidth="1"/>
    <col min="27" max="28" width="10.33203125" style="139" bestFit="1" customWidth="1"/>
    <col min="29" max="29" width="10" style="139" bestFit="1" customWidth="1"/>
    <col min="30" max="32" width="10.109375" style="139" bestFit="1" customWidth="1"/>
    <col min="33" max="33" width="10.44140625" style="139" bestFit="1" customWidth="1"/>
    <col min="34" max="34" width="10" style="139" bestFit="1" customWidth="1"/>
    <col min="35" max="35" width="9.33203125" style="139" bestFit="1" customWidth="1"/>
    <col min="36" max="36" width="10.44140625" style="139" bestFit="1" customWidth="1"/>
    <col min="37" max="37" width="10.33203125" style="139" bestFit="1" customWidth="1"/>
    <col min="38" max="38" width="10" style="139" bestFit="1" customWidth="1"/>
    <col min="39" max="40" width="10.33203125" style="139" bestFit="1" customWidth="1"/>
    <col min="41" max="41" width="10" style="139" bestFit="1" customWidth="1"/>
    <col min="42" max="44" width="10.109375" style="139" bestFit="1" customWidth="1"/>
    <col min="45" max="45" width="10.44140625" style="139" bestFit="1" customWidth="1"/>
    <col min="46" max="46" width="10" style="139" bestFit="1" customWidth="1"/>
    <col min="47" max="47" width="9.33203125" style="139" bestFit="1" customWidth="1"/>
    <col min="48" max="48" width="10.44140625" style="139" bestFit="1" customWidth="1"/>
    <col min="49" max="49" width="10.33203125" style="139" bestFit="1" customWidth="1"/>
    <col min="50" max="50" width="10" style="139" bestFit="1" customWidth="1"/>
    <col min="51" max="52" width="10.33203125" style="139" bestFit="1" customWidth="1"/>
    <col min="53" max="53" width="10" style="139" bestFit="1" customWidth="1"/>
    <col min="54" max="56" width="10.109375" style="139" bestFit="1" customWidth="1"/>
    <col min="57" max="57" width="10.44140625" style="139" bestFit="1" customWidth="1"/>
    <col min="58" max="58" width="10" style="139" bestFit="1" customWidth="1"/>
    <col min="59" max="59" width="9.33203125" style="139" bestFit="1" customWidth="1"/>
    <col min="60" max="60" width="10.44140625" style="139" bestFit="1" customWidth="1"/>
    <col min="61" max="61" width="10.33203125" style="139" bestFit="1" customWidth="1"/>
    <col min="62" max="62" width="10" style="139" bestFit="1" customWidth="1"/>
    <col min="63" max="64" width="10.33203125" style="139" bestFit="1" customWidth="1"/>
    <col min="65" max="65" width="10" style="139" bestFit="1" customWidth="1"/>
    <col min="66" max="68" width="10.109375" style="139" bestFit="1" customWidth="1"/>
    <col min="69" max="69" width="10.44140625" style="139" bestFit="1" customWidth="1"/>
    <col min="70" max="70" width="10" style="139" bestFit="1" customWidth="1"/>
    <col min="71" max="71" width="3" style="139" customWidth="1"/>
    <col min="72" max="72" width="10.44140625" style="71" bestFit="1" customWidth="1"/>
    <col min="73" max="78" width="9.109375" style="139" customWidth="1"/>
    <col min="79" max="16384" width="9.109375" style="139" hidden="1"/>
  </cols>
  <sheetData>
    <row r="1" spans="1:78" s="285" customFormat="1" x14ac:dyDescent="0.25"/>
    <row r="2" spans="1:78" s="285" customFormat="1" x14ac:dyDescent="0.25"/>
    <row r="3" spans="1:78" s="285" customFormat="1" x14ac:dyDescent="0.25">
      <c r="A3" s="286" t="str">
        <f>IF(KeyInputs!$F$14=0,"Company Name",KeyInputs!$F$14)</f>
        <v>Company Name</v>
      </c>
    </row>
    <row r="4" spans="1:78" s="285" customFormat="1" x14ac:dyDescent="0.25">
      <c r="A4" s="285" t="s">
        <v>357</v>
      </c>
    </row>
    <row r="5" spans="1:78" s="288" customFormat="1" x14ac:dyDescent="0.25">
      <c r="A5" s="285"/>
      <c r="B5" s="285"/>
      <c r="C5" s="285"/>
      <c r="D5" s="287" t="str">
        <f>KeyInputs!D5</f>
        <v>Year</v>
      </c>
      <c r="E5" s="285">
        <f>KeyInputs!H5</f>
        <v>2015</v>
      </c>
      <c r="F5" s="285">
        <f>KeyInputs!I5</f>
        <v>2016</v>
      </c>
      <c r="G5" s="285">
        <f>KeyInputs!J5</f>
        <v>2017</v>
      </c>
      <c r="H5" s="285">
        <f>KeyInputs!K5</f>
        <v>2018</v>
      </c>
      <c r="I5" s="285">
        <f>KeyInputs!L5</f>
        <v>2019</v>
      </c>
      <c r="J5" s="285"/>
      <c r="K5" s="288">
        <f>KeyInputs!N5</f>
        <v>2015</v>
      </c>
      <c r="L5" s="288">
        <f>KeyInputs!O5</f>
        <v>2015</v>
      </c>
      <c r="M5" s="288">
        <f>KeyInputs!P5</f>
        <v>2015</v>
      </c>
      <c r="N5" s="288">
        <f>KeyInputs!Q5</f>
        <v>2015</v>
      </c>
      <c r="O5" s="288">
        <f>KeyInputs!R5</f>
        <v>2015</v>
      </c>
      <c r="P5" s="288">
        <f>KeyInputs!S5</f>
        <v>2015</v>
      </c>
      <c r="Q5" s="288">
        <f>KeyInputs!T5</f>
        <v>2015</v>
      </c>
      <c r="R5" s="288">
        <f>KeyInputs!U5</f>
        <v>2015</v>
      </c>
      <c r="S5" s="288">
        <f>KeyInputs!V5</f>
        <v>2015</v>
      </c>
      <c r="T5" s="288">
        <f>KeyInputs!W5</f>
        <v>2015</v>
      </c>
      <c r="U5" s="288">
        <f>KeyInputs!X5</f>
        <v>2015</v>
      </c>
      <c r="V5" s="288">
        <f>KeyInputs!Y5</f>
        <v>2015</v>
      </c>
      <c r="W5" s="288">
        <f>KeyInputs!Z5</f>
        <v>2016</v>
      </c>
      <c r="X5" s="288">
        <f>KeyInputs!AA5</f>
        <v>2016</v>
      </c>
      <c r="Y5" s="288">
        <f>KeyInputs!AB5</f>
        <v>2016</v>
      </c>
      <c r="Z5" s="288">
        <f>KeyInputs!AC5</f>
        <v>2016</v>
      </c>
      <c r="AA5" s="288">
        <f>KeyInputs!AD5</f>
        <v>2016</v>
      </c>
      <c r="AB5" s="288">
        <f>KeyInputs!AE5</f>
        <v>2016</v>
      </c>
      <c r="AC5" s="288">
        <f>KeyInputs!AF5</f>
        <v>2016</v>
      </c>
      <c r="AD5" s="288">
        <f>KeyInputs!AG5</f>
        <v>2016</v>
      </c>
      <c r="AE5" s="288">
        <f>KeyInputs!AH5</f>
        <v>2016</v>
      </c>
      <c r="AF5" s="288">
        <f>KeyInputs!AI5</f>
        <v>2016</v>
      </c>
      <c r="AG5" s="288">
        <f>KeyInputs!AJ5</f>
        <v>2016</v>
      </c>
      <c r="AH5" s="288">
        <f>KeyInputs!AK5</f>
        <v>2016</v>
      </c>
      <c r="AI5" s="288">
        <f>KeyInputs!AL5</f>
        <v>2017</v>
      </c>
      <c r="AJ5" s="288">
        <f>KeyInputs!AM5</f>
        <v>2017</v>
      </c>
      <c r="AK5" s="288">
        <f>KeyInputs!AN5</f>
        <v>2017</v>
      </c>
      <c r="AL5" s="288">
        <f>KeyInputs!AO5</f>
        <v>2017</v>
      </c>
      <c r="AM5" s="288">
        <f>KeyInputs!AP5</f>
        <v>2017</v>
      </c>
      <c r="AN5" s="288">
        <f>KeyInputs!AQ5</f>
        <v>2017</v>
      </c>
      <c r="AO5" s="288">
        <f>KeyInputs!AR5</f>
        <v>2017</v>
      </c>
      <c r="AP5" s="288">
        <f>KeyInputs!AS5</f>
        <v>2017</v>
      </c>
      <c r="AQ5" s="288">
        <f>KeyInputs!AT5</f>
        <v>2017</v>
      </c>
      <c r="AR5" s="288">
        <f>KeyInputs!AU5</f>
        <v>2017</v>
      </c>
      <c r="AS5" s="288">
        <f>KeyInputs!AV5</f>
        <v>2017</v>
      </c>
      <c r="AT5" s="288">
        <f>KeyInputs!AW5</f>
        <v>2017</v>
      </c>
      <c r="AU5" s="288">
        <f>KeyInputs!AX5</f>
        <v>2018</v>
      </c>
      <c r="AV5" s="288">
        <f>KeyInputs!AY5</f>
        <v>2018</v>
      </c>
      <c r="AW5" s="288">
        <f>KeyInputs!AZ5</f>
        <v>2018</v>
      </c>
      <c r="AX5" s="288">
        <f>KeyInputs!BA5</f>
        <v>2018</v>
      </c>
      <c r="AY5" s="288">
        <f>KeyInputs!BB5</f>
        <v>2018</v>
      </c>
      <c r="AZ5" s="288">
        <f>KeyInputs!BC5</f>
        <v>2018</v>
      </c>
      <c r="BA5" s="288">
        <f>KeyInputs!BD5</f>
        <v>2018</v>
      </c>
      <c r="BB5" s="288">
        <f>KeyInputs!BE5</f>
        <v>2018</v>
      </c>
      <c r="BC5" s="288">
        <f>KeyInputs!BF5</f>
        <v>2018</v>
      </c>
      <c r="BD5" s="288">
        <f>KeyInputs!BG5</f>
        <v>2018</v>
      </c>
      <c r="BE5" s="288">
        <f>KeyInputs!BH5</f>
        <v>2018</v>
      </c>
      <c r="BF5" s="288">
        <f>KeyInputs!BI5</f>
        <v>2018</v>
      </c>
      <c r="BG5" s="288">
        <f>KeyInputs!BJ5</f>
        <v>2019</v>
      </c>
      <c r="BH5" s="288">
        <f>KeyInputs!BK5</f>
        <v>2019</v>
      </c>
      <c r="BI5" s="288">
        <f>KeyInputs!BL5</f>
        <v>2019</v>
      </c>
      <c r="BJ5" s="288">
        <f>KeyInputs!BM5</f>
        <v>2019</v>
      </c>
      <c r="BK5" s="288">
        <f>KeyInputs!BN5</f>
        <v>2019</v>
      </c>
      <c r="BL5" s="288">
        <f>KeyInputs!BO5</f>
        <v>2019</v>
      </c>
      <c r="BM5" s="288">
        <f>KeyInputs!BP5</f>
        <v>2019</v>
      </c>
      <c r="BN5" s="288">
        <f>KeyInputs!BQ5</f>
        <v>2019</v>
      </c>
      <c r="BO5" s="288">
        <f>KeyInputs!BR5</f>
        <v>2019</v>
      </c>
      <c r="BP5" s="288">
        <f>KeyInputs!BS5</f>
        <v>2019</v>
      </c>
      <c r="BQ5" s="288">
        <f>KeyInputs!BT5</f>
        <v>2019</v>
      </c>
      <c r="BR5" s="288">
        <f>KeyInputs!BU5</f>
        <v>2019</v>
      </c>
    </row>
    <row r="6" spans="1:78" s="288" customFormat="1" x14ac:dyDescent="0.25">
      <c r="A6" s="285"/>
      <c r="B6" s="285"/>
      <c r="C6" s="285"/>
      <c r="D6" s="287" t="str">
        <f>KeyInputs!D6</f>
        <v>Period number</v>
      </c>
      <c r="E6" s="285">
        <f>KeyInputs!H6</f>
        <v>1</v>
      </c>
      <c r="F6" s="285">
        <f>KeyInputs!I6</f>
        <v>2</v>
      </c>
      <c r="G6" s="285">
        <f>KeyInputs!J6</f>
        <v>3</v>
      </c>
      <c r="H6" s="285">
        <f>KeyInputs!K6</f>
        <v>4</v>
      </c>
      <c r="I6" s="285">
        <f>KeyInputs!L6</f>
        <v>5</v>
      </c>
      <c r="J6" s="285"/>
      <c r="K6" s="288">
        <f>KeyInputs!N6</f>
        <v>1</v>
      </c>
      <c r="L6" s="288">
        <f>KeyInputs!O6</f>
        <v>2</v>
      </c>
      <c r="M6" s="288">
        <f>KeyInputs!P6</f>
        <v>3</v>
      </c>
      <c r="N6" s="288">
        <f>KeyInputs!Q6</f>
        <v>4</v>
      </c>
      <c r="O6" s="288">
        <f>KeyInputs!R6</f>
        <v>5</v>
      </c>
      <c r="P6" s="288">
        <f>KeyInputs!S6</f>
        <v>6</v>
      </c>
      <c r="Q6" s="288">
        <f>KeyInputs!T6</f>
        <v>7</v>
      </c>
      <c r="R6" s="288">
        <f>KeyInputs!U6</f>
        <v>8</v>
      </c>
      <c r="S6" s="288">
        <f>KeyInputs!V6</f>
        <v>9</v>
      </c>
      <c r="T6" s="288">
        <f>KeyInputs!W6</f>
        <v>10</v>
      </c>
      <c r="U6" s="288">
        <f>KeyInputs!X6</f>
        <v>11</v>
      </c>
      <c r="V6" s="288">
        <f>KeyInputs!Y6</f>
        <v>12</v>
      </c>
      <c r="W6" s="288">
        <f>KeyInputs!Z6</f>
        <v>13</v>
      </c>
      <c r="X6" s="288">
        <f>KeyInputs!AA6</f>
        <v>14</v>
      </c>
      <c r="Y6" s="288">
        <f>KeyInputs!AB6</f>
        <v>15</v>
      </c>
      <c r="Z6" s="288">
        <f>KeyInputs!AC6</f>
        <v>16</v>
      </c>
      <c r="AA6" s="288">
        <f>KeyInputs!AD6</f>
        <v>17</v>
      </c>
      <c r="AB6" s="288">
        <f>KeyInputs!AE6</f>
        <v>18</v>
      </c>
      <c r="AC6" s="288">
        <f>KeyInputs!AF6</f>
        <v>19</v>
      </c>
      <c r="AD6" s="288">
        <f>KeyInputs!AG6</f>
        <v>20</v>
      </c>
      <c r="AE6" s="288">
        <f>KeyInputs!AH6</f>
        <v>21</v>
      </c>
      <c r="AF6" s="288">
        <f>KeyInputs!AI6</f>
        <v>22</v>
      </c>
      <c r="AG6" s="288">
        <f>KeyInputs!AJ6</f>
        <v>23</v>
      </c>
      <c r="AH6" s="288">
        <f>KeyInputs!AK6</f>
        <v>24</v>
      </c>
      <c r="AI6" s="288">
        <f>KeyInputs!AL6</f>
        <v>25</v>
      </c>
      <c r="AJ6" s="288">
        <f>KeyInputs!AM6</f>
        <v>26</v>
      </c>
      <c r="AK6" s="288">
        <f>KeyInputs!AN6</f>
        <v>27</v>
      </c>
      <c r="AL6" s="288">
        <f>KeyInputs!AO6</f>
        <v>28</v>
      </c>
      <c r="AM6" s="288">
        <f>KeyInputs!AP6</f>
        <v>29</v>
      </c>
      <c r="AN6" s="288">
        <f>KeyInputs!AQ6</f>
        <v>30</v>
      </c>
      <c r="AO6" s="288">
        <f>KeyInputs!AR6</f>
        <v>31</v>
      </c>
      <c r="AP6" s="288">
        <f>KeyInputs!AS6</f>
        <v>32</v>
      </c>
      <c r="AQ6" s="288">
        <f>KeyInputs!AT6</f>
        <v>33</v>
      </c>
      <c r="AR6" s="288">
        <f>KeyInputs!AU6</f>
        <v>34</v>
      </c>
      <c r="AS6" s="288">
        <f>KeyInputs!AV6</f>
        <v>35</v>
      </c>
      <c r="AT6" s="288">
        <f>KeyInputs!AW6</f>
        <v>36</v>
      </c>
      <c r="AU6" s="288">
        <f>KeyInputs!AX6</f>
        <v>37</v>
      </c>
      <c r="AV6" s="288">
        <f>KeyInputs!AY6</f>
        <v>38</v>
      </c>
      <c r="AW6" s="288">
        <f>KeyInputs!AZ6</f>
        <v>39</v>
      </c>
      <c r="AX6" s="288">
        <f>KeyInputs!BA6</f>
        <v>40</v>
      </c>
      <c r="AY6" s="288">
        <f>KeyInputs!BB6</f>
        <v>41</v>
      </c>
      <c r="AZ6" s="288">
        <f>KeyInputs!BC6</f>
        <v>42</v>
      </c>
      <c r="BA6" s="288">
        <f>KeyInputs!BD6</f>
        <v>43</v>
      </c>
      <c r="BB6" s="288">
        <f>KeyInputs!BE6</f>
        <v>44</v>
      </c>
      <c r="BC6" s="288">
        <f>KeyInputs!BF6</f>
        <v>45</v>
      </c>
      <c r="BD6" s="288">
        <f>KeyInputs!BG6</f>
        <v>46</v>
      </c>
      <c r="BE6" s="288">
        <f>KeyInputs!BH6</f>
        <v>47</v>
      </c>
      <c r="BF6" s="288">
        <f>KeyInputs!BI6</f>
        <v>48</v>
      </c>
      <c r="BG6" s="288">
        <f>KeyInputs!BJ6</f>
        <v>49</v>
      </c>
      <c r="BH6" s="288">
        <f>KeyInputs!BK6</f>
        <v>50</v>
      </c>
      <c r="BI6" s="288">
        <f>KeyInputs!BL6</f>
        <v>51</v>
      </c>
      <c r="BJ6" s="288">
        <f>KeyInputs!BM6</f>
        <v>52</v>
      </c>
      <c r="BK6" s="288">
        <f>KeyInputs!BN6</f>
        <v>53</v>
      </c>
      <c r="BL6" s="288">
        <f>KeyInputs!BO6</f>
        <v>54</v>
      </c>
      <c r="BM6" s="288">
        <f>KeyInputs!BP6</f>
        <v>55</v>
      </c>
      <c r="BN6" s="288">
        <f>KeyInputs!BQ6</f>
        <v>56</v>
      </c>
      <c r="BO6" s="288">
        <f>KeyInputs!BR6</f>
        <v>57</v>
      </c>
      <c r="BP6" s="288">
        <f>KeyInputs!BS6</f>
        <v>58</v>
      </c>
      <c r="BQ6" s="288">
        <f>KeyInputs!BT6</f>
        <v>59</v>
      </c>
      <c r="BR6" s="288">
        <f>KeyInputs!BU6</f>
        <v>60</v>
      </c>
    </row>
    <row r="7" spans="1:78" s="288" customFormat="1" x14ac:dyDescent="0.25">
      <c r="A7" s="285"/>
      <c r="B7" s="285"/>
      <c r="C7" s="285"/>
      <c r="D7" s="287" t="str">
        <f>KeyInputs!D7</f>
        <v>Period starts</v>
      </c>
      <c r="E7" s="289">
        <f>KeyInputs!H7</f>
        <v>42005</v>
      </c>
      <c r="F7" s="289">
        <f>KeyInputs!I7</f>
        <v>42370</v>
      </c>
      <c r="G7" s="289">
        <f>KeyInputs!J7</f>
        <v>42736</v>
      </c>
      <c r="H7" s="289">
        <f>KeyInputs!K7</f>
        <v>43101</v>
      </c>
      <c r="I7" s="289">
        <f>KeyInputs!L7</f>
        <v>43466</v>
      </c>
      <c r="J7" s="285"/>
      <c r="K7" s="289">
        <f>KeyInputs!N7</f>
        <v>42005</v>
      </c>
      <c r="L7" s="289">
        <f>KeyInputs!O7</f>
        <v>42036</v>
      </c>
      <c r="M7" s="289">
        <f>KeyInputs!P7</f>
        <v>42064</v>
      </c>
      <c r="N7" s="289">
        <f>KeyInputs!Q7</f>
        <v>42095</v>
      </c>
      <c r="O7" s="289">
        <f>KeyInputs!R7</f>
        <v>42125</v>
      </c>
      <c r="P7" s="289">
        <f>KeyInputs!S7</f>
        <v>42156</v>
      </c>
      <c r="Q7" s="289">
        <f>KeyInputs!T7</f>
        <v>42186</v>
      </c>
      <c r="R7" s="289">
        <f>KeyInputs!U7</f>
        <v>42217</v>
      </c>
      <c r="S7" s="289">
        <f>KeyInputs!V7</f>
        <v>42248</v>
      </c>
      <c r="T7" s="289">
        <f>KeyInputs!W7</f>
        <v>42278</v>
      </c>
      <c r="U7" s="289">
        <f>KeyInputs!X7</f>
        <v>42309</v>
      </c>
      <c r="V7" s="289">
        <f>KeyInputs!Y7</f>
        <v>42339</v>
      </c>
      <c r="W7" s="289">
        <f>KeyInputs!Z7</f>
        <v>42370</v>
      </c>
      <c r="X7" s="289">
        <f>KeyInputs!AA7</f>
        <v>42401</v>
      </c>
      <c r="Y7" s="289">
        <f>KeyInputs!AB7</f>
        <v>42430</v>
      </c>
      <c r="Z7" s="289">
        <f>KeyInputs!AC7</f>
        <v>42461</v>
      </c>
      <c r="AA7" s="289">
        <f>KeyInputs!AD7</f>
        <v>42491</v>
      </c>
      <c r="AB7" s="289">
        <f>KeyInputs!AE7</f>
        <v>42522</v>
      </c>
      <c r="AC7" s="289">
        <f>KeyInputs!AF7</f>
        <v>42552</v>
      </c>
      <c r="AD7" s="289">
        <f>KeyInputs!AG7</f>
        <v>42583</v>
      </c>
      <c r="AE7" s="289">
        <f>KeyInputs!AH7</f>
        <v>42614</v>
      </c>
      <c r="AF7" s="289">
        <f>KeyInputs!AI7</f>
        <v>42644</v>
      </c>
      <c r="AG7" s="289">
        <f>KeyInputs!AJ7</f>
        <v>42675</v>
      </c>
      <c r="AH7" s="289">
        <f>KeyInputs!AK7</f>
        <v>42705</v>
      </c>
      <c r="AI7" s="289">
        <f>KeyInputs!AL7</f>
        <v>42736</v>
      </c>
      <c r="AJ7" s="289">
        <f>KeyInputs!AM7</f>
        <v>42767</v>
      </c>
      <c r="AK7" s="289">
        <f>KeyInputs!AN7</f>
        <v>42795</v>
      </c>
      <c r="AL7" s="289">
        <f>KeyInputs!AO7</f>
        <v>42826</v>
      </c>
      <c r="AM7" s="289">
        <f>KeyInputs!AP7</f>
        <v>42856</v>
      </c>
      <c r="AN7" s="289">
        <f>KeyInputs!AQ7</f>
        <v>42887</v>
      </c>
      <c r="AO7" s="289">
        <f>KeyInputs!AR7</f>
        <v>42917</v>
      </c>
      <c r="AP7" s="289">
        <f>KeyInputs!AS7</f>
        <v>42948</v>
      </c>
      <c r="AQ7" s="289">
        <f>KeyInputs!AT7</f>
        <v>42979</v>
      </c>
      <c r="AR7" s="289">
        <f>KeyInputs!AU7</f>
        <v>43009</v>
      </c>
      <c r="AS7" s="289">
        <f>KeyInputs!AV7</f>
        <v>43040</v>
      </c>
      <c r="AT7" s="289">
        <f>KeyInputs!AW7</f>
        <v>43070</v>
      </c>
      <c r="AU7" s="289">
        <f>KeyInputs!AX7</f>
        <v>43101</v>
      </c>
      <c r="AV7" s="289">
        <f>KeyInputs!AY7</f>
        <v>43132</v>
      </c>
      <c r="AW7" s="289">
        <f>KeyInputs!AZ7</f>
        <v>43160</v>
      </c>
      <c r="AX7" s="289">
        <f>KeyInputs!BA7</f>
        <v>43191</v>
      </c>
      <c r="AY7" s="289">
        <f>KeyInputs!BB7</f>
        <v>43221</v>
      </c>
      <c r="AZ7" s="289">
        <f>KeyInputs!BC7</f>
        <v>43252</v>
      </c>
      <c r="BA7" s="289">
        <f>KeyInputs!BD7</f>
        <v>43282</v>
      </c>
      <c r="BB7" s="289">
        <f>KeyInputs!BE7</f>
        <v>43313</v>
      </c>
      <c r="BC7" s="289">
        <f>KeyInputs!BF7</f>
        <v>43344</v>
      </c>
      <c r="BD7" s="289">
        <f>KeyInputs!BG7</f>
        <v>43374</v>
      </c>
      <c r="BE7" s="289">
        <f>KeyInputs!BH7</f>
        <v>43405</v>
      </c>
      <c r="BF7" s="289">
        <f>KeyInputs!BI7</f>
        <v>43435</v>
      </c>
      <c r="BG7" s="289">
        <f>KeyInputs!BJ7</f>
        <v>43466</v>
      </c>
      <c r="BH7" s="289">
        <f>KeyInputs!BK7</f>
        <v>43497</v>
      </c>
      <c r="BI7" s="289">
        <f>KeyInputs!BL7</f>
        <v>43525</v>
      </c>
      <c r="BJ7" s="289">
        <f>KeyInputs!BM7</f>
        <v>43556</v>
      </c>
      <c r="BK7" s="289">
        <f>KeyInputs!BN7</f>
        <v>43586</v>
      </c>
      <c r="BL7" s="289">
        <f>KeyInputs!BO7</f>
        <v>43617</v>
      </c>
      <c r="BM7" s="289">
        <f>KeyInputs!BP7</f>
        <v>43647</v>
      </c>
      <c r="BN7" s="289">
        <f>KeyInputs!BQ7</f>
        <v>43678</v>
      </c>
      <c r="BO7" s="289">
        <f>KeyInputs!BR7</f>
        <v>43709</v>
      </c>
      <c r="BP7" s="289">
        <f>KeyInputs!BS7</f>
        <v>43739</v>
      </c>
      <c r="BQ7" s="289">
        <f>KeyInputs!BT7</f>
        <v>43770</v>
      </c>
      <c r="BR7" s="289">
        <f>KeyInputs!BU7</f>
        <v>43800</v>
      </c>
    </row>
    <row r="8" spans="1:78" s="292" customFormat="1" x14ac:dyDescent="0.25">
      <c r="A8" s="290"/>
      <c r="B8" s="291" t="str">
        <f ca="1">IF(Check!$C$12=0,"All checks are OK","There are "&amp;Check!$C$12&amp;" error/errors")</f>
        <v>All checks are OK</v>
      </c>
      <c r="C8" s="290"/>
      <c r="D8" s="287" t="str">
        <f>KeyInputs!D8</f>
        <v>Period ends</v>
      </c>
      <c r="E8" s="289">
        <f>KeyInputs!H8</f>
        <v>42369</v>
      </c>
      <c r="F8" s="289">
        <f>KeyInputs!I8</f>
        <v>42735</v>
      </c>
      <c r="G8" s="289">
        <f>KeyInputs!J8</f>
        <v>43100</v>
      </c>
      <c r="H8" s="289">
        <f>KeyInputs!K8</f>
        <v>43465</v>
      </c>
      <c r="I8" s="289">
        <f>KeyInputs!L8</f>
        <v>43830</v>
      </c>
      <c r="J8" s="285"/>
      <c r="K8" s="289">
        <f>KeyInputs!N8</f>
        <v>42035</v>
      </c>
      <c r="L8" s="289">
        <f>KeyInputs!O8</f>
        <v>42063</v>
      </c>
      <c r="M8" s="289">
        <f>KeyInputs!P8</f>
        <v>42094</v>
      </c>
      <c r="N8" s="289">
        <f>KeyInputs!Q8</f>
        <v>42124</v>
      </c>
      <c r="O8" s="289">
        <f>KeyInputs!R8</f>
        <v>42155</v>
      </c>
      <c r="P8" s="289">
        <f>KeyInputs!S8</f>
        <v>42185</v>
      </c>
      <c r="Q8" s="289">
        <f>KeyInputs!T8</f>
        <v>42216</v>
      </c>
      <c r="R8" s="289">
        <f>KeyInputs!U8</f>
        <v>42247</v>
      </c>
      <c r="S8" s="289">
        <f>KeyInputs!V8</f>
        <v>42277</v>
      </c>
      <c r="T8" s="289">
        <f>KeyInputs!W8</f>
        <v>42308</v>
      </c>
      <c r="U8" s="289">
        <f>KeyInputs!X8</f>
        <v>42338</v>
      </c>
      <c r="V8" s="289">
        <f>KeyInputs!Y8</f>
        <v>42369</v>
      </c>
      <c r="W8" s="289">
        <f>KeyInputs!Z8</f>
        <v>42400</v>
      </c>
      <c r="X8" s="289">
        <f>KeyInputs!AA8</f>
        <v>42429</v>
      </c>
      <c r="Y8" s="289">
        <f>KeyInputs!AB8</f>
        <v>42460</v>
      </c>
      <c r="Z8" s="289">
        <f>KeyInputs!AC8</f>
        <v>42490</v>
      </c>
      <c r="AA8" s="289">
        <f>KeyInputs!AD8</f>
        <v>42521</v>
      </c>
      <c r="AB8" s="289">
        <f>KeyInputs!AE8</f>
        <v>42551</v>
      </c>
      <c r="AC8" s="289">
        <f>KeyInputs!AF8</f>
        <v>42582</v>
      </c>
      <c r="AD8" s="289">
        <f>KeyInputs!AG8</f>
        <v>42613</v>
      </c>
      <c r="AE8" s="289">
        <f>KeyInputs!AH8</f>
        <v>42643</v>
      </c>
      <c r="AF8" s="289">
        <f>KeyInputs!AI8</f>
        <v>42674</v>
      </c>
      <c r="AG8" s="289">
        <f>KeyInputs!AJ8</f>
        <v>42704</v>
      </c>
      <c r="AH8" s="289">
        <f>KeyInputs!AK8</f>
        <v>42735</v>
      </c>
      <c r="AI8" s="289">
        <f>KeyInputs!AL8</f>
        <v>42766</v>
      </c>
      <c r="AJ8" s="289">
        <f>KeyInputs!AM8</f>
        <v>42794</v>
      </c>
      <c r="AK8" s="289">
        <f>KeyInputs!AN8</f>
        <v>42825</v>
      </c>
      <c r="AL8" s="289">
        <f>KeyInputs!AO8</f>
        <v>42855</v>
      </c>
      <c r="AM8" s="289">
        <f>KeyInputs!AP8</f>
        <v>42886</v>
      </c>
      <c r="AN8" s="289">
        <f>KeyInputs!AQ8</f>
        <v>42916</v>
      </c>
      <c r="AO8" s="289">
        <f>KeyInputs!AR8</f>
        <v>42947</v>
      </c>
      <c r="AP8" s="289">
        <f>KeyInputs!AS8</f>
        <v>42978</v>
      </c>
      <c r="AQ8" s="289">
        <f>KeyInputs!AT8</f>
        <v>43008</v>
      </c>
      <c r="AR8" s="289">
        <f>KeyInputs!AU8</f>
        <v>43039</v>
      </c>
      <c r="AS8" s="289">
        <f>KeyInputs!AV8</f>
        <v>43069</v>
      </c>
      <c r="AT8" s="289">
        <f>KeyInputs!AW8</f>
        <v>43100</v>
      </c>
      <c r="AU8" s="289">
        <f>KeyInputs!AX8</f>
        <v>43131</v>
      </c>
      <c r="AV8" s="289">
        <f>KeyInputs!AY8</f>
        <v>43159</v>
      </c>
      <c r="AW8" s="289">
        <f>KeyInputs!AZ8</f>
        <v>43190</v>
      </c>
      <c r="AX8" s="289">
        <f>KeyInputs!BA8</f>
        <v>43220</v>
      </c>
      <c r="AY8" s="289">
        <f>KeyInputs!BB8</f>
        <v>43251</v>
      </c>
      <c r="AZ8" s="289">
        <f>KeyInputs!BC8</f>
        <v>43281</v>
      </c>
      <c r="BA8" s="289">
        <f>KeyInputs!BD8</f>
        <v>43312</v>
      </c>
      <c r="BB8" s="289">
        <f>KeyInputs!BE8</f>
        <v>43343</v>
      </c>
      <c r="BC8" s="289">
        <f>KeyInputs!BF8</f>
        <v>43373</v>
      </c>
      <c r="BD8" s="289">
        <f>KeyInputs!BG8</f>
        <v>43404</v>
      </c>
      <c r="BE8" s="289">
        <f>KeyInputs!BH8</f>
        <v>43434</v>
      </c>
      <c r="BF8" s="289">
        <f>KeyInputs!BI8</f>
        <v>43465</v>
      </c>
      <c r="BG8" s="289">
        <f>KeyInputs!BJ8</f>
        <v>43496</v>
      </c>
      <c r="BH8" s="289">
        <f>KeyInputs!BK8</f>
        <v>43524</v>
      </c>
      <c r="BI8" s="289">
        <f>KeyInputs!BL8</f>
        <v>43555</v>
      </c>
      <c r="BJ8" s="289">
        <f>KeyInputs!BM8</f>
        <v>43585</v>
      </c>
      <c r="BK8" s="289">
        <f>KeyInputs!BN8</f>
        <v>43616</v>
      </c>
      <c r="BL8" s="289">
        <f>KeyInputs!BO8</f>
        <v>43646</v>
      </c>
      <c r="BM8" s="289">
        <f>KeyInputs!BP8</f>
        <v>43677</v>
      </c>
      <c r="BN8" s="289">
        <f>KeyInputs!BQ8</f>
        <v>43708</v>
      </c>
      <c r="BO8" s="289">
        <f>KeyInputs!BR8</f>
        <v>43738</v>
      </c>
      <c r="BP8" s="289">
        <f>KeyInputs!BS8</f>
        <v>43769</v>
      </c>
      <c r="BQ8" s="289">
        <f>KeyInputs!BT8</f>
        <v>43799</v>
      </c>
      <c r="BR8" s="289">
        <f>KeyInputs!BU8</f>
        <v>43830</v>
      </c>
      <c r="BS8" s="288"/>
      <c r="BT8" s="288"/>
      <c r="BU8" s="288"/>
      <c r="BV8" s="288"/>
      <c r="BW8" s="288"/>
      <c r="BX8" s="288"/>
      <c r="BY8" s="288"/>
      <c r="BZ8" s="288"/>
    </row>
    <row r="9" spans="1:78" s="128" customFormat="1" x14ac:dyDescent="0.25">
      <c r="B9" s="129"/>
      <c r="D9" s="129"/>
      <c r="E9" s="130"/>
      <c r="F9" s="130"/>
      <c r="G9" s="130"/>
      <c r="H9" s="130"/>
      <c r="I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row>
    <row r="10" spans="1:78" s="166" customFormat="1" ht="15.6" x14ac:dyDescent="0.3">
      <c r="A10" s="166">
        <f>Header1</f>
        <v>1</v>
      </c>
      <c r="B10" s="166" t="s">
        <v>357</v>
      </c>
    </row>
    <row r="11" spans="1:78" s="128" customFormat="1" x14ac:dyDescent="0.25">
      <c r="B11" s="129"/>
      <c r="D11" s="129"/>
      <c r="E11" s="130"/>
      <c r="F11" s="130"/>
      <c r="G11" s="130"/>
      <c r="H11" s="130"/>
      <c r="I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0"/>
      <c r="BK11" s="130"/>
      <c r="BL11" s="130"/>
      <c r="BM11" s="130"/>
      <c r="BN11" s="130"/>
      <c r="BO11" s="130"/>
      <c r="BP11" s="130"/>
      <c r="BQ11" s="130"/>
      <c r="BR11" s="130"/>
    </row>
    <row r="12" spans="1:78" s="140" customFormat="1" x14ac:dyDescent="0.25">
      <c r="B12" s="160" t="s">
        <v>459</v>
      </c>
      <c r="C12" s="141"/>
      <c r="D12" s="141" t="str">
        <f t="shared" ref="D12:D22" si="0">unit</f>
        <v>£</v>
      </c>
      <c r="E12" s="201">
        <f>SUMIF($K$5:$BR$5,E$5,$K12:$BR12)</f>
        <v>0</v>
      </c>
      <c r="F12" s="201">
        <f t="shared" ref="F12:I21" si="1">SUMIF($K$5:$BR$5,F$5,$K12:$BR12)</f>
        <v>0</v>
      </c>
      <c r="G12" s="201">
        <f t="shared" si="1"/>
        <v>0</v>
      </c>
      <c r="H12" s="201">
        <f t="shared" si="1"/>
        <v>0</v>
      </c>
      <c r="I12" s="201">
        <f t="shared" si="1"/>
        <v>0</v>
      </c>
      <c r="J12" s="141"/>
      <c r="K12" s="144"/>
      <c r="L12" s="144"/>
      <c r="M12" s="144"/>
      <c r="N12" s="144"/>
      <c r="O12" s="144"/>
      <c r="P12" s="144"/>
      <c r="Q12" s="144"/>
      <c r="R12" s="144"/>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c r="AR12" s="144"/>
      <c r="AS12" s="144"/>
      <c r="AT12" s="144"/>
      <c r="AU12" s="144"/>
      <c r="AV12" s="144"/>
      <c r="AW12" s="144"/>
      <c r="AX12" s="144"/>
      <c r="AY12" s="144"/>
      <c r="AZ12" s="144"/>
      <c r="BA12" s="144"/>
      <c r="BB12" s="144"/>
      <c r="BC12" s="144"/>
      <c r="BD12" s="144"/>
      <c r="BE12" s="144"/>
      <c r="BF12" s="144"/>
      <c r="BG12" s="144"/>
      <c r="BH12" s="144"/>
      <c r="BI12" s="144"/>
      <c r="BJ12" s="144"/>
      <c r="BK12" s="144"/>
      <c r="BL12" s="144"/>
      <c r="BM12" s="144"/>
      <c r="BN12" s="144"/>
      <c r="BO12" s="144"/>
      <c r="BP12" s="144"/>
      <c r="BQ12" s="144"/>
      <c r="BR12" s="144"/>
      <c r="BT12" s="89"/>
    </row>
    <row r="13" spans="1:78" s="140" customFormat="1" x14ac:dyDescent="0.25">
      <c r="B13" s="160" t="s">
        <v>358</v>
      </c>
      <c r="C13" s="141"/>
      <c r="D13" s="141" t="str">
        <f t="shared" si="0"/>
        <v>£</v>
      </c>
      <c r="E13" s="201">
        <f t="shared" ref="E13:E21" si="2">SUMIF($K$5:$BR$5,E$5,$K13:$BR13)</f>
        <v>0</v>
      </c>
      <c r="F13" s="201">
        <f t="shared" si="1"/>
        <v>0</v>
      </c>
      <c r="G13" s="201">
        <f t="shared" si="1"/>
        <v>0</v>
      </c>
      <c r="H13" s="201">
        <f t="shared" si="1"/>
        <v>0</v>
      </c>
      <c r="I13" s="201">
        <f t="shared" si="1"/>
        <v>0</v>
      </c>
      <c r="J13" s="141"/>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4"/>
      <c r="BQ13" s="144"/>
      <c r="BR13" s="144"/>
      <c r="BT13" s="89"/>
    </row>
    <row r="14" spans="1:78" s="140" customFormat="1" x14ac:dyDescent="0.25">
      <c r="B14" s="160" t="s">
        <v>359</v>
      </c>
      <c r="C14" s="141"/>
      <c r="D14" s="141" t="str">
        <f t="shared" si="0"/>
        <v>£</v>
      </c>
      <c r="E14" s="201">
        <f t="shared" si="2"/>
        <v>0</v>
      </c>
      <c r="F14" s="201">
        <f t="shared" si="1"/>
        <v>0</v>
      </c>
      <c r="G14" s="201">
        <f t="shared" si="1"/>
        <v>0</v>
      </c>
      <c r="H14" s="201">
        <f t="shared" si="1"/>
        <v>0</v>
      </c>
      <c r="I14" s="201">
        <f t="shared" si="1"/>
        <v>0</v>
      </c>
      <c r="J14" s="141"/>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44"/>
      <c r="BL14" s="144"/>
      <c r="BM14" s="144"/>
      <c r="BN14" s="144"/>
      <c r="BO14" s="144"/>
      <c r="BP14" s="144"/>
      <c r="BQ14" s="144"/>
      <c r="BR14" s="144"/>
      <c r="BT14" s="89"/>
    </row>
    <row r="15" spans="1:78" s="140" customFormat="1" x14ac:dyDescent="0.25">
      <c r="B15" s="160" t="s">
        <v>360</v>
      </c>
      <c r="C15" s="141"/>
      <c r="D15" s="141" t="str">
        <f t="shared" si="0"/>
        <v>£</v>
      </c>
      <c r="E15" s="201">
        <f t="shared" si="2"/>
        <v>0</v>
      </c>
      <c r="F15" s="201">
        <f t="shared" si="1"/>
        <v>0</v>
      </c>
      <c r="G15" s="201">
        <f t="shared" si="1"/>
        <v>0</v>
      </c>
      <c r="H15" s="201">
        <f t="shared" si="1"/>
        <v>0</v>
      </c>
      <c r="I15" s="201">
        <f t="shared" si="1"/>
        <v>0</v>
      </c>
      <c r="J15" s="141"/>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4"/>
      <c r="AU15" s="144"/>
      <c r="AV15" s="144"/>
      <c r="AW15" s="144"/>
      <c r="AX15" s="144"/>
      <c r="AY15" s="144"/>
      <c r="AZ15" s="144"/>
      <c r="BA15" s="144"/>
      <c r="BB15" s="144"/>
      <c r="BC15" s="144"/>
      <c r="BD15" s="144"/>
      <c r="BE15" s="144"/>
      <c r="BF15" s="144"/>
      <c r="BG15" s="144"/>
      <c r="BH15" s="144"/>
      <c r="BI15" s="144"/>
      <c r="BJ15" s="144"/>
      <c r="BK15" s="144"/>
      <c r="BL15" s="144"/>
      <c r="BM15" s="144"/>
      <c r="BN15" s="144"/>
      <c r="BO15" s="144"/>
      <c r="BP15" s="144"/>
      <c r="BQ15" s="144"/>
      <c r="BR15" s="144"/>
      <c r="BT15" s="89"/>
    </row>
    <row r="16" spans="1:78" s="140" customFormat="1" x14ac:dyDescent="0.25">
      <c r="B16" s="160" t="s">
        <v>361</v>
      </c>
      <c r="C16" s="141"/>
      <c r="D16" s="141" t="str">
        <f t="shared" si="0"/>
        <v>£</v>
      </c>
      <c r="E16" s="201">
        <f t="shared" si="2"/>
        <v>0</v>
      </c>
      <c r="F16" s="201">
        <f t="shared" si="1"/>
        <v>0</v>
      </c>
      <c r="G16" s="201">
        <f t="shared" si="1"/>
        <v>0</v>
      </c>
      <c r="H16" s="201">
        <f t="shared" si="1"/>
        <v>0</v>
      </c>
      <c r="I16" s="201">
        <f t="shared" si="1"/>
        <v>0</v>
      </c>
      <c r="J16" s="141"/>
      <c r="K16" s="144"/>
      <c r="L16" s="144"/>
      <c r="M16" s="144"/>
      <c r="N16" s="144"/>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c r="AR16" s="144"/>
      <c r="AS16" s="144"/>
      <c r="AT16" s="144"/>
      <c r="AU16" s="144"/>
      <c r="AV16" s="144"/>
      <c r="AW16" s="144"/>
      <c r="AX16" s="144"/>
      <c r="AY16" s="144"/>
      <c r="AZ16" s="144"/>
      <c r="BA16" s="144"/>
      <c r="BB16" s="144"/>
      <c r="BC16" s="144"/>
      <c r="BD16" s="144"/>
      <c r="BE16" s="144"/>
      <c r="BF16" s="144"/>
      <c r="BG16" s="144"/>
      <c r="BH16" s="144"/>
      <c r="BI16" s="144"/>
      <c r="BJ16" s="144"/>
      <c r="BK16" s="144"/>
      <c r="BL16" s="144"/>
      <c r="BM16" s="144"/>
      <c r="BN16" s="144"/>
      <c r="BO16" s="144"/>
      <c r="BP16" s="144"/>
      <c r="BQ16" s="144"/>
      <c r="BR16" s="144"/>
      <c r="BT16" s="89"/>
    </row>
    <row r="17" spans="1:72" s="140" customFormat="1" x14ac:dyDescent="0.25">
      <c r="B17" s="160" t="s">
        <v>362</v>
      </c>
      <c r="C17" s="141"/>
      <c r="D17" s="141" t="str">
        <f t="shared" si="0"/>
        <v>£</v>
      </c>
      <c r="E17" s="201">
        <f t="shared" si="2"/>
        <v>0</v>
      </c>
      <c r="F17" s="201">
        <f t="shared" si="1"/>
        <v>0</v>
      </c>
      <c r="G17" s="201">
        <f t="shared" si="1"/>
        <v>0</v>
      </c>
      <c r="H17" s="201">
        <f t="shared" si="1"/>
        <v>0</v>
      </c>
      <c r="I17" s="201">
        <f t="shared" si="1"/>
        <v>0</v>
      </c>
      <c r="J17" s="141"/>
      <c r="K17" s="144"/>
      <c r="L17" s="144"/>
      <c r="M17" s="144"/>
      <c r="N17" s="144"/>
      <c r="O17" s="144"/>
      <c r="P17" s="144"/>
      <c r="Q17" s="144"/>
      <c r="R17" s="144"/>
      <c r="S17" s="144"/>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c r="AS17" s="144"/>
      <c r="AT17" s="144"/>
      <c r="AU17" s="144"/>
      <c r="AV17" s="144"/>
      <c r="AW17" s="144"/>
      <c r="AX17" s="144"/>
      <c r="AY17" s="144"/>
      <c r="AZ17" s="144"/>
      <c r="BA17" s="144"/>
      <c r="BB17" s="144"/>
      <c r="BC17" s="144"/>
      <c r="BD17" s="144"/>
      <c r="BE17" s="144"/>
      <c r="BF17" s="144"/>
      <c r="BG17" s="144"/>
      <c r="BH17" s="144"/>
      <c r="BI17" s="144"/>
      <c r="BJ17" s="144"/>
      <c r="BK17" s="144"/>
      <c r="BL17" s="144"/>
      <c r="BM17" s="144"/>
      <c r="BN17" s="144"/>
      <c r="BO17" s="144"/>
      <c r="BP17" s="144"/>
      <c r="BQ17" s="144"/>
      <c r="BR17" s="144"/>
      <c r="BT17" s="89"/>
    </row>
    <row r="18" spans="1:72" s="140" customFormat="1" x14ac:dyDescent="0.25">
      <c r="B18" s="160" t="s">
        <v>363</v>
      </c>
      <c r="C18" s="141"/>
      <c r="D18" s="141" t="str">
        <f t="shared" si="0"/>
        <v>£</v>
      </c>
      <c r="E18" s="201">
        <f t="shared" si="2"/>
        <v>0</v>
      </c>
      <c r="F18" s="201">
        <f t="shared" si="1"/>
        <v>0</v>
      </c>
      <c r="G18" s="201">
        <f t="shared" si="1"/>
        <v>0</v>
      </c>
      <c r="H18" s="201">
        <f t="shared" si="1"/>
        <v>0</v>
      </c>
      <c r="I18" s="201">
        <f t="shared" si="1"/>
        <v>0</v>
      </c>
      <c r="J18" s="141"/>
      <c r="K18" s="144"/>
      <c r="L18" s="144"/>
      <c r="M18" s="144"/>
      <c r="N18" s="144"/>
      <c r="O18" s="144"/>
      <c r="P18" s="144"/>
      <c r="Q18" s="144"/>
      <c r="R18" s="144"/>
      <c r="S18" s="144"/>
      <c r="T18" s="144"/>
      <c r="U18" s="144"/>
      <c r="V18" s="144"/>
      <c r="W18" s="144"/>
      <c r="X18" s="144"/>
      <c r="Y18" s="144"/>
      <c r="Z18" s="144"/>
      <c r="AA18" s="144"/>
      <c r="AB18" s="144"/>
      <c r="AC18" s="144"/>
      <c r="AD18" s="144"/>
      <c r="AE18" s="144"/>
      <c r="AF18" s="144"/>
      <c r="AG18" s="144"/>
      <c r="AH18" s="144"/>
      <c r="AI18" s="144"/>
      <c r="AJ18" s="144"/>
      <c r="AK18" s="144"/>
      <c r="AL18" s="144"/>
      <c r="AM18" s="144"/>
      <c r="AN18" s="144"/>
      <c r="AO18" s="144"/>
      <c r="AP18" s="144"/>
      <c r="AQ18" s="144"/>
      <c r="AR18" s="144"/>
      <c r="AS18" s="144"/>
      <c r="AT18" s="144"/>
      <c r="AU18" s="144"/>
      <c r="AV18" s="144"/>
      <c r="AW18" s="144"/>
      <c r="AX18" s="144"/>
      <c r="AY18" s="144"/>
      <c r="AZ18" s="144"/>
      <c r="BA18" s="144"/>
      <c r="BB18" s="144"/>
      <c r="BC18" s="144"/>
      <c r="BD18" s="144"/>
      <c r="BE18" s="144"/>
      <c r="BF18" s="144"/>
      <c r="BG18" s="144"/>
      <c r="BH18" s="144"/>
      <c r="BI18" s="144"/>
      <c r="BJ18" s="144"/>
      <c r="BK18" s="144"/>
      <c r="BL18" s="144"/>
      <c r="BM18" s="144"/>
      <c r="BN18" s="144"/>
      <c r="BO18" s="144"/>
      <c r="BP18" s="144"/>
      <c r="BQ18" s="144"/>
      <c r="BR18" s="144"/>
      <c r="BT18" s="89"/>
    </row>
    <row r="19" spans="1:72" s="140" customFormat="1" x14ac:dyDescent="0.25">
      <c r="B19" s="160" t="s">
        <v>364</v>
      </c>
      <c r="C19" s="141"/>
      <c r="D19" s="141" t="str">
        <f t="shared" si="0"/>
        <v>£</v>
      </c>
      <c r="E19" s="201">
        <f t="shared" si="2"/>
        <v>0</v>
      </c>
      <c r="F19" s="201">
        <f t="shared" si="1"/>
        <v>0</v>
      </c>
      <c r="G19" s="201">
        <f t="shared" si="1"/>
        <v>0</v>
      </c>
      <c r="H19" s="201">
        <f t="shared" si="1"/>
        <v>0</v>
      </c>
      <c r="I19" s="201">
        <f t="shared" si="1"/>
        <v>0</v>
      </c>
      <c r="J19" s="141"/>
      <c r="K19" s="144"/>
      <c r="L19" s="144"/>
      <c r="M19" s="144"/>
      <c r="N19" s="144"/>
      <c r="O19" s="144"/>
      <c r="P19" s="144"/>
      <c r="Q19" s="144"/>
      <c r="R19" s="144"/>
      <c r="S19" s="144"/>
      <c r="T19" s="144"/>
      <c r="U19" s="144"/>
      <c r="V19" s="144"/>
      <c r="W19" s="144"/>
      <c r="X19" s="144"/>
      <c r="Y19" s="144"/>
      <c r="Z19" s="144"/>
      <c r="AA19" s="144"/>
      <c r="AB19" s="144"/>
      <c r="AC19" s="144"/>
      <c r="AD19" s="144"/>
      <c r="AE19" s="144"/>
      <c r="AF19" s="144"/>
      <c r="AG19" s="144"/>
      <c r="AH19" s="144"/>
      <c r="AI19" s="144"/>
      <c r="AJ19" s="144"/>
      <c r="AK19" s="144"/>
      <c r="AL19" s="144"/>
      <c r="AM19" s="144"/>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44"/>
      <c r="BL19" s="144"/>
      <c r="BM19" s="144"/>
      <c r="BN19" s="144"/>
      <c r="BO19" s="144"/>
      <c r="BP19" s="144"/>
      <c r="BQ19" s="144"/>
      <c r="BR19" s="144"/>
      <c r="BT19" s="89"/>
    </row>
    <row r="20" spans="1:72" s="140" customFormat="1" x14ac:dyDescent="0.25">
      <c r="B20" s="160" t="s">
        <v>365</v>
      </c>
      <c r="C20" s="141"/>
      <c r="D20" s="141" t="str">
        <f t="shared" si="0"/>
        <v>£</v>
      </c>
      <c r="E20" s="201">
        <f t="shared" si="2"/>
        <v>0</v>
      </c>
      <c r="F20" s="201">
        <f t="shared" si="1"/>
        <v>0</v>
      </c>
      <c r="G20" s="201">
        <f t="shared" si="1"/>
        <v>0</v>
      </c>
      <c r="H20" s="201">
        <f t="shared" si="1"/>
        <v>0</v>
      </c>
      <c r="I20" s="201">
        <f t="shared" si="1"/>
        <v>0</v>
      </c>
      <c r="J20" s="141"/>
      <c r="K20" s="144"/>
      <c r="L20" s="144"/>
      <c r="M20" s="144"/>
      <c r="N20" s="144"/>
      <c r="O20" s="144"/>
      <c r="P20" s="144"/>
      <c r="Q20" s="144"/>
      <c r="R20" s="144"/>
      <c r="S20" s="144"/>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c r="AQ20" s="144"/>
      <c r="AR20" s="144"/>
      <c r="AS20" s="144"/>
      <c r="AT20" s="144"/>
      <c r="AU20" s="144"/>
      <c r="AV20" s="144"/>
      <c r="AW20" s="144"/>
      <c r="AX20" s="144"/>
      <c r="AY20" s="144"/>
      <c r="AZ20" s="144"/>
      <c r="BA20" s="144"/>
      <c r="BB20" s="144"/>
      <c r="BC20" s="144"/>
      <c r="BD20" s="144"/>
      <c r="BE20" s="144"/>
      <c r="BF20" s="144"/>
      <c r="BG20" s="144"/>
      <c r="BH20" s="144"/>
      <c r="BI20" s="144"/>
      <c r="BJ20" s="144"/>
      <c r="BK20" s="144"/>
      <c r="BL20" s="144"/>
      <c r="BM20" s="144"/>
      <c r="BN20" s="144"/>
      <c r="BO20" s="144"/>
      <c r="BP20" s="144"/>
      <c r="BQ20" s="144"/>
      <c r="BR20" s="144"/>
      <c r="BT20" s="89"/>
    </row>
    <row r="21" spans="1:72" s="140" customFormat="1" x14ac:dyDescent="0.25">
      <c r="B21" s="160" t="s">
        <v>366</v>
      </c>
      <c r="C21" s="141"/>
      <c r="D21" s="141" t="str">
        <f t="shared" si="0"/>
        <v>£</v>
      </c>
      <c r="E21" s="201">
        <f t="shared" si="2"/>
        <v>0</v>
      </c>
      <c r="F21" s="201">
        <f t="shared" si="1"/>
        <v>0</v>
      </c>
      <c r="G21" s="201">
        <f t="shared" si="1"/>
        <v>0</v>
      </c>
      <c r="H21" s="201">
        <f t="shared" si="1"/>
        <v>0</v>
      </c>
      <c r="I21" s="201">
        <f t="shared" si="1"/>
        <v>0</v>
      </c>
      <c r="J21" s="141"/>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T21" s="89"/>
    </row>
    <row r="22" spans="1:72" s="140" customFormat="1" x14ac:dyDescent="0.25">
      <c r="B22" s="84" t="s">
        <v>133</v>
      </c>
      <c r="C22" s="84"/>
      <c r="D22" s="141" t="str">
        <f t="shared" si="0"/>
        <v>£</v>
      </c>
      <c r="E22" s="133">
        <f>SUM(E12:E21)</f>
        <v>0</v>
      </c>
      <c r="F22" s="133">
        <f t="shared" ref="F22:I22" si="3">SUM(F12:F21)</f>
        <v>0</v>
      </c>
      <c r="G22" s="133">
        <f t="shared" si="3"/>
        <v>0</v>
      </c>
      <c r="H22" s="133">
        <f t="shared" si="3"/>
        <v>0</v>
      </c>
      <c r="I22" s="133">
        <f t="shared" si="3"/>
        <v>0</v>
      </c>
      <c r="J22" s="84"/>
      <c r="K22" s="65">
        <f>SUM(K12:K21)</f>
        <v>0</v>
      </c>
      <c r="L22" s="65">
        <f t="shared" ref="L22:BR22" si="4">SUM(L12:L21)</f>
        <v>0</v>
      </c>
      <c r="M22" s="65">
        <f t="shared" si="4"/>
        <v>0</v>
      </c>
      <c r="N22" s="65">
        <f t="shared" si="4"/>
        <v>0</v>
      </c>
      <c r="O22" s="65">
        <f t="shared" si="4"/>
        <v>0</v>
      </c>
      <c r="P22" s="65">
        <f t="shared" si="4"/>
        <v>0</v>
      </c>
      <c r="Q22" s="65">
        <f t="shared" si="4"/>
        <v>0</v>
      </c>
      <c r="R22" s="65">
        <f t="shared" si="4"/>
        <v>0</v>
      </c>
      <c r="S22" s="65">
        <f t="shared" si="4"/>
        <v>0</v>
      </c>
      <c r="T22" s="65">
        <f t="shared" si="4"/>
        <v>0</v>
      </c>
      <c r="U22" s="65">
        <f t="shared" si="4"/>
        <v>0</v>
      </c>
      <c r="V22" s="65">
        <f t="shared" si="4"/>
        <v>0</v>
      </c>
      <c r="W22" s="65">
        <f t="shared" si="4"/>
        <v>0</v>
      </c>
      <c r="X22" s="65">
        <f t="shared" si="4"/>
        <v>0</v>
      </c>
      <c r="Y22" s="65">
        <f t="shared" si="4"/>
        <v>0</v>
      </c>
      <c r="Z22" s="65">
        <f t="shared" si="4"/>
        <v>0</v>
      </c>
      <c r="AA22" s="65">
        <f t="shared" si="4"/>
        <v>0</v>
      </c>
      <c r="AB22" s="65">
        <f t="shared" si="4"/>
        <v>0</v>
      </c>
      <c r="AC22" s="65">
        <f t="shared" si="4"/>
        <v>0</v>
      </c>
      <c r="AD22" s="65">
        <f t="shared" si="4"/>
        <v>0</v>
      </c>
      <c r="AE22" s="65">
        <f t="shared" si="4"/>
        <v>0</v>
      </c>
      <c r="AF22" s="65">
        <f t="shared" si="4"/>
        <v>0</v>
      </c>
      <c r="AG22" s="65">
        <f t="shared" si="4"/>
        <v>0</v>
      </c>
      <c r="AH22" s="65">
        <f t="shared" si="4"/>
        <v>0</v>
      </c>
      <c r="AI22" s="65">
        <f t="shared" si="4"/>
        <v>0</v>
      </c>
      <c r="AJ22" s="65">
        <f t="shared" si="4"/>
        <v>0</v>
      </c>
      <c r="AK22" s="65">
        <f t="shared" si="4"/>
        <v>0</v>
      </c>
      <c r="AL22" s="65">
        <f t="shared" si="4"/>
        <v>0</v>
      </c>
      <c r="AM22" s="65">
        <f t="shared" si="4"/>
        <v>0</v>
      </c>
      <c r="AN22" s="65">
        <f t="shared" si="4"/>
        <v>0</v>
      </c>
      <c r="AO22" s="65">
        <f t="shared" si="4"/>
        <v>0</v>
      </c>
      <c r="AP22" s="65">
        <f t="shared" si="4"/>
        <v>0</v>
      </c>
      <c r="AQ22" s="65">
        <f t="shared" si="4"/>
        <v>0</v>
      </c>
      <c r="AR22" s="65">
        <f t="shared" si="4"/>
        <v>0</v>
      </c>
      <c r="AS22" s="65">
        <f t="shared" si="4"/>
        <v>0</v>
      </c>
      <c r="AT22" s="65">
        <f t="shared" si="4"/>
        <v>0</v>
      </c>
      <c r="AU22" s="65">
        <f t="shared" si="4"/>
        <v>0</v>
      </c>
      <c r="AV22" s="65">
        <f t="shared" si="4"/>
        <v>0</v>
      </c>
      <c r="AW22" s="65">
        <f t="shared" si="4"/>
        <v>0</v>
      </c>
      <c r="AX22" s="65">
        <f t="shared" si="4"/>
        <v>0</v>
      </c>
      <c r="AY22" s="65">
        <f t="shared" si="4"/>
        <v>0</v>
      </c>
      <c r="AZ22" s="65">
        <f t="shared" si="4"/>
        <v>0</v>
      </c>
      <c r="BA22" s="65">
        <f t="shared" si="4"/>
        <v>0</v>
      </c>
      <c r="BB22" s="65">
        <f t="shared" si="4"/>
        <v>0</v>
      </c>
      <c r="BC22" s="65">
        <f t="shared" si="4"/>
        <v>0</v>
      </c>
      <c r="BD22" s="65">
        <f t="shared" si="4"/>
        <v>0</v>
      </c>
      <c r="BE22" s="65">
        <f t="shared" si="4"/>
        <v>0</v>
      </c>
      <c r="BF22" s="65">
        <f t="shared" si="4"/>
        <v>0</v>
      </c>
      <c r="BG22" s="65">
        <f t="shared" si="4"/>
        <v>0</v>
      </c>
      <c r="BH22" s="65">
        <f t="shared" si="4"/>
        <v>0</v>
      </c>
      <c r="BI22" s="65">
        <f t="shared" si="4"/>
        <v>0</v>
      </c>
      <c r="BJ22" s="65">
        <f t="shared" si="4"/>
        <v>0</v>
      </c>
      <c r="BK22" s="65">
        <f t="shared" si="4"/>
        <v>0</v>
      </c>
      <c r="BL22" s="65">
        <f t="shared" si="4"/>
        <v>0</v>
      </c>
      <c r="BM22" s="65">
        <f t="shared" si="4"/>
        <v>0</v>
      </c>
      <c r="BN22" s="65">
        <f t="shared" si="4"/>
        <v>0</v>
      </c>
      <c r="BO22" s="65">
        <f t="shared" si="4"/>
        <v>0</v>
      </c>
      <c r="BP22" s="65">
        <f t="shared" si="4"/>
        <v>0</v>
      </c>
      <c r="BQ22" s="65">
        <f t="shared" si="4"/>
        <v>0</v>
      </c>
      <c r="BR22" s="65">
        <f t="shared" si="4"/>
        <v>0</v>
      </c>
      <c r="BT22" s="89" t="s">
        <v>184</v>
      </c>
    </row>
    <row r="23" spans="1:72" s="140" customFormat="1" x14ac:dyDescent="0.25">
      <c r="BT23" s="89"/>
    </row>
    <row r="24" spans="1:72" s="166" customFormat="1" ht="15.6" x14ac:dyDescent="0.3">
      <c r="A24" s="166" t="s">
        <v>217</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3">
    <tabColor rgb="FF00B050"/>
  </sheetPr>
  <dimension ref="A1:BZ243"/>
  <sheetViews>
    <sheetView showGridLines="0" zoomScale="80" zoomScaleNormal="80" zoomScalePageLayoutView="80" workbookViewId="0">
      <pane xSplit="10" ySplit="8" topLeftCell="AA9" activePane="bottomRight" state="frozen"/>
      <selection activeCell="C10" sqref="C10"/>
      <selection pane="topRight" activeCell="C10" sqref="C10"/>
      <selection pane="bottomLeft" activeCell="C10" sqref="C10"/>
      <selection pane="bottomRight" activeCell="AK253" sqref="AK253"/>
    </sheetView>
  </sheetViews>
  <sheetFormatPr defaultColWidth="0" defaultRowHeight="13.2" outlineLevelRow="1" x14ac:dyDescent="0.25"/>
  <cols>
    <col min="1" max="1" width="3.44140625" style="139" customWidth="1"/>
    <col min="2" max="2" width="5.6640625" style="139" customWidth="1"/>
    <col min="3" max="3" width="34.44140625" style="139" customWidth="1"/>
    <col min="4" max="4" width="14.109375" style="139" bestFit="1" customWidth="1"/>
    <col min="5" max="6" width="11.33203125" style="139" bestFit="1" customWidth="1"/>
    <col min="7" max="9" width="10" style="139" bestFit="1" customWidth="1"/>
    <col min="10" max="10" width="9.44140625" style="139" bestFit="1" customWidth="1"/>
    <col min="11" max="34" width="11.33203125" style="139" bestFit="1" customWidth="1"/>
    <col min="35" max="35" width="10" style="139" bestFit="1" customWidth="1"/>
    <col min="36" max="36" width="10.44140625" style="139" bestFit="1" customWidth="1"/>
    <col min="37" max="37" width="10.33203125" style="139" bestFit="1" customWidth="1"/>
    <col min="38" max="38" width="10" style="139" bestFit="1" customWidth="1"/>
    <col min="39" max="40" width="10.33203125" style="139" bestFit="1" customWidth="1"/>
    <col min="41" max="41" width="10" style="139" bestFit="1" customWidth="1"/>
    <col min="42" max="44" width="10.109375" style="139" bestFit="1" customWidth="1"/>
    <col min="45" max="45" width="10.44140625" style="139" bestFit="1" customWidth="1"/>
    <col min="46" max="47" width="10" style="139" bestFit="1" customWidth="1"/>
    <col min="48" max="48" width="10.44140625" style="139" bestFit="1" customWidth="1"/>
    <col min="49" max="49" width="10.33203125" style="139" bestFit="1" customWidth="1"/>
    <col min="50" max="50" width="10" style="139" bestFit="1" customWidth="1"/>
    <col min="51" max="51" width="12.109375" style="139" bestFit="1" customWidth="1"/>
    <col min="52" max="52" width="10.33203125" style="139" bestFit="1" customWidth="1"/>
    <col min="53" max="53" width="10" style="139" bestFit="1" customWidth="1"/>
    <col min="54" max="56" width="10.109375" style="139" bestFit="1" customWidth="1"/>
    <col min="57" max="57" width="10.44140625" style="139" bestFit="1" customWidth="1"/>
    <col min="58" max="58" width="10" style="139" bestFit="1" customWidth="1"/>
    <col min="59" max="59" width="9.44140625" style="139" bestFit="1" customWidth="1"/>
    <col min="60" max="60" width="10.44140625" style="139" bestFit="1" customWidth="1"/>
    <col min="61" max="61" width="10.33203125" style="139" bestFit="1" customWidth="1"/>
    <col min="62" max="62" width="10" style="139" bestFit="1" customWidth="1"/>
    <col min="63" max="64" width="10.33203125" style="139" bestFit="1" customWidth="1"/>
    <col min="65" max="65" width="10" style="139" bestFit="1" customWidth="1"/>
    <col min="66" max="68" width="10.109375" style="139" bestFit="1" customWidth="1"/>
    <col min="69" max="69" width="10.44140625" style="139" bestFit="1" customWidth="1"/>
    <col min="70" max="70" width="10" style="139" bestFit="1" customWidth="1"/>
    <col min="71" max="71" width="3" style="139" customWidth="1"/>
    <col min="72" max="72" width="10.33203125" style="71" bestFit="1" customWidth="1"/>
    <col min="73" max="78" width="9.109375" style="139" customWidth="1"/>
    <col min="79" max="16384" width="9.109375" style="139" hidden="1"/>
  </cols>
  <sheetData>
    <row r="1" spans="1:78" s="285" customFormat="1" x14ac:dyDescent="0.25"/>
    <row r="2" spans="1:78" s="285" customFormat="1" x14ac:dyDescent="0.25"/>
    <row r="3" spans="1:78" s="285" customFormat="1" x14ac:dyDescent="0.25">
      <c r="A3" s="286" t="str">
        <f>IF(KeyInputs!$F$14=0,"Company Name",KeyInputs!$F$14)</f>
        <v>Company Name</v>
      </c>
    </row>
    <row r="4" spans="1:78" s="285" customFormat="1" x14ac:dyDescent="0.25">
      <c r="A4" s="285" t="s">
        <v>19</v>
      </c>
    </row>
    <row r="5" spans="1:78" s="288" customFormat="1" x14ac:dyDescent="0.25">
      <c r="A5" s="285"/>
      <c r="B5" s="285"/>
      <c r="C5" s="285"/>
      <c r="D5" s="287" t="str">
        <f>KeyInputs!D5</f>
        <v>Year</v>
      </c>
      <c r="E5" s="285">
        <f>KeyInputs!H5</f>
        <v>2015</v>
      </c>
      <c r="F5" s="285">
        <f>KeyInputs!I5</f>
        <v>2016</v>
      </c>
      <c r="G5" s="285">
        <f>KeyInputs!J5</f>
        <v>2017</v>
      </c>
      <c r="H5" s="285">
        <f>KeyInputs!K5</f>
        <v>2018</v>
      </c>
      <c r="I5" s="285">
        <f>KeyInputs!L5</f>
        <v>2019</v>
      </c>
      <c r="J5" s="285"/>
      <c r="K5" s="288">
        <f>KeyInputs!N5</f>
        <v>2015</v>
      </c>
      <c r="L5" s="288">
        <f>KeyInputs!O5</f>
        <v>2015</v>
      </c>
      <c r="M5" s="288">
        <f>KeyInputs!P5</f>
        <v>2015</v>
      </c>
      <c r="N5" s="288">
        <f>KeyInputs!Q5</f>
        <v>2015</v>
      </c>
      <c r="O5" s="288">
        <f>KeyInputs!R5</f>
        <v>2015</v>
      </c>
      <c r="P5" s="288">
        <f>KeyInputs!S5</f>
        <v>2015</v>
      </c>
      <c r="Q5" s="288">
        <f>KeyInputs!T5</f>
        <v>2015</v>
      </c>
      <c r="R5" s="288">
        <f>KeyInputs!U5</f>
        <v>2015</v>
      </c>
      <c r="S5" s="288">
        <f>KeyInputs!V5</f>
        <v>2015</v>
      </c>
      <c r="T5" s="288">
        <f>KeyInputs!W5</f>
        <v>2015</v>
      </c>
      <c r="U5" s="288">
        <f>KeyInputs!X5</f>
        <v>2015</v>
      </c>
      <c r="V5" s="288">
        <f>KeyInputs!Y5</f>
        <v>2015</v>
      </c>
      <c r="W5" s="288">
        <f>KeyInputs!Z5</f>
        <v>2016</v>
      </c>
      <c r="X5" s="288">
        <f>KeyInputs!AA5</f>
        <v>2016</v>
      </c>
      <c r="Y5" s="288">
        <f>KeyInputs!AB5</f>
        <v>2016</v>
      </c>
      <c r="Z5" s="288">
        <f>KeyInputs!AC5</f>
        <v>2016</v>
      </c>
      <c r="AA5" s="288">
        <f>KeyInputs!AD5</f>
        <v>2016</v>
      </c>
      <c r="AB5" s="288">
        <f>KeyInputs!AE5</f>
        <v>2016</v>
      </c>
      <c r="AC5" s="288">
        <f>KeyInputs!AF5</f>
        <v>2016</v>
      </c>
      <c r="AD5" s="288">
        <f>KeyInputs!AG5</f>
        <v>2016</v>
      </c>
      <c r="AE5" s="288">
        <f>KeyInputs!AH5</f>
        <v>2016</v>
      </c>
      <c r="AF5" s="288">
        <f>KeyInputs!AI5</f>
        <v>2016</v>
      </c>
      <c r="AG5" s="288">
        <f>KeyInputs!AJ5</f>
        <v>2016</v>
      </c>
      <c r="AH5" s="288">
        <f>KeyInputs!AK5</f>
        <v>2016</v>
      </c>
      <c r="AI5" s="288">
        <f>KeyInputs!AL5</f>
        <v>2017</v>
      </c>
      <c r="AJ5" s="288">
        <f>KeyInputs!AM5</f>
        <v>2017</v>
      </c>
      <c r="AK5" s="288">
        <f>KeyInputs!AN5</f>
        <v>2017</v>
      </c>
      <c r="AL5" s="288">
        <f>KeyInputs!AO5</f>
        <v>2017</v>
      </c>
      <c r="AM5" s="288">
        <f>KeyInputs!AP5</f>
        <v>2017</v>
      </c>
      <c r="AN5" s="288">
        <f>KeyInputs!AQ5</f>
        <v>2017</v>
      </c>
      <c r="AO5" s="288">
        <f>KeyInputs!AR5</f>
        <v>2017</v>
      </c>
      <c r="AP5" s="288">
        <f>KeyInputs!AS5</f>
        <v>2017</v>
      </c>
      <c r="AQ5" s="288">
        <f>KeyInputs!AT5</f>
        <v>2017</v>
      </c>
      <c r="AR5" s="288">
        <f>KeyInputs!AU5</f>
        <v>2017</v>
      </c>
      <c r="AS5" s="288">
        <f>KeyInputs!AV5</f>
        <v>2017</v>
      </c>
      <c r="AT5" s="288">
        <f>KeyInputs!AW5</f>
        <v>2017</v>
      </c>
      <c r="AU5" s="288">
        <f>KeyInputs!AX5</f>
        <v>2018</v>
      </c>
      <c r="AV5" s="288">
        <f>KeyInputs!AY5</f>
        <v>2018</v>
      </c>
      <c r="AW5" s="288">
        <f>KeyInputs!AZ5</f>
        <v>2018</v>
      </c>
      <c r="AX5" s="288">
        <f>KeyInputs!BA5</f>
        <v>2018</v>
      </c>
      <c r="AY5" s="288">
        <f>KeyInputs!BB5</f>
        <v>2018</v>
      </c>
      <c r="AZ5" s="288">
        <f>KeyInputs!BC5</f>
        <v>2018</v>
      </c>
      <c r="BA5" s="288">
        <f>KeyInputs!BD5</f>
        <v>2018</v>
      </c>
      <c r="BB5" s="288">
        <f>KeyInputs!BE5</f>
        <v>2018</v>
      </c>
      <c r="BC5" s="288">
        <f>KeyInputs!BF5</f>
        <v>2018</v>
      </c>
      <c r="BD5" s="288">
        <f>KeyInputs!BG5</f>
        <v>2018</v>
      </c>
      <c r="BE5" s="288">
        <f>KeyInputs!BH5</f>
        <v>2018</v>
      </c>
      <c r="BF5" s="288">
        <f>KeyInputs!BI5</f>
        <v>2018</v>
      </c>
      <c r="BG5" s="288">
        <f>KeyInputs!BJ5</f>
        <v>2019</v>
      </c>
      <c r="BH5" s="288">
        <f>KeyInputs!BK5</f>
        <v>2019</v>
      </c>
      <c r="BI5" s="288">
        <f>KeyInputs!BL5</f>
        <v>2019</v>
      </c>
      <c r="BJ5" s="288">
        <f>KeyInputs!BM5</f>
        <v>2019</v>
      </c>
      <c r="BK5" s="288">
        <f>KeyInputs!BN5</f>
        <v>2019</v>
      </c>
      <c r="BL5" s="288">
        <f>KeyInputs!BO5</f>
        <v>2019</v>
      </c>
      <c r="BM5" s="288">
        <f>KeyInputs!BP5</f>
        <v>2019</v>
      </c>
      <c r="BN5" s="288">
        <f>KeyInputs!BQ5</f>
        <v>2019</v>
      </c>
      <c r="BO5" s="288">
        <f>KeyInputs!BR5</f>
        <v>2019</v>
      </c>
      <c r="BP5" s="288">
        <f>KeyInputs!BS5</f>
        <v>2019</v>
      </c>
      <c r="BQ5" s="288">
        <f>KeyInputs!BT5</f>
        <v>2019</v>
      </c>
      <c r="BR5" s="288">
        <f>KeyInputs!BU5</f>
        <v>2019</v>
      </c>
    </row>
    <row r="6" spans="1:78" s="288" customFormat="1" x14ac:dyDescent="0.25">
      <c r="A6" s="285"/>
      <c r="B6" s="285"/>
      <c r="C6" s="285"/>
      <c r="D6" s="287" t="str">
        <f>KeyInputs!D6</f>
        <v>Period number</v>
      </c>
      <c r="E6" s="285">
        <f>KeyInputs!H6</f>
        <v>1</v>
      </c>
      <c r="F6" s="285">
        <f>KeyInputs!I6</f>
        <v>2</v>
      </c>
      <c r="G6" s="285">
        <f>KeyInputs!J6</f>
        <v>3</v>
      </c>
      <c r="H6" s="285">
        <f>KeyInputs!K6</f>
        <v>4</v>
      </c>
      <c r="I6" s="285">
        <f>KeyInputs!L6</f>
        <v>5</v>
      </c>
      <c r="J6" s="285"/>
      <c r="K6" s="288">
        <f>KeyInputs!N6</f>
        <v>1</v>
      </c>
      <c r="L6" s="288">
        <f>KeyInputs!O6</f>
        <v>2</v>
      </c>
      <c r="M6" s="288">
        <f>KeyInputs!P6</f>
        <v>3</v>
      </c>
      <c r="N6" s="288">
        <f>KeyInputs!Q6</f>
        <v>4</v>
      </c>
      <c r="O6" s="288">
        <f>KeyInputs!R6</f>
        <v>5</v>
      </c>
      <c r="P6" s="288">
        <f>KeyInputs!S6</f>
        <v>6</v>
      </c>
      <c r="Q6" s="288">
        <f>KeyInputs!T6</f>
        <v>7</v>
      </c>
      <c r="R6" s="288">
        <f>KeyInputs!U6</f>
        <v>8</v>
      </c>
      <c r="S6" s="288">
        <f>KeyInputs!V6</f>
        <v>9</v>
      </c>
      <c r="T6" s="288">
        <f>KeyInputs!W6</f>
        <v>10</v>
      </c>
      <c r="U6" s="288">
        <f>KeyInputs!X6</f>
        <v>11</v>
      </c>
      <c r="V6" s="288">
        <f>KeyInputs!Y6</f>
        <v>12</v>
      </c>
      <c r="W6" s="288">
        <f>KeyInputs!Z6</f>
        <v>13</v>
      </c>
      <c r="X6" s="288">
        <f>KeyInputs!AA6</f>
        <v>14</v>
      </c>
      <c r="Y6" s="288">
        <f>KeyInputs!AB6</f>
        <v>15</v>
      </c>
      <c r="Z6" s="288">
        <f>KeyInputs!AC6</f>
        <v>16</v>
      </c>
      <c r="AA6" s="288">
        <f>KeyInputs!AD6</f>
        <v>17</v>
      </c>
      <c r="AB6" s="288">
        <f>KeyInputs!AE6</f>
        <v>18</v>
      </c>
      <c r="AC6" s="288">
        <f>KeyInputs!AF6</f>
        <v>19</v>
      </c>
      <c r="AD6" s="288">
        <f>KeyInputs!AG6</f>
        <v>20</v>
      </c>
      <c r="AE6" s="288">
        <f>KeyInputs!AH6</f>
        <v>21</v>
      </c>
      <c r="AF6" s="288">
        <f>KeyInputs!AI6</f>
        <v>22</v>
      </c>
      <c r="AG6" s="288">
        <f>KeyInputs!AJ6</f>
        <v>23</v>
      </c>
      <c r="AH6" s="288">
        <f>KeyInputs!AK6</f>
        <v>24</v>
      </c>
      <c r="AI6" s="288">
        <f>KeyInputs!AL6</f>
        <v>25</v>
      </c>
      <c r="AJ6" s="288">
        <f>KeyInputs!AM6</f>
        <v>26</v>
      </c>
      <c r="AK6" s="288">
        <f>KeyInputs!AN6</f>
        <v>27</v>
      </c>
      <c r="AL6" s="288">
        <f>KeyInputs!AO6</f>
        <v>28</v>
      </c>
      <c r="AM6" s="288">
        <f>KeyInputs!AP6</f>
        <v>29</v>
      </c>
      <c r="AN6" s="288">
        <f>KeyInputs!AQ6</f>
        <v>30</v>
      </c>
      <c r="AO6" s="288">
        <f>KeyInputs!AR6</f>
        <v>31</v>
      </c>
      <c r="AP6" s="288">
        <f>KeyInputs!AS6</f>
        <v>32</v>
      </c>
      <c r="AQ6" s="288">
        <f>KeyInputs!AT6</f>
        <v>33</v>
      </c>
      <c r="AR6" s="288">
        <f>KeyInputs!AU6</f>
        <v>34</v>
      </c>
      <c r="AS6" s="288">
        <f>KeyInputs!AV6</f>
        <v>35</v>
      </c>
      <c r="AT6" s="288">
        <f>KeyInputs!AW6</f>
        <v>36</v>
      </c>
      <c r="AU6" s="288">
        <f>KeyInputs!AX6</f>
        <v>37</v>
      </c>
      <c r="AV6" s="288">
        <f>KeyInputs!AY6</f>
        <v>38</v>
      </c>
      <c r="AW6" s="288">
        <f>KeyInputs!AZ6</f>
        <v>39</v>
      </c>
      <c r="AX6" s="288">
        <f>KeyInputs!BA6</f>
        <v>40</v>
      </c>
      <c r="AY6" s="288">
        <f>KeyInputs!BB6</f>
        <v>41</v>
      </c>
      <c r="AZ6" s="288">
        <f>KeyInputs!BC6</f>
        <v>42</v>
      </c>
      <c r="BA6" s="288">
        <f>KeyInputs!BD6</f>
        <v>43</v>
      </c>
      <c r="BB6" s="288">
        <f>KeyInputs!BE6</f>
        <v>44</v>
      </c>
      <c r="BC6" s="288">
        <f>KeyInputs!BF6</f>
        <v>45</v>
      </c>
      <c r="BD6" s="288">
        <f>KeyInputs!BG6</f>
        <v>46</v>
      </c>
      <c r="BE6" s="288">
        <f>KeyInputs!BH6</f>
        <v>47</v>
      </c>
      <c r="BF6" s="288">
        <f>KeyInputs!BI6</f>
        <v>48</v>
      </c>
      <c r="BG6" s="288">
        <f>KeyInputs!BJ6</f>
        <v>49</v>
      </c>
      <c r="BH6" s="288">
        <f>KeyInputs!BK6</f>
        <v>50</v>
      </c>
      <c r="BI6" s="288">
        <f>KeyInputs!BL6</f>
        <v>51</v>
      </c>
      <c r="BJ6" s="288">
        <f>KeyInputs!BM6</f>
        <v>52</v>
      </c>
      <c r="BK6" s="288">
        <f>KeyInputs!BN6</f>
        <v>53</v>
      </c>
      <c r="BL6" s="288">
        <f>KeyInputs!BO6</f>
        <v>54</v>
      </c>
      <c r="BM6" s="288">
        <f>KeyInputs!BP6</f>
        <v>55</v>
      </c>
      <c r="BN6" s="288">
        <f>KeyInputs!BQ6</f>
        <v>56</v>
      </c>
      <c r="BO6" s="288">
        <f>KeyInputs!BR6</f>
        <v>57</v>
      </c>
      <c r="BP6" s="288">
        <f>KeyInputs!BS6</f>
        <v>58</v>
      </c>
      <c r="BQ6" s="288">
        <f>KeyInputs!BT6</f>
        <v>59</v>
      </c>
      <c r="BR6" s="288">
        <f>KeyInputs!BU6</f>
        <v>60</v>
      </c>
    </row>
    <row r="7" spans="1:78" s="288" customFormat="1" x14ac:dyDescent="0.25">
      <c r="A7" s="285"/>
      <c r="B7" s="285"/>
      <c r="C7" s="285"/>
      <c r="D7" s="287" t="str">
        <f>KeyInputs!D7</f>
        <v>Period starts</v>
      </c>
      <c r="E7" s="289">
        <f>KeyInputs!H7</f>
        <v>42005</v>
      </c>
      <c r="F7" s="289">
        <f>KeyInputs!I7</f>
        <v>42370</v>
      </c>
      <c r="G7" s="289">
        <f>KeyInputs!J7</f>
        <v>42736</v>
      </c>
      <c r="H7" s="289">
        <f>KeyInputs!K7</f>
        <v>43101</v>
      </c>
      <c r="I7" s="289">
        <f>KeyInputs!L7</f>
        <v>43466</v>
      </c>
      <c r="J7" s="285"/>
      <c r="K7" s="289">
        <f>KeyInputs!N7</f>
        <v>42005</v>
      </c>
      <c r="L7" s="289">
        <f>KeyInputs!O7</f>
        <v>42036</v>
      </c>
      <c r="M7" s="289">
        <f>KeyInputs!P7</f>
        <v>42064</v>
      </c>
      <c r="N7" s="289">
        <f>KeyInputs!Q7</f>
        <v>42095</v>
      </c>
      <c r="O7" s="289">
        <f>KeyInputs!R7</f>
        <v>42125</v>
      </c>
      <c r="P7" s="289">
        <f>KeyInputs!S7</f>
        <v>42156</v>
      </c>
      <c r="Q7" s="289">
        <f>KeyInputs!T7</f>
        <v>42186</v>
      </c>
      <c r="R7" s="289">
        <f>KeyInputs!U7</f>
        <v>42217</v>
      </c>
      <c r="S7" s="289">
        <f>KeyInputs!V7</f>
        <v>42248</v>
      </c>
      <c r="T7" s="289">
        <f>KeyInputs!W7</f>
        <v>42278</v>
      </c>
      <c r="U7" s="289">
        <f>KeyInputs!X7</f>
        <v>42309</v>
      </c>
      <c r="V7" s="289">
        <f>KeyInputs!Y7</f>
        <v>42339</v>
      </c>
      <c r="W7" s="289">
        <f>KeyInputs!Z7</f>
        <v>42370</v>
      </c>
      <c r="X7" s="289">
        <f>KeyInputs!AA7</f>
        <v>42401</v>
      </c>
      <c r="Y7" s="289">
        <f>KeyInputs!AB7</f>
        <v>42430</v>
      </c>
      <c r="Z7" s="289">
        <f>KeyInputs!AC7</f>
        <v>42461</v>
      </c>
      <c r="AA7" s="289">
        <f>KeyInputs!AD7</f>
        <v>42491</v>
      </c>
      <c r="AB7" s="289">
        <f>KeyInputs!AE7</f>
        <v>42522</v>
      </c>
      <c r="AC7" s="289">
        <f>KeyInputs!AF7</f>
        <v>42552</v>
      </c>
      <c r="AD7" s="289">
        <f>KeyInputs!AG7</f>
        <v>42583</v>
      </c>
      <c r="AE7" s="289">
        <f>KeyInputs!AH7</f>
        <v>42614</v>
      </c>
      <c r="AF7" s="289">
        <f>KeyInputs!AI7</f>
        <v>42644</v>
      </c>
      <c r="AG7" s="289">
        <f>KeyInputs!AJ7</f>
        <v>42675</v>
      </c>
      <c r="AH7" s="289">
        <f>KeyInputs!AK7</f>
        <v>42705</v>
      </c>
      <c r="AI7" s="289">
        <f>KeyInputs!AL7</f>
        <v>42736</v>
      </c>
      <c r="AJ7" s="289">
        <f>KeyInputs!AM7</f>
        <v>42767</v>
      </c>
      <c r="AK7" s="289">
        <f>KeyInputs!AN7</f>
        <v>42795</v>
      </c>
      <c r="AL7" s="289">
        <f>KeyInputs!AO7</f>
        <v>42826</v>
      </c>
      <c r="AM7" s="289">
        <f>KeyInputs!AP7</f>
        <v>42856</v>
      </c>
      <c r="AN7" s="289">
        <f>KeyInputs!AQ7</f>
        <v>42887</v>
      </c>
      <c r="AO7" s="289">
        <f>KeyInputs!AR7</f>
        <v>42917</v>
      </c>
      <c r="AP7" s="289">
        <f>KeyInputs!AS7</f>
        <v>42948</v>
      </c>
      <c r="AQ7" s="289">
        <f>KeyInputs!AT7</f>
        <v>42979</v>
      </c>
      <c r="AR7" s="289">
        <f>KeyInputs!AU7</f>
        <v>43009</v>
      </c>
      <c r="AS7" s="289">
        <f>KeyInputs!AV7</f>
        <v>43040</v>
      </c>
      <c r="AT7" s="289">
        <f>KeyInputs!AW7</f>
        <v>43070</v>
      </c>
      <c r="AU7" s="289">
        <f>KeyInputs!AX7</f>
        <v>43101</v>
      </c>
      <c r="AV7" s="289">
        <f>KeyInputs!AY7</f>
        <v>43132</v>
      </c>
      <c r="AW7" s="289">
        <f>KeyInputs!AZ7</f>
        <v>43160</v>
      </c>
      <c r="AX7" s="289">
        <f>KeyInputs!BA7</f>
        <v>43191</v>
      </c>
      <c r="AY7" s="289">
        <f>KeyInputs!BB7</f>
        <v>43221</v>
      </c>
      <c r="AZ7" s="289">
        <f>KeyInputs!BC7</f>
        <v>43252</v>
      </c>
      <c r="BA7" s="289">
        <f>KeyInputs!BD7</f>
        <v>43282</v>
      </c>
      <c r="BB7" s="289">
        <f>KeyInputs!BE7</f>
        <v>43313</v>
      </c>
      <c r="BC7" s="289">
        <f>KeyInputs!BF7</f>
        <v>43344</v>
      </c>
      <c r="BD7" s="289">
        <f>KeyInputs!BG7</f>
        <v>43374</v>
      </c>
      <c r="BE7" s="289">
        <f>KeyInputs!BH7</f>
        <v>43405</v>
      </c>
      <c r="BF7" s="289">
        <f>KeyInputs!BI7</f>
        <v>43435</v>
      </c>
      <c r="BG7" s="289">
        <f>KeyInputs!BJ7</f>
        <v>43466</v>
      </c>
      <c r="BH7" s="289">
        <f>KeyInputs!BK7</f>
        <v>43497</v>
      </c>
      <c r="BI7" s="289">
        <f>KeyInputs!BL7</f>
        <v>43525</v>
      </c>
      <c r="BJ7" s="289">
        <f>KeyInputs!BM7</f>
        <v>43556</v>
      </c>
      <c r="BK7" s="289">
        <f>KeyInputs!BN7</f>
        <v>43586</v>
      </c>
      <c r="BL7" s="289">
        <f>KeyInputs!BO7</f>
        <v>43617</v>
      </c>
      <c r="BM7" s="289">
        <f>KeyInputs!BP7</f>
        <v>43647</v>
      </c>
      <c r="BN7" s="289">
        <f>KeyInputs!BQ7</f>
        <v>43678</v>
      </c>
      <c r="BO7" s="289">
        <f>KeyInputs!BR7</f>
        <v>43709</v>
      </c>
      <c r="BP7" s="289">
        <f>KeyInputs!BS7</f>
        <v>43739</v>
      </c>
      <c r="BQ7" s="289">
        <f>KeyInputs!BT7</f>
        <v>43770</v>
      </c>
      <c r="BR7" s="289">
        <f>KeyInputs!BU7</f>
        <v>43800</v>
      </c>
    </row>
    <row r="8" spans="1:78" s="292" customFormat="1" x14ac:dyDescent="0.25">
      <c r="A8" s="290"/>
      <c r="B8" s="291" t="str">
        <f ca="1">IF(Check!$C$12=0,"All checks are OK","There are "&amp;Check!$C$12&amp;" error/errors")</f>
        <v>All checks are OK</v>
      </c>
      <c r="C8" s="290"/>
      <c r="D8" s="287" t="str">
        <f>KeyInputs!D8</f>
        <v>Period ends</v>
      </c>
      <c r="E8" s="289">
        <f>KeyInputs!H8</f>
        <v>42369</v>
      </c>
      <c r="F8" s="289">
        <f>KeyInputs!I8</f>
        <v>42735</v>
      </c>
      <c r="G8" s="289">
        <f>KeyInputs!J8</f>
        <v>43100</v>
      </c>
      <c r="H8" s="289">
        <f>KeyInputs!K8</f>
        <v>43465</v>
      </c>
      <c r="I8" s="289">
        <f>KeyInputs!L8</f>
        <v>43830</v>
      </c>
      <c r="J8" s="285"/>
      <c r="K8" s="289">
        <f>KeyInputs!N8</f>
        <v>42035</v>
      </c>
      <c r="L8" s="289">
        <f>KeyInputs!O8</f>
        <v>42063</v>
      </c>
      <c r="M8" s="289">
        <f>KeyInputs!P8</f>
        <v>42094</v>
      </c>
      <c r="N8" s="289">
        <f>KeyInputs!Q8</f>
        <v>42124</v>
      </c>
      <c r="O8" s="289">
        <f>KeyInputs!R8</f>
        <v>42155</v>
      </c>
      <c r="P8" s="289">
        <f>KeyInputs!S8</f>
        <v>42185</v>
      </c>
      <c r="Q8" s="289">
        <f>KeyInputs!T8</f>
        <v>42216</v>
      </c>
      <c r="R8" s="289">
        <f>KeyInputs!U8</f>
        <v>42247</v>
      </c>
      <c r="S8" s="289">
        <f>KeyInputs!V8</f>
        <v>42277</v>
      </c>
      <c r="T8" s="289">
        <f>KeyInputs!W8</f>
        <v>42308</v>
      </c>
      <c r="U8" s="289">
        <f>KeyInputs!X8</f>
        <v>42338</v>
      </c>
      <c r="V8" s="289">
        <f>KeyInputs!Y8</f>
        <v>42369</v>
      </c>
      <c r="W8" s="289">
        <f>KeyInputs!Z8</f>
        <v>42400</v>
      </c>
      <c r="X8" s="289">
        <f>KeyInputs!AA8</f>
        <v>42429</v>
      </c>
      <c r="Y8" s="289">
        <f>KeyInputs!AB8</f>
        <v>42460</v>
      </c>
      <c r="Z8" s="289">
        <f>KeyInputs!AC8</f>
        <v>42490</v>
      </c>
      <c r="AA8" s="289">
        <f>KeyInputs!AD8</f>
        <v>42521</v>
      </c>
      <c r="AB8" s="289">
        <f>KeyInputs!AE8</f>
        <v>42551</v>
      </c>
      <c r="AC8" s="289">
        <f>KeyInputs!AF8</f>
        <v>42582</v>
      </c>
      <c r="AD8" s="289">
        <f>KeyInputs!AG8</f>
        <v>42613</v>
      </c>
      <c r="AE8" s="289">
        <f>KeyInputs!AH8</f>
        <v>42643</v>
      </c>
      <c r="AF8" s="289">
        <f>KeyInputs!AI8</f>
        <v>42674</v>
      </c>
      <c r="AG8" s="289">
        <f>KeyInputs!AJ8</f>
        <v>42704</v>
      </c>
      <c r="AH8" s="289">
        <f>KeyInputs!AK8</f>
        <v>42735</v>
      </c>
      <c r="AI8" s="289">
        <f>KeyInputs!AL8</f>
        <v>42766</v>
      </c>
      <c r="AJ8" s="289">
        <f>KeyInputs!AM8</f>
        <v>42794</v>
      </c>
      <c r="AK8" s="289">
        <f>KeyInputs!AN8</f>
        <v>42825</v>
      </c>
      <c r="AL8" s="289">
        <f>KeyInputs!AO8</f>
        <v>42855</v>
      </c>
      <c r="AM8" s="289">
        <f>KeyInputs!AP8</f>
        <v>42886</v>
      </c>
      <c r="AN8" s="289">
        <f>KeyInputs!AQ8</f>
        <v>42916</v>
      </c>
      <c r="AO8" s="289">
        <f>KeyInputs!AR8</f>
        <v>42947</v>
      </c>
      <c r="AP8" s="289">
        <f>KeyInputs!AS8</f>
        <v>42978</v>
      </c>
      <c r="AQ8" s="289">
        <f>KeyInputs!AT8</f>
        <v>43008</v>
      </c>
      <c r="AR8" s="289">
        <f>KeyInputs!AU8</f>
        <v>43039</v>
      </c>
      <c r="AS8" s="289">
        <f>KeyInputs!AV8</f>
        <v>43069</v>
      </c>
      <c r="AT8" s="289">
        <f>KeyInputs!AW8</f>
        <v>43100</v>
      </c>
      <c r="AU8" s="289">
        <f>KeyInputs!AX8</f>
        <v>43131</v>
      </c>
      <c r="AV8" s="289">
        <f>KeyInputs!AY8</f>
        <v>43159</v>
      </c>
      <c r="AW8" s="289">
        <f>KeyInputs!AZ8</f>
        <v>43190</v>
      </c>
      <c r="AX8" s="289">
        <f>KeyInputs!BA8</f>
        <v>43220</v>
      </c>
      <c r="AY8" s="289">
        <f>KeyInputs!BB8</f>
        <v>43251</v>
      </c>
      <c r="AZ8" s="289">
        <f>KeyInputs!BC8</f>
        <v>43281</v>
      </c>
      <c r="BA8" s="289">
        <f>KeyInputs!BD8</f>
        <v>43312</v>
      </c>
      <c r="BB8" s="289">
        <f>KeyInputs!BE8</f>
        <v>43343</v>
      </c>
      <c r="BC8" s="289">
        <f>KeyInputs!BF8</f>
        <v>43373</v>
      </c>
      <c r="BD8" s="289">
        <f>KeyInputs!BG8</f>
        <v>43404</v>
      </c>
      <c r="BE8" s="289">
        <f>KeyInputs!BH8</f>
        <v>43434</v>
      </c>
      <c r="BF8" s="289">
        <f>KeyInputs!BI8</f>
        <v>43465</v>
      </c>
      <c r="BG8" s="289">
        <f>KeyInputs!BJ8</f>
        <v>43496</v>
      </c>
      <c r="BH8" s="289">
        <f>KeyInputs!BK8</f>
        <v>43524</v>
      </c>
      <c r="BI8" s="289">
        <f>KeyInputs!BL8</f>
        <v>43555</v>
      </c>
      <c r="BJ8" s="289">
        <f>KeyInputs!BM8</f>
        <v>43585</v>
      </c>
      <c r="BK8" s="289">
        <f>KeyInputs!BN8</f>
        <v>43616</v>
      </c>
      <c r="BL8" s="289">
        <f>KeyInputs!BO8</f>
        <v>43646</v>
      </c>
      <c r="BM8" s="289">
        <f>KeyInputs!BP8</f>
        <v>43677</v>
      </c>
      <c r="BN8" s="289">
        <f>KeyInputs!BQ8</f>
        <v>43708</v>
      </c>
      <c r="BO8" s="289">
        <f>KeyInputs!BR8</f>
        <v>43738</v>
      </c>
      <c r="BP8" s="289">
        <f>KeyInputs!BS8</f>
        <v>43769</v>
      </c>
      <c r="BQ8" s="289">
        <f>KeyInputs!BT8</f>
        <v>43799</v>
      </c>
      <c r="BR8" s="289">
        <f>KeyInputs!BU8</f>
        <v>43830</v>
      </c>
      <c r="BS8" s="288"/>
      <c r="BT8" s="288"/>
      <c r="BU8" s="288"/>
      <c r="BV8" s="288"/>
      <c r="BW8" s="288"/>
      <c r="BX8" s="288"/>
      <c r="BY8" s="288"/>
      <c r="BZ8" s="288"/>
    </row>
    <row r="9" spans="1:78" s="137" customFormat="1" x14ac:dyDescent="0.25">
      <c r="A9" s="96"/>
      <c r="B9" s="95"/>
      <c r="C9" s="134"/>
      <c r="D9" s="135"/>
      <c r="E9" s="136"/>
      <c r="F9" s="136"/>
      <c r="G9" s="136"/>
      <c r="H9" s="136"/>
      <c r="I9" s="136"/>
      <c r="J9" s="134"/>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6"/>
      <c r="BQ9" s="136"/>
      <c r="BR9" s="136"/>
    </row>
    <row r="10" spans="1:78" s="166" customFormat="1" ht="15.6" x14ac:dyDescent="0.3">
      <c r="A10" s="166">
        <f>Header1</f>
        <v>1</v>
      </c>
      <c r="B10" s="166" t="s">
        <v>253</v>
      </c>
    </row>
    <row r="11" spans="1:78" s="137" customFormat="1" x14ac:dyDescent="0.25">
      <c r="A11" s="96"/>
      <c r="B11" s="95"/>
      <c r="C11" s="134"/>
      <c r="D11" s="135"/>
      <c r="E11" s="136"/>
      <c r="F11" s="136"/>
      <c r="G11" s="136"/>
      <c r="H11" s="136"/>
      <c r="I11" s="136"/>
      <c r="J11" s="134"/>
      <c r="K11" s="136"/>
      <c r="L11" s="136"/>
      <c r="M11" s="136"/>
      <c r="N11" s="136"/>
      <c r="O11" s="136"/>
      <c r="P11" s="136"/>
      <c r="Q11" s="136"/>
      <c r="R11" s="136"/>
      <c r="S11" s="136"/>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6"/>
      <c r="BQ11" s="136"/>
      <c r="BR11" s="136"/>
    </row>
    <row r="12" spans="1:78" s="169" customFormat="1" ht="13.8" x14ac:dyDescent="0.25">
      <c r="B12" s="169" t="str">
        <f>Header2</f>
        <v>1.1</v>
      </c>
      <c r="C12" s="169" t="s">
        <v>248</v>
      </c>
    </row>
    <row r="13" spans="1:78" s="147" customFormat="1" x14ac:dyDescent="0.25">
      <c r="A13" s="211"/>
      <c r="F13" s="212"/>
    </row>
    <row r="14" spans="1:78" s="147" customFormat="1" x14ac:dyDescent="0.25">
      <c r="A14" s="211"/>
      <c r="C14" s="147" t="s">
        <v>228</v>
      </c>
      <c r="D14" s="231" t="str">
        <f>unit</f>
        <v>£</v>
      </c>
      <c r="E14" s="147">
        <f>INDEX($K14:$BR14,0,MATCH(E$7,$K$7:$BR$7,0))</f>
        <v>0</v>
      </c>
      <c r="F14" s="147">
        <f t="shared" ref="F14:I14" si="0">INDEX($K14:$BR14,0,MATCH(F$7,$K$7:$BR$7,0))</f>
        <v>0</v>
      </c>
      <c r="G14" s="147">
        <f t="shared" si="0"/>
        <v>0</v>
      </c>
      <c r="H14" s="147">
        <f t="shared" si="0"/>
        <v>0</v>
      </c>
      <c r="I14" s="147">
        <f t="shared" si="0"/>
        <v>0</v>
      </c>
      <c r="K14" s="147">
        <f t="shared" ref="K14:AP14" si="1">K52+K87+K123+K159+K195+K231</f>
        <v>0</v>
      </c>
      <c r="L14" s="147">
        <f t="shared" si="1"/>
        <v>0</v>
      </c>
      <c r="M14" s="147">
        <f t="shared" si="1"/>
        <v>0</v>
      </c>
      <c r="N14" s="147">
        <f t="shared" si="1"/>
        <v>0</v>
      </c>
      <c r="O14" s="147">
        <f t="shared" si="1"/>
        <v>0</v>
      </c>
      <c r="P14" s="147">
        <f t="shared" si="1"/>
        <v>0</v>
      </c>
      <c r="Q14" s="147">
        <f t="shared" si="1"/>
        <v>0</v>
      </c>
      <c r="R14" s="147">
        <f t="shared" si="1"/>
        <v>0</v>
      </c>
      <c r="S14" s="147">
        <f t="shared" si="1"/>
        <v>0</v>
      </c>
      <c r="T14" s="147">
        <f t="shared" si="1"/>
        <v>0</v>
      </c>
      <c r="U14" s="147">
        <f t="shared" si="1"/>
        <v>0</v>
      </c>
      <c r="V14" s="147">
        <f t="shared" si="1"/>
        <v>0</v>
      </c>
      <c r="W14" s="147">
        <f t="shared" si="1"/>
        <v>0</v>
      </c>
      <c r="X14" s="147">
        <f t="shared" si="1"/>
        <v>0</v>
      </c>
      <c r="Y14" s="147">
        <f t="shared" si="1"/>
        <v>0</v>
      </c>
      <c r="Z14" s="147">
        <f t="shared" si="1"/>
        <v>0</v>
      </c>
      <c r="AA14" s="147">
        <f t="shared" si="1"/>
        <v>0</v>
      </c>
      <c r="AB14" s="147">
        <f t="shared" si="1"/>
        <v>0</v>
      </c>
      <c r="AC14" s="147">
        <f t="shared" si="1"/>
        <v>0</v>
      </c>
      <c r="AD14" s="147">
        <f t="shared" si="1"/>
        <v>0</v>
      </c>
      <c r="AE14" s="147">
        <f t="shared" si="1"/>
        <v>0</v>
      </c>
      <c r="AF14" s="147">
        <f t="shared" si="1"/>
        <v>0</v>
      </c>
      <c r="AG14" s="147">
        <f t="shared" si="1"/>
        <v>0</v>
      </c>
      <c r="AH14" s="147">
        <f t="shared" si="1"/>
        <v>0</v>
      </c>
      <c r="AI14" s="147">
        <f t="shared" si="1"/>
        <v>0</v>
      </c>
      <c r="AJ14" s="147">
        <f t="shared" si="1"/>
        <v>0</v>
      </c>
      <c r="AK14" s="147">
        <f t="shared" si="1"/>
        <v>0</v>
      </c>
      <c r="AL14" s="147">
        <f t="shared" si="1"/>
        <v>0</v>
      </c>
      <c r="AM14" s="147">
        <f t="shared" si="1"/>
        <v>0</v>
      </c>
      <c r="AN14" s="147">
        <f t="shared" si="1"/>
        <v>0</v>
      </c>
      <c r="AO14" s="147">
        <f t="shared" si="1"/>
        <v>0</v>
      </c>
      <c r="AP14" s="147">
        <f t="shared" si="1"/>
        <v>0</v>
      </c>
      <c r="AQ14" s="147">
        <f t="shared" ref="AQ14:BR14" si="2">AQ52+AQ87+AQ123+AQ159+AQ195+AQ231</f>
        <v>0</v>
      </c>
      <c r="AR14" s="147">
        <f t="shared" si="2"/>
        <v>0</v>
      </c>
      <c r="AS14" s="147">
        <f t="shared" si="2"/>
        <v>0</v>
      </c>
      <c r="AT14" s="147">
        <f t="shared" si="2"/>
        <v>0</v>
      </c>
      <c r="AU14" s="147">
        <f t="shared" si="2"/>
        <v>0</v>
      </c>
      <c r="AV14" s="147">
        <f t="shared" si="2"/>
        <v>0</v>
      </c>
      <c r="AW14" s="147">
        <f t="shared" si="2"/>
        <v>0</v>
      </c>
      <c r="AX14" s="147">
        <f t="shared" si="2"/>
        <v>0</v>
      </c>
      <c r="AY14" s="147">
        <f t="shared" si="2"/>
        <v>0</v>
      </c>
      <c r="AZ14" s="147">
        <f t="shared" si="2"/>
        <v>0</v>
      </c>
      <c r="BA14" s="147">
        <f t="shared" si="2"/>
        <v>0</v>
      </c>
      <c r="BB14" s="147">
        <f t="shared" si="2"/>
        <v>0</v>
      </c>
      <c r="BC14" s="147">
        <f t="shared" si="2"/>
        <v>0</v>
      </c>
      <c r="BD14" s="147">
        <f t="shared" si="2"/>
        <v>0</v>
      </c>
      <c r="BE14" s="147">
        <f t="shared" si="2"/>
        <v>0</v>
      </c>
      <c r="BF14" s="147">
        <f t="shared" si="2"/>
        <v>0</v>
      </c>
      <c r="BG14" s="147">
        <f t="shared" si="2"/>
        <v>0</v>
      </c>
      <c r="BH14" s="147">
        <f t="shared" si="2"/>
        <v>0</v>
      </c>
      <c r="BI14" s="147">
        <f t="shared" si="2"/>
        <v>0</v>
      </c>
      <c r="BJ14" s="147">
        <f t="shared" si="2"/>
        <v>0</v>
      </c>
      <c r="BK14" s="147">
        <f t="shared" si="2"/>
        <v>0</v>
      </c>
      <c r="BL14" s="147">
        <f t="shared" si="2"/>
        <v>0</v>
      </c>
      <c r="BM14" s="147">
        <f t="shared" si="2"/>
        <v>0</v>
      </c>
      <c r="BN14" s="147">
        <f t="shared" si="2"/>
        <v>0</v>
      </c>
      <c r="BO14" s="147">
        <f t="shared" si="2"/>
        <v>0</v>
      </c>
      <c r="BP14" s="147">
        <f t="shared" si="2"/>
        <v>0</v>
      </c>
      <c r="BQ14" s="147">
        <f t="shared" si="2"/>
        <v>0</v>
      </c>
      <c r="BR14" s="147">
        <f t="shared" si="2"/>
        <v>0</v>
      </c>
    </row>
    <row r="15" spans="1:78" s="147" customFormat="1" x14ac:dyDescent="0.25">
      <c r="A15" s="211"/>
      <c r="C15" s="147" t="s">
        <v>249</v>
      </c>
      <c r="D15" s="231" t="str">
        <f>unit</f>
        <v>£</v>
      </c>
      <c r="E15" s="147">
        <f>SUMIF($K$5:$BR$5,E$5,$K15:$BR15)</f>
        <v>0</v>
      </c>
      <c r="F15" s="147">
        <f t="shared" ref="F15:I16" si="3">SUMIF($K$5:$BR$5,F$5,$K15:$BR15)</f>
        <v>0</v>
      </c>
      <c r="G15" s="147">
        <f t="shared" si="3"/>
        <v>0</v>
      </c>
      <c r="H15" s="147">
        <f t="shared" si="3"/>
        <v>0</v>
      </c>
      <c r="I15" s="147">
        <f t="shared" si="3"/>
        <v>0</v>
      </c>
      <c r="K15" s="147">
        <f>K88+K124+K160+K196+K232</f>
        <v>0</v>
      </c>
      <c r="L15" s="147">
        <f t="shared" ref="L15:BR15" si="4">L88+L124+L160+L196+L232</f>
        <v>0</v>
      </c>
      <c r="M15" s="147">
        <f t="shared" si="4"/>
        <v>0</v>
      </c>
      <c r="N15" s="147">
        <f t="shared" si="4"/>
        <v>0</v>
      </c>
      <c r="O15" s="147">
        <f t="shared" si="4"/>
        <v>0</v>
      </c>
      <c r="P15" s="147">
        <f t="shared" si="4"/>
        <v>0</v>
      </c>
      <c r="Q15" s="147">
        <f t="shared" si="4"/>
        <v>0</v>
      </c>
      <c r="R15" s="147">
        <f t="shared" si="4"/>
        <v>0</v>
      </c>
      <c r="S15" s="147">
        <f t="shared" si="4"/>
        <v>0</v>
      </c>
      <c r="T15" s="147">
        <f t="shared" si="4"/>
        <v>0</v>
      </c>
      <c r="U15" s="147">
        <f t="shared" si="4"/>
        <v>0</v>
      </c>
      <c r="V15" s="147">
        <f t="shared" si="4"/>
        <v>0</v>
      </c>
      <c r="W15" s="147">
        <f t="shared" si="4"/>
        <v>0</v>
      </c>
      <c r="X15" s="147">
        <f t="shared" si="4"/>
        <v>0</v>
      </c>
      <c r="Y15" s="147">
        <f t="shared" si="4"/>
        <v>0</v>
      </c>
      <c r="Z15" s="147">
        <f t="shared" si="4"/>
        <v>0</v>
      </c>
      <c r="AA15" s="147">
        <f t="shared" si="4"/>
        <v>0</v>
      </c>
      <c r="AB15" s="147">
        <f t="shared" si="4"/>
        <v>0</v>
      </c>
      <c r="AC15" s="147">
        <f t="shared" si="4"/>
        <v>0</v>
      </c>
      <c r="AD15" s="147">
        <f t="shared" si="4"/>
        <v>0</v>
      </c>
      <c r="AE15" s="147">
        <f t="shared" si="4"/>
        <v>0</v>
      </c>
      <c r="AF15" s="147">
        <f t="shared" si="4"/>
        <v>0</v>
      </c>
      <c r="AG15" s="147">
        <f t="shared" si="4"/>
        <v>0</v>
      </c>
      <c r="AH15" s="147">
        <f t="shared" si="4"/>
        <v>0</v>
      </c>
      <c r="AI15" s="147">
        <f t="shared" si="4"/>
        <v>0</v>
      </c>
      <c r="AJ15" s="147">
        <f t="shared" si="4"/>
        <v>0</v>
      </c>
      <c r="AK15" s="147">
        <f t="shared" si="4"/>
        <v>0</v>
      </c>
      <c r="AL15" s="147">
        <f t="shared" si="4"/>
        <v>0</v>
      </c>
      <c r="AM15" s="147">
        <f t="shared" si="4"/>
        <v>0</v>
      </c>
      <c r="AN15" s="147">
        <f t="shared" si="4"/>
        <v>0</v>
      </c>
      <c r="AO15" s="147">
        <f t="shared" si="4"/>
        <v>0</v>
      </c>
      <c r="AP15" s="147">
        <f t="shared" si="4"/>
        <v>0</v>
      </c>
      <c r="AQ15" s="147">
        <f t="shared" si="4"/>
        <v>0</v>
      </c>
      <c r="AR15" s="147">
        <f t="shared" si="4"/>
        <v>0</v>
      </c>
      <c r="AS15" s="147">
        <f t="shared" si="4"/>
        <v>0</v>
      </c>
      <c r="AT15" s="147">
        <f t="shared" si="4"/>
        <v>0</v>
      </c>
      <c r="AU15" s="147">
        <f t="shared" si="4"/>
        <v>0</v>
      </c>
      <c r="AV15" s="147">
        <f t="shared" si="4"/>
        <v>0</v>
      </c>
      <c r="AW15" s="147">
        <f t="shared" si="4"/>
        <v>0</v>
      </c>
      <c r="AX15" s="147">
        <f t="shared" si="4"/>
        <v>0</v>
      </c>
      <c r="AY15" s="147">
        <f t="shared" si="4"/>
        <v>0</v>
      </c>
      <c r="AZ15" s="147">
        <f t="shared" si="4"/>
        <v>0</v>
      </c>
      <c r="BA15" s="147">
        <f t="shared" si="4"/>
        <v>0</v>
      </c>
      <c r="BB15" s="147">
        <f t="shared" si="4"/>
        <v>0</v>
      </c>
      <c r="BC15" s="147">
        <f t="shared" si="4"/>
        <v>0</v>
      </c>
      <c r="BD15" s="147">
        <f t="shared" si="4"/>
        <v>0</v>
      </c>
      <c r="BE15" s="147">
        <f t="shared" si="4"/>
        <v>0</v>
      </c>
      <c r="BF15" s="147">
        <f t="shared" si="4"/>
        <v>0</v>
      </c>
      <c r="BG15" s="147">
        <f t="shared" si="4"/>
        <v>0</v>
      </c>
      <c r="BH15" s="147">
        <f t="shared" si="4"/>
        <v>0</v>
      </c>
      <c r="BI15" s="147">
        <f t="shared" si="4"/>
        <v>0</v>
      </c>
      <c r="BJ15" s="147">
        <f t="shared" si="4"/>
        <v>0</v>
      </c>
      <c r="BK15" s="147">
        <f t="shared" si="4"/>
        <v>0</v>
      </c>
      <c r="BL15" s="147">
        <f t="shared" si="4"/>
        <v>0</v>
      </c>
      <c r="BM15" s="147">
        <f t="shared" si="4"/>
        <v>0</v>
      </c>
      <c r="BN15" s="147">
        <f t="shared" si="4"/>
        <v>0</v>
      </c>
      <c r="BO15" s="147">
        <f t="shared" si="4"/>
        <v>0</v>
      </c>
      <c r="BP15" s="147">
        <f t="shared" si="4"/>
        <v>0</v>
      </c>
      <c r="BQ15" s="147">
        <f t="shared" si="4"/>
        <v>0</v>
      </c>
      <c r="BR15" s="147">
        <f t="shared" si="4"/>
        <v>0</v>
      </c>
    </row>
    <row r="16" spans="1:78" s="147" customFormat="1" x14ac:dyDescent="0.25">
      <c r="A16" s="211"/>
      <c r="C16" s="147" t="s">
        <v>250</v>
      </c>
      <c r="D16" s="231" t="str">
        <f>unit</f>
        <v>£</v>
      </c>
      <c r="E16" s="147">
        <f>SUMIF($K$5:$BR$5,E$5,$K16:$BR16)</f>
        <v>0</v>
      </c>
      <c r="F16" s="147">
        <f t="shared" si="3"/>
        <v>0</v>
      </c>
      <c r="G16" s="147">
        <f t="shared" si="3"/>
        <v>0</v>
      </c>
      <c r="H16" s="147">
        <f t="shared" si="3"/>
        <v>0</v>
      </c>
      <c r="I16" s="147">
        <f t="shared" si="3"/>
        <v>0</v>
      </c>
      <c r="K16" s="147">
        <f>K53+K89+K125+K161+K197+K233</f>
        <v>0</v>
      </c>
      <c r="L16" s="147">
        <f t="shared" ref="L16:BR16" si="5">L53+L89+L125+L161+L197+L233</f>
        <v>0</v>
      </c>
      <c r="M16" s="147">
        <f t="shared" si="5"/>
        <v>0</v>
      </c>
      <c r="N16" s="147">
        <f t="shared" si="5"/>
        <v>0</v>
      </c>
      <c r="O16" s="147">
        <f t="shared" si="5"/>
        <v>0</v>
      </c>
      <c r="P16" s="147">
        <f t="shared" si="5"/>
        <v>0</v>
      </c>
      <c r="Q16" s="147">
        <f t="shared" si="5"/>
        <v>0</v>
      </c>
      <c r="R16" s="147">
        <f t="shared" si="5"/>
        <v>0</v>
      </c>
      <c r="S16" s="147">
        <f t="shared" si="5"/>
        <v>0</v>
      </c>
      <c r="T16" s="147">
        <f t="shared" si="5"/>
        <v>0</v>
      </c>
      <c r="U16" s="147">
        <f t="shared" si="5"/>
        <v>0</v>
      </c>
      <c r="V16" s="147">
        <f t="shared" si="5"/>
        <v>0</v>
      </c>
      <c r="W16" s="147">
        <f t="shared" si="5"/>
        <v>0</v>
      </c>
      <c r="X16" s="147">
        <f t="shared" si="5"/>
        <v>0</v>
      </c>
      <c r="Y16" s="147">
        <f t="shared" si="5"/>
        <v>0</v>
      </c>
      <c r="Z16" s="147">
        <f t="shared" si="5"/>
        <v>0</v>
      </c>
      <c r="AA16" s="147">
        <f t="shared" si="5"/>
        <v>0</v>
      </c>
      <c r="AB16" s="147">
        <f t="shared" si="5"/>
        <v>0</v>
      </c>
      <c r="AC16" s="147">
        <f t="shared" si="5"/>
        <v>0</v>
      </c>
      <c r="AD16" s="147">
        <f t="shared" si="5"/>
        <v>0</v>
      </c>
      <c r="AE16" s="147">
        <f t="shared" si="5"/>
        <v>0</v>
      </c>
      <c r="AF16" s="147">
        <f t="shared" si="5"/>
        <v>0</v>
      </c>
      <c r="AG16" s="147">
        <f t="shared" si="5"/>
        <v>0</v>
      </c>
      <c r="AH16" s="147">
        <f t="shared" si="5"/>
        <v>0</v>
      </c>
      <c r="AI16" s="147">
        <f t="shared" si="5"/>
        <v>0</v>
      </c>
      <c r="AJ16" s="147">
        <f t="shared" si="5"/>
        <v>0</v>
      </c>
      <c r="AK16" s="147">
        <f t="shared" si="5"/>
        <v>0</v>
      </c>
      <c r="AL16" s="147">
        <f t="shared" si="5"/>
        <v>0</v>
      </c>
      <c r="AM16" s="147">
        <f t="shared" si="5"/>
        <v>0</v>
      </c>
      <c r="AN16" s="147">
        <f t="shared" si="5"/>
        <v>0</v>
      </c>
      <c r="AO16" s="147">
        <f t="shared" si="5"/>
        <v>0</v>
      </c>
      <c r="AP16" s="147">
        <f t="shared" si="5"/>
        <v>0</v>
      </c>
      <c r="AQ16" s="147">
        <f t="shared" si="5"/>
        <v>0</v>
      </c>
      <c r="AR16" s="147">
        <f t="shared" si="5"/>
        <v>0</v>
      </c>
      <c r="AS16" s="147">
        <f t="shared" si="5"/>
        <v>0</v>
      </c>
      <c r="AT16" s="147">
        <f t="shared" si="5"/>
        <v>0</v>
      </c>
      <c r="AU16" s="147">
        <f t="shared" si="5"/>
        <v>0</v>
      </c>
      <c r="AV16" s="147">
        <f t="shared" si="5"/>
        <v>0</v>
      </c>
      <c r="AW16" s="147">
        <f t="shared" si="5"/>
        <v>0</v>
      </c>
      <c r="AX16" s="147">
        <f t="shared" si="5"/>
        <v>0</v>
      </c>
      <c r="AY16" s="147">
        <f t="shared" si="5"/>
        <v>0</v>
      </c>
      <c r="AZ16" s="147">
        <f t="shared" si="5"/>
        <v>0</v>
      </c>
      <c r="BA16" s="147">
        <f t="shared" si="5"/>
        <v>0</v>
      </c>
      <c r="BB16" s="147">
        <f t="shared" si="5"/>
        <v>0</v>
      </c>
      <c r="BC16" s="147">
        <f t="shared" si="5"/>
        <v>0</v>
      </c>
      <c r="BD16" s="147">
        <f t="shared" si="5"/>
        <v>0</v>
      </c>
      <c r="BE16" s="147">
        <f t="shared" si="5"/>
        <v>0</v>
      </c>
      <c r="BF16" s="147">
        <f t="shared" si="5"/>
        <v>0</v>
      </c>
      <c r="BG16" s="147">
        <f t="shared" si="5"/>
        <v>0</v>
      </c>
      <c r="BH16" s="147">
        <f t="shared" si="5"/>
        <v>0</v>
      </c>
      <c r="BI16" s="147">
        <f t="shared" si="5"/>
        <v>0</v>
      </c>
      <c r="BJ16" s="147">
        <f t="shared" si="5"/>
        <v>0</v>
      </c>
      <c r="BK16" s="147">
        <f t="shared" si="5"/>
        <v>0</v>
      </c>
      <c r="BL16" s="147">
        <f t="shared" si="5"/>
        <v>0</v>
      </c>
      <c r="BM16" s="147">
        <f t="shared" si="5"/>
        <v>0</v>
      </c>
      <c r="BN16" s="147">
        <f t="shared" si="5"/>
        <v>0</v>
      </c>
      <c r="BO16" s="147">
        <f t="shared" si="5"/>
        <v>0</v>
      </c>
      <c r="BP16" s="147">
        <f t="shared" si="5"/>
        <v>0</v>
      </c>
      <c r="BQ16" s="147">
        <f t="shared" si="5"/>
        <v>0</v>
      </c>
      <c r="BR16" s="147">
        <f t="shared" si="5"/>
        <v>0</v>
      </c>
    </row>
    <row r="17" spans="1:70" s="147" customFormat="1" x14ac:dyDescent="0.25">
      <c r="A17" s="211"/>
      <c r="C17" s="147" t="s">
        <v>230</v>
      </c>
      <c r="D17" s="263">
        <f>KeyInputs!G134</f>
        <v>0</v>
      </c>
      <c r="E17" s="230">
        <f>SUM(E14:E16)</f>
        <v>0</v>
      </c>
      <c r="F17" s="230">
        <f t="shared" ref="F17:I17" si="6">SUM(F14:F16)</f>
        <v>0</v>
      </c>
      <c r="G17" s="230">
        <f t="shared" si="6"/>
        <v>0</v>
      </c>
      <c r="H17" s="230">
        <f t="shared" si="6"/>
        <v>0</v>
      </c>
      <c r="I17" s="230">
        <f t="shared" si="6"/>
        <v>0</v>
      </c>
      <c r="J17" s="216">
        <f>J54</f>
        <v>0</v>
      </c>
      <c r="K17" s="214">
        <f t="shared" ref="K17" si="7">SUM(K14:K16)</f>
        <v>0</v>
      </c>
      <c r="L17" s="214">
        <f t="shared" ref="L17:BR17" si="8">SUM(L14:L16)</f>
        <v>0</v>
      </c>
      <c r="M17" s="214">
        <f t="shared" si="8"/>
        <v>0</v>
      </c>
      <c r="N17" s="214">
        <f t="shared" si="8"/>
        <v>0</v>
      </c>
      <c r="O17" s="214">
        <f t="shared" si="8"/>
        <v>0</v>
      </c>
      <c r="P17" s="214">
        <f t="shared" si="8"/>
        <v>0</v>
      </c>
      <c r="Q17" s="214">
        <f t="shared" si="8"/>
        <v>0</v>
      </c>
      <c r="R17" s="214">
        <f t="shared" si="8"/>
        <v>0</v>
      </c>
      <c r="S17" s="214">
        <f t="shared" si="8"/>
        <v>0</v>
      </c>
      <c r="T17" s="214">
        <f t="shared" si="8"/>
        <v>0</v>
      </c>
      <c r="U17" s="214">
        <f t="shared" si="8"/>
        <v>0</v>
      </c>
      <c r="V17" s="214">
        <f t="shared" si="8"/>
        <v>0</v>
      </c>
      <c r="W17" s="214">
        <f t="shared" si="8"/>
        <v>0</v>
      </c>
      <c r="X17" s="214">
        <f t="shared" si="8"/>
        <v>0</v>
      </c>
      <c r="Y17" s="214">
        <f t="shared" si="8"/>
        <v>0</v>
      </c>
      <c r="Z17" s="214">
        <f t="shared" si="8"/>
        <v>0</v>
      </c>
      <c r="AA17" s="214">
        <f t="shared" si="8"/>
        <v>0</v>
      </c>
      <c r="AB17" s="214">
        <f t="shared" si="8"/>
        <v>0</v>
      </c>
      <c r="AC17" s="214">
        <f t="shared" si="8"/>
        <v>0</v>
      </c>
      <c r="AD17" s="214">
        <f t="shared" si="8"/>
        <v>0</v>
      </c>
      <c r="AE17" s="214">
        <f t="shared" si="8"/>
        <v>0</v>
      </c>
      <c r="AF17" s="214">
        <f t="shared" si="8"/>
        <v>0</v>
      </c>
      <c r="AG17" s="214">
        <f t="shared" si="8"/>
        <v>0</v>
      </c>
      <c r="AH17" s="214">
        <f t="shared" si="8"/>
        <v>0</v>
      </c>
      <c r="AI17" s="214">
        <f t="shared" si="8"/>
        <v>0</v>
      </c>
      <c r="AJ17" s="214">
        <f t="shared" si="8"/>
        <v>0</v>
      </c>
      <c r="AK17" s="214">
        <f t="shared" si="8"/>
        <v>0</v>
      </c>
      <c r="AL17" s="214">
        <f t="shared" si="8"/>
        <v>0</v>
      </c>
      <c r="AM17" s="214">
        <f t="shared" si="8"/>
        <v>0</v>
      </c>
      <c r="AN17" s="214">
        <f t="shared" si="8"/>
        <v>0</v>
      </c>
      <c r="AO17" s="214">
        <f t="shared" si="8"/>
        <v>0</v>
      </c>
      <c r="AP17" s="214">
        <f t="shared" si="8"/>
        <v>0</v>
      </c>
      <c r="AQ17" s="214">
        <f t="shared" si="8"/>
        <v>0</v>
      </c>
      <c r="AR17" s="214">
        <f t="shared" si="8"/>
        <v>0</v>
      </c>
      <c r="AS17" s="214">
        <f t="shared" si="8"/>
        <v>0</v>
      </c>
      <c r="AT17" s="214">
        <f t="shared" si="8"/>
        <v>0</v>
      </c>
      <c r="AU17" s="214">
        <f t="shared" si="8"/>
        <v>0</v>
      </c>
      <c r="AV17" s="214">
        <f t="shared" si="8"/>
        <v>0</v>
      </c>
      <c r="AW17" s="214">
        <f t="shared" si="8"/>
        <v>0</v>
      </c>
      <c r="AX17" s="214">
        <f t="shared" si="8"/>
        <v>0</v>
      </c>
      <c r="AY17" s="214">
        <f t="shared" si="8"/>
        <v>0</v>
      </c>
      <c r="AZ17" s="214">
        <f t="shared" si="8"/>
        <v>0</v>
      </c>
      <c r="BA17" s="214">
        <f t="shared" si="8"/>
        <v>0</v>
      </c>
      <c r="BB17" s="214">
        <f t="shared" si="8"/>
        <v>0</v>
      </c>
      <c r="BC17" s="214">
        <f t="shared" si="8"/>
        <v>0</v>
      </c>
      <c r="BD17" s="214">
        <f t="shared" si="8"/>
        <v>0</v>
      </c>
      <c r="BE17" s="214">
        <f t="shared" si="8"/>
        <v>0</v>
      </c>
      <c r="BF17" s="214">
        <f t="shared" si="8"/>
        <v>0</v>
      </c>
      <c r="BG17" s="214">
        <f t="shared" si="8"/>
        <v>0</v>
      </c>
      <c r="BH17" s="214">
        <f t="shared" si="8"/>
        <v>0</v>
      </c>
      <c r="BI17" s="214">
        <f t="shared" si="8"/>
        <v>0</v>
      </c>
      <c r="BJ17" s="214">
        <f t="shared" si="8"/>
        <v>0</v>
      </c>
      <c r="BK17" s="214">
        <f t="shared" si="8"/>
        <v>0</v>
      </c>
      <c r="BL17" s="214">
        <f t="shared" si="8"/>
        <v>0</v>
      </c>
      <c r="BM17" s="214">
        <f t="shared" si="8"/>
        <v>0</v>
      </c>
      <c r="BN17" s="214">
        <f t="shared" si="8"/>
        <v>0</v>
      </c>
      <c r="BO17" s="214">
        <f t="shared" si="8"/>
        <v>0</v>
      </c>
      <c r="BP17" s="214">
        <f t="shared" si="8"/>
        <v>0</v>
      </c>
      <c r="BQ17" s="214">
        <f t="shared" si="8"/>
        <v>0</v>
      </c>
      <c r="BR17" s="214">
        <f t="shared" si="8"/>
        <v>0</v>
      </c>
    </row>
    <row r="18" spans="1:70" s="147" customFormat="1" x14ac:dyDescent="0.25">
      <c r="A18" s="211"/>
      <c r="F18" s="212"/>
    </row>
    <row r="19" spans="1:70" s="215" customFormat="1" ht="13.8" x14ac:dyDescent="0.25">
      <c r="B19" s="215" t="str">
        <f>Header2</f>
        <v>1.2</v>
      </c>
      <c r="C19" s="215" t="s">
        <v>251</v>
      </c>
    </row>
    <row r="20" spans="1:70" s="147" customFormat="1" x14ac:dyDescent="0.25">
      <c r="A20" s="211"/>
      <c r="F20" s="212"/>
    </row>
    <row r="21" spans="1:70" s="147" customFormat="1" x14ac:dyDescent="0.25">
      <c r="A21" s="211"/>
      <c r="C21" s="147" t="s">
        <v>228</v>
      </c>
      <c r="D21" s="231" t="str">
        <f>unit</f>
        <v>£</v>
      </c>
      <c r="E21" s="147">
        <f>INDEX($K21:$BR21,0,MATCH(E$7,$K$7:$BR$7,0))</f>
        <v>0</v>
      </c>
      <c r="F21" s="147">
        <f t="shared" ref="F21:I21" si="9">INDEX($K21:$BR21,0,MATCH(F$7,$K$7:$BR$7,0))</f>
        <v>0</v>
      </c>
      <c r="G21" s="147">
        <f t="shared" si="9"/>
        <v>0</v>
      </c>
      <c r="H21" s="147">
        <f t="shared" si="9"/>
        <v>0</v>
      </c>
      <c r="I21" s="147">
        <f t="shared" si="9"/>
        <v>0</v>
      </c>
      <c r="K21" s="147">
        <f t="shared" ref="K21:AP21" si="10">K58+K94+K130+K166+K202+K238</f>
        <v>0</v>
      </c>
      <c r="L21" s="147">
        <f t="shared" si="10"/>
        <v>0</v>
      </c>
      <c r="M21" s="147">
        <f t="shared" si="10"/>
        <v>0</v>
      </c>
      <c r="N21" s="147">
        <f t="shared" si="10"/>
        <v>0</v>
      </c>
      <c r="O21" s="147">
        <f t="shared" si="10"/>
        <v>0</v>
      </c>
      <c r="P21" s="147">
        <f t="shared" si="10"/>
        <v>0</v>
      </c>
      <c r="Q21" s="147">
        <f t="shared" si="10"/>
        <v>0</v>
      </c>
      <c r="R21" s="147">
        <f t="shared" si="10"/>
        <v>0</v>
      </c>
      <c r="S21" s="147">
        <f t="shared" si="10"/>
        <v>0</v>
      </c>
      <c r="T21" s="147">
        <f t="shared" si="10"/>
        <v>0</v>
      </c>
      <c r="U21" s="147">
        <f t="shared" si="10"/>
        <v>0</v>
      </c>
      <c r="V21" s="147">
        <f t="shared" si="10"/>
        <v>0</v>
      </c>
      <c r="W21" s="147">
        <f t="shared" si="10"/>
        <v>0</v>
      </c>
      <c r="X21" s="147">
        <f t="shared" si="10"/>
        <v>0</v>
      </c>
      <c r="Y21" s="147">
        <f t="shared" si="10"/>
        <v>0</v>
      </c>
      <c r="Z21" s="147">
        <f t="shared" si="10"/>
        <v>0</v>
      </c>
      <c r="AA21" s="147">
        <f t="shared" si="10"/>
        <v>0</v>
      </c>
      <c r="AB21" s="147">
        <f t="shared" si="10"/>
        <v>0</v>
      </c>
      <c r="AC21" s="147">
        <f t="shared" si="10"/>
        <v>0</v>
      </c>
      <c r="AD21" s="147">
        <f t="shared" si="10"/>
        <v>0</v>
      </c>
      <c r="AE21" s="147">
        <f t="shared" si="10"/>
        <v>0</v>
      </c>
      <c r="AF21" s="147">
        <f t="shared" si="10"/>
        <v>0</v>
      </c>
      <c r="AG21" s="147">
        <f t="shared" si="10"/>
        <v>0</v>
      </c>
      <c r="AH21" s="147">
        <f t="shared" si="10"/>
        <v>0</v>
      </c>
      <c r="AI21" s="147">
        <f t="shared" si="10"/>
        <v>0</v>
      </c>
      <c r="AJ21" s="147">
        <f t="shared" si="10"/>
        <v>0</v>
      </c>
      <c r="AK21" s="147">
        <f t="shared" si="10"/>
        <v>0</v>
      </c>
      <c r="AL21" s="147">
        <f t="shared" si="10"/>
        <v>0</v>
      </c>
      <c r="AM21" s="147">
        <f t="shared" si="10"/>
        <v>0</v>
      </c>
      <c r="AN21" s="147">
        <f t="shared" si="10"/>
        <v>0</v>
      </c>
      <c r="AO21" s="147">
        <f t="shared" si="10"/>
        <v>0</v>
      </c>
      <c r="AP21" s="147">
        <f t="shared" si="10"/>
        <v>0</v>
      </c>
      <c r="AQ21" s="147">
        <f t="shared" ref="AQ21:BR21" si="11">AQ58+AQ94+AQ130+AQ166+AQ202+AQ238</f>
        <v>0</v>
      </c>
      <c r="AR21" s="147">
        <f t="shared" si="11"/>
        <v>0</v>
      </c>
      <c r="AS21" s="147">
        <f t="shared" si="11"/>
        <v>0</v>
      </c>
      <c r="AT21" s="147">
        <f t="shared" si="11"/>
        <v>0</v>
      </c>
      <c r="AU21" s="147">
        <f t="shared" si="11"/>
        <v>0</v>
      </c>
      <c r="AV21" s="147">
        <f t="shared" si="11"/>
        <v>0</v>
      </c>
      <c r="AW21" s="147">
        <f t="shared" si="11"/>
        <v>0</v>
      </c>
      <c r="AX21" s="147">
        <f t="shared" si="11"/>
        <v>0</v>
      </c>
      <c r="AY21" s="147">
        <f t="shared" si="11"/>
        <v>0</v>
      </c>
      <c r="AZ21" s="147">
        <f t="shared" si="11"/>
        <v>0</v>
      </c>
      <c r="BA21" s="147">
        <f t="shared" si="11"/>
        <v>0</v>
      </c>
      <c r="BB21" s="147">
        <f t="shared" si="11"/>
        <v>0</v>
      </c>
      <c r="BC21" s="147">
        <f t="shared" si="11"/>
        <v>0</v>
      </c>
      <c r="BD21" s="147">
        <f t="shared" si="11"/>
        <v>0</v>
      </c>
      <c r="BE21" s="147">
        <f t="shared" si="11"/>
        <v>0</v>
      </c>
      <c r="BF21" s="147">
        <f t="shared" si="11"/>
        <v>0</v>
      </c>
      <c r="BG21" s="147">
        <f t="shared" si="11"/>
        <v>0</v>
      </c>
      <c r="BH21" s="147">
        <f t="shared" si="11"/>
        <v>0</v>
      </c>
      <c r="BI21" s="147">
        <f t="shared" si="11"/>
        <v>0</v>
      </c>
      <c r="BJ21" s="147">
        <f t="shared" si="11"/>
        <v>0</v>
      </c>
      <c r="BK21" s="147">
        <f t="shared" si="11"/>
        <v>0</v>
      </c>
      <c r="BL21" s="147">
        <f t="shared" si="11"/>
        <v>0</v>
      </c>
      <c r="BM21" s="147">
        <f t="shared" si="11"/>
        <v>0</v>
      </c>
      <c r="BN21" s="147">
        <f t="shared" si="11"/>
        <v>0</v>
      </c>
      <c r="BO21" s="147">
        <f t="shared" si="11"/>
        <v>0</v>
      </c>
      <c r="BP21" s="147">
        <f t="shared" si="11"/>
        <v>0</v>
      </c>
      <c r="BQ21" s="147">
        <f t="shared" si="11"/>
        <v>0</v>
      </c>
      <c r="BR21" s="147">
        <f t="shared" si="11"/>
        <v>0</v>
      </c>
    </row>
    <row r="22" spans="1:70" s="147" customFormat="1" x14ac:dyDescent="0.25">
      <c r="A22" s="211"/>
      <c r="C22" s="147" t="s">
        <v>252</v>
      </c>
      <c r="D22" s="231" t="str">
        <f>unit</f>
        <v>£</v>
      </c>
      <c r="E22" s="147">
        <f>SUMIF($K$5:$BR$5,E$5,$K22:$BR22)</f>
        <v>0</v>
      </c>
      <c r="F22" s="147">
        <f t="shared" ref="F22:I23" si="12">SUMIF($K$5:$BR$5,F$5,$K22:$BR22)</f>
        <v>0</v>
      </c>
      <c r="G22" s="147">
        <f t="shared" si="12"/>
        <v>0</v>
      </c>
      <c r="H22" s="147">
        <f t="shared" si="12"/>
        <v>0</v>
      </c>
      <c r="I22" s="147">
        <f t="shared" si="12"/>
        <v>0</v>
      </c>
      <c r="K22" s="147">
        <f t="shared" ref="K22:AP22" si="13">K59+K95+K131+K167+K203+K239</f>
        <v>0</v>
      </c>
      <c r="L22" s="147">
        <f t="shared" si="13"/>
        <v>0</v>
      </c>
      <c r="M22" s="147">
        <f t="shared" si="13"/>
        <v>0</v>
      </c>
      <c r="N22" s="147">
        <f t="shared" si="13"/>
        <v>0</v>
      </c>
      <c r="O22" s="147">
        <f t="shared" si="13"/>
        <v>0</v>
      </c>
      <c r="P22" s="147">
        <f t="shared" si="13"/>
        <v>0</v>
      </c>
      <c r="Q22" s="147">
        <f t="shared" si="13"/>
        <v>0</v>
      </c>
      <c r="R22" s="147">
        <f t="shared" si="13"/>
        <v>0</v>
      </c>
      <c r="S22" s="147">
        <f t="shared" si="13"/>
        <v>0</v>
      </c>
      <c r="T22" s="147">
        <f t="shared" si="13"/>
        <v>0</v>
      </c>
      <c r="U22" s="147">
        <f t="shared" si="13"/>
        <v>0</v>
      </c>
      <c r="V22" s="147">
        <f t="shared" si="13"/>
        <v>0</v>
      </c>
      <c r="W22" s="147">
        <f t="shared" si="13"/>
        <v>0</v>
      </c>
      <c r="X22" s="147">
        <f t="shared" si="13"/>
        <v>0</v>
      </c>
      <c r="Y22" s="147">
        <f t="shared" si="13"/>
        <v>0</v>
      </c>
      <c r="Z22" s="147">
        <f t="shared" si="13"/>
        <v>0</v>
      </c>
      <c r="AA22" s="147">
        <f t="shared" si="13"/>
        <v>0</v>
      </c>
      <c r="AB22" s="147">
        <f t="shared" si="13"/>
        <v>0</v>
      </c>
      <c r="AC22" s="147">
        <f t="shared" si="13"/>
        <v>0</v>
      </c>
      <c r="AD22" s="147">
        <f t="shared" si="13"/>
        <v>0</v>
      </c>
      <c r="AE22" s="147">
        <f t="shared" si="13"/>
        <v>0</v>
      </c>
      <c r="AF22" s="147">
        <f t="shared" si="13"/>
        <v>0</v>
      </c>
      <c r="AG22" s="147">
        <f t="shared" si="13"/>
        <v>0</v>
      </c>
      <c r="AH22" s="147">
        <f t="shared" si="13"/>
        <v>0</v>
      </c>
      <c r="AI22" s="147">
        <f t="shared" si="13"/>
        <v>0</v>
      </c>
      <c r="AJ22" s="147">
        <f t="shared" si="13"/>
        <v>0</v>
      </c>
      <c r="AK22" s="147">
        <f t="shared" si="13"/>
        <v>0</v>
      </c>
      <c r="AL22" s="147">
        <f t="shared" si="13"/>
        <v>0</v>
      </c>
      <c r="AM22" s="147">
        <f t="shared" si="13"/>
        <v>0</v>
      </c>
      <c r="AN22" s="147">
        <f t="shared" si="13"/>
        <v>0</v>
      </c>
      <c r="AO22" s="147">
        <f t="shared" si="13"/>
        <v>0</v>
      </c>
      <c r="AP22" s="147">
        <f t="shared" si="13"/>
        <v>0</v>
      </c>
      <c r="AQ22" s="147">
        <f t="shared" ref="AQ22:BR22" si="14">AQ59+AQ95+AQ131+AQ167+AQ203+AQ239</f>
        <v>0</v>
      </c>
      <c r="AR22" s="147">
        <f t="shared" si="14"/>
        <v>0</v>
      </c>
      <c r="AS22" s="147">
        <f t="shared" si="14"/>
        <v>0</v>
      </c>
      <c r="AT22" s="147">
        <f t="shared" si="14"/>
        <v>0</v>
      </c>
      <c r="AU22" s="147">
        <f t="shared" si="14"/>
        <v>0</v>
      </c>
      <c r="AV22" s="147">
        <f t="shared" si="14"/>
        <v>0</v>
      </c>
      <c r="AW22" s="147">
        <f t="shared" si="14"/>
        <v>0</v>
      </c>
      <c r="AX22" s="147">
        <f t="shared" si="14"/>
        <v>0</v>
      </c>
      <c r="AY22" s="147">
        <f t="shared" si="14"/>
        <v>0</v>
      </c>
      <c r="AZ22" s="147">
        <f t="shared" si="14"/>
        <v>0</v>
      </c>
      <c r="BA22" s="147">
        <f t="shared" si="14"/>
        <v>0</v>
      </c>
      <c r="BB22" s="147">
        <f t="shared" si="14"/>
        <v>0</v>
      </c>
      <c r="BC22" s="147">
        <f t="shared" si="14"/>
        <v>0</v>
      </c>
      <c r="BD22" s="147">
        <f t="shared" si="14"/>
        <v>0</v>
      </c>
      <c r="BE22" s="147">
        <f t="shared" si="14"/>
        <v>0</v>
      </c>
      <c r="BF22" s="147">
        <f t="shared" si="14"/>
        <v>0</v>
      </c>
      <c r="BG22" s="147">
        <f t="shared" si="14"/>
        <v>0</v>
      </c>
      <c r="BH22" s="147">
        <f t="shared" si="14"/>
        <v>0</v>
      </c>
      <c r="BI22" s="147">
        <f t="shared" si="14"/>
        <v>0</v>
      </c>
      <c r="BJ22" s="147">
        <f t="shared" si="14"/>
        <v>0</v>
      </c>
      <c r="BK22" s="147">
        <f t="shared" si="14"/>
        <v>0</v>
      </c>
      <c r="BL22" s="147">
        <f t="shared" si="14"/>
        <v>0</v>
      </c>
      <c r="BM22" s="147">
        <f t="shared" si="14"/>
        <v>0</v>
      </c>
      <c r="BN22" s="147">
        <f t="shared" si="14"/>
        <v>0</v>
      </c>
      <c r="BO22" s="147">
        <f t="shared" si="14"/>
        <v>0</v>
      </c>
      <c r="BP22" s="147">
        <f t="shared" si="14"/>
        <v>0</v>
      </c>
      <c r="BQ22" s="147">
        <f t="shared" si="14"/>
        <v>0</v>
      </c>
      <c r="BR22" s="147">
        <f t="shared" si="14"/>
        <v>0</v>
      </c>
    </row>
    <row r="23" spans="1:70" s="147" customFormat="1" x14ac:dyDescent="0.25">
      <c r="A23" s="211"/>
      <c r="C23" s="147" t="s">
        <v>215</v>
      </c>
      <c r="D23" s="231" t="str">
        <f>unit</f>
        <v>£</v>
      </c>
      <c r="E23" s="147">
        <f>SUMIF($K$5:$BR$5,E$5,$K23:$BR23)</f>
        <v>0</v>
      </c>
      <c r="F23" s="147">
        <f t="shared" si="12"/>
        <v>0</v>
      </c>
      <c r="G23" s="147">
        <f t="shared" si="12"/>
        <v>0</v>
      </c>
      <c r="H23" s="147">
        <f t="shared" si="12"/>
        <v>0</v>
      </c>
      <c r="I23" s="147">
        <f t="shared" si="12"/>
        <v>0</v>
      </c>
      <c r="K23" s="147">
        <f t="shared" ref="K23:AP23" si="15">K60+K96+K132+K168+K204+K240</f>
        <v>0</v>
      </c>
      <c r="L23" s="147">
        <f t="shared" si="15"/>
        <v>0</v>
      </c>
      <c r="M23" s="147">
        <f t="shared" si="15"/>
        <v>0</v>
      </c>
      <c r="N23" s="147">
        <f t="shared" si="15"/>
        <v>0</v>
      </c>
      <c r="O23" s="147">
        <f t="shared" si="15"/>
        <v>0</v>
      </c>
      <c r="P23" s="147">
        <f t="shared" si="15"/>
        <v>0</v>
      </c>
      <c r="Q23" s="147">
        <f t="shared" si="15"/>
        <v>0</v>
      </c>
      <c r="R23" s="147">
        <f t="shared" si="15"/>
        <v>0</v>
      </c>
      <c r="S23" s="147">
        <f t="shared" si="15"/>
        <v>0</v>
      </c>
      <c r="T23" s="147">
        <f t="shared" si="15"/>
        <v>0</v>
      </c>
      <c r="U23" s="147">
        <f t="shared" si="15"/>
        <v>0</v>
      </c>
      <c r="V23" s="147">
        <f t="shared" si="15"/>
        <v>0</v>
      </c>
      <c r="W23" s="147">
        <f t="shared" si="15"/>
        <v>0</v>
      </c>
      <c r="X23" s="147">
        <f t="shared" si="15"/>
        <v>0</v>
      </c>
      <c r="Y23" s="147">
        <f t="shared" si="15"/>
        <v>0</v>
      </c>
      <c r="Z23" s="147">
        <f t="shared" si="15"/>
        <v>0</v>
      </c>
      <c r="AA23" s="147">
        <f t="shared" si="15"/>
        <v>0</v>
      </c>
      <c r="AB23" s="147">
        <f t="shared" si="15"/>
        <v>0</v>
      </c>
      <c r="AC23" s="147">
        <f t="shared" si="15"/>
        <v>0</v>
      </c>
      <c r="AD23" s="147">
        <f t="shared" si="15"/>
        <v>0</v>
      </c>
      <c r="AE23" s="147">
        <f t="shared" si="15"/>
        <v>0</v>
      </c>
      <c r="AF23" s="147">
        <f t="shared" si="15"/>
        <v>0</v>
      </c>
      <c r="AG23" s="147">
        <f t="shared" si="15"/>
        <v>0</v>
      </c>
      <c r="AH23" s="147">
        <f t="shared" si="15"/>
        <v>0</v>
      </c>
      <c r="AI23" s="147">
        <f t="shared" si="15"/>
        <v>0</v>
      </c>
      <c r="AJ23" s="147">
        <f t="shared" si="15"/>
        <v>0</v>
      </c>
      <c r="AK23" s="147">
        <f t="shared" si="15"/>
        <v>0</v>
      </c>
      <c r="AL23" s="147">
        <f t="shared" si="15"/>
        <v>0</v>
      </c>
      <c r="AM23" s="147">
        <f t="shared" si="15"/>
        <v>0</v>
      </c>
      <c r="AN23" s="147">
        <f t="shared" si="15"/>
        <v>0</v>
      </c>
      <c r="AO23" s="147">
        <f t="shared" si="15"/>
        <v>0</v>
      </c>
      <c r="AP23" s="147">
        <f t="shared" si="15"/>
        <v>0</v>
      </c>
      <c r="AQ23" s="147">
        <f t="shared" ref="AQ23:BR23" si="16">AQ60+AQ96+AQ132+AQ168+AQ204+AQ240</f>
        <v>0</v>
      </c>
      <c r="AR23" s="147">
        <f t="shared" si="16"/>
        <v>0</v>
      </c>
      <c r="AS23" s="147">
        <f t="shared" si="16"/>
        <v>0</v>
      </c>
      <c r="AT23" s="147">
        <f t="shared" si="16"/>
        <v>0</v>
      </c>
      <c r="AU23" s="147">
        <f t="shared" si="16"/>
        <v>0</v>
      </c>
      <c r="AV23" s="147">
        <f t="shared" si="16"/>
        <v>0</v>
      </c>
      <c r="AW23" s="147">
        <f t="shared" si="16"/>
        <v>0</v>
      </c>
      <c r="AX23" s="147">
        <f t="shared" si="16"/>
        <v>0</v>
      </c>
      <c r="AY23" s="147">
        <f t="shared" si="16"/>
        <v>0</v>
      </c>
      <c r="AZ23" s="147">
        <f t="shared" si="16"/>
        <v>0</v>
      </c>
      <c r="BA23" s="147">
        <f t="shared" si="16"/>
        <v>0</v>
      </c>
      <c r="BB23" s="147">
        <f t="shared" si="16"/>
        <v>0</v>
      </c>
      <c r="BC23" s="147">
        <f t="shared" si="16"/>
        <v>0</v>
      </c>
      <c r="BD23" s="147">
        <f t="shared" si="16"/>
        <v>0</v>
      </c>
      <c r="BE23" s="147">
        <f t="shared" si="16"/>
        <v>0</v>
      </c>
      <c r="BF23" s="147">
        <f t="shared" si="16"/>
        <v>0</v>
      </c>
      <c r="BG23" s="147">
        <f t="shared" si="16"/>
        <v>0</v>
      </c>
      <c r="BH23" s="147">
        <f t="shared" si="16"/>
        <v>0</v>
      </c>
      <c r="BI23" s="147">
        <f t="shared" si="16"/>
        <v>0</v>
      </c>
      <c r="BJ23" s="147">
        <f t="shared" si="16"/>
        <v>0</v>
      </c>
      <c r="BK23" s="147">
        <f t="shared" si="16"/>
        <v>0</v>
      </c>
      <c r="BL23" s="147">
        <f t="shared" si="16"/>
        <v>0</v>
      </c>
      <c r="BM23" s="147">
        <f t="shared" si="16"/>
        <v>0</v>
      </c>
      <c r="BN23" s="147">
        <f t="shared" si="16"/>
        <v>0</v>
      </c>
      <c r="BO23" s="147">
        <f t="shared" si="16"/>
        <v>0</v>
      </c>
      <c r="BP23" s="147">
        <f t="shared" si="16"/>
        <v>0</v>
      </c>
      <c r="BQ23" s="147">
        <f t="shared" si="16"/>
        <v>0</v>
      </c>
      <c r="BR23" s="147">
        <f t="shared" si="16"/>
        <v>0</v>
      </c>
    </row>
    <row r="24" spans="1:70" s="147" customFormat="1" x14ac:dyDescent="0.25">
      <c r="A24" s="211"/>
      <c r="C24" s="147" t="s">
        <v>230</v>
      </c>
      <c r="D24" s="263">
        <f>KeyInputs!G133</f>
        <v>0</v>
      </c>
      <c r="E24" s="230">
        <f>SUM(E21:E23)</f>
        <v>0</v>
      </c>
      <c r="F24" s="230">
        <f t="shared" ref="F24:I24" si="17">SUM(F21:F23)</f>
        <v>0</v>
      </c>
      <c r="G24" s="230">
        <f t="shared" si="17"/>
        <v>0</v>
      </c>
      <c r="H24" s="230">
        <f t="shared" si="17"/>
        <v>0</v>
      </c>
      <c r="I24" s="230">
        <f t="shared" si="17"/>
        <v>0</v>
      </c>
      <c r="J24" s="216">
        <f>J61</f>
        <v>0</v>
      </c>
      <c r="K24" s="214">
        <f t="shared" ref="K24:BQ24" si="18">SUM(K21:K23)</f>
        <v>0</v>
      </c>
      <c r="L24" s="214">
        <f t="shared" si="18"/>
        <v>0</v>
      </c>
      <c r="M24" s="214">
        <f t="shared" si="18"/>
        <v>0</v>
      </c>
      <c r="N24" s="214">
        <f t="shared" si="18"/>
        <v>0</v>
      </c>
      <c r="O24" s="214">
        <f t="shared" si="18"/>
        <v>0</v>
      </c>
      <c r="P24" s="214">
        <f t="shared" si="18"/>
        <v>0</v>
      </c>
      <c r="Q24" s="214">
        <f t="shared" si="18"/>
        <v>0</v>
      </c>
      <c r="R24" s="214">
        <f t="shared" si="18"/>
        <v>0</v>
      </c>
      <c r="S24" s="214">
        <f t="shared" si="18"/>
        <v>0</v>
      </c>
      <c r="T24" s="214">
        <f t="shared" si="18"/>
        <v>0</v>
      </c>
      <c r="U24" s="214">
        <f t="shared" si="18"/>
        <v>0</v>
      </c>
      <c r="V24" s="214">
        <f t="shared" si="18"/>
        <v>0</v>
      </c>
      <c r="W24" s="214">
        <f t="shared" si="18"/>
        <v>0</v>
      </c>
      <c r="X24" s="214">
        <f t="shared" si="18"/>
        <v>0</v>
      </c>
      <c r="Y24" s="214">
        <f t="shared" si="18"/>
        <v>0</v>
      </c>
      <c r="Z24" s="214">
        <f t="shared" si="18"/>
        <v>0</v>
      </c>
      <c r="AA24" s="214">
        <f t="shared" si="18"/>
        <v>0</v>
      </c>
      <c r="AB24" s="214">
        <f t="shared" si="18"/>
        <v>0</v>
      </c>
      <c r="AC24" s="214">
        <f t="shared" si="18"/>
        <v>0</v>
      </c>
      <c r="AD24" s="230">
        <f t="shared" si="18"/>
        <v>0</v>
      </c>
      <c r="AE24" s="230">
        <f t="shared" si="18"/>
        <v>0</v>
      </c>
      <c r="AF24" s="230">
        <f t="shared" si="18"/>
        <v>0</v>
      </c>
      <c r="AG24" s="230">
        <f t="shared" si="18"/>
        <v>0</v>
      </c>
      <c r="AH24" s="230">
        <f t="shared" si="18"/>
        <v>0</v>
      </c>
      <c r="AI24" s="230">
        <f t="shared" si="18"/>
        <v>0</v>
      </c>
      <c r="AJ24" s="230">
        <f t="shared" si="18"/>
        <v>0</v>
      </c>
      <c r="AK24" s="230">
        <f t="shared" si="18"/>
        <v>0</v>
      </c>
      <c r="AL24" s="230">
        <f t="shared" si="18"/>
        <v>0</v>
      </c>
      <c r="AM24" s="230">
        <f t="shared" si="18"/>
        <v>0</v>
      </c>
      <c r="AN24" s="230">
        <f t="shared" si="18"/>
        <v>0</v>
      </c>
      <c r="AO24" s="230">
        <f t="shared" si="18"/>
        <v>0</v>
      </c>
      <c r="AP24" s="230">
        <f t="shared" si="18"/>
        <v>0</v>
      </c>
      <c r="AQ24" s="230">
        <f t="shared" si="18"/>
        <v>0</v>
      </c>
      <c r="AR24" s="230">
        <f t="shared" si="18"/>
        <v>0</v>
      </c>
      <c r="AS24" s="230">
        <f t="shared" si="18"/>
        <v>0</v>
      </c>
      <c r="AT24" s="230">
        <f t="shared" si="18"/>
        <v>0</v>
      </c>
      <c r="AU24" s="230">
        <f t="shared" si="18"/>
        <v>0</v>
      </c>
      <c r="AV24" s="230">
        <f t="shared" si="18"/>
        <v>0</v>
      </c>
      <c r="AW24" s="230">
        <f t="shared" si="18"/>
        <v>0</v>
      </c>
      <c r="AX24" s="230">
        <f t="shared" si="18"/>
        <v>0</v>
      </c>
      <c r="AY24" s="230">
        <f t="shared" si="18"/>
        <v>0</v>
      </c>
      <c r="AZ24" s="230">
        <f t="shared" si="18"/>
        <v>0</v>
      </c>
      <c r="BA24" s="230">
        <f t="shared" si="18"/>
        <v>0</v>
      </c>
      <c r="BB24" s="230">
        <f t="shared" si="18"/>
        <v>0</v>
      </c>
      <c r="BC24" s="230">
        <f t="shared" si="18"/>
        <v>0</v>
      </c>
      <c r="BD24" s="230">
        <f t="shared" si="18"/>
        <v>0</v>
      </c>
      <c r="BE24" s="230">
        <f t="shared" si="18"/>
        <v>0</v>
      </c>
      <c r="BF24" s="230">
        <f t="shared" si="18"/>
        <v>0</v>
      </c>
      <c r="BG24" s="230">
        <f t="shared" si="18"/>
        <v>0</v>
      </c>
      <c r="BH24" s="230">
        <f t="shared" si="18"/>
        <v>0</v>
      </c>
      <c r="BI24" s="230">
        <f t="shared" si="18"/>
        <v>0</v>
      </c>
      <c r="BJ24" s="230">
        <f t="shared" si="18"/>
        <v>0</v>
      </c>
      <c r="BK24" s="230">
        <f t="shared" si="18"/>
        <v>0</v>
      </c>
      <c r="BL24" s="230">
        <f t="shared" si="18"/>
        <v>0</v>
      </c>
      <c r="BM24" s="230">
        <f t="shared" si="18"/>
        <v>0</v>
      </c>
      <c r="BN24" s="230">
        <f t="shared" si="18"/>
        <v>0</v>
      </c>
      <c r="BO24" s="230">
        <f t="shared" si="18"/>
        <v>0</v>
      </c>
      <c r="BP24" s="230">
        <f t="shared" si="18"/>
        <v>0</v>
      </c>
      <c r="BQ24" s="230">
        <f t="shared" si="18"/>
        <v>0</v>
      </c>
      <c r="BR24" s="230">
        <f>SUM(BR21:BR23)</f>
        <v>0</v>
      </c>
    </row>
    <row r="25" spans="1:70" s="137" customFormat="1" x14ac:dyDescent="0.25">
      <c r="A25" s="96"/>
      <c r="B25" s="95"/>
      <c r="C25" s="134"/>
      <c r="D25" s="135"/>
      <c r="E25" s="136"/>
      <c r="F25" s="136"/>
      <c r="G25" s="136"/>
      <c r="H25" s="136"/>
      <c r="I25" s="136"/>
      <c r="J25" s="134"/>
      <c r="K25" s="136"/>
      <c r="L25" s="136"/>
      <c r="M25" s="136"/>
      <c r="N25" s="136"/>
      <c r="O25" s="136"/>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row>
    <row r="26" spans="1:70" s="137" customFormat="1" x14ac:dyDescent="0.25">
      <c r="A26" s="96"/>
      <c r="B26" s="95"/>
      <c r="C26" s="134"/>
      <c r="D26" s="135"/>
      <c r="E26" s="136"/>
      <c r="F26" s="136"/>
      <c r="G26" s="136"/>
      <c r="H26" s="136"/>
      <c r="I26" s="136"/>
      <c r="J26" s="134"/>
      <c r="K26" s="136"/>
      <c r="L26" s="136"/>
      <c r="M26" s="136"/>
      <c r="N26" s="136"/>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6"/>
      <c r="BQ26" s="136"/>
      <c r="BR26" s="136"/>
    </row>
    <row r="27" spans="1:70" s="137" customFormat="1" x14ac:dyDescent="0.25">
      <c r="A27" s="96"/>
      <c r="B27" s="95"/>
      <c r="C27" s="134"/>
      <c r="D27" s="135"/>
      <c r="E27" s="136"/>
      <c r="F27" s="136"/>
      <c r="G27" s="136"/>
      <c r="H27" s="136"/>
      <c r="I27" s="136"/>
      <c r="J27" s="134"/>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6"/>
      <c r="BQ27" s="136"/>
      <c r="BR27" s="136"/>
    </row>
    <row r="28" spans="1:70" s="166" customFormat="1" ht="15.6" x14ac:dyDescent="0.3">
      <c r="A28" s="166">
        <f>Header1</f>
        <v>2</v>
      </c>
      <c r="B28" s="166" t="s">
        <v>223</v>
      </c>
    </row>
    <row r="30" spans="1:70" x14ac:dyDescent="0.25">
      <c r="C30" s="217" t="s">
        <v>262</v>
      </c>
      <c r="D30" s="220">
        <f>KeyInputs!G134</f>
        <v>0</v>
      </c>
    </row>
    <row r="31" spans="1:70" x14ac:dyDescent="0.25">
      <c r="C31" s="219" t="str">
        <f>KeyInputs!C72</f>
        <v>Drawdown date</v>
      </c>
      <c r="D31" s="222">
        <f>KeyInputs!F72</f>
        <v>42005</v>
      </c>
    </row>
    <row r="32" spans="1:70" x14ac:dyDescent="0.25">
      <c r="C32" s="219" t="str">
        <f>KeyInputs!C73</f>
        <v>Debt term (years)</v>
      </c>
      <c r="D32" s="219">
        <f>KeyInputs!F73</f>
        <v>5</v>
      </c>
    </row>
    <row r="33" spans="2:70" x14ac:dyDescent="0.25">
      <c r="C33" s="219" t="s">
        <v>467</v>
      </c>
      <c r="D33" s="219">
        <f>KeyInputs!F74</f>
        <v>1</v>
      </c>
    </row>
    <row r="34" spans="2:70" x14ac:dyDescent="0.25">
      <c r="C34" s="219" t="str">
        <f>KeyInputs!C75</f>
        <v>Interest payment month</v>
      </c>
      <c r="D34" s="219">
        <f>KeyInputs!F75</f>
        <v>1</v>
      </c>
    </row>
    <row r="35" spans="2:70" x14ac:dyDescent="0.25">
      <c r="C35" s="219" t="str">
        <f>KeyInputs!C78</f>
        <v>Interest rate % per annum</v>
      </c>
      <c r="D35" s="218">
        <f>KeyInputs!F78</f>
        <v>4.9999999999999996E-2</v>
      </c>
    </row>
    <row r="36" spans="2:70" x14ac:dyDescent="0.25">
      <c r="C36" s="219"/>
      <c r="D36" s="220"/>
    </row>
    <row r="37" spans="2:70" x14ac:dyDescent="0.25">
      <c r="C37" s="57" t="s">
        <v>259</v>
      </c>
      <c r="D37" s="221">
        <f>D31</f>
        <v>42005</v>
      </c>
    </row>
    <row r="38" spans="2:70" x14ac:dyDescent="0.25">
      <c r="C38" s="57" t="s">
        <v>246</v>
      </c>
      <c r="D38" s="57">
        <f>INDEX($K$6:$BR$6,0,MATCH($D31,$K$7:$BR$7,0))</f>
        <v>1</v>
      </c>
    </row>
    <row r="39" spans="2:70" x14ac:dyDescent="0.25">
      <c r="C39" s="57" t="s">
        <v>259</v>
      </c>
      <c r="D39" s="57">
        <f>D38+D33</f>
        <v>2</v>
      </c>
    </row>
    <row r="40" spans="2:70" x14ac:dyDescent="0.25">
      <c r="C40" s="57" t="s">
        <v>263</v>
      </c>
      <c r="D40" s="221">
        <f>EDATE($D$37,(D32-1)*12)</f>
        <v>43466</v>
      </c>
    </row>
    <row r="41" spans="2:70" x14ac:dyDescent="0.25">
      <c r="C41" s="57" t="s">
        <v>245</v>
      </c>
      <c r="D41" s="57">
        <f>D30/D32/12*D33</f>
        <v>0</v>
      </c>
    </row>
    <row r="42" spans="2:70" x14ac:dyDescent="0.25">
      <c r="C42" s="219"/>
      <c r="D42" s="222"/>
    </row>
    <row r="43" spans="2:70" s="143" customFormat="1" ht="13.8" x14ac:dyDescent="0.25">
      <c r="B43" s="143" t="str">
        <f>Header2</f>
        <v>2.1</v>
      </c>
      <c r="C43" s="143" t="s">
        <v>254</v>
      </c>
    </row>
    <row r="45" spans="2:70" x14ac:dyDescent="0.25">
      <c r="C45" s="147" t="s">
        <v>255</v>
      </c>
      <c r="K45" s="57">
        <f>(K$7&lt;=$D31)*(K$8&gt;=$D31)</f>
        <v>1</v>
      </c>
      <c r="L45" s="57">
        <f t="shared" ref="L45:BR45" si="19">(L$7&lt;=$D31)*(L$8&gt;=$D31)</f>
        <v>0</v>
      </c>
      <c r="M45" s="57">
        <f t="shared" si="19"/>
        <v>0</v>
      </c>
      <c r="N45" s="57">
        <f t="shared" si="19"/>
        <v>0</v>
      </c>
      <c r="O45" s="57">
        <f t="shared" si="19"/>
        <v>0</v>
      </c>
      <c r="P45" s="57">
        <f t="shared" si="19"/>
        <v>0</v>
      </c>
      <c r="Q45" s="57">
        <f t="shared" si="19"/>
        <v>0</v>
      </c>
      <c r="R45" s="57">
        <f t="shared" si="19"/>
        <v>0</v>
      </c>
      <c r="S45" s="57">
        <f t="shared" si="19"/>
        <v>0</v>
      </c>
      <c r="T45" s="57">
        <f t="shared" si="19"/>
        <v>0</v>
      </c>
      <c r="U45" s="57">
        <f t="shared" si="19"/>
        <v>0</v>
      </c>
      <c r="V45" s="57">
        <f t="shared" si="19"/>
        <v>0</v>
      </c>
      <c r="W45" s="57">
        <f t="shared" si="19"/>
        <v>0</v>
      </c>
      <c r="X45" s="57">
        <f t="shared" si="19"/>
        <v>0</v>
      </c>
      <c r="Y45" s="57">
        <f t="shared" si="19"/>
        <v>0</v>
      </c>
      <c r="Z45" s="57">
        <f t="shared" si="19"/>
        <v>0</v>
      </c>
      <c r="AA45" s="57">
        <f t="shared" si="19"/>
        <v>0</v>
      </c>
      <c r="AB45" s="57">
        <f t="shared" si="19"/>
        <v>0</v>
      </c>
      <c r="AC45" s="57">
        <f t="shared" si="19"/>
        <v>0</v>
      </c>
      <c r="AD45" s="57">
        <f t="shared" si="19"/>
        <v>0</v>
      </c>
      <c r="AE45" s="57">
        <f t="shared" si="19"/>
        <v>0</v>
      </c>
      <c r="AF45" s="57">
        <f t="shared" si="19"/>
        <v>0</v>
      </c>
      <c r="AG45" s="57">
        <f t="shared" si="19"/>
        <v>0</v>
      </c>
      <c r="AH45" s="57">
        <f t="shared" si="19"/>
        <v>0</v>
      </c>
      <c r="AI45" s="57">
        <f t="shared" si="19"/>
        <v>0</v>
      </c>
      <c r="AJ45" s="57">
        <f t="shared" si="19"/>
        <v>0</v>
      </c>
      <c r="AK45" s="57">
        <f t="shared" si="19"/>
        <v>0</v>
      </c>
      <c r="AL45" s="57">
        <f t="shared" si="19"/>
        <v>0</v>
      </c>
      <c r="AM45" s="57">
        <f t="shared" si="19"/>
        <v>0</v>
      </c>
      <c r="AN45" s="57">
        <f t="shared" si="19"/>
        <v>0</v>
      </c>
      <c r="AO45" s="57">
        <f t="shared" si="19"/>
        <v>0</v>
      </c>
      <c r="AP45" s="57">
        <f t="shared" si="19"/>
        <v>0</v>
      </c>
      <c r="AQ45" s="57">
        <f t="shared" si="19"/>
        <v>0</v>
      </c>
      <c r="AR45" s="57">
        <f t="shared" si="19"/>
        <v>0</v>
      </c>
      <c r="AS45" s="57">
        <f t="shared" si="19"/>
        <v>0</v>
      </c>
      <c r="AT45" s="57">
        <f t="shared" si="19"/>
        <v>0</v>
      </c>
      <c r="AU45" s="57">
        <f t="shared" si="19"/>
        <v>0</v>
      </c>
      <c r="AV45" s="57">
        <f t="shared" si="19"/>
        <v>0</v>
      </c>
      <c r="AW45" s="57">
        <f t="shared" si="19"/>
        <v>0</v>
      </c>
      <c r="AX45" s="57">
        <f t="shared" si="19"/>
        <v>0</v>
      </c>
      <c r="AY45" s="57">
        <f t="shared" si="19"/>
        <v>0</v>
      </c>
      <c r="AZ45" s="57">
        <f t="shared" si="19"/>
        <v>0</v>
      </c>
      <c r="BA45" s="57">
        <f t="shared" si="19"/>
        <v>0</v>
      </c>
      <c r="BB45" s="57">
        <f t="shared" si="19"/>
        <v>0</v>
      </c>
      <c r="BC45" s="57">
        <f t="shared" si="19"/>
        <v>0</v>
      </c>
      <c r="BD45" s="57">
        <f t="shared" si="19"/>
        <v>0</v>
      </c>
      <c r="BE45" s="57">
        <f t="shared" si="19"/>
        <v>0</v>
      </c>
      <c r="BF45" s="57">
        <f t="shared" si="19"/>
        <v>0</v>
      </c>
      <c r="BG45" s="57">
        <f t="shared" si="19"/>
        <v>0</v>
      </c>
      <c r="BH45" s="57">
        <f t="shared" si="19"/>
        <v>0</v>
      </c>
      <c r="BI45" s="57">
        <f t="shared" si="19"/>
        <v>0</v>
      </c>
      <c r="BJ45" s="57">
        <f t="shared" si="19"/>
        <v>0</v>
      </c>
      <c r="BK45" s="57">
        <f t="shared" si="19"/>
        <v>0</v>
      </c>
      <c r="BL45" s="57">
        <f t="shared" si="19"/>
        <v>0</v>
      </c>
      <c r="BM45" s="57">
        <f t="shared" si="19"/>
        <v>0</v>
      </c>
      <c r="BN45" s="57">
        <f t="shared" si="19"/>
        <v>0</v>
      </c>
      <c r="BO45" s="57">
        <f t="shared" si="19"/>
        <v>0</v>
      </c>
      <c r="BP45" s="57">
        <f t="shared" si="19"/>
        <v>0</v>
      </c>
      <c r="BQ45" s="57">
        <f t="shared" si="19"/>
        <v>0</v>
      </c>
      <c r="BR45" s="57">
        <f t="shared" si="19"/>
        <v>0</v>
      </c>
    </row>
    <row r="46" spans="2:70" x14ac:dyDescent="0.25">
      <c r="C46" s="147" t="s">
        <v>256</v>
      </c>
      <c r="K46" s="57">
        <f>IF(K52&lt;-1,IF(MOD(K6-$D38,$D33)=0,1,0),0)</f>
        <v>0</v>
      </c>
      <c r="L46" s="57">
        <f t="shared" ref="L46:BR46" si="20">IF(L52&lt;-1,IF(MOD(L6-$D38,$D33)=0,1,0),0)</f>
        <v>0</v>
      </c>
      <c r="M46" s="57">
        <f t="shared" si="20"/>
        <v>0</v>
      </c>
      <c r="N46" s="57">
        <f t="shared" si="20"/>
        <v>0</v>
      </c>
      <c r="O46" s="57">
        <f t="shared" si="20"/>
        <v>0</v>
      </c>
      <c r="P46" s="57">
        <f t="shared" si="20"/>
        <v>0</v>
      </c>
      <c r="Q46" s="57">
        <f t="shared" si="20"/>
        <v>0</v>
      </c>
      <c r="R46" s="57">
        <f t="shared" si="20"/>
        <v>0</v>
      </c>
      <c r="S46" s="57">
        <f t="shared" si="20"/>
        <v>0</v>
      </c>
      <c r="T46" s="57">
        <f t="shared" si="20"/>
        <v>0</v>
      </c>
      <c r="U46" s="57">
        <f t="shared" si="20"/>
        <v>0</v>
      </c>
      <c r="V46" s="57">
        <f t="shared" si="20"/>
        <v>0</v>
      </c>
      <c r="W46" s="57">
        <f t="shared" si="20"/>
        <v>0</v>
      </c>
      <c r="X46" s="57">
        <f t="shared" si="20"/>
        <v>0</v>
      </c>
      <c r="Y46" s="57">
        <f t="shared" si="20"/>
        <v>0</v>
      </c>
      <c r="Z46" s="57">
        <f t="shared" si="20"/>
        <v>0</v>
      </c>
      <c r="AA46" s="57">
        <f t="shared" si="20"/>
        <v>0</v>
      </c>
      <c r="AB46" s="57">
        <f t="shared" si="20"/>
        <v>0</v>
      </c>
      <c r="AC46" s="57">
        <f t="shared" si="20"/>
        <v>0</v>
      </c>
      <c r="AD46" s="57">
        <f t="shared" si="20"/>
        <v>0</v>
      </c>
      <c r="AE46" s="57">
        <f t="shared" si="20"/>
        <v>0</v>
      </c>
      <c r="AF46" s="57">
        <f t="shared" si="20"/>
        <v>0</v>
      </c>
      <c r="AG46" s="57">
        <f t="shared" si="20"/>
        <v>0</v>
      </c>
      <c r="AH46" s="57">
        <f t="shared" si="20"/>
        <v>0</v>
      </c>
      <c r="AI46" s="57">
        <f t="shared" si="20"/>
        <v>0</v>
      </c>
      <c r="AJ46" s="57">
        <f t="shared" si="20"/>
        <v>0</v>
      </c>
      <c r="AK46" s="57">
        <f t="shared" si="20"/>
        <v>0</v>
      </c>
      <c r="AL46" s="57">
        <f t="shared" si="20"/>
        <v>0</v>
      </c>
      <c r="AM46" s="57">
        <f t="shared" si="20"/>
        <v>0</v>
      </c>
      <c r="AN46" s="57">
        <f t="shared" si="20"/>
        <v>0</v>
      </c>
      <c r="AO46" s="57">
        <f t="shared" si="20"/>
        <v>0</v>
      </c>
      <c r="AP46" s="57">
        <f t="shared" si="20"/>
        <v>0</v>
      </c>
      <c r="AQ46" s="57">
        <f t="shared" si="20"/>
        <v>0</v>
      </c>
      <c r="AR46" s="57">
        <f t="shared" si="20"/>
        <v>0</v>
      </c>
      <c r="AS46" s="57">
        <f t="shared" si="20"/>
        <v>0</v>
      </c>
      <c r="AT46" s="57">
        <f t="shared" si="20"/>
        <v>0</v>
      </c>
      <c r="AU46" s="57">
        <f t="shared" si="20"/>
        <v>0</v>
      </c>
      <c r="AV46" s="57">
        <f t="shared" si="20"/>
        <v>0</v>
      </c>
      <c r="AW46" s="57">
        <f t="shared" si="20"/>
        <v>0</v>
      </c>
      <c r="AX46" s="57">
        <f t="shared" si="20"/>
        <v>0</v>
      </c>
      <c r="AY46" s="57">
        <f t="shared" si="20"/>
        <v>0</v>
      </c>
      <c r="AZ46" s="57">
        <f t="shared" si="20"/>
        <v>0</v>
      </c>
      <c r="BA46" s="57">
        <f t="shared" si="20"/>
        <v>0</v>
      </c>
      <c r="BB46" s="57">
        <f t="shared" si="20"/>
        <v>0</v>
      </c>
      <c r="BC46" s="57">
        <f t="shared" si="20"/>
        <v>0</v>
      </c>
      <c r="BD46" s="57">
        <f t="shared" si="20"/>
        <v>0</v>
      </c>
      <c r="BE46" s="57">
        <f t="shared" si="20"/>
        <v>0</v>
      </c>
      <c r="BF46" s="57">
        <f t="shared" si="20"/>
        <v>0</v>
      </c>
      <c r="BG46" s="57">
        <f t="shared" si="20"/>
        <v>0</v>
      </c>
      <c r="BH46" s="57">
        <f t="shared" si="20"/>
        <v>0</v>
      </c>
      <c r="BI46" s="57">
        <f t="shared" si="20"/>
        <v>0</v>
      </c>
      <c r="BJ46" s="57">
        <f t="shared" si="20"/>
        <v>0</v>
      </c>
      <c r="BK46" s="57">
        <f t="shared" si="20"/>
        <v>0</v>
      </c>
      <c r="BL46" s="57">
        <f t="shared" si="20"/>
        <v>0</v>
      </c>
      <c r="BM46" s="57">
        <f t="shared" si="20"/>
        <v>0</v>
      </c>
      <c r="BN46" s="57">
        <f t="shared" si="20"/>
        <v>0</v>
      </c>
      <c r="BO46" s="57">
        <f t="shared" si="20"/>
        <v>0</v>
      </c>
      <c r="BP46" s="57">
        <f t="shared" si="20"/>
        <v>0</v>
      </c>
      <c r="BQ46" s="57">
        <f t="shared" si="20"/>
        <v>0</v>
      </c>
      <c r="BR46" s="57">
        <f t="shared" si="20"/>
        <v>0</v>
      </c>
    </row>
    <row r="47" spans="2:70" x14ac:dyDescent="0.25">
      <c r="C47" s="139" t="s">
        <v>260</v>
      </c>
      <c r="K47" s="57">
        <f>IF(K59&lt;-1,IF(MOD(K6-$D38,$D34)=0,1,0),0)</f>
        <v>0</v>
      </c>
      <c r="L47" s="57">
        <f t="shared" ref="L47:BR47" si="21">IF(L59&lt;-1,IF(MOD(L6-$D38,$D34)=0,1,0),0)</f>
        <v>0</v>
      </c>
      <c r="M47" s="57">
        <f t="shared" si="21"/>
        <v>0</v>
      </c>
      <c r="N47" s="57">
        <f t="shared" si="21"/>
        <v>0</v>
      </c>
      <c r="O47" s="57">
        <f t="shared" si="21"/>
        <v>0</v>
      </c>
      <c r="P47" s="57">
        <f t="shared" si="21"/>
        <v>0</v>
      </c>
      <c r="Q47" s="57">
        <f t="shared" si="21"/>
        <v>0</v>
      </c>
      <c r="R47" s="57">
        <f t="shared" si="21"/>
        <v>0</v>
      </c>
      <c r="S47" s="57">
        <f t="shared" si="21"/>
        <v>0</v>
      </c>
      <c r="T47" s="57">
        <f t="shared" si="21"/>
        <v>0</v>
      </c>
      <c r="U47" s="57">
        <f t="shared" si="21"/>
        <v>0</v>
      </c>
      <c r="V47" s="57">
        <f t="shared" si="21"/>
        <v>0</v>
      </c>
      <c r="W47" s="57">
        <f t="shared" si="21"/>
        <v>0</v>
      </c>
      <c r="X47" s="57">
        <f t="shared" si="21"/>
        <v>0</v>
      </c>
      <c r="Y47" s="57">
        <f t="shared" si="21"/>
        <v>0</v>
      </c>
      <c r="Z47" s="57">
        <f t="shared" si="21"/>
        <v>0</v>
      </c>
      <c r="AA47" s="57">
        <f t="shared" si="21"/>
        <v>0</v>
      </c>
      <c r="AB47" s="57">
        <f t="shared" si="21"/>
        <v>0</v>
      </c>
      <c r="AC47" s="57">
        <f t="shared" si="21"/>
        <v>0</v>
      </c>
      <c r="AD47" s="57">
        <f t="shared" si="21"/>
        <v>0</v>
      </c>
      <c r="AE47" s="57">
        <f t="shared" si="21"/>
        <v>0</v>
      </c>
      <c r="AF47" s="57">
        <f t="shared" si="21"/>
        <v>0</v>
      </c>
      <c r="AG47" s="57">
        <f t="shared" si="21"/>
        <v>0</v>
      </c>
      <c r="AH47" s="57">
        <f t="shared" si="21"/>
        <v>0</v>
      </c>
      <c r="AI47" s="57">
        <f t="shared" si="21"/>
        <v>0</v>
      </c>
      <c r="AJ47" s="57">
        <f t="shared" si="21"/>
        <v>0</v>
      </c>
      <c r="AK47" s="57">
        <f t="shared" si="21"/>
        <v>0</v>
      </c>
      <c r="AL47" s="57">
        <f t="shared" si="21"/>
        <v>0</v>
      </c>
      <c r="AM47" s="57">
        <f t="shared" si="21"/>
        <v>0</v>
      </c>
      <c r="AN47" s="57">
        <f t="shared" si="21"/>
        <v>0</v>
      </c>
      <c r="AO47" s="57">
        <f t="shared" si="21"/>
        <v>0</v>
      </c>
      <c r="AP47" s="57">
        <f t="shared" si="21"/>
        <v>0</v>
      </c>
      <c r="AQ47" s="57">
        <f t="shared" si="21"/>
        <v>0</v>
      </c>
      <c r="AR47" s="57">
        <f t="shared" si="21"/>
        <v>0</v>
      </c>
      <c r="AS47" s="57">
        <f t="shared" si="21"/>
        <v>0</v>
      </c>
      <c r="AT47" s="57">
        <f t="shared" si="21"/>
        <v>0</v>
      </c>
      <c r="AU47" s="57">
        <f t="shared" si="21"/>
        <v>0</v>
      </c>
      <c r="AV47" s="57">
        <f t="shared" si="21"/>
        <v>0</v>
      </c>
      <c r="AW47" s="57">
        <f t="shared" si="21"/>
        <v>0</v>
      </c>
      <c r="AX47" s="57">
        <f t="shared" si="21"/>
        <v>0</v>
      </c>
      <c r="AY47" s="57">
        <f t="shared" si="21"/>
        <v>0</v>
      </c>
      <c r="AZ47" s="57">
        <f t="shared" si="21"/>
        <v>0</v>
      </c>
      <c r="BA47" s="57">
        <f t="shared" si="21"/>
        <v>0</v>
      </c>
      <c r="BB47" s="57">
        <f t="shared" si="21"/>
        <v>0</v>
      </c>
      <c r="BC47" s="57">
        <f t="shared" si="21"/>
        <v>0</v>
      </c>
      <c r="BD47" s="57">
        <f t="shared" si="21"/>
        <v>0</v>
      </c>
      <c r="BE47" s="57">
        <f t="shared" si="21"/>
        <v>0</v>
      </c>
      <c r="BF47" s="57">
        <f t="shared" si="21"/>
        <v>0</v>
      </c>
      <c r="BG47" s="57">
        <f t="shared" si="21"/>
        <v>0</v>
      </c>
      <c r="BH47" s="57">
        <f t="shared" si="21"/>
        <v>0</v>
      </c>
      <c r="BI47" s="57">
        <f t="shared" si="21"/>
        <v>0</v>
      </c>
      <c r="BJ47" s="57">
        <f t="shared" si="21"/>
        <v>0</v>
      </c>
      <c r="BK47" s="57">
        <f t="shared" si="21"/>
        <v>0</v>
      </c>
      <c r="BL47" s="57">
        <f t="shared" si="21"/>
        <v>0</v>
      </c>
      <c r="BM47" s="57">
        <f t="shared" si="21"/>
        <v>0</v>
      </c>
      <c r="BN47" s="57">
        <f t="shared" si="21"/>
        <v>0</v>
      </c>
      <c r="BO47" s="57">
        <f t="shared" si="21"/>
        <v>0</v>
      </c>
      <c r="BP47" s="57">
        <f t="shared" si="21"/>
        <v>0</v>
      </c>
      <c r="BQ47" s="57">
        <f t="shared" si="21"/>
        <v>0</v>
      </c>
      <c r="BR47" s="57">
        <f t="shared" si="21"/>
        <v>0</v>
      </c>
    </row>
    <row r="50" spans="1:70" s="145" customFormat="1" ht="13.8" x14ac:dyDescent="0.25">
      <c r="B50" s="145" t="str">
        <f>Header2</f>
        <v>2.2</v>
      </c>
      <c r="C50" s="145" t="s">
        <v>261</v>
      </c>
    </row>
    <row r="51" spans="1:70" s="147" customFormat="1" x14ac:dyDescent="0.25">
      <c r="A51" s="211"/>
      <c r="F51" s="212"/>
    </row>
    <row r="52" spans="1:70" s="147" customFormat="1" x14ac:dyDescent="0.25">
      <c r="A52" s="211"/>
      <c r="C52" s="147" t="s">
        <v>228</v>
      </c>
      <c r="D52" s="231" t="str">
        <f>unit</f>
        <v>£</v>
      </c>
      <c r="E52" s="147">
        <f>INDEX($K52:$BR52,0,MATCH(E$7,$K$7:$BR$7,0))</f>
        <v>0</v>
      </c>
      <c r="F52" s="147">
        <f t="shared" ref="F52:I52" si="22">INDEX($K52:$BR52,0,MATCH(F$7,$K$7:$BR$7,0))</f>
        <v>0</v>
      </c>
      <c r="G52" s="147">
        <f t="shared" si="22"/>
        <v>0</v>
      </c>
      <c r="H52" s="147">
        <f t="shared" si="22"/>
        <v>0</v>
      </c>
      <c r="I52" s="147">
        <f t="shared" si="22"/>
        <v>0</v>
      </c>
      <c r="K52" s="223">
        <f>D30</f>
        <v>0</v>
      </c>
      <c r="L52" s="223">
        <f t="shared" ref="L52:BR52" si="23">K54</f>
        <v>0</v>
      </c>
      <c r="M52" s="223">
        <f t="shared" si="23"/>
        <v>0</v>
      </c>
      <c r="N52" s="223">
        <f t="shared" si="23"/>
        <v>0</v>
      </c>
      <c r="O52" s="223">
        <f t="shared" si="23"/>
        <v>0</v>
      </c>
      <c r="P52" s="223">
        <f t="shared" si="23"/>
        <v>0</v>
      </c>
      <c r="Q52" s="223">
        <f>P54</f>
        <v>0</v>
      </c>
      <c r="R52" s="223">
        <f t="shared" si="23"/>
        <v>0</v>
      </c>
      <c r="S52" s="223">
        <f t="shared" si="23"/>
        <v>0</v>
      </c>
      <c r="T52" s="223">
        <f t="shared" si="23"/>
        <v>0</v>
      </c>
      <c r="U52" s="223">
        <f t="shared" si="23"/>
        <v>0</v>
      </c>
      <c r="V52" s="223">
        <f t="shared" si="23"/>
        <v>0</v>
      </c>
      <c r="W52" s="223">
        <f t="shared" si="23"/>
        <v>0</v>
      </c>
      <c r="X52" s="223">
        <f t="shared" si="23"/>
        <v>0</v>
      </c>
      <c r="Y52" s="223">
        <f t="shared" si="23"/>
        <v>0</v>
      </c>
      <c r="Z52" s="223">
        <f t="shared" si="23"/>
        <v>0</v>
      </c>
      <c r="AA52" s="223">
        <f t="shared" si="23"/>
        <v>0</v>
      </c>
      <c r="AB52" s="223">
        <f t="shared" si="23"/>
        <v>0</v>
      </c>
      <c r="AC52" s="223">
        <f t="shared" si="23"/>
        <v>0</v>
      </c>
      <c r="AD52" s="223">
        <f t="shared" si="23"/>
        <v>0</v>
      </c>
      <c r="AE52" s="223">
        <f t="shared" si="23"/>
        <v>0</v>
      </c>
      <c r="AF52" s="223">
        <f t="shared" si="23"/>
        <v>0</v>
      </c>
      <c r="AG52" s="223">
        <f t="shared" si="23"/>
        <v>0</v>
      </c>
      <c r="AH52" s="223">
        <f t="shared" si="23"/>
        <v>0</v>
      </c>
      <c r="AI52" s="223">
        <f t="shared" si="23"/>
        <v>0</v>
      </c>
      <c r="AJ52" s="223">
        <f t="shared" si="23"/>
        <v>0</v>
      </c>
      <c r="AK52" s="223">
        <f t="shared" si="23"/>
        <v>0</v>
      </c>
      <c r="AL52" s="223">
        <f t="shared" si="23"/>
        <v>0</v>
      </c>
      <c r="AM52" s="223">
        <f t="shared" si="23"/>
        <v>0</v>
      </c>
      <c r="AN52" s="223">
        <f t="shared" si="23"/>
        <v>0</v>
      </c>
      <c r="AO52" s="223">
        <f t="shared" si="23"/>
        <v>0</v>
      </c>
      <c r="AP52" s="223">
        <f t="shared" si="23"/>
        <v>0</v>
      </c>
      <c r="AQ52" s="223">
        <f t="shared" si="23"/>
        <v>0</v>
      </c>
      <c r="AR52" s="223">
        <f t="shared" si="23"/>
        <v>0</v>
      </c>
      <c r="AS52" s="223">
        <f t="shared" si="23"/>
        <v>0</v>
      </c>
      <c r="AT52" s="223">
        <f t="shared" si="23"/>
        <v>0</v>
      </c>
      <c r="AU52" s="223">
        <f t="shared" si="23"/>
        <v>0</v>
      </c>
      <c r="AV52" s="223">
        <f t="shared" si="23"/>
        <v>0</v>
      </c>
      <c r="AW52" s="223">
        <f t="shared" si="23"/>
        <v>0</v>
      </c>
      <c r="AX52" s="223">
        <f t="shared" si="23"/>
        <v>0</v>
      </c>
      <c r="AY52" s="223">
        <f t="shared" si="23"/>
        <v>0</v>
      </c>
      <c r="AZ52" s="223">
        <f t="shared" si="23"/>
        <v>0</v>
      </c>
      <c r="BA52" s="223">
        <f t="shared" si="23"/>
        <v>0</v>
      </c>
      <c r="BB52" s="223">
        <f t="shared" si="23"/>
        <v>0</v>
      </c>
      <c r="BC52" s="223">
        <f t="shared" si="23"/>
        <v>0</v>
      </c>
      <c r="BD52" s="223">
        <f t="shared" si="23"/>
        <v>0</v>
      </c>
      <c r="BE52" s="223">
        <f t="shared" si="23"/>
        <v>0</v>
      </c>
      <c r="BF52" s="223">
        <f t="shared" si="23"/>
        <v>0</v>
      </c>
      <c r="BG52" s="223">
        <f t="shared" si="23"/>
        <v>0</v>
      </c>
      <c r="BH52" s="223">
        <f t="shared" si="23"/>
        <v>0</v>
      </c>
      <c r="BI52" s="223">
        <f t="shared" si="23"/>
        <v>0</v>
      </c>
      <c r="BJ52" s="223">
        <f t="shared" si="23"/>
        <v>0</v>
      </c>
      <c r="BK52" s="223">
        <f t="shared" si="23"/>
        <v>0</v>
      </c>
      <c r="BL52" s="223">
        <f t="shared" si="23"/>
        <v>0</v>
      </c>
      <c r="BM52" s="223">
        <f t="shared" si="23"/>
        <v>0</v>
      </c>
      <c r="BN52" s="223">
        <f t="shared" si="23"/>
        <v>0</v>
      </c>
      <c r="BO52" s="223">
        <f t="shared" si="23"/>
        <v>0</v>
      </c>
      <c r="BP52" s="223">
        <f t="shared" si="23"/>
        <v>0</v>
      </c>
      <c r="BQ52" s="223">
        <f t="shared" si="23"/>
        <v>0</v>
      </c>
      <c r="BR52" s="223">
        <f t="shared" si="23"/>
        <v>0</v>
      </c>
    </row>
    <row r="53" spans="1:70" s="147" customFormat="1" x14ac:dyDescent="0.25">
      <c r="A53" s="211"/>
      <c r="C53" s="147" t="s">
        <v>250</v>
      </c>
      <c r="D53" s="231" t="str">
        <f>unit</f>
        <v>£</v>
      </c>
      <c r="E53" s="147">
        <f>SUMIF($K$5:$BR$5,E$5,$K53:$BR53)</f>
        <v>0</v>
      </c>
      <c r="F53" s="147">
        <f t="shared" ref="F53:I53" si="24">SUMIF($K$5:$BR$5,F$5,$K53:$BR53)</f>
        <v>0</v>
      </c>
      <c r="G53" s="147">
        <f t="shared" si="24"/>
        <v>0</v>
      </c>
      <c r="H53" s="147">
        <f t="shared" si="24"/>
        <v>0</v>
      </c>
      <c r="I53" s="147">
        <f t="shared" si="24"/>
        <v>0</v>
      </c>
      <c r="K53" s="147">
        <f t="shared" ref="K53:AP53" si="25">-K46*$D41</f>
        <v>0</v>
      </c>
      <c r="L53" s="147">
        <f t="shared" si="25"/>
        <v>0</v>
      </c>
      <c r="M53" s="147">
        <f t="shared" si="25"/>
        <v>0</v>
      </c>
      <c r="N53" s="147">
        <f t="shared" si="25"/>
        <v>0</v>
      </c>
      <c r="O53" s="147">
        <f t="shared" si="25"/>
        <v>0</v>
      </c>
      <c r="P53" s="147">
        <f t="shared" si="25"/>
        <v>0</v>
      </c>
      <c r="Q53" s="147">
        <f t="shared" si="25"/>
        <v>0</v>
      </c>
      <c r="R53" s="147">
        <f t="shared" si="25"/>
        <v>0</v>
      </c>
      <c r="S53" s="147">
        <f t="shared" si="25"/>
        <v>0</v>
      </c>
      <c r="T53" s="147">
        <f t="shared" si="25"/>
        <v>0</v>
      </c>
      <c r="U53" s="147">
        <f t="shared" si="25"/>
        <v>0</v>
      </c>
      <c r="V53" s="147">
        <f t="shared" si="25"/>
        <v>0</v>
      </c>
      <c r="W53" s="147">
        <f t="shared" si="25"/>
        <v>0</v>
      </c>
      <c r="X53" s="147">
        <f t="shared" si="25"/>
        <v>0</v>
      </c>
      <c r="Y53" s="147">
        <f t="shared" si="25"/>
        <v>0</v>
      </c>
      <c r="Z53" s="147">
        <f t="shared" si="25"/>
        <v>0</v>
      </c>
      <c r="AA53" s="147">
        <f t="shared" si="25"/>
        <v>0</v>
      </c>
      <c r="AB53" s="147">
        <f t="shared" si="25"/>
        <v>0</v>
      </c>
      <c r="AC53" s="147">
        <f t="shared" si="25"/>
        <v>0</v>
      </c>
      <c r="AD53" s="147">
        <f t="shared" si="25"/>
        <v>0</v>
      </c>
      <c r="AE53" s="147">
        <f t="shared" si="25"/>
        <v>0</v>
      </c>
      <c r="AF53" s="147">
        <f t="shared" si="25"/>
        <v>0</v>
      </c>
      <c r="AG53" s="147">
        <f t="shared" si="25"/>
        <v>0</v>
      </c>
      <c r="AH53" s="147">
        <f t="shared" si="25"/>
        <v>0</v>
      </c>
      <c r="AI53" s="147">
        <f t="shared" si="25"/>
        <v>0</v>
      </c>
      <c r="AJ53" s="147">
        <f t="shared" si="25"/>
        <v>0</v>
      </c>
      <c r="AK53" s="147">
        <f t="shared" si="25"/>
        <v>0</v>
      </c>
      <c r="AL53" s="147">
        <f t="shared" si="25"/>
        <v>0</v>
      </c>
      <c r="AM53" s="147">
        <f t="shared" si="25"/>
        <v>0</v>
      </c>
      <c r="AN53" s="147">
        <f t="shared" si="25"/>
        <v>0</v>
      </c>
      <c r="AO53" s="147">
        <f t="shared" si="25"/>
        <v>0</v>
      </c>
      <c r="AP53" s="147">
        <f t="shared" si="25"/>
        <v>0</v>
      </c>
      <c r="AQ53" s="147">
        <f t="shared" ref="AQ53:BR53" si="26">-AQ46*$D41</f>
        <v>0</v>
      </c>
      <c r="AR53" s="147">
        <f t="shared" si="26"/>
        <v>0</v>
      </c>
      <c r="AS53" s="147">
        <f t="shared" si="26"/>
        <v>0</v>
      </c>
      <c r="AT53" s="147">
        <f t="shared" si="26"/>
        <v>0</v>
      </c>
      <c r="AU53" s="147">
        <f t="shared" si="26"/>
        <v>0</v>
      </c>
      <c r="AV53" s="147">
        <f t="shared" si="26"/>
        <v>0</v>
      </c>
      <c r="AW53" s="147">
        <f t="shared" si="26"/>
        <v>0</v>
      </c>
      <c r="AX53" s="147">
        <f t="shared" si="26"/>
        <v>0</v>
      </c>
      <c r="AY53" s="147">
        <f t="shared" si="26"/>
        <v>0</v>
      </c>
      <c r="AZ53" s="147">
        <f t="shared" si="26"/>
        <v>0</v>
      </c>
      <c r="BA53" s="147">
        <f t="shared" si="26"/>
        <v>0</v>
      </c>
      <c r="BB53" s="147">
        <f t="shared" si="26"/>
        <v>0</v>
      </c>
      <c r="BC53" s="147">
        <f t="shared" si="26"/>
        <v>0</v>
      </c>
      <c r="BD53" s="147">
        <f t="shared" si="26"/>
        <v>0</v>
      </c>
      <c r="BE53" s="147">
        <f t="shared" si="26"/>
        <v>0</v>
      </c>
      <c r="BF53" s="147">
        <f t="shared" si="26"/>
        <v>0</v>
      </c>
      <c r="BG53" s="147">
        <f t="shared" si="26"/>
        <v>0</v>
      </c>
      <c r="BH53" s="147">
        <f t="shared" si="26"/>
        <v>0</v>
      </c>
      <c r="BI53" s="147">
        <f t="shared" si="26"/>
        <v>0</v>
      </c>
      <c r="BJ53" s="147">
        <f t="shared" si="26"/>
        <v>0</v>
      </c>
      <c r="BK53" s="147">
        <f t="shared" si="26"/>
        <v>0</v>
      </c>
      <c r="BL53" s="147">
        <f t="shared" si="26"/>
        <v>0</v>
      </c>
      <c r="BM53" s="147">
        <f t="shared" si="26"/>
        <v>0</v>
      </c>
      <c r="BN53" s="147">
        <f t="shared" si="26"/>
        <v>0</v>
      </c>
      <c r="BO53" s="147">
        <f t="shared" si="26"/>
        <v>0</v>
      </c>
      <c r="BP53" s="147">
        <f t="shared" si="26"/>
        <v>0</v>
      </c>
      <c r="BQ53" s="147">
        <f t="shared" si="26"/>
        <v>0</v>
      </c>
      <c r="BR53" s="147">
        <f t="shared" si="26"/>
        <v>0</v>
      </c>
    </row>
    <row r="54" spans="1:70" s="147" customFormat="1" x14ac:dyDescent="0.25">
      <c r="A54" s="211"/>
      <c r="C54" s="147" t="s">
        <v>230</v>
      </c>
      <c r="D54" s="263">
        <f>KeyInputs!G134</f>
        <v>0</v>
      </c>
      <c r="E54" s="230">
        <f>SUM(E52:E53)</f>
        <v>0</v>
      </c>
      <c r="F54" s="230">
        <f>SUM(F52:F53)</f>
        <v>0</v>
      </c>
      <c r="G54" s="230">
        <f>SUM(G52:G53)</f>
        <v>0</v>
      </c>
      <c r="H54" s="230">
        <f>SUM(H52:H53)</f>
        <v>0</v>
      </c>
      <c r="I54" s="230">
        <f>SUM(I52:I53)</f>
        <v>0</v>
      </c>
      <c r="J54" s="213">
        <f>D54</f>
        <v>0</v>
      </c>
      <c r="K54" s="214">
        <f t="shared" ref="K54:AP54" si="27">SUM(K52:K53)</f>
        <v>0</v>
      </c>
      <c r="L54" s="214">
        <f t="shared" si="27"/>
        <v>0</v>
      </c>
      <c r="M54" s="214">
        <f t="shared" si="27"/>
        <v>0</v>
      </c>
      <c r="N54" s="214">
        <f t="shared" si="27"/>
        <v>0</v>
      </c>
      <c r="O54" s="214">
        <f t="shared" si="27"/>
        <v>0</v>
      </c>
      <c r="P54" s="214">
        <f t="shared" si="27"/>
        <v>0</v>
      </c>
      <c r="Q54" s="214">
        <f t="shared" si="27"/>
        <v>0</v>
      </c>
      <c r="R54" s="214">
        <f t="shared" si="27"/>
        <v>0</v>
      </c>
      <c r="S54" s="214">
        <f t="shared" si="27"/>
        <v>0</v>
      </c>
      <c r="T54" s="214">
        <f t="shared" si="27"/>
        <v>0</v>
      </c>
      <c r="U54" s="214">
        <f t="shared" si="27"/>
        <v>0</v>
      </c>
      <c r="V54" s="214">
        <f t="shared" si="27"/>
        <v>0</v>
      </c>
      <c r="W54" s="214">
        <f t="shared" si="27"/>
        <v>0</v>
      </c>
      <c r="X54" s="214">
        <f t="shared" si="27"/>
        <v>0</v>
      </c>
      <c r="Y54" s="214">
        <f t="shared" si="27"/>
        <v>0</v>
      </c>
      <c r="Z54" s="214">
        <f t="shared" si="27"/>
        <v>0</v>
      </c>
      <c r="AA54" s="214">
        <f t="shared" si="27"/>
        <v>0</v>
      </c>
      <c r="AB54" s="214">
        <f t="shared" si="27"/>
        <v>0</v>
      </c>
      <c r="AC54" s="214">
        <f t="shared" si="27"/>
        <v>0</v>
      </c>
      <c r="AD54" s="214">
        <f t="shared" si="27"/>
        <v>0</v>
      </c>
      <c r="AE54" s="214">
        <f t="shared" si="27"/>
        <v>0</v>
      </c>
      <c r="AF54" s="214">
        <f t="shared" si="27"/>
        <v>0</v>
      </c>
      <c r="AG54" s="214">
        <f t="shared" si="27"/>
        <v>0</v>
      </c>
      <c r="AH54" s="214">
        <f t="shared" si="27"/>
        <v>0</v>
      </c>
      <c r="AI54" s="214">
        <f t="shared" si="27"/>
        <v>0</v>
      </c>
      <c r="AJ54" s="214">
        <f t="shared" si="27"/>
        <v>0</v>
      </c>
      <c r="AK54" s="214">
        <f t="shared" si="27"/>
        <v>0</v>
      </c>
      <c r="AL54" s="214">
        <f t="shared" si="27"/>
        <v>0</v>
      </c>
      <c r="AM54" s="214">
        <f t="shared" si="27"/>
        <v>0</v>
      </c>
      <c r="AN54" s="214">
        <f t="shared" si="27"/>
        <v>0</v>
      </c>
      <c r="AO54" s="214">
        <f t="shared" si="27"/>
        <v>0</v>
      </c>
      <c r="AP54" s="214">
        <f t="shared" si="27"/>
        <v>0</v>
      </c>
      <c r="AQ54" s="214">
        <f t="shared" ref="AQ54:BR54" si="28">SUM(AQ52:AQ53)</f>
        <v>0</v>
      </c>
      <c r="AR54" s="214">
        <f t="shared" si="28"/>
        <v>0</v>
      </c>
      <c r="AS54" s="214">
        <f t="shared" si="28"/>
        <v>0</v>
      </c>
      <c r="AT54" s="214">
        <f t="shared" si="28"/>
        <v>0</v>
      </c>
      <c r="AU54" s="214">
        <f t="shared" si="28"/>
        <v>0</v>
      </c>
      <c r="AV54" s="214">
        <f t="shared" si="28"/>
        <v>0</v>
      </c>
      <c r="AW54" s="214">
        <f t="shared" si="28"/>
        <v>0</v>
      </c>
      <c r="AX54" s="214">
        <f t="shared" si="28"/>
        <v>0</v>
      </c>
      <c r="AY54" s="214">
        <f t="shared" si="28"/>
        <v>0</v>
      </c>
      <c r="AZ54" s="214">
        <f t="shared" si="28"/>
        <v>0</v>
      </c>
      <c r="BA54" s="214">
        <f t="shared" si="28"/>
        <v>0</v>
      </c>
      <c r="BB54" s="214">
        <f t="shared" si="28"/>
        <v>0</v>
      </c>
      <c r="BC54" s="214">
        <f t="shared" si="28"/>
        <v>0</v>
      </c>
      <c r="BD54" s="214">
        <f t="shared" si="28"/>
        <v>0</v>
      </c>
      <c r="BE54" s="214">
        <f t="shared" si="28"/>
        <v>0</v>
      </c>
      <c r="BF54" s="214">
        <f t="shared" si="28"/>
        <v>0</v>
      </c>
      <c r="BG54" s="214">
        <f t="shared" si="28"/>
        <v>0</v>
      </c>
      <c r="BH54" s="214">
        <f t="shared" si="28"/>
        <v>0</v>
      </c>
      <c r="BI54" s="214">
        <f t="shared" si="28"/>
        <v>0</v>
      </c>
      <c r="BJ54" s="214">
        <f t="shared" si="28"/>
        <v>0</v>
      </c>
      <c r="BK54" s="214">
        <f t="shared" si="28"/>
        <v>0</v>
      </c>
      <c r="BL54" s="214">
        <f t="shared" si="28"/>
        <v>0</v>
      </c>
      <c r="BM54" s="214">
        <f t="shared" si="28"/>
        <v>0</v>
      </c>
      <c r="BN54" s="214">
        <f t="shared" si="28"/>
        <v>0</v>
      </c>
      <c r="BO54" s="214">
        <f t="shared" si="28"/>
        <v>0</v>
      </c>
      <c r="BP54" s="214">
        <f t="shared" si="28"/>
        <v>0</v>
      </c>
      <c r="BQ54" s="214">
        <f t="shared" si="28"/>
        <v>0</v>
      </c>
      <c r="BR54" s="214">
        <f t="shared" si="28"/>
        <v>0</v>
      </c>
    </row>
    <row r="55" spans="1:70" x14ac:dyDescent="0.25">
      <c r="E55" s="147"/>
      <c r="F55" s="212"/>
      <c r="G55" s="147"/>
      <c r="H55" s="147"/>
      <c r="I55" s="147"/>
    </row>
    <row r="56" spans="1:70" s="145" customFormat="1" ht="13.8" x14ac:dyDescent="0.25">
      <c r="B56" s="145" t="str">
        <f>Header2</f>
        <v>2.3</v>
      </c>
      <c r="C56" s="145" t="s">
        <v>251</v>
      </c>
      <c r="E56" s="215"/>
      <c r="F56" s="215"/>
      <c r="G56" s="215"/>
      <c r="H56" s="215"/>
      <c r="I56" s="215"/>
    </row>
    <row r="57" spans="1:70" x14ac:dyDescent="0.25">
      <c r="E57" s="147"/>
      <c r="F57" s="212"/>
      <c r="G57" s="147"/>
      <c r="H57" s="147"/>
      <c r="I57" s="147"/>
    </row>
    <row r="58" spans="1:70" x14ac:dyDescent="0.25">
      <c r="C58" s="147" t="s">
        <v>228</v>
      </c>
      <c r="D58" s="231" t="str">
        <f>unit</f>
        <v>£</v>
      </c>
      <c r="E58" s="147">
        <f>INDEX($K58:$BR58,0,MATCH(E$7,$K$7:$BR$7,0))</f>
        <v>0</v>
      </c>
      <c r="F58" s="147">
        <f t="shared" ref="F58:I58" si="29">INDEX($K58:$BR58,0,MATCH(F$7,$K$7:$BR$7,0))</f>
        <v>0</v>
      </c>
      <c r="G58" s="147">
        <f t="shared" si="29"/>
        <v>0</v>
      </c>
      <c r="H58" s="147">
        <f t="shared" si="29"/>
        <v>0</v>
      </c>
      <c r="I58" s="147">
        <f t="shared" si="29"/>
        <v>0</v>
      </c>
      <c r="K58" s="57">
        <f>J61</f>
        <v>0</v>
      </c>
      <c r="L58" s="57">
        <f t="shared" ref="L58:BR58" si="30">K61</f>
        <v>0</v>
      </c>
      <c r="M58" s="57">
        <f t="shared" si="30"/>
        <v>0</v>
      </c>
      <c r="N58" s="57">
        <f t="shared" si="30"/>
        <v>0</v>
      </c>
      <c r="O58" s="57">
        <f t="shared" si="30"/>
        <v>0</v>
      </c>
      <c r="P58" s="57">
        <f t="shared" si="30"/>
        <v>0</v>
      </c>
      <c r="Q58" s="57">
        <f t="shared" si="30"/>
        <v>0</v>
      </c>
      <c r="R58" s="57">
        <f t="shared" si="30"/>
        <v>0</v>
      </c>
      <c r="S58" s="57">
        <f t="shared" si="30"/>
        <v>0</v>
      </c>
      <c r="T58" s="57">
        <f t="shared" si="30"/>
        <v>0</v>
      </c>
      <c r="U58" s="57">
        <f t="shared" si="30"/>
        <v>0</v>
      </c>
      <c r="V58" s="57">
        <f t="shared" si="30"/>
        <v>0</v>
      </c>
      <c r="W58" s="57">
        <f t="shared" si="30"/>
        <v>0</v>
      </c>
      <c r="X58" s="57">
        <f t="shared" si="30"/>
        <v>0</v>
      </c>
      <c r="Y58" s="57">
        <f t="shared" si="30"/>
        <v>0</v>
      </c>
      <c r="Z58" s="57">
        <f t="shared" si="30"/>
        <v>0</v>
      </c>
      <c r="AA58" s="57">
        <f t="shared" si="30"/>
        <v>0</v>
      </c>
      <c r="AB58" s="57">
        <f t="shared" si="30"/>
        <v>0</v>
      </c>
      <c r="AC58" s="57">
        <f t="shared" si="30"/>
        <v>0</v>
      </c>
      <c r="AD58" s="57">
        <f t="shared" si="30"/>
        <v>0</v>
      </c>
      <c r="AE58" s="57">
        <f t="shared" si="30"/>
        <v>0</v>
      </c>
      <c r="AF58" s="57">
        <f t="shared" si="30"/>
        <v>0</v>
      </c>
      <c r="AG58" s="57">
        <f t="shared" si="30"/>
        <v>0</v>
      </c>
      <c r="AH58" s="57">
        <f t="shared" si="30"/>
        <v>0</v>
      </c>
      <c r="AI58" s="57">
        <f t="shared" si="30"/>
        <v>0</v>
      </c>
      <c r="AJ58" s="57">
        <f t="shared" si="30"/>
        <v>0</v>
      </c>
      <c r="AK58" s="57">
        <f t="shared" si="30"/>
        <v>0</v>
      </c>
      <c r="AL58" s="57">
        <f t="shared" si="30"/>
        <v>0</v>
      </c>
      <c r="AM58" s="57">
        <f t="shared" si="30"/>
        <v>0</v>
      </c>
      <c r="AN58" s="57">
        <f t="shared" si="30"/>
        <v>0</v>
      </c>
      <c r="AO58" s="57">
        <f t="shared" si="30"/>
        <v>0</v>
      </c>
      <c r="AP58" s="57">
        <f t="shared" si="30"/>
        <v>0</v>
      </c>
      <c r="AQ58" s="57">
        <f t="shared" si="30"/>
        <v>0</v>
      </c>
      <c r="AR58" s="57">
        <f t="shared" si="30"/>
        <v>0</v>
      </c>
      <c r="AS58" s="57">
        <f t="shared" si="30"/>
        <v>0</v>
      </c>
      <c r="AT58" s="57">
        <f t="shared" si="30"/>
        <v>0</v>
      </c>
      <c r="AU58" s="57">
        <f t="shared" si="30"/>
        <v>0</v>
      </c>
      <c r="AV58" s="57">
        <f t="shared" si="30"/>
        <v>0</v>
      </c>
      <c r="AW58" s="57">
        <f t="shared" si="30"/>
        <v>0</v>
      </c>
      <c r="AX58" s="57">
        <f t="shared" si="30"/>
        <v>0</v>
      </c>
      <c r="AY58" s="57">
        <f t="shared" si="30"/>
        <v>0</v>
      </c>
      <c r="AZ58" s="57">
        <f t="shared" si="30"/>
        <v>0</v>
      </c>
      <c r="BA58" s="57">
        <f t="shared" si="30"/>
        <v>0</v>
      </c>
      <c r="BB58" s="57">
        <f t="shared" si="30"/>
        <v>0</v>
      </c>
      <c r="BC58" s="57">
        <f t="shared" si="30"/>
        <v>0</v>
      </c>
      <c r="BD58" s="57">
        <f t="shared" si="30"/>
        <v>0</v>
      </c>
      <c r="BE58" s="57">
        <f t="shared" si="30"/>
        <v>0</v>
      </c>
      <c r="BF58" s="57">
        <f t="shared" si="30"/>
        <v>0</v>
      </c>
      <c r="BG58" s="57">
        <f t="shared" si="30"/>
        <v>0</v>
      </c>
      <c r="BH58" s="57">
        <f t="shared" si="30"/>
        <v>0</v>
      </c>
      <c r="BI58" s="57">
        <f t="shared" si="30"/>
        <v>0</v>
      </c>
      <c r="BJ58" s="57">
        <f t="shared" si="30"/>
        <v>0</v>
      </c>
      <c r="BK58" s="57">
        <f t="shared" si="30"/>
        <v>0</v>
      </c>
      <c r="BL58" s="57">
        <f t="shared" si="30"/>
        <v>0</v>
      </c>
      <c r="BM58" s="57">
        <f t="shared" si="30"/>
        <v>0</v>
      </c>
      <c r="BN58" s="57">
        <f t="shared" si="30"/>
        <v>0</v>
      </c>
      <c r="BO58" s="57">
        <f t="shared" si="30"/>
        <v>0</v>
      </c>
      <c r="BP58" s="57">
        <f t="shared" si="30"/>
        <v>0</v>
      </c>
      <c r="BQ58" s="57">
        <f t="shared" si="30"/>
        <v>0</v>
      </c>
      <c r="BR58" s="57">
        <f t="shared" si="30"/>
        <v>0</v>
      </c>
    </row>
    <row r="59" spans="1:70" x14ac:dyDescent="0.25">
      <c r="C59" s="147" t="s">
        <v>252</v>
      </c>
      <c r="D59" s="231" t="str">
        <f>unit</f>
        <v>£</v>
      </c>
      <c r="E59" s="147">
        <f>SUMIF($K$5:$BR$5,E$5,$K59:$BR59)</f>
        <v>0</v>
      </c>
      <c r="F59" s="147">
        <f t="shared" ref="F59:I60" si="31">SUMIF($K$5:$BR$5,F$5,$K59:$BR59)</f>
        <v>0</v>
      </c>
      <c r="G59" s="147">
        <f t="shared" si="31"/>
        <v>0</v>
      </c>
      <c r="H59" s="147">
        <f t="shared" si="31"/>
        <v>0</v>
      </c>
      <c r="I59" s="147">
        <f t="shared" si="31"/>
        <v>0</v>
      </c>
      <c r="K59" s="57">
        <f t="shared" ref="K59:AP59" si="32">K52*$D35/12</f>
        <v>0</v>
      </c>
      <c r="L59" s="57">
        <f t="shared" si="32"/>
        <v>0</v>
      </c>
      <c r="M59" s="57">
        <f t="shared" si="32"/>
        <v>0</v>
      </c>
      <c r="N59" s="57">
        <f t="shared" si="32"/>
        <v>0</v>
      </c>
      <c r="O59" s="57">
        <f t="shared" si="32"/>
        <v>0</v>
      </c>
      <c r="P59" s="57">
        <f t="shared" si="32"/>
        <v>0</v>
      </c>
      <c r="Q59" s="57">
        <f t="shared" si="32"/>
        <v>0</v>
      </c>
      <c r="R59" s="57">
        <f t="shared" si="32"/>
        <v>0</v>
      </c>
      <c r="S59" s="57">
        <f t="shared" si="32"/>
        <v>0</v>
      </c>
      <c r="T59" s="57">
        <f t="shared" si="32"/>
        <v>0</v>
      </c>
      <c r="U59" s="57">
        <f t="shared" si="32"/>
        <v>0</v>
      </c>
      <c r="V59" s="57">
        <f t="shared" si="32"/>
        <v>0</v>
      </c>
      <c r="W59" s="57">
        <f t="shared" si="32"/>
        <v>0</v>
      </c>
      <c r="X59" s="57">
        <f t="shared" si="32"/>
        <v>0</v>
      </c>
      <c r="Y59" s="57">
        <f t="shared" si="32"/>
        <v>0</v>
      </c>
      <c r="Z59" s="57">
        <f t="shared" si="32"/>
        <v>0</v>
      </c>
      <c r="AA59" s="57">
        <f t="shared" si="32"/>
        <v>0</v>
      </c>
      <c r="AB59" s="57">
        <f t="shared" si="32"/>
        <v>0</v>
      </c>
      <c r="AC59" s="57">
        <f t="shared" si="32"/>
        <v>0</v>
      </c>
      <c r="AD59" s="57">
        <f t="shared" si="32"/>
        <v>0</v>
      </c>
      <c r="AE59" s="57">
        <f t="shared" si="32"/>
        <v>0</v>
      </c>
      <c r="AF59" s="57">
        <f t="shared" si="32"/>
        <v>0</v>
      </c>
      <c r="AG59" s="57">
        <f t="shared" si="32"/>
        <v>0</v>
      </c>
      <c r="AH59" s="57">
        <f t="shared" si="32"/>
        <v>0</v>
      </c>
      <c r="AI59" s="57">
        <f t="shared" si="32"/>
        <v>0</v>
      </c>
      <c r="AJ59" s="57">
        <f t="shared" si="32"/>
        <v>0</v>
      </c>
      <c r="AK59" s="57">
        <f t="shared" si="32"/>
        <v>0</v>
      </c>
      <c r="AL59" s="57">
        <f t="shared" si="32"/>
        <v>0</v>
      </c>
      <c r="AM59" s="57">
        <f t="shared" si="32"/>
        <v>0</v>
      </c>
      <c r="AN59" s="57">
        <f t="shared" si="32"/>
        <v>0</v>
      </c>
      <c r="AO59" s="57">
        <f t="shared" si="32"/>
        <v>0</v>
      </c>
      <c r="AP59" s="57">
        <f t="shared" si="32"/>
        <v>0</v>
      </c>
      <c r="AQ59" s="57">
        <f t="shared" ref="AQ59:BR59" si="33">AQ52*$D35/12</f>
        <v>0</v>
      </c>
      <c r="AR59" s="57">
        <f t="shared" si="33"/>
        <v>0</v>
      </c>
      <c r="AS59" s="57">
        <f t="shared" si="33"/>
        <v>0</v>
      </c>
      <c r="AT59" s="57">
        <f t="shared" si="33"/>
        <v>0</v>
      </c>
      <c r="AU59" s="57">
        <f t="shared" si="33"/>
        <v>0</v>
      </c>
      <c r="AV59" s="57">
        <f t="shared" si="33"/>
        <v>0</v>
      </c>
      <c r="AW59" s="57">
        <f t="shared" si="33"/>
        <v>0</v>
      </c>
      <c r="AX59" s="57">
        <f t="shared" si="33"/>
        <v>0</v>
      </c>
      <c r="AY59" s="57">
        <f t="shared" si="33"/>
        <v>0</v>
      </c>
      <c r="AZ59" s="57">
        <f t="shared" si="33"/>
        <v>0</v>
      </c>
      <c r="BA59" s="57">
        <f t="shared" si="33"/>
        <v>0</v>
      </c>
      <c r="BB59" s="57">
        <f t="shared" si="33"/>
        <v>0</v>
      </c>
      <c r="BC59" s="57">
        <f t="shared" si="33"/>
        <v>0</v>
      </c>
      <c r="BD59" s="57">
        <f t="shared" si="33"/>
        <v>0</v>
      </c>
      <c r="BE59" s="57">
        <f t="shared" si="33"/>
        <v>0</v>
      </c>
      <c r="BF59" s="57">
        <f t="shared" si="33"/>
        <v>0</v>
      </c>
      <c r="BG59" s="57">
        <f t="shared" si="33"/>
        <v>0</v>
      </c>
      <c r="BH59" s="57">
        <f t="shared" si="33"/>
        <v>0</v>
      </c>
      <c r="BI59" s="57">
        <f t="shared" si="33"/>
        <v>0</v>
      </c>
      <c r="BJ59" s="57">
        <f t="shared" si="33"/>
        <v>0</v>
      </c>
      <c r="BK59" s="57">
        <f t="shared" si="33"/>
        <v>0</v>
      </c>
      <c r="BL59" s="57">
        <f t="shared" si="33"/>
        <v>0</v>
      </c>
      <c r="BM59" s="57">
        <f t="shared" si="33"/>
        <v>0</v>
      </c>
      <c r="BN59" s="57">
        <f t="shared" si="33"/>
        <v>0</v>
      </c>
      <c r="BO59" s="57">
        <f t="shared" si="33"/>
        <v>0</v>
      </c>
      <c r="BP59" s="57">
        <f t="shared" si="33"/>
        <v>0</v>
      </c>
      <c r="BQ59" s="57">
        <f t="shared" si="33"/>
        <v>0</v>
      </c>
      <c r="BR59" s="57">
        <f t="shared" si="33"/>
        <v>0</v>
      </c>
    </row>
    <row r="60" spans="1:70" x14ac:dyDescent="0.25">
      <c r="C60" s="147" t="s">
        <v>215</v>
      </c>
      <c r="D60" s="231" t="str">
        <f>unit</f>
        <v>£</v>
      </c>
      <c r="E60" s="147">
        <f>SUMIF($K$5:$BR$5,E$5,$K60:$BR60)</f>
        <v>0</v>
      </c>
      <c r="F60" s="147">
        <f t="shared" si="31"/>
        <v>0</v>
      </c>
      <c r="G60" s="147">
        <f t="shared" si="31"/>
        <v>0</v>
      </c>
      <c r="H60" s="147">
        <f t="shared" si="31"/>
        <v>0</v>
      </c>
      <c r="I60" s="147">
        <f t="shared" si="31"/>
        <v>0</v>
      </c>
      <c r="K60" s="57">
        <f t="shared" ref="K60:AP60" si="34">-SUM(K58:K59)*K47</f>
        <v>0</v>
      </c>
      <c r="L60" s="57">
        <f t="shared" si="34"/>
        <v>0</v>
      </c>
      <c r="M60" s="57">
        <f t="shared" si="34"/>
        <v>0</v>
      </c>
      <c r="N60" s="57">
        <f t="shared" si="34"/>
        <v>0</v>
      </c>
      <c r="O60" s="57">
        <f t="shared" si="34"/>
        <v>0</v>
      </c>
      <c r="P60" s="57">
        <f t="shared" si="34"/>
        <v>0</v>
      </c>
      <c r="Q60" s="57">
        <f t="shared" si="34"/>
        <v>0</v>
      </c>
      <c r="R60" s="57">
        <f t="shared" si="34"/>
        <v>0</v>
      </c>
      <c r="S60" s="57">
        <f t="shared" si="34"/>
        <v>0</v>
      </c>
      <c r="T60" s="57">
        <f t="shared" si="34"/>
        <v>0</v>
      </c>
      <c r="U60" s="57">
        <f t="shared" si="34"/>
        <v>0</v>
      </c>
      <c r="V60" s="57">
        <f t="shared" si="34"/>
        <v>0</v>
      </c>
      <c r="W60" s="57">
        <f t="shared" si="34"/>
        <v>0</v>
      </c>
      <c r="X60" s="57">
        <f t="shared" si="34"/>
        <v>0</v>
      </c>
      <c r="Y60" s="57">
        <f t="shared" si="34"/>
        <v>0</v>
      </c>
      <c r="Z60" s="57">
        <f t="shared" si="34"/>
        <v>0</v>
      </c>
      <c r="AA60" s="57">
        <f t="shared" si="34"/>
        <v>0</v>
      </c>
      <c r="AB60" s="57">
        <f t="shared" si="34"/>
        <v>0</v>
      </c>
      <c r="AC60" s="57">
        <f t="shared" si="34"/>
        <v>0</v>
      </c>
      <c r="AD60" s="57">
        <f t="shared" si="34"/>
        <v>0</v>
      </c>
      <c r="AE60" s="57">
        <f t="shared" si="34"/>
        <v>0</v>
      </c>
      <c r="AF60" s="57">
        <f t="shared" si="34"/>
        <v>0</v>
      </c>
      <c r="AG60" s="57">
        <f t="shared" si="34"/>
        <v>0</v>
      </c>
      <c r="AH60" s="57">
        <f t="shared" si="34"/>
        <v>0</v>
      </c>
      <c r="AI60" s="57">
        <f t="shared" si="34"/>
        <v>0</v>
      </c>
      <c r="AJ60" s="57">
        <f t="shared" si="34"/>
        <v>0</v>
      </c>
      <c r="AK60" s="57">
        <f t="shared" si="34"/>
        <v>0</v>
      </c>
      <c r="AL60" s="57">
        <f t="shared" si="34"/>
        <v>0</v>
      </c>
      <c r="AM60" s="57">
        <f t="shared" si="34"/>
        <v>0</v>
      </c>
      <c r="AN60" s="57">
        <f t="shared" si="34"/>
        <v>0</v>
      </c>
      <c r="AO60" s="57">
        <f t="shared" si="34"/>
        <v>0</v>
      </c>
      <c r="AP60" s="57">
        <f t="shared" si="34"/>
        <v>0</v>
      </c>
      <c r="AQ60" s="57">
        <f t="shared" ref="AQ60:BR60" si="35">-SUM(AQ58:AQ59)*AQ47</f>
        <v>0</v>
      </c>
      <c r="AR60" s="57">
        <f t="shared" si="35"/>
        <v>0</v>
      </c>
      <c r="AS60" s="57">
        <f t="shared" si="35"/>
        <v>0</v>
      </c>
      <c r="AT60" s="57">
        <f t="shared" si="35"/>
        <v>0</v>
      </c>
      <c r="AU60" s="57">
        <f t="shared" si="35"/>
        <v>0</v>
      </c>
      <c r="AV60" s="57">
        <f t="shared" si="35"/>
        <v>0</v>
      </c>
      <c r="AW60" s="57">
        <f t="shared" si="35"/>
        <v>0</v>
      </c>
      <c r="AX60" s="57">
        <f t="shared" si="35"/>
        <v>0</v>
      </c>
      <c r="AY60" s="57">
        <f t="shared" si="35"/>
        <v>0</v>
      </c>
      <c r="AZ60" s="57">
        <f t="shared" si="35"/>
        <v>0</v>
      </c>
      <c r="BA60" s="57">
        <f t="shared" si="35"/>
        <v>0</v>
      </c>
      <c r="BB60" s="57">
        <f t="shared" si="35"/>
        <v>0</v>
      </c>
      <c r="BC60" s="57">
        <f t="shared" si="35"/>
        <v>0</v>
      </c>
      <c r="BD60" s="57">
        <f t="shared" si="35"/>
        <v>0</v>
      </c>
      <c r="BE60" s="57">
        <f t="shared" si="35"/>
        <v>0</v>
      </c>
      <c r="BF60" s="57">
        <f t="shared" si="35"/>
        <v>0</v>
      </c>
      <c r="BG60" s="57">
        <f t="shared" si="35"/>
        <v>0</v>
      </c>
      <c r="BH60" s="57">
        <f t="shared" si="35"/>
        <v>0</v>
      </c>
      <c r="BI60" s="57">
        <f t="shared" si="35"/>
        <v>0</v>
      </c>
      <c r="BJ60" s="57">
        <f t="shared" si="35"/>
        <v>0</v>
      </c>
      <c r="BK60" s="57">
        <f t="shared" si="35"/>
        <v>0</v>
      </c>
      <c r="BL60" s="57">
        <f t="shared" si="35"/>
        <v>0</v>
      </c>
      <c r="BM60" s="57">
        <f t="shared" si="35"/>
        <v>0</v>
      </c>
      <c r="BN60" s="57">
        <f t="shared" si="35"/>
        <v>0</v>
      </c>
      <c r="BO60" s="57">
        <f t="shared" si="35"/>
        <v>0</v>
      </c>
      <c r="BP60" s="57">
        <f t="shared" si="35"/>
        <v>0</v>
      </c>
      <c r="BQ60" s="57">
        <f t="shared" si="35"/>
        <v>0</v>
      </c>
      <c r="BR60" s="57">
        <f t="shared" si="35"/>
        <v>0</v>
      </c>
    </row>
    <row r="61" spans="1:70" x14ac:dyDescent="0.25">
      <c r="C61" s="147" t="s">
        <v>230</v>
      </c>
      <c r="D61" s="263">
        <f>KeyInputs!G133</f>
        <v>0</v>
      </c>
      <c r="E61" s="230">
        <f>SUM(E58:E60)</f>
        <v>0</v>
      </c>
      <c r="F61" s="230">
        <f t="shared" ref="F61" si="36">SUM(F58:F60)</f>
        <v>0</v>
      </c>
      <c r="G61" s="230">
        <f t="shared" ref="G61" si="37">SUM(G58:G60)</f>
        <v>0</v>
      </c>
      <c r="H61" s="230">
        <f t="shared" ref="H61" si="38">SUM(H58:H60)</f>
        <v>0</v>
      </c>
      <c r="I61" s="230">
        <f t="shared" ref="I61" si="39">SUM(I58:I60)</f>
        <v>0</v>
      </c>
      <c r="J61" s="262">
        <f>D61</f>
        <v>0</v>
      </c>
      <c r="K61" s="59">
        <f>SUM(K58:K60)</f>
        <v>0</v>
      </c>
      <c r="L61" s="59">
        <f t="shared" ref="L61:S61" si="40">SUM(L58:L60)</f>
        <v>0</v>
      </c>
      <c r="M61" s="59">
        <f t="shared" si="40"/>
        <v>0</v>
      </c>
      <c r="N61" s="59">
        <f t="shared" si="40"/>
        <v>0</v>
      </c>
      <c r="O61" s="59">
        <f t="shared" si="40"/>
        <v>0</v>
      </c>
      <c r="P61" s="59">
        <f t="shared" si="40"/>
        <v>0</v>
      </c>
      <c r="Q61" s="59">
        <f t="shared" si="40"/>
        <v>0</v>
      </c>
      <c r="R61" s="59">
        <f t="shared" si="40"/>
        <v>0</v>
      </c>
      <c r="S61" s="59">
        <f t="shared" si="40"/>
        <v>0</v>
      </c>
      <c r="T61" s="59">
        <f t="shared" ref="T61" si="41">SUM(T58:T60)</f>
        <v>0</v>
      </c>
      <c r="U61" s="59">
        <f t="shared" ref="U61" si="42">SUM(U58:U60)</f>
        <v>0</v>
      </c>
      <c r="V61" s="59">
        <f t="shared" ref="V61" si="43">SUM(V58:V60)</f>
        <v>0</v>
      </c>
      <c r="W61" s="59">
        <f t="shared" ref="W61" si="44">SUM(W58:W60)</f>
        <v>0</v>
      </c>
      <c r="X61" s="59">
        <f t="shared" ref="X61" si="45">SUM(X58:X60)</f>
        <v>0</v>
      </c>
      <c r="Y61" s="59">
        <f t="shared" ref="Y61" si="46">SUM(Y58:Y60)</f>
        <v>0</v>
      </c>
      <c r="Z61" s="59">
        <f t="shared" ref="Z61:AA61" si="47">SUM(Z58:Z60)</f>
        <v>0</v>
      </c>
      <c r="AA61" s="59">
        <f t="shared" si="47"/>
        <v>0</v>
      </c>
      <c r="AB61" s="59">
        <f t="shared" ref="AB61" si="48">SUM(AB58:AB60)</f>
        <v>0</v>
      </c>
      <c r="AC61" s="59">
        <f t="shared" ref="AC61" si="49">SUM(AC58:AC60)</f>
        <v>0</v>
      </c>
      <c r="AD61" s="59">
        <f t="shared" ref="AD61" si="50">SUM(AD58:AD60)</f>
        <v>0</v>
      </c>
      <c r="AE61" s="59">
        <f t="shared" ref="AE61" si="51">SUM(AE58:AE60)</f>
        <v>0</v>
      </c>
      <c r="AF61" s="59">
        <f t="shared" ref="AF61" si="52">SUM(AF58:AF60)</f>
        <v>0</v>
      </c>
      <c r="AG61" s="59">
        <f t="shared" ref="AG61" si="53">SUM(AG58:AG60)</f>
        <v>0</v>
      </c>
      <c r="AH61" s="59">
        <f t="shared" ref="AH61:AI61" si="54">SUM(AH58:AH60)</f>
        <v>0</v>
      </c>
      <c r="AI61" s="59">
        <f t="shared" si="54"/>
        <v>0</v>
      </c>
      <c r="AJ61" s="59">
        <f t="shared" ref="AJ61" si="55">SUM(AJ58:AJ60)</f>
        <v>0</v>
      </c>
      <c r="AK61" s="59">
        <f t="shared" ref="AK61" si="56">SUM(AK58:AK60)</f>
        <v>0</v>
      </c>
      <c r="AL61" s="59">
        <f t="shared" ref="AL61" si="57">SUM(AL58:AL60)</f>
        <v>0</v>
      </c>
      <c r="AM61" s="59">
        <f t="shared" ref="AM61" si="58">SUM(AM58:AM60)</f>
        <v>0</v>
      </c>
      <c r="AN61" s="59">
        <f t="shared" ref="AN61" si="59">SUM(AN58:AN60)</f>
        <v>0</v>
      </c>
      <c r="AO61" s="59">
        <f t="shared" ref="AO61" si="60">SUM(AO58:AO60)</f>
        <v>0</v>
      </c>
      <c r="AP61" s="59">
        <f t="shared" ref="AP61:AQ61" si="61">SUM(AP58:AP60)</f>
        <v>0</v>
      </c>
      <c r="AQ61" s="59">
        <f t="shared" si="61"/>
        <v>0</v>
      </c>
      <c r="AR61" s="59">
        <f t="shared" ref="AR61" si="62">SUM(AR58:AR60)</f>
        <v>0</v>
      </c>
      <c r="AS61" s="59">
        <f t="shared" ref="AS61" si="63">SUM(AS58:AS60)</f>
        <v>0</v>
      </c>
      <c r="AT61" s="59">
        <f t="shared" ref="AT61" si="64">SUM(AT58:AT60)</f>
        <v>0</v>
      </c>
      <c r="AU61" s="59">
        <f t="shared" ref="AU61" si="65">SUM(AU58:AU60)</f>
        <v>0</v>
      </c>
      <c r="AV61" s="59">
        <f t="shared" ref="AV61" si="66">SUM(AV58:AV60)</f>
        <v>0</v>
      </c>
      <c r="AW61" s="59">
        <f t="shared" ref="AW61" si="67">SUM(AW58:AW60)</f>
        <v>0</v>
      </c>
      <c r="AX61" s="59">
        <f t="shared" ref="AX61:AY61" si="68">SUM(AX58:AX60)</f>
        <v>0</v>
      </c>
      <c r="AY61" s="59">
        <f t="shared" si="68"/>
        <v>0</v>
      </c>
      <c r="AZ61" s="59">
        <f t="shared" ref="AZ61" si="69">SUM(AZ58:AZ60)</f>
        <v>0</v>
      </c>
      <c r="BA61" s="59">
        <f t="shared" ref="BA61" si="70">SUM(BA58:BA60)</f>
        <v>0</v>
      </c>
      <c r="BB61" s="59">
        <f t="shared" ref="BB61" si="71">SUM(BB58:BB60)</f>
        <v>0</v>
      </c>
      <c r="BC61" s="59">
        <f t="shared" ref="BC61" si="72">SUM(BC58:BC60)</f>
        <v>0</v>
      </c>
      <c r="BD61" s="59">
        <f t="shared" ref="BD61" si="73">SUM(BD58:BD60)</f>
        <v>0</v>
      </c>
      <c r="BE61" s="59">
        <f t="shared" ref="BE61" si="74">SUM(BE58:BE60)</f>
        <v>0</v>
      </c>
      <c r="BF61" s="59">
        <f t="shared" ref="BF61:BG61" si="75">SUM(BF58:BF60)</f>
        <v>0</v>
      </c>
      <c r="BG61" s="59">
        <f t="shared" si="75"/>
        <v>0</v>
      </c>
      <c r="BH61" s="59">
        <f t="shared" ref="BH61" si="76">SUM(BH58:BH60)</f>
        <v>0</v>
      </c>
      <c r="BI61" s="59">
        <f t="shared" ref="BI61" si="77">SUM(BI58:BI60)</f>
        <v>0</v>
      </c>
      <c r="BJ61" s="59">
        <f t="shared" ref="BJ61" si="78">SUM(BJ58:BJ60)</f>
        <v>0</v>
      </c>
      <c r="BK61" s="59">
        <f t="shared" ref="BK61" si="79">SUM(BK58:BK60)</f>
        <v>0</v>
      </c>
      <c r="BL61" s="59">
        <f t="shared" ref="BL61" si="80">SUM(BL58:BL60)</f>
        <v>0</v>
      </c>
      <c r="BM61" s="59">
        <f t="shared" ref="BM61" si="81">SUM(BM58:BM60)</f>
        <v>0</v>
      </c>
      <c r="BN61" s="59">
        <f t="shared" ref="BN61:BO61" si="82">SUM(BN58:BN60)</f>
        <v>0</v>
      </c>
      <c r="BO61" s="59">
        <f t="shared" si="82"/>
        <v>0</v>
      </c>
      <c r="BP61" s="59">
        <f t="shared" ref="BP61" si="83">SUM(BP58:BP60)</f>
        <v>0</v>
      </c>
      <c r="BQ61" s="59">
        <f t="shared" ref="BQ61" si="84">SUM(BQ58:BQ60)</f>
        <v>0</v>
      </c>
      <c r="BR61" s="59">
        <f t="shared" ref="BR61" si="85">SUM(BR58:BR60)</f>
        <v>0</v>
      </c>
    </row>
    <row r="63" spans="1:70" s="166" customFormat="1" ht="15.6" x14ac:dyDescent="0.3">
      <c r="A63" s="166">
        <f>Header1</f>
        <v>3</v>
      </c>
      <c r="B63" s="166" t="str">
        <f>KeyInputs!G70</f>
        <v>Investment 1</v>
      </c>
    </row>
    <row r="64" spans="1:70" outlineLevel="1" x14ac:dyDescent="0.25"/>
    <row r="65" spans="2:70" outlineLevel="1" x14ac:dyDescent="0.25">
      <c r="C65" s="217" t="str">
        <f>KeyInputs!C71</f>
        <v>Drawdown</v>
      </c>
      <c r="D65" s="220">
        <f>KeyInputs!G71</f>
        <v>0</v>
      </c>
    </row>
    <row r="66" spans="2:70" outlineLevel="1" x14ac:dyDescent="0.25">
      <c r="C66" s="217" t="str">
        <f>KeyInputs!C72</f>
        <v>Drawdown date</v>
      </c>
      <c r="D66" s="222">
        <f>KeyInputs!G72</f>
        <v>41365</v>
      </c>
    </row>
    <row r="67" spans="2:70" outlineLevel="1" x14ac:dyDescent="0.25">
      <c r="C67" s="217" t="str">
        <f>KeyInputs!C73</f>
        <v>Debt term (years)</v>
      </c>
      <c r="D67" s="219">
        <f>KeyInputs!G73</f>
        <v>2</v>
      </c>
    </row>
    <row r="68" spans="2:70" outlineLevel="1" x14ac:dyDescent="0.25">
      <c r="C68" s="217" t="s">
        <v>466</v>
      </c>
      <c r="D68" s="219">
        <f>KeyInputs!G74</f>
        <v>1</v>
      </c>
    </row>
    <row r="69" spans="2:70" outlineLevel="1" x14ac:dyDescent="0.25">
      <c r="C69" s="217" t="str">
        <f>KeyInputs!C75</f>
        <v>Interest payment month</v>
      </c>
      <c r="D69" s="219">
        <f>KeyInputs!G75</f>
        <v>1</v>
      </c>
    </row>
    <row r="70" spans="2:70" outlineLevel="1" x14ac:dyDescent="0.25">
      <c r="C70" s="217" t="str">
        <f>KeyInputs!C78</f>
        <v>Interest rate % per annum</v>
      </c>
      <c r="D70" s="218">
        <f>KeyInputs!G78</f>
        <v>3.4999999999999996E-2</v>
      </c>
    </row>
    <row r="71" spans="2:70" outlineLevel="1" x14ac:dyDescent="0.25"/>
    <row r="72" spans="2:70" outlineLevel="1" x14ac:dyDescent="0.25">
      <c r="C72" s="57" t="s">
        <v>259</v>
      </c>
      <c r="D72" s="221">
        <f>EDATE(D66,D68)-1</f>
        <v>41394</v>
      </c>
    </row>
    <row r="73" spans="2:70" outlineLevel="1" x14ac:dyDescent="0.25">
      <c r="C73" s="57" t="s">
        <v>246</v>
      </c>
      <c r="D73" s="57">
        <f>IFERROR(INDEX($K$6:$BR$6,0,MATCH($D66,$K$7:$BR$7,0)),0)</f>
        <v>0</v>
      </c>
    </row>
    <row r="74" spans="2:70" outlineLevel="1" x14ac:dyDescent="0.25">
      <c r="C74" s="57" t="s">
        <v>259</v>
      </c>
      <c r="D74" s="57">
        <f>D73+D69</f>
        <v>1</v>
      </c>
      <c r="F74" s="304"/>
    </row>
    <row r="75" spans="2:70" outlineLevel="1" x14ac:dyDescent="0.25">
      <c r="C75" s="57" t="s">
        <v>263</v>
      </c>
      <c r="D75" s="221">
        <f>EDATE($D72,(D67)*12)</f>
        <v>42124</v>
      </c>
    </row>
    <row r="76" spans="2:70" outlineLevel="1" x14ac:dyDescent="0.25">
      <c r="C76" s="57" t="s">
        <v>245</v>
      </c>
      <c r="D76" s="57">
        <f>D65/D67/12*D68</f>
        <v>0</v>
      </c>
      <c r="F76" s="304"/>
    </row>
    <row r="77" spans="2:70" outlineLevel="1" x14ac:dyDescent="0.25"/>
    <row r="78" spans="2:70" s="143" customFormat="1" ht="13.8" outlineLevel="1" x14ac:dyDescent="0.25">
      <c r="B78" s="143" t="str">
        <f>Header2</f>
        <v>3.1</v>
      </c>
      <c r="C78" s="143" t="s">
        <v>254</v>
      </c>
    </row>
    <row r="79" spans="2:70" outlineLevel="1" x14ac:dyDescent="0.25"/>
    <row r="80" spans="2:70" outlineLevel="1" x14ac:dyDescent="0.25">
      <c r="C80" s="147" t="s">
        <v>255</v>
      </c>
      <c r="K80" s="57">
        <f>(K$7&lt;=$D66)*(K$8&gt;=$D66)</f>
        <v>0</v>
      </c>
      <c r="L80" s="57">
        <f t="shared" ref="L80:BR80" si="86">(L$7&lt;=$D66)*(L$8&gt;=$D66)</f>
        <v>0</v>
      </c>
      <c r="M80" s="57">
        <f t="shared" si="86"/>
        <v>0</v>
      </c>
      <c r="N80" s="57">
        <f t="shared" si="86"/>
        <v>0</v>
      </c>
      <c r="O80" s="57">
        <f t="shared" si="86"/>
        <v>0</v>
      </c>
      <c r="P80" s="57">
        <f t="shared" si="86"/>
        <v>0</v>
      </c>
      <c r="Q80" s="57">
        <f t="shared" si="86"/>
        <v>0</v>
      </c>
      <c r="R80" s="57">
        <f t="shared" si="86"/>
        <v>0</v>
      </c>
      <c r="S80" s="57">
        <f t="shared" si="86"/>
        <v>0</v>
      </c>
      <c r="T80" s="57">
        <f t="shared" si="86"/>
        <v>0</v>
      </c>
      <c r="U80" s="57">
        <f t="shared" si="86"/>
        <v>0</v>
      </c>
      <c r="V80" s="57">
        <f t="shared" si="86"/>
        <v>0</v>
      </c>
      <c r="W80" s="57">
        <f t="shared" si="86"/>
        <v>0</v>
      </c>
      <c r="X80" s="57">
        <f t="shared" si="86"/>
        <v>0</v>
      </c>
      <c r="Y80" s="57">
        <f t="shared" si="86"/>
        <v>0</v>
      </c>
      <c r="Z80" s="57">
        <f t="shared" si="86"/>
        <v>0</v>
      </c>
      <c r="AA80" s="57">
        <f t="shared" si="86"/>
        <v>0</v>
      </c>
      <c r="AB80" s="57">
        <f t="shared" si="86"/>
        <v>0</v>
      </c>
      <c r="AC80" s="57">
        <f t="shared" si="86"/>
        <v>0</v>
      </c>
      <c r="AD80" s="57">
        <f t="shared" si="86"/>
        <v>0</v>
      </c>
      <c r="AE80" s="57">
        <f t="shared" si="86"/>
        <v>0</v>
      </c>
      <c r="AF80" s="57">
        <f t="shared" si="86"/>
        <v>0</v>
      </c>
      <c r="AG80" s="57">
        <f t="shared" si="86"/>
        <v>0</v>
      </c>
      <c r="AH80" s="57">
        <f t="shared" si="86"/>
        <v>0</v>
      </c>
      <c r="AI80" s="57">
        <f t="shared" si="86"/>
        <v>0</v>
      </c>
      <c r="AJ80" s="57">
        <f t="shared" si="86"/>
        <v>0</v>
      </c>
      <c r="AK80" s="57">
        <f t="shared" si="86"/>
        <v>0</v>
      </c>
      <c r="AL80" s="57">
        <f t="shared" si="86"/>
        <v>0</v>
      </c>
      <c r="AM80" s="57">
        <f t="shared" si="86"/>
        <v>0</v>
      </c>
      <c r="AN80" s="57">
        <f t="shared" si="86"/>
        <v>0</v>
      </c>
      <c r="AO80" s="57">
        <f t="shared" si="86"/>
        <v>0</v>
      </c>
      <c r="AP80" s="57">
        <f t="shared" si="86"/>
        <v>0</v>
      </c>
      <c r="AQ80" s="57">
        <f t="shared" si="86"/>
        <v>0</v>
      </c>
      <c r="AR80" s="57">
        <f t="shared" si="86"/>
        <v>0</v>
      </c>
      <c r="AS80" s="57">
        <f t="shared" si="86"/>
        <v>0</v>
      </c>
      <c r="AT80" s="57">
        <f t="shared" si="86"/>
        <v>0</v>
      </c>
      <c r="AU80" s="57">
        <f t="shared" si="86"/>
        <v>0</v>
      </c>
      <c r="AV80" s="57">
        <f t="shared" si="86"/>
        <v>0</v>
      </c>
      <c r="AW80" s="57">
        <f t="shared" si="86"/>
        <v>0</v>
      </c>
      <c r="AX80" s="57">
        <f t="shared" si="86"/>
        <v>0</v>
      </c>
      <c r="AY80" s="57">
        <f t="shared" si="86"/>
        <v>0</v>
      </c>
      <c r="AZ80" s="57">
        <f t="shared" si="86"/>
        <v>0</v>
      </c>
      <c r="BA80" s="57">
        <f t="shared" si="86"/>
        <v>0</v>
      </c>
      <c r="BB80" s="57">
        <f t="shared" si="86"/>
        <v>0</v>
      </c>
      <c r="BC80" s="57">
        <f t="shared" si="86"/>
        <v>0</v>
      </c>
      <c r="BD80" s="57">
        <f t="shared" si="86"/>
        <v>0</v>
      </c>
      <c r="BE80" s="57">
        <f t="shared" si="86"/>
        <v>0</v>
      </c>
      <c r="BF80" s="57">
        <f t="shared" si="86"/>
        <v>0</v>
      </c>
      <c r="BG80" s="57">
        <f t="shared" si="86"/>
        <v>0</v>
      </c>
      <c r="BH80" s="57">
        <f t="shared" si="86"/>
        <v>0</v>
      </c>
      <c r="BI80" s="57">
        <f t="shared" si="86"/>
        <v>0</v>
      </c>
      <c r="BJ80" s="57">
        <f t="shared" si="86"/>
        <v>0</v>
      </c>
      <c r="BK80" s="57">
        <f t="shared" si="86"/>
        <v>0</v>
      </c>
      <c r="BL80" s="57">
        <f t="shared" si="86"/>
        <v>0</v>
      </c>
      <c r="BM80" s="57">
        <f t="shared" si="86"/>
        <v>0</v>
      </c>
      <c r="BN80" s="57">
        <f t="shared" si="86"/>
        <v>0</v>
      </c>
      <c r="BO80" s="57">
        <f t="shared" si="86"/>
        <v>0</v>
      </c>
      <c r="BP80" s="57">
        <f t="shared" si="86"/>
        <v>0</v>
      </c>
      <c r="BQ80" s="57">
        <f t="shared" si="86"/>
        <v>0</v>
      </c>
      <c r="BR80" s="57">
        <f t="shared" si="86"/>
        <v>0</v>
      </c>
    </row>
    <row r="81" spans="1:70" outlineLevel="1" x14ac:dyDescent="0.25">
      <c r="C81" s="147" t="s">
        <v>256</v>
      </c>
      <c r="K81" s="57">
        <f>IF(K87&lt;-1,IF(MOD(K$6-$D73,$D68)=0,1,0),0)</f>
        <v>0</v>
      </c>
      <c r="L81" s="57">
        <f t="shared" ref="L81:AX81" si="87">IF(L87&lt;-1,IF(MOD(L6-$D73,$D68)=0,1,0),0)</f>
        <v>0</v>
      </c>
      <c r="M81" s="57">
        <f t="shared" si="87"/>
        <v>0</v>
      </c>
      <c r="N81" s="57">
        <f t="shared" si="87"/>
        <v>0</v>
      </c>
      <c r="O81" s="57">
        <f t="shared" si="87"/>
        <v>0</v>
      </c>
      <c r="P81" s="57">
        <f t="shared" si="87"/>
        <v>0</v>
      </c>
      <c r="Q81" s="57">
        <f t="shared" si="87"/>
        <v>0</v>
      </c>
      <c r="R81" s="57">
        <f t="shared" si="87"/>
        <v>0</v>
      </c>
      <c r="S81" s="57">
        <f t="shared" si="87"/>
        <v>0</v>
      </c>
      <c r="T81" s="57">
        <f t="shared" si="87"/>
        <v>0</v>
      </c>
      <c r="U81" s="57">
        <f t="shared" si="87"/>
        <v>0</v>
      </c>
      <c r="V81" s="57">
        <f t="shared" si="87"/>
        <v>0</v>
      </c>
      <c r="W81" s="57">
        <f t="shared" si="87"/>
        <v>0</v>
      </c>
      <c r="X81" s="57">
        <f t="shared" si="87"/>
        <v>0</v>
      </c>
      <c r="Y81" s="57">
        <f t="shared" si="87"/>
        <v>0</v>
      </c>
      <c r="Z81" s="57">
        <f t="shared" si="87"/>
        <v>0</v>
      </c>
      <c r="AA81" s="57">
        <f t="shared" si="87"/>
        <v>0</v>
      </c>
      <c r="AB81" s="57">
        <f t="shared" si="87"/>
        <v>0</v>
      </c>
      <c r="AC81" s="57">
        <f t="shared" si="87"/>
        <v>0</v>
      </c>
      <c r="AD81" s="57">
        <f t="shared" si="87"/>
        <v>0</v>
      </c>
      <c r="AE81" s="57">
        <f t="shared" si="87"/>
        <v>0</v>
      </c>
      <c r="AF81" s="57">
        <f t="shared" si="87"/>
        <v>0</v>
      </c>
      <c r="AG81" s="57">
        <f t="shared" si="87"/>
        <v>0</v>
      </c>
      <c r="AH81" s="57">
        <f t="shared" si="87"/>
        <v>0</v>
      </c>
      <c r="AI81" s="57">
        <f t="shared" si="87"/>
        <v>0</v>
      </c>
      <c r="AJ81" s="57">
        <f t="shared" si="87"/>
        <v>0</v>
      </c>
      <c r="AK81" s="57">
        <f t="shared" si="87"/>
        <v>0</v>
      </c>
      <c r="AL81" s="57">
        <f t="shared" si="87"/>
        <v>0</v>
      </c>
      <c r="AM81" s="57">
        <f t="shared" si="87"/>
        <v>0</v>
      </c>
      <c r="AN81" s="57">
        <f t="shared" si="87"/>
        <v>0</v>
      </c>
      <c r="AO81" s="57">
        <f t="shared" si="87"/>
        <v>0</v>
      </c>
      <c r="AP81" s="57">
        <f t="shared" si="87"/>
        <v>0</v>
      </c>
      <c r="AQ81" s="57">
        <f t="shared" si="87"/>
        <v>0</v>
      </c>
      <c r="AR81" s="57">
        <f t="shared" si="87"/>
        <v>0</v>
      </c>
      <c r="AS81" s="57">
        <f t="shared" si="87"/>
        <v>0</v>
      </c>
      <c r="AT81" s="57">
        <f t="shared" si="87"/>
        <v>0</v>
      </c>
      <c r="AU81" s="57">
        <f t="shared" si="87"/>
        <v>0</v>
      </c>
      <c r="AV81" s="57">
        <f t="shared" si="87"/>
        <v>0</v>
      </c>
      <c r="AW81" s="57">
        <f t="shared" si="87"/>
        <v>0</v>
      </c>
      <c r="AX81" s="57">
        <f t="shared" si="87"/>
        <v>0</v>
      </c>
      <c r="AY81" s="57">
        <f>IF(AY87&lt;-1,IF(MOD(AY6-$D73,$D68)=0,1,0),0)</f>
        <v>0</v>
      </c>
      <c r="AZ81" s="57">
        <f t="shared" ref="AZ81:BR81" si="88">IF(AZ87&lt;-1,IF(MOD(AZ6-$D73,$D68)=0,1,0),0)</f>
        <v>0</v>
      </c>
      <c r="BA81" s="57">
        <f t="shared" si="88"/>
        <v>0</v>
      </c>
      <c r="BB81" s="57">
        <f t="shared" si="88"/>
        <v>0</v>
      </c>
      <c r="BC81" s="57">
        <f t="shared" si="88"/>
        <v>0</v>
      </c>
      <c r="BD81" s="57">
        <f t="shared" si="88"/>
        <v>0</v>
      </c>
      <c r="BE81" s="57">
        <f t="shared" si="88"/>
        <v>0</v>
      </c>
      <c r="BF81" s="57">
        <f t="shared" si="88"/>
        <v>0</v>
      </c>
      <c r="BG81" s="57">
        <f t="shared" si="88"/>
        <v>0</v>
      </c>
      <c r="BH81" s="57">
        <f t="shared" si="88"/>
        <v>0</v>
      </c>
      <c r="BI81" s="57">
        <f t="shared" si="88"/>
        <v>0</v>
      </c>
      <c r="BJ81" s="57">
        <f t="shared" si="88"/>
        <v>0</v>
      </c>
      <c r="BK81" s="57">
        <f t="shared" si="88"/>
        <v>0</v>
      </c>
      <c r="BL81" s="57">
        <f t="shared" si="88"/>
        <v>0</v>
      </c>
      <c r="BM81" s="57">
        <f t="shared" si="88"/>
        <v>0</v>
      </c>
      <c r="BN81" s="57">
        <f t="shared" si="88"/>
        <v>0</v>
      </c>
      <c r="BO81" s="57">
        <f t="shared" si="88"/>
        <v>0</v>
      </c>
      <c r="BP81" s="57">
        <f t="shared" si="88"/>
        <v>0</v>
      </c>
      <c r="BQ81" s="57">
        <f t="shared" si="88"/>
        <v>0</v>
      </c>
      <c r="BR81" s="57">
        <f t="shared" si="88"/>
        <v>0</v>
      </c>
    </row>
    <row r="82" spans="1:70" outlineLevel="1" x14ac:dyDescent="0.25">
      <c r="C82" s="139" t="s">
        <v>260</v>
      </c>
      <c r="K82" s="57">
        <f>IF(K95&lt;-1,IF(MOD(K$6-$D73,$D69)=0,1,0),0)</f>
        <v>0</v>
      </c>
      <c r="L82" s="57">
        <f t="shared" ref="L82:BR82" si="89">IF(L95&lt;-1,IF(MOD(L6-$D73,$D69)=0,1,0),0)</f>
        <v>0</v>
      </c>
      <c r="M82" s="57">
        <f t="shared" si="89"/>
        <v>0</v>
      </c>
      <c r="N82" s="57">
        <f t="shared" si="89"/>
        <v>0</v>
      </c>
      <c r="O82" s="57">
        <f t="shared" si="89"/>
        <v>0</v>
      </c>
      <c r="P82" s="57">
        <f t="shared" si="89"/>
        <v>0</v>
      </c>
      <c r="Q82" s="57">
        <f t="shared" si="89"/>
        <v>0</v>
      </c>
      <c r="R82" s="57">
        <f t="shared" si="89"/>
        <v>0</v>
      </c>
      <c r="S82" s="57">
        <f t="shared" si="89"/>
        <v>0</v>
      </c>
      <c r="T82" s="57">
        <f t="shared" si="89"/>
        <v>0</v>
      </c>
      <c r="U82" s="57">
        <f t="shared" si="89"/>
        <v>0</v>
      </c>
      <c r="V82" s="57">
        <f t="shared" si="89"/>
        <v>0</v>
      </c>
      <c r="W82" s="57">
        <f t="shared" si="89"/>
        <v>0</v>
      </c>
      <c r="X82" s="57">
        <f t="shared" si="89"/>
        <v>0</v>
      </c>
      <c r="Y82" s="57">
        <f t="shared" si="89"/>
        <v>0</v>
      </c>
      <c r="Z82" s="57">
        <f t="shared" si="89"/>
        <v>0</v>
      </c>
      <c r="AA82" s="57">
        <f t="shared" si="89"/>
        <v>0</v>
      </c>
      <c r="AB82" s="57">
        <f t="shared" si="89"/>
        <v>0</v>
      </c>
      <c r="AC82" s="57">
        <f t="shared" si="89"/>
        <v>0</v>
      </c>
      <c r="AD82" s="57">
        <f t="shared" si="89"/>
        <v>0</v>
      </c>
      <c r="AE82" s="57">
        <f t="shared" si="89"/>
        <v>0</v>
      </c>
      <c r="AF82" s="57">
        <f t="shared" si="89"/>
        <v>0</v>
      </c>
      <c r="AG82" s="57">
        <f t="shared" si="89"/>
        <v>0</v>
      </c>
      <c r="AH82" s="57">
        <f t="shared" si="89"/>
        <v>0</v>
      </c>
      <c r="AI82" s="57">
        <f t="shared" si="89"/>
        <v>0</v>
      </c>
      <c r="AJ82" s="57">
        <f t="shared" si="89"/>
        <v>0</v>
      </c>
      <c r="AK82" s="57">
        <f t="shared" si="89"/>
        <v>0</v>
      </c>
      <c r="AL82" s="57">
        <f t="shared" si="89"/>
        <v>0</v>
      </c>
      <c r="AM82" s="57">
        <f t="shared" si="89"/>
        <v>0</v>
      </c>
      <c r="AN82" s="57">
        <f t="shared" si="89"/>
        <v>0</v>
      </c>
      <c r="AO82" s="57">
        <f t="shared" si="89"/>
        <v>0</v>
      </c>
      <c r="AP82" s="57">
        <f t="shared" si="89"/>
        <v>0</v>
      </c>
      <c r="AQ82" s="57">
        <f t="shared" si="89"/>
        <v>0</v>
      </c>
      <c r="AR82" s="57">
        <f t="shared" si="89"/>
        <v>0</v>
      </c>
      <c r="AS82" s="57">
        <f t="shared" si="89"/>
        <v>0</v>
      </c>
      <c r="AT82" s="57">
        <f t="shared" si="89"/>
        <v>0</v>
      </c>
      <c r="AU82" s="57">
        <f t="shared" si="89"/>
        <v>0</v>
      </c>
      <c r="AV82" s="57">
        <f t="shared" si="89"/>
        <v>0</v>
      </c>
      <c r="AW82" s="57">
        <f t="shared" si="89"/>
        <v>0</v>
      </c>
      <c r="AX82" s="57">
        <f t="shared" si="89"/>
        <v>0</v>
      </c>
      <c r="AY82" s="57">
        <f t="shared" si="89"/>
        <v>0</v>
      </c>
      <c r="AZ82" s="57">
        <f t="shared" si="89"/>
        <v>0</v>
      </c>
      <c r="BA82" s="57">
        <f t="shared" si="89"/>
        <v>0</v>
      </c>
      <c r="BB82" s="57">
        <f t="shared" si="89"/>
        <v>0</v>
      </c>
      <c r="BC82" s="57">
        <f t="shared" si="89"/>
        <v>0</v>
      </c>
      <c r="BD82" s="57">
        <f t="shared" si="89"/>
        <v>0</v>
      </c>
      <c r="BE82" s="57">
        <f t="shared" si="89"/>
        <v>0</v>
      </c>
      <c r="BF82" s="57">
        <f t="shared" si="89"/>
        <v>0</v>
      </c>
      <c r="BG82" s="57">
        <f t="shared" si="89"/>
        <v>0</v>
      </c>
      <c r="BH82" s="57">
        <f t="shared" si="89"/>
        <v>0</v>
      </c>
      <c r="BI82" s="57">
        <f t="shared" si="89"/>
        <v>0</v>
      </c>
      <c r="BJ82" s="57">
        <f t="shared" si="89"/>
        <v>0</v>
      </c>
      <c r="BK82" s="57">
        <f t="shared" si="89"/>
        <v>0</v>
      </c>
      <c r="BL82" s="57">
        <f t="shared" si="89"/>
        <v>0</v>
      </c>
      <c r="BM82" s="57">
        <f t="shared" si="89"/>
        <v>0</v>
      </c>
      <c r="BN82" s="57">
        <f t="shared" si="89"/>
        <v>0</v>
      </c>
      <c r="BO82" s="57">
        <f t="shared" si="89"/>
        <v>0</v>
      </c>
      <c r="BP82" s="57">
        <f t="shared" si="89"/>
        <v>0</v>
      </c>
      <c r="BQ82" s="57">
        <f t="shared" si="89"/>
        <v>0</v>
      </c>
      <c r="BR82" s="57">
        <f t="shared" si="89"/>
        <v>0</v>
      </c>
    </row>
    <row r="83" spans="1:70" outlineLevel="1" x14ac:dyDescent="0.25"/>
    <row r="84" spans="1:70" outlineLevel="1" x14ac:dyDescent="0.25"/>
    <row r="85" spans="1:70" s="145" customFormat="1" ht="13.8" outlineLevel="1" x14ac:dyDescent="0.25">
      <c r="B85" s="145" t="str">
        <f>Header2</f>
        <v>3.2</v>
      </c>
      <c r="C85" s="145" t="s">
        <v>468</v>
      </c>
    </row>
    <row r="86" spans="1:70" s="147" customFormat="1" outlineLevel="1" x14ac:dyDescent="0.25">
      <c r="A86" s="211"/>
      <c r="F86" s="212"/>
    </row>
    <row r="87" spans="1:70" s="147" customFormat="1" outlineLevel="1" x14ac:dyDescent="0.25">
      <c r="A87" s="211"/>
      <c r="C87" s="147" t="s">
        <v>228</v>
      </c>
      <c r="D87" s="231" t="str">
        <f>unit</f>
        <v>£</v>
      </c>
      <c r="E87" s="147">
        <f>INDEX($K87:$BR87,0,MATCH(E$7,$K$7:$BR$7,0))</f>
        <v>0</v>
      </c>
      <c r="F87" s="147">
        <f t="shared" ref="F87:I87" si="90">INDEX($K87:$BR87,0,MATCH(F$7,$K$7:$BR$7,0))</f>
        <v>0</v>
      </c>
      <c r="G87" s="147">
        <f t="shared" si="90"/>
        <v>0</v>
      </c>
      <c r="H87" s="147">
        <f t="shared" si="90"/>
        <v>0</v>
      </c>
      <c r="I87" s="147">
        <f t="shared" si="90"/>
        <v>0</v>
      </c>
      <c r="K87" s="223">
        <v>0</v>
      </c>
      <c r="L87" s="223">
        <f t="shared" ref="L87:BR87" si="91">K90</f>
        <v>0</v>
      </c>
      <c r="M87" s="223">
        <f t="shared" si="91"/>
        <v>0</v>
      </c>
      <c r="N87" s="223">
        <f t="shared" si="91"/>
        <v>0</v>
      </c>
      <c r="O87" s="223">
        <f t="shared" si="91"/>
        <v>0</v>
      </c>
      <c r="P87" s="223">
        <f t="shared" si="91"/>
        <v>0</v>
      </c>
      <c r="Q87" s="223">
        <f t="shared" si="91"/>
        <v>0</v>
      </c>
      <c r="R87" s="223">
        <f t="shared" si="91"/>
        <v>0</v>
      </c>
      <c r="S87" s="223">
        <f t="shared" si="91"/>
        <v>0</v>
      </c>
      <c r="T87" s="223">
        <f t="shared" si="91"/>
        <v>0</v>
      </c>
      <c r="U87" s="223">
        <f t="shared" si="91"/>
        <v>0</v>
      </c>
      <c r="V87" s="223">
        <f t="shared" si="91"/>
        <v>0</v>
      </c>
      <c r="W87" s="223">
        <f t="shared" si="91"/>
        <v>0</v>
      </c>
      <c r="X87" s="223">
        <f t="shared" si="91"/>
        <v>0</v>
      </c>
      <c r="Y87" s="223">
        <f t="shared" si="91"/>
        <v>0</v>
      </c>
      <c r="Z87" s="223">
        <f t="shared" si="91"/>
        <v>0</v>
      </c>
      <c r="AA87" s="223">
        <f t="shared" si="91"/>
        <v>0</v>
      </c>
      <c r="AB87" s="223">
        <f t="shared" si="91"/>
        <v>0</v>
      </c>
      <c r="AC87" s="223">
        <f t="shared" si="91"/>
        <v>0</v>
      </c>
      <c r="AD87" s="223">
        <f t="shared" si="91"/>
        <v>0</v>
      </c>
      <c r="AE87" s="223">
        <f t="shared" si="91"/>
        <v>0</v>
      </c>
      <c r="AF87" s="223">
        <f t="shared" si="91"/>
        <v>0</v>
      </c>
      <c r="AG87" s="223">
        <f t="shared" si="91"/>
        <v>0</v>
      </c>
      <c r="AH87" s="223">
        <f t="shared" si="91"/>
        <v>0</v>
      </c>
      <c r="AI87" s="223">
        <f t="shared" si="91"/>
        <v>0</v>
      </c>
      <c r="AJ87" s="223">
        <f t="shared" si="91"/>
        <v>0</v>
      </c>
      <c r="AK87" s="223">
        <f t="shared" si="91"/>
        <v>0</v>
      </c>
      <c r="AL87" s="223">
        <f t="shared" si="91"/>
        <v>0</v>
      </c>
      <c r="AM87" s="223">
        <f t="shared" si="91"/>
        <v>0</v>
      </c>
      <c r="AN87" s="223">
        <f t="shared" si="91"/>
        <v>0</v>
      </c>
      <c r="AO87" s="223">
        <f t="shared" si="91"/>
        <v>0</v>
      </c>
      <c r="AP87" s="223">
        <f t="shared" si="91"/>
        <v>0</v>
      </c>
      <c r="AQ87" s="223">
        <f t="shared" si="91"/>
        <v>0</v>
      </c>
      <c r="AR87" s="223">
        <f t="shared" si="91"/>
        <v>0</v>
      </c>
      <c r="AS87" s="223">
        <f t="shared" si="91"/>
        <v>0</v>
      </c>
      <c r="AT87" s="223">
        <f t="shared" si="91"/>
        <v>0</v>
      </c>
      <c r="AU87" s="223">
        <f t="shared" si="91"/>
        <v>0</v>
      </c>
      <c r="AV87" s="223">
        <f t="shared" si="91"/>
        <v>0</v>
      </c>
      <c r="AW87" s="223">
        <f t="shared" si="91"/>
        <v>0</v>
      </c>
      <c r="AX87" s="223">
        <f t="shared" si="91"/>
        <v>0</v>
      </c>
      <c r="AY87" s="223">
        <f t="shared" si="91"/>
        <v>0</v>
      </c>
      <c r="AZ87" s="223">
        <f t="shared" si="91"/>
        <v>0</v>
      </c>
      <c r="BA87" s="223">
        <f t="shared" si="91"/>
        <v>0</v>
      </c>
      <c r="BB87" s="223">
        <f t="shared" si="91"/>
        <v>0</v>
      </c>
      <c r="BC87" s="223">
        <f t="shared" si="91"/>
        <v>0</v>
      </c>
      <c r="BD87" s="223">
        <f t="shared" si="91"/>
        <v>0</v>
      </c>
      <c r="BE87" s="223">
        <f t="shared" si="91"/>
        <v>0</v>
      </c>
      <c r="BF87" s="223">
        <f t="shared" si="91"/>
        <v>0</v>
      </c>
      <c r="BG87" s="223">
        <f t="shared" si="91"/>
        <v>0</v>
      </c>
      <c r="BH87" s="223">
        <f t="shared" si="91"/>
        <v>0</v>
      </c>
      <c r="BI87" s="223">
        <f t="shared" si="91"/>
        <v>0</v>
      </c>
      <c r="BJ87" s="223">
        <f t="shared" si="91"/>
        <v>0</v>
      </c>
      <c r="BK87" s="223">
        <f t="shared" si="91"/>
        <v>0</v>
      </c>
      <c r="BL87" s="223">
        <f t="shared" si="91"/>
        <v>0</v>
      </c>
      <c r="BM87" s="223">
        <f t="shared" si="91"/>
        <v>0</v>
      </c>
      <c r="BN87" s="223">
        <f t="shared" si="91"/>
        <v>0</v>
      </c>
      <c r="BO87" s="223">
        <f t="shared" si="91"/>
        <v>0</v>
      </c>
      <c r="BP87" s="223">
        <f t="shared" si="91"/>
        <v>0</v>
      </c>
      <c r="BQ87" s="223">
        <f t="shared" si="91"/>
        <v>0</v>
      </c>
      <c r="BR87" s="223">
        <f t="shared" si="91"/>
        <v>0</v>
      </c>
    </row>
    <row r="88" spans="1:70" s="147" customFormat="1" outlineLevel="1" x14ac:dyDescent="0.25">
      <c r="A88" s="211"/>
      <c r="C88" s="147" t="s">
        <v>249</v>
      </c>
      <c r="D88" s="231" t="str">
        <f>unit</f>
        <v>£</v>
      </c>
      <c r="E88" s="147">
        <f>SUMIF($K$5:$BR$5,E$5,$K88:$BR88)</f>
        <v>0</v>
      </c>
      <c r="F88" s="147">
        <f t="shared" ref="F88:I89" si="92">SUMIF($K$5:$BR$5,F$5,$K88:$BR88)</f>
        <v>0</v>
      </c>
      <c r="G88" s="147">
        <f t="shared" si="92"/>
        <v>0</v>
      </c>
      <c r="H88" s="147">
        <f t="shared" si="92"/>
        <v>0</v>
      </c>
      <c r="I88" s="147">
        <f t="shared" si="92"/>
        <v>0</v>
      </c>
      <c r="K88" s="147">
        <f>$D65*K80</f>
        <v>0</v>
      </c>
      <c r="L88" s="147">
        <f t="shared" ref="L88:BR88" si="93">$D65*L80</f>
        <v>0</v>
      </c>
      <c r="M88" s="147">
        <f t="shared" si="93"/>
        <v>0</v>
      </c>
      <c r="N88" s="147">
        <f t="shared" si="93"/>
        <v>0</v>
      </c>
      <c r="O88" s="147">
        <f t="shared" si="93"/>
        <v>0</v>
      </c>
      <c r="P88" s="147">
        <f t="shared" si="93"/>
        <v>0</v>
      </c>
      <c r="Q88" s="147">
        <f t="shared" si="93"/>
        <v>0</v>
      </c>
      <c r="R88" s="147">
        <f t="shared" si="93"/>
        <v>0</v>
      </c>
      <c r="S88" s="147">
        <f t="shared" si="93"/>
        <v>0</v>
      </c>
      <c r="T88" s="147">
        <f t="shared" si="93"/>
        <v>0</v>
      </c>
      <c r="U88" s="147">
        <f t="shared" si="93"/>
        <v>0</v>
      </c>
      <c r="V88" s="147">
        <f t="shared" si="93"/>
        <v>0</v>
      </c>
      <c r="W88" s="147">
        <f t="shared" si="93"/>
        <v>0</v>
      </c>
      <c r="X88" s="147">
        <f t="shared" si="93"/>
        <v>0</v>
      </c>
      <c r="Y88" s="147">
        <f t="shared" si="93"/>
        <v>0</v>
      </c>
      <c r="Z88" s="147">
        <f t="shared" si="93"/>
        <v>0</v>
      </c>
      <c r="AA88" s="147">
        <f t="shared" si="93"/>
        <v>0</v>
      </c>
      <c r="AB88" s="147">
        <f t="shared" si="93"/>
        <v>0</v>
      </c>
      <c r="AC88" s="147">
        <f t="shared" si="93"/>
        <v>0</v>
      </c>
      <c r="AD88" s="147">
        <f t="shared" si="93"/>
        <v>0</v>
      </c>
      <c r="AE88" s="147">
        <f t="shared" si="93"/>
        <v>0</v>
      </c>
      <c r="AF88" s="147">
        <f t="shared" si="93"/>
        <v>0</v>
      </c>
      <c r="AG88" s="147">
        <f t="shared" si="93"/>
        <v>0</v>
      </c>
      <c r="AH88" s="147">
        <f t="shared" si="93"/>
        <v>0</v>
      </c>
      <c r="AI88" s="147">
        <f t="shared" si="93"/>
        <v>0</v>
      </c>
      <c r="AJ88" s="147">
        <f t="shared" si="93"/>
        <v>0</v>
      </c>
      <c r="AK88" s="147">
        <f t="shared" si="93"/>
        <v>0</v>
      </c>
      <c r="AL88" s="147">
        <f t="shared" si="93"/>
        <v>0</v>
      </c>
      <c r="AM88" s="147">
        <f t="shared" si="93"/>
        <v>0</v>
      </c>
      <c r="AN88" s="147">
        <f t="shared" si="93"/>
        <v>0</v>
      </c>
      <c r="AO88" s="147">
        <f t="shared" si="93"/>
        <v>0</v>
      </c>
      <c r="AP88" s="147">
        <f t="shared" si="93"/>
        <v>0</v>
      </c>
      <c r="AQ88" s="147">
        <f t="shared" si="93"/>
        <v>0</v>
      </c>
      <c r="AR88" s="147">
        <f t="shared" si="93"/>
        <v>0</v>
      </c>
      <c r="AS88" s="147">
        <f t="shared" si="93"/>
        <v>0</v>
      </c>
      <c r="AT88" s="147">
        <f t="shared" si="93"/>
        <v>0</v>
      </c>
      <c r="AU88" s="147">
        <f t="shared" si="93"/>
        <v>0</v>
      </c>
      <c r="AV88" s="147">
        <f t="shared" si="93"/>
        <v>0</v>
      </c>
      <c r="AW88" s="147">
        <f t="shared" si="93"/>
        <v>0</v>
      </c>
      <c r="AX88" s="147">
        <f t="shared" si="93"/>
        <v>0</v>
      </c>
      <c r="AY88" s="147">
        <f t="shared" si="93"/>
        <v>0</v>
      </c>
      <c r="AZ88" s="147">
        <f t="shared" si="93"/>
        <v>0</v>
      </c>
      <c r="BA88" s="147">
        <f t="shared" si="93"/>
        <v>0</v>
      </c>
      <c r="BB88" s="147">
        <f t="shared" si="93"/>
        <v>0</v>
      </c>
      <c r="BC88" s="147">
        <f t="shared" si="93"/>
        <v>0</v>
      </c>
      <c r="BD88" s="147">
        <f t="shared" si="93"/>
        <v>0</v>
      </c>
      <c r="BE88" s="147">
        <f t="shared" si="93"/>
        <v>0</v>
      </c>
      <c r="BF88" s="147">
        <f t="shared" si="93"/>
        <v>0</v>
      </c>
      <c r="BG88" s="147">
        <f t="shared" si="93"/>
        <v>0</v>
      </c>
      <c r="BH88" s="147">
        <f t="shared" si="93"/>
        <v>0</v>
      </c>
      <c r="BI88" s="147">
        <f t="shared" si="93"/>
        <v>0</v>
      </c>
      <c r="BJ88" s="147">
        <f t="shared" si="93"/>
        <v>0</v>
      </c>
      <c r="BK88" s="147">
        <f t="shared" si="93"/>
        <v>0</v>
      </c>
      <c r="BL88" s="147">
        <f t="shared" si="93"/>
        <v>0</v>
      </c>
      <c r="BM88" s="147">
        <f t="shared" si="93"/>
        <v>0</v>
      </c>
      <c r="BN88" s="147">
        <f t="shared" si="93"/>
        <v>0</v>
      </c>
      <c r="BO88" s="147">
        <f t="shared" si="93"/>
        <v>0</v>
      </c>
      <c r="BP88" s="147">
        <f t="shared" si="93"/>
        <v>0</v>
      </c>
      <c r="BQ88" s="147">
        <f t="shared" si="93"/>
        <v>0</v>
      </c>
      <c r="BR88" s="147">
        <f t="shared" si="93"/>
        <v>0</v>
      </c>
    </row>
    <row r="89" spans="1:70" s="147" customFormat="1" outlineLevel="1" x14ac:dyDescent="0.25">
      <c r="A89" s="211"/>
      <c r="C89" s="147" t="s">
        <v>250</v>
      </c>
      <c r="D89" s="231" t="str">
        <f>unit</f>
        <v>£</v>
      </c>
      <c r="E89" s="147">
        <f>SUMIF($K$5:$BR$5,E$5,$K89:$BR89)</f>
        <v>0</v>
      </c>
      <c r="F89" s="147">
        <f t="shared" si="92"/>
        <v>0</v>
      </c>
      <c r="G89" s="147">
        <f t="shared" si="92"/>
        <v>0</v>
      </c>
      <c r="H89" s="147">
        <f t="shared" si="92"/>
        <v>0</v>
      </c>
      <c r="I89" s="147">
        <f t="shared" si="92"/>
        <v>0</v>
      </c>
      <c r="K89" s="147">
        <f>-K81*$D76</f>
        <v>0</v>
      </c>
      <c r="L89" s="147">
        <f t="shared" ref="L89:BR89" si="94">-L81*$D76</f>
        <v>0</v>
      </c>
      <c r="M89" s="147">
        <f t="shared" si="94"/>
        <v>0</v>
      </c>
      <c r="N89" s="147">
        <f t="shared" si="94"/>
        <v>0</v>
      </c>
      <c r="O89" s="147">
        <f t="shared" si="94"/>
        <v>0</v>
      </c>
      <c r="P89" s="147">
        <f t="shared" si="94"/>
        <v>0</v>
      </c>
      <c r="Q89" s="147">
        <f t="shared" si="94"/>
        <v>0</v>
      </c>
      <c r="R89" s="147">
        <f t="shared" si="94"/>
        <v>0</v>
      </c>
      <c r="S89" s="147">
        <f t="shared" si="94"/>
        <v>0</v>
      </c>
      <c r="T89" s="147">
        <f t="shared" si="94"/>
        <v>0</v>
      </c>
      <c r="U89" s="147">
        <f t="shared" si="94"/>
        <v>0</v>
      </c>
      <c r="V89" s="147">
        <f t="shared" si="94"/>
        <v>0</v>
      </c>
      <c r="W89" s="147">
        <f t="shared" si="94"/>
        <v>0</v>
      </c>
      <c r="X89" s="147">
        <f t="shared" si="94"/>
        <v>0</v>
      </c>
      <c r="Y89" s="147">
        <f t="shared" si="94"/>
        <v>0</v>
      </c>
      <c r="Z89" s="147">
        <f t="shared" si="94"/>
        <v>0</v>
      </c>
      <c r="AA89" s="147">
        <f t="shared" si="94"/>
        <v>0</v>
      </c>
      <c r="AB89" s="147">
        <f t="shared" si="94"/>
        <v>0</v>
      </c>
      <c r="AC89" s="147">
        <f t="shared" si="94"/>
        <v>0</v>
      </c>
      <c r="AD89" s="147">
        <f t="shared" si="94"/>
        <v>0</v>
      </c>
      <c r="AE89" s="147">
        <f t="shared" si="94"/>
        <v>0</v>
      </c>
      <c r="AF89" s="147">
        <f t="shared" si="94"/>
        <v>0</v>
      </c>
      <c r="AG89" s="147">
        <f t="shared" si="94"/>
        <v>0</v>
      </c>
      <c r="AH89" s="147">
        <f t="shared" si="94"/>
        <v>0</v>
      </c>
      <c r="AI89" s="147">
        <f t="shared" si="94"/>
        <v>0</v>
      </c>
      <c r="AJ89" s="147">
        <f t="shared" si="94"/>
        <v>0</v>
      </c>
      <c r="AK89" s="147">
        <f t="shared" si="94"/>
        <v>0</v>
      </c>
      <c r="AL89" s="147">
        <f t="shared" si="94"/>
        <v>0</v>
      </c>
      <c r="AM89" s="147">
        <f t="shared" si="94"/>
        <v>0</v>
      </c>
      <c r="AN89" s="147">
        <f t="shared" si="94"/>
        <v>0</v>
      </c>
      <c r="AO89" s="147">
        <f t="shared" si="94"/>
        <v>0</v>
      </c>
      <c r="AP89" s="147">
        <f t="shared" si="94"/>
        <v>0</v>
      </c>
      <c r="AQ89" s="147">
        <f t="shared" si="94"/>
        <v>0</v>
      </c>
      <c r="AR89" s="147">
        <f t="shared" si="94"/>
        <v>0</v>
      </c>
      <c r="AS89" s="147">
        <f t="shared" si="94"/>
        <v>0</v>
      </c>
      <c r="AT89" s="147">
        <f t="shared" si="94"/>
        <v>0</v>
      </c>
      <c r="AU89" s="147">
        <f t="shared" si="94"/>
        <v>0</v>
      </c>
      <c r="AV89" s="147">
        <f t="shared" si="94"/>
        <v>0</v>
      </c>
      <c r="AW89" s="147">
        <f t="shared" si="94"/>
        <v>0</v>
      </c>
      <c r="AX89" s="147">
        <f t="shared" si="94"/>
        <v>0</v>
      </c>
      <c r="AY89" s="147">
        <f t="shared" si="94"/>
        <v>0</v>
      </c>
      <c r="AZ89" s="147">
        <f t="shared" si="94"/>
        <v>0</v>
      </c>
      <c r="BA89" s="147">
        <f t="shared" si="94"/>
        <v>0</v>
      </c>
      <c r="BB89" s="147">
        <f t="shared" si="94"/>
        <v>0</v>
      </c>
      <c r="BC89" s="147">
        <f t="shared" si="94"/>
        <v>0</v>
      </c>
      <c r="BD89" s="147">
        <f t="shared" si="94"/>
        <v>0</v>
      </c>
      <c r="BE89" s="147">
        <f t="shared" si="94"/>
        <v>0</v>
      </c>
      <c r="BF89" s="147">
        <f t="shared" si="94"/>
        <v>0</v>
      </c>
      <c r="BG89" s="147">
        <f t="shared" si="94"/>
        <v>0</v>
      </c>
      <c r="BH89" s="147">
        <f t="shared" si="94"/>
        <v>0</v>
      </c>
      <c r="BI89" s="147">
        <f t="shared" si="94"/>
        <v>0</v>
      </c>
      <c r="BJ89" s="147">
        <f t="shared" si="94"/>
        <v>0</v>
      </c>
      <c r="BK89" s="147">
        <f t="shared" si="94"/>
        <v>0</v>
      </c>
      <c r="BL89" s="147">
        <f t="shared" si="94"/>
        <v>0</v>
      </c>
      <c r="BM89" s="147">
        <f t="shared" si="94"/>
        <v>0</v>
      </c>
      <c r="BN89" s="147">
        <f t="shared" si="94"/>
        <v>0</v>
      </c>
      <c r="BO89" s="147">
        <f t="shared" si="94"/>
        <v>0</v>
      </c>
      <c r="BP89" s="147">
        <f t="shared" si="94"/>
        <v>0</v>
      </c>
      <c r="BQ89" s="147">
        <f t="shared" si="94"/>
        <v>0</v>
      </c>
      <c r="BR89" s="147">
        <f t="shared" si="94"/>
        <v>0</v>
      </c>
    </row>
    <row r="90" spans="1:70" s="147" customFormat="1" outlineLevel="1" x14ac:dyDescent="0.25">
      <c r="A90" s="211"/>
      <c r="C90" s="147" t="s">
        <v>230</v>
      </c>
      <c r="D90" s="231" t="str">
        <f>unit</f>
        <v>£</v>
      </c>
      <c r="E90" s="230">
        <f>SUM(E87:E89)</f>
        <v>0</v>
      </c>
      <c r="F90" s="230">
        <f t="shared" ref="F90" si="95">SUM(F87:F89)</f>
        <v>0</v>
      </c>
      <c r="G90" s="230">
        <f t="shared" ref="G90" si="96">SUM(G87:G89)</f>
        <v>0</v>
      </c>
      <c r="H90" s="230">
        <f t="shared" ref="H90" si="97">SUM(H87:H89)</f>
        <v>0</v>
      </c>
      <c r="I90" s="230">
        <f t="shared" ref="I90" si="98">SUM(I87:I89)</f>
        <v>0</v>
      </c>
      <c r="J90" s="224"/>
      <c r="K90" s="214">
        <f t="shared" ref="K90:BR90" si="99">SUM(K87:K89)</f>
        <v>0</v>
      </c>
      <c r="L90" s="214">
        <f t="shared" si="99"/>
        <v>0</v>
      </c>
      <c r="M90" s="214">
        <f t="shared" si="99"/>
        <v>0</v>
      </c>
      <c r="N90" s="214">
        <f t="shared" si="99"/>
        <v>0</v>
      </c>
      <c r="O90" s="214">
        <f t="shared" si="99"/>
        <v>0</v>
      </c>
      <c r="P90" s="214">
        <f t="shared" si="99"/>
        <v>0</v>
      </c>
      <c r="Q90" s="214">
        <f t="shared" si="99"/>
        <v>0</v>
      </c>
      <c r="R90" s="214">
        <f t="shared" si="99"/>
        <v>0</v>
      </c>
      <c r="S90" s="214">
        <f t="shared" si="99"/>
        <v>0</v>
      </c>
      <c r="T90" s="214">
        <f t="shared" si="99"/>
        <v>0</v>
      </c>
      <c r="U90" s="214">
        <f t="shared" si="99"/>
        <v>0</v>
      </c>
      <c r="V90" s="214">
        <f t="shared" si="99"/>
        <v>0</v>
      </c>
      <c r="W90" s="214">
        <f t="shared" si="99"/>
        <v>0</v>
      </c>
      <c r="X90" s="214">
        <f t="shared" si="99"/>
        <v>0</v>
      </c>
      <c r="Y90" s="214">
        <f t="shared" si="99"/>
        <v>0</v>
      </c>
      <c r="Z90" s="214">
        <f t="shared" si="99"/>
        <v>0</v>
      </c>
      <c r="AA90" s="214">
        <f t="shared" si="99"/>
        <v>0</v>
      </c>
      <c r="AB90" s="214">
        <f t="shared" si="99"/>
        <v>0</v>
      </c>
      <c r="AC90" s="214">
        <f t="shared" si="99"/>
        <v>0</v>
      </c>
      <c r="AD90" s="214">
        <f t="shared" si="99"/>
        <v>0</v>
      </c>
      <c r="AE90" s="214">
        <f t="shared" si="99"/>
        <v>0</v>
      </c>
      <c r="AF90" s="214">
        <f t="shared" si="99"/>
        <v>0</v>
      </c>
      <c r="AG90" s="214">
        <f t="shared" si="99"/>
        <v>0</v>
      </c>
      <c r="AH90" s="214">
        <f t="shared" si="99"/>
        <v>0</v>
      </c>
      <c r="AI90" s="214">
        <f t="shared" si="99"/>
        <v>0</v>
      </c>
      <c r="AJ90" s="214">
        <f t="shared" si="99"/>
        <v>0</v>
      </c>
      <c r="AK90" s="214">
        <f t="shared" si="99"/>
        <v>0</v>
      </c>
      <c r="AL90" s="214">
        <f t="shared" si="99"/>
        <v>0</v>
      </c>
      <c r="AM90" s="214">
        <f t="shared" si="99"/>
        <v>0</v>
      </c>
      <c r="AN90" s="214">
        <f t="shared" si="99"/>
        <v>0</v>
      </c>
      <c r="AO90" s="214">
        <f t="shared" si="99"/>
        <v>0</v>
      </c>
      <c r="AP90" s="214">
        <f t="shared" si="99"/>
        <v>0</v>
      </c>
      <c r="AQ90" s="214">
        <f t="shared" si="99"/>
        <v>0</v>
      </c>
      <c r="AR90" s="214">
        <f t="shared" si="99"/>
        <v>0</v>
      </c>
      <c r="AS90" s="214">
        <f t="shared" si="99"/>
        <v>0</v>
      </c>
      <c r="AT90" s="214">
        <f t="shared" si="99"/>
        <v>0</v>
      </c>
      <c r="AU90" s="214">
        <f t="shared" si="99"/>
        <v>0</v>
      </c>
      <c r="AV90" s="214">
        <f t="shared" si="99"/>
        <v>0</v>
      </c>
      <c r="AW90" s="214">
        <f t="shared" si="99"/>
        <v>0</v>
      </c>
      <c r="AX90" s="214">
        <f t="shared" si="99"/>
        <v>0</v>
      </c>
      <c r="AY90" s="214">
        <f t="shared" si="99"/>
        <v>0</v>
      </c>
      <c r="AZ90" s="214">
        <f t="shared" si="99"/>
        <v>0</v>
      </c>
      <c r="BA90" s="214">
        <f t="shared" si="99"/>
        <v>0</v>
      </c>
      <c r="BB90" s="214">
        <f t="shared" si="99"/>
        <v>0</v>
      </c>
      <c r="BC90" s="214">
        <f t="shared" si="99"/>
        <v>0</v>
      </c>
      <c r="BD90" s="214">
        <f t="shared" si="99"/>
        <v>0</v>
      </c>
      <c r="BE90" s="214">
        <f t="shared" si="99"/>
        <v>0</v>
      </c>
      <c r="BF90" s="214">
        <f t="shared" si="99"/>
        <v>0</v>
      </c>
      <c r="BG90" s="214">
        <f t="shared" si="99"/>
        <v>0</v>
      </c>
      <c r="BH90" s="214">
        <f t="shared" si="99"/>
        <v>0</v>
      </c>
      <c r="BI90" s="214">
        <f t="shared" si="99"/>
        <v>0</v>
      </c>
      <c r="BJ90" s="214">
        <f t="shared" si="99"/>
        <v>0</v>
      </c>
      <c r="BK90" s="214">
        <f t="shared" si="99"/>
        <v>0</v>
      </c>
      <c r="BL90" s="214">
        <f t="shared" si="99"/>
        <v>0</v>
      </c>
      <c r="BM90" s="214">
        <f t="shared" si="99"/>
        <v>0</v>
      </c>
      <c r="BN90" s="214">
        <f t="shared" si="99"/>
        <v>0</v>
      </c>
      <c r="BO90" s="214">
        <f t="shared" si="99"/>
        <v>0</v>
      </c>
      <c r="BP90" s="214">
        <f t="shared" si="99"/>
        <v>0</v>
      </c>
      <c r="BQ90" s="214">
        <f t="shared" si="99"/>
        <v>0</v>
      </c>
      <c r="BR90" s="214">
        <f t="shared" si="99"/>
        <v>0</v>
      </c>
    </row>
    <row r="91" spans="1:70" outlineLevel="1" x14ac:dyDescent="0.25">
      <c r="E91" s="147"/>
      <c r="F91" s="212"/>
      <c r="G91" s="147"/>
      <c r="H91" s="147"/>
      <c r="I91" s="147"/>
    </row>
    <row r="92" spans="1:70" s="145" customFormat="1" ht="13.8" outlineLevel="1" x14ac:dyDescent="0.25">
      <c r="B92" s="145" t="str">
        <f>Header2</f>
        <v>3.3</v>
      </c>
      <c r="C92" s="145" t="s">
        <v>251</v>
      </c>
      <c r="E92" s="215"/>
      <c r="F92" s="215"/>
      <c r="G92" s="215"/>
      <c r="H92" s="215"/>
      <c r="I92" s="215"/>
    </row>
    <row r="93" spans="1:70" outlineLevel="1" x14ac:dyDescent="0.25">
      <c r="E93" s="147"/>
      <c r="F93" s="212"/>
      <c r="G93" s="147"/>
      <c r="H93" s="147"/>
      <c r="I93" s="147"/>
    </row>
    <row r="94" spans="1:70" outlineLevel="1" x14ac:dyDescent="0.25">
      <c r="C94" s="147" t="s">
        <v>228</v>
      </c>
      <c r="D94" s="231" t="str">
        <f>unit</f>
        <v>£</v>
      </c>
      <c r="E94" s="147">
        <f>INDEX($K94:$BR94,0,MATCH(E$7,$K$7:$BR$7,0))</f>
        <v>0</v>
      </c>
      <c r="F94" s="147">
        <f t="shared" ref="F94:I94" si="100">INDEX($K94:$BR94,0,MATCH(F$7,$K$7:$BR$7,0))</f>
        <v>0</v>
      </c>
      <c r="G94" s="147">
        <f t="shared" si="100"/>
        <v>0</v>
      </c>
      <c r="H94" s="147">
        <f t="shared" si="100"/>
        <v>0</v>
      </c>
      <c r="I94" s="147">
        <f t="shared" si="100"/>
        <v>0</v>
      </c>
      <c r="K94" s="57">
        <f>J97</f>
        <v>0</v>
      </c>
      <c r="L94" s="57">
        <f t="shared" ref="L94:BR94" si="101">K97</f>
        <v>0</v>
      </c>
      <c r="M94" s="57">
        <f t="shared" si="101"/>
        <v>0</v>
      </c>
      <c r="N94" s="57">
        <f t="shared" si="101"/>
        <v>0</v>
      </c>
      <c r="O94" s="57">
        <f t="shared" si="101"/>
        <v>0</v>
      </c>
      <c r="P94" s="57">
        <f t="shared" si="101"/>
        <v>0</v>
      </c>
      <c r="Q94" s="57">
        <f t="shared" si="101"/>
        <v>0</v>
      </c>
      <c r="R94" s="57">
        <f t="shared" si="101"/>
        <v>0</v>
      </c>
      <c r="S94" s="57">
        <f t="shared" si="101"/>
        <v>0</v>
      </c>
      <c r="T94" s="57">
        <f t="shared" si="101"/>
        <v>0</v>
      </c>
      <c r="U94" s="57">
        <f t="shared" si="101"/>
        <v>0</v>
      </c>
      <c r="V94" s="57">
        <f t="shared" si="101"/>
        <v>0</v>
      </c>
      <c r="W94" s="57">
        <f t="shared" si="101"/>
        <v>0</v>
      </c>
      <c r="X94" s="57">
        <f t="shared" si="101"/>
        <v>0</v>
      </c>
      <c r="Y94" s="57">
        <f t="shared" si="101"/>
        <v>0</v>
      </c>
      <c r="Z94" s="57">
        <f t="shared" si="101"/>
        <v>0</v>
      </c>
      <c r="AA94" s="57">
        <f t="shared" si="101"/>
        <v>0</v>
      </c>
      <c r="AB94" s="57">
        <f t="shared" si="101"/>
        <v>0</v>
      </c>
      <c r="AC94" s="57">
        <f t="shared" si="101"/>
        <v>0</v>
      </c>
      <c r="AD94" s="57">
        <f t="shared" si="101"/>
        <v>0</v>
      </c>
      <c r="AE94" s="57">
        <f t="shared" si="101"/>
        <v>0</v>
      </c>
      <c r="AF94" s="57">
        <f t="shared" si="101"/>
        <v>0</v>
      </c>
      <c r="AG94" s="57">
        <f t="shared" si="101"/>
        <v>0</v>
      </c>
      <c r="AH94" s="57">
        <f t="shared" si="101"/>
        <v>0</v>
      </c>
      <c r="AI94" s="57">
        <f t="shared" si="101"/>
        <v>0</v>
      </c>
      <c r="AJ94" s="57">
        <f t="shared" si="101"/>
        <v>0</v>
      </c>
      <c r="AK94" s="57">
        <f t="shared" si="101"/>
        <v>0</v>
      </c>
      <c r="AL94" s="57">
        <f t="shared" si="101"/>
        <v>0</v>
      </c>
      <c r="AM94" s="57">
        <f t="shared" si="101"/>
        <v>0</v>
      </c>
      <c r="AN94" s="57">
        <f t="shared" si="101"/>
        <v>0</v>
      </c>
      <c r="AO94" s="57">
        <f t="shared" si="101"/>
        <v>0</v>
      </c>
      <c r="AP94" s="57">
        <f t="shared" si="101"/>
        <v>0</v>
      </c>
      <c r="AQ94" s="57">
        <f t="shared" si="101"/>
        <v>0</v>
      </c>
      <c r="AR94" s="57">
        <f t="shared" si="101"/>
        <v>0</v>
      </c>
      <c r="AS94" s="57">
        <f t="shared" si="101"/>
        <v>0</v>
      </c>
      <c r="AT94" s="57">
        <f t="shared" si="101"/>
        <v>0</v>
      </c>
      <c r="AU94" s="57">
        <f t="shared" si="101"/>
        <v>0</v>
      </c>
      <c r="AV94" s="57">
        <f t="shared" si="101"/>
        <v>0</v>
      </c>
      <c r="AW94" s="57">
        <f t="shared" si="101"/>
        <v>0</v>
      </c>
      <c r="AX94" s="57">
        <f t="shared" si="101"/>
        <v>0</v>
      </c>
      <c r="AY94" s="324">
        <f t="shared" si="101"/>
        <v>0</v>
      </c>
      <c r="AZ94" s="57">
        <f t="shared" si="101"/>
        <v>0</v>
      </c>
      <c r="BA94" s="57">
        <f t="shared" si="101"/>
        <v>0</v>
      </c>
      <c r="BB94" s="57">
        <f t="shared" si="101"/>
        <v>0</v>
      </c>
      <c r="BC94" s="57">
        <f t="shared" si="101"/>
        <v>0</v>
      </c>
      <c r="BD94" s="57">
        <f t="shared" si="101"/>
        <v>0</v>
      </c>
      <c r="BE94" s="57">
        <f t="shared" si="101"/>
        <v>0</v>
      </c>
      <c r="BF94" s="57">
        <f t="shared" si="101"/>
        <v>0</v>
      </c>
      <c r="BG94" s="57">
        <f t="shared" si="101"/>
        <v>0</v>
      </c>
      <c r="BH94" s="57">
        <f t="shared" si="101"/>
        <v>0</v>
      </c>
      <c r="BI94" s="57">
        <f t="shared" si="101"/>
        <v>0</v>
      </c>
      <c r="BJ94" s="57">
        <f t="shared" si="101"/>
        <v>0</v>
      </c>
      <c r="BK94" s="57">
        <f t="shared" si="101"/>
        <v>0</v>
      </c>
      <c r="BL94" s="57">
        <f t="shared" si="101"/>
        <v>0</v>
      </c>
      <c r="BM94" s="57">
        <f t="shared" si="101"/>
        <v>0</v>
      </c>
      <c r="BN94" s="57">
        <f t="shared" si="101"/>
        <v>0</v>
      </c>
      <c r="BO94" s="57">
        <f t="shared" si="101"/>
        <v>0</v>
      </c>
      <c r="BP94" s="57">
        <f t="shared" si="101"/>
        <v>0</v>
      </c>
      <c r="BQ94" s="57">
        <f t="shared" si="101"/>
        <v>0</v>
      </c>
      <c r="BR94" s="57">
        <f t="shared" si="101"/>
        <v>0</v>
      </c>
    </row>
    <row r="95" spans="1:70" outlineLevel="1" x14ac:dyDescent="0.25">
      <c r="C95" s="147" t="s">
        <v>252</v>
      </c>
      <c r="D95" s="231" t="str">
        <f>unit</f>
        <v>£</v>
      </c>
      <c r="E95" s="147">
        <f>SUMIF($K$5:$BR$5,E$5,$K95:$BR95)</f>
        <v>0</v>
      </c>
      <c r="F95" s="147">
        <f t="shared" ref="F95:I96" si="102">SUMIF($K$5:$BR$5,F$5,$K95:$BR95)</f>
        <v>0</v>
      </c>
      <c r="G95" s="147">
        <f t="shared" si="102"/>
        <v>0</v>
      </c>
      <c r="H95" s="147">
        <f t="shared" si="102"/>
        <v>0</v>
      </c>
      <c r="I95" s="147">
        <f t="shared" si="102"/>
        <v>0</v>
      </c>
      <c r="K95" s="57">
        <f>K87*$D70/12</f>
        <v>0</v>
      </c>
      <c r="L95" s="57">
        <f t="shared" ref="L95:BR95" si="103">L87*$D70/12</f>
        <v>0</v>
      </c>
      <c r="M95" s="57">
        <f t="shared" si="103"/>
        <v>0</v>
      </c>
      <c r="N95" s="57">
        <f t="shared" si="103"/>
        <v>0</v>
      </c>
      <c r="O95" s="57">
        <f t="shared" si="103"/>
        <v>0</v>
      </c>
      <c r="P95" s="57">
        <f t="shared" si="103"/>
        <v>0</v>
      </c>
      <c r="Q95" s="57">
        <f t="shared" si="103"/>
        <v>0</v>
      </c>
      <c r="R95" s="57">
        <f t="shared" si="103"/>
        <v>0</v>
      </c>
      <c r="S95" s="57">
        <f t="shared" si="103"/>
        <v>0</v>
      </c>
      <c r="T95" s="57">
        <f t="shared" si="103"/>
        <v>0</v>
      </c>
      <c r="U95" s="57">
        <f t="shared" si="103"/>
        <v>0</v>
      </c>
      <c r="V95" s="57">
        <f t="shared" si="103"/>
        <v>0</v>
      </c>
      <c r="W95" s="57">
        <f t="shared" si="103"/>
        <v>0</v>
      </c>
      <c r="X95" s="57">
        <f t="shared" si="103"/>
        <v>0</v>
      </c>
      <c r="Y95" s="57">
        <f t="shared" si="103"/>
        <v>0</v>
      </c>
      <c r="Z95" s="57">
        <f t="shared" si="103"/>
        <v>0</v>
      </c>
      <c r="AA95" s="57">
        <f t="shared" si="103"/>
        <v>0</v>
      </c>
      <c r="AB95" s="57">
        <f t="shared" si="103"/>
        <v>0</v>
      </c>
      <c r="AC95" s="57">
        <f t="shared" si="103"/>
        <v>0</v>
      </c>
      <c r="AD95" s="57">
        <f t="shared" si="103"/>
        <v>0</v>
      </c>
      <c r="AE95" s="57">
        <f t="shared" si="103"/>
        <v>0</v>
      </c>
      <c r="AF95" s="57">
        <f t="shared" si="103"/>
        <v>0</v>
      </c>
      <c r="AG95" s="57">
        <f t="shared" si="103"/>
        <v>0</v>
      </c>
      <c r="AH95" s="57">
        <f t="shared" si="103"/>
        <v>0</v>
      </c>
      <c r="AI95" s="57">
        <f t="shared" si="103"/>
        <v>0</v>
      </c>
      <c r="AJ95" s="57">
        <f t="shared" si="103"/>
        <v>0</v>
      </c>
      <c r="AK95" s="57">
        <f t="shared" si="103"/>
        <v>0</v>
      </c>
      <c r="AL95" s="57">
        <f t="shared" si="103"/>
        <v>0</v>
      </c>
      <c r="AM95" s="57">
        <f t="shared" si="103"/>
        <v>0</v>
      </c>
      <c r="AN95" s="57">
        <f t="shared" si="103"/>
        <v>0</v>
      </c>
      <c r="AO95" s="57">
        <f t="shared" si="103"/>
        <v>0</v>
      </c>
      <c r="AP95" s="57">
        <f t="shared" si="103"/>
        <v>0</v>
      </c>
      <c r="AQ95" s="57">
        <f t="shared" si="103"/>
        <v>0</v>
      </c>
      <c r="AR95" s="57">
        <f t="shared" si="103"/>
        <v>0</v>
      </c>
      <c r="AS95" s="57">
        <f t="shared" si="103"/>
        <v>0</v>
      </c>
      <c r="AT95" s="57">
        <f t="shared" si="103"/>
        <v>0</v>
      </c>
      <c r="AU95" s="57">
        <f t="shared" si="103"/>
        <v>0</v>
      </c>
      <c r="AV95" s="57">
        <f t="shared" si="103"/>
        <v>0</v>
      </c>
      <c r="AW95" s="57">
        <f t="shared" si="103"/>
        <v>0</v>
      </c>
      <c r="AX95" s="57">
        <f t="shared" si="103"/>
        <v>0</v>
      </c>
      <c r="AY95" s="57">
        <f t="shared" si="103"/>
        <v>0</v>
      </c>
      <c r="AZ95" s="57">
        <f t="shared" si="103"/>
        <v>0</v>
      </c>
      <c r="BA95" s="57">
        <f t="shared" si="103"/>
        <v>0</v>
      </c>
      <c r="BB95" s="57">
        <f t="shared" si="103"/>
        <v>0</v>
      </c>
      <c r="BC95" s="57">
        <f t="shared" si="103"/>
        <v>0</v>
      </c>
      <c r="BD95" s="57">
        <f t="shared" si="103"/>
        <v>0</v>
      </c>
      <c r="BE95" s="57">
        <f t="shared" si="103"/>
        <v>0</v>
      </c>
      <c r="BF95" s="57">
        <f t="shared" si="103"/>
        <v>0</v>
      </c>
      <c r="BG95" s="57">
        <f t="shared" si="103"/>
        <v>0</v>
      </c>
      <c r="BH95" s="57">
        <f t="shared" si="103"/>
        <v>0</v>
      </c>
      <c r="BI95" s="57">
        <f t="shared" si="103"/>
        <v>0</v>
      </c>
      <c r="BJ95" s="57">
        <f t="shared" si="103"/>
        <v>0</v>
      </c>
      <c r="BK95" s="57">
        <f t="shared" si="103"/>
        <v>0</v>
      </c>
      <c r="BL95" s="57">
        <f t="shared" si="103"/>
        <v>0</v>
      </c>
      <c r="BM95" s="57">
        <f t="shared" si="103"/>
        <v>0</v>
      </c>
      <c r="BN95" s="57">
        <f t="shared" si="103"/>
        <v>0</v>
      </c>
      <c r="BO95" s="57">
        <f t="shared" si="103"/>
        <v>0</v>
      </c>
      <c r="BP95" s="57">
        <f t="shared" si="103"/>
        <v>0</v>
      </c>
      <c r="BQ95" s="57">
        <f t="shared" si="103"/>
        <v>0</v>
      </c>
      <c r="BR95" s="57">
        <f t="shared" si="103"/>
        <v>0</v>
      </c>
    </row>
    <row r="96" spans="1:70" outlineLevel="1" x14ac:dyDescent="0.25">
      <c r="C96" s="147" t="s">
        <v>215</v>
      </c>
      <c r="D96" s="231" t="str">
        <f>unit</f>
        <v>£</v>
      </c>
      <c r="E96" s="147">
        <f>SUMIF($K$5:$BR$5,E$5,$K96:$BR96)</f>
        <v>0</v>
      </c>
      <c r="F96" s="147">
        <f t="shared" si="102"/>
        <v>0</v>
      </c>
      <c r="G96" s="147">
        <f t="shared" si="102"/>
        <v>0</v>
      </c>
      <c r="H96" s="147">
        <f t="shared" si="102"/>
        <v>0</v>
      </c>
      <c r="I96" s="147">
        <f t="shared" si="102"/>
        <v>0</v>
      </c>
      <c r="K96" s="57">
        <f>-SUM(K94:K95)*K82</f>
        <v>0</v>
      </c>
      <c r="L96" s="57">
        <f t="shared" ref="L96" si="104">-SUM(L94:L95)*L82</f>
        <v>0</v>
      </c>
      <c r="M96" s="57">
        <f t="shared" ref="M96" si="105">-SUM(M94:M95)*M82</f>
        <v>0</v>
      </c>
      <c r="N96" s="57">
        <f t="shared" ref="N96" si="106">-SUM(N94:N95)*N82</f>
        <v>0</v>
      </c>
      <c r="O96" s="57">
        <f t="shared" ref="O96" si="107">-SUM(O94:O95)*O82</f>
        <v>0</v>
      </c>
      <c r="P96" s="57">
        <f t="shared" ref="P96" si="108">-SUM(P94:P95)*P82</f>
        <v>0</v>
      </c>
      <c r="Q96" s="57">
        <f t="shared" ref="Q96" si="109">-SUM(Q94:Q95)*Q82</f>
        <v>0</v>
      </c>
      <c r="R96" s="57">
        <f t="shared" ref="R96" si="110">-SUM(R94:R95)*R82</f>
        <v>0</v>
      </c>
      <c r="S96" s="57">
        <f t="shared" ref="S96" si="111">-SUM(S94:S95)*S82</f>
        <v>0</v>
      </c>
      <c r="T96" s="57">
        <f t="shared" ref="T96" si="112">-SUM(T94:T95)*T82</f>
        <v>0</v>
      </c>
      <c r="U96" s="57">
        <f t="shared" ref="U96" si="113">-SUM(U94:U95)*U82</f>
        <v>0</v>
      </c>
      <c r="V96" s="57">
        <f t="shared" ref="V96" si="114">-SUM(V94:V95)*V82</f>
        <v>0</v>
      </c>
      <c r="W96" s="57">
        <f t="shared" ref="W96" si="115">-SUM(W94:W95)*W82</f>
        <v>0</v>
      </c>
      <c r="X96" s="57">
        <f t="shared" ref="X96" si="116">-SUM(X94:X95)*X82</f>
        <v>0</v>
      </c>
      <c r="Y96" s="57">
        <f t="shared" ref="Y96" si="117">-SUM(Y94:Y95)*Y82</f>
        <v>0</v>
      </c>
      <c r="Z96" s="57">
        <f t="shared" ref="Z96" si="118">-SUM(Z94:Z95)*Z82</f>
        <v>0</v>
      </c>
      <c r="AA96" s="57">
        <f t="shared" ref="AA96" si="119">-SUM(AA94:AA95)*AA82</f>
        <v>0</v>
      </c>
      <c r="AB96" s="57">
        <f t="shared" ref="AB96" si="120">-SUM(AB94:AB95)*AB82</f>
        <v>0</v>
      </c>
      <c r="AC96" s="57">
        <f t="shared" ref="AC96" si="121">-SUM(AC94:AC95)*AC82</f>
        <v>0</v>
      </c>
      <c r="AD96" s="57">
        <f t="shared" ref="AD96" si="122">-SUM(AD94:AD95)*AD82</f>
        <v>0</v>
      </c>
      <c r="AE96" s="57">
        <f t="shared" ref="AE96" si="123">-SUM(AE94:AE95)*AE82</f>
        <v>0</v>
      </c>
      <c r="AF96" s="57">
        <f t="shared" ref="AF96" si="124">-SUM(AF94:AF95)*AF82</f>
        <v>0</v>
      </c>
      <c r="AG96" s="57">
        <f t="shared" ref="AG96" si="125">-SUM(AG94:AG95)*AG82</f>
        <v>0</v>
      </c>
      <c r="AH96" s="57">
        <f t="shared" ref="AH96" si="126">-SUM(AH94:AH95)*AH82</f>
        <v>0</v>
      </c>
      <c r="AI96" s="57">
        <f t="shared" ref="AI96" si="127">-SUM(AI94:AI95)*AI82</f>
        <v>0</v>
      </c>
      <c r="AJ96" s="57">
        <f t="shared" ref="AJ96" si="128">-SUM(AJ94:AJ95)*AJ82</f>
        <v>0</v>
      </c>
      <c r="AK96" s="57">
        <f t="shared" ref="AK96" si="129">-SUM(AK94:AK95)*AK82</f>
        <v>0</v>
      </c>
      <c r="AL96" s="57">
        <f t="shared" ref="AL96" si="130">-SUM(AL94:AL95)*AL82</f>
        <v>0</v>
      </c>
      <c r="AM96" s="57">
        <f t="shared" ref="AM96" si="131">-SUM(AM94:AM95)*AM82</f>
        <v>0</v>
      </c>
      <c r="AN96" s="57">
        <f t="shared" ref="AN96" si="132">-SUM(AN94:AN95)*AN82</f>
        <v>0</v>
      </c>
      <c r="AO96" s="57">
        <f t="shared" ref="AO96" si="133">-SUM(AO94:AO95)*AO82</f>
        <v>0</v>
      </c>
      <c r="AP96" s="57">
        <f t="shared" ref="AP96" si="134">-SUM(AP94:AP95)*AP82</f>
        <v>0</v>
      </c>
      <c r="AQ96" s="57">
        <f t="shared" ref="AQ96" si="135">-SUM(AQ94:AQ95)*AQ82</f>
        <v>0</v>
      </c>
      <c r="AR96" s="57">
        <f t="shared" ref="AR96" si="136">-SUM(AR94:AR95)*AR82</f>
        <v>0</v>
      </c>
      <c r="AS96" s="57">
        <f t="shared" ref="AS96" si="137">-SUM(AS94:AS95)*AS82</f>
        <v>0</v>
      </c>
      <c r="AT96" s="57">
        <f t="shared" ref="AT96" si="138">-SUM(AT94:AT95)*AT82</f>
        <v>0</v>
      </c>
      <c r="AU96" s="57">
        <f t="shared" ref="AU96" si="139">-SUM(AU94:AU95)*AU82</f>
        <v>0</v>
      </c>
      <c r="AV96" s="57">
        <f t="shared" ref="AV96" si="140">-SUM(AV94:AV95)*AV82</f>
        <v>0</v>
      </c>
      <c r="AW96" s="57">
        <f t="shared" ref="AW96" si="141">-SUM(AW94:AW95)*AW82</f>
        <v>0</v>
      </c>
      <c r="AX96" s="57">
        <f t="shared" ref="AX96" si="142">-SUM(AX94:AX95)*AX82</f>
        <v>0</v>
      </c>
      <c r="AY96" s="57">
        <f t="shared" ref="AY96" si="143">-SUM(AY94:AY95)*AY82</f>
        <v>0</v>
      </c>
      <c r="AZ96" s="57">
        <f t="shared" ref="AZ96" si="144">-SUM(AZ94:AZ95)*AZ82</f>
        <v>0</v>
      </c>
      <c r="BA96" s="57">
        <f t="shared" ref="BA96" si="145">-SUM(BA94:BA95)*BA82</f>
        <v>0</v>
      </c>
      <c r="BB96" s="57">
        <f t="shared" ref="BB96" si="146">-SUM(BB94:BB95)*BB82</f>
        <v>0</v>
      </c>
      <c r="BC96" s="57">
        <f t="shared" ref="BC96" si="147">-SUM(BC94:BC95)*BC82</f>
        <v>0</v>
      </c>
      <c r="BD96" s="57">
        <f t="shared" ref="BD96" si="148">-SUM(BD94:BD95)*BD82</f>
        <v>0</v>
      </c>
      <c r="BE96" s="57">
        <f t="shared" ref="BE96" si="149">-SUM(BE94:BE95)*BE82</f>
        <v>0</v>
      </c>
      <c r="BF96" s="57">
        <f t="shared" ref="BF96" si="150">-SUM(BF94:BF95)*BF82</f>
        <v>0</v>
      </c>
      <c r="BG96" s="57">
        <f t="shared" ref="BG96" si="151">-SUM(BG94:BG95)*BG82</f>
        <v>0</v>
      </c>
      <c r="BH96" s="57">
        <f t="shared" ref="BH96" si="152">-SUM(BH94:BH95)*BH82</f>
        <v>0</v>
      </c>
      <c r="BI96" s="57">
        <f t="shared" ref="BI96" si="153">-SUM(BI94:BI95)*BI82</f>
        <v>0</v>
      </c>
      <c r="BJ96" s="57">
        <f t="shared" ref="BJ96" si="154">-SUM(BJ94:BJ95)*BJ82</f>
        <v>0</v>
      </c>
      <c r="BK96" s="57">
        <f t="shared" ref="BK96" si="155">-SUM(BK94:BK95)*BK82</f>
        <v>0</v>
      </c>
      <c r="BL96" s="57">
        <f t="shared" ref="BL96" si="156">-SUM(BL94:BL95)*BL82</f>
        <v>0</v>
      </c>
      <c r="BM96" s="57">
        <f t="shared" ref="BM96" si="157">-SUM(BM94:BM95)*BM82</f>
        <v>0</v>
      </c>
      <c r="BN96" s="57">
        <f t="shared" ref="BN96" si="158">-SUM(BN94:BN95)*BN82</f>
        <v>0</v>
      </c>
      <c r="BO96" s="57">
        <f t="shared" ref="BO96" si="159">-SUM(BO94:BO95)*BO82</f>
        <v>0</v>
      </c>
      <c r="BP96" s="57">
        <f t="shared" ref="BP96" si="160">-SUM(BP94:BP95)*BP82</f>
        <v>0</v>
      </c>
      <c r="BQ96" s="57">
        <f t="shared" ref="BQ96" si="161">-SUM(BQ94:BQ95)*BQ82</f>
        <v>0</v>
      </c>
      <c r="BR96" s="57">
        <f t="shared" ref="BR96" si="162">-SUM(BR94:BR95)*BR82</f>
        <v>0</v>
      </c>
    </row>
    <row r="97" spans="1:70" outlineLevel="1" x14ac:dyDescent="0.25">
      <c r="C97" s="147" t="s">
        <v>230</v>
      </c>
      <c r="D97" s="231" t="str">
        <f>unit</f>
        <v>£</v>
      </c>
      <c r="E97" s="230">
        <f>SUM(E94:E96)</f>
        <v>0</v>
      </c>
      <c r="F97" s="230">
        <f t="shared" ref="F97" si="163">SUM(F94:F96)</f>
        <v>0</v>
      </c>
      <c r="G97" s="230">
        <f t="shared" ref="G97" si="164">SUM(G94:G96)</f>
        <v>0</v>
      </c>
      <c r="H97" s="230">
        <f t="shared" ref="H97" si="165">SUM(H94:H96)</f>
        <v>0</v>
      </c>
      <c r="I97" s="230">
        <f t="shared" ref="I97" si="166">SUM(I94:I96)</f>
        <v>0</v>
      </c>
      <c r="J97" s="261"/>
      <c r="K97" s="59">
        <f>SUM(K94:K96)</f>
        <v>0</v>
      </c>
      <c r="L97" s="59">
        <f t="shared" ref="L97" si="167">SUM(L94:L96)</f>
        <v>0</v>
      </c>
      <c r="M97" s="59">
        <f t="shared" ref="M97" si="168">SUM(M94:M96)</f>
        <v>0</v>
      </c>
      <c r="N97" s="59">
        <f t="shared" ref="N97" si="169">SUM(N94:N96)</f>
        <v>0</v>
      </c>
      <c r="O97" s="59">
        <f t="shared" ref="O97" si="170">SUM(O94:O96)</f>
        <v>0</v>
      </c>
      <c r="P97" s="59">
        <f t="shared" ref="P97" si="171">SUM(P94:P96)</f>
        <v>0</v>
      </c>
      <c r="Q97" s="59">
        <f t="shared" ref="Q97" si="172">SUM(Q94:Q96)</f>
        <v>0</v>
      </c>
      <c r="R97" s="59">
        <f t="shared" ref="R97" si="173">SUM(R94:R96)</f>
        <v>0</v>
      </c>
      <c r="S97" s="59">
        <f t="shared" ref="S97" si="174">SUM(S94:S96)</f>
        <v>0</v>
      </c>
      <c r="T97" s="59">
        <f t="shared" ref="T97" si="175">SUM(T94:T96)</f>
        <v>0</v>
      </c>
      <c r="U97" s="59">
        <f t="shared" ref="U97" si="176">SUM(U94:U96)</f>
        <v>0</v>
      </c>
      <c r="V97" s="59">
        <f t="shared" ref="V97" si="177">SUM(V94:V96)</f>
        <v>0</v>
      </c>
      <c r="W97" s="59">
        <f t="shared" ref="W97" si="178">SUM(W94:W96)</f>
        <v>0</v>
      </c>
      <c r="X97" s="59">
        <f t="shared" ref="X97" si="179">SUM(X94:X96)</f>
        <v>0</v>
      </c>
      <c r="Y97" s="59">
        <f t="shared" ref="Y97" si="180">SUM(Y94:Y96)</f>
        <v>0</v>
      </c>
      <c r="Z97" s="59">
        <f t="shared" ref="Z97" si="181">SUM(Z94:Z96)</f>
        <v>0</v>
      </c>
      <c r="AA97" s="59">
        <f t="shared" ref="AA97" si="182">SUM(AA94:AA96)</f>
        <v>0</v>
      </c>
      <c r="AB97" s="59">
        <f t="shared" ref="AB97" si="183">SUM(AB94:AB96)</f>
        <v>0</v>
      </c>
      <c r="AC97" s="59">
        <f t="shared" ref="AC97" si="184">SUM(AC94:AC96)</f>
        <v>0</v>
      </c>
      <c r="AD97" s="59">
        <f t="shared" ref="AD97" si="185">SUM(AD94:AD96)</f>
        <v>0</v>
      </c>
      <c r="AE97" s="59">
        <f t="shared" ref="AE97" si="186">SUM(AE94:AE96)</f>
        <v>0</v>
      </c>
      <c r="AF97" s="59">
        <f t="shared" ref="AF97" si="187">SUM(AF94:AF96)</f>
        <v>0</v>
      </c>
      <c r="AG97" s="59">
        <f t="shared" ref="AG97" si="188">SUM(AG94:AG96)</f>
        <v>0</v>
      </c>
      <c r="AH97" s="59">
        <f t="shared" ref="AH97" si="189">SUM(AH94:AH96)</f>
        <v>0</v>
      </c>
      <c r="AI97" s="59">
        <f t="shared" ref="AI97" si="190">SUM(AI94:AI96)</f>
        <v>0</v>
      </c>
      <c r="AJ97" s="59">
        <f t="shared" ref="AJ97" si="191">SUM(AJ94:AJ96)</f>
        <v>0</v>
      </c>
      <c r="AK97" s="59">
        <f t="shared" ref="AK97" si="192">SUM(AK94:AK96)</f>
        <v>0</v>
      </c>
      <c r="AL97" s="59">
        <f t="shared" ref="AL97" si="193">SUM(AL94:AL96)</f>
        <v>0</v>
      </c>
      <c r="AM97" s="59">
        <f t="shared" ref="AM97" si="194">SUM(AM94:AM96)</f>
        <v>0</v>
      </c>
      <c r="AN97" s="59">
        <f t="shared" ref="AN97" si="195">SUM(AN94:AN96)</f>
        <v>0</v>
      </c>
      <c r="AO97" s="59">
        <f t="shared" ref="AO97" si="196">SUM(AO94:AO96)</f>
        <v>0</v>
      </c>
      <c r="AP97" s="59">
        <f t="shared" ref="AP97" si="197">SUM(AP94:AP96)</f>
        <v>0</v>
      </c>
      <c r="AQ97" s="59">
        <f t="shared" ref="AQ97" si="198">SUM(AQ94:AQ96)</f>
        <v>0</v>
      </c>
      <c r="AR97" s="59">
        <f t="shared" ref="AR97" si="199">SUM(AR94:AR96)</f>
        <v>0</v>
      </c>
      <c r="AS97" s="59">
        <f t="shared" ref="AS97" si="200">SUM(AS94:AS96)</f>
        <v>0</v>
      </c>
      <c r="AT97" s="59">
        <f t="shared" ref="AT97" si="201">SUM(AT94:AT96)</f>
        <v>0</v>
      </c>
      <c r="AU97" s="59">
        <f t="shared" ref="AU97" si="202">SUM(AU94:AU96)</f>
        <v>0</v>
      </c>
      <c r="AV97" s="59">
        <f t="shared" ref="AV97" si="203">SUM(AV94:AV96)</f>
        <v>0</v>
      </c>
      <c r="AW97" s="59">
        <f t="shared" ref="AW97" si="204">SUM(AW94:AW96)</f>
        <v>0</v>
      </c>
      <c r="AX97" s="59">
        <f t="shared" ref="AX97" si="205">SUM(AX94:AX96)</f>
        <v>0</v>
      </c>
      <c r="AY97" s="59">
        <f t="shared" ref="AY97" si="206">SUM(AY94:AY96)</f>
        <v>0</v>
      </c>
      <c r="AZ97" s="59">
        <f t="shared" ref="AZ97" si="207">SUM(AZ94:AZ96)</f>
        <v>0</v>
      </c>
      <c r="BA97" s="59">
        <f t="shared" ref="BA97" si="208">SUM(BA94:BA96)</f>
        <v>0</v>
      </c>
      <c r="BB97" s="59">
        <f t="shared" ref="BB97" si="209">SUM(BB94:BB96)</f>
        <v>0</v>
      </c>
      <c r="BC97" s="59">
        <f t="shared" ref="BC97" si="210">SUM(BC94:BC96)</f>
        <v>0</v>
      </c>
      <c r="BD97" s="59">
        <f t="shared" ref="BD97" si="211">SUM(BD94:BD96)</f>
        <v>0</v>
      </c>
      <c r="BE97" s="59">
        <f t="shared" ref="BE97" si="212">SUM(BE94:BE96)</f>
        <v>0</v>
      </c>
      <c r="BF97" s="59">
        <f t="shared" ref="BF97" si="213">SUM(BF94:BF96)</f>
        <v>0</v>
      </c>
      <c r="BG97" s="59">
        <f t="shared" ref="BG97" si="214">SUM(BG94:BG96)</f>
        <v>0</v>
      </c>
      <c r="BH97" s="59">
        <f t="shared" ref="BH97" si="215">SUM(BH94:BH96)</f>
        <v>0</v>
      </c>
      <c r="BI97" s="59">
        <f t="shared" ref="BI97" si="216">SUM(BI94:BI96)</f>
        <v>0</v>
      </c>
      <c r="BJ97" s="59">
        <f t="shared" ref="BJ97" si="217">SUM(BJ94:BJ96)</f>
        <v>0</v>
      </c>
      <c r="BK97" s="59">
        <f t="shared" ref="BK97" si="218">SUM(BK94:BK96)</f>
        <v>0</v>
      </c>
      <c r="BL97" s="59">
        <f t="shared" ref="BL97" si="219">SUM(BL94:BL96)</f>
        <v>0</v>
      </c>
      <c r="BM97" s="59">
        <f t="shared" ref="BM97" si="220">SUM(BM94:BM96)</f>
        <v>0</v>
      </c>
      <c r="BN97" s="59">
        <f t="shared" ref="BN97" si="221">SUM(BN94:BN96)</f>
        <v>0</v>
      </c>
      <c r="BO97" s="59">
        <f t="shared" ref="BO97" si="222">SUM(BO94:BO96)</f>
        <v>0</v>
      </c>
      <c r="BP97" s="59">
        <f t="shared" ref="BP97" si="223">SUM(BP94:BP96)</f>
        <v>0</v>
      </c>
      <c r="BQ97" s="59">
        <f t="shared" ref="BQ97" si="224">SUM(BQ94:BQ96)</f>
        <v>0</v>
      </c>
      <c r="BR97" s="59">
        <f t="shared" ref="BR97" si="225">SUM(BR94:BR96)</f>
        <v>0</v>
      </c>
    </row>
    <row r="99" spans="1:70" s="166" customFormat="1" ht="15.6" x14ac:dyDescent="0.3">
      <c r="A99" s="166">
        <f>Header1</f>
        <v>4</v>
      </c>
      <c r="B99" s="166" t="str">
        <f>KeyInputs!H70</f>
        <v>Investment 2</v>
      </c>
    </row>
    <row r="100" spans="1:70" hidden="1" outlineLevel="1" x14ac:dyDescent="0.25"/>
    <row r="101" spans="1:70" hidden="1" outlineLevel="1" x14ac:dyDescent="0.25">
      <c r="C101" s="217" t="str">
        <f>KeyInputs!C71</f>
        <v>Drawdown</v>
      </c>
      <c r="D101" s="220">
        <f>KeyInputs!H71</f>
        <v>0</v>
      </c>
    </row>
    <row r="102" spans="1:70" hidden="1" outlineLevel="1" x14ac:dyDescent="0.25">
      <c r="C102" s="217" t="str">
        <f>KeyInputs!C72</f>
        <v>Drawdown date</v>
      </c>
      <c r="D102" s="222">
        <f>KeyInputs!H72</f>
        <v>41456</v>
      </c>
    </row>
    <row r="103" spans="1:70" hidden="1" outlineLevel="1" x14ac:dyDescent="0.25">
      <c r="C103" s="217" t="str">
        <f>KeyInputs!C73</f>
        <v>Debt term (years)</v>
      </c>
      <c r="D103" s="219">
        <f>KeyInputs!H73</f>
        <v>5</v>
      </c>
    </row>
    <row r="104" spans="1:70" hidden="1" outlineLevel="1" x14ac:dyDescent="0.25">
      <c r="C104" s="217" t="s">
        <v>467</v>
      </c>
      <c r="D104" s="219">
        <f>KeyInputs!H74</f>
        <v>1</v>
      </c>
    </row>
    <row r="105" spans="1:70" hidden="1" outlineLevel="1" x14ac:dyDescent="0.25">
      <c r="C105" s="217" t="str">
        <f>KeyInputs!C75</f>
        <v>Interest payment month</v>
      </c>
      <c r="D105" s="219">
        <f>KeyInputs!H75</f>
        <v>1</v>
      </c>
    </row>
    <row r="106" spans="1:70" hidden="1" outlineLevel="1" x14ac:dyDescent="0.25">
      <c r="C106" s="217" t="str">
        <f>KeyInputs!C78</f>
        <v>Interest rate % per annum</v>
      </c>
      <c r="D106" s="218">
        <f>KeyInputs!H78</f>
        <v>3.4999999999999996E-2</v>
      </c>
    </row>
    <row r="107" spans="1:70" hidden="1" outlineLevel="1" x14ac:dyDescent="0.25"/>
    <row r="108" spans="1:70" hidden="1" outlineLevel="1" x14ac:dyDescent="0.25">
      <c r="C108" s="57" t="s">
        <v>259</v>
      </c>
      <c r="D108" s="221">
        <f>EDATE(D102,D104)-1</f>
        <v>41486</v>
      </c>
    </row>
    <row r="109" spans="1:70" hidden="1" outlineLevel="1" x14ac:dyDescent="0.25">
      <c r="C109" s="57" t="s">
        <v>246</v>
      </c>
      <c r="D109" s="57">
        <f>IFERROR(INDEX($K$6:$BR$6,0,MATCH($D102,$K$7:$BR$7,0)),0)</f>
        <v>0</v>
      </c>
    </row>
    <row r="110" spans="1:70" hidden="1" outlineLevel="1" x14ac:dyDescent="0.25">
      <c r="C110" s="57" t="s">
        <v>259</v>
      </c>
      <c r="D110" s="57">
        <f>D109+D105</f>
        <v>1</v>
      </c>
    </row>
    <row r="111" spans="1:70" hidden="1" outlineLevel="1" x14ac:dyDescent="0.25">
      <c r="C111" s="57" t="s">
        <v>263</v>
      </c>
      <c r="D111" s="221">
        <f>EDATE($D$108,(D103)*12)</f>
        <v>43312</v>
      </c>
    </row>
    <row r="112" spans="1:70" hidden="1" outlineLevel="1" x14ac:dyDescent="0.25">
      <c r="C112" s="57" t="s">
        <v>245</v>
      </c>
      <c r="D112" s="57">
        <f>D101/D103/12*D104</f>
        <v>0</v>
      </c>
    </row>
    <row r="113" spans="1:70" hidden="1" outlineLevel="1" x14ac:dyDescent="0.25"/>
    <row r="114" spans="1:70" s="143" customFormat="1" ht="13.8" hidden="1" outlineLevel="1" x14ac:dyDescent="0.25">
      <c r="B114" s="143" t="str">
        <f>Header2</f>
        <v>4.1</v>
      </c>
      <c r="C114" s="143" t="s">
        <v>254</v>
      </c>
    </row>
    <row r="115" spans="1:70" hidden="1" outlineLevel="1" x14ac:dyDescent="0.25"/>
    <row r="116" spans="1:70" hidden="1" outlineLevel="1" x14ac:dyDescent="0.25">
      <c r="C116" s="147" t="s">
        <v>255</v>
      </c>
      <c r="K116" s="57">
        <f>(K$7&lt;=$D102)*(K$8&gt;=$D102)</f>
        <v>0</v>
      </c>
      <c r="L116" s="57">
        <f t="shared" ref="L116:BR116" si="226">(L$7&lt;=$D102)*(L$8&gt;=$D102)</f>
        <v>0</v>
      </c>
      <c r="M116" s="57">
        <f t="shared" si="226"/>
        <v>0</v>
      </c>
      <c r="N116" s="57">
        <f t="shared" si="226"/>
        <v>0</v>
      </c>
      <c r="O116" s="57">
        <f t="shared" si="226"/>
        <v>0</v>
      </c>
      <c r="P116" s="57">
        <f t="shared" si="226"/>
        <v>0</v>
      </c>
      <c r="Q116" s="57">
        <f t="shared" si="226"/>
        <v>0</v>
      </c>
      <c r="R116" s="57">
        <f t="shared" si="226"/>
        <v>0</v>
      </c>
      <c r="S116" s="57">
        <f t="shared" si="226"/>
        <v>0</v>
      </c>
      <c r="T116" s="57">
        <f t="shared" si="226"/>
        <v>0</v>
      </c>
      <c r="U116" s="57">
        <f t="shared" si="226"/>
        <v>0</v>
      </c>
      <c r="V116" s="57">
        <f t="shared" si="226"/>
        <v>0</v>
      </c>
      <c r="W116" s="57">
        <f t="shared" si="226"/>
        <v>0</v>
      </c>
      <c r="X116" s="57">
        <f t="shared" si="226"/>
        <v>0</v>
      </c>
      <c r="Y116" s="57">
        <f t="shared" si="226"/>
        <v>0</v>
      </c>
      <c r="Z116" s="57">
        <f t="shared" si="226"/>
        <v>0</v>
      </c>
      <c r="AA116" s="57">
        <f t="shared" si="226"/>
        <v>0</v>
      </c>
      <c r="AB116" s="57">
        <f t="shared" si="226"/>
        <v>0</v>
      </c>
      <c r="AC116" s="57">
        <f t="shared" si="226"/>
        <v>0</v>
      </c>
      <c r="AD116" s="57">
        <f t="shared" si="226"/>
        <v>0</v>
      </c>
      <c r="AE116" s="57">
        <f t="shared" si="226"/>
        <v>0</v>
      </c>
      <c r="AF116" s="57">
        <f t="shared" si="226"/>
        <v>0</v>
      </c>
      <c r="AG116" s="57">
        <f t="shared" si="226"/>
        <v>0</v>
      </c>
      <c r="AH116" s="57">
        <f t="shared" si="226"/>
        <v>0</v>
      </c>
      <c r="AI116" s="57">
        <f t="shared" si="226"/>
        <v>0</v>
      </c>
      <c r="AJ116" s="57">
        <f t="shared" si="226"/>
        <v>0</v>
      </c>
      <c r="AK116" s="57">
        <f t="shared" si="226"/>
        <v>0</v>
      </c>
      <c r="AL116" s="57">
        <f t="shared" si="226"/>
        <v>0</v>
      </c>
      <c r="AM116" s="57">
        <f t="shared" si="226"/>
        <v>0</v>
      </c>
      <c r="AN116" s="57">
        <f t="shared" si="226"/>
        <v>0</v>
      </c>
      <c r="AO116" s="57">
        <f t="shared" si="226"/>
        <v>0</v>
      </c>
      <c r="AP116" s="57">
        <f t="shared" si="226"/>
        <v>0</v>
      </c>
      <c r="AQ116" s="57">
        <f t="shared" si="226"/>
        <v>0</v>
      </c>
      <c r="AR116" s="57">
        <f t="shared" si="226"/>
        <v>0</v>
      </c>
      <c r="AS116" s="57">
        <f t="shared" si="226"/>
        <v>0</v>
      </c>
      <c r="AT116" s="57">
        <f t="shared" si="226"/>
        <v>0</v>
      </c>
      <c r="AU116" s="57">
        <f t="shared" si="226"/>
        <v>0</v>
      </c>
      <c r="AV116" s="57">
        <f t="shared" si="226"/>
        <v>0</v>
      </c>
      <c r="AW116" s="57">
        <f t="shared" si="226"/>
        <v>0</v>
      </c>
      <c r="AX116" s="57">
        <f t="shared" si="226"/>
        <v>0</v>
      </c>
      <c r="AY116" s="57">
        <f t="shared" si="226"/>
        <v>0</v>
      </c>
      <c r="AZ116" s="57">
        <f t="shared" si="226"/>
        <v>0</v>
      </c>
      <c r="BA116" s="57">
        <f t="shared" si="226"/>
        <v>0</v>
      </c>
      <c r="BB116" s="57">
        <f t="shared" si="226"/>
        <v>0</v>
      </c>
      <c r="BC116" s="57">
        <f t="shared" si="226"/>
        <v>0</v>
      </c>
      <c r="BD116" s="57">
        <f t="shared" si="226"/>
        <v>0</v>
      </c>
      <c r="BE116" s="57">
        <f t="shared" si="226"/>
        <v>0</v>
      </c>
      <c r="BF116" s="57">
        <f t="shared" si="226"/>
        <v>0</v>
      </c>
      <c r="BG116" s="57">
        <f t="shared" si="226"/>
        <v>0</v>
      </c>
      <c r="BH116" s="57">
        <f t="shared" si="226"/>
        <v>0</v>
      </c>
      <c r="BI116" s="57">
        <f t="shared" si="226"/>
        <v>0</v>
      </c>
      <c r="BJ116" s="57">
        <f t="shared" si="226"/>
        <v>0</v>
      </c>
      <c r="BK116" s="57">
        <f t="shared" si="226"/>
        <v>0</v>
      </c>
      <c r="BL116" s="57">
        <f t="shared" si="226"/>
        <v>0</v>
      </c>
      <c r="BM116" s="57">
        <f t="shared" si="226"/>
        <v>0</v>
      </c>
      <c r="BN116" s="57">
        <f t="shared" si="226"/>
        <v>0</v>
      </c>
      <c r="BO116" s="57">
        <f t="shared" si="226"/>
        <v>0</v>
      </c>
      <c r="BP116" s="57">
        <f t="shared" si="226"/>
        <v>0</v>
      </c>
      <c r="BQ116" s="57">
        <f t="shared" si="226"/>
        <v>0</v>
      </c>
      <c r="BR116" s="57">
        <f t="shared" si="226"/>
        <v>0</v>
      </c>
    </row>
    <row r="117" spans="1:70" hidden="1" outlineLevel="1" x14ac:dyDescent="0.25">
      <c r="C117" s="147" t="s">
        <v>256</v>
      </c>
      <c r="K117" s="57">
        <f>IF(K123&lt;-1,IF(MOD(K$6-$D109,$D104)=0,1,0),0)</f>
        <v>0</v>
      </c>
      <c r="L117" s="57">
        <f t="shared" ref="L117:BR117" si="227">IF(L123&lt;-1,IF(MOD(L$6-$D109,$D104)=0,1,0),0)</f>
        <v>0</v>
      </c>
      <c r="M117" s="57">
        <f t="shared" si="227"/>
        <v>0</v>
      </c>
      <c r="N117" s="57">
        <f t="shared" si="227"/>
        <v>0</v>
      </c>
      <c r="O117" s="57">
        <f t="shared" si="227"/>
        <v>0</v>
      </c>
      <c r="P117" s="57">
        <f t="shared" si="227"/>
        <v>0</v>
      </c>
      <c r="Q117" s="57">
        <f t="shared" si="227"/>
        <v>0</v>
      </c>
      <c r="R117" s="57">
        <f t="shared" si="227"/>
        <v>0</v>
      </c>
      <c r="S117" s="57">
        <f t="shared" si="227"/>
        <v>0</v>
      </c>
      <c r="T117" s="57">
        <f t="shared" si="227"/>
        <v>0</v>
      </c>
      <c r="U117" s="57">
        <f t="shared" si="227"/>
        <v>0</v>
      </c>
      <c r="V117" s="57">
        <f t="shared" si="227"/>
        <v>0</v>
      </c>
      <c r="W117" s="57">
        <f t="shared" si="227"/>
        <v>0</v>
      </c>
      <c r="X117" s="57">
        <f t="shared" si="227"/>
        <v>0</v>
      </c>
      <c r="Y117" s="57">
        <f t="shared" si="227"/>
        <v>0</v>
      </c>
      <c r="Z117" s="57">
        <f t="shared" si="227"/>
        <v>0</v>
      </c>
      <c r="AA117" s="57">
        <f t="shared" si="227"/>
        <v>0</v>
      </c>
      <c r="AB117" s="57">
        <f t="shared" si="227"/>
        <v>0</v>
      </c>
      <c r="AC117" s="57">
        <f t="shared" si="227"/>
        <v>0</v>
      </c>
      <c r="AD117" s="57">
        <f t="shared" si="227"/>
        <v>0</v>
      </c>
      <c r="AE117" s="57">
        <f t="shared" si="227"/>
        <v>0</v>
      </c>
      <c r="AF117" s="57">
        <f t="shared" si="227"/>
        <v>0</v>
      </c>
      <c r="AG117" s="57">
        <f t="shared" si="227"/>
        <v>0</v>
      </c>
      <c r="AH117" s="57">
        <f t="shared" si="227"/>
        <v>0</v>
      </c>
      <c r="AI117" s="57">
        <f t="shared" si="227"/>
        <v>0</v>
      </c>
      <c r="AJ117" s="57">
        <f t="shared" si="227"/>
        <v>0</v>
      </c>
      <c r="AK117" s="57">
        <f t="shared" si="227"/>
        <v>0</v>
      </c>
      <c r="AL117" s="57">
        <f t="shared" si="227"/>
        <v>0</v>
      </c>
      <c r="AM117" s="57">
        <f t="shared" si="227"/>
        <v>0</v>
      </c>
      <c r="AN117" s="57">
        <f t="shared" si="227"/>
        <v>0</v>
      </c>
      <c r="AO117" s="57">
        <f t="shared" si="227"/>
        <v>0</v>
      </c>
      <c r="AP117" s="57">
        <f t="shared" si="227"/>
        <v>0</v>
      </c>
      <c r="AQ117" s="57">
        <f t="shared" si="227"/>
        <v>0</v>
      </c>
      <c r="AR117" s="57">
        <f t="shared" si="227"/>
        <v>0</v>
      </c>
      <c r="AS117" s="57">
        <f t="shared" si="227"/>
        <v>0</v>
      </c>
      <c r="AT117" s="57">
        <f t="shared" si="227"/>
        <v>0</v>
      </c>
      <c r="AU117" s="57">
        <f t="shared" si="227"/>
        <v>0</v>
      </c>
      <c r="AV117" s="57">
        <f t="shared" si="227"/>
        <v>0</v>
      </c>
      <c r="AW117" s="57">
        <f t="shared" si="227"/>
        <v>0</v>
      </c>
      <c r="AX117" s="57">
        <f t="shared" si="227"/>
        <v>0</v>
      </c>
      <c r="AY117" s="57">
        <f t="shared" si="227"/>
        <v>0</v>
      </c>
      <c r="AZ117" s="57">
        <f t="shared" si="227"/>
        <v>0</v>
      </c>
      <c r="BA117" s="57">
        <f t="shared" si="227"/>
        <v>0</v>
      </c>
      <c r="BB117" s="57">
        <f t="shared" si="227"/>
        <v>0</v>
      </c>
      <c r="BC117" s="57">
        <f t="shared" si="227"/>
        <v>0</v>
      </c>
      <c r="BD117" s="57">
        <f t="shared" si="227"/>
        <v>0</v>
      </c>
      <c r="BE117" s="57">
        <f t="shared" si="227"/>
        <v>0</v>
      </c>
      <c r="BF117" s="57">
        <f t="shared" si="227"/>
        <v>0</v>
      </c>
      <c r="BG117" s="57">
        <f t="shared" si="227"/>
        <v>0</v>
      </c>
      <c r="BH117" s="57">
        <f t="shared" si="227"/>
        <v>0</v>
      </c>
      <c r="BI117" s="57">
        <f t="shared" si="227"/>
        <v>0</v>
      </c>
      <c r="BJ117" s="57">
        <f t="shared" si="227"/>
        <v>0</v>
      </c>
      <c r="BK117" s="57">
        <f t="shared" si="227"/>
        <v>0</v>
      </c>
      <c r="BL117" s="57">
        <f t="shared" si="227"/>
        <v>0</v>
      </c>
      <c r="BM117" s="57">
        <f t="shared" si="227"/>
        <v>0</v>
      </c>
      <c r="BN117" s="57">
        <f t="shared" si="227"/>
        <v>0</v>
      </c>
      <c r="BO117" s="57">
        <f t="shared" si="227"/>
        <v>0</v>
      </c>
      <c r="BP117" s="57">
        <f t="shared" si="227"/>
        <v>0</v>
      </c>
      <c r="BQ117" s="57">
        <f t="shared" si="227"/>
        <v>0</v>
      </c>
      <c r="BR117" s="57">
        <f t="shared" si="227"/>
        <v>0</v>
      </c>
    </row>
    <row r="118" spans="1:70" hidden="1" outlineLevel="1" x14ac:dyDescent="0.25">
      <c r="C118" s="139" t="s">
        <v>260</v>
      </c>
      <c r="K118" s="57">
        <f>IF(K131&lt;-1,IF(MOD(K$6-$D109,$D105)=0,1,0),0)</f>
        <v>0</v>
      </c>
      <c r="L118" s="57">
        <f t="shared" ref="L118:BR118" si="228">IF(L131&lt;-1,IF(MOD(L$6-$D109,$D105)=0,1,0),0)</f>
        <v>0</v>
      </c>
      <c r="M118" s="57">
        <f t="shared" si="228"/>
        <v>0</v>
      </c>
      <c r="N118" s="57">
        <f t="shared" si="228"/>
        <v>0</v>
      </c>
      <c r="O118" s="57">
        <f t="shared" si="228"/>
        <v>0</v>
      </c>
      <c r="P118" s="57">
        <f t="shared" si="228"/>
        <v>0</v>
      </c>
      <c r="Q118" s="57">
        <f t="shared" si="228"/>
        <v>0</v>
      </c>
      <c r="R118" s="57">
        <f t="shared" si="228"/>
        <v>0</v>
      </c>
      <c r="S118" s="57">
        <f t="shared" si="228"/>
        <v>0</v>
      </c>
      <c r="T118" s="57">
        <f t="shared" si="228"/>
        <v>0</v>
      </c>
      <c r="U118" s="57">
        <f t="shared" si="228"/>
        <v>0</v>
      </c>
      <c r="V118" s="57">
        <f t="shared" si="228"/>
        <v>0</v>
      </c>
      <c r="W118" s="57">
        <f t="shared" si="228"/>
        <v>0</v>
      </c>
      <c r="X118" s="57">
        <f t="shared" si="228"/>
        <v>0</v>
      </c>
      <c r="Y118" s="57">
        <f t="shared" si="228"/>
        <v>0</v>
      </c>
      <c r="Z118" s="57">
        <f t="shared" si="228"/>
        <v>0</v>
      </c>
      <c r="AA118" s="57">
        <f t="shared" si="228"/>
        <v>0</v>
      </c>
      <c r="AB118" s="57">
        <f t="shared" si="228"/>
        <v>0</v>
      </c>
      <c r="AC118" s="57">
        <f t="shared" si="228"/>
        <v>0</v>
      </c>
      <c r="AD118" s="57">
        <f t="shared" si="228"/>
        <v>0</v>
      </c>
      <c r="AE118" s="57">
        <f t="shared" si="228"/>
        <v>0</v>
      </c>
      <c r="AF118" s="57">
        <f t="shared" si="228"/>
        <v>0</v>
      </c>
      <c r="AG118" s="57">
        <f t="shared" si="228"/>
        <v>0</v>
      </c>
      <c r="AH118" s="57">
        <f t="shared" si="228"/>
        <v>0</v>
      </c>
      <c r="AI118" s="57">
        <f t="shared" si="228"/>
        <v>0</v>
      </c>
      <c r="AJ118" s="57">
        <f t="shared" si="228"/>
        <v>0</v>
      </c>
      <c r="AK118" s="57">
        <f t="shared" si="228"/>
        <v>0</v>
      </c>
      <c r="AL118" s="57">
        <f t="shared" si="228"/>
        <v>0</v>
      </c>
      <c r="AM118" s="57">
        <f t="shared" si="228"/>
        <v>0</v>
      </c>
      <c r="AN118" s="57">
        <f t="shared" si="228"/>
        <v>0</v>
      </c>
      <c r="AO118" s="57">
        <f t="shared" si="228"/>
        <v>0</v>
      </c>
      <c r="AP118" s="57">
        <f t="shared" si="228"/>
        <v>0</v>
      </c>
      <c r="AQ118" s="57">
        <f t="shared" si="228"/>
        <v>0</v>
      </c>
      <c r="AR118" s="57">
        <f t="shared" si="228"/>
        <v>0</v>
      </c>
      <c r="AS118" s="57">
        <f t="shared" si="228"/>
        <v>0</v>
      </c>
      <c r="AT118" s="57">
        <f t="shared" si="228"/>
        <v>0</v>
      </c>
      <c r="AU118" s="57">
        <f t="shared" si="228"/>
        <v>0</v>
      </c>
      <c r="AV118" s="57">
        <f t="shared" si="228"/>
        <v>0</v>
      </c>
      <c r="AW118" s="57">
        <f t="shared" si="228"/>
        <v>0</v>
      </c>
      <c r="AX118" s="57">
        <f t="shared" si="228"/>
        <v>0</v>
      </c>
      <c r="AY118" s="57">
        <f t="shared" si="228"/>
        <v>0</v>
      </c>
      <c r="AZ118" s="57">
        <f t="shared" si="228"/>
        <v>0</v>
      </c>
      <c r="BA118" s="57">
        <f t="shared" si="228"/>
        <v>0</v>
      </c>
      <c r="BB118" s="57">
        <f t="shared" si="228"/>
        <v>0</v>
      </c>
      <c r="BC118" s="57">
        <f t="shared" si="228"/>
        <v>0</v>
      </c>
      <c r="BD118" s="57">
        <f t="shared" si="228"/>
        <v>0</v>
      </c>
      <c r="BE118" s="57">
        <f t="shared" si="228"/>
        <v>0</v>
      </c>
      <c r="BF118" s="57">
        <f t="shared" si="228"/>
        <v>0</v>
      </c>
      <c r="BG118" s="57">
        <f t="shared" si="228"/>
        <v>0</v>
      </c>
      <c r="BH118" s="57">
        <f t="shared" si="228"/>
        <v>0</v>
      </c>
      <c r="BI118" s="57">
        <f t="shared" si="228"/>
        <v>0</v>
      </c>
      <c r="BJ118" s="57">
        <f t="shared" si="228"/>
        <v>0</v>
      </c>
      <c r="BK118" s="57">
        <f t="shared" si="228"/>
        <v>0</v>
      </c>
      <c r="BL118" s="57">
        <f t="shared" si="228"/>
        <v>0</v>
      </c>
      <c r="BM118" s="57">
        <f t="shared" si="228"/>
        <v>0</v>
      </c>
      <c r="BN118" s="57">
        <f t="shared" si="228"/>
        <v>0</v>
      </c>
      <c r="BO118" s="57">
        <f t="shared" si="228"/>
        <v>0</v>
      </c>
      <c r="BP118" s="57">
        <f t="shared" si="228"/>
        <v>0</v>
      </c>
      <c r="BQ118" s="57">
        <f t="shared" si="228"/>
        <v>0</v>
      </c>
      <c r="BR118" s="57">
        <f t="shared" si="228"/>
        <v>0</v>
      </c>
    </row>
    <row r="119" spans="1:70" hidden="1" outlineLevel="1" x14ac:dyDescent="0.25"/>
    <row r="120" spans="1:70" hidden="1" outlineLevel="1" x14ac:dyDescent="0.25"/>
    <row r="121" spans="1:70" s="145" customFormat="1" ht="13.8" hidden="1" outlineLevel="1" x14ac:dyDescent="0.25">
      <c r="B121" s="145" t="str">
        <f>Header2</f>
        <v>4.2</v>
      </c>
      <c r="C121" s="145" t="s">
        <v>469</v>
      </c>
    </row>
    <row r="122" spans="1:70" s="147" customFormat="1" hidden="1" outlineLevel="1" x14ac:dyDescent="0.25">
      <c r="A122" s="211"/>
      <c r="F122" s="212"/>
    </row>
    <row r="123" spans="1:70" s="147" customFormat="1" hidden="1" outlineLevel="1" x14ac:dyDescent="0.25">
      <c r="A123" s="211"/>
      <c r="C123" s="147" t="s">
        <v>228</v>
      </c>
      <c r="D123" s="231" t="str">
        <f>unit</f>
        <v>£</v>
      </c>
      <c r="E123" s="147">
        <f>INDEX($K123:$BR123,0,MATCH(E$7,$K$7:$BR$7,0))</f>
        <v>0</v>
      </c>
      <c r="F123" s="147">
        <f t="shared" ref="F123:I123" si="229">INDEX($K123:$BR123,0,MATCH(F$7,$K$7:$BR$7,0))</f>
        <v>0</v>
      </c>
      <c r="G123" s="147">
        <f t="shared" si="229"/>
        <v>0</v>
      </c>
      <c r="H123" s="147">
        <f t="shared" si="229"/>
        <v>0</v>
      </c>
      <c r="I123" s="147">
        <f t="shared" si="229"/>
        <v>0</v>
      </c>
      <c r="K123" s="213">
        <v>0</v>
      </c>
      <c r="L123" s="223">
        <f t="shared" ref="L123:BR123" si="230">K126</f>
        <v>0</v>
      </c>
      <c r="M123" s="223">
        <f t="shared" si="230"/>
        <v>0</v>
      </c>
      <c r="N123" s="223">
        <f t="shared" si="230"/>
        <v>0</v>
      </c>
      <c r="O123" s="223">
        <f t="shared" si="230"/>
        <v>0</v>
      </c>
      <c r="P123" s="223">
        <f t="shared" si="230"/>
        <v>0</v>
      </c>
      <c r="Q123" s="223">
        <f t="shared" si="230"/>
        <v>0</v>
      </c>
      <c r="R123" s="223">
        <f t="shared" si="230"/>
        <v>0</v>
      </c>
      <c r="S123" s="223">
        <f t="shared" si="230"/>
        <v>0</v>
      </c>
      <c r="T123" s="223">
        <f t="shared" si="230"/>
        <v>0</v>
      </c>
      <c r="U123" s="223">
        <f t="shared" si="230"/>
        <v>0</v>
      </c>
      <c r="V123" s="223">
        <f t="shared" si="230"/>
        <v>0</v>
      </c>
      <c r="W123" s="223">
        <f t="shared" si="230"/>
        <v>0</v>
      </c>
      <c r="X123" s="223">
        <f t="shared" si="230"/>
        <v>0</v>
      </c>
      <c r="Y123" s="223">
        <f t="shared" si="230"/>
        <v>0</v>
      </c>
      <c r="Z123" s="223">
        <f t="shared" si="230"/>
        <v>0</v>
      </c>
      <c r="AA123" s="223">
        <f t="shared" si="230"/>
        <v>0</v>
      </c>
      <c r="AB123" s="223">
        <f t="shared" si="230"/>
        <v>0</v>
      </c>
      <c r="AC123" s="223">
        <f t="shared" si="230"/>
        <v>0</v>
      </c>
      <c r="AD123" s="223">
        <f t="shared" si="230"/>
        <v>0</v>
      </c>
      <c r="AE123" s="223">
        <f t="shared" si="230"/>
        <v>0</v>
      </c>
      <c r="AF123" s="223">
        <f t="shared" si="230"/>
        <v>0</v>
      </c>
      <c r="AG123" s="223">
        <f t="shared" si="230"/>
        <v>0</v>
      </c>
      <c r="AH123" s="223">
        <f t="shared" si="230"/>
        <v>0</v>
      </c>
      <c r="AI123" s="223">
        <f t="shared" si="230"/>
        <v>0</v>
      </c>
      <c r="AJ123" s="223">
        <f t="shared" si="230"/>
        <v>0</v>
      </c>
      <c r="AK123" s="223">
        <f t="shared" si="230"/>
        <v>0</v>
      </c>
      <c r="AL123" s="223">
        <f t="shared" si="230"/>
        <v>0</v>
      </c>
      <c r="AM123" s="223">
        <f t="shared" si="230"/>
        <v>0</v>
      </c>
      <c r="AN123" s="223">
        <f t="shared" si="230"/>
        <v>0</v>
      </c>
      <c r="AO123" s="223">
        <f t="shared" si="230"/>
        <v>0</v>
      </c>
      <c r="AP123" s="223">
        <f t="shared" si="230"/>
        <v>0</v>
      </c>
      <c r="AQ123" s="223">
        <f t="shared" si="230"/>
        <v>0</v>
      </c>
      <c r="AR123" s="223">
        <f t="shared" si="230"/>
        <v>0</v>
      </c>
      <c r="AS123" s="223">
        <f t="shared" si="230"/>
        <v>0</v>
      </c>
      <c r="AT123" s="223">
        <f t="shared" si="230"/>
        <v>0</v>
      </c>
      <c r="AU123" s="223">
        <f t="shared" si="230"/>
        <v>0</v>
      </c>
      <c r="AV123" s="223">
        <f t="shared" si="230"/>
        <v>0</v>
      </c>
      <c r="AW123" s="223">
        <f t="shared" si="230"/>
        <v>0</v>
      </c>
      <c r="AX123" s="223">
        <f t="shared" si="230"/>
        <v>0</v>
      </c>
      <c r="AY123" s="223">
        <f t="shared" si="230"/>
        <v>0</v>
      </c>
      <c r="AZ123" s="223">
        <f t="shared" si="230"/>
        <v>0</v>
      </c>
      <c r="BA123" s="223">
        <f t="shared" si="230"/>
        <v>0</v>
      </c>
      <c r="BB123" s="223">
        <f t="shared" si="230"/>
        <v>0</v>
      </c>
      <c r="BC123" s="223">
        <f t="shared" si="230"/>
        <v>0</v>
      </c>
      <c r="BD123" s="223">
        <f t="shared" si="230"/>
        <v>0</v>
      </c>
      <c r="BE123" s="223">
        <f t="shared" si="230"/>
        <v>0</v>
      </c>
      <c r="BF123" s="223">
        <f t="shared" si="230"/>
        <v>0</v>
      </c>
      <c r="BG123" s="223">
        <f t="shared" si="230"/>
        <v>0</v>
      </c>
      <c r="BH123" s="223">
        <f t="shared" si="230"/>
        <v>0</v>
      </c>
      <c r="BI123" s="223">
        <f t="shared" si="230"/>
        <v>0</v>
      </c>
      <c r="BJ123" s="223">
        <f t="shared" si="230"/>
        <v>0</v>
      </c>
      <c r="BK123" s="223">
        <f t="shared" si="230"/>
        <v>0</v>
      </c>
      <c r="BL123" s="223">
        <f t="shared" si="230"/>
        <v>0</v>
      </c>
      <c r="BM123" s="223">
        <f t="shared" si="230"/>
        <v>0</v>
      </c>
      <c r="BN123" s="223">
        <f t="shared" si="230"/>
        <v>0</v>
      </c>
      <c r="BO123" s="223">
        <f t="shared" si="230"/>
        <v>0</v>
      </c>
      <c r="BP123" s="223">
        <f t="shared" si="230"/>
        <v>0</v>
      </c>
      <c r="BQ123" s="223">
        <f t="shared" si="230"/>
        <v>0</v>
      </c>
      <c r="BR123" s="223">
        <f t="shared" si="230"/>
        <v>0</v>
      </c>
    </row>
    <row r="124" spans="1:70" s="147" customFormat="1" hidden="1" outlineLevel="1" x14ac:dyDescent="0.25">
      <c r="A124" s="211"/>
      <c r="C124" s="147" t="s">
        <v>249</v>
      </c>
      <c r="D124" s="231" t="str">
        <f>unit</f>
        <v>£</v>
      </c>
      <c r="E124" s="147">
        <f>SUMIF($K$5:$BR$5,E$5,$K124:$BR124)</f>
        <v>0</v>
      </c>
      <c r="F124" s="147">
        <f t="shared" ref="F124:I125" si="231">SUMIF($K$5:$BR$5,F$5,$K124:$BR124)</f>
        <v>0</v>
      </c>
      <c r="G124" s="147">
        <f t="shared" si="231"/>
        <v>0</v>
      </c>
      <c r="H124" s="147">
        <f t="shared" si="231"/>
        <v>0</v>
      </c>
      <c r="I124" s="147">
        <f t="shared" si="231"/>
        <v>0</v>
      </c>
      <c r="K124" s="147">
        <f>$D101*K116</f>
        <v>0</v>
      </c>
      <c r="L124" s="147">
        <f t="shared" ref="L124:BR124" si="232">$D101*L116</f>
        <v>0</v>
      </c>
      <c r="M124" s="147">
        <f t="shared" si="232"/>
        <v>0</v>
      </c>
      <c r="N124" s="147">
        <f t="shared" si="232"/>
        <v>0</v>
      </c>
      <c r="O124" s="147">
        <f t="shared" si="232"/>
        <v>0</v>
      </c>
      <c r="P124" s="147">
        <f t="shared" si="232"/>
        <v>0</v>
      </c>
      <c r="Q124" s="147">
        <f t="shared" si="232"/>
        <v>0</v>
      </c>
      <c r="R124" s="147">
        <f t="shared" si="232"/>
        <v>0</v>
      </c>
      <c r="S124" s="147">
        <f t="shared" si="232"/>
        <v>0</v>
      </c>
      <c r="T124" s="147">
        <f t="shared" si="232"/>
        <v>0</v>
      </c>
      <c r="U124" s="147">
        <f t="shared" si="232"/>
        <v>0</v>
      </c>
      <c r="V124" s="147">
        <f t="shared" si="232"/>
        <v>0</v>
      </c>
      <c r="W124" s="147">
        <f t="shared" si="232"/>
        <v>0</v>
      </c>
      <c r="X124" s="147">
        <f t="shared" si="232"/>
        <v>0</v>
      </c>
      <c r="Y124" s="147">
        <f t="shared" si="232"/>
        <v>0</v>
      </c>
      <c r="Z124" s="147">
        <f t="shared" si="232"/>
        <v>0</v>
      </c>
      <c r="AA124" s="147">
        <f t="shared" si="232"/>
        <v>0</v>
      </c>
      <c r="AB124" s="147">
        <f t="shared" si="232"/>
        <v>0</v>
      </c>
      <c r="AC124" s="147">
        <f t="shared" si="232"/>
        <v>0</v>
      </c>
      <c r="AD124" s="147">
        <f t="shared" si="232"/>
        <v>0</v>
      </c>
      <c r="AE124" s="147">
        <f t="shared" si="232"/>
        <v>0</v>
      </c>
      <c r="AF124" s="147">
        <f t="shared" si="232"/>
        <v>0</v>
      </c>
      <c r="AG124" s="147">
        <f t="shared" si="232"/>
        <v>0</v>
      </c>
      <c r="AH124" s="147">
        <f t="shared" si="232"/>
        <v>0</v>
      </c>
      <c r="AI124" s="147">
        <f t="shared" si="232"/>
        <v>0</v>
      </c>
      <c r="AJ124" s="147">
        <f t="shared" si="232"/>
        <v>0</v>
      </c>
      <c r="AK124" s="147">
        <f t="shared" si="232"/>
        <v>0</v>
      </c>
      <c r="AL124" s="147">
        <f t="shared" si="232"/>
        <v>0</v>
      </c>
      <c r="AM124" s="147">
        <f t="shared" si="232"/>
        <v>0</v>
      </c>
      <c r="AN124" s="147">
        <f t="shared" si="232"/>
        <v>0</v>
      </c>
      <c r="AO124" s="147">
        <f t="shared" si="232"/>
        <v>0</v>
      </c>
      <c r="AP124" s="147">
        <f t="shared" si="232"/>
        <v>0</v>
      </c>
      <c r="AQ124" s="147">
        <f t="shared" si="232"/>
        <v>0</v>
      </c>
      <c r="AR124" s="147">
        <f t="shared" si="232"/>
        <v>0</v>
      </c>
      <c r="AS124" s="147">
        <f t="shared" si="232"/>
        <v>0</v>
      </c>
      <c r="AT124" s="147">
        <f t="shared" si="232"/>
        <v>0</v>
      </c>
      <c r="AU124" s="147">
        <f t="shared" si="232"/>
        <v>0</v>
      </c>
      <c r="AV124" s="147">
        <f t="shared" si="232"/>
        <v>0</v>
      </c>
      <c r="AW124" s="147">
        <f t="shared" si="232"/>
        <v>0</v>
      </c>
      <c r="AX124" s="147">
        <f t="shared" si="232"/>
        <v>0</v>
      </c>
      <c r="AY124" s="147">
        <f t="shared" si="232"/>
        <v>0</v>
      </c>
      <c r="AZ124" s="147">
        <f t="shared" si="232"/>
        <v>0</v>
      </c>
      <c r="BA124" s="147">
        <f t="shared" si="232"/>
        <v>0</v>
      </c>
      <c r="BB124" s="147">
        <f t="shared" si="232"/>
        <v>0</v>
      </c>
      <c r="BC124" s="147">
        <f t="shared" si="232"/>
        <v>0</v>
      </c>
      <c r="BD124" s="147">
        <f t="shared" si="232"/>
        <v>0</v>
      </c>
      <c r="BE124" s="147">
        <f t="shared" si="232"/>
        <v>0</v>
      </c>
      <c r="BF124" s="147">
        <f t="shared" si="232"/>
        <v>0</v>
      </c>
      <c r="BG124" s="147">
        <f t="shared" si="232"/>
        <v>0</v>
      </c>
      <c r="BH124" s="147">
        <f t="shared" si="232"/>
        <v>0</v>
      </c>
      <c r="BI124" s="147">
        <f t="shared" si="232"/>
        <v>0</v>
      </c>
      <c r="BJ124" s="147">
        <f t="shared" si="232"/>
        <v>0</v>
      </c>
      <c r="BK124" s="147">
        <f t="shared" si="232"/>
        <v>0</v>
      </c>
      <c r="BL124" s="147">
        <f t="shared" si="232"/>
        <v>0</v>
      </c>
      <c r="BM124" s="147">
        <f t="shared" si="232"/>
        <v>0</v>
      </c>
      <c r="BN124" s="147">
        <f t="shared" si="232"/>
        <v>0</v>
      </c>
      <c r="BO124" s="147">
        <f t="shared" si="232"/>
        <v>0</v>
      </c>
      <c r="BP124" s="147">
        <f t="shared" si="232"/>
        <v>0</v>
      </c>
      <c r="BQ124" s="147">
        <f t="shared" si="232"/>
        <v>0</v>
      </c>
      <c r="BR124" s="147">
        <f t="shared" si="232"/>
        <v>0</v>
      </c>
    </row>
    <row r="125" spans="1:70" s="147" customFormat="1" hidden="1" outlineLevel="1" x14ac:dyDescent="0.25">
      <c r="A125" s="211"/>
      <c r="C125" s="147" t="s">
        <v>250</v>
      </c>
      <c r="D125" s="231" t="str">
        <f>unit</f>
        <v>£</v>
      </c>
      <c r="E125" s="147">
        <f>SUMIF($K$5:$BR$5,E$5,$K125:$BR125)</f>
        <v>0</v>
      </c>
      <c r="F125" s="147">
        <f t="shared" si="231"/>
        <v>0</v>
      </c>
      <c r="G125" s="147">
        <f t="shared" si="231"/>
        <v>0</v>
      </c>
      <c r="H125" s="147">
        <f t="shared" si="231"/>
        <v>0</v>
      </c>
      <c r="I125" s="147">
        <f t="shared" si="231"/>
        <v>0</v>
      </c>
      <c r="K125" s="147">
        <f>-K117*$D112</f>
        <v>0</v>
      </c>
      <c r="L125" s="147">
        <f t="shared" ref="L125:BR125" si="233">-L117*$D112</f>
        <v>0</v>
      </c>
      <c r="M125" s="147">
        <f t="shared" si="233"/>
        <v>0</v>
      </c>
      <c r="N125" s="147">
        <f t="shared" si="233"/>
        <v>0</v>
      </c>
      <c r="O125" s="147">
        <f t="shared" si="233"/>
        <v>0</v>
      </c>
      <c r="P125" s="147">
        <f t="shared" si="233"/>
        <v>0</v>
      </c>
      <c r="Q125" s="147">
        <f t="shared" si="233"/>
        <v>0</v>
      </c>
      <c r="R125" s="147">
        <f t="shared" si="233"/>
        <v>0</v>
      </c>
      <c r="S125" s="147">
        <f t="shared" si="233"/>
        <v>0</v>
      </c>
      <c r="T125" s="147">
        <f t="shared" si="233"/>
        <v>0</v>
      </c>
      <c r="U125" s="147">
        <f t="shared" si="233"/>
        <v>0</v>
      </c>
      <c r="V125" s="147">
        <f t="shared" si="233"/>
        <v>0</v>
      </c>
      <c r="W125" s="147">
        <f t="shared" si="233"/>
        <v>0</v>
      </c>
      <c r="X125" s="147">
        <f t="shared" si="233"/>
        <v>0</v>
      </c>
      <c r="Y125" s="147">
        <f t="shared" si="233"/>
        <v>0</v>
      </c>
      <c r="Z125" s="147">
        <f t="shared" si="233"/>
        <v>0</v>
      </c>
      <c r="AA125" s="147">
        <f t="shared" si="233"/>
        <v>0</v>
      </c>
      <c r="AB125" s="147">
        <f t="shared" si="233"/>
        <v>0</v>
      </c>
      <c r="AC125" s="147">
        <f t="shared" si="233"/>
        <v>0</v>
      </c>
      <c r="AD125" s="147">
        <f t="shared" si="233"/>
        <v>0</v>
      </c>
      <c r="AE125" s="147">
        <f t="shared" si="233"/>
        <v>0</v>
      </c>
      <c r="AF125" s="147">
        <f t="shared" si="233"/>
        <v>0</v>
      </c>
      <c r="AG125" s="147">
        <f t="shared" si="233"/>
        <v>0</v>
      </c>
      <c r="AH125" s="147">
        <f t="shared" si="233"/>
        <v>0</v>
      </c>
      <c r="AI125" s="147">
        <f t="shared" si="233"/>
        <v>0</v>
      </c>
      <c r="AJ125" s="147">
        <f t="shared" si="233"/>
        <v>0</v>
      </c>
      <c r="AK125" s="147">
        <f t="shared" si="233"/>
        <v>0</v>
      </c>
      <c r="AL125" s="147">
        <f t="shared" si="233"/>
        <v>0</v>
      </c>
      <c r="AM125" s="147">
        <f t="shared" si="233"/>
        <v>0</v>
      </c>
      <c r="AN125" s="147">
        <f t="shared" si="233"/>
        <v>0</v>
      </c>
      <c r="AO125" s="147">
        <f t="shared" si="233"/>
        <v>0</v>
      </c>
      <c r="AP125" s="147">
        <f t="shared" si="233"/>
        <v>0</v>
      </c>
      <c r="AQ125" s="147">
        <f t="shared" si="233"/>
        <v>0</v>
      </c>
      <c r="AR125" s="147">
        <f t="shared" si="233"/>
        <v>0</v>
      </c>
      <c r="AS125" s="147">
        <f t="shared" si="233"/>
        <v>0</v>
      </c>
      <c r="AT125" s="147">
        <f t="shared" si="233"/>
        <v>0</v>
      </c>
      <c r="AU125" s="147">
        <f t="shared" si="233"/>
        <v>0</v>
      </c>
      <c r="AV125" s="147">
        <f t="shared" si="233"/>
        <v>0</v>
      </c>
      <c r="AW125" s="147">
        <f t="shared" si="233"/>
        <v>0</v>
      </c>
      <c r="AX125" s="147">
        <f t="shared" si="233"/>
        <v>0</v>
      </c>
      <c r="AY125" s="147">
        <f t="shared" si="233"/>
        <v>0</v>
      </c>
      <c r="AZ125" s="147">
        <f t="shared" si="233"/>
        <v>0</v>
      </c>
      <c r="BA125" s="147">
        <f t="shared" si="233"/>
        <v>0</v>
      </c>
      <c r="BB125" s="147">
        <f t="shared" si="233"/>
        <v>0</v>
      </c>
      <c r="BC125" s="147">
        <f t="shared" si="233"/>
        <v>0</v>
      </c>
      <c r="BD125" s="147">
        <f t="shared" si="233"/>
        <v>0</v>
      </c>
      <c r="BE125" s="147">
        <f t="shared" si="233"/>
        <v>0</v>
      </c>
      <c r="BF125" s="147">
        <f t="shared" si="233"/>
        <v>0</v>
      </c>
      <c r="BG125" s="147">
        <f t="shared" si="233"/>
        <v>0</v>
      </c>
      <c r="BH125" s="147">
        <f t="shared" si="233"/>
        <v>0</v>
      </c>
      <c r="BI125" s="147">
        <f t="shared" si="233"/>
        <v>0</v>
      </c>
      <c r="BJ125" s="147">
        <f t="shared" si="233"/>
        <v>0</v>
      </c>
      <c r="BK125" s="147">
        <f t="shared" si="233"/>
        <v>0</v>
      </c>
      <c r="BL125" s="147">
        <f t="shared" si="233"/>
        <v>0</v>
      </c>
      <c r="BM125" s="147">
        <f t="shared" si="233"/>
        <v>0</v>
      </c>
      <c r="BN125" s="147">
        <f t="shared" si="233"/>
        <v>0</v>
      </c>
      <c r="BO125" s="147">
        <f t="shared" si="233"/>
        <v>0</v>
      </c>
      <c r="BP125" s="147">
        <f t="shared" si="233"/>
        <v>0</v>
      </c>
      <c r="BQ125" s="147">
        <f t="shared" si="233"/>
        <v>0</v>
      </c>
      <c r="BR125" s="147">
        <f t="shared" si="233"/>
        <v>0</v>
      </c>
    </row>
    <row r="126" spans="1:70" s="147" customFormat="1" hidden="1" outlineLevel="1" x14ac:dyDescent="0.25">
      <c r="A126" s="211"/>
      <c r="C126" s="147" t="s">
        <v>230</v>
      </c>
      <c r="D126" s="231" t="str">
        <f>unit</f>
        <v>£</v>
      </c>
      <c r="E126" s="230">
        <f>SUM(E123:E125)</f>
        <v>0</v>
      </c>
      <c r="F126" s="230">
        <f t="shared" ref="F126" si="234">SUM(F123:F125)</f>
        <v>0</v>
      </c>
      <c r="G126" s="230">
        <f t="shared" ref="G126" si="235">SUM(G123:G125)</f>
        <v>0</v>
      </c>
      <c r="H126" s="230">
        <f t="shared" ref="H126" si="236">SUM(H123:H125)</f>
        <v>0</v>
      </c>
      <c r="I126" s="230">
        <f t="shared" ref="I126" si="237">SUM(I123:I125)</f>
        <v>0</v>
      </c>
      <c r="J126" s="224"/>
      <c r="K126" s="214">
        <f t="shared" ref="K126:BR126" si="238">SUM(K123:K125)</f>
        <v>0</v>
      </c>
      <c r="L126" s="214">
        <f t="shared" si="238"/>
        <v>0</v>
      </c>
      <c r="M126" s="214">
        <f t="shared" si="238"/>
        <v>0</v>
      </c>
      <c r="N126" s="214">
        <f t="shared" si="238"/>
        <v>0</v>
      </c>
      <c r="O126" s="214">
        <f t="shared" si="238"/>
        <v>0</v>
      </c>
      <c r="P126" s="214">
        <f t="shared" si="238"/>
        <v>0</v>
      </c>
      <c r="Q126" s="214">
        <f t="shared" si="238"/>
        <v>0</v>
      </c>
      <c r="R126" s="214">
        <f t="shared" si="238"/>
        <v>0</v>
      </c>
      <c r="S126" s="214">
        <f t="shared" si="238"/>
        <v>0</v>
      </c>
      <c r="T126" s="214">
        <f t="shared" si="238"/>
        <v>0</v>
      </c>
      <c r="U126" s="214">
        <f t="shared" si="238"/>
        <v>0</v>
      </c>
      <c r="V126" s="214">
        <f t="shared" si="238"/>
        <v>0</v>
      </c>
      <c r="W126" s="214">
        <f t="shared" si="238"/>
        <v>0</v>
      </c>
      <c r="X126" s="214">
        <f t="shared" si="238"/>
        <v>0</v>
      </c>
      <c r="Y126" s="214">
        <f t="shared" si="238"/>
        <v>0</v>
      </c>
      <c r="Z126" s="214">
        <f t="shared" si="238"/>
        <v>0</v>
      </c>
      <c r="AA126" s="214">
        <f t="shared" si="238"/>
        <v>0</v>
      </c>
      <c r="AB126" s="214">
        <f t="shared" si="238"/>
        <v>0</v>
      </c>
      <c r="AC126" s="214">
        <f t="shared" si="238"/>
        <v>0</v>
      </c>
      <c r="AD126" s="214">
        <f t="shared" si="238"/>
        <v>0</v>
      </c>
      <c r="AE126" s="214">
        <f t="shared" si="238"/>
        <v>0</v>
      </c>
      <c r="AF126" s="214">
        <f t="shared" si="238"/>
        <v>0</v>
      </c>
      <c r="AG126" s="214">
        <f t="shared" si="238"/>
        <v>0</v>
      </c>
      <c r="AH126" s="214">
        <f t="shared" si="238"/>
        <v>0</v>
      </c>
      <c r="AI126" s="214">
        <f t="shared" si="238"/>
        <v>0</v>
      </c>
      <c r="AJ126" s="214">
        <f t="shared" si="238"/>
        <v>0</v>
      </c>
      <c r="AK126" s="214">
        <f t="shared" si="238"/>
        <v>0</v>
      </c>
      <c r="AL126" s="214">
        <f t="shared" si="238"/>
        <v>0</v>
      </c>
      <c r="AM126" s="214">
        <f t="shared" si="238"/>
        <v>0</v>
      </c>
      <c r="AN126" s="214">
        <f t="shared" si="238"/>
        <v>0</v>
      </c>
      <c r="AO126" s="214">
        <f t="shared" si="238"/>
        <v>0</v>
      </c>
      <c r="AP126" s="214">
        <f t="shared" si="238"/>
        <v>0</v>
      </c>
      <c r="AQ126" s="214">
        <f t="shared" si="238"/>
        <v>0</v>
      </c>
      <c r="AR126" s="214">
        <f t="shared" si="238"/>
        <v>0</v>
      </c>
      <c r="AS126" s="214">
        <f t="shared" si="238"/>
        <v>0</v>
      </c>
      <c r="AT126" s="214">
        <f t="shared" si="238"/>
        <v>0</v>
      </c>
      <c r="AU126" s="214">
        <f t="shared" si="238"/>
        <v>0</v>
      </c>
      <c r="AV126" s="214">
        <f t="shared" si="238"/>
        <v>0</v>
      </c>
      <c r="AW126" s="214">
        <f t="shared" si="238"/>
        <v>0</v>
      </c>
      <c r="AX126" s="214">
        <f t="shared" si="238"/>
        <v>0</v>
      </c>
      <c r="AY126" s="214">
        <f t="shared" si="238"/>
        <v>0</v>
      </c>
      <c r="AZ126" s="214">
        <f t="shared" si="238"/>
        <v>0</v>
      </c>
      <c r="BA126" s="214">
        <f t="shared" si="238"/>
        <v>0</v>
      </c>
      <c r="BB126" s="214">
        <f t="shared" si="238"/>
        <v>0</v>
      </c>
      <c r="BC126" s="214">
        <f t="shared" si="238"/>
        <v>0</v>
      </c>
      <c r="BD126" s="214">
        <f t="shared" si="238"/>
        <v>0</v>
      </c>
      <c r="BE126" s="214">
        <f t="shared" si="238"/>
        <v>0</v>
      </c>
      <c r="BF126" s="214">
        <f t="shared" si="238"/>
        <v>0</v>
      </c>
      <c r="BG126" s="214">
        <f t="shared" si="238"/>
        <v>0</v>
      </c>
      <c r="BH126" s="214">
        <f t="shared" si="238"/>
        <v>0</v>
      </c>
      <c r="BI126" s="214">
        <f t="shared" si="238"/>
        <v>0</v>
      </c>
      <c r="BJ126" s="214">
        <f t="shared" si="238"/>
        <v>0</v>
      </c>
      <c r="BK126" s="214">
        <f t="shared" si="238"/>
        <v>0</v>
      </c>
      <c r="BL126" s="214">
        <f t="shared" si="238"/>
        <v>0</v>
      </c>
      <c r="BM126" s="214">
        <f t="shared" si="238"/>
        <v>0</v>
      </c>
      <c r="BN126" s="214">
        <f t="shared" si="238"/>
        <v>0</v>
      </c>
      <c r="BO126" s="214">
        <f t="shared" si="238"/>
        <v>0</v>
      </c>
      <c r="BP126" s="214">
        <f t="shared" si="238"/>
        <v>0</v>
      </c>
      <c r="BQ126" s="214">
        <f t="shared" si="238"/>
        <v>0</v>
      </c>
      <c r="BR126" s="214">
        <f t="shared" si="238"/>
        <v>0</v>
      </c>
    </row>
    <row r="127" spans="1:70" hidden="1" outlineLevel="1" x14ac:dyDescent="0.25">
      <c r="E127" s="147"/>
      <c r="F127" s="212"/>
      <c r="G127" s="147"/>
      <c r="H127" s="147"/>
      <c r="I127" s="147"/>
    </row>
    <row r="128" spans="1:70" s="145" customFormat="1" ht="13.8" hidden="1" outlineLevel="1" x14ac:dyDescent="0.25">
      <c r="B128" s="145" t="str">
        <f>Header2</f>
        <v>4.3</v>
      </c>
      <c r="C128" s="145" t="s">
        <v>251</v>
      </c>
      <c r="E128" s="215"/>
      <c r="F128" s="215"/>
      <c r="G128" s="215"/>
      <c r="H128" s="215"/>
      <c r="I128" s="215"/>
    </row>
    <row r="129" spans="1:70" hidden="1" outlineLevel="1" x14ac:dyDescent="0.25">
      <c r="E129" s="147"/>
      <c r="F129" s="212"/>
      <c r="G129" s="147"/>
      <c r="H129" s="147"/>
      <c r="I129" s="147"/>
    </row>
    <row r="130" spans="1:70" hidden="1" outlineLevel="1" x14ac:dyDescent="0.25">
      <c r="C130" s="147" t="s">
        <v>228</v>
      </c>
      <c r="D130" s="231" t="str">
        <f>unit</f>
        <v>£</v>
      </c>
      <c r="E130" s="147">
        <f>INDEX($K130:$BR130,0,MATCH(E$7,$K$7:$BR$7,0))</f>
        <v>0</v>
      </c>
      <c r="F130" s="147">
        <f t="shared" ref="F130:I130" si="239">INDEX($K130:$BR130,0,MATCH(F$7,$K$7:$BR$7,0))</f>
        <v>0</v>
      </c>
      <c r="G130" s="147">
        <f t="shared" si="239"/>
        <v>0</v>
      </c>
      <c r="H130" s="147">
        <f t="shared" si="239"/>
        <v>0</v>
      </c>
      <c r="I130" s="147">
        <f t="shared" si="239"/>
        <v>0</v>
      </c>
      <c r="K130" s="57">
        <f>J133</f>
        <v>0</v>
      </c>
      <c r="L130" s="57">
        <f t="shared" ref="L130:BR130" si="240">K133</f>
        <v>0</v>
      </c>
      <c r="M130" s="57">
        <f t="shared" si="240"/>
        <v>0</v>
      </c>
      <c r="N130" s="57">
        <f t="shared" si="240"/>
        <v>0</v>
      </c>
      <c r="O130" s="57">
        <f t="shared" si="240"/>
        <v>0</v>
      </c>
      <c r="P130" s="57">
        <f t="shared" si="240"/>
        <v>0</v>
      </c>
      <c r="Q130" s="57">
        <f t="shared" si="240"/>
        <v>0</v>
      </c>
      <c r="R130" s="57">
        <f t="shared" si="240"/>
        <v>0</v>
      </c>
      <c r="S130" s="57">
        <f t="shared" si="240"/>
        <v>0</v>
      </c>
      <c r="T130" s="57">
        <f t="shared" si="240"/>
        <v>0</v>
      </c>
      <c r="U130" s="57">
        <f t="shared" si="240"/>
        <v>0</v>
      </c>
      <c r="V130" s="57">
        <f t="shared" si="240"/>
        <v>0</v>
      </c>
      <c r="W130" s="57">
        <f t="shared" si="240"/>
        <v>0</v>
      </c>
      <c r="X130" s="57">
        <f t="shared" si="240"/>
        <v>0</v>
      </c>
      <c r="Y130" s="57">
        <f t="shared" si="240"/>
        <v>0</v>
      </c>
      <c r="Z130" s="57">
        <f t="shared" si="240"/>
        <v>0</v>
      </c>
      <c r="AA130" s="57">
        <f t="shared" si="240"/>
        <v>0</v>
      </c>
      <c r="AB130" s="57">
        <f t="shared" si="240"/>
        <v>0</v>
      </c>
      <c r="AC130" s="57">
        <f t="shared" si="240"/>
        <v>0</v>
      </c>
      <c r="AD130" s="57">
        <f t="shared" si="240"/>
        <v>0</v>
      </c>
      <c r="AE130" s="57">
        <f t="shared" si="240"/>
        <v>0</v>
      </c>
      <c r="AF130" s="57">
        <f t="shared" si="240"/>
        <v>0</v>
      </c>
      <c r="AG130" s="57">
        <f t="shared" si="240"/>
        <v>0</v>
      </c>
      <c r="AH130" s="57">
        <f t="shared" si="240"/>
        <v>0</v>
      </c>
      <c r="AI130" s="57">
        <f t="shared" si="240"/>
        <v>0</v>
      </c>
      <c r="AJ130" s="57">
        <f t="shared" si="240"/>
        <v>0</v>
      </c>
      <c r="AK130" s="57">
        <f t="shared" si="240"/>
        <v>0</v>
      </c>
      <c r="AL130" s="57">
        <f t="shared" si="240"/>
        <v>0</v>
      </c>
      <c r="AM130" s="57">
        <f t="shared" si="240"/>
        <v>0</v>
      </c>
      <c r="AN130" s="57">
        <f t="shared" si="240"/>
        <v>0</v>
      </c>
      <c r="AO130" s="57">
        <f t="shared" si="240"/>
        <v>0</v>
      </c>
      <c r="AP130" s="57">
        <f t="shared" si="240"/>
        <v>0</v>
      </c>
      <c r="AQ130" s="57">
        <f t="shared" si="240"/>
        <v>0</v>
      </c>
      <c r="AR130" s="57">
        <f t="shared" si="240"/>
        <v>0</v>
      </c>
      <c r="AS130" s="57">
        <f t="shared" si="240"/>
        <v>0</v>
      </c>
      <c r="AT130" s="57">
        <f t="shared" si="240"/>
        <v>0</v>
      </c>
      <c r="AU130" s="57">
        <f t="shared" si="240"/>
        <v>0</v>
      </c>
      <c r="AV130" s="57">
        <f t="shared" si="240"/>
        <v>0</v>
      </c>
      <c r="AW130" s="57">
        <f t="shared" si="240"/>
        <v>0</v>
      </c>
      <c r="AX130" s="57">
        <f t="shared" si="240"/>
        <v>0</v>
      </c>
      <c r="AY130" s="57">
        <f t="shared" si="240"/>
        <v>0</v>
      </c>
      <c r="AZ130" s="57">
        <f t="shared" si="240"/>
        <v>0</v>
      </c>
      <c r="BA130" s="57">
        <f t="shared" si="240"/>
        <v>0</v>
      </c>
      <c r="BB130" s="57">
        <f t="shared" si="240"/>
        <v>0</v>
      </c>
      <c r="BC130" s="57">
        <f t="shared" si="240"/>
        <v>0</v>
      </c>
      <c r="BD130" s="57">
        <f t="shared" si="240"/>
        <v>0</v>
      </c>
      <c r="BE130" s="57">
        <f t="shared" si="240"/>
        <v>0</v>
      </c>
      <c r="BF130" s="57">
        <f t="shared" si="240"/>
        <v>0</v>
      </c>
      <c r="BG130" s="57">
        <f t="shared" si="240"/>
        <v>0</v>
      </c>
      <c r="BH130" s="57">
        <f t="shared" si="240"/>
        <v>0</v>
      </c>
      <c r="BI130" s="57">
        <f t="shared" si="240"/>
        <v>0</v>
      </c>
      <c r="BJ130" s="57">
        <f t="shared" si="240"/>
        <v>0</v>
      </c>
      <c r="BK130" s="57">
        <f t="shared" si="240"/>
        <v>0</v>
      </c>
      <c r="BL130" s="57">
        <f t="shared" si="240"/>
        <v>0</v>
      </c>
      <c r="BM130" s="57">
        <f t="shared" si="240"/>
        <v>0</v>
      </c>
      <c r="BN130" s="57">
        <f t="shared" si="240"/>
        <v>0</v>
      </c>
      <c r="BO130" s="57">
        <f t="shared" si="240"/>
        <v>0</v>
      </c>
      <c r="BP130" s="57">
        <f t="shared" si="240"/>
        <v>0</v>
      </c>
      <c r="BQ130" s="57">
        <f t="shared" si="240"/>
        <v>0</v>
      </c>
      <c r="BR130" s="57">
        <f t="shared" si="240"/>
        <v>0</v>
      </c>
    </row>
    <row r="131" spans="1:70" hidden="1" outlineLevel="1" x14ac:dyDescent="0.25">
      <c r="C131" s="147" t="s">
        <v>252</v>
      </c>
      <c r="D131" s="231" t="str">
        <f>unit</f>
        <v>£</v>
      </c>
      <c r="E131" s="147">
        <f>SUMIF($K$5:$BR$5,E$5,$K131:$BR131)</f>
        <v>0</v>
      </c>
      <c r="F131" s="147">
        <f t="shared" ref="F131:I132" si="241">SUMIF($K$5:$BR$5,F$5,$K131:$BR131)</f>
        <v>0</v>
      </c>
      <c r="G131" s="147">
        <f t="shared" si="241"/>
        <v>0</v>
      </c>
      <c r="H131" s="147">
        <f t="shared" si="241"/>
        <v>0</v>
      </c>
      <c r="I131" s="147">
        <f t="shared" si="241"/>
        <v>0</v>
      </c>
      <c r="K131" s="57">
        <f>K123*$D106/12</f>
        <v>0</v>
      </c>
      <c r="L131" s="57">
        <f t="shared" ref="L131:BR131" si="242">L123*$D106/12</f>
        <v>0</v>
      </c>
      <c r="M131" s="57">
        <f t="shared" si="242"/>
        <v>0</v>
      </c>
      <c r="N131" s="57">
        <f t="shared" si="242"/>
        <v>0</v>
      </c>
      <c r="O131" s="57">
        <f t="shared" si="242"/>
        <v>0</v>
      </c>
      <c r="P131" s="57">
        <f t="shared" si="242"/>
        <v>0</v>
      </c>
      <c r="Q131" s="57">
        <f t="shared" si="242"/>
        <v>0</v>
      </c>
      <c r="R131" s="57">
        <f t="shared" si="242"/>
        <v>0</v>
      </c>
      <c r="S131" s="57">
        <f t="shared" si="242"/>
        <v>0</v>
      </c>
      <c r="T131" s="57">
        <f t="shared" si="242"/>
        <v>0</v>
      </c>
      <c r="U131" s="57">
        <f t="shared" si="242"/>
        <v>0</v>
      </c>
      <c r="V131" s="57">
        <f t="shared" si="242"/>
        <v>0</v>
      </c>
      <c r="W131" s="57">
        <f t="shared" si="242"/>
        <v>0</v>
      </c>
      <c r="X131" s="57">
        <f t="shared" si="242"/>
        <v>0</v>
      </c>
      <c r="Y131" s="57">
        <f t="shared" si="242"/>
        <v>0</v>
      </c>
      <c r="Z131" s="57">
        <f t="shared" si="242"/>
        <v>0</v>
      </c>
      <c r="AA131" s="57">
        <f t="shared" si="242"/>
        <v>0</v>
      </c>
      <c r="AB131" s="57">
        <f t="shared" si="242"/>
        <v>0</v>
      </c>
      <c r="AC131" s="57">
        <f t="shared" si="242"/>
        <v>0</v>
      </c>
      <c r="AD131" s="57">
        <f t="shared" si="242"/>
        <v>0</v>
      </c>
      <c r="AE131" s="57">
        <f t="shared" si="242"/>
        <v>0</v>
      </c>
      <c r="AF131" s="57">
        <f t="shared" si="242"/>
        <v>0</v>
      </c>
      <c r="AG131" s="57">
        <f t="shared" si="242"/>
        <v>0</v>
      </c>
      <c r="AH131" s="57">
        <f t="shared" si="242"/>
        <v>0</v>
      </c>
      <c r="AI131" s="57">
        <f t="shared" si="242"/>
        <v>0</v>
      </c>
      <c r="AJ131" s="57">
        <f t="shared" si="242"/>
        <v>0</v>
      </c>
      <c r="AK131" s="57">
        <f t="shared" si="242"/>
        <v>0</v>
      </c>
      <c r="AL131" s="57">
        <f t="shared" si="242"/>
        <v>0</v>
      </c>
      <c r="AM131" s="57">
        <f t="shared" si="242"/>
        <v>0</v>
      </c>
      <c r="AN131" s="57">
        <f t="shared" si="242"/>
        <v>0</v>
      </c>
      <c r="AO131" s="57">
        <f t="shared" si="242"/>
        <v>0</v>
      </c>
      <c r="AP131" s="57">
        <f t="shared" si="242"/>
        <v>0</v>
      </c>
      <c r="AQ131" s="57">
        <f t="shared" si="242"/>
        <v>0</v>
      </c>
      <c r="AR131" s="57">
        <f t="shared" si="242"/>
        <v>0</v>
      </c>
      <c r="AS131" s="57">
        <f t="shared" si="242"/>
        <v>0</v>
      </c>
      <c r="AT131" s="57">
        <f t="shared" si="242"/>
        <v>0</v>
      </c>
      <c r="AU131" s="57">
        <f t="shared" si="242"/>
        <v>0</v>
      </c>
      <c r="AV131" s="57">
        <f t="shared" si="242"/>
        <v>0</v>
      </c>
      <c r="AW131" s="57">
        <f t="shared" si="242"/>
        <v>0</v>
      </c>
      <c r="AX131" s="57">
        <f t="shared" si="242"/>
        <v>0</v>
      </c>
      <c r="AY131" s="57">
        <f t="shared" si="242"/>
        <v>0</v>
      </c>
      <c r="AZ131" s="57">
        <f t="shared" si="242"/>
        <v>0</v>
      </c>
      <c r="BA131" s="57">
        <f t="shared" si="242"/>
        <v>0</v>
      </c>
      <c r="BB131" s="57">
        <f t="shared" si="242"/>
        <v>0</v>
      </c>
      <c r="BC131" s="57">
        <f t="shared" si="242"/>
        <v>0</v>
      </c>
      <c r="BD131" s="57">
        <f t="shared" si="242"/>
        <v>0</v>
      </c>
      <c r="BE131" s="57">
        <f t="shared" si="242"/>
        <v>0</v>
      </c>
      <c r="BF131" s="57">
        <f t="shared" si="242"/>
        <v>0</v>
      </c>
      <c r="BG131" s="57">
        <f t="shared" si="242"/>
        <v>0</v>
      </c>
      <c r="BH131" s="57">
        <f t="shared" si="242"/>
        <v>0</v>
      </c>
      <c r="BI131" s="57">
        <f t="shared" si="242"/>
        <v>0</v>
      </c>
      <c r="BJ131" s="57">
        <f t="shared" si="242"/>
        <v>0</v>
      </c>
      <c r="BK131" s="57">
        <f t="shared" si="242"/>
        <v>0</v>
      </c>
      <c r="BL131" s="57">
        <f t="shared" si="242"/>
        <v>0</v>
      </c>
      <c r="BM131" s="57">
        <f t="shared" si="242"/>
        <v>0</v>
      </c>
      <c r="BN131" s="57">
        <f t="shared" si="242"/>
        <v>0</v>
      </c>
      <c r="BO131" s="57">
        <f t="shared" si="242"/>
        <v>0</v>
      </c>
      <c r="BP131" s="57">
        <f t="shared" si="242"/>
        <v>0</v>
      </c>
      <c r="BQ131" s="57">
        <f t="shared" si="242"/>
        <v>0</v>
      </c>
      <c r="BR131" s="57">
        <f t="shared" si="242"/>
        <v>0</v>
      </c>
    </row>
    <row r="132" spans="1:70" hidden="1" outlineLevel="1" x14ac:dyDescent="0.25">
      <c r="C132" s="147" t="s">
        <v>215</v>
      </c>
      <c r="D132" s="231" t="str">
        <f>unit</f>
        <v>£</v>
      </c>
      <c r="E132" s="147">
        <f>SUMIF($K$5:$BR$5,E$5,$K132:$BR132)</f>
        <v>0</v>
      </c>
      <c r="F132" s="147">
        <f t="shared" si="241"/>
        <v>0</v>
      </c>
      <c r="G132" s="147">
        <f t="shared" si="241"/>
        <v>0</v>
      </c>
      <c r="H132" s="147">
        <f t="shared" si="241"/>
        <v>0</v>
      </c>
      <c r="I132" s="147">
        <f t="shared" si="241"/>
        <v>0</v>
      </c>
      <c r="K132" s="57">
        <f>-SUM(K130:K131)*K118</f>
        <v>0</v>
      </c>
      <c r="L132" s="57">
        <f t="shared" ref="L132" si="243">-SUM(L130:L131)*L118</f>
        <v>0</v>
      </c>
      <c r="M132" s="57">
        <f t="shared" ref="M132" si="244">-SUM(M130:M131)*M118</f>
        <v>0</v>
      </c>
      <c r="N132" s="57">
        <f t="shared" ref="N132" si="245">-SUM(N130:N131)*N118</f>
        <v>0</v>
      </c>
      <c r="O132" s="57">
        <f t="shared" ref="O132" si="246">-SUM(O130:O131)*O118</f>
        <v>0</v>
      </c>
      <c r="P132" s="57">
        <f t="shared" ref="P132" si="247">-SUM(P130:P131)*P118</f>
        <v>0</v>
      </c>
      <c r="Q132" s="57">
        <f t="shared" ref="Q132" si="248">-SUM(Q130:Q131)*Q118</f>
        <v>0</v>
      </c>
      <c r="R132" s="57">
        <f t="shared" ref="R132" si="249">-SUM(R130:R131)*R118</f>
        <v>0</v>
      </c>
      <c r="S132" s="57">
        <f t="shared" ref="S132" si="250">-SUM(S130:S131)*S118</f>
        <v>0</v>
      </c>
      <c r="T132" s="57">
        <f t="shared" ref="T132" si="251">-SUM(T130:T131)*T118</f>
        <v>0</v>
      </c>
      <c r="U132" s="57">
        <f t="shared" ref="U132" si="252">-SUM(U130:U131)*U118</f>
        <v>0</v>
      </c>
      <c r="V132" s="57">
        <f t="shared" ref="V132" si="253">-SUM(V130:V131)*V118</f>
        <v>0</v>
      </c>
      <c r="W132" s="57">
        <f t="shared" ref="W132" si="254">-SUM(W130:W131)*W118</f>
        <v>0</v>
      </c>
      <c r="X132" s="57">
        <f t="shared" ref="X132" si="255">-SUM(X130:X131)*X118</f>
        <v>0</v>
      </c>
      <c r="Y132" s="57">
        <f t="shared" ref="Y132" si="256">-SUM(Y130:Y131)*Y118</f>
        <v>0</v>
      </c>
      <c r="Z132" s="57">
        <f t="shared" ref="Z132" si="257">-SUM(Z130:Z131)*Z118</f>
        <v>0</v>
      </c>
      <c r="AA132" s="57">
        <f t="shared" ref="AA132" si="258">-SUM(AA130:AA131)*AA118</f>
        <v>0</v>
      </c>
      <c r="AB132" s="57">
        <f t="shared" ref="AB132" si="259">-SUM(AB130:AB131)*AB118</f>
        <v>0</v>
      </c>
      <c r="AC132" s="57">
        <f t="shared" ref="AC132" si="260">-SUM(AC130:AC131)*AC118</f>
        <v>0</v>
      </c>
      <c r="AD132" s="57">
        <f t="shared" ref="AD132" si="261">-SUM(AD130:AD131)*AD118</f>
        <v>0</v>
      </c>
      <c r="AE132" s="57">
        <f t="shared" ref="AE132" si="262">-SUM(AE130:AE131)*AE118</f>
        <v>0</v>
      </c>
      <c r="AF132" s="57">
        <f t="shared" ref="AF132" si="263">-SUM(AF130:AF131)*AF118</f>
        <v>0</v>
      </c>
      <c r="AG132" s="57">
        <f t="shared" ref="AG132" si="264">-SUM(AG130:AG131)*AG118</f>
        <v>0</v>
      </c>
      <c r="AH132" s="57">
        <f t="shared" ref="AH132" si="265">-SUM(AH130:AH131)*AH118</f>
        <v>0</v>
      </c>
      <c r="AI132" s="57">
        <f t="shared" ref="AI132" si="266">-SUM(AI130:AI131)*AI118</f>
        <v>0</v>
      </c>
      <c r="AJ132" s="57">
        <f t="shared" ref="AJ132" si="267">-SUM(AJ130:AJ131)*AJ118</f>
        <v>0</v>
      </c>
      <c r="AK132" s="57">
        <f t="shared" ref="AK132" si="268">-SUM(AK130:AK131)*AK118</f>
        <v>0</v>
      </c>
      <c r="AL132" s="57">
        <f t="shared" ref="AL132" si="269">-SUM(AL130:AL131)*AL118</f>
        <v>0</v>
      </c>
      <c r="AM132" s="57">
        <f t="shared" ref="AM132" si="270">-SUM(AM130:AM131)*AM118</f>
        <v>0</v>
      </c>
      <c r="AN132" s="57">
        <f t="shared" ref="AN132" si="271">-SUM(AN130:AN131)*AN118</f>
        <v>0</v>
      </c>
      <c r="AO132" s="57">
        <f t="shared" ref="AO132" si="272">-SUM(AO130:AO131)*AO118</f>
        <v>0</v>
      </c>
      <c r="AP132" s="57">
        <f t="shared" ref="AP132" si="273">-SUM(AP130:AP131)*AP118</f>
        <v>0</v>
      </c>
      <c r="AQ132" s="57">
        <f t="shared" ref="AQ132" si="274">-SUM(AQ130:AQ131)*AQ118</f>
        <v>0</v>
      </c>
      <c r="AR132" s="57">
        <f t="shared" ref="AR132" si="275">-SUM(AR130:AR131)*AR118</f>
        <v>0</v>
      </c>
      <c r="AS132" s="57">
        <f t="shared" ref="AS132" si="276">-SUM(AS130:AS131)*AS118</f>
        <v>0</v>
      </c>
      <c r="AT132" s="57">
        <f t="shared" ref="AT132" si="277">-SUM(AT130:AT131)*AT118</f>
        <v>0</v>
      </c>
      <c r="AU132" s="57">
        <f t="shared" ref="AU132" si="278">-SUM(AU130:AU131)*AU118</f>
        <v>0</v>
      </c>
      <c r="AV132" s="57">
        <f t="shared" ref="AV132" si="279">-SUM(AV130:AV131)*AV118</f>
        <v>0</v>
      </c>
      <c r="AW132" s="57">
        <f t="shared" ref="AW132" si="280">-SUM(AW130:AW131)*AW118</f>
        <v>0</v>
      </c>
      <c r="AX132" s="57">
        <f t="shared" ref="AX132" si="281">-SUM(AX130:AX131)*AX118</f>
        <v>0</v>
      </c>
      <c r="AY132" s="57">
        <f t="shared" ref="AY132" si="282">-SUM(AY130:AY131)*AY118</f>
        <v>0</v>
      </c>
      <c r="AZ132" s="57">
        <f t="shared" ref="AZ132" si="283">-SUM(AZ130:AZ131)*AZ118</f>
        <v>0</v>
      </c>
      <c r="BA132" s="57">
        <f t="shared" ref="BA132" si="284">-SUM(BA130:BA131)*BA118</f>
        <v>0</v>
      </c>
      <c r="BB132" s="57">
        <f t="shared" ref="BB132" si="285">-SUM(BB130:BB131)*BB118</f>
        <v>0</v>
      </c>
      <c r="BC132" s="57">
        <f t="shared" ref="BC132" si="286">-SUM(BC130:BC131)*BC118</f>
        <v>0</v>
      </c>
      <c r="BD132" s="57">
        <f t="shared" ref="BD132" si="287">-SUM(BD130:BD131)*BD118</f>
        <v>0</v>
      </c>
      <c r="BE132" s="57">
        <f t="shared" ref="BE132" si="288">-SUM(BE130:BE131)*BE118</f>
        <v>0</v>
      </c>
      <c r="BF132" s="57">
        <f t="shared" ref="BF132" si="289">-SUM(BF130:BF131)*BF118</f>
        <v>0</v>
      </c>
      <c r="BG132" s="57">
        <f t="shared" ref="BG132" si="290">-SUM(BG130:BG131)*BG118</f>
        <v>0</v>
      </c>
      <c r="BH132" s="57">
        <f t="shared" ref="BH132" si="291">-SUM(BH130:BH131)*BH118</f>
        <v>0</v>
      </c>
      <c r="BI132" s="57">
        <f t="shared" ref="BI132" si="292">-SUM(BI130:BI131)*BI118</f>
        <v>0</v>
      </c>
      <c r="BJ132" s="57">
        <f t="shared" ref="BJ132" si="293">-SUM(BJ130:BJ131)*BJ118</f>
        <v>0</v>
      </c>
      <c r="BK132" s="57">
        <f t="shared" ref="BK132" si="294">-SUM(BK130:BK131)*BK118</f>
        <v>0</v>
      </c>
      <c r="BL132" s="57">
        <f t="shared" ref="BL132" si="295">-SUM(BL130:BL131)*BL118</f>
        <v>0</v>
      </c>
      <c r="BM132" s="57">
        <f t="shared" ref="BM132" si="296">-SUM(BM130:BM131)*BM118</f>
        <v>0</v>
      </c>
      <c r="BN132" s="57">
        <f t="shared" ref="BN132" si="297">-SUM(BN130:BN131)*BN118</f>
        <v>0</v>
      </c>
      <c r="BO132" s="57">
        <f t="shared" ref="BO132" si="298">-SUM(BO130:BO131)*BO118</f>
        <v>0</v>
      </c>
      <c r="BP132" s="57">
        <f t="shared" ref="BP132" si="299">-SUM(BP130:BP131)*BP118</f>
        <v>0</v>
      </c>
      <c r="BQ132" s="57">
        <f t="shared" ref="BQ132" si="300">-SUM(BQ130:BQ131)*BQ118</f>
        <v>0</v>
      </c>
      <c r="BR132" s="57">
        <f t="shared" ref="BR132" si="301">-SUM(BR130:BR131)*BR118</f>
        <v>0</v>
      </c>
    </row>
    <row r="133" spans="1:70" hidden="1" outlineLevel="1" x14ac:dyDescent="0.25">
      <c r="C133" s="147" t="s">
        <v>230</v>
      </c>
      <c r="D133" s="231" t="str">
        <f>unit</f>
        <v>£</v>
      </c>
      <c r="E133" s="230">
        <f>SUM(E130:E132)</f>
        <v>0</v>
      </c>
      <c r="F133" s="230">
        <f t="shared" ref="F133" si="302">SUM(F130:F132)</f>
        <v>0</v>
      </c>
      <c r="G133" s="230">
        <f t="shared" ref="G133" si="303">SUM(G130:G132)</f>
        <v>0</v>
      </c>
      <c r="H133" s="230">
        <f t="shared" ref="H133" si="304">SUM(H130:H132)</f>
        <v>0</v>
      </c>
      <c r="I133" s="230">
        <f t="shared" ref="I133" si="305">SUM(I130:I132)</f>
        <v>0</v>
      </c>
      <c r="J133" s="156"/>
      <c r="K133" s="59">
        <f>SUM(K130:K132)</f>
        <v>0</v>
      </c>
      <c r="L133" s="59">
        <f t="shared" ref="L133" si="306">SUM(L130:L132)</f>
        <v>0</v>
      </c>
      <c r="M133" s="59">
        <f t="shared" ref="M133" si="307">SUM(M130:M132)</f>
        <v>0</v>
      </c>
      <c r="N133" s="59">
        <f t="shared" ref="N133" si="308">SUM(N130:N132)</f>
        <v>0</v>
      </c>
      <c r="O133" s="59">
        <f t="shared" ref="O133" si="309">SUM(O130:O132)</f>
        <v>0</v>
      </c>
      <c r="P133" s="59">
        <f t="shared" ref="P133" si="310">SUM(P130:P132)</f>
        <v>0</v>
      </c>
      <c r="Q133" s="59">
        <f t="shared" ref="Q133" si="311">SUM(Q130:Q132)</f>
        <v>0</v>
      </c>
      <c r="R133" s="59">
        <f t="shared" ref="R133" si="312">SUM(R130:R132)</f>
        <v>0</v>
      </c>
      <c r="S133" s="59">
        <f t="shared" ref="S133" si="313">SUM(S130:S132)</f>
        <v>0</v>
      </c>
      <c r="T133" s="59">
        <f t="shared" ref="T133" si="314">SUM(T130:T132)</f>
        <v>0</v>
      </c>
      <c r="U133" s="59">
        <f t="shared" ref="U133" si="315">SUM(U130:U132)</f>
        <v>0</v>
      </c>
      <c r="V133" s="59">
        <f t="shared" ref="V133" si="316">SUM(V130:V132)</f>
        <v>0</v>
      </c>
      <c r="W133" s="59">
        <f t="shared" ref="W133" si="317">SUM(W130:W132)</f>
        <v>0</v>
      </c>
      <c r="X133" s="59">
        <f t="shared" ref="X133" si="318">SUM(X130:X132)</f>
        <v>0</v>
      </c>
      <c r="Y133" s="59">
        <f t="shared" ref="Y133" si="319">SUM(Y130:Y132)</f>
        <v>0</v>
      </c>
      <c r="Z133" s="59">
        <f t="shared" ref="Z133" si="320">SUM(Z130:Z132)</f>
        <v>0</v>
      </c>
      <c r="AA133" s="59">
        <f t="shared" ref="AA133" si="321">SUM(AA130:AA132)</f>
        <v>0</v>
      </c>
      <c r="AB133" s="59">
        <f t="shared" ref="AB133" si="322">SUM(AB130:AB132)</f>
        <v>0</v>
      </c>
      <c r="AC133" s="59">
        <f t="shared" ref="AC133" si="323">SUM(AC130:AC132)</f>
        <v>0</v>
      </c>
      <c r="AD133" s="59">
        <f t="shared" ref="AD133" si="324">SUM(AD130:AD132)</f>
        <v>0</v>
      </c>
      <c r="AE133" s="59">
        <f t="shared" ref="AE133" si="325">SUM(AE130:AE132)</f>
        <v>0</v>
      </c>
      <c r="AF133" s="59">
        <f t="shared" ref="AF133" si="326">SUM(AF130:AF132)</f>
        <v>0</v>
      </c>
      <c r="AG133" s="59">
        <f t="shared" ref="AG133" si="327">SUM(AG130:AG132)</f>
        <v>0</v>
      </c>
      <c r="AH133" s="59">
        <f t="shared" ref="AH133" si="328">SUM(AH130:AH132)</f>
        <v>0</v>
      </c>
      <c r="AI133" s="59">
        <f t="shared" ref="AI133" si="329">SUM(AI130:AI132)</f>
        <v>0</v>
      </c>
      <c r="AJ133" s="59">
        <f t="shared" ref="AJ133" si="330">SUM(AJ130:AJ132)</f>
        <v>0</v>
      </c>
      <c r="AK133" s="59">
        <f t="shared" ref="AK133" si="331">SUM(AK130:AK132)</f>
        <v>0</v>
      </c>
      <c r="AL133" s="59">
        <f t="shared" ref="AL133" si="332">SUM(AL130:AL132)</f>
        <v>0</v>
      </c>
      <c r="AM133" s="59">
        <f t="shared" ref="AM133" si="333">SUM(AM130:AM132)</f>
        <v>0</v>
      </c>
      <c r="AN133" s="59">
        <f t="shared" ref="AN133" si="334">SUM(AN130:AN132)</f>
        <v>0</v>
      </c>
      <c r="AO133" s="59">
        <f t="shared" ref="AO133" si="335">SUM(AO130:AO132)</f>
        <v>0</v>
      </c>
      <c r="AP133" s="59">
        <f t="shared" ref="AP133" si="336">SUM(AP130:AP132)</f>
        <v>0</v>
      </c>
      <c r="AQ133" s="59">
        <f t="shared" ref="AQ133" si="337">SUM(AQ130:AQ132)</f>
        <v>0</v>
      </c>
      <c r="AR133" s="59">
        <f t="shared" ref="AR133" si="338">SUM(AR130:AR132)</f>
        <v>0</v>
      </c>
      <c r="AS133" s="59">
        <f t="shared" ref="AS133" si="339">SUM(AS130:AS132)</f>
        <v>0</v>
      </c>
      <c r="AT133" s="59">
        <f t="shared" ref="AT133" si="340">SUM(AT130:AT132)</f>
        <v>0</v>
      </c>
      <c r="AU133" s="59">
        <f t="shared" ref="AU133" si="341">SUM(AU130:AU132)</f>
        <v>0</v>
      </c>
      <c r="AV133" s="59">
        <f t="shared" ref="AV133" si="342">SUM(AV130:AV132)</f>
        <v>0</v>
      </c>
      <c r="AW133" s="59">
        <f t="shared" ref="AW133" si="343">SUM(AW130:AW132)</f>
        <v>0</v>
      </c>
      <c r="AX133" s="59">
        <f t="shared" ref="AX133" si="344">SUM(AX130:AX132)</f>
        <v>0</v>
      </c>
      <c r="AY133" s="59">
        <f t="shared" ref="AY133" si="345">SUM(AY130:AY132)</f>
        <v>0</v>
      </c>
      <c r="AZ133" s="59">
        <f t="shared" ref="AZ133" si="346">SUM(AZ130:AZ132)</f>
        <v>0</v>
      </c>
      <c r="BA133" s="59">
        <f t="shared" ref="BA133" si="347">SUM(BA130:BA132)</f>
        <v>0</v>
      </c>
      <c r="BB133" s="59">
        <f t="shared" ref="BB133" si="348">SUM(BB130:BB132)</f>
        <v>0</v>
      </c>
      <c r="BC133" s="59">
        <f t="shared" ref="BC133" si="349">SUM(BC130:BC132)</f>
        <v>0</v>
      </c>
      <c r="BD133" s="59">
        <f t="shared" ref="BD133" si="350">SUM(BD130:BD132)</f>
        <v>0</v>
      </c>
      <c r="BE133" s="59">
        <f t="shared" ref="BE133" si="351">SUM(BE130:BE132)</f>
        <v>0</v>
      </c>
      <c r="BF133" s="59">
        <f t="shared" ref="BF133" si="352">SUM(BF130:BF132)</f>
        <v>0</v>
      </c>
      <c r="BG133" s="59">
        <f t="shared" ref="BG133" si="353">SUM(BG130:BG132)</f>
        <v>0</v>
      </c>
      <c r="BH133" s="59">
        <f t="shared" ref="BH133" si="354">SUM(BH130:BH132)</f>
        <v>0</v>
      </c>
      <c r="BI133" s="59">
        <f t="shared" ref="BI133" si="355">SUM(BI130:BI132)</f>
        <v>0</v>
      </c>
      <c r="BJ133" s="59">
        <f t="shared" ref="BJ133" si="356">SUM(BJ130:BJ132)</f>
        <v>0</v>
      </c>
      <c r="BK133" s="59">
        <f t="shared" ref="BK133" si="357">SUM(BK130:BK132)</f>
        <v>0</v>
      </c>
      <c r="BL133" s="59">
        <f t="shared" ref="BL133" si="358">SUM(BL130:BL132)</f>
        <v>0</v>
      </c>
      <c r="BM133" s="59">
        <f t="shared" ref="BM133" si="359">SUM(BM130:BM132)</f>
        <v>0</v>
      </c>
      <c r="BN133" s="59">
        <f t="shared" ref="BN133" si="360">SUM(BN130:BN132)</f>
        <v>0</v>
      </c>
      <c r="BO133" s="59">
        <f t="shared" ref="BO133" si="361">SUM(BO130:BO132)</f>
        <v>0</v>
      </c>
      <c r="BP133" s="59">
        <f t="shared" ref="BP133" si="362">SUM(BP130:BP132)</f>
        <v>0</v>
      </c>
      <c r="BQ133" s="59">
        <f t="shared" ref="BQ133" si="363">SUM(BQ130:BQ132)</f>
        <v>0</v>
      </c>
      <c r="BR133" s="59">
        <f t="shared" ref="BR133" si="364">SUM(BR130:BR132)</f>
        <v>0</v>
      </c>
    </row>
    <row r="134" spans="1:70" collapsed="1" x14ac:dyDescent="0.25"/>
    <row r="135" spans="1:70" s="166" customFormat="1" ht="15.6" x14ac:dyDescent="0.3">
      <c r="A135" s="166">
        <f>Header1</f>
        <v>5</v>
      </c>
      <c r="B135" s="166" t="str">
        <f>KeyInputs!I70</f>
        <v>Investment 3</v>
      </c>
    </row>
    <row r="136" spans="1:70" hidden="1" outlineLevel="1" x14ac:dyDescent="0.25"/>
    <row r="137" spans="1:70" hidden="1" outlineLevel="1" x14ac:dyDescent="0.25">
      <c r="C137" s="217" t="str">
        <f>C65</f>
        <v>Drawdown</v>
      </c>
      <c r="D137" s="220">
        <f>KeyInputs!I71</f>
        <v>0</v>
      </c>
    </row>
    <row r="138" spans="1:70" hidden="1" outlineLevel="1" x14ac:dyDescent="0.25">
      <c r="C138" s="217" t="str">
        <f>C66</f>
        <v>Drawdown date</v>
      </c>
      <c r="D138" s="222">
        <f>KeyInputs!I72</f>
        <v>41821</v>
      </c>
    </row>
    <row r="139" spans="1:70" hidden="1" outlineLevel="1" x14ac:dyDescent="0.25">
      <c r="C139" s="217" t="str">
        <f>C67</f>
        <v>Debt term (years)</v>
      </c>
      <c r="D139" s="219">
        <f>KeyInputs!I73</f>
        <v>5</v>
      </c>
    </row>
    <row r="140" spans="1:70" hidden="1" outlineLevel="1" x14ac:dyDescent="0.25">
      <c r="C140" s="217" t="s">
        <v>467</v>
      </c>
      <c r="D140" s="219">
        <f>KeyInputs!I74</f>
        <v>1</v>
      </c>
    </row>
    <row r="141" spans="1:70" hidden="1" outlineLevel="1" x14ac:dyDescent="0.25">
      <c r="C141" s="217" t="str">
        <f>C69</f>
        <v>Interest payment month</v>
      </c>
      <c r="D141" s="219">
        <f>KeyInputs!I75</f>
        <v>1</v>
      </c>
    </row>
    <row r="142" spans="1:70" hidden="1" outlineLevel="1" x14ac:dyDescent="0.25">
      <c r="C142" s="217" t="str">
        <f>C70</f>
        <v>Interest rate % per annum</v>
      </c>
      <c r="D142" s="218">
        <f>KeyInputs!I78</f>
        <v>3.4999999999999996E-2</v>
      </c>
    </row>
    <row r="143" spans="1:70" hidden="1" outlineLevel="1" x14ac:dyDescent="0.25"/>
    <row r="144" spans="1:70" hidden="1" outlineLevel="1" x14ac:dyDescent="0.25">
      <c r="C144" s="57" t="s">
        <v>259</v>
      </c>
      <c r="D144" s="221">
        <f>EDATE(D138,D140)-1</f>
        <v>41851</v>
      </c>
    </row>
    <row r="145" spans="1:70" hidden="1" outlineLevel="1" x14ac:dyDescent="0.25">
      <c r="C145" s="57" t="s">
        <v>246</v>
      </c>
      <c r="D145" s="57">
        <f>IFERROR(INDEX($K$6:$BR$6,0,MATCH($D138,$K$7:$BR$7,0)),0)</f>
        <v>0</v>
      </c>
    </row>
    <row r="146" spans="1:70" hidden="1" outlineLevel="1" x14ac:dyDescent="0.25">
      <c r="C146" s="57" t="s">
        <v>259</v>
      </c>
      <c r="D146" s="57">
        <f>D145+D141</f>
        <v>1</v>
      </c>
    </row>
    <row r="147" spans="1:70" hidden="1" outlineLevel="1" x14ac:dyDescent="0.25">
      <c r="C147" s="57" t="s">
        <v>263</v>
      </c>
      <c r="D147" s="221">
        <f>EDATE($D144,(D139)*12)</f>
        <v>43677</v>
      </c>
    </row>
    <row r="148" spans="1:70" hidden="1" outlineLevel="1" x14ac:dyDescent="0.25">
      <c r="C148" s="57" t="s">
        <v>245</v>
      </c>
      <c r="D148" s="57">
        <f>D137/D139/12*D140</f>
        <v>0</v>
      </c>
    </row>
    <row r="149" spans="1:70" hidden="1" outlineLevel="1" x14ac:dyDescent="0.25"/>
    <row r="150" spans="1:70" s="143" customFormat="1" ht="13.8" hidden="1" outlineLevel="1" x14ac:dyDescent="0.25">
      <c r="B150" s="143" t="str">
        <f>Header2</f>
        <v>5.1</v>
      </c>
      <c r="C150" s="143" t="s">
        <v>254</v>
      </c>
    </row>
    <row r="151" spans="1:70" hidden="1" outlineLevel="1" x14ac:dyDescent="0.25"/>
    <row r="152" spans="1:70" hidden="1" outlineLevel="1" x14ac:dyDescent="0.25">
      <c r="C152" s="147" t="s">
        <v>255</v>
      </c>
      <c r="K152" s="57">
        <f>(K$7&lt;=$D138)*(K$8&gt;=$D138)</f>
        <v>0</v>
      </c>
      <c r="L152" s="57">
        <f t="shared" ref="L152:BR152" si="365">(L$7&lt;=$D138)*(L$8&gt;=$D138)</f>
        <v>0</v>
      </c>
      <c r="M152" s="57">
        <f t="shared" si="365"/>
        <v>0</v>
      </c>
      <c r="N152" s="57">
        <f t="shared" si="365"/>
        <v>0</v>
      </c>
      <c r="O152" s="57">
        <f t="shared" si="365"/>
        <v>0</v>
      </c>
      <c r="P152" s="57">
        <f t="shared" si="365"/>
        <v>0</v>
      </c>
      <c r="Q152" s="57">
        <f t="shared" si="365"/>
        <v>0</v>
      </c>
      <c r="R152" s="57">
        <f t="shared" si="365"/>
        <v>0</v>
      </c>
      <c r="S152" s="57">
        <f t="shared" si="365"/>
        <v>0</v>
      </c>
      <c r="T152" s="57">
        <f t="shared" si="365"/>
        <v>0</v>
      </c>
      <c r="U152" s="57">
        <f t="shared" si="365"/>
        <v>0</v>
      </c>
      <c r="V152" s="57">
        <f t="shared" si="365"/>
        <v>0</v>
      </c>
      <c r="W152" s="57">
        <f t="shared" si="365"/>
        <v>0</v>
      </c>
      <c r="X152" s="57">
        <f t="shared" si="365"/>
        <v>0</v>
      </c>
      <c r="Y152" s="57">
        <f t="shared" si="365"/>
        <v>0</v>
      </c>
      <c r="Z152" s="57">
        <f t="shared" si="365"/>
        <v>0</v>
      </c>
      <c r="AA152" s="57">
        <f t="shared" si="365"/>
        <v>0</v>
      </c>
      <c r="AB152" s="57">
        <f t="shared" si="365"/>
        <v>0</v>
      </c>
      <c r="AC152" s="57">
        <f t="shared" si="365"/>
        <v>0</v>
      </c>
      <c r="AD152" s="57">
        <f t="shared" si="365"/>
        <v>0</v>
      </c>
      <c r="AE152" s="57">
        <f t="shared" si="365"/>
        <v>0</v>
      </c>
      <c r="AF152" s="57">
        <f t="shared" si="365"/>
        <v>0</v>
      </c>
      <c r="AG152" s="57">
        <f t="shared" si="365"/>
        <v>0</v>
      </c>
      <c r="AH152" s="57">
        <f t="shared" si="365"/>
        <v>0</v>
      </c>
      <c r="AI152" s="57">
        <f t="shared" si="365"/>
        <v>0</v>
      </c>
      <c r="AJ152" s="57">
        <f t="shared" si="365"/>
        <v>0</v>
      </c>
      <c r="AK152" s="57">
        <f t="shared" si="365"/>
        <v>0</v>
      </c>
      <c r="AL152" s="57">
        <f t="shared" si="365"/>
        <v>0</v>
      </c>
      <c r="AM152" s="57">
        <f t="shared" si="365"/>
        <v>0</v>
      </c>
      <c r="AN152" s="57">
        <f t="shared" si="365"/>
        <v>0</v>
      </c>
      <c r="AO152" s="57">
        <f t="shared" si="365"/>
        <v>0</v>
      </c>
      <c r="AP152" s="57">
        <f t="shared" si="365"/>
        <v>0</v>
      </c>
      <c r="AQ152" s="57">
        <f t="shared" si="365"/>
        <v>0</v>
      </c>
      <c r="AR152" s="57">
        <f t="shared" si="365"/>
        <v>0</v>
      </c>
      <c r="AS152" s="57">
        <f t="shared" si="365"/>
        <v>0</v>
      </c>
      <c r="AT152" s="57">
        <f t="shared" si="365"/>
        <v>0</v>
      </c>
      <c r="AU152" s="57">
        <f t="shared" si="365"/>
        <v>0</v>
      </c>
      <c r="AV152" s="57">
        <f t="shared" si="365"/>
        <v>0</v>
      </c>
      <c r="AW152" s="57">
        <f t="shared" si="365"/>
        <v>0</v>
      </c>
      <c r="AX152" s="57">
        <f t="shared" si="365"/>
        <v>0</v>
      </c>
      <c r="AY152" s="57">
        <f t="shared" si="365"/>
        <v>0</v>
      </c>
      <c r="AZ152" s="57">
        <f t="shared" si="365"/>
        <v>0</v>
      </c>
      <c r="BA152" s="57">
        <f t="shared" si="365"/>
        <v>0</v>
      </c>
      <c r="BB152" s="57">
        <f t="shared" si="365"/>
        <v>0</v>
      </c>
      <c r="BC152" s="57">
        <f t="shared" si="365"/>
        <v>0</v>
      </c>
      <c r="BD152" s="57">
        <f t="shared" si="365"/>
        <v>0</v>
      </c>
      <c r="BE152" s="57">
        <f t="shared" si="365"/>
        <v>0</v>
      </c>
      <c r="BF152" s="57">
        <f t="shared" si="365"/>
        <v>0</v>
      </c>
      <c r="BG152" s="57">
        <f t="shared" si="365"/>
        <v>0</v>
      </c>
      <c r="BH152" s="57">
        <f t="shared" si="365"/>
        <v>0</v>
      </c>
      <c r="BI152" s="57">
        <f t="shared" si="365"/>
        <v>0</v>
      </c>
      <c r="BJ152" s="57">
        <f t="shared" si="365"/>
        <v>0</v>
      </c>
      <c r="BK152" s="57">
        <f t="shared" si="365"/>
        <v>0</v>
      </c>
      <c r="BL152" s="57">
        <f t="shared" si="365"/>
        <v>0</v>
      </c>
      <c r="BM152" s="57">
        <f t="shared" si="365"/>
        <v>0</v>
      </c>
      <c r="BN152" s="57">
        <f t="shared" si="365"/>
        <v>0</v>
      </c>
      <c r="BO152" s="57">
        <f t="shared" si="365"/>
        <v>0</v>
      </c>
      <c r="BP152" s="57">
        <f t="shared" si="365"/>
        <v>0</v>
      </c>
      <c r="BQ152" s="57">
        <f t="shared" si="365"/>
        <v>0</v>
      </c>
      <c r="BR152" s="57">
        <f t="shared" si="365"/>
        <v>0</v>
      </c>
    </row>
    <row r="153" spans="1:70" hidden="1" outlineLevel="1" x14ac:dyDescent="0.25">
      <c r="C153" s="147" t="s">
        <v>256</v>
      </c>
      <c r="K153" s="57">
        <f>IF(K159&lt;-1,IF(MOD(K$6-$D145,$D140)=0,1,0),0)</f>
        <v>0</v>
      </c>
      <c r="L153" s="57">
        <f t="shared" ref="L153:BR153" si="366">IF(L159&lt;-1,IF(MOD(L$6-$D145,$D140)=0,1,0),0)</f>
        <v>0</v>
      </c>
      <c r="M153" s="57">
        <f t="shared" si="366"/>
        <v>0</v>
      </c>
      <c r="N153" s="57">
        <f t="shared" si="366"/>
        <v>0</v>
      </c>
      <c r="O153" s="57">
        <f t="shared" si="366"/>
        <v>0</v>
      </c>
      <c r="P153" s="57">
        <f t="shared" si="366"/>
        <v>0</v>
      </c>
      <c r="Q153" s="57">
        <f t="shared" si="366"/>
        <v>0</v>
      </c>
      <c r="R153" s="57">
        <f t="shared" si="366"/>
        <v>0</v>
      </c>
      <c r="S153" s="57">
        <f t="shared" si="366"/>
        <v>0</v>
      </c>
      <c r="T153" s="57">
        <f t="shared" si="366"/>
        <v>0</v>
      </c>
      <c r="U153" s="57">
        <f t="shared" si="366"/>
        <v>0</v>
      </c>
      <c r="V153" s="57">
        <f t="shared" si="366"/>
        <v>0</v>
      </c>
      <c r="W153" s="57">
        <f t="shared" si="366"/>
        <v>0</v>
      </c>
      <c r="X153" s="57">
        <f t="shared" si="366"/>
        <v>0</v>
      </c>
      <c r="Y153" s="57">
        <f t="shared" si="366"/>
        <v>0</v>
      </c>
      <c r="Z153" s="57">
        <f t="shared" si="366"/>
        <v>0</v>
      </c>
      <c r="AA153" s="57">
        <f t="shared" si="366"/>
        <v>0</v>
      </c>
      <c r="AB153" s="57">
        <f t="shared" si="366"/>
        <v>0</v>
      </c>
      <c r="AC153" s="57">
        <f t="shared" si="366"/>
        <v>0</v>
      </c>
      <c r="AD153" s="57">
        <f t="shared" si="366"/>
        <v>0</v>
      </c>
      <c r="AE153" s="57">
        <f t="shared" si="366"/>
        <v>0</v>
      </c>
      <c r="AF153" s="57">
        <f t="shared" si="366"/>
        <v>0</v>
      </c>
      <c r="AG153" s="57">
        <f t="shared" si="366"/>
        <v>0</v>
      </c>
      <c r="AH153" s="57">
        <f t="shared" si="366"/>
        <v>0</v>
      </c>
      <c r="AI153" s="57">
        <f t="shared" si="366"/>
        <v>0</v>
      </c>
      <c r="AJ153" s="57">
        <f t="shared" si="366"/>
        <v>0</v>
      </c>
      <c r="AK153" s="57">
        <f t="shared" si="366"/>
        <v>0</v>
      </c>
      <c r="AL153" s="57">
        <f t="shared" si="366"/>
        <v>0</v>
      </c>
      <c r="AM153" s="57">
        <f t="shared" si="366"/>
        <v>0</v>
      </c>
      <c r="AN153" s="57">
        <f t="shared" si="366"/>
        <v>0</v>
      </c>
      <c r="AO153" s="57">
        <f t="shared" si="366"/>
        <v>0</v>
      </c>
      <c r="AP153" s="57">
        <f t="shared" si="366"/>
        <v>0</v>
      </c>
      <c r="AQ153" s="57">
        <f t="shared" si="366"/>
        <v>0</v>
      </c>
      <c r="AR153" s="57">
        <f t="shared" si="366"/>
        <v>0</v>
      </c>
      <c r="AS153" s="57">
        <f t="shared" si="366"/>
        <v>0</v>
      </c>
      <c r="AT153" s="57">
        <f t="shared" si="366"/>
        <v>0</v>
      </c>
      <c r="AU153" s="57">
        <f t="shared" si="366"/>
        <v>0</v>
      </c>
      <c r="AV153" s="57">
        <f t="shared" si="366"/>
        <v>0</v>
      </c>
      <c r="AW153" s="57">
        <f t="shared" si="366"/>
        <v>0</v>
      </c>
      <c r="AX153" s="57">
        <f t="shared" si="366"/>
        <v>0</v>
      </c>
      <c r="AY153" s="57">
        <f t="shared" si="366"/>
        <v>0</v>
      </c>
      <c r="AZ153" s="57">
        <f t="shared" si="366"/>
        <v>0</v>
      </c>
      <c r="BA153" s="57">
        <f t="shared" si="366"/>
        <v>0</v>
      </c>
      <c r="BB153" s="57">
        <f t="shared" si="366"/>
        <v>0</v>
      </c>
      <c r="BC153" s="57">
        <f t="shared" si="366"/>
        <v>0</v>
      </c>
      <c r="BD153" s="57">
        <f t="shared" si="366"/>
        <v>0</v>
      </c>
      <c r="BE153" s="57">
        <f t="shared" si="366"/>
        <v>0</v>
      </c>
      <c r="BF153" s="57">
        <f t="shared" si="366"/>
        <v>0</v>
      </c>
      <c r="BG153" s="57">
        <f t="shared" si="366"/>
        <v>0</v>
      </c>
      <c r="BH153" s="57">
        <f t="shared" si="366"/>
        <v>0</v>
      </c>
      <c r="BI153" s="57">
        <f t="shared" si="366"/>
        <v>0</v>
      </c>
      <c r="BJ153" s="57">
        <f t="shared" si="366"/>
        <v>0</v>
      </c>
      <c r="BK153" s="57">
        <f t="shared" si="366"/>
        <v>0</v>
      </c>
      <c r="BL153" s="57">
        <f t="shared" si="366"/>
        <v>0</v>
      </c>
      <c r="BM153" s="57">
        <f t="shared" si="366"/>
        <v>0</v>
      </c>
      <c r="BN153" s="57">
        <f t="shared" si="366"/>
        <v>0</v>
      </c>
      <c r="BO153" s="57">
        <f t="shared" si="366"/>
        <v>0</v>
      </c>
      <c r="BP153" s="57">
        <f t="shared" si="366"/>
        <v>0</v>
      </c>
      <c r="BQ153" s="57">
        <f t="shared" si="366"/>
        <v>0</v>
      </c>
      <c r="BR153" s="57">
        <f t="shared" si="366"/>
        <v>0</v>
      </c>
    </row>
    <row r="154" spans="1:70" hidden="1" outlineLevel="1" x14ac:dyDescent="0.25">
      <c r="C154" s="139" t="s">
        <v>260</v>
      </c>
      <c r="K154" s="57">
        <f>IF(K167&lt;-1,IF(MOD(K$6-$D145,$D141)=0,1,0),0)</f>
        <v>0</v>
      </c>
      <c r="L154" s="57">
        <f t="shared" ref="L154:BR154" si="367">IF(L167&lt;-1,IF(MOD(L$6-$D145,$D141)=0,1,0),0)</f>
        <v>0</v>
      </c>
      <c r="M154" s="57">
        <f t="shared" si="367"/>
        <v>0</v>
      </c>
      <c r="N154" s="57">
        <f t="shared" si="367"/>
        <v>0</v>
      </c>
      <c r="O154" s="57">
        <f t="shared" si="367"/>
        <v>0</v>
      </c>
      <c r="P154" s="57">
        <f t="shared" si="367"/>
        <v>0</v>
      </c>
      <c r="Q154" s="57">
        <f t="shared" si="367"/>
        <v>0</v>
      </c>
      <c r="R154" s="57">
        <f t="shared" si="367"/>
        <v>0</v>
      </c>
      <c r="S154" s="57">
        <f t="shared" si="367"/>
        <v>0</v>
      </c>
      <c r="T154" s="57">
        <f t="shared" si="367"/>
        <v>0</v>
      </c>
      <c r="U154" s="57">
        <f t="shared" si="367"/>
        <v>0</v>
      </c>
      <c r="V154" s="57">
        <f t="shared" si="367"/>
        <v>0</v>
      </c>
      <c r="W154" s="57">
        <f t="shared" si="367"/>
        <v>0</v>
      </c>
      <c r="X154" s="57">
        <f t="shared" si="367"/>
        <v>0</v>
      </c>
      <c r="Y154" s="57">
        <f t="shared" si="367"/>
        <v>0</v>
      </c>
      <c r="Z154" s="57">
        <f t="shared" si="367"/>
        <v>0</v>
      </c>
      <c r="AA154" s="57">
        <f t="shared" si="367"/>
        <v>0</v>
      </c>
      <c r="AB154" s="57">
        <f t="shared" si="367"/>
        <v>0</v>
      </c>
      <c r="AC154" s="57">
        <f t="shared" si="367"/>
        <v>0</v>
      </c>
      <c r="AD154" s="57">
        <f t="shared" si="367"/>
        <v>0</v>
      </c>
      <c r="AE154" s="57">
        <f t="shared" si="367"/>
        <v>0</v>
      </c>
      <c r="AF154" s="57">
        <f t="shared" si="367"/>
        <v>0</v>
      </c>
      <c r="AG154" s="57">
        <f t="shared" si="367"/>
        <v>0</v>
      </c>
      <c r="AH154" s="57">
        <f t="shared" si="367"/>
        <v>0</v>
      </c>
      <c r="AI154" s="57">
        <f t="shared" si="367"/>
        <v>0</v>
      </c>
      <c r="AJ154" s="57">
        <f t="shared" si="367"/>
        <v>0</v>
      </c>
      <c r="AK154" s="57">
        <f t="shared" si="367"/>
        <v>0</v>
      </c>
      <c r="AL154" s="57">
        <f t="shared" si="367"/>
        <v>0</v>
      </c>
      <c r="AM154" s="57">
        <f t="shared" si="367"/>
        <v>0</v>
      </c>
      <c r="AN154" s="57">
        <f t="shared" si="367"/>
        <v>0</v>
      </c>
      <c r="AO154" s="57">
        <f t="shared" si="367"/>
        <v>0</v>
      </c>
      <c r="AP154" s="57">
        <f t="shared" si="367"/>
        <v>0</v>
      </c>
      <c r="AQ154" s="57">
        <f t="shared" si="367"/>
        <v>0</v>
      </c>
      <c r="AR154" s="57">
        <f t="shared" si="367"/>
        <v>0</v>
      </c>
      <c r="AS154" s="57">
        <f t="shared" si="367"/>
        <v>0</v>
      </c>
      <c r="AT154" s="57">
        <f t="shared" si="367"/>
        <v>0</v>
      </c>
      <c r="AU154" s="57">
        <f t="shared" si="367"/>
        <v>0</v>
      </c>
      <c r="AV154" s="57">
        <f t="shared" si="367"/>
        <v>0</v>
      </c>
      <c r="AW154" s="57">
        <f t="shared" si="367"/>
        <v>0</v>
      </c>
      <c r="AX154" s="57">
        <f t="shared" si="367"/>
        <v>0</v>
      </c>
      <c r="AY154" s="57">
        <f t="shared" si="367"/>
        <v>0</v>
      </c>
      <c r="AZ154" s="57">
        <f t="shared" si="367"/>
        <v>0</v>
      </c>
      <c r="BA154" s="57">
        <f t="shared" si="367"/>
        <v>0</v>
      </c>
      <c r="BB154" s="57">
        <f t="shared" si="367"/>
        <v>0</v>
      </c>
      <c r="BC154" s="57">
        <f t="shared" si="367"/>
        <v>0</v>
      </c>
      <c r="BD154" s="57">
        <f t="shared" si="367"/>
        <v>0</v>
      </c>
      <c r="BE154" s="57">
        <f t="shared" si="367"/>
        <v>0</v>
      </c>
      <c r="BF154" s="57">
        <f t="shared" si="367"/>
        <v>0</v>
      </c>
      <c r="BG154" s="57">
        <f t="shared" si="367"/>
        <v>0</v>
      </c>
      <c r="BH154" s="57">
        <f t="shared" si="367"/>
        <v>0</v>
      </c>
      <c r="BI154" s="57">
        <f t="shared" si="367"/>
        <v>0</v>
      </c>
      <c r="BJ154" s="57">
        <f t="shared" si="367"/>
        <v>0</v>
      </c>
      <c r="BK154" s="57">
        <f t="shared" si="367"/>
        <v>0</v>
      </c>
      <c r="BL154" s="57">
        <f t="shared" si="367"/>
        <v>0</v>
      </c>
      <c r="BM154" s="57">
        <f t="shared" si="367"/>
        <v>0</v>
      </c>
      <c r="BN154" s="57">
        <f t="shared" si="367"/>
        <v>0</v>
      </c>
      <c r="BO154" s="57">
        <f t="shared" si="367"/>
        <v>0</v>
      </c>
      <c r="BP154" s="57">
        <f t="shared" si="367"/>
        <v>0</v>
      </c>
      <c r="BQ154" s="57">
        <f t="shared" si="367"/>
        <v>0</v>
      </c>
      <c r="BR154" s="57">
        <f t="shared" si="367"/>
        <v>0</v>
      </c>
    </row>
    <row r="155" spans="1:70" hidden="1" outlineLevel="1" x14ac:dyDescent="0.25"/>
    <row r="156" spans="1:70" hidden="1" outlineLevel="1" x14ac:dyDescent="0.25"/>
    <row r="157" spans="1:70" s="145" customFormat="1" ht="13.8" hidden="1" outlineLevel="1" x14ac:dyDescent="0.25">
      <c r="B157" s="145" t="str">
        <f>Header2</f>
        <v>5.2</v>
      </c>
      <c r="C157" s="145" t="s">
        <v>470</v>
      </c>
    </row>
    <row r="158" spans="1:70" s="147" customFormat="1" hidden="1" outlineLevel="1" x14ac:dyDescent="0.25">
      <c r="A158" s="211"/>
      <c r="F158" s="212"/>
    </row>
    <row r="159" spans="1:70" s="147" customFormat="1" hidden="1" outlineLevel="1" x14ac:dyDescent="0.25">
      <c r="A159" s="211"/>
      <c r="C159" s="147" t="s">
        <v>228</v>
      </c>
      <c r="D159" s="231" t="str">
        <f>unit</f>
        <v>£</v>
      </c>
      <c r="E159" s="147">
        <f>INDEX($K159:$BR159,0,MATCH(E$7,$K$7:$BR$7,0))</f>
        <v>0</v>
      </c>
      <c r="F159" s="147">
        <f t="shared" ref="F159:I159" si="368">INDEX($K159:$BR159,0,MATCH(F$7,$K$7:$BR$7,0))</f>
        <v>0</v>
      </c>
      <c r="G159" s="147">
        <f t="shared" si="368"/>
        <v>0</v>
      </c>
      <c r="H159" s="147">
        <f t="shared" si="368"/>
        <v>0</v>
      </c>
      <c r="I159" s="147">
        <f t="shared" si="368"/>
        <v>0</v>
      </c>
      <c r="K159" s="213">
        <v>0</v>
      </c>
      <c r="L159" s="223">
        <f t="shared" ref="L159:BR159" si="369">K162</f>
        <v>0</v>
      </c>
      <c r="M159" s="223">
        <f t="shared" si="369"/>
        <v>0</v>
      </c>
      <c r="N159" s="223">
        <f t="shared" si="369"/>
        <v>0</v>
      </c>
      <c r="O159" s="223">
        <f t="shared" si="369"/>
        <v>0</v>
      </c>
      <c r="P159" s="223">
        <f t="shared" si="369"/>
        <v>0</v>
      </c>
      <c r="Q159" s="223">
        <f t="shared" si="369"/>
        <v>0</v>
      </c>
      <c r="R159" s="223">
        <f t="shared" si="369"/>
        <v>0</v>
      </c>
      <c r="S159" s="223">
        <f t="shared" si="369"/>
        <v>0</v>
      </c>
      <c r="T159" s="223">
        <f t="shared" si="369"/>
        <v>0</v>
      </c>
      <c r="U159" s="223">
        <f t="shared" si="369"/>
        <v>0</v>
      </c>
      <c r="V159" s="223">
        <f t="shared" si="369"/>
        <v>0</v>
      </c>
      <c r="W159" s="223">
        <f t="shared" si="369"/>
        <v>0</v>
      </c>
      <c r="X159" s="223">
        <f t="shared" si="369"/>
        <v>0</v>
      </c>
      <c r="Y159" s="223">
        <f t="shared" si="369"/>
        <v>0</v>
      </c>
      <c r="Z159" s="223">
        <f t="shared" si="369"/>
        <v>0</v>
      </c>
      <c r="AA159" s="223">
        <f t="shared" si="369"/>
        <v>0</v>
      </c>
      <c r="AB159" s="223">
        <f t="shared" si="369"/>
        <v>0</v>
      </c>
      <c r="AC159" s="223">
        <f t="shared" si="369"/>
        <v>0</v>
      </c>
      <c r="AD159" s="223">
        <f t="shared" si="369"/>
        <v>0</v>
      </c>
      <c r="AE159" s="223">
        <f t="shared" si="369"/>
        <v>0</v>
      </c>
      <c r="AF159" s="223">
        <f t="shared" si="369"/>
        <v>0</v>
      </c>
      <c r="AG159" s="223">
        <f t="shared" si="369"/>
        <v>0</v>
      </c>
      <c r="AH159" s="223">
        <f t="shared" si="369"/>
        <v>0</v>
      </c>
      <c r="AI159" s="223">
        <f t="shared" si="369"/>
        <v>0</v>
      </c>
      <c r="AJ159" s="223">
        <f t="shared" si="369"/>
        <v>0</v>
      </c>
      <c r="AK159" s="223">
        <f t="shared" si="369"/>
        <v>0</v>
      </c>
      <c r="AL159" s="223">
        <f t="shared" si="369"/>
        <v>0</v>
      </c>
      <c r="AM159" s="223">
        <f t="shared" si="369"/>
        <v>0</v>
      </c>
      <c r="AN159" s="223">
        <f t="shared" si="369"/>
        <v>0</v>
      </c>
      <c r="AO159" s="223">
        <f t="shared" si="369"/>
        <v>0</v>
      </c>
      <c r="AP159" s="223">
        <f t="shared" si="369"/>
        <v>0</v>
      </c>
      <c r="AQ159" s="223">
        <f t="shared" si="369"/>
        <v>0</v>
      </c>
      <c r="AR159" s="223">
        <f t="shared" si="369"/>
        <v>0</v>
      </c>
      <c r="AS159" s="223">
        <f t="shared" si="369"/>
        <v>0</v>
      </c>
      <c r="AT159" s="223">
        <f t="shared" si="369"/>
        <v>0</v>
      </c>
      <c r="AU159" s="223">
        <f t="shared" si="369"/>
        <v>0</v>
      </c>
      <c r="AV159" s="223">
        <f t="shared" si="369"/>
        <v>0</v>
      </c>
      <c r="AW159" s="223">
        <f t="shared" si="369"/>
        <v>0</v>
      </c>
      <c r="AX159" s="223">
        <f t="shared" si="369"/>
        <v>0</v>
      </c>
      <c r="AY159" s="223">
        <f t="shared" si="369"/>
        <v>0</v>
      </c>
      <c r="AZ159" s="223">
        <f t="shared" si="369"/>
        <v>0</v>
      </c>
      <c r="BA159" s="223">
        <f t="shared" si="369"/>
        <v>0</v>
      </c>
      <c r="BB159" s="223">
        <f t="shared" si="369"/>
        <v>0</v>
      </c>
      <c r="BC159" s="223">
        <f t="shared" si="369"/>
        <v>0</v>
      </c>
      <c r="BD159" s="223">
        <f t="shared" si="369"/>
        <v>0</v>
      </c>
      <c r="BE159" s="223">
        <f t="shared" si="369"/>
        <v>0</v>
      </c>
      <c r="BF159" s="223">
        <f t="shared" si="369"/>
        <v>0</v>
      </c>
      <c r="BG159" s="223">
        <f t="shared" si="369"/>
        <v>0</v>
      </c>
      <c r="BH159" s="223">
        <f t="shared" si="369"/>
        <v>0</v>
      </c>
      <c r="BI159" s="223">
        <f t="shared" si="369"/>
        <v>0</v>
      </c>
      <c r="BJ159" s="223">
        <f t="shared" si="369"/>
        <v>0</v>
      </c>
      <c r="BK159" s="223">
        <f t="shared" si="369"/>
        <v>0</v>
      </c>
      <c r="BL159" s="223">
        <f t="shared" si="369"/>
        <v>0</v>
      </c>
      <c r="BM159" s="223">
        <f t="shared" si="369"/>
        <v>0</v>
      </c>
      <c r="BN159" s="223">
        <f t="shared" si="369"/>
        <v>0</v>
      </c>
      <c r="BO159" s="223">
        <f t="shared" si="369"/>
        <v>0</v>
      </c>
      <c r="BP159" s="223">
        <f t="shared" si="369"/>
        <v>0</v>
      </c>
      <c r="BQ159" s="223">
        <f t="shared" si="369"/>
        <v>0</v>
      </c>
      <c r="BR159" s="223">
        <f t="shared" si="369"/>
        <v>0</v>
      </c>
    </row>
    <row r="160" spans="1:70" s="147" customFormat="1" hidden="1" outlineLevel="1" x14ac:dyDescent="0.25">
      <c r="A160" s="211"/>
      <c r="C160" s="147" t="s">
        <v>249</v>
      </c>
      <c r="D160" s="231" t="str">
        <f>unit</f>
        <v>£</v>
      </c>
      <c r="E160" s="147">
        <f>SUMIF($K$5:$BR$5,E$5,$K160:$BR160)</f>
        <v>0</v>
      </c>
      <c r="F160" s="147">
        <f t="shared" ref="F160:I161" si="370">SUMIF($K$5:$BR$5,F$5,$K160:$BR160)</f>
        <v>0</v>
      </c>
      <c r="G160" s="147">
        <f t="shared" si="370"/>
        <v>0</v>
      </c>
      <c r="H160" s="147">
        <f t="shared" si="370"/>
        <v>0</v>
      </c>
      <c r="I160" s="147">
        <f t="shared" si="370"/>
        <v>0</v>
      </c>
      <c r="K160" s="147">
        <f>$D137*K152</f>
        <v>0</v>
      </c>
      <c r="L160" s="147">
        <f t="shared" ref="L160:BR160" si="371">$D137*L152</f>
        <v>0</v>
      </c>
      <c r="M160" s="147">
        <f t="shared" si="371"/>
        <v>0</v>
      </c>
      <c r="N160" s="147">
        <f t="shared" si="371"/>
        <v>0</v>
      </c>
      <c r="O160" s="147">
        <f t="shared" si="371"/>
        <v>0</v>
      </c>
      <c r="P160" s="147">
        <f t="shared" si="371"/>
        <v>0</v>
      </c>
      <c r="Q160" s="147">
        <f t="shared" si="371"/>
        <v>0</v>
      </c>
      <c r="R160" s="147">
        <f t="shared" si="371"/>
        <v>0</v>
      </c>
      <c r="S160" s="147">
        <f t="shared" si="371"/>
        <v>0</v>
      </c>
      <c r="T160" s="147">
        <f t="shared" si="371"/>
        <v>0</v>
      </c>
      <c r="U160" s="147">
        <f t="shared" si="371"/>
        <v>0</v>
      </c>
      <c r="V160" s="147">
        <f t="shared" si="371"/>
        <v>0</v>
      </c>
      <c r="W160" s="147">
        <f t="shared" si="371"/>
        <v>0</v>
      </c>
      <c r="X160" s="147">
        <f t="shared" si="371"/>
        <v>0</v>
      </c>
      <c r="Y160" s="147">
        <f t="shared" si="371"/>
        <v>0</v>
      </c>
      <c r="Z160" s="147">
        <f t="shared" si="371"/>
        <v>0</v>
      </c>
      <c r="AA160" s="147">
        <f t="shared" si="371"/>
        <v>0</v>
      </c>
      <c r="AB160" s="147">
        <f t="shared" si="371"/>
        <v>0</v>
      </c>
      <c r="AC160" s="147">
        <f t="shared" si="371"/>
        <v>0</v>
      </c>
      <c r="AD160" s="147">
        <f t="shared" si="371"/>
        <v>0</v>
      </c>
      <c r="AE160" s="147">
        <f t="shared" si="371"/>
        <v>0</v>
      </c>
      <c r="AF160" s="147">
        <f t="shared" si="371"/>
        <v>0</v>
      </c>
      <c r="AG160" s="147">
        <f t="shared" si="371"/>
        <v>0</v>
      </c>
      <c r="AH160" s="147">
        <f t="shared" si="371"/>
        <v>0</v>
      </c>
      <c r="AI160" s="147">
        <f t="shared" si="371"/>
        <v>0</v>
      </c>
      <c r="AJ160" s="147">
        <f t="shared" si="371"/>
        <v>0</v>
      </c>
      <c r="AK160" s="147">
        <f t="shared" si="371"/>
        <v>0</v>
      </c>
      <c r="AL160" s="147">
        <f t="shared" si="371"/>
        <v>0</v>
      </c>
      <c r="AM160" s="147">
        <f t="shared" si="371"/>
        <v>0</v>
      </c>
      <c r="AN160" s="147">
        <f t="shared" si="371"/>
        <v>0</v>
      </c>
      <c r="AO160" s="147">
        <f t="shared" si="371"/>
        <v>0</v>
      </c>
      <c r="AP160" s="147">
        <f t="shared" si="371"/>
        <v>0</v>
      </c>
      <c r="AQ160" s="147">
        <f t="shared" si="371"/>
        <v>0</v>
      </c>
      <c r="AR160" s="147">
        <f t="shared" si="371"/>
        <v>0</v>
      </c>
      <c r="AS160" s="147">
        <f t="shared" si="371"/>
        <v>0</v>
      </c>
      <c r="AT160" s="147">
        <f t="shared" si="371"/>
        <v>0</v>
      </c>
      <c r="AU160" s="147">
        <f t="shared" si="371"/>
        <v>0</v>
      </c>
      <c r="AV160" s="147">
        <f t="shared" si="371"/>
        <v>0</v>
      </c>
      <c r="AW160" s="147">
        <f t="shared" si="371"/>
        <v>0</v>
      </c>
      <c r="AX160" s="147">
        <f t="shared" si="371"/>
        <v>0</v>
      </c>
      <c r="AY160" s="147">
        <f t="shared" si="371"/>
        <v>0</v>
      </c>
      <c r="AZ160" s="147">
        <f t="shared" si="371"/>
        <v>0</v>
      </c>
      <c r="BA160" s="147">
        <f t="shared" si="371"/>
        <v>0</v>
      </c>
      <c r="BB160" s="147">
        <f t="shared" si="371"/>
        <v>0</v>
      </c>
      <c r="BC160" s="147">
        <f t="shared" si="371"/>
        <v>0</v>
      </c>
      <c r="BD160" s="147">
        <f t="shared" si="371"/>
        <v>0</v>
      </c>
      <c r="BE160" s="147">
        <f t="shared" si="371"/>
        <v>0</v>
      </c>
      <c r="BF160" s="147">
        <f t="shared" si="371"/>
        <v>0</v>
      </c>
      <c r="BG160" s="147">
        <f t="shared" si="371"/>
        <v>0</v>
      </c>
      <c r="BH160" s="147">
        <f t="shared" si="371"/>
        <v>0</v>
      </c>
      <c r="BI160" s="147">
        <f t="shared" si="371"/>
        <v>0</v>
      </c>
      <c r="BJ160" s="147">
        <f t="shared" si="371"/>
        <v>0</v>
      </c>
      <c r="BK160" s="147">
        <f t="shared" si="371"/>
        <v>0</v>
      </c>
      <c r="BL160" s="147">
        <f t="shared" si="371"/>
        <v>0</v>
      </c>
      <c r="BM160" s="147">
        <f t="shared" si="371"/>
        <v>0</v>
      </c>
      <c r="BN160" s="147">
        <f t="shared" si="371"/>
        <v>0</v>
      </c>
      <c r="BO160" s="147">
        <f t="shared" si="371"/>
        <v>0</v>
      </c>
      <c r="BP160" s="147">
        <f t="shared" si="371"/>
        <v>0</v>
      </c>
      <c r="BQ160" s="147">
        <f t="shared" si="371"/>
        <v>0</v>
      </c>
      <c r="BR160" s="147">
        <f t="shared" si="371"/>
        <v>0</v>
      </c>
    </row>
    <row r="161" spans="1:70" s="147" customFormat="1" hidden="1" outlineLevel="1" x14ac:dyDescent="0.25">
      <c r="A161" s="211"/>
      <c r="C161" s="147" t="s">
        <v>250</v>
      </c>
      <c r="D161" s="231" t="str">
        <f>unit</f>
        <v>£</v>
      </c>
      <c r="E161" s="147">
        <f>SUMIF($K$5:$BR$5,E$5,$K161:$BR161)</f>
        <v>0</v>
      </c>
      <c r="F161" s="147">
        <f t="shared" si="370"/>
        <v>0</v>
      </c>
      <c r="G161" s="147">
        <f t="shared" si="370"/>
        <v>0</v>
      </c>
      <c r="H161" s="147">
        <f t="shared" si="370"/>
        <v>0</v>
      </c>
      <c r="I161" s="147">
        <f t="shared" si="370"/>
        <v>0</v>
      </c>
      <c r="K161" s="147">
        <f>-K153*$D148</f>
        <v>0</v>
      </c>
      <c r="L161" s="147">
        <f t="shared" ref="L161:BR161" si="372">-L153*$D148</f>
        <v>0</v>
      </c>
      <c r="M161" s="147">
        <f t="shared" si="372"/>
        <v>0</v>
      </c>
      <c r="N161" s="147">
        <f t="shared" si="372"/>
        <v>0</v>
      </c>
      <c r="O161" s="147">
        <f t="shared" si="372"/>
        <v>0</v>
      </c>
      <c r="P161" s="147">
        <f t="shared" si="372"/>
        <v>0</v>
      </c>
      <c r="Q161" s="147">
        <f t="shared" si="372"/>
        <v>0</v>
      </c>
      <c r="R161" s="147">
        <f t="shared" si="372"/>
        <v>0</v>
      </c>
      <c r="S161" s="147">
        <f t="shared" si="372"/>
        <v>0</v>
      </c>
      <c r="T161" s="147">
        <f t="shared" si="372"/>
        <v>0</v>
      </c>
      <c r="U161" s="147">
        <f t="shared" si="372"/>
        <v>0</v>
      </c>
      <c r="V161" s="147">
        <f t="shared" si="372"/>
        <v>0</v>
      </c>
      <c r="W161" s="147">
        <f t="shared" si="372"/>
        <v>0</v>
      </c>
      <c r="X161" s="147">
        <f t="shared" si="372"/>
        <v>0</v>
      </c>
      <c r="Y161" s="147">
        <f t="shared" si="372"/>
        <v>0</v>
      </c>
      <c r="Z161" s="147">
        <f t="shared" si="372"/>
        <v>0</v>
      </c>
      <c r="AA161" s="147">
        <f t="shared" si="372"/>
        <v>0</v>
      </c>
      <c r="AB161" s="147">
        <f t="shared" si="372"/>
        <v>0</v>
      </c>
      <c r="AC161" s="147">
        <f t="shared" si="372"/>
        <v>0</v>
      </c>
      <c r="AD161" s="147">
        <f t="shared" si="372"/>
        <v>0</v>
      </c>
      <c r="AE161" s="147">
        <f t="shared" si="372"/>
        <v>0</v>
      </c>
      <c r="AF161" s="147">
        <f t="shared" si="372"/>
        <v>0</v>
      </c>
      <c r="AG161" s="147">
        <f t="shared" si="372"/>
        <v>0</v>
      </c>
      <c r="AH161" s="147">
        <f t="shared" si="372"/>
        <v>0</v>
      </c>
      <c r="AI161" s="147">
        <f t="shared" si="372"/>
        <v>0</v>
      </c>
      <c r="AJ161" s="147">
        <f t="shared" si="372"/>
        <v>0</v>
      </c>
      <c r="AK161" s="147">
        <f t="shared" si="372"/>
        <v>0</v>
      </c>
      <c r="AL161" s="147">
        <f t="shared" si="372"/>
        <v>0</v>
      </c>
      <c r="AM161" s="147">
        <f t="shared" si="372"/>
        <v>0</v>
      </c>
      <c r="AN161" s="147">
        <f t="shared" si="372"/>
        <v>0</v>
      </c>
      <c r="AO161" s="147">
        <f t="shared" si="372"/>
        <v>0</v>
      </c>
      <c r="AP161" s="147">
        <f t="shared" si="372"/>
        <v>0</v>
      </c>
      <c r="AQ161" s="147">
        <f t="shared" si="372"/>
        <v>0</v>
      </c>
      <c r="AR161" s="147">
        <f t="shared" si="372"/>
        <v>0</v>
      </c>
      <c r="AS161" s="147">
        <f t="shared" si="372"/>
        <v>0</v>
      </c>
      <c r="AT161" s="147">
        <f t="shared" si="372"/>
        <v>0</v>
      </c>
      <c r="AU161" s="147">
        <f t="shared" si="372"/>
        <v>0</v>
      </c>
      <c r="AV161" s="147">
        <f t="shared" si="372"/>
        <v>0</v>
      </c>
      <c r="AW161" s="147">
        <f t="shared" si="372"/>
        <v>0</v>
      </c>
      <c r="AX161" s="147">
        <f t="shared" si="372"/>
        <v>0</v>
      </c>
      <c r="AY161" s="147">
        <f t="shared" si="372"/>
        <v>0</v>
      </c>
      <c r="AZ161" s="147">
        <f t="shared" si="372"/>
        <v>0</v>
      </c>
      <c r="BA161" s="147">
        <f t="shared" si="372"/>
        <v>0</v>
      </c>
      <c r="BB161" s="147">
        <f t="shared" si="372"/>
        <v>0</v>
      </c>
      <c r="BC161" s="147">
        <f t="shared" si="372"/>
        <v>0</v>
      </c>
      <c r="BD161" s="147">
        <f t="shared" si="372"/>
        <v>0</v>
      </c>
      <c r="BE161" s="147">
        <f t="shared" si="372"/>
        <v>0</v>
      </c>
      <c r="BF161" s="147">
        <f t="shared" si="372"/>
        <v>0</v>
      </c>
      <c r="BG161" s="147">
        <f t="shared" si="372"/>
        <v>0</v>
      </c>
      <c r="BH161" s="147">
        <f t="shared" si="372"/>
        <v>0</v>
      </c>
      <c r="BI161" s="147">
        <f t="shared" si="372"/>
        <v>0</v>
      </c>
      <c r="BJ161" s="147">
        <f t="shared" si="372"/>
        <v>0</v>
      </c>
      <c r="BK161" s="147">
        <f t="shared" si="372"/>
        <v>0</v>
      </c>
      <c r="BL161" s="147">
        <f t="shared" si="372"/>
        <v>0</v>
      </c>
      <c r="BM161" s="147">
        <f t="shared" si="372"/>
        <v>0</v>
      </c>
      <c r="BN161" s="147">
        <f t="shared" si="372"/>
        <v>0</v>
      </c>
      <c r="BO161" s="147">
        <f t="shared" si="372"/>
        <v>0</v>
      </c>
      <c r="BP161" s="147">
        <f t="shared" si="372"/>
        <v>0</v>
      </c>
      <c r="BQ161" s="147">
        <f t="shared" si="372"/>
        <v>0</v>
      </c>
      <c r="BR161" s="147">
        <f t="shared" si="372"/>
        <v>0</v>
      </c>
    </row>
    <row r="162" spans="1:70" s="147" customFormat="1" hidden="1" outlineLevel="1" x14ac:dyDescent="0.25">
      <c r="A162" s="211"/>
      <c r="C162" s="147" t="s">
        <v>230</v>
      </c>
      <c r="D162" s="231" t="str">
        <f>unit</f>
        <v>£</v>
      </c>
      <c r="E162" s="230">
        <f>SUM(E159:E161)</f>
        <v>0</v>
      </c>
      <c r="F162" s="230">
        <f t="shared" ref="F162" si="373">SUM(F159:F161)</f>
        <v>0</v>
      </c>
      <c r="G162" s="230">
        <f t="shared" ref="G162" si="374">SUM(G159:G161)</f>
        <v>0</v>
      </c>
      <c r="H162" s="230">
        <f t="shared" ref="H162" si="375">SUM(H159:H161)</f>
        <v>0</v>
      </c>
      <c r="I162" s="230">
        <f t="shared" ref="I162" si="376">SUM(I159:I161)</f>
        <v>0</v>
      </c>
      <c r="J162" s="224"/>
      <c r="K162" s="214">
        <f t="shared" ref="K162:BR162" si="377">SUM(K159:K161)</f>
        <v>0</v>
      </c>
      <c r="L162" s="214">
        <f t="shared" si="377"/>
        <v>0</v>
      </c>
      <c r="M162" s="214">
        <f t="shared" si="377"/>
        <v>0</v>
      </c>
      <c r="N162" s="214">
        <f t="shared" si="377"/>
        <v>0</v>
      </c>
      <c r="O162" s="214">
        <f t="shared" si="377"/>
        <v>0</v>
      </c>
      <c r="P162" s="214">
        <f t="shared" si="377"/>
        <v>0</v>
      </c>
      <c r="Q162" s="214">
        <f t="shared" si="377"/>
        <v>0</v>
      </c>
      <c r="R162" s="214">
        <f t="shared" si="377"/>
        <v>0</v>
      </c>
      <c r="S162" s="214">
        <f t="shared" si="377"/>
        <v>0</v>
      </c>
      <c r="T162" s="214">
        <f t="shared" si="377"/>
        <v>0</v>
      </c>
      <c r="U162" s="214">
        <f t="shared" si="377"/>
        <v>0</v>
      </c>
      <c r="V162" s="214">
        <f t="shared" si="377"/>
        <v>0</v>
      </c>
      <c r="W162" s="214">
        <f t="shared" si="377"/>
        <v>0</v>
      </c>
      <c r="X162" s="214">
        <f t="shared" si="377"/>
        <v>0</v>
      </c>
      <c r="Y162" s="214">
        <f t="shared" si="377"/>
        <v>0</v>
      </c>
      <c r="Z162" s="214">
        <f t="shared" si="377"/>
        <v>0</v>
      </c>
      <c r="AA162" s="214">
        <f t="shared" si="377"/>
        <v>0</v>
      </c>
      <c r="AB162" s="214">
        <f t="shared" si="377"/>
        <v>0</v>
      </c>
      <c r="AC162" s="214">
        <f t="shared" si="377"/>
        <v>0</v>
      </c>
      <c r="AD162" s="214">
        <f t="shared" si="377"/>
        <v>0</v>
      </c>
      <c r="AE162" s="214">
        <f t="shared" si="377"/>
        <v>0</v>
      </c>
      <c r="AF162" s="214">
        <f t="shared" si="377"/>
        <v>0</v>
      </c>
      <c r="AG162" s="214">
        <f t="shared" si="377"/>
        <v>0</v>
      </c>
      <c r="AH162" s="214">
        <f t="shared" si="377"/>
        <v>0</v>
      </c>
      <c r="AI162" s="214">
        <f t="shared" si="377"/>
        <v>0</v>
      </c>
      <c r="AJ162" s="214">
        <f t="shared" si="377"/>
        <v>0</v>
      </c>
      <c r="AK162" s="214">
        <f t="shared" si="377"/>
        <v>0</v>
      </c>
      <c r="AL162" s="214">
        <f t="shared" si="377"/>
        <v>0</v>
      </c>
      <c r="AM162" s="214">
        <f t="shared" si="377"/>
        <v>0</v>
      </c>
      <c r="AN162" s="214">
        <f t="shared" si="377"/>
        <v>0</v>
      </c>
      <c r="AO162" s="214">
        <f t="shared" si="377"/>
        <v>0</v>
      </c>
      <c r="AP162" s="214">
        <f t="shared" si="377"/>
        <v>0</v>
      </c>
      <c r="AQ162" s="214">
        <f t="shared" si="377"/>
        <v>0</v>
      </c>
      <c r="AR162" s="214">
        <f t="shared" si="377"/>
        <v>0</v>
      </c>
      <c r="AS162" s="214">
        <f t="shared" si="377"/>
        <v>0</v>
      </c>
      <c r="AT162" s="214">
        <f t="shared" si="377"/>
        <v>0</v>
      </c>
      <c r="AU162" s="214">
        <f t="shared" si="377"/>
        <v>0</v>
      </c>
      <c r="AV162" s="214">
        <f t="shared" si="377"/>
        <v>0</v>
      </c>
      <c r="AW162" s="214">
        <f t="shared" si="377"/>
        <v>0</v>
      </c>
      <c r="AX162" s="214">
        <f t="shared" si="377"/>
        <v>0</v>
      </c>
      <c r="AY162" s="214">
        <f t="shared" si="377"/>
        <v>0</v>
      </c>
      <c r="AZ162" s="214">
        <f t="shared" si="377"/>
        <v>0</v>
      </c>
      <c r="BA162" s="214">
        <f t="shared" si="377"/>
        <v>0</v>
      </c>
      <c r="BB162" s="214">
        <f t="shared" si="377"/>
        <v>0</v>
      </c>
      <c r="BC162" s="214">
        <f t="shared" si="377"/>
        <v>0</v>
      </c>
      <c r="BD162" s="214">
        <f t="shared" si="377"/>
        <v>0</v>
      </c>
      <c r="BE162" s="214">
        <f t="shared" si="377"/>
        <v>0</v>
      </c>
      <c r="BF162" s="214">
        <f t="shared" si="377"/>
        <v>0</v>
      </c>
      <c r="BG162" s="214">
        <f t="shared" si="377"/>
        <v>0</v>
      </c>
      <c r="BH162" s="214">
        <f t="shared" si="377"/>
        <v>0</v>
      </c>
      <c r="BI162" s="214">
        <f t="shared" si="377"/>
        <v>0</v>
      </c>
      <c r="BJ162" s="214">
        <f t="shared" si="377"/>
        <v>0</v>
      </c>
      <c r="BK162" s="214">
        <f t="shared" si="377"/>
        <v>0</v>
      </c>
      <c r="BL162" s="214">
        <f t="shared" si="377"/>
        <v>0</v>
      </c>
      <c r="BM162" s="214">
        <f t="shared" si="377"/>
        <v>0</v>
      </c>
      <c r="BN162" s="214">
        <f t="shared" si="377"/>
        <v>0</v>
      </c>
      <c r="BO162" s="214">
        <f t="shared" si="377"/>
        <v>0</v>
      </c>
      <c r="BP162" s="214">
        <f t="shared" si="377"/>
        <v>0</v>
      </c>
      <c r="BQ162" s="214">
        <f t="shared" si="377"/>
        <v>0</v>
      </c>
      <c r="BR162" s="214">
        <f t="shared" si="377"/>
        <v>0</v>
      </c>
    </row>
    <row r="163" spans="1:70" hidden="1" outlineLevel="1" x14ac:dyDescent="0.25">
      <c r="E163" s="147"/>
      <c r="F163" s="212"/>
      <c r="G163" s="147"/>
      <c r="H163" s="147"/>
      <c r="I163" s="147"/>
    </row>
    <row r="164" spans="1:70" s="145" customFormat="1" ht="13.8" hidden="1" outlineLevel="1" x14ac:dyDescent="0.25">
      <c r="B164" s="145" t="str">
        <f>Header2</f>
        <v>5.3</v>
      </c>
      <c r="C164" s="145" t="s">
        <v>251</v>
      </c>
      <c r="E164" s="215"/>
      <c r="F164" s="215"/>
      <c r="G164" s="215"/>
      <c r="H164" s="215"/>
      <c r="I164" s="215"/>
    </row>
    <row r="165" spans="1:70" hidden="1" outlineLevel="1" x14ac:dyDescent="0.25">
      <c r="E165" s="147"/>
      <c r="F165" s="212"/>
      <c r="G165" s="147"/>
      <c r="H165" s="147"/>
      <c r="I165" s="147"/>
    </row>
    <row r="166" spans="1:70" hidden="1" outlineLevel="1" x14ac:dyDescent="0.25">
      <c r="C166" s="147" t="s">
        <v>228</v>
      </c>
      <c r="D166" s="231" t="str">
        <f>unit</f>
        <v>£</v>
      </c>
      <c r="E166" s="147">
        <f>INDEX($K166:$BR166,0,MATCH(E$7,$K$7:$BR$7,0))</f>
        <v>0</v>
      </c>
      <c r="F166" s="147">
        <f t="shared" ref="F166:I166" si="378">INDEX($K166:$BR166,0,MATCH(F$7,$K$7:$BR$7,0))</f>
        <v>0</v>
      </c>
      <c r="G166" s="147">
        <f t="shared" si="378"/>
        <v>0</v>
      </c>
      <c r="H166" s="147">
        <f t="shared" si="378"/>
        <v>0</v>
      </c>
      <c r="I166" s="147">
        <f t="shared" si="378"/>
        <v>0</v>
      </c>
      <c r="K166" s="57">
        <f>J169</f>
        <v>0</v>
      </c>
      <c r="L166" s="57">
        <f t="shared" ref="L166:BR166" si="379">K169</f>
        <v>0</v>
      </c>
      <c r="M166" s="57">
        <f t="shared" si="379"/>
        <v>0</v>
      </c>
      <c r="N166" s="57">
        <f t="shared" si="379"/>
        <v>0</v>
      </c>
      <c r="O166" s="57">
        <f t="shared" si="379"/>
        <v>0</v>
      </c>
      <c r="P166" s="57">
        <f t="shared" si="379"/>
        <v>0</v>
      </c>
      <c r="Q166" s="57">
        <f t="shared" si="379"/>
        <v>0</v>
      </c>
      <c r="R166" s="57">
        <f t="shared" si="379"/>
        <v>0</v>
      </c>
      <c r="S166" s="57">
        <f t="shared" si="379"/>
        <v>0</v>
      </c>
      <c r="T166" s="57">
        <f t="shared" si="379"/>
        <v>0</v>
      </c>
      <c r="U166" s="57">
        <f t="shared" si="379"/>
        <v>0</v>
      </c>
      <c r="V166" s="57">
        <f t="shared" si="379"/>
        <v>0</v>
      </c>
      <c r="W166" s="57">
        <f t="shared" si="379"/>
        <v>0</v>
      </c>
      <c r="X166" s="57">
        <f t="shared" si="379"/>
        <v>0</v>
      </c>
      <c r="Y166" s="57">
        <f t="shared" si="379"/>
        <v>0</v>
      </c>
      <c r="Z166" s="57">
        <f t="shared" si="379"/>
        <v>0</v>
      </c>
      <c r="AA166" s="57">
        <f t="shared" si="379"/>
        <v>0</v>
      </c>
      <c r="AB166" s="57">
        <f t="shared" si="379"/>
        <v>0</v>
      </c>
      <c r="AC166" s="57">
        <f t="shared" si="379"/>
        <v>0</v>
      </c>
      <c r="AD166" s="57">
        <f t="shared" si="379"/>
        <v>0</v>
      </c>
      <c r="AE166" s="57">
        <f t="shared" si="379"/>
        <v>0</v>
      </c>
      <c r="AF166" s="57">
        <f t="shared" si="379"/>
        <v>0</v>
      </c>
      <c r="AG166" s="57">
        <f t="shared" si="379"/>
        <v>0</v>
      </c>
      <c r="AH166" s="57">
        <f t="shared" si="379"/>
        <v>0</v>
      </c>
      <c r="AI166" s="57">
        <f t="shared" si="379"/>
        <v>0</v>
      </c>
      <c r="AJ166" s="57">
        <f t="shared" si="379"/>
        <v>0</v>
      </c>
      <c r="AK166" s="57">
        <f t="shared" si="379"/>
        <v>0</v>
      </c>
      <c r="AL166" s="57">
        <f t="shared" si="379"/>
        <v>0</v>
      </c>
      <c r="AM166" s="57">
        <f t="shared" si="379"/>
        <v>0</v>
      </c>
      <c r="AN166" s="57">
        <f t="shared" si="379"/>
        <v>0</v>
      </c>
      <c r="AO166" s="57">
        <f t="shared" si="379"/>
        <v>0</v>
      </c>
      <c r="AP166" s="57">
        <f t="shared" si="379"/>
        <v>0</v>
      </c>
      <c r="AQ166" s="57">
        <f t="shared" si="379"/>
        <v>0</v>
      </c>
      <c r="AR166" s="57">
        <f t="shared" si="379"/>
        <v>0</v>
      </c>
      <c r="AS166" s="57">
        <f t="shared" si="379"/>
        <v>0</v>
      </c>
      <c r="AT166" s="57">
        <f t="shared" si="379"/>
        <v>0</v>
      </c>
      <c r="AU166" s="57">
        <f t="shared" si="379"/>
        <v>0</v>
      </c>
      <c r="AV166" s="57">
        <f t="shared" si="379"/>
        <v>0</v>
      </c>
      <c r="AW166" s="57">
        <f t="shared" si="379"/>
        <v>0</v>
      </c>
      <c r="AX166" s="57">
        <f t="shared" si="379"/>
        <v>0</v>
      </c>
      <c r="AY166" s="57">
        <f t="shared" si="379"/>
        <v>0</v>
      </c>
      <c r="AZ166" s="57">
        <f t="shared" si="379"/>
        <v>0</v>
      </c>
      <c r="BA166" s="57">
        <f t="shared" si="379"/>
        <v>0</v>
      </c>
      <c r="BB166" s="57">
        <f t="shared" si="379"/>
        <v>0</v>
      </c>
      <c r="BC166" s="57">
        <f t="shared" si="379"/>
        <v>0</v>
      </c>
      <c r="BD166" s="57">
        <f t="shared" si="379"/>
        <v>0</v>
      </c>
      <c r="BE166" s="57">
        <f t="shared" si="379"/>
        <v>0</v>
      </c>
      <c r="BF166" s="57">
        <f t="shared" si="379"/>
        <v>0</v>
      </c>
      <c r="BG166" s="57">
        <f t="shared" si="379"/>
        <v>0</v>
      </c>
      <c r="BH166" s="57">
        <f t="shared" si="379"/>
        <v>0</v>
      </c>
      <c r="BI166" s="57">
        <f t="shared" si="379"/>
        <v>0</v>
      </c>
      <c r="BJ166" s="57">
        <f t="shared" si="379"/>
        <v>0</v>
      </c>
      <c r="BK166" s="57">
        <f t="shared" si="379"/>
        <v>0</v>
      </c>
      <c r="BL166" s="57">
        <f t="shared" si="379"/>
        <v>0</v>
      </c>
      <c r="BM166" s="57">
        <f t="shared" si="379"/>
        <v>0</v>
      </c>
      <c r="BN166" s="57">
        <f t="shared" si="379"/>
        <v>0</v>
      </c>
      <c r="BO166" s="57">
        <f t="shared" si="379"/>
        <v>0</v>
      </c>
      <c r="BP166" s="57">
        <f t="shared" si="379"/>
        <v>0</v>
      </c>
      <c r="BQ166" s="57">
        <f t="shared" si="379"/>
        <v>0</v>
      </c>
      <c r="BR166" s="57">
        <f t="shared" si="379"/>
        <v>0</v>
      </c>
    </row>
    <row r="167" spans="1:70" hidden="1" outlineLevel="1" x14ac:dyDescent="0.25">
      <c r="C167" s="147" t="s">
        <v>252</v>
      </c>
      <c r="D167" s="231" t="str">
        <f>unit</f>
        <v>£</v>
      </c>
      <c r="E167" s="147">
        <f>SUMIF($K$5:$BR$5,E$5,$K167:$BR167)</f>
        <v>0</v>
      </c>
      <c r="F167" s="147">
        <f t="shared" ref="F167:I168" si="380">SUMIF($K$5:$BR$5,F$5,$K167:$BR167)</f>
        <v>0</v>
      </c>
      <c r="G167" s="147">
        <f t="shared" si="380"/>
        <v>0</v>
      </c>
      <c r="H167" s="147">
        <f t="shared" si="380"/>
        <v>0</v>
      </c>
      <c r="I167" s="147">
        <f t="shared" si="380"/>
        <v>0</v>
      </c>
      <c r="K167" s="57">
        <f>K159*$D142/12</f>
        <v>0</v>
      </c>
      <c r="L167" s="57">
        <f t="shared" ref="L167:BR167" si="381">L159*$D142/12</f>
        <v>0</v>
      </c>
      <c r="M167" s="57">
        <f t="shared" si="381"/>
        <v>0</v>
      </c>
      <c r="N167" s="57">
        <f t="shared" si="381"/>
        <v>0</v>
      </c>
      <c r="O167" s="57">
        <f t="shared" si="381"/>
        <v>0</v>
      </c>
      <c r="P167" s="57">
        <f t="shared" si="381"/>
        <v>0</v>
      </c>
      <c r="Q167" s="57">
        <f t="shared" si="381"/>
        <v>0</v>
      </c>
      <c r="R167" s="57">
        <f t="shared" si="381"/>
        <v>0</v>
      </c>
      <c r="S167" s="57">
        <f t="shared" si="381"/>
        <v>0</v>
      </c>
      <c r="T167" s="57">
        <f t="shared" si="381"/>
        <v>0</v>
      </c>
      <c r="U167" s="57">
        <f t="shared" si="381"/>
        <v>0</v>
      </c>
      <c r="V167" s="57">
        <f t="shared" si="381"/>
        <v>0</v>
      </c>
      <c r="W167" s="57">
        <f t="shared" si="381"/>
        <v>0</v>
      </c>
      <c r="X167" s="57">
        <f t="shared" si="381"/>
        <v>0</v>
      </c>
      <c r="Y167" s="57">
        <f t="shared" si="381"/>
        <v>0</v>
      </c>
      <c r="Z167" s="57">
        <f t="shared" si="381"/>
        <v>0</v>
      </c>
      <c r="AA167" s="57">
        <f t="shared" si="381"/>
        <v>0</v>
      </c>
      <c r="AB167" s="57">
        <f t="shared" si="381"/>
        <v>0</v>
      </c>
      <c r="AC167" s="57">
        <f t="shared" si="381"/>
        <v>0</v>
      </c>
      <c r="AD167" s="57">
        <f t="shared" si="381"/>
        <v>0</v>
      </c>
      <c r="AE167" s="57">
        <f t="shared" si="381"/>
        <v>0</v>
      </c>
      <c r="AF167" s="57">
        <f t="shared" si="381"/>
        <v>0</v>
      </c>
      <c r="AG167" s="57">
        <f t="shared" si="381"/>
        <v>0</v>
      </c>
      <c r="AH167" s="57">
        <f t="shared" si="381"/>
        <v>0</v>
      </c>
      <c r="AI167" s="57">
        <f t="shared" si="381"/>
        <v>0</v>
      </c>
      <c r="AJ167" s="57">
        <f t="shared" si="381"/>
        <v>0</v>
      </c>
      <c r="AK167" s="57">
        <f t="shared" si="381"/>
        <v>0</v>
      </c>
      <c r="AL167" s="57">
        <f t="shared" si="381"/>
        <v>0</v>
      </c>
      <c r="AM167" s="57">
        <f t="shared" si="381"/>
        <v>0</v>
      </c>
      <c r="AN167" s="57">
        <f t="shared" si="381"/>
        <v>0</v>
      </c>
      <c r="AO167" s="57">
        <f t="shared" si="381"/>
        <v>0</v>
      </c>
      <c r="AP167" s="57">
        <f t="shared" si="381"/>
        <v>0</v>
      </c>
      <c r="AQ167" s="57">
        <f t="shared" si="381"/>
        <v>0</v>
      </c>
      <c r="AR167" s="57">
        <f t="shared" si="381"/>
        <v>0</v>
      </c>
      <c r="AS167" s="57">
        <f t="shared" si="381"/>
        <v>0</v>
      </c>
      <c r="AT167" s="57">
        <f t="shared" si="381"/>
        <v>0</v>
      </c>
      <c r="AU167" s="57">
        <f t="shared" si="381"/>
        <v>0</v>
      </c>
      <c r="AV167" s="57">
        <f t="shared" si="381"/>
        <v>0</v>
      </c>
      <c r="AW167" s="57">
        <f t="shared" si="381"/>
        <v>0</v>
      </c>
      <c r="AX167" s="57">
        <f t="shared" si="381"/>
        <v>0</v>
      </c>
      <c r="AY167" s="57">
        <f t="shared" si="381"/>
        <v>0</v>
      </c>
      <c r="AZ167" s="57">
        <f t="shared" si="381"/>
        <v>0</v>
      </c>
      <c r="BA167" s="57">
        <f t="shared" si="381"/>
        <v>0</v>
      </c>
      <c r="BB167" s="57">
        <f t="shared" si="381"/>
        <v>0</v>
      </c>
      <c r="BC167" s="57">
        <f t="shared" si="381"/>
        <v>0</v>
      </c>
      <c r="BD167" s="57">
        <f t="shared" si="381"/>
        <v>0</v>
      </c>
      <c r="BE167" s="57">
        <f t="shared" si="381"/>
        <v>0</v>
      </c>
      <c r="BF167" s="57">
        <f t="shared" si="381"/>
        <v>0</v>
      </c>
      <c r="BG167" s="57">
        <f t="shared" si="381"/>
        <v>0</v>
      </c>
      <c r="BH167" s="57">
        <f t="shared" si="381"/>
        <v>0</v>
      </c>
      <c r="BI167" s="57">
        <f t="shared" si="381"/>
        <v>0</v>
      </c>
      <c r="BJ167" s="57">
        <f t="shared" si="381"/>
        <v>0</v>
      </c>
      <c r="BK167" s="57">
        <f t="shared" si="381"/>
        <v>0</v>
      </c>
      <c r="BL167" s="57">
        <f t="shared" si="381"/>
        <v>0</v>
      </c>
      <c r="BM167" s="57">
        <f t="shared" si="381"/>
        <v>0</v>
      </c>
      <c r="BN167" s="57">
        <f t="shared" si="381"/>
        <v>0</v>
      </c>
      <c r="BO167" s="57">
        <f t="shared" si="381"/>
        <v>0</v>
      </c>
      <c r="BP167" s="57">
        <f t="shared" si="381"/>
        <v>0</v>
      </c>
      <c r="BQ167" s="57">
        <f t="shared" si="381"/>
        <v>0</v>
      </c>
      <c r="BR167" s="57">
        <f t="shared" si="381"/>
        <v>0</v>
      </c>
    </row>
    <row r="168" spans="1:70" hidden="1" outlineLevel="1" x14ac:dyDescent="0.25">
      <c r="C168" s="147" t="s">
        <v>215</v>
      </c>
      <c r="D168" s="231" t="str">
        <f>unit</f>
        <v>£</v>
      </c>
      <c r="E168" s="147">
        <f>SUMIF($K$5:$BR$5,E$5,$K168:$BR168)</f>
        <v>0</v>
      </c>
      <c r="F168" s="147">
        <f t="shared" si="380"/>
        <v>0</v>
      </c>
      <c r="G168" s="147">
        <f t="shared" si="380"/>
        <v>0</v>
      </c>
      <c r="H168" s="147">
        <f t="shared" si="380"/>
        <v>0</v>
      </c>
      <c r="I168" s="147">
        <f t="shared" si="380"/>
        <v>0</v>
      </c>
      <c r="K168" s="57">
        <f>-SUM(K166:K167)*K154</f>
        <v>0</v>
      </c>
      <c r="L168" s="57">
        <f t="shared" ref="L168" si="382">-SUM(L166:L167)*L154</f>
        <v>0</v>
      </c>
      <c r="M168" s="57">
        <f t="shared" ref="M168" si="383">-SUM(M166:M167)*M154</f>
        <v>0</v>
      </c>
      <c r="N168" s="57">
        <f t="shared" ref="N168" si="384">-SUM(N166:N167)*N154</f>
        <v>0</v>
      </c>
      <c r="O168" s="57">
        <f t="shared" ref="O168" si="385">-SUM(O166:O167)*O154</f>
        <v>0</v>
      </c>
      <c r="P168" s="57">
        <f t="shared" ref="P168" si="386">-SUM(P166:P167)*P154</f>
        <v>0</v>
      </c>
      <c r="Q168" s="57">
        <f t="shared" ref="Q168" si="387">-SUM(Q166:Q167)*Q154</f>
        <v>0</v>
      </c>
      <c r="R168" s="57">
        <f t="shared" ref="R168" si="388">-SUM(R166:R167)*R154</f>
        <v>0</v>
      </c>
      <c r="S168" s="57">
        <f t="shared" ref="S168" si="389">-SUM(S166:S167)*S154</f>
        <v>0</v>
      </c>
      <c r="T168" s="57">
        <f t="shared" ref="T168" si="390">-SUM(T166:T167)*T154</f>
        <v>0</v>
      </c>
      <c r="U168" s="57">
        <f t="shared" ref="U168" si="391">-SUM(U166:U167)*U154</f>
        <v>0</v>
      </c>
      <c r="V168" s="57">
        <f t="shared" ref="V168" si="392">-SUM(V166:V167)*V154</f>
        <v>0</v>
      </c>
      <c r="W168" s="57">
        <f t="shared" ref="W168" si="393">-SUM(W166:W167)*W154</f>
        <v>0</v>
      </c>
      <c r="X168" s="57">
        <f t="shared" ref="X168" si="394">-SUM(X166:X167)*X154</f>
        <v>0</v>
      </c>
      <c r="Y168" s="57">
        <f t="shared" ref="Y168" si="395">-SUM(Y166:Y167)*Y154</f>
        <v>0</v>
      </c>
      <c r="Z168" s="57">
        <f t="shared" ref="Z168" si="396">-SUM(Z166:Z167)*Z154</f>
        <v>0</v>
      </c>
      <c r="AA168" s="57">
        <f t="shared" ref="AA168" si="397">-SUM(AA166:AA167)*AA154</f>
        <v>0</v>
      </c>
      <c r="AB168" s="57">
        <f t="shared" ref="AB168" si="398">-SUM(AB166:AB167)*AB154</f>
        <v>0</v>
      </c>
      <c r="AC168" s="57">
        <f t="shared" ref="AC168" si="399">-SUM(AC166:AC167)*AC154</f>
        <v>0</v>
      </c>
      <c r="AD168" s="57">
        <f t="shared" ref="AD168" si="400">-SUM(AD166:AD167)*AD154</f>
        <v>0</v>
      </c>
      <c r="AE168" s="57">
        <f t="shared" ref="AE168" si="401">-SUM(AE166:AE167)*AE154</f>
        <v>0</v>
      </c>
      <c r="AF168" s="57">
        <f t="shared" ref="AF168" si="402">-SUM(AF166:AF167)*AF154</f>
        <v>0</v>
      </c>
      <c r="AG168" s="57">
        <f t="shared" ref="AG168" si="403">-SUM(AG166:AG167)*AG154</f>
        <v>0</v>
      </c>
      <c r="AH168" s="57">
        <f t="shared" ref="AH168" si="404">-SUM(AH166:AH167)*AH154</f>
        <v>0</v>
      </c>
      <c r="AI168" s="57">
        <f t="shared" ref="AI168" si="405">-SUM(AI166:AI167)*AI154</f>
        <v>0</v>
      </c>
      <c r="AJ168" s="57">
        <f t="shared" ref="AJ168" si="406">-SUM(AJ166:AJ167)*AJ154</f>
        <v>0</v>
      </c>
      <c r="AK168" s="57">
        <f t="shared" ref="AK168" si="407">-SUM(AK166:AK167)*AK154</f>
        <v>0</v>
      </c>
      <c r="AL168" s="57">
        <f t="shared" ref="AL168" si="408">-SUM(AL166:AL167)*AL154</f>
        <v>0</v>
      </c>
      <c r="AM168" s="57">
        <f t="shared" ref="AM168" si="409">-SUM(AM166:AM167)*AM154</f>
        <v>0</v>
      </c>
      <c r="AN168" s="57">
        <f t="shared" ref="AN168" si="410">-SUM(AN166:AN167)*AN154</f>
        <v>0</v>
      </c>
      <c r="AO168" s="57">
        <f t="shared" ref="AO168" si="411">-SUM(AO166:AO167)*AO154</f>
        <v>0</v>
      </c>
      <c r="AP168" s="57">
        <f t="shared" ref="AP168" si="412">-SUM(AP166:AP167)*AP154</f>
        <v>0</v>
      </c>
      <c r="AQ168" s="57">
        <f t="shared" ref="AQ168" si="413">-SUM(AQ166:AQ167)*AQ154</f>
        <v>0</v>
      </c>
      <c r="AR168" s="57">
        <f t="shared" ref="AR168" si="414">-SUM(AR166:AR167)*AR154</f>
        <v>0</v>
      </c>
      <c r="AS168" s="57">
        <f t="shared" ref="AS168" si="415">-SUM(AS166:AS167)*AS154</f>
        <v>0</v>
      </c>
      <c r="AT168" s="57">
        <f t="shared" ref="AT168" si="416">-SUM(AT166:AT167)*AT154</f>
        <v>0</v>
      </c>
      <c r="AU168" s="57">
        <f t="shared" ref="AU168" si="417">-SUM(AU166:AU167)*AU154</f>
        <v>0</v>
      </c>
      <c r="AV168" s="57">
        <f t="shared" ref="AV168" si="418">-SUM(AV166:AV167)*AV154</f>
        <v>0</v>
      </c>
      <c r="AW168" s="57">
        <f t="shared" ref="AW168" si="419">-SUM(AW166:AW167)*AW154</f>
        <v>0</v>
      </c>
      <c r="AX168" s="57">
        <f t="shared" ref="AX168" si="420">-SUM(AX166:AX167)*AX154</f>
        <v>0</v>
      </c>
      <c r="AY168" s="57">
        <f t="shared" ref="AY168" si="421">-SUM(AY166:AY167)*AY154</f>
        <v>0</v>
      </c>
      <c r="AZ168" s="57">
        <f t="shared" ref="AZ168" si="422">-SUM(AZ166:AZ167)*AZ154</f>
        <v>0</v>
      </c>
      <c r="BA168" s="57">
        <f t="shared" ref="BA168" si="423">-SUM(BA166:BA167)*BA154</f>
        <v>0</v>
      </c>
      <c r="BB168" s="57">
        <f t="shared" ref="BB168" si="424">-SUM(BB166:BB167)*BB154</f>
        <v>0</v>
      </c>
      <c r="BC168" s="57">
        <f t="shared" ref="BC168" si="425">-SUM(BC166:BC167)*BC154</f>
        <v>0</v>
      </c>
      <c r="BD168" s="57">
        <f t="shared" ref="BD168" si="426">-SUM(BD166:BD167)*BD154</f>
        <v>0</v>
      </c>
      <c r="BE168" s="57">
        <f t="shared" ref="BE168" si="427">-SUM(BE166:BE167)*BE154</f>
        <v>0</v>
      </c>
      <c r="BF168" s="57">
        <f t="shared" ref="BF168" si="428">-SUM(BF166:BF167)*BF154</f>
        <v>0</v>
      </c>
      <c r="BG168" s="57">
        <f t="shared" ref="BG168" si="429">-SUM(BG166:BG167)*BG154</f>
        <v>0</v>
      </c>
      <c r="BH168" s="57">
        <f t="shared" ref="BH168" si="430">-SUM(BH166:BH167)*BH154</f>
        <v>0</v>
      </c>
      <c r="BI168" s="57">
        <f t="shared" ref="BI168" si="431">-SUM(BI166:BI167)*BI154</f>
        <v>0</v>
      </c>
      <c r="BJ168" s="57">
        <f t="shared" ref="BJ168" si="432">-SUM(BJ166:BJ167)*BJ154</f>
        <v>0</v>
      </c>
      <c r="BK168" s="57">
        <f t="shared" ref="BK168" si="433">-SUM(BK166:BK167)*BK154</f>
        <v>0</v>
      </c>
      <c r="BL168" s="57">
        <f t="shared" ref="BL168" si="434">-SUM(BL166:BL167)*BL154</f>
        <v>0</v>
      </c>
      <c r="BM168" s="57">
        <f t="shared" ref="BM168" si="435">-SUM(BM166:BM167)*BM154</f>
        <v>0</v>
      </c>
      <c r="BN168" s="57">
        <f t="shared" ref="BN168" si="436">-SUM(BN166:BN167)*BN154</f>
        <v>0</v>
      </c>
      <c r="BO168" s="57">
        <f t="shared" ref="BO168" si="437">-SUM(BO166:BO167)*BO154</f>
        <v>0</v>
      </c>
      <c r="BP168" s="57">
        <f t="shared" ref="BP168" si="438">-SUM(BP166:BP167)*BP154</f>
        <v>0</v>
      </c>
      <c r="BQ168" s="57">
        <f t="shared" ref="BQ168" si="439">-SUM(BQ166:BQ167)*BQ154</f>
        <v>0</v>
      </c>
      <c r="BR168" s="57">
        <f t="shared" ref="BR168" si="440">-SUM(BR166:BR167)*BR154</f>
        <v>0</v>
      </c>
    </row>
    <row r="169" spans="1:70" hidden="1" outlineLevel="1" x14ac:dyDescent="0.25">
      <c r="C169" s="147" t="s">
        <v>230</v>
      </c>
      <c r="D169" s="231" t="str">
        <f>unit</f>
        <v>£</v>
      </c>
      <c r="E169" s="230">
        <f>SUM(E166:E168)</f>
        <v>0</v>
      </c>
      <c r="F169" s="230">
        <f t="shared" ref="F169" si="441">SUM(F166:F168)</f>
        <v>0</v>
      </c>
      <c r="G169" s="230">
        <f t="shared" ref="G169" si="442">SUM(G166:G168)</f>
        <v>0</v>
      </c>
      <c r="H169" s="230">
        <f t="shared" ref="H169" si="443">SUM(H166:H168)</f>
        <v>0</v>
      </c>
      <c r="I169" s="230">
        <f t="shared" ref="I169" si="444">SUM(I166:I168)</f>
        <v>0</v>
      </c>
      <c r="J169" s="156"/>
      <c r="K169" s="59">
        <f>SUM(K166:K168)</f>
        <v>0</v>
      </c>
      <c r="L169" s="59">
        <f t="shared" ref="L169" si="445">SUM(L166:L168)</f>
        <v>0</v>
      </c>
      <c r="M169" s="59">
        <f t="shared" ref="M169" si="446">SUM(M166:M168)</f>
        <v>0</v>
      </c>
      <c r="N169" s="59">
        <f t="shared" ref="N169" si="447">SUM(N166:N168)</f>
        <v>0</v>
      </c>
      <c r="O169" s="59">
        <f t="shared" ref="O169" si="448">SUM(O166:O168)</f>
        <v>0</v>
      </c>
      <c r="P169" s="59">
        <f t="shared" ref="P169" si="449">SUM(P166:P168)</f>
        <v>0</v>
      </c>
      <c r="Q169" s="59">
        <f t="shared" ref="Q169" si="450">SUM(Q166:Q168)</f>
        <v>0</v>
      </c>
      <c r="R169" s="59">
        <f t="shared" ref="R169" si="451">SUM(R166:R168)</f>
        <v>0</v>
      </c>
      <c r="S169" s="59">
        <f t="shared" ref="S169" si="452">SUM(S166:S168)</f>
        <v>0</v>
      </c>
      <c r="T169" s="59">
        <f t="shared" ref="T169" si="453">SUM(T166:T168)</f>
        <v>0</v>
      </c>
      <c r="U169" s="59">
        <f t="shared" ref="U169" si="454">SUM(U166:U168)</f>
        <v>0</v>
      </c>
      <c r="V169" s="59">
        <f t="shared" ref="V169" si="455">SUM(V166:V168)</f>
        <v>0</v>
      </c>
      <c r="W169" s="59">
        <f t="shared" ref="W169" si="456">SUM(W166:W168)</f>
        <v>0</v>
      </c>
      <c r="X169" s="59">
        <f t="shared" ref="X169" si="457">SUM(X166:X168)</f>
        <v>0</v>
      </c>
      <c r="Y169" s="59">
        <f t="shared" ref="Y169" si="458">SUM(Y166:Y168)</f>
        <v>0</v>
      </c>
      <c r="Z169" s="59">
        <f t="shared" ref="Z169" si="459">SUM(Z166:Z168)</f>
        <v>0</v>
      </c>
      <c r="AA169" s="59">
        <f t="shared" ref="AA169" si="460">SUM(AA166:AA168)</f>
        <v>0</v>
      </c>
      <c r="AB169" s="59">
        <f t="shared" ref="AB169" si="461">SUM(AB166:AB168)</f>
        <v>0</v>
      </c>
      <c r="AC169" s="59">
        <f t="shared" ref="AC169" si="462">SUM(AC166:AC168)</f>
        <v>0</v>
      </c>
      <c r="AD169" s="59">
        <f t="shared" ref="AD169" si="463">SUM(AD166:AD168)</f>
        <v>0</v>
      </c>
      <c r="AE169" s="59">
        <f t="shared" ref="AE169" si="464">SUM(AE166:AE168)</f>
        <v>0</v>
      </c>
      <c r="AF169" s="59">
        <f t="shared" ref="AF169" si="465">SUM(AF166:AF168)</f>
        <v>0</v>
      </c>
      <c r="AG169" s="59">
        <f t="shared" ref="AG169" si="466">SUM(AG166:AG168)</f>
        <v>0</v>
      </c>
      <c r="AH169" s="59">
        <f t="shared" ref="AH169" si="467">SUM(AH166:AH168)</f>
        <v>0</v>
      </c>
      <c r="AI169" s="59">
        <f t="shared" ref="AI169" si="468">SUM(AI166:AI168)</f>
        <v>0</v>
      </c>
      <c r="AJ169" s="59">
        <f t="shared" ref="AJ169" si="469">SUM(AJ166:AJ168)</f>
        <v>0</v>
      </c>
      <c r="AK169" s="59">
        <f t="shared" ref="AK169" si="470">SUM(AK166:AK168)</f>
        <v>0</v>
      </c>
      <c r="AL169" s="59">
        <f t="shared" ref="AL169" si="471">SUM(AL166:AL168)</f>
        <v>0</v>
      </c>
      <c r="AM169" s="59">
        <f t="shared" ref="AM169" si="472">SUM(AM166:AM168)</f>
        <v>0</v>
      </c>
      <c r="AN169" s="59">
        <f t="shared" ref="AN169" si="473">SUM(AN166:AN168)</f>
        <v>0</v>
      </c>
      <c r="AO169" s="59">
        <f t="shared" ref="AO169" si="474">SUM(AO166:AO168)</f>
        <v>0</v>
      </c>
      <c r="AP169" s="59">
        <f t="shared" ref="AP169" si="475">SUM(AP166:AP168)</f>
        <v>0</v>
      </c>
      <c r="AQ169" s="59">
        <f t="shared" ref="AQ169" si="476">SUM(AQ166:AQ168)</f>
        <v>0</v>
      </c>
      <c r="AR169" s="59">
        <f t="shared" ref="AR169" si="477">SUM(AR166:AR168)</f>
        <v>0</v>
      </c>
      <c r="AS169" s="59">
        <f t="shared" ref="AS169" si="478">SUM(AS166:AS168)</f>
        <v>0</v>
      </c>
      <c r="AT169" s="59">
        <f t="shared" ref="AT169" si="479">SUM(AT166:AT168)</f>
        <v>0</v>
      </c>
      <c r="AU169" s="59">
        <f t="shared" ref="AU169" si="480">SUM(AU166:AU168)</f>
        <v>0</v>
      </c>
      <c r="AV169" s="59">
        <f t="shared" ref="AV169" si="481">SUM(AV166:AV168)</f>
        <v>0</v>
      </c>
      <c r="AW169" s="59">
        <f t="shared" ref="AW169" si="482">SUM(AW166:AW168)</f>
        <v>0</v>
      </c>
      <c r="AX169" s="59">
        <f t="shared" ref="AX169" si="483">SUM(AX166:AX168)</f>
        <v>0</v>
      </c>
      <c r="AY169" s="59">
        <f t="shared" ref="AY169" si="484">SUM(AY166:AY168)</f>
        <v>0</v>
      </c>
      <c r="AZ169" s="59">
        <f t="shared" ref="AZ169" si="485">SUM(AZ166:AZ168)</f>
        <v>0</v>
      </c>
      <c r="BA169" s="59">
        <f t="shared" ref="BA169" si="486">SUM(BA166:BA168)</f>
        <v>0</v>
      </c>
      <c r="BB169" s="59">
        <f t="shared" ref="BB169" si="487">SUM(BB166:BB168)</f>
        <v>0</v>
      </c>
      <c r="BC169" s="59">
        <f t="shared" ref="BC169" si="488">SUM(BC166:BC168)</f>
        <v>0</v>
      </c>
      <c r="BD169" s="59">
        <f t="shared" ref="BD169" si="489">SUM(BD166:BD168)</f>
        <v>0</v>
      </c>
      <c r="BE169" s="59">
        <f t="shared" ref="BE169" si="490">SUM(BE166:BE168)</f>
        <v>0</v>
      </c>
      <c r="BF169" s="59">
        <f t="shared" ref="BF169" si="491">SUM(BF166:BF168)</f>
        <v>0</v>
      </c>
      <c r="BG169" s="59">
        <f t="shared" ref="BG169" si="492">SUM(BG166:BG168)</f>
        <v>0</v>
      </c>
      <c r="BH169" s="59">
        <f t="shared" ref="BH169" si="493">SUM(BH166:BH168)</f>
        <v>0</v>
      </c>
      <c r="BI169" s="59">
        <f t="shared" ref="BI169" si="494">SUM(BI166:BI168)</f>
        <v>0</v>
      </c>
      <c r="BJ169" s="59">
        <f t="shared" ref="BJ169" si="495">SUM(BJ166:BJ168)</f>
        <v>0</v>
      </c>
      <c r="BK169" s="59">
        <f t="shared" ref="BK169" si="496">SUM(BK166:BK168)</f>
        <v>0</v>
      </c>
      <c r="BL169" s="59">
        <f t="shared" ref="BL169" si="497">SUM(BL166:BL168)</f>
        <v>0</v>
      </c>
      <c r="BM169" s="59">
        <f t="shared" ref="BM169" si="498">SUM(BM166:BM168)</f>
        <v>0</v>
      </c>
      <c r="BN169" s="59">
        <f t="shared" ref="BN169" si="499">SUM(BN166:BN168)</f>
        <v>0</v>
      </c>
      <c r="BO169" s="59">
        <f t="shared" ref="BO169" si="500">SUM(BO166:BO168)</f>
        <v>0</v>
      </c>
      <c r="BP169" s="59">
        <f t="shared" ref="BP169" si="501">SUM(BP166:BP168)</f>
        <v>0</v>
      </c>
      <c r="BQ169" s="59">
        <f t="shared" ref="BQ169" si="502">SUM(BQ166:BQ168)</f>
        <v>0</v>
      </c>
      <c r="BR169" s="59">
        <f t="shared" ref="BR169" si="503">SUM(BR166:BR168)</f>
        <v>0</v>
      </c>
    </row>
    <row r="170" spans="1:70" collapsed="1" x14ac:dyDescent="0.25"/>
    <row r="171" spans="1:70" s="166" customFormat="1" ht="15.6" x14ac:dyDescent="0.3">
      <c r="A171" s="166">
        <f>Header1</f>
        <v>6</v>
      </c>
      <c r="B171" s="166" t="str">
        <f>KeyInputs!J70</f>
        <v>Investment 4</v>
      </c>
    </row>
    <row r="172" spans="1:70" hidden="1" outlineLevel="1" x14ac:dyDescent="0.25"/>
    <row r="173" spans="1:70" hidden="1" outlineLevel="1" x14ac:dyDescent="0.25">
      <c r="C173" s="217" t="str">
        <f>KeyInputs!C71</f>
        <v>Drawdown</v>
      </c>
      <c r="D173" s="220">
        <f>KeyInputs!J71</f>
        <v>0</v>
      </c>
    </row>
    <row r="174" spans="1:70" hidden="1" outlineLevel="1" x14ac:dyDescent="0.25">
      <c r="C174" s="217" t="str">
        <f>KeyInputs!C72</f>
        <v>Drawdown date</v>
      </c>
      <c r="D174" s="222">
        <f>KeyInputs!J72</f>
        <v>41821</v>
      </c>
    </row>
    <row r="175" spans="1:70" hidden="1" outlineLevel="1" x14ac:dyDescent="0.25">
      <c r="C175" s="217" t="str">
        <f>KeyInputs!C73</f>
        <v>Debt term (years)</v>
      </c>
      <c r="D175" s="219">
        <f>KeyInputs!J73</f>
        <v>5</v>
      </c>
    </row>
    <row r="176" spans="1:70" hidden="1" outlineLevel="1" x14ac:dyDescent="0.25">
      <c r="C176" s="217" t="s">
        <v>467</v>
      </c>
      <c r="D176" s="219">
        <f>KeyInputs!J74</f>
        <v>1</v>
      </c>
    </row>
    <row r="177" spans="2:70" hidden="1" outlineLevel="1" x14ac:dyDescent="0.25">
      <c r="C177" s="217" t="str">
        <f>KeyInputs!C75</f>
        <v>Interest payment month</v>
      </c>
      <c r="D177" s="219">
        <f>KeyInputs!J75</f>
        <v>1</v>
      </c>
    </row>
    <row r="178" spans="2:70" hidden="1" outlineLevel="1" x14ac:dyDescent="0.25">
      <c r="C178" s="217" t="str">
        <f>KeyInputs!C78</f>
        <v>Interest rate % per annum</v>
      </c>
      <c r="D178" s="218">
        <f>KeyInputs!J78</f>
        <v>3.4999999999999996E-2</v>
      </c>
    </row>
    <row r="179" spans="2:70" hidden="1" outlineLevel="1" x14ac:dyDescent="0.25"/>
    <row r="180" spans="2:70" hidden="1" outlineLevel="1" x14ac:dyDescent="0.25">
      <c r="C180" s="57" t="s">
        <v>259</v>
      </c>
      <c r="D180" s="221">
        <f>EDATE(D174,D176)-1</f>
        <v>41851</v>
      </c>
    </row>
    <row r="181" spans="2:70" hidden="1" outlineLevel="1" x14ac:dyDescent="0.25">
      <c r="C181" s="57" t="s">
        <v>246</v>
      </c>
      <c r="D181" s="57">
        <f>IFERROR(INDEX($K$6:$BR$6,0,MATCH($D174,$K$7:$BR$7,0)),0)</f>
        <v>0</v>
      </c>
    </row>
    <row r="182" spans="2:70" hidden="1" outlineLevel="1" x14ac:dyDescent="0.25">
      <c r="C182" s="57" t="s">
        <v>259</v>
      </c>
      <c r="D182" s="57">
        <f>D181+D177</f>
        <v>1</v>
      </c>
    </row>
    <row r="183" spans="2:70" hidden="1" outlineLevel="1" x14ac:dyDescent="0.25">
      <c r="C183" s="57" t="s">
        <v>263</v>
      </c>
      <c r="D183" s="221">
        <f>EDATE($D180,(D175)*12)</f>
        <v>43677</v>
      </c>
    </row>
    <row r="184" spans="2:70" hidden="1" outlineLevel="1" x14ac:dyDescent="0.25">
      <c r="C184" s="57" t="s">
        <v>245</v>
      </c>
      <c r="D184" s="57">
        <f>D173/D175/12*D176</f>
        <v>0</v>
      </c>
    </row>
    <row r="185" spans="2:70" hidden="1" outlineLevel="1" x14ac:dyDescent="0.25"/>
    <row r="186" spans="2:70" s="143" customFormat="1" ht="13.8" hidden="1" outlineLevel="1" x14ac:dyDescent="0.25">
      <c r="B186" s="143" t="str">
        <f>Header2</f>
        <v>6.1</v>
      </c>
      <c r="C186" s="143" t="s">
        <v>254</v>
      </c>
    </row>
    <row r="187" spans="2:70" hidden="1" outlineLevel="1" x14ac:dyDescent="0.25"/>
    <row r="188" spans="2:70" hidden="1" outlineLevel="1" x14ac:dyDescent="0.25">
      <c r="C188" s="147" t="s">
        <v>255</v>
      </c>
      <c r="K188" s="57">
        <f>(K$7&lt;=$D174)*(K$8&gt;=$D174)</f>
        <v>0</v>
      </c>
      <c r="L188" s="57">
        <f t="shared" ref="L188:BR188" si="504">(L$7&lt;=$D174)*(L$8&gt;=$D174)</f>
        <v>0</v>
      </c>
      <c r="M188" s="57">
        <f t="shared" si="504"/>
        <v>0</v>
      </c>
      <c r="N188" s="57">
        <f t="shared" si="504"/>
        <v>0</v>
      </c>
      <c r="O188" s="57">
        <f t="shared" si="504"/>
        <v>0</v>
      </c>
      <c r="P188" s="57">
        <f t="shared" si="504"/>
        <v>0</v>
      </c>
      <c r="Q188" s="57">
        <f t="shared" si="504"/>
        <v>0</v>
      </c>
      <c r="R188" s="57">
        <f t="shared" si="504"/>
        <v>0</v>
      </c>
      <c r="S188" s="57">
        <f t="shared" si="504"/>
        <v>0</v>
      </c>
      <c r="T188" s="57">
        <f t="shared" si="504"/>
        <v>0</v>
      </c>
      <c r="U188" s="57">
        <f t="shared" si="504"/>
        <v>0</v>
      </c>
      <c r="V188" s="57">
        <f t="shared" si="504"/>
        <v>0</v>
      </c>
      <c r="W188" s="57">
        <f t="shared" si="504"/>
        <v>0</v>
      </c>
      <c r="X188" s="57">
        <f t="shared" si="504"/>
        <v>0</v>
      </c>
      <c r="Y188" s="57">
        <f t="shared" si="504"/>
        <v>0</v>
      </c>
      <c r="Z188" s="57">
        <f t="shared" si="504"/>
        <v>0</v>
      </c>
      <c r="AA188" s="57">
        <f t="shared" si="504"/>
        <v>0</v>
      </c>
      <c r="AB188" s="57">
        <f t="shared" si="504"/>
        <v>0</v>
      </c>
      <c r="AC188" s="57">
        <f t="shared" si="504"/>
        <v>0</v>
      </c>
      <c r="AD188" s="57">
        <f t="shared" si="504"/>
        <v>0</v>
      </c>
      <c r="AE188" s="57">
        <f t="shared" si="504"/>
        <v>0</v>
      </c>
      <c r="AF188" s="57">
        <f t="shared" si="504"/>
        <v>0</v>
      </c>
      <c r="AG188" s="57">
        <f t="shared" si="504"/>
        <v>0</v>
      </c>
      <c r="AH188" s="57">
        <f t="shared" si="504"/>
        <v>0</v>
      </c>
      <c r="AI188" s="57">
        <f t="shared" si="504"/>
        <v>0</v>
      </c>
      <c r="AJ188" s="57">
        <f t="shared" si="504"/>
        <v>0</v>
      </c>
      <c r="AK188" s="57">
        <f t="shared" si="504"/>
        <v>0</v>
      </c>
      <c r="AL188" s="57">
        <f t="shared" si="504"/>
        <v>0</v>
      </c>
      <c r="AM188" s="57">
        <f t="shared" si="504"/>
        <v>0</v>
      </c>
      <c r="AN188" s="57">
        <f t="shared" si="504"/>
        <v>0</v>
      </c>
      <c r="AO188" s="57">
        <f t="shared" si="504"/>
        <v>0</v>
      </c>
      <c r="AP188" s="57">
        <f t="shared" si="504"/>
        <v>0</v>
      </c>
      <c r="AQ188" s="57">
        <f t="shared" si="504"/>
        <v>0</v>
      </c>
      <c r="AR188" s="57">
        <f t="shared" si="504"/>
        <v>0</v>
      </c>
      <c r="AS188" s="57">
        <f t="shared" si="504"/>
        <v>0</v>
      </c>
      <c r="AT188" s="57">
        <f t="shared" si="504"/>
        <v>0</v>
      </c>
      <c r="AU188" s="57">
        <f t="shared" si="504"/>
        <v>0</v>
      </c>
      <c r="AV188" s="57">
        <f t="shared" si="504"/>
        <v>0</v>
      </c>
      <c r="AW188" s="57">
        <f t="shared" si="504"/>
        <v>0</v>
      </c>
      <c r="AX188" s="57">
        <f t="shared" si="504"/>
        <v>0</v>
      </c>
      <c r="AY188" s="57">
        <f t="shared" si="504"/>
        <v>0</v>
      </c>
      <c r="AZ188" s="57">
        <f t="shared" si="504"/>
        <v>0</v>
      </c>
      <c r="BA188" s="57">
        <f t="shared" si="504"/>
        <v>0</v>
      </c>
      <c r="BB188" s="57">
        <f t="shared" si="504"/>
        <v>0</v>
      </c>
      <c r="BC188" s="57">
        <f t="shared" si="504"/>
        <v>0</v>
      </c>
      <c r="BD188" s="57">
        <f t="shared" si="504"/>
        <v>0</v>
      </c>
      <c r="BE188" s="57">
        <f t="shared" si="504"/>
        <v>0</v>
      </c>
      <c r="BF188" s="57">
        <f t="shared" si="504"/>
        <v>0</v>
      </c>
      <c r="BG188" s="57">
        <f t="shared" si="504"/>
        <v>0</v>
      </c>
      <c r="BH188" s="57">
        <f t="shared" si="504"/>
        <v>0</v>
      </c>
      <c r="BI188" s="57">
        <f t="shared" si="504"/>
        <v>0</v>
      </c>
      <c r="BJ188" s="57">
        <f t="shared" si="504"/>
        <v>0</v>
      </c>
      <c r="BK188" s="57">
        <f t="shared" si="504"/>
        <v>0</v>
      </c>
      <c r="BL188" s="57">
        <f t="shared" si="504"/>
        <v>0</v>
      </c>
      <c r="BM188" s="57">
        <f t="shared" si="504"/>
        <v>0</v>
      </c>
      <c r="BN188" s="57">
        <f t="shared" si="504"/>
        <v>0</v>
      </c>
      <c r="BO188" s="57">
        <f t="shared" si="504"/>
        <v>0</v>
      </c>
      <c r="BP188" s="57">
        <f t="shared" si="504"/>
        <v>0</v>
      </c>
      <c r="BQ188" s="57">
        <f t="shared" si="504"/>
        <v>0</v>
      </c>
      <c r="BR188" s="57">
        <f t="shared" si="504"/>
        <v>0</v>
      </c>
    </row>
    <row r="189" spans="2:70" hidden="1" outlineLevel="1" x14ac:dyDescent="0.25">
      <c r="C189" s="147" t="s">
        <v>256</v>
      </c>
      <c r="K189" s="57">
        <f>IF(K195&lt;-1,IF(MOD(K$6-$D181,$D176)=0,1,0),0)</f>
        <v>0</v>
      </c>
      <c r="L189" s="57">
        <f t="shared" ref="L189:BR189" si="505">IF(L195&lt;-1,IF(MOD(L$6-$D181,$D176)=0,1,0),0)</f>
        <v>0</v>
      </c>
      <c r="M189" s="57">
        <f t="shared" si="505"/>
        <v>0</v>
      </c>
      <c r="N189" s="57">
        <f t="shared" si="505"/>
        <v>0</v>
      </c>
      <c r="O189" s="57">
        <f t="shared" si="505"/>
        <v>0</v>
      </c>
      <c r="P189" s="57">
        <f t="shared" si="505"/>
        <v>0</v>
      </c>
      <c r="Q189" s="57">
        <f t="shared" si="505"/>
        <v>0</v>
      </c>
      <c r="R189" s="57">
        <f t="shared" si="505"/>
        <v>0</v>
      </c>
      <c r="S189" s="57">
        <f t="shared" si="505"/>
        <v>0</v>
      </c>
      <c r="T189" s="57">
        <f t="shared" si="505"/>
        <v>0</v>
      </c>
      <c r="U189" s="57">
        <f t="shared" si="505"/>
        <v>0</v>
      </c>
      <c r="V189" s="57">
        <f t="shared" si="505"/>
        <v>0</v>
      </c>
      <c r="W189" s="57">
        <f t="shared" si="505"/>
        <v>0</v>
      </c>
      <c r="X189" s="57">
        <f t="shared" si="505"/>
        <v>0</v>
      </c>
      <c r="Y189" s="57">
        <f t="shared" si="505"/>
        <v>0</v>
      </c>
      <c r="Z189" s="57">
        <f t="shared" si="505"/>
        <v>0</v>
      </c>
      <c r="AA189" s="57">
        <f t="shared" si="505"/>
        <v>0</v>
      </c>
      <c r="AB189" s="57">
        <f t="shared" si="505"/>
        <v>0</v>
      </c>
      <c r="AC189" s="57">
        <f t="shared" si="505"/>
        <v>0</v>
      </c>
      <c r="AD189" s="57">
        <f t="shared" si="505"/>
        <v>0</v>
      </c>
      <c r="AE189" s="57">
        <f t="shared" si="505"/>
        <v>0</v>
      </c>
      <c r="AF189" s="57">
        <f t="shared" si="505"/>
        <v>0</v>
      </c>
      <c r="AG189" s="57">
        <f t="shared" si="505"/>
        <v>0</v>
      </c>
      <c r="AH189" s="57">
        <f t="shared" si="505"/>
        <v>0</v>
      </c>
      <c r="AI189" s="57">
        <f t="shared" si="505"/>
        <v>0</v>
      </c>
      <c r="AJ189" s="57">
        <f t="shared" si="505"/>
        <v>0</v>
      </c>
      <c r="AK189" s="57">
        <f t="shared" si="505"/>
        <v>0</v>
      </c>
      <c r="AL189" s="57">
        <f t="shared" si="505"/>
        <v>0</v>
      </c>
      <c r="AM189" s="57">
        <f t="shared" si="505"/>
        <v>0</v>
      </c>
      <c r="AN189" s="57">
        <f t="shared" si="505"/>
        <v>0</v>
      </c>
      <c r="AO189" s="57">
        <f t="shared" si="505"/>
        <v>0</v>
      </c>
      <c r="AP189" s="57">
        <f t="shared" si="505"/>
        <v>0</v>
      </c>
      <c r="AQ189" s="57">
        <f t="shared" si="505"/>
        <v>0</v>
      </c>
      <c r="AR189" s="57">
        <f t="shared" si="505"/>
        <v>0</v>
      </c>
      <c r="AS189" s="57">
        <f t="shared" si="505"/>
        <v>0</v>
      </c>
      <c r="AT189" s="57">
        <f t="shared" si="505"/>
        <v>0</v>
      </c>
      <c r="AU189" s="57">
        <f t="shared" si="505"/>
        <v>0</v>
      </c>
      <c r="AV189" s="57">
        <f t="shared" si="505"/>
        <v>0</v>
      </c>
      <c r="AW189" s="57">
        <f t="shared" si="505"/>
        <v>0</v>
      </c>
      <c r="AX189" s="57">
        <f t="shared" si="505"/>
        <v>0</v>
      </c>
      <c r="AY189" s="57">
        <f t="shared" si="505"/>
        <v>0</v>
      </c>
      <c r="AZ189" s="57">
        <f t="shared" si="505"/>
        <v>0</v>
      </c>
      <c r="BA189" s="57">
        <f t="shared" si="505"/>
        <v>0</v>
      </c>
      <c r="BB189" s="57">
        <f t="shared" si="505"/>
        <v>0</v>
      </c>
      <c r="BC189" s="57">
        <f t="shared" si="505"/>
        <v>0</v>
      </c>
      <c r="BD189" s="57">
        <f t="shared" si="505"/>
        <v>0</v>
      </c>
      <c r="BE189" s="57">
        <f t="shared" si="505"/>
        <v>0</v>
      </c>
      <c r="BF189" s="57">
        <f t="shared" si="505"/>
        <v>0</v>
      </c>
      <c r="BG189" s="57">
        <f t="shared" si="505"/>
        <v>0</v>
      </c>
      <c r="BH189" s="57">
        <f t="shared" si="505"/>
        <v>0</v>
      </c>
      <c r="BI189" s="57">
        <f t="shared" si="505"/>
        <v>0</v>
      </c>
      <c r="BJ189" s="57">
        <f t="shared" si="505"/>
        <v>0</v>
      </c>
      <c r="BK189" s="57">
        <f t="shared" si="505"/>
        <v>0</v>
      </c>
      <c r="BL189" s="57">
        <f t="shared" si="505"/>
        <v>0</v>
      </c>
      <c r="BM189" s="57">
        <f t="shared" si="505"/>
        <v>0</v>
      </c>
      <c r="BN189" s="57">
        <f t="shared" si="505"/>
        <v>0</v>
      </c>
      <c r="BO189" s="57">
        <f t="shared" si="505"/>
        <v>0</v>
      </c>
      <c r="BP189" s="57">
        <f t="shared" si="505"/>
        <v>0</v>
      </c>
      <c r="BQ189" s="57">
        <f t="shared" si="505"/>
        <v>0</v>
      </c>
      <c r="BR189" s="57">
        <f t="shared" si="505"/>
        <v>0</v>
      </c>
    </row>
    <row r="190" spans="2:70" hidden="1" outlineLevel="1" x14ac:dyDescent="0.25">
      <c r="C190" s="139" t="s">
        <v>260</v>
      </c>
      <c r="K190" s="57">
        <f>IF(K203&lt;-1,IF(MOD(K$6-$D181,$D177)=0,1,0),0)</f>
        <v>0</v>
      </c>
      <c r="L190" s="57">
        <f t="shared" ref="L190:BR190" si="506">IF(L203&lt;-1,IF(MOD(L$6-$D181,$D177)=0,1,0),0)</f>
        <v>0</v>
      </c>
      <c r="M190" s="57">
        <f t="shared" si="506"/>
        <v>0</v>
      </c>
      <c r="N190" s="57">
        <f t="shared" si="506"/>
        <v>0</v>
      </c>
      <c r="O190" s="57">
        <f t="shared" si="506"/>
        <v>0</v>
      </c>
      <c r="P190" s="57">
        <f t="shared" si="506"/>
        <v>0</v>
      </c>
      <c r="Q190" s="57">
        <f t="shared" si="506"/>
        <v>0</v>
      </c>
      <c r="R190" s="57">
        <f t="shared" si="506"/>
        <v>0</v>
      </c>
      <c r="S190" s="57">
        <f t="shared" si="506"/>
        <v>0</v>
      </c>
      <c r="T190" s="57">
        <f t="shared" si="506"/>
        <v>0</v>
      </c>
      <c r="U190" s="57">
        <f t="shared" si="506"/>
        <v>0</v>
      </c>
      <c r="V190" s="57">
        <f t="shared" si="506"/>
        <v>0</v>
      </c>
      <c r="W190" s="57">
        <f t="shared" si="506"/>
        <v>0</v>
      </c>
      <c r="X190" s="57">
        <f t="shared" si="506"/>
        <v>0</v>
      </c>
      <c r="Y190" s="57">
        <f t="shared" si="506"/>
        <v>0</v>
      </c>
      <c r="Z190" s="57">
        <f t="shared" si="506"/>
        <v>0</v>
      </c>
      <c r="AA190" s="57">
        <f t="shared" si="506"/>
        <v>0</v>
      </c>
      <c r="AB190" s="57">
        <f t="shared" si="506"/>
        <v>0</v>
      </c>
      <c r="AC190" s="57">
        <f t="shared" si="506"/>
        <v>0</v>
      </c>
      <c r="AD190" s="57">
        <f t="shared" si="506"/>
        <v>0</v>
      </c>
      <c r="AE190" s="57">
        <f t="shared" si="506"/>
        <v>0</v>
      </c>
      <c r="AF190" s="57">
        <f t="shared" si="506"/>
        <v>0</v>
      </c>
      <c r="AG190" s="57">
        <f t="shared" si="506"/>
        <v>0</v>
      </c>
      <c r="AH190" s="57">
        <f t="shared" si="506"/>
        <v>0</v>
      </c>
      <c r="AI190" s="57">
        <f t="shared" si="506"/>
        <v>0</v>
      </c>
      <c r="AJ190" s="57">
        <f t="shared" si="506"/>
        <v>0</v>
      </c>
      <c r="AK190" s="57">
        <f t="shared" si="506"/>
        <v>0</v>
      </c>
      <c r="AL190" s="57">
        <f t="shared" si="506"/>
        <v>0</v>
      </c>
      <c r="AM190" s="57">
        <f t="shared" si="506"/>
        <v>0</v>
      </c>
      <c r="AN190" s="57">
        <f t="shared" si="506"/>
        <v>0</v>
      </c>
      <c r="AO190" s="57">
        <f t="shared" si="506"/>
        <v>0</v>
      </c>
      <c r="AP190" s="57">
        <f t="shared" si="506"/>
        <v>0</v>
      </c>
      <c r="AQ190" s="57">
        <f t="shared" si="506"/>
        <v>0</v>
      </c>
      <c r="AR190" s="57">
        <f t="shared" si="506"/>
        <v>0</v>
      </c>
      <c r="AS190" s="57">
        <f t="shared" si="506"/>
        <v>0</v>
      </c>
      <c r="AT190" s="57">
        <f t="shared" si="506"/>
        <v>0</v>
      </c>
      <c r="AU190" s="57">
        <f t="shared" si="506"/>
        <v>0</v>
      </c>
      <c r="AV190" s="57">
        <f t="shared" si="506"/>
        <v>0</v>
      </c>
      <c r="AW190" s="57">
        <f t="shared" si="506"/>
        <v>0</v>
      </c>
      <c r="AX190" s="57">
        <f t="shared" si="506"/>
        <v>0</v>
      </c>
      <c r="AY190" s="57">
        <f t="shared" si="506"/>
        <v>0</v>
      </c>
      <c r="AZ190" s="57">
        <f t="shared" si="506"/>
        <v>0</v>
      </c>
      <c r="BA190" s="57">
        <f t="shared" si="506"/>
        <v>0</v>
      </c>
      <c r="BB190" s="57">
        <f t="shared" si="506"/>
        <v>0</v>
      </c>
      <c r="BC190" s="57">
        <f t="shared" si="506"/>
        <v>0</v>
      </c>
      <c r="BD190" s="57">
        <f t="shared" si="506"/>
        <v>0</v>
      </c>
      <c r="BE190" s="57">
        <f t="shared" si="506"/>
        <v>0</v>
      </c>
      <c r="BF190" s="57">
        <f t="shared" si="506"/>
        <v>0</v>
      </c>
      <c r="BG190" s="57">
        <f t="shared" si="506"/>
        <v>0</v>
      </c>
      <c r="BH190" s="57">
        <f t="shared" si="506"/>
        <v>0</v>
      </c>
      <c r="BI190" s="57">
        <f t="shared" si="506"/>
        <v>0</v>
      </c>
      <c r="BJ190" s="57">
        <f t="shared" si="506"/>
        <v>0</v>
      </c>
      <c r="BK190" s="57">
        <f t="shared" si="506"/>
        <v>0</v>
      </c>
      <c r="BL190" s="57">
        <f t="shared" si="506"/>
        <v>0</v>
      </c>
      <c r="BM190" s="57">
        <f t="shared" si="506"/>
        <v>0</v>
      </c>
      <c r="BN190" s="57">
        <f t="shared" si="506"/>
        <v>0</v>
      </c>
      <c r="BO190" s="57">
        <f t="shared" si="506"/>
        <v>0</v>
      </c>
      <c r="BP190" s="57">
        <f t="shared" si="506"/>
        <v>0</v>
      </c>
      <c r="BQ190" s="57">
        <f t="shared" si="506"/>
        <v>0</v>
      </c>
      <c r="BR190" s="57">
        <f t="shared" si="506"/>
        <v>0</v>
      </c>
    </row>
    <row r="191" spans="2:70" hidden="1" outlineLevel="1" x14ac:dyDescent="0.25"/>
    <row r="192" spans="2:70" hidden="1" outlineLevel="1" x14ac:dyDescent="0.25"/>
    <row r="193" spans="1:70" s="145" customFormat="1" ht="13.8" hidden="1" outlineLevel="1" x14ac:dyDescent="0.25">
      <c r="B193" s="145" t="str">
        <f>Header2</f>
        <v>6.2</v>
      </c>
      <c r="C193" s="145" t="s">
        <v>261</v>
      </c>
    </row>
    <row r="194" spans="1:70" s="147" customFormat="1" hidden="1" outlineLevel="1" x14ac:dyDescent="0.25">
      <c r="A194" s="211"/>
      <c r="F194" s="212"/>
    </row>
    <row r="195" spans="1:70" s="147" customFormat="1" hidden="1" outlineLevel="1" x14ac:dyDescent="0.25">
      <c r="A195" s="211"/>
      <c r="C195" s="147" t="s">
        <v>228</v>
      </c>
      <c r="D195" s="231" t="str">
        <f>unit</f>
        <v>£</v>
      </c>
      <c r="E195" s="147">
        <f>INDEX($K195:$BR195,0,MATCH(E$7,$K$7:$BR$7,0))</f>
        <v>0</v>
      </c>
      <c r="F195" s="147">
        <f t="shared" ref="F195:I195" si="507">INDEX($K195:$BR195,0,MATCH(F$7,$K$7:$BR$7,0))</f>
        <v>0</v>
      </c>
      <c r="G195" s="147">
        <f t="shared" si="507"/>
        <v>0</v>
      </c>
      <c r="H195" s="147">
        <f t="shared" si="507"/>
        <v>0</v>
      </c>
      <c r="I195" s="147">
        <f t="shared" si="507"/>
        <v>0</v>
      </c>
      <c r="K195" s="213">
        <v>0</v>
      </c>
      <c r="L195" s="223">
        <f t="shared" ref="L195:BR195" si="508">K198</f>
        <v>0</v>
      </c>
      <c r="M195" s="223">
        <f t="shared" si="508"/>
        <v>0</v>
      </c>
      <c r="N195" s="223">
        <f t="shared" si="508"/>
        <v>0</v>
      </c>
      <c r="O195" s="223">
        <f t="shared" si="508"/>
        <v>0</v>
      </c>
      <c r="P195" s="223">
        <f t="shared" si="508"/>
        <v>0</v>
      </c>
      <c r="Q195" s="223">
        <f t="shared" si="508"/>
        <v>0</v>
      </c>
      <c r="R195" s="223">
        <f t="shared" si="508"/>
        <v>0</v>
      </c>
      <c r="S195" s="223">
        <f t="shared" si="508"/>
        <v>0</v>
      </c>
      <c r="T195" s="223">
        <f t="shared" si="508"/>
        <v>0</v>
      </c>
      <c r="U195" s="223">
        <f t="shared" si="508"/>
        <v>0</v>
      </c>
      <c r="V195" s="223">
        <f t="shared" si="508"/>
        <v>0</v>
      </c>
      <c r="W195" s="223">
        <f t="shared" si="508"/>
        <v>0</v>
      </c>
      <c r="X195" s="223">
        <f t="shared" si="508"/>
        <v>0</v>
      </c>
      <c r="Y195" s="223">
        <f t="shared" si="508"/>
        <v>0</v>
      </c>
      <c r="Z195" s="223">
        <f t="shared" si="508"/>
        <v>0</v>
      </c>
      <c r="AA195" s="223">
        <f t="shared" si="508"/>
        <v>0</v>
      </c>
      <c r="AB195" s="223">
        <f t="shared" si="508"/>
        <v>0</v>
      </c>
      <c r="AC195" s="223">
        <f t="shared" si="508"/>
        <v>0</v>
      </c>
      <c r="AD195" s="223">
        <f t="shared" si="508"/>
        <v>0</v>
      </c>
      <c r="AE195" s="223">
        <f t="shared" si="508"/>
        <v>0</v>
      </c>
      <c r="AF195" s="223">
        <f t="shared" si="508"/>
        <v>0</v>
      </c>
      <c r="AG195" s="223">
        <f t="shared" si="508"/>
        <v>0</v>
      </c>
      <c r="AH195" s="223">
        <f t="shared" si="508"/>
        <v>0</v>
      </c>
      <c r="AI195" s="223">
        <f t="shared" si="508"/>
        <v>0</v>
      </c>
      <c r="AJ195" s="223">
        <f t="shared" si="508"/>
        <v>0</v>
      </c>
      <c r="AK195" s="223">
        <f t="shared" si="508"/>
        <v>0</v>
      </c>
      <c r="AL195" s="223">
        <f t="shared" si="508"/>
        <v>0</v>
      </c>
      <c r="AM195" s="223">
        <f t="shared" si="508"/>
        <v>0</v>
      </c>
      <c r="AN195" s="223">
        <f t="shared" si="508"/>
        <v>0</v>
      </c>
      <c r="AO195" s="223">
        <f t="shared" si="508"/>
        <v>0</v>
      </c>
      <c r="AP195" s="223">
        <f t="shared" si="508"/>
        <v>0</v>
      </c>
      <c r="AQ195" s="223">
        <f t="shared" si="508"/>
        <v>0</v>
      </c>
      <c r="AR195" s="223">
        <f t="shared" si="508"/>
        <v>0</v>
      </c>
      <c r="AS195" s="223">
        <f t="shared" si="508"/>
        <v>0</v>
      </c>
      <c r="AT195" s="223">
        <f t="shared" si="508"/>
        <v>0</v>
      </c>
      <c r="AU195" s="223">
        <f t="shared" si="508"/>
        <v>0</v>
      </c>
      <c r="AV195" s="223">
        <f t="shared" si="508"/>
        <v>0</v>
      </c>
      <c r="AW195" s="223">
        <f t="shared" si="508"/>
        <v>0</v>
      </c>
      <c r="AX195" s="223">
        <f t="shared" si="508"/>
        <v>0</v>
      </c>
      <c r="AY195" s="223">
        <f t="shared" si="508"/>
        <v>0</v>
      </c>
      <c r="AZ195" s="223">
        <f t="shared" si="508"/>
        <v>0</v>
      </c>
      <c r="BA195" s="223">
        <f t="shared" si="508"/>
        <v>0</v>
      </c>
      <c r="BB195" s="223">
        <f t="shared" si="508"/>
        <v>0</v>
      </c>
      <c r="BC195" s="223">
        <f t="shared" si="508"/>
        <v>0</v>
      </c>
      <c r="BD195" s="223">
        <f t="shared" si="508"/>
        <v>0</v>
      </c>
      <c r="BE195" s="223">
        <f t="shared" si="508"/>
        <v>0</v>
      </c>
      <c r="BF195" s="223">
        <f t="shared" si="508"/>
        <v>0</v>
      </c>
      <c r="BG195" s="223">
        <f t="shared" si="508"/>
        <v>0</v>
      </c>
      <c r="BH195" s="223">
        <f t="shared" si="508"/>
        <v>0</v>
      </c>
      <c r="BI195" s="223">
        <f t="shared" si="508"/>
        <v>0</v>
      </c>
      <c r="BJ195" s="223">
        <f t="shared" si="508"/>
        <v>0</v>
      </c>
      <c r="BK195" s="223">
        <f t="shared" si="508"/>
        <v>0</v>
      </c>
      <c r="BL195" s="223">
        <f t="shared" si="508"/>
        <v>0</v>
      </c>
      <c r="BM195" s="223">
        <f t="shared" si="508"/>
        <v>0</v>
      </c>
      <c r="BN195" s="223">
        <f t="shared" si="508"/>
        <v>0</v>
      </c>
      <c r="BO195" s="223">
        <f t="shared" si="508"/>
        <v>0</v>
      </c>
      <c r="BP195" s="223">
        <f t="shared" si="508"/>
        <v>0</v>
      </c>
      <c r="BQ195" s="223">
        <f t="shared" si="508"/>
        <v>0</v>
      </c>
      <c r="BR195" s="223">
        <f t="shared" si="508"/>
        <v>0</v>
      </c>
    </row>
    <row r="196" spans="1:70" s="147" customFormat="1" hidden="1" outlineLevel="1" x14ac:dyDescent="0.25">
      <c r="A196" s="211"/>
      <c r="C196" s="147" t="s">
        <v>249</v>
      </c>
      <c r="D196" s="231" t="str">
        <f>unit</f>
        <v>£</v>
      </c>
      <c r="E196" s="147">
        <f>SUMIF($K$5:$BR$5,E$5,$K196:$BR196)</f>
        <v>0</v>
      </c>
      <c r="F196" s="147">
        <f t="shared" ref="F196:I197" si="509">SUMIF($K$5:$BR$5,F$5,$K196:$BR196)</f>
        <v>0</v>
      </c>
      <c r="G196" s="147">
        <f t="shared" si="509"/>
        <v>0</v>
      </c>
      <c r="H196" s="147">
        <f t="shared" si="509"/>
        <v>0</v>
      </c>
      <c r="I196" s="147">
        <f t="shared" si="509"/>
        <v>0</v>
      </c>
      <c r="K196" s="147">
        <f>$D173*K188</f>
        <v>0</v>
      </c>
      <c r="L196" s="147">
        <f t="shared" ref="L196:BR196" si="510">$D173*L188</f>
        <v>0</v>
      </c>
      <c r="M196" s="147">
        <f t="shared" si="510"/>
        <v>0</v>
      </c>
      <c r="N196" s="147">
        <f t="shared" si="510"/>
        <v>0</v>
      </c>
      <c r="O196" s="147">
        <f t="shared" si="510"/>
        <v>0</v>
      </c>
      <c r="P196" s="147">
        <f t="shared" si="510"/>
        <v>0</v>
      </c>
      <c r="Q196" s="147">
        <f t="shared" si="510"/>
        <v>0</v>
      </c>
      <c r="R196" s="147">
        <f t="shared" si="510"/>
        <v>0</v>
      </c>
      <c r="S196" s="147">
        <f t="shared" si="510"/>
        <v>0</v>
      </c>
      <c r="T196" s="147">
        <f t="shared" si="510"/>
        <v>0</v>
      </c>
      <c r="U196" s="147">
        <f t="shared" si="510"/>
        <v>0</v>
      </c>
      <c r="V196" s="147">
        <f t="shared" si="510"/>
        <v>0</v>
      </c>
      <c r="W196" s="147">
        <f t="shared" si="510"/>
        <v>0</v>
      </c>
      <c r="X196" s="147">
        <f t="shared" si="510"/>
        <v>0</v>
      </c>
      <c r="Y196" s="147">
        <f t="shared" si="510"/>
        <v>0</v>
      </c>
      <c r="Z196" s="147">
        <f t="shared" si="510"/>
        <v>0</v>
      </c>
      <c r="AA196" s="147">
        <f t="shared" si="510"/>
        <v>0</v>
      </c>
      <c r="AB196" s="147">
        <f t="shared" si="510"/>
        <v>0</v>
      </c>
      <c r="AC196" s="147">
        <f t="shared" si="510"/>
        <v>0</v>
      </c>
      <c r="AD196" s="147">
        <f t="shared" si="510"/>
        <v>0</v>
      </c>
      <c r="AE196" s="147">
        <f t="shared" si="510"/>
        <v>0</v>
      </c>
      <c r="AF196" s="147">
        <f t="shared" si="510"/>
        <v>0</v>
      </c>
      <c r="AG196" s="147">
        <f t="shared" si="510"/>
        <v>0</v>
      </c>
      <c r="AH196" s="147">
        <f t="shared" si="510"/>
        <v>0</v>
      </c>
      <c r="AI196" s="147">
        <f t="shared" si="510"/>
        <v>0</v>
      </c>
      <c r="AJ196" s="147">
        <f t="shared" si="510"/>
        <v>0</v>
      </c>
      <c r="AK196" s="147">
        <f t="shared" si="510"/>
        <v>0</v>
      </c>
      <c r="AL196" s="147">
        <f t="shared" si="510"/>
        <v>0</v>
      </c>
      <c r="AM196" s="147">
        <f t="shared" si="510"/>
        <v>0</v>
      </c>
      <c r="AN196" s="147">
        <f t="shared" si="510"/>
        <v>0</v>
      </c>
      <c r="AO196" s="147">
        <f t="shared" si="510"/>
        <v>0</v>
      </c>
      <c r="AP196" s="147">
        <f t="shared" si="510"/>
        <v>0</v>
      </c>
      <c r="AQ196" s="147">
        <f t="shared" si="510"/>
        <v>0</v>
      </c>
      <c r="AR196" s="147">
        <f t="shared" si="510"/>
        <v>0</v>
      </c>
      <c r="AS196" s="147">
        <f t="shared" si="510"/>
        <v>0</v>
      </c>
      <c r="AT196" s="147">
        <f t="shared" si="510"/>
        <v>0</v>
      </c>
      <c r="AU196" s="147">
        <f t="shared" si="510"/>
        <v>0</v>
      </c>
      <c r="AV196" s="147">
        <f t="shared" si="510"/>
        <v>0</v>
      </c>
      <c r="AW196" s="147">
        <f t="shared" si="510"/>
        <v>0</v>
      </c>
      <c r="AX196" s="147">
        <f t="shared" si="510"/>
        <v>0</v>
      </c>
      <c r="AY196" s="147">
        <f t="shared" si="510"/>
        <v>0</v>
      </c>
      <c r="AZ196" s="147">
        <f t="shared" si="510"/>
        <v>0</v>
      </c>
      <c r="BA196" s="147">
        <f t="shared" si="510"/>
        <v>0</v>
      </c>
      <c r="BB196" s="147">
        <f t="shared" si="510"/>
        <v>0</v>
      </c>
      <c r="BC196" s="147">
        <f t="shared" si="510"/>
        <v>0</v>
      </c>
      <c r="BD196" s="147">
        <f t="shared" si="510"/>
        <v>0</v>
      </c>
      <c r="BE196" s="147">
        <f t="shared" si="510"/>
        <v>0</v>
      </c>
      <c r="BF196" s="147">
        <f t="shared" si="510"/>
        <v>0</v>
      </c>
      <c r="BG196" s="147">
        <f t="shared" si="510"/>
        <v>0</v>
      </c>
      <c r="BH196" s="147">
        <f t="shared" si="510"/>
        <v>0</v>
      </c>
      <c r="BI196" s="147">
        <f t="shared" si="510"/>
        <v>0</v>
      </c>
      <c r="BJ196" s="147">
        <f t="shared" si="510"/>
        <v>0</v>
      </c>
      <c r="BK196" s="147">
        <f t="shared" si="510"/>
        <v>0</v>
      </c>
      <c r="BL196" s="147">
        <f t="shared" si="510"/>
        <v>0</v>
      </c>
      <c r="BM196" s="147">
        <f t="shared" si="510"/>
        <v>0</v>
      </c>
      <c r="BN196" s="147">
        <f t="shared" si="510"/>
        <v>0</v>
      </c>
      <c r="BO196" s="147">
        <f t="shared" si="510"/>
        <v>0</v>
      </c>
      <c r="BP196" s="147">
        <f t="shared" si="510"/>
        <v>0</v>
      </c>
      <c r="BQ196" s="147">
        <f t="shared" si="510"/>
        <v>0</v>
      </c>
      <c r="BR196" s="147">
        <f t="shared" si="510"/>
        <v>0</v>
      </c>
    </row>
    <row r="197" spans="1:70" s="147" customFormat="1" hidden="1" outlineLevel="1" x14ac:dyDescent="0.25">
      <c r="A197" s="211"/>
      <c r="C197" s="147" t="s">
        <v>250</v>
      </c>
      <c r="D197" s="231" t="str">
        <f>unit</f>
        <v>£</v>
      </c>
      <c r="E197" s="147">
        <f>SUMIF($K$5:$BR$5,E$5,$K197:$BR197)</f>
        <v>0</v>
      </c>
      <c r="F197" s="147">
        <f t="shared" si="509"/>
        <v>0</v>
      </c>
      <c r="G197" s="147">
        <f t="shared" si="509"/>
        <v>0</v>
      </c>
      <c r="H197" s="147">
        <f t="shared" si="509"/>
        <v>0</v>
      </c>
      <c r="I197" s="147">
        <f t="shared" si="509"/>
        <v>0</v>
      </c>
      <c r="K197" s="147">
        <f>-K189*$D184</f>
        <v>0</v>
      </c>
      <c r="L197" s="147">
        <f t="shared" ref="L197:BR197" si="511">-L189*$D184</f>
        <v>0</v>
      </c>
      <c r="M197" s="147">
        <f t="shared" si="511"/>
        <v>0</v>
      </c>
      <c r="N197" s="147">
        <f t="shared" si="511"/>
        <v>0</v>
      </c>
      <c r="O197" s="147">
        <f t="shared" si="511"/>
        <v>0</v>
      </c>
      <c r="P197" s="147">
        <f t="shared" si="511"/>
        <v>0</v>
      </c>
      <c r="Q197" s="147">
        <f t="shared" si="511"/>
        <v>0</v>
      </c>
      <c r="R197" s="147">
        <f t="shared" si="511"/>
        <v>0</v>
      </c>
      <c r="S197" s="147">
        <f t="shared" si="511"/>
        <v>0</v>
      </c>
      <c r="T197" s="147">
        <f t="shared" si="511"/>
        <v>0</v>
      </c>
      <c r="U197" s="147">
        <f t="shared" si="511"/>
        <v>0</v>
      </c>
      <c r="V197" s="147">
        <f t="shared" si="511"/>
        <v>0</v>
      </c>
      <c r="W197" s="147">
        <f t="shared" si="511"/>
        <v>0</v>
      </c>
      <c r="X197" s="147">
        <f t="shared" si="511"/>
        <v>0</v>
      </c>
      <c r="Y197" s="147">
        <f t="shared" si="511"/>
        <v>0</v>
      </c>
      <c r="Z197" s="147">
        <f t="shared" si="511"/>
        <v>0</v>
      </c>
      <c r="AA197" s="147">
        <f t="shared" si="511"/>
        <v>0</v>
      </c>
      <c r="AB197" s="147">
        <f t="shared" si="511"/>
        <v>0</v>
      </c>
      <c r="AC197" s="147">
        <f t="shared" si="511"/>
        <v>0</v>
      </c>
      <c r="AD197" s="147">
        <f t="shared" si="511"/>
        <v>0</v>
      </c>
      <c r="AE197" s="147">
        <f t="shared" si="511"/>
        <v>0</v>
      </c>
      <c r="AF197" s="147">
        <f t="shared" si="511"/>
        <v>0</v>
      </c>
      <c r="AG197" s="147">
        <f t="shared" si="511"/>
        <v>0</v>
      </c>
      <c r="AH197" s="147">
        <f t="shared" si="511"/>
        <v>0</v>
      </c>
      <c r="AI197" s="147">
        <f t="shared" si="511"/>
        <v>0</v>
      </c>
      <c r="AJ197" s="147">
        <f t="shared" si="511"/>
        <v>0</v>
      </c>
      <c r="AK197" s="147">
        <f t="shared" si="511"/>
        <v>0</v>
      </c>
      <c r="AL197" s="147">
        <f t="shared" si="511"/>
        <v>0</v>
      </c>
      <c r="AM197" s="147">
        <f t="shared" si="511"/>
        <v>0</v>
      </c>
      <c r="AN197" s="147">
        <f t="shared" si="511"/>
        <v>0</v>
      </c>
      <c r="AO197" s="147">
        <f t="shared" si="511"/>
        <v>0</v>
      </c>
      <c r="AP197" s="147">
        <f t="shared" si="511"/>
        <v>0</v>
      </c>
      <c r="AQ197" s="147">
        <f t="shared" si="511"/>
        <v>0</v>
      </c>
      <c r="AR197" s="147">
        <f t="shared" si="511"/>
        <v>0</v>
      </c>
      <c r="AS197" s="147">
        <f t="shared" si="511"/>
        <v>0</v>
      </c>
      <c r="AT197" s="147">
        <f t="shared" si="511"/>
        <v>0</v>
      </c>
      <c r="AU197" s="147">
        <f t="shared" si="511"/>
        <v>0</v>
      </c>
      <c r="AV197" s="147">
        <f t="shared" si="511"/>
        <v>0</v>
      </c>
      <c r="AW197" s="147">
        <f t="shared" si="511"/>
        <v>0</v>
      </c>
      <c r="AX197" s="147">
        <f t="shared" si="511"/>
        <v>0</v>
      </c>
      <c r="AY197" s="147">
        <f t="shared" si="511"/>
        <v>0</v>
      </c>
      <c r="AZ197" s="147">
        <f t="shared" si="511"/>
        <v>0</v>
      </c>
      <c r="BA197" s="147">
        <f t="shared" si="511"/>
        <v>0</v>
      </c>
      <c r="BB197" s="147">
        <f t="shared" si="511"/>
        <v>0</v>
      </c>
      <c r="BC197" s="147">
        <f t="shared" si="511"/>
        <v>0</v>
      </c>
      <c r="BD197" s="147">
        <f t="shared" si="511"/>
        <v>0</v>
      </c>
      <c r="BE197" s="147">
        <f t="shared" si="511"/>
        <v>0</v>
      </c>
      <c r="BF197" s="147">
        <f t="shared" si="511"/>
        <v>0</v>
      </c>
      <c r="BG197" s="147">
        <f t="shared" si="511"/>
        <v>0</v>
      </c>
      <c r="BH197" s="147">
        <f t="shared" si="511"/>
        <v>0</v>
      </c>
      <c r="BI197" s="147">
        <f t="shared" si="511"/>
        <v>0</v>
      </c>
      <c r="BJ197" s="147">
        <f t="shared" si="511"/>
        <v>0</v>
      </c>
      <c r="BK197" s="147">
        <f t="shared" si="511"/>
        <v>0</v>
      </c>
      <c r="BL197" s="147">
        <f t="shared" si="511"/>
        <v>0</v>
      </c>
      <c r="BM197" s="147">
        <f t="shared" si="511"/>
        <v>0</v>
      </c>
      <c r="BN197" s="147">
        <f t="shared" si="511"/>
        <v>0</v>
      </c>
      <c r="BO197" s="147">
        <f t="shared" si="511"/>
        <v>0</v>
      </c>
      <c r="BP197" s="147">
        <f t="shared" si="511"/>
        <v>0</v>
      </c>
      <c r="BQ197" s="147">
        <f t="shared" si="511"/>
        <v>0</v>
      </c>
      <c r="BR197" s="147">
        <f t="shared" si="511"/>
        <v>0</v>
      </c>
    </row>
    <row r="198" spans="1:70" s="147" customFormat="1" hidden="1" outlineLevel="1" x14ac:dyDescent="0.25">
      <c r="A198" s="211"/>
      <c r="C198" s="147" t="s">
        <v>230</v>
      </c>
      <c r="D198" s="231" t="str">
        <f>unit</f>
        <v>£</v>
      </c>
      <c r="E198" s="230">
        <f>SUM(E195:E197)</f>
        <v>0</v>
      </c>
      <c r="F198" s="230">
        <f t="shared" ref="F198" si="512">SUM(F195:F197)</f>
        <v>0</v>
      </c>
      <c r="G198" s="230">
        <f t="shared" ref="G198" si="513">SUM(G195:G197)</f>
        <v>0</v>
      </c>
      <c r="H198" s="230">
        <f t="shared" ref="H198" si="514">SUM(H195:H197)</f>
        <v>0</v>
      </c>
      <c r="I198" s="230">
        <f t="shared" ref="I198" si="515">SUM(I195:I197)</f>
        <v>0</v>
      </c>
      <c r="J198" s="224"/>
      <c r="K198" s="214">
        <f t="shared" ref="K198:BR198" si="516">SUM(K195:K197)</f>
        <v>0</v>
      </c>
      <c r="L198" s="214">
        <f t="shared" si="516"/>
        <v>0</v>
      </c>
      <c r="M198" s="214">
        <f t="shared" si="516"/>
        <v>0</v>
      </c>
      <c r="N198" s="214">
        <f t="shared" si="516"/>
        <v>0</v>
      </c>
      <c r="O198" s="214">
        <f t="shared" si="516"/>
        <v>0</v>
      </c>
      <c r="P198" s="214">
        <f t="shared" si="516"/>
        <v>0</v>
      </c>
      <c r="Q198" s="214">
        <f t="shared" si="516"/>
        <v>0</v>
      </c>
      <c r="R198" s="214">
        <f t="shared" si="516"/>
        <v>0</v>
      </c>
      <c r="S198" s="214">
        <f t="shared" si="516"/>
        <v>0</v>
      </c>
      <c r="T198" s="214">
        <f t="shared" si="516"/>
        <v>0</v>
      </c>
      <c r="U198" s="214">
        <f t="shared" si="516"/>
        <v>0</v>
      </c>
      <c r="V198" s="214">
        <f t="shared" si="516"/>
        <v>0</v>
      </c>
      <c r="W198" s="214">
        <f t="shared" si="516"/>
        <v>0</v>
      </c>
      <c r="X198" s="214">
        <f t="shared" si="516"/>
        <v>0</v>
      </c>
      <c r="Y198" s="214">
        <f t="shared" si="516"/>
        <v>0</v>
      </c>
      <c r="Z198" s="214">
        <f t="shared" si="516"/>
        <v>0</v>
      </c>
      <c r="AA198" s="214">
        <f t="shared" si="516"/>
        <v>0</v>
      </c>
      <c r="AB198" s="214">
        <f t="shared" si="516"/>
        <v>0</v>
      </c>
      <c r="AC198" s="214">
        <f t="shared" si="516"/>
        <v>0</v>
      </c>
      <c r="AD198" s="214">
        <f t="shared" si="516"/>
        <v>0</v>
      </c>
      <c r="AE198" s="214">
        <f t="shared" si="516"/>
        <v>0</v>
      </c>
      <c r="AF198" s="214">
        <f t="shared" si="516"/>
        <v>0</v>
      </c>
      <c r="AG198" s="214">
        <f t="shared" si="516"/>
        <v>0</v>
      </c>
      <c r="AH198" s="214">
        <f t="shared" si="516"/>
        <v>0</v>
      </c>
      <c r="AI198" s="214">
        <f t="shared" si="516"/>
        <v>0</v>
      </c>
      <c r="AJ198" s="214">
        <f t="shared" si="516"/>
        <v>0</v>
      </c>
      <c r="AK198" s="214">
        <f t="shared" si="516"/>
        <v>0</v>
      </c>
      <c r="AL198" s="214">
        <f t="shared" si="516"/>
        <v>0</v>
      </c>
      <c r="AM198" s="214">
        <f t="shared" si="516"/>
        <v>0</v>
      </c>
      <c r="AN198" s="214">
        <f t="shared" si="516"/>
        <v>0</v>
      </c>
      <c r="AO198" s="214">
        <f t="shared" si="516"/>
        <v>0</v>
      </c>
      <c r="AP198" s="214">
        <f t="shared" si="516"/>
        <v>0</v>
      </c>
      <c r="AQ198" s="214">
        <f t="shared" si="516"/>
        <v>0</v>
      </c>
      <c r="AR198" s="214">
        <f t="shared" si="516"/>
        <v>0</v>
      </c>
      <c r="AS198" s="214">
        <f t="shared" si="516"/>
        <v>0</v>
      </c>
      <c r="AT198" s="214">
        <f t="shared" si="516"/>
        <v>0</v>
      </c>
      <c r="AU198" s="214">
        <f t="shared" si="516"/>
        <v>0</v>
      </c>
      <c r="AV198" s="214">
        <f t="shared" si="516"/>
        <v>0</v>
      </c>
      <c r="AW198" s="214">
        <f t="shared" si="516"/>
        <v>0</v>
      </c>
      <c r="AX198" s="214">
        <f t="shared" si="516"/>
        <v>0</v>
      </c>
      <c r="AY198" s="214">
        <f t="shared" si="516"/>
        <v>0</v>
      </c>
      <c r="AZ198" s="214">
        <f t="shared" si="516"/>
        <v>0</v>
      </c>
      <c r="BA198" s="214">
        <f t="shared" si="516"/>
        <v>0</v>
      </c>
      <c r="BB198" s="214">
        <f t="shared" si="516"/>
        <v>0</v>
      </c>
      <c r="BC198" s="214">
        <f t="shared" si="516"/>
        <v>0</v>
      </c>
      <c r="BD198" s="214">
        <f t="shared" si="516"/>
        <v>0</v>
      </c>
      <c r="BE198" s="214">
        <f t="shared" si="516"/>
        <v>0</v>
      </c>
      <c r="BF198" s="214">
        <f t="shared" si="516"/>
        <v>0</v>
      </c>
      <c r="BG198" s="214">
        <f t="shared" si="516"/>
        <v>0</v>
      </c>
      <c r="BH198" s="214">
        <f t="shared" si="516"/>
        <v>0</v>
      </c>
      <c r="BI198" s="214">
        <f t="shared" si="516"/>
        <v>0</v>
      </c>
      <c r="BJ198" s="214">
        <f t="shared" si="516"/>
        <v>0</v>
      </c>
      <c r="BK198" s="214">
        <f t="shared" si="516"/>
        <v>0</v>
      </c>
      <c r="BL198" s="214">
        <f t="shared" si="516"/>
        <v>0</v>
      </c>
      <c r="BM198" s="214">
        <f t="shared" si="516"/>
        <v>0</v>
      </c>
      <c r="BN198" s="214">
        <f t="shared" si="516"/>
        <v>0</v>
      </c>
      <c r="BO198" s="214">
        <f t="shared" si="516"/>
        <v>0</v>
      </c>
      <c r="BP198" s="214">
        <f t="shared" si="516"/>
        <v>0</v>
      </c>
      <c r="BQ198" s="214">
        <f t="shared" si="516"/>
        <v>0</v>
      </c>
      <c r="BR198" s="214">
        <f t="shared" si="516"/>
        <v>0</v>
      </c>
    </row>
    <row r="199" spans="1:70" hidden="1" outlineLevel="1" x14ac:dyDescent="0.25">
      <c r="E199" s="147"/>
      <c r="F199" s="212"/>
      <c r="G199" s="147"/>
      <c r="H199" s="147"/>
      <c r="I199" s="147"/>
    </row>
    <row r="200" spans="1:70" s="145" customFormat="1" ht="13.8" hidden="1" outlineLevel="1" x14ac:dyDescent="0.25">
      <c r="B200" s="145" t="str">
        <f>Header2</f>
        <v>6.3</v>
      </c>
      <c r="C200" s="145" t="s">
        <v>251</v>
      </c>
      <c r="E200" s="215"/>
      <c r="F200" s="215"/>
      <c r="G200" s="215"/>
      <c r="H200" s="215"/>
      <c r="I200" s="215"/>
    </row>
    <row r="201" spans="1:70" hidden="1" outlineLevel="1" x14ac:dyDescent="0.25">
      <c r="E201" s="147"/>
      <c r="F201" s="212"/>
      <c r="G201" s="147"/>
      <c r="H201" s="147"/>
      <c r="I201" s="147"/>
    </row>
    <row r="202" spans="1:70" hidden="1" outlineLevel="1" x14ac:dyDescent="0.25">
      <c r="C202" s="147" t="s">
        <v>228</v>
      </c>
      <c r="D202" s="231" t="str">
        <f>unit</f>
        <v>£</v>
      </c>
      <c r="E202" s="147">
        <f>INDEX($K202:$BR202,0,MATCH(E$7,$K$7:$BR$7,0))</f>
        <v>0</v>
      </c>
      <c r="F202" s="147">
        <f t="shared" ref="F202:I202" si="517">INDEX($K202:$BR202,0,MATCH(F$7,$K$7:$BR$7,0))</f>
        <v>0</v>
      </c>
      <c r="G202" s="147">
        <f t="shared" si="517"/>
        <v>0</v>
      </c>
      <c r="H202" s="147">
        <f t="shared" si="517"/>
        <v>0</v>
      </c>
      <c r="I202" s="147">
        <f t="shared" si="517"/>
        <v>0</v>
      </c>
      <c r="K202" s="57">
        <f>J205</f>
        <v>0</v>
      </c>
      <c r="L202" s="57">
        <f t="shared" ref="L202:BR202" si="518">K205</f>
        <v>0</v>
      </c>
      <c r="M202" s="57">
        <f t="shared" si="518"/>
        <v>0</v>
      </c>
      <c r="N202" s="57">
        <f t="shared" si="518"/>
        <v>0</v>
      </c>
      <c r="O202" s="57">
        <f t="shared" si="518"/>
        <v>0</v>
      </c>
      <c r="P202" s="57">
        <f t="shared" si="518"/>
        <v>0</v>
      </c>
      <c r="Q202" s="57">
        <f t="shared" si="518"/>
        <v>0</v>
      </c>
      <c r="R202" s="57">
        <f t="shared" si="518"/>
        <v>0</v>
      </c>
      <c r="S202" s="57">
        <f t="shared" si="518"/>
        <v>0</v>
      </c>
      <c r="T202" s="57">
        <f t="shared" si="518"/>
        <v>0</v>
      </c>
      <c r="U202" s="57">
        <f t="shared" si="518"/>
        <v>0</v>
      </c>
      <c r="V202" s="57">
        <f t="shared" si="518"/>
        <v>0</v>
      </c>
      <c r="W202" s="57">
        <f t="shared" si="518"/>
        <v>0</v>
      </c>
      <c r="X202" s="57">
        <f t="shared" si="518"/>
        <v>0</v>
      </c>
      <c r="Y202" s="57">
        <f t="shared" si="518"/>
        <v>0</v>
      </c>
      <c r="Z202" s="57">
        <f t="shared" si="518"/>
        <v>0</v>
      </c>
      <c r="AA202" s="57">
        <f t="shared" si="518"/>
        <v>0</v>
      </c>
      <c r="AB202" s="57">
        <f t="shared" si="518"/>
        <v>0</v>
      </c>
      <c r="AC202" s="57">
        <f t="shared" si="518"/>
        <v>0</v>
      </c>
      <c r="AD202" s="57">
        <f t="shared" si="518"/>
        <v>0</v>
      </c>
      <c r="AE202" s="57">
        <f t="shared" si="518"/>
        <v>0</v>
      </c>
      <c r="AF202" s="57">
        <f t="shared" si="518"/>
        <v>0</v>
      </c>
      <c r="AG202" s="57">
        <f t="shared" si="518"/>
        <v>0</v>
      </c>
      <c r="AH202" s="57">
        <f t="shared" si="518"/>
        <v>0</v>
      </c>
      <c r="AI202" s="57">
        <f t="shared" si="518"/>
        <v>0</v>
      </c>
      <c r="AJ202" s="57">
        <f t="shared" si="518"/>
        <v>0</v>
      </c>
      <c r="AK202" s="57">
        <f t="shared" si="518"/>
        <v>0</v>
      </c>
      <c r="AL202" s="57">
        <f t="shared" si="518"/>
        <v>0</v>
      </c>
      <c r="AM202" s="57">
        <f t="shared" si="518"/>
        <v>0</v>
      </c>
      <c r="AN202" s="57">
        <f t="shared" si="518"/>
        <v>0</v>
      </c>
      <c r="AO202" s="57">
        <f t="shared" si="518"/>
        <v>0</v>
      </c>
      <c r="AP202" s="57">
        <f t="shared" si="518"/>
        <v>0</v>
      </c>
      <c r="AQ202" s="57">
        <f t="shared" si="518"/>
        <v>0</v>
      </c>
      <c r="AR202" s="57">
        <f t="shared" si="518"/>
        <v>0</v>
      </c>
      <c r="AS202" s="57">
        <f t="shared" si="518"/>
        <v>0</v>
      </c>
      <c r="AT202" s="57">
        <f t="shared" si="518"/>
        <v>0</v>
      </c>
      <c r="AU202" s="57">
        <f t="shared" si="518"/>
        <v>0</v>
      </c>
      <c r="AV202" s="57">
        <f t="shared" si="518"/>
        <v>0</v>
      </c>
      <c r="AW202" s="57">
        <f t="shared" si="518"/>
        <v>0</v>
      </c>
      <c r="AX202" s="57">
        <f t="shared" si="518"/>
        <v>0</v>
      </c>
      <c r="AY202" s="57">
        <f t="shared" si="518"/>
        <v>0</v>
      </c>
      <c r="AZ202" s="57">
        <f t="shared" si="518"/>
        <v>0</v>
      </c>
      <c r="BA202" s="57">
        <f t="shared" si="518"/>
        <v>0</v>
      </c>
      <c r="BB202" s="57">
        <f t="shared" si="518"/>
        <v>0</v>
      </c>
      <c r="BC202" s="57">
        <f t="shared" si="518"/>
        <v>0</v>
      </c>
      <c r="BD202" s="57">
        <f t="shared" si="518"/>
        <v>0</v>
      </c>
      <c r="BE202" s="57">
        <f t="shared" si="518"/>
        <v>0</v>
      </c>
      <c r="BF202" s="57">
        <f t="shared" si="518"/>
        <v>0</v>
      </c>
      <c r="BG202" s="57">
        <f t="shared" si="518"/>
        <v>0</v>
      </c>
      <c r="BH202" s="57">
        <f t="shared" si="518"/>
        <v>0</v>
      </c>
      <c r="BI202" s="57">
        <f t="shared" si="518"/>
        <v>0</v>
      </c>
      <c r="BJ202" s="57">
        <f t="shared" si="518"/>
        <v>0</v>
      </c>
      <c r="BK202" s="57">
        <f t="shared" si="518"/>
        <v>0</v>
      </c>
      <c r="BL202" s="57">
        <f t="shared" si="518"/>
        <v>0</v>
      </c>
      <c r="BM202" s="57">
        <f t="shared" si="518"/>
        <v>0</v>
      </c>
      <c r="BN202" s="57">
        <f t="shared" si="518"/>
        <v>0</v>
      </c>
      <c r="BO202" s="57">
        <f t="shared" si="518"/>
        <v>0</v>
      </c>
      <c r="BP202" s="57">
        <f t="shared" si="518"/>
        <v>0</v>
      </c>
      <c r="BQ202" s="57">
        <f t="shared" si="518"/>
        <v>0</v>
      </c>
      <c r="BR202" s="57">
        <f t="shared" si="518"/>
        <v>0</v>
      </c>
    </row>
    <row r="203" spans="1:70" hidden="1" outlineLevel="1" x14ac:dyDescent="0.25">
      <c r="C203" s="147" t="s">
        <v>252</v>
      </c>
      <c r="D203" s="231" t="str">
        <f>unit</f>
        <v>£</v>
      </c>
      <c r="E203" s="147">
        <f>SUMIF($K$5:$BR$5,E$5,$K203:$BR203)</f>
        <v>0</v>
      </c>
      <c r="F203" s="147">
        <f t="shared" ref="F203:I204" si="519">SUMIF($K$5:$BR$5,F$5,$K203:$BR203)</f>
        <v>0</v>
      </c>
      <c r="G203" s="147">
        <f t="shared" si="519"/>
        <v>0</v>
      </c>
      <c r="H203" s="147">
        <f t="shared" si="519"/>
        <v>0</v>
      </c>
      <c r="I203" s="147">
        <f t="shared" si="519"/>
        <v>0</v>
      </c>
      <c r="K203" s="57">
        <f>K195*$D178/12</f>
        <v>0</v>
      </c>
      <c r="L203" s="57">
        <f t="shared" ref="L203:BR203" si="520">L195*$D178/12</f>
        <v>0</v>
      </c>
      <c r="M203" s="57">
        <f t="shared" si="520"/>
        <v>0</v>
      </c>
      <c r="N203" s="57">
        <f t="shared" si="520"/>
        <v>0</v>
      </c>
      <c r="O203" s="57">
        <f t="shared" si="520"/>
        <v>0</v>
      </c>
      <c r="P203" s="57">
        <f t="shared" si="520"/>
        <v>0</v>
      </c>
      <c r="Q203" s="57">
        <f t="shared" si="520"/>
        <v>0</v>
      </c>
      <c r="R203" s="57">
        <f t="shared" si="520"/>
        <v>0</v>
      </c>
      <c r="S203" s="57">
        <f t="shared" si="520"/>
        <v>0</v>
      </c>
      <c r="T203" s="57">
        <f t="shared" si="520"/>
        <v>0</v>
      </c>
      <c r="U203" s="57">
        <f t="shared" si="520"/>
        <v>0</v>
      </c>
      <c r="V203" s="57">
        <f t="shared" si="520"/>
        <v>0</v>
      </c>
      <c r="W203" s="57">
        <f t="shared" si="520"/>
        <v>0</v>
      </c>
      <c r="X203" s="57">
        <f t="shared" si="520"/>
        <v>0</v>
      </c>
      <c r="Y203" s="57">
        <f t="shared" si="520"/>
        <v>0</v>
      </c>
      <c r="Z203" s="57">
        <f t="shared" si="520"/>
        <v>0</v>
      </c>
      <c r="AA203" s="57">
        <f t="shared" si="520"/>
        <v>0</v>
      </c>
      <c r="AB203" s="57">
        <f t="shared" si="520"/>
        <v>0</v>
      </c>
      <c r="AC203" s="57">
        <f t="shared" si="520"/>
        <v>0</v>
      </c>
      <c r="AD203" s="57">
        <f t="shared" si="520"/>
        <v>0</v>
      </c>
      <c r="AE203" s="57">
        <f t="shared" si="520"/>
        <v>0</v>
      </c>
      <c r="AF203" s="57">
        <f t="shared" si="520"/>
        <v>0</v>
      </c>
      <c r="AG203" s="57">
        <f t="shared" si="520"/>
        <v>0</v>
      </c>
      <c r="AH203" s="57">
        <f t="shared" si="520"/>
        <v>0</v>
      </c>
      <c r="AI203" s="57">
        <f t="shared" si="520"/>
        <v>0</v>
      </c>
      <c r="AJ203" s="57">
        <f t="shared" si="520"/>
        <v>0</v>
      </c>
      <c r="AK203" s="57">
        <f t="shared" si="520"/>
        <v>0</v>
      </c>
      <c r="AL203" s="57">
        <f t="shared" si="520"/>
        <v>0</v>
      </c>
      <c r="AM203" s="57">
        <f t="shared" si="520"/>
        <v>0</v>
      </c>
      <c r="AN203" s="57">
        <f t="shared" si="520"/>
        <v>0</v>
      </c>
      <c r="AO203" s="57">
        <f t="shared" si="520"/>
        <v>0</v>
      </c>
      <c r="AP203" s="57">
        <f t="shared" si="520"/>
        <v>0</v>
      </c>
      <c r="AQ203" s="57">
        <f t="shared" si="520"/>
        <v>0</v>
      </c>
      <c r="AR203" s="57">
        <f t="shared" si="520"/>
        <v>0</v>
      </c>
      <c r="AS203" s="57">
        <f t="shared" si="520"/>
        <v>0</v>
      </c>
      <c r="AT203" s="57">
        <f t="shared" si="520"/>
        <v>0</v>
      </c>
      <c r="AU203" s="57">
        <f t="shared" si="520"/>
        <v>0</v>
      </c>
      <c r="AV203" s="57">
        <f t="shared" si="520"/>
        <v>0</v>
      </c>
      <c r="AW203" s="57">
        <f t="shared" si="520"/>
        <v>0</v>
      </c>
      <c r="AX203" s="57">
        <f t="shared" si="520"/>
        <v>0</v>
      </c>
      <c r="AY203" s="57">
        <f t="shared" si="520"/>
        <v>0</v>
      </c>
      <c r="AZ203" s="57">
        <f t="shared" si="520"/>
        <v>0</v>
      </c>
      <c r="BA203" s="57">
        <f t="shared" si="520"/>
        <v>0</v>
      </c>
      <c r="BB203" s="57">
        <f t="shared" si="520"/>
        <v>0</v>
      </c>
      <c r="BC203" s="57">
        <f t="shared" si="520"/>
        <v>0</v>
      </c>
      <c r="BD203" s="57">
        <f t="shared" si="520"/>
        <v>0</v>
      </c>
      <c r="BE203" s="57">
        <f t="shared" si="520"/>
        <v>0</v>
      </c>
      <c r="BF203" s="57">
        <f t="shared" si="520"/>
        <v>0</v>
      </c>
      <c r="BG203" s="57">
        <f t="shared" si="520"/>
        <v>0</v>
      </c>
      <c r="BH203" s="57">
        <f t="shared" si="520"/>
        <v>0</v>
      </c>
      <c r="BI203" s="57">
        <f t="shared" si="520"/>
        <v>0</v>
      </c>
      <c r="BJ203" s="57">
        <f t="shared" si="520"/>
        <v>0</v>
      </c>
      <c r="BK203" s="57">
        <f t="shared" si="520"/>
        <v>0</v>
      </c>
      <c r="BL203" s="57">
        <f t="shared" si="520"/>
        <v>0</v>
      </c>
      <c r="BM203" s="57">
        <f t="shared" si="520"/>
        <v>0</v>
      </c>
      <c r="BN203" s="57">
        <f t="shared" si="520"/>
        <v>0</v>
      </c>
      <c r="BO203" s="57">
        <f t="shared" si="520"/>
        <v>0</v>
      </c>
      <c r="BP203" s="57">
        <f t="shared" si="520"/>
        <v>0</v>
      </c>
      <c r="BQ203" s="57">
        <f t="shared" si="520"/>
        <v>0</v>
      </c>
      <c r="BR203" s="57">
        <f t="shared" si="520"/>
        <v>0</v>
      </c>
    </row>
    <row r="204" spans="1:70" hidden="1" outlineLevel="1" x14ac:dyDescent="0.25">
      <c r="C204" s="147" t="s">
        <v>215</v>
      </c>
      <c r="D204" s="231" t="str">
        <f>unit</f>
        <v>£</v>
      </c>
      <c r="E204" s="147">
        <f>SUMIF($K$5:$BR$5,E$5,$K204:$BR204)</f>
        <v>0</v>
      </c>
      <c r="F204" s="147">
        <f t="shared" si="519"/>
        <v>0</v>
      </c>
      <c r="G204" s="147">
        <f t="shared" si="519"/>
        <v>0</v>
      </c>
      <c r="H204" s="147">
        <f t="shared" si="519"/>
        <v>0</v>
      </c>
      <c r="I204" s="147">
        <f t="shared" si="519"/>
        <v>0</v>
      </c>
      <c r="K204" s="57">
        <f>-SUM(K202:K203)*K190</f>
        <v>0</v>
      </c>
      <c r="L204" s="57">
        <f t="shared" ref="L204" si="521">-SUM(L202:L203)*L190</f>
        <v>0</v>
      </c>
      <c r="M204" s="57">
        <f t="shared" ref="M204" si="522">-SUM(M202:M203)*M190</f>
        <v>0</v>
      </c>
      <c r="N204" s="57">
        <f t="shared" ref="N204" si="523">-SUM(N202:N203)*N190</f>
        <v>0</v>
      </c>
      <c r="O204" s="57">
        <f t="shared" ref="O204" si="524">-SUM(O202:O203)*O190</f>
        <v>0</v>
      </c>
      <c r="P204" s="57">
        <f t="shared" ref="P204" si="525">-SUM(P202:P203)*P190</f>
        <v>0</v>
      </c>
      <c r="Q204" s="57">
        <f t="shared" ref="Q204" si="526">-SUM(Q202:Q203)*Q190</f>
        <v>0</v>
      </c>
      <c r="R204" s="57">
        <f t="shared" ref="R204" si="527">-SUM(R202:R203)*R190</f>
        <v>0</v>
      </c>
      <c r="S204" s="57">
        <f t="shared" ref="S204" si="528">-SUM(S202:S203)*S190</f>
        <v>0</v>
      </c>
      <c r="T204" s="57">
        <f t="shared" ref="T204" si="529">-SUM(T202:T203)*T190</f>
        <v>0</v>
      </c>
      <c r="U204" s="57">
        <f t="shared" ref="U204" si="530">-SUM(U202:U203)*U190</f>
        <v>0</v>
      </c>
      <c r="V204" s="57">
        <f t="shared" ref="V204" si="531">-SUM(V202:V203)*V190</f>
        <v>0</v>
      </c>
      <c r="W204" s="57">
        <f t="shared" ref="W204" si="532">-SUM(W202:W203)*W190</f>
        <v>0</v>
      </c>
      <c r="X204" s="57">
        <f t="shared" ref="X204" si="533">-SUM(X202:X203)*X190</f>
        <v>0</v>
      </c>
      <c r="Y204" s="57">
        <f t="shared" ref="Y204" si="534">-SUM(Y202:Y203)*Y190</f>
        <v>0</v>
      </c>
      <c r="Z204" s="57">
        <f t="shared" ref="Z204" si="535">-SUM(Z202:Z203)*Z190</f>
        <v>0</v>
      </c>
      <c r="AA204" s="57">
        <f t="shared" ref="AA204" si="536">-SUM(AA202:AA203)*AA190</f>
        <v>0</v>
      </c>
      <c r="AB204" s="57">
        <f t="shared" ref="AB204" si="537">-SUM(AB202:AB203)*AB190</f>
        <v>0</v>
      </c>
      <c r="AC204" s="57">
        <f t="shared" ref="AC204" si="538">-SUM(AC202:AC203)*AC190</f>
        <v>0</v>
      </c>
      <c r="AD204" s="57">
        <f t="shared" ref="AD204" si="539">-SUM(AD202:AD203)*AD190</f>
        <v>0</v>
      </c>
      <c r="AE204" s="57">
        <f t="shared" ref="AE204" si="540">-SUM(AE202:AE203)*AE190</f>
        <v>0</v>
      </c>
      <c r="AF204" s="57">
        <f t="shared" ref="AF204" si="541">-SUM(AF202:AF203)*AF190</f>
        <v>0</v>
      </c>
      <c r="AG204" s="57">
        <f t="shared" ref="AG204" si="542">-SUM(AG202:AG203)*AG190</f>
        <v>0</v>
      </c>
      <c r="AH204" s="57">
        <f t="shared" ref="AH204" si="543">-SUM(AH202:AH203)*AH190</f>
        <v>0</v>
      </c>
      <c r="AI204" s="57">
        <f t="shared" ref="AI204" si="544">-SUM(AI202:AI203)*AI190</f>
        <v>0</v>
      </c>
      <c r="AJ204" s="57">
        <f t="shared" ref="AJ204" si="545">-SUM(AJ202:AJ203)*AJ190</f>
        <v>0</v>
      </c>
      <c r="AK204" s="57">
        <f t="shared" ref="AK204" si="546">-SUM(AK202:AK203)*AK190</f>
        <v>0</v>
      </c>
      <c r="AL204" s="57">
        <f t="shared" ref="AL204" si="547">-SUM(AL202:AL203)*AL190</f>
        <v>0</v>
      </c>
      <c r="AM204" s="57">
        <f t="shared" ref="AM204" si="548">-SUM(AM202:AM203)*AM190</f>
        <v>0</v>
      </c>
      <c r="AN204" s="57">
        <f t="shared" ref="AN204" si="549">-SUM(AN202:AN203)*AN190</f>
        <v>0</v>
      </c>
      <c r="AO204" s="57">
        <f t="shared" ref="AO204" si="550">-SUM(AO202:AO203)*AO190</f>
        <v>0</v>
      </c>
      <c r="AP204" s="57">
        <f t="shared" ref="AP204" si="551">-SUM(AP202:AP203)*AP190</f>
        <v>0</v>
      </c>
      <c r="AQ204" s="57">
        <f t="shared" ref="AQ204" si="552">-SUM(AQ202:AQ203)*AQ190</f>
        <v>0</v>
      </c>
      <c r="AR204" s="57">
        <f t="shared" ref="AR204" si="553">-SUM(AR202:AR203)*AR190</f>
        <v>0</v>
      </c>
      <c r="AS204" s="57">
        <f t="shared" ref="AS204" si="554">-SUM(AS202:AS203)*AS190</f>
        <v>0</v>
      </c>
      <c r="AT204" s="57">
        <f t="shared" ref="AT204" si="555">-SUM(AT202:AT203)*AT190</f>
        <v>0</v>
      </c>
      <c r="AU204" s="57">
        <f t="shared" ref="AU204" si="556">-SUM(AU202:AU203)*AU190</f>
        <v>0</v>
      </c>
      <c r="AV204" s="57">
        <f t="shared" ref="AV204" si="557">-SUM(AV202:AV203)*AV190</f>
        <v>0</v>
      </c>
      <c r="AW204" s="57">
        <f t="shared" ref="AW204" si="558">-SUM(AW202:AW203)*AW190</f>
        <v>0</v>
      </c>
      <c r="AX204" s="57">
        <f t="shared" ref="AX204" si="559">-SUM(AX202:AX203)*AX190</f>
        <v>0</v>
      </c>
      <c r="AY204" s="57">
        <f t="shared" ref="AY204" si="560">-SUM(AY202:AY203)*AY190</f>
        <v>0</v>
      </c>
      <c r="AZ204" s="57">
        <f t="shared" ref="AZ204" si="561">-SUM(AZ202:AZ203)*AZ190</f>
        <v>0</v>
      </c>
      <c r="BA204" s="57">
        <f t="shared" ref="BA204" si="562">-SUM(BA202:BA203)*BA190</f>
        <v>0</v>
      </c>
      <c r="BB204" s="57">
        <f t="shared" ref="BB204" si="563">-SUM(BB202:BB203)*BB190</f>
        <v>0</v>
      </c>
      <c r="BC204" s="57">
        <f t="shared" ref="BC204" si="564">-SUM(BC202:BC203)*BC190</f>
        <v>0</v>
      </c>
      <c r="BD204" s="57">
        <f t="shared" ref="BD204" si="565">-SUM(BD202:BD203)*BD190</f>
        <v>0</v>
      </c>
      <c r="BE204" s="57">
        <f t="shared" ref="BE204" si="566">-SUM(BE202:BE203)*BE190</f>
        <v>0</v>
      </c>
      <c r="BF204" s="57">
        <f t="shared" ref="BF204" si="567">-SUM(BF202:BF203)*BF190</f>
        <v>0</v>
      </c>
      <c r="BG204" s="57">
        <f t="shared" ref="BG204" si="568">-SUM(BG202:BG203)*BG190</f>
        <v>0</v>
      </c>
      <c r="BH204" s="57">
        <f t="shared" ref="BH204" si="569">-SUM(BH202:BH203)*BH190</f>
        <v>0</v>
      </c>
      <c r="BI204" s="57">
        <f t="shared" ref="BI204" si="570">-SUM(BI202:BI203)*BI190</f>
        <v>0</v>
      </c>
      <c r="BJ204" s="57">
        <f t="shared" ref="BJ204" si="571">-SUM(BJ202:BJ203)*BJ190</f>
        <v>0</v>
      </c>
      <c r="BK204" s="57">
        <f t="shared" ref="BK204" si="572">-SUM(BK202:BK203)*BK190</f>
        <v>0</v>
      </c>
      <c r="BL204" s="57">
        <f t="shared" ref="BL204" si="573">-SUM(BL202:BL203)*BL190</f>
        <v>0</v>
      </c>
      <c r="BM204" s="57">
        <f t="shared" ref="BM204" si="574">-SUM(BM202:BM203)*BM190</f>
        <v>0</v>
      </c>
      <c r="BN204" s="57">
        <f t="shared" ref="BN204" si="575">-SUM(BN202:BN203)*BN190</f>
        <v>0</v>
      </c>
      <c r="BO204" s="57">
        <f t="shared" ref="BO204" si="576">-SUM(BO202:BO203)*BO190</f>
        <v>0</v>
      </c>
      <c r="BP204" s="57">
        <f t="shared" ref="BP204" si="577">-SUM(BP202:BP203)*BP190</f>
        <v>0</v>
      </c>
      <c r="BQ204" s="57">
        <f t="shared" ref="BQ204" si="578">-SUM(BQ202:BQ203)*BQ190</f>
        <v>0</v>
      </c>
      <c r="BR204" s="57">
        <f t="shared" ref="BR204" si="579">-SUM(BR202:BR203)*BR190</f>
        <v>0</v>
      </c>
    </row>
    <row r="205" spans="1:70" hidden="1" outlineLevel="1" x14ac:dyDescent="0.25">
      <c r="C205" s="147" t="s">
        <v>230</v>
      </c>
      <c r="D205" s="231" t="str">
        <f>unit</f>
        <v>£</v>
      </c>
      <c r="E205" s="230">
        <f>SUM(E202:E204)</f>
        <v>0</v>
      </c>
      <c r="F205" s="230">
        <f t="shared" ref="F205" si="580">SUM(F202:F204)</f>
        <v>0</v>
      </c>
      <c r="G205" s="230">
        <f t="shared" ref="G205" si="581">SUM(G202:G204)</f>
        <v>0</v>
      </c>
      <c r="H205" s="230">
        <f t="shared" ref="H205" si="582">SUM(H202:H204)</f>
        <v>0</v>
      </c>
      <c r="I205" s="230">
        <f t="shared" ref="I205" si="583">SUM(I202:I204)</f>
        <v>0</v>
      </c>
      <c r="J205" s="156"/>
      <c r="K205" s="59">
        <f>SUM(K202:K204)</f>
        <v>0</v>
      </c>
      <c r="L205" s="59">
        <f t="shared" ref="L205" si="584">SUM(L202:L204)</f>
        <v>0</v>
      </c>
      <c r="M205" s="59">
        <f t="shared" ref="M205" si="585">SUM(M202:M204)</f>
        <v>0</v>
      </c>
      <c r="N205" s="59">
        <f t="shared" ref="N205" si="586">SUM(N202:N204)</f>
        <v>0</v>
      </c>
      <c r="O205" s="59">
        <f t="shared" ref="O205" si="587">SUM(O202:O204)</f>
        <v>0</v>
      </c>
      <c r="P205" s="59">
        <f t="shared" ref="P205" si="588">SUM(P202:P204)</f>
        <v>0</v>
      </c>
      <c r="Q205" s="59">
        <f t="shared" ref="Q205" si="589">SUM(Q202:Q204)</f>
        <v>0</v>
      </c>
      <c r="R205" s="59">
        <f t="shared" ref="R205" si="590">SUM(R202:R204)</f>
        <v>0</v>
      </c>
      <c r="S205" s="59">
        <f t="shared" ref="S205" si="591">SUM(S202:S204)</f>
        <v>0</v>
      </c>
      <c r="T205" s="59">
        <f t="shared" ref="T205" si="592">SUM(T202:T204)</f>
        <v>0</v>
      </c>
      <c r="U205" s="59">
        <f t="shared" ref="U205" si="593">SUM(U202:U204)</f>
        <v>0</v>
      </c>
      <c r="V205" s="59">
        <f t="shared" ref="V205" si="594">SUM(V202:V204)</f>
        <v>0</v>
      </c>
      <c r="W205" s="59">
        <f t="shared" ref="W205" si="595">SUM(W202:W204)</f>
        <v>0</v>
      </c>
      <c r="X205" s="59">
        <f t="shared" ref="X205" si="596">SUM(X202:X204)</f>
        <v>0</v>
      </c>
      <c r="Y205" s="59">
        <f t="shared" ref="Y205" si="597">SUM(Y202:Y204)</f>
        <v>0</v>
      </c>
      <c r="Z205" s="59">
        <f t="shared" ref="Z205" si="598">SUM(Z202:Z204)</f>
        <v>0</v>
      </c>
      <c r="AA205" s="59">
        <f t="shared" ref="AA205" si="599">SUM(AA202:AA204)</f>
        <v>0</v>
      </c>
      <c r="AB205" s="59">
        <f t="shared" ref="AB205" si="600">SUM(AB202:AB204)</f>
        <v>0</v>
      </c>
      <c r="AC205" s="59">
        <f t="shared" ref="AC205" si="601">SUM(AC202:AC204)</f>
        <v>0</v>
      </c>
      <c r="AD205" s="59">
        <f t="shared" ref="AD205" si="602">SUM(AD202:AD204)</f>
        <v>0</v>
      </c>
      <c r="AE205" s="59">
        <f t="shared" ref="AE205" si="603">SUM(AE202:AE204)</f>
        <v>0</v>
      </c>
      <c r="AF205" s="59">
        <f t="shared" ref="AF205" si="604">SUM(AF202:AF204)</f>
        <v>0</v>
      </c>
      <c r="AG205" s="59">
        <f t="shared" ref="AG205" si="605">SUM(AG202:AG204)</f>
        <v>0</v>
      </c>
      <c r="AH205" s="59">
        <f t="shared" ref="AH205" si="606">SUM(AH202:AH204)</f>
        <v>0</v>
      </c>
      <c r="AI205" s="59">
        <f t="shared" ref="AI205" si="607">SUM(AI202:AI204)</f>
        <v>0</v>
      </c>
      <c r="AJ205" s="59">
        <f t="shared" ref="AJ205" si="608">SUM(AJ202:AJ204)</f>
        <v>0</v>
      </c>
      <c r="AK205" s="59">
        <f t="shared" ref="AK205" si="609">SUM(AK202:AK204)</f>
        <v>0</v>
      </c>
      <c r="AL205" s="59">
        <f t="shared" ref="AL205" si="610">SUM(AL202:AL204)</f>
        <v>0</v>
      </c>
      <c r="AM205" s="59">
        <f t="shared" ref="AM205" si="611">SUM(AM202:AM204)</f>
        <v>0</v>
      </c>
      <c r="AN205" s="59">
        <f t="shared" ref="AN205" si="612">SUM(AN202:AN204)</f>
        <v>0</v>
      </c>
      <c r="AO205" s="59">
        <f t="shared" ref="AO205" si="613">SUM(AO202:AO204)</f>
        <v>0</v>
      </c>
      <c r="AP205" s="59">
        <f t="shared" ref="AP205" si="614">SUM(AP202:AP204)</f>
        <v>0</v>
      </c>
      <c r="AQ205" s="59">
        <f t="shared" ref="AQ205" si="615">SUM(AQ202:AQ204)</f>
        <v>0</v>
      </c>
      <c r="AR205" s="59">
        <f t="shared" ref="AR205" si="616">SUM(AR202:AR204)</f>
        <v>0</v>
      </c>
      <c r="AS205" s="59">
        <f t="shared" ref="AS205" si="617">SUM(AS202:AS204)</f>
        <v>0</v>
      </c>
      <c r="AT205" s="59">
        <f t="shared" ref="AT205" si="618">SUM(AT202:AT204)</f>
        <v>0</v>
      </c>
      <c r="AU205" s="59">
        <f t="shared" ref="AU205" si="619">SUM(AU202:AU204)</f>
        <v>0</v>
      </c>
      <c r="AV205" s="59">
        <f t="shared" ref="AV205" si="620">SUM(AV202:AV204)</f>
        <v>0</v>
      </c>
      <c r="AW205" s="59">
        <f t="shared" ref="AW205" si="621">SUM(AW202:AW204)</f>
        <v>0</v>
      </c>
      <c r="AX205" s="59">
        <f t="shared" ref="AX205" si="622">SUM(AX202:AX204)</f>
        <v>0</v>
      </c>
      <c r="AY205" s="59">
        <f t="shared" ref="AY205" si="623">SUM(AY202:AY204)</f>
        <v>0</v>
      </c>
      <c r="AZ205" s="59">
        <f t="shared" ref="AZ205" si="624">SUM(AZ202:AZ204)</f>
        <v>0</v>
      </c>
      <c r="BA205" s="59">
        <f t="shared" ref="BA205" si="625">SUM(BA202:BA204)</f>
        <v>0</v>
      </c>
      <c r="BB205" s="59">
        <f t="shared" ref="BB205" si="626">SUM(BB202:BB204)</f>
        <v>0</v>
      </c>
      <c r="BC205" s="59">
        <f t="shared" ref="BC205" si="627">SUM(BC202:BC204)</f>
        <v>0</v>
      </c>
      <c r="BD205" s="59">
        <f t="shared" ref="BD205" si="628">SUM(BD202:BD204)</f>
        <v>0</v>
      </c>
      <c r="BE205" s="59">
        <f t="shared" ref="BE205" si="629">SUM(BE202:BE204)</f>
        <v>0</v>
      </c>
      <c r="BF205" s="59">
        <f t="shared" ref="BF205" si="630">SUM(BF202:BF204)</f>
        <v>0</v>
      </c>
      <c r="BG205" s="59">
        <f t="shared" ref="BG205" si="631">SUM(BG202:BG204)</f>
        <v>0</v>
      </c>
      <c r="BH205" s="59">
        <f t="shared" ref="BH205" si="632">SUM(BH202:BH204)</f>
        <v>0</v>
      </c>
      <c r="BI205" s="59">
        <f t="shared" ref="BI205" si="633">SUM(BI202:BI204)</f>
        <v>0</v>
      </c>
      <c r="BJ205" s="59">
        <f t="shared" ref="BJ205" si="634">SUM(BJ202:BJ204)</f>
        <v>0</v>
      </c>
      <c r="BK205" s="59">
        <f t="shared" ref="BK205" si="635">SUM(BK202:BK204)</f>
        <v>0</v>
      </c>
      <c r="BL205" s="59">
        <f t="shared" ref="BL205" si="636">SUM(BL202:BL204)</f>
        <v>0</v>
      </c>
      <c r="BM205" s="59">
        <f t="shared" ref="BM205" si="637">SUM(BM202:BM204)</f>
        <v>0</v>
      </c>
      <c r="BN205" s="59">
        <f t="shared" ref="BN205" si="638">SUM(BN202:BN204)</f>
        <v>0</v>
      </c>
      <c r="BO205" s="59">
        <f t="shared" ref="BO205" si="639">SUM(BO202:BO204)</f>
        <v>0</v>
      </c>
      <c r="BP205" s="59">
        <f t="shared" ref="BP205" si="640">SUM(BP202:BP204)</f>
        <v>0</v>
      </c>
      <c r="BQ205" s="59">
        <f t="shared" ref="BQ205" si="641">SUM(BQ202:BQ204)</f>
        <v>0</v>
      </c>
      <c r="BR205" s="59">
        <f t="shared" ref="BR205" si="642">SUM(BR202:BR204)</f>
        <v>0</v>
      </c>
    </row>
    <row r="206" spans="1:70" collapsed="1" x14ac:dyDescent="0.25"/>
    <row r="207" spans="1:70" s="166" customFormat="1" ht="15.6" x14ac:dyDescent="0.3">
      <c r="A207" s="166">
        <f>Header1</f>
        <v>7</v>
      </c>
      <c r="B207" s="166" t="str">
        <f>KeyInputs!K70</f>
        <v>Investment 5</v>
      </c>
    </row>
    <row r="208" spans="1:70" hidden="1" outlineLevel="1" x14ac:dyDescent="0.25"/>
    <row r="209" spans="2:70" hidden="1" outlineLevel="1" x14ac:dyDescent="0.25">
      <c r="C209" s="217" t="str">
        <f>KeyInputs!C71</f>
        <v>Drawdown</v>
      </c>
      <c r="D209" s="220">
        <f>KeyInputs!K71</f>
        <v>0</v>
      </c>
    </row>
    <row r="210" spans="2:70" hidden="1" outlineLevel="1" x14ac:dyDescent="0.25">
      <c r="C210" s="217" t="str">
        <f>KeyInputs!C72</f>
        <v>Drawdown date</v>
      </c>
      <c r="D210" s="222">
        <f>KeyInputs!K72</f>
        <v>42186</v>
      </c>
    </row>
    <row r="211" spans="2:70" hidden="1" outlineLevel="1" x14ac:dyDescent="0.25">
      <c r="C211" s="217" t="str">
        <f>KeyInputs!C73</f>
        <v>Debt term (years)</v>
      </c>
      <c r="D211" s="219">
        <f>KeyInputs!K73</f>
        <v>5</v>
      </c>
    </row>
    <row r="212" spans="2:70" hidden="1" outlineLevel="1" x14ac:dyDescent="0.25">
      <c r="C212" s="217" t="s">
        <v>467</v>
      </c>
      <c r="D212" s="219">
        <f>KeyInputs!K74</f>
        <v>1</v>
      </c>
    </row>
    <row r="213" spans="2:70" hidden="1" outlineLevel="1" x14ac:dyDescent="0.25">
      <c r="C213" s="217" t="str">
        <f>KeyInputs!C75</f>
        <v>Interest payment month</v>
      </c>
      <c r="D213" s="219">
        <f>KeyInputs!K75</f>
        <v>1</v>
      </c>
    </row>
    <row r="214" spans="2:70" hidden="1" outlineLevel="1" x14ac:dyDescent="0.25">
      <c r="C214" s="217" t="str">
        <f>KeyInputs!C78</f>
        <v>Interest rate % per annum</v>
      </c>
      <c r="D214" s="218">
        <f>KeyInputs!K78</f>
        <v>3.4999999999999996E-2</v>
      </c>
    </row>
    <row r="215" spans="2:70" hidden="1" outlineLevel="1" x14ac:dyDescent="0.25"/>
    <row r="216" spans="2:70" hidden="1" outlineLevel="1" x14ac:dyDescent="0.25">
      <c r="C216" s="57" t="s">
        <v>259</v>
      </c>
      <c r="D216" s="221">
        <f>EDATE(D210,D212)-1</f>
        <v>42216</v>
      </c>
    </row>
    <row r="217" spans="2:70" hidden="1" outlineLevel="1" x14ac:dyDescent="0.25">
      <c r="C217" s="57" t="s">
        <v>246</v>
      </c>
      <c r="D217" s="57">
        <f>IFERROR(INDEX($K$6:$BR$6,0,MATCH($D210,$K$7:$BR$7,0)),0)</f>
        <v>7</v>
      </c>
    </row>
    <row r="218" spans="2:70" hidden="1" outlineLevel="1" x14ac:dyDescent="0.25">
      <c r="C218" s="57" t="s">
        <v>259</v>
      </c>
      <c r="D218" s="57">
        <f>D217+D213</f>
        <v>8</v>
      </c>
    </row>
    <row r="219" spans="2:70" hidden="1" outlineLevel="1" x14ac:dyDescent="0.25">
      <c r="C219" s="57" t="s">
        <v>263</v>
      </c>
      <c r="D219" s="221">
        <f>EDATE($D216,(D211)*12)</f>
        <v>44043</v>
      </c>
    </row>
    <row r="220" spans="2:70" hidden="1" outlineLevel="1" x14ac:dyDescent="0.25">
      <c r="C220" s="57" t="s">
        <v>245</v>
      </c>
      <c r="D220" s="57">
        <f>D209/D211/12*D212</f>
        <v>0</v>
      </c>
    </row>
    <row r="221" spans="2:70" hidden="1" outlineLevel="1" x14ac:dyDescent="0.25"/>
    <row r="222" spans="2:70" s="143" customFormat="1" ht="13.8" hidden="1" outlineLevel="1" x14ac:dyDescent="0.25">
      <c r="B222" s="143" t="str">
        <f>Header2</f>
        <v>7.1</v>
      </c>
      <c r="C222" s="143" t="s">
        <v>254</v>
      </c>
    </row>
    <row r="223" spans="2:70" hidden="1" outlineLevel="1" x14ac:dyDescent="0.25"/>
    <row r="224" spans="2:70" hidden="1" outlineLevel="1" x14ac:dyDescent="0.25">
      <c r="C224" s="147" t="s">
        <v>255</v>
      </c>
      <c r="K224" s="57">
        <f>(K$7&lt;=$D210)*(K$8&gt;=$D210)</f>
        <v>0</v>
      </c>
      <c r="L224" s="57">
        <f t="shared" ref="L224:BR224" si="643">(L$7&lt;=$D210)*(L$8&gt;=$D210)</f>
        <v>0</v>
      </c>
      <c r="M224" s="57">
        <f t="shared" si="643"/>
        <v>0</v>
      </c>
      <c r="N224" s="57">
        <f t="shared" si="643"/>
        <v>0</v>
      </c>
      <c r="O224" s="57">
        <f t="shared" si="643"/>
        <v>0</v>
      </c>
      <c r="P224" s="57">
        <f t="shared" si="643"/>
        <v>0</v>
      </c>
      <c r="Q224" s="57">
        <f t="shared" si="643"/>
        <v>1</v>
      </c>
      <c r="R224" s="57">
        <f t="shared" si="643"/>
        <v>0</v>
      </c>
      <c r="S224" s="57">
        <f t="shared" si="643"/>
        <v>0</v>
      </c>
      <c r="T224" s="57">
        <f t="shared" si="643"/>
        <v>0</v>
      </c>
      <c r="U224" s="57">
        <f t="shared" si="643"/>
        <v>0</v>
      </c>
      <c r="V224" s="57">
        <f t="shared" si="643"/>
        <v>0</v>
      </c>
      <c r="W224" s="57">
        <f t="shared" si="643"/>
        <v>0</v>
      </c>
      <c r="X224" s="57">
        <f t="shared" si="643"/>
        <v>0</v>
      </c>
      <c r="Y224" s="57">
        <f t="shared" si="643"/>
        <v>0</v>
      </c>
      <c r="Z224" s="57">
        <f t="shared" si="643"/>
        <v>0</v>
      </c>
      <c r="AA224" s="57">
        <f t="shared" si="643"/>
        <v>0</v>
      </c>
      <c r="AB224" s="57">
        <f t="shared" si="643"/>
        <v>0</v>
      </c>
      <c r="AC224" s="57">
        <f t="shared" si="643"/>
        <v>0</v>
      </c>
      <c r="AD224" s="57">
        <f t="shared" si="643"/>
        <v>0</v>
      </c>
      <c r="AE224" s="57">
        <f t="shared" si="643"/>
        <v>0</v>
      </c>
      <c r="AF224" s="57">
        <f t="shared" si="643"/>
        <v>0</v>
      </c>
      <c r="AG224" s="57">
        <f t="shared" si="643"/>
        <v>0</v>
      </c>
      <c r="AH224" s="57">
        <f t="shared" si="643"/>
        <v>0</v>
      </c>
      <c r="AI224" s="57">
        <f t="shared" si="643"/>
        <v>0</v>
      </c>
      <c r="AJ224" s="57">
        <f t="shared" si="643"/>
        <v>0</v>
      </c>
      <c r="AK224" s="57">
        <f t="shared" si="643"/>
        <v>0</v>
      </c>
      <c r="AL224" s="57">
        <f t="shared" si="643"/>
        <v>0</v>
      </c>
      <c r="AM224" s="57">
        <f t="shared" si="643"/>
        <v>0</v>
      </c>
      <c r="AN224" s="57">
        <f t="shared" si="643"/>
        <v>0</v>
      </c>
      <c r="AO224" s="57">
        <f t="shared" si="643"/>
        <v>0</v>
      </c>
      <c r="AP224" s="57">
        <f t="shared" si="643"/>
        <v>0</v>
      </c>
      <c r="AQ224" s="57">
        <f t="shared" si="643"/>
        <v>0</v>
      </c>
      <c r="AR224" s="57">
        <f t="shared" si="643"/>
        <v>0</v>
      </c>
      <c r="AS224" s="57">
        <f t="shared" si="643"/>
        <v>0</v>
      </c>
      <c r="AT224" s="57">
        <f t="shared" si="643"/>
        <v>0</v>
      </c>
      <c r="AU224" s="57">
        <f t="shared" si="643"/>
        <v>0</v>
      </c>
      <c r="AV224" s="57">
        <f t="shared" si="643"/>
        <v>0</v>
      </c>
      <c r="AW224" s="57">
        <f t="shared" si="643"/>
        <v>0</v>
      </c>
      <c r="AX224" s="57">
        <f t="shared" si="643"/>
        <v>0</v>
      </c>
      <c r="AY224" s="57">
        <f t="shared" si="643"/>
        <v>0</v>
      </c>
      <c r="AZ224" s="57">
        <f t="shared" si="643"/>
        <v>0</v>
      </c>
      <c r="BA224" s="57">
        <f t="shared" si="643"/>
        <v>0</v>
      </c>
      <c r="BB224" s="57">
        <f t="shared" si="643"/>
        <v>0</v>
      </c>
      <c r="BC224" s="57">
        <f t="shared" si="643"/>
        <v>0</v>
      </c>
      <c r="BD224" s="57">
        <f t="shared" si="643"/>
        <v>0</v>
      </c>
      <c r="BE224" s="57">
        <f t="shared" si="643"/>
        <v>0</v>
      </c>
      <c r="BF224" s="57">
        <f t="shared" si="643"/>
        <v>0</v>
      </c>
      <c r="BG224" s="57">
        <f t="shared" si="643"/>
        <v>0</v>
      </c>
      <c r="BH224" s="57">
        <f t="shared" si="643"/>
        <v>0</v>
      </c>
      <c r="BI224" s="57">
        <f t="shared" si="643"/>
        <v>0</v>
      </c>
      <c r="BJ224" s="57">
        <f t="shared" si="643"/>
        <v>0</v>
      </c>
      <c r="BK224" s="57">
        <f t="shared" si="643"/>
        <v>0</v>
      </c>
      <c r="BL224" s="57">
        <f t="shared" si="643"/>
        <v>0</v>
      </c>
      <c r="BM224" s="57">
        <f t="shared" si="643"/>
        <v>0</v>
      </c>
      <c r="BN224" s="57">
        <f t="shared" si="643"/>
        <v>0</v>
      </c>
      <c r="BO224" s="57">
        <f t="shared" si="643"/>
        <v>0</v>
      </c>
      <c r="BP224" s="57">
        <f t="shared" si="643"/>
        <v>0</v>
      </c>
      <c r="BQ224" s="57">
        <f t="shared" si="643"/>
        <v>0</v>
      </c>
      <c r="BR224" s="57">
        <f t="shared" si="643"/>
        <v>0</v>
      </c>
    </row>
    <row r="225" spans="1:70" hidden="1" outlineLevel="1" x14ac:dyDescent="0.25">
      <c r="C225" s="147" t="s">
        <v>256</v>
      </c>
      <c r="K225" s="57">
        <f>IF(K231&lt;-1,IF(MOD(K$6-$D217,$D212)=0,1,0),0)</f>
        <v>0</v>
      </c>
      <c r="L225" s="57">
        <f t="shared" ref="L225:BR225" si="644">IF(L231&lt;-1,IF(MOD(L$6-$D217,$D212)=0,1,0),0)</f>
        <v>0</v>
      </c>
      <c r="M225" s="57">
        <f t="shared" si="644"/>
        <v>0</v>
      </c>
      <c r="N225" s="57">
        <f t="shared" si="644"/>
        <v>0</v>
      </c>
      <c r="O225" s="57">
        <f t="shared" si="644"/>
        <v>0</v>
      </c>
      <c r="P225" s="57">
        <f t="shared" si="644"/>
        <v>0</v>
      </c>
      <c r="Q225" s="57">
        <f t="shared" si="644"/>
        <v>0</v>
      </c>
      <c r="R225" s="57">
        <f t="shared" si="644"/>
        <v>0</v>
      </c>
      <c r="S225" s="57">
        <f t="shared" si="644"/>
        <v>0</v>
      </c>
      <c r="T225" s="57">
        <f t="shared" si="644"/>
        <v>0</v>
      </c>
      <c r="U225" s="57">
        <f t="shared" si="644"/>
        <v>0</v>
      </c>
      <c r="V225" s="57">
        <f t="shared" si="644"/>
        <v>0</v>
      </c>
      <c r="W225" s="57">
        <f t="shared" si="644"/>
        <v>0</v>
      </c>
      <c r="X225" s="57">
        <f t="shared" si="644"/>
        <v>0</v>
      </c>
      <c r="Y225" s="57">
        <f t="shared" si="644"/>
        <v>0</v>
      </c>
      <c r="Z225" s="57">
        <f t="shared" si="644"/>
        <v>0</v>
      </c>
      <c r="AA225" s="57">
        <f t="shared" si="644"/>
        <v>0</v>
      </c>
      <c r="AB225" s="57">
        <f t="shared" si="644"/>
        <v>0</v>
      </c>
      <c r="AC225" s="57">
        <f t="shared" si="644"/>
        <v>0</v>
      </c>
      <c r="AD225" s="57">
        <f t="shared" si="644"/>
        <v>0</v>
      </c>
      <c r="AE225" s="57">
        <f t="shared" si="644"/>
        <v>0</v>
      </c>
      <c r="AF225" s="57">
        <f t="shared" si="644"/>
        <v>0</v>
      </c>
      <c r="AG225" s="57">
        <f t="shared" si="644"/>
        <v>0</v>
      </c>
      <c r="AH225" s="57">
        <f t="shared" si="644"/>
        <v>0</v>
      </c>
      <c r="AI225" s="57">
        <f t="shared" si="644"/>
        <v>0</v>
      </c>
      <c r="AJ225" s="57">
        <f t="shared" si="644"/>
        <v>0</v>
      </c>
      <c r="AK225" s="57">
        <f t="shared" si="644"/>
        <v>0</v>
      </c>
      <c r="AL225" s="57">
        <f t="shared" si="644"/>
        <v>0</v>
      </c>
      <c r="AM225" s="57">
        <f t="shared" si="644"/>
        <v>0</v>
      </c>
      <c r="AN225" s="57">
        <f t="shared" si="644"/>
        <v>0</v>
      </c>
      <c r="AO225" s="57">
        <f t="shared" si="644"/>
        <v>0</v>
      </c>
      <c r="AP225" s="57">
        <f t="shared" si="644"/>
        <v>0</v>
      </c>
      <c r="AQ225" s="57">
        <f t="shared" si="644"/>
        <v>0</v>
      </c>
      <c r="AR225" s="57">
        <f t="shared" si="644"/>
        <v>0</v>
      </c>
      <c r="AS225" s="57">
        <f t="shared" si="644"/>
        <v>0</v>
      </c>
      <c r="AT225" s="57">
        <f t="shared" si="644"/>
        <v>0</v>
      </c>
      <c r="AU225" s="57">
        <f t="shared" si="644"/>
        <v>0</v>
      </c>
      <c r="AV225" s="57">
        <f t="shared" si="644"/>
        <v>0</v>
      </c>
      <c r="AW225" s="57">
        <f t="shared" si="644"/>
        <v>0</v>
      </c>
      <c r="AX225" s="57">
        <f t="shared" si="644"/>
        <v>0</v>
      </c>
      <c r="AY225" s="57">
        <f t="shared" si="644"/>
        <v>0</v>
      </c>
      <c r="AZ225" s="57">
        <f t="shared" si="644"/>
        <v>0</v>
      </c>
      <c r="BA225" s="57">
        <f t="shared" si="644"/>
        <v>0</v>
      </c>
      <c r="BB225" s="57">
        <f t="shared" si="644"/>
        <v>0</v>
      </c>
      <c r="BC225" s="57">
        <f t="shared" si="644"/>
        <v>0</v>
      </c>
      <c r="BD225" s="57">
        <f t="shared" si="644"/>
        <v>0</v>
      </c>
      <c r="BE225" s="57">
        <f t="shared" si="644"/>
        <v>0</v>
      </c>
      <c r="BF225" s="57">
        <f t="shared" si="644"/>
        <v>0</v>
      </c>
      <c r="BG225" s="57">
        <f t="shared" si="644"/>
        <v>0</v>
      </c>
      <c r="BH225" s="57">
        <f t="shared" si="644"/>
        <v>0</v>
      </c>
      <c r="BI225" s="57">
        <f t="shared" si="644"/>
        <v>0</v>
      </c>
      <c r="BJ225" s="57">
        <f t="shared" si="644"/>
        <v>0</v>
      </c>
      <c r="BK225" s="57">
        <f t="shared" si="644"/>
        <v>0</v>
      </c>
      <c r="BL225" s="57">
        <f t="shared" si="644"/>
        <v>0</v>
      </c>
      <c r="BM225" s="57">
        <f t="shared" si="644"/>
        <v>0</v>
      </c>
      <c r="BN225" s="57">
        <f t="shared" si="644"/>
        <v>0</v>
      </c>
      <c r="BO225" s="57">
        <f t="shared" si="644"/>
        <v>0</v>
      </c>
      <c r="BP225" s="57">
        <f t="shared" si="644"/>
        <v>0</v>
      </c>
      <c r="BQ225" s="57">
        <f t="shared" si="644"/>
        <v>0</v>
      </c>
      <c r="BR225" s="57">
        <f t="shared" si="644"/>
        <v>0</v>
      </c>
    </row>
    <row r="226" spans="1:70" hidden="1" outlineLevel="1" x14ac:dyDescent="0.25">
      <c r="C226" s="139" t="s">
        <v>260</v>
      </c>
      <c r="K226" s="57">
        <f>IF(K239&lt;-1,IF(MOD(K$6-$D217,$D213)=0,1,0),0)</f>
        <v>0</v>
      </c>
      <c r="L226" s="57">
        <f t="shared" ref="L226:BR226" si="645">IF(L239&lt;-1,IF(MOD(L$6-$D217,$D213)=0,1,0),0)</f>
        <v>0</v>
      </c>
      <c r="M226" s="57">
        <f t="shared" si="645"/>
        <v>0</v>
      </c>
      <c r="N226" s="57">
        <f t="shared" si="645"/>
        <v>0</v>
      </c>
      <c r="O226" s="57">
        <f t="shared" si="645"/>
        <v>0</v>
      </c>
      <c r="P226" s="57">
        <f t="shared" si="645"/>
        <v>0</v>
      </c>
      <c r="Q226" s="57">
        <f t="shared" si="645"/>
        <v>0</v>
      </c>
      <c r="R226" s="57">
        <f t="shared" si="645"/>
        <v>0</v>
      </c>
      <c r="S226" s="57">
        <f t="shared" si="645"/>
        <v>0</v>
      </c>
      <c r="T226" s="57">
        <f t="shared" si="645"/>
        <v>0</v>
      </c>
      <c r="U226" s="57">
        <f t="shared" si="645"/>
        <v>0</v>
      </c>
      <c r="V226" s="57">
        <f t="shared" si="645"/>
        <v>0</v>
      </c>
      <c r="W226" s="57">
        <f t="shared" si="645"/>
        <v>0</v>
      </c>
      <c r="X226" s="57">
        <f t="shared" si="645"/>
        <v>0</v>
      </c>
      <c r="Y226" s="57">
        <f t="shared" si="645"/>
        <v>0</v>
      </c>
      <c r="Z226" s="57">
        <f t="shared" si="645"/>
        <v>0</v>
      </c>
      <c r="AA226" s="57">
        <f t="shared" si="645"/>
        <v>0</v>
      </c>
      <c r="AB226" s="57">
        <f t="shared" si="645"/>
        <v>0</v>
      </c>
      <c r="AC226" s="57">
        <f t="shared" si="645"/>
        <v>0</v>
      </c>
      <c r="AD226" s="57">
        <f t="shared" si="645"/>
        <v>0</v>
      </c>
      <c r="AE226" s="57">
        <f t="shared" si="645"/>
        <v>0</v>
      </c>
      <c r="AF226" s="57">
        <f t="shared" si="645"/>
        <v>0</v>
      </c>
      <c r="AG226" s="57">
        <f t="shared" si="645"/>
        <v>0</v>
      </c>
      <c r="AH226" s="57">
        <f t="shared" si="645"/>
        <v>0</v>
      </c>
      <c r="AI226" s="57">
        <f t="shared" si="645"/>
        <v>0</v>
      </c>
      <c r="AJ226" s="57">
        <f t="shared" si="645"/>
        <v>0</v>
      </c>
      <c r="AK226" s="57">
        <f t="shared" si="645"/>
        <v>0</v>
      </c>
      <c r="AL226" s="57">
        <f t="shared" si="645"/>
        <v>0</v>
      </c>
      <c r="AM226" s="57">
        <f t="shared" si="645"/>
        <v>0</v>
      </c>
      <c r="AN226" s="57">
        <f t="shared" si="645"/>
        <v>0</v>
      </c>
      <c r="AO226" s="57">
        <f t="shared" si="645"/>
        <v>0</v>
      </c>
      <c r="AP226" s="57">
        <f t="shared" si="645"/>
        <v>0</v>
      </c>
      <c r="AQ226" s="57">
        <f t="shared" si="645"/>
        <v>0</v>
      </c>
      <c r="AR226" s="57">
        <f t="shared" si="645"/>
        <v>0</v>
      </c>
      <c r="AS226" s="57">
        <f t="shared" si="645"/>
        <v>0</v>
      </c>
      <c r="AT226" s="57">
        <f t="shared" si="645"/>
        <v>0</v>
      </c>
      <c r="AU226" s="57">
        <f t="shared" si="645"/>
        <v>0</v>
      </c>
      <c r="AV226" s="57">
        <f t="shared" si="645"/>
        <v>0</v>
      </c>
      <c r="AW226" s="57">
        <f t="shared" si="645"/>
        <v>0</v>
      </c>
      <c r="AX226" s="57">
        <f t="shared" si="645"/>
        <v>0</v>
      </c>
      <c r="AY226" s="57">
        <f t="shared" si="645"/>
        <v>0</v>
      </c>
      <c r="AZ226" s="57">
        <f t="shared" si="645"/>
        <v>0</v>
      </c>
      <c r="BA226" s="57">
        <f t="shared" si="645"/>
        <v>0</v>
      </c>
      <c r="BB226" s="57">
        <f t="shared" si="645"/>
        <v>0</v>
      </c>
      <c r="BC226" s="57">
        <f t="shared" si="645"/>
        <v>0</v>
      </c>
      <c r="BD226" s="57">
        <f t="shared" si="645"/>
        <v>0</v>
      </c>
      <c r="BE226" s="57">
        <f t="shared" si="645"/>
        <v>0</v>
      </c>
      <c r="BF226" s="57">
        <f t="shared" si="645"/>
        <v>0</v>
      </c>
      <c r="BG226" s="57">
        <f t="shared" si="645"/>
        <v>0</v>
      </c>
      <c r="BH226" s="57">
        <f t="shared" si="645"/>
        <v>0</v>
      </c>
      <c r="BI226" s="57">
        <f t="shared" si="645"/>
        <v>0</v>
      </c>
      <c r="BJ226" s="57">
        <f t="shared" si="645"/>
        <v>0</v>
      </c>
      <c r="BK226" s="57">
        <f t="shared" si="645"/>
        <v>0</v>
      </c>
      <c r="BL226" s="57">
        <f t="shared" si="645"/>
        <v>0</v>
      </c>
      <c r="BM226" s="57">
        <f t="shared" si="645"/>
        <v>0</v>
      </c>
      <c r="BN226" s="57">
        <f t="shared" si="645"/>
        <v>0</v>
      </c>
      <c r="BO226" s="57">
        <f t="shared" si="645"/>
        <v>0</v>
      </c>
      <c r="BP226" s="57">
        <f t="shared" si="645"/>
        <v>0</v>
      </c>
      <c r="BQ226" s="57">
        <f t="shared" si="645"/>
        <v>0</v>
      </c>
      <c r="BR226" s="57">
        <f t="shared" si="645"/>
        <v>0</v>
      </c>
    </row>
    <row r="227" spans="1:70" hidden="1" outlineLevel="1" x14ac:dyDescent="0.25"/>
    <row r="228" spans="1:70" hidden="1" outlineLevel="1" x14ac:dyDescent="0.25"/>
    <row r="229" spans="1:70" s="145" customFormat="1" ht="13.8" hidden="1" outlineLevel="1" x14ac:dyDescent="0.25">
      <c r="B229" s="145" t="str">
        <f>Header2</f>
        <v>7.2</v>
      </c>
      <c r="C229" s="145" t="s">
        <v>471</v>
      </c>
    </row>
    <row r="230" spans="1:70" s="147" customFormat="1" hidden="1" outlineLevel="1" x14ac:dyDescent="0.25">
      <c r="A230" s="211"/>
      <c r="F230" s="212"/>
    </row>
    <row r="231" spans="1:70" s="147" customFormat="1" hidden="1" outlineLevel="1" x14ac:dyDescent="0.25">
      <c r="A231" s="211"/>
      <c r="C231" s="147" t="s">
        <v>228</v>
      </c>
      <c r="D231" s="231" t="str">
        <f>unit</f>
        <v>£</v>
      </c>
      <c r="E231" s="147">
        <f>INDEX($K231:$BR231,0,MATCH(E$7,$K$7:$BR$7,0))</f>
        <v>0</v>
      </c>
      <c r="F231" s="147">
        <f t="shared" ref="F231:I231" si="646">INDEX($K231:$BR231,0,MATCH(F$7,$K$7:$BR$7,0))</f>
        <v>0</v>
      </c>
      <c r="G231" s="147">
        <f t="shared" si="646"/>
        <v>0</v>
      </c>
      <c r="H231" s="147">
        <f t="shared" si="646"/>
        <v>0</v>
      </c>
      <c r="I231" s="147">
        <f t="shared" si="646"/>
        <v>0</v>
      </c>
      <c r="K231" s="213">
        <v>0</v>
      </c>
      <c r="L231" s="223">
        <f t="shared" ref="L231:BR231" si="647">K234</f>
        <v>0</v>
      </c>
      <c r="M231" s="223">
        <f t="shared" si="647"/>
        <v>0</v>
      </c>
      <c r="N231" s="223">
        <f t="shared" si="647"/>
        <v>0</v>
      </c>
      <c r="O231" s="223">
        <f t="shared" si="647"/>
        <v>0</v>
      </c>
      <c r="P231" s="223">
        <f t="shared" si="647"/>
        <v>0</v>
      </c>
      <c r="Q231" s="223">
        <f t="shared" si="647"/>
        <v>0</v>
      </c>
      <c r="R231" s="223">
        <f t="shared" si="647"/>
        <v>0</v>
      </c>
      <c r="S231" s="223">
        <f t="shared" si="647"/>
        <v>0</v>
      </c>
      <c r="T231" s="223">
        <f t="shared" si="647"/>
        <v>0</v>
      </c>
      <c r="U231" s="223">
        <f t="shared" si="647"/>
        <v>0</v>
      </c>
      <c r="V231" s="223">
        <f t="shared" si="647"/>
        <v>0</v>
      </c>
      <c r="W231" s="223">
        <f t="shared" si="647"/>
        <v>0</v>
      </c>
      <c r="X231" s="223">
        <f t="shared" si="647"/>
        <v>0</v>
      </c>
      <c r="Y231" s="223">
        <f t="shared" si="647"/>
        <v>0</v>
      </c>
      <c r="Z231" s="223">
        <f t="shared" si="647"/>
        <v>0</v>
      </c>
      <c r="AA231" s="223">
        <f t="shared" si="647"/>
        <v>0</v>
      </c>
      <c r="AB231" s="223">
        <f t="shared" si="647"/>
        <v>0</v>
      </c>
      <c r="AC231" s="223">
        <f t="shared" si="647"/>
        <v>0</v>
      </c>
      <c r="AD231" s="223">
        <f t="shared" si="647"/>
        <v>0</v>
      </c>
      <c r="AE231" s="223">
        <f t="shared" si="647"/>
        <v>0</v>
      </c>
      <c r="AF231" s="223">
        <f t="shared" si="647"/>
        <v>0</v>
      </c>
      <c r="AG231" s="223">
        <f t="shared" si="647"/>
        <v>0</v>
      </c>
      <c r="AH231" s="223">
        <f t="shared" si="647"/>
        <v>0</v>
      </c>
      <c r="AI231" s="223">
        <f t="shared" si="647"/>
        <v>0</v>
      </c>
      <c r="AJ231" s="223">
        <f t="shared" si="647"/>
        <v>0</v>
      </c>
      <c r="AK231" s="223">
        <f t="shared" si="647"/>
        <v>0</v>
      </c>
      <c r="AL231" s="223">
        <f t="shared" si="647"/>
        <v>0</v>
      </c>
      <c r="AM231" s="223">
        <f t="shared" si="647"/>
        <v>0</v>
      </c>
      <c r="AN231" s="223">
        <f t="shared" si="647"/>
        <v>0</v>
      </c>
      <c r="AO231" s="223">
        <f t="shared" si="647"/>
        <v>0</v>
      </c>
      <c r="AP231" s="223">
        <f t="shared" si="647"/>
        <v>0</v>
      </c>
      <c r="AQ231" s="223">
        <f t="shared" si="647"/>
        <v>0</v>
      </c>
      <c r="AR231" s="223">
        <f t="shared" si="647"/>
        <v>0</v>
      </c>
      <c r="AS231" s="223">
        <f t="shared" si="647"/>
        <v>0</v>
      </c>
      <c r="AT231" s="223">
        <f t="shared" si="647"/>
        <v>0</v>
      </c>
      <c r="AU231" s="223">
        <f t="shared" si="647"/>
        <v>0</v>
      </c>
      <c r="AV231" s="223">
        <f t="shared" si="647"/>
        <v>0</v>
      </c>
      <c r="AW231" s="223">
        <f t="shared" si="647"/>
        <v>0</v>
      </c>
      <c r="AX231" s="223">
        <f t="shared" si="647"/>
        <v>0</v>
      </c>
      <c r="AY231" s="223">
        <f t="shared" si="647"/>
        <v>0</v>
      </c>
      <c r="AZ231" s="223">
        <f t="shared" si="647"/>
        <v>0</v>
      </c>
      <c r="BA231" s="223">
        <f t="shared" si="647"/>
        <v>0</v>
      </c>
      <c r="BB231" s="223">
        <f t="shared" si="647"/>
        <v>0</v>
      </c>
      <c r="BC231" s="223">
        <f t="shared" si="647"/>
        <v>0</v>
      </c>
      <c r="BD231" s="223">
        <f t="shared" si="647"/>
        <v>0</v>
      </c>
      <c r="BE231" s="223">
        <f t="shared" si="647"/>
        <v>0</v>
      </c>
      <c r="BF231" s="223">
        <f t="shared" si="647"/>
        <v>0</v>
      </c>
      <c r="BG231" s="223">
        <f t="shared" si="647"/>
        <v>0</v>
      </c>
      <c r="BH231" s="223">
        <f t="shared" si="647"/>
        <v>0</v>
      </c>
      <c r="BI231" s="223">
        <f t="shared" si="647"/>
        <v>0</v>
      </c>
      <c r="BJ231" s="223">
        <f t="shared" si="647"/>
        <v>0</v>
      </c>
      <c r="BK231" s="223">
        <f t="shared" si="647"/>
        <v>0</v>
      </c>
      <c r="BL231" s="223">
        <f t="shared" si="647"/>
        <v>0</v>
      </c>
      <c r="BM231" s="223">
        <f t="shared" si="647"/>
        <v>0</v>
      </c>
      <c r="BN231" s="223">
        <f t="shared" si="647"/>
        <v>0</v>
      </c>
      <c r="BO231" s="223">
        <f t="shared" si="647"/>
        <v>0</v>
      </c>
      <c r="BP231" s="223">
        <f t="shared" si="647"/>
        <v>0</v>
      </c>
      <c r="BQ231" s="223">
        <f t="shared" si="647"/>
        <v>0</v>
      </c>
      <c r="BR231" s="223">
        <f t="shared" si="647"/>
        <v>0</v>
      </c>
    </row>
    <row r="232" spans="1:70" s="147" customFormat="1" hidden="1" outlineLevel="1" x14ac:dyDescent="0.25">
      <c r="A232" s="211"/>
      <c r="C232" s="147" t="s">
        <v>249</v>
      </c>
      <c r="D232" s="231" t="str">
        <f>unit</f>
        <v>£</v>
      </c>
      <c r="E232" s="147">
        <f>SUMIF($K$5:$BR$5,E$5,$K232:$BR232)</f>
        <v>0</v>
      </c>
      <c r="F232" s="147">
        <f t="shared" ref="F232:I233" si="648">SUMIF($K$5:$BR$5,F$5,$K232:$BR232)</f>
        <v>0</v>
      </c>
      <c r="G232" s="147">
        <f t="shared" si="648"/>
        <v>0</v>
      </c>
      <c r="H232" s="147">
        <f t="shared" si="648"/>
        <v>0</v>
      </c>
      <c r="I232" s="147">
        <f t="shared" si="648"/>
        <v>0</v>
      </c>
      <c r="K232" s="147">
        <f>$D209*K224</f>
        <v>0</v>
      </c>
      <c r="L232" s="147">
        <f t="shared" ref="L232:BR232" si="649">$D209*L224</f>
        <v>0</v>
      </c>
      <c r="M232" s="147">
        <f t="shared" si="649"/>
        <v>0</v>
      </c>
      <c r="N232" s="147">
        <f t="shared" si="649"/>
        <v>0</v>
      </c>
      <c r="O232" s="147">
        <f t="shared" si="649"/>
        <v>0</v>
      </c>
      <c r="P232" s="147">
        <f t="shared" si="649"/>
        <v>0</v>
      </c>
      <c r="Q232" s="147">
        <f t="shared" si="649"/>
        <v>0</v>
      </c>
      <c r="R232" s="147">
        <f t="shared" si="649"/>
        <v>0</v>
      </c>
      <c r="S232" s="147">
        <f t="shared" si="649"/>
        <v>0</v>
      </c>
      <c r="T232" s="147">
        <f t="shared" si="649"/>
        <v>0</v>
      </c>
      <c r="U232" s="147">
        <f t="shared" si="649"/>
        <v>0</v>
      </c>
      <c r="V232" s="147">
        <f t="shared" si="649"/>
        <v>0</v>
      </c>
      <c r="W232" s="147">
        <f t="shared" si="649"/>
        <v>0</v>
      </c>
      <c r="X232" s="147">
        <f t="shared" si="649"/>
        <v>0</v>
      </c>
      <c r="Y232" s="147">
        <f t="shared" si="649"/>
        <v>0</v>
      </c>
      <c r="Z232" s="147">
        <f t="shared" si="649"/>
        <v>0</v>
      </c>
      <c r="AA232" s="147">
        <f t="shared" si="649"/>
        <v>0</v>
      </c>
      <c r="AB232" s="147">
        <f t="shared" si="649"/>
        <v>0</v>
      </c>
      <c r="AC232" s="147">
        <f t="shared" si="649"/>
        <v>0</v>
      </c>
      <c r="AD232" s="147">
        <f t="shared" si="649"/>
        <v>0</v>
      </c>
      <c r="AE232" s="147">
        <f t="shared" si="649"/>
        <v>0</v>
      </c>
      <c r="AF232" s="147">
        <f t="shared" si="649"/>
        <v>0</v>
      </c>
      <c r="AG232" s="147">
        <f t="shared" si="649"/>
        <v>0</v>
      </c>
      <c r="AH232" s="147">
        <f t="shared" si="649"/>
        <v>0</v>
      </c>
      <c r="AI232" s="147">
        <f t="shared" si="649"/>
        <v>0</v>
      </c>
      <c r="AJ232" s="147">
        <f t="shared" si="649"/>
        <v>0</v>
      </c>
      <c r="AK232" s="147">
        <f t="shared" si="649"/>
        <v>0</v>
      </c>
      <c r="AL232" s="147">
        <f t="shared" si="649"/>
        <v>0</v>
      </c>
      <c r="AM232" s="147">
        <f t="shared" si="649"/>
        <v>0</v>
      </c>
      <c r="AN232" s="147">
        <f t="shared" si="649"/>
        <v>0</v>
      </c>
      <c r="AO232" s="147">
        <f t="shared" si="649"/>
        <v>0</v>
      </c>
      <c r="AP232" s="147">
        <f t="shared" si="649"/>
        <v>0</v>
      </c>
      <c r="AQ232" s="147">
        <f t="shared" si="649"/>
        <v>0</v>
      </c>
      <c r="AR232" s="147">
        <f t="shared" si="649"/>
        <v>0</v>
      </c>
      <c r="AS232" s="147">
        <f t="shared" si="649"/>
        <v>0</v>
      </c>
      <c r="AT232" s="147">
        <f t="shared" si="649"/>
        <v>0</v>
      </c>
      <c r="AU232" s="147">
        <f t="shared" si="649"/>
        <v>0</v>
      </c>
      <c r="AV232" s="147">
        <f t="shared" si="649"/>
        <v>0</v>
      </c>
      <c r="AW232" s="147">
        <f t="shared" si="649"/>
        <v>0</v>
      </c>
      <c r="AX232" s="147">
        <f t="shared" si="649"/>
        <v>0</v>
      </c>
      <c r="AY232" s="147">
        <f t="shared" si="649"/>
        <v>0</v>
      </c>
      <c r="AZ232" s="147">
        <f t="shared" si="649"/>
        <v>0</v>
      </c>
      <c r="BA232" s="147">
        <f t="shared" si="649"/>
        <v>0</v>
      </c>
      <c r="BB232" s="147">
        <f t="shared" si="649"/>
        <v>0</v>
      </c>
      <c r="BC232" s="147">
        <f t="shared" si="649"/>
        <v>0</v>
      </c>
      <c r="BD232" s="147">
        <f t="shared" si="649"/>
        <v>0</v>
      </c>
      <c r="BE232" s="147">
        <f t="shared" si="649"/>
        <v>0</v>
      </c>
      <c r="BF232" s="147">
        <f t="shared" si="649"/>
        <v>0</v>
      </c>
      <c r="BG232" s="147">
        <f t="shared" si="649"/>
        <v>0</v>
      </c>
      <c r="BH232" s="147">
        <f t="shared" si="649"/>
        <v>0</v>
      </c>
      <c r="BI232" s="147">
        <f t="shared" si="649"/>
        <v>0</v>
      </c>
      <c r="BJ232" s="147">
        <f t="shared" si="649"/>
        <v>0</v>
      </c>
      <c r="BK232" s="147">
        <f t="shared" si="649"/>
        <v>0</v>
      </c>
      <c r="BL232" s="147">
        <f t="shared" si="649"/>
        <v>0</v>
      </c>
      <c r="BM232" s="147">
        <f t="shared" si="649"/>
        <v>0</v>
      </c>
      <c r="BN232" s="147">
        <f t="shared" si="649"/>
        <v>0</v>
      </c>
      <c r="BO232" s="147">
        <f t="shared" si="649"/>
        <v>0</v>
      </c>
      <c r="BP232" s="147">
        <f t="shared" si="649"/>
        <v>0</v>
      </c>
      <c r="BQ232" s="147">
        <f t="shared" si="649"/>
        <v>0</v>
      </c>
      <c r="BR232" s="147">
        <f t="shared" si="649"/>
        <v>0</v>
      </c>
    </row>
    <row r="233" spans="1:70" s="147" customFormat="1" hidden="1" outlineLevel="1" x14ac:dyDescent="0.25">
      <c r="A233" s="211"/>
      <c r="C233" s="147" t="s">
        <v>250</v>
      </c>
      <c r="D233" s="231" t="str">
        <f>unit</f>
        <v>£</v>
      </c>
      <c r="E233" s="147">
        <f>SUMIF($K$5:$BR$5,E$5,$K233:$BR233)</f>
        <v>0</v>
      </c>
      <c r="F233" s="147">
        <f t="shared" si="648"/>
        <v>0</v>
      </c>
      <c r="G233" s="147">
        <f t="shared" si="648"/>
        <v>0</v>
      </c>
      <c r="H233" s="147">
        <f t="shared" si="648"/>
        <v>0</v>
      </c>
      <c r="I233" s="147">
        <f t="shared" si="648"/>
        <v>0</v>
      </c>
      <c r="K233" s="147">
        <f>-K225*$D220</f>
        <v>0</v>
      </c>
      <c r="L233" s="147">
        <f t="shared" ref="L233:BR233" si="650">-L225*$D220</f>
        <v>0</v>
      </c>
      <c r="M233" s="147">
        <f t="shared" si="650"/>
        <v>0</v>
      </c>
      <c r="N233" s="147">
        <f t="shared" si="650"/>
        <v>0</v>
      </c>
      <c r="O233" s="147">
        <f t="shared" si="650"/>
        <v>0</v>
      </c>
      <c r="P233" s="147">
        <f t="shared" si="650"/>
        <v>0</v>
      </c>
      <c r="Q233" s="147">
        <f t="shared" si="650"/>
        <v>0</v>
      </c>
      <c r="R233" s="147">
        <f t="shared" si="650"/>
        <v>0</v>
      </c>
      <c r="S233" s="147">
        <f t="shared" si="650"/>
        <v>0</v>
      </c>
      <c r="T233" s="147">
        <f t="shared" si="650"/>
        <v>0</v>
      </c>
      <c r="U233" s="147">
        <f t="shared" si="650"/>
        <v>0</v>
      </c>
      <c r="V233" s="147">
        <f t="shared" si="650"/>
        <v>0</v>
      </c>
      <c r="W233" s="147">
        <f t="shared" si="650"/>
        <v>0</v>
      </c>
      <c r="X233" s="147">
        <f t="shared" si="650"/>
        <v>0</v>
      </c>
      <c r="Y233" s="147">
        <f t="shared" si="650"/>
        <v>0</v>
      </c>
      <c r="Z233" s="147">
        <f t="shared" si="650"/>
        <v>0</v>
      </c>
      <c r="AA233" s="147">
        <f t="shared" si="650"/>
        <v>0</v>
      </c>
      <c r="AB233" s="147">
        <f t="shared" si="650"/>
        <v>0</v>
      </c>
      <c r="AC233" s="147">
        <f t="shared" si="650"/>
        <v>0</v>
      </c>
      <c r="AD233" s="147">
        <f t="shared" si="650"/>
        <v>0</v>
      </c>
      <c r="AE233" s="147">
        <f t="shared" si="650"/>
        <v>0</v>
      </c>
      <c r="AF233" s="147">
        <f t="shared" si="650"/>
        <v>0</v>
      </c>
      <c r="AG233" s="147">
        <f t="shared" si="650"/>
        <v>0</v>
      </c>
      <c r="AH233" s="147">
        <f t="shared" si="650"/>
        <v>0</v>
      </c>
      <c r="AI233" s="147">
        <f t="shared" si="650"/>
        <v>0</v>
      </c>
      <c r="AJ233" s="147">
        <f t="shared" si="650"/>
        <v>0</v>
      </c>
      <c r="AK233" s="147">
        <f t="shared" si="650"/>
        <v>0</v>
      </c>
      <c r="AL233" s="147">
        <f t="shared" si="650"/>
        <v>0</v>
      </c>
      <c r="AM233" s="147">
        <f t="shared" si="650"/>
        <v>0</v>
      </c>
      <c r="AN233" s="147">
        <f t="shared" si="650"/>
        <v>0</v>
      </c>
      <c r="AO233" s="147">
        <f t="shared" si="650"/>
        <v>0</v>
      </c>
      <c r="AP233" s="147">
        <f t="shared" si="650"/>
        <v>0</v>
      </c>
      <c r="AQ233" s="147">
        <f t="shared" si="650"/>
        <v>0</v>
      </c>
      <c r="AR233" s="147">
        <f t="shared" si="650"/>
        <v>0</v>
      </c>
      <c r="AS233" s="147">
        <f t="shared" si="650"/>
        <v>0</v>
      </c>
      <c r="AT233" s="147">
        <f t="shared" si="650"/>
        <v>0</v>
      </c>
      <c r="AU233" s="147">
        <f t="shared" si="650"/>
        <v>0</v>
      </c>
      <c r="AV233" s="147">
        <f t="shared" si="650"/>
        <v>0</v>
      </c>
      <c r="AW233" s="147">
        <f t="shared" si="650"/>
        <v>0</v>
      </c>
      <c r="AX233" s="147">
        <f t="shared" si="650"/>
        <v>0</v>
      </c>
      <c r="AY233" s="147">
        <f t="shared" si="650"/>
        <v>0</v>
      </c>
      <c r="AZ233" s="147">
        <f t="shared" si="650"/>
        <v>0</v>
      </c>
      <c r="BA233" s="147">
        <f t="shared" si="650"/>
        <v>0</v>
      </c>
      <c r="BB233" s="147">
        <f t="shared" si="650"/>
        <v>0</v>
      </c>
      <c r="BC233" s="147">
        <f t="shared" si="650"/>
        <v>0</v>
      </c>
      <c r="BD233" s="147">
        <f t="shared" si="650"/>
        <v>0</v>
      </c>
      <c r="BE233" s="147">
        <f t="shared" si="650"/>
        <v>0</v>
      </c>
      <c r="BF233" s="147">
        <f t="shared" si="650"/>
        <v>0</v>
      </c>
      <c r="BG233" s="147">
        <f t="shared" si="650"/>
        <v>0</v>
      </c>
      <c r="BH233" s="147">
        <f t="shared" si="650"/>
        <v>0</v>
      </c>
      <c r="BI233" s="147">
        <f t="shared" si="650"/>
        <v>0</v>
      </c>
      <c r="BJ233" s="147">
        <f t="shared" si="650"/>
        <v>0</v>
      </c>
      <c r="BK233" s="147">
        <f t="shared" si="650"/>
        <v>0</v>
      </c>
      <c r="BL233" s="147">
        <f t="shared" si="650"/>
        <v>0</v>
      </c>
      <c r="BM233" s="147">
        <f t="shared" si="650"/>
        <v>0</v>
      </c>
      <c r="BN233" s="147">
        <f t="shared" si="650"/>
        <v>0</v>
      </c>
      <c r="BO233" s="147">
        <f t="shared" si="650"/>
        <v>0</v>
      </c>
      <c r="BP233" s="147">
        <f t="shared" si="650"/>
        <v>0</v>
      </c>
      <c r="BQ233" s="147">
        <f t="shared" si="650"/>
        <v>0</v>
      </c>
      <c r="BR233" s="147">
        <f t="shared" si="650"/>
        <v>0</v>
      </c>
    </row>
    <row r="234" spans="1:70" s="147" customFormat="1" hidden="1" outlineLevel="1" x14ac:dyDescent="0.25">
      <c r="A234" s="211"/>
      <c r="C234" s="147" t="s">
        <v>230</v>
      </c>
      <c r="D234" s="231" t="str">
        <f>unit</f>
        <v>£</v>
      </c>
      <c r="E234" s="230">
        <f>SUM(E231:E233)</f>
        <v>0</v>
      </c>
      <c r="F234" s="230">
        <f t="shared" ref="F234" si="651">SUM(F231:F233)</f>
        <v>0</v>
      </c>
      <c r="G234" s="230">
        <f t="shared" ref="G234" si="652">SUM(G231:G233)</f>
        <v>0</v>
      </c>
      <c r="H234" s="230">
        <f t="shared" ref="H234" si="653">SUM(H231:H233)</f>
        <v>0</v>
      </c>
      <c r="I234" s="230">
        <f t="shared" ref="I234" si="654">SUM(I231:I233)</f>
        <v>0</v>
      </c>
      <c r="J234" s="224"/>
      <c r="K234" s="214">
        <f t="shared" ref="K234:BR234" si="655">SUM(K231:K233)</f>
        <v>0</v>
      </c>
      <c r="L234" s="214">
        <f t="shared" si="655"/>
        <v>0</v>
      </c>
      <c r="M234" s="214">
        <f t="shared" si="655"/>
        <v>0</v>
      </c>
      <c r="N234" s="214">
        <f t="shared" si="655"/>
        <v>0</v>
      </c>
      <c r="O234" s="214">
        <f t="shared" si="655"/>
        <v>0</v>
      </c>
      <c r="P234" s="214">
        <f t="shared" si="655"/>
        <v>0</v>
      </c>
      <c r="Q234" s="214">
        <f t="shared" si="655"/>
        <v>0</v>
      </c>
      <c r="R234" s="214">
        <f t="shared" si="655"/>
        <v>0</v>
      </c>
      <c r="S234" s="214">
        <f t="shared" si="655"/>
        <v>0</v>
      </c>
      <c r="T234" s="214">
        <f t="shared" si="655"/>
        <v>0</v>
      </c>
      <c r="U234" s="214">
        <f t="shared" si="655"/>
        <v>0</v>
      </c>
      <c r="V234" s="214">
        <f t="shared" si="655"/>
        <v>0</v>
      </c>
      <c r="W234" s="214">
        <f t="shared" si="655"/>
        <v>0</v>
      </c>
      <c r="X234" s="214">
        <f t="shared" si="655"/>
        <v>0</v>
      </c>
      <c r="Y234" s="214">
        <f t="shared" si="655"/>
        <v>0</v>
      </c>
      <c r="Z234" s="214">
        <f t="shared" si="655"/>
        <v>0</v>
      </c>
      <c r="AA234" s="214">
        <f t="shared" si="655"/>
        <v>0</v>
      </c>
      <c r="AB234" s="214">
        <f t="shared" si="655"/>
        <v>0</v>
      </c>
      <c r="AC234" s="214">
        <f t="shared" si="655"/>
        <v>0</v>
      </c>
      <c r="AD234" s="214">
        <f t="shared" si="655"/>
        <v>0</v>
      </c>
      <c r="AE234" s="214">
        <f t="shared" si="655"/>
        <v>0</v>
      </c>
      <c r="AF234" s="214">
        <f t="shared" si="655"/>
        <v>0</v>
      </c>
      <c r="AG234" s="214">
        <f t="shared" si="655"/>
        <v>0</v>
      </c>
      <c r="AH234" s="214">
        <f t="shared" si="655"/>
        <v>0</v>
      </c>
      <c r="AI234" s="214">
        <f t="shared" si="655"/>
        <v>0</v>
      </c>
      <c r="AJ234" s="214">
        <f t="shared" si="655"/>
        <v>0</v>
      </c>
      <c r="AK234" s="214">
        <f t="shared" si="655"/>
        <v>0</v>
      </c>
      <c r="AL234" s="214">
        <f t="shared" si="655"/>
        <v>0</v>
      </c>
      <c r="AM234" s="214">
        <f t="shared" si="655"/>
        <v>0</v>
      </c>
      <c r="AN234" s="214">
        <f t="shared" si="655"/>
        <v>0</v>
      </c>
      <c r="AO234" s="214">
        <f t="shared" si="655"/>
        <v>0</v>
      </c>
      <c r="AP234" s="214">
        <f t="shared" si="655"/>
        <v>0</v>
      </c>
      <c r="AQ234" s="214">
        <f t="shared" si="655"/>
        <v>0</v>
      </c>
      <c r="AR234" s="214">
        <f t="shared" si="655"/>
        <v>0</v>
      </c>
      <c r="AS234" s="214">
        <f t="shared" si="655"/>
        <v>0</v>
      </c>
      <c r="AT234" s="214">
        <f t="shared" si="655"/>
        <v>0</v>
      </c>
      <c r="AU234" s="214">
        <f t="shared" si="655"/>
        <v>0</v>
      </c>
      <c r="AV234" s="214">
        <f t="shared" si="655"/>
        <v>0</v>
      </c>
      <c r="AW234" s="214">
        <f t="shared" si="655"/>
        <v>0</v>
      </c>
      <c r="AX234" s="214">
        <f t="shared" si="655"/>
        <v>0</v>
      </c>
      <c r="AY234" s="214">
        <f t="shared" si="655"/>
        <v>0</v>
      </c>
      <c r="AZ234" s="214">
        <f t="shared" si="655"/>
        <v>0</v>
      </c>
      <c r="BA234" s="214">
        <f t="shared" si="655"/>
        <v>0</v>
      </c>
      <c r="BB234" s="214">
        <f t="shared" si="655"/>
        <v>0</v>
      </c>
      <c r="BC234" s="214">
        <f t="shared" si="655"/>
        <v>0</v>
      </c>
      <c r="BD234" s="214">
        <f t="shared" si="655"/>
        <v>0</v>
      </c>
      <c r="BE234" s="214">
        <f t="shared" si="655"/>
        <v>0</v>
      </c>
      <c r="BF234" s="214">
        <f t="shared" si="655"/>
        <v>0</v>
      </c>
      <c r="BG234" s="214">
        <f t="shared" si="655"/>
        <v>0</v>
      </c>
      <c r="BH234" s="214">
        <f t="shared" si="655"/>
        <v>0</v>
      </c>
      <c r="BI234" s="214">
        <f t="shared" si="655"/>
        <v>0</v>
      </c>
      <c r="BJ234" s="214">
        <f t="shared" si="655"/>
        <v>0</v>
      </c>
      <c r="BK234" s="214">
        <f t="shared" si="655"/>
        <v>0</v>
      </c>
      <c r="BL234" s="214">
        <f t="shared" si="655"/>
        <v>0</v>
      </c>
      <c r="BM234" s="214">
        <f t="shared" si="655"/>
        <v>0</v>
      </c>
      <c r="BN234" s="214">
        <f t="shared" si="655"/>
        <v>0</v>
      </c>
      <c r="BO234" s="214">
        <f t="shared" si="655"/>
        <v>0</v>
      </c>
      <c r="BP234" s="214">
        <f t="shared" si="655"/>
        <v>0</v>
      </c>
      <c r="BQ234" s="214">
        <f t="shared" si="655"/>
        <v>0</v>
      </c>
      <c r="BR234" s="214">
        <f t="shared" si="655"/>
        <v>0</v>
      </c>
    </row>
    <row r="235" spans="1:70" hidden="1" outlineLevel="1" x14ac:dyDescent="0.25">
      <c r="E235" s="147"/>
      <c r="F235" s="212"/>
      <c r="G235" s="147"/>
      <c r="H235" s="147"/>
      <c r="I235" s="147"/>
    </row>
    <row r="236" spans="1:70" s="145" customFormat="1" ht="13.8" hidden="1" outlineLevel="1" x14ac:dyDescent="0.25">
      <c r="B236" s="145" t="str">
        <f>Header2</f>
        <v>7.3</v>
      </c>
      <c r="C236" s="145" t="s">
        <v>251</v>
      </c>
      <c r="E236" s="215"/>
      <c r="F236" s="215"/>
      <c r="G236" s="215"/>
      <c r="H236" s="215"/>
      <c r="I236" s="215"/>
    </row>
    <row r="237" spans="1:70" hidden="1" outlineLevel="1" x14ac:dyDescent="0.25">
      <c r="E237" s="147"/>
      <c r="F237" s="212"/>
      <c r="G237" s="147"/>
      <c r="H237" s="147"/>
      <c r="I237" s="147"/>
    </row>
    <row r="238" spans="1:70" hidden="1" outlineLevel="1" x14ac:dyDescent="0.25">
      <c r="C238" s="147" t="s">
        <v>228</v>
      </c>
      <c r="D238" s="231" t="str">
        <f>unit</f>
        <v>£</v>
      </c>
      <c r="E238" s="147">
        <f>INDEX($K238:$BR238,0,MATCH(E$7,$K$7:$BR$7,0))</f>
        <v>0</v>
      </c>
      <c r="F238" s="147">
        <f t="shared" ref="F238:I238" si="656">INDEX($K238:$BR238,0,MATCH(F$7,$K$7:$BR$7,0))</f>
        <v>0</v>
      </c>
      <c r="G238" s="147">
        <f t="shared" si="656"/>
        <v>0</v>
      </c>
      <c r="H238" s="147">
        <f t="shared" si="656"/>
        <v>0</v>
      </c>
      <c r="I238" s="147">
        <f t="shared" si="656"/>
        <v>0</v>
      </c>
      <c r="K238" s="57">
        <f>J241</f>
        <v>0</v>
      </c>
      <c r="L238" s="57">
        <f t="shared" ref="L238:BR238" si="657">K241</f>
        <v>0</v>
      </c>
      <c r="M238" s="57">
        <f t="shared" si="657"/>
        <v>0</v>
      </c>
      <c r="N238" s="57">
        <f t="shared" si="657"/>
        <v>0</v>
      </c>
      <c r="O238" s="57">
        <f t="shared" si="657"/>
        <v>0</v>
      </c>
      <c r="P238" s="57">
        <f t="shared" si="657"/>
        <v>0</v>
      </c>
      <c r="Q238" s="57">
        <f t="shared" si="657"/>
        <v>0</v>
      </c>
      <c r="R238" s="57">
        <f t="shared" si="657"/>
        <v>0</v>
      </c>
      <c r="S238" s="57">
        <f t="shared" si="657"/>
        <v>0</v>
      </c>
      <c r="T238" s="57">
        <f t="shared" si="657"/>
        <v>0</v>
      </c>
      <c r="U238" s="57">
        <f t="shared" si="657"/>
        <v>0</v>
      </c>
      <c r="V238" s="57">
        <f t="shared" si="657"/>
        <v>0</v>
      </c>
      <c r="W238" s="57">
        <f t="shared" si="657"/>
        <v>0</v>
      </c>
      <c r="X238" s="57">
        <f t="shared" si="657"/>
        <v>0</v>
      </c>
      <c r="Y238" s="57">
        <f t="shared" si="657"/>
        <v>0</v>
      </c>
      <c r="Z238" s="57">
        <f t="shared" si="657"/>
        <v>0</v>
      </c>
      <c r="AA238" s="57">
        <f t="shared" si="657"/>
        <v>0</v>
      </c>
      <c r="AB238" s="57">
        <f t="shared" si="657"/>
        <v>0</v>
      </c>
      <c r="AC238" s="57">
        <f t="shared" si="657"/>
        <v>0</v>
      </c>
      <c r="AD238" s="57">
        <f t="shared" si="657"/>
        <v>0</v>
      </c>
      <c r="AE238" s="57">
        <f t="shared" si="657"/>
        <v>0</v>
      </c>
      <c r="AF238" s="57">
        <f t="shared" si="657"/>
        <v>0</v>
      </c>
      <c r="AG238" s="57">
        <f t="shared" si="657"/>
        <v>0</v>
      </c>
      <c r="AH238" s="57">
        <f t="shared" si="657"/>
        <v>0</v>
      </c>
      <c r="AI238" s="57">
        <f t="shared" si="657"/>
        <v>0</v>
      </c>
      <c r="AJ238" s="57">
        <f t="shared" si="657"/>
        <v>0</v>
      </c>
      <c r="AK238" s="57">
        <f t="shared" si="657"/>
        <v>0</v>
      </c>
      <c r="AL238" s="57">
        <f t="shared" si="657"/>
        <v>0</v>
      </c>
      <c r="AM238" s="57">
        <f t="shared" si="657"/>
        <v>0</v>
      </c>
      <c r="AN238" s="57">
        <f t="shared" si="657"/>
        <v>0</v>
      </c>
      <c r="AO238" s="57">
        <f t="shared" si="657"/>
        <v>0</v>
      </c>
      <c r="AP238" s="57">
        <f t="shared" si="657"/>
        <v>0</v>
      </c>
      <c r="AQ238" s="57">
        <f t="shared" si="657"/>
        <v>0</v>
      </c>
      <c r="AR238" s="57">
        <f t="shared" si="657"/>
        <v>0</v>
      </c>
      <c r="AS238" s="57">
        <f t="shared" si="657"/>
        <v>0</v>
      </c>
      <c r="AT238" s="57">
        <f t="shared" si="657"/>
        <v>0</v>
      </c>
      <c r="AU238" s="57">
        <f t="shared" si="657"/>
        <v>0</v>
      </c>
      <c r="AV238" s="57">
        <f t="shared" si="657"/>
        <v>0</v>
      </c>
      <c r="AW238" s="57">
        <f t="shared" si="657"/>
        <v>0</v>
      </c>
      <c r="AX238" s="57">
        <f t="shared" si="657"/>
        <v>0</v>
      </c>
      <c r="AY238" s="57">
        <f t="shared" si="657"/>
        <v>0</v>
      </c>
      <c r="AZ238" s="57">
        <f t="shared" si="657"/>
        <v>0</v>
      </c>
      <c r="BA238" s="57">
        <f t="shared" si="657"/>
        <v>0</v>
      </c>
      <c r="BB238" s="57">
        <f t="shared" si="657"/>
        <v>0</v>
      </c>
      <c r="BC238" s="57">
        <f t="shared" si="657"/>
        <v>0</v>
      </c>
      <c r="BD238" s="57">
        <f t="shared" si="657"/>
        <v>0</v>
      </c>
      <c r="BE238" s="57">
        <f t="shared" si="657"/>
        <v>0</v>
      </c>
      <c r="BF238" s="57">
        <f t="shared" si="657"/>
        <v>0</v>
      </c>
      <c r="BG238" s="57">
        <f t="shared" si="657"/>
        <v>0</v>
      </c>
      <c r="BH238" s="57">
        <f t="shared" si="657"/>
        <v>0</v>
      </c>
      <c r="BI238" s="57">
        <f t="shared" si="657"/>
        <v>0</v>
      </c>
      <c r="BJ238" s="57">
        <f t="shared" si="657"/>
        <v>0</v>
      </c>
      <c r="BK238" s="57">
        <f t="shared" si="657"/>
        <v>0</v>
      </c>
      <c r="BL238" s="57">
        <f t="shared" si="657"/>
        <v>0</v>
      </c>
      <c r="BM238" s="57">
        <f t="shared" si="657"/>
        <v>0</v>
      </c>
      <c r="BN238" s="57">
        <f t="shared" si="657"/>
        <v>0</v>
      </c>
      <c r="BO238" s="57">
        <f t="shared" si="657"/>
        <v>0</v>
      </c>
      <c r="BP238" s="57">
        <f t="shared" si="657"/>
        <v>0</v>
      </c>
      <c r="BQ238" s="57">
        <f t="shared" si="657"/>
        <v>0</v>
      </c>
      <c r="BR238" s="57">
        <f t="shared" si="657"/>
        <v>0</v>
      </c>
    </row>
    <row r="239" spans="1:70" hidden="1" outlineLevel="1" x14ac:dyDescent="0.25">
      <c r="C239" s="147" t="s">
        <v>252</v>
      </c>
      <c r="D239" s="231" t="str">
        <f>unit</f>
        <v>£</v>
      </c>
      <c r="E239" s="147">
        <f>SUMIF($K$5:$BR$5,E$5,$K239:$BR239)</f>
        <v>0</v>
      </c>
      <c r="F239" s="147">
        <f t="shared" ref="F239:I240" si="658">SUMIF($K$5:$BR$5,F$5,$K239:$BR239)</f>
        <v>0</v>
      </c>
      <c r="G239" s="147">
        <f t="shared" si="658"/>
        <v>0</v>
      </c>
      <c r="H239" s="147">
        <f t="shared" si="658"/>
        <v>0</v>
      </c>
      <c r="I239" s="147">
        <f t="shared" si="658"/>
        <v>0</v>
      </c>
      <c r="K239" s="57">
        <f>K231*$D214/12</f>
        <v>0</v>
      </c>
      <c r="L239" s="57">
        <f t="shared" ref="L239:BR239" si="659">L231*$D214/12</f>
        <v>0</v>
      </c>
      <c r="M239" s="57">
        <f t="shared" si="659"/>
        <v>0</v>
      </c>
      <c r="N239" s="57">
        <f t="shared" si="659"/>
        <v>0</v>
      </c>
      <c r="O239" s="57">
        <f t="shared" si="659"/>
        <v>0</v>
      </c>
      <c r="P239" s="57">
        <f t="shared" si="659"/>
        <v>0</v>
      </c>
      <c r="Q239" s="57">
        <f t="shared" si="659"/>
        <v>0</v>
      </c>
      <c r="R239" s="57">
        <f t="shared" si="659"/>
        <v>0</v>
      </c>
      <c r="S239" s="57">
        <f t="shared" si="659"/>
        <v>0</v>
      </c>
      <c r="T239" s="57">
        <f t="shared" si="659"/>
        <v>0</v>
      </c>
      <c r="U239" s="57">
        <f t="shared" si="659"/>
        <v>0</v>
      </c>
      <c r="V239" s="57">
        <f t="shared" si="659"/>
        <v>0</v>
      </c>
      <c r="W239" s="57">
        <f t="shared" si="659"/>
        <v>0</v>
      </c>
      <c r="X239" s="57">
        <f t="shared" si="659"/>
        <v>0</v>
      </c>
      <c r="Y239" s="57">
        <f t="shared" si="659"/>
        <v>0</v>
      </c>
      <c r="Z239" s="57">
        <f t="shared" si="659"/>
        <v>0</v>
      </c>
      <c r="AA239" s="57">
        <f t="shared" si="659"/>
        <v>0</v>
      </c>
      <c r="AB239" s="57">
        <f t="shared" si="659"/>
        <v>0</v>
      </c>
      <c r="AC239" s="57">
        <f t="shared" si="659"/>
        <v>0</v>
      </c>
      <c r="AD239" s="57">
        <f t="shared" si="659"/>
        <v>0</v>
      </c>
      <c r="AE239" s="57">
        <f t="shared" si="659"/>
        <v>0</v>
      </c>
      <c r="AF239" s="57">
        <f t="shared" si="659"/>
        <v>0</v>
      </c>
      <c r="AG239" s="57">
        <f t="shared" si="659"/>
        <v>0</v>
      </c>
      <c r="AH239" s="57">
        <f t="shared" si="659"/>
        <v>0</v>
      </c>
      <c r="AI239" s="57">
        <f t="shared" si="659"/>
        <v>0</v>
      </c>
      <c r="AJ239" s="57">
        <f t="shared" si="659"/>
        <v>0</v>
      </c>
      <c r="AK239" s="57">
        <f t="shared" si="659"/>
        <v>0</v>
      </c>
      <c r="AL239" s="57">
        <f t="shared" si="659"/>
        <v>0</v>
      </c>
      <c r="AM239" s="57">
        <f t="shared" si="659"/>
        <v>0</v>
      </c>
      <c r="AN239" s="57">
        <f t="shared" si="659"/>
        <v>0</v>
      </c>
      <c r="AO239" s="57">
        <f t="shared" si="659"/>
        <v>0</v>
      </c>
      <c r="AP239" s="57">
        <f t="shared" si="659"/>
        <v>0</v>
      </c>
      <c r="AQ239" s="57">
        <f t="shared" si="659"/>
        <v>0</v>
      </c>
      <c r="AR239" s="57">
        <f t="shared" si="659"/>
        <v>0</v>
      </c>
      <c r="AS239" s="57">
        <f t="shared" si="659"/>
        <v>0</v>
      </c>
      <c r="AT239" s="57">
        <f t="shared" si="659"/>
        <v>0</v>
      </c>
      <c r="AU239" s="57">
        <f t="shared" si="659"/>
        <v>0</v>
      </c>
      <c r="AV239" s="57">
        <f t="shared" si="659"/>
        <v>0</v>
      </c>
      <c r="AW239" s="57">
        <f t="shared" si="659"/>
        <v>0</v>
      </c>
      <c r="AX239" s="57">
        <f t="shared" si="659"/>
        <v>0</v>
      </c>
      <c r="AY239" s="57">
        <f t="shared" si="659"/>
        <v>0</v>
      </c>
      <c r="AZ239" s="57">
        <f t="shared" si="659"/>
        <v>0</v>
      </c>
      <c r="BA239" s="57">
        <f t="shared" si="659"/>
        <v>0</v>
      </c>
      <c r="BB239" s="57">
        <f t="shared" si="659"/>
        <v>0</v>
      </c>
      <c r="BC239" s="57">
        <f t="shared" si="659"/>
        <v>0</v>
      </c>
      <c r="BD239" s="57">
        <f t="shared" si="659"/>
        <v>0</v>
      </c>
      <c r="BE239" s="57">
        <f t="shared" si="659"/>
        <v>0</v>
      </c>
      <c r="BF239" s="57">
        <f t="shared" si="659"/>
        <v>0</v>
      </c>
      <c r="BG239" s="57">
        <f t="shared" si="659"/>
        <v>0</v>
      </c>
      <c r="BH239" s="57">
        <f t="shared" si="659"/>
        <v>0</v>
      </c>
      <c r="BI239" s="57">
        <f t="shared" si="659"/>
        <v>0</v>
      </c>
      <c r="BJ239" s="57">
        <f t="shared" si="659"/>
        <v>0</v>
      </c>
      <c r="BK239" s="57">
        <f t="shared" si="659"/>
        <v>0</v>
      </c>
      <c r="BL239" s="57">
        <f t="shared" si="659"/>
        <v>0</v>
      </c>
      <c r="BM239" s="57">
        <f t="shared" si="659"/>
        <v>0</v>
      </c>
      <c r="BN239" s="57">
        <f t="shared" si="659"/>
        <v>0</v>
      </c>
      <c r="BO239" s="57">
        <f t="shared" si="659"/>
        <v>0</v>
      </c>
      <c r="BP239" s="57">
        <f t="shared" si="659"/>
        <v>0</v>
      </c>
      <c r="BQ239" s="57">
        <f t="shared" si="659"/>
        <v>0</v>
      </c>
      <c r="BR239" s="57">
        <f t="shared" si="659"/>
        <v>0</v>
      </c>
    </row>
    <row r="240" spans="1:70" hidden="1" outlineLevel="1" x14ac:dyDescent="0.25">
      <c r="C240" s="147" t="s">
        <v>215</v>
      </c>
      <c r="D240" s="231" t="str">
        <f>unit</f>
        <v>£</v>
      </c>
      <c r="E240" s="147">
        <f>SUMIF($K$5:$BR$5,E$5,$K240:$BR240)</f>
        <v>0</v>
      </c>
      <c r="F240" s="147">
        <f t="shared" si="658"/>
        <v>0</v>
      </c>
      <c r="G240" s="147">
        <f t="shared" si="658"/>
        <v>0</v>
      </c>
      <c r="H240" s="147">
        <f t="shared" si="658"/>
        <v>0</v>
      </c>
      <c r="I240" s="147">
        <f t="shared" si="658"/>
        <v>0</v>
      </c>
      <c r="K240" s="57">
        <f>-SUM(K238:K239)*K226</f>
        <v>0</v>
      </c>
      <c r="L240" s="57">
        <f t="shared" ref="L240" si="660">-SUM(L238:L239)*L226</f>
        <v>0</v>
      </c>
      <c r="M240" s="57">
        <f t="shared" ref="M240" si="661">-SUM(M238:M239)*M226</f>
        <v>0</v>
      </c>
      <c r="N240" s="57">
        <f t="shared" ref="N240" si="662">-SUM(N238:N239)*N226</f>
        <v>0</v>
      </c>
      <c r="O240" s="57">
        <f t="shared" ref="O240" si="663">-SUM(O238:O239)*O226</f>
        <v>0</v>
      </c>
      <c r="P240" s="57">
        <f t="shared" ref="P240" si="664">-SUM(P238:P239)*P226</f>
        <v>0</v>
      </c>
      <c r="Q240" s="57">
        <f t="shared" ref="Q240" si="665">-SUM(Q238:Q239)*Q226</f>
        <v>0</v>
      </c>
      <c r="R240" s="57">
        <f t="shared" ref="R240" si="666">-SUM(R238:R239)*R226</f>
        <v>0</v>
      </c>
      <c r="S240" s="57">
        <f t="shared" ref="S240" si="667">-SUM(S238:S239)*S226</f>
        <v>0</v>
      </c>
      <c r="T240" s="57">
        <f t="shared" ref="T240" si="668">-SUM(T238:T239)*T226</f>
        <v>0</v>
      </c>
      <c r="U240" s="57">
        <f t="shared" ref="U240" si="669">-SUM(U238:U239)*U226</f>
        <v>0</v>
      </c>
      <c r="V240" s="57">
        <f t="shared" ref="V240" si="670">-SUM(V238:V239)*V226</f>
        <v>0</v>
      </c>
      <c r="W240" s="57">
        <f t="shared" ref="W240" si="671">-SUM(W238:W239)*W226</f>
        <v>0</v>
      </c>
      <c r="X240" s="57">
        <f t="shared" ref="X240" si="672">-SUM(X238:X239)*X226</f>
        <v>0</v>
      </c>
      <c r="Y240" s="57">
        <f t="shared" ref="Y240" si="673">-SUM(Y238:Y239)*Y226</f>
        <v>0</v>
      </c>
      <c r="Z240" s="57">
        <f t="shared" ref="Z240" si="674">-SUM(Z238:Z239)*Z226</f>
        <v>0</v>
      </c>
      <c r="AA240" s="57">
        <f t="shared" ref="AA240" si="675">-SUM(AA238:AA239)*AA226</f>
        <v>0</v>
      </c>
      <c r="AB240" s="57">
        <f t="shared" ref="AB240" si="676">-SUM(AB238:AB239)*AB226</f>
        <v>0</v>
      </c>
      <c r="AC240" s="57">
        <f t="shared" ref="AC240" si="677">-SUM(AC238:AC239)*AC226</f>
        <v>0</v>
      </c>
      <c r="AD240" s="57">
        <f t="shared" ref="AD240" si="678">-SUM(AD238:AD239)*AD226</f>
        <v>0</v>
      </c>
      <c r="AE240" s="57">
        <f t="shared" ref="AE240" si="679">-SUM(AE238:AE239)*AE226</f>
        <v>0</v>
      </c>
      <c r="AF240" s="57">
        <f t="shared" ref="AF240" si="680">-SUM(AF238:AF239)*AF226</f>
        <v>0</v>
      </c>
      <c r="AG240" s="57">
        <f t="shared" ref="AG240" si="681">-SUM(AG238:AG239)*AG226</f>
        <v>0</v>
      </c>
      <c r="AH240" s="57">
        <f t="shared" ref="AH240" si="682">-SUM(AH238:AH239)*AH226</f>
        <v>0</v>
      </c>
      <c r="AI240" s="57">
        <f t="shared" ref="AI240" si="683">-SUM(AI238:AI239)*AI226</f>
        <v>0</v>
      </c>
      <c r="AJ240" s="57">
        <f t="shared" ref="AJ240" si="684">-SUM(AJ238:AJ239)*AJ226</f>
        <v>0</v>
      </c>
      <c r="AK240" s="57">
        <f t="shared" ref="AK240" si="685">-SUM(AK238:AK239)*AK226</f>
        <v>0</v>
      </c>
      <c r="AL240" s="57">
        <f t="shared" ref="AL240" si="686">-SUM(AL238:AL239)*AL226</f>
        <v>0</v>
      </c>
      <c r="AM240" s="57">
        <f t="shared" ref="AM240" si="687">-SUM(AM238:AM239)*AM226</f>
        <v>0</v>
      </c>
      <c r="AN240" s="57">
        <f t="shared" ref="AN240" si="688">-SUM(AN238:AN239)*AN226</f>
        <v>0</v>
      </c>
      <c r="AO240" s="57">
        <f t="shared" ref="AO240" si="689">-SUM(AO238:AO239)*AO226</f>
        <v>0</v>
      </c>
      <c r="AP240" s="57">
        <f t="shared" ref="AP240" si="690">-SUM(AP238:AP239)*AP226</f>
        <v>0</v>
      </c>
      <c r="AQ240" s="57">
        <f t="shared" ref="AQ240" si="691">-SUM(AQ238:AQ239)*AQ226</f>
        <v>0</v>
      </c>
      <c r="AR240" s="57">
        <f t="shared" ref="AR240" si="692">-SUM(AR238:AR239)*AR226</f>
        <v>0</v>
      </c>
      <c r="AS240" s="57">
        <f t="shared" ref="AS240" si="693">-SUM(AS238:AS239)*AS226</f>
        <v>0</v>
      </c>
      <c r="AT240" s="57">
        <f t="shared" ref="AT240" si="694">-SUM(AT238:AT239)*AT226</f>
        <v>0</v>
      </c>
      <c r="AU240" s="57">
        <f t="shared" ref="AU240" si="695">-SUM(AU238:AU239)*AU226</f>
        <v>0</v>
      </c>
      <c r="AV240" s="57">
        <f t="shared" ref="AV240" si="696">-SUM(AV238:AV239)*AV226</f>
        <v>0</v>
      </c>
      <c r="AW240" s="57">
        <f t="shared" ref="AW240" si="697">-SUM(AW238:AW239)*AW226</f>
        <v>0</v>
      </c>
      <c r="AX240" s="57">
        <f t="shared" ref="AX240" si="698">-SUM(AX238:AX239)*AX226</f>
        <v>0</v>
      </c>
      <c r="AY240" s="57">
        <f t="shared" ref="AY240" si="699">-SUM(AY238:AY239)*AY226</f>
        <v>0</v>
      </c>
      <c r="AZ240" s="57">
        <f t="shared" ref="AZ240" si="700">-SUM(AZ238:AZ239)*AZ226</f>
        <v>0</v>
      </c>
      <c r="BA240" s="57">
        <f t="shared" ref="BA240" si="701">-SUM(BA238:BA239)*BA226</f>
        <v>0</v>
      </c>
      <c r="BB240" s="57">
        <f t="shared" ref="BB240" si="702">-SUM(BB238:BB239)*BB226</f>
        <v>0</v>
      </c>
      <c r="BC240" s="57">
        <f t="shared" ref="BC240" si="703">-SUM(BC238:BC239)*BC226</f>
        <v>0</v>
      </c>
      <c r="BD240" s="57">
        <f t="shared" ref="BD240" si="704">-SUM(BD238:BD239)*BD226</f>
        <v>0</v>
      </c>
      <c r="BE240" s="57">
        <f t="shared" ref="BE240" si="705">-SUM(BE238:BE239)*BE226</f>
        <v>0</v>
      </c>
      <c r="BF240" s="57">
        <f t="shared" ref="BF240" si="706">-SUM(BF238:BF239)*BF226</f>
        <v>0</v>
      </c>
      <c r="BG240" s="57">
        <f t="shared" ref="BG240" si="707">-SUM(BG238:BG239)*BG226</f>
        <v>0</v>
      </c>
      <c r="BH240" s="57">
        <f t="shared" ref="BH240" si="708">-SUM(BH238:BH239)*BH226</f>
        <v>0</v>
      </c>
      <c r="BI240" s="57">
        <f t="shared" ref="BI240" si="709">-SUM(BI238:BI239)*BI226</f>
        <v>0</v>
      </c>
      <c r="BJ240" s="57">
        <f t="shared" ref="BJ240" si="710">-SUM(BJ238:BJ239)*BJ226</f>
        <v>0</v>
      </c>
      <c r="BK240" s="57">
        <f t="shared" ref="BK240" si="711">-SUM(BK238:BK239)*BK226</f>
        <v>0</v>
      </c>
      <c r="BL240" s="57">
        <f t="shared" ref="BL240" si="712">-SUM(BL238:BL239)*BL226</f>
        <v>0</v>
      </c>
      <c r="BM240" s="57">
        <f t="shared" ref="BM240" si="713">-SUM(BM238:BM239)*BM226</f>
        <v>0</v>
      </c>
      <c r="BN240" s="57">
        <f t="shared" ref="BN240" si="714">-SUM(BN238:BN239)*BN226</f>
        <v>0</v>
      </c>
      <c r="BO240" s="57">
        <f t="shared" ref="BO240" si="715">-SUM(BO238:BO239)*BO226</f>
        <v>0</v>
      </c>
      <c r="BP240" s="57">
        <f t="shared" ref="BP240" si="716">-SUM(BP238:BP239)*BP226</f>
        <v>0</v>
      </c>
      <c r="BQ240" s="57">
        <f t="shared" ref="BQ240" si="717">-SUM(BQ238:BQ239)*BQ226</f>
        <v>0</v>
      </c>
      <c r="BR240" s="57">
        <f t="shared" ref="BR240" si="718">-SUM(BR238:BR239)*BR226</f>
        <v>0</v>
      </c>
    </row>
    <row r="241" spans="1:70" hidden="1" outlineLevel="1" x14ac:dyDescent="0.25">
      <c r="C241" s="147" t="s">
        <v>230</v>
      </c>
      <c r="D241" s="231" t="str">
        <f>unit</f>
        <v>£</v>
      </c>
      <c r="E241" s="230">
        <f>SUM(E238:E240)</f>
        <v>0</v>
      </c>
      <c r="F241" s="230">
        <f t="shared" ref="F241" si="719">SUM(F238:F240)</f>
        <v>0</v>
      </c>
      <c r="G241" s="230">
        <f t="shared" ref="G241" si="720">SUM(G238:G240)</f>
        <v>0</v>
      </c>
      <c r="H241" s="230">
        <f t="shared" ref="H241" si="721">SUM(H238:H240)</f>
        <v>0</v>
      </c>
      <c r="I241" s="230">
        <f t="shared" ref="I241" si="722">SUM(I238:I240)</f>
        <v>0</v>
      </c>
      <c r="J241" s="156"/>
      <c r="K241" s="59">
        <f>SUM(K238:K240)</f>
        <v>0</v>
      </c>
      <c r="L241" s="59">
        <f t="shared" ref="L241" si="723">SUM(L238:L240)</f>
        <v>0</v>
      </c>
      <c r="M241" s="59">
        <f t="shared" ref="M241" si="724">SUM(M238:M240)</f>
        <v>0</v>
      </c>
      <c r="N241" s="59">
        <f t="shared" ref="N241" si="725">SUM(N238:N240)</f>
        <v>0</v>
      </c>
      <c r="O241" s="59">
        <f t="shared" ref="O241" si="726">SUM(O238:O240)</f>
        <v>0</v>
      </c>
      <c r="P241" s="59">
        <f t="shared" ref="P241" si="727">SUM(P238:P240)</f>
        <v>0</v>
      </c>
      <c r="Q241" s="59">
        <f t="shared" ref="Q241" si="728">SUM(Q238:Q240)</f>
        <v>0</v>
      </c>
      <c r="R241" s="59">
        <f t="shared" ref="R241" si="729">SUM(R238:R240)</f>
        <v>0</v>
      </c>
      <c r="S241" s="59">
        <f t="shared" ref="S241" si="730">SUM(S238:S240)</f>
        <v>0</v>
      </c>
      <c r="T241" s="59">
        <f t="shared" ref="T241" si="731">SUM(T238:T240)</f>
        <v>0</v>
      </c>
      <c r="U241" s="59">
        <f t="shared" ref="U241" si="732">SUM(U238:U240)</f>
        <v>0</v>
      </c>
      <c r="V241" s="59">
        <f t="shared" ref="V241" si="733">SUM(V238:V240)</f>
        <v>0</v>
      </c>
      <c r="W241" s="59">
        <f t="shared" ref="W241" si="734">SUM(W238:W240)</f>
        <v>0</v>
      </c>
      <c r="X241" s="59">
        <f t="shared" ref="X241" si="735">SUM(X238:X240)</f>
        <v>0</v>
      </c>
      <c r="Y241" s="59">
        <f t="shared" ref="Y241" si="736">SUM(Y238:Y240)</f>
        <v>0</v>
      </c>
      <c r="Z241" s="59">
        <f t="shared" ref="Z241" si="737">SUM(Z238:Z240)</f>
        <v>0</v>
      </c>
      <c r="AA241" s="59">
        <f t="shared" ref="AA241" si="738">SUM(AA238:AA240)</f>
        <v>0</v>
      </c>
      <c r="AB241" s="59">
        <f t="shared" ref="AB241" si="739">SUM(AB238:AB240)</f>
        <v>0</v>
      </c>
      <c r="AC241" s="59">
        <f t="shared" ref="AC241" si="740">SUM(AC238:AC240)</f>
        <v>0</v>
      </c>
      <c r="AD241" s="59">
        <f t="shared" ref="AD241" si="741">SUM(AD238:AD240)</f>
        <v>0</v>
      </c>
      <c r="AE241" s="59">
        <f t="shared" ref="AE241" si="742">SUM(AE238:AE240)</f>
        <v>0</v>
      </c>
      <c r="AF241" s="59">
        <f t="shared" ref="AF241" si="743">SUM(AF238:AF240)</f>
        <v>0</v>
      </c>
      <c r="AG241" s="59">
        <f t="shared" ref="AG241" si="744">SUM(AG238:AG240)</f>
        <v>0</v>
      </c>
      <c r="AH241" s="59">
        <f t="shared" ref="AH241" si="745">SUM(AH238:AH240)</f>
        <v>0</v>
      </c>
      <c r="AI241" s="59">
        <f t="shared" ref="AI241" si="746">SUM(AI238:AI240)</f>
        <v>0</v>
      </c>
      <c r="AJ241" s="59">
        <f t="shared" ref="AJ241" si="747">SUM(AJ238:AJ240)</f>
        <v>0</v>
      </c>
      <c r="AK241" s="59">
        <f t="shared" ref="AK241" si="748">SUM(AK238:AK240)</f>
        <v>0</v>
      </c>
      <c r="AL241" s="59">
        <f t="shared" ref="AL241" si="749">SUM(AL238:AL240)</f>
        <v>0</v>
      </c>
      <c r="AM241" s="59">
        <f t="shared" ref="AM241" si="750">SUM(AM238:AM240)</f>
        <v>0</v>
      </c>
      <c r="AN241" s="59">
        <f t="shared" ref="AN241" si="751">SUM(AN238:AN240)</f>
        <v>0</v>
      </c>
      <c r="AO241" s="59">
        <f t="shared" ref="AO241" si="752">SUM(AO238:AO240)</f>
        <v>0</v>
      </c>
      <c r="AP241" s="59">
        <f t="shared" ref="AP241" si="753">SUM(AP238:AP240)</f>
        <v>0</v>
      </c>
      <c r="AQ241" s="59">
        <f t="shared" ref="AQ241" si="754">SUM(AQ238:AQ240)</f>
        <v>0</v>
      </c>
      <c r="AR241" s="59">
        <f t="shared" ref="AR241" si="755">SUM(AR238:AR240)</f>
        <v>0</v>
      </c>
      <c r="AS241" s="59">
        <f t="shared" ref="AS241" si="756">SUM(AS238:AS240)</f>
        <v>0</v>
      </c>
      <c r="AT241" s="59">
        <f t="shared" ref="AT241" si="757">SUM(AT238:AT240)</f>
        <v>0</v>
      </c>
      <c r="AU241" s="59">
        <f t="shared" ref="AU241" si="758">SUM(AU238:AU240)</f>
        <v>0</v>
      </c>
      <c r="AV241" s="59">
        <f t="shared" ref="AV241" si="759">SUM(AV238:AV240)</f>
        <v>0</v>
      </c>
      <c r="AW241" s="59">
        <f t="shared" ref="AW241" si="760">SUM(AW238:AW240)</f>
        <v>0</v>
      </c>
      <c r="AX241" s="59">
        <f t="shared" ref="AX241" si="761">SUM(AX238:AX240)</f>
        <v>0</v>
      </c>
      <c r="AY241" s="59">
        <f t="shared" ref="AY241" si="762">SUM(AY238:AY240)</f>
        <v>0</v>
      </c>
      <c r="AZ241" s="59">
        <f t="shared" ref="AZ241" si="763">SUM(AZ238:AZ240)</f>
        <v>0</v>
      </c>
      <c r="BA241" s="59">
        <f t="shared" ref="BA241" si="764">SUM(BA238:BA240)</f>
        <v>0</v>
      </c>
      <c r="BB241" s="59">
        <f t="shared" ref="BB241" si="765">SUM(BB238:BB240)</f>
        <v>0</v>
      </c>
      <c r="BC241" s="59">
        <f t="shared" ref="BC241" si="766">SUM(BC238:BC240)</f>
        <v>0</v>
      </c>
      <c r="BD241" s="59">
        <f t="shared" ref="BD241" si="767">SUM(BD238:BD240)</f>
        <v>0</v>
      </c>
      <c r="BE241" s="59">
        <f t="shared" ref="BE241" si="768">SUM(BE238:BE240)</f>
        <v>0</v>
      </c>
      <c r="BF241" s="59">
        <f t="shared" ref="BF241" si="769">SUM(BF238:BF240)</f>
        <v>0</v>
      </c>
      <c r="BG241" s="59">
        <f t="shared" ref="BG241" si="770">SUM(BG238:BG240)</f>
        <v>0</v>
      </c>
      <c r="BH241" s="59">
        <f t="shared" ref="BH241" si="771">SUM(BH238:BH240)</f>
        <v>0</v>
      </c>
      <c r="BI241" s="59">
        <f t="shared" ref="BI241" si="772">SUM(BI238:BI240)</f>
        <v>0</v>
      </c>
      <c r="BJ241" s="59">
        <f t="shared" ref="BJ241" si="773">SUM(BJ238:BJ240)</f>
        <v>0</v>
      </c>
      <c r="BK241" s="59">
        <f t="shared" ref="BK241" si="774">SUM(BK238:BK240)</f>
        <v>0</v>
      </c>
      <c r="BL241" s="59">
        <f t="shared" ref="BL241" si="775">SUM(BL238:BL240)</f>
        <v>0</v>
      </c>
      <c r="BM241" s="59">
        <f t="shared" ref="BM241" si="776">SUM(BM238:BM240)</f>
        <v>0</v>
      </c>
      <c r="BN241" s="59">
        <f t="shared" ref="BN241" si="777">SUM(BN238:BN240)</f>
        <v>0</v>
      </c>
      <c r="BO241" s="59">
        <f t="shared" ref="BO241" si="778">SUM(BO238:BO240)</f>
        <v>0</v>
      </c>
      <c r="BP241" s="59">
        <f t="shared" ref="BP241" si="779">SUM(BP238:BP240)</f>
        <v>0</v>
      </c>
      <c r="BQ241" s="59">
        <f t="shared" ref="BQ241" si="780">SUM(BQ238:BQ240)</f>
        <v>0</v>
      </c>
      <c r="BR241" s="59">
        <f t="shared" ref="BR241" si="781">SUM(BR238:BR240)</f>
        <v>0</v>
      </c>
    </row>
    <row r="242" spans="1:70" collapsed="1" x14ac:dyDescent="0.25"/>
    <row r="243" spans="1:70" s="142" customFormat="1" ht="15.6" x14ac:dyDescent="0.3">
      <c r="A243" s="142" t="s">
        <v>217</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8"/>
  <dimension ref="A1:AM15"/>
  <sheetViews>
    <sheetView workbookViewId="0">
      <pane xSplit="1" ySplit="5" topLeftCell="C6" activePane="bottomRight" state="frozen"/>
      <selection pane="topRight" activeCell="B1" sqref="B1"/>
      <selection pane="bottomLeft" activeCell="A6" sqref="A6"/>
      <selection pane="bottomRight" activeCell="N11" sqref="N11"/>
    </sheetView>
  </sheetViews>
  <sheetFormatPr defaultColWidth="8.88671875" defaultRowHeight="14.4" x14ac:dyDescent="0.3"/>
  <cols>
    <col min="1" max="1" width="32.33203125" customWidth="1"/>
    <col min="2" max="13" width="11.109375" customWidth="1"/>
    <col min="14" max="14" width="11.33203125" bestFit="1" customWidth="1"/>
  </cols>
  <sheetData>
    <row r="1" spans="1:39" ht="18" x14ac:dyDescent="0.3">
      <c r="A1" s="50">
        <f>KeyInputs!F14</f>
        <v>0</v>
      </c>
    </row>
    <row r="2" spans="1:39" ht="21" x14ac:dyDescent="0.4">
      <c r="A2" s="4" t="s">
        <v>96</v>
      </c>
      <c r="D2" s="38" t="s">
        <v>103</v>
      </c>
    </row>
    <row r="4" spans="1:39" x14ac:dyDescent="0.3">
      <c r="B4" s="336">
        <f>KeyInputs!$F$17</f>
        <v>42005</v>
      </c>
      <c r="C4" s="337"/>
      <c r="D4" s="337"/>
      <c r="E4" s="337"/>
      <c r="F4" s="337"/>
      <c r="G4" s="337"/>
      <c r="H4" s="337"/>
      <c r="I4" s="337"/>
      <c r="J4" s="337"/>
      <c r="K4" s="337"/>
      <c r="L4" s="337"/>
      <c r="M4" s="338"/>
      <c r="N4" s="36">
        <f>B4</f>
        <v>42005</v>
      </c>
      <c r="O4" s="336">
        <f>KeyInputs!$F$17+1</f>
        <v>42006</v>
      </c>
      <c r="P4" s="337"/>
      <c r="Q4" s="337"/>
      <c r="R4" s="337"/>
      <c r="S4" s="337"/>
      <c r="T4" s="337"/>
      <c r="U4" s="337"/>
      <c r="V4" s="337"/>
      <c r="W4" s="337"/>
      <c r="X4" s="337"/>
      <c r="Y4" s="337"/>
      <c r="Z4" s="338"/>
      <c r="AB4" s="336">
        <f>KeyInputs!$F$17+2</f>
        <v>42007</v>
      </c>
      <c r="AC4" s="337"/>
      <c r="AD4" s="337"/>
      <c r="AE4" s="337"/>
      <c r="AF4" s="337"/>
      <c r="AG4" s="337"/>
      <c r="AH4" s="337"/>
      <c r="AI4" s="337"/>
      <c r="AJ4" s="337"/>
      <c r="AK4" s="337"/>
      <c r="AL4" s="337"/>
      <c r="AM4" s="338"/>
    </row>
    <row r="5" spans="1:39" x14ac:dyDescent="0.3">
      <c r="B5" s="45" t="e">
        <f>KeyInputs!#REF!</f>
        <v>#REF!</v>
      </c>
      <c r="C5" s="46" t="e">
        <f ca="1">OFFSET(Worksheet!$A$14,,(HLOOKUP(KeyInputs!#REF!,Worksheet!$A$14:$L$15,2,FALSE)))</f>
        <v>#REF!</v>
      </c>
      <c r="D5" s="46" t="e">
        <f ca="1">OFFSET(Worksheet!$A$14,,(HLOOKUP(KeyInputs!#REF!,Worksheet!$A$14:$L$15,2,FALSE))+Worksheet!$A$15)</f>
        <v>#REF!</v>
      </c>
      <c r="E5" s="46" t="e">
        <f ca="1">OFFSET(Worksheet!$A$14,,(HLOOKUP(KeyInputs!#REF!,Worksheet!$A$14:$L$15,2,FALSE))+Worksheet!$B$15)</f>
        <v>#REF!</v>
      </c>
      <c r="F5" s="46" t="e">
        <f ca="1">OFFSET(Worksheet!$A$14,,(HLOOKUP(KeyInputs!#REF!,Worksheet!$A$14:$L$15,2,FALSE))+Worksheet!$C$15)</f>
        <v>#REF!</v>
      </c>
      <c r="G5" s="46" t="e">
        <f ca="1">OFFSET(Worksheet!$A$14,,(HLOOKUP(KeyInputs!#REF!,Worksheet!$A$14:$L$15,2,FALSE))+Worksheet!$D$15)</f>
        <v>#REF!</v>
      </c>
      <c r="H5" s="46" t="e">
        <f ca="1">OFFSET(Worksheet!$A$14,,(HLOOKUP(KeyInputs!#REF!,Worksheet!$A$14:$L$15,2,FALSE))+Worksheet!$E$15)</f>
        <v>#REF!</v>
      </c>
      <c r="I5" s="46" t="e">
        <f ca="1">OFFSET(Worksheet!$A$14,,(HLOOKUP(KeyInputs!#REF!,Worksheet!$A$14:$L$15,2,FALSE))+Worksheet!$F$15)</f>
        <v>#REF!</v>
      </c>
      <c r="J5" s="46" t="e">
        <f ca="1">OFFSET(Worksheet!$A$14,,(HLOOKUP(KeyInputs!#REF!,Worksheet!$A$14:$L$15,2,FALSE))+Worksheet!$G$15)</f>
        <v>#REF!</v>
      </c>
      <c r="K5" s="46" t="e">
        <f ca="1">OFFSET(Worksheet!$A$14,,(HLOOKUP(KeyInputs!#REF!,Worksheet!$A$14:$L$15,2,FALSE))+Worksheet!$H$15)</f>
        <v>#REF!</v>
      </c>
      <c r="L5" s="46" t="e">
        <f ca="1">OFFSET(Worksheet!$A$14,,(HLOOKUP(KeyInputs!#REF!,Worksheet!$A$14:$L$15,2,FALSE))+Worksheet!$I$15)</f>
        <v>#REF!</v>
      </c>
      <c r="M5" s="46" t="e">
        <f ca="1">OFFSET(Worksheet!$A$14,,(HLOOKUP(KeyInputs!#REF!,Worksheet!$A$14:$L$15,2,FALSE))+Worksheet!$J$15)</f>
        <v>#REF!</v>
      </c>
      <c r="O5" s="31" t="e">
        <f>KeyInputs!#REF!</f>
        <v>#REF!</v>
      </c>
      <c r="P5" s="32" t="e">
        <f ca="1">OFFSET(Worksheet!$A$14,,(HLOOKUP(KeyInputs!#REF!,Worksheet!$A$14:$L$15,2,FALSE)))</f>
        <v>#REF!</v>
      </c>
      <c r="Q5" s="32" t="e">
        <f ca="1">OFFSET(Worksheet!$A$14,,(HLOOKUP(KeyInputs!#REF!,Worksheet!$A$14:$L$15,2,FALSE))+Worksheet!$A$15)</f>
        <v>#REF!</v>
      </c>
      <c r="R5" s="32" t="e">
        <f ca="1">OFFSET(Worksheet!$A$14,,(HLOOKUP(KeyInputs!#REF!,Worksheet!$A$14:$L$15,2,FALSE))+Worksheet!$B$15)</f>
        <v>#REF!</v>
      </c>
      <c r="S5" s="32" t="e">
        <f ca="1">OFFSET(Worksheet!$A$14,,(HLOOKUP(KeyInputs!#REF!,Worksheet!$A$14:$L$15,2,FALSE))+Worksheet!$C$15)</f>
        <v>#REF!</v>
      </c>
      <c r="T5" s="32" t="e">
        <f ca="1">OFFSET(Worksheet!$A$14,,(HLOOKUP(KeyInputs!#REF!,Worksheet!$A$14:$L$15,2,FALSE))+Worksheet!$D$15)</f>
        <v>#REF!</v>
      </c>
      <c r="U5" s="32" t="e">
        <f ca="1">OFFSET(Worksheet!$A$14,,(HLOOKUP(KeyInputs!#REF!,Worksheet!$A$14:$L$15,2,FALSE))+Worksheet!$E$15)</f>
        <v>#REF!</v>
      </c>
      <c r="V5" s="32" t="e">
        <f ca="1">OFFSET(Worksheet!$A$14,,(HLOOKUP(KeyInputs!#REF!,Worksheet!$A$14:$L$15,2,FALSE))+Worksheet!$F$15)</f>
        <v>#REF!</v>
      </c>
      <c r="W5" s="32" t="e">
        <f ca="1">OFFSET(Worksheet!$A$14,,(HLOOKUP(KeyInputs!#REF!,Worksheet!$A$14:$L$15,2,FALSE))+Worksheet!$G$15)</f>
        <v>#REF!</v>
      </c>
      <c r="X5" s="32" t="e">
        <f ca="1">OFFSET(Worksheet!$A$14,,(HLOOKUP(KeyInputs!#REF!,Worksheet!$A$14:$L$15,2,FALSE))+Worksheet!$H$15)</f>
        <v>#REF!</v>
      </c>
      <c r="Y5" s="32" t="e">
        <f ca="1">OFFSET(Worksheet!$A$14,,(HLOOKUP(KeyInputs!#REF!,Worksheet!$A$14:$L$15,2,FALSE))+Worksheet!$I$15)</f>
        <v>#REF!</v>
      </c>
      <c r="Z5" s="32" t="e">
        <f ca="1">OFFSET(Worksheet!$A$14,,(HLOOKUP(KeyInputs!#REF!,Worksheet!$A$14:$L$15,2,FALSE))+Worksheet!$J$15)</f>
        <v>#REF!</v>
      </c>
      <c r="AB5" s="31" t="e">
        <f>KeyInputs!#REF!</f>
        <v>#REF!</v>
      </c>
      <c r="AC5" s="32" t="e">
        <f ca="1">OFFSET(Worksheet!$A$14,,(HLOOKUP(KeyInputs!#REF!,Worksheet!$A$14:$L$15,2,FALSE)))</f>
        <v>#REF!</v>
      </c>
      <c r="AD5" s="32" t="e">
        <f ca="1">OFFSET(Worksheet!$A$14,,(HLOOKUP(KeyInputs!#REF!,Worksheet!$A$14:$L$15,2,FALSE))+Worksheet!$A$15)</f>
        <v>#REF!</v>
      </c>
      <c r="AE5" s="32" t="e">
        <f ca="1">OFFSET(Worksheet!$A$14,,(HLOOKUP(KeyInputs!#REF!,Worksheet!$A$14:$L$15,2,FALSE))+Worksheet!$B$15)</f>
        <v>#REF!</v>
      </c>
      <c r="AF5" s="32" t="e">
        <f ca="1">OFFSET(Worksheet!$A$14,,(HLOOKUP(KeyInputs!#REF!,Worksheet!$A$14:$L$15,2,FALSE))+Worksheet!$C$15)</f>
        <v>#REF!</v>
      </c>
      <c r="AG5" s="32" t="e">
        <f ca="1">OFFSET(Worksheet!$A$14,,(HLOOKUP(KeyInputs!#REF!,Worksheet!$A$14:$L$15,2,FALSE))+Worksheet!$D$15)</f>
        <v>#REF!</v>
      </c>
      <c r="AH5" s="32" t="e">
        <f ca="1">OFFSET(Worksheet!$A$14,,(HLOOKUP(KeyInputs!#REF!,Worksheet!$A$14:$L$15,2,FALSE))+Worksheet!$E$15)</f>
        <v>#REF!</v>
      </c>
      <c r="AI5" s="32" t="e">
        <f ca="1">OFFSET(Worksheet!$A$14,,(HLOOKUP(KeyInputs!#REF!,Worksheet!$A$14:$L$15,2,FALSE))+Worksheet!$F$15)</f>
        <v>#REF!</v>
      </c>
      <c r="AJ5" s="32" t="e">
        <f ca="1">OFFSET(Worksheet!$A$14,,(HLOOKUP(KeyInputs!#REF!,Worksheet!$A$14:$L$15,2,FALSE))+Worksheet!$G$15)</f>
        <v>#REF!</v>
      </c>
      <c r="AK5" s="32" t="e">
        <f ca="1">OFFSET(Worksheet!$A$14,,(HLOOKUP(KeyInputs!#REF!,Worksheet!$A$14:$L$15,2,FALSE))+Worksheet!$H$15)</f>
        <v>#REF!</v>
      </c>
      <c r="AL5" s="32" t="e">
        <f ca="1">OFFSET(Worksheet!$A$14,,(HLOOKUP(KeyInputs!#REF!,Worksheet!$A$14:$L$15,2,FALSE))+Worksheet!$I$15)</f>
        <v>#REF!</v>
      </c>
      <c r="AM5" s="32" t="e">
        <f ca="1">OFFSET(Worksheet!$A$14,,(HLOOKUP(KeyInputs!#REF!,Worksheet!$A$14:$L$15,2,FALSE))+Worksheet!$J$15)</f>
        <v>#REF!</v>
      </c>
    </row>
    <row r="6" spans="1:39" x14ac:dyDescent="0.3">
      <c r="A6" s="21" t="s">
        <v>97</v>
      </c>
      <c r="B6" s="47" t="str">
        <f>IFERROR(#REF!/#REF!,"-")</f>
        <v>-</v>
      </c>
      <c r="C6" s="47" t="str">
        <f>IFERROR(#REF!/#REF!,"-")</f>
        <v>-</v>
      </c>
      <c r="D6" s="47" t="str">
        <f>IFERROR(#REF!/#REF!,"-")</f>
        <v>-</v>
      </c>
      <c r="E6" s="47" t="str">
        <f>IFERROR(#REF!/#REF!,"-")</f>
        <v>-</v>
      </c>
      <c r="F6" s="47" t="str">
        <f>IFERROR(#REF!/#REF!,"-")</f>
        <v>-</v>
      </c>
      <c r="G6" s="47" t="str">
        <f>IFERROR(#REF!/#REF!,"-")</f>
        <v>-</v>
      </c>
      <c r="H6" s="47" t="str">
        <f>IFERROR(#REF!/#REF!,"-")</f>
        <v>-</v>
      </c>
      <c r="I6" s="47" t="str">
        <f>IFERROR(#REF!/#REF!,"-")</f>
        <v>-</v>
      </c>
      <c r="J6" s="47" t="str">
        <f>IFERROR(#REF!/#REF!,"-")</f>
        <v>-</v>
      </c>
      <c r="K6" s="47" t="str">
        <f>IFERROR(#REF!/#REF!,"-")</f>
        <v>-</v>
      </c>
      <c r="L6" s="47" t="str">
        <f>IFERROR(#REF!/#REF!,"-")</f>
        <v>-</v>
      </c>
      <c r="M6" s="47" t="str">
        <f>IFERROR(#REF!/#REF!,"-")</f>
        <v>-</v>
      </c>
      <c r="O6" s="35" t="str">
        <f>IFERROR(#REF!/#REF!,"-")</f>
        <v>-</v>
      </c>
      <c r="P6" s="35" t="str">
        <f>IFERROR(#REF!/#REF!,"-")</f>
        <v>-</v>
      </c>
      <c r="Q6" s="35" t="str">
        <f>IFERROR(#REF!/#REF!,"-")</f>
        <v>-</v>
      </c>
      <c r="R6" s="35" t="str">
        <f>IFERROR(#REF!/#REF!,"-")</f>
        <v>-</v>
      </c>
      <c r="S6" s="35" t="str">
        <f>IFERROR(#REF!/#REF!,"-")</f>
        <v>-</v>
      </c>
      <c r="T6" s="35" t="str">
        <f>IFERROR(#REF!/#REF!,"-")</f>
        <v>-</v>
      </c>
      <c r="U6" s="35" t="str">
        <f>IFERROR(#REF!/#REF!,"-")</f>
        <v>-</v>
      </c>
      <c r="V6" s="35" t="str">
        <f>IFERROR(#REF!/#REF!,"-")</f>
        <v>-</v>
      </c>
      <c r="W6" s="35" t="str">
        <f>IFERROR(#REF!/#REF!,"-")</f>
        <v>-</v>
      </c>
      <c r="X6" s="35" t="str">
        <f>IFERROR(#REF!/#REF!,"-")</f>
        <v>-</v>
      </c>
      <c r="Y6" s="35" t="str">
        <f>IFERROR(#REF!/#REF!,"-")</f>
        <v>-</v>
      </c>
      <c r="Z6" s="35" t="str">
        <f>IFERROR(#REF!/#REF!,"-")</f>
        <v>-</v>
      </c>
      <c r="AB6" s="35" t="str">
        <f>IFERROR(#REF!/#REF!,"-")</f>
        <v>-</v>
      </c>
      <c r="AC6" s="35" t="str">
        <f>IFERROR(#REF!/#REF!,"-")</f>
        <v>-</v>
      </c>
      <c r="AD6" s="35" t="str">
        <f>IFERROR(#REF!/#REF!,"-")</f>
        <v>-</v>
      </c>
      <c r="AE6" s="35" t="str">
        <f>IFERROR(#REF!/#REF!,"-")</f>
        <v>-</v>
      </c>
      <c r="AF6" s="35" t="str">
        <f>IFERROR(#REF!/#REF!,"-")</f>
        <v>-</v>
      </c>
      <c r="AG6" s="35" t="str">
        <f>IFERROR(#REF!/#REF!,"-")</f>
        <v>-</v>
      </c>
      <c r="AH6" s="35" t="str">
        <f>IFERROR(#REF!/#REF!,"-")</f>
        <v>-</v>
      </c>
      <c r="AI6" s="35" t="str">
        <f>IFERROR(#REF!/#REF!,"-")</f>
        <v>-</v>
      </c>
      <c r="AJ6" s="35" t="str">
        <f>IFERROR(#REF!/#REF!,"-")</f>
        <v>-</v>
      </c>
      <c r="AK6" s="35" t="str">
        <f>IFERROR(#REF!/#REF!,"-")</f>
        <v>-</v>
      </c>
      <c r="AL6" s="35" t="str">
        <f>IFERROR(#REF!/#REF!,"-")</f>
        <v>-</v>
      </c>
      <c r="AM6" s="35" t="str">
        <f>IFERROR(#REF!/#REF!,"-")</f>
        <v>-</v>
      </c>
    </row>
    <row r="7" spans="1:39" x14ac:dyDescent="0.3">
      <c r="A7" s="21" t="s">
        <v>116</v>
      </c>
      <c r="B7" s="48" t="str">
        <f>IFERROR((#REF!+#REF!)/#REF!,"-")</f>
        <v>-</v>
      </c>
      <c r="C7" s="48" t="str">
        <f>IFERROR((#REF!+#REF!)/#REF!,"-")</f>
        <v>-</v>
      </c>
      <c r="D7" s="48" t="str">
        <f>IFERROR((#REF!+#REF!)/#REF!,"-")</f>
        <v>-</v>
      </c>
      <c r="E7" s="48" t="str">
        <f>IFERROR((#REF!+#REF!)/#REF!,"-")</f>
        <v>-</v>
      </c>
      <c r="F7" s="48" t="str">
        <f>IFERROR((#REF!+#REF!)/#REF!,"-")</f>
        <v>-</v>
      </c>
      <c r="G7" s="48" t="str">
        <f>IFERROR((#REF!+#REF!)/#REF!,"-")</f>
        <v>-</v>
      </c>
      <c r="H7" s="48" t="str">
        <f>IFERROR((#REF!+#REF!)/#REF!,"-")</f>
        <v>-</v>
      </c>
      <c r="I7" s="48" t="str">
        <f>IFERROR((#REF!+#REF!)/#REF!,"-")</f>
        <v>-</v>
      </c>
      <c r="J7" s="48" t="str">
        <f>IFERROR((#REF!+#REF!)/#REF!,"-")</f>
        <v>-</v>
      </c>
      <c r="K7" s="48" t="str">
        <f>IFERROR((#REF!+#REF!)/#REF!,"-")</f>
        <v>-</v>
      </c>
      <c r="L7" s="48" t="str">
        <f>IFERROR((#REF!+#REF!)/#REF!,"-")</f>
        <v>-</v>
      </c>
      <c r="M7" s="48" t="str">
        <f>IFERROR((#REF!+#REF!)/#REF!,"-")</f>
        <v>-</v>
      </c>
      <c r="O7" s="9" t="str">
        <f>IFERROR((#REF!+#REF!)/#REF!,"-")</f>
        <v>-</v>
      </c>
      <c r="P7" s="9" t="str">
        <f>IFERROR((#REF!+#REF!)/#REF!,"-")</f>
        <v>-</v>
      </c>
      <c r="Q7" s="9" t="str">
        <f>IFERROR((#REF!+#REF!)/#REF!,"-")</f>
        <v>-</v>
      </c>
      <c r="R7" s="9" t="str">
        <f>IFERROR((#REF!+#REF!)/#REF!,"-")</f>
        <v>-</v>
      </c>
      <c r="S7" s="9" t="str">
        <f>IFERROR((#REF!+#REF!)/#REF!,"-")</f>
        <v>-</v>
      </c>
      <c r="T7" s="9" t="str">
        <f>IFERROR((#REF!+#REF!)/#REF!,"-")</f>
        <v>-</v>
      </c>
      <c r="U7" s="9" t="str">
        <f>IFERROR((#REF!+#REF!)/#REF!,"-")</f>
        <v>-</v>
      </c>
      <c r="V7" s="9" t="str">
        <f>IFERROR((#REF!+#REF!)/#REF!,"-")</f>
        <v>-</v>
      </c>
      <c r="W7" s="9" t="str">
        <f>IFERROR((#REF!+#REF!)/#REF!,"-")</f>
        <v>-</v>
      </c>
      <c r="X7" s="9" t="str">
        <f>IFERROR((#REF!+#REF!)/#REF!,"-")</f>
        <v>-</v>
      </c>
      <c r="Y7" s="9" t="str">
        <f>IFERROR((#REF!+#REF!)/#REF!,"-")</f>
        <v>-</v>
      </c>
      <c r="Z7" s="9" t="str">
        <f>IFERROR((#REF!+#REF!)/#REF!,"-")</f>
        <v>-</v>
      </c>
      <c r="AB7" s="9" t="str">
        <f>IFERROR((#REF!+#REF!)/#REF!,"-")</f>
        <v>-</v>
      </c>
      <c r="AC7" s="9" t="str">
        <f>IFERROR((#REF!+#REF!)/#REF!,"-")</f>
        <v>-</v>
      </c>
      <c r="AD7" s="9" t="str">
        <f>IFERROR((#REF!+#REF!)/#REF!,"-")</f>
        <v>-</v>
      </c>
      <c r="AE7" s="9" t="str">
        <f>IFERROR((#REF!+#REF!)/#REF!,"-")</f>
        <v>-</v>
      </c>
      <c r="AF7" s="9" t="str">
        <f>IFERROR((#REF!+#REF!)/#REF!,"-")</f>
        <v>-</v>
      </c>
      <c r="AG7" s="9" t="str">
        <f>IFERROR((#REF!+#REF!)/#REF!,"-")</f>
        <v>-</v>
      </c>
      <c r="AH7" s="9" t="str">
        <f>IFERROR((#REF!+#REF!)/#REF!,"-")</f>
        <v>-</v>
      </c>
      <c r="AI7" s="9" t="str">
        <f>IFERROR((#REF!+#REF!)/#REF!,"-")</f>
        <v>-</v>
      </c>
      <c r="AJ7" s="9" t="str">
        <f>IFERROR((#REF!+#REF!)/#REF!,"-")</f>
        <v>-</v>
      </c>
      <c r="AK7" s="9" t="str">
        <f>IFERROR((#REF!+#REF!)/#REF!,"-")</f>
        <v>-</v>
      </c>
      <c r="AL7" s="9" t="str">
        <f>IFERROR((#REF!+#REF!)/#REF!,"-")</f>
        <v>-</v>
      </c>
      <c r="AM7" s="9" t="str">
        <f>IFERROR((#REF!+#REF!)/#REF!,"-")</f>
        <v>-</v>
      </c>
    </row>
    <row r="8" spans="1:39" x14ac:dyDescent="0.3">
      <c r="A8" s="21" t="s">
        <v>98</v>
      </c>
      <c r="B8" s="48" t="str">
        <f>IFERROR(#REF!/#REF!,"-")</f>
        <v>-</v>
      </c>
      <c r="C8" s="48" t="str">
        <f>IFERROR(#REF!/#REF!,"-")</f>
        <v>-</v>
      </c>
      <c r="D8" s="48" t="str">
        <f>IFERROR(#REF!/#REF!,"-")</f>
        <v>-</v>
      </c>
      <c r="E8" s="48" t="str">
        <f>IFERROR(#REF!/#REF!,"-")</f>
        <v>-</v>
      </c>
      <c r="F8" s="48" t="str">
        <f>IFERROR(#REF!/#REF!,"-")</f>
        <v>-</v>
      </c>
      <c r="G8" s="48" t="str">
        <f>IFERROR(#REF!/#REF!,"-")</f>
        <v>-</v>
      </c>
      <c r="H8" s="48" t="str">
        <f>IFERROR(#REF!/#REF!,"-")</f>
        <v>-</v>
      </c>
      <c r="I8" s="48" t="str">
        <f>IFERROR(#REF!/#REF!,"-")</f>
        <v>-</v>
      </c>
      <c r="J8" s="48" t="str">
        <f>IFERROR(#REF!/#REF!,"-")</f>
        <v>-</v>
      </c>
      <c r="K8" s="48" t="str">
        <f>IFERROR(#REF!/#REF!,"-")</f>
        <v>-</v>
      </c>
      <c r="L8" s="48" t="str">
        <f>IFERROR(#REF!/#REF!,"-")</f>
        <v>-</v>
      </c>
      <c r="M8" s="48" t="str">
        <f>IFERROR(#REF!/#REF!,"-")</f>
        <v>-</v>
      </c>
      <c r="O8" s="9" t="str">
        <f>IFERROR(#REF!/#REF!,"-")</f>
        <v>-</v>
      </c>
      <c r="P8" s="9" t="str">
        <f>IFERROR(#REF!/#REF!,"-")</f>
        <v>-</v>
      </c>
      <c r="Q8" s="9" t="str">
        <f>IFERROR(#REF!/#REF!,"-")</f>
        <v>-</v>
      </c>
      <c r="R8" s="9" t="str">
        <f>IFERROR(#REF!/#REF!,"-")</f>
        <v>-</v>
      </c>
      <c r="S8" s="9" t="str">
        <f>IFERROR(#REF!/#REF!,"-")</f>
        <v>-</v>
      </c>
      <c r="T8" s="9" t="str">
        <f>IFERROR(#REF!/#REF!,"-")</f>
        <v>-</v>
      </c>
      <c r="U8" s="9" t="str">
        <f>IFERROR(#REF!/#REF!,"-")</f>
        <v>-</v>
      </c>
      <c r="V8" s="9" t="str">
        <f>IFERROR(#REF!/#REF!,"-")</f>
        <v>-</v>
      </c>
      <c r="W8" s="9" t="str">
        <f>IFERROR(#REF!/#REF!,"-")</f>
        <v>-</v>
      </c>
      <c r="X8" s="9" t="str">
        <f>IFERROR(#REF!/#REF!,"-")</f>
        <v>-</v>
      </c>
      <c r="Y8" s="9" t="str">
        <f>IFERROR(#REF!/#REF!,"-")</f>
        <v>-</v>
      </c>
      <c r="Z8" s="9" t="str">
        <f>IFERROR(#REF!/#REF!,"-")</f>
        <v>-</v>
      </c>
      <c r="AB8" s="9" t="str">
        <f>IFERROR(#REF!/#REF!,"-")</f>
        <v>-</v>
      </c>
      <c r="AC8" s="9" t="str">
        <f>IFERROR(#REF!/#REF!,"-")</f>
        <v>-</v>
      </c>
      <c r="AD8" s="9" t="str">
        <f>IFERROR(#REF!/#REF!,"-")</f>
        <v>-</v>
      </c>
      <c r="AE8" s="9" t="str">
        <f>IFERROR(#REF!/#REF!,"-")</f>
        <v>-</v>
      </c>
      <c r="AF8" s="9" t="str">
        <f>IFERROR(#REF!/#REF!,"-")</f>
        <v>-</v>
      </c>
      <c r="AG8" s="9" t="str">
        <f>IFERROR(#REF!/#REF!,"-")</f>
        <v>-</v>
      </c>
      <c r="AH8" s="9" t="str">
        <f>IFERROR(#REF!/#REF!,"-")</f>
        <v>-</v>
      </c>
      <c r="AI8" s="9" t="str">
        <f>IFERROR(#REF!/#REF!,"-")</f>
        <v>-</v>
      </c>
      <c r="AJ8" s="9" t="str">
        <f>IFERROR(#REF!/#REF!,"-")</f>
        <v>-</v>
      </c>
      <c r="AK8" s="9" t="str">
        <f>IFERROR(#REF!/#REF!,"-")</f>
        <v>-</v>
      </c>
      <c r="AL8" s="9" t="str">
        <f>IFERROR(#REF!/#REF!,"-")</f>
        <v>-</v>
      </c>
      <c r="AM8" s="9" t="str">
        <f>IFERROR(#REF!/#REF!,"-")</f>
        <v>-</v>
      </c>
    </row>
    <row r="9" spans="1:39" x14ac:dyDescent="0.3">
      <c r="A9" s="21" t="s">
        <v>100</v>
      </c>
      <c r="B9" s="24"/>
      <c r="C9" s="24"/>
      <c r="D9" s="24"/>
      <c r="E9" s="24"/>
      <c r="F9" s="24"/>
      <c r="G9" s="24"/>
      <c r="H9" s="24"/>
      <c r="I9" s="24"/>
      <c r="J9" s="24"/>
      <c r="K9" s="24"/>
      <c r="L9" s="24"/>
      <c r="M9" s="24"/>
      <c r="N9" s="43" t="str">
        <f>IFERROR((#REF!+#REF!)/2/(SUM(#REF!,#REF!,#REF!)/365),"-")</f>
        <v>-</v>
      </c>
      <c r="O9" s="9"/>
      <c r="P9" s="9"/>
      <c r="Q9" s="9"/>
      <c r="R9" s="9"/>
      <c r="S9" s="9"/>
      <c r="T9" s="9"/>
      <c r="U9" s="9"/>
      <c r="V9" s="9"/>
      <c r="W9" s="9"/>
      <c r="X9" s="9"/>
      <c r="Y9" s="9"/>
      <c r="Z9" s="9"/>
      <c r="AB9" s="9"/>
      <c r="AC9" s="9"/>
      <c r="AD9" s="9"/>
      <c r="AE9" s="9"/>
      <c r="AF9" s="9"/>
      <c r="AG9" s="9"/>
      <c r="AH9" s="9"/>
      <c r="AI9" s="9"/>
      <c r="AJ9" s="9"/>
      <c r="AK9" s="9"/>
      <c r="AL9" s="9"/>
      <c r="AM9" s="9"/>
    </row>
    <row r="10" spans="1:39" x14ac:dyDescent="0.3">
      <c r="A10" s="21" t="s">
        <v>101</v>
      </c>
      <c r="B10" s="24"/>
      <c r="C10" s="24"/>
      <c r="D10" s="24"/>
      <c r="E10" s="24"/>
      <c r="F10" s="24"/>
      <c r="G10" s="24"/>
      <c r="H10" s="24"/>
      <c r="I10" s="24"/>
      <c r="J10" s="24"/>
      <c r="K10" s="24"/>
      <c r="L10" s="24"/>
      <c r="M10" s="24"/>
      <c r="N10" s="43" t="str">
        <f>IFERROR((#REF!+#REF!/2)/(#REF!/365),"-")</f>
        <v>-</v>
      </c>
      <c r="O10" s="9"/>
      <c r="P10" s="9"/>
      <c r="Q10" s="9"/>
      <c r="R10" s="9"/>
      <c r="S10" s="9"/>
      <c r="T10" s="9"/>
      <c r="U10" s="9"/>
      <c r="V10" s="9"/>
      <c r="W10" s="9"/>
      <c r="X10" s="9"/>
      <c r="Y10" s="9"/>
      <c r="Z10" s="9"/>
      <c r="AB10" s="9"/>
      <c r="AC10" s="9"/>
      <c r="AD10" s="9"/>
      <c r="AE10" s="9"/>
      <c r="AF10" s="9"/>
      <c r="AG10" s="9"/>
      <c r="AH10" s="9"/>
      <c r="AI10" s="9"/>
      <c r="AJ10" s="9"/>
      <c r="AK10" s="9"/>
      <c r="AL10" s="9"/>
      <c r="AM10" s="9"/>
    </row>
    <row r="11" spans="1:39" x14ac:dyDescent="0.3">
      <c r="A11" s="21" t="s">
        <v>102</v>
      </c>
      <c r="B11" s="24"/>
      <c r="C11" s="24"/>
      <c r="D11" s="24"/>
      <c r="E11" s="24"/>
      <c r="F11" s="24"/>
      <c r="G11" s="24"/>
      <c r="H11" s="24"/>
      <c r="I11" s="24"/>
      <c r="J11" s="24"/>
      <c r="K11" s="24"/>
      <c r="L11" s="24"/>
      <c r="M11" s="24"/>
      <c r="N11" s="43" t="str">
        <f>IFERROR((#REF!+#REF!/2)/(SUM(#REF!)/365),"-")</f>
        <v>-</v>
      </c>
      <c r="O11" s="9"/>
      <c r="P11" s="9"/>
      <c r="Q11" s="9"/>
      <c r="R11" s="9"/>
      <c r="S11" s="9"/>
      <c r="T11" s="9"/>
      <c r="U11" s="9"/>
      <c r="V11" s="9"/>
      <c r="W11" s="9"/>
      <c r="X11" s="9"/>
      <c r="Y11" s="9"/>
      <c r="Z11" s="9"/>
      <c r="AB11" s="9"/>
      <c r="AC11" s="9"/>
      <c r="AD11" s="9"/>
      <c r="AE11" s="9"/>
      <c r="AF11" s="9"/>
      <c r="AG11" s="9"/>
      <c r="AH11" s="9"/>
      <c r="AI11" s="9"/>
      <c r="AJ11" s="9"/>
      <c r="AK11" s="9"/>
      <c r="AL11" s="9"/>
      <c r="AM11" s="9"/>
    </row>
    <row r="12" spans="1:39" x14ac:dyDescent="0.3">
      <c r="A12" s="21" t="s">
        <v>99</v>
      </c>
      <c r="B12" s="24"/>
      <c r="C12" s="24"/>
      <c r="D12" s="24"/>
      <c r="E12" s="24"/>
      <c r="F12" s="24"/>
      <c r="G12" s="24"/>
      <c r="H12" s="24"/>
      <c r="I12" s="24"/>
      <c r="J12" s="24"/>
      <c r="K12" s="24"/>
      <c r="L12" s="24"/>
      <c r="M12" s="24"/>
      <c r="N12" s="43" t="str">
        <f>IFERROR(N9+N10-N11,"-")</f>
        <v>-</v>
      </c>
      <c r="O12" s="9"/>
      <c r="P12" s="9"/>
      <c r="Q12" s="9"/>
      <c r="R12" s="9"/>
      <c r="S12" s="9"/>
      <c r="T12" s="9"/>
      <c r="U12" s="9"/>
      <c r="V12" s="9"/>
      <c r="W12" s="9"/>
      <c r="X12" s="9"/>
      <c r="Y12" s="9"/>
      <c r="Z12" s="9"/>
      <c r="AB12" s="9"/>
      <c r="AC12" s="9"/>
      <c r="AD12" s="9"/>
      <c r="AE12" s="9"/>
      <c r="AF12" s="9"/>
      <c r="AG12" s="9"/>
      <c r="AH12" s="9"/>
      <c r="AI12" s="9"/>
      <c r="AJ12" s="9"/>
      <c r="AK12" s="9"/>
      <c r="AL12" s="9"/>
      <c r="AM12" s="9"/>
    </row>
    <row r="13" spans="1:39" x14ac:dyDescent="0.3">
      <c r="A13" s="21"/>
      <c r="B13" s="24"/>
      <c r="C13" s="24"/>
      <c r="D13" s="24"/>
      <c r="E13" s="24"/>
      <c r="F13" s="24"/>
      <c r="G13" s="24"/>
      <c r="H13" s="24"/>
      <c r="I13" s="24"/>
      <c r="J13" s="24"/>
      <c r="K13" s="24"/>
      <c r="L13" s="24"/>
      <c r="M13" s="24"/>
      <c r="O13" s="9"/>
      <c r="P13" s="9"/>
      <c r="Q13" s="9"/>
      <c r="R13" s="9"/>
      <c r="S13" s="9"/>
      <c r="T13" s="9"/>
      <c r="U13" s="9"/>
      <c r="V13" s="9"/>
      <c r="W13" s="9"/>
      <c r="X13" s="9"/>
      <c r="Y13" s="9"/>
      <c r="Z13" s="9"/>
      <c r="AB13" s="9"/>
      <c r="AC13" s="9"/>
      <c r="AD13" s="9"/>
      <c r="AE13" s="9"/>
      <c r="AF13" s="9"/>
      <c r="AG13" s="9"/>
      <c r="AH13" s="9"/>
      <c r="AI13" s="9"/>
      <c r="AJ13" s="9"/>
      <c r="AK13" s="9"/>
      <c r="AL13" s="9"/>
      <c r="AM13" s="9"/>
    </row>
    <row r="14" spans="1:39" x14ac:dyDescent="0.3">
      <c r="A14" s="21"/>
      <c r="B14" s="24"/>
      <c r="C14" s="24"/>
      <c r="D14" s="24"/>
      <c r="E14" s="24"/>
      <c r="F14" s="24"/>
      <c r="G14" s="24"/>
      <c r="H14" s="24"/>
      <c r="I14" s="24"/>
      <c r="J14" s="24"/>
      <c r="K14" s="24"/>
      <c r="L14" s="24"/>
      <c r="M14" s="24"/>
      <c r="O14" s="9"/>
      <c r="P14" s="9"/>
      <c r="Q14" s="9"/>
      <c r="R14" s="9"/>
      <c r="S14" s="9"/>
      <c r="T14" s="9"/>
      <c r="U14" s="9"/>
      <c r="V14" s="9"/>
      <c r="W14" s="9"/>
      <c r="X14" s="9"/>
      <c r="Y14" s="9"/>
      <c r="Z14" s="9"/>
      <c r="AB14" s="9"/>
      <c r="AC14" s="9"/>
      <c r="AD14" s="9"/>
      <c r="AE14" s="9"/>
      <c r="AF14" s="9"/>
      <c r="AG14" s="9"/>
      <c r="AH14" s="9"/>
      <c r="AI14" s="9"/>
      <c r="AJ14" s="9"/>
      <c r="AK14" s="9"/>
      <c r="AL14" s="9"/>
      <c r="AM14" s="9"/>
    </row>
    <row r="15" spans="1:39" x14ac:dyDescent="0.3">
      <c r="A15" s="44"/>
      <c r="B15" s="49"/>
      <c r="C15" s="49"/>
      <c r="D15" s="49"/>
      <c r="E15" s="49"/>
      <c r="F15" s="49"/>
      <c r="G15" s="49"/>
      <c r="H15" s="49"/>
      <c r="I15" s="49"/>
      <c r="J15" s="49"/>
      <c r="K15" s="49"/>
      <c r="L15" s="49"/>
      <c r="M15" s="49"/>
      <c r="O15" s="9"/>
      <c r="P15" s="9"/>
      <c r="Q15" s="9"/>
      <c r="R15" s="9"/>
      <c r="S15" s="9"/>
      <c r="T15" s="9"/>
      <c r="U15" s="9"/>
      <c r="V15" s="9"/>
      <c r="W15" s="9"/>
      <c r="X15" s="9"/>
      <c r="Y15" s="9"/>
      <c r="Z15" s="9"/>
      <c r="AB15" s="9"/>
      <c r="AC15" s="9"/>
      <c r="AD15" s="9"/>
      <c r="AE15" s="9"/>
      <c r="AF15" s="9"/>
      <c r="AG15" s="9"/>
      <c r="AH15" s="9"/>
      <c r="AI15" s="9"/>
      <c r="AJ15" s="9"/>
      <c r="AK15" s="9"/>
      <c r="AL15" s="9"/>
      <c r="AM15" s="9"/>
    </row>
  </sheetData>
  <mergeCells count="3">
    <mergeCell ref="B4:M4"/>
    <mergeCell ref="O4:Z4"/>
    <mergeCell ref="AB4:AM4"/>
  </mergeCells>
  <pageMargins left="0.7" right="0.7" top="0.75" bottom="0.75" header="0.3" footer="0.3"/>
  <pageSetup paperSize="9" orientation="portrait"/>
  <legacyDrawing r:id="rId1"/>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0B050"/>
  </sheetPr>
  <dimension ref="A1:CC55"/>
  <sheetViews>
    <sheetView showGridLines="0" zoomScale="80" zoomScaleNormal="80" zoomScalePageLayoutView="80" workbookViewId="0">
      <pane xSplit="10" ySplit="8" topLeftCell="K9" activePane="bottomRight" state="frozen"/>
      <selection activeCell="C10" sqref="C10"/>
      <selection pane="topRight" activeCell="C10" sqref="C10"/>
      <selection pane="bottomLeft" activeCell="C10" sqref="C10"/>
      <selection pane="bottomRight" activeCell="E25" sqref="A25:XFD25"/>
    </sheetView>
  </sheetViews>
  <sheetFormatPr defaultColWidth="0" defaultRowHeight="13.8" x14ac:dyDescent="0.25"/>
  <cols>
    <col min="1" max="1" width="3.44140625" style="138" customWidth="1"/>
    <col min="2" max="2" width="31.109375" style="138" bestFit="1" customWidth="1"/>
    <col min="3" max="3" width="9.5546875" style="138" bestFit="1" customWidth="1"/>
    <col min="4" max="4" width="13.44140625" style="138" bestFit="1" customWidth="1"/>
    <col min="5" max="9" width="10" style="138" bestFit="1" customWidth="1"/>
    <col min="10" max="10" width="6.109375" style="138" bestFit="1" customWidth="1"/>
    <col min="11" max="11" width="10" style="138" bestFit="1" customWidth="1"/>
    <col min="12" max="12" width="10.44140625" style="138" bestFit="1" customWidth="1"/>
    <col min="13" max="13" width="10.33203125" style="138" bestFit="1" customWidth="1"/>
    <col min="14" max="14" width="10" style="138" bestFit="1" customWidth="1"/>
    <col min="15" max="16" width="10.33203125" style="138" bestFit="1" customWidth="1"/>
    <col min="17" max="17" width="10" style="138" bestFit="1" customWidth="1"/>
    <col min="18" max="20" width="10.109375" style="138" bestFit="1" customWidth="1"/>
    <col min="21" max="21" width="10.44140625" style="138" bestFit="1" customWidth="1"/>
    <col min="22" max="23" width="10" style="138" bestFit="1" customWidth="1"/>
    <col min="24" max="24" width="10.44140625" style="138" bestFit="1" customWidth="1"/>
    <col min="25" max="25" width="10.33203125" style="138" bestFit="1" customWidth="1"/>
    <col min="26" max="26" width="10" style="138" bestFit="1" customWidth="1"/>
    <col min="27" max="28" width="10.33203125" style="138" bestFit="1" customWidth="1"/>
    <col min="29" max="29" width="10" style="138" bestFit="1" customWidth="1"/>
    <col min="30" max="32" width="10.109375" style="138" bestFit="1" customWidth="1"/>
    <col min="33" max="33" width="10.44140625" style="138" bestFit="1" customWidth="1"/>
    <col min="34" max="34" width="10" style="138" bestFit="1" customWidth="1"/>
    <col min="35" max="35" width="9.33203125" style="138" bestFit="1" customWidth="1"/>
    <col min="36" max="36" width="10.44140625" style="138" bestFit="1" customWidth="1"/>
    <col min="37" max="37" width="10.33203125" style="138" bestFit="1" customWidth="1"/>
    <col min="38" max="38" width="10" style="138" bestFit="1" customWidth="1"/>
    <col min="39" max="40" width="10.33203125" style="138" bestFit="1" customWidth="1"/>
    <col min="41" max="41" width="10" style="138" bestFit="1" customWidth="1"/>
    <col min="42" max="44" width="10.109375" style="138" bestFit="1" customWidth="1"/>
    <col min="45" max="45" width="10.44140625" style="138" bestFit="1" customWidth="1"/>
    <col min="46" max="46" width="10" style="138" bestFit="1" customWidth="1"/>
    <col min="47" max="47" width="9.33203125" style="138" bestFit="1" customWidth="1"/>
    <col min="48" max="48" width="10.44140625" style="138" bestFit="1" customWidth="1"/>
    <col min="49" max="49" width="10.33203125" style="138" bestFit="1" customWidth="1"/>
    <col min="50" max="50" width="10" style="138" bestFit="1" customWidth="1"/>
    <col min="51" max="52" width="10.33203125" style="138" bestFit="1" customWidth="1"/>
    <col min="53" max="53" width="10" style="138" bestFit="1" customWidth="1"/>
    <col min="54" max="56" width="10.109375" style="138" bestFit="1" customWidth="1"/>
    <col min="57" max="57" width="10.44140625" style="138" bestFit="1" customWidth="1"/>
    <col min="58" max="58" width="10" style="138" bestFit="1" customWidth="1"/>
    <col min="59" max="59" width="9.33203125" style="138" bestFit="1" customWidth="1"/>
    <col min="60" max="60" width="10.44140625" style="138" bestFit="1" customWidth="1"/>
    <col min="61" max="61" width="10.33203125" style="138" bestFit="1" customWidth="1"/>
    <col min="62" max="62" width="10" style="138" bestFit="1" customWidth="1"/>
    <col min="63" max="64" width="10.33203125" style="138" bestFit="1" customWidth="1"/>
    <col min="65" max="65" width="10" style="138" bestFit="1" customWidth="1"/>
    <col min="66" max="68" width="10.109375" style="138" bestFit="1" customWidth="1"/>
    <col min="69" max="69" width="10.44140625" style="138" bestFit="1" customWidth="1"/>
    <col min="70" max="70" width="10" style="138" bestFit="1" customWidth="1"/>
    <col min="71" max="78" width="9.109375" style="138" customWidth="1"/>
    <col min="79" max="81" width="0" style="138" hidden="1" customWidth="1"/>
    <col min="82" max="16384" width="9.109375" style="138" hidden="1"/>
  </cols>
  <sheetData>
    <row r="1" spans="1:78" s="285" customFormat="1" ht="13.2" x14ac:dyDescent="0.25"/>
    <row r="2" spans="1:78" s="285" customFormat="1" ht="13.2" x14ac:dyDescent="0.25"/>
    <row r="3" spans="1:78" s="285" customFormat="1" ht="13.2" x14ac:dyDescent="0.25">
      <c r="A3" s="286" t="str">
        <f>IF(KeyInputs!$F$14=0,"Company Name",KeyInputs!$F$14)</f>
        <v>Company Name</v>
      </c>
    </row>
    <row r="4" spans="1:78" s="285" customFormat="1" ht="13.2" x14ac:dyDescent="0.25">
      <c r="A4" s="285" t="s">
        <v>19</v>
      </c>
    </row>
    <row r="5" spans="1:78" s="288" customFormat="1" ht="13.2" x14ac:dyDescent="0.25">
      <c r="A5" s="285"/>
      <c r="B5" s="285"/>
      <c r="C5" s="285"/>
      <c r="D5" s="287" t="str">
        <f>KeyInputs!D5</f>
        <v>Year</v>
      </c>
      <c r="E5" s="285">
        <f>KeyInputs!H5</f>
        <v>2015</v>
      </c>
      <c r="F5" s="285">
        <f>KeyInputs!I5</f>
        <v>2016</v>
      </c>
      <c r="G5" s="285">
        <f>KeyInputs!J5</f>
        <v>2017</v>
      </c>
      <c r="H5" s="285">
        <f>KeyInputs!K5</f>
        <v>2018</v>
      </c>
      <c r="I5" s="285">
        <f>KeyInputs!L5</f>
        <v>2019</v>
      </c>
      <c r="J5" s="285"/>
      <c r="K5" s="288">
        <f>KeyInputs!N5</f>
        <v>2015</v>
      </c>
      <c r="L5" s="288">
        <f>KeyInputs!O5</f>
        <v>2015</v>
      </c>
      <c r="M5" s="288">
        <f>KeyInputs!P5</f>
        <v>2015</v>
      </c>
      <c r="N5" s="288">
        <f>KeyInputs!Q5</f>
        <v>2015</v>
      </c>
      <c r="O5" s="288">
        <f>KeyInputs!R5</f>
        <v>2015</v>
      </c>
      <c r="P5" s="288">
        <f>KeyInputs!S5</f>
        <v>2015</v>
      </c>
      <c r="Q5" s="288">
        <f>KeyInputs!T5</f>
        <v>2015</v>
      </c>
      <c r="R5" s="288">
        <f>KeyInputs!U5</f>
        <v>2015</v>
      </c>
      <c r="S5" s="288">
        <f>KeyInputs!V5</f>
        <v>2015</v>
      </c>
      <c r="T5" s="288">
        <f>KeyInputs!W5</f>
        <v>2015</v>
      </c>
      <c r="U5" s="288">
        <f>KeyInputs!X5</f>
        <v>2015</v>
      </c>
      <c r="V5" s="288">
        <f>KeyInputs!Y5</f>
        <v>2015</v>
      </c>
      <c r="W5" s="288">
        <f>KeyInputs!Z5</f>
        <v>2016</v>
      </c>
      <c r="X5" s="288">
        <f>KeyInputs!AA5</f>
        <v>2016</v>
      </c>
      <c r="Y5" s="288">
        <f>KeyInputs!AB5</f>
        <v>2016</v>
      </c>
      <c r="Z5" s="288">
        <f>KeyInputs!AC5</f>
        <v>2016</v>
      </c>
      <c r="AA5" s="288">
        <f>KeyInputs!AD5</f>
        <v>2016</v>
      </c>
      <c r="AB5" s="288">
        <f>KeyInputs!AE5</f>
        <v>2016</v>
      </c>
      <c r="AC5" s="288">
        <f>KeyInputs!AF5</f>
        <v>2016</v>
      </c>
      <c r="AD5" s="288">
        <f>KeyInputs!AG5</f>
        <v>2016</v>
      </c>
      <c r="AE5" s="288">
        <f>KeyInputs!AH5</f>
        <v>2016</v>
      </c>
      <c r="AF5" s="288">
        <f>KeyInputs!AI5</f>
        <v>2016</v>
      </c>
      <c r="AG5" s="288">
        <f>KeyInputs!AJ5</f>
        <v>2016</v>
      </c>
      <c r="AH5" s="288">
        <f>KeyInputs!AK5</f>
        <v>2016</v>
      </c>
      <c r="AI5" s="288">
        <f>KeyInputs!AL5</f>
        <v>2017</v>
      </c>
      <c r="AJ5" s="288">
        <f>KeyInputs!AM5</f>
        <v>2017</v>
      </c>
      <c r="AK5" s="288">
        <f>KeyInputs!AN5</f>
        <v>2017</v>
      </c>
      <c r="AL5" s="288">
        <f>KeyInputs!AO5</f>
        <v>2017</v>
      </c>
      <c r="AM5" s="288">
        <f>KeyInputs!AP5</f>
        <v>2017</v>
      </c>
      <c r="AN5" s="288">
        <f>KeyInputs!AQ5</f>
        <v>2017</v>
      </c>
      <c r="AO5" s="288">
        <f>KeyInputs!AR5</f>
        <v>2017</v>
      </c>
      <c r="AP5" s="288">
        <f>KeyInputs!AS5</f>
        <v>2017</v>
      </c>
      <c r="AQ5" s="288">
        <f>KeyInputs!AT5</f>
        <v>2017</v>
      </c>
      <c r="AR5" s="288">
        <f>KeyInputs!AU5</f>
        <v>2017</v>
      </c>
      <c r="AS5" s="288">
        <f>KeyInputs!AV5</f>
        <v>2017</v>
      </c>
      <c r="AT5" s="288">
        <f>KeyInputs!AW5</f>
        <v>2017</v>
      </c>
      <c r="AU5" s="288">
        <f>KeyInputs!AX5</f>
        <v>2018</v>
      </c>
      <c r="AV5" s="288">
        <f>KeyInputs!AY5</f>
        <v>2018</v>
      </c>
      <c r="AW5" s="288">
        <f>KeyInputs!AZ5</f>
        <v>2018</v>
      </c>
      <c r="AX5" s="288">
        <f>KeyInputs!BA5</f>
        <v>2018</v>
      </c>
      <c r="AY5" s="288">
        <f>KeyInputs!BB5</f>
        <v>2018</v>
      </c>
      <c r="AZ5" s="288">
        <f>KeyInputs!BC5</f>
        <v>2018</v>
      </c>
      <c r="BA5" s="288">
        <f>KeyInputs!BD5</f>
        <v>2018</v>
      </c>
      <c r="BB5" s="288">
        <f>KeyInputs!BE5</f>
        <v>2018</v>
      </c>
      <c r="BC5" s="288">
        <f>KeyInputs!BF5</f>
        <v>2018</v>
      </c>
      <c r="BD5" s="288">
        <f>KeyInputs!BG5</f>
        <v>2018</v>
      </c>
      <c r="BE5" s="288">
        <f>KeyInputs!BH5</f>
        <v>2018</v>
      </c>
      <c r="BF5" s="288">
        <f>KeyInputs!BI5</f>
        <v>2018</v>
      </c>
      <c r="BG5" s="288">
        <f>KeyInputs!BJ5</f>
        <v>2019</v>
      </c>
      <c r="BH5" s="288">
        <f>KeyInputs!BK5</f>
        <v>2019</v>
      </c>
      <c r="BI5" s="288">
        <f>KeyInputs!BL5</f>
        <v>2019</v>
      </c>
      <c r="BJ5" s="288">
        <f>KeyInputs!BM5</f>
        <v>2019</v>
      </c>
      <c r="BK5" s="288">
        <f>KeyInputs!BN5</f>
        <v>2019</v>
      </c>
      <c r="BL5" s="288">
        <f>KeyInputs!BO5</f>
        <v>2019</v>
      </c>
      <c r="BM5" s="288">
        <f>KeyInputs!BP5</f>
        <v>2019</v>
      </c>
      <c r="BN5" s="288">
        <f>KeyInputs!BQ5</f>
        <v>2019</v>
      </c>
      <c r="BO5" s="288">
        <f>KeyInputs!BR5</f>
        <v>2019</v>
      </c>
      <c r="BP5" s="288">
        <f>KeyInputs!BS5</f>
        <v>2019</v>
      </c>
      <c r="BQ5" s="288">
        <f>KeyInputs!BT5</f>
        <v>2019</v>
      </c>
      <c r="BR5" s="288">
        <f>KeyInputs!BU5</f>
        <v>2019</v>
      </c>
    </row>
    <row r="6" spans="1:78" s="288" customFormat="1" ht="13.2" x14ac:dyDescent="0.25">
      <c r="A6" s="285"/>
      <c r="B6" s="285"/>
      <c r="C6" s="285"/>
      <c r="D6" s="287" t="str">
        <f>KeyInputs!D6</f>
        <v>Period number</v>
      </c>
      <c r="E6" s="285">
        <f>KeyInputs!H6</f>
        <v>1</v>
      </c>
      <c r="F6" s="285">
        <f>KeyInputs!I6</f>
        <v>2</v>
      </c>
      <c r="G6" s="285">
        <f>KeyInputs!J6</f>
        <v>3</v>
      </c>
      <c r="H6" s="285">
        <f>KeyInputs!K6</f>
        <v>4</v>
      </c>
      <c r="I6" s="285">
        <f>KeyInputs!L6</f>
        <v>5</v>
      </c>
      <c r="J6" s="285"/>
      <c r="K6" s="288">
        <f>KeyInputs!N6</f>
        <v>1</v>
      </c>
      <c r="L6" s="288">
        <f>KeyInputs!O6</f>
        <v>2</v>
      </c>
      <c r="M6" s="288">
        <f>KeyInputs!P6</f>
        <v>3</v>
      </c>
      <c r="N6" s="288">
        <f>KeyInputs!Q6</f>
        <v>4</v>
      </c>
      <c r="O6" s="288">
        <f>KeyInputs!R6</f>
        <v>5</v>
      </c>
      <c r="P6" s="288">
        <f>KeyInputs!S6</f>
        <v>6</v>
      </c>
      <c r="Q6" s="288">
        <f>KeyInputs!T6</f>
        <v>7</v>
      </c>
      <c r="R6" s="288">
        <f>KeyInputs!U6</f>
        <v>8</v>
      </c>
      <c r="S6" s="288">
        <f>KeyInputs!V6</f>
        <v>9</v>
      </c>
      <c r="T6" s="288">
        <f>KeyInputs!W6</f>
        <v>10</v>
      </c>
      <c r="U6" s="288">
        <f>KeyInputs!X6</f>
        <v>11</v>
      </c>
      <c r="V6" s="288">
        <f>KeyInputs!Y6</f>
        <v>12</v>
      </c>
      <c r="W6" s="288">
        <f>KeyInputs!Z6</f>
        <v>13</v>
      </c>
      <c r="X6" s="288">
        <f>KeyInputs!AA6</f>
        <v>14</v>
      </c>
      <c r="Y6" s="288">
        <f>KeyInputs!AB6</f>
        <v>15</v>
      </c>
      <c r="Z6" s="288">
        <f>KeyInputs!AC6</f>
        <v>16</v>
      </c>
      <c r="AA6" s="288">
        <f>KeyInputs!AD6</f>
        <v>17</v>
      </c>
      <c r="AB6" s="288">
        <f>KeyInputs!AE6</f>
        <v>18</v>
      </c>
      <c r="AC6" s="288">
        <f>KeyInputs!AF6</f>
        <v>19</v>
      </c>
      <c r="AD6" s="288">
        <f>KeyInputs!AG6</f>
        <v>20</v>
      </c>
      <c r="AE6" s="288">
        <f>KeyInputs!AH6</f>
        <v>21</v>
      </c>
      <c r="AF6" s="288">
        <f>KeyInputs!AI6</f>
        <v>22</v>
      </c>
      <c r="AG6" s="288">
        <f>KeyInputs!AJ6</f>
        <v>23</v>
      </c>
      <c r="AH6" s="288">
        <f>KeyInputs!AK6</f>
        <v>24</v>
      </c>
      <c r="AI6" s="288">
        <f>KeyInputs!AL6</f>
        <v>25</v>
      </c>
      <c r="AJ6" s="288">
        <f>KeyInputs!AM6</f>
        <v>26</v>
      </c>
      <c r="AK6" s="288">
        <f>KeyInputs!AN6</f>
        <v>27</v>
      </c>
      <c r="AL6" s="288">
        <f>KeyInputs!AO6</f>
        <v>28</v>
      </c>
      <c r="AM6" s="288">
        <f>KeyInputs!AP6</f>
        <v>29</v>
      </c>
      <c r="AN6" s="288">
        <f>KeyInputs!AQ6</f>
        <v>30</v>
      </c>
      <c r="AO6" s="288">
        <f>KeyInputs!AR6</f>
        <v>31</v>
      </c>
      <c r="AP6" s="288">
        <f>KeyInputs!AS6</f>
        <v>32</v>
      </c>
      <c r="AQ6" s="288">
        <f>KeyInputs!AT6</f>
        <v>33</v>
      </c>
      <c r="AR6" s="288">
        <f>KeyInputs!AU6</f>
        <v>34</v>
      </c>
      <c r="AS6" s="288">
        <f>KeyInputs!AV6</f>
        <v>35</v>
      </c>
      <c r="AT6" s="288">
        <f>KeyInputs!AW6</f>
        <v>36</v>
      </c>
      <c r="AU6" s="288">
        <f>KeyInputs!AX6</f>
        <v>37</v>
      </c>
      <c r="AV6" s="288">
        <f>KeyInputs!AY6</f>
        <v>38</v>
      </c>
      <c r="AW6" s="288">
        <f>KeyInputs!AZ6</f>
        <v>39</v>
      </c>
      <c r="AX6" s="288">
        <f>KeyInputs!BA6</f>
        <v>40</v>
      </c>
      <c r="AY6" s="288">
        <f>KeyInputs!BB6</f>
        <v>41</v>
      </c>
      <c r="AZ6" s="288">
        <f>KeyInputs!BC6</f>
        <v>42</v>
      </c>
      <c r="BA6" s="288">
        <f>KeyInputs!BD6</f>
        <v>43</v>
      </c>
      <c r="BB6" s="288">
        <f>KeyInputs!BE6</f>
        <v>44</v>
      </c>
      <c r="BC6" s="288">
        <f>KeyInputs!BF6</f>
        <v>45</v>
      </c>
      <c r="BD6" s="288">
        <f>KeyInputs!BG6</f>
        <v>46</v>
      </c>
      <c r="BE6" s="288">
        <f>KeyInputs!BH6</f>
        <v>47</v>
      </c>
      <c r="BF6" s="288">
        <f>KeyInputs!BI6</f>
        <v>48</v>
      </c>
      <c r="BG6" s="288">
        <f>KeyInputs!BJ6</f>
        <v>49</v>
      </c>
      <c r="BH6" s="288">
        <f>KeyInputs!BK6</f>
        <v>50</v>
      </c>
      <c r="BI6" s="288">
        <f>KeyInputs!BL6</f>
        <v>51</v>
      </c>
      <c r="BJ6" s="288">
        <f>KeyInputs!BM6</f>
        <v>52</v>
      </c>
      <c r="BK6" s="288">
        <f>KeyInputs!BN6</f>
        <v>53</v>
      </c>
      <c r="BL6" s="288">
        <f>KeyInputs!BO6</f>
        <v>54</v>
      </c>
      <c r="BM6" s="288">
        <f>KeyInputs!BP6</f>
        <v>55</v>
      </c>
      <c r="BN6" s="288">
        <f>KeyInputs!BQ6</f>
        <v>56</v>
      </c>
      <c r="BO6" s="288">
        <f>KeyInputs!BR6</f>
        <v>57</v>
      </c>
      <c r="BP6" s="288">
        <f>KeyInputs!BS6</f>
        <v>58</v>
      </c>
      <c r="BQ6" s="288">
        <f>KeyInputs!BT6</f>
        <v>59</v>
      </c>
      <c r="BR6" s="288">
        <f>KeyInputs!BU6</f>
        <v>60</v>
      </c>
    </row>
    <row r="7" spans="1:78" s="288" customFormat="1" ht="13.2" x14ac:dyDescent="0.25">
      <c r="A7" s="285"/>
      <c r="B7" s="285"/>
      <c r="C7" s="285"/>
      <c r="D7" s="287" t="str">
        <f>KeyInputs!D7</f>
        <v>Period starts</v>
      </c>
      <c r="E7" s="289">
        <f>KeyInputs!H7</f>
        <v>42005</v>
      </c>
      <c r="F7" s="289">
        <f>KeyInputs!I7</f>
        <v>42370</v>
      </c>
      <c r="G7" s="289">
        <f>KeyInputs!J7</f>
        <v>42736</v>
      </c>
      <c r="H7" s="289">
        <f>KeyInputs!K7</f>
        <v>43101</v>
      </c>
      <c r="I7" s="289">
        <f>KeyInputs!L7</f>
        <v>43466</v>
      </c>
      <c r="J7" s="285"/>
      <c r="K7" s="289">
        <f>KeyInputs!N7</f>
        <v>42005</v>
      </c>
      <c r="L7" s="289">
        <f>KeyInputs!O7</f>
        <v>42036</v>
      </c>
      <c r="M7" s="289">
        <f>KeyInputs!P7</f>
        <v>42064</v>
      </c>
      <c r="N7" s="289">
        <f>KeyInputs!Q7</f>
        <v>42095</v>
      </c>
      <c r="O7" s="289">
        <f>KeyInputs!R7</f>
        <v>42125</v>
      </c>
      <c r="P7" s="289">
        <f>KeyInputs!S7</f>
        <v>42156</v>
      </c>
      <c r="Q7" s="289">
        <f>KeyInputs!T7</f>
        <v>42186</v>
      </c>
      <c r="R7" s="289">
        <f>KeyInputs!U7</f>
        <v>42217</v>
      </c>
      <c r="S7" s="289">
        <f>KeyInputs!V7</f>
        <v>42248</v>
      </c>
      <c r="T7" s="289">
        <f>KeyInputs!W7</f>
        <v>42278</v>
      </c>
      <c r="U7" s="289">
        <f>KeyInputs!X7</f>
        <v>42309</v>
      </c>
      <c r="V7" s="289">
        <f>KeyInputs!Y7</f>
        <v>42339</v>
      </c>
      <c r="W7" s="289">
        <f>KeyInputs!Z7</f>
        <v>42370</v>
      </c>
      <c r="X7" s="289">
        <f>KeyInputs!AA7</f>
        <v>42401</v>
      </c>
      <c r="Y7" s="289">
        <f>KeyInputs!AB7</f>
        <v>42430</v>
      </c>
      <c r="Z7" s="289">
        <f>KeyInputs!AC7</f>
        <v>42461</v>
      </c>
      <c r="AA7" s="289">
        <f>KeyInputs!AD7</f>
        <v>42491</v>
      </c>
      <c r="AB7" s="289">
        <f>KeyInputs!AE7</f>
        <v>42522</v>
      </c>
      <c r="AC7" s="289">
        <f>KeyInputs!AF7</f>
        <v>42552</v>
      </c>
      <c r="AD7" s="289">
        <f>KeyInputs!AG7</f>
        <v>42583</v>
      </c>
      <c r="AE7" s="289">
        <f>KeyInputs!AH7</f>
        <v>42614</v>
      </c>
      <c r="AF7" s="289">
        <f>KeyInputs!AI7</f>
        <v>42644</v>
      </c>
      <c r="AG7" s="289">
        <f>KeyInputs!AJ7</f>
        <v>42675</v>
      </c>
      <c r="AH7" s="289">
        <f>KeyInputs!AK7</f>
        <v>42705</v>
      </c>
      <c r="AI7" s="289">
        <f>KeyInputs!AL7</f>
        <v>42736</v>
      </c>
      <c r="AJ7" s="289">
        <f>KeyInputs!AM7</f>
        <v>42767</v>
      </c>
      <c r="AK7" s="289">
        <f>KeyInputs!AN7</f>
        <v>42795</v>
      </c>
      <c r="AL7" s="289">
        <f>KeyInputs!AO7</f>
        <v>42826</v>
      </c>
      <c r="AM7" s="289">
        <f>KeyInputs!AP7</f>
        <v>42856</v>
      </c>
      <c r="AN7" s="289">
        <f>KeyInputs!AQ7</f>
        <v>42887</v>
      </c>
      <c r="AO7" s="289">
        <f>KeyInputs!AR7</f>
        <v>42917</v>
      </c>
      <c r="AP7" s="289">
        <f>KeyInputs!AS7</f>
        <v>42948</v>
      </c>
      <c r="AQ7" s="289">
        <f>KeyInputs!AT7</f>
        <v>42979</v>
      </c>
      <c r="AR7" s="289">
        <f>KeyInputs!AU7</f>
        <v>43009</v>
      </c>
      <c r="AS7" s="289">
        <f>KeyInputs!AV7</f>
        <v>43040</v>
      </c>
      <c r="AT7" s="289">
        <f>KeyInputs!AW7</f>
        <v>43070</v>
      </c>
      <c r="AU7" s="289">
        <f>KeyInputs!AX7</f>
        <v>43101</v>
      </c>
      <c r="AV7" s="289">
        <f>KeyInputs!AY7</f>
        <v>43132</v>
      </c>
      <c r="AW7" s="289">
        <f>KeyInputs!AZ7</f>
        <v>43160</v>
      </c>
      <c r="AX7" s="289">
        <f>KeyInputs!BA7</f>
        <v>43191</v>
      </c>
      <c r="AY7" s="289">
        <f>KeyInputs!BB7</f>
        <v>43221</v>
      </c>
      <c r="AZ7" s="289">
        <f>KeyInputs!BC7</f>
        <v>43252</v>
      </c>
      <c r="BA7" s="289">
        <f>KeyInputs!BD7</f>
        <v>43282</v>
      </c>
      <c r="BB7" s="289">
        <f>KeyInputs!BE7</f>
        <v>43313</v>
      </c>
      <c r="BC7" s="289">
        <f>KeyInputs!BF7</f>
        <v>43344</v>
      </c>
      <c r="BD7" s="289">
        <f>KeyInputs!BG7</f>
        <v>43374</v>
      </c>
      <c r="BE7" s="289">
        <f>KeyInputs!BH7</f>
        <v>43405</v>
      </c>
      <c r="BF7" s="289">
        <f>KeyInputs!BI7</f>
        <v>43435</v>
      </c>
      <c r="BG7" s="289">
        <f>KeyInputs!BJ7</f>
        <v>43466</v>
      </c>
      <c r="BH7" s="289">
        <f>KeyInputs!BK7</f>
        <v>43497</v>
      </c>
      <c r="BI7" s="289">
        <f>KeyInputs!BL7</f>
        <v>43525</v>
      </c>
      <c r="BJ7" s="289">
        <f>KeyInputs!BM7</f>
        <v>43556</v>
      </c>
      <c r="BK7" s="289">
        <f>KeyInputs!BN7</f>
        <v>43586</v>
      </c>
      <c r="BL7" s="289">
        <f>KeyInputs!BO7</f>
        <v>43617</v>
      </c>
      <c r="BM7" s="289">
        <f>KeyInputs!BP7</f>
        <v>43647</v>
      </c>
      <c r="BN7" s="289">
        <f>KeyInputs!BQ7</f>
        <v>43678</v>
      </c>
      <c r="BO7" s="289">
        <f>KeyInputs!BR7</f>
        <v>43709</v>
      </c>
      <c r="BP7" s="289">
        <f>KeyInputs!BS7</f>
        <v>43739</v>
      </c>
      <c r="BQ7" s="289">
        <f>KeyInputs!BT7</f>
        <v>43770</v>
      </c>
      <c r="BR7" s="289">
        <f>KeyInputs!BU7</f>
        <v>43800</v>
      </c>
    </row>
    <row r="8" spans="1:78" s="292" customFormat="1" ht="13.2" x14ac:dyDescent="0.25">
      <c r="A8" s="290"/>
      <c r="B8" s="291" t="str">
        <f ca="1">IF(Check!$C$12=0,"All checks are OK","There are "&amp;Check!$C$12&amp;" error/errors")</f>
        <v>All checks are OK</v>
      </c>
      <c r="C8" s="290"/>
      <c r="D8" s="287" t="str">
        <f>KeyInputs!D8</f>
        <v>Period ends</v>
      </c>
      <c r="E8" s="289">
        <f>KeyInputs!H8</f>
        <v>42369</v>
      </c>
      <c r="F8" s="289">
        <f>KeyInputs!I8</f>
        <v>42735</v>
      </c>
      <c r="G8" s="289">
        <f>KeyInputs!J8</f>
        <v>43100</v>
      </c>
      <c r="H8" s="289">
        <f>KeyInputs!K8</f>
        <v>43465</v>
      </c>
      <c r="I8" s="289">
        <f>KeyInputs!L8</f>
        <v>43830</v>
      </c>
      <c r="J8" s="285"/>
      <c r="K8" s="289">
        <f>KeyInputs!N8</f>
        <v>42035</v>
      </c>
      <c r="L8" s="289">
        <f>KeyInputs!O8</f>
        <v>42063</v>
      </c>
      <c r="M8" s="289">
        <f>KeyInputs!P8</f>
        <v>42094</v>
      </c>
      <c r="N8" s="289">
        <f>KeyInputs!Q8</f>
        <v>42124</v>
      </c>
      <c r="O8" s="289">
        <f>KeyInputs!R8</f>
        <v>42155</v>
      </c>
      <c r="P8" s="289">
        <f>KeyInputs!S8</f>
        <v>42185</v>
      </c>
      <c r="Q8" s="289">
        <f>KeyInputs!T8</f>
        <v>42216</v>
      </c>
      <c r="R8" s="289">
        <f>KeyInputs!U8</f>
        <v>42247</v>
      </c>
      <c r="S8" s="289">
        <f>KeyInputs!V8</f>
        <v>42277</v>
      </c>
      <c r="T8" s="289">
        <f>KeyInputs!W8</f>
        <v>42308</v>
      </c>
      <c r="U8" s="289">
        <f>KeyInputs!X8</f>
        <v>42338</v>
      </c>
      <c r="V8" s="289">
        <f>KeyInputs!Y8</f>
        <v>42369</v>
      </c>
      <c r="W8" s="289">
        <f>KeyInputs!Z8</f>
        <v>42400</v>
      </c>
      <c r="X8" s="289">
        <f>KeyInputs!AA8</f>
        <v>42429</v>
      </c>
      <c r="Y8" s="289">
        <f>KeyInputs!AB8</f>
        <v>42460</v>
      </c>
      <c r="Z8" s="289">
        <f>KeyInputs!AC8</f>
        <v>42490</v>
      </c>
      <c r="AA8" s="289">
        <f>KeyInputs!AD8</f>
        <v>42521</v>
      </c>
      <c r="AB8" s="289">
        <f>KeyInputs!AE8</f>
        <v>42551</v>
      </c>
      <c r="AC8" s="289">
        <f>KeyInputs!AF8</f>
        <v>42582</v>
      </c>
      <c r="AD8" s="289">
        <f>KeyInputs!AG8</f>
        <v>42613</v>
      </c>
      <c r="AE8" s="289">
        <f>KeyInputs!AH8</f>
        <v>42643</v>
      </c>
      <c r="AF8" s="289">
        <f>KeyInputs!AI8</f>
        <v>42674</v>
      </c>
      <c r="AG8" s="289">
        <f>KeyInputs!AJ8</f>
        <v>42704</v>
      </c>
      <c r="AH8" s="289">
        <f>KeyInputs!AK8</f>
        <v>42735</v>
      </c>
      <c r="AI8" s="289">
        <f>KeyInputs!AL8</f>
        <v>42766</v>
      </c>
      <c r="AJ8" s="289">
        <f>KeyInputs!AM8</f>
        <v>42794</v>
      </c>
      <c r="AK8" s="289">
        <f>KeyInputs!AN8</f>
        <v>42825</v>
      </c>
      <c r="AL8" s="289">
        <f>KeyInputs!AO8</f>
        <v>42855</v>
      </c>
      <c r="AM8" s="289">
        <f>KeyInputs!AP8</f>
        <v>42886</v>
      </c>
      <c r="AN8" s="289">
        <f>KeyInputs!AQ8</f>
        <v>42916</v>
      </c>
      <c r="AO8" s="289">
        <f>KeyInputs!AR8</f>
        <v>42947</v>
      </c>
      <c r="AP8" s="289">
        <f>KeyInputs!AS8</f>
        <v>42978</v>
      </c>
      <c r="AQ8" s="289">
        <f>KeyInputs!AT8</f>
        <v>43008</v>
      </c>
      <c r="AR8" s="289">
        <f>KeyInputs!AU8</f>
        <v>43039</v>
      </c>
      <c r="AS8" s="289">
        <f>KeyInputs!AV8</f>
        <v>43069</v>
      </c>
      <c r="AT8" s="289">
        <f>KeyInputs!AW8</f>
        <v>43100</v>
      </c>
      <c r="AU8" s="289">
        <f>KeyInputs!AX8</f>
        <v>43131</v>
      </c>
      <c r="AV8" s="289">
        <f>KeyInputs!AY8</f>
        <v>43159</v>
      </c>
      <c r="AW8" s="289">
        <f>KeyInputs!AZ8</f>
        <v>43190</v>
      </c>
      <c r="AX8" s="289">
        <f>KeyInputs!BA8</f>
        <v>43220</v>
      </c>
      <c r="AY8" s="289">
        <f>KeyInputs!BB8</f>
        <v>43251</v>
      </c>
      <c r="AZ8" s="289">
        <f>KeyInputs!BC8</f>
        <v>43281</v>
      </c>
      <c r="BA8" s="289">
        <f>KeyInputs!BD8</f>
        <v>43312</v>
      </c>
      <c r="BB8" s="289">
        <f>KeyInputs!BE8</f>
        <v>43343</v>
      </c>
      <c r="BC8" s="289">
        <f>KeyInputs!BF8</f>
        <v>43373</v>
      </c>
      <c r="BD8" s="289">
        <f>KeyInputs!BG8</f>
        <v>43404</v>
      </c>
      <c r="BE8" s="289">
        <f>KeyInputs!BH8</f>
        <v>43434</v>
      </c>
      <c r="BF8" s="289">
        <f>KeyInputs!BI8</f>
        <v>43465</v>
      </c>
      <c r="BG8" s="289">
        <f>KeyInputs!BJ8</f>
        <v>43496</v>
      </c>
      <c r="BH8" s="289">
        <f>KeyInputs!BK8</f>
        <v>43524</v>
      </c>
      <c r="BI8" s="289">
        <f>KeyInputs!BL8</f>
        <v>43555</v>
      </c>
      <c r="BJ8" s="289">
        <f>KeyInputs!BM8</f>
        <v>43585</v>
      </c>
      <c r="BK8" s="289">
        <f>KeyInputs!BN8</f>
        <v>43616</v>
      </c>
      <c r="BL8" s="289">
        <f>KeyInputs!BO8</f>
        <v>43646</v>
      </c>
      <c r="BM8" s="289">
        <f>KeyInputs!BP8</f>
        <v>43677</v>
      </c>
      <c r="BN8" s="289">
        <f>KeyInputs!BQ8</f>
        <v>43708</v>
      </c>
      <c r="BO8" s="289">
        <f>KeyInputs!BR8</f>
        <v>43738</v>
      </c>
      <c r="BP8" s="289">
        <f>KeyInputs!BS8</f>
        <v>43769</v>
      </c>
      <c r="BQ8" s="289">
        <f>KeyInputs!BT8</f>
        <v>43799</v>
      </c>
      <c r="BR8" s="289">
        <f>KeyInputs!BU8</f>
        <v>43830</v>
      </c>
      <c r="BS8" s="288"/>
      <c r="BT8" s="288"/>
      <c r="BU8" s="288"/>
      <c r="BV8" s="288"/>
      <c r="BW8" s="288"/>
      <c r="BX8" s="288"/>
      <c r="BY8" s="288"/>
      <c r="BZ8" s="288"/>
    </row>
    <row r="10" spans="1:78" s="166" customFormat="1" ht="15.6" x14ac:dyDescent="0.3">
      <c r="A10" s="166">
        <f>Header1</f>
        <v>1</v>
      </c>
      <c r="B10" s="166" t="s">
        <v>317</v>
      </c>
    </row>
    <row r="11" spans="1:78" s="147" customFormat="1" ht="13.2" x14ac:dyDescent="0.25">
      <c r="A11" s="211"/>
      <c r="F11" s="212"/>
    </row>
    <row r="12" spans="1:78" s="240" customFormat="1" ht="11.4" x14ac:dyDescent="0.2">
      <c r="C12" s="243"/>
    </row>
    <row r="13" spans="1:78" s="240" customFormat="1" ht="11.4" x14ac:dyDescent="0.2">
      <c r="B13" s="240" t="s">
        <v>304</v>
      </c>
      <c r="C13" s="244">
        <f>KeyInputs!F96</f>
        <v>0.2</v>
      </c>
    </row>
    <row r="14" spans="1:78" s="147" customFormat="1" ht="13.2" x14ac:dyDescent="0.25">
      <c r="A14" s="211"/>
      <c r="D14" s="212"/>
    </row>
    <row r="15" spans="1:78" s="147" customFormat="1" ht="13.2" x14ac:dyDescent="0.25">
      <c r="A15" s="211"/>
      <c r="B15" s="147" t="s">
        <v>305</v>
      </c>
      <c r="D15" s="233"/>
      <c r="E15" s="147">
        <f ca="1">SUMIF($K$5:$BR$5,E$5,$K15:$BR15)</f>
        <v>0</v>
      </c>
      <c r="F15" s="147">
        <f t="shared" ref="F15:I15" ca="1" si="0">SUMIF($K$5:$BR$5,F$5,$K15:$BR15)</f>
        <v>0</v>
      </c>
      <c r="G15" s="147">
        <f t="shared" ca="1" si="0"/>
        <v>0</v>
      </c>
      <c r="H15" s="147">
        <f t="shared" ca="1" si="0"/>
        <v>0</v>
      </c>
      <c r="I15" s="147">
        <f t="shared" ca="1" si="0"/>
        <v>0</v>
      </c>
      <c r="K15" s="147">
        <f ca="1">'Outputs - P&amp;L'!K38</f>
        <v>0</v>
      </c>
      <c r="L15" s="147">
        <f ca="1">'Outputs - P&amp;L'!L38</f>
        <v>0</v>
      </c>
      <c r="M15" s="147">
        <f ca="1">'Outputs - P&amp;L'!M38</f>
        <v>0</v>
      </c>
      <c r="N15" s="147">
        <f ca="1">'Outputs - P&amp;L'!N38</f>
        <v>0</v>
      </c>
      <c r="O15" s="147">
        <f ca="1">'Outputs - P&amp;L'!O38</f>
        <v>0</v>
      </c>
      <c r="P15" s="147">
        <f ca="1">'Outputs - P&amp;L'!P38</f>
        <v>0</v>
      </c>
      <c r="Q15" s="147">
        <f ca="1">'Outputs - P&amp;L'!Q38</f>
        <v>0</v>
      </c>
      <c r="R15" s="147">
        <f ca="1">'Outputs - P&amp;L'!R38</f>
        <v>0</v>
      </c>
      <c r="S15" s="147">
        <f ca="1">'Outputs - P&amp;L'!S38</f>
        <v>0</v>
      </c>
      <c r="T15" s="147">
        <f ca="1">'Outputs - P&amp;L'!T38</f>
        <v>0</v>
      </c>
      <c r="U15" s="147">
        <f ca="1">'Outputs - P&amp;L'!U38</f>
        <v>0</v>
      </c>
      <c r="V15" s="147">
        <f ca="1">'Outputs - P&amp;L'!V38</f>
        <v>0</v>
      </c>
      <c r="W15" s="147">
        <f ca="1">'Outputs - P&amp;L'!W38</f>
        <v>0</v>
      </c>
      <c r="X15" s="147">
        <f ca="1">'Outputs - P&amp;L'!X38</f>
        <v>0</v>
      </c>
      <c r="Y15" s="147">
        <f ca="1">'Outputs - P&amp;L'!Y38</f>
        <v>0</v>
      </c>
      <c r="Z15" s="147">
        <f ca="1">'Outputs - P&amp;L'!Z38</f>
        <v>0</v>
      </c>
      <c r="AA15" s="147">
        <f ca="1">'Outputs - P&amp;L'!AA38</f>
        <v>0</v>
      </c>
      <c r="AB15" s="147">
        <f ca="1">'Outputs - P&amp;L'!AB38</f>
        <v>0</v>
      </c>
      <c r="AC15" s="147">
        <f ca="1">'Outputs - P&amp;L'!AC38</f>
        <v>0</v>
      </c>
      <c r="AD15" s="147">
        <f ca="1">'Outputs - P&amp;L'!AD38</f>
        <v>0</v>
      </c>
      <c r="AE15" s="147">
        <f ca="1">'Outputs - P&amp;L'!AE38</f>
        <v>0</v>
      </c>
      <c r="AF15" s="147">
        <f ca="1">'Outputs - P&amp;L'!AF38</f>
        <v>0</v>
      </c>
      <c r="AG15" s="147">
        <f ca="1">'Outputs - P&amp;L'!AG38</f>
        <v>0</v>
      </c>
      <c r="AH15" s="147">
        <f ca="1">'Outputs - P&amp;L'!AH38</f>
        <v>0</v>
      </c>
      <c r="AI15" s="147">
        <f ca="1">'Outputs - P&amp;L'!AI38</f>
        <v>0</v>
      </c>
      <c r="AJ15" s="147">
        <f ca="1">'Outputs - P&amp;L'!AJ38</f>
        <v>0</v>
      </c>
      <c r="AK15" s="147">
        <f ca="1">'Outputs - P&amp;L'!AK38</f>
        <v>0</v>
      </c>
      <c r="AL15" s="147">
        <f ca="1">'Outputs - P&amp;L'!AL38</f>
        <v>0</v>
      </c>
      <c r="AM15" s="147">
        <f ca="1">'Outputs - P&amp;L'!AM38</f>
        <v>0</v>
      </c>
      <c r="AN15" s="147">
        <f ca="1">'Outputs - P&amp;L'!AN38</f>
        <v>0</v>
      </c>
      <c r="AO15" s="147">
        <f ca="1">'Outputs - P&amp;L'!AO38</f>
        <v>0</v>
      </c>
      <c r="AP15" s="147">
        <f ca="1">'Outputs - P&amp;L'!AP38</f>
        <v>0</v>
      </c>
      <c r="AQ15" s="147">
        <f ca="1">'Outputs - P&amp;L'!AQ38</f>
        <v>0</v>
      </c>
      <c r="AR15" s="147">
        <f ca="1">'Outputs - P&amp;L'!AR38</f>
        <v>0</v>
      </c>
      <c r="AS15" s="147">
        <f ca="1">'Outputs - P&amp;L'!AS38</f>
        <v>0</v>
      </c>
      <c r="AT15" s="147">
        <f ca="1">'Outputs - P&amp;L'!AT38</f>
        <v>0</v>
      </c>
      <c r="AU15" s="147">
        <f ca="1">'Outputs - P&amp;L'!AU38</f>
        <v>0</v>
      </c>
      <c r="AV15" s="147">
        <f ca="1">'Outputs - P&amp;L'!AV38</f>
        <v>0</v>
      </c>
      <c r="AW15" s="147">
        <f ca="1">'Outputs - P&amp;L'!AW38</f>
        <v>0</v>
      </c>
      <c r="AX15" s="147">
        <f ca="1">'Outputs - P&amp;L'!AX38</f>
        <v>0</v>
      </c>
      <c r="AY15" s="147">
        <f ca="1">'Outputs - P&amp;L'!AY38</f>
        <v>0</v>
      </c>
      <c r="AZ15" s="147">
        <f ca="1">'Outputs - P&amp;L'!AZ38</f>
        <v>0</v>
      </c>
      <c r="BA15" s="147">
        <f ca="1">'Outputs - P&amp;L'!BA38</f>
        <v>0</v>
      </c>
      <c r="BB15" s="147">
        <f ca="1">'Outputs - P&amp;L'!BB38</f>
        <v>0</v>
      </c>
      <c r="BC15" s="147">
        <f ca="1">'Outputs - P&amp;L'!BC38</f>
        <v>0</v>
      </c>
      <c r="BD15" s="147">
        <f ca="1">'Outputs - P&amp;L'!BD38</f>
        <v>0</v>
      </c>
      <c r="BE15" s="147">
        <f ca="1">'Outputs - P&amp;L'!BE38</f>
        <v>0</v>
      </c>
      <c r="BF15" s="147">
        <f ca="1">'Outputs - P&amp;L'!BF38</f>
        <v>0</v>
      </c>
      <c r="BG15" s="147">
        <f ca="1">'Outputs - P&amp;L'!BG38</f>
        <v>0</v>
      </c>
      <c r="BH15" s="147">
        <f ca="1">'Outputs - P&amp;L'!BH38</f>
        <v>0</v>
      </c>
      <c r="BI15" s="147">
        <f ca="1">'Outputs - P&amp;L'!BI38</f>
        <v>0</v>
      </c>
      <c r="BJ15" s="147">
        <f ca="1">'Outputs - P&amp;L'!BJ38</f>
        <v>0</v>
      </c>
      <c r="BK15" s="147">
        <f ca="1">'Outputs - P&amp;L'!BK38</f>
        <v>0</v>
      </c>
      <c r="BL15" s="147">
        <f ca="1">'Outputs - P&amp;L'!BL38</f>
        <v>0</v>
      </c>
      <c r="BM15" s="147">
        <f ca="1">'Outputs - P&amp;L'!BM38</f>
        <v>0</v>
      </c>
      <c r="BN15" s="147">
        <f ca="1">'Outputs - P&amp;L'!BN38</f>
        <v>0</v>
      </c>
      <c r="BO15" s="147">
        <f ca="1">'Outputs - P&amp;L'!BO38</f>
        <v>0</v>
      </c>
      <c r="BP15" s="147">
        <f ca="1">'Outputs - P&amp;L'!BP38</f>
        <v>0</v>
      </c>
      <c r="BQ15" s="147">
        <f ca="1">'Outputs - P&amp;L'!BQ38</f>
        <v>0</v>
      </c>
      <c r="BR15" s="147">
        <f ca="1">'Outputs - P&amp;L'!BR38</f>
        <v>0</v>
      </c>
    </row>
    <row r="16" spans="1:78" s="147" customFormat="1" ht="13.2" x14ac:dyDescent="0.25">
      <c r="A16" s="211"/>
      <c r="D16" s="212"/>
    </row>
    <row r="17" spans="1:70" s="147" customFormat="1" ht="13.2" x14ac:dyDescent="0.25">
      <c r="A17" s="211"/>
      <c r="B17" s="147" t="s">
        <v>274</v>
      </c>
      <c r="D17" s="212"/>
      <c r="E17" s="147">
        <f>SUMIF($K$5:$BR$5,E$5,$K17:$BR17)</f>
        <v>0</v>
      </c>
      <c r="F17" s="147">
        <f t="shared" ref="F17:I19" si="1">SUMIF($K$5:$BR$5,F$5,$K17:$BR17)</f>
        <v>0</v>
      </c>
      <c r="G17" s="147">
        <f t="shared" si="1"/>
        <v>0</v>
      </c>
      <c r="H17" s="147">
        <f t="shared" si="1"/>
        <v>0</v>
      </c>
      <c r="I17" s="147">
        <f t="shared" si="1"/>
        <v>0</v>
      </c>
      <c r="K17" s="147">
        <f>-'Outputs - P&amp;L'!K31</f>
        <v>0</v>
      </c>
      <c r="L17" s="147">
        <f>-'Outputs - P&amp;L'!L31</f>
        <v>0</v>
      </c>
      <c r="M17" s="147">
        <f>-'Outputs - P&amp;L'!M31</f>
        <v>0</v>
      </c>
      <c r="N17" s="147">
        <f>-'Outputs - P&amp;L'!N31</f>
        <v>0</v>
      </c>
      <c r="O17" s="147">
        <f>-'Outputs - P&amp;L'!O31</f>
        <v>0</v>
      </c>
      <c r="P17" s="147">
        <f>-'Outputs - P&amp;L'!P31</f>
        <v>0</v>
      </c>
      <c r="Q17" s="147">
        <f>-'Outputs - P&amp;L'!Q31</f>
        <v>0</v>
      </c>
      <c r="R17" s="147">
        <f>-'Outputs - P&amp;L'!R31</f>
        <v>0</v>
      </c>
      <c r="S17" s="147">
        <f>-'Outputs - P&amp;L'!S31</f>
        <v>0</v>
      </c>
      <c r="T17" s="147">
        <f>-'Outputs - P&amp;L'!T31</f>
        <v>0</v>
      </c>
      <c r="U17" s="147">
        <f>-'Outputs - P&amp;L'!U31</f>
        <v>0</v>
      </c>
      <c r="V17" s="147">
        <f>-'Outputs - P&amp;L'!V31</f>
        <v>0</v>
      </c>
      <c r="W17" s="147">
        <f>-'Outputs - P&amp;L'!W31</f>
        <v>0</v>
      </c>
      <c r="X17" s="147">
        <f>-'Outputs - P&amp;L'!X31</f>
        <v>0</v>
      </c>
      <c r="Y17" s="147">
        <f>-'Outputs - P&amp;L'!Y31</f>
        <v>0</v>
      </c>
      <c r="Z17" s="147">
        <f>-'Outputs - P&amp;L'!Z31</f>
        <v>0</v>
      </c>
      <c r="AA17" s="147">
        <f>-'Outputs - P&amp;L'!AA31</f>
        <v>0</v>
      </c>
      <c r="AB17" s="147">
        <f>-'Outputs - P&amp;L'!AB31</f>
        <v>0</v>
      </c>
      <c r="AC17" s="147">
        <f>-'Outputs - P&amp;L'!AC31</f>
        <v>0</v>
      </c>
      <c r="AD17" s="147">
        <f>-'Outputs - P&amp;L'!AD31</f>
        <v>0</v>
      </c>
      <c r="AE17" s="147">
        <f>-'Outputs - P&amp;L'!AE31</f>
        <v>0</v>
      </c>
      <c r="AF17" s="147">
        <f>-'Outputs - P&amp;L'!AF31</f>
        <v>0</v>
      </c>
      <c r="AG17" s="147">
        <f>-'Outputs - P&amp;L'!AG31</f>
        <v>0</v>
      </c>
      <c r="AH17" s="147">
        <f>-'Outputs - P&amp;L'!AH31</f>
        <v>0</v>
      </c>
      <c r="AI17" s="147">
        <f>-'Outputs - P&amp;L'!AI31</f>
        <v>0</v>
      </c>
      <c r="AJ17" s="147">
        <f>-'Outputs - P&amp;L'!AJ31</f>
        <v>0</v>
      </c>
      <c r="AK17" s="147">
        <f>-'Outputs - P&amp;L'!AK31</f>
        <v>0</v>
      </c>
      <c r="AL17" s="147">
        <f>-'Outputs - P&amp;L'!AL31</f>
        <v>0</v>
      </c>
      <c r="AM17" s="147">
        <f>-'Outputs - P&amp;L'!AM31</f>
        <v>0</v>
      </c>
      <c r="AN17" s="147">
        <f>-'Outputs - P&amp;L'!AN31</f>
        <v>0</v>
      </c>
      <c r="AO17" s="147">
        <f>-'Outputs - P&amp;L'!AO31</f>
        <v>0</v>
      </c>
      <c r="AP17" s="147">
        <f>-'Outputs - P&amp;L'!AP31</f>
        <v>0</v>
      </c>
      <c r="AQ17" s="147">
        <f>-'Outputs - P&amp;L'!AQ31</f>
        <v>0</v>
      </c>
      <c r="AR17" s="147">
        <f>-'Outputs - P&amp;L'!AR31</f>
        <v>0</v>
      </c>
      <c r="AS17" s="147">
        <f>-'Outputs - P&amp;L'!AS31</f>
        <v>0</v>
      </c>
      <c r="AT17" s="147">
        <f>-'Outputs - P&amp;L'!AT31</f>
        <v>0</v>
      </c>
      <c r="AU17" s="147">
        <f>-'Outputs - P&amp;L'!AU31</f>
        <v>0</v>
      </c>
      <c r="AV17" s="147">
        <f>-'Outputs - P&amp;L'!AV31</f>
        <v>0</v>
      </c>
      <c r="AW17" s="147">
        <f>-'Outputs - P&amp;L'!AW31</f>
        <v>0</v>
      </c>
      <c r="AX17" s="147">
        <f>-'Outputs - P&amp;L'!AX31</f>
        <v>0</v>
      </c>
      <c r="AY17" s="147">
        <f>-'Outputs - P&amp;L'!AY31</f>
        <v>0</v>
      </c>
      <c r="AZ17" s="147">
        <f>-'Outputs - P&amp;L'!AZ31</f>
        <v>0</v>
      </c>
      <c r="BA17" s="147">
        <f>-'Outputs - P&amp;L'!BA31</f>
        <v>0</v>
      </c>
      <c r="BB17" s="147">
        <f>-'Outputs - P&amp;L'!BB31</f>
        <v>0</v>
      </c>
      <c r="BC17" s="147">
        <f>-'Outputs - P&amp;L'!BC31</f>
        <v>0</v>
      </c>
      <c r="BD17" s="147">
        <f>-'Outputs - P&amp;L'!BD31</f>
        <v>0</v>
      </c>
      <c r="BE17" s="147">
        <f>-'Outputs - P&amp;L'!BE31</f>
        <v>0</v>
      </c>
      <c r="BF17" s="147">
        <f>-'Outputs - P&amp;L'!BF31</f>
        <v>0</v>
      </c>
      <c r="BG17" s="147">
        <f>-'Outputs - P&amp;L'!BG31</f>
        <v>0</v>
      </c>
      <c r="BH17" s="147">
        <f>-'Outputs - P&amp;L'!BH31</f>
        <v>0</v>
      </c>
      <c r="BI17" s="147">
        <f>-'Outputs - P&amp;L'!BI31</f>
        <v>0</v>
      </c>
      <c r="BJ17" s="147">
        <f>-'Outputs - P&amp;L'!BJ31</f>
        <v>0</v>
      </c>
      <c r="BK17" s="147">
        <f>-'Outputs - P&amp;L'!BK31</f>
        <v>0</v>
      </c>
      <c r="BL17" s="147">
        <f>-'Outputs - P&amp;L'!BL31</f>
        <v>0</v>
      </c>
      <c r="BM17" s="147">
        <f>-'Outputs - P&amp;L'!BM31</f>
        <v>0</v>
      </c>
      <c r="BN17" s="147">
        <f>-'Outputs - P&amp;L'!BN31</f>
        <v>0</v>
      </c>
      <c r="BO17" s="147">
        <f>-'Outputs - P&amp;L'!BO31</f>
        <v>0</v>
      </c>
      <c r="BP17" s="147">
        <f>-'Outputs - P&amp;L'!BP31</f>
        <v>0</v>
      </c>
      <c r="BQ17" s="147">
        <f>-'Outputs - P&amp;L'!BQ31</f>
        <v>0</v>
      </c>
      <c r="BR17" s="147">
        <f>-'Outputs - P&amp;L'!BR31</f>
        <v>0</v>
      </c>
    </row>
    <row r="18" spans="1:70" s="147" customFormat="1" ht="13.2" x14ac:dyDescent="0.25">
      <c r="A18" s="211"/>
      <c r="B18" s="147" t="s">
        <v>356</v>
      </c>
      <c r="D18" s="212"/>
      <c r="E18" s="147">
        <f>SUMIF($K$5:$BR$5,E$5,$K18:$BR18)</f>
        <v>0</v>
      </c>
      <c r="F18" s="147">
        <f t="shared" si="1"/>
        <v>0</v>
      </c>
      <c r="G18" s="147">
        <f t="shared" si="1"/>
        <v>0</v>
      </c>
      <c r="H18" s="147">
        <f t="shared" si="1"/>
        <v>0</v>
      </c>
      <c r="I18" s="147">
        <f t="shared" si="1"/>
        <v>0</v>
      </c>
      <c r="K18" s="273">
        <v>0</v>
      </c>
      <c r="L18" s="273">
        <v>0</v>
      </c>
      <c r="M18" s="273">
        <v>0</v>
      </c>
      <c r="N18" s="273">
        <v>0</v>
      </c>
      <c r="O18" s="273">
        <v>0</v>
      </c>
      <c r="P18" s="273">
        <v>0</v>
      </c>
      <c r="Q18" s="273">
        <v>0</v>
      </c>
      <c r="R18" s="273">
        <v>0</v>
      </c>
      <c r="S18" s="273">
        <v>0</v>
      </c>
      <c r="T18" s="273">
        <v>0</v>
      </c>
      <c r="U18" s="273">
        <v>0</v>
      </c>
      <c r="V18" s="273">
        <v>0</v>
      </c>
      <c r="W18" s="273">
        <v>0</v>
      </c>
      <c r="X18" s="273">
        <v>0</v>
      </c>
      <c r="Y18" s="273">
        <v>0</v>
      </c>
      <c r="Z18" s="273">
        <v>0</v>
      </c>
      <c r="AA18" s="273">
        <v>0</v>
      </c>
      <c r="AB18" s="273">
        <v>0</v>
      </c>
      <c r="AC18" s="273">
        <v>0</v>
      </c>
      <c r="AD18" s="273">
        <v>0</v>
      </c>
      <c r="AE18" s="273">
        <v>0</v>
      </c>
      <c r="AF18" s="273">
        <v>0</v>
      </c>
      <c r="AG18" s="273">
        <v>0</v>
      </c>
      <c r="AH18" s="273">
        <v>0</v>
      </c>
      <c r="AI18" s="273">
        <v>0</v>
      </c>
      <c r="AJ18" s="273">
        <v>0</v>
      </c>
      <c r="AK18" s="273">
        <v>0</v>
      </c>
      <c r="AL18" s="273">
        <v>0</v>
      </c>
      <c r="AM18" s="273">
        <v>0</v>
      </c>
      <c r="AN18" s="273">
        <v>0</v>
      </c>
      <c r="AO18" s="273">
        <v>0</v>
      </c>
      <c r="AP18" s="273">
        <v>0</v>
      </c>
      <c r="AQ18" s="273">
        <v>0</v>
      </c>
      <c r="AR18" s="273">
        <v>0</v>
      </c>
      <c r="AS18" s="273">
        <v>0</v>
      </c>
      <c r="AT18" s="273">
        <v>0</v>
      </c>
      <c r="AU18" s="273">
        <v>0</v>
      </c>
      <c r="AV18" s="273">
        <v>0</v>
      </c>
      <c r="AW18" s="273">
        <v>0</v>
      </c>
      <c r="AX18" s="273">
        <v>0</v>
      </c>
      <c r="AY18" s="273">
        <v>0</v>
      </c>
      <c r="AZ18" s="273">
        <v>0</v>
      </c>
      <c r="BA18" s="273">
        <v>0</v>
      </c>
      <c r="BB18" s="273">
        <v>0</v>
      </c>
      <c r="BC18" s="273">
        <v>0</v>
      </c>
      <c r="BD18" s="273">
        <v>0</v>
      </c>
      <c r="BE18" s="273">
        <v>0</v>
      </c>
      <c r="BF18" s="273">
        <v>0</v>
      </c>
      <c r="BG18" s="273">
        <v>0</v>
      </c>
      <c r="BH18" s="273">
        <v>0</v>
      </c>
      <c r="BI18" s="273">
        <v>0</v>
      </c>
      <c r="BJ18" s="273">
        <v>0</v>
      </c>
      <c r="BK18" s="273">
        <v>0</v>
      </c>
      <c r="BL18" s="273">
        <v>0</v>
      </c>
      <c r="BM18" s="273">
        <v>0</v>
      </c>
      <c r="BN18" s="273">
        <v>0</v>
      </c>
      <c r="BO18" s="273">
        <v>0</v>
      </c>
      <c r="BP18" s="273">
        <v>0</v>
      </c>
      <c r="BQ18" s="273">
        <v>0</v>
      </c>
      <c r="BR18" s="273">
        <v>0</v>
      </c>
    </row>
    <row r="19" spans="1:70" s="147" customFormat="1" ht="13.2" x14ac:dyDescent="0.25">
      <c r="A19" s="211"/>
      <c r="B19" s="147" t="s">
        <v>327</v>
      </c>
      <c r="D19" s="212"/>
      <c r="E19" s="147">
        <f>SUMIF($K$5:$BR$5,E$5,$K19:$BR19)</f>
        <v>0</v>
      </c>
      <c r="F19" s="147">
        <f t="shared" si="1"/>
        <v>0</v>
      </c>
      <c r="G19" s="147">
        <f t="shared" si="1"/>
        <v>0</v>
      </c>
      <c r="H19" s="147">
        <f t="shared" si="1"/>
        <v>0</v>
      </c>
      <c r="I19" s="147">
        <f t="shared" si="1"/>
        <v>0</v>
      </c>
      <c r="K19" s="147">
        <f>-GrantIncome!K16</f>
        <v>0</v>
      </c>
      <c r="L19" s="147">
        <f>-GrantIncome!L16</f>
        <v>0</v>
      </c>
      <c r="M19" s="147">
        <f>-GrantIncome!M16</f>
        <v>0</v>
      </c>
      <c r="N19" s="147">
        <f>-GrantIncome!N16</f>
        <v>0</v>
      </c>
      <c r="O19" s="147">
        <f>-GrantIncome!O16</f>
        <v>0</v>
      </c>
      <c r="P19" s="147">
        <f>-GrantIncome!P16</f>
        <v>0</v>
      </c>
      <c r="Q19" s="147">
        <f>-GrantIncome!Q16</f>
        <v>0</v>
      </c>
      <c r="R19" s="147">
        <f>-GrantIncome!R16</f>
        <v>0</v>
      </c>
      <c r="S19" s="147">
        <f>-GrantIncome!S16</f>
        <v>0</v>
      </c>
      <c r="T19" s="147">
        <f>-GrantIncome!T16</f>
        <v>0</v>
      </c>
      <c r="U19" s="147">
        <f>-GrantIncome!U16</f>
        <v>0</v>
      </c>
      <c r="V19" s="147">
        <f>-GrantIncome!V16</f>
        <v>0</v>
      </c>
      <c r="W19" s="147">
        <f>-GrantIncome!W16</f>
        <v>0</v>
      </c>
      <c r="X19" s="147">
        <f>-GrantIncome!X16</f>
        <v>0</v>
      </c>
      <c r="Y19" s="147">
        <f>-GrantIncome!Y16</f>
        <v>0</v>
      </c>
      <c r="Z19" s="147">
        <f>-GrantIncome!Z16</f>
        <v>0</v>
      </c>
      <c r="AA19" s="147">
        <f>-GrantIncome!AA16</f>
        <v>0</v>
      </c>
      <c r="AB19" s="147">
        <f>-GrantIncome!AB16</f>
        <v>0</v>
      </c>
      <c r="AC19" s="147">
        <f>-GrantIncome!AC16</f>
        <v>0</v>
      </c>
      <c r="AD19" s="147">
        <f>-GrantIncome!AD16</f>
        <v>0</v>
      </c>
      <c r="AE19" s="147">
        <f>-GrantIncome!AE16</f>
        <v>0</v>
      </c>
      <c r="AF19" s="147">
        <f>-GrantIncome!AF16</f>
        <v>0</v>
      </c>
      <c r="AG19" s="147">
        <f>-GrantIncome!AG16</f>
        <v>0</v>
      </c>
      <c r="AH19" s="147">
        <f>-GrantIncome!AH16</f>
        <v>0</v>
      </c>
      <c r="AI19" s="147">
        <f>-GrantIncome!AI16</f>
        <v>0</v>
      </c>
      <c r="AJ19" s="147">
        <f>-GrantIncome!AJ16</f>
        <v>0</v>
      </c>
      <c r="AK19" s="147">
        <f>-GrantIncome!AK16</f>
        <v>0</v>
      </c>
      <c r="AL19" s="147">
        <f>-GrantIncome!AL16</f>
        <v>0</v>
      </c>
      <c r="AM19" s="147">
        <f>-GrantIncome!AM16</f>
        <v>0</v>
      </c>
      <c r="AN19" s="147">
        <f>-GrantIncome!AN16</f>
        <v>0</v>
      </c>
      <c r="AO19" s="147">
        <f>-GrantIncome!AO16</f>
        <v>0</v>
      </c>
      <c r="AP19" s="147">
        <f>-GrantIncome!AP16</f>
        <v>0</v>
      </c>
      <c r="AQ19" s="147">
        <f>-GrantIncome!AQ16</f>
        <v>0</v>
      </c>
      <c r="AR19" s="147">
        <f>-GrantIncome!AR16</f>
        <v>0</v>
      </c>
      <c r="AS19" s="147">
        <f>-GrantIncome!AS16</f>
        <v>0</v>
      </c>
      <c r="AT19" s="147">
        <f>-GrantIncome!AT16</f>
        <v>0</v>
      </c>
      <c r="AU19" s="147">
        <f>-GrantIncome!AU16</f>
        <v>0</v>
      </c>
      <c r="AV19" s="147">
        <f>-GrantIncome!AV16</f>
        <v>0</v>
      </c>
      <c r="AW19" s="147">
        <f>-GrantIncome!AW16</f>
        <v>0</v>
      </c>
      <c r="AX19" s="147">
        <f>-GrantIncome!AX16</f>
        <v>0</v>
      </c>
      <c r="AY19" s="147">
        <f>-GrantIncome!AY16</f>
        <v>0</v>
      </c>
      <c r="AZ19" s="147">
        <f>-GrantIncome!AZ16</f>
        <v>0</v>
      </c>
      <c r="BA19" s="147">
        <f>-GrantIncome!BA16</f>
        <v>0</v>
      </c>
      <c r="BB19" s="147">
        <f>-GrantIncome!BB16</f>
        <v>0</v>
      </c>
      <c r="BC19" s="147">
        <f>-GrantIncome!BC16</f>
        <v>0</v>
      </c>
      <c r="BD19" s="147">
        <f>-GrantIncome!BD16</f>
        <v>0</v>
      </c>
      <c r="BE19" s="147">
        <f>-GrantIncome!BE16</f>
        <v>0</v>
      </c>
      <c r="BF19" s="147">
        <f>-GrantIncome!BF16</f>
        <v>0</v>
      </c>
      <c r="BG19" s="147">
        <f>-GrantIncome!BG16</f>
        <v>0</v>
      </c>
      <c r="BH19" s="147">
        <f>-GrantIncome!BH16</f>
        <v>0</v>
      </c>
      <c r="BI19" s="147">
        <f>-GrantIncome!BI16</f>
        <v>0</v>
      </c>
      <c r="BJ19" s="147">
        <f>-GrantIncome!BJ16</f>
        <v>0</v>
      </c>
      <c r="BK19" s="147">
        <f>-GrantIncome!BK16</f>
        <v>0</v>
      </c>
      <c r="BL19" s="147">
        <f>-GrantIncome!BL16</f>
        <v>0</v>
      </c>
      <c r="BM19" s="147">
        <f>-GrantIncome!BM16</f>
        <v>0</v>
      </c>
      <c r="BN19" s="147">
        <f>-GrantIncome!BN16</f>
        <v>0</v>
      </c>
      <c r="BO19" s="147">
        <f>-GrantIncome!BO16</f>
        <v>0</v>
      </c>
      <c r="BP19" s="147">
        <f>-GrantIncome!BP16</f>
        <v>0</v>
      </c>
      <c r="BQ19" s="147">
        <f>-GrantIncome!BQ16</f>
        <v>0</v>
      </c>
      <c r="BR19" s="147">
        <f>-GrantIncome!BR16</f>
        <v>0</v>
      </c>
    </row>
    <row r="20" spans="1:70" s="147" customFormat="1" ht="13.2" x14ac:dyDescent="0.25">
      <c r="A20" s="211"/>
      <c r="D20" s="212"/>
    </row>
    <row r="21" spans="1:70" s="147" customFormat="1" ht="13.2" x14ac:dyDescent="0.25">
      <c r="A21" s="211"/>
      <c r="B21" s="147" t="s">
        <v>306</v>
      </c>
      <c r="D21" s="233"/>
      <c r="E21" s="147">
        <f>SUMIF($K$5:$BR$5,E$5,$K21:$BR21)</f>
        <v>0</v>
      </c>
      <c r="F21" s="147">
        <f t="shared" ref="F21:I30" si="2">SUMIF($K$5:$BR$5,F$5,$K21:$BR21)</f>
        <v>0</v>
      </c>
      <c r="G21" s="147">
        <f t="shared" si="2"/>
        <v>0</v>
      </c>
      <c r="H21" s="147">
        <f t="shared" si="2"/>
        <v>0</v>
      </c>
      <c r="I21" s="147">
        <f t="shared" si="2"/>
        <v>0</v>
      </c>
      <c r="K21" s="147">
        <f>-K17</f>
        <v>0</v>
      </c>
      <c r="L21" s="147">
        <f t="shared" ref="L21:BR21" si="3">-L17</f>
        <v>0</v>
      </c>
      <c r="M21" s="147">
        <f t="shared" si="3"/>
        <v>0</v>
      </c>
      <c r="N21" s="147">
        <f t="shared" si="3"/>
        <v>0</v>
      </c>
      <c r="O21" s="147">
        <f t="shared" si="3"/>
        <v>0</v>
      </c>
      <c r="P21" s="147">
        <f t="shared" si="3"/>
        <v>0</v>
      </c>
      <c r="Q21" s="147">
        <f t="shared" si="3"/>
        <v>0</v>
      </c>
      <c r="R21" s="147">
        <f t="shared" si="3"/>
        <v>0</v>
      </c>
      <c r="S21" s="147">
        <f t="shared" si="3"/>
        <v>0</v>
      </c>
      <c r="T21" s="147">
        <f t="shared" si="3"/>
        <v>0</v>
      </c>
      <c r="U21" s="147">
        <f t="shared" si="3"/>
        <v>0</v>
      </c>
      <c r="V21" s="147">
        <f t="shared" si="3"/>
        <v>0</v>
      </c>
      <c r="W21" s="147">
        <f t="shared" si="3"/>
        <v>0</v>
      </c>
      <c r="X21" s="147">
        <f t="shared" si="3"/>
        <v>0</v>
      </c>
      <c r="Y21" s="147">
        <f t="shared" si="3"/>
        <v>0</v>
      </c>
      <c r="Z21" s="147">
        <f t="shared" si="3"/>
        <v>0</v>
      </c>
      <c r="AA21" s="147">
        <f t="shared" si="3"/>
        <v>0</v>
      </c>
      <c r="AB21" s="147">
        <f t="shared" si="3"/>
        <v>0</v>
      </c>
      <c r="AC21" s="147">
        <f t="shared" si="3"/>
        <v>0</v>
      </c>
      <c r="AD21" s="147">
        <f t="shared" si="3"/>
        <v>0</v>
      </c>
      <c r="AE21" s="147">
        <f t="shared" si="3"/>
        <v>0</v>
      </c>
      <c r="AF21" s="147">
        <f t="shared" si="3"/>
        <v>0</v>
      </c>
      <c r="AG21" s="147">
        <f t="shared" si="3"/>
        <v>0</v>
      </c>
      <c r="AH21" s="147">
        <f t="shared" si="3"/>
        <v>0</v>
      </c>
      <c r="AI21" s="147">
        <f t="shared" si="3"/>
        <v>0</v>
      </c>
      <c r="AJ21" s="147">
        <f t="shared" si="3"/>
        <v>0</v>
      </c>
      <c r="AK21" s="147">
        <f t="shared" si="3"/>
        <v>0</v>
      </c>
      <c r="AL21" s="147">
        <f t="shared" si="3"/>
        <v>0</v>
      </c>
      <c r="AM21" s="147">
        <f t="shared" si="3"/>
        <v>0</v>
      </c>
      <c r="AN21" s="147">
        <f t="shared" si="3"/>
        <v>0</v>
      </c>
      <c r="AO21" s="147">
        <f t="shared" si="3"/>
        <v>0</v>
      </c>
      <c r="AP21" s="147">
        <f t="shared" si="3"/>
        <v>0</v>
      </c>
      <c r="AQ21" s="147">
        <f t="shared" si="3"/>
        <v>0</v>
      </c>
      <c r="AR21" s="147">
        <f t="shared" si="3"/>
        <v>0</v>
      </c>
      <c r="AS21" s="147">
        <f t="shared" si="3"/>
        <v>0</v>
      </c>
      <c r="AT21" s="147">
        <f t="shared" si="3"/>
        <v>0</v>
      </c>
      <c r="AU21" s="147">
        <f t="shared" si="3"/>
        <v>0</v>
      </c>
      <c r="AV21" s="147">
        <f t="shared" si="3"/>
        <v>0</v>
      </c>
      <c r="AW21" s="147">
        <f t="shared" si="3"/>
        <v>0</v>
      </c>
      <c r="AX21" s="147">
        <f t="shared" si="3"/>
        <v>0</v>
      </c>
      <c r="AY21" s="147">
        <f t="shared" si="3"/>
        <v>0</v>
      </c>
      <c r="AZ21" s="147">
        <f t="shared" si="3"/>
        <v>0</v>
      </c>
      <c r="BA21" s="147">
        <f t="shared" si="3"/>
        <v>0</v>
      </c>
      <c r="BB21" s="147">
        <f t="shared" si="3"/>
        <v>0</v>
      </c>
      <c r="BC21" s="147">
        <f t="shared" si="3"/>
        <v>0</v>
      </c>
      <c r="BD21" s="147">
        <f t="shared" si="3"/>
        <v>0</v>
      </c>
      <c r="BE21" s="147">
        <f t="shared" si="3"/>
        <v>0</v>
      </c>
      <c r="BF21" s="147">
        <f t="shared" si="3"/>
        <v>0</v>
      </c>
      <c r="BG21" s="147">
        <f t="shared" si="3"/>
        <v>0</v>
      </c>
      <c r="BH21" s="147">
        <f t="shared" si="3"/>
        <v>0</v>
      </c>
      <c r="BI21" s="147">
        <f t="shared" si="3"/>
        <v>0</v>
      </c>
      <c r="BJ21" s="147">
        <f t="shared" si="3"/>
        <v>0</v>
      </c>
      <c r="BK21" s="147">
        <f t="shared" si="3"/>
        <v>0</v>
      </c>
      <c r="BL21" s="147">
        <f t="shared" si="3"/>
        <v>0</v>
      </c>
      <c r="BM21" s="147">
        <f t="shared" si="3"/>
        <v>0</v>
      </c>
      <c r="BN21" s="147">
        <f t="shared" si="3"/>
        <v>0</v>
      </c>
      <c r="BO21" s="147">
        <f t="shared" si="3"/>
        <v>0</v>
      </c>
      <c r="BP21" s="147">
        <f t="shared" si="3"/>
        <v>0</v>
      </c>
      <c r="BQ21" s="147">
        <f t="shared" si="3"/>
        <v>0</v>
      </c>
      <c r="BR21" s="147">
        <f t="shared" si="3"/>
        <v>0</v>
      </c>
    </row>
    <row r="22" spans="1:70" s="147" customFormat="1" ht="13.2" x14ac:dyDescent="0.25">
      <c r="A22" s="211"/>
      <c r="D22" s="212"/>
    </row>
    <row r="23" spans="1:70" s="147" customFormat="1" ht="13.2" x14ac:dyDescent="0.25">
      <c r="A23" s="211"/>
      <c r="B23" s="147" t="s">
        <v>307</v>
      </c>
      <c r="D23" s="233"/>
      <c r="E23" s="147">
        <f ca="1">SUMIF($K$5:$BR$5,E$5,$K23:$BR23)</f>
        <v>0</v>
      </c>
      <c r="F23" s="147">
        <f t="shared" ca="1" si="2"/>
        <v>0</v>
      </c>
      <c r="G23" s="147">
        <f t="shared" ca="1" si="2"/>
        <v>0</v>
      </c>
      <c r="H23" s="147">
        <f t="shared" ca="1" si="2"/>
        <v>0</v>
      </c>
      <c r="I23" s="147">
        <f t="shared" ca="1" si="2"/>
        <v>0</v>
      </c>
      <c r="K23" s="147">
        <f ca="1">SUM(K15:K22)</f>
        <v>0</v>
      </c>
      <c r="L23" s="147">
        <f t="shared" ref="L23:BR23" ca="1" si="4">SUM(L15:L22)</f>
        <v>0</v>
      </c>
      <c r="M23" s="147">
        <f t="shared" ca="1" si="4"/>
        <v>0</v>
      </c>
      <c r="N23" s="147">
        <f t="shared" ca="1" si="4"/>
        <v>0</v>
      </c>
      <c r="O23" s="147">
        <f t="shared" ca="1" si="4"/>
        <v>0</v>
      </c>
      <c r="P23" s="147">
        <f t="shared" ca="1" si="4"/>
        <v>0</v>
      </c>
      <c r="Q23" s="147">
        <f t="shared" ca="1" si="4"/>
        <v>0</v>
      </c>
      <c r="R23" s="147">
        <f t="shared" ca="1" si="4"/>
        <v>0</v>
      </c>
      <c r="S23" s="147">
        <f t="shared" ca="1" si="4"/>
        <v>0</v>
      </c>
      <c r="T23" s="147">
        <f t="shared" ca="1" si="4"/>
        <v>0</v>
      </c>
      <c r="U23" s="147">
        <f t="shared" ca="1" si="4"/>
        <v>0</v>
      </c>
      <c r="V23" s="147">
        <f t="shared" ca="1" si="4"/>
        <v>0</v>
      </c>
      <c r="W23" s="147">
        <f t="shared" ca="1" si="4"/>
        <v>0</v>
      </c>
      <c r="X23" s="147">
        <f t="shared" ca="1" si="4"/>
        <v>0</v>
      </c>
      <c r="Y23" s="147">
        <f t="shared" ca="1" si="4"/>
        <v>0</v>
      </c>
      <c r="Z23" s="147">
        <f t="shared" ca="1" si="4"/>
        <v>0</v>
      </c>
      <c r="AA23" s="147">
        <f t="shared" ca="1" si="4"/>
        <v>0</v>
      </c>
      <c r="AB23" s="147">
        <f t="shared" ca="1" si="4"/>
        <v>0</v>
      </c>
      <c r="AC23" s="147">
        <f t="shared" ca="1" si="4"/>
        <v>0</v>
      </c>
      <c r="AD23" s="147">
        <f t="shared" ca="1" si="4"/>
        <v>0</v>
      </c>
      <c r="AE23" s="147">
        <f t="shared" ca="1" si="4"/>
        <v>0</v>
      </c>
      <c r="AF23" s="147">
        <f t="shared" ca="1" si="4"/>
        <v>0</v>
      </c>
      <c r="AG23" s="147">
        <f t="shared" ca="1" si="4"/>
        <v>0</v>
      </c>
      <c r="AH23" s="147">
        <f t="shared" ca="1" si="4"/>
        <v>0</v>
      </c>
      <c r="AI23" s="147">
        <f t="shared" ca="1" si="4"/>
        <v>0</v>
      </c>
      <c r="AJ23" s="147">
        <f t="shared" ca="1" si="4"/>
        <v>0</v>
      </c>
      <c r="AK23" s="147">
        <f t="shared" ca="1" si="4"/>
        <v>0</v>
      </c>
      <c r="AL23" s="147">
        <f t="shared" ca="1" si="4"/>
        <v>0</v>
      </c>
      <c r="AM23" s="147">
        <f t="shared" ca="1" si="4"/>
        <v>0</v>
      </c>
      <c r="AN23" s="147">
        <f t="shared" ca="1" si="4"/>
        <v>0</v>
      </c>
      <c r="AO23" s="147">
        <f t="shared" ca="1" si="4"/>
        <v>0</v>
      </c>
      <c r="AP23" s="147">
        <f t="shared" ca="1" si="4"/>
        <v>0</v>
      </c>
      <c r="AQ23" s="147">
        <f t="shared" ca="1" si="4"/>
        <v>0</v>
      </c>
      <c r="AR23" s="147">
        <f t="shared" ca="1" si="4"/>
        <v>0</v>
      </c>
      <c r="AS23" s="147">
        <f t="shared" ca="1" si="4"/>
        <v>0</v>
      </c>
      <c r="AT23" s="147">
        <f t="shared" ca="1" si="4"/>
        <v>0</v>
      </c>
      <c r="AU23" s="147">
        <f t="shared" ca="1" si="4"/>
        <v>0</v>
      </c>
      <c r="AV23" s="147">
        <f t="shared" ca="1" si="4"/>
        <v>0</v>
      </c>
      <c r="AW23" s="147">
        <f t="shared" ca="1" si="4"/>
        <v>0</v>
      </c>
      <c r="AX23" s="147">
        <f t="shared" ca="1" si="4"/>
        <v>0</v>
      </c>
      <c r="AY23" s="147">
        <f t="shared" ca="1" si="4"/>
        <v>0</v>
      </c>
      <c r="AZ23" s="147">
        <f t="shared" ca="1" si="4"/>
        <v>0</v>
      </c>
      <c r="BA23" s="147">
        <f t="shared" ca="1" si="4"/>
        <v>0</v>
      </c>
      <c r="BB23" s="147">
        <f t="shared" ca="1" si="4"/>
        <v>0</v>
      </c>
      <c r="BC23" s="147">
        <f t="shared" ca="1" si="4"/>
        <v>0</v>
      </c>
      <c r="BD23" s="147">
        <f t="shared" ca="1" si="4"/>
        <v>0</v>
      </c>
      <c r="BE23" s="147">
        <f t="shared" ca="1" si="4"/>
        <v>0</v>
      </c>
      <c r="BF23" s="147">
        <f t="shared" ca="1" si="4"/>
        <v>0</v>
      </c>
      <c r="BG23" s="147">
        <f t="shared" ca="1" si="4"/>
        <v>0</v>
      </c>
      <c r="BH23" s="147">
        <f t="shared" ca="1" si="4"/>
        <v>0</v>
      </c>
      <c r="BI23" s="147">
        <f t="shared" ca="1" si="4"/>
        <v>0</v>
      </c>
      <c r="BJ23" s="147">
        <f t="shared" ca="1" si="4"/>
        <v>0</v>
      </c>
      <c r="BK23" s="147">
        <f t="shared" ca="1" si="4"/>
        <v>0</v>
      </c>
      <c r="BL23" s="147">
        <f t="shared" ca="1" si="4"/>
        <v>0</v>
      </c>
      <c r="BM23" s="147">
        <f t="shared" ca="1" si="4"/>
        <v>0</v>
      </c>
      <c r="BN23" s="147">
        <f t="shared" ca="1" si="4"/>
        <v>0</v>
      </c>
      <c r="BO23" s="147">
        <f t="shared" ca="1" si="4"/>
        <v>0</v>
      </c>
      <c r="BP23" s="147">
        <f t="shared" ca="1" si="4"/>
        <v>0</v>
      </c>
      <c r="BQ23" s="147">
        <f t="shared" ca="1" si="4"/>
        <v>0</v>
      </c>
      <c r="BR23" s="147">
        <f t="shared" ca="1" si="4"/>
        <v>0</v>
      </c>
    </row>
    <row r="24" spans="1:70" s="147" customFormat="1" ht="13.2" x14ac:dyDescent="0.25">
      <c r="A24" s="211"/>
      <c r="D24" s="212"/>
    </row>
    <row r="25" spans="1:70" s="147" customFormat="1" ht="13.2" x14ac:dyDescent="0.25">
      <c r="A25" s="211"/>
      <c r="B25" s="147" t="s">
        <v>308</v>
      </c>
      <c r="D25" s="212"/>
      <c r="E25" s="147">
        <f ca="1">SUMIF($K$5:$BR$5,E$5,$K25:$BR25)</f>
        <v>0</v>
      </c>
      <c r="F25" s="147">
        <f t="shared" ca="1" si="2"/>
        <v>0</v>
      </c>
      <c r="G25" s="147">
        <f t="shared" ca="1" si="2"/>
        <v>0</v>
      </c>
      <c r="H25" s="147">
        <f t="shared" ca="1" si="2"/>
        <v>0</v>
      </c>
      <c r="I25" s="147">
        <f t="shared" ca="1" si="2"/>
        <v>0</v>
      </c>
      <c r="K25" s="147">
        <f t="shared" ref="K25" ca="1" si="5">-IF(MOD(K6,12)=0,MIN(0,SUM(OFFSET(K23,,,,-12))),0)</f>
        <v>0</v>
      </c>
      <c r="L25" s="147">
        <f t="shared" ref="L25:BR25" ca="1" si="6">-IF(MOD(L6,12)=0,MIN(0,SUM(OFFSET(L23,,,,-12))),0)</f>
        <v>0</v>
      </c>
      <c r="M25" s="147">
        <f t="shared" ca="1" si="6"/>
        <v>0</v>
      </c>
      <c r="N25" s="147">
        <f t="shared" ca="1" si="6"/>
        <v>0</v>
      </c>
      <c r="O25" s="147">
        <f t="shared" ca="1" si="6"/>
        <v>0</v>
      </c>
      <c r="P25" s="147">
        <f t="shared" ca="1" si="6"/>
        <v>0</v>
      </c>
      <c r="Q25" s="147">
        <f t="shared" ca="1" si="6"/>
        <v>0</v>
      </c>
      <c r="R25" s="147">
        <f t="shared" ca="1" si="6"/>
        <v>0</v>
      </c>
      <c r="S25" s="147">
        <f t="shared" ca="1" si="6"/>
        <v>0</v>
      </c>
      <c r="T25" s="147">
        <f t="shared" ca="1" si="6"/>
        <v>0</v>
      </c>
      <c r="U25" s="147">
        <f t="shared" ca="1" si="6"/>
        <v>0</v>
      </c>
      <c r="V25" s="147">
        <f t="shared" ca="1" si="6"/>
        <v>0</v>
      </c>
      <c r="W25" s="147">
        <f t="shared" ca="1" si="6"/>
        <v>0</v>
      </c>
      <c r="X25" s="147">
        <f t="shared" ca="1" si="6"/>
        <v>0</v>
      </c>
      <c r="Y25" s="147">
        <f t="shared" ca="1" si="6"/>
        <v>0</v>
      </c>
      <c r="Z25" s="147">
        <f t="shared" ca="1" si="6"/>
        <v>0</v>
      </c>
      <c r="AA25" s="147">
        <f t="shared" ca="1" si="6"/>
        <v>0</v>
      </c>
      <c r="AB25" s="147">
        <f t="shared" ca="1" si="6"/>
        <v>0</v>
      </c>
      <c r="AC25" s="147">
        <f t="shared" ca="1" si="6"/>
        <v>0</v>
      </c>
      <c r="AD25" s="147">
        <f t="shared" ca="1" si="6"/>
        <v>0</v>
      </c>
      <c r="AE25" s="147">
        <f t="shared" ca="1" si="6"/>
        <v>0</v>
      </c>
      <c r="AF25" s="147">
        <f t="shared" ca="1" si="6"/>
        <v>0</v>
      </c>
      <c r="AG25" s="147">
        <f t="shared" ca="1" si="6"/>
        <v>0</v>
      </c>
      <c r="AH25" s="147">
        <f t="shared" ca="1" si="6"/>
        <v>0</v>
      </c>
      <c r="AI25" s="147">
        <f t="shared" ca="1" si="6"/>
        <v>0</v>
      </c>
      <c r="AJ25" s="147">
        <f t="shared" ca="1" si="6"/>
        <v>0</v>
      </c>
      <c r="AK25" s="147">
        <f t="shared" ca="1" si="6"/>
        <v>0</v>
      </c>
      <c r="AL25" s="147">
        <f t="shared" ca="1" si="6"/>
        <v>0</v>
      </c>
      <c r="AM25" s="147">
        <f t="shared" ca="1" si="6"/>
        <v>0</v>
      </c>
      <c r="AN25" s="147">
        <f t="shared" ca="1" si="6"/>
        <v>0</v>
      </c>
      <c r="AO25" s="147">
        <f t="shared" ca="1" si="6"/>
        <v>0</v>
      </c>
      <c r="AP25" s="147">
        <f t="shared" ca="1" si="6"/>
        <v>0</v>
      </c>
      <c r="AQ25" s="147">
        <f t="shared" ca="1" si="6"/>
        <v>0</v>
      </c>
      <c r="AR25" s="147">
        <f t="shared" ca="1" si="6"/>
        <v>0</v>
      </c>
      <c r="AS25" s="147">
        <f t="shared" ca="1" si="6"/>
        <v>0</v>
      </c>
      <c r="AT25" s="147">
        <f t="shared" ca="1" si="6"/>
        <v>0</v>
      </c>
      <c r="AU25" s="147">
        <f t="shared" ca="1" si="6"/>
        <v>0</v>
      </c>
      <c r="AV25" s="147">
        <f t="shared" ca="1" si="6"/>
        <v>0</v>
      </c>
      <c r="AW25" s="147">
        <f t="shared" ca="1" si="6"/>
        <v>0</v>
      </c>
      <c r="AX25" s="147">
        <f t="shared" ca="1" si="6"/>
        <v>0</v>
      </c>
      <c r="AY25" s="147">
        <f t="shared" ca="1" si="6"/>
        <v>0</v>
      </c>
      <c r="AZ25" s="147">
        <f t="shared" ca="1" si="6"/>
        <v>0</v>
      </c>
      <c r="BA25" s="147">
        <f t="shared" ca="1" si="6"/>
        <v>0</v>
      </c>
      <c r="BB25" s="147">
        <f t="shared" ca="1" si="6"/>
        <v>0</v>
      </c>
      <c r="BC25" s="147">
        <f t="shared" ca="1" si="6"/>
        <v>0</v>
      </c>
      <c r="BD25" s="147">
        <f t="shared" ca="1" si="6"/>
        <v>0</v>
      </c>
      <c r="BE25" s="147">
        <f t="shared" ca="1" si="6"/>
        <v>0</v>
      </c>
      <c r="BF25" s="147">
        <f t="shared" ca="1" si="6"/>
        <v>0</v>
      </c>
      <c r="BG25" s="147">
        <f t="shared" ca="1" si="6"/>
        <v>0</v>
      </c>
      <c r="BH25" s="147">
        <f t="shared" ca="1" si="6"/>
        <v>0</v>
      </c>
      <c r="BI25" s="147">
        <f t="shared" ca="1" si="6"/>
        <v>0</v>
      </c>
      <c r="BJ25" s="147">
        <f t="shared" ca="1" si="6"/>
        <v>0</v>
      </c>
      <c r="BK25" s="147">
        <f t="shared" ca="1" si="6"/>
        <v>0</v>
      </c>
      <c r="BL25" s="147">
        <f t="shared" ca="1" si="6"/>
        <v>0</v>
      </c>
      <c r="BM25" s="147">
        <f t="shared" ca="1" si="6"/>
        <v>0</v>
      </c>
      <c r="BN25" s="147">
        <f t="shared" ca="1" si="6"/>
        <v>0</v>
      </c>
      <c r="BO25" s="147">
        <f t="shared" ca="1" si="6"/>
        <v>0</v>
      </c>
      <c r="BP25" s="147">
        <f t="shared" ca="1" si="6"/>
        <v>0</v>
      </c>
      <c r="BQ25" s="147">
        <f t="shared" ca="1" si="6"/>
        <v>0</v>
      </c>
      <c r="BR25" s="147">
        <f t="shared" ca="1" si="6"/>
        <v>0</v>
      </c>
    </row>
    <row r="26" spans="1:70" s="147" customFormat="1" ht="13.2" x14ac:dyDescent="0.25">
      <c r="A26" s="211"/>
      <c r="B26" s="147" t="s">
        <v>309</v>
      </c>
      <c r="D26" s="212"/>
      <c r="E26" s="147">
        <f ca="1">SUMIF($K$5:$BR$5,E$5,$K26:$BR26)</f>
        <v>0</v>
      </c>
      <c r="F26" s="147">
        <f t="shared" ca="1" si="2"/>
        <v>0</v>
      </c>
      <c r="G26" s="147">
        <f t="shared" ca="1" si="2"/>
        <v>0</v>
      </c>
      <c r="H26" s="147">
        <f t="shared" ca="1" si="2"/>
        <v>0</v>
      </c>
      <c r="I26" s="147">
        <f t="shared" ca="1" si="2"/>
        <v>0</v>
      </c>
      <c r="K26" s="147">
        <f t="shared" ref="K26" ca="1" si="7">-IF(MOD(K6,12)=0,MAX(0,MIN(SUM(OFFSET(K23,,,,-12)),K50)),0)</f>
        <v>0</v>
      </c>
      <c r="L26" s="147">
        <f t="shared" ref="L26:BR26" ca="1" si="8">-IF(MOD(L6,12)=0,MAX(0,MIN(SUM(OFFSET(L23,,,,-12)),L50)),0)</f>
        <v>0</v>
      </c>
      <c r="M26" s="147">
        <f t="shared" ca="1" si="8"/>
        <v>0</v>
      </c>
      <c r="N26" s="147">
        <f t="shared" ca="1" si="8"/>
        <v>0</v>
      </c>
      <c r="O26" s="147">
        <f t="shared" ca="1" si="8"/>
        <v>0</v>
      </c>
      <c r="P26" s="147">
        <f t="shared" ca="1" si="8"/>
        <v>0</v>
      </c>
      <c r="Q26" s="147">
        <f t="shared" ca="1" si="8"/>
        <v>0</v>
      </c>
      <c r="R26" s="147">
        <f t="shared" ca="1" si="8"/>
        <v>0</v>
      </c>
      <c r="S26" s="147">
        <f t="shared" ca="1" si="8"/>
        <v>0</v>
      </c>
      <c r="T26" s="147">
        <f t="shared" ca="1" si="8"/>
        <v>0</v>
      </c>
      <c r="U26" s="147">
        <f t="shared" ca="1" si="8"/>
        <v>0</v>
      </c>
      <c r="V26" s="147">
        <f t="shared" ca="1" si="8"/>
        <v>0</v>
      </c>
      <c r="W26" s="147">
        <f t="shared" ca="1" si="8"/>
        <v>0</v>
      </c>
      <c r="X26" s="147">
        <f t="shared" ca="1" si="8"/>
        <v>0</v>
      </c>
      <c r="Y26" s="147">
        <f t="shared" ca="1" si="8"/>
        <v>0</v>
      </c>
      <c r="Z26" s="147">
        <f t="shared" ca="1" si="8"/>
        <v>0</v>
      </c>
      <c r="AA26" s="147">
        <f t="shared" ca="1" si="8"/>
        <v>0</v>
      </c>
      <c r="AB26" s="147">
        <f t="shared" ca="1" si="8"/>
        <v>0</v>
      </c>
      <c r="AC26" s="147">
        <f t="shared" ca="1" si="8"/>
        <v>0</v>
      </c>
      <c r="AD26" s="147">
        <f t="shared" ca="1" si="8"/>
        <v>0</v>
      </c>
      <c r="AE26" s="147">
        <f t="shared" ca="1" si="8"/>
        <v>0</v>
      </c>
      <c r="AF26" s="147">
        <f t="shared" ca="1" si="8"/>
        <v>0</v>
      </c>
      <c r="AG26" s="147">
        <f t="shared" ca="1" si="8"/>
        <v>0</v>
      </c>
      <c r="AH26" s="147">
        <f t="shared" ca="1" si="8"/>
        <v>0</v>
      </c>
      <c r="AI26" s="147">
        <f t="shared" ca="1" si="8"/>
        <v>0</v>
      </c>
      <c r="AJ26" s="147">
        <f t="shared" ca="1" si="8"/>
        <v>0</v>
      </c>
      <c r="AK26" s="147">
        <f t="shared" ca="1" si="8"/>
        <v>0</v>
      </c>
      <c r="AL26" s="147">
        <f t="shared" ca="1" si="8"/>
        <v>0</v>
      </c>
      <c r="AM26" s="147">
        <f t="shared" ca="1" si="8"/>
        <v>0</v>
      </c>
      <c r="AN26" s="147">
        <f t="shared" ca="1" si="8"/>
        <v>0</v>
      </c>
      <c r="AO26" s="147">
        <f t="shared" ca="1" si="8"/>
        <v>0</v>
      </c>
      <c r="AP26" s="147">
        <f t="shared" ca="1" si="8"/>
        <v>0</v>
      </c>
      <c r="AQ26" s="147">
        <f t="shared" ca="1" si="8"/>
        <v>0</v>
      </c>
      <c r="AR26" s="147">
        <f t="shared" ca="1" si="8"/>
        <v>0</v>
      </c>
      <c r="AS26" s="147">
        <f t="shared" ca="1" si="8"/>
        <v>0</v>
      </c>
      <c r="AT26" s="147">
        <f t="shared" ca="1" si="8"/>
        <v>0</v>
      </c>
      <c r="AU26" s="147">
        <f t="shared" ca="1" si="8"/>
        <v>0</v>
      </c>
      <c r="AV26" s="147">
        <f t="shared" ca="1" si="8"/>
        <v>0</v>
      </c>
      <c r="AW26" s="147">
        <f t="shared" ca="1" si="8"/>
        <v>0</v>
      </c>
      <c r="AX26" s="147">
        <f t="shared" ca="1" si="8"/>
        <v>0</v>
      </c>
      <c r="AY26" s="147">
        <f t="shared" ca="1" si="8"/>
        <v>0</v>
      </c>
      <c r="AZ26" s="147">
        <f t="shared" ca="1" si="8"/>
        <v>0</v>
      </c>
      <c r="BA26" s="147">
        <f t="shared" ca="1" si="8"/>
        <v>0</v>
      </c>
      <c r="BB26" s="147">
        <f t="shared" ca="1" si="8"/>
        <v>0</v>
      </c>
      <c r="BC26" s="147">
        <f t="shared" ca="1" si="8"/>
        <v>0</v>
      </c>
      <c r="BD26" s="147">
        <f t="shared" ca="1" si="8"/>
        <v>0</v>
      </c>
      <c r="BE26" s="147">
        <f t="shared" ca="1" si="8"/>
        <v>0</v>
      </c>
      <c r="BF26" s="147">
        <f t="shared" ca="1" si="8"/>
        <v>0</v>
      </c>
      <c r="BG26" s="147">
        <f t="shared" ca="1" si="8"/>
        <v>0</v>
      </c>
      <c r="BH26" s="147">
        <f t="shared" ca="1" si="8"/>
        <v>0</v>
      </c>
      <c r="BI26" s="147">
        <f t="shared" ca="1" si="8"/>
        <v>0</v>
      </c>
      <c r="BJ26" s="147">
        <f t="shared" ca="1" si="8"/>
        <v>0</v>
      </c>
      <c r="BK26" s="147">
        <f t="shared" ca="1" si="8"/>
        <v>0</v>
      </c>
      <c r="BL26" s="147">
        <f t="shared" ca="1" si="8"/>
        <v>0</v>
      </c>
      <c r="BM26" s="147">
        <f t="shared" ca="1" si="8"/>
        <v>0</v>
      </c>
      <c r="BN26" s="147">
        <f t="shared" ca="1" si="8"/>
        <v>0</v>
      </c>
      <c r="BO26" s="147">
        <f t="shared" ca="1" si="8"/>
        <v>0</v>
      </c>
      <c r="BP26" s="147">
        <f t="shared" ca="1" si="8"/>
        <v>0</v>
      </c>
      <c r="BQ26" s="147">
        <f t="shared" ca="1" si="8"/>
        <v>0</v>
      </c>
      <c r="BR26" s="147">
        <f t="shared" ca="1" si="8"/>
        <v>0</v>
      </c>
    </row>
    <row r="27" spans="1:70" s="147" customFormat="1" ht="13.2" x14ac:dyDescent="0.25">
      <c r="A27" s="211"/>
      <c r="D27" s="212"/>
    </row>
    <row r="28" spans="1:70" s="147" customFormat="1" ht="13.2" x14ac:dyDescent="0.25">
      <c r="A28" s="211"/>
      <c r="B28" s="147" t="s">
        <v>310</v>
      </c>
      <c r="D28" s="212"/>
      <c r="E28" s="147">
        <f ca="1">SUMIF($K$5:$BR$5,E$5,$K28:$BR28)</f>
        <v>0</v>
      </c>
      <c r="F28" s="147">
        <f t="shared" ca="1" si="2"/>
        <v>0</v>
      </c>
      <c r="G28" s="147">
        <f t="shared" ca="1" si="2"/>
        <v>0</v>
      </c>
      <c r="H28" s="147">
        <f t="shared" ca="1" si="2"/>
        <v>0</v>
      </c>
      <c r="I28" s="147">
        <f t="shared" ca="1" si="2"/>
        <v>0</v>
      </c>
      <c r="K28" s="147">
        <f ca="1">IF(MOD(K6,12)=0,SUM(OFFSET(K23,,,,-12))+SUM(OFFSET(K25,,,,-12))+SUM(OFFSET(K26,,,,-12)),0)</f>
        <v>0</v>
      </c>
      <c r="L28" s="147">
        <f t="shared" ref="L28:BR28" ca="1" si="9">IF(MOD(L6,12)=0,SUM(OFFSET(L23,,,,-12))+SUM(OFFSET(L25,,,,-12))+SUM(OFFSET(L26,,,,-12)),0)</f>
        <v>0</v>
      </c>
      <c r="M28" s="147">
        <f t="shared" ca="1" si="9"/>
        <v>0</v>
      </c>
      <c r="N28" s="147">
        <f t="shared" ca="1" si="9"/>
        <v>0</v>
      </c>
      <c r="O28" s="147">
        <f t="shared" ca="1" si="9"/>
        <v>0</v>
      </c>
      <c r="P28" s="147">
        <f t="shared" ca="1" si="9"/>
        <v>0</v>
      </c>
      <c r="Q28" s="147">
        <f t="shared" ca="1" si="9"/>
        <v>0</v>
      </c>
      <c r="R28" s="147">
        <f t="shared" ca="1" si="9"/>
        <v>0</v>
      </c>
      <c r="S28" s="147">
        <f t="shared" ca="1" si="9"/>
        <v>0</v>
      </c>
      <c r="T28" s="147">
        <f t="shared" ca="1" si="9"/>
        <v>0</v>
      </c>
      <c r="U28" s="147">
        <f t="shared" ca="1" si="9"/>
        <v>0</v>
      </c>
      <c r="V28" s="147">
        <f t="shared" ca="1" si="9"/>
        <v>0</v>
      </c>
      <c r="W28" s="147">
        <f t="shared" ca="1" si="9"/>
        <v>0</v>
      </c>
      <c r="X28" s="147">
        <f t="shared" ca="1" si="9"/>
        <v>0</v>
      </c>
      <c r="Y28" s="147">
        <f t="shared" ca="1" si="9"/>
        <v>0</v>
      </c>
      <c r="Z28" s="147">
        <f t="shared" ca="1" si="9"/>
        <v>0</v>
      </c>
      <c r="AA28" s="147">
        <f t="shared" ca="1" si="9"/>
        <v>0</v>
      </c>
      <c r="AB28" s="147">
        <f t="shared" ca="1" si="9"/>
        <v>0</v>
      </c>
      <c r="AC28" s="147">
        <f t="shared" ca="1" si="9"/>
        <v>0</v>
      </c>
      <c r="AD28" s="147">
        <f t="shared" ca="1" si="9"/>
        <v>0</v>
      </c>
      <c r="AE28" s="147">
        <f t="shared" ca="1" si="9"/>
        <v>0</v>
      </c>
      <c r="AF28" s="147">
        <f t="shared" ca="1" si="9"/>
        <v>0</v>
      </c>
      <c r="AG28" s="147">
        <f t="shared" ca="1" si="9"/>
        <v>0</v>
      </c>
      <c r="AH28" s="147">
        <f t="shared" ca="1" si="9"/>
        <v>0</v>
      </c>
      <c r="AI28" s="147">
        <f t="shared" ca="1" si="9"/>
        <v>0</v>
      </c>
      <c r="AJ28" s="147">
        <f t="shared" ca="1" si="9"/>
        <v>0</v>
      </c>
      <c r="AK28" s="147">
        <f t="shared" ca="1" si="9"/>
        <v>0</v>
      </c>
      <c r="AL28" s="147">
        <f t="shared" ca="1" si="9"/>
        <v>0</v>
      </c>
      <c r="AM28" s="147">
        <f t="shared" ca="1" si="9"/>
        <v>0</v>
      </c>
      <c r="AN28" s="147">
        <f t="shared" ca="1" si="9"/>
        <v>0</v>
      </c>
      <c r="AO28" s="147">
        <f t="shared" ca="1" si="9"/>
        <v>0</v>
      </c>
      <c r="AP28" s="147">
        <f t="shared" ca="1" si="9"/>
        <v>0</v>
      </c>
      <c r="AQ28" s="147">
        <f t="shared" ca="1" si="9"/>
        <v>0</v>
      </c>
      <c r="AR28" s="147">
        <f t="shared" ca="1" si="9"/>
        <v>0</v>
      </c>
      <c r="AS28" s="147">
        <f t="shared" ca="1" si="9"/>
        <v>0</v>
      </c>
      <c r="AT28" s="147">
        <f t="shared" ca="1" si="9"/>
        <v>0</v>
      </c>
      <c r="AU28" s="147">
        <f t="shared" ca="1" si="9"/>
        <v>0</v>
      </c>
      <c r="AV28" s="147">
        <f t="shared" ca="1" si="9"/>
        <v>0</v>
      </c>
      <c r="AW28" s="147">
        <f t="shared" ca="1" si="9"/>
        <v>0</v>
      </c>
      <c r="AX28" s="147">
        <f t="shared" ca="1" si="9"/>
        <v>0</v>
      </c>
      <c r="AY28" s="147">
        <f t="shared" ca="1" si="9"/>
        <v>0</v>
      </c>
      <c r="AZ28" s="147">
        <f t="shared" ca="1" si="9"/>
        <v>0</v>
      </c>
      <c r="BA28" s="147">
        <f t="shared" ca="1" si="9"/>
        <v>0</v>
      </c>
      <c r="BB28" s="147">
        <f t="shared" ca="1" si="9"/>
        <v>0</v>
      </c>
      <c r="BC28" s="147">
        <f t="shared" ca="1" si="9"/>
        <v>0</v>
      </c>
      <c r="BD28" s="147">
        <f t="shared" ca="1" si="9"/>
        <v>0</v>
      </c>
      <c r="BE28" s="147">
        <f t="shared" ca="1" si="9"/>
        <v>0</v>
      </c>
      <c r="BF28" s="147">
        <f t="shared" ca="1" si="9"/>
        <v>0</v>
      </c>
      <c r="BG28" s="147">
        <f t="shared" ca="1" si="9"/>
        <v>0</v>
      </c>
      <c r="BH28" s="147">
        <f t="shared" ca="1" si="9"/>
        <v>0</v>
      </c>
      <c r="BI28" s="147">
        <f t="shared" ca="1" si="9"/>
        <v>0</v>
      </c>
      <c r="BJ28" s="147">
        <f t="shared" ca="1" si="9"/>
        <v>0</v>
      </c>
      <c r="BK28" s="147">
        <f t="shared" ca="1" si="9"/>
        <v>0</v>
      </c>
      <c r="BL28" s="147">
        <f t="shared" ca="1" si="9"/>
        <v>0</v>
      </c>
      <c r="BM28" s="147">
        <f t="shared" ca="1" si="9"/>
        <v>0</v>
      </c>
      <c r="BN28" s="147">
        <f t="shared" ca="1" si="9"/>
        <v>0</v>
      </c>
      <c r="BO28" s="147">
        <f t="shared" ca="1" si="9"/>
        <v>0</v>
      </c>
      <c r="BP28" s="147">
        <f t="shared" ca="1" si="9"/>
        <v>0</v>
      </c>
      <c r="BQ28" s="147">
        <f t="shared" ca="1" si="9"/>
        <v>0</v>
      </c>
      <c r="BR28" s="147">
        <f t="shared" ca="1" si="9"/>
        <v>0</v>
      </c>
    </row>
    <row r="29" spans="1:70" s="147" customFormat="1" ht="13.2" x14ac:dyDescent="0.25">
      <c r="A29" s="211"/>
      <c r="D29" s="212"/>
    </row>
    <row r="30" spans="1:70" s="211" customFormat="1" ht="13.2" x14ac:dyDescent="0.25">
      <c r="B30" s="211" t="s">
        <v>311</v>
      </c>
      <c r="D30" s="232"/>
      <c r="E30" s="247">
        <f ca="1">SUMIF($K$5:$BR$5,E$5,$K30:$BR30)</f>
        <v>0</v>
      </c>
      <c r="F30" s="247">
        <f t="shared" ca="1" si="2"/>
        <v>0</v>
      </c>
      <c r="G30" s="247">
        <f t="shared" ca="1" si="2"/>
        <v>0</v>
      </c>
      <c r="H30" s="247">
        <f t="shared" ca="1" si="2"/>
        <v>0</v>
      </c>
      <c r="I30" s="247">
        <f t="shared" ca="1" si="2"/>
        <v>0</v>
      </c>
      <c r="K30" s="247">
        <f ca="1">-K28*$C$13</f>
        <v>0</v>
      </c>
      <c r="L30" s="247">
        <f t="shared" ref="L30:BR30" ca="1" si="10">-L28*$C$13</f>
        <v>0</v>
      </c>
      <c r="M30" s="247">
        <f t="shared" ca="1" si="10"/>
        <v>0</v>
      </c>
      <c r="N30" s="247">
        <f t="shared" ca="1" si="10"/>
        <v>0</v>
      </c>
      <c r="O30" s="247">
        <f t="shared" ca="1" si="10"/>
        <v>0</v>
      </c>
      <c r="P30" s="247">
        <f t="shared" ca="1" si="10"/>
        <v>0</v>
      </c>
      <c r="Q30" s="247">
        <f t="shared" ca="1" si="10"/>
        <v>0</v>
      </c>
      <c r="R30" s="247">
        <f t="shared" ca="1" si="10"/>
        <v>0</v>
      </c>
      <c r="S30" s="247">
        <f t="shared" ca="1" si="10"/>
        <v>0</v>
      </c>
      <c r="T30" s="247">
        <f t="shared" ca="1" si="10"/>
        <v>0</v>
      </c>
      <c r="U30" s="247">
        <f t="shared" ca="1" si="10"/>
        <v>0</v>
      </c>
      <c r="V30" s="247">
        <f t="shared" ca="1" si="10"/>
        <v>0</v>
      </c>
      <c r="W30" s="247">
        <f t="shared" ca="1" si="10"/>
        <v>0</v>
      </c>
      <c r="X30" s="247">
        <f t="shared" ca="1" si="10"/>
        <v>0</v>
      </c>
      <c r="Y30" s="247">
        <f t="shared" ca="1" si="10"/>
        <v>0</v>
      </c>
      <c r="Z30" s="247">
        <f t="shared" ca="1" si="10"/>
        <v>0</v>
      </c>
      <c r="AA30" s="247">
        <f t="shared" ca="1" si="10"/>
        <v>0</v>
      </c>
      <c r="AB30" s="247">
        <f t="shared" ca="1" si="10"/>
        <v>0</v>
      </c>
      <c r="AC30" s="247">
        <f t="shared" ca="1" si="10"/>
        <v>0</v>
      </c>
      <c r="AD30" s="247">
        <f t="shared" ca="1" si="10"/>
        <v>0</v>
      </c>
      <c r="AE30" s="247">
        <f t="shared" ca="1" si="10"/>
        <v>0</v>
      </c>
      <c r="AF30" s="247">
        <f t="shared" ca="1" si="10"/>
        <v>0</v>
      </c>
      <c r="AG30" s="247">
        <f t="shared" ca="1" si="10"/>
        <v>0</v>
      </c>
      <c r="AH30" s="247">
        <f t="shared" ca="1" si="10"/>
        <v>0</v>
      </c>
      <c r="AI30" s="247">
        <f t="shared" ca="1" si="10"/>
        <v>0</v>
      </c>
      <c r="AJ30" s="247">
        <f t="shared" ca="1" si="10"/>
        <v>0</v>
      </c>
      <c r="AK30" s="247">
        <f t="shared" ca="1" si="10"/>
        <v>0</v>
      </c>
      <c r="AL30" s="247">
        <f t="shared" ca="1" si="10"/>
        <v>0</v>
      </c>
      <c r="AM30" s="247">
        <f t="shared" ca="1" si="10"/>
        <v>0</v>
      </c>
      <c r="AN30" s="247">
        <f t="shared" ca="1" si="10"/>
        <v>0</v>
      </c>
      <c r="AO30" s="247">
        <f t="shared" ca="1" si="10"/>
        <v>0</v>
      </c>
      <c r="AP30" s="247">
        <f t="shared" ca="1" si="10"/>
        <v>0</v>
      </c>
      <c r="AQ30" s="247">
        <f t="shared" ca="1" si="10"/>
        <v>0</v>
      </c>
      <c r="AR30" s="247">
        <f t="shared" ca="1" si="10"/>
        <v>0</v>
      </c>
      <c r="AS30" s="247">
        <f t="shared" ca="1" si="10"/>
        <v>0</v>
      </c>
      <c r="AT30" s="247">
        <f t="shared" ca="1" si="10"/>
        <v>0</v>
      </c>
      <c r="AU30" s="247">
        <f t="shared" ca="1" si="10"/>
        <v>0</v>
      </c>
      <c r="AV30" s="247">
        <f t="shared" ca="1" si="10"/>
        <v>0</v>
      </c>
      <c r="AW30" s="247">
        <f t="shared" ca="1" si="10"/>
        <v>0</v>
      </c>
      <c r="AX30" s="247">
        <f t="shared" ca="1" si="10"/>
        <v>0</v>
      </c>
      <c r="AY30" s="247">
        <f t="shared" ca="1" si="10"/>
        <v>0</v>
      </c>
      <c r="AZ30" s="247">
        <f t="shared" ca="1" si="10"/>
        <v>0</v>
      </c>
      <c r="BA30" s="247">
        <f t="shared" ca="1" si="10"/>
        <v>0</v>
      </c>
      <c r="BB30" s="247">
        <f t="shared" ca="1" si="10"/>
        <v>0</v>
      </c>
      <c r="BC30" s="247">
        <f t="shared" ca="1" si="10"/>
        <v>0</v>
      </c>
      <c r="BD30" s="247">
        <f t="shared" ca="1" si="10"/>
        <v>0</v>
      </c>
      <c r="BE30" s="247">
        <f t="shared" ca="1" si="10"/>
        <v>0</v>
      </c>
      <c r="BF30" s="247">
        <f t="shared" ca="1" si="10"/>
        <v>0</v>
      </c>
      <c r="BG30" s="247">
        <f t="shared" ca="1" si="10"/>
        <v>0</v>
      </c>
      <c r="BH30" s="247">
        <f t="shared" ca="1" si="10"/>
        <v>0</v>
      </c>
      <c r="BI30" s="247">
        <f t="shared" ca="1" si="10"/>
        <v>0</v>
      </c>
      <c r="BJ30" s="247">
        <f t="shared" ca="1" si="10"/>
        <v>0</v>
      </c>
      <c r="BK30" s="247">
        <f t="shared" ca="1" si="10"/>
        <v>0</v>
      </c>
      <c r="BL30" s="247">
        <f t="shared" ca="1" si="10"/>
        <v>0</v>
      </c>
      <c r="BM30" s="247">
        <f t="shared" ca="1" si="10"/>
        <v>0</v>
      </c>
      <c r="BN30" s="247">
        <f t="shared" ca="1" si="10"/>
        <v>0</v>
      </c>
      <c r="BO30" s="247">
        <f t="shared" ca="1" si="10"/>
        <v>0</v>
      </c>
      <c r="BP30" s="247">
        <f t="shared" ca="1" si="10"/>
        <v>0</v>
      </c>
      <c r="BQ30" s="247">
        <f t="shared" ca="1" si="10"/>
        <v>0</v>
      </c>
      <c r="BR30" s="247">
        <f t="shared" ca="1" si="10"/>
        <v>0</v>
      </c>
    </row>
    <row r="31" spans="1:70" s="147" customFormat="1" ht="13.2" x14ac:dyDescent="0.25">
      <c r="A31" s="211"/>
      <c r="F31" s="212"/>
    </row>
    <row r="32" spans="1:70" s="245" customFormat="1" ht="15.6" x14ac:dyDescent="0.3">
      <c r="A32" s="245">
        <f>Header1</f>
        <v>2</v>
      </c>
      <c r="B32" s="245" t="s">
        <v>312</v>
      </c>
    </row>
    <row r="33" spans="1:70" s="147" customFormat="1" ht="13.2" x14ac:dyDescent="0.25">
      <c r="A33" s="211"/>
      <c r="F33" s="212"/>
    </row>
    <row r="34" spans="1:70" s="147" customFormat="1" x14ac:dyDescent="0.25">
      <c r="A34" s="211"/>
      <c r="B34" s="215" t="s">
        <v>313</v>
      </c>
      <c r="F34" s="212"/>
    </row>
    <row r="35" spans="1:70" s="147" customFormat="1" ht="13.2" x14ac:dyDescent="0.25">
      <c r="A35" s="211"/>
      <c r="F35" s="212"/>
    </row>
    <row r="36" spans="1:70" s="147" customFormat="1" ht="13.2" x14ac:dyDescent="0.25">
      <c r="A36" s="211"/>
      <c r="B36" s="240" t="str">
        <f>KeyInputs!C98</f>
        <v>First corporate tax payment date</v>
      </c>
      <c r="C36" s="246">
        <f>KeyInputs!F98</f>
        <v>42094</v>
      </c>
      <c r="F36" s="212"/>
    </row>
    <row r="37" spans="1:70" s="147" customFormat="1" ht="13.2" x14ac:dyDescent="0.25">
      <c r="A37" s="211"/>
      <c r="B37" s="240"/>
      <c r="C37" s="246"/>
      <c r="F37" s="212"/>
    </row>
    <row r="38" spans="1:70" s="147" customFormat="1" ht="13.2" x14ac:dyDescent="0.25">
      <c r="A38" s="211"/>
      <c r="B38" s="94" t="s">
        <v>320</v>
      </c>
      <c r="C38" s="94">
        <f>INDEX($K$6:$BR$6,0,MATCH($C$36,$K$8:$BR$8,0))</f>
        <v>3</v>
      </c>
      <c r="F38" s="212"/>
    </row>
    <row r="39" spans="1:70" s="147" customFormat="1" ht="13.2" x14ac:dyDescent="0.25">
      <c r="A39" s="211"/>
      <c r="B39" s="94" t="s">
        <v>319</v>
      </c>
      <c r="C39" s="246"/>
      <c r="F39" s="212"/>
      <c r="K39" s="147">
        <f t="shared" ref="K39:AP39" si="11">IF(MOD((K$6-$C$38),12)=0,1,0)</f>
        <v>0</v>
      </c>
      <c r="L39" s="147">
        <f t="shared" si="11"/>
        <v>0</v>
      </c>
      <c r="M39" s="147">
        <f>IF(MOD((M$6-$C$38),12)=0,1,0)</f>
        <v>1</v>
      </c>
      <c r="N39" s="147">
        <f t="shared" si="11"/>
        <v>0</v>
      </c>
      <c r="O39" s="147">
        <f t="shared" si="11"/>
        <v>0</v>
      </c>
      <c r="P39" s="147">
        <f t="shared" si="11"/>
        <v>0</v>
      </c>
      <c r="Q39" s="147">
        <f t="shared" si="11"/>
        <v>0</v>
      </c>
      <c r="R39" s="147">
        <f t="shared" si="11"/>
        <v>0</v>
      </c>
      <c r="S39" s="147">
        <f t="shared" si="11"/>
        <v>0</v>
      </c>
      <c r="T39" s="147">
        <f t="shared" si="11"/>
        <v>0</v>
      </c>
      <c r="U39" s="147">
        <f t="shared" si="11"/>
        <v>0</v>
      </c>
      <c r="V39" s="147">
        <f t="shared" si="11"/>
        <v>0</v>
      </c>
      <c r="W39" s="147">
        <f t="shared" si="11"/>
        <v>0</v>
      </c>
      <c r="X39" s="147">
        <f t="shared" si="11"/>
        <v>0</v>
      </c>
      <c r="Y39" s="147">
        <f t="shared" si="11"/>
        <v>1</v>
      </c>
      <c r="Z39" s="147">
        <f t="shared" si="11"/>
        <v>0</v>
      </c>
      <c r="AA39" s="147">
        <f t="shared" si="11"/>
        <v>0</v>
      </c>
      <c r="AB39" s="147">
        <f t="shared" si="11"/>
        <v>0</v>
      </c>
      <c r="AC39" s="147">
        <f t="shared" si="11"/>
        <v>0</v>
      </c>
      <c r="AD39" s="147">
        <f t="shared" si="11"/>
        <v>0</v>
      </c>
      <c r="AE39" s="147">
        <f t="shared" si="11"/>
        <v>0</v>
      </c>
      <c r="AF39" s="147">
        <f t="shared" si="11"/>
        <v>0</v>
      </c>
      <c r="AG39" s="147">
        <f t="shared" si="11"/>
        <v>0</v>
      </c>
      <c r="AH39" s="147">
        <f t="shared" si="11"/>
        <v>0</v>
      </c>
      <c r="AI39" s="147">
        <f t="shared" si="11"/>
        <v>0</v>
      </c>
      <c r="AJ39" s="147">
        <f t="shared" si="11"/>
        <v>0</v>
      </c>
      <c r="AK39" s="147">
        <f t="shared" si="11"/>
        <v>1</v>
      </c>
      <c r="AL39" s="147">
        <f t="shared" si="11"/>
        <v>0</v>
      </c>
      <c r="AM39" s="147">
        <f t="shared" si="11"/>
        <v>0</v>
      </c>
      <c r="AN39" s="147">
        <f t="shared" si="11"/>
        <v>0</v>
      </c>
      <c r="AO39" s="147">
        <f t="shared" si="11"/>
        <v>0</v>
      </c>
      <c r="AP39" s="147">
        <f t="shared" si="11"/>
        <v>0</v>
      </c>
      <c r="AQ39" s="147">
        <f t="shared" ref="AQ39:BR39" si="12">IF(MOD((AQ$6-$C$38),12)=0,1,0)</f>
        <v>0</v>
      </c>
      <c r="AR39" s="147">
        <f t="shared" si="12"/>
        <v>0</v>
      </c>
      <c r="AS39" s="147">
        <f t="shared" si="12"/>
        <v>0</v>
      </c>
      <c r="AT39" s="147">
        <f t="shared" si="12"/>
        <v>0</v>
      </c>
      <c r="AU39" s="147">
        <f t="shared" si="12"/>
        <v>0</v>
      </c>
      <c r="AV39" s="147">
        <f t="shared" si="12"/>
        <v>0</v>
      </c>
      <c r="AW39" s="147">
        <f t="shared" si="12"/>
        <v>1</v>
      </c>
      <c r="AX39" s="147">
        <f t="shared" si="12"/>
        <v>0</v>
      </c>
      <c r="AY39" s="147">
        <f t="shared" si="12"/>
        <v>0</v>
      </c>
      <c r="AZ39" s="147">
        <f t="shared" si="12"/>
        <v>0</v>
      </c>
      <c r="BA39" s="147">
        <f t="shared" si="12"/>
        <v>0</v>
      </c>
      <c r="BB39" s="147">
        <f t="shared" si="12"/>
        <v>0</v>
      </c>
      <c r="BC39" s="147">
        <f t="shared" si="12"/>
        <v>0</v>
      </c>
      <c r="BD39" s="147">
        <f t="shared" si="12"/>
        <v>0</v>
      </c>
      <c r="BE39" s="147">
        <f t="shared" si="12"/>
        <v>0</v>
      </c>
      <c r="BF39" s="147">
        <f t="shared" si="12"/>
        <v>0</v>
      </c>
      <c r="BG39" s="147">
        <f t="shared" si="12"/>
        <v>0</v>
      </c>
      <c r="BH39" s="147">
        <f t="shared" si="12"/>
        <v>0</v>
      </c>
      <c r="BI39" s="147">
        <f t="shared" si="12"/>
        <v>1</v>
      </c>
      <c r="BJ39" s="147">
        <f t="shared" si="12"/>
        <v>0</v>
      </c>
      <c r="BK39" s="147">
        <f t="shared" si="12"/>
        <v>0</v>
      </c>
      <c r="BL39" s="147">
        <f t="shared" si="12"/>
        <v>0</v>
      </c>
      <c r="BM39" s="147">
        <f t="shared" si="12"/>
        <v>0</v>
      </c>
      <c r="BN39" s="147">
        <f t="shared" si="12"/>
        <v>0</v>
      </c>
      <c r="BO39" s="147">
        <f t="shared" si="12"/>
        <v>0</v>
      </c>
      <c r="BP39" s="147">
        <f t="shared" si="12"/>
        <v>0</v>
      </c>
      <c r="BQ39" s="147">
        <f t="shared" si="12"/>
        <v>0</v>
      </c>
      <c r="BR39" s="147">
        <f t="shared" si="12"/>
        <v>0</v>
      </c>
    </row>
    <row r="40" spans="1:70" s="215" customFormat="1" x14ac:dyDescent="0.25"/>
    <row r="41" spans="1:70" s="147" customFormat="1" ht="13.2" x14ac:dyDescent="0.25">
      <c r="A41" s="211"/>
      <c r="B41" s="147" t="s">
        <v>323</v>
      </c>
      <c r="D41" s="212" t="str">
        <f>unit</f>
        <v>£</v>
      </c>
      <c r="E41" s="147">
        <f>D44</f>
        <v>0</v>
      </c>
      <c r="F41" s="147">
        <f t="shared" ref="F41:I41" ca="1" si="13">E44</f>
        <v>0</v>
      </c>
      <c r="G41" s="147">
        <f t="shared" ca="1" si="13"/>
        <v>0</v>
      </c>
      <c r="H41" s="147">
        <f t="shared" ca="1" si="13"/>
        <v>0</v>
      </c>
      <c r="I41" s="147">
        <f t="shared" ca="1" si="13"/>
        <v>0</v>
      </c>
      <c r="K41" s="223">
        <f>J44</f>
        <v>0</v>
      </c>
      <c r="L41" s="147">
        <f t="shared" ref="L41" ca="1" si="14">K44</f>
        <v>0</v>
      </c>
      <c r="M41" s="147">
        <f t="shared" ref="M41" ca="1" si="15">L44</f>
        <v>0</v>
      </c>
      <c r="N41" s="147">
        <f t="shared" ref="N41" ca="1" si="16">M44</f>
        <v>0</v>
      </c>
      <c r="O41" s="147">
        <f t="shared" ref="O41" ca="1" si="17">N44</f>
        <v>0</v>
      </c>
      <c r="P41" s="147">
        <f t="shared" ref="P41" ca="1" si="18">O44</f>
        <v>0</v>
      </c>
      <c r="Q41" s="147">
        <f t="shared" ref="Q41" ca="1" si="19">P44</f>
        <v>0</v>
      </c>
      <c r="R41" s="147">
        <f t="shared" ref="R41" ca="1" si="20">Q44</f>
        <v>0</v>
      </c>
      <c r="S41" s="147">
        <f t="shared" ref="S41" ca="1" si="21">R44</f>
        <v>0</v>
      </c>
      <c r="T41" s="147">
        <f t="shared" ref="T41" ca="1" si="22">S44</f>
        <v>0</v>
      </c>
      <c r="U41" s="147">
        <f t="shared" ref="U41" ca="1" si="23">T44</f>
        <v>0</v>
      </c>
      <c r="V41" s="147">
        <f t="shared" ref="V41" ca="1" si="24">U44</f>
        <v>0</v>
      </c>
      <c r="W41" s="147">
        <f t="shared" ref="W41" ca="1" si="25">V44</f>
        <v>0</v>
      </c>
      <c r="X41" s="147">
        <f t="shared" ref="X41" ca="1" si="26">W44</f>
        <v>0</v>
      </c>
      <c r="Y41" s="147">
        <f t="shared" ref="Y41" ca="1" si="27">X44</f>
        <v>0</v>
      </c>
      <c r="Z41" s="147">
        <f t="shared" ref="Z41" ca="1" si="28">Y44</f>
        <v>0</v>
      </c>
      <c r="AA41" s="147">
        <f t="shared" ref="AA41" ca="1" si="29">Z44</f>
        <v>0</v>
      </c>
      <c r="AB41" s="147">
        <f t="shared" ref="AB41" ca="1" si="30">AA44</f>
        <v>0</v>
      </c>
      <c r="AC41" s="147">
        <f t="shared" ref="AC41" ca="1" si="31">AB44</f>
        <v>0</v>
      </c>
      <c r="AD41" s="147">
        <f t="shared" ref="AD41" ca="1" si="32">AC44</f>
        <v>0</v>
      </c>
      <c r="AE41" s="147">
        <f t="shared" ref="AE41" ca="1" si="33">AD44</f>
        <v>0</v>
      </c>
      <c r="AF41" s="147">
        <f t="shared" ref="AF41" ca="1" si="34">AE44</f>
        <v>0</v>
      </c>
      <c r="AG41" s="147">
        <f t="shared" ref="AG41" ca="1" si="35">AF44</f>
        <v>0</v>
      </c>
      <c r="AH41" s="147">
        <f t="shared" ref="AH41" ca="1" si="36">AG44</f>
        <v>0</v>
      </c>
      <c r="AI41" s="147">
        <f t="shared" ref="AI41" ca="1" si="37">AH44</f>
        <v>0</v>
      </c>
      <c r="AJ41" s="147">
        <f t="shared" ref="AJ41" ca="1" si="38">AI44</f>
        <v>0</v>
      </c>
      <c r="AK41" s="147">
        <f t="shared" ref="AK41" ca="1" si="39">AJ44</f>
        <v>0</v>
      </c>
      <c r="AL41" s="147">
        <f t="shared" ref="AL41" ca="1" si="40">AK44</f>
        <v>0</v>
      </c>
      <c r="AM41" s="147">
        <f t="shared" ref="AM41" ca="1" si="41">AL44</f>
        <v>0</v>
      </c>
      <c r="AN41" s="147">
        <f t="shared" ref="AN41" ca="1" si="42">AM44</f>
        <v>0</v>
      </c>
      <c r="AO41" s="147">
        <f t="shared" ref="AO41" ca="1" si="43">AN44</f>
        <v>0</v>
      </c>
      <c r="AP41" s="147">
        <f t="shared" ref="AP41" ca="1" si="44">AO44</f>
        <v>0</v>
      </c>
      <c r="AQ41" s="147">
        <f t="shared" ref="AQ41" ca="1" si="45">AP44</f>
        <v>0</v>
      </c>
      <c r="AR41" s="147">
        <f t="shared" ref="AR41" ca="1" si="46">AQ44</f>
        <v>0</v>
      </c>
      <c r="AS41" s="147">
        <f t="shared" ref="AS41" ca="1" si="47">AR44</f>
        <v>0</v>
      </c>
      <c r="AT41" s="147">
        <f t="shared" ref="AT41" ca="1" si="48">AS44</f>
        <v>0</v>
      </c>
      <c r="AU41" s="147">
        <f t="shared" ref="AU41" ca="1" si="49">AT44</f>
        <v>0</v>
      </c>
      <c r="AV41" s="147">
        <f t="shared" ref="AV41" ca="1" si="50">AU44</f>
        <v>0</v>
      </c>
      <c r="AW41" s="147">
        <f t="shared" ref="AW41" ca="1" si="51">AV44</f>
        <v>0</v>
      </c>
      <c r="AX41" s="147">
        <f t="shared" ref="AX41" ca="1" si="52">AW44</f>
        <v>0</v>
      </c>
      <c r="AY41" s="147">
        <f t="shared" ref="AY41" ca="1" si="53">AX44</f>
        <v>0</v>
      </c>
      <c r="AZ41" s="147">
        <f t="shared" ref="AZ41" ca="1" si="54">AY44</f>
        <v>0</v>
      </c>
      <c r="BA41" s="147">
        <f t="shared" ref="BA41" ca="1" si="55">AZ44</f>
        <v>0</v>
      </c>
      <c r="BB41" s="147">
        <f t="shared" ref="BB41" ca="1" si="56">BA44</f>
        <v>0</v>
      </c>
      <c r="BC41" s="147">
        <f t="shared" ref="BC41" ca="1" si="57">BB44</f>
        <v>0</v>
      </c>
      <c r="BD41" s="147">
        <f t="shared" ref="BD41" ca="1" si="58">BC44</f>
        <v>0</v>
      </c>
      <c r="BE41" s="147">
        <f t="shared" ref="BE41" ca="1" si="59">BD44</f>
        <v>0</v>
      </c>
      <c r="BF41" s="147">
        <f t="shared" ref="BF41" ca="1" si="60">BE44</f>
        <v>0</v>
      </c>
      <c r="BG41" s="147">
        <f t="shared" ref="BG41" ca="1" si="61">BF44</f>
        <v>0</v>
      </c>
      <c r="BH41" s="147">
        <f t="shared" ref="BH41" ca="1" si="62">BG44</f>
        <v>0</v>
      </c>
      <c r="BI41" s="147">
        <f t="shared" ref="BI41" ca="1" si="63">BH44</f>
        <v>0</v>
      </c>
      <c r="BJ41" s="147">
        <f t="shared" ref="BJ41" ca="1" si="64">BI44</f>
        <v>0</v>
      </c>
      <c r="BK41" s="147">
        <f t="shared" ref="BK41" ca="1" si="65">BJ44</f>
        <v>0</v>
      </c>
      <c r="BL41" s="147">
        <f t="shared" ref="BL41" ca="1" si="66">BK44</f>
        <v>0</v>
      </c>
      <c r="BM41" s="147">
        <f t="shared" ref="BM41" ca="1" si="67">BL44</f>
        <v>0</v>
      </c>
      <c r="BN41" s="147">
        <f t="shared" ref="BN41" ca="1" si="68">BM44</f>
        <v>0</v>
      </c>
      <c r="BO41" s="147">
        <f t="shared" ref="BO41" ca="1" si="69">BN44</f>
        <v>0</v>
      </c>
      <c r="BP41" s="147">
        <f t="shared" ref="BP41" ca="1" si="70">BO44</f>
        <v>0</v>
      </c>
      <c r="BQ41" s="147">
        <f t="shared" ref="BQ41" ca="1" si="71">BP44</f>
        <v>0</v>
      </c>
      <c r="BR41" s="147">
        <f t="shared" ref="BR41" ca="1" si="72">BQ44</f>
        <v>0</v>
      </c>
    </row>
    <row r="42" spans="1:70" s="147" customFormat="1" ht="13.2" x14ac:dyDescent="0.25">
      <c r="A42" s="211"/>
      <c r="B42" s="147" t="s">
        <v>311</v>
      </c>
      <c r="D42" s="212" t="str">
        <f>unit</f>
        <v>£</v>
      </c>
      <c r="E42" s="147">
        <f ca="1">SUMIF($K$5:$BR$5,E$5,$K42:$BR42)</f>
        <v>0</v>
      </c>
      <c r="F42" s="147">
        <f t="shared" ref="F42:I43" ca="1" si="73">SUMIF($K$5:$BR$5,F$5,$K42:$BR42)</f>
        <v>0</v>
      </c>
      <c r="G42" s="147">
        <f t="shared" ca="1" si="73"/>
        <v>0</v>
      </c>
      <c r="H42" s="147">
        <f t="shared" ca="1" si="73"/>
        <v>0</v>
      </c>
      <c r="I42" s="147">
        <f t="shared" ca="1" si="73"/>
        <v>0</v>
      </c>
      <c r="K42" s="147">
        <f t="shared" ref="K42:L42" ca="1" si="74">K30</f>
        <v>0</v>
      </c>
      <c r="L42" s="147">
        <f t="shared" ca="1" si="74"/>
        <v>0</v>
      </c>
      <c r="M42" s="147">
        <f t="shared" ref="M42:BR42" ca="1" si="75">M30</f>
        <v>0</v>
      </c>
      <c r="N42" s="147">
        <f t="shared" ca="1" si="75"/>
        <v>0</v>
      </c>
      <c r="O42" s="147">
        <f t="shared" ca="1" si="75"/>
        <v>0</v>
      </c>
      <c r="P42" s="147">
        <f t="shared" ca="1" si="75"/>
        <v>0</v>
      </c>
      <c r="Q42" s="147">
        <f t="shared" ca="1" si="75"/>
        <v>0</v>
      </c>
      <c r="R42" s="147">
        <f t="shared" ca="1" si="75"/>
        <v>0</v>
      </c>
      <c r="S42" s="147">
        <f t="shared" ca="1" si="75"/>
        <v>0</v>
      </c>
      <c r="T42" s="147">
        <f t="shared" ca="1" si="75"/>
        <v>0</v>
      </c>
      <c r="U42" s="147">
        <f t="shared" ca="1" si="75"/>
        <v>0</v>
      </c>
      <c r="V42" s="147">
        <f t="shared" ca="1" si="75"/>
        <v>0</v>
      </c>
      <c r="W42" s="147">
        <f t="shared" ca="1" si="75"/>
        <v>0</v>
      </c>
      <c r="X42" s="147">
        <f t="shared" ca="1" si="75"/>
        <v>0</v>
      </c>
      <c r="Y42" s="147">
        <f t="shared" ca="1" si="75"/>
        <v>0</v>
      </c>
      <c r="Z42" s="147">
        <f t="shared" ca="1" si="75"/>
        <v>0</v>
      </c>
      <c r="AA42" s="147">
        <f t="shared" ca="1" si="75"/>
        <v>0</v>
      </c>
      <c r="AB42" s="147">
        <f t="shared" ca="1" si="75"/>
        <v>0</v>
      </c>
      <c r="AC42" s="147">
        <f t="shared" ca="1" si="75"/>
        <v>0</v>
      </c>
      <c r="AD42" s="147">
        <f t="shared" ca="1" si="75"/>
        <v>0</v>
      </c>
      <c r="AE42" s="147">
        <f t="shared" ca="1" si="75"/>
        <v>0</v>
      </c>
      <c r="AF42" s="147">
        <f t="shared" ca="1" si="75"/>
        <v>0</v>
      </c>
      <c r="AG42" s="147">
        <f t="shared" ca="1" si="75"/>
        <v>0</v>
      </c>
      <c r="AH42" s="147">
        <f t="shared" ca="1" si="75"/>
        <v>0</v>
      </c>
      <c r="AI42" s="147">
        <f t="shared" ca="1" si="75"/>
        <v>0</v>
      </c>
      <c r="AJ42" s="147">
        <f t="shared" ca="1" si="75"/>
        <v>0</v>
      </c>
      <c r="AK42" s="147">
        <f t="shared" ca="1" si="75"/>
        <v>0</v>
      </c>
      <c r="AL42" s="147">
        <f t="shared" ca="1" si="75"/>
        <v>0</v>
      </c>
      <c r="AM42" s="147">
        <f t="shared" ca="1" si="75"/>
        <v>0</v>
      </c>
      <c r="AN42" s="147">
        <f t="shared" ca="1" si="75"/>
        <v>0</v>
      </c>
      <c r="AO42" s="147">
        <f t="shared" ca="1" si="75"/>
        <v>0</v>
      </c>
      <c r="AP42" s="147">
        <f t="shared" ca="1" si="75"/>
        <v>0</v>
      </c>
      <c r="AQ42" s="147">
        <f t="shared" ca="1" si="75"/>
        <v>0</v>
      </c>
      <c r="AR42" s="147">
        <f t="shared" ca="1" si="75"/>
        <v>0</v>
      </c>
      <c r="AS42" s="147">
        <f t="shared" ca="1" si="75"/>
        <v>0</v>
      </c>
      <c r="AT42" s="147">
        <f t="shared" ca="1" si="75"/>
        <v>0</v>
      </c>
      <c r="AU42" s="147">
        <f t="shared" ca="1" si="75"/>
        <v>0</v>
      </c>
      <c r="AV42" s="147">
        <f t="shared" ca="1" si="75"/>
        <v>0</v>
      </c>
      <c r="AW42" s="147">
        <f t="shared" ca="1" si="75"/>
        <v>0</v>
      </c>
      <c r="AX42" s="147">
        <f t="shared" ca="1" si="75"/>
        <v>0</v>
      </c>
      <c r="AY42" s="147">
        <f t="shared" ca="1" si="75"/>
        <v>0</v>
      </c>
      <c r="AZ42" s="147">
        <f t="shared" ca="1" si="75"/>
        <v>0</v>
      </c>
      <c r="BA42" s="147">
        <f t="shared" ca="1" si="75"/>
        <v>0</v>
      </c>
      <c r="BB42" s="147">
        <f t="shared" ca="1" si="75"/>
        <v>0</v>
      </c>
      <c r="BC42" s="147">
        <f t="shared" ca="1" si="75"/>
        <v>0</v>
      </c>
      <c r="BD42" s="147">
        <f t="shared" ca="1" si="75"/>
        <v>0</v>
      </c>
      <c r="BE42" s="147">
        <f t="shared" ca="1" si="75"/>
        <v>0</v>
      </c>
      <c r="BF42" s="147">
        <f t="shared" ca="1" si="75"/>
        <v>0</v>
      </c>
      <c r="BG42" s="147">
        <f t="shared" ca="1" si="75"/>
        <v>0</v>
      </c>
      <c r="BH42" s="147">
        <f t="shared" ca="1" si="75"/>
        <v>0</v>
      </c>
      <c r="BI42" s="147">
        <f t="shared" ca="1" si="75"/>
        <v>0</v>
      </c>
      <c r="BJ42" s="147">
        <f t="shared" ca="1" si="75"/>
        <v>0</v>
      </c>
      <c r="BK42" s="147">
        <f t="shared" ca="1" si="75"/>
        <v>0</v>
      </c>
      <c r="BL42" s="147">
        <f t="shared" ca="1" si="75"/>
        <v>0</v>
      </c>
      <c r="BM42" s="147">
        <f t="shared" ca="1" si="75"/>
        <v>0</v>
      </c>
      <c r="BN42" s="147">
        <f t="shared" ca="1" si="75"/>
        <v>0</v>
      </c>
      <c r="BO42" s="147">
        <f t="shared" ca="1" si="75"/>
        <v>0</v>
      </c>
      <c r="BP42" s="147">
        <f t="shared" ca="1" si="75"/>
        <v>0</v>
      </c>
      <c r="BQ42" s="147">
        <f t="shared" ca="1" si="75"/>
        <v>0</v>
      </c>
      <c r="BR42" s="147">
        <f t="shared" ca="1" si="75"/>
        <v>0</v>
      </c>
    </row>
    <row r="43" spans="1:70" s="147" customFormat="1" ht="13.2" x14ac:dyDescent="0.25">
      <c r="A43" s="211"/>
      <c r="B43" s="147" t="s">
        <v>215</v>
      </c>
      <c r="D43" s="212" t="str">
        <f>unit</f>
        <v>£</v>
      </c>
      <c r="E43" s="147">
        <f ca="1">SUMIF($K$5:$BR$5,E$5,$K43:$BR43)</f>
        <v>0</v>
      </c>
      <c r="F43" s="147">
        <f t="shared" ca="1" si="73"/>
        <v>0</v>
      </c>
      <c r="G43" s="147">
        <f t="shared" ca="1" si="73"/>
        <v>0</v>
      </c>
      <c r="H43" s="147">
        <f t="shared" ca="1" si="73"/>
        <v>0</v>
      </c>
      <c r="I43" s="147">
        <f t="shared" ca="1" si="73"/>
        <v>0</v>
      </c>
      <c r="K43" s="147">
        <f t="shared" ref="K43:AP43" si="76">-J44*K39</f>
        <v>0</v>
      </c>
      <c r="L43" s="147">
        <f t="shared" ca="1" si="76"/>
        <v>0</v>
      </c>
      <c r="M43" s="147">
        <f t="shared" ca="1" si="76"/>
        <v>0</v>
      </c>
      <c r="N43" s="147">
        <f t="shared" ca="1" si="76"/>
        <v>0</v>
      </c>
      <c r="O43" s="147">
        <f t="shared" ca="1" si="76"/>
        <v>0</v>
      </c>
      <c r="P43" s="147">
        <f t="shared" ca="1" si="76"/>
        <v>0</v>
      </c>
      <c r="Q43" s="147">
        <f t="shared" ca="1" si="76"/>
        <v>0</v>
      </c>
      <c r="R43" s="147">
        <f t="shared" ca="1" si="76"/>
        <v>0</v>
      </c>
      <c r="S43" s="147">
        <f t="shared" ca="1" si="76"/>
        <v>0</v>
      </c>
      <c r="T43" s="147">
        <f t="shared" ca="1" si="76"/>
        <v>0</v>
      </c>
      <c r="U43" s="147">
        <f t="shared" ca="1" si="76"/>
        <v>0</v>
      </c>
      <c r="V43" s="147">
        <f t="shared" ca="1" si="76"/>
        <v>0</v>
      </c>
      <c r="W43" s="147">
        <f t="shared" ca="1" si="76"/>
        <v>0</v>
      </c>
      <c r="X43" s="147">
        <f t="shared" ca="1" si="76"/>
        <v>0</v>
      </c>
      <c r="Y43" s="147">
        <f t="shared" ca="1" si="76"/>
        <v>0</v>
      </c>
      <c r="Z43" s="147">
        <f t="shared" ca="1" si="76"/>
        <v>0</v>
      </c>
      <c r="AA43" s="147">
        <f t="shared" ca="1" si="76"/>
        <v>0</v>
      </c>
      <c r="AB43" s="147">
        <f t="shared" ca="1" si="76"/>
        <v>0</v>
      </c>
      <c r="AC43" s="147">
        <f t="shared" ca="1" si="76"/>
        <v>0</v>
      </c>
      <c r="AD43" s="147">
        <f t="shared" ca="1" si="76"/>
        <v>0</v>
      </c>
      <c r="AE43" s="147">
        <f t="shared" ca="1" si="76"/>
        <v>0</v>
      </c>
      <c r="AF43" s="147">
        <f t="shared" ca="1" si="76"/>
        <v>0</v>
      </c>
      <c r="AG43" s="147">
        <f t="shared" ca="1" si="76"/>
        <v>0</v>
      </c>
      <c r="AH43" s="147">
        <f t="shared" ca="1" si="76"/>
        <v>0</v>
      </c>
      <c r="AI43" s="147">
        <f t="shared" ca="1" si="76"/>
        <v>0</v>
      </c>
      <c r="AJ43" s="147">
        <f t="shared" ca="1" si="76"/>
        <v>0</v>
      </c>
      <c r="AK43" s="147">
        <f t="shared" ca="1" si="76"/>
        <v>0</v>
      </c>
      <c r="AL43" s="147">
        <f t="shared" ca="1" si="76"/>
        <v>0</v>
      </c>
      <c r="AM43" s="147">
        <f t="shared" ca="1" si="76"/>
        <v>0</v>
      </c>
      <c r="AN43" s="147">
        <f t="shared" ca="1" si="76"/>
        <v>0</v>
      </c>
      <c r="AO43" s="147">
        <f t="shared" ca="1" si="76"/>
        <v>0</v>
      </c>
      <c r="AP43" s="147">
        <f t="shared" ca="1" si="76"/>
        <v>0</v>
      </c>
      <c r="AQ43" s="147">
        <f t="shared" ref="AQ43:BR43" ca="1" si="77">-AP44*AQ39</f>
        <v>0</v>
      </c>
      <c r="AR43" s="147">
        <f t="shared" ca="1" si="77"/>
        <v>0</v>
      </c>
      <c r="AS43" s="147">
        <f t="shared" ca="1" si="77"/>
        <v>0</v>
      </c>
      <c r="AT43" s="147">
        <f t="shared" ca="1" si="77"/>
        <v>0</v>
      </c>
      <c r="AU43" s="147">
        <f t="shared" ca="1" si="77"/>
        <v>0</v>
      </c>
      <c r="AV43" s="147">
        <f t="shared" ca="1" si="77"/>
        <v>0</v>
      </c>
      <c r="AW43" s="147">
        <f t="shared" ca="1" si="77"/>
        <v>0</v>
      </c>
      <c r="AX43" s="147">
        <f t="shared" ca="1" si="77"/>
        <v>0</v>
      </c>
      <c r="AY43" s="147">
        <f t="shared" ca="1" si="77"/>
        <v>0</v>
      </c>
      <c r="AZ43" s="147">
        <f t="shared" ca="1" si="77"/>
        <v>0</v>
      </c>
      <c r="BA43" s="147">
        <f t="shared" ca="1" si="77"/>
        <v>0</v>
      </c>
      <c r="BB43" s="147">
        <f t="shared" ca="1" si="77"/>
        <v>0</v>
      </c>
      <c r="BC43" s="147">
        <f t="shared" ca="1" si="77"/>
        <v>0</v>
      </c>
      <c r="BD43" s="147">
        <f t="shared" ca="1" si="77"/>
        <v>0</v>
      </c>
      <c r="BE43" s="147">
        <f t="shared" ca="1" si="77"/>
        <v>0</v>
      </c>
      <c r="BF43" s="147">
        <f t="shared" ca="1" si="77"/>
        <v>0</v>
      </c>
      <c r="BG43" s="147">
        <f t="shared" ca="1" si="77"/>
        <v>0</v>
      </c>
      <c r="BH43" s="147">
        <f t="shared" ca="1" si="77"/>
        <v>0</v>
      </c>
      <c r="BI43" s="147">
        <f t="shared" ca="1" si="77"/>
        <v>0</v>
      </c>
      <c r="BJ43" s="147">
        <f t="shared" ca="1" si="77"/>
        <v>0</v>
      </c>
      <c r="BK43" s="147">
        <f t="shared" ca="1" si="77"/>
        <v>0</v>
      </c>
      <c r="BL43" s="147">
        <f t="shared" ca="1" si="77"/>
        <v>0</v>
      </c>
      <c r="BM43" s="147">
        <f t="shared" ca="1" si="77"/>
        <v>0</v>
      </c>
      <c r="BN43" s="147">
        <f t="shared" ca="1" si="77"/>
        <v>0</v>
      </c>
      <c r="BO43" s="147">
        <f t="shared" ca="1" si="77"/>
        <v>0</v>
      </c>
      <c r="BP43" s="147">
        <f t="shared" ca="1" si="77"/>
        <v>0</v>
      </c>
      <c r="BQ43" s="147">
        <f t="shared" ca="1" si="77"/>
        <v>0</v>
      </c>
      <c r="BR43" s="147">
        <f t="shared" ca="1" si="77"/>
        <v>0</v>
      </c>
    </row>
    <row r="44" spans="1:70" s="147" customFormat="1" ht="13.2" x14ac:dyDescent="0.25">
      <c r="A44" s="211"/>
      <c r="B44" s="147" t="s">
        <v>324</v>
      </c>
      <c r="D44" s="69">
        <f>KeyInputs!G136</f>
        <v>0</v>
      </c>
      <c r="E44" s="230">
        <f ca="1">SUM(E41:E43)</f>
        <v>0</v>
      </c>
      <c r="F44" s="230">
        <f t="shared" ref="F44:I44" ca="1" si="78">SUM(F41:F43)</f>
        <v>0</v>
      </c>
      <c r="G44" s="230">
        <f t="shared" ca="1" si="78"/>
        <v>0</v>
      </c>
      <c r="H44" s="230">
        <f t="shared" ca="1" si="78"/>
        <v>0</v>
      </c>
      <c r="I44" s="230">
        <f t="shared" ca="1" si="78"/>
        <v>0</v>
      </c>
      <c r="J44" s="264">
        <f>D44</f>
        <v>0</v>
      </c>
      <c r="K44" s="214">
        <f t="shared" ref="K44:BR44" ca="1" si="79">SUM(K41:K43)</f>
        <v>0</v>
      </c>
      <c r="L44" s="214">
        <f t="shared" ca="1" si="79"/>
        <v>0</v>
      </c>
      <c r="M44" s="214">
        <f t="shared" ca="1" si="79"/>
        <v>0</v>
      </c>
      <c r="N44" s="214">
        <f t="shared" ca="1" si="79"/>
        <v>0</v>
      </c>
      <c r="O44" s="214">
        <f t="shared" ca="1" si="79"/>
        <v>0</v>
      </c>
      <c r="P44" s="214">
        <f t="shared" ca="1" si="79"/>
        <v>0</v>
      </c>
      <c r="Q44" s="214">
        <f t="shared" ca="1" si="79"/>
        <v>0</v>
      </c>
      <c r="R44" s="214">
        <f t="shared" ca="1" si="79"/>
        <v>0</v>
      </c>
      <c r="S44" s="214">
        <f t="shared" ca="1" si="79"/>
        <v>0</v>
      </c>
      <c r="T44" s="214">
        <f t="shared" ca="1" si="79"/>
        <v>0</v>
      </c>
      <c r="U44" s="214">
        <f t="shared" ca="1" si="79"/>
        <v>0</v>
      </c>
      <c r="V44" s="214">
        <f t="shared" ca="1" si="79"/>
        <v>0</v>
      </c>
      <c r="W44" s="214">
        <f t="shared" ca="1" si="79"/>
        <v>0</v>
      </c>
      <c r="X44" s="214">
        <f t="shared" ca="1" si="79"/>
        <v>0</v>
      </c>
      <c r="Y44" s="214">
        <f t="shared" ca="1" si="79"/>
        <v>0</v>
      </c>
      <c r="Z44" s="214">
        <f t="shared" ca="1" si="79"/>
        <v>0</v>
      </c>
      <c r="AA44" s="214">
        <f t="shared" ca="1" si="79"/>
        <v>0</v>
      </c>
      <c r="AB44" s="214">
        <f t="shared" ca="1" si="79"/>
        <v>0</v>
      </c>
      <c r="AC44" s="214">
        <f t="shared" ca="1" si="79"/>
        <v>0</v>
      </c>
      <c r="AD44" s="214">
        <f t="shared" ca="1" si="79"/>
        <v>0</v>
      </c>
      <c r="AE44" s="214">
        <f t="shared" ca="1" si="79"/>
        <v>0</v>
      </c>
      <c r="AF44" s="214">
        <f t="shared" ca="1" si="79"/>
        <v>0</v>
      </c>
      <c r="AG44" s="214">
        <f t="shared" ca="1" si="79"/>
        <v>0</v>
      </c>
      <c r="AH44" s="214">
        <f t="shared" ca="1" si="79"/>
        <v>0</v>
      </c>
      <c r="AI44" s="214">
        <f t="shared" ca="1" si="79"/>
        <v>0</v>
      </c>
      <c r="AJ44" s="214">
        <f t="shared" ca="1" si="79"/>
        <v>0</v>
      </c>
      <c r="AK44" s="214">
        <f t="shared" ca="1" si="79"/>
        <v>0</v>
      </c>
      <c r="AL44" s="214">
        <f t="shared" ca="1" si="79"/>
        <v>0</v>
      </c>
      <c r="AM44" s="214">
        <f t="shared" ca="1" si="79"/>
        <v>0</v>
      </c>
      <c r="AN44" s="214">
        <f t="shared" ca="1" si="79"/>
        <v>0</v>
      </c>
      <c r="AO44" s="214">
        <f t="shared" ca="1" si="79"/>
        <v>0</v>
      </c>
      <c r="AP44" s="214">
        <f t="shared" ca="1" si="79"/>
        <v>0</v>
      </c>
      <c r="AQ44" s="214">
        <f t="shared" ca="1" si="79"/>
        <v>0</v>
      </c>
      <c r="AR44" s="214">
        <f t="shared" ca="1" si="79"/>
        <v>0</v>
      </c>
      <c r="AS44" s="214">
        <f t="shared" ca="1" si="79"/>
        <v>0</v>
      </c>
      <c r="AT44" s="214">
        <f t="shared" ca="1" si="79"/>
        <v>0</v>
      </c>
      <c r="AU44" s="214">
        <f t="shared" ca="1" si="79"/>
        <v>0</v>
      </c>
      <c r="AV44" s="214">
        <f t="shared" ca="1" si="79"/>
        <v>0</v>
      </c>
      <c r="AW44" s="214">
        <f t="shared" ca="1" si="79"/>
        <v>0</v>
      </c>
      <c r="AX44" s="214">
        <f t="shared" ca="1" si="79"/>
        <v>0</v>
      </c>
      <c r="AY44" s="214">
        <f t="shared" ca="1" si="79"/>
        <v>0</v>
      </c>
      <c r="AZ44" s="214">
        <f t="shared" ca="1" si="79"/>
        <v>0</v>
      </c>
      <c r="BA44" s="214">
        <f t="shared" ca="1" si="79"/>
        <v>0</v>
      </c>
      <c r="BB44" s="214">
        <f t="shared" ca="1" si="79"/>
        <v>0</v>
      </c>
      <c r="BC44" s="214">
        <f t="shared" ca="1" si="79"/>
        <v>0</v>
      </c>
      <c r="BD44" s="214">
        <f t="shared" ca="1" si="79"/>
        <v>0</v>
      </c>
      <c r="BE44" s="214">
        <f t="shared" ca="1" si="79"/>
        <v>0</v>
      </c>
      <c r="BF44" s="214">
        <f t="shared" ca="1" si="79"/>
        <v>0</v>
      </c>
      <c r="BG44" s="214">
        <f t="shared" ca="1" si="79"/>
        <v>0</v>
      </c>
      <c r="BH44" s="214">
        <f t="shared" ca="1" si="79"/>
        <v>0</v>
      </c>
      <c r="BI44" s="214">
        <f t="shared" ca="1" si="79"/>
        <v>0</v>
      </c>
      <c r="BJ44" s="214">
        <f t="shared" ca="1" si="79"/>
        <v>0</v>
      </c>
      <c r="BK44" s="214">
        <f t="shared" ca="1" si="79"/>
        <v>0</v>
      </c>
      <c r="BL44" s="214">
        <f t="shared" ca="1" si="79"/>
        <v>0</v>
      </c>
      <c r="BM44" s="214">
        <f t="shared" ca="1" si="79"/>
        <v>0</v>
      </c>
      <c r="BN44" s="214">
        <f t="shared" ca="1" si="79"/>
        <v>0</v>
      </c>
      <c r="BO44" s="214">
        <f t="shared" ca="1" si="79"/>
        <v>0</v>
      </c>
      <c r="BP44" s="214">
        <f t="shared" ca="1" si="79"/>
        <v>0</v>
      </c>
      <c r="BQ44" s="214">
        <f t="shared" ca="1" si="79"/>
        <v>0</v>
      </c>
      <c r="BR44" s="214">
        <f t="shared" ca="1" si="79"/>
        <v>0</v>
      </c>
    </row>
    <row r="45" spans="1:70" s="147" customFormat="1" ht="13.2" x14ac:dyDescent="0.25">
      <c r="A45" s="211"/>
      <c r="F45" s="212"/>
    </row>
    <row r="46" spans="1:70" s="245" customFormat="1" ht="15.6" x14ac:dyDescent="0.3">
      <c r="A46" s="245">
        <f>Header1</f>
        <v>3</v>
      </c>
      <c r="B46" s="245" t="s">
        <v>314</v>
      </c>
    </row>
    <row r="47" spans="1:70" s="147" customFormat="1" ht="13.2" x14ac:dyDescent="0.25">
      <c r="A47" s="211"/>
      <c r="F47" s="212"/>
    </row>
    <row r="48" spans="1:70" s="215" customFormat="1" x14ac:dyDescent="0.25">
      <c r="B48" s="215" t="s">
        <v>314</v>
      </c>
    </row>
    <row r="49" spans="1:70" s="147" customFormat="1" ht="13.2" x14ac:dyDescent="0.25">
      <c r="A49" s="211"/>
      <c r="F49" s="212"/>
    </row>
    <row r="50" spans="1:70" s="147" customFormat="1" ht="13.2" x14ac:dyDescent="0.25">
      <c r="A50" s="211"/>
      <c r="B50" s="147" t="s">
        <v>325</v>
      </c>
      <c r="D50" s="212" t="str">
        <f>unit</f>
        <v>£</v>
      </c>
      <c r="E50" s="224">
        <f>D53</f>
        <v>0</v>
      </c>
      <c r="F50" s="224">
        <f t="shared" ref="F50:I50" ca="1" si="80">E53</f>
        <v>0</v>
      </c>
      <c r="G50" s="224">
        <f t="shared" ca="1" si="80"/>
        <v>0</v>
      </c>
      <c r="H50" s="224">
        <f t="shared" ca="1" si="80"/>
        <v>0</v>
      </c>
      <c r="I50" s="224">
        <f t="shared" ca="1" si="80"/>
        <v>0</v>
      </c>
      <c r="K50" s="223">
        <f>J53</f>
        <v>0</v>
      </c>
      <c r="L50" s="321">
        <f ca="1">K53</f>
        <v>0</v>
      </c>
      <c r="M50" s="147">
        <f t="shared" ref="M50:AD50" ca="1" si="81">L53</f>
        <v>0</v>
      </c>
      <c r="N50" s="147">
        <f t="shared" ca="1" si="81"/>
        <v>0</v>
      </c>
      <c r="O50" s="147">
        <f t="shared" ca="1" si="81"/>
        <v>0</v>
      </c>
      <c r="P50" s="147">
        <f t="shared" ca="1" si="81"/>
        <v>0</v>
      </c>
      <c r="Q50" s="147">
        <f t="shared" ca="1" si="81"/>
        <v>0</v>
      </c>
      <c r="R50" s="147">
        <f t="shared" ca="1" si="81"/>
        <v>0</v>
      </c>
      <c r="S50" s="147">
        <f t="shared" ca="1" si="81"/>
        <v>0</v>
      </c>
      <c r="T50" s="147">
        <f t="shared" ca="1" si="81"/>
        <v>0</v>
      </c>
      <c r="U50" s="147">
        <f t="shared" ca="1" si="81"/>
        <v>0</v>
      </c>
      <c r="V50" s="147">
        <f t="shared" ca="1" si="81"/>
        <v>0</v>
      </c>
      <c r="W50" s="147">
        <f t="shared" ca="1" si="81"/>
        <v>0</v>
      </c>
      <c r="X50" s="147">
        <f t="shared" ca="1" si="81"/>
        <v>0</v>
      </c>
      <c r="Y50" s="147">
        <f t="shared" ca="1" si="81"/>
        <v>0</v>
      </c>
      <c r="Z50" s="147">
        <f t="shared" ca="1" si="81"/>
        <v>0</v>
      </c>
      <c r="AA50" s="147">
        <f t="shared" ca="1" si="81"/>
        <v>0</v>
      </c>
      <c r="AB50" s="147">
        <f t="shared" ca="1" si="81"/>
        <v>0</v>
      </c>
      <c r="AC50" s="147">
        <f t="shared" ca="1" si="81"/>
        <v>0</v>
      </c>
      <c r="AD50" s="147">
        <f t="shared" ca="1" si="81"/>
        <v>0</v>
      </c>
      <c r="AE50" s="147">
        <f t="shared" ref="AE50" ca="1" si="82">AD53</f>
        <v>0</v>
      </c>
      <c r="AF50" s="147">
        <f t="shared" ref="AF50" ca="1" si="83">AE53</f>
        <v>0</v>
      </c>
      <c r="AG50" s="147">
        <f t="shared" ref="AG50" ca="1" si="84">AF53</f>
        <v>0</v>
      </c>
      <c r="AH50" s="147">
        <f t="shared" ref="AH50" ca="1" si="85">AG53</f>
        <v>0</v>
      </c>
      <c r="AI50" s="147">
        <f t="shared" ref="AI50" ca="1" si="86">AH53</f>
        <v>0</v>
      </c>
      <c r="AJ50" s="147">
        <f t="shared" ref="AJ50" ca="1" si="87">AI53</f>
        <v>0</v>
      </c>
      <c r="AK50" s="147">
        <f t="shared" ref="AK50" ca="1" si="88">AJ53</f>
        <v>0</v>
      </c>
      <c r="AL50" s="147">
        <f t="shared" ref="AL50" ca="1" si="89">AK53</f>
        <v>0</v>
      </c>
      <c r="AM50" s="147">
        <f t="shared" ref="AM50" ca="1" si="90">AL53</f>
        <v>0</v>
      </c>
      <c r="AN50" s="147">
        <f t="shared" ref="AN50" ca="1" si="91">AM53</f>
        <v>0</v>
      </c>
      <c r="AO50" s="147">
        <f t="shared" ref="AO50" ca="1" si="92">AN53</f>
        <v>0</v>
      </c>
      <c r="AP50" s="147">
        <f t="shared" ref="AP50" ca="1" si="93">AO53</f>
        <v>0</v>
      </c>
      <c r="AQ50" s="147">
        <f t="shared" ref="AQ50" ca="1" si="94">AP53</f>
        <v>0</v>
      </c>
      <c r="AR50" s="147">
        <f t="shared" ref="AR50" ca="1" si="95">AQ53</f>
        <v>0</v>
      </c>
      <c r="AS50" s="147">
        <f t="shared" ref="AS50" ca="1" si="96">AR53</f>
        <v>0</v>
      </c>
      <c r="AT50" s="147">
        <f t="shared" ref="AT50" ca="1" si="97">AS53</f>
        <v>0</v>
      </c>
      <c r="AU50" s="147">
        <f t="shared" ref="AU50" ca="1" si="98">AT53</f>
        <v>0</v>
      </c>
      <c r="AV50" s="147">
        <f t="shared" ref="AV50" ca="1" si="99">AU53</f>
        <v>0</v>
      </c>
      <c r="AW50" s="147">
        <f t="shared" ref="AW50" ca="1" si="100">AV53</f>
        <v>0</v>
      </c>
      <c r="AX50" s="147">
        <f t="shared" ref="AX50" ca="1" si="101">AW53</f>
        <v>0</v>
      </c>
      <c r="AY50" s="147">
        <f t="shared" ref="AY50" ca="1" si="102">AX53</f>
        <v>0</v>
      </c>
      <c r="AZ50" s="147">
        <f t="shared" ref="AZ50" ca="1" si="103">AY53</f>
        <v>0</v>
      </c>
      <c r="BA50" s="147">
        <f t="shared" ref="BA50" ca="1" si="104">AZ53</f>
        <v>0</v>
      </c>
      <c r="BB50" s="147">
        <f t="shared" ref="BB50" ca="1" si="105">BA53</f>
        <v>0</v>
      </c>
      <c r="BC50" s="147">
        <f t="shared" ref="BC50" ca="1" si="106">BB53</f>
        <v>0</v>
      </c>
      <c r="BD50" s="147">
        <f t="shared" ref="BD50" ca="1" si="107">BC53</f>
        <v>0</v>
      </c>
      <c r="BE50" s="147">
        <f t="shared" ref="BE50" ca="1" si="108">BD53</f>
        <v>0</v>
      </c>
      <c r="BF50" s="147">
        <f t="shared" ref="BF50" ca="1" si="109">BE53</f>
        <v>0</v>
      </c>
      <c r="BG50" s="147">
        <f t="shared" ref="BG50" ca="1" si="110">BF53</f>
        <v>0</v>
      </c>
      <c r="BH50" s="147">
        <f t="shared" ref="BH50" ca="1" si="111">BG53</f>
        <v>0</v>
      </c>
      <c r="BI50" s="147">
        <f t="shared" ref="BI50" ca="1" si="112">BH53</f>
        <v>0</v>
      </c>
      <c r="BJ50" s="147">
        <f t="shared" ref="BJ50" ca="1" si="113">BI53</f>
        <v>0</v>
      </c>
      <c r="BK50" s="147">
        <f t="shared" ref="BK50" ca="1" si="114">BJ53</f>
        <v>0</v>
      </c>
      <c r="BL50" s="147">
        <f t="shared" ref="BL50" ca="1" si="115">BK53</f>
        <v>0</v>
      </c>
      <c r="BM50" s="147">
        <f t="shared" ref="BM50" ca="1" si="116">BL53</f>
        <v>0</v>
      </c>
      <c r="BN50" s="147">
        <f t="shared" ref="BN50" ca="1" si="117">BM53</f>
        <v>0</v>
      </c>
      <c r="BO50" s="147">
        <f t="shared" ref="BO50" ca="1" si="118">BN53</f>
        <v>0</v>
      </c>
      <c r="BP50" s="147">
        <f t="shared" ref="BP50" ca="1" si="119">BO53</f>
        <v>0</v>
      </c>
      <c r="BQ50" s="147">
        <f t="shared" ref="BQ50" ca="1" si="120">BP53</f>
        <v>0</v>
      </c>
      <c r="BR50" s="147">
        <f t="shared" ref="BR50" ca="1" si="121">BQ53</f>
        <v>0</v>
      </c>
    </row>
    <row r="51" spans="1:70" s="147" customFormat="1" ht="13.2" x14ac:dyDescent="0.25">
      <c r="A51" s="211"/>
      <c r="B51" s="147" t="s">
        <v>315</v>
      </c>
      <c r="D51" s="212" t="str">
        <f>unit</f>
        <v>£</v>
      </c>
      <c r="E51" s="147">
        <f ca="1">SUMIF($K$5:$BR$5,E$5,$K51:$BR51)</f>
        <v>0</v>
      </c>
      <c r="F51" s="147">
        <f t="shared" ref="F51:I52" ca="1" si="122">SUMIF($K$5:$BR$5,F$5,$K51:$BR51)</f>
        <v>0</v>
      </c>
      <c r="G51" s="147">
        <f t="shared" ca="1" si="122"/>
        <v>0</v>
      </c>
      <c r="H51" s="147">
        <f t="shared" ca="1" si="122"/>
        <v>0</v>
      </c>
      <c r="I51" s="147">
        <f t="shared" ca="1" si="122"/>
        <v>0</v>
      </c>
      <c r="K51" s="147">
        <f t="shared" ref="K51:AD52" ca="1" si="123">K25</f>
        <v>0</v>
      </c>
      <c r="L51" s="147">
        <f t="shared" ca="1" si="123"/>
        <v>0</v>
      </c>
      <c r="M51" s="147">
        <f t="shared" ca="1" si="123"/>
        <v>0</v>
      </c>
      <c r="N51" s="147">
        <f t="shared" ca="1" si="123"/>
        <v>0</v>
      </c>
      <c r="O51" s="147">
        <f t="shared" ca="1" si="123"/>
        <v>0</v>
      </c>
      <c r="P51" s="147">
        <f t="shared" ca="1" si="123"/>
        <v>0</v>
      </c>
      <c r="Q51" s="147">
        <f t="shared" ca="1" si="123"/>
        <v>0</v>
      </c>
      <c r="R51" s="147">
        <f t="shared" ca="1" si="123"/>
        <v>0</v>
      </c>
      <c r="S51" s="147">
        <f t="shared" ca="1" si="123"/>
        <v>0</v>
      </c>
      <c r="T51" s="147">
        <f t="shared" ca="1" si="123"/>
        <v>0</v>
      </c>
      <c r="U51" s="147">
        <f t="shared" ca="1" si="123"/>
        <v>0</v>
      </c>
      <c r="V51" s="147">
        <f t="shared" ca="1" si="123"/>
        <v>0</v>
      </c>
      <c r="W51" s="147">
        <f t="shared" ca="1" si="123"/>
        <v>0</v>
      </c>
      <c r="X51" s="147">
        <f t="shared" ca="1" si="123"/>
        <v>0</v>
      </c>
      <c r="Y51" s="147">
        <f t="shared" ca="1" si="123"/>
        <v>0</v>
      </c>
      <c r="Z51" s="147">
        <f t="shared" ca="1" si="123"/>
        <v>0</v>
      </c>
      <c r="AA51" s="147">
        <f t="shared" ca="1" si="123"/>
        <v>0</v>
      </c>
      <c r="AB51" s="147">
        <f t="shared" ca="1" si="123"/>
        <v>0</v>
      </c>
      <c r="AC51" s="147">
        <f t="shared" ca="1" si="123"/>
        <v>0</v>
      </c>
      <c r="AD51" s="147">
        <f t="shared" ca="1" si="123"/>
        <v>0</v>
      </c>
      <c r="AE51" s="147">
        <f t="shared" ref="AE51:BR51" ca="1" si="124">AE25</f>
        <v>0</v>
      </c>
      <c r="AF51" s="147">
        <f t="shared" ca="1" si="124"/>
        <v>0</v>
      </c>
      <c r="AG51" s="147">
        <f t="shared" ca="1" si="124"/>
        <v>0</v>
      </c>
      <c r="AH51" s="147">
        <f t="shared" ca="1" si="124"/>
        <v>0</v>
      </c>
      <c r="AI51" s="147">
        <f t="shared" ca="1" si="124"/>
        <v>0</v>
      </c>
      <c r="AJ51" s="147">
        <f t="shared" ca="1" si="124"/>
        <v>0</v>
      </c>
      <c r="AK51" s="147">
        <f t="shared" ca="1" si="124"/>
        <v>0</v>
      </c>
      <c r="AL51" s="147">
        <f t="shared" ca="1" si="124"/>
        <v>0</v>
      </c>
      <c r="AM51" s="147">
        <f t="shared" ca="1" si="124"/>
        <v>0</v>
      </c>
      <c r="AN51" s="147">
        <f t="shared" ca="1" si="124"/>
        <v>0</v>
      </c>
      <c r="AO51" s="147">
        <f t="shared" ca="1" si="124"/>
        <v>0</v>
      </c>
      <c r="AP51" s="147">
        <f t="shared" ca="1" si="124"/>
        <v>0</v>
      </c>
      <c r="AQ51" s="147">
        <f t="shared" ca="1" si="124"/>
        <v>0</v>
      </c>
      <c r="AR51" s="147">
        <f t="shared" ca="1" si="124"/>
        <v>0</v>
      </c>
      <c r="AS51" s="147">
        <f t="shared" ca="1" si="124"/>
        <v>0</v>
      </c>
      <c r="AT51" s="147">
        <f t="shared" ca="1" si="124"/>
        <v>0</v>
      </c>
      <c r="AU51" s="147">
        <f t="shared" ca="1" si="124"/>
        <v>0</v>
      </c>
      <c r="AV51" s="147">
        <f t="shared" ca="1" si="124"/>
        <v>0</v>
      </c>
      <c r="AW51" s="147">
        <f t="shared" ca="1" si="124"/>
        <v>0</v>
      </c>
      <c r="AX51" s="147">
        <f t="shared" ca="1" si="124"/>
        <v>0</v>
      </c>
      <c r="AY51" s="147">
        <f t="shared" ca="1" si="124"/>
        <v>0</v>
      </c>
      <c r="AZ51" s="147">
        <f t="shared" ca="1" si="124"/>
        <v>0</v>
      </c>
      <c r="BA51" s="147">
        <f t="shared" ca="1" si="124"/>
        <v>0</v>
      </c>
      <c r="BB51" s="147">
        <f t="shared" ca="1" si="124"/>
        <v>0</v>
      </c>
      <c r="BC51" s="147">
        <f t="shared" ca="1" si="124"/>
        <v>0</v>
      </c>
      <c r="BD51" s="147">
        <f t="shared" ca="1" si="124"/>
        <v>0</v>
      </c>
      <c r="BE51" s="147">
        <f t="shared" ca="1" si="124"/>
        <v>0</v>
      </c>
      <c r="BF51" s="147">
        <f t="shared" ca="1" si="124"/>
        <v>0</v>
      </c>
      <c r="BG51" s="147">
        <f t="shared" ca="1" si="124"/>
        <v>0</v>
      </c>
      <c r="BH51" s="147">
        <f t="shared" ca="1" si="124"/>
        <v>0</v>
      </c>
      <c r="BI51" s="147">
        <f t="shared" ca="1" si="124"/>
        <v>0</v>
      </c>
      <c r="BJ51" s="147">
        <f t="shared" ca="1" si="124"/>
        <v>0</v>
      </c>
      <c r="BK51" s="147">
        <f t="shared" ca="1" si="124"/>
        <v>0</v>
      </c>
      <c r="BL51" s="147">
        <f t="shared" ca="1" si="124"/>
        <v>0</v>
      </c>
      <c r="BM51" s="147">
        <f t="shared" ca="1" si="124"/>
        <v>0</v>
      </c>
      <c r="BN51" s="147">
        <f t="shared" ca="1" si="124"/>
        <v>0</v>
      </c>
      <c r="BO51" s="147">
        <f t="shared" ca="1" si="124"/>
        <v>0</v>
      </c>
      <c r="BP51" s="147">
        <f t="shared" ca="1" si="124"/>
        <v>0</v>
      </c>
      <c r="BQ51" s="147">
        <f t="shared" ca="1" si="124"/>
        <v>0</v>
      </c>
      <c r="BR51" s="147">
        <f t="shared" ca="1" si="124"/>
        <v>0</v>
      </c>
    </row>
    <row r="52" spans="1:70" s="147" customFormat="1" ht="13.2" x14ac:dyDescent="0.25">
      <c r="A52" s="211"/>
      <c r="B52" s="147" t="s">
        <v>316</v>
      </c>
      <c r="D52" s="212" t="str">
        <f>unit</f>
        <v>£</v>
      </c>
      <c r="E52" s="147">
        <f ca="1">SUMIF($K$5:$BR$5,E$5,$K52:$BR52)</f>
        <v>0</v>
      </c>
      <c r="F52" s="147">
        <f t="shared" ca="1" si="122"/>
        <v>0</v>
      </c>
      <c r="G52" s="147">
        <f t="shared" ca="1" si="122"/>
        <v>0</v>
      </c>
      <c r="H52" s="147">
        <f t="shared" ca="1" si="122"/>
        <v>0</v>
      </c>
      <c r="I52" s="147">
        <f t="shared" ca="1" si="122"/>
        <v>0</v>
      </c>
      <c r="K52" s="147">
        <f t="shared" ca="1" si="123"/>
        <v>0</v>
      </c>
      <c r="L52" s="147">
        <f t="shared" ca="1" si="123"/>
        <v>0</v>
      </c>
      <c r="M52" s="147">
        <f t="shared" ca="1" si="123"/>
        <v>0</v>
      </c>
      <c r="N52" s="147">
        <f t="shared" ca="1" si="123"/>
        <v>0</v>
      </c>
      <c r="O52" s="147">
        <f t="shared" ca="1" si="123"/>
        <v>0</v>
      </c>
      <c r="P52" s="147">
        <f t="shared" ca="1" si="123"/>
        <v>0</v>
      </c>
      <c r="Q52" s="147">
        <f t="shared" ca="1" si="123"/>
        <v>0</v>
      </c>
      <c r="R52" s="147">
        <f t="shared" ca="1" si="123"/>
        <v>0</v>
      </c>
      <c r="S52" s="147">
        <f t="shared" ca="1" si="123"/>
        <v>0</v>
      </c>
      <c r="T52" s="147">
        <f t="shared" ca="1" si="123"/>
        <v>0</v>
      </c>
      <c r="U52" s="147">
        <f t="shared" ca="1" si="123"/>
        <v>0</v>
      </c>
      <c r="V52" s="147">
        <f t="shared" ca="1" si="123"/>
        <v>0</v>
      </c>
      <c r="W52" s="147">
        <f t="shared" ca="1" si="123"/>
        <v>0</v>
      </c>
      <c r="X52" s="147">
        <f t="shared" ca="1" si="123"/>
        <v>0</v>
      </c>
      <c r="Y52" s="147">
        <f t="shared" ca="1" si="123"/>
        <v>0</v>
      </c>
      <c r="Z52" s="147">
        <f t="shared" ca="1" si="123"/>
        <v>0</v>
      </c>
      <c r="AA52" s="147">
        <f t="shared" ca="1" si="123"/>
        <v>0</v>
      </c>
      <c r="AB52" s="147">
        <f t="shared" ca="1" si="123"/>
        <v>0</v>
      </c>
      <c r="AC52" s="147">
        <f t="shared" ca="1" si="123"/>
        <v>0</v>
      </c>
      <c r="AD52" s="147">
        <f t="shared" ca="1" si="123"/>
        <v>0</v>
      </c>
      <c r="AE52" s="147">
        <f t="shared" ref="AE52:BR52" ca="1" si="125">AE26</f>
        <v>0</v>
      </c>
      <c r="AF52" s="147">
        <f t="shared" ca="1" si="125"/>
        <v>0</v>
      </c>
      <c r="AG52" s="147">
        <f t="shared" ca="1" si="125"/>
        <v>0</v>
      </c>
      <c r="AH52" s="147">
        <f t="shared" ca="1" si="125"/>
        <v>0</v>
      </c>
      <c r="AI52" s="147">
        <f t="shared" ca="1" si="125"/>
        <v>0</v>
      </c>
      <c r="AJ52" s="147">
        <f t="shared" ca="1" si="125"/>
        <v>0</v>
      </c>
      <c r="AK52" s="147">
        <f t="shared" ca="1" si="125"/>
        <v>0</v>
      </c>
      <c r="AL52" s="147">
        <f t="shared" ca="1" si="125"/>
        <v>0</v>
      </c>
      <c r="AM52" s="147">
        <f t="shared" ca="1" si="125"/>
        <v>0</v>
      </c>
      <c r="AN52" s="147">
        <f t="shared" ca="1" si="125"/>
        <v>0</v>
      </c>
      <c r="AO52" s="147">
        <f t="shared" ca="1" si="125"/>
        <v>0</v>
      </c>
      <c r="AP52" s="147">
        <f t="shared" ca="1" si="125"/>
        <v>0</v>
      </c>
      <c r="AQ52" s="147">
        <f t="shared" ca="1" si="125"/>
        <v>0</v>
      </c>
      <c r="AR52" s="147">
        <f t="shared" ca="1" si="125"/>
        <v>0</v>
      </c>
      <c r="AS52" s="147">
        <f t="shared" ca="1" si="125"/>
        <v>0</v>
      </c>
      <c r="AT52" s="147">
        <f t="shared" ca="1" si="125"/>
        <v>0</v>
      </c>
      <c r="AU52" s="147">
        <f t="shared" ca="1" si="125"/>
        <v>0</v>
      </c>
      <c r="AV52" s="147">
        <f t="shared" ca="1" si="125"/>
        <v>0</v>
      </c>
      <c r="AW52" s="147">
        <f t="shared" ca="1" si="125"/>
        <v>0</v>
      </c>
      <c r="AX52" s="147">
        <f t="shared" ca="1" si="125"/>
        <v>0</v>
      </c>
      <c r="AY52" s="147">
        <f t="shared" ca="1" si="125"/>
        <v>0</v>
      </c>
      <c r="AZ52" s="147">
        <f t="shared" ca="1" si="125"/>
        <v>0</v>
      </c>
      <c r="BA52" s="147">
        <f t="shared" ca="1" si="125"/>
        <v>0</v>
      </c>
      <c r="BB52" s="147">
        <f t="shared" ca="1" si="125"/>
        <v>0</v>
      </c>
      <c r="BC52" s="147">
        <f t="shared" ca="1" si="125"/>
        <v>0</v>
      </c>
      <c r="BD52" s="147">
        <f t="shared" ca="1" si="125"/>
        <v>0</v>
      </c>
      <c r="BE52" s="147">
        <f t="shared" ca="1" si="125"/>
        <v>0</v>
      </c>
      <c r="BF52" s="147">
        <f t="shared" ca="1" si="125"/>
        <v>0</v>
      </c>
      <c r="BG52" s="147">
        <f t="shared" ca="1" si="125"/>
        <v>0</v>
      </c>
      <c r="BH52" s="147">
        <f t="shared" ca="1" si="125"/>
        <v>0</v>
      </c>
      <c r="BI52" s="147">
        <f t="shared" ca="1" si="125"/>
        <v>0</v>
      </c>
      <c r="BJ52" s="147">
        <f t="shared" ca="1" si="125"/>
        <v>0</v>
      </c>
      <c r="BK52" s="147">
        <f t="shared" ca="1" si="125"/>
        <v>0</v>
      </c>
      <c r="BL52" s="147">
        <f t="shared" ca="1" si="125"/>
        <v>0</v>
      </c>
      <c r="BM52" s="147">
        <f t="shared" ca="1" si="125"/>
        <v>0</v>
      </c>
      <c r="BN52" s="147">
        <f t="shared" ca="1" si="125"/>
        <v>0</v>
      </c>
      <c r="BO52" s="147">
        <f t="shared" ca="1" si="125"/>
        <v>0</v>
      </c>
      <c r="BP52" s="147">
        <f t="shared" ca="1" si="125"/>
        <v>0</v>
      </c>
      <c r="BQ52" s="147">
        <f t="shared" ca="1" si="125"/>
        <v>0</v>
      </c>
      <c r="BR52" s="147">
        <f t="shared" ca="1" si="125"/>
        <v>0</v>
      </c>
    </row>
    <row r="53" spans="1:70" s="147" customFormat="1" ht="13.2" x14ac:dyDescent="0.25">
      <c r="A53" s="211"/>
      <c r="B53" s="147" t="s">
        <v>326</v>
      </c>
      <c r="D53" s="216">
        <f>KeyInputs!F103</f>
        <v>0</v>
      </c>
      <c r="E53" s="230">
        <f ca="1">SUM(E50:E52)</f>
        <v>0</v>
      </c>
      <c r="F53" s="230">
        <f t="shared" ref="F53:I53" ca="1" si="126">SUM(F50:F52)</f>
        <v>0</v>
      </c>
      <c r="G53" s="230">
        <f t="shared" ca="1" si="126"/>
        <v>0</v>
      </c>
      <c r="H53" s="230">
        <f t="shared" ca="1" si="126"/>
        <v>0</v>
      </c>
      <c r="I53" s="230">
        <f t="shared" ca="1" si="126"/>
        <v>0</v>
      </c>
      <c r="J53" s="216">
        <f>D53</f>
        <v>0</v>
      </c>
      <c r="K53" s="214">
        <f t="shared" ref="K53:AD53" ca="1" si="127">SUM(K50:K52)</f>
        <v>0</v>
      </c>
      <c r="L53" s="214">
        <f t="shared" ca="1" si="127"/>
        <v>0</v>
      </c>
      <c r="M53" s="214">
        <f t="shared" ca="1" si="127"/>
        <v>0</v>
      </c>
      <c r="N53" s="214">
        <f t="shared" ca="1" si="127"/>
        <v>0</v>
      </c>
      <c r="O53" s="214">
        <f t="shared" ca="1" si="127"/>
        <v>0</v>
      </c>
      <c r="P53" s="214">
        <f t="shared" ca="1" si="127"/>
        <v>0</v>
      </c>
      <c r="Q53" s="214">
        <f t="shared" ca="1" si="127"/>
        <v>0</v>
      </c>
      <c r="R53" s="214">
        <f t="shared" ca="1" si="127"/>
        <v>0</v>
      </c>
      <c r="S53" s="214">
        <f t="shared" ca="1" si="127"/>
        <v>0</v>
      </c>
      <c r="T53" s="214">
        <f t="shared" ca="1" si="127"/>
        <v>0</v>
      </c>
      <c r="U53" s="214">
        <f t="shared" ca="1" si="127"/>
        <v>0</v>
      </c>
      <c r="V53" s="214">
        <f t="shared" ca="1" si="127"/>
        <v>0</v>
      </c>
      <c r="W53" s="214">
        <f t="shared" ca="1" si="127"/>
        <v>0</v>
      </c>
      <c r="X53" s="214">
        <f t="shared" ca="1" si="127"/>
        <v>0</v>
      </c>
      <c r="Y53" s="214">
        <f t="shared" ca="1" si="127"/>
        <v>0</v>
      </c>
      <c r="Z53" s="214">
        <f t="shared" ca="1" si="127"/>
        <v>0</v>
      </c>
      <c r="AA53" s="214">
        <f t="shared" ca="1" si="127"/>
        <v>0</v>
      </c>
      <c r="AB53" s="214">
        <f t="shared" ca="1" si="127"/>
        <v>0</v>
      </c>
      <c r="AC53" s="214">
        <f t="shared" ca="1" si="127"/>
        <v>0</v>
      </c>
      <c r="AD53" s="214">
        <f t="shared" ca="1" si="127"/>
        <v>0</v>
      </c>
      <c r="AE53" s="214">
        <f t="shared" ref="AE53:BR53" ca="1" si="128">SUM(AE50:AE52)</f>
        <v>0</v>
      </c>
      <c r="AF53" s="214">
        <f t="shared" ca="1" si="128"/>
        <v>0</v>
      </c>
      <c r="AG53" s="214">
        <f t="shared" ca="1" si="128"/>
        <v>0</v>
      </c>
      <c r="AH53" s="214">
        <f t="shared" ca="1" si="128"/>
        <v>0</v>
      </c>
      <c r="AI53" s="214">
        <f t="shared" ca="1" si="128"/>
        <v>0</v>
      </c>
      <c r="AJ53" s="214">
        <f t="shared" ca="1" si="128"/>
        <v>0</v>
      </c>
      <c r="AK53" s="214">
        <f t="shared" ca="1" si="128"/>
        <v>0</v>
      </c>
      <c r="AL53" s="214">
        <f t="shared" ca="1" si="128"/>
        <v>0</v>
      </c>
      <c r="AM53" s="214">
        <f t="shared" ca="1" si="128"/>
        <v>0</v>
      </c>
      <c r="AN53" s="214">
        <f t="shared" ca="1" si="128"/>
        <v>0</v>
      </c>
      <c r="AO53" s="214">
        <f t="shared" ca="1" si="128"/>
        <v>0</v>
      </c>
      <c r="AP53" s="214">
        <f t="shared" ca="1" si="128"/>
        <v>0</v>
      </c>
      <c r="AQ53" s="214">
        <f t="shared" ca="1" si="128"/>
        <v>0</v>
      </c>
      <c r="AR53" s="214">
        <f t="shared" ca="1" si="128"/>
        <v>0</v>
      </c>
      <c r="AS53" s="214">
        <f t="shared" ca="1" si="128"/>
        <v>0</v>
      </c>
      <c r="AT53" s="214">
        <f t="shared" ca="1" si="128"/>
        <v>0</v>
      </c>
      <c r="AU53" s="214">
        <f t="shared" ca="1" si="128"/>
        <v>0</v>
      </c>
      <c r="AV53" s="214">
        <f t="shared" ca="1" si="128"/>
        <v>0</v>
      </c>
      <c r="AW53" s="214">
        <f t="shared" ca="1" si="128"/>
        <v>0</v>
      </c>
      <c r="AX53" s="214">
        <f t="shared" ca="1" si="128"/>
        <v>0</v>
      </c>
      <c r="AY53" s="214">
        <f t="shared" ca="1" si="128"/>
        <v>0</v>
      </c>
      <c r="AZ53" s="214">
        <f t="shared" ca="1" si="128"/>
        <v>0</v>
      </c>
      <c r="BA53" s="214">
        <f t="shared" ca="1" si="128"/>
        <v>0</v>
      </c>
      <c r="BB53" s="214">
        <f t="shared" ca="1" si="128"/>
        <v>0</v>
      </c>
      <c r="BC53" s="214">
        <f t="shared" ca="1" si="128"/>
        <v>0</v>
      </c>
      <c r="BD53" s="214">
        <f t="shared" ca="1" si="128"/>
        <v>0</v>
      </c>
      <c r="BE53" s="214">
        <f t="shared" ca="1" si="128"/>
        <v>0</v>
      </c>
      <c r="BF53" s="214">
        <f t="shared" ca="1" si="128"/>
        <v>0</v>
      </c>
      <c r="BG53" s="214">
        <f t="shared" ca="1" si="128"/>
        <v>0</v>
      </c>
      <c r="BH53" s="214">
        <f t="shared" ca="1" si="128"/>
        <v>0</v>
      </c>
      <c r="BI53" s="214">
        <f t="shared" ca="1" si="128"/>
        <v>0</v>
      </c>
      <c r="BJ53" s="214">
        <f t="shared" ca="1" si="128"/>
        <v>0</v>
      </c>
      <c r="BK53" s="214">
        <f t="shared" ca="1" si="128"/>
        <v>0</v>
      </c>
      <c r="BL53" s="214">
        <f t="shared" ca="1" si="128"/>
        <v>0</v>
      </c>
      <c r="BM53" s="214">
        <f t="shared" ca="1" si="128"/>
        <v>0</v>
      </c>
      <c r="BN53" s="214">
        <f t="shared" ca="1" si="128"/>
        <v>0</v>
      </c>
      <c r="BO53" s="214">
        <f t="shared" ca="1" si="128"/>
        <v>0</v>
      </c>
      <c r="BP53" s="214">
        <f t="shared" ca="1" si="128"/>
        <v>0</v>
      </c>
      <c r="BQ53" s="214">
        <f t="shared" ca="1" si="128"/>
        <v>0</v>
      </c>
      <c r="BR53" s="214">
        <f t="shared" ca="1" si="128"/>
        <v>0</v>
      </c>
    </row>
    <row r="55" spans="1:70" s="166" customFormat="1" ht="15.6" x14ac:dyDescent="0.3">
      <c r="A55" s="166" t="s">
        <v>217</v>
      </c>
    </row>
  </sheetData>
  <pageMargins left="0.7" right="0.7" top="0.75" bottom="0.75" header="0.3" footer="0.3"/>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1:CC18"/>
  <sheetViews>
    <sheetView showGridLines="0" zoomScale="80" zoomScaleNormal="80" zoomScalePageLayoutView="80" workbookViewId="0">
      <pane xSplit="10" ySplit="8" topLeftCell="P9" activePane="bottomRight" state="frozen"/>
      <selection activeCell="C10" sqref="C10"/>
      <selection pane="topRight" activeCell="C10" sqref="C10"/>
      <selection pane="bottomLeft" activeCell="C10" sqref="C10"/>
      <selection pane="bottomRight" activeCell="X27" sqref="X27"/>
    </sheetView>
  </sheetViews>
  <sheetFormatPr defaultColWidth="0" defaultRowHeight="13.8" x14ac:dyDescent="0.25"/>
  <cols>
    <col min="1" max="1" width="3.44140625" style="138" customWidth="1"/>
    <col min="2" max="2" width="31.109375" style="138" bestFit="1" customWidth="1"/>
    <col min="3" max="3" width="9" style="138" bestFit="1" customWidth="1"/>
    <col min="4" max="4" width="13.44140625" style="138" bestFit="1" customWidth="1"/>
    <col min="5" max="9" width="10" style="138" bestFit="1" customWidth="1"/>
    <col min="10" max="10" width="6.109375" style="138" bestFit="1" customWidth="1"/>
    <col min="11" max="11" width="9.44140625" style="138" bestFit="1" customWidth="1"/>
    <col min="12" max="12" width="10.44140625" style="138" bestFit="1" customWidth="1"/>
    <col min="13" max="13" width="10.33203125" style="138" bestFit="1" customWidth="1"/>
    <col min="14" max="14" width="10" style="138" bestFit="1" customWidth="1"/>
    <col min="15" max="16" width="10.33203125" style="138" bestFit="1" customWidth="1"/>
    <col min="17" max="17" width="10" style="138" bestFit="1" customWidth="1"/>
    <col min="18" max="20" width="10.109375" style="138" bestFit="1" customWidth="1"/>
    <col min="21" max="21" width="10.44140625" style="138" bestFit="1" customWidth="1"/>
    <col min="22" max="23" width="10" style="138" bestFit="1" customWidth="1"/>
    <col min="24" max="24" width="10.44140625" style="138" bestFit="1" customWidth="1"/>
    <col min="25" max="25" width="10.33203125" style="138" bestFit="1" customWidth="1"/>
    <col min="26" max="26" width="10" style="138" bestFit="1" customWidth="1"/>
    <col min="27" max="28" width="10.33203125" style="138" bestFit="1" customWidth="1"/>
    <col min="29" max="29" width="10" style="138" bestFit="1" customWidth="1"/>
    <col min="30" max="32" width="10.109375" style="138" bestFit="1" customWidth="1"/>
    <col min="33" max="33" width="10.44140625" style="138" bestFit="1" customWidth="1"/>
    <col min="34" max="34" width="10" style="138" bestFit="1" customWidth="1"/>
    <col min="35" max="35" width="9.33203125" style="138" bestFit="1" customWidth="1"/>
    <col min="36" max="36" width="10.44140625" style="138" bestFit="1" customWidth="1"/>
    <col min="37" max="37" width="10.33203125" style="138" bestFit="1" customWidth="1"/>
    <col min="38" max="38" width="10" style="138" bestFit="1" customWidth="1"/>
    <col min="39" max="40" width="10.33203125" style="138" bestFit="1" customWidth="1"/>
    <col min="41" max="41" width="10" style="138" bestFit="1" customWidth="1"/>
    <col min="42" max="44" width="10.109375" style="138" bestFit="1" customWidth="1"/>
    <col min="45" max="45" width="10.44140625" style="138" bestFit="1" customWidth="1"/>
    <col min="46" max="46" width="10" style="138" bestFit="1" customWidth="1"/>
    <col min="47" max="47" width="9.33203125" style="138" bestFit="1" customWidth="1"/>
    <col min="48" max="48" width="10.44140625" style="138" bestFit="1" customWidth="1"/>
    <col min="49" max="49" width="10.33203125" style="138" bestFit="1" customWidth="1"/>
    <col min="50" max="50" width="10" style="138" bestFit="1" customWidth="1"/>
    <col min="51" max="52" width="10.33203125" style="138" bestFit="1" customWidth="1"/>
    <col min="53" max="53" width="10" style="138" bestFit="1" customWidth="1"/>
    <col min="54" max="56" width="10.109375" style="138" bestFit="1" customWidth="1"/>
    <col min="57" max="57" width="10.44140625" style="138" bestFit="1" customWidth="1"/>
    <col min="58" max="58" width="10" style="138" bestFit="1" customWidth="1"/>
    <col min="59" max="59" width="9.33203125" style="138" bestFit="1" customWidth="1"/>
    <col min="60" max="60" width="10.44140625" style="138" bestFit="1" customWidth="1"/>
    <col min="61" max="61" width="10.33203125" style="138" bestFit="1" customWidth="1"/>
    <col min="62" max="62" width="10" style="138" bestFit="1" customWidth="1"/>
    <col min="63" max="64" width="10.33203125" style="138" bestFit="1" customWidth="1"/>
    <col min="65" max="65" width="10" style="138" bestFit="1" customWidth="1"/>
    <col min="66" max="68" width="10.109375" style="138" bestFit="1" customWidth="1"/>
    <col min="69" max="69" width="10.44140625" style="138" bestFit="1" customWidth="1"/>
    <col min="70" max="70" width="10" style="138" bestFit="1" customWidth="1"/>
    <col min="71" max="78" width="9.109375" style="138" customWidth="1"/>
    <col min="79" max="81" width="0" style="138" hidden="1" customWidth="1"/>
    <col min="82" max="16384" width="9.109375" style="138" hidden="1"/>
  </cols>
  <sheetData>
    <row r="1" spans="1:78" s="285" customFormat="1" ht="13.2" x14ac:dyDescent="0.25"/>
    <row r="2" spans="1:78" s="285" customFormat="1" ht="13.2" x14ac:dyDescent="0.25"/>
    <row r="3" spans="1:78" s="285" customFormat="1" ht="13.2" x14ac:dyDescent="0.25">
      <c r="A3" s="286" t="str">
        <f>IF(KeyInputs!$F$14=0,"Company Name",KeyInputs!$F$14)</f>
        <v>Company Name</v>
      </c>
    </row>
    <row r="4" spans="1:78" s="285" customFormat="1" ht="13.2" x14ac:dyDescent="0.25">
      <c r="A4" s="285" t="s">
        <v>353</v>
      </c>
    </row>
    <row r="5" spans="1:78" s="288" customFormat="1" ht="13.2" x14ac:dyDescent="0.25">
      <c r="A5" s="285"/>
      <c r="B5" s="285"/>
      <c r="C5" s="285"/>
      <c r="D5" s="287" t="str">
        <f>KeyInputs!D5</f>
        <v>Year</v>
      </c>
      <c r="E5" s="285">
        <f>KeyInputs!H5</f>
        <v>2015</v>
      </c>
      <c r="F5" s="285">
        <f>KeyInputs!I5</f>
        <v>2016</v>
      </c>
      <c r="G5" s="285">
        <f>KeyInputs!J5</f>
        <v>2017</v>
      </c>
      <c r="H5" s="285">
        <f>KeyInputs!K5</f>
        <v>2018</v>
      </c>
      <c r="I5" s="285">
        <f>KeyInputs!L5</f>
        <v>2019</v>
      </c>
      <c r="J5" s="285"/>
      <c r="K5" s="288">
        <f>KeyInputs!N5</f>
        <v>2015</v>
      </c>
      <c r="L5" s="288">
        <f>KeyInputs!O5</f>
        <v>2015</v>
      </c>
      <c r="M5" s="288">
        <f>KeyInputs!P5</f>
        <v>2015</v>
      </c>
      <c r="N5" s="288">
        <f>KeyInputs!Q5</f>
        <v>2015</v>
      </c>
      <c r="O5" s="288">
        <f>KeyInputs!R5</f>
        <v>2015</v>
      </c>
      <c r="P5" s="288">
        <f>KeyInputs!S5</f>
        <v>2015</v>
      </c>
      <c r="Q5" s="288">
        <f>KeyInputs!T5</f>
        <v>2015</v>
      </c>
      <c r="R5" s="288">
        <f>KeyInputs!U5</f>
        <v>2015</v>
      </c>
      <c r="S5" s="288">
        <f>KeyInputs!V5</f>
        <v>2015</v>
      </c>
      <c r="T5" s="288">
        <f>KeyInputs!W5</f>
        <v>2015</v>
      </c>
      <c r="U5" s="288">
        <f>KeyInputs!X5</f>
        <v>2015</v>
      </c>
      <c r="V5" s="288">
        <f>KeyInputs!Y5</f>
        <v>2015</v>
      </c>
      <c r="W5" s="288">
        <f>KeyInputs!Z5</f>
        <v>2016</v>
      </c>
      <c r="X5" s="288">
        <f>KeyInputs!AA5</f>
        <v>2016</v>
      </c>
      <c r="Y5" s="288">
        <f>KeyInputs!AB5</f>
        <v>2016</v>
      </c>
      <c r="Z5" s="288">
        <f>KeyInputs!AC5</f>
        <v>2016</v>
      </c>
      <c r="AA5" s="288">
        <f>KeyInputs!AD5</f>
        <v>2016</v>
      </c>
      <c r="AB5" s="288">
        <f>KeyInputs!AE5</f>
        <v>2016</v>
      </c>
      <c r="AC5" s="288">
        <f>KeyInputs!AF5</f>
        <v>2016</v>
      </c>
      <c r="AD5" s="288">
        <f>KeyInputs!AG5</f>
        <v>2016</v>
      </c>
      <c r="AE5" s="288">
        <f>KeyInputs!AH5</f>
        <v>2016</v>
      </c>
      <c r="AF5" s="288">
        <f>KeyInputs!AI5</f>
        <v>2016</v>
      </c>
      <c r="AG5" s="288">
        <f>KeyInputs!AJ5</f>
        <v>2016</v>
      </c>
      <c r="AH5" s="288">
        <f>KeyInputs!AK5</f>
        <v>2016</v>
      </c>
      <c r="AI5" s="288">
        <f>KeyInputs!AL5</f>
        <v>2017</v>
      </c>
      <c r="AJ5" s="288">
        <f>KeyInputs!AM5</f>
        <v>2017</v>
      </c>
      <c r="AK5" s="288">
        <f>KeyInputs!AN5</f>
        <v>2017</v>
      </c>
      <c r="AL5" s="288">
        <f>KeyInputs!AO5</f>
        <v>2017</v>
      </c>
      <c r="AM5" s="288">
        <f>KeyInputs!AP5</f>
        <v>2017</v>
      </c>
      <c r="AN5" s="288">
        <f>KeyInputs!AQ5</f>
        <v>2017</v>
      </c>
      <c r="AO5" s="288">
        <f>KeyInputs!AR5</f>
        <v>2017</v>
      </c>
      <c r="AP5" s="288">
        <f>KeyInputs!AS5</f>
        <v>2017</v>
      </c>
      <c r="AQ5" s="288">
        <f>KeyInputs!AT5</f>
        <v>2017</v>
      </c>
      <c r="AR5" s="288">
        <f>KeyInputs!AU5</f>
        <v>2017</v>
      </c>
      <c r="AS5" s="288">
        <f>KeyInputs!AV5</f>
        <v>2017</v>
      </c>
      <c r="AT5" s="288">
        <f>KeyInputs!AW5</f>
        <v>2017</v>
      </c>
      <c r="AU5" s="288">
        <f>KeyInputs!AX5</f>
        <v>2018</v>
      </c>
      <c r="AV5" s="288">
        <f>KeyInputs!AY5</f>
        <v>2018</v>
      </c>
      <c r="AW5" s="288">
        <f>KeyInputs!AZ5</f>
        <v>2018</v>
      </c>
      <c r="AX5" s="288">
        <f>KeyInputs!BA5</f>
        <v>2018</v>
      </c>
      <c r="AY5" s="288">
        <f>KeyInputs!BB5</f>
        <v>2018</v>
      </c>
      <c r="AZ5" s="288">
        <f>KeyInputs!BC5</f>
        <v>2018</v>
      </c>
      <c r="BA5" s="288">
        <f>KeyInputs!BD5</f>
        <v>2018</v>
      </c>
      <c r="BB5" s="288">
        <f>KeyInputs!BE5</f>
        <v>2018</v>
      </c>
      <c r="BC5" s="288">
        <f>KeyInputs!BF5</f>
        <v>2018</v>
      </c>
      <c r="BD5" s="288">
        <f>KeyInputs!BG5</f>
        <v>2018</v>
      </c>
      <c r="BE5" s="288">
        <f>KeyInputs!BH5</f>
        <v>2018</v>
      </c>
      <c r="BF5" s="288">
        <f>KeyInputs!BI5</f>
        <v>2018</v>
      </c>
      <c r="BG5" s="288">
        <f>KeyInputs!BJ5</f>
        <v>2019</v>
      </c>
      <c r="BH5" s="288">
        <f>KeyInputs!BK5</f>
        <v>2019</v>
      </c>
      <c r="BI5" s="288">
        <f>KeyInputs!BL5</f>
        <v>2019</v>
      </c>
      <c r="BJ5" s="288">
        <f>KeyInputs!BM5</f>
        <v>2019</v>
      </c>
      <c r="BK5" s="288">
        <f>KeyInputs!BN5</f>
        <v>2019</v>
      </c>
      <c r="BL5" s="288">
        <f>KeyInputs!BO5</f>
        <v>2019</v>
      </c>
      <c r="BM5" s="288">
        <f>KeyInputs!BP5</f>
        <v>2019</v>
      </c>
      <c r="BN5" s="288">
        <f>KeyInputs!BQ5</f>
        <v>2019</v>
      </c>
      <c r="BO5" s="288">
        <f>KeyInputs!BR5</f>
        <v>2019</v>
      </c>
      <c r="BP5" s="288">
        <f>KeyInputs!BS5</f>
        <v>2019</v>
      </c>
      <c r="BQ5" s="288">
        <f>KeyInputs!BT5</f>
        <v>2019</v>
      </c>
      <c r="BR5" s="288">
        <f>KeyInputs!BU5</f>
        <v>2019</v>
      </c>
    </row>
    <row r="6" spans="1:78" s="288" customFormat="1" ht="13.2" x14ac:dyDescent="0.25">
      <c r="A6" s="285"/>
      <c r="B6" s="285"/>
      <c r="C6" s="285"/>
      <c r="D6" s="287" t="str">
        <f>KeyInputs!D6</f>
        <v>Period number</v>
      </c>
      <c r="E6" s="285">
        <f>KeyInputs!H6</f>
        <v>1</v>
      </c>
      <c r="F6" s="285">
        <f>KeyInputs!I6</f>
        <v>2</v>
      </c>
      <c r="G6" s="285">
        <f>KeyInputs!J6</f>
        <v>3</v>
      </c>
      <c r="H6" s="285">
        <f>KeyInputs!K6</f>
        <v>4</v>
      </c>
      <c r="I6" s="285">
        <f>KeyInputs!L6</f>
        <v>5</v>
      </c>
      <c r="J6" s="285"/>
      <c r="K6" s="288">
        <f>KeyInputs!N6</f>
        <v>1</v>
      </c>
      <c r="L6" s="288">
        <f>KeyInputs!O6</f>
        <v>2</v>
      </c>
      <c r="M6" s="288">
        <f>KeyInputs!P6</f>
        <v>3</v>
      </c>
      <c r="N6" s="288">
        <f>KeyInputs!Q6</f>
        <v>4</v>
      </c>
      <c r="O6" s="288">
        <f>KeyInputs!R6</f>
        <v>5</v>
      </c>
      <c r="P6" s="288">
        <f>KeyInputs!S6</f>
        <v>6</v>
      </c>
      <c r="Q6" s="288">
        <f>KeyInputs!T6</f>
        <v>7</v>
      </c>
      <c r="R6" s="288">
        <f>KeyInputs!U6</f>
        <v>8</v>
      </c>
      <c r="S6" s="288">
        <f>KeyInputs!V6</f>
        <v>9</v>
      </c>
      <c r="T6" s="288">
        <f>KeyInputs!W6</f>
        <v>10</v>
      </c>
      <c r="U6" s="288">
        <f>KeyInputs!X6</f>
        <v>11</v>
      </c>
      <c r="V6" s="288">
        <f>KeyInputs!Y6</f>
        <v>12</v>
      </c>
      <c r="W6" s="288">
        <f>KeyInputs!Z6</f>
        <v>13</v>
      </c>
      <c r="X6" s="288">
        <f>KeyInputs!AA6</f>
        <v>14</v>
      </c>
      <c r="Y6" s="288">
        <f>KeyInputs!AB6</f>
        <v>15</v>
      </c>
      <c r="Z6" s="288">
        <f>KeyInputs!AC6</f>
        <v>16</v>
      </c>
      <c r="AA6" s="288">
        <f>KeyInputs!AD6</f>
        <v>17</v>
      </c>
      <c r="AB6" s="288">
        <f>KeyInputs!AE6</f>
        <v>18</v>
      </c>
      <c r="AC6" s="288">
        <f>KeyInputs!AF6</f>
        <v>19</v>
      </c>
      <c r="AD6" s="288">
        <f>KeyInputs!AG6</f>
        <v>20</v>
      </c>
      <c r="AE6" s="288">
        <f>KeyInputs!AH6</f>
        <v>21</v>
      </c>
      <c r="AF6" s="288">
        <f>KeyInputs!AI6</f>
        <v>22</v>
      </c>
      <c r="AG6" s="288">
        <f>KeyInputs!AJ6</f>
        <v>23</v>
      </c>
      <c r="AH6" s="288">
        <f>KeyInputs!AK6</f>
        <v>24</v>
      </c>
      <c r="AI6" s="288">
        <f>KeyInputs!AL6</f>
        <v>25</v>
      </c>
      <c r="AJ6" s="288">
        <f>KeyInputs!AM6</f>
        <v>26</v>
      </c>
      <c r="AK6" s="288">
        <f>KeyInputs!AN6</f>
        <v>27</v>
      </c>
      <c r="AL6" s="288">
        <f>KeyInputs!AO6</f>
        <v>28</v>
      </c>
      <c r="AM6" s="288">
        <f>KeyInputs!AP6</f>
        <v>29</v>
      </c>
      <c r="AN6" s="288">
        <f>KeyInputs!AQ6</f>
        <v>30</v>
      </c>
      <c r="AO6" s="288">
        <f>KeyInputs!AR6</f>
        <v>31</v>
      </c>
      <c r="AP6" s="288">
        <f>KeyInputs!AS6</f>
        <v>32</v>
      </c>
      <c r="AQ6" s="288">
        <f>KeyInputs!AT6</f>
        <v>33</v>
      </c>
      <c r="AR6" s="288">
        <f>KeyInputs!AU6</f>
        <v>34</v>
      </c>
      <c r="AS6" s="288">
        <f>KeyInputs!AV6</f>
        <v>35</v>
      </c>
      <c r="AT6" s="288">
        <f>KeyInputs!AW6</f>
        <v>36</v>
      </c>
      <c r="AU6" s="288">
        <f>KeyInputs!AX6</f>
        <v>37</v>
      </c>
      <c r="AV6" s="288">
        <f>KeyInputs!AY6</f>
        <v>38</v>
      </c>
      <c r="AW6" s="288">
        <f>KeyInputs!AZ6</f>
        <v>39</v>
      </c>
      <c r="AX6" s="288">
        <f>KeyInputs!BA6</f>
        <v>40</v>
      </c>
      <c r="AY6" s="288">
        <f>KeyInputs!BB6</f>
        <v>41</v>
      </c>
      <c r="AZ6" s="288">
        <f>KeyInputs!BC6</f>
        <v>42</v>
      </c>
      <c r="BA6" s="288">
        <f>KeyInputs!BD6</f>
        <v>43</v>
      </c>
      <c r="BB6" s="288">
        <f>KeyInputs!BE6</f>
        <v>44</v>
      </c>
      <c r="BC6" s="288">
        <f>KeyInputs!BF6</f>
        <v>45</v>
      </c>
      <c r="BD6" s="288">
        <f>KeyInputs!BG6</f>
        <v>46</v>
      </c>
      <c r="BE6" s="288">
        <f>KeyInputs!BH6</f>
        <v>47</v>
      </c>
      <c r="BF6" s="288">
        <f>KeyInputs!BI6</f>
        <v>48</v>
      </c>
      <c r="BG6" s="288">
        <f>KeyInputs!BJ6</f>
        <v>49</v>
      </c>
      <c r="BH6" s="288">
        <f>KeyInputs!BK6</f>
        <v>50</v>
      </c>
      <c r="BI6" s="288">
        <f>KeyInputs!BL6</f>
        <v>51</v>
      </c>
      <c r="BJ6" s="288">
        <f>KeyInputs!BM6</f>
        <v>52</v>
      </c>
      <c r="BK6" s="288">
        <f>KeyInputs!BN6</f>
        <v>53</v>
      </c>
      <c r="BL6" s="288">
        <f>KeyInputs!BO6</f>
        <v>54</v>
      </c>
      <c r="BM6" s="288">
        <f>KeyInputs!BP6</f>
        <v>55</v>
      </c>
      <c r="BN6" s="288">
        <f>KeyInputs!BQ6</f>
        <v>56</v>
      </c>
      <c r="BO6" s="288">
        <f>KeyInputs!BR6</f>
        <v>57</v>
      </c>
      <c r="BP6" s="288">
        <f>KeyInputs!BS6</f>
        <v>58</v>
      </c>
      <c r="BQ6" s="288">
        <f>KeyInputs!BT6</f>
        <v>59</v>
      </c>
      <c r="BR6" s="288">
        <f>KeyInputs!BU6</f>
        <v>60</v>
      </c>
    </row>
    <row r="7" spans="1:78" s="288" customFormat="1" ht="13.2" x14ac:dyDescent="0.25">
      <c r="A7" s="285"/>
      <c r="B7" s="285"/>
      <c r="C7" s="285"/>
      <c r="D7" s="287" t="str">
        <f>KeyInputs!D7</f>
        <v>Period starts</v>
      </c>
      <c r="E7" s="289">
        <f>KeyInputs!H7</f>
        <v>42005</v>
      </c>
      <c r="F7" s="289">
        <f>KeyInputs!I7</f>
        <v>42370</v>
      </c>
      <c r="G7" s="289">
        <f>KeyInputs!J7</f>
        <v>42736</v>
      </c>
      <c r="H7" s="289">
        <f>KeyInputs!K7</f>
        <v>43101</v>
      </c>
      <c r="I7" s="289">
        <f>KeyInputs!L7</f>
        <v>43466</v>
      </c>
      <c r="J7" s="285"/>
      <c r="K7" s="289">
        <f>KeyInputs!N7</f>
        <v>42005</v>
      </c>
      <c r="L7" s="289">
        <f>KeyInputs!O7</f>
        <v>42036</v>
      </c>
      <c r="M7" s="289">
        <f>KeyInputs!P7</f>
        <v>42064</v>
      </c>
      <c r="N7" s="289">
        <f>KeyInputs!Q7</f>
        <v>42095</v>
      </c>
      <c r="O7" s="289">
        <f>KeyInputs!R7</f>
        <v>42125</v>
      </c>
      <c r="P7" s="289">
        <f>KeyInputs!S7</f>
        <v>42156</v>
      </c>
      <c r="Q7" s="289">
        <f>KeyInputs!T7</f>
        <v>42186</v>
      </c>
      <c r="R7" s="289">
        <f>KeyInputs!U7</f>
        <v>42217</v>
      </c>
      <c r="S7" s="289">
        <f>KeyInputs!V7</f>
        <v>42248</v>
      </c>
      <c r="T7" s="289">
        <f>KeyInputs!W7</f>
        <v>42278</v>
      </c>
      <c r="U7" s="289">
        <f>KeyInputs!X7</f>
        <v>42309</v>
      </c>
      <c r="V7" s="289">
        <f>KeyInputs!Y7</f>
        <v>42339</v>
      </c>
      <c r="W7" s="289">
        <f>KeyInputs!Z7</f>
        <v>42370</v>
      </c>
      <c r="X7" s="289">
        <f>KeyInputs!AA7</f>
        <v>42401</v>
      </c>
      <c r="Y7" s="289">
        <f>KeyInputs!AB7</f>
        <v>42430</v>
      </c>
      <c r="Z7" s="289">
        <f>KeyInputs!AC7</f>
        <v>42461</v>
      </c>
      <c r="AA7" s="289">
        <f>KeyInputs!AD7</f>
        <v>42491</v>
      </c>
      <c r="AB7" s="289">
        <f>KeyInputs!AE7</f>
        <v>42522</v>
      </c>
      <c r="AC7" s="289">
        <f>KeyInputs!AF7</f>
        <v>42552</v>
      </c>
      <c r="AD7" s="289">
        <f>KeyInputs!AG7</f>
        <v>42583</v>
      </c>
      <c r="AE7" s="289">
        <f>KeyInputs!AH7</f>
        <v>42614</v>
      </c>
      <c r="AF7" s="289">
        <f>KeyInputs!AI7</f>
        <v>42644</v>
      </c>
      <c r="AG7" s="289">
        <f>KeyInputs!AJ7</f>
        <v>42675</v>
      </c>
      <c r="AH7" s="289">
        <f>KeyInputs!AK7</f>
        <v>42705</v>
      </c>
      <c r="AI7" s="289">
        <f>KeyInputs!AL7</f>
        <v>42736</v>
      </c>
      <c r="AJ7" s="289">
        <f>KeyInputs!AM7</f>
        <v>42767</v>
      </c>
      <c r="AK7" s="289">
        <f>KeyInputs!AN7</f>
        <v>42795</v>
      </c>
      <c r="AL7" s="289">
        <f>KeyInputs!AO7</f>
        <v>42826</v>
      </c>
      <c r="AM7" s="289">
        <f>KeyInputs!AP7</f>
        <v>42856</v>
      </c>
      <c r="AN7" s="289">
        <f>KeyInputs!AQ7</f>
        <v>42887</v>
      </c>
      <c r="AO7" s="289">
        <f>KeyInputs!AR7</f>
        <v>42917</v>
      </c>
      <c r="AP7" s="289">
        <f>KeyInputs!AS7</f>
        <v>42948</v>
      </c>
      <c r="AQ7" s="289">
        <f>KeyInputs!AT7</f>
        <v>42979</v>
      </c>
      <c r="AR7" s="289">
        <f>KeyInputs!AU7</f>
        <v>43009</v>
      </c>
      <c r="AS7" s="289">
        <f>KeyInputs!AV7</f>
        <v>43040</v>
      </c>
      <c r="AT7" s="289">
        <f>KeyInputs!AW7</f>
        <v>43070</v>
      </c>
      <c r="AU7" s="289">
        <f>KeyInputs!AX7</f>
        <v>43101</v>
      </c>
      <c r="AV7" s="289">
        <f>KeyInputs!AY7</f>
        <v>43132</v>
      </c>
      <c r="AW7" s="289">
        <f>KeyInputs!AZ7</f>
        <v>43160</v>
      </c>
      <c r="AX7" s="289">
        <f>KeyInputs!BA7</f>
        <v>43191</v>
      </c>
      <c r="AY7" s="289">
        <f>KeyInputs!BB7</f>
        <v>43221</v>
      </c>
      <c r="AZ7" s="289">
        <f>KeyInputs!BC7</f>
        <v>43252</v>
      </c>
      <c r="BA7" s="289">
        <f>KeyInputs!BD7</f>
        <v>43282</v>
      </c>
      <c r="BB7" s="289">
        <f>KeyInputs!BE7</f>
        <v>43313</v>
      </c>
      <c r="BC7" s="289">
        <f>KeyInputs!BF7</f>
        <v>43344</v>
      </c>
      <c r="BD7" s="289">
        <f>KeyInputs!BG7</f>
        <v>43374</v>
      </c>
      <c r="BE7" s="289">
        <f>KeyInputs!BH7</f>
        <v>43405</v>
      </c>
      <c r="BF7" s="289">
        <f>KeyInputs!BI7</f>
        <v>43435</v>
      </c>
      <c r="BG7" s="289">
        <f>KeyInputs!BJ7</f>
        <v>43466</v>
      </c>
      <c r="BH7" s="289">
        <f>KeyInputs!BK7</f>
        <v>43497</v>
      </c>
      <c r="BI7" s="289">
        <f>KeyInputs!BL7</f>
        <v>43525</v>
      </c>
      <c r="BJ7" s="289">
        <f>KeyInputs!BM7</f>
        <v>43556</v>
      </c>
      <c r="BK7" s="289">
        <f>KeyInputs!BN7</f>
        <v>43586</v>
      </c>
      <c r="BL7" s="289">
        <f>KeyInputs!BO7</f>
        <v>43617</v>
      </c>
      <c r="BM7" s="289">
        <f>KeyInputs!BP7</f>
        <v>43647</v>
      </c>
      <c r="BN7" s="289">
        <f>KeyInputs!BQ7</f>
        <v>43678</v>
      </c>
      <c r="BO7" s="289">
        <f>KeyInputs!BR7</f>
        <v>43709</v>
      </c>
      <c r="BP7" s="289">
        <f>KeyInputs!BS7</f>
        <v>43739</v>
      </c>
      <c r="BQ7" s="289">
        <f>KeyInputs!BT7</f>
        <v>43770</v>
      </c>
      <c r="BR7" s="289">
        <f>KeyInputs!BU7</f>
        <v>43800</v>
      </c>
    </row>
    <row r="8" spans="1:78" s="292" customFormat="1" ht="13.2" x14ac:dyDescent="0.25">
      <c r="A8" s="290"/>
      <c r="B8" s="291" t="str">
        <f ca="1">IF(Check!$C$12=0,"All checks are OK","There are "&amp;Check!$C$12&amp;" error/errors")</f>
        <v>All checks are OK</v>
      </c>
      <c r="C8" s="290"/>
      <c r="D8" s="287" t="str">
        <f>KeyInputs!D8</f>
        <v>Period ends</v>
      </c>
      <c r="E8" s="289">
        <f>KeyInputs!H8</f>
        <v>42369</v>
      </c>
      <c r="F8" s="289">
        <f>KeyInputs!I8</f>
        <v>42735</v>
      </c>
      <c r="G8" s="289">
        <f>KeyInputs!J8</f>
        <v>43100</v>
      </c>
      <c r="H8" s="289">
        <f>KeyInputs!K8</f>
        <v>43465</v>
      </c>
      <c r="I8" s="289">
        <f>KeyInputs!L8</f>
        <v>43830</v>
      </c>
      <c r="J8" s="285"/>
      <c r="K8" s="289">
        <f>KeyInputs!N8</f>
        <v>42035</v>
      </c>
      <c r="L8" s="289">
        <f>KeyInputs!O8</f>
        <v>42063</v>
      </c>
      <c r="M8" s="289">
        <f>KeyInputs!P8</f>
        <v>42094</v>
      </c>
      <c r="N8" s="289">
        <f>KeyInputs!Q8</f>
        <v>42124</v>
      </c>
      <c r="O8" s="289">
        <f>KeyInputs!R8</f>
        <v>42155</v>
      </c>
      <c r="P8" s="289">
        <f>KeyInputs!S8</f>
        <v>42185</v>
      </c>
      <c r="Q8" s="289">
        <f>KeyInputs!T8</f>
        <v>42216</v>
      </c>
      <c r="R8" s="289">
        <f>KeyInputs!U8</f>
        <v>42247</v>
      </c>
      <c r="S8" s="289">
        <f>KeyInputs!V8</f>
        <v>42277</v>
      </c>
      <c r="T8" s="289">
        <f>KeyInputs!W8</f>
        <v>42308</v>
      </c>
      <c r="U8" s="289">
        <f>KeyInputs!X8</f>
        <v>42338</v>
      </c>
      <c r="V8" s="289">
        <f>KeyInputs!Y8</f>
        <v>42369</v>
      </c>
      <c r="W8" s="289">
        <f>KeyInputs!Z8</f>
        <v>42400</v>
      </c>
      <c r="X8" s="289">
        <f>KeyInputs!AA8</f>
        <v>42429</v>
      </c>
      <c r="Y8" s="289">
        <f>KeyInputs!AB8</f>
        <v>42460</v>
      </c>
      <c r="Z8" s="289">
        <f>KeyInputs!AC8</f>
        <v>42490</v>
      </c>
      <c r="AA8" s="289">
        <f>KeyInputs!AD8</f>
        <v>42521</v>
      </c>
      <c r="AB8" s="289">
        <f>KeyInputs!AE8</f>
        <v>42551</v>
      </c>
      <c r="AC8" s="289">
        <f>KeyInputs!AF8</f>
        <v>42582</v>
      </c>
      <c r="AD8" s="289">
        <f>KeyInputs!AG8</f>
        <v>42613</v>
      </c>
      <c r="AE8" s="289">
        <f>KeyInputs!AH8</f>
        <v>42643</v>
      </c>
      <c r="AF8" s="289">
        <f>KeyInputs!AI8</f>
        <v>42674</v>
      </c>
      <c r="AG8" s="289">
        <f>KeyInputs!AJ8</f>
        <v>42704</v>
      </c>
      <c r="AH8" s="289">
        <f>KeyInputs!AK8</f>
        <v>42735</v>
      </c>
      <c r="AI8" s="289">
        <f>KeyInputs!AL8</f>
        <v>42766</v>
      </c>
      <c r="AJ8" s="289">
        <f>KeyInputs!AM8</f>
        <v>42794</v>
      </c>
      <c r="AK8" s="289">
        <f>KeyInputs!AN8</f>
        <v>42825</v>
      </c>
      <c r="AL8" s="289">
        <f>KeyInputs!AO8</f>
        <v>42855</v>
      </c>
      <c r="AM8" s="289">
        <f>KeyInputs!AP8</f>
        <v>42886</v>
      </c>
      <c r="AN8" s="289">
        <f>KeyInputs!AQ8</f>
        <v>42916</v>
      </c>
      <c r="AO8" s="289">
        <f>KeyInputs!AR8</f>
        <v>42947</v>
      </c>
      <c r="AP8" s="289">
        <f>KeyInputs!AS8</f>
        <v>42978</v>
      </c>
      <c r="AQ8" s="289">
        <f>KeyInputs!AT8</f>
        <v>43008</v>
      </c>
      <c r="AR8" s="289">
        <f>KeyInputs!AU8</f>
        <v>43039</v>
      </c>
      <c r="AS8" s="289">
        <f>KeyInputs!AV8</f>
        <v>43069</v>
      </c>
      <c r="AT8" s="289">
        <f>KeyInputs!AW8</f>
        <v>43100</v>
      </c>
      <c r="AU8" s="289">
        <f>KeyInputs!AX8</f>
        <v>43131</v>
      </c>
      <c r="AV8" s="289">
        <f>KeyInputs!AY8</f>
        <v>43159</v>
      </c>
      <c r="AW8" s="289">
        <f>KeyInputs!AZ8</f>
        <v>43190</v>
      </c>
      <c r="AX8" s="289">
        <f>KeyInputs!BA8</f>
        <v>43220</v>
      </c>
      <c r="AY8" s="289">
        <f>KeyInputs!BB8</f>
        <v>43251</v>
      </c>
      <c r="AZ8" s="289">
        <f>KeyInputs!BC8</f>
        <v>43281</v>
      </c>
      <c r="BA8" s="289">
        <f>KeyInputs!BD8</f>
        <v>43312</v>
      </c>
      <c r="BB8" s="289">
        <f>KeyInputs!BE8</f>
        <v>43343</v>
      </c>
      <c r="BC8" s="289">
        <f>KeyInputs!BF8</f>
        <v>43373</v>
      </c>
      <c r="BD8" s="289">
        <f>KeyInputs!BG8</f>
        <v>43404</v>
      </c>
      <c r="BE8" s="289">
        <f>KeyInputs!BH8</f>
        <v>43434</v>
      </c>
      <c r="BF8" s="289">
        <f>KeyInputs!BI8</f>
        <v>43465</v>
      </c>
      <c r="BG8" s="289">
        <f>KeyInputs!BJ8</f>
        <v>43496</v>
      </c>
      <c r="BH8" s="289">
        <f>KeyInputs!BK8</f>
        <v>43524</v>
      </c>
      <c r="BI8" s="289">
        <f>KeyInputs!BL8</f>
        <v>43555</v>
      </c>
      <c r="BJ8" s="289">
        <f>KeyInputs!BM8</f>
        <v>43585</v>
      </c>
      <c r="BK8" s="289">
        <f>KeyInputs!BN8</f>
        <v>43616</v>
      </c>
      <c r="BL8" s="289">
        <f>KeyInputs!BO8</f>
        <v>43646</v>
      </c>
      <c r="BM8" s="289">
        <f>KeyInputs!BP8</f>
        <v>43677</v>
      </c>
      <c r="BN8" s="289">
        <f>KeyInputs!BQ8</f>
        <v>43708</v>
      </c>
      <c r="BO8" s="289">
        <f>KeyInputs!BR8</f>
        <v>43738</v>
      </c>
      <c r="BP8" s="289">
        <f>KeyInputs!BS8</f>
        <v>43769</v>
      </c>
      <c r="BQ8" s="289">
        <f>KeyInputs!BT8</f>
        <v>43799</v>
      </c>
      <c r="BR8" s="289">
        <f>KeyInputs!BU8</f>
        <v>43830</v>
      </c>
      <c r="BS8" s="288"/>
      <c r="BT8" s="288"/>
      <c r="BU8" s="288"/>
      <c r="BV8" s="288"/>
      <c r="BW8" s="288"/>
      <c r="BX8" s="288"/>
      <c r="BY8" s="288"/>
      <c r="BZ8" s="288"/>
    </row>
    <row r="10" spans="1:78" s="166" customFormat="1" ht="15.6" x14ac:dyDescent="0.3">
      <c r="A10" s="166">
        <f>Header1</f>
        <v>1</v>
      </c>
      <c r="B10" s="166" t="s">
        <v>353</v>
      </c>
    </row>
    <row r="11" spans="1:78" s="147" customFormat="1" ht="13.2" x14ac:dyDescent="0.25">
      <c r="A11" s="211"/>
      <c r="F11" s="212"/>
    </row>
    <row r="12" spans="1:78" s="147" customFormat="1" ht="13.2" x14ac:dyDescent="0.25">
      <c r="A12" s="211"/>
      <c r="B12" s="211" t="s">
        <v>269</v>
      </c>
      <c r="D12" s="233"/>
      <c r="E12" s="147">
        <f ca="1">SUMIF($K$5:$BR$5,E$5,$K12:$BR12)</f>
        <v>0</v>
      </c>
      <c r="F12" s="147">
        <f t="shared" ref="F12:I12" ca="1" si="0">SUMIF($K$5:$BR$5,F$5,$K12:$BR12)</f>
        <v>0</v>
      </c>
      <c r="G12" s="147">
        <f t="shared" ca="1" si="0"/>
        <v>0</v>
      </c>
      <c r="H12" s="147">
        <f t="shared" ca="1" si="0"/>
        <v>0</v>
      </c>
      <c r="I12" s="147">
        <f t="shared" ca="1" si="0"/>
        <v>0</v>
      </c>
      <c r="K12" s="147">
        <f ca="1">'Outputs - P&amp;L'!K41</f>
        <v>0</v>
      </c>
      <c r="L12" s="147">
        <f ca="1">'Outputs - P&amp;L'!L41</f>
        <v>0</v>
      </c>
      <c r="M12" s="147">
        <f ca="1">'Outputs - P&amp;L'!M41</f>
        <v>0</v>
      </c>
      <c r="N12" s="147">
        <f ca="1">'Outputs - P&amp;L'!N41</f>
        <v>0</v>
      </c>
      <c r="O12" s="147">
        <f ca="1">'Outputs - P&amp;L'!O41</f>
        <v>0</v>
      </c>
      <c r="P12" s="147">
        <f ca="1">'Outputs - P&amp;L'!P41</f>
        <v>0</v>
      </c>
      <c r="Q12" s="147">
        <f ca="1">'Outputs - P&amp;L'!Q41</f>
        <v>0</v>
      </c>
      <c r="R12" s="147">
        <f ca="1">'Outputs - P&amp;L'!R41</f>
        <v>0</v>
      </c>
      <c r="S12" s="147">
        <f ca="1">'Outputs - P&amp;L'!S41</f>
        <v>0</v>
      </c>
      <c r="T12" s="147">
        <f ca="1">'Outputs - P&amp;L'!T41</f>
        <v>0</v>
      </c>
      <c r="U12" s="147">
        <f ca="1">'Outputs - P&amp;L'!U41</f>
        <v>0</v>
      </c>
      <c r="V12" s="147">
        <f ca="1">'Outputs - P&amp;L'!V41</f>
        <v>0</v>
      </c>
      <c r="W12" s="147">
        <f ca="1">'Outputs - P&amp;L'!W41</f>
        <v>0</v>
      </c>
      <c r="X12" s="147">
        <f ca="1">'Outputs - P&amp;L'!X41</f>
        <v>0</v>
      </c>
      <c r="Y12" s="147">
        <f ca="1">'Outputs - P&amp;L'!Y41</f>
        <v>0</v>
      </c>
      <c r="Z12" s="147">
        <f ca="1">'Outputs - P&amp;L'!Z41</f>
        <v>0</v>
      </c>
      <c r="AA12" s="147">
        <f ca="1">'Outputs - P&amp;L'!AA41</f>
        <v>0</v>
      </c>
      <c r="AB12" s="147">
        <f ca="1">'Outputs - P&amp;L'!AB41</f>
        <v>0</v>
      </c>
      <c r="AC12" s="147">
        <f ca="1">'Outputs - P&amp;L'!AC41</f>
        <v>0</v>
      </c>
      <c r="AD12" s="147">
        <f ca="1">'Outputs - P&amp;L'!AD41</f>
        <v>0</v>
      </c>
      <c r="AE12" s="147">
        <f ca="1">'Outputs - P&amp;L'!AE41</f>
        <v>0</v>
      </c>
      <c r="AF12" s="147">
        <f ca="1">'Outputs - P&amp;L'!AF41</f>
        <v>0</v>
      </c>
      <c r="AG12" s="147">
        <f ca="1">'Outputs - P&amp;L'!AG41</f>
        <v>0</v>
      </c>
      <c r="AH12" s="147">
        <f ca="1">'Outputs - P&amp;L'!AH41</f>
        <v>0</v>
      </c>
      <c r="AI12" s="147">
        <f ca="1">'Outputs - P&amp;L'!AI41</f>
        <v>0</v>
      </c>
      <c r="AJ12" s="147">
        <f ca="1">'Outputs - P&amp;L'!AJ41</f>
        <v>0</v>
      </c>
      <c r="AK12" s="147">
        <f ca="1">'Outputs - P&amp;L'!AK41</f>
        <v>0</v>
      </c>
      <c r="AL12" s="147">
        <f ca="1">'Outputs - P&amp;L'!AL41</f>
        <v>0</v>
      </c>
      <c r="AM12" s="147">
        <f ca="1">'Outputs - P&amp;L'!AM41</f>
        <v>0</v>
      </c>
      <c r="AN12" s="147">
        <f ca="1">'Outputs - P&amp;L'!AN41</f>
        <v>0</v>
      </c>
      <c r="AO12" s="147">
        <f ca="1">'Outputs - P&amp;L'!AO41</f>
        <v>0</v>
      </c>
      <c r="AP12" s="147">
        <f ca="1">'Outputs - P&amp;L'!AP41</f>
        <v>0</v>
      </c>
      <c r="AQ12" s="147">
        <f ca="1">'Outputs - P&amp;L'!AQ41</f>
        <v>0</v>
      </c>
      <c r="AR12" s="147">
        <f ca="1">'Outputs - P&amp;L'!AR41</f>
        <v>0</v>
      </c>
      <c r="AS12" s="147">
        <f ca="1">'Outputs - P&amp;L'!AS41</f>
        <v>0</v>
      </c>
      <c r="AT12" s="147">
        <f ca="1">'Outputs - P&amp;L'!AT41</f>
        <v>0</v>
      </c>
      <c r="AU12" s="147">
        <f ca="1">'Outputs - P&amp;L'!AU41</f>
        <v>0</v>
      </c>
      <c r="AV12" s="147">
        <f ca="1">'Outputs - P&amp;L'!AV41</f>
        <v>0</v>
      </c>
      <c r="AW12" s="147">
        <f ca="1">'Outputs - P&amp;L'!AW41</f>
        <v>0</v>
      </c>
      <c r="AX12" s="147">
        <f ca="1">'Outputs - P&amp;L'!AX41</f>
        <v>0</v>
      </c>
      <c r="AY12" s="147">
        <f ca="1">'Outputs - P&amp;L'!AY41</f>
        <v>0</v>
      </c>
      <c r="AZ12" s="147">
        <f ca="1">'Outputs - P&amp;L'!AZ41</f>
        <v>0</v>
      </c>
      <c r="BA12" s="147">
        <f ca="1">'Outputs - P&amp;L'!BA41</f>
        <v>0</v>
      </c>
      <c r="BB12" s="147">
        <f ca="1">'Outputs - P&amp;L'!BB41</f>
        <v>0</v>
      </c>
      <c r="BC12" s="147">
        <f ca="1">'Outputs - P&amp;L'!BC41</f>
        <v>0</v>
      </c>
      <c r="BD12" s="147">
        <f ca="1">'Outputs - P&amp;L'!BD41</f>
        <v>0</v>
      </c>
      <c r="BE12" s="147">
        <f ca="1">'Outputs - P&amp;L'!BE41</f>
        <v>0</v>
      </c>
      <c r="BF12" s="147">
        <f ca="1">'Outputs - P&amp;L'!BF41</f>
        <v>0</v>
      </c>
      <c r="BG12" s="147">
        <f ca="1">'Outputs - P&amp;L'!BG41</f>
        <v>0</v>
      </c>
      <c r="BH12" s="147">
        <f ca="1">'Outputs - P&amp;L'!BH41</f>
        <v>0</v>
      </c>
      <c r="BI12" s="147">
        <f ca="1">'Outputs - P&amp;L'!BI41</f>
        <v>0</v>
      </c>
      <c r="BJ12" s="147">
        <f ca="1">'Outputs - P&amp;L'!BJ41</f>
        <v>0</v>
      </c>
      <c r="BK12" s="147">
        <f ca="1">'Outputs - P&amp;L'!BK41</f>
        <v>0</v>
      </c>
      <c r="BL12" s="147">
        <f ca="1">'Outputs - P&amp;L'!BL41</f>
        <v>0</v>
      </c>
      <c r="BM12" s="147">
        <f ca="1">'Outputs - P&amp;L'!BM41</f>
        <v>0</v>
      </c>
      <c r="BN12" s="147">
        <f ca="1">'Outputs - P&amp;L'!BN41</f>
        <v>0</v>
      </c>
      <c r="BO12" s="147">
        <f ca="1">'Outputs - P&amp;L'!BO41</f>
        <v>0</v>
      </c>
      <c r="BP12" s="147">
        <f ca="1">'Outputs - P&amp;L'!BP41</f>
        <v>0</v>
      </c>
      <c r="BQ12" s="147">
        <f ca="1">'Outputs - P&amp;L'!BQ41</f>
        <v>0</v>
      </c>
      <c r="BR12" s="147">
        <f ca="1">'Outputs - P&amp;L'!BR41</f>
        <v>0</v>
      </c>
    </row>
    <row r="13" spans="1:78" s="147" customFormat="1" ht="13.2" x14ac:dyDescent="0.25">
      <c r="A13" s="211"/>
      <c r="D13" s="212"/>
    </row>
    <row r="14" spans="1:78" s="147" customFormat="1" ht="13.2" x14ac:dyDescent="0.25">
      <c r="A14" s="211"/>
      <c r="B14" s="147" t="s">
        <v>336</v>
      </c>
      <c r="D14" s="212"/>
      <c r="E14" s="147">
        <f>SUMIF($K$5:$BR$5,E$5,$K14:$BR14)</f>
        <v>0</v>
      </c>
      <c r="F14" s="147">
        <f t="shared" ref="F14:I14" si="1">SUMIF($K$5:$BR$5,F$5,$K14:$BR14)</f>
        <v>0</v>
      </c>
      <c r="G14" s="147">
        <f t="shared" si="1"/>
        <v>0</v>
      </c>
      <c r="H14" s="147">
        <f t="shared" si="1"/>
        <v>0</v>
      </c>
      <c r="I14" s="147">
        <f t="shared" si="1"/>
        <v>0</v>
      </c>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row>
    <row r="15" spans="1:78" s="147" customFormat="1" ht="13.2" x14ac:dyDescent="0.25">
      <c r="A15" s="211"/>
      <c r="D15" s="212"/>
    </row>
    <row r="16" spans="1:78" s="211" customFormat="1" ht="13.2" x14ac:dyDescent="0.25">
      <c r="B16" s="211" t="s">
        <v>270</v>
      </c>
      <c r="D16" s="232"/>
      <c r="E16" s="247">
        <f ca="1">SUMIF($K$5:$BR$5,E$5,$K16:$BR16)</f>
        <v>0</v>
      </c>
      <c r="F16" s="247">
        <f t="shared" ref="F16:I16" ca="1" si="2">SUMIF($K$5:$BR$5,F$5,$K16:$BR16)</f>
        <v>0</v>
      </c>
      <c r="G16" s="247">
        <f t="shared" ca="1" si="2"/>
        <v>0</v>
      </c>
      <c r="H16" s="247">
        <f t="shared" ca="1" si="2"/>
        <v>0</v>
      </c>
      <c r="I16" s="247">
        <f t="shared" ca="1" si="2"/>
        <v>0</v>
      </c>
      <c r="K16" s="247">
        <f ca="1">SUM(K12:K14)</f>
        <v>0</v>
      </c>
      <c r="L16" s="247">
        <f t="shared" ref="L16:BR16" ca="1" si="3">SUM(L12:L14)</f>
        <v>0</v>
      </c>
      <c r="M16" s="247">
        <f t="shared" ca="1" si="3"/>
        <v>0</v>
      </c>
      <c r="N16" s="247">
        <f t="shared" ca="1" si="3"/>
        <v>0</v>
      </c>
      <c r="O16" s="247">
        <f t="shared" ca="1" si="3"/>
        <v>0</v>
      </c>
      <c r="P16" s="247">
        <f t="shared" ca="1" si="3"/>
        <v>0</v>
      </c>
      <c r="Q16" s="247">
        <f t="shared" ca="1" si="3"/>
        <v>0</v>
      </c>
      <c r="R16" s="247">
        <f t="shared" ca="1" si="3"/>
        <v>0</v>
      </c>
      <c r="S16" s="247">
        <f t="shared" ca="1" si="3"/>
        <v>0</v>
      </c>
      <c r="T16" s="247">
        <f t="shared" ca="1" si="3"/>
        <v>0</v>
      </c>
      <c r="U16" s="247">
        <f t="shared" ca="1" si="3"/>
        <v>0</v>
      </c>
      <c r="V16" s="247">
        <f t="shared" ca="1" si="3"/>
        <v>0</v>
      </c>
      <c r="W16" s="247">
        <f t="shared" ca="1" si="3"/>
        <v>0</v>
      </c>
      <c r="X16" s="247">
        <f t="shared" ca="1" si="3"/>
        <v>0</v>
      </c>
      <c r="Y16" s="247">
        <f t="shared" ca="1" si="3"/>
        <v>0</v>
      </c>
      <c r="Z16" s="247">
        <f t="shared" ca="1" si="3"/>
        <v>0</v>
      </c>
      <c r="AA16" s="247">
        <f t="shared" ca="1" si="3"/>
        <v>0</v>
      </c>
      <c r="AB16" s="247">
        <f t="shared" ca="1" si="3"/>
        <v>0</v>
      </c>
      <c r="AC16" s="247">
        <f t="shared" ca="1" si="3"/>
        <v>0</v>
      </c>
      <c r="AD16" s="247">
        <f t="shared" ca="1" si="3"/>
        <v>0</v>
      </c>
      <c r="AE16" s="247">
        <f t="shared" ca="1" si="3"/>
        <v>0</v>
      </c>
      <c r="AF16" s="247">
        <f t="shared" ca="1" si="3"/>
        <v>0</v>
      </c>
      <c r="AG16" s="247">
        <f t="shared" ca="1" si="3"/>
        <v>0</v>
      </c>
      <c r="AH16" s="247">
        <f t="shared" ca="1" si="3"/>
        <v>0</v>
      </c>
      <c r="AI16" s="247">
        <f t="shared" ca="1" si="3"/>
        <v>0</v>
      </c>
      <c r="AJ16" s="247">
        <f t="shared" ca="1" si="3"/>
        <v>0</v>
      </c>
      <c r="AK16" s="247">
        <f t="shared" ca="1" si="3"/>
        <v>0</v>
      </c>
      <c r="AL16" s="247">
        <f t="shared" ca="1" si="3"/>
        <v>0</v>
      </c>
      <c r="AM16" s="247">
        <f t="shared" ca="1" si="3"/>
        <v>0</v>
      </c>
      <c r="AN16" s="247">
        <f t="shared" ca="1" si="3"/>
        <v>0</v>
      </c>
      <c r="AO16" s="247">
        <f t="shared" ca="1" si="3"/>
        <v>0</v>
      </c>
      <c r="AP16" s="247">
        <f t="shared" ca="1" si="3"/>
        <v>0</v>
      </c>
      <c r="AQ16" s="247">
        <f t="shared" ca="1" si="3"/>
        <v>0</v>
      </c>
      <c r="AR16" s="247">
        <f t="shared" ca="1" si="3"/>
        <v>0</v>
      </c>
      <c r="AS16" s="247">
        <f t="shared" ca="1" si="3"/>
        <v>0</v>
      </c>
      <c r="AT16" s="247">
        <f t="shared" ca="1" si="3"/>
        <v>0</v>
      </c>
      <c r="AU16" s="247">
        <f t="shared" ca="1" si="3"/>
        <v>0</v>
      </c>
      <c r="AV16" s="247">
        <f t="shared" ca="1" si="3"/>
        <v>0</v>
      </c>
      <c r="AW16" s="247">
        <f t="shared" ca="1" si="3"/>
        <v>0</v>
      </c>
      <c r="AX16" s="247">
        <f t="shared" ca="1" si="3"/>
        <v>0</v>
      </c>
      <c r="AY16" s="247">
        <f t="shared" ca="1" si="3"/>
        <v>0</v>
      </c>
      <c r="AZ16" s="247">
        <f t="shared" ca="1" si="3"/>
        <v>0</v>
      </c>
      <c r="BA16" s="247">
        <f t="shared" ca="1" si="3"/>
        <v>0</v>
      </c>
      <c r="BB16" s="247">
        <f t="shared" ca="1" si="3"/>
        <v>0</v>
      </c>
      <c r="BC16" s="247">
        <f t="shared" ca="1" si="3"/>
        <v>0</v>
      </c>
      <c r="BD16" s="247">
        <f t="shared" ca="1" si="3"/>
        <v>0</v>
      </c>
      <c r="BE16" s="247">
        <f t="shared" ca="1" si="3"/>
        <v>0</v>
      </c>
      <c r="BF16" s="247">
        <f t="shared" ca="1" si="3"/>
        <v>0</v>
      </c>
      <c r="BG16" s="247">
        <f t="shared" ca="1" si="3"/>
        <v>0</v>
      </c>
      <c r="BH16" s="247">
        <f t="shared" ca="1" si="3"/>
        <v>0</v>
      </c>
      <c r="BI16" s="247">
        <f t="shared" ca="1" si="3"/>
        <v>0</v>
      </c>
      <c r="BJ16" s="247">
        <f t="shared" ca="1" si="3"/>
        <v>0</v>
      </c>
      <c r="BK16" s="247">
        <f t="shared" ca="1" si="3"/>
        <v>0</v>
      </c>
      <c r="BL16" s="247">
        <f t="shared" ca="1" si="3"/>
        <v>0</v>
      </c>
      <c r="BM16" s="247">
        <f t="shared" ca="1" si="3"/>
        <v>0</v>
      </c>
      <c r="BN16" s="247">
        <f t="shared" ca="1" si="3"/>
        <v>0</v>
      </c>
      <c r="BO16" s="247">
        <f t="shared" ca="1" si="3"/>
        <v>0</v>
      </c>
      <c r="BP16" s="247">
        <f t="shared" ca="1" si="3"/>
        <v>0</v>
      </c>
      <c r="BQ16" s="247">
        <f t="shared" ca="1" si="3"/>
        <v>0</v>
      </c>
      <c r="BR16" s="247">
        <f t="shared" ca="1" si="3"/>
        <v>0</v>
      </c>
    </row>
    <row r="17" spans="1:6" s="147" customFormat="1" ht="13.2" x14ac:dyDescent="0.25">
      <c r="A17" s="211"/>
      <c r="F17" s="212"/>
    </row>
    <row r="18" spans="1:6" s="166" customFormat="1" ht="15.6" x14ac:dyDescent="0.3">
      <c r="A18" s="166" t="s">
        <v>217</v>
      </c>
    </row>
  </sheetData>
  <pageMargins left="0.7" right="0.7" top="0.75" bottom="0.75" header="0.3" footer="0.3"/>
  <extLs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7"/>
  </sheetPr>
  <dimension ref="A1:BZ19"/>
  <sheetViews>
    <sheetView zoomScale="80" zoomScaleNormal="80" zoomScalePageLayoutView="80" workbookViewId="0">
      <pane xSplit="10" ySplit="8" topLeftCell="K9" activePane="bottomRight" state="frozen"/>
      <selection activeCell="D8" sqref="D8:U8"/>
      <selection pane="topRight" activeCell="D8" sqref="D8:U8"/>
      <selection pane="bottomLeft" activeCell="D8" sqref="D8:U8"/>
      <selection pane="bottomRight" activeCell="N30" sqref="N30"/>
    </sheetView>
  </sheetViews>
  <sheetFormatPr defaultColWidth="0" defaultRowHeight="14.4" x14ac:dyDescent="0.3"/>
  <cols>
    <col min="1" max="1" width="9.109375" customWidth="1"/>
    <col min="2" max="2" width="25.6640625" bestFit="1" customWidth="1"/>
    <col min="3" max="3" width="16.44140625" customWidth="1"/>
    <col min="4" max="4" width="13.44140625" bestFit="1" customWidth="1"/>
    <col min="5" max="9" width="10" bestFit="1" customWidth="1"/>
    <col min="10" max="10" width="9.109375" customWidth="1"/>
    <col min="11" max="11" width="9.33203125" bestFit="1" customWidth="1"/>
    <col min="12" max="12" width="10.44140625" bestFit="1" customWidth="1"/>
    <col min="13" max="13" width="10.33203125" bestFit="1" customWidth="1"/>
    <col min="14" max="14" width="10" bestFit="1" customWidth="1"/>
    <col min="15" max="16" width="10.33203125" bestFit="1" customWidth="1"/>
    <col min="17" max="17" width="10" bestFit="1" customWidth="1"/>
    <col min="18" max="20" width="10.109375" bestFit="1" customWidth="1"/>
    <col min="21" max="21" width="10.44140625" bestFit="1" customWidth="1"/>
    <col min="22" max="22" width="10" bestFit="1" customWidth="1"/>
    <col min="23" max="23" width="9.33203125" bestFit="1" customWidth="1"/>
    <col min="24" max="24" width="10.44140625" bestFit="1" customWidth="1"/>
    <col min="25" max="25" width="10.33203125" bestFit="1" customWidth="1"/>
    <col min="26" max="26" width="10" bestFit="1" customWidth="1"/>
    <col min="27" max="28" width="10.33203125" bestFit="1" customWidth="1"/>
    <col min="29" max="29" width="10" bestFit="1" customWidth="1"/>
    <col min="30" max="32" width="10.109375" bestFit="1" customWidth="1"/>
    <col min="33" max="33" width="10.44140625" bestFit="1" customWidth="1"/>
    <col min="34" max="34" width="10" bestFit="1" customWidth="1"/>
    <col min="35" max="35" width="9.33203125" bestFit="1" customWidth="1"/>
    <col min="36" max="36" width="10.44140625" bestFit="1" customWidth="1"/>
    <col min="37" max="37" width="10.33203125" bestFit="1" customWidth="1"/>
    <col min="38" max="38" width="10" bestFit="1" customWidth="1"/>
    <col min="39" max="40" width="10.33203125" bestFit="1" customWidth="1"/>
    <col min="41" max="41" width="10" bestFit="1" customWidth="1"/>
    <col min="42" max="44" width="10.109375" bestFit="1" customWidth="1"/>
    <col min="45" max="45" width="10.44140625" bestFit="1" customWidth="1"/>
    <col min="46" max="46" width="10" bestFit="1" customWidth="1"/>
    <col min="47" max="47" width="9.33203125" bestFit="1" customWidth="1"/>
    <col min="48" max="48" width="10.44140625" bestFit="1" customWidth="1"/>
    <col min="49" max="49" width="10.33203125" bestFit="1" customWidth="1"/>
    <col min="50" max="50" width="10" bestFit="1" customWidth="1"/>
    <col min="51" max="52" width="10.33203125" bestFit="1" customWidth="1"/>
    <col min="53" max="53" width="10" bestFit="1" customWidth="1"/>
    <col min="54" max="56" width="10.109375" bestFit="1" customWidth="1"/>
    <col min="57" max="57" width="10.44140625" bestFit="1" customWidth="1"/>
    <col min="58" max="58" width="10" bestFit="1" customWidth="1"/>
    <col min="59" max="59" width="9.33203125" bestFit="1" customWidth="1"/>
    <col min="60" max="60" width="10.44140625" bestFit="1" customWidth="1"/>
    <col min="61" max="61" width="10.33203125" bestFit="1" customWidth="1"/>
    <col min="62" max="62" width="10" bestFit="1" customWidth="1"/>
    <col min="63" max="64" width="10.33203125" bestFit="1" customWidth="1"/>
    <col min="65" max="65" width="10" bestFit="1" customWidth="1"/>
    <col min="66" max="68" width="10.109375" bestFit="1" customWidth="1"/>
    <col min="69" max="69" width="10.44140625" bestFit="1" customWidth="1"/>
    <col min="70" max="70" width="10" bestFit="1" customWidth="1"/>
    <col min="71" max="78" width="9.109375" customWidth="1"/>
    <col min="79" max="16384" width="9.109375" hidden="1"/>
  </cols>
  <sheetData>
    <row r="1" spans="1:78" s="285" customFormat="1" ht="13.2" x14ac:dyDescent="0.25"/>
    <row r="2" spans="1:78" s="285" customFormat="1" ht="13.2" x14ac:dyDescent="0.25"/>
    <row r="3" spans="1:78" s="285" customFormat="1" ht="13.2" x14ac:dyDescent="0.25">
      <c r="A3" s="286" t="str">
        <f>IF(KeyInputs!$F$14=0,"Company Name",KeyInputs!$F$14)</f>
        <v>Company Name</v>
      </c>
    </row>
    <row r="4" spans="1:78" s="285" customFormat="1" ht="13.2" x14ac:dyDescent="0.25">
      <c r="A4" s="285" t="s">
        <v>19</v>
      </c>
    </row>
    <row r="5" spans="1:78" s="288" customFormat="1" ht="13.2" x14ac:dyDescent="0.25">
      <c r="A5" s="285"/>
      <c r="B5" s="285"/>
      <c r="C5" s="285"/>
      <c r="D5" s="287" t="str">
        <f>KeyInputs!D5</f>
        <v>Year</v>
      </c>
      <c r="E5" s="285">
        <f>KeyInputs!H5</f>
        <v>2015</v>
      </c>
      <c r="F5" s="285">
        <f>KeyInputs!I5</f>
        <v>2016</v>
      </c>
      <c r="G5" s="285">
        <f>KeyInputs!J5</f>
        <v>2017</v>
      </c>
      <c r="H5" s="285">
        <f>KeyInputs!K5</f>
        <v>2018</v>
      </c>
      <c r="I5" s="285">
        <f>KeyInputs!L5</f>
        <v>2019</v>
      </c>
      <c r="J5" s="285"/>
      <c r="K5" s="288">
        <f>KeyInputs!N5</f>
        <v>2015</v>
      </c>
      <c r="L5" s="288">
        <f>KeyInputs!O5</f>
        <v>2015</v>
      </c>
      <c r="M5" s="288">
        <f>KeyInputs!P5</f>
        <v>2015</v>
      </c>
      <c r="N5" s="288">
        <f>KeyInputs!Q5</f>
        <v>2015</v>
      </c>
      <c r="O5" s="288">
        <f>KeyInputs!R5</f>
        <v>2015</v>
      </c>
      <c r="P5" s="288">
        <f>KeyInputs!S5</f>
        <v>2015</v>
      </c>
      <c r="Q5" s="288">
        <f>KeyInputs!T5</f>
        <v>2015</v>
      </c>
      <c r="R5" s="288">
        <f>KeyInputs!U5</f>
        <v>2015</v>
      </c>
      <c r="S5" s="288">
        <f>KeyInputs!V5</f>
        <v>2015</v>
      </c>
      <c r="T5" s="288">
        <f>KeyInputs!W5</f>
        <v>2015</v>
      </c>
      <c r="U5" s="288">
        <f>KeyInputs!X5</f>
        <v>2015</v>
      </c>
      <c r="V5" s="288">
        <f>KeyInputs!Y5</f>
        <v>2015</v>
      </c>
      <c r="W5" s="288">
        <f>KeyInputs!Z5</f>
        <v>2016</v>
      </c>
      <c r="X5" s="288">
        <f>KeyInputs!AA5</f>
        <v>2016</v>
      </c>
      <c r="Y5" s="288">
        <f>KeyInputs!AB5</f>
        <v>2016</v>
      </c>
      <c r="Z5" s="288">
        <f>KeyInputs!AC5</f>
        <v>2016</v>
      </c>
      <c r="AA5" s="288">
        <f>KeyInputs!AD5</f>
        <v>2016</v>
      </c>
      <c r="AB5" s="288">
        <f>KeyInputs!AE5</f>
        <v>2016</v>
      </c>
      <c r="AC5" s="288">
        <f>KeyInputs!AF5</f>
        <v>2016</v>
      </c>
      <c r="AD5" s="288">
        <f>KeyInputs!AG5</f>
        <v>2016</v>
      </c>
      <c r="AE5" s="288">
        <f>KeyInputs!AH5</f>
        <v>2016</v>
      </c>
      <c r="AF5" s="288">
        <f>KeyInputs!AI5</f>
        <v>2016</v>
      </c>
      <c r="AG5" s="288">
        <f>KeyInputs!AJ5</f>
        <v>2016</v>
      </c>
      <c r="AH5" s="288">
        <f>KeyInputs!AK5</f>
        <v>2016</v>
      </c>
      <c r="AI5" s="288">
        <f>KeyInputs!AL5</f>
        <v>2017</v>
      </c>
      <c r="AJ5" s="288">
        <f>KeyInputs!AM5</f>
        <v>2017</v>
      </c>
      <c r="AK5" s="288">
        <f>KeyInputs!AN5</f>
        <v>2017</v>
      </c>
      <c r="AL5" s="288">
        <f>KeyInputs!AO5</f>
        <v>2017</v>
      </c>
      <c r="AM5" s="288">
        <f>KeyInputs!AP5</f>
        <v>2017</v>
      </c>
      <c r="AN5" s="288">
        <f>KeyInputs!AQ5</f>
        <v>2017</v>
      </c>
      <c r="AO5" s="288">
        <f>KeyInputs!AR5</f>
        <v>2017</v>
      </c>
      <c r="AP5" s="288">
        <f>KeyInputs!AS5</f>
        <v>2017</v>
      </c>
      <c r="AQ5" s="288">
        <f>KeyInputs!AT5</f>
        <v>2017</v>
      </c>
      <c r="AR5" s="288">
        <f>KeyInputs!AU5</f>
        <v>2017</v>
      </c>
      <c r="AS5" s="288">
        <f>KeyInputs!AV5</f>
        <v>2017</v>
      </c>
      <c r="AT5" s="288">
        <f>KeyInputs!AW5</f>
        <v>2017</v>
      </c>
      <c r="AU5" s="288">
        <f>KeyInputs!AX5</f>
        <v>2018</v>
      </c>
      <c r="AV5" s="288">
        <f>KeyInputs!AY5</f>
        <v>2018</v>
      </c>
      <c r="AW5" s="288">
        <f>KeyInputs!AZ5</f>
        <v>2018</v>
      </c>
      <c r="AX5" s="288">
        <f>KeyInputs!BA5</f>
        <v>2018</v>
      </c>
      <c r="AY5" s="288">
        <f>KeyInputs!BB5</f>
        <v>2018</v>
      </c>
      <c r="AZ5" s="288">
        <f>KeyInputs!BC5</f>
        <v>2018</v>
      </c>
      <c r="BA5" s="288">
        <f>KeyInputs!BD5</f>
        <v>2018</v>
      </c>
      <c r="BB5" s="288">
        <f>KeyInputs!BE5</f>
        <v>2018</v>
      </c>
      <c r="BC5" s="288">
        <f>KeyInputs!BF5</f>
        <v>2018</v>
      </c>
      <c r="BD5" s="288">
        <f>KeyInputs!BG5</f>
        <v>2018</v>
      </c>
      <c r="BE5" s="288">
        <f>KeyInputs!BH5</f>
        <v>2018</v>
      </c>
      <c r="BF5" s="288">
        <f>KeyInputs!BI5</f>
        <v>2018</v>
      </c>
      <c r="BG5" s="288">
        <f>KeyInputs!BJ5</f>
        <v>2019</v>
      </c>
      <c r="BH5" s="288">
        <f>KeyInputs!BK5</f>
        <v>2019</v>
      </c>
      <c r="BI5" s="288">
        <f>KeyInputs!BL5</f>
        <v>2019</v>
      </c>
      <c r="BJ5" s="288">
        <f>KeyInputs!BM5</f>
        <v>2019</v>
      </c>
      <c r="BK5" s="288">
        <f>KeyInputs!BN5</f>
        <v>2019</v>
      </c>
      <c r="BL5" s="288">
        <f>KeyInputs!BO5</f>
        <v>2019</v>
      </c>
      <c r="BM5" s="288">
        <f>KeyInputs!BP5</f>
        <v>2019</v>
      </c>
      <c r="BN5" s="288">
        <f>KeyInputs!BQ5</f>
        <v>2019</v>
      </c>
      <c r="BO5" s="288">
        <f>KeyInputs!BR5</f>
        <v>2019</v>
      </c>
      <c r="BP5" s="288">
        <f>KeyInputs!BS5</f>
        <v>2019</v>
      </c>
      <c r="BQ5" s="288">
        <f>KeyInputs!BT5</f>
        <v>2019</v>
      </c>
      <c r="BR5" s="288">
        <f>KeyInputs!BU5</f>
        <v>2019</v>
      </c>
    </row>
    <row r="6" spans="1:78" s="288" customFormat="1" ht="13.2" x14ac:dyDescent="0.25">
      <c r="A6" s="285"/>
      <c r="B6" s="285"/>
      <c r="C6" s="285"/>
      <c r="D6" s="287" t="str">
        <f>KeyInputs!D6</f>
        <v>Period number</v>
      </c>
      <c r="E6" s="285">
        <f>KeyInputs!H6</f>
        <v>1</v>
      </c>
      <c r="F6" s="285">
        <f>KeyInputs!I6</f>
        <v>2</v>
      </c>
      <c r="G6" s="285">
        <f>KeyInputs!J6</f>
        <v>3</v>
      </c>
      <c r="H6" s="285">
        <f>KeyInputs!K6</f>
        <v>4</v>
      </c>
      <c r="I6" s="285">
        <f>KeyInputs!L6</f>
        <v>5</v>
      </c>
      <c r="J6" s="285"/>
      <c r="K6" s="288">
        <f>KeyInputs!N6</f>
        <v>1</v>
      </c>
      <c r="L6" s="288">
        <f>KeyInputs!O6</f>
        <v>2</v>
      </c>
      <c r="M6" s="288">
        <f>KeyInputs!P6</f>
        <v>3</v>
      </c>
      <c r="N6" s="288">
        <f>KeyInputs!Q6</f>
        <v>4</v>
      </c>
      <c r="O6" s="288">
        <f>KeyInputs!R6</f>
        <v>5</v>
      </c>
      <c r="P6" s="288">
        <f>KeyInputs!S6</f>
        <v>6</v>
      </c>
      <c r="Q6" s="288">
        <f>KeyInputs!T6</f>
        <v>7</v>
      </c>
      <c r="R6" s="288">
        <f>KeyInputs!U6</f>
        <v>8</v>
      </c>
      <c r="S6" s="288">
        <f>KeyInputs!V6</f>
        <v>9</v>
      </c>
      <c r="T6" s="288">
        <f>KeyInputs!W6</f>
        <v>10</v>
      </c>
      <c r="U6" s="288">
        <f>KeyInputs!X6</f>
        <v>11</v>
      </c>
      <c r="V6" s="288">
        <f>KeyInputs!Y6</f>
        <v>12</v>
      </c>
      <c r="W6" s="288">
        <f>KeyInputs!Z6</f>
        <v>13</v>
      </c>
      <c r="X6" s="288">
        <f>KeyInputs!AA6</f>
        <v>14</v>
      </c>
      <c r="Y6" s="288">
        <f>KeyInputs!AB6</f>
        <v>15</v>
      </c>
      <c r="Z6" s="288">
        <f>KeyInputs!AC6</f>
        <v>16</v>
      </c>
      <c r="AA6" s="288">
        <f>KeyInputs!AD6</f>
        <v>17</v>
      </c>
      <c r="AB6" s="288">
        <f>KeyInputs!AE6</f>
        <v>18</v>
      </c>
      <c r="AC6" s="288">
        <f>KeyInputs!AF6</f>
        <v>19</v>
      </c>
      <c r="AD6" s="288">
        <f>KeyInputs!AG6</f>
        <v>20</v>
      </c>
      <c r="AE6" s="288">
        <f>KeyInputs!AH6</f>
        <v>21</v>
      </c>
      <c r="AF6" s="288">
        <f>KeyInputs!AI6</f>
        <v>22</v>
      </c>
      <c r="AG6" s="288">
        <f>KeyInputs!AJ6</f>
        <v>23</v>
      </c>
      <c r="AH6" s="288">
        <f>KeyInputs!AK6</f>
        <v>24</v>
      </c>
      <c r="AI6" s="288">
        <f>KeyInputs!AL6</f>
        <v>25</v>
      </c>
      <c r="AJ6" s="288">
        <f>KeyInputs!AM6</f>
        <v>26</v>
      </c>
      <c r="AK6" s="288">
        <f>KeyInputs!AN6</f>
        <v>27</v>
      </c>
      <c r="AL6" s="288">
        <f>KeyInputs!AO6</f>
        <v>28</v>
      </c>
      <c r="AM6" s="288">
        <f>KeyInputs!AP6</f>
        <v>29</v>
      </c>
      <c r="AN6" s="288">
        <f>KeyInputs!AQ6</f>
        <v>30</v>
      </c>
      <c r="AO6" s="288">
        <f>KeyInputs!AR6</f>
        <v>31</v>
      </c>
      <c r="AP6" s="288">
        <f>KeyInputs!AS6</f>
        <v>32</v>
      </c>
      <c r="AQ6" s="288">
        <f>KeyInputs!AT6</f>
        <v>33</v>
      </c>
      <c r="AR6" s="288">
        <f>KeyInputs!AU6</f>
        <v>34</v>
      </c>
      <c r="AS6" s="288">
        <f>KeyInputs!AV6</f>
        <v>35</v>
      </c>
      <c r="AT6" s="288">
        <f>KeyInputs!AW6</f>
        <v>36</v>
      </c>
      <c r="AU6" s="288">
        <f>KeyInputs!AX6</f>
        <v>37</v>
      </c>
      <c r="AV6" s="288">
        <f>KeyInputs!AY6</f>
        <v>38</v>
      </c>
      <c r="AW6" s="288">
        <f>KeyInputs!AZ6</f>
        <v>39</v>
      </c>
      <c r="AX6" s="288">
        <f>KeyInputs!BA6</f>
        <v>40</v>
      </c>
      <c r="AY6" s="288">
        <f>KeyInputs!BB6</f>
        <v>41</v>
      </c>
      <c r="AZ6" s="288">
        <f>KeyInputs!BC6</f>
        <v>42</v>
      </c>
      <c r="BA6" s="288">
        <f>KeyInputs!BD6</f>
        <v>43</v>
      </c>
      <c r="BB6" s="288">
        <f>KeyInputs!BE6</f>
        <v>44</v>
      </c>
      <c r="BC6" s="288">
        <f>KeyInputs!BF6</f>
        <v>45</v>
      </c>
      <c r="BD6" s="288">
        <f>KeyInputs!BG6</f>
        <v>46</v>
      </c>
      <c r="BE6" s="288">
        <f>KeyInputs!BH6</f>
        <v>47</v>
      </c>
      <c r="BF6" s="288">
        <f>KeyInputs!BI6</f>
        <v>48</v>
      </c>
      <c r="BG6" s="288">
        <f>KeyInputs!BJ6</f>
        <v>49</v>
      </c>
      <c r="BH6" s="288">
        <f>KeyInputs!BK6</f>
        <v>50</v>
      </c>
      <c r="BI6" s="288">
        <f>KeyInputs!BL6</f>
        <v>51</v>
      </c>
      <c r="BJ6" s="288">
        <f>KeyInputs!BM6</f>
        <v>52</v>
      </c>
      <c r="BK6" s="288">
        <f>KeyInputs!BN6</f>
        <v>53</v>
      </c>
      <c r="BL6" s="288">
        <f>KeyInputs!BO6</f>
        <v>54</v>
      </c>
      <c r="BM6" s="288">
        <f>KeyInputs!BP6</f>
        <v>55</v>
      </c>
      <c r="BN6" s="288">
        <f>KeyInputs!BQ6</f>
        <v>56</v>
      </c>
      <c r="BO6" s="288">
        <f>KeyInputs!BR6</f>
        <v>57</v>
      </c>
      <c r="BP6" s="288">
        <f>KeyInputs!BS6</f>
        <v>58</v>
      </c>
      <c r="BQ6" s="288">
        <f>KeyInputs!BT6</f>
        <v>59</v>
      </c>
      <c r="BR6" s="288">
        <f>KeyInputs!BU6</f>
        <v>60</v>
      </c>
    </row>
    <row r="7" spans="1:78" s="288" customFormat="1" ht="13.2" x14ac:dyDescent="0.25">
      <c r="A7" s="285"/>
      <c r="B7" s="285"/>
      <c r="C7" s="285"/>
      <c r="D7" s="287" t="str">
        <f>KeyInputs!D7</f>
        <v>Period starts</v>
      </c>
      <c r="E7" s="289">
        <f>KeyInputs!H7</f>
        <v>42005</v>
      </c>
      <c r="F7" s="289">
        <f>KeyInputs!I7</f>
        <v>42370</v>
      </c>
      <c r="G7" s="289">
        <f>KeyInputs!J7</f>
        <v>42736</v>
      </c>
      <c r="H7" s="289">
        <f>KeyInputs!K7</f>
        <v>43101</v>
      </c>
      <c r="I7" s="289">
        <f>KeyInputs!L7</f>
        <v>43466</v>
      </c>
      <c r="J7" s="285"/>
      <c r="K7" s="289">
        <f>KeyInputs!N7</f>
        <v>42005</v>
      </c>
      <c r="L7" s="289">
        <f>KeyInputs!O7</f>
        <v>42036</v>
      </c>
      <c r="M7" s="289">
        <f>KeyInputs!P7</f>
        <v>42064</v>
      </c>
      <c r="N7" s="289">
        <f>KeyInputs!Q7</f>
        <v>42095</v>
      </c>
      <c r="O7" s="289">
        <f>KeyInputs!R7</f>
        <v>42125</v>
      </c>
      <c r="P7" s="289">
        <f>KeyInputs!S7</f>
        <v>42156</v>
      </c>
      <c r="Q7" s="289">
        <f>KeyInputs!T7</f>
        <v>42186</v>
      </c>
      <c r="R7" s="289">
        <f>KeyInputs!U7</f>
        <v>42217</v>
      </c>
      <c r="S7" s="289">
        <f>KeyInputs!V7</f>
        <v>42248</v>
      </c>
      <c r="T7" s="289">
        <f>KeyInputs!W7</f>
        <v>42278</v>
      </c>
      <c r="U7" s="289">
        <f>KeyInputs!X7</f>
        <v>42309</v>
      </c>
      <c r="V7" s="289">
        <f>KeyInputs!Y7</f>
        <v>42339</v>
      </c>
      <c r="W7" s="289">
        <f>KeyInputs!Z7</f>
        <v>42370</v>
      </c>
      <c r="X7" s="289">
        <f>KeyInputs!AA7</f>
        <v>42401</v>
      </c>
      <c r="Y7" s="289">
        <f>KeyInputs!AB7</f>
        <v>42430</v>
      </c>
      <c r="Z7" s="289">
        <f>KeyInputs!AC7</f>
        <v>42461</v>
      </c>
      <c r="AA7" s="289">
        <f>KeyInputs!AD7</f>
        <v>42491</v>
      </c>
      <c r="AB7" s="289">
        <f>KeyInputs!AE7</f>
        <v>42522</v>
      </c>
      <c r="AC7" s="289">
        <f>KeyInputs!AF7</f>
        <v>42552</v>
      </c>
      <c r="AD7" s="289">
        <f>KeyInputs!AG7</f>
        <v>42583</v>
      </c>
      <c r="AE7" s="289">
        <f>KeyInputs!AH7</f>
        <v>42614</v>
      </c>
      <c r="AF7" s="289">
        <f>KeyInputs!AI7</f>
        <v>42644</v>
      </c>
      <c r="AG7" s="289">
        <f>KeyInputs!AJ7</f>
        <v>42675</v>
      </c>
      <c r="AH7" s="289">
        <f>KeyInputs!AK7</f>
        <v>42705</v>
      </c>
      <c r="AI7" s="289">
        <f>KeyInputs!AL7</f>
        <v>42736</v>
      </c>
      <c r="AJ7" s="289">
        <f>KeyInputs!AM7</f>
        <v>42767</v>
      </c>
      <c r="AK7" s="289">
        <f>KeyInputs!AN7</f>
        <v>42795</v>
      </c>
      <c r="AL7" s="289">
        <f>KeyInputs!AO7</f>
        <v>42826</v>
      </c>
      <c r="AM7" s="289">
        <f>KeyInputs!AP7</f>
        <v>42856</v>
      </c>
      <c r="AN7" s="289">
        <f>KeyInputs!AQ7</f>
        <v>42887</v>
      </c>
      <c r="AO7" s="289">
        <f>KeyInputs!AR7</f>
        <v>42917</v>
      </c>
      <c r="AP7" s="289">
        <f>KeyInputs!AS7</f>
        <v>42948</v>
      </c>
      <c r="AQ7" s="289">
        <f>KeyInputs!AT7</f>
        <v>42979</v>
      </c>
      <c r="AR7" s="289">
        <f>KeyInputs!AU7</f>
        <v>43009</v>
      </c>
      <c r="AS7" s="289">
        <f>KeyInputs!AV7</f>
        <v>43040</v>
      </c>
      <c r="AT7" s="289">
        <f>KeyInputs!AW7</f>
        <v>43070</v>
      </c>
      <c r="AU7" s="289">
        <f>KeyInputs!AX7</f>
        <v>43101</v>
      </c>
      <c r="AV7" s="289">
        <f>KeyInputs!AY7</f>
        <v>43132</v>
      </c>
      <c r="AW7" s="289">
        <f>KeyInputs!AZ7</f>
        <v>43160</v>
      </c>
      <c r="AX7" s="289">
        <f>KeyInputs!BA7</f>
        <v>43191</v>
      </c>
      <c r="AY7" s="289">
        <f>KeyInputs!BB7</f>
        <v>43221</v>
      </c>
      <c r="AZ7" s="289">
        <f>KeyInputs!BC7</f>
        <v>43252</v>
      </c>
      <c r="BA7" s="289">
        <f>KeyInputs!BD7</f>
        <v>43282</v>
      </c>
      <c r="BB7" s="289">
        <f>KeyInputs!BE7</f>
        <v>43313</v>
      </c>
      <c r="BC7" s="289">
        <f>KeyInputs!BF7</f>
        <v>43344</v>
      </c>
      <c r="BD7" s="289">
        <f>KeyInputs!BG7</f>
        <v>43374</v>
      </c>
      <c r="BE7" s="289">
        <f>KeyInputs!BH7</f>
        <v>43405</v>
      </c>
      <c r="BF7" s="289">
        <f>KeyInputs!BI7</f>
        <v>43435</v>
      </c>
      <c r="BG7" s="289">
        <f>KeyInputs!BJ7</f>
        <v>43466</v>
      </c>
      <c r="BH7" s="289">
        <f>KeyInputs!BK7</f>
        <v>43497</v>
      </c>
      <c r="BI7" s="289">
        <f>KeyInputs!BL7</f>
        <v>43525</v>
      </c>
      <c r="BJ7" s="289">
        <f>KeyInputs!BM7</f>
        <v>43556</v>
      </c>
      <c r="BK7" s="289">
        <f>KeyInputs!BN7</f>
        <v>43586</v>
      </c>
      <c r="BL7" s="289">
        <f>KeyInputs!BO7</f>
        <v>43617</v>
      </c>
      <c r="BM7" s="289">
        <f>KeyInputs!BP7</f>
        <v>43647</v>
      </c>
      <c r="BN7" s="289">
        <f>KeyInputs!BQ7</f>
        <v>43678</v>
      </c>
      <c r="BO7" s="289">
        <f>KeyInputs!BR7</f>
        <v>43709</v>
      </c>
      <c r="BP7" s="289">
        <f>KeyInputs!BS7</f>
        <v>43739</v>
      </c>
      <c r="BQ7" s="289">
        <f>KeyInputs!BT7</f>
        <v>43770</v>
      </c>
      <c r="BR7" s="289">
        <f>KeyInputs!BU7</f>
        <v>43800</v>
      </c>
    </row>
    <row r="8" spans="1:78" s="292" customFormat="1" ht="13.2" x14ac:dyDescent="0.25">
      <c r="A8" s="290"/>
      <c r="B8" s="291" t="str">
        <f ca="1">IF($C$12=0,"All checks are OK","There are "&amp;$C$12&amp;" error/errors")</f>
        <v>All checks are OK</v>
      </c>
      <c r="C8" s="290"/>
      <c r="D8" s="287" t="str">
        <f>KeyInputs!D8</f>
        <v>Period ends</v>
      </c>
      <c r="E8" s="289">
        <f>KeyInputs!H8</f>
        <v>42369</v>
      </c>
      <c r="F8" s="289">
        <f>KeyInputs!I8</f>
        <v>42735</v>
      </c>
      <c r="G8" s="289">
        <f>KeyInputs!J8</f>
        <v>43100</v>
      </c>
      <c r="H8" s="289">
        <f>KeyInputs!K8</f>
        <v>43465</v>
      </c>
      <c r="I8" s="289">
        <f>KeyInputs!L8</f>
        <v>43830</v>
      </c>
      <c r="J8" s="285"/>
      <c r="K8" s="289">
        <f>KeyInputs!N8</f>
        <v>42035</v>
      </c>
      <c r="L8" s="289">
        <f>KeyInputs!O8</f>
        <v>42063</v>
      </c>
      <c r="M8" s="289">
        <f>KeyInputs!P8</f>
        <v>42094</v>
      </c>
      <c r="N8" s="289">
        <f>KeyInputs!Q8</f>
        <v>42124</v>
      </c>
      <c r="O8" s="289">
        <f>KeyInputs!R8</f>
        <v>42155</v>
      </c>
      <c r="P8" s="289">
        <f>KeyInputs!S8</f>
        <v>42185</v>
      </c>
      <c r="Q8" s="289">
        <f>KeyInputs!T8</f>
        <v>42216</v>
      </c>
      <c r="R8" s="289">
        <f>KeyInputs!U8</f>
        <v>42247</v>
      </c>
      <c r="S8" s="289">
        <f>KeyInputs!V8</f>
        <v>42277</v>
      </c>
      <c r="T8" s="289">
        <f>KeyInputs!W8</f>
        <v>42308</v>
      </c>
      <c r="U8" s="289">
        <f>KeyInputs!X8</f>
        <v>42338</v>
      </c>
      <c r="V8" s="289">
        <f>KeyInputs!Y8</f>
        <v>42369</v>
      </c>
      <c r="W8" s="289">
        <f>KeyInputs!Z8</f>
        <v>42400</v>
      </c>
      <c r="X8" s="289">
        <f>KeyInputs!AA8</f>
        <v>42429</v>
      </c>
      <c r="Y8" s="289">
        <f>KeyInputs!AB8</f>
        <v>42460</v>
      </c>
      <c r="Z8" s="289">
        <f>KeyInputs!AC8</f>
        <v>42490</v>
      </c>
      <c r="AA8" s="289">
        <f>KeyInputs!AD8</f>
        <v>42521</v>
      </c>
      <c r="AB8" s="289">
        <f>KeyInputs!AE8</f>
        <v>42551</v>
      </c>
      <c r="AC8" s="289">
        <f>KeyInputs!AF8</f>
        <v>42582</v>
      </c>
      <c r="AD8" s="289">
        <f>KeyInputs!AG8</f>
        <v>42613</v>
      </c>
      <c r="AE8" s="289">
        <f>KeyInputs!AH8</f>
        <v>42643</v>
      </c>
      <c r="AF8" s="289">
        <f>KeyInputs!AI8</f>
        <v>42674</v>
      </c>
      <c r="AG8" s="289">
        <f>KeyInputs!AJ8</f>
        <v>42704</v>
      </c>
      <c r="AH8" s="289">
        <f>KeyInputs!AK8</f>
        <v>42735</v>
      </c>
      <c r="AI8" s="289">
        <f>KeyInputs!AL8</f>
        <v>42766</v>
      </c>
      <c r="AJ8" s="289">
        <f>KeyInputs!AM8</f>
        <v>42794</v>
      </c>
      <c r="AK8" s="289">
        <f>KeyInputs!AN8</f>
        <v>42825</v>
      </c>
      <c r="AL8" s="289">
        <f>KeyInputs!AO8</f>
        <v>42855</v>
      </c>
      <c r="AM8" s="289">
        <f>KeyInputs!AP8</f>
        <v>42886</v>
      </c>
      <c r="AN8" s="289">
        <f>KeyInputs!AQ8</f>
        <v>42916</v>
      </c>
      <c r="AO8" s="289">
        <f>KeyInputs!AR8</f>
        <v>42947</v>
      </c>
      <c r="AP8" s="289">
        <f>KeyInputs!AS8</f>
        <v>42978</v>
      </c>
      <c r="AQ8" s="289">
        <f>KeyInputs!AT8</f>
        <v>43008</v>
      </c>
      <c r="AR8" s="289">
        <f>KeyInputs!AU8</f>
        <v>43039</v>
      </c>
      <c r="AS8" s="289">
        <f>KeyInputs!AV8</f>
        <v>43069</v>
      </c>
      <c r="AT8" s="289">
        <f>KeyInputs!AW8</f>
        <v>43100</v>
      </c>
      <c r="AU8" s="289">
        <f>KeyInputs!AX8</f>
        <v>43131</v>
      </c>
      <c r="AV8" s="289">
        <f>KeyInputs!AY8</f>
        <v>43159</v>
      </c>
      <c r="AW8" s="289">
        <f>KeyInputs!AZ8</f>
        <v>43190</v>
      </c>
      <c r="AX8" s="289">
        <f>KeyInputs!BA8</f>
        <v>43220</v>
      </c>
      <c r="AY8" s="289">
        <f>KeyInputs!BB8</f>
        <v>43251</v>
      </c>
      <c r="AZ8" s="289">
        <f>KeyInputs!BC8</f>
        <v>43281</v>
      </c>
      <c r="BA8" s="289">
        <f>KeyInputs!BD8</f>
        <v>43312</v>
      </c>
      <c r="BB8" s="289">
        <f>KeyInputs!BE8</f>
        <v>43343</v>
      </c>
      <c r="BC8" s="289">
        <f>KeyInputs!BF8</f>
        <v>43373</v>
      </c>
      <c r="BD8" s="289">
        <f>KeyInputs!BG8</f>
        <v>43404</v>
      </c>
      <c r="BE8" s="289">
        <f>KeyInputs!BH8</f>
        <v>43434</v>
      </c>
      <c r="BF8" s="289">
        <f>KeyInputs!BI8</f>
        <v>43465</v>
      </c>
      <c r="BG8" s="289">
        <f>KeyInputs!BJ8</f>
        <v>43496</v>
      </c>
      <c r="BH8" s="289">
        <f>KeyInputs!BK8</f>
        <v>43524</v>
      </c>
      <c r="BI8" s="289">
        <f>KeyInputs!BL8</f>
        <v>43555</v>
      </c>
      <c r="BJ8" s="289">
        <f>KeyInputs!BM8</f>
        <v>43585</v>
      </c>
      <c r="BK8" s="289">
        <f>KeyInputs!BN8</f>
        <v>43616</v>
      </c>
      <c r="BL8" s="289">
        <f>KeyInputs!BO8</f>
        <v>43646</v>
      </c>
      <c r="BM8" s="289">
        <f>KeyInputs!BP8</f>
        <v>43677</v>
      </c>
      <c r="BN8" s="289">
        <f>KeyInputs!BQ8</f>
        <v>43708</v>
      </c>
      <c r="BO8" s="289">
        <f>KeyInputs!BR8</f>
        <v>43738</v>
      </c>
      <c r="BP8" s="289">
        <f>KeyInputs!BS8</f>
        <v>43769</v>
      </c>
      <c r="BQ8" s="289">
        <f>KeyInputs!BT8</f>
        <v>43799</v>
      </c>
      <c r="BR8" s="289">
        <f>KeyInputs!BU8</f>
        <v>43830</v>
      </c>
      <c r="BS8" s="288"/>
      <c r="BT8" s="288"/>
      <c r="BU8" s="288"/>
      <c r="BV8" s="288"/>
      <c r="BW8" s="288"/>
      <c r="BX8" s="288"/>
      <c r="BY8" s="288"/>
      <c r="BZ8" s="288"/>
    </row>
    <row r="10" spans="1:78" s="142" customFormat="1" ht="15.6" x14ac:dyDescent="0.3">
      <c r="A10" s="142">
        <f>Header1</f>
        <v>1</v>
      </c>
      <c r="B10" s="142" t="s">
        <v>328</v>
      </c>
    </row>
    <row r="12" spans="1:78" x14ac:dyDescent="0.3">
      <c r="B12" t="s">
        <v>328</v>
      </c>
      <c r="C12" s="254">
        <f ca="1">SUM(C17,C19)</f>
        <v>0</v>
      </c>
    </row>
    <row r="15" spans="1:78" s="142" customFormat="1" ht="15.6" x14ac:dyDescent="0.3">
      <c r="A15" s="142">
        <f>Header1</f>
        <v>2</v>
      </c>
      <c r="B15" s="142" t="s">
        <v>329</v>
      </c>
    </row>
    <row r="17" spans="2:70" x14ac:dyDescent="0.3">
      <c r="B17" t="s">
        <v>332</v>
      </c>
      <c r="C17" s="253">
        <f>KeyInputs!G145</f>
        <v>0</v>
      </c>
    </row>
    <row r="19" spans="2:70" x14ac:dyDescent="0.3">
      <c r="B19" t="s">
        <v>330</v>
      </c>
      <c r="C19" s="253">
        <f ca="1">SUM(E19:I19,K19:BR19)</f>
        <v>0</v>
      </c>
      <c r="E19" s="253">
        <f ca="1">'Outputs - BalanceSheet'!E46</f>
        <v>0</v>
      </c>
      <c r="F19" s="253">
        <f ca="1">'Outputs - BalanceSheet'!F46</f>
        <v>0</v>
      </c>
      <c r="G19" s="253">
        <f ca="1">'Outputs - BalanceSheet'!G46</f>
        <v>0</v>
      </c>
      <c r="H19" s="253">
        <f ca="1">'Outputs - BalanceSheet'!H46</f>
        <v>0</v>
      </c>
      <c r="I19" s="253">
        <f ca="1">'Outputs - BalanceSheet'!I46</f>
        <v>0</v>
      </c>
      <c r="J19" s="253"/>
      <c r="K19" s="253">
        <f ca="1">'Outputs - BalanceSheet'!K46</f>
        <v>0</v>
      </c>
      <c r="L19" s="253">
        <f ca="1">'Outputs - BalanceSheet'!L46</f>
        <v>0</v>
      </c>
      <c r="M19" s="253">
        <f ca="1">'Outputs - BalanceSheet'!M46</f>
        <v>0</v>
      </c>
      <c r="N19" s="253">
        <f ca="1">'Outputs - BalanceSheet'!N46</f>
        <v>0</v>
      </c>
      <c r="O19" s="253">
        <f ca="1">'Outputs - BalanceSheet'!O46</f>
        <v>0</v>
      </c>
      <c r="P19" s="253">
        <f ca="1">'Outputs - BalanceSheet'!P46</f>
        <v>0</v>
      </c>
      <c r="Q19" s="253">
        <f ca="1">'Outputs - BalanceSheet'!Q46</f>
        <v>0</v>
      </c>
      <c r="R19" s="253">
        <f ca="1">'Outputs - BalanceSheet'!R46</f>
        <v>0</v>
      </c>
      <c r="S19" s="253">
        <f ca="1">'Outputs - BalanceSheet'!S46</f>
        <v>0</v>
      </c>
      <c r="T19" s="253">
        <f ca="1">'Outputs - BalanceSheet'!T46</f>
        <v>0</v>
      </c>
      <c r="U19" s="253">
        <f ca="1">'Outputs - BalanceSheet'!U46</f>
        <v>0</v>
      </c>
      <c r="V19" s="253">
        <f ca="1">'Outputs - BalanceSheet'!V46</f>
        <v>0</v>
      </c>
      <c r="W19" s="253">
        <f ca="1">'Outputs - BalanceSheet'!W46</f>
        <v>0</v>
      </c>
      <c r="X19" s="253">
        <f ca="1">'Outputs - BalanceSheet'!X46</f>
        <v>0</v>
      </c>
      <c r="Y19" s="253">
        <f ca="1">'Outputs - BalanceSheet'!Y46</f>
        <v>0</v>
      </c>
      <c r="Z19" s="253">
        <f ca="1">'Outputs - BalanceSheet'!Z46</f>
        <v>0</v>
      </c>
      <c r="AA19" s="253">
        <f ca="1">'Outputs - BalanceSheet'!AA46</f>
        <v>0</v>
      </c>
      <c r="AB19" s="253">
        <f ca="1">'Outputs - BalanceSheet'!AB46</f>
        <v>0</v>
      </c>
      <c r="AC19" s="253">
        <f ca="1">'Outputs - BalanceSheet'!AC46</f>
        <v>0</v>
      </c>
      <c r="AD19" s="253">
        <f ca="1">'Outputs - BalanceSheet'!AD46</f>
        <v>0</v>
      </c>
      <c r="AE19" s="253">
        <f ca="1">'Outputs - BalanceSheet'!AE46</f>
        <v>0</v>
      </c>
      <c r="AF19" s="253">
        <f ca="1">'Outputs - BalanceSheet'!AF46</f>
        <v>0</v>
      </c>
      <c r="AG19" s="253">
        <f ca="1">'Outputs - BalanceSheet'!AG46</f>
        <v>0</v>
      </c>
      <c r="AH19" s="253">
        <f ca="1">'Outputs - BalanceSheet'!AH46</f>
        <v>0</v>
      </c>
      <c r="AI19" s="253">
        <f ca="1">'Outputs - BalanceSheet'!AI46</f>
        <v>0</v>
      </c>
      <c r="AJ19" s="253">
        <f ca="1">'Outputs - BalanceSheet'!AJ46</f>
        <v>0</v>
      </c>
      <c r="AK19" s="253">
        <f ca="1">'Outputs - BalanceSheet'!AK46</f>
        <v>0</v>
      </c>
      <c r="AL19" s="253">
        <f ca="1">'Outputs - BalanceSheet'!AL46</f>
        <v>0</v>
      </c>
      <c r="AM19" s="253">
        <f ca="1">'Outputs - BalanceSheet'!AM46</f>
        <v>0</v>
      </c>
      <c r="AN19" s="253">
        <f ca="1">'Outputs - BalanceSheet'!AN46</f>
        <v>0</v>
      </c>
      <c r="AO19" s="253">
        <f ca="1">'Outputs - BalanceSheet'!AO46</f>
        <v>0</v>
      </c>
      <c r="AP19" s="253">
        <f ca="1">'Outputs - BalanceSheet'!AP46</f>
        <v>0</v>
      </c>
      <c r="AQ19" s="253">
        <f ca="1">'Outputs - BalanceSheet'!AQ46</f>
        <v>0</v>
      </c>
      <c r="AR19" s="253">
        <f ca="1">'Outputs - BalanceSheet'!AR46</f>
        <v>0</v>
      </c>
      <c r="AS19" s="253">
        <f ca="1">'Outputs - BalanceSheet'!AS46</f>
        <v>0</v>
      </c>
      <c r="AT19" s="253">
        <f ca="1">'Outputs - BalanceSheet'!AT46</f>
        <v>0</v>
      </c>
      <c r="AU19" s="253">
        <f ca="1">'Outputs - BalanceSheet'!AU46</f>
        <v>0</v>
      </c>
      <c r="AV19" s="253">
        <f ca="1">'Outputs - BalanceSheet'!AV46</f>
        <v>0</v>
      </c>
      <c r="AW19" s="253">
        <f ca="1">'Outputs - BalanceSheet'!AW46</f>
        <v>0</v>
      </c>
      <c r="AX19" s="253">
        <f ca="1">'Outputs - BalanceSheet'!AX46</f>
        <v>0</v>
      </c>
      <c r="AY19" s="253">
        <f ca="1">'Outputs - BalanceSheet'!AY46</f>
        <v>0</v>
      </c>
      <c r="AZ19" s="253">
        <f ca="1">'Outputs - BalanceSheet'!AZ46</f>
        <v>0</v>
      </c>
      <c r="BA19" s="253">
        <f ca="1">'Outputs - BalanceSheet'!BA46</f>
        <v>0</v>
      </c>
      <c r="BB19" s="253">
        <f ca="1">'Outputs - BalanceSheet'!BB46</f>
        <v>0</v>
      </c>
      <c r="BC19" s="253">
        <f ca="1">'Outputs - BalanceSheet'!BC46</f>
        <v>0</v>
      </c>
      <c r="BD19" s="253">
        <f ca="1">'Outputs - BalanceSheet'!BD46</f>
        <v>0</v>
      </c>
      <c r="BE19" s="253">
        <f ca="1">'Outputs - BalanceSheet'!BE46</f>
        <v>0</v>
      </c>
      <c r="BF19" s="253">
        <f ca="1">'Outputs - BalanceSheet'!BF46</f>
        <v>0</v>
      </c>
      <c r="BG19" s="253">
        <f ca="1">'Outputs - BalanceSheet'!BG46</f>
        <v>0</v>
      </c>
      <c r="BH19" s="253">
        <f ca="1">'Outputs - BalanceSheet'!BH46</f>
        <v>0</v>
      </c>
      <c r="BI19" s="253">
        <f ca="1">'Outputs - BalanceSheet'!BI46</f>
        <v>0</v>
      </c>
      <c r="BJ19" s="253">
        <f ca="1">'Outputs - BalanceSheet'!BJ46</f>
        <v>0</v>
      </c>
      <c r="BK19" s="253">
        <f ca="1">'Outputs - BalanceSheet'!BK46</f>
        <v>0</v>
      </c>
      <c r="BL19" s="253">
        <f ca="1">'Outputs - BalanceSheet'!BL46</f>
        <v>0</v>
      </c>
      <c r="BM19" s="253">
        <f ca="1">'Outputs - BalanceSheet'!BM46</f>
        <v>0</v>
      </c>
      <c r="BN19" s="253">
        <f ca="1">'Outputs - BalanceSheet'!BN46</f>
        <v>0</v>
      </c>
      <c r="BO19" s="253">
        <f ca="1">'Outputs - BalanceSheet'!BO46</f>
        <v>0</v>
      </c>
      <c r="BP19" s="253">
        <f ca="1">'Outputs - BalanceSheet'!BP46</f>
        <v>0</v>
      </c>
      <c r="BQ19" s="253">
        <f ca="1">'Outputs - BalanceSheet'!BQ46</f>
        <v>0</v>
      </c>
      <c r="BR19" s="253">
        <f ca="1">'Outputs - BalanceSheet'!BR46</f>
        <v>0</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16</vt:i4>
      </vt:variant>
    </vt:vector>
  </HeadingPairs>
  <TitlesOfParts>
    <vt:vector size="55" baseType="lpstr">
      <vt:lpstr>Key Inputs</vt:lpstr>
      <vt:lpstr>Disclaimer</vt:lpstr>
      <vt:lpstr>Outputs - Summary</vt:lpstr>
      <vt:lpstr>Outputs - P&amp;L</vt:lpstr>
      <vt:lpstr>Outputs - BalanceSheet</vt:lpstr>
      <vt:lpstr>Outputs - Cashflow</vt:lpstr>
      <vt:lpstr>Outputs - Sensitivities</vt:lpstr>
      <vt:lpstr>Key Ratios</vt:lpstr>
      <vt:lpstr>KeyInputs</vt:lpstr>
      <vt:lpstr>Inputs - Sensitivities</vt:lpstr>
      <vt:lpstr>Worksheet</vt:lpstr>
      <vt:lpstr>Prod Sales</vt:lpstr>
      <vt:lpstr>Sales Assumptions</vt:lpstr>
      <vt:lpstr>Sales (UK)</vt:lpstr>
      <vt:lpstr>Sales (OS)</vt:lpstr>
      <vt:lpstr>Revenue</vt:lpstr>
      <vt:lpstr>Work 1</vt:lpstr>
      <vt:lpstr>Work 2</vt:lpstr>
      <vt:lpstr>Work 3</vt:lpstr>
      <vt:lpstr>Work 4</vt:lpstr>
      <vt:lpstr>Work 5</vt:lpstr>
      <vt:lpstr>Work 6</vt:lpstr>
      <vt:lpstr>Work 7</vt:lpstr>
      <vt:lpstr>Work 8</vt:lpstr>
      <vt:lpstr>Work 9</vt:lpstr>
      <vt:lpstr>Other income</vt:lpstr>
      <vt:lpstr>VariableCosts</vt:lpstr>
      <vt:lpstr>WorkingCapital</vt:lpstr>
      <vt:lpstr>StaffCosts</vt:lpstr>
      <vt:lpstr>CentralCosts</vt:lpstr>
      <vt:lpstr>Capex</vt:lpstr>
      <vt:lpstr>GrantIncome</vt:lpstr>
      <vt:lpstr>Existing Debt</vt:lpstr>
      <vt:lpstr>EquityFinancing</vt:lpstr>
      <vt:lpstr>DebtFinancing</vt:lpstr>
      <vt:lpstr>Ratios</vt:lpstr>
      <vt:lpstr>TAX</vt:lpstr>
      <vt:lpstr>Dividends</vt:lpstr>
      <vt:lpstr>Check</vt:lpstr>
      <vt:lpstr>'Other income'!CentralCosts</vt:lpstr>
      <vt:lpstr>CentralCosts</vt:lpstr>
      <vt:lpstr>CentralStaff</vt:lpstr>
      <vt:lpstr>EquityFinancing!GrantRec</vt:lpstr>
      <vt:lpstr>Months1</vt:lpstr>
      <vt:lpstr>'Outputs - BalanceSheet'!Print_Area</vt:lpstr>
      <vt:lpstr>'Outputs - Cashflow'!Print_Area</vt:lpstr>
      <vt:lpstr>'Outputs - P&amp;L'!Print_Area</vt:lpstr>
      <vt:lpstr>'Outputs - Sensitivities'!Print_Area</vt:lpstr>
      <vt:lpstr>'Outputs - Summary'!Print_Area</vt:lpstr>
      <vt:lpstr>RevBusLine1</vt:lpstr>
      <vt:lpstr>RevBusLine2</vt:lpstr>
      <vt:lpstr>RevBusLine3</vt:lpstr>
      <vt:lpstr>StaffCosts</vt:lpstr>
      <vt:lpstr>Tolerance</vt:lpstr>
      <vt:lpstr>unit</vt:lpstr>
    </vt:vector>
  </TitlesOfParts>
  <Company>UnLtd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unltd-user</dc:creator>
  <cp:lastModifiedBy>Tim Lages</cp:lastModifiedBy>
  <cp:lastPrinted>2012-06-18T16:19:26Z</cp:lastPrinted>
  <dcterms:created xsi:type="dcterms:W3CDTF">2010-03-17T11:25:15Z</dcterms:created>
  <dcterms:modified xsi:type="dcterms:W3CDTF">2025-10-23T12:55:20Z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Name">
    <vt:lpwstr/>
  </property>
</Properties>
</file>