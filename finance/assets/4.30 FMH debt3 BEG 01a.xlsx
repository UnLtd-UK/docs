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E50181FB-9BA4-4869-8B30-DAB6311ACC05}" xr6:coauthVersionLast="47" xr6:coauthVersionMax="47" xr10:uidLastSave="{00000000-0000-0000-0000-000000000000}"/>
  <bookViews>
    <workbookView xWindow="-98" yWindow="277" windowWidth="26116" windowHeight="16020" tabRatio="810" activeTab="4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definedNames>
    <definedName name="BaseCaseIndicator">InpC!$J$7:$S$7</definedName>
    <definedName name="CASE_ACTIVE">InpC!$F$4</definedName>
    <definedName name="CHK_TOL">InpC!$F$67</definedName>
    <definedName name="InputRowTemplate">InpC!$E$82:$S$82</definedName>
    <definedName name="InputStored">InpC!$J$3:$S$3</definedName>
    <definedName name="OutputRowTemplate">Output!$E$67:$AA$67</definedName>
    <definedName name="SMU">InpC!$F$70</definedName>
    <definedName name="TrackActive">Output!$H$5</definedName>
    <definedName name="TrackLiveResults">Output!$H$6:$H$74</definedName>
    <definedName name="TrackStoredResults">Output!$M$5:$AA$5</definedName>
    <definedName name="TRK_TOL">InpC!$F$66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287" l="1"/>
  <c r="E21" i="287"/>
  <c r="G10" i="287"/>
  <c r="E10" i="287"/>
  <c r="E38" i="287"/>
  <c r="F38" i="287"/>
  <c r="I38" i="287"/>
  <c r="F36" i="265"/>
  <c r="F46" i="269" s="1"/>
  <c r="I36" i="265"/>
  <c r="G26" i="287"/>
  <c r="G36" i="265" s="1"/>
  <c r="G36" i="277" s="1"/>
  <c r="E26" i="287"/>
  <c r="E36" i="265" s="1"/>
  <c r="E36" i="277" s="1"/>
  <c r="G25" i="287"/>
  <c r="G38" i="287" s="1"/>
  <c r="E22" i="287"/>
  <c r="F22" i="287"/>
  <c r="I22" i="287"/>
  <c r="E18" i="287"/>
  <c r="F18" i="287"/>
  <c r="G18" i="287"/>
  <c r="I18" i="287"/>
  <c r="G16" i="287"/>
  <c r="E16" i="287"/>
  <c r="E15" i="287"/>
  <c r="G19" i="287"/>
  <c r="G22" i="287" s="1"/>
  <c r="G17" i="287"/>
  <c r="F17" i="287"/>
  <c r="E17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34" i="287"/>
  <c r="G12" i="287"/>
  <c r="G34" i="287" s="1"/>
  <c r="E11" i="287"/>
  <c r="G39" i="287"/>
  <c r="G70" i="265" s="1"/>
  <c r="G70" i="277" s="1"/>
  <c r="J37" i="287"/>
  <c r="G37" i="287"/>
  <c r="I35" i="287"/>
  <c r="G35" i="287"/>
  <c r="F35" i="287"/>
  <c r="E35" i="287"/>
  <c r="E5" i="287"/>
  <c r="F4" i="287"/>
  <c r="E4" i="287"/>
  <c r="E3" i="287"/>
  <c r="E2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F69" i="277"/>
  <c r="E69" i="277"/>
  <c r="G67" i="277"/>
  <c r="G80" i="277" s="1"/>
  <c r="G65" i="277"/>
  <c r="F64" i="277"/>
  <c r="E64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39" i="280" s="1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G76" i="281" s="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0" i="48"/>
  <c r="G59" i="48"/>
  <c r="G20" i="282" s="1"/>
  <c r="G58" i="48"/>
  <c r="G118" i="281" s="1"/>
  <c r="G57" i="48"/>
  <c r="G56" i="48"/>
  <c r="G46" i="280" s="1"/>
  <c r="G55" i="48"/>
  <c r="G35" i="280" s="1"/>
  <c r="G37" i="48"/>
  <c r="G93" i="281" s="1"/>
  <c r="F6" i="48"/>
  <c r="M7" i="48" s="1"/>
  <c r="I5" i="48"/>
  <c r="I4" i="48"/>
  <c r="F52" i="48" s="1"/>
  <c r="F104" i="281" s="1"/>
  <c r="F3" i="48"/>
  <c r="A1" i="287" s="1"/>
  <c r="R2" i="48"/>
  <c r="Q2" i="48"/>
  <c r="P2" i="48"/>
  <c r="O2" i="48"/>
  <c r="M2" i="48"/>
  <c r="L2" i="48"/>
  <c r="K2" i="48"/>
  <c r="A1" i="48"/>
  <c r="F46" i="48" l="1"/>
  <c r="F47" i="48"/>
  <c r="G50" i="280"/>
  <c r="G58" i="280"/>
  <c r="F36" i="277"/>
  <c r="G15" i="287"/>
  <c r="G12" i="280"/>
  <c r="G11" i="287"/>
  <c r="G11" i="280"/>
  <c r="F45" i="48"/>
  <c r="K10" i="273"/>
  <c r="J5" i="287"/>
  <c r="J5" i="273"/>
  <c r="G11" i="282"/>
  <c r="G15" i="286"/>
  <c r="E52" i="265"/>
  <c r="E51" i="277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45" i="269"/>
  <c r="J45" i="269" s="1"/>
  <c r="K50" i="269"/>
  <c r="J50" i="269" s="1"/>
  <c r="K54" i="269"/>
  <c r="L54" i="269" s="1"/>
  <c r="K56" i="269"/>
  <c r="J56" i="269" s="1"/>
  <c r="F41" i="48"/>
  <c r="K26" i="269"/>
  <c r="J26" i="269" s="1"/>
  <c r="K28" i="269"/>
  <c r="J28" i="269" s="1"/>
  <c r="K42" i="269"/>
  <c r="J42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F60" i="48"/>
  <c r="F59" i="48"/>
  <c r="F58" i="48"/>
  <c r="F118" i="281" s="1"/>
  <c r="F57" i="48"/>
  <c r="F56" i="48"/>
  <c r="F46" i="280" s="1"/>
  <c r="F55" i="48"/>
  <c r="F35" i="280" s="1"/>
  <c r="F51" i="48"/>
  <c r="A1" i="264"/>
  <c r="H3" i="269"/>
  <c r="A1" i="269"/>
  <c r="A1" i="277"/>
  <c r="A1" i="286"/>
  <c r="A1" i="281"/>
  <c r="A1" i="273"/>
  <c r="A1" i="275"/>
  <c r="A1" i="265"/>
  <c r="A1" i="280"/>
  <c r="A1" i="282"/>
  <c r="I60" i="48" a="1"/>
  <c r="I60" i="48" s="1"/>
  <c r="I59" i="48" a="1"/>
  <c r="I59" i="48" s="1"/>
  <c r="I58" i="48" a="1"/>
  <c r="I58" i="48" s="1"/>
  <c r="I57" i="48" a="1"/>
  <c r="I57" i="48" s="1"/>
  <c r="I56" i="48" a="1"/>
  <c r="I56" i="48" s="1"/>
  <c r="I55" i="48" a="1"/>
  <c r="I55" i="48" s="1"/>
  <c r="I52" i="48" a="1"/>
  <c r="I52" i="48" s="1"/>
  <c r="I6" i="48"/>
  <c r="F82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1" i="48" a="1"/>
  <c r="I51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L50" i="269"/>
  <c r="J51" i="269"/>
  <c r="L26" i="269"/>
  <c r="L27" i="269"/>
  <c r="L28" i="269"/>
  <c r="L42" i="269"/>
  <c r="J54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I45" i="48" l="1" a="1"/>
  <c r="I45" i="48" s="1"/>
  <c r="F16" i="287"/>
  <c r="F117" i="273"/>
  <c r="I47" i="48" a="1"/>
  <c r="I47" i="48" s="1"/>
  <c r="F21" i="287"/>
  <c r="I46" i="48" a="1"/>
  <c r="I46" i="48" s="1"/>
  <c r="F10" i="287"/>
  <c r="F11" i="280"/>
  <c r="F11" i="287"/>
  <c r="F12" i="287" s="1"/>
  <c r="F15" i="287" s="1"/>
  <c r="F122" i="273"/>
  <c r="F116" i="273"/>
  <c r="I41" i="48" a="1"/>
  <c r="I41" i="48" s="1"/>
  <c r="F120" i="273"/>
  <c r="F123" i="273" s="1"/>
  <c r="F12" i="282"/>
  <c r="F101" i="273"/>
  <c r="K5" i="273"/>
  <c r="K5" i="287"/>
  <c r="E62" i="269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7" i="48" a="1"/>
  <c r="I37" i="48" s="1"/>
  <c r="I82" i="48" a="1"/>
  <c r="I82" i="48" s="1"/>
  <c r="F70" i="281"/>
  <c r="F44" i="281"/>
  <c r="F10" i="286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F34" i="287"/>
  <c r="F12" i="280"/>
  <c r="F13" i="280" s="1"/>
  <c r="F23" i="280" s="1"/>
  <c r="F87" i="273"/>
  <c r="F89" i="273" s="1"/>
  <c r="F7" i="48"/>
  <c r="F104" i="273"/>
  <c r="K20" i="273"/>
  <c r="K147" i="273" s="1"/>
  <c r="F95" i="273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J108" i="273" l="1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M13" i="286"/>
  <c r="M56" i="273"/>
  <c r="M47" i="273"/>
  <c r="M48" i="273" s="1"/>
  <c r="M37" i="273"/>
  <c r="M19" i="273"/>
  <c r="K19" i="286"/>
  <c r="K2" i="280"/>
  <c r="K90" i="273"/>
  <c r="K91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K32" i="273" l="1"/>
  <c r="K33" i="273" s="1"/>
  <c r="K141" i="273" s="1"/>
  <c r="K2" i="281"/>
  <c r="J125" i="273"/>
  <c r="J18" i="287" s="1"/>
  <c r="J19" i="287" s="1"/>
  <c r="K112" i="273"/>
  <c r="L113" i="273" s="1"/>
  <c r="L59" i="273" s="1"/>
  <c r="K17" i="280"/>
  <c r="L108" i="273"/>
  <c r="L109" i="273" s="1"/>
  <c r="L14" i="282" s="1"/>
  <c r="L15" i="282" s="1"/>
  <c r="L25" i="282" s="1"/>
  <c r="L124" i="273"/>
  <c r="L125" i="273" s="1"/>
  <c r="L18" i="287" s="1"/>
  <c r="L19" i="287" s="1"/>
  <c r="L22" i="287" s="1"/>
  <c r="L25" i="287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18" i="287" s="1"/>
  <c r="K19" i="287" s="1"/>
  <c r="K22" i="287" s="1"/>
  <c r="K25" i="287" s="1"/>
  <c r="K2" i="287"/>
  <c r="J109" i="273"/>
  <c r="J14" i="282" s="1"/>
  <c r="J15" i="282" s="1"/>
  <c r="L16" i="282"/>
  <c r="L13" i="265" s="1"/>
  <c r="K148" i="273"/>
  <c r="K149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2" i="281"/>
  <c r="L96" i="273"/>
  <c r="L97" i="273" s="1"/>
  <c r="L90" i="273"/>
  <c r="L91" i="273" s="1"/>
  <c r="L75" i="273"/>
  <c r="L32" i="273"/>
  <c r="L33" i="273" s="1"/>
  <c r="L2" i="273"/>
  <c r="K76" i="273"/>
  <c r="K35" i="287" s="1"/>
  <c r="J76" i="273"/>
  <c r="J35" i="287" s="1"/>
  <c r="J46" i="281"/>
  <c r="J106" i="281"/>
  <c r="J72" i="281"/>
  <c r="L4" i="277"/>
  <c r="N13" i="286"/>
  <c r="N37" i="273"/>
  <c r="N56" i="273"/>
  <c r="N47" i="273"/>
  <c r="N48" i="273" s="1"/>
  <c r="N19" i="273"/>
  <c r="K38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37" i="281" l="1"/>
  <c r="K25" i="282"/>
  <c r="K38" i="287"/>
  <c r="K26" i="287"/>
  <c r="K36" i="265" s="1"/>
  <c r="L26" i="287"/>
  <c r="L36" i="265" s="1"/>
  <c r="L38" i="287"/>
  <c r="J22" i="287"/>
  <c r="J25" i="287" s="1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32" i="273"/>
  <c r="M33" i="273" s="1"/>
  <c r="K110" i="281"/>
  <c r="K105" i="281"/>
  <c r="K107" i="281" s="1"/>
  <c r="K111" i="281" s="1"/>
  <c r="O13" i="286"/>
  <c r="O56" i="273"/>
  <c r="O47" i="273"/>
  <c r="O48" i="273" s="1"/>
  <c r="O37" i="273"/>
  <c r="O19" i="273"/>
  <c r="O20" i="273" s="1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35" i="287" s="1"/>
  <c r="L39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J38" i="287" l="1"/>
  <c r="J39" i="287" s="1"/>
  <c r="J26" i="287"/>
  <c r="J26" i="282"/>
  <c r="K98" i="281"/>
  <c r="K10" i="265" s="1"/>
  <c r="J29" i="280"/>
  <c r="M108" i="273"/>
  <c r="M109" i="273" s="1"/>
  <c r="M14" i="282" s="1"/>
  <c r="M15" i="282" s="1"/>
  <c r="M16" i="282" s="1"/>
  <c r="M13" i="265" s="1"/>
  <c r="M124" i="273"/>
  <c r="M125" i="273" s="1"/>
  <c r="M18" i="287" s="1"/>
  <c r="M19" i="287" s="1"/>
  <c r="M2" i="287"/>
  <c r="M37" i="287"/>
  <c r="L70" i="265"/>
  <c r="N108" i="273"/>
  <c r="N109" i="273" s="1"/>
  <c r="N14" i="282" s="1"/>
  <c r="N15" i="282" s="1"/>
  <c r="N25" i="282" s="1"/>
  <c r="N124" i="273"/>
  <c r="N125" i="273" s="1"/>
  <c r="N18" i="287" s="1"/>
  <c r="N19" i="287" s="1"/>
  <c r="N22" i="287" s="1"/>
  <c r="N25" i="287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35" i="287" s="1"/>
  <c r="K58" i="273"/>
  <c r="K60" i="273" s="1"/>
  <c r="J73" i="265"/>
  <c r="K26" i="280"/>
  <c r="N19" i="286"/>
  <c r="N2" i="275"/>
  <c r="N2" i="265"/>
  <c r="N2" i="286"/>
  <c r="N2" i="280"/>
  <c r="N2" i="282"/>
  <c r="N148" i="273"/>
  <c r="N149" i="273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J59" i="265"/>
  <c r="J60" i="265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M22" i="287" l="1"/>
  <c r="M25" i="287" s="1"/>
  <c r="N26" i="287"/>
  <c r="N36" i="265" s="1"/>
  <c r="N38" i="287"/>
  <c r="J36" i="265"/>
  <c r="K37" i="287"/>
  <c r="K39" i="287" s="1"/>
  <c r="J70" i="265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18" i="287" s="1"/>
  <c r="O19" i="287" s="1"/>
  <c r="O22" i="287" s="1"/>
  <c r="O25" i="287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58" i="280"/>
  <c r="K39" i="280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35" i="287" s="1"/>
  <c r="O32" i="273"/>
  <c r="O33" i="273" s="1"/>
  <c r="O148" i="273"/>
  <c r="O149" i="273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35" i="287" s="1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O38" i="287" l="1"/>
  <c r="O26" i="287"/>
  <c r="O36" i="265" s="1"/>
  <c r="K70" i="265"/>
  <c r="L37" i="287"/>
  <c r="M26" i="287"/>
  <c r="M38" i="287"/>
  <c r="M39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18" i="287" s="1"/>
  <c r="P19" i="287" s="1"/>
  <c r="P22" i="287" s="1"/>
  <c r="P25" i="287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K19" i="280"/>
  <c r="K49" i="265" s="1"/>
  <c r="P16" i="282"/>
  <c r="M26" i="282"/>
  <c r="N23" i="282" s="1"/>
  <c r="J53" i="281"/>
  <c r="J62" i="281" s="1"/>
  <c r="J63" i="281" s="1"/>
  <c r="M29" i="280"/>
  <c r="M73" i="265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2" i="281"/>
  <c r="P96" i="273"/>
  <c r="P97" i="273" s="1"/>
  <c r="P90" i="273"/>
  <c r="P91" i="273" s="1"/>
  <c r="P75" i="273"/>
  <c r="P76" i="273" s="1"/>
  <c r="P35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L39" i="280"/>
  <c r="L58" i="280"/>
  <c r="N132" i="273"/>
  <c r="M135" i="273"/>
  <c r="K112" i="281"/>
  <c r="K113" i="281" s="1"/>
  <c r="L66" i="273"/>
  <c r="L67" i="273" s="1"/>
  <c r="L3" i="287" s="1"/>
  <c r="M60" i="273"/>
  <c r="N37" i="287" l="1"/>
  <c r="N39" i="287" s="1"/>
  <c r="M70" i="265"/>
  <c r="P26" i="287"/>
  <c r="P36" i="265" s="1"/>
  <c r="P38" i="287"/>
  <c r="M36" i="265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18" i="287" s="1"/>
  <c r="Q19" i="287" s="1"/>
  <c r="Q22" i="287" s="1"/>
  <c r="Q25" i="287" s="1"/>
  <c r="Q2" i="287"/>
  <c r="P112" i="273"/>
  <c r="Q113" i="273" s="1"/>
  <c r="Q59" i="273" s="1"/>
  <c r="P17" i="280"/>
  <c r="O37" i="287"/>
  <c r="O39" i="287" s="1"/>
  <c r="N70" i="265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5" i="273"/>
  <c r="Q76" i="273" s="1"/>
  <c r="Q35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Q26" i="287" l="1"/>
  <c r="Q38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18" i="287" s="1"/>
  <c r="R19" i="287" s="1"/>
  <c r="R22" i="287" s="1"/>
  <c r="R25" i="287" s="1"/>
  <c r="R2" i="287"/>
  <c r="P37" i="287"/>
  <c r="P39" i="287" s="1"/>
  <c r="O70" i="265"/>
  <c r="N16" i="280"/>
  <c r="N18" i="280" s="1"/>
  <c r="R25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J37" i="265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90" i="273"/>
  <c r="R91" i="273" s="1"/>
  <c r="R2" i="281"/>
  <c r="R96" i="273"/>
  <c r="R97" i="273" s="1"/>
  <c r="R75" i="273"/>
  <c r="R76" i="273" s="1"/>
  <c r="R35" i="287" s="1"/>
  <c r="R32" i="273"/>
  <c r="R33" i="273" s="1"/>
  <c r="R2" i="273"/>
  <c r="K31" i="265"/>
  <c r="L83" i="265"/>
  <c r="L82" i="265"/>
  <c r="R26" i="287" l="1"/>
  <c r="R36" i="265" s="1"/>
  <c r="R38" i="287"/>
  <c r="N50" i="281"/>
  <c r="Q36" i="265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18" i="287" s="1"/>
  <c r="S19" i="287" s="1"/>
  <c r="S22" i="287" s="1"/>
  <c r="S25" i="287" s="1"/>
  <c r="S2" i="287"/>
  <c r="Q37" i="287"/>
  <c r="Q39" i="287" s="1"/>
  <c r="P70" i="265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N58" i="280"/>
  <c r="N39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J42" i="265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S16" i="282" l="1"/>
  <c r="S13" i="265" s="1"/>
  <c r="S38" i="287"/>
  <c r="S26" i="287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18" i="287" s="1"/>
  <c r="T19" i="287" s="1"/>
  <c r="T22" i="287" s="1"/>
  <c r="T25" i="287" s="1"/>
  <c r="T2" i="287"/>
  <c r="R37" i="287"/>
  <c r="R39" i="287" s="1"/>
  <c r="Q70" i="265"/>
  <c r="O19" i="280"/>
  <c r="O49" i="265" s="1"/>
  <c r="O28" i="280"/>
  <c r="O29" i="280" s="1"/>
  <c r="P26" i="280" s="1"/>
  <c r="T25" i="282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2" i="281"/>
  <c r="T96" i="273"/>
  <c r="T97" i="273" s="1"/>
  <c r="T90" i="273"/>
  <c r="T91" i="273" s="1"/>
  <c r="T75" i="273"/>
  <c r="T76" i="273" s="1"/>
  <c r="T35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J47" i="265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35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26" i="287" l="1"/>
  <c r="T36" i="265" s="1"/>
  <c r="T38" i="287"/>
  <c r="S36" i="265"/>
  <c r="O73" i="265"/>
  <c r="T112" i="273"/>
  <c r="U113" i="273" s="1"/>
  <c r="U59" i="273" s="1"/>
  <c r="T17" i="280"/>
  <c r="U108" i="273"/>
  <c r="U109" i="273" s="1"/>
  <c r="U14" i="282" s="1"/>
  <c r="U15" i="282" s="1"/>
  <c r="U124" i="273"/>
  <c r="U125" i="273" s="1"/>
  <c r="U18" i="287" s="1"/>
  <c r="U19" i="287" s="1"/>
  <c r="U22" i="287" s="1"/>
  <c r="U25" i="287" s="1"/>
  <c r="U2" i="287"/>
  <c r="S37" i="287"/>
  <c r="S39" i="287" s="1"/>
  <c r="R70" i="265"/>
  <c r="P16" i="280"/>
  <c r="P18" i="280" s="1"/>
  <c r="U25" i="282"/>
  <c r="U16" i="282"/>
  <c r="U13" i="265" s="1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J50" i="265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6" i="287" l="1"/>
  <c r="U36" i="265" s="1"/>
  <c r="U38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18" i="287" s="1"/>
  <c r="V19" i="287" s="1"/>
  <c r="V22" i="287" s="1"/>
  <c r="V25" i="287" s="1"/>
  <c r="V2" i="287"/>
  <c r="T37" i="287"/>
  <c r="T39" i="287" s="1"/>
  <c r="S70" i="265"/>
  <c r="P28" i="280"/>
  <c r="P29" i="280" s="1"/>
  <c r="P73" i="265" s="1"/>
  <c r="P15" i="286"/>
  <c r="Q26" i="280"/>
  <c r="P19" i="280"/>
  <c r="P49" i="265" s="1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U35" i="287" s="1"/>
  <c r="P39" i="280"/>
  <c r="P58" i="280"/>
  <c r="K42" i="265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63" i="280"/>
  <c r="J64" i="280" s="1"/>
  <c r="J68" i="280" s="1"/>
  <c r="J69" i="280" s="1"/>
  <c r="J50" i="280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26" i="287" l="1"/>
  <c r="V36" i="265" s="1"/>
  <c r="V38" i="287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18" i="287" s="1"/>
  <c r="W19" i="287" s="1"/>
  <c r="W22" i="287" s="1"/>
  <c r="W25" i="287" s="1"/>
  <c r="W2" i="287"/>
  <c r="U37" i="287"/>
  <c r="U39" i="287" s="1"/>
  <c r="T70" i="265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70" i="280"/>
  <c r="J51" i="280"/>
  <c r="J52" i="280" s="1"/>
  <c r="J40" i="280"/>
  <c r="J41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Q58" i="280"/>
  <c r="Q39" i="280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2" i="273"/>
  <c r="L37" i="265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K47" i="265"/>
  <c r="V76" i="273"/>
  <c r="V35" i="287" s="1"/>
  <c r="O14" i="265"/>
  <c r="M63" i="280"/>
  <c r="M64" i="280" s="1"/>
  <c r="M68" i="280" s="1"/>
  <c r="M50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W38" i="287" l="1"/>
  <c r="W26" i="287"/>
  <c r="W36" i="265" s="1"/>
  <c r="X108" i="273"/>
  <c r="X109" i="273" s="1"/>
  <c r="X14" i="282" s="1"/>
  <c r="X15" i="282" s="1"/>
  <c r="X16" i="282" s="1"/>
  <c r="X13" i="265" s="1"/>
  <c r="X124" i="273"/>
  <c r="X125" i="273" s="1"/>
  <c r="X18" i="287" s="1"/>
  <c r="X19" i="287" s="1"/>
  <c r="X22" i="287" s="1"/>
  <c r="X25" i="287" s="1"/>
  <c r="X2" i="287"/>
  <c r="W112" i="273"/>
  <c r="X113" i="273" s="1"/>
  <c r="X59" i="273" s="1"/>
  <c r="W17" i="280"/>
  <c r="V37" i="287"/>
  <c r="V39" i="287" s="1"/>
  <c r="U70" i="265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58" i="280"/>
  <c r="R39" i="280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K50" i="265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35" i="287" s="1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O19" i="265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2" i="281"/>
  <c r="X96" i="273"/>
  <c r="X97" i="273" s="1"/>
  <c r="X90" i="273"/>
  <c r="X91" i="273" s="1"/>
  <c r="X75" i="273"/>
  <c r="X32" i="273"/>
  <c r="X33" i="273" s="1"/>
  <c r="X2" i="273"/>
  <c r="J63" i="265"/>
  <c r="J65" i="265" s="1"/>
  <c r="J67" i="265" s="1"/>
  <c r="J80" i="265" s="1"/>
  <c r="K49" i="280"/>
  <c r="M58" i="280"/>
  <c r="M59" i="280" s="1"/>
  <c r="M67" i="280" s="1"/>
  <c r="M69" i="280" s="1"/>
  <c r="M39" i="280"/>
  <c r="T30" i="281"/>
  <c r="T36" i="281" s="1"/>
  <c r="T38" i="281" s="1"/>
  <c r="L42" i="265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8" i="280"/>
  <c r="J18" i="286"/>
  <c r="S58" i="280"/>
  <c r="S39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X25" i="282" l="1"/>
  <c r="X26" i="287"/>
  <c r="X36" i="265" s="1"/>
  <c r="X38" i="287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18" i="287" s="1"/>
  <c r="Y19" i="287" s="1"/>
  <c r="Y22" i="287" s="1"/>
  <c r="Y25" i="287" s="1"/>
  <c r="Y2" i="287"/>
  <c r="W37" i="287"/>
  <c r="W39" i="287" s="1"/>
  <c r="V70" i="265"/>
  <c r="R16" i="280"/>
  <c r="R18" i="280" s="1"/>
  <c r="R15" i="286" s="1"/>
  <c r="Y25" i="282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57" i="280"/>
  <c r="K59" i="280" s="1"/>
  <c r="K67" i="280" s="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L47" i="265"/>
  <c r="M70" i="280"/>
  <c r="M14" i="286"/>
  <c r="M16" i="286" s="1"/>
  <c r="M18" i="286" s="1"/>
  <c r="M51" i="280"/>
  <c r="M52" i="280" s="1"/>
  <c r="M40" i="280"/>
  <c r="M41" i="280" s="1"/>
  <c r="K62" i="280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J53" i="265"/>
  <c r="X76" i="273"/>
  <c r="X35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41" i="273"/>
  <c r="X38" i="273"/>
  <c r="Y39" i="273" s="1"/>
  <c r="Y41" i="273" s="1"/>
  <c r="Y4" i="277"/>
  <c r="O22" i="265"/>
  <c r="J25" i="265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63" i="280"/>
  <c r="K50" i="280"/>
  <c r="V26" i="282"/>
  <c r="Y26" i="287" l="1"/>
  <c r="Y36" i="265" s="1"/>
  <c r="Y38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18" i="287" s="1"/>
  <c r="Z19" i="287" s="1"/>
  <c r="Z22" i="287" s="1"/>
  <c r="Z25" i="287" s="1"/>
  <c r="Z2" i="287"/>
  <c r="X37" i="287"/>
  <c r="X39" i="287" s="1"/>
  <c r="W70" i="265"/>
  <c r="R19" i="280"/>
  <c r="R49" i="265" s="1"/>
  <c r="R28" i="280"/>
  <c r="R29" i="280" s="1"/>
  <c r="R73" i="265" s="1"/>
  <c r="Z25" i="282"/>
  <c r="V30" i="281"/>
  <c r="V36" i="281" s="1"/>
  <c r="V38" i="281" s="1"/>
  <c r="V9" i="265" s="1"/>
  <c r="V11" i="265" s="1"/>
  <c r="V14" i="265" s="1"/>
  <c r="V19" i="265" s="1"/>
  <c r="V22" i="265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M74" i="265"/>
  <c r="M75" i="265" s="1"/>
  <c r="M81" i="265" s="1"/>
  <c r="N38" i="280"/>
  <c r="T14" i="265"/>
  <c r="O58" i="280"/>
  <c r="O39" i="280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35" i="287" s="1"/>
  <c r="K64" i="280"/>
  <c r="K68" i="280" s="1"/>
  <c r="M63" i="265"/>
  <c r="M65" i="265" s="1"/>
  <c r="M67" i="265" s="1"/>
  <c r="M80" i="265" s="1"/>
  <c r="N49" i="280"/>
  <c r="M52" i="265"/>
  <c r="M24" i="265"/>
  <c r="L50" i="265"/>
  <c r="K69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84" i="281"/>
  <c r="V61" i="281"/>
  <c r="V45" i="281"/>
  <c r="V47" i="281" s="1"/>
  <c r="V51" i="281" s="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Z26" i="287" l="1"/>
  <c r="Z36" i="265" s="1"/>
  <c r="Z38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18" i="287" s="1"/>
  <c r="AA19" i="287" s="1"/>
  <c r="AA22" i="287" s="1"/>
  <c r="AA25" i="287" s="1"/>
  <c r="AA2" i="287"/>
  <c r="V50" i="281"/>
  <c r="V71" i="281"/>
  <c r="V73" i="281" s="1"/>
  <c r="V77" i="281" s="1"/>
  <c r="S26" i="280"/>
  <c r="S16" i="280" s="1"/>
  <c r="S18" i="280" s="1"/>
  <c r="S15" i="286" s="1"/>
  <c r="Y37" i="287"/>
  <c r="Y39" i="287" s="1"/>
  <c r="X70" i="265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K70" i="280"/>
  <c r="K14" i="286"/>
  <c r="K16" i="286" s="1"/>
  <c r="K51" i="280"/>
  <c r="K52" i="280" s="1"/>
  <c r="K40" i="280"/>
  <c r="K41" i="280" s="1"/>
  <c r="M25" i="265"/>
  <c r="N62" i="280"/>
  <c r="Z76" i="273"/>
  <c r="Z35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7" i="280"/>
  <c r="N59" i="280" s="1"/>
  <c r="N67" i="280" s="1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V58" i="280"/>
  <c r="V39" i="280"/>
  <c r="N47" i="265"/>
  <c r="O30" i="265"/>
  <c r="O33" i="265" s="1"/>
  <c r="O62" i="281"/>
  <c r="O63" i="281" s="1"/>
  <c r="L63" i="280"/>
  <c r="L50" i="280"/>
  <c r="M53" i="265"/>
  <c r="M82" i="265"/>
  <c r="M83" i="265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T19" i="265"/>
  <c r="W59" i="265"/>
  <c r="W60" i="265" s="1"/>
  <c r="X23" i="282"/>
  <c r="X26" i="282" s="1"/>
  <c r="U58" i="280"/>
  <c r="U39" i="280"/>
  <c r="AA38" i="287" l="1"/>
  <c r="AA26" i="287"/>
  <c r="AA36" i="265" s="1"/>
  <c r="Z37" i="287"/>
  <c r="Z39" i="287" s="1"/>
  <c r="Y70" i="265"/>
  <c r="AB108" i="273"/>
  <c r="AB109" i="273" s="1"/>
  <c r="AB14" i="282" s="1"/>
  <c r="AB15" i="282" s="1"/>
  <c r="AB16" i="282" s="1"/>
  <c r="AB13" i="265" s="1"/>
  <c r="AB124" i="273"/>
  <c r="AB125" i="273" s="1"/>
  <c r="AB18" i="287" s="1"/>
  <c r="AB19" i="287" s="1"/>
  <c r="AB22" i="287" s="1"/>
  <c r="AB25" i="287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9" i="280"/>
  <c r="L62" i="280" s="1"/>
  <c r="L64" i="280" s="1"/>
  <c r="L68" i="280" s="1"/>
  <c r="K52" i="265"/>
  <c r="K24" i="265"/>
  <c r="AA106" i="281"/>
  <c r="AA72" i="281"/>
  <c r="AA46" i="281"/>
  <c r="AB76" i="273"/>
  <c r="AB35" i="287" s="1"/>
  <c r="AA96" i="281"/>
  <c r="AA97" i="281" s="1"/>
  <c r="AA22" i="281"/>
  <c r="AA13" i="281"/>
  <c r="AA136" i="273"/>
  <c r="AA37" i="281"/>
  <c r="AA142" i="273"/>
  <c r="AA131" i="273"/>
  <c r="T22" i="265"/>
  <c r="N50" i="265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8" i="280"/>
  <c r="L57" i="280" s="1"/>
  <c r="L59" i="280" s="1"/>
  <c r="L67" i="280" s="1"/>
  <c r="K18" i="286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35" i="287" s="1"/>
  <c r="AB26" i="287" l="1"/>
  <c r="AB36" i="265" s="1"/>
  <c r="AB38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18" i="287" s="1"/>
  <c r="AC19" i="287" s="1"/>
  <c r="AC22" i="287" s="1"/>
  <c r="AC25" i="287" s="1"/>
  <c r="AC2" i="287"/>
  <c r="S73" i="265"/>
  <c r="AA37" i="287"/>
  <c r="AA39" i="287" s="1"/>
  <c r="Z70" i="265"/>
  <c r="T16" i="280"/>
  <c r="T18" i="280" s="1"/>
  <c r="T15" i="286" s="1"/>
  <c r="AC16" i="282"/>
  <c r="AC13" i="265" s="1"/>
  <c r="L69" i="280"/>
  <c r="L14" i="286" s="1"/>
  <c r="L16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T39" i="280"/>
  <c r="T58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41" i="273"/>
  <c r="AB38" i="273"/>
  <c r="AC39" i="273" s="1"/>
  <c r="AC41" i="273" s="1"/>
  <c r="AC4" i="277"/>
  <c r="Z135" i="273"/>
  <c r="AA132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63" i="280"/>
  <c r="N64" i="280" s="1"/>
  <c r="N68" i="280" s="1"/>
  <c r="N69" i="280" s="1"/>
  <c r="N50" i="280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5" i="273"/>
  <c r="AC32" i="273"/>
  <c r="AC33" i="273" s="1"/>
  <c r="AC2" i="273"/>
  <c r="X39" i="280"/>
  <c r="X58" i="280"/>
  <c r="V76" i="281"/>
  <c r="V78" i="281" s="1"/>
  <c r="V85" i="281" s="1"/>
  <c r="V86" i="281" s="1"/>
  <c r="W83" i="281" s="1"/>
  <c r="AC26" i="287" l="1"/>
  <c r="AC36" i="265" s="1"/>
  <c r="AC38" i="287"/>
  <c r="AB37" i="287"/>
  <c r="AB39" i="287" s="1"/>
  <c r="AA70" i="265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18" i="287" s="1"/>
  <c r="AD19" i="287" s="1"/>
  <c r="AD22" i="287" s="1"/>
  <c r="AD25" i="287" s="1"/>
  <c r="AD2" i="287"/>
  <c r="L51" i="280"/>
  <c r="T19" i="280"/>
  <c r="T49" i="265" s="1"/>
  <c r="T28" i="280"/>
  <c r="T29" i="280" s="1"/>
  <c r="T73" i="265" s="1"/>
  <c r="L70" i="280"/>
  <c r="L52" i="265" s="1"/>
  <c r="L40" i="280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70" i="280"/>
  <c r="N51" i="280"/>
  <c r="N52" i="280" s="1"/>
  <c r="N40" i="280"/>
  <c r="N41" i="280" s="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90" i="273"/>
  <c r="AD91" i="273" s="1"/>
  <c r="AD2" i="281"/>
  <c r="AD96" i="273"/>
  <c r="AD97" i="273" s="1"/>
  <c r="AD75" i="273"/>
  <c r="AD76" i="273" s="1"/>
  <c r="AD35" i="287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AC4" i="287" s="1"/>
  <c r="W22" i="265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35" i="287" s="1"/>
  <c r="L24" i="265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D26" i="287" l="1"/>
  <c r="AD36" i="265" s="1"/>
  <c r="AD38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18" i="287" s="1"/>
  <c r="AE19" i="287" s="1"/>
  <c r="AE22" i="287" s="1"/>
  <c r="AE25" i="287" s="1"/>
  <c r="AE2" i="287"/>
  <c r="AD16" i="282"/>
  <c r="AD13" i="265" s="1"/>
  <c r="AC37" i="287"/>
  <c r="AC39" i="287" s="1"/>
  <c r="AB70" i="265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L25" i="265"/>
  <c r="N63" i="265"/>
  <c r="N65" i="265" s="1"/>
  <c r="N67" i="265" s="1"/>
  <c r="N80" i="265" s="1"/>
  <c r="O49" i="280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2" i="273"/>
  <c r="N74" i="265"/>
  <c r="N75" i="265" s="1"/>
  <c r="N81" i="265" s="1"/>
  <c r="O38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L53" i="265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Z58" i="280"/>
  <c r="Z39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W58" i="280"/>
  <c r="W39" i="280"/>
  <c r="P63" i="280"/>
  <c r="P50" i="280"/>
  <c r="Y58" i="280"/>
  <c r="Y39" i="280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38" i="287" l="1"/>
  <c r="AE26" i="287"/>
  <c r="AE36" i="265" s="1"/>
  <c r="AE112" i="273"/>
  <c r="AF113" i="273" s="1"/>
  <c r="AF59" i="273" s="1"/>
  <c r="AE17" i="280"/>
  <c r="AD37" i="287"/>
  <c r="AD39" i="287" s="1"/>
  <c r="AC70" i="265"/>
  <c r="AF108" i="273"/>
  <c r="AF109" i="273" s="1"/>
  <c r="AF14" i="282" s="1"/>
  <c r="AF15" i="282" s="1"/>
  <c r="AF16" i="282" s="1"/>
  <c r="AF13" i="265" s="1"/>
  <c r="AF124" i="273"/>
  <c r="AF125" i="273" s="1"/>
  <c r="AF18" i="287" s="1"/>
  <c r="AF19" i="287" s="1"/>
  <c r="AF22" i="287" s="1"/>
  <c r="AF25" i="287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7" i="280"/>
  <c r="O59" i="280" s="1"/>
  <c r="O67" i="280" s="1"/>
  <c r="AE141" i="273"/>
  <c r="AE38" i="273"/>
  <c r="AF39" i="273" s="1"/>
  <c r="AF41" i="273" s="1"/>
  <c r="Q52" i="281"/>
  <c r="Q53" i="281" s="1"/>
  <c r="O50" i="280"/>
  <c r="O63" i="280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2" i="281"/>
  <c r="AF96" i="273"/>
  <c r="AF97" i="273" s="1"/>
  <c r="AF90" i="273"/>
  <c r="AF91" i="273" s="1"/>
  <c r="AF75" i="273"/>
  <c r="AF76" i="273" s="1"/>
  <c r="AF35" i="287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35" i="287" s="1"/>
  <c r="O62" i="280"/>
  <c r="O64" i="280" s="1"/>
  <c r="O68" i="280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F25" i="282" l="1"/>
  <c r="AF26" i="287"/>
  <c r="AF36" i="265" s="1"/>
  <c r="AF38" i="287"/>
  <c r="AE37" i="287"/>
  <c r="AE39" i="287" s="1"/>
  <c r="AD70" i="265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18" i="287" s="1"/>
  <c r="AG19" i="287" s="1"/>
  <c r="AG22" i="287" s="1"/>
  <c r="AG25" i="287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A58" i="280"/>
  <c r="AA39" i="280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9" i="280"/>
  <c r="R69" i="265"/>
  <c r="S121" i="281"/>
  <c r="AG26" i="287" l="1"/>
  <c r="AG36" i="265" s="1"/>
  <c r="AG38" i="287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124" i="273"/>
  <c r="AH125" i="273" s="1"/>
  <c r="AH18" i="287" s="1"/>
  <c r="AH19" i="287" s="1"/>
  <c r="AH22" i="287" s="1"/>
  <c r="AH25" i="287" s="1"/>
  <c r="AH2" i="287"/>
  <c r="AF37" i="287"/>
  <c r="AF39" i="287" s="1"/>
  <c r="AE70" i="265"/>
  <c r="V19" i="280"/>
  <c r="V49" i="265" s="1"/>
  <c r="V28" i="280"/>
  <c r="V29" i="280" s="1"/>
  <c r="V73" i="265" s="1"/>
  <c r="AH25" i="282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70" i="280"/>
  <c r="O14" i="286"/>
  <c r="O16" i="286" s="1"/>
  <c r="O51" i="280"/>
  <c r="O52" i="280" s="1"/>
  <c r="O40" i="280"/>
  <c r="O41" i="280" s="1"/>
  <c r="Q64" i="265"/>
  <c r="R60" i="281"/>
  <c r="AG76" i="273"/>
  <c r="AG35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B39" i="280"/>
  <c r="AB58" i="280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63" i="280"/>
  <c r="Q50" i="280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C58" i="280"/>
  <c r="AC39" i="280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H26" i="287" l="1"/>
  <c r="AH36" i="265" s="1"/>
  <c r="AH38" i="287"/>
  <c r="AH112" i="273"/>
  <c r="AI113" i="273" s="1"/>
  <c r="AI59" i="273" s="1"/>
  <c r="AH17" i="280"/>
  <c r="AI108" i="273"/>
  <c r="AI109" i="273" s="1"/>
  <c r="AI14" i="282" s="1"/>
  <c r="AI15" i="282" s="1"/>
  <c r="AI124" i="273"/>
  <c r="AI125" i="273" s="1"/>
  <c r="AI18" i="287" s="1"/>
  <c r="AI19" i="287" s="1"/>
  <c r="AI22" i="287" s="1"/>
  <c r="AI25" i="287" s="1"/>
  <c r="AI2" i="287"/>
  <c r="AG37" i="287"/>
  <c r="AG39" i="287" s="1"/>
  <c r="AF70" i="265"/>
  <c r="W26" i="280"/>
  <c r="W16" i="280" s="1"/>
  <c r="W18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9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35" i="273"/>
  <c r="AG132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35" i="287" s="1"/>
  <c r="O74" i="265"/>
  <c r="O75" i="265" s="1"/>
  <c r="O81" i="265" s="1"/>
  <c r="P38" i="280"/>
  <c r="O18" i="286"/>
  <c r="AI38" i="287" l="1"/>
  <c r="AI26" i="287"/>
  <c r="AI36" i="265" s="1"/>
  <c r="AJ108" i="273"/>
  <c r="AJ109" i="273" s="1"/>
  <c r="AJ14" i="282" s="1"/>
  <c r="AJ15" i="282" s="1"/>
  <c r="AJ25" i="282" s="1"/>
  <c r="AJ124" i="273"/>
  <c r="AJ125" i="273" s="1"/>
  <c r="AJ18" i="287" s="1"/>
  <c r="AJ19" i="287" s="1"/>
  <c r="AJ22" i="287" s="1"/>
  <c r="AJ25" i="287" s="1"/>
  <c r="AJ2" i="287"/>
  <c r="AI112" i="273"/>
  <c r="AJ113" i="273" s="1"/>
  <c r="AJ59" i="273" s="1"/>
  <c r="AI17" i="280"/>
  <c r="AH37" i="287"/>
  <c r="AH39" i="287" s="1"/>
  <c r="AG70" i="265"/>
  <c r="W19" i="280"/>
  <c r="W49" i="265" s="1"/>
  <c r="W28" i="280"/>
  <c r="W29" i="280" s="1"/>
  <c r="X26" i="280" s="1"/>
  <c r="AJ16" i="282"/>
  <c r="AJ13" i="265" s="1"/>
  <c r="AC76" i="281"/>
  <c r="AC78" i="281" s="1"/>
  <c r="AC85" i="281" s="1"/>
  <c r="AC86" i="281" s="1"/>
  <c r="AD83" i="281" s="1"/>
  <c r="P57" i="280"/>
  <c r="P59" i="280" s="1"/>
  <c r="P67" i="280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58" i="280"/>
  <c r="AD39" i="280"/>
  <c r="AH132" i="273"/>
  <c r="AG135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35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2" i="281"/>
  <c r="AJ96" i="273"/>
  <c r="AJ97" i="273" s="1"/>
  <c r="AJ90" i="273"/>
  <c r="AJ91" i="273" s="1"/>
  <c r="AJ75" i="273"/>
  <c r="AJ76" i="273" s="1"/>
  <c r="AJ35" i="287" s="1"/>
  <c r="AJ32" i="273"/>
  <c r="AJ33" i="273" s="1"/>
  <c r="AJ2" i="273"/>
  <c r="AE58" i="280"/>
  <c r="AE39" i="280"/>
  <c r="P62" i="280"/>
  <c r="P64" i="280" s="1"/>
  <c r="P68" i="280" s="1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26" i="287" l="1"/>
  <c r="AJ36" i="265" s="1"/>
  <c r="AJ38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18" i="287" s="1"/>
  <c r="AK19" i="287" s="1"/>
  <c r="AK22" i="287" s="1"/>
  <c r="AK25" i="287" s="1"/>
  <c r="AK2" i="287"/>
  <c r="AI37" i="287"/>
  <c r="AI39" i="287" s="1"/>
  <c r="AH70" i="265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P69" i="280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5" i="273"/>
  <c r="AK76" i="273" s="1"/>
  <c r="AK35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R63" i="280"/>
  <c r="R50" i="280"/>
  <c r="AH135" i="273"/>
  <c r="AI132" i="273"/>
  <c r="AD76" i="281"/>
  <c r="AD78" i="281" s="1"/>
  <c r="AD85" i="281" s="1"/>
  <c r="AD86" i="281" s="1"/>
  <c r="AE83" i="281" s="1"/>
  <c r="AK26" i="287" l="1"/>
  <c r="AK36" i="265" s="1"/>
  <c r="AK38" i="287"/>
  <c r="AH30" i="281"/>
  <c r="AH36" i="281" s="1"/>
  <c r="AH38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18" i="287" s="1"/>
  <c r="AL19" i="287" s="1"/>
  <c r="AL22" i="287" s="1"/>
  <c r="AL25" i="287" s="1"/>
  <c r="AL2" i="287"/>
  <c r="AJ37" i="287"/>
  <c r="AJ39" i="287" s="1"/>
  <c r="AI70" i="265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P14" i="286"/>
  <c r="P16" i="286" s="1"/>
  <c r="P70" i="280"/>
  <c r="P40" i="280"/>
  <c r="P41" i="280" s="1"/>
  <c r="P51" i="280"/>
  <c r="P52" i="280" s="1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90" i="273"/>
  <c r="AL91" i="273" s="1"/>
  <c r="AL2" i="281"/>
  <c r="AL96" i="273"/>
  <c r="AL97" i="273" s="1"/>
  <c r="AL75" i="273"/>
  <c r="AL76" i="273" s="1"/>
  <c r="AL35" i="287" s="1"/>
  <c r="AL32" i="273"/>
  <c r="AL33" i="273" s="1"/>
  <c r="AL2" i="273"/>
  <c r="T114" i="281"/>
  <c r="T31" i="265" s="1"/>
  <c r="T123" i="281"/>
  <c r="T124" i="281" s="1"/>
  <c r="AF39" i="280"/>
  <c r="AF58" i="280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L25" i="282" l="1"/>
  <c r="AL26" i="287"/>
  <c r="AL36" i="265" s="1"/>
  <c r="AL38" i="287"/>
  <c r="AL112" i="273"/>
  <c r="AM113" i="273" s="1"/>
  <c r="AM59" i="273" s="1"/>
  <c r="AL17" i="280"/>
  <c r="Y26" i="280"/>
  <c r="AK37" i="287"/>
  <c r="AK39" i="287" s="1"/>
  <c r="AJ70" i="265"/>
  <c r="AM108" i="273"/>
  <c r="AM109" i="273" s="1"/>
  <c r="AM14" i="282" s="1"/>
  <c r="AM15" i="282" s="1"/>
  <c r="AM124" i="273"/>
  <c r="AM125" i="273" s="1"/>
  <c r="AM18" i="287" s="1"/>
  <c r="AM19" i="287" s="1"/>
  <c r="AM22" i="287" s="1"/>
  <c r="AM25" i="287" s="1"/>
  <c r="AM2" i="287"/>
  <c r="Y16" i="280"/>
  <c r="Y18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G58" i="280"/>
  <c r="AG39" i="280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2" i="273"/>
  <c r="P63" i="265"/>
  <c r="Q49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H58" i="280"/>
  <c r="AH39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8" i="280"/>
  <c r="P18" i="286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M38" i="287" l="1"/>
  <c r="AM26" i="287"/>
  <c r="AM36" i="265" s="1"/>
  <c r="AN108" i="273"/>
  <c r="AN109" i="273" s="1"/>
  <c r="AN14" i="282" s="1"/>
  <c r="AN15" i="282" s="1"/>
  <c r="AN25" i="282" s="1"/>
  <c r="AN124" i="273"/>
  <c r="AN125" i="273" s="1"/>
  <c r="AN18" i="287" s="1"/>
  <c r="AN19" i="287" s="1"/>
  <c r="AN22" i="287" s="1"/>
  <c r="AN25" i="287" s="1"/>
  <c r="AN2" i="287"/>
  <c r="AM112" i="273"/>
  <c r="AN113" i="273" s="1"/>
  <c r="AN59" i="273" s="1"/>
  <c r="AM17" i="280"/>
  <c r="AL37" i="287"/>
  <c r="AL39" i="287" s="1"/>
  <c r="AK70" i="265"/>
  <c r="Y19" i="280"/>
  <c r="Y49" i="265" s="1"/>
  <c r="Y28" i="280"/>
  <c r="Y29" i="280" s="1"/>
  <c r="Y73" i="265" s="1"/>
  <c r="AN16" i="282"/>
  <c r="AN1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P75" i="265"/>
  <c r="P81" i="265" s="1"/>
  <c r="S63" i="280"/>
  <c r="S50" i="280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57" i="280"/>
  <c r="Q59" i="280" s="1"/>
  <c r="Q67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62" i="280"/>
  <c r="Q64" i="280" s="1"/>
  <c r="Q68" i="280" s="1"/>
  <c r="AM141" i="273"/>
  <c r="AM38" i="273"/>
  <c r="AN39" i="273" s="1"/>
  <c r="AN41" i="273" s="1"/>
  <c r="AM76" i="273"/>
  <c r="AM35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N26" i="287" l="1"/>
  <c r="AN36" i="265" s="1"/>
  <c r="AN38" i="287"/>
  <c r="Z26" i="280"/>
  <c r="AO108" i="273"/>
  <c r="AO109" i="273" s="1"/>
  <c r="AO14" i="282" s="1"/>
  <c r="AO15" i="282" s="1"/>
  <c r="AO25" i="282" s="1"/>
  <c r="AO124" i="273"/>
  <c r="AO125" i="273" s="1"/>
  <c r="AO18" i="287" s="1"/>
  <c r="AO19" i="287" s="1"/>
  <c r="AO22" i="287" s="1"/>
  <c r="AO25" i="287" s="1"/>
  <c r="AO2" i="287"/>
  <c r="AN112" i="273"/>
  <c r="AO113" i="273" s="1"/>
  <c r="AO59" i="273" s="1"/>
  <c r="AN17" i="280"/>
  <c r="AM37" i="287"/>
  <c r="AM39" i="287" s="1"/>
  <c r="AL70" i="265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Q69" i="280"/>
  <c r="AJ39" i="280"/>
  <c r="AJ58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5" i="273"/>
  <c r="AO76" i="273" s="1"/>
  <c r="AO35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35" i="287" s="1"/>
  <c r="AI58" i="280"/>
  <c r="AI39" i="280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O26" i="287" l="1"/>
  <c r="AO36" i="265" s="1"/>
  <c r="AO38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18" i="287" s="1"/>
  <c r="AP19" i="287" s="1"/>
  <c r="AP22" i="287" s="1"/>
  <c r="AP25" i="287" s="1"/>
  <c r="AP2" i="287"/>
  <c r="AO112" i="273"/>
  <c r="AP113" i="273" s="1"/>
  <c r="AP59" i="273" s="1"/>
  <c r="AO17" i="280"/>
  <c r="AN37" i="287"/>
  <c r="AN39" i="287" s="1"/>
  <c r="AM70" i="265"/>
  <c r="Z19" i="280"/>
  <c r="Z49" i="265" s="1"/>
  <c r="Z28" i="280"/>
  <c r="Z29" i="280" s="1"/>
  <c r="Z73" i="265" s="1"/>
  <c r="AP25" i="282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70" i="280"/>
  <c r="Q14" i="286"/>
  <c r="Q16" i="286" s="1"/>
  <c r="Q18" i="286" s="1"/>
  <c r="Q51" i="280"/>
  <c r="Q52" i="280" s="1"/>
  <c r="Q40" i="280"/>
  <c r="Q41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P26" i="287" l="1"/>
  <c r="AP36" i="265" s="1"/>
  <c r="AP38" i="287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18" i="287" s="1"/>
  <c r="AQ19" i="287" s="1"/>
  <c r="AQ22" i="287" s="1"/>
  <c r="AQ25" i="287" s="1"/>
  <c r="AQ2" i="287"/>
  <c r="AO37" i="287"/>
  <c r="AO39" i="287" s="1"/>
  <c r="AN70" i="265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35" i="287" s="1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8" i="280"/>
  <c r="AK58" i="280"/>
  <c r="AK39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Q63" i="265"/>
  <c r="Q65" i="265" s="1"/>
  <c r="Q67" i="265" s="1"/>
  <c r="Q80" i="265" s="1"/>
  <c r="R49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T63" i="280"/>
  <c r="T50" i="280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L58" i="280"/>
  <c r="AL39" i="280"/>
  <c r="AQ38" i="287" l="1"/>
  <c r="AQ26" i="287"/>
  <c r="AQ36" i="265" s="1"/>
  <c r="AN30" i="281"/>
  <c r="AN36" i="281" s="1"/>
  <c r="AN38" i="281" s="1"/>
  <c r="AR108" i="273"/>
  <c r="AR109" i="273" s="1"/>
  <c r="AR14" i="282" s="1"/>
  <c r="AR15" i="282" s="1"/>
  <c r="AR16" i="282" s="1"/>
  <c r="AR13" i="265" s="1"/>
  <c r="AR124" i="273"/>
  <c r="AR125" i="273" s="1"/>
  <c r="AR18" i="287" s="1"/>
  <c r="AR19" i="287" s="1"/>
  <c r="AR22" i="287" s="1"/>
  <c r="AR25" i="287" s="1"/>
  <c r="AR2" i="287"/>
  <c r="AQ112" i="273"/>
  <c r="AR113" i="273" s="1"/>
  <c r="AR59" i="273" s="1"/>
  <c r="AQ17" i="280"/>
  <c r="AP37" i="287"/>
  <c r="AP39" i="287" s="1"/>
  <c r="AO70" i="265"/>
  <c r="AA19" i="280"/>
  <c r="AA49" i="265" s="1"/>
  <c r="AA28" i="280"/>
  <c r="AA29" i="280" s="1"/>
  <c r="AB26" i="280" s="1"/>
  <c r="AR25" i="282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48" i="273"/>
  <c r="AR149" i="273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62" i="280"/>
  <c r="R64" i="280" s="1"/>
  <c r="R68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35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57" i="280"/>
  <c r="R59" i="280" s="1"/>
  <c r="R67" i="280" s="1"/>
  <c r="R69" i="280" s="1"/>
  <c r="AQ76" i="273"/>
  <c r="AQ35" i="287" s="1"/>
  <c r="AR26" i="287" l="1"/>
  <c r="AR36" i="265" s="1"/>
  <c r="AR38" i="287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18" i="287" s="1"/>
  <c r="AS19" i="287" s="1"/>
  <c r="AS22" i="287" s="1"/>
  <c r="AS25" i="287" s="1"/>
  <c r="AS2" i="287"/>
  <c r="AQ37" i="287"/>
  <c r="AQ39" i="287" s="1"/>
  <c r="AP70" i="265"/>
  <c r="AA73" i="265"/>
  <c r="AB16" i="280"/>
  <c r="AB18" i="280" s="1"/>
  <c r="AB15" i="286" s="1"/>
  <c r="R14" i="286"/>
  <c r="R16" i="286" s="1"/>
  <c r="R18" i="286" s="1"/>
  <c r="R70" i="280"/>
  <c r="R51" i="280"/>
  <c r="R52" i="280" s="1"/>
  <c r="R40" i="280"/>
  <c r="R41" i="280" s="1"/>
  <c r="AM58" i="280"/>
  <c r="AM39" i="280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N39" i="280"/>
  <c r="AN58" i="280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5" i="273"/>
  <c r="AS32" i="273"/>
  <c r="AS33" i="273" s="1"/>
  <c r="AS2" i="273"/>
  <c r="AL76" i="281"/>
  <c r="AL78" i="281" s="1"/>
  <c r="AL85" i="281" s="1"/>
  <c r="AL86" i="281" s="1"/>
  <c r="AM83" i="281" s="1"/>
  <c r="AS26" i="287" l="1"/>
  <c r="AS36" i="265" s="1"/>
  <c r="AS38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18" i="287" s="1"/>
  <c r="AT19" i="287" s="1"/>
  <c r="AT22" i="287" s="1"/>
  <c r="AT25" i="287" s="1"/>
  <c r="AT2" i="287"/>
  <c r="AR37" i="287"/>
  <c r="AR39" i="287" s="1"/>
  <c r="AQ70" i="265"/>
  <c r="AB19" i="280"/>
  <c r="AB49" i="265" s="1"/>
  <c r="AB28" i="280"/>
  <c r="AB29" i="280" s="1"/>
  <c r="AC26" i="280" s="1"/>
  <c r="AT16" i="282"/>
  <c r="AT13" i="265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63" i="280"/>
  <c r="U50" i="280"/>
  <c r="R74" i="265"/>
  <c r="R75" i="265" s="1"/>
  <c r="R81" i="265" s="1"/>
  <c r="S38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T35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35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R63" i="265"/>
  <c r="R65" i="265" s="1"/>
  <c r="R67" i="265" s="1"/>
  <c r="R80" i="265" s="1"/>
  <c r="S49" i="280"/>
  <c r="AT26" i="287" l="1"/>
  <c r="AT36" i="265" s="1"/>
  <c r="AT38" i="287"/>
  <c r="AQ30" i="281"/>
  <c r="AQ36" i="281" s="1"/>
  <c r="AQ38" i="281" s="1"/>
  <c r="AT112" i="273"/>
  <c r="AU113" i="273" s="1"/>
  <c r="AU59" i="273" s="1"/>
  <c r="AT17" i="280"/>
  <c r="AU108" i="273"/>
  <c r="AU109" i="273" s="1"/>
  <c r="AU14" i="282" s="1"/>
  <c r="AU15" i="282" s="1"/>
  <c r="AU124" i="273"/>
  <c r="AU125" i="273" s="1"/>
  <c r="AU18" i="287" s="1"/>
  <c r="AU19" i="287" s="1"/>
  <c r="AU22" i="287" s="1"/>
  <c r="AU25" i="287" s="1"/>
  <c r="AU2" i="287"/>
  <c r="AS37" i="287"/>
  <c r="AS39" i="287" s="1"/>
  <c r="AR70" i="265"/>
  <c r="AB73" i="265"/>
  <c r="AC16" i="280"/>
  <c r="AC18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O58" i="280"/>
  <c r="AO39" i="280"/>
  <c r="S57" i="280"/>
  <c r="S59" i="280" s="1"/>
  <c r="S67" i="280" s="1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P58" i="280"/>
  <c r="AP39" i="280"/>
  <c r="AQ59" i="265"/>
  <c r="AQ60" i="265" s="1"/>
  <c r="AR23" i="282"/>
  <c r="AR26" i="282" s="1"/>
  <c r="AT46" i="281"/>
  <c r="AT106" i="281"/>
  <c r="AT72" i="281"/>
  <c r="S62" i="280"/>
  <c r="S64" i="280" s="1"/>
  <c r="S68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2" i="273"/>
  <c r="AU38" i="287" l="1"/>
  <c r="AU26" i="287"/>
  <c r="AU36" i="265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18" i="287" s="1"/>
  <c r="AV19" i="287" s="1"/>
  <c r="AV22" i="287" s="1"/>
  <c r="AV25" i="287" s="1"/>
  <c r="AV2" i="287"/>
  <c r="AT37" i="287"/>
  <c r="AT39" i="287" s="1"/>
  <c r="AS70" i="265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35" i="287" s="1"/>
  <c r="S69" i="280"/>
  <c r="AT143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58" i="280"/>
  <c r="AQ39" i="280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V26" i="287" l="1"/>
  <c r="AV36" i="265" s="1"/>
  <c r="AV38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18" i="287" s="1"/>
  <c r="AW19" i="287" s="1"/>
  <c r="AW22" i="287" s="1"/>
  <c r="AW25" i="287" s="1"/>
  <c r="AW2" i="287"/>
  <c r="AU37" i="287"/>
  <c r="AU39" i="287" s="1"/>
  <c r="AT70" i="265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5" i="273"/>
  <c r="AW76" i="273" s="1"/>
  <c r="AW35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S70" i="280"/>
  <c r="S14" i="286"/>
  <c r="S16" i="286" s="1"/>
  <c r="S18" i="286" s="1"/>
  <c r="S51" i="280"/>
  <c r="S52" i="280" s="1"/>
  <c r="S40" i="280"/>
  <c r="S41" i="280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35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V63" i="280"/>
  <c r="V50" i="280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W26" i="287" l="1"/>
  <c r="AW36" i="265" s="1"/>
  <c r="AW38" i="287"/>
  <c r="AX108" i="273"/>
  <c r="AX109" i="273" s="1"/>
  <c r="AX14" i="282" s="1"/>
  <c r="AX15" i="282" s="1"/>
  <c r="AX25" i="282" s="1"/>
  <c r="AX124" i="273"/>
  <c r="AX125" i="273" s="1"/>
  <c r="AX18" i="287" s="1"/>
  <c r="AX19" i="287" s="1"/>
  <c r="AX22" i="287" s="1"/>
  <c r="AX25" i="287" s="1"/>
  <c r="AX2" i="287"/>
  <c r="AW112" i="273"/>
  <c r="AX113" i="273" s="1"/>
  <c r="AX59" i="273" s="1"/>
  <c r="AW17" i="280"/>
  <c r="AV37" i="287"/>
  <c r="AV39" i="287" s="1"/>
  <c r="AU70" i="265"/>
  <c r="AD19" i="280"/>
  <c r="AD49" i="265" s="1"/>
  <c r="AD28" i="280"/>
  <c r="AD29" i="280" s="1"/>
  <c r="AE26" i="280" s="1"/>
  <c r="AX16" i="282"/>
  <c r="AX13" i="265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8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90" i="273"/>
  <c r="AX91" i="273" s="1"/>
  <c r="AX2" i="281"/>
  <c r="AX96" i="273"/>
  <c r="AX97" i="273" s="1"/>
  <c r="AX75" i="273"/>
  <c r="AX76" i="273" s="1"/>
  <c r="AX35" i="287" s="1"/>
  <c r="AX32" i="273"/>
  <c r="AX33" i="273" s="1"/>
  <c r="AX2" i="273"/>
  <c r="S63" i="265"/>
  <c r="S65" i="265" s="1"/>
  <c r="S67" i="265" s="1"/>
  <c r="S80" i="265" s="1"/>
  <c r="T49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R39" i="280"/>
  <c r="AR58" i="280"/>
  <c r="AX26" i="287" l="1"/>
  <c r="AX36" i="265" s="1"/>
  <c r="AX38" i="287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18" i="287" s="1"/>
  <c r="AY19" i="287" s="1"/>
  <c r="AY22" i="287" s="1"/>
  <c r="AY25" i="287" s="1"/>
  <c r="AY2" i="287"/>
  <c r="AW37" i="287"/>
  <c r="AW39" i="287" s="1"/>
  <c r="AV70" i="265"/>
  <c r="AE16" i="280"/>
  <c r="AE18" i="280" s="1"/>
  <c r="AE15" i="286" s="1"/>
  <c r="AY25" i="282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T62" i="280"/>
  <c r="T64" i="280" s="1"/>
  <c r="T68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7" i="280"/>
  <c r="T59" i="280" s="1"/>
  <c r="T67" i="280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S58" i="280"/>
  <c r="AS39" i="280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T58" i="280"/>
  <c r="AT39" i="280"/>
  <c r="AR76" i="281"/>
  <c r="AR78" i="281" s="1"/>
  <c r="AR85" i="281" s="1"/>
  <c r="AR86" i="281" s="1"/>
  <c r="AS83" i="281" s="1"/>
  <c r="AW20" i="275"/>
  <c r="AX17" i="275" s="1"/>
  <c r="AY38" i="287" l="1"/>
  <c r="AY26" i="287"/>
  <c r="AY36" i="265" s="1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18" i="287" s="1"/>
  <c r="AZ19" i="287" s="1"/>
  <c r="AZ22" i="287" s="1"/>
  <c r="AZ25" i="287" s="1"/>
  <c r="AZ2" i="287"/>
  <c r="AX37" i="287"/>
  <c r="AX39" i="287" s="1"/>
  <c r="AW70" i="265"/>
  <c r="AE19" i="280"/>
  <c r="AE49" i="265" s="1"/>
  <c r="AE28" i="280"/>
  <c r="AE29" i="280" s="1"/>
  <c r="AF26" i="280" s="1"/>
  <c r="T69" i="280"/>
  <c r="T70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35" i="287" s="1"/>
  <c r="AY52" i="273"/>
  <c r="AY42" i="273"/>
  <c r="AY4" i="287" s="1"/>
  <c r="W64" i="265"/>
  <c r="X60" i="281"/>
  <c r="AV9" i="265"/>
  <c r="AV11" i="265" s="1"/>
  <c r="AV14" i="265" s="1"/>
  <c r="AV19" i="265" s="1"/>
  <c r="AV22" i="265" s="1"/>
  <c r="AV50" i="28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W50" i="280"/>
  <c r="W63" i="280"/>
  <c r="AZ26" i="287" l="1"/>
  <c r="AZ36" i="265" s="1"/>
  <c r="AZ38" i="287"/>
  <c r="T40" i="280"/>
  <c r="T41" i="280" s="1"/>
  <c r="T14" i="286"/>
  <c r="T16" i="286" s="1"/>
  <c r="T18" i="286" s="1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18" i="287" s="1"/>
  <c r="BA19" i="287" s="1"/>
  <c r="BA22" i="287" s="1"/>
  <c r="BA25" i="287" s="1"/>
  <c r="BA2" i="287"/>
  <c r="AY37" i="287"/>
  <c r="AY39" i="287" s="1"/>
  <c r="AX70" i="265"/>
  <c r="AE73" i="265"/>
  <c r="T51" i="280"/>
  <c r="T52" i="280" s="1"/>
  <c r="T63" i="265" s="1"/>
  <c r="T65" i="265" s="1"/>
  <c r="T67" i="265" s="1"/>
  <c r="T80" i="265" s="1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24" i="265"/>
  <c r="T25" i="265" s="1"/>
  <c r="T52" i="265"/>
  <c r="T53" i="265" s="1"/>
  <c r="AX135" i="273"/>
  <c r="AY132" i="273"/>
  <c r="T74" i="265"/>
  <c r="T75" i="265" s="1"/>
  <c r="T81" i="265" s="1"/>
  <c r="U38" i="280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V39" i="280"/>
  <c r="AV58" i="280"/>
  <c r="AZ76" i="273"/>
  <c r="AZ35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5" i="273"/>
  <c r="BA32" i="273"/>
  <c r="BA33" i="273" s="1"/>
  <c r="BA2" i="273"/>
  <c r="AU58" i="280"/>
  <c r="AU39" i="280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BA26" i="287" l="1"/>
  <c r="BA36" i="265" s="1"/>
  <c r="BA38" i="287"/>
  <c r="U49" i="280"/>
  <c r="BB108" i="273"/>
  <c r="BB109" i="273" s="1"/>
  <c r="BB14" i="282" s="1"/>
  <c r="BB15" i="282" s="1"/>
  <c r="BB16" i="282" s="1"/>
  <c r="BB13" i="265" s="1"/>
  <c r="BB124" i="273"/>
  <c r="BB125" i="273" s="1"/>
  <c r="BB18" i="287" s="1"/>
  <c r="BB19" i="287" s="1"/>
  <c r="BB22" i="287" s="1"/>
  <c r="BB25" i="287" s="1"/>
  <c r="BB2" i="287"/>
  <c r="BA112" i="273"/>
  <c r="BB113" i="273" s="1"/>
  <c r="BB59" i="273" s="1"/>
  <c r="BA17" i="280"/>
  <c r="AZ37" i="287"/>
  <c r="AZ39" i="287" s="1"/>
  <c r="AY70" i="265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47" i="273"/>
  <c r="BC24" i="273"/>
  <c r="BC25" i="273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90" i="273"/>
  <c r="BB91" i="273" s="1"/>
  <c r="BB2" i="281"/>
  <c r="BB96" i="273"/>
  <c r="BB97" i="273" s="1"/>
  <c r="BB75" i="273"/>
  <c r="BB76" i="273" s="1"/>
  <c r="BB35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35" i="287" s="1"/>
  <c r="AW3" i="275"/>
  <c r="AW3" i="265"/>
  <c r="AW3" i="286"/>
  <c r="AW3" i="280"/>
  <c r="AW3" i="282"/>
  <c r="AW3" i="281"/>
  <c r="AW50" i="273"/>
  <c r="AW3" i="273"/>
  <c r="U62" i="280"/>
  <c r="U64" i="280" s="1"/>
  <c r="U68" i="280" s="1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U57" i="280"/>
  <c r="U59" i="280" s="1"/>
  <c r="U67" i="280" s="1"/>
  <c r="AZ132" i="273"/>
  <c r="AY135" i="273"/>
  <c r="T83" i="265"/>
  <c r="T82" i="265"/>
  <c r="BB25" i="282" l="1"/>
  <c r="BB26" i="287"/>
  <c r="BB36" i="265" s="1"/>
  <c r="BB38" i="287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18" i="287" s="1"/>
  <c r="BC19" i="287" s="1"/>
  <c r="BC22" i="287" s="1"/>
  <c r="BC25" i="287" s="1"/>
  <c r="BC2" i="287"/>
  <c r="BA37" i="287"/>
  <c r="BA39" i="287" s="1"/>
  <c r="AZ70" i="265"/>
  <c r="AG26" i="280"/>
  <c r="AG16" i="280" s="1"/>
  <c r="AG18" i="280" s="1"/>
  <c r="AG15" i="286" s="1"/>
  <c r="BC25" i="282"/>
  <c r="U69" i="280"/>
  <c r="U70" i="280" s="1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35" i="287" s="1"/>
  <c r="BC32" i="273"/>
  <c r="BC33" i="273" s="1"/>
  <c r="BC148" i="273"/>
  <c r="BC149" i="273" s="1"/>
  <c r="BC2" i="273"/>
  <c r="X63" i="280"/>
  <c r="X50" i="280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AW58" i="280"/>
  <c r="AW39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AX58" i="280"/>
  <c r="AX39" i="280"/>
  <c r="X64" i="265"/>
  <c r="Y60" i="281"/>
  <c r="Z112" i="281"/>
  <c r="Z113" i="281" s="1"/>
  <c r="BD147" i="273"/>
  <c r="BD24" i="273"/>
  <c r="BD25" i="273" s="1"/>
  <c r="BC38" i="287" l="1"/>
  <c r="BC26" i="287"/>
  <c r="BC36" i="265" s="1"/>
  <c r="U40" i="280"/>
  <c r="U41" i="280" s="1"/>
  <c r="U74" i="265" s="1"/>
  <c r="U75" i="265" s="1"/>
  <c r="U81" i="265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18" i="287" s="1"/>
  <c r="BD19" i="287" s="1"/>
  <c r="BD22" i="287" s="1"/>
  <c r="BD25" i="287" s="1"/>
  <c r="BD2" i="287"/>
  <c r="BB37" i="287"/>
  <c r="BB39" i="287" s="1"/>
  <c r="BA70" i="265"/>
  <c r="U14" i="286"/>
  <c r="U16" i="286" s="1"/>
  <c r="U18" i="286" s="1"/>
  <c r="AG19" i="280"/>
  <c r="AG49" i="265" s="1"/>
  <c r="AG28" i="280"/>
  <c r="AG29" i="280" s="1"/>
  <c r="AG73" i="265" s="1"/>
  <c r="U51" i="280"/>
  <c r="U52" i="280" s="1"/>
  <c r="U63" i="265" s="1"/>
  <c r="U65" i="265" s="1"/>
  <c r="U67" i="265" s="1"/>
  <c r="U80" i="265" s="1"/>
  <c r="AH26" i="280"/>
  <c r="BD25" i="282"/>
  <c r="AZ30" i="281"/>
  <c r="AZ36" i="281" s="1"/>
  <c r="AZ38" i="281" s="1"/>
  <c r="AZ9" i="265" s="1"/>
  <c r="AZ11" i="265" s="1"/>
  <c r="AZ14" i="265" s="1"/>
  <c r="AZ19" i="265" s="1"/>
  <c r="AZ22" i="265" s="1"/>
  <c r="BD19" i="286"/>
  <c r="BD2" i="275"/>
  <c r="BD2" i="265"/>
  <c r="BD2" i="286"/>
  <c r="BD2" i="280"/>
  <c r="BD2" i="282"/>
  <c r="BD148" i="273"/>
  <c r="BD149" i="273" s="1"/>
  <c r="BD2" i="281"/>
  <c r="BD96" i="273"/>
  <c r="BD97" i="273" s="1"/>
  <c r="BD90" i="273"/>
  <c r="BD91" i="273" s="1"/>
  <c r="BD75" i="273"/>
  <c r="BD76" i="273" s="1"/>
  <c r="BD35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84" i="281"/>
  <c r="AZ61" i="281"/>
  <c r="AZ45" i="281"/>
  <c r="AZ47" i="281" s="1"/>
  <c r="AZ51" i="281" s="1"/>
  <c r="U52" i="265"/>
  <c r="U53" i="265" s="1"/>
  <c r="U24" i="265"/>
  <c r="U25" i="265" s="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V38" i="280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V49" i="280" l="1"/>
  <c r="AZ50" i="281"/>
  <c r="AZ71" i="281"/>
  <c r="AZ73" i="281" s="1"/>
  <c r="AZ77" i="281" s="1"/>
  <c r="BD26" i="287"/>
  <c r="BD36" i="265" s="1"/>
  <c r="BD38" i="287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18" i="287" s="1"/>
  <c r="BE19" i="287" s="1"/>
  <c r="BE22" i="287" s="1"/>
  <c r="BE25" i="287" s="1"/>
  <c r="BE2" i="287"/>
  <c r="BC37" i="287"/>
  <c r="BC39" i="287" s="1"/>
  <c r="BB70" i="265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AY58" i="280"/>
  <c r="AY39" i="280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V57" i="280"/>
  <c r="V59" i="280" s="1"/>
  <c r="V67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V62" i="280"/>
  <c r="V64" i="280" s="1"/>
  <c r="V68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5" i="273"/>
  <c r="BE76" i="273" s="1"/>
  <c r="BE35" i="287" s="1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39" i="280"/>
  <c r="AZ58" i="280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E26" i="287" l="1"/>
  <c r="BE36" i="265" s="1"/>
  <c r="BE38" i="287"/>
  <c r="BB30" i="281"/>
  <c r="BB36" i="281" s="1"/>
  <c r="BB38" i="281" s="1"/>
  <c r="BF108" i="273"/>
  <c r="BF109" i="273" s="1"/>
  <c r="BF14" i="282" s="1"/>
  <c r="BF15" i="282" s="1"/>
  <c r="BF16" i="282" s="1"/>
  <c r="BF13" i="265" s="1"/>
  <c r="BF124" i="273"/>
  <c r="BF125" i="273" s="1"/>
  <c r="BF18" i="287" s="1"/>
  <c r="BF19" i="287" s="1"/>
  <c r="BF22" i="287" s="1"/>
  <c r="BF25" i="287" s="1"/>
  <c r="BF2" i="287"/>
  <c r="BE112" i="273"/>
  <c r="BF113" i="273" s="1"/>
  <c r="BF59" i="273" s="1"/>
  <c r="BE17" i="280"/>
  <c r="BD37" i="287"/>
  <c r="BD39" i="287" s="1"/>
  <c r="BC70" i="265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63" i="280"/>
  <c r="Y50" i="280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58" i="280"/>
  <c r="BA39" i="280"/>
  <c r="V69" i="280"/>
  <c r="BA3" i="275"/>
  <c r="BA3" i="265"/>
  <c r="BA3" i="286"/>
  <c r="BA3" i="280"/>
  <c r="BA3" i="282"/>
  <c r="BA3" i="281"/>
  <c r="BA50" i="273"/>
  <c r="BA3" i="273"/>
  <c r="BF26" i="287" l="1"/>
  <c r="BF36" i="265" s="1"/>
  <c r="BF38" i="287"/>
  <c r="BF25" i="282"/>
  <c r="BE37" i="287"/>
  <c r="BE39" i="287" s="1"/>
  <c r="BD70" i="265"/>
  <c r="BC30" i="281"/>
  <c r="BC36" i="281" s="1"/>
  <c r="BC38" i="281" s="1"/>
  <c r="BC9" i="265" s="1"/>
  <c r="BC11" i="265" s="1"/>
  <c r="BC14" i="265" s="1"/>
  <c r="BC19" i="265" s="1"/>
  <c r="BC22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18" i="287" s="1"/>
  <c r="BG19" i="287" s="1"/>
  <c r="BG22" i="287" s="1"/>
  <c r="BG25" i="287" s="1"/>
  <c r="BG2" i="287"/>
  <c r="AH73" i="265"/>
  <c r="AI16" i="280"/>
  <c r="AI18" i="280" s="1"/>
  <c r="AI15" i="286" s="1"/>
  <c r="BE20" i="275"/>
  <c r="BF17" i="275" s="1"/>
  <c r="V14" i="286"/>
  <c r="V16" i="286" s="1"/>
  <c r="V18" i="286" s="1"/>
  <c r="V70" i="280"/>
  <c r="V51" i="280"/>
  <c r="V52" i="280" s="1"/>
  <c r="V40" i="280"/>
  <c r="V41" i="280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35" i="287" s="1"/>
  <c r="BG32" i="273"/>
  <c r="BG33" i="273" s="1"/>
  <c r="BG148" i="273"/>
  <c r="BG149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35" i="287" s="1"/>
  <c r="BB58" i="280"/>
  <c r="BB39" i="280"/>
  <c r="BG38" i="287" l="1"/>
  <c r="BG26" i="287"/>
  <c r="BG36" i="265" s="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18" i="287" s="1"/>
  <c r="BH19" i="287" s="1"/>
  <c r="BH22" i="287" s="1"/>
  <c r="BH25" i="287" s="1"/>
  <c r="BH2" i="287"/>
  <c r="BF37" i="287"/>
  <c r="BF39" i="287" s="1"/>
  <c r="BE70" i="265"/>
  <c r="AI19" i="280"/>
  <c r="AI49" i="265" s="1"/>
  <c r="AI28" i="280"/>
  <c r="AI29" i="280" s="1"/>
  <c r="AI73" i="265" s="1"/>
  <c r="BH25" i="282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C58" i="280"/>
  <c r="BC39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V63" i="265"/>
  <c r="V65" i="265" s="1"/>
  <c r="V67" i="265" s="1"/>
  <c r="V80" i="265" s="1"/>
  <c r="W49" i="280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8" i="280"/>
  <c r="V24" i="265"/>
  <c r="V25" i="265" s="1"/>
  <c r="V52" i="265"/>
  <c r="V53" i="265" s="1"/>
  <c r="BH26" i="287" l="1"/>
  <c r="BH36" i="265" s="1"/>
  <c r="BH38" i="287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18" i="287" s="1"/>
  <c r="BI19" i="287" s="1"/>
  <c r="BI22" i="287" s="1"/>
  <c r="BI25" i="287" s="1"/>
  <c r="BI2" i="287"/>
  <c r="BG37" i="287"/>
  <c r="BG39" i="287" s="1"/>
  <c r="BF70" i="265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35" i="287" s="1"/>
  <c r="W62" i="280"/>
  <c r="W64" i="280" s="1"/>
  <c r="W68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W57" i="280"/>
  <c r="W59" i="280" s="1"/>
  <c r="W67" i="280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5" i="273"/>
  <c r="BI32" i="273"/>
  <c r="BI33" i="273" s="1"/>
  <c r="BI2" i="273"/>
  <c r="Z63" i="280"/>
  <c r="Z50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I26" i="287" l="1"/>
  <c r="BI36" i="265" s="1"/>
  <c r="BI38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18" i="287" s="1"/>
  <c r="BJ19" i="287" s="1"/>
  <c r="BJ22" i="287" s="1"/>
  <c r="BJ25" i="287" s="1"/>
  <c r="BJ2" i="287"/>
  <c r="BH37" i="287"/>
  <c r="BH39" i="287" s="1"/>
  <c r="BG70" i="265"/>
  <c r="AJ19" i="280"/>
  <c r="AJ49" i="265" s="1"/>
  <c r="AJ28" i="280"/>
  <c r="AJ29" i="280" s="1"/>
  <c r="AJ73" i="265" s="1"/>
  <c r="W69" i="280"/>
  <c r="W70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90" i="273"/>
  <c r="BJ91" i="273" s="1"/>
  <c r="BJ2" i="281"/>
  <c r="BJ96" i="273"/>
  <c r="BJ97" i="273" s="1"/>
  <c r="BJ75" i="273"/>
  <c r="BJ76" i="273" s="1"/>
  <c r="BJ35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35" i="287" s="1"/>
  <c r="BD39" i="280"/>
  <c r="BD58" i="280"/>
  <c r="BJ26" i="287" l="1"/>
  <c r="BJ36" i="265" s="1"/>
  <c r="BJ38" i="287"/>
  <c r="BJ25" i="282"/>
  <c r="AK26" i="280"/>
  <c r="BK108" i="273"/>
  <c r="BK109" i="273" s="1"/>
  <c r="BK14" i="282" s="1"/>
  <c r="BK15" i="282" s="1"/>
  <c r="BK25" i="282" s="1"/>
  <c r="BK124" i="273"/>
  <c r="BK125" i="273" s="1"/>
  <c r="BK18" i="287" s="1"/>
  <c r="BK19" i="287" s="1"/>
  <c r="BK22" i="287" s="1"/>
  <c r="BK25" i="287" s="1"/>
  <c r="BK2" i="287"/>
  <c r="BJ112" i="273"/>
  <c r="BK113" i="273" s="1"/>
  <c r="BK59" i="273" s="1"/>
  <c r="BJ17" i="280"/>
  <c r="BI37" i="287"/>
  <c r="BI39" i="287" s="1"/>
  <c r="BH70" i="265"/>
  <c r="AK16" i="280"/>
  <c r="AK18" i="280" s="1"/>
  <c r="AK15" i="286" s="1"/>
  <c r="W40" i="280"/>
  <c r="W41" i="280" s="1"/>
  <c r="X38" i="280" s="1"/>
  <c r="W14" i="286"/>
  <c r="W16" i="286" s="1"/>
  <c r="W18" i="286" s="1"/>
  <c r="W51" i="280"/>
  <c r="W52" i="280" s="1"/>
  <c r="X49" i="280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F58" i="280"/>
  <c r="BF39" i="280"/>
  <c r="BE58" i="280"/>
  <c r="BE39" i="280"/>
  <c r="W74" i="265"/>
  <c r="W75" i="265" s="1"/>
  <c r="W81" i="265" s="1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2" i="273"/>
  <c r="BJ52" i="273"/>
  <c r="BJ42" i="273"/>
  <c r="BJ4" i="287" s="1"/>
  <c r="BK38" i="287" l="1"/>
  <c r="BK26" i="287"/>
  <c r="BK36" i="265" s="1"/>
  <c r="W63" i="265"/>
  <c r="W65" i="265" s="1"/>
  <c r="W67" i="265" s="1"/>
  <c r="W80" i="265" s="1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18" i="287" s="1"/>
  <c r="BL19" i="287" s="1"/>
  <c r="BL22" i="287" s="1"/>
  <c r="BL25" i="287" s="1"/>
  <c r="BL2" i="287"/>
  <c r="BJ37" i="287"/>
  <c r="BJ39" i="287" s="1"/>
  <c r="BI70" i="265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2" i="281"/>
  <c r="BL96" i="273"/>
  <c r="BL97" i="273" s="1"/>
  <c r="BL90" i="273"/>
  <c r="BL91" i="273" s="1"/>
  <c r="BL75" i="273"/>
  <c r="BL32" i="273"/>
  <c r="BL33" i="273" s="1"/>
  <c r="BL2" i="273"/>
  <c r="BK141" i="273"/>
  <c r="BK38" i="273"/>
  <c r="BL39" i="273" s="1"/>
  <c r="BL41" i="273" s="1"/>
  <c r="X62" i="280"/>
  <c r="X64" i="280" s="1"/>
  <c r="X68" i="280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63" i="280"/>
  <c r="AA50" i="280"/>
  <c r="BK106" i="281"/>
  <c r="BK72" i="281"/>
  <c r="BK46" i="281"/>
  <c r="BL76" i="273"/>
  <c r="BL35" i="287" s="1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K35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X57" i="280"/>
  <c r="X59" i="280" s="1"/>
  <c r="X67" i="280" s="1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26" i="287" l="1"/>
  <c r="BL36" i="265" s="1"/>
  <c r="BL38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18" i="287" s="1"/>
  <c r="BM19" i="287" s="1"/>
  <c r="BM22" i="287" s="1"/>
  <c r="BM25" i="287" s="1"/>
  <c r="BM2" i="287"/>
  <c r="BK37" i="287"/>
  <c r="BK39" i="287" s="1"/>
  <c r="BJ70" i="265"/>
  <c r="AL16" i="280"/>
  <c r="AL18" i="280" s="1"/>
  <c r="AL15" i="286" s="1"/>
  <c r="BM25" i="282"/>
  <c r="X69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G58" i="280"/>
  <c r="BG39" i="280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5" i="273"/>
  <c r="BM76" i="273" s="1"/>
  <c r="BM35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M26" i="287" l="1"/>
  <c r="BM36" i="265" s="1"/>
  <c r="BM38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18" i="287" s="1"/>
  <c r="BN19" i="287" s="1"/>
  <c r="BN22" i="287" s="1"/>
  <c r="BN25" i="287" s="1"/>
  <c r="BN2" i="287"/>
  <c r="BL37" i="287"/>
  <c r="BL39" i="287" s="1"/>
  <c r="BK70" i="265"/>
  <c r="AL19" i="280"/>
  <c r="AL49" i="265" s="1"/>
  <c r="AL28" i="280"/>
  <c r="AL29" i="280" s="1"/>
  <c r="AL73" i="265" s="1"/>
  <c r="X51" i="280"/>
  <c r="X52" i="280" s="1"/>
  <c r="Y49" i="280" s="1"/>
  <c r="X70" i="280"/>
  <c r="X24" i="265" s="1"/>
  <c r="X25" i="265" s="1"/>
  <c r="BN16" i="282"/>
  <c r="BN13" i="265" s="1"/>
  <c r="BL20" i="275"/>
  <c r="BM17" i="275" s="1"/>
  <c r="X40" i="280"/>
  <c r="X41" i="280" s="1"/>
  <c r="X74" i="265" s="1"/>
  <c r="X75" i="265" s="1"/>
  <c r="X81" i="265" s="1"/>
  <c r="BG76" i="281"/>
  <c r="BG78" i="281" s="1"/>
  <c r="BG85" i="281" s="1"/>
  <c r="BG86" i="281" s="1"/>
  <c r="BH83" i="281" s="1"/>
  <c r="BH39" i="280"/>
  <c r="BH58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58" i="280"/>
  <c r="BI39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20" i="275" s="1"/>
  <c r="BN17" i="275" s="1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90" i="273"/>
  <c r="BN91" i="273" s="1"/>
  <c r="BN2" i="281"/>
  <c r="BN96" i="273"/>
  <c r="BN97" i="273" s="1"/>
  <c r="BN75" i="273"/>
  <c r="BN76" i="273" s="1"/>
  <c r="BN35" i="287" s="1"/>
  <c r="BN32" i="273"/>
  <c r="BN33" i="273" s="1"/>
  <c r="BN2" i="273"/>
  <c r="BJ66" i="273"/>
  <c r="BJ67" i="273" s="1"/>
  <c r="BJ3" i="287" s="1"/>
  <c r="BK60" i="273"/>
  <c r="AB30" i="265"/>
  <c r="AB33" i="265" s="1"/>
  <c r="AB37" i="265" s="1"/>
  <c r="AB42" i="265" s="1"/>
  <c r="AB47" i="265" s="1"/>
  <c r="AB50" i="265" s="1"/>
  <c r="AB62" i="281"/>
  <c r="AB63" i="281" s="1"/>
  <c r="BJ30" i="281"/>
  <c r="BJ36" i="281" s="1"/>
  <c r="BJ38" i="281" s="1"/>
  <c r="BN26" i="287" l="1"/>
  <c r="BN36" i="265" s="1"/>
  <c r="BN38" i="287"/>
  <c r="Y38" i="280"/>
  <c r="X63" i="265"/>
  <c r="X65" i="265" s="1"/>
  <c r="X67" i="265" s="1"/>
  <c r="X80" i="265" s="1"/>
  <c r="X82" i="265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18" i="287" s="1"/>
  <c r="BO19" i="287" s="1"/>
  <c r="BO22" i="287" s="1"/>
  <c r="BO25" i="287" s="1"/>
  <c r="BO2" i="287"/>
  <c r="BM37" i="287"/>
  <c r="BM39" i="287" s="1"/>
  <c r="BL70" i="265"/>
  <c r="AM26" i="280"/>
  <c r="X52" i="265"/>
  <c r="X53" i="265" s="1"/>
  <c r="AM16" i="280"/>
  <c r="AM18" i="280" s="1"/>
  <c r="AM15" i="286" s="1"/>
  <c r="BO25" i="282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Y57" i="280"/>
  <c r="Y59" i="280" s="1"/>
  <c r="Y67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63" i="280"/>
  <c r="AB50" i="280"/>
  <c r="BJ3" i="275"/>
  <c r="BJ3" i="265"/>
  <c r="BJ3" i="286"/>
  <c r="BJ3" i="280"/>
  <c r="BJ3" i="282"/>
  <c r="BJ50" i="273"/>
  <c r="BJ3" i="281"/>
  <c r="BJ3" i="273"/>
  <c r="BN46" i="281"/>
  <c r="BN106" i="281"/>
  <c r="BN72" i="281"/>
  <c r="Y62" i="280"/>
  <c r="Y64" i="280" s="1"/>
  <c r="Y68" i="280" s="1"/>
  <c r="BK9" i="265"/>
  <c r="BK11" i="265" s="1"/>
  <c r="BK14" i="265" s="1"/>
  <c r="BK19" i="265" s="1"/>
  <c r="BK22" i="265" s="1"/>
  <c r="BK61" i="28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2" i="273"/>
  <c r="X83" i="265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38" i="287" l="1"/>
  <c r="BO26" i="287"/>
  <c r="BO36" i="265" s="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18" i="287" s="1"/>
  <c r="BP19" i="287" s="1"/>
  <c r="BP22" i="287" s="1"/>
  <c r="BP25" i="287" s="1"/>
  <c r="BP2" i="287"/>
  <c r="BN37" i="287"/>
  <c r="BN39" i="287" s="1"/>
  <c r="BM70" i="265"/>
  <c r="AM19" i="280"/>
  <c r="AM49" i="265" s="1"/>
  <c r="AM28" i="280"/>
  <c r="AM29" i="280" s="1"/>
  <c r="AN26" i="280" s="1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2" i="281"/>
  <c r="BP96" i="273"/>
  <c r="BP97" i="273" s="1"/>
  <c r="BP90" i="273"/>
  <c r="BP91" i="273" s="1"/>
  <c r="BP75" i="273"/>
  <c r="BP32" i="273"/>
  <c r="BP33" i="273" s="1"/>
  <c r="BP2" i="273"/>
  <c r="BJ58" i="280"/>
  <c r="BJ39" i="280"/>
  <c r="Y69" i="280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P35" i="287" s="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58" i="280"/>
  <c r="BK39" i="280"/>
  <c r="BO76" i="273"/>
  <c r="BO35" i="287" s="1"/>
  <c r="BL59" i="265"/>
  <c r="BL60" i="265" s="1"/>
  <c r="BM23" i="282"/>
  <c r="BM26" i="282" s="1"/>
  <c r="AC52" i="281"/>
  <c r="AC53" i="281" s="1"/>
  <c r="BP26" i="287" l="1"/>
  <c r="BP36" i="265" s="1"/>
  <c r="BP38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18" i="287" s="1"/>
  <c r="BQ19" i="287" s="1"/>
  <c r="BQ22" i="287" s="1"/>
  <c r="BQ25" i="287" s="1"/>
  <c r="BQ2" i="287"/>
  <c r="BO37" i="287"/>
  <c r="BO39" i="287" s="1"/>
  <c r="BN70" i="265"/>
  <c r="AM73" i="265"/>
  <c r="AN16" i="280"/>
  <c r="AN18" i="280" s="1"/>
  <c r="AN15" i="286" s="1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39" i="280"/>
  <c r="BL58" i="280"/>
  <c r="BN135" i="273"/>
  <c r="BO132" i="273"/>
  <c r="BN12" i="281"/>
  <c r="BN14" i="281" s="1"/>
  <c r="BN28" i="281" s="1"/>
  <c r="BO143" i="273"/>
  <c r="Y70" i="280"/>
  <c r="Y14" i="286"/>
  <c r="Y16" i="286" s="1"/>
  <c r="Y18" i="286" s="1"/>
  <c r="Y51" i="280"/>
  <c r="Y52" i="280" s="1"/>
  <c r="Y40" i="280"/>
  <c r="Y41" i="280" s="1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26" i="287" l="1"/>
  <c r="BQ36" i="265" s="1"/>
  <c r="BQ38" i="287"/>
  <c r="BQ112" i="273"/>
  <c r="BR113" i="273" s="1"/>
  <c r="BR59" i="273" s="1"/>
  <c r="BQ17" i="280"/>
  <c r="BR108" i="273"/>
  <c r="BR109" i="273" s="1"/>
  <c r="BR14" i="282" s="1"/>
  <c r="BR15" i="282" s="1"/>
  <c r="BR124" i="273"/>
  <c r="BR125" i="273" s="1"/>
  <c r="BR18" i="287" s="1"/>
  <c r="BR19" i="287" s="1"/>
  <c r="BR22" i="287" s="1"/>
  <c r="BR25" i="287" s="1"/>
  <c r="BR2" i="287"/>
  <c r="BP37" i="287"/>
  <c r="BP39" i="287" s="1"/>
  <c r="BO70" i="265"/>
  <c r="AN19" i="280"/>
  <c r="AN49" i="265" s="1"/>
  <c r="AN28" i="280"/>
  <c r="AN29" i="280" s="1"/>
  <c r="AO26" i="280" s="1"/>
  <c r="BR25" i="282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35" i="287" s="1"/>
  <c r="Y63" i="265"/>
  <c r="Y65" i="265" s="1"/>
  <c r="Y67" i="265" s="1"/>
  <c r="Y80" i="265" s="1"/>
  <c r="Z49" i="280"/>
  <c r="Y52" i="265"/>
  <c r="Y53" i="265" s="1"/>
  <c r="Y24" i="265"/>
  <c r="Y25" i="265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90" i="273"/>
  <c r="BR91" i="273" s="1"/>
  <c r="BR2" i="281"/>
  <c r="BR96" i="273"/>
  <c r="BR97" i="273" s="1"/>
  <c r="BR75" i="273"/>
  <c r="BR76" i="273" s="1"/>
  <c r="BR35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8" i="280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BM58" i="280"/>
  <c r="BM39" i="280"/>
  <c r="AE112" i="281"/>
  <c r="AE113" i="281" s="1"/>
  <c r="AC63" i="280"/>
  <c r="AC50" i="280"/>
  <c r="BR26" i="287" l="1"/>
  <c r="BR36" i="265" s="1"/>
  <c r="BR38" i="287"/>
  <c r="AN73" i="265"/>
  <c r="BS108" i="273"/>
  <c r="BS109" i="273" s="1"/>
  <c r="BS14" i="282" s="1"/>
  <c r="BS15" i="282" s="1"/>
  <c r="BS25" i="282" s="1"/>
  <c r="BS124" i="273"/>
  <c r="BS125" i="273" s="1"/>
  <c r="BS18" i="287" s="1"/>
  <c r="BS19" i="287" s="1"/>
  <c r="BS22" i="287" s="1"/>
  <c r="BS25" i="287" s="1"/>
  <c r="BS2" i="287"/>
  <c r="BR112" i="273"/>
  <c r="BS113" i="273" s="1"/>
  <c r="BS59" i="273" s="1"/>
  <c r="BR17" i="280"/>
  <c r="BQ37" i="287"/>
  <c r="BQ39" i="287" s="1"/>
  <c r="BP70" i="265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2" i="273"/>
  <c r="Z57" i="280"/>
  <c r="Z59" i="280" s="1"/>
  <c r="Z67" i="280" s="1"/>
  <c r="AD52" i="281"/>
  <c r="AD53" i="281" s="1"/>
  <c r="BS76" i="273"/>
  <c r="BS35" i="287" s="1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62" i="280"/>
  <c r="Z64" i="280" s="1"/>
  <c r="Z68" i="280" s="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38" i="287" l="1"/>
  <c r="BS26" i="287"/>
  <c r="BS36" i="265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18" i="287" s="1"/>
  <c r="BT19" i="287" s="1"/>
  <c r="BT22" i="287" s="1"/>
  <c r="BT25" i="287" s="1"/>
  <c r="BT2" i="287"/>
  <c r="BR37" i="287"/>
  <c r="BR39" i="287" s="1"/>
  <c r="BQ70" i="265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Z69" i="280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O58" i="280"/>
  <c r="BO39" i="280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N58" i="280"/>
  <c r="BN39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26" i="287" l="1"/>
  <c r="BT36" i="265" s="1"/>
  <c r="BT38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18" i="287" s="1"/>
  <c r="BU19" i="287" s="1"/>
  <c r="BU22" i="287" s="1"/>
  <c r="BU25" i="287" s="1"/>
  <c r="BU2" i="287"/>
  <c r="BS37" i="287"/>
  <c r="BS39" i="287" s="1"/>
  <c r="BR70" i="265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5" i="273"/>
  <c r="BU76" i="273" s="1"/>
  <c r="BU35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AD63" i="280"/>
  <c r="AD50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35" i="287" s="1"/>
  <c r="Z14" i="286"/>
  <c r="Z16" i="286" s="1"/>
  <c r="Z18" i="286" s="1"/>
  <c r="Z70" i="280"/>
  <c r="Z51" i="280"/>
  <c r="Z52" i="280" s="1"/>
  <c r="Z40" i="280"/>
  <c r="Z41" i="280" s="1"/>
  <c r="BV147" i="273"/>
  <c r="BV24" i="273"/>
  <c r="BV25" i="273" s="1"/>
  <c r="BU26" i="287" l="1"/>
  <c r="BU36" i="265" s="1"/>
  <c r="BU38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18" i="287" s="1"/>
  <c r="BV19" i="287" s="1"/>
  <c r="BV22" i="287" s="1"/>
  <c r="BV25" i="287" s="1"/>
  <c r="BV2" i="287"/>
  <c r="BU112" i="273"/>
  <c r="BV113" i="273" s="1"/>
  <c r="BV59" i="273" s="1"/>
  <c r="BU17" i="280"/>
  <c r="BT37" i="287"/>
  <c r="BT39" i="287" s="1"/>
  <c r="BS70" i="265"/>
  <c r="AP19" i="280"/>
  <c r="AP49" i="265" s="1"/>
  <c r="AP28" i="280"/>
  <c r="AP29" i="280" s="1"/>
  <c r="AQ26" i="280" s="1"/>
  <c r="BV25" i="282"/>
  <c r="BR30" i="281"/>
  <c r="BR36" i="281" s="1"/>
  <c r="BR38" i="281" s="1"/>
  <c r="BR9" i="265" s="1"/>
  <c r="BR11" i="265" s="1"/>
  <c r="BR14" i="265" s="1"/>
  <c r="BR19" i="265" s="1"/>
  <c r="BR22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90" i="273"/>
  <c r="BV91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8" i="280"/>
  <c r="Z24" i="265"/>
  <c r="Z25" i="265" s="1"/>
  <c r="Z52" i="265"/>
  <c r="Z53" i="265" s="1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9" i="280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P39" i="280"/>
  <c r="BP58" i="280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61" i="281"/>
  <c r="BV76" i="273"/>
  <c r="BV35" i="287" s="1"/>
  <c r="BT122" i="281"/>
  <c r="BT105" i="281"/>
  <c r="BT107" i="281" s="1"/>
  <c r="BT111" i="281" s="1"/>
  <c r="BT98" i="281"/>
  <c r="BT10" i="265" s="1"/>
  <c r="BT110" i="281"/>
  <c r="BQ58" i="280"/>
  <c r="BQ39" i="280"/>
  <c r="BV26" i="287" l="1"/>
  <c r="BV36" i="265" s="1"/>
  <c r="BV38" i="287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18" i="287" s="1"/>
  <c r="BW19" i="287" s="1"/>
  <c r="BW22" i="287" s="1"/>
  <c r="BW25" i="287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BU37" i="287"/>
  <c r="BU39" i="287" s="1"/>
  <c r="BT70" i="265"/>
  <c r="AQ16" i="280"/>
  <c r="AQ18" i="280" s="1"/>
  <c r="AQ15" i="286" s="1"/>
  <c r="BR58" i="280"/>
  <c r="BR39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57" i="280"/>
  <c r="AA59" i="280" s="1"/>
  <c r="AA67" i="280" s="1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2" i="273"/>
  <c r="BS66" i="273"/>
  <c r="BS67" i="273" s="1"/>
  <c r="BS3" i="287" s="1"/>
  <c r="BT60" i="273"/>
  <c r="AA62" i="280"/>
  <c r="AA64" i="280" s="1"/>
  <c r="AA68" i="280" s="1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6" i="282" l="1"/>
  <c r="BW13" i="265" s="1"/>
  <c r="BW38" i="287"/>
  <c r="BW26" i="287"/>
  <c r="BW36" i="265" s="1"/>
  <c r="BV37" i="287"/>
  <c r="BV39" i="287" s="1"/>
  <c r="BU70" i="265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18" i="287" s="1"/>
  <c r="BX19" i="287" s="1"/>
  <c r="BX22" i="287" s="1"/>
  <c r="BX25" i="287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AE50" i="280"/>
  <c r="AE63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2" i="281"/>
  <c r="BX96" i="273"/>
  <c r="BX97" i="273" s="1"/>
  <c r="BX90" i="273"/>
  <c r="BX91" i="273" s="1"/>
  <c r="BX75" i="273"/>
  <c r="BX76" i="273" s="1"/>
  <c r="BX35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35" i="287" s="1"/>
  <c r="AA69" i="280"/>
  <c r="BV4" i="275"/>
  <c r="BV4" i="265"/>
  <c r="BV4" i="286"/>
  <c r="BV4" i="280"/>
  <c r="BV4" i="282"/>
  <c r="BV4" i="281"/>
  <c r="BV4" i="273"/>
  <c r="AG112" i="281"/>
  <c r="AG113" i="281" s="1"/>
  <c r="BX25" i="282" l="1"/>
  <c r="BX26" i="287"/>
  <c r="BX36" i="265" s="1"/>
  <c r="BX38" i="287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18" i="287" s="1"/>
  <c r="BY19" i="287" s="1"/>
  <c r="BY22" i="287" s="1"/>
  <c r="BY25" i="287" s="1"/>
  <c r="BY2" i="287"/>
  <c r="BW37" i="287"/>
  <c r="BW39" i="287" s="1"/>
  <c r="BV70" i="265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A70" i="280"/>
  <c r="AA14" i="286"/>
  <c r="AA16" i="286" s="1"/>
  <c r="AA18" i="286" s="1"/>
  <c r="AA51" i="280"/>
  <c r="AA52" i="280" s="1"/>
  <c r="AA40" i="280"/>
  <c r="AA41" i="280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9" i="280"/>
  <c r="BT58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5" i="273"/>
  <c r="BY76" i="273" s="1"/>
  <c r="BY35" i="287" s="1"/>
  <c r="BY32" i="273"/>
  <c r="BY33" i="273" s="1"/>
  <c r="BY2" i="273"/>
  <c r="BS58" i="280"/>
  <c r="BS39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26" i="287" l="1"/>
  <c r="BY36" i="265" s="1"/>
  <c r="BY38" i="287"/>
  <c r="BY112" i="273"/>
  <c r="BZ113" i="273" s="1"/>
  <c r="BZ59" i="273" s="1"/>
  <c r="BY17" i="280"/>
  <c r="BZ108" i="273"/>
  <c r="BZ109" i="273" s="1"/>
  <c r="BZ14" i="282" s="1"/>
  <c r="BZ15" i="282" s="1"/>
  <c r="BZ124" i="273"/>
  <c r="BZ125" i="273" s="1"/>
  <c r="BZ18" i="287" s="1"/>
  <c r="BZ19" i="287" s="1"/>
  <c r="BZ22" i="287" s="1"/>
  <c r="BZ25" i="287" s="1"/>
  <c r="BZ2" i="287"/>
  <c r="BX37" i="287"/>
  <c r="BX39" i="287" s="1"/>
  <c r="BW70" i="265"/>
  <c r="AR19" i="280"/>
  <c r="AR49" i="265" s="1"/>
  <c r="AR28" i="280"/>
  <c r="AR29" i="280" s="1"/>
  <c r="AS26" i="280" s="1"/>
  <c r="BZ25" i="282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9" i="280"/>
  <c r="AA52" i="265"/>
  <c r="AA53" i="265" s="1"/>
  <c r="AA24" i="265"/>
  <c r="AA25" i="265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8" i="280"/>
  <c r="BS76" i="281"/>
  <c r="BS78" i="281" s="1"/>
  <c r="BS85" i="281" s="1"/>
  <c r="BS86" i="281" s="1"/>
  <c r="BT83" i="281" s="1"/>
  <c r="BX20" i="275"/>
  <c r="BY17" i="275" s="1"/>
  <c r="BZ26" i="287" l="1"/>
  <c r="BZ36" i="265" s="1"/>
  <c r="BZ38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18" i="287" s="1"/>
  <c r="CA19" i="287" s="1"/>
  <c r="CA22" i="287" s="1"/>
  <c r="CA25" i="287" s="1"/>
  <c r="CA2" i="287"/>
  <c r="BY37" i="287"/>
  <c r="BY39" i="287" s="1"/>
  <c r="BX70" i="265"/>
  <c r="AR73" i="265"/>
  <c r="AS16" i="280"/>
  <c r="AS18" i="280" s="1"/>
  <c r="AS15" i="286" s="1"/>
  <c r="BW30" i="281"/>
  <c r="BW36" i="281" s="1"/>
  <c r="BW38" i="281" s="1"/>
  <c r="BT76" i="281"/>
  <c r="BT78" i="281" s="1"/>
  <c r="BT85" i="281" s="1"/>
  <c r="BT86" i="281" s="1"/>
  <c r="BU83" i="281" s="1"/>
  <c r="AB57" i="280"/>
  <c r="AB59" i="280" s="1"/>
  <c r="AB67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AA82" i="265"/>
  <c r="AA83" i="265"/>
  <c r="AF63" i="280"/>
  <c r="AF50" i="280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62" i="280"/>
  <c r="AB64" i="280" s="1"/>
  <c r="AB68" i="280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35" i="287" s="1"/>
  <c r="BU58" i="280"/>
  <c r="BU39" i="280"/>
  <c r="BY110" i="281"/>
  <c r="BY105" i="281"/>
  <c r="BY107" i="281" s="1"/>
  <c r="BY111" i="281" s="1"/>
  <c r="BY98" i="281"/>
  <c r="BY10" i="265" s="1"/>
  <c r="BY122" i="281"/>
  <c r="CA16" i="282" l="1"/>
  <c r="CA13" i="265" s="1"/>
  <c r="CA38" i="287"/>
  <c r="CA26" i="287"/>
  <c r="CA36" i="265" s="1"/>
  <c r="CA112" i="273"/>
  <c r="CB113" i="273" s="1"/>
  <c r="CB59" i="273" s="1"/>
  <c r="CA17" i="280"/>
  <c r="CB108" i="273"/>
  <c r="CB109" i="273" s="1"/>
  <c r="CB14" i="282" s="1"/>
  <c r="CB15" i="282" s="1"/>
  <c r="CB124" i="273"/>
  <c r="CB125" i="273" s="1"/>
  <c r="CB18" i="287" s="1"/>
  <c r="CB19" i="287" s="1"/>
  <c r="CB22" i="287" s="1"/>
  <c r="CB25" i="287" s="1"/>
  <c r="CB2" i="287"/>
  <c r="BZ37" i="287"/>
  <c r="BZ39" i="287" s="1"/>
  <c r="BY70" i="265"/>
  <c r="AS19" i="280"/>
  <c r="AS49" i="265" s="1"/>
  <c r="AS28" i="280"/>
  <c r="AS29" i="280" s="1"/>
  <c r="AT26" i="280" s="1"/>
  <c r="CB25" i="282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58" i="280"/>
  <c r="BW39" i="280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V58" i="280"/>
  <c r="BV39" i="280"/>
  <c r="BX30" i="281"/>
  <c r="BX36" i="281" s="1"/>
  <c r="BX38" i="281" s="1"/>
  <c r="CA106" i="281"/>
  <c r="CA72" i="281"/>
  <c r="CA46" i="281"/>
  <c r="CB76" i="273"/>
  <c r="CB35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35" i="287" s="1"/>
  <c r="AH114" i="281"/>
  <c r="AH31" i="265" s="1"/>
  <c r="AH123" i="281"/>
  <c r="AH124" i="281" s="1"/>
  <c r="AB69" i="280"/>
  <c r="CB26" i="287" l="1"/>
  <c r="CB36" i="265" s="1"/>
  <c r="CB38" i="287"/>
  <c r="AS73" i="265"/>
  <c r="CB112" i="273"/>
  <c r="CC113" i="273" s="1"/>
  <c r="CC59" i="273" s="1"/>
  <c r="CB17" i="280"/>
  <c r="CC108" i="273"/>
  <c r="CC109" i="273" s="1"/>
  <c r="CC14" i="282" s="1"/>
  <c r="CC15" i="282" s="1"/>
  <c r="CC124" i="273"/>
  <c r="CC125" i="273" s="1"/>
  <c r="CC18" i="287" s="1"/>
  <c r="CC19" i="287" s="1"/>
  <c r="CC22" i="287" s="1"/>
  <c r="CC25" i="287" s="1"/>
  <c r="CC2" i="287"/>
  <c r="CA37" i="287"/>
  <c r="CA39" i="287" s="1"/>
  <c r="BZ70" i="265"/>
  <c r="AT16" i="280"/>
  <c r="AT18" i="280" s="1"/>
  <c r="AT15" i="286" s="1"/>
  <c r="CC25" i="282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5" i="273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41" i="273"/>
  <c r="CB38" i="273"/>
  <c r="CC39" i="273" s="1"/>
  <c r="CC41" i="273" s="1"/>
  <c r="AB14" i="286"/>
  <c r="AB16" i="286" s="1"/>
  <c r="AB18" i="286" s="1"/>
  <c r="AB70" i="280"/>
  <c r="AB40" i="280"/>
  <c r="AB41" i="280" s="1"/>
  <c r="AB51" i="280"/>
  <c r="AB52" i="280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C35" i="287" s="1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C26" i="287" l="1"/>
  <c r="CC36" i="265" s="1"/>
  <c r="CC38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18" i="287" s="1"/>
  <c r="CD19" i="287" s="1"/>
  <c r="CD22" i="287" s="1"/>
  <c r="CD25" i="287" s="1"/>
  <c r="CD2" i="287"/>
  <c r="CB37" i="287"/>
  <c r="CB39" i="287" s="1"/>
  <c r="CA70" i="265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AB74" i="265"/>
  <c r="AB75" i="265" s="1"/>
  <c r="AB81" i="265" s="1"/>
  <c r="AC38" i="280"/>
  <c r="AG63" i="280"/>
  <c r="AG50" i="280"/>
  <c r="BX39" i="280"/>
  <c r="BX58" i="280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90" i="273"/>
  <c r="CD91" i="273" s="1"/>
  <c r="CD2" i="281"/>
  <c r="CD96" i="273"/>
  <c r="CD97" i="273" s="1"/>
  <c r="CD75" i="273"/>
  <c r="CD76" i="273" s="1"/>
  <c r="CD35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9" i="280"/>
  <c r="AB24" i="265"/>
  <c r="AB25" i="265" s="1"/>
  <c r="AB52" i="265"/>
  <c r="AB53" i="265" s="1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Y58" i="280"/>
  <c r="BY39" i="280"/>
  <c r="CD26" i="287" l="1"/>
  <c r="CD36" i="265" s="1"/>
  <c r="CD38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18" i="287" s="1"/>
  <c r="CE19" i="287" s="1"/>
  <c r="CE22" i="287" s="1"/>
  <c r="CE25" i="287" s="1"/>
  <c r="CE2" i="287"/>
  <c r="AT73" i="265"/>
  <c r="CC37" i="287"/>
  <c r="CC39" i="287" s="1"/>
  <c r="CB70" i="265"/>
  <c r="AU16" i="280"/>
  <c r="AU18" i="280" s="1"/>
  <c r="AU15" i="286" s="1"/>
  <c r="CE16" i="282"/>
  <c r="CE13" i="265" s="1"/>
  <c r="CA30" i="281"/>
  <c r="CA36" i="281" s="1"/>
  <c r="CA38" i="281" s="1"/>
  <c r="CA9" i="265" s="1"/>
  <c r="CA11" i="265" s="1"/>
  <c r="CA14" i="265" s="1"/>
  <c r="CA19" i="265" s="1"/>
  <c r="CA22" i="265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AC57" i="280"/>
  <c r="AC59" i="280" s="1"/>
  <c r="AC67" i="280" s="1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62" i="280"/>
  <c r="AC64" i="280" s="1"/>
  <c r="AC68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35" i="287" s="1"/>
  <c r="CE32" i="273"/>
  <c r="CE33" i="273" s="1"/>
  <c r="CE148" i="273"/>
  <c r="CE149" i="273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A45" i="281"/>
  <c r="CA47" i="281" s="1"/>
  <c r="CA51" i="281" s="1"/>
  <c r="CA71" i="281"/>
  <c r="CA73" i="281" s="1"/>
  <c r="CA77" i="281" s="1"/>
  <c r="CA50" i="28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38" i="287" l="1"/>
  <c r="CE26" i="287"/>
  <c r="CE36" i="265" s="1"/>
  <c r="CA61" i="281"/>
  <c r="CA84" i="281"/>
  <c r="CD37" i="287"/>
  <c r="CD39" i="287" s="1"/>
  <c r="CC70" i="265"/>
  <c r="CF108" i="273"/>
  <c r="CF109" i="273" s="1"/>
  <c r="CF14" i="282" s="1"/>
  <c r="CF15" i="282" s="1"/>
  <c r="CF16" i="282" s="1"/>
  <c r="CF13" i="265" s="1"/>
  <c r="CF124" i="273"/>
  <c r="CF125" i="273" s="1"/>
  <c r="CF18" i="287" s="1"/>
  <c r="CF19" i="287" s="1"/>
  <c r="CF22" i="287" s="1"/>
  <c r="CF25" i="287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58" i="280"/>
  <c r="CA39" i="280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9" i="280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2" i="281"/>
  <c r="CF96" i="273"/>
  <c r="CF97" i="273" s="1"/>
  <c r="CF90" i="273"/>
  <c r="CF91" i="273" s="1"/>
  <c r="CF75" i="273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F35" i="287" s="1"/>
  <c r="CE96" i="281"/>
  <c r="CE97" i="281" s="1"/>
  <c r="CE22" i="281"/>
  <c r="CE13" i="281"/>
  <c r="CE136" i="273"/>
  <c r="CE37" i="281"/>
  <c r="CE142" i="273"/>
  <c r="CE131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Z58" i="280"/>
  <c r="BZ39" i="280"/>
  <c r="CF26" i="287" l="1"/>
  <c r="CF36" i="265" s="1"/>
  <c r="CF38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18" i="287" s="1"/>
  <c r="CG19" i="287" s="1"/>
  <c r="CG22" i="287" s="1"/>
  <c r="CG25" i="287" s="1"/>
  <c r="CG2" i="287"/>
  <c r="CE37" i="287"/>
  <c r="CE39" i="287" s="1"/>
  <c r="CD70" i="265"/>
  <c r="AV26" i="280"/>
  <c r="AV16" i="280" s="1"/>
  <c r="AV18" i="280" s="1"/>
  <c r="AV15" i="286" s="1"/>
  <c r="CG25" i="282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AH63" i="280"/>
  <c r="AH50" i="280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AC70" i="280"/>
  <c r="AC14" i="286"/>
  <c r="AC16" i="286" s="1"/>
  <c r="AC18" i="286" s="1"/>
  <c r="AC51" i="280"/>
  <c r="AC52" i="280" s="1"/>
  <c r="AC40" i="280"/>
  <c r="AC41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26" i="287" l="1"/>
  <c r="CG36" i="265" s="1"/>
  <c r="CG38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18" i="287" s="1"/>
  <c r="CH19" i="287" s="1"/>
  <c r="CH22" i="287" s="1"/>
  <c r="CH25" i="287" s="1"/>
  <c r="CH2" i="287"/>
  <c r="CF37" i="287"/>
  <c r="CF39" i="287" s="1"/>
  <c r="CE70" i="265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CB39" i="280"/>
  <c r="CB58" i="280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90" i="273"/>
  <c r="CH91" i="273" s="1"/>
  <c r="CH2" i="281"/>
  <c r="CH96" i="273"/>
  <c r="CH97" i="273" s="1"/>
  <c r="CH75" i="273"/>
  <c r="CH76" i="273" s="1"/>
  <c r="CH35" i="287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9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AC74" i="265"/>
  <c r="AC75" i="265" s="1"/>
  <c r="AC81" i="265" s="1"/>
  <c r="AD38" i="280"/>
  <c r="CG76" i="273"/>
  <c r="CG35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C58" i="280"/>
  <c r="CC39" i="280"/>
  <c r="CH26" i="287" l="1"/>
  <c r="CH36" i="265" s="1"/>
  <c r="CH38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24" i="273"/>
  <c r="CI125" i="273" s="1"/>
  <c r="CI18" i="287" s="1"/>
  <c r="CI19" i="287" s="1"/>
  <c r="CI22" i="287" s="1"/>
  <c r="CI25" i="287" s="1"/>
  <c r="CI2" i="287"/>
  <c r="CG37" i="287"/>
  <c r="CG39" i="287" s="1"/>
  <c r="CF70" i="265"/>
  <c r="AW16" i="280"/>
  <c r="AW18" i="280" s="1"/>
  <c r="AW15" i="286" s="1"/>
  <c r="CI25" i="282"/>
  <c r="CI16" i="282"/>
  <c r="CI13" i="265" s="1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AC82" i="265"/>
  <c r="AC83" i="265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AD57" i="280"/>
  <c r="AD59" i="280" s="1"/>
  <c r="AD67" i="280" s="1"/>
  <c r="CE66" i="273"/>
  <c r="CE67" i="273" s="1"/>
  <c r="CE3" i="287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62" i="280"/>
  <c r="AD64" i="280" s="1"/>
  <c r="AD68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35" i="287" s="1"/>
  <c r="CI32" i="273"/>
  <c r="CI33" i="273" s="1"/>
  <c r="CI148" i="273"/>
  <c r="CI149" i="273" s="1"/>
  <c r="CI2" i="273"/>
  <c r="CI38" i="287" l="1"/>
  <c r="CI26" i="287"/>
  <c r="CI36" i="265" s="1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18" i="287" s="1"/>
  <c r="CJ19" i="287" s="1"/>
  <c r="CJ22" i="287" s="1"/>
  <c r="CJ25" i="287" s="1"/>
  <c r="CJ2" i="287"/>
  <c r="CH37" i="287"/>
  <c r="CH39" i="287" s="1"/>
  <c r="CG70" i="265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AD69" i="280"/>
  <c r="CF9" i="265"/>
  <c r="CF11" i="265" s="1"/>
  <c r="CF14" i="265" s="1"/>
  <c r="CF19" i="265" s="1"/>
  <c r="CF22" i="265" s="1"/>
  <c r="CF50" i="281"/>
  <c r="CE58" i="280"/>
  <c r="CE39" i="280"/>
  <c r="AI63" i="280"/>
  <c r="AI50" i="280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D58" i="280"/>
  <c r="CD39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J26" i="287" l="1"/>
  <c r="CJ36" i="265" s="1"/>
  <c r="CJ38" i="287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124" i="273"/>
  <c r="CK125" i="273" s="1"/>
  <c r="CK18" i="287" s="1"/>
  <c r="CK19" i="287" s="1"/>
  <c r="CK22" i="287" s="1"/>
  <c r="CK25" i="287" s="1"/>
  <c r="CK2" i="287"/>
  <c r="CF45" i="281"/>
  <c r="CF47" i="281" s="1"/>
  <c r="CF51" i="281" s="1"/>
  <c r="CF61" i="281"/>
  <c r="CI37" i="287"/>
  <c r="CI39" i="287" s="1"/>
  <c r="CH70" i="265"/>
  <c r="AW73" i="265"/>
  <c r="AX16" i="280"/>
  <c r="AX18" i="280" s="1"/>
  <c r="AX15" i="286" s="1"/>
  <c r="CK25" i="282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F39" i="280"/>
  <c r="CF58" i="280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5" i="273"/>
  <c r="CK32" i="273"/>
  <c r="CK33" i="273" s="1"/>
  <c r="CK2" i="273"/>
  <c r="CG9" i="265"/>
  <c r="CG11" i="265" s="1"/>
  <c r="CG14" i="265" s="1"/>
  <c r="CG19" i="265" s="1"/>
  <c r="CG22" i="265" s="1"/>
  <c r="CG61" i="28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35" i="287" s="1"/>
  <c r="CG59" i="265"/>
  <c r="CG60" i="265" s="1"/>
  <c r="CH23" i="282"/>
  <c r="CH26" i="282" s="1"/>
  <c r="AD14" i="286"/>
  <c r="AD16" i="286" s="1"/>
  <c r="AD18" i="286" s="1"/>
  <c r="AD70" i="280"/>
  <c r="AD51" i="280"/>
  <c r="AD52" i="280" s="1"/>
  <c r="AD40" i="280"/>
  <c r="AD41" i="280" s="1"/>
  <c r="CF3" i="275"/>
  <c r="CF3" i="265"/>
  <c r="CF3" i="286"/>
  <c r="CF3" i="280"/>
  <c r="CF3" i="282"/>
  <c r="CF3" i="281"/>
  <c r="CF50" i="273"/>
  <c r="CF3" i="273"/>
  <c r="CI20" i="275"/>
  <c r="CJ17" i="275" s="1"/>
  <c r="CK26" i="287" l="1"/>
  <c r="CK36" i="265" s="1"/>
  <c r="CK38" i="287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18" i="287" s="1"/>
  <c r="CL19" i="287" s="1"/>
  <c r="CL22" i="287" s="1"/>
  <c r="CL25" i="287" s="1"/>
  <c r="CL2" i="287"/>
  <c r="CK112" i="273"/>
  <c r="CL113" i="273" s="1"/>
  <c r="CL59" i="273" s="1"/>
  <c r="CK17" i="280"/>
  <c r="CJ37" i="287"/>
  <c r="CJ39" i="287" s="1"/>
  <c r="CI70" i="265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90" i="273"/>
  <c r="CL91" i="273" s="1"/>
  <c r="CL2" i="281"/>
  <c r="CL96" i="273"/>
  <c r="CL97" i="273" s="1"/>
  <c r="CL75" i="273"/>
  <c r="CL76" i="273" s="1"/>
  <c r="CL35" i="287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8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G58" i="280"/>
  <c r="CG39" i="280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9" i="280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35" i="287" s="1"/>
  <c r="CL25" i="282" l="1"/>
  <c r="CL26" i="287"/>
  <c r="CL36" i="265" s="1"/>
  <c r="CL38" i="287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18" i="287" s="1"/>
  <c r="CM19" i="287" s="1"/>
  <c r="CM22" i="287" s="1"/>
  <c r="CM25" i="287" s="1"/>
  <c r="CM2" i="287"/>
  <c r="CK37" i="287"/>
  <c r="CK39" i="287" s="1"/>
  <c r="CJ70" i="265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AE62" i="280"/>
  <c r="AE64" i="280" s="1"/>
  <c r="AE68" i="280" s="1"/>
  <c r="CI9" i="265"/>
  <c r="CI11" i="265" s="1"/>
  <c r="CI14" i="265" s="1"/>
  <c r="CI19" i="265" s="1"/>
  <c r="CI22" i="265" s="1"/>
  <c r="CI84" i="281"/>
  <c r="CI61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AJ63" i="280"/>
  <c r="AJ50" i="280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E57" i="280"/>
  <c r="AE59" i="280" s="1"/>
  <c r="AE67" i="280" s="1"/>
  <c r="AJ64" i="265"/>
  <c r="AK60" i="281"/>
  <c r="CL15" i="275"/>
  <c r="CL20" i="275" s="1"/>
  <c r="CM17" i="275" s="1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35" i="287" s="1"/>
  <c r="CM32" i="273"/>
  <c r="CM33" i="273" s="1"/>
  <c r="CM148" i="273"/>
  <c r="CM149" i="273" s="1"/>
  <c r="CM2" i="273"/>
  <c r="CM38" i="287" l="1"/>
  <c r="CM26" i="287"/>
  <c r="CM36" i="265" s="1"/>
  <c r="AE69" i="280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18" i="287" s="1"/>
  <c r="CN19" i="287" s="1"/>
  <c r="CN22" i="287" s="1"/>
  <c r="CN25" i="287" s="1"/>
  <c r="CN2" i="287"/>
  <c r="CL37" i="287"/>
  <c r="CL39" i="287" s="1"/>
  <c r="CK70" i="265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H58" i="280"/>
  <c r="CH39" i="280"/>
  <c r="CI58" i="280"/>
  <c r="CI39" i="280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50" i="28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AE70" i="280"/>
  <c r="AE14" i="286"/>
  <c r="AE16" i="286" s="1"/>
  <c r="AE18" i="286" s="1"/>
  <c r="AE51" i="280"/>
  <c r="AE52" i="280" s="1"/>
  <c r="AE40" i="280"/>
  <c r="AE41" i="280" s="1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J71" i="281" l="1"/>
  <c r="CJ73" i="281" s="1"/>
  <c r="CJ77" i="281" s="1"/>
  <c r="CN16" i="282"/>
  <c r="CN13" i="265" s="1"/>
  <c r="CN26" i="287"/>
  <c r="CN36" i="265" s="1"/>
  <c r="CN38" i="287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18" i="287" s="1"/>
  <c r="CO19" i="287" s="1"/>
  <c r="CO22" i="287" s="1"/>
  <c r="CO25" i="287" s="1"/>
  <c r="CO2" i="287"/>
  <c r="CM37" i="287"/>
  <c r="CM39" i="287" s="1"/>
  <c r="CL70" i="265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5" i="273"/>
  <c r="CO76" i="273" s="1"/>
  <c r="CO35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38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9" i="280"/>
  <c r="CJ58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AE63" i="265"/>
  <c r="AE65" i="265" s="1"/>
  <c r="AE67" i="265" s="1"/>
  <c r="AE80" i="265" s="1"/>
  <c r="AF49" i="280"/>
  <c r="AE52" i="265"/>
  <c r="AE53" i="265" s="1"/>
  <c r="AE24" i="265"/>
  <c r="AE25" i="265" s="1"/>
  <c r="CN76" i="273"/>
  <c r="CN35" i="287" s="1"/>
  <c r="CH76" i="281"/>
  <c r="CH78" i="281" s="1"/>
  <c r="CH85" i="281" s="1"/>
  <c r="CH86" i="281" s="1"/>
  <c r="CI83" i="281" s="1"/>
  <c r="CK66" i="273"/>
  <c r="CK67" i="273" s="1"/>
  <c r="CK3" i="287" s="1"/>
  <c r="CL60" i="273"/>
  <c r="CO26" i="287" l="1"/>
  <c r="CO36" i="265" s="1"/>
  <c r="CO38" i="287"/>
  <c r="CL30" i="281"/>
  <c r="CL36" i="281" s="1"/>
  <c r="CL38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18" i="287" s="1"/>
  <c r="CP19" i="287" s="1"/>
  <c r="CP22" i="287" s="1"/>
  <c r="CP25" i="287" s="1"/>
  <c r="CP2" i="287"/>
  <c r="CN37" i="287"/>
  <c r="CN39" i="287" s="1"/>
  <c r="CM70" i="265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AF62" i="280"/>
  <c r="AF64" i="280" s="1"/>
  <c r="AF68" i="280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7" i="280"/>
  <c r="AF59" i="280" s="1"/>
  <c r="AF67" i="280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90" i="273"/>
  <c r="CP91" i="273" s="1"/>
  <c r="CP2" i="281"/>
  <c r="CP96" i="273"/>
  <c r="CP97" i="273" s="1"/>
  <c r="CP75" i="273"/>
  <c r="CP76" i="273" s="1"/>
  <c r="CP35" i="287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63" i="280"/>
  <c r="AK50" i="280"/>
  <c r="CN122" i="281"/>
  <c r="CN105" i="281"/>
  <c r="CN107" i="281" s="1"/>
  <c r="CN111" i="281" s="1"/>
  <c r="CN98" i="281"/>
  <c r="CN10" i="265" s="1"/>
  <c r="CN110" i="281"/>
  <c r="CP16" i="282" l="1"/>
  <c r="CP13" i="265" s="1"/>
  <c r="CP26" i="287"/>
  <c r="CP36" i="265" s="1"/>
  <c r="CP38" i="287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18" i="287" s="1"/>
  <c r="CQ19" i="287" s="1"/>
  <c r="CQ22" i="287" s="1"/>
  <c r="CQ25" i="287" s="1"/>
  <c r="CQ2" i="287"/>
  <c r="CO37" i="287"/>
  <c r="CO39" i="287" s="1"/>
  <c r="CN70" i="265"/>
  <c r="BA26" i="280"/>
  <c r="BA16" i="280" s="1"/>
  <c r="BA18" i="280" s="1"/>
  <c r="BA15" i="286" s="1"/>
  <c r="CQ25" i="282"/>
  <c r="AF69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35" i="287" s="1"/>
  <c r="CQ32" i="273"/>
  <c r="CQ33" i="273" s="1"/>
  <c r="CQ148" i="273"/>
  <c r="CQ149" i="273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58" i="280"/>
  <c r="CL39" i="280"/>
  <c r="CK58" i="280"/>
  <c r="CK39" i="280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38" i="287" l="1"/>
  <c r="CQ26" i="287"/>
  <c r="CQ36" i="265" s="1"/>
  <c r="AF40" i="280"/>
  <c r="AF41" i="280" s="1"/>
  <c r="AG38" i="280" s="1"/>
  <c r="AF51" i="280"/>
  <c r="AF52" i="280" s="1"/>
  <c r="AF63" i="265" s="1"/>
  <c r="AF65" i="265" s="1"/>
  <c r="AF67" i="265" s="1"/>
  <c r="AF80" i="265" s="1"/>
  <c r="AF70" i="280"/>
  <c r="AF24" i="265" s="1"/>
  <c r="AF25" i="265" s="1"/>
  <c r="CR108" i="273"/>
  <c r="CR109" i="273" s="1"/>
  <c r="CR14" i="282" s="1"/>
  <c r="CR15" i="282" s="1"/>
  <c r="CR16" i="282" s="1"/>
  <c r="CR13" i="265" s="1"/>
  <c r="CR124" i="273"/>
  <c r="CR125" i="273" s="1"/>
  <c r="CR18" i="287" s="1"/>
  <c r="CR19" i="287" s="1"/>
  <c r="CR22" i="287" s="1"/>
  <c r="CR25" i="287" s="1"/>
  <c r="CR2" i="287"/>
  <c r="CQ112" i="273"/>
  <c r="CR113" i="273" s="1"/>
  <c r="CR59" i="273" s="1"/>
  <c r="CQ17" i="280"/>
  <c r="CP37" i="287"/>
  <c r="CP39" i="287" s="1"/>
  <c r="CO70" i="265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35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AG49" i="280" l="1"/>
  <c r="CR25" i="282"/>
  <c r="CR26" i="287"/>
  <c r="CR36" i="265" s="1"/>
  <c r="CR38" i="287"/>
  <c r="AF52" i="265"/>
  <c r="AF53" i="265" s="1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18" i="287" s="1"/>
  <c r="CS19" i="287" s="1"/>
  <c r="CS22" i="287" s="1"/>
  <c r="CS25" i="287" s="1"/>
  <c r="CS2" i="287"/>
  <c r="CQ37" i="287"/>
  <c r="CQ39" i="287" s="1"/>
  <c r="CP70" i="265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M58" i="280"/>
  <c r="CM39" i="280"/>
  <c r="CR141" i="273"/>
  <c r="CR38" i="273"/>
  <c r="CS39" i="273" s="1"/>
  <c r="CS41" i="273" s="1"/>
  <c r="AG57" i="280"/>
  <c r="AG59" i="280" s="1"/>
  <c r="AG67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F83" i="265"/>
  <c r="AF82" i="265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63" i="280"/>
  <c r="AL50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AG62" i="280"/>
  <c r="AG64" i="280" s="1"/>
  <c r="AG68" i="280" s="1"/>
  <c r="CT147" i="273"/>
  <c r="CT24" i="273"/>
  <c r="CT25" i="273" s="1"/>
  <c r="CS26" i="287" l="1"/>
  <c r="CS36" i="265" s="1"/>
  <c r="CS38" i="287"/>
  <c r="CT108" i="273"/>
  <c r="CT109" i="273" s="1"/>
  <c r="CT14" i="282" s="1"/>
  <c r="CT15" i="282" s="1"/>
  <c r="CT16" i="282" s="1"/>
  <c r="CT13" i="265" s="1"/>
  <c r="CT124" i="273"/>
  <c r="CT125" i="273" s="1"/>
  <c r="CT18" i="287" s="1"/>
  <c r="CT19" i="287" s="1"/>
  <c r="CT22" i="287" s="1"/>
  <c r="CT25" i="287" s="1"/>
  <c r="CT2" i="287"/>
  <c r="CS112" i="273"/>
  <c r="CT113" i="273" s="1"/>
  <c r="CT59" i="273" s="1"/>
  <c r="CS17" i="280"/>
  <c r="CR37" i="287"/>
  <c r="CR39" i="287" s="1"/>
  <c r="CQ70" i="265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35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P19" i="265" s="1"/>
  <c r="CP22" i="265" s="1"/>
  <c r="CN39" i="280"/>
  <c r="CN58" i="280"/>
  <c r="AG69" i="280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T26" i="287" l="1"/>
  <c r="CT36" i="265" s="1"/>
  <c r="CT38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18" i="287" s="1"/>
  <c r="CU19" i="287" s="1"/>
  <c r="CU22" i="287" s="1"/>
  <c r="CU25" i="287" s="1"/>
  <c r="CU2" i="287"/>
  <c r="CT112" i="273"/>
  <c r="CU113" i="273" s="1"/>
  <c r="CU59" i="273" s="1"/>
  <c r="CT17" i="280"/>
  <c r="CS37" i="287"/>
  <c r="CS39" i="287" s="1"/>
  <c r="CR70" i="265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AG70" i="280"/>
  <c r="AG14" i="286"/>
  <c r="AG16" i="286" s="1"/>
  <c r="AG18" i="286" s="1"/>
  <c r="AG51" i="280"/>
  <c r="AG52" i="280" s="1"/>
  <c r="AG40" i="280"/>
  <c r="AG41" i="280" s="1"/>
  <c r="CP58" i="280"/>
  <c r="CP39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37" i="265" s="1"/>
  <c r="AM42" i="265" s="1"/>
  <c r="AM47" i="265" s="1"/>
  <c r="AM50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35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35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O58" i="280"/>
  <c r="CO39" i="280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U25" i="282" l="1"/>
  <c r="CU38" i="287"/>
  <c r="CU26" i="287"/>
  <c r="CU36" i="265" s="1"/>
  <c r="CV108" i="273"/>
  <c r="CV109" i="273" s="1"/>
  <c r="CV14" i="282" s="1"/>
  <c r="CV15" i="282" s="1"/>
  <c r="CV16" i="282" s="1"/>
  <c r="CV13" i="265" s="1"/>
  <c r="CV124" i="273"/>
  <c r="CV125" i="273" s="1"/>
  <c r="CV18" i="287" s="1"/>
  <c r="CV19" i="287" s="1"/>
  <c r="CV22" i="287" s="1"/>
  <c r="CV25" i="287" s="1"/>
  <c r="CV2" i="287"/>
  <c r="CU112" i="273"/>
  <c r="CV113" i="273" s="1"/>
  <c r="CV59" i="273" s="1"/>
  <c r="CU17" i="280"/>
  <c r="CT37" i="287"/>
  <c r="CT39" i="287" s="1"/>
  <c r="CS70" i="265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U141" i="273"/>
  <c r="CU38" i="273"/>
  <c r="CV39" i="273" s="1"/>
  <c r="CV41" i="273" s="1"/>
  <c r="AG63" i="265"/>
  <c r="AG65" i="265" s="1"/>
  <c r="AG67" i="265" s="1"/>
  <c r="AG80" i="265" s="1"/>
  <c r="AH49" i="280"/>
  <c r="AG52" i="265"/>
  <c r="AG53" i="265" s="1"/>
  <c r="AG24" i="265"/>
  <c r="AG25" i="265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2" i="281"/>
  <c r="CV96" i="273"/>
  <c r="CV97" i="273" s="1"/>
  <c r="CV90" i="273"/>
  <c r="CV91" i="273" s="1"/>
  <c r="CV75" i="273"/>
  <c r="CV76" i="273" s="1"/>
  <c r="CV35" i="287" s="1"/>
  <c r="CV32" i="273"/>
  <c r="CV33" i="273" s="1"/>
  <c r="CV2" i="273"/>
  <c r="CS26" i="282"/>
  <c r="CR30" i="281"/>
  <c r="CR36" i="281" s="1"/>
  <c r="CR38" i="281" s="1"/>
  <c r="AM50" i="280"/>
  <c r="AM63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AG74" i="265"/>
  <c r="AG75" i="265" s="1"/>
  <c r="AG81" i="265" s="1"/>
  <c r="AH38" i="280"/>
  <c r="CV26" i="287" l="1"/>
  <c r="CV36" i="265" s="1"/>
  <c r="CV38" i="287"/>
  <c r="CV25" i="282"/>
  <c r="CW108" i="273"/>
  <c r="CW109" i="273" s="1"/>
  <c r="CW14" i="282" s="1"/>
  <c r="CW15" i="282" s="1"/>
  <c r="CW25" i="282" s="1"/>
  <c r="CW124" i="273"/>
  <c r="CW125" i="273" s="1"/>
  <c r="CW18" i="287" s="1"/>
  <c r="CW19" i="287" s="1"/>
  <c r="CW22" i="287" s="1"/>
  <c r="CW25" i="287" s="1"/>
  <c r="CW2" i="287"/>
  <c r="CV112" i="273"/>
  <c r="CW113" i="273" s="1"/>
  <c r="CW59" i="273" s="1"/>
  <c r="CV17" i="280"/>
  <c r="CU37" i="287"/>
  <c r="CU39" i="287" s="1"/>
  <c r="CT70" i="265"/>
  <c r="BC73" i="265"/>
  <c r="BD16" i="280"/>
  <c r="BD18" i="280" s="1"/>
  <c r="BD15" i="286" s="1"/>
  <c r="CW16" i="282"/>
  <c r="CW13" i="265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7" i="280"/>
  <c r="AH59" i="280" s="1"/>
  <c r="AH67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5" i="273"/>
  <c r="CW76" i="273" s="1"/>
  <c r="CW35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AG82" i="265"/>
  <c r="AG83" i="265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AH62" i="280"/>
  <c r="AH64" i="280" s="1"/>
  <c r="AH68" i="280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Q58" i="280"/>
  <c r="CQ39" i="280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26" i="287" l="1"/>
  <c r="CW36" i="265" s="1"/>
  <c r="CW38" i="287"/>
  <c r="CX108" i="273"/>
  <c r="CX109" i="273" s="1"/>
  <c r="CX14" i="282" s="1"/>
  <c r="CX15" i="282" s="1"/>
  <c r="CX16" i="282" s="1"/>
  <c r="CX13" i="265" s="1"/>
  <c r="CX124" i="273"/>
  <c r="CX125" i="273" s="1"/>
  <c r="CX18" i="287" s="1"/>
  <c r="CX19" i="287" s="1"/>
  <c r="CX22" i="287" s="1"/>
  <c r="CX25" i="287" s="1"/>
  <c r="CX2" i="287"/>
  <c r="CW112" i="273"/>
  <c r="CX113" i="273" s="1"/>
  <c r="CX59" i="273" s="1"/>
  <c r="CW17" i="280"/>
  <c r="CV37" i="287"/>
  <c r="CV39" i="287" s="1"/>
  <c r="CU70" i="265"/>
  <c r="BD19" i="280"/>
  <c r="BD49" i="265" s="1"/>
  <c r="BD28" i="280"/>
  <c r="BD29" i="280" s="1"/>
  <c r="BD73" i="265" s="1"/>
  <c r="CX25" i="282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90" i="273"/>
  <c r="CX91" i="273" s="1"/>
  <c r="CX2" i="281"/>
  <c r="CX96" i="273"/>
  <c r="CX97" i="273" s="1"/>
  <c r="CX75" i="273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R39" i="280"/>
  <c r="CR58" i="280"/>
  <c r="AH69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X35" i="287" s="1"/>
  <c r="CQ76" i="281"/>
  <c r="CQ78" i="281" s="1"/>
  <c r="CQ85" i="281" s="1"/>
  <c r="CQ86" i="281" s="1"/>
  <c r="CR83" i="281" s="1"/>
  <c r="CV20" i="275"/>
  <c r="CW17" i="275" s="1"/>
  <c r="CX26" i="287" l="1"/>
  <c r="CX36" i="265" s="1"/>
  <c r="CX38" i="287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18" i="287" s="1"/>
  <c r="CY19" i="287" s="1"/>
  <c r="CY22" i="287" s="1"/>
  <c r="CY25" i="287" s="1"/>
  <c r="CY2" i="287"/>
  <c r="CW37" i="287"/>
  <c r="CW39" i="287" s="1"/>
  <c r="CV70" i="265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U19" i="265" s="1"/>
  <c r="CU22" i="265" s="1"/>
  <c r="CR76" i="281"/>
  <c r="CR78" i="281" s="1"/>
  <c r="CR85" i="281" s="1"/>
  <c r="CR86" i="281" s="1"/>
  <c r="CS83" i="281" s="1"/>
  <c r="AP112" i="281"/>
  <c r="AP113" i="281" s="1"/>
  <c r="AN63" i="280"/>
  <c r="AN50" i="280"/>
  <c r="CS58" i="280"/>
  <c r="CS39" i="280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45" i="281"/>
  <c r="CU47" i="281" s="1"/>
  <c r="CU51" i="281" s="1"/>
  <c r="CU71" i="281"/>
  <c r="CU73" i="281" s="1"/>
  <c r="CU77" i="281" s="1"/>
  <c r="CU50" i="281"/>
  <c r="CW20" i="275"/>
  <c r="CX17" i="275" s="1"/>
  <c r="CT58" i="280"/>
  <c r="CT39" i="280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70" i="280"/>
  <c r="AH51" i="280"/>
  <c r="AH52" i="280" s="1"/>
  <c r="AH40" i="280"/>
  <c r="AH41" i="280" s="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Y38" i="287" l="1"/>
  <c r="CY26" i="287"/>
  <c r="CY36" i="265" s="1"/>
  <c r="CV30" i="281"/>
  <c r="CV36" i="281" s="1"/>
  <c r="CV38" i="281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18" i="287" s="1"/>
  <c r="CZ19" i="287" s="1"/>
  <c r="CZ22" i="287" s="1"/>
  <c r="CZ25" i="287" s="1"/>
  <c r="CZ2" i="287"/>
  <c r="CX37" i="287"/>
  <c r="CX39" i="287" s="1"/>
  <c r="CW70" i="265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H63" i="265"/>
  <c r="AH65" i="265" s="1"/>
  <c r="AH67" i="265" s="1"/>
  <c r="AH80" i="265" s="1"/>
  <c r="AI49" i="280"/>
  <c r="AO52" i="281"/>
  <c r="AO53" i="281" s="1"/>
  <c r="CU58" i="280"/>
  <c r="CU39" i="280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35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8" i="280"/>
  <c r="AH24" i="265"/>
  <c r="AH25" i="265" s="1"/>
  <c r="AH52" i="265"/>
  <c r="AH53" i="265" s="1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Z26" i="287" l="1"/>
  <c r="CZ36" i="265" s="1"/>
  <c r="CZ38" i="287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124" i="273"/>
  <c r="DA125" i="273" s="1"/>
  <c r="DA18" i="287" s="1"/>
  <c r="DA19" i="287" s="1"/>
  <c r="DA22" i="287" s="1"/>
  <c r="DA25" i="287" s="1"/>
  <c r="DA2" i="287"/>
  <c r="CY37" i="287"/>
  <c r="CY39" i="287" s="1"/>
  <c r="CX70" i="265"/>
  <c r="BE73" i="265"/>
  <c r="BF16" i="280"/>
  <c r="BF18" i="280" s="1"/>
  <c r="BF15" i="286" s="1"/>
  <c r="DA25" i="282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AI57" i="280"/>
  <c r="AI59" i="280" s="1"/>
  <c r="AI67" i="280" s="1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62" i="280"/>
  <c r="AI64" i="280" s="1"/>
  <c r="AI68" i="280" s="1"/>
  <c r="CY110" i="281"/>
  <c r="CY122" i="281"/>
  <c r="CY105" i="281"/>
  <c r="CY107" i="281" s="1"/>
  <c r="CY111" i="281" s="1"/>
  <c r="CY98" i="281"/>
  <c r="CY10" i="265" s="1"/>
  <c r="CV39" i="280"/>
  <c r="CV58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5" i="273"/>
  <c r="DA76" i="273" s="1"/>
  <c r="DA35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CZ35" i="287" s="1"/>
  <c r="DA26" i="287" l="1"/>
  <c r="DA36" i="265" s="1"/>
  <c r="DA38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18" i="287" s="1"/>
  <c r="DB19" i="287" s="1"/>
  <c r="DB22" i="287" s="1"/>
  <c r="DB25" i="287" s="1"/>
  <c r="DB2" i="287"/>
  <c r="CZ37" i="287"/>
  <c r="CZ39" i="287" s="1"/>
  <c r="CY70" i="265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AO63" i="280"/>
  <c r="AO50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69" i="280"/>
  <c r="CW3" i="275"/>
  <c r="CW3" i="265"/>
  <c r="CW3" i="286"/>
  <c r="CW3" i="280"/>
  <c r="CW3" i="282"/>
  <c r="CW3" i="281"/>
  <c r="CW50" i="273"/>
  <c r="CW3" i="273"/>
  <c r="DB26" i="287" l="1"/>
  <c r="DB36" i="265" s="1"/>
  <c r="DB38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18" i="287" s="1"/>
  <c r="DC19" i="287" s="1"/>
  <c r="DC22" i="287" s="1"/>
  <c r="DC25" i="287" s="1"/>
  <c r="DC2" i="287"/>
  <c r="DA37" i="287"/>
  <c r="DA39" i="287" s="1"/>
  <c r="CZ70" i="265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I70" i="280"/>
  <c r="AI14" i="286"/>
  <c r="AI16" i="286" s="1"/>
  <c r="AI18" i="286" s="1"/>
  <c r="AI51" i="280"/>
  <c r="AI52" i="280" s="1"/>
  <c r="AI40" i="280"/>
  <c r="AI41" i="280" s="1"/>
  <c r="CW58" i="280"/>
  <c r="CW39" i="280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35" i="287" s="1"/>
  <c r="DB52" i="273"/>
  <c r="DB42" i="273"/>
  <c r="DB4" i="287" s="1"/>
  <c r="DC38" i="287" l="1"/>
  <c r="DC26" i="287"/>
  <c r="DC36" i="265" s="1"/>
  <c r="DD108" i="273"/>
  <c r="DD109" i="273" s="1"/>
  <c r="DD14" i="282" s="1"/>
  <c r="DD15" i="282" s="1"/>
  <c r="DD16" i="282" s="1"/>
  <c r="DD13" i="265" s="1"/>
  <c r="DD124" i="273"/>
  <c r="DD125" i="273" s="1"/>
  <c r="DD18" i="287" s="1"/>
  <c r="DD19" i="287" s="1"/>
  <c r="DD22" i="287" s="1"/>
  <c r="DD25" i="287" s="1"/>
  <c r="DD2" i="287"/>
  <c r="DC112" i="273"/>
  <c r="DD113" i="273" s="1"/>
  <c r="DD59" i="273" s="1"/>
  <c r="DC17" i="280"/>
  <c r="DB37" i="287"/>
  <c r="DB39" i="287" s="1"/>
  <c r="DA70" i="265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8" i="280"/>
  <c r="DB132" i="273"/>
  <c r="DA135" i="273"/>
  <c r="DC141" i="273"/>
  <c r="DC38" i="273"/>
  <c r="DD39" i="273" s="1"/>
  <c r="DD41" i="273" s="1"/>
  <c r="CX58" i="280"/>
  <c r="CX39" i="280"/>
  <c r="AP30" i="265"/>
  <c r="AP33" i="265" s="1"/>
  <c r="AP37" i="265" s="1"/>
  <c r="AP42" i="265" s="1"/>
  <c r="AP47" i="265" s="1"/>
  <c r="AP50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AI63" i="265"/>
  <c r="AI65" i="265" s="1"/>
  <c r="AI67" i="265" s="1"/>
  <c r="AI80" i="265" s="1"/>
  <c r="AJ49" i="280"/>
  <c r="AI52" i="265"/>
  <c r="AI53" i="265" s="1"/>
  <c r="AI24" i="265"/>
  <c r="AI25" i="265" s="1"/>
  <c r="DD19" i="286"/>
  <c r="DD2" i="275"/>
  <c r="DD2" i="265"/>
  <c r="DD2" i="286"/>
  <c r="DD2" i="280"/>
  <c r="DD2" i="282"/>
  <c r="DD148" i="273"/>
  <c r="DD149" i="273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35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35" i="287" s="1"/>
  <c r="DD26" i="287" l="1"/>
  <c r="DD36" i="265" s="1"/>
  <c r="DD38" i="287"/>
  <c r="DD25" i="282"/>
  <c r="DE108" i="273"/>
  <c r="DE109" i="273" s="1"/>
  <c r="DE14" i="282" s="1"/>
  <c r="DE15" i="282" s="1"/>
  <c r="DE25" i="282" s="1"/>
  <c r="DE124" i="273"/>
  <c r="DE125" i="273" s="1"/>
  <c r="DE18" i="287" s="1"/>
  <c r="DE19" i="287" s="1"/>
  <c r="DE22" i="287" s="1"/>
  <c r="DE25" i="287" s="1"/>
  <c r="DE2" i="287"/>
  <c r="DD112" i="273"/>
  <c r="DE113" i="273" s="1"/>
  <c r="DE59" i="273" s="1"/>
  <c r="DD17" i="280"/>
  <c r="DC37" i="287"/>
  <c r="DC39" i="287" s="1"/>
  <c r="DB70" i="265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AI82" i="265"/>
  <c r="AI83" i="265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A3" i="287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AJ62" i="280"/>
  <c r="AJ64" i="280" s="1"/>
  <c r="AJ68" i="280" s="1"/>
  <c r="DC4" i="275"/>
  <c r="DC4" i="265"/>
  <c r="DC4" i="286"/>
  <c r="DC4" i="280"/>
  <c r="DC4" i="282"/>
  <c r="DC4" i="281"/>
  <c r="DC4" i="273"/>
  <c r="CY58" i="280"/>
  <c r="CY39" i="280"/>
  <c r="DB21" i="281"/>
  <c r="DB23" i="281" s="1"/>
  <c r="DB29" i="281" s="1"/>
  <c r="DC137" i="273"/>
  <c r="DB26" i="282"/>
  <c r="DA30" i="281"/>
  <c r="DA36" i="281" s="1"/>
  <c r="DA38" i="281" s="1"/>
  <c r="AP63" i="280"/>
  <c r="AP50" i="280"/>
  <c r="AJ57" i="280"/>
  <c r="AJ59" i="280" s="1"/>
  <c r="AJ67" i="280" s="1"/>
  <c r="AJ69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E26" i="287" l="1"/>
  <c r="DE36" i="265" s="1"/>
  <c r="DE38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18" i="287" s="1"/>
  <c r="DF19" i="287" s="1"/>
  <c r="DF22" i="287" s="1"/>
  <c r="DF25" i="287" s="1"/>
  <c r="DF2" i="287"/>
  <c r="DD20" i="275"/>
  <c r="DE17" i="275" s="1"/>
  <c r="DD37" i="287"/>
  <c r="DD39" i="287" s="1"/>
  <c r="DC70" i="265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70" i="280"/>
  <c r="AJ40" i="280"/>
  <c r="AJ41" i="280" s="1"/>
  <c r="AJ51" i="280"/>
  <c r="AJ52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39" i="280"/>
  <c r="CZ58" i="280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35" i="287" s="1"/>
  <c r="DF26" i="287" l="1"/>
  <c r="DF36" i="265" s="1"/>
  <c r="DF38" i="287"/>
  <c r="DF112" i="273"/>
  <c r="DG113" i="273" s="1"/>
  <c r="DG59" i="273" s="1"/>
  <c r="DF17" i="280"/>
  <c r="DG108" i="273"/>
  <c r="DG109" i="273" s="1"/>
  <c r="DG14" i="282" s="1"/>
  <c r="DG15" i="282" s="1"/>
  <c r="DG124" i="273"/>
  <c r="DG125" i="273" s="1"/>
  <c r="DG18" i="287" s="1"/>
  <c r="DG19" i="287" s="1"/>
  <c r="DG22" i="287" s="1"/>
  <c r="DG25" i="287" s="1"/>
  <c r="DG2" i="287"/>
  <c r="DE37" i="287"/>
  <c r="DE39" i="287" s="1"/>
  <c r="DD70" i="265"/>
  <c r="BH73" i="265"/>
  <c r="BI16" i="280"/>
  <c r="BI18" i="280" s="1"/>
  <c r="BI15" i="286" s="1"/>
  <c r="DG25" i="282"/>
  <c r="DG16" i="282"/>
  <c r="DG13" i="265" s="1"/>
  <c r="DC30" i="281"/>
  <c r="DC36" i="281" s="1"/>
  <c r="DC38" i="281" s="1"/>
  <c r="DC9" i="265" s="1"/>
  <c r="DC11" i="265" s="1"/>
  <c r="DC14" i="265" s="1"/>
  <c r="DC19" i="265" s="1"/>
  <c r="DC22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35" i="287" s="1"/>
  <c r="DG32" i="273"/>
  <c r="DG33" i="273" s="1"/>
  <c r="DG148" i="273"/>
  <c r="DG149" i="273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C71" i="281"/>
  <c r="DC73" i="281" s="1"/>
  <c r="DC77" i="281" s="1"/>
  <c r="DD135" i="273"/>
  <c r="DE132" i="273"/>
  <c r="DF76" i="273"/>
  <c r="DF35" i="287" s="1"/>
  <c r="AJ63" i="265"/>
  <c r="AJ65" i="265" s="1"/>
  <c r="AJ67" i="265" s="1"/>
  <c r="AJ80" i="265" s="1"/>
  <c r="AK49" i="280"/>
  <c r="AJ24" i="265"/>
  <c r="AJ25" i="265" s="1"/>
  <c r="AJ52" i="265"/>
  <c r="AJ53" i="265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37" i="265" s="1"/>
  <c r="AQ42" i="265" s="1"/>
  <c r="AQ47" i="265" s="1"/>
  <c r="AQ50" i="265" s="1"/>
  <c r="AQ62" i="281"/>
  <c r="AQ63" i="281" s="1"/>
  <c r="DA58" i="280"/>
  <c r="DA39" i="280"/>
  <c r="AJ74" i="265"/>
  <c r="AJ75" i="265" s="1"/>
  <c r="AJ81" i="265" s="1"/>
  <c r="AK38" i="280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G38" i="287" l="1"/>
  <c r="DG26" i="287"/>
  <c r="DG36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18" i="287" s="1"/>
  <c r="DH19" i="287" s="1"/>
  <c r="DH22" i="287" s="1"/>
  <c r="DH25" i="287" s="1"/>
  <c r="DH2" i="287"/>
  <c r="DG112" i="273"/>
  <c r="DH113" i="273" s="1"/>
  <c r="DH59" i="273" s="1"/>
  <c r="DG17" i="280"/>
  <c r="DF37" i="287"/>
  <c r="DF39" i="287" s="1"/>
  <c r="DE70" i="265"/>
  <c r="BI19" i="280"/>
  <c r="BI49" i="265" s="1"/>
  <c r="BI28" i="280"/>
  <c r="BI29" i="280" s="1"/>
  <c r="BI73" i="265" s="1"/>
  <c r="DH25" i="282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7" i="280"/>
  <c r="AK59" i="280" s="1"/>
  <c r="AK67" i="280" s="1"/>
  <c r="AQ63" i="280"/>
  <c r="AQ50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58" i="280"/>
  <c r="DB39" i="280"/>
  <c r="AJ83" i="265"/>
  <c r="AJ82" i="265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C58" i="280"/>
  <c r="DC39" i="280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2" i="281"/>
  <c r="DH96" i="273"/>
  <c r="DH97" i="273" s="1"/>
  <c r="DH90" i="273"/>
  <c r="DH91" i="273" s="1"/>
  <c r="DH75" i="273"/>
  <c r="DH76" i="273" s="1"/>
  <c r="DH35" i="287" s="1"/>
  <c r="DH32" i="273"/>
  <c r="DH33" i="273" s="1"/>
  <c r="DH2" i="273"/>
  <c r="AS112" i="281"/>
  <c r="AS113" i="281" s="1"/>
  <c r="AK62" i="280"/>
  <c r="AK64" i="280" s="1"/>
  <c r="AK68" i="280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H38" i="287" l="1"/>
  <c r="DH26" i="287"/>
  <c r="DH36" i="265" s="1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18" i="287" s="1"/>
  <c r="DI19" i="287" s="1"/>
  <c r="DI22" i="287" s="1"/>
  <c r="DI25" i="287" s="1"/>
  <c r="DI2" i="287"/>
  <c r="DG37" i="287"/>
  <c r="DG39" i="287" s="1"/>
  <c r="DF70" i="265"/>
  <c r="BJ26" i="280"/>
  <c r="BJ16" i="280" s="1"/>
  <c r="BJ18" i="280" s="1"/>
  <c r="BJ15" i="286" s="1"/>
  <c r="DI25" i="282"/>
  <c r="DD45" i="281"/>
  <c r="DD47" i="281" s="1"/>
  <c r="DD51" i="281" s="1"/>
  <c r="DD61" i="281"/>
  <c r="AK69" i="280"/>
  <c r="AK70" i="280" s="1"/>
  <c r="DE30" i="281"/>
  <c r="DE36" i="281" s="1"/>
  <c r="DE38" i="281" s="1"/>
  <c r="DE9" i="265" s="1"/>
  <c r="DE11" i="265" s="1"/>
  <c r="DE14" i="265" s="1"/>
  <c r="DE19" i="265" s="1"/>
  <c r="DE22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D39" i="280"/>
  <c r="DD58" i="280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E50" i="281"/>
  <c r="DG20" i="275"/>
  <c r="DH17" i="275" s="1"/>
  <c r="DI26" i="287" l="1"/>
  <c r="DI36" i="265" s="1"/>
  <c r="DI38" i="287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18" i="287" s="1"/>
  <c r="DJ19" i="287" s="1"/>
  <c r="DJ22" i="287" s="1"/>
  <c r="DJ25" i="287" s="1"/>
  <c r="DJ2" i="287"/>
  <c r="DH37" i="287"/>
  <c r="DH39" i="287" s="1"/>
  <c r="DG70" i="265"/>
  <c r="BJ19" i="280"/>
  <c r="BJ49" i="265" s="1"/>
  <c r="BJ28" i="280"/>
  <c r="BJ29" i="280" s="1"/>
  <c r="BJ73" i="265" s="1"/>
  <c r="AK40" i="280"/>
  <c r="AK41" i="280" s="1"/>
  <c r="AK74" i="265" s="1"/>
  <c r="AK75" i="265" s="1"/>
  <c r="AK81" i="265" s="1"/>
  <c r="BK26" i="280"/>
  <c r="AK14" i="286"/>
  <c r="AK16" i="286" s="1"/>
  <c r="AK18" i="286" s="1"/>
  <c r="DJ25" i="282"/>
  <c r="AK51" i="280"/>
  <c r="AK52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E58" i="280"/>
  <c r="DE39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DI35" i="287" s="1"/>
  <c r="DJ26" i="287" l="1"/>
  <c r="DJ36" i="265" s="1"/>
  <c r="DJ38" i="287"/>
  <c r="AL49" i="280"/>
  <c r="AL62" i="280" s="1"/>
  <c r="AL64" i="280" s="1"/>
  <c r="AL68" i="280" s="1"/>
  <c r="DI37" i="287"/>
  <c r="DI39" i="287" s="1"/>
  <c r="DH70" i="265"/>
  <c r="AL38" i="280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18" i="287" s="1"/>
  <c r="DK19" i="287" s="1"/>
  <c r="DK22" i="287" s="1"/>
  <c r="DK25" i="287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AR63" i="280"/>
  <c r="AR50" i="280"/>
  <c r="AK82" i="265"/>
  <c r="AK83" i="265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35" i="287" s="1"/>
  <c r="DK32" i="273"/>
  <c r="DK33" i="273" s="1"/>
  <c r="DK148" i="273"/>
  <c r="DK149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AL57" i="280"/>
  <c r="AL59" i="280" s="1"/>
  <c r="AL67" i="280" s="1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F58" i="280"/>
  <c r="DF39" i="280"/>
  <c r="DJ76" i="273"/>
  <c r="DJ35" i="287" s="1"/>
  <c r="DH12" i="281"/>
  <c r="DH14" i="281" s="1"/>
  <c r="DH28" i="281" s="1"/>
  <c r="DH30" i="281" s="1"/>
  <c r="DH36" i="281" s="1"/>
  <c r="DH38" i="281" s="1"/>
  <c r="DI143" i="273"/>
  <c r="DK38" i="287" l="1"/>
  <c r="DK26" i="287"/>
  <c r="DK36" i="265" s="1"/>
  <c r="DL108" i="273"/>
  <c r="DL109" i="273" s="1"/>
  <c r="DL14" i="282" s="1"/>
  <c r="DL15" i="282" s="1"/>
  <c r="DL25" i="282" s="1"/>
  <c r="DL124" i="273"/>
  <c r="DL125" i="273" s="1"/>
  <c r="DL18" i="287" s="1"/>
  <c r="DL19" i="287" s="1"/>
  <c r="DL22" i="287" s="1"/>
  <c r="DL25" i="287" s="1"/>
  <c r="DL2" i="287"/>
  <c r="DK112" i="273"/>
  <c r="DL113" i="273" s="1"/>
  <c r="DL59" i="273" s="1"/>
  <c r="DK17" i="280"/>
  <c r="DJ37" i="287"/>
  <c r="DJ39" i="287" s="1"/>
  <c r="DI70" i="265"/>
  <c r="AL69" i="280"/>
  <c r="AL70" i="280" s="1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35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L38" i="287" l="1"/>
  <c r="DL26" i="287"/>
  <c r="DL36" i="265" s="1"/>
  <c r="AL51" i="280"/>
  <c r="AL52" i="280" s="1"/>
  <c r="AL14" i="286"/>
  <c r="AL16" i="286" s="1"/>
  <c r="AL18" i="286" s="1"/>
  <c r="DM108" i="273"/>
  <c r="DM109" i="273" s="1"/>
  <c r="DM14" i="282" s="1"/>
  <c r="DM15" i="282" s="1"/>
  <c r="DM25" i="282" s="1"/>
  <c r="DM124" i="273"/>
  <c r="DM125" i="273" s="1"/>
  <c r="DM18" i="287" s="1"/>
  <c r="DM19" i="287" s="1"/>
  <c r="DM22" i="287" s="1"/>
  <c r="DM25" i="287" s="1"/>
  <c r="DM2" i="287"/>
  <c r="DL112" i="273"/>
  <c r="DM113" i="273" s="1"/>
  <c r="DM59" i="273" s="1"/>
  <c r="DL17" i="280"/>
  <c r="AL40" i="280"/>
  <c r="AL41" i="280" s="1"/>
  <c r="AM38" i="280" s="1"/>
  <c r="DK37" i="287"/>
  <c r="DK39" i="287" s="1"/>
  <c r="DJ70" i="265"/>
  <c r="BK73" i="265"/>
  <c r="BL16" i="280"/>
  <c r="BL18" i="280" s="1"/>
  <c r="BL15" i="286" s="1"/>
  <c r="DM16" i="282"/>
  <c r="DM13" i="265" s="1"/>
  <c r="DJ11" i="265"/>
  <c r="DJ14" i="265" s="1"/>
  <c r="DJ19" i="265" s="1"/>
  <c r="DJ22" i="265" s="1"/>
  <c r="DJ39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58" i="280"/>
  <c r="DJ12" i="281"/>
  <c r="DK143" i="273"/>
  <c r="AS30" i="265"/>
  <c r="AS33" i="265" s="1"/>
  <c r="AS37" i="265" s="1"/>
  <c r="AS42" i="265" s="1"/>
  <c r="AS47" i="265" s="1"/>
  <c r="AS50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G58" i="280"/>
  <c r="DG39" i="280"/>
  <c r="DL141" i="273"/>
  <c r="DL38" i="273"/>
  <c r="DM39" i="273" s="1"/>
  <c r="DM41" i="273" s="1"/>
  <c r="DI66" i="273"/>
  <c r="DI67" i="273" s="1"/>
  <c r="DI3" i="287" s="1"/>
  <c r="DJ60" i="273"/>
  <c r="AL74" i="265"/>
  <c r="AL75" i="265" s="1"/>
  <c r="AL81" i="265" s="1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38" i="281"/>
  <c r="DK110" i="281"/>
  <c r="DK122" i="281"/>
  <c r="DK105" i="281"/>
  <c r="DK107" i="281" s="1"/>
  <c r="DK111" i="281" s="1"/>
  <c r="DK98" i="281"/>
  <c r="DK10" i="265" s="1"/>
  <c r="DI58" i="280"/>
  <c r="DI39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39" i="280"/>
  <c r="DH58" i="280"/>
  <c r="AL63" i="265"/>
  <c r="AL65" i="265" s="1"/>
  <c r="AL67" i="265" s="1"/>
  <c r="AL80" i="265" s="1"/>
  <c r="AM49" i="280"/>
  <c r="DJ26" i="282"/>
  <c r="DK20" i="275"/>
  <c r="DL17" i="275" s="1"/>
  <c r="DM26" i="287" l="1"/>
  <c r="DM36" i="265" s="1"/>
  <c r="DM38" i="287"/>
  <c r="DN108" i="273"/>
  <c r="DN109" i="273" s="1"/>
  <c r="DN14" i="282" s="1"/>
  <c r="DN15" i="282" s="1"/>
  <c r="DN16" i="282" s="1"/>
  <c r="DN13" i="265" s="1"/>
  <c r="DN124" i="273"/>
  <c r="DN125" i="273" s="1"/>
  <c r="DN18" i="287" s="1"/>
  <c r="DN19" i="287" s="1"/>
  <c r="DN22" i="287" s="1"/>
  <c r="DN25" i="287" s="1"/>
  <c r="DN2" i="287"/>
  <c r="DM112" i="273"/>
  <c r="DN113" i="273" s="1"/>
  <c r="DN59" i="273" s="1"/>
  <c r="DM17" i="280"/>
  <c r="DL37" i="287"/>
  <c r="DL39" i="287" s="1"/>
  <c r="DK70" i="265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AM57" i="280"/>
  <c r="AM59" i="280" s="1"/>
  <c r="AM67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90" i="273"/>
  <c r="DN91" i="273" s="1"/>
  <c r="DN2" i="281"/>
  <c r="DN96" i="273"/>
  <c r="DN97" i="273" s="1"/>
  <c r="DN75" i="273"/>
  <c r="DN76" i="273" s="1"/>
  <c r="DN35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AM62" i="280"/>
  <c r="AM64" i="280" s="1"/>
  <c r="AM68" i="280" s="1"/>
  <c r="DM76" i="273"/>
  <c r="DM35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AS63" i="280"/>
  <c r="AS50" i="280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26" i="287" l="1"/>
  <c r="DN36" i="265" s="1"/>
  <c r="DN38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18" i="287" s="1"/>
  <c r="DO19" i="287" s="1"/>
  <c r="DO22" i="287" s="1"/>
  <c r="DO25" i="287" s="1"/>
  <c r="DO2" i="287"/>
  <c r="DN25" i="282"/>
  <c r="DM37" i="287"/>
  <c r="DM39" i="287" s="1"/>
  <c r="DL70" i="265"/>
  <c r="BM26" i="280"/>
  <c r="BM16" i="280" s="1"/>
  <c r="BM18" i="280" s="1"/>
  <c r="BM15" i="286" s="1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35" i="287" s="1"/>
  <c r="DO32" i="273"/>
  <c r="DO33" i="273" s="1"/>
  <c r="DO148" i="273"/>
  <c r="DO149" i="273" s="1"/>
  <c r="DO2" i="273"/>
  <c r="AM69" i="280"/>
  <c r="DK58" i="280"/>
  <c r="DK39" i="280"/>
  <c r="DO38" i="287" l="1"/>
  <c r="DO26" i="287"/>
  <c r="DO36" i="265" s="1"/>
  <c r="DP108" i="273"/>
  <c r="DP109" i="273" s="1"/>
  <c r="DP14" i="282" s="1"/>
  <c r="DP15" i="282" s="1"/>
  <c r="DP25" i="282" s="1"/>
  <c r="DP124" i="273"/>
  <c r="DP125" i="273" s="1"/>
  <c r="DP18" i="287" s="1"/>
  <c r="DP19" i="287" s="1"/>
  <c r="DP22" i="287" s="1"/>
  <c r="DP25" i="287" s="1"/>
  <c r="DP2" i="287"/>
  <c r="DO112" i="273"/>
  <c r="DP113" i="273" s="1"/>
  <c r="DP59" i="273" s="1"/>
  <c r="DO17" i="280"/>
  <c r="DN37" i="287"/>
  <c r="DN39" i="287" s="1"/>
  <c r="DM70" i="265"/>
  <c r="BM19" i="280"/>
  <c r="BM49" i="265" s="1"/>
  <c r="BM28" i="280"/>
  <c r="BM29" i="280" s="1"/>
  <c r="BN26" i="280" s="1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2" i="281"/>
  <c r="DP96" i="273"/>
  <c r="DP97" i="273" s="1"/>
  <c r="DP90" i="273"/>
  <c r="DP91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M19" i="265" s="1"/>
  <c r="DM22" i="265" s="1"/>
  <c r="AM70" i="280"/>
  <c r="AM14" i="286"/>
  <c r="AM16" i="286" s="1"/>
  <c r="AM18" i="286" s="1"/>
  <c r="AM51" i="280"/>
  <c r="AM52" i="280" s="1"/>
  <c r="AM40" i="280"/>
  <c r="AM41" i="280" s="1"/>
  <c r="DO106" i="281"/>
  <c r="DO72" i="281"/>
  <c r="DO46" i="281"/>
  <c r="DP76" i="273"/>
  <c r="DP35" i="287" s="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DL39" i="280"/>
  <c r="DL58" i="280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38" i="287" l="1"/>
  <c r="DP26" i="287"/>
  <c r="DP36" i="265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18" i="287" s="1"/>
  <c r="DQ19" i="287" s="1"/>
  <c r="DQ22" i="287" s="1"/>
  <c r="DQ25" i="287" s="1"/>
  <c r="DQ2" i="287"/>
  <c r="DO37" i="287"/>
  <c r="DO39" i="287" s="1"/>
  <c r="DN70" i="265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8" i="280"/>
  <c r="DM58" i="280"/>
  <c r="DM39" i="280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9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AT63" i="280"/>
  <c r="AT50" i="280"/>
  <c r="DP52" i="273"/>
  <c r="DP42" i="273"/>
  <c r="DP4" i="287" s="1"/>
  <c r="DQ26" i="287" l="1"/>
  <c r="DQ36" i="265" s="1"/>
  <c r="DQ38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18" i="287" s="1"/>
  <c r="DR19" i="287" s="1"/>
  <c r="DR22" i="287" s="1"/>
  <c r="DR25" i="287" s="1"/>
  <c r="DR2" i="287"/>
  <c r="DP37" i="287"/>
  <c r="DP39" i="287" s="1"/>
  <c r="DO70" i="265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62" i="280"/>
  <c r="AN64" i="280" s="1"/>
  <c r="AN68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7" i="280"/>
  <c r="AN59" i="280" s="1"/>
  <c r="AN67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58" i="280"/>
  <c r="DN39" i="280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35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90" i="273"/>
  <c r="DR91" i="273" s="1"/>
  <c r="DR2" i="281"/>
  <c r="DR96" i="273"/>
  <c r="DR97" i="273" s="1"/>
  <c r="DR75" i="273"/>
  <c r="DR76" i="273" s="1"/>
  <c r="DR35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R26" i="287" l="1"/>
  <c r="DR36" i="265" s="1"/>
  <c r="DR38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18" i="287" s="1"/>
  <c r="DS19" i="287" s="1"/>
  <c r="DS22" i="287" s="1"/>
  <c r="DS25" i="287" s="1"/>
  <c r="DS2" i="287"/>
  <c r="BN73" i="265"/>
  <c r="DQ37" i="287"/>
  <c r="DQ39" i="287" s="1"/>
  <c r="DP70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71" i="281"/>
  <c r="DQ73" i="281" s="1"/>
  <c r="DQ77" i="281" s="1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35" i="287" s="1"/>
  <c r="DS32" i="273"/>
  <c r="DS33" i="273" s="1"/>
  <c r="DS148" i="273"/>
  <c r="DS149" i="273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AN69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O58" i="280"/>
  <c r="DO39" i="280"/>
  <c r="DS38" i="287" l="1"/>
  <c r="DS26" i="287"/>
  <c r="DS36" i="265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124" i="273"/>
  <c r="DT125" i="273" s="1"/>
  <c r="DT18" i="287" s="1"/>
  <c r="DT19" i="287" s="1"/>
  <c r="DT22" i="287" s="1"/>
  <c r="DT25" i="287" s="1"/>
  <c r="DT2" i="287"/>
  <c r="DS112" i="273"/>
  <c r="DT113" i="273" s="1"/>
  <c r="DT59" i="273" s="1"/>
  <c r="DS17" i="280"/>
  <c r="DR37" i="287"/>
  <c r="DR39" i="287" s="1"/>
  <c r="DQ70" i="265"/>
  <c r="BO19" i="280"/>
  <c r="BO49" i="265" s="1"/>
  <c r="BO28" i="280"/>
  <c r="BO29" i="280" s="1"/>
  <c r="BO73" i="265" s="1"/>
  <c r="DT25" i="282"/>
  <c r="DT16" i="282"/>
  <c r="DT1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2" i="281"/>
  <c r="DT96" i="273"/>
  <c r="DT97" i="273" s="1"/>
  <c r="DT90" i="273"/>
  <c r="DT91" i="273" s="1"/>
  <c r="DT75" i="273"/>
  <c r="DT32" i="273"/>
  <c r="DT33" i="273" s="1"/>
  <c r="DT2" i="273"/>
  <c r="DP39" i="280"/>
  <c r="DP58" i="280"/>
  <c r="AN14" i="286"/>
  <c r="AN16" i="286" s="1"/>
  <c r="AN18" i="286" s="1"/>
  <c r="AN70" i="280"/>
  <c r="AN40" i="280"/>
  <c r="AN41" i="280" s="1"/>
  <c r="AN51" i="280"/>
  <c r="AN52" i="280" s="1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50" i="280"/>
  <c r="AU63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S4" i="287" s="1"/>
  <c r="DR143" i="273"/>
  <c r="DQ12" i="281"/>
  <c r="DT38" i="287" l="1"/>
  <c r="DT26" i="287"/>
  <c r="DT36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18" i="287" s="1"/>
  <c r="DU19" i="287" s="1"/>
  <c r="DU22" i="287" s="1"/>
  <c r="DU25" i="287" s="1"/>
  <c r="DU2" i="287"/>
  <c r="BP26" i="280"/>
  <c r="BP16" i="280" s="1"/>
  <c r="BP18" i="280" s="1"/>
  <c r="BP15" i="286" s="1"/>
  <c r="DS37" i="287"/>
  <c r="DS39" i="287" s="1"/>
  <c r="DR70" i="265"/>
  <c r="DS30" i="281"/>
  <c r="DS36" i="281" s="1"/>
  <c r="DU25" i="282"/>
  <c r="DQ59" i="265"/>
  <c r="DQ60" i="265" s="1"/>
  <c r="DR23" i="282"/>
  <c r="DR26" i="282" s="1"/>
  <c r="DR12" i="281"/>
  <c r="DS143" i="273"/>
  <c r="DQ58" i="280"/>
  <c r="DQ39" i="280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AN63" i="265"/>
  <c r="AN65" i="265" s="1"/>
  <c r="AN67" i="265" s="1"/>
  <c r="AN80" i="265" s="1"/>
  <c r="AO49" i="280"/>
  <c r="AN24" i="265"/>
  <c r="AN25" i="265" s="1"/>
  <c r="AN52" i="265"/>
  <c r="AN53" i="265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5" i="273"/>
  <c r="DU76" i="273" s="1"/>
  <c r="DU35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35" i="287" s="1"/>
  <c r="DR135" i="273"/>
  <c r="DS132" i="273"/>
  <c r="AW123" i="281"/>
  <c r="AW124" i="281" s="1"/>
  <c r="AW114" i="281"/>
  <c r="AW31" i="265" s="1"/>
  <c r="DS20" i="275"/>
  <c r="DT17" i="275" s="1"/>
  <c r="AN74" i="265"/>
  <c r="AN75" i="265" s="1"/>
  <c r="AN81" i="265" s="1"/>
  <c r="AO38" i="280"/>
  <c r="DT141" i="273"/>
  <c r="DT38" i="273"/>
  <c r="DU39" i="273" s="1"/>
  <c r="DU41" i="273" s="1"/>
  <c r="DU26" i="287" l="1"/>
  <c r="DU36" i="265" s="1"/>
  <c r="DU38" i="287"/>
  <c r="DV108" i="273"/>
  <c r="DV109" i="273" s="1"/>
  <c r="DV14" i="282" s="1"/>
  <c r="DV15" i="282" s="1"/>
  <c r="DV124" i="273"/>
  <c r="DV125" i="273" s="1"/>
  <c r="DV18" i="287" s="1"/>
  <c r="DV19" i="287" s="1"/>
  <c r="DV22" i="287" s="1"/>
  <c r="DV25" i="287" s="1"/>
  <c r="DV2" i="287"/>
  <c r="DT37" i="287"/>
  <c r="DT39" i="287" s="1"/>
  <c r="DS70" i="265"/>
  <c r="DU112" i="273"/>
  <c r="DV113" i="273" s="1"/>
  <c r="DV59" i="273" s="1"/>
  <c r="DU17" i="280"/>
  <c r="BP19" i="280"/>
  <c r="BP49" i="265" s="1"/>
  <c r="BP28" i="280"/>
  <c r="BP29" i="280" s="1"/>
  <c r="BQ26" i="280" s="1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DU4" i="287" s="1"/>
  <c r="AO57" i="280"/>
  <c r="AO59" i="280" s="1"/>
  <c r="AO67" i="280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R58" i="280"/>
  <c r="DR39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62" i="280"/>
  <c r="AO64" i="280" s="1"/>
  <c r="AO68" i="280" s="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90" i="273"/>
  <c r="DV91" i="273" s="1"/>
  <c r="DV2" i="281"/>
  <c r="DV96" i="273"/>
  <c r="DV97" i="273" s="1"/>
  <c r="DV75" i="273"/>
  <c r="DV76" i="273" s="1"/>
  <c r="DV35" i="287" s="1"/>
  <c r="DV32" i="273"/>
  <c r="DV33" i="273" s="1"/>
  <c r="DV2" i="273"/>
  <c r="DV26" i="287" l="1"/>
  <c r="DV36" i="265" s="1"/>
  <c r="DV38" i="287"/>
  <c r="BP73" i="265"/>
  <c r="DU37" i="287"/>
  <c r="DU39" i="287" s="1"/>
  <c r="DT70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18" i="287" s="1"/>
  <c r="DW19" i="287" s="1"/>
  <c r="DW22" i="287" s="1"/>
  <c r="DW25" i="287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S58" i="280"/>
  <c r="DS39" i="280"/>
  <c r="DU5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2" i="273"/>
  <c r="DS66" i="273"/>
  <c r="DS67" i="273" s="1"/>
  <c r="DS3" i="287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AV63" i="280"/>
  <c r="AV50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AO69" i="280"/>
  <c r="DW38" i="287" l="1"/>
  <c r="DW26" i="287"/>
  <c r="DW36" i="265" s="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18" i="287" s="1"/>
  <c r="DX19" i="287" s="1"/>
  <c r="DX22" i="287" s="1"/>
  <c r="DX25" i="287" s="1"/>
  <c r="DX2" i="287"/>
  <c r="DV37" i="287"/>
  <c r="DV39" i="287" s="1"/>
  <c r="DU70" i="265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W52" i="273"/>
  <c r="DW42" i="273"/>
  <c r="DW4" i="287" s="1"/>
  <c r="AO70" i="280"/>
  <c r="AO14" i="286"/>
  <c r="AO16" i="286" s="1"/>
  <c r="AO18" i="286" s="1"/>
  <c r="AO51" i="280"/>
  <c r="AO52" i="280" s="1"/>
  <c r="AO40" i="280"/>
  <c r="AO41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39" i="280"/>
  <c r="DT58" i="280"/>
  <c r="DT66" i="273"/>
  <c r="DT67" i="273" s="1"/>
  <c r="DT3" i="287" s="1"/>
  <c r="DU60" i="273"/>
  <c r="DW141" i="273"/>
  <c r="DW38" i="273"/>
  <c r="DX39" i="273" s="1"/>
  <c r="DX41" i="273" s="1"/>
  <c r="DW76" i="273"/>
  <c r="DW35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2" i="281"/>
  <c r="DX96" i="273"/>
  <c r="DX97" i="273" s="1"/>
  <c r="DX90" i="273"/>
  <c r="DX91" i="273" s="1"/>
  <c r="DX75" i="273"/>
  <c r="DX76" i="273" s="1"/>
  <c r="DX35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X38" i="287" l="1"/>
  <c r="DX26" i="287"/>
  <c r="DX36" i="265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18" i="287" s="1"/>
  <c r="DY19" i="287" s="1"/>
  <c r="DY22" i="287" s="1"/>
  <c r="DY25" i="287" s="1"/>
  <c r="DY2" i="287"/>
  <c r="DW37" i="287"/>
  <c r="DW39" i="287" s="1"/>
  <c r="DV70" i="265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AO74" i="265"/>
  <c r="AO75" i="265" s="1"/>
  <c r="AO81" i="265" s="1"/>
  <c r="AP38" i="280"/>
  <c r="DW4" i="275"/>
  <c r="DW4" i="265"/>
  <c r="DW4" i="286"/>
  <c r="DW4" i="280"/>
  <c r="DW4" i="282"/>
  <c r="DW4" i="281"/>
  <c r="DW4" i="273"/>
  <c r="DU58" i="280"/>
  <c r="DU39" i="280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5" i="273"/>
  <c r="DY76" i="273" s="1"/>
  <c r="DY35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9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Y26" i="287" l="1"/>
  <c r="DY36" i="265" s="1"/>
  <c r="DY38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18" i="287" s="1"/>
  <c r="DZ19" i="287" s="1"/>
  <c r="DZ22" i="287" s="1"/>
  <c r="DZ25" i="287" s="1"/>
  <c r="DZ2" i="287"/>
  <c r="DX37" i="287"/>
  <c r="DX39" i="287" s="1"/>
  <c r="DW70" i="265"/>
  <c r="BR19" i="280"/>
  <c r="BR49" i="265" s="1"/>
  <c r="BR28" i="280"/>
  <c r="BR29" i="280" s="1"/>
  <c r="BR73" i="265" s="1"/>
  <c r="DZ16" i="282"/>
  <c r="DZ13" i="265" s="1"/>
  <c r="DX143" i="273"/>
  <c r="DW12" i="281"/>
  <c r="DX132" i="273"/>
  <c r="DW135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63" i="280"/>
  <c r="AW50" i="280"/>
  <c r="AO82" i="265"/>
  <c r="AO83" i="265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90" i="273"/>
  <c r="DZ91" i="273" s="1"/>
  <c r="DZ2" i="281"/>
  <c r="DZ96" i="273"/>
  <c r="DZ97" i="273" s="1"/>
  <c r="DZ75" i="273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DV58" i="280"/>
  <c r="DV39" i="280"/>
  <c r="AP62" i="280"/>
  <c r="AP64" i="280" s="1"/>
  <c r="AP68" i="280" s="1"/>
  <c r="H13" i="286"/>
  <c r="H37" i="273"/>
  <c r="H56" i="273"/>
  <c r="H47" i="273"/>
  <c r="H19" i="273"/>
  <c r="DZ76" i="273"/>
  <c r="DZ35" i="287" s="1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7" i="280"/>
  <c r="AP59" i="280" s="1"/>
  <c r="AP67" i="280" s="1"/>
  <c r="DU3" i="275"/>
  <c r="DU3" i="265"/>
  <c r="DU3" i="286"/>
  <c r="DU3" i="280"/>
  <c r="DU3" i="282"/>
  <c r="DU3" i="281"/>
  <c r="DU50" i="273"/>
  <c r="DU3" i="273"/>
  <c r="DZ26" i="287" l="1"/>
  <c r="DZ36" i="265" s="1"/>
  <c r="DZ38" i="287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DY37" i="287"/>
  <c r="DY39" i="287" s="1"/>
  <c r="DX70" i="265"/>
  <c r="BS26" i="280"/>
  <c r="BS16" i="280" s="1"/>
  <c r="BS18" i="280" s="1"/>
  <c r="BS15" i="286" s="1"/>
  <c r="AP69" i="280"/>
  <c r="AP14" i="286" s="1"/>
  <c r="AP16" i="286" s="1"/>
  <c r="AP18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5" i="287" s="1"/>
  <c r="EA32" i="273"/>
  <c r="EA33" i="273" s="1"/>
  <c r="EA148" i="273"/>
  <c r="EA149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W58" i="280"/>
  <c r="DW39" i="280"/>
  <c r="DX135" i="273"/>
  <c r="DY132" i="273"/>
  <c r="DX12" i="281"/>
  <c r="DY143" i="273"/>
  <c r="H125" i="273" l="1"/>
  <c r="H18" i="287" s="1"/>
  <c r="EA18" i="287"/>
  <c r="EA19" i="287" s="1"/>
  <c r="EA17" i="280"/>
  <c r="DZ37" i="287"/>
  <c r="DZ39" i="287" s="1"/>
  <c r="DY70" i="265"/>
  <c r="AP40" i="280"/>
  <c r="AP41" i="280" s="1"/>
  <c r="BS19" i="280"/>
  <c r="BS49" i="265" s="1"/>
  <c r="BS28" i="280"/>
  <c r="BS29" i="280" s="1"/>
  <c r="BT26" i="280" s="1"/>
  <c r="AP70" i="280"/>
  <c r="AP51" i="280"/>
  <c r="AP52" i="280" s="1"/>
  <c r="AQ4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Z70" i="277"/>
  <c r="Y59" i="277"/>
  <c r="Y60" i="277" s="1"/>
  <c r="L64" i="277"/>
  <c r="Y73" i="277"/>
  <c r="Y71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D59" i="277"/>
  <c r="AD60" i="277" s="1"/>
  <c r="AD70" i="277"/>
  <c r="AD72" i="277"/>
  <c r="AD71" i="277"/>
  <c r="AE72" i="277"/>
  <c r="AE59" i="277"/>
  <c r="AE60" i="277" s="1"/>
  <c r="AE71" i="277"/>
  <c r="AH71" i="277"/>
  <c r="AF72" i="277"/>
  <c r="AF70" i="277"/>
  <c r="AG71" i="277"/>
  <c r="AF59" i="277"/>
  <c r="AF60" i="277" s="1"/>
  <c r="AE70" i="277"/>
  <c r="AF71" i="277"/>
  <c r="L63" i="277"/>
  <c r="AG72" i="277"/>
  <c r="AG70" i="277"/>
  <c r="AJ72" i="277"/>
  <c r="AG59" i="277"/>
  <c r="AG60" i="277" s="1"/>
  <c r="AI72" i="277"/>
  <c r="AI71" i="277"/>
  <c r="AJ70" i="277"/>
  <c r="AI70" i="277"/>
  <c r="AI59" i="277"/>
  <c r="AI60" i="277" s="1"/>
  <c r="AH70" i="277"/>
  <c r="AH72" i="277"/>
  <c r="AH59" i="277"/>
  <c r="AH60" i="277" s="1"/>
  <c r="AJ71" i="277"/>
  <c r="L74" i="277"/>
  <c r="AK70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L70" i="277"/>
  <c r="AM72" i="277"/>
  <c r="AM70" i="277"/>
  <c r="AN72" i="277"/>
  <c r="AM71" i="277"/>
  <c r="AM59" i="277"/>
  <c r="AM60" i="277" s="1"/>
  <c r="AN70" i="277"/>
  <c r="EA15" i="275"/>
  <c r="EA20" i="275" s="1"/>
  <c r="EA12" i="286"/>
  <c r="EA36" i="280"/>
  <c r="EA24" i="280"/>
  <c r="EA21" i="282"/>
  <c r="EA47" i="280"/>
  <c r="EA119" i="281"/>
  <c r="EA81" i="281"/>
  <c r="EA58" i="281"/>
  <c r="EA79" i="273"/>
  <c r="EA57" i="273"/>
  <c r="H76" i="273"/>
  <c r="H35" i="287" s="1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38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DX39" i="280"/>
  <c r="DX58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P63" i="265"/>
  <c r="AP65" i="265" s="1"/>
  <c r="AP67" i="265" s="1"/>
  <c r="AP80" i="265" s="1"/>
  <c r="EA22" i="287" l="1"/>
  <c r="EA25" i="287" s="1"/>
  <c r="H19" i="287"/>
  <c r="H22" i="287" s="1"/>
  <c r="L65" i="277"/>
  <c r="L67" i="277" s="1"/>
  <c r="L80" i="277" s="1"/>
  <c r="H112" i="273"/>
  <c r="H17" i="280"/>
  <c r="EA37" i="287"/>
  <c r="DZ70" i="265"/>
  <c r="BS73" i="265"/>
  <c r="BT16" i="280"/>
  <c r="BT18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62" i="280"/>
  <c r="AQ64" i="280" s="1"/>
  <c r="AQ68" i="280" s="1"/>
  <c r="DY66" i="273"/>
  <c r="DY67" i="273" s="1"/>
  <c r="DY3" i="287" s="1"/>
  <c r="DZ60" i="273"/>
  <c r="R67" i="277"/>
  <c r="R80" i="277" s="1"/>
  <c r="Q67" i="277"/>
  <c r="Q80" i="277" s="1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63" i="280"/>
  <c r="AX50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58" i="280"/>
  <c r="DY39" i="280"/>
  <c r="DY59" i="265"/>
  <c r="DY60" i="265" s="1"/>
  <c r="DZ23" i="282"/>
  <c r="DZ26" i="282" s="1"/>
  <c r="AQ57" i="280"/>
  <c r="AQ59" i="280" s="1"/>
  <c r="AQ67" i="280" s="1"/>
  <c r="AQ69" i="280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EA38" i="287" l="1"/>
  <c r="EA26" i="287"/>
  <c r="H25" i="287"/>
  <c r="H38" i="287" s="1"/>
  <c r="EA70" i="265"/>
  <c r="EA39" i="287"/>
  <c r="BT19" i="280"/>
  <c r="BT49" i="265" s="1"/>
  <c r="BT28" i="280"/>
  <c r="BT29" i="280" s="1"/>
  <c r="BT73" i="265" s="1"/>
  <c r="Z73" i="277" s="1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58" i="280"/>
  <c r="DZ39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18" i="277"/>
  <c r="AD10" i="277"/>
  <c r="AD18" i="277"/>
  <c r="AC43" i="277"/>
  <c r="AC40" i="277"/>
  <c r="AC45" i="277"/>
  <c r="AC35" i="277"/>
  <c r="AD3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9" i="277"/>
  <c r="AG21" i="277"/>
  <c r="AG45" i="277"/>
  <c r="AG16" i="277"/>
  <c r="AH43" i="277"/>
  <c r="AH13" i="277"/>
  <c r="AH16" i="277"/>
  <c r="AI21" i="277"/>
  <c r="AH44" i="277"/>
  <c r="AI35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N16" i="277"/>
  <c r="AL18" i="277"/>
  <c r="AM35" i="277"/>
  <c r="AN35" i="277"/>
  <c r="AN44" i="277"/>
  <c r="AL35" i="277"/>
  <c r="AL13" i="277"/>
  <c r="AM9" i="277"/>
  <c r="AN39" i="277"/>
  <c r="AM16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N13" i="277"/>
  <c r="AN32" i="277"/>
  <c r="AN17" i="277"/>
  <c r="AN18" i="277"/>
  <c r="AN45" i="277"/>
  <c r="N83" i="277"/>
  <c r="N82" i="277"/>
  <c r="O83" i="277"/>
  <c r="O82" i="277"/>
  <c r="AQ70" i="280"/>
  <c r="AQ14" i="286"/>
  <c r="AQ16" i="286" s="1"/>
  <c r="AQ18" i="286" s="1"/>
  <c r="AQ51" i="280"/>
  <c r="AQ52" i="280" s="1"/>
  <c r="AQ40" i="280"/>
  <c r="AQ41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EA36" i="265" l="1"/>
  <c r="AN36" i="277" s="1"/>
  <c r="H36" i="277" s="1"/>
  <c r="H26" i="287"/>
  <c r="H36" i="265" s="1"/>
  <c r="H46" i="269" s="1"/>
  <c r="K46" i="269" s="1"/>
  <c r="AL11" i="277"/>
  <c r="AL14" i="277" s="1"/>
  <c r="BU26" i="280"/>
  <c r="BU16" i="280" s="1"/>
  <c r="BU18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G14" i="277" s="1"/>
  <c r="AG19" i="277" s="1"/>
  <c r="AG22" i="277" s="1"/>
  <c r="AD11" i="277"/>
  <c r="AD14" i="277" s="1"/>
  <c r="AD19" i="277" s="1"/>
  <c r="AD22" i="277" s="1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V19" i="277" s="1"/>
  <c r="V22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T19" i="277" s="1"/>
  <c r="T22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9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8" i="280"/>
  <c r="AK11" i="277"/>
  <c r="AK14" i="277" s="1"/>
  <c r="AK19" i="277" s="1"/>
  <c r="AK22" i="277" s="1"/>
  <c r="AI11" i="277"/>
  <c r="AI14" i="277" s="1"/>
  <c r="AI19" i="277" s="1"/>
  <c r="AI22" i="277" s="1"/>
  <c r="AA11" i="277"/>
  <c r="AA14" i="277" s="1"/>
  <c r="AA19" i="277" s="1"/>
  <c r="AA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EA60" i="265"/>
  <c r="M59" i="277"/>
  <c r="M60" i="277" s="1"/>
  <c r="M67" i="277" s="1"/>
  <c r="M80" i="277" s="1"/>
  <c r="L46" i="269" l="1"/>
  <c r="J46" i="269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7" i="280"/>
  <c r="AR59" i="280" s="1"/>
  <c r="AR67" i="280" s="1"/>
  <c r="BA112" i="281"/>
  <c r="BA113" i="281" s="1"/>
  <c r="AQ25" i="265"/>
  <c r="AR62" i="280"/>
  <c r="AR64" i="280" s="1"/>
  <c r="AR68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U73" i="265" l="1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9" i="280"/>
  <c r="AY63" i="280"/>
  <c r="AY50" i="280"/>
  <c r="BV19" i="280" l="1"/>
  <c r="BV49" i="265" s="1"/>
  <c r="BV28" i="280"/>
  <c r="BV29" i="280" s="1"/>
  <c r="BW26" i="280" s="1"/>
  <c r="EA76" i="281"/>
  <c r="EA78" i="281" s="1"/>
  <c r="EA85" i="281" s="1"/>
  <c r="EA86" i="281" s="1"/>
  <c r="AR14" i="286"/>
  <c r="AR16" i="286" s="1"/>
  <c r="AR18" i="286" s="1"/>
  <c r="AR70" i="280"/>
  <c r="AR40" i="280"/>
  <c r="AR41" i="280" s="1"/>
  <c r="AR51" i="280"/>
  <c r="AR52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V73" i="265" l="1"/>
  <c r="BW16" i="280"/>
  <c r="BW18" i="280" s="1"/>
  <c r="BW15" i="286" s="1"/>
  <c r="AN19" i="277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38" i="280"/>
  <c r="AZ64" i="265"/>
  <c r="U64" i="277" s="1"/>
  <c r="BA60" i="281"/>
  <c r="L24" i="269"/>
  <c r="J24" i="269"/>
  <c r="BB112" i="281"/>
  <c r="BB113" i="281" s="1"/>
  <c r="AR63" i="265"/>
  <c r="AS49" i="280"/>
  <c r="AR24" i="265"/>
  <c r="AR52" i="265"/>
  <c r="BW19" i="280" l="1"/>
  <c r="BW49" i="265" s="1"/>
  <c r="BW28" i="280"/>
  <c r="BW29" i="280" s="1"/>
  <c r="BW73" i="265" s="1"/>
  <c r="AR75" i="265"/>
  <c r="AR81" i="265" s="1"/>
  <c r="S74" i="277"/>
  <c r="S75" i="277" s="1"/>
  <c r="S81" i="277" s="1"/>
  <c r="L29" i="269"/>
  <c r="J29" i="269"/>
  <c r="AR53" i="265"/>
  <c r="R51" i="277"/>
  <c r="R52" i="277" s="1"/>
  <c r="AS62" i="280"/>
  <c r="AS64" i="280" s="1"/>
  <c r="AS68" i="280" s="1"/>
  <c r="BA52" i="281"/>
  <c r="BA53" i="281" s="1"/>
  <c r="AS57" i="280"/>
  <c r="AS59" i="280" s="1"/>
  <c r="AS67" i="280" s="1"/>
  <c r="AS69" i="280" s="1"/>
  <c r="EA58" i="280"/>
  <c r="EA39" i="280"/>
  <c r="H22" i="265"/>
  <c r="AZ63" i="280"/>
  <c r="AZ50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X26" i="280" l="1"/>
  <c r="BX16" i="280" s="1"/>
  <c r="BX18" i="280" s="1"/>
  <c r="BX15" i="286" s="1"/>
  <c r="S83" i="277"/>
  <c r="S82" i="277"/>
  <c r="AR83" i="265"/>
  <c r="AR82" i="265"/>
  <c r="H22" i="277"/>
  <c r="AS70" i="280"/>
  <c r="AS14" i="286"/>
  <c r="AS16" i="286" s="1"/>
  <c r="AS18" i="286" s="1"/>
  <c r="AS51" i="280"/>
  <c r="AS52" i="280" s="1"/>
  <c r="AS40" i="280"/>
  <c r="AS41" i="280" s="1"/>
  <c r="BA30" i="265"/>
  <c r="BA62" i="281"/>
  <c r="BA63" i="281" s="1"/>
  <c r="BB69" i="265"/>
  <c r="BC121" i="281"/>
  <c r="H32" i="269"/>
  <c r="K32" i="269" s="1"/>
  <c r="H58" i="280"/>
  <c r="H39" i="280"/>
  <c r="BX19" i="280" l="1"/>
  <c r="BX49" i="265" s="1"/>
  <c r="BX28" i="280"/>
  <c r="BX29" i="280" s="1"/>
  <c r="BX73" i="265" s="1"/>
  <c r="AA73" i="277" s="1"/>
  <c r="BC112" i="281"/>
  <c r="BC113" i="281" s="1"/>
  <c r="BA64" i="265"/>
  <c r="BB60" i="281"/>
  <c r="AS74" i="265"/>
  <c r="AS75" i="265" s="1"/>
  <c r="AS81" i="265" s="1"/>
  <c r="AT38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49" i="280"/>
  <c r="AS52" i="265"/>
  <c r="AS24" i="265"/>
  <c r="BY26" i="280" l="1"/>
  <c r="BY16" i="280" s="1"/>
  <c r="BY18" i="280" s="1"/>
  <c r="BY15" i="286" s="1"/>
  <c r="AS25" i="265"/>
  <c r="AT62" i="280"/>
  <c r="AT64" i="280" s="1"/>
  <c r="AT68" i="280" s="1"/>
  <c r="AS53" i="265"/>
  <c r="AS82" i="265"/>
  <c r="AS83" i="265"/>
  <c r="BA63" i="280"/>
  <c r="BA50" i="280"/>
  <c r="AT57" i="280"/>
  <c r="AT59" i="280" s="1"/>
  <c r="AT67" i="280" s="1"/>
  <c r="AT69" i="280" s="1"/>
  <c r="BB52" i="281"/>
  <c r="BB53" i="281" s="1"/>
  <c r="BC123" i="281"/>
  <c r="BC124" i="281" s="1"/>
  <c r="BC114" i="281"/>
  <c r="BC31" i="265" s="1"/>
  <c r="BY19" i="280" l="1"/>
  <c r="BY49" i="265" s="1"/>
  <c r="BY28" i="280"/>
  <c r="BY29" i="280" s="1"/>
  <c r="BY73" i="265" s="1"/>
  <c r="BB30" i="265"/>
  <c r="BB62" i="281"/>
  <c r="BB63" i="281" s="1"/>
  <c r="BC69" i="265"/>
  <c r="BD121" i="281"/>
  <c r="AT14" i="286"/>
  <c r="AT16" i="286" s="1"/>
  <c r="AT18" i="286" s="1"/>
  <c r="AT70" i="280"/>
  <c r="AT51" i="280"/>
  <c r="AT52" i="280" s="1"/>
  <c r="AT40" i="280"/>
  <c r="AT41" i="280" s="1"/>
  <c r="BZ26" i="280" l="1"/>
  <c r="BZ16" i="280" s="1"/>
  <c r="BZ18" i="280" s="1"/>
  <c r="BZ15" i="286" s="1"/>
  <c r="AT63" i="265"/>
  <c r="AT65" i="265" s="1"/>
  <c r="AT67" i="265" s="1"/>
  <c r="AT80" i="265" s="1"/>
  <c r="AU49" i="280"/>
  <c r="AT74" i="265"/>
  <c r="AT75" i="265" s="1"/>
  <c r="AT81" i="265" s="1"/>
  <c r="AU38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Z19" i="280" l="1"/>
  <c r="BZ49" i="265" s="1"/>
  <c r="BZ28" i="280"/>
  <c r="BZ29" i="280" s="1"/>
  <c r="CA26" i="280" s="1"/>
  <c r="BD114" i="281"/>
  <c r="BD31" i="265" s="1"/>
  <c r="BD123" i="281"/>
  <c r="BD124" i="281" s="1"/>
  <c r="BB63" i="280"/>
  <c r="BB50" i="280"/>
  <c r="BC52" i="281"/>
  <c r="BC53" i="281" s="1"/>
  <c r="AT53" i="265"/>
  <c r="AU57" i="280"/>
  <c r="AU59" i="280" s="1"/>
  <c r="AU67" i="280" s="1"/>
  <c r="AU62" i="280"/>
  <c r="AU64" i="280" s="1"/>
  <c r="AU68" i="280" s="1"/>
  <c r="AT25" i="265"/>
  <c r="AT83" i="265"/>
  <c r="AT82" i="265"/>
  <c r="BZ73" i="265" l="1"/>
  <c r="CA16" i="280"/>
  <c r="CA18" i="280" s="1"/>
  <c r="CA15" i="286" s="1"/>
  <c r="AU69" i="280"/>
  <c r="BC30" i="265"/>
  <c r="BC62" i="281"/>
  <c r="BC63" i="281" s="1"/>
  <c r="BD69" i="265"/>
  <c r="BE121" i="281"/>
  <c r="CA19" i="280" l="1"/>
  <c r="CA49" i="265" s="1"/>
  <c r="CA28" i="280"/>
  <c r="CA29" i="280" s="1"/>
  <c r="CA73" i="265" s="1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70" i="280"/>
  <c r="AU14" i="286"/>
  <c r="AU16" i="286" s="1"/>
  <c r="AU18" i="286" s="1"/>
  <c r="AU51" i="280"/>
  <c r="AU52" i="280" s="1"/>
  <c r="AU40" i="280"/>
  <c r="AU41" i="280" s="1"/>
  <c r="CB26" i="280" l="1"/>
  <c r="CB16" i="280" s="1"/>
  <c r="CB18" i="280" s="1"/>
  <c r="CB15" i="286" s="1"/>
  <c r="BD52" i="281"/>
  <c r="BD53" i="281" s="1"/>
  <c r="AU74" i="265"/>
  <c r="AU75" i="265" s="1"/>
  <c r="AU81" i="265" s="1"/>
  <c r="AV38" i="280"/>
  <c r="AU63" i="265"/>
  <c r="AU65" i="265" s="1"/>
  <c r="AU67" i="265" s="1"/>
  <c r="AU80" i="265" s="1"/>
  <c r="AV49" i="280"/>
  <c r="AU52" i="265"/>
  <c r="AU24" i="265"/>
  <c r="BC50" i="280"/>
  <c r="BC63" i="280"/>
  <c r="BE123" i="281"/>
  <c r="BE124" i="281" s="1"/>
  <c r="BE114" i="281"/>
  <c r="BE31" i="265" s="1"/>
  <c r="CB19" i="280" l="1"/>
  <c r="CB49" i="265" s="1"/>
  <c r="CB28" i="280"/>
  <c r="CB29" i="280" s="1"/>
  <c r="CC26" i="280" s="1"/>
  <c r="AU53" i="265"/>
  <c r="AU82" i="265"/>
  <c r="AU83" i="265"/>
  <c r="BD30" i="265"/>
  <c r="BD62" i="281"/>
  <c r="BD63" i="281" s="1"/>
  <c r="BE69" i="265"/>
  <c r="BF121" i="281"/>
  <c r="AU25" i="265"/>
  <c r="AV62" i="280"/>
  <c r="AV64" i="280" s="1"/>
  <c r="AV68" i="280" s="1"/>
  <c r="AV57" i="280"/>
  <c r="AV59" i="280" s="1"/>
  <c r="AV67" i="280" s="1"/>
  <c r="CB73" i="265" l="1"/>
  <c r="AB73" i="277" s="1"/>
  <c r="CC16" i="280"/>
  <c r="CC18" i="280" s="1"/>
  <c r="CC15" i="286" s="1"/>
  <c r="AV69" i="280"/>
  <c r="AV70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C19" i="280" l="1"/>
  <c r="CC49" i="265" s="1"/>
  <c r="CC28" i="280"/>
  <c r="CC29" i="280" s="1"/>
  <c r="CC73" i="265" s="1"/>
  <c r="AV51" i="280"/>
  <c r="AV52" i="280" s="1"/>
  <c r="AV63" i="265" s="1"/>
  <c r="AV40" i="280"/>
  <c r="AV41" i="280" s="1"/>
  <c r="AV74" i="265" s="1"/>
  <c r="BD63" i="280"/>
  <c r="BD50" i="280"/>
  <c r="AV24" i="265"/>
  <c r="AV52" i="265"/>
  <c r="BE52" i="281"/>
  <c r="BE53" i="281" s="1"/>
  <c r="BF114" i="281"/>
  <c r="BF31" i="265" s="1"/>
  <c r="BF123" i="281"/>
  <c r="BF124" i="281" s="1"/>
  <c r="CD26" i="280" l="1"/>
  <c r="CD16" i="280" s="1"/>
  <c r="CD18" i="280" s="1"/>
  <c r="CD15" i="286" s="1"/>
  <c r="AW49" i="280"/>
  <c r="AW38" i="280"/>
  <c r="BF69" i="265"/>
  <c r="BG121" i="281"/>
  <c r="AV53" i="265"/>
  <c r="S51" i="277"/>
  <c r="S52" i="277" s="1"/>
  <c r="AW62" i="280"/>
  <c r="AW64" i="280" s="1"/>
  <c r="AW68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7" i="280"/>
  <c r="AW59" i="280" s="1"/>
  <c r="AW67" i="280" s="1"/>
  <c r="CD19" i="280" l="1"/>
  <c r="CD49" i="265" s="1"/>
  <c r="CD28" i="280"/>
  <c r="CD29" i="280" s="1"/>
  <c r="CD73" i="265" s="1"/>
  <c r="AW69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E26" i="280" l="1"/>
  <c r="CE16" i="280" s="1"/>
  <c r="CE18" i="280" s="1"/>
  <c r="CE15" i="286" s="1"/>
  <c r="AW51" i="280"/>
  <c r="AW52" i="280" s="1"/>
  <c r="AX49" i="280" s="1"/>
  <c r="AW70" i="280"/>
  <c r="AW52" i="265" s="1"/>
  <c r="AW40" i="280"/>
  <c r="AW41" i="280" s="1"/>
  <c r="AW74" i="265" s="1"/>
  <c r="AW75" i="265" s="1"/>
  <c r="AW81" i="265" s="1"/>
  <c r="BF52" i="281"/>
  <c r="BF53" i="281" s="1"/>
  <c r="BE63" i="280"/>
  <c r="BE50" i="280"/>
  <c r="BG123" i="281"/>
  <c r="BG124" i="281" s="1"/>
  <c r="BG114" i="281"/>
  <c r="BG31" i="265" s="1"/>
  <c r="CE19" i="280" l="1"/>
  <c r="CE49" i="265" s="1"/>
  <c r="CE28" i="280"/>
  <c r="CE29" i="280" s="1"/>
  <c r="CF26" i="280" s="1"/>
  <c r="AW24" i="265"/>
  <c r="AW25" i="265" s="1"/>
  <c r="CE73" i="265"/>
  <c r="AW63" i="265"/>
  <c r="AW65" i="265" s="1"/>
  <c r="AW67" i="265" s="1"/>
  <c r="AW80" i="265" s="1"/>
  <c r="AW82" i="265" s="1"/>
  <c r="AX38" i="280"/>
  <c r="AX57" i="280" s="1"/>
  <c r="AX59" i="280" s="1"/>
  <c r="AX67" i="280" s="1"/>
  <c r="BG69" i="265"/>
  <c r="BH121" i="281"/>
  <c r="AW53" i="265"/>
  <c r="AX62" i="280"/>
  <c r="AX64" i="280" s="1"/>
  <c r="AX68" i="280" s="1"/>
  <c r="BF30" i="265"/>
  <c r="BF62" i="281"/>
  <c r="BF63" i="281" s="1"/>
  <c r="CF16" i="280" l="1"/>
  <c r="CF18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9" i="280"/>
  <c r="CF19" i="280" l="1"/>
  <c r="CF49" i="265" s="1"/>
  <c r="CF28" i="280"/>
  <c r="CF29" i="280" s="1"/>
  <c r="CF73" i="265" s="1"/>
  <c r="AC73" i="277" s="1"/>
  <c r="BG52" i="281"/>
  <c r="BG53" i="281" s="1"/>
  <c r="AX14" i="286"/>
  <c r="AX16" i="286" s="1"/>
  <c r="AX18" i="286" s="1"/>
  <c r="AX70" i="280"/>
  <c r="AX51" i="280"/>
  <c r="AX52" i="280" s="1"/>
  <c r="AX40" i="280"/>
  <c r="AX41" i="280" s="1"/>
  <c r="BF63" i="280"/>
  <c r="BF50" i="280"/>
  <c r="BH114" i="281"/>
  <c r="BH31" i="265" s="1"/>
  <c r="BH123" i="281"/>
  <c r="BH124" i="281" s="1"/>
  <c r="CG26" i="280" l="1"/>
  <c r="CG16" i="280" s="1"/>
  <c r="CG18" i="280" s="1"/>
  <c r="CG15" i="286" s="1"/>
  <c r="BH69" i="265"/>
  <c r="BI121" i="281"/>
  <c r="AX74" i="265"/>
  <c r="AX75" i="265" s="1"/>
  <c r="AX81" i="265" s="1"/>
  <c r="AY38" i="280"/>
  <c r="AX24" i="265"/>
  <c r="AX52" i="265"/>
  <c r="AX63" i="265"/>
  <c r="AX65" i="265" s="1"/>
  <c r="AX67" i="265" s="1"/>
  <c r="AX80" i="265" s="1"/>
  <c r="AY49" i="280"/>
  <c r="BG30" i="265"/>
  <c r="BG62" i="281"/>
  <c r="BG63" i="281" s="1"/>
  <c r="CG19" i="280" l="1"/>
  <c r="CG49" i="265" s="1"/>
  <c r="CG28" i="280"/>
  <c r="CG29" i="280" s="1"/>
  <c r="CH26" i="280" s="1"/>
  <c r="BG33" i="265"/>
  <c r="BG37" i="265" s="1"/>
  <c r="BG42" i="265" s="1"/>
  <c r="BG47" i="265" s="1"/>
  <c r="BG50" i="265" s="1"/>
  <c r="BG64" i="265"/>
  <c r="BH60" i="281"/>
  <c r="AY62" i="280"/>
  <c r="AY64" i="280" s="1"/>
  <c r="AY68" i="280" s="1"/>
  <c r="AX53" i="265"/>
  <c r="AY57" i="280"/>
  <c r="AY59" i="280" s="1"/>
  <c r="AY67" i="280" s="1"/>
  <c r="AY69" i="280" s="1"/>
  <c r="BI112" i="281"/>
  <c r="BI113" i="281" s="1"/>
  <c r="AX83" i="265"/>
  <c r="AX82" i="265"/>
  <c r="AX25" i="265"/>
  <c r="W69" i="277"/>
  <c r="CG73" i="265" l="1"/>
  <c r="CH16" i="280"/>
  <c r="CH18" i="280" s="1"/>
  <c r="CH15" i="286" s="1"/>
  <c r="BH52" i="281"/>
  <c r="BH53" i="281" s="1"/>
  <c r="BI123" i="281"/>
  <c r="BI124" i="281" s="1"/>
  <c r="BI114" i="281"/>
  <c r="BI31" i="265" s="1"/>
  <c r="AY70" i="280"/>
  <c r="AY14" i="286"/>
  <c r="AY16" i="286" s="1"/>
  <c r="AY18" i="286" s="1"/>
  <c r="AY51" i="280"/>
  <c r="AY52" i="280" s="1"/>
  <c r="AY40" i="280"/>
  <c r="AY41" i="280" s="1"/>
  <c r="BG63" i="280"/>
  <c r="BG50" i="280"/>
  <c r="CH19" i="280" l="1"/>
  <c r="CH49" i="265" s="1"/>
  <c r="CH28" i="280"/>
  <c r="CH29" i="280" s="1"/>
  <c r="CH73" i="265" s="1"/>
  <c r="AY74" i="265"/>
  <c r="AY75" i="265" s="1"/>
  <c r="AY81" i="265" s="1"/>
  <c r="AZ38" i="280"/>
  <c r="AY63" i="265"/>
  <c r="AY65" i="265" s="1"/>
  <c r="AY67" i="265" s="1"/>
  <c r="AY80" i="265" s="1"/>
  <c r="AZ49" i="280"/>
  <c r="AY52" i="265"/>
  <c r="AY24" i="265"/>
  <c r="BI69" i="265"/>
  <c r="BJ121" i="281"/>
  <c r="BH30" i="265"/>
  <c r="BH62" i="281"/>
  <c r="BH63" i="281" s="1"/>
  <c r="CI26" i="280" l="1"/>
  <c r="CI16" i="280" s="1"/>
  <c r="CI18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62" i="280"/>
  <c r="AZ64" i="280" s="1"/>
  <c r="AZ68" i="280" s="1"/>
  <c r="AZ57" i="280"/>
  <c r="AZ59" i="280" s="1"/>
  <c r="AZ67" i="280" s="1"/>
  <c r="BH64" i="265"/>
  <c r="W64" i="277" s="1"/>
  <c r="BI60" i="281"/>
  <c r="AY53" i="265"/>
  <c r="CI19" i="280" l="1"/>
  <c r="CI49" i="265" s="1"/>
  <c r="CI28" i="280"/>
  <c r="CI29" i="280" s="1"/>
  <c r="CI73" i="265" s="1"/>
  <c r="AZ69" i="280"/>
  <c r="AZ70" i="280" s="1"/>
  <c r="BI52" i="281"/>
  <c r="BI53" i="281" s="1"/>
  <c r="BJ114" i="281"/>
  <c r="BJ31" i="265" s="1"/>
  <c r="BJ123" i="281"/>
  <c r="BJ124" i="281" s="1"/>
  <c r="BH63" i="280"/>
  <c r="BH50" i="280"/>
  <c r="CJ26" i="280" l="1"/>
  <c r="CJ16" i="280" s="1"/>
  <c r="CJ18" i="280" s="1"/>
  <c r="CJ15" i="286" s="1"/>
  <c r="AZ14" i="286"/>
  <c r="AZ16" i="286" s="1"/>
  <c r="AZ18" i="286" s="1"/>
  <c r="AZ40" i="280"/>
  <c r="AZ41" i="280" s="1"/>
  <c r="BA38" i="280" s="1"/>
  <c r="AZ51" i="280"/>
  <c r="AZ52" i="280" s="1"/>
  <c r="AZ63" i="265" s="1"/>
  <c r="BJ69" i="265"/>
  <c r="BK121" i="281"/>
  <c r="AZ24" i="265"/>
  <c r="AZ52" i="265"/>
  <c r="BI30" i="265"/>
  <c r="BI62" i="281"/>
  <c r="BI63" i="281" s="1"/>
  <c r="AZ74" i="265" l="1"/>
  <c r="U74" i="277" s="1"/>
  <c r="U75" i="277" s="1"/>
  <c r="U81" i="277" s="1"/>
  <c r="CJ19" i="280"/>
  <c r="CJ49" i="265" s="1"/>
  <c r="CJ28" i="280"/>
  <c r="CJ29" i="280" s="1"/>
  <c r="CK26" i="280" s="1"/>
  <c r="BA49" i="280"/>
  <c r="BA62" i="280" s="1"/>
  <c r="BA64" i="280" s="1"/>
  <c r="BA68" i="280" s="1"/>
  <c r="BI64" i="265"/>
  <c r="BJ60" i="281"/>
  <c r="AZ53" i="265"/>
  <c r="T51" i="277"/>
  <c r="T52" i="277" s="1"/>
  <c r="BK112" i="281"/>
  <c r="BK113" i="281" s="1"/>
  <c r="BA57" i="280"/>
  <c r="BA59" i="280" s="1"/>
  <c r="BA67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AZ75" i="265" l="1"/>
  <c r="AZ81" i="265" s="1"/>
  <c r="AZ83" i="265" s="1"/>
  <c r="CJ73" i="265"/>
  <c r="AD73" i="277" s="1"/>
  <c r="CK16" i="280"/>
  <c r="CK18" i="280" s="1"/>
  <c r="CK15" i="286" s="1"/>
  <c r="BA69" i="280"/>
  <c r="BA14" i="286" s="1"/>
  <c r="BA16" i="286" s="1"/>
  <c r="BA18" i="286" s="1"/>
  <c r="BJ52" i="281"/>
  <c r="BJ53" i="281" s="1"/>
  <c r="U83" i="277"/>
  <c r="U82" i="277"/>
  <c r="AZ82" i="265"/>
  <c r="BI63" i="280"/>
  <c r="BI50" i="280"/>
  <c r="BA70" i="280"/>
  <c r="BK123" i="281"/>
  <c r="BK124" i="281" s="1"/>
  <c r="BK114" i="281"/>
  <c r="BK31" i="265" s="1"/>
  <c r="BA51" i="280" l="1"/>
  <c r="BA52" i="280" s="1"/>
  <c r="BB49" i="280" s="1"/>
  <c r="CK19" i="280"/>
  <c r="CK49" i="265" s="1"/>
  <c r="CK28" i="280"/>
  <c r="CK29" i="280" s="1"/>
  <c r="CK73" i="265" s="1"/>
  <c r="BA40" i="280"/>
  <c r="BA41" i="280" s="1"/>
  <c r="BA74" i="265" s="1"/>
  <c r="BA75" i="265" s="1"/>
  <c r="BA81" i="265" s="1"/>
  <c r="BK69" i="265"/>
  <c r="BL121" i="281"/>
  <c r="BA52" i="265"/>
  <c r="BA24" i="265"/>
  <c r="BJ30" i="265"/>
  <c r="BJ62" i="281"/>
  <c r="BJ63" i="281" s="1"/>
  <c r="BA63" i="265" l="1"/>
  <c r="BA65" i="265" s="1"/>
  <c r="BA67" i="265" s="1"/>
  <c r="BA80" i="265" s="1"/>
  <c r="BA83" i="265" s="1"/>
  <c r="BB38" i="280"/>
  <c r="BB57" i="280" s="1"/>
  <c r="BB59" i="280" s="1"/>
  <c r="BB67" i="280" s="1"/>
  <c r="CL26" i="280"/>
  <c r="CL16" i="280" s="1"/>
  <c r="CL18" i="280" s="1"/>
  <c r="CL15" i="286" s="1"/>
  <c r="BJ64" i="265"/>
  <c r="BK60" i="281"/>
  <c r="BA25" i="265"/>
  <c r="BB62" i="280"/>
  <c r="BB64" i="280" s="1"/>
  <c r="BB68" i="280" s="1"/>
  <c r="BL112" i="281"/>
  <c r="BL113" i="281" s="1"/>
  <c r="BJ33" i="265"/>
  <c r="BJ37" i="265" s="1"/>
  <c r="BJ42" i="265" s="1"/>
  <c r="BJ47" i="265" s="1"/>
  <c r="BJ50" i="265" s="1"/>
  <c r="BA53" i="265"/>
  <c r="BA82" i="265"/>
  <c r="CL19" i="280" l="1"/>
  <c r="CL49" i="265" s="1"/>
  <c r="CL28" i="280"/>
  <c r="CL29" i="280" s="1"/>
  <c r="CL73" i="265" s="1"/>
  <c r="BK52" i="281"/>
  <c r="BK53" i="281" s="1"/>
  <c r="BJ63" i="280"/>
  <c r="BJ50" i="280"/>
  <c r="BL114" i="281"/>
  <c r="BL31" i="265" s="1"/>
  <c r="BL123" i="281"/>
  <c r="BL124" i="281" s="1"/>
  <c r="BB69" i="280"/>
  <c r="CM26" i="280" l="1"/>
  <c r="CM16" i="280" s="1"/>
  <c r="CM18" i="280" s="1"/>
  <c r="CM15" i="286" s="1"/>
  <c r="BB14" i="286"/>
  <c r="BB16" i="286" s="1"/>
  <c r="BB18" i="286" s="1"/>
  <c r="BB70" i="280"/>
  <c r="BB51" i="280"/>
  <c r="BB52" i="280" s="1"/>
  <c r="BB40" i="280"/>
  <c r="BB41" i="280" s="1"/>
  <c r="BL69" i="265"/>
  <c r="BM121" i="281"/>
  <c r="BK30" i="265"/>
  <c r="BK62" i="281"/>
  <c r="BK63" i="281" s="1"/>
  <c r="CM19" i="280" l="1"/>
  <c r="CM49" i="265" s="1"/>
  <c r="CM28" i="280"/>
  <c r="CM29" i="280" s="1"/>
  <c r="CN26" i="280" s="1"/>
  <c r="BK33" i="265"/>
  <c r="BK37" i="265" s="1"/>
  <c r="BK42" i="265" s="1"/>
  <c r="BK47" i="265" s="1"/>
  <c r="BK50" i="265" s="1"/>
  <c r="BB63" i="265"/>
  <c r="BB65" i="265" s="1"/>
  <c r="BB67" i="265" s="1"/>
  <c r="BB80" i="265" s="1"/>
  <c r="BC49" i="280"/>
  <c r="BK64" i="265"/>
  <c r="BL60" i="281"/>
  <c r="BM112" i="281"/>
  <c r="BM113" i="281" s="1"/>
  <c r="BB74" i="265"/>
  <c r="BB75" i="265" s="1"/>
  <c r="BB81" i="265" s="1"/>
  <c r="BC38" i="280"/>
  <c r="BB24" i="265"/>
  <c r="BB52" i="265"/>
  <c r="X69" i="277"/>
  <c r="CM73" i="265" l="1"/>
  <c r="CN16" i="280"/>
  <c r="CN18" i="280" s="1"/>
  <c r="CN15" i="286" s="1"/>
  <c r="BL52" i="281"/>
  <c r="BL53" i="281" s="1"/>
  <c r="BC62" i="280"/>
  <c r="BC64" i="280" s="1"/>
  <c r="BC68" i="280" s="1"/>
  <c r="BB53" i="265"/>
  <c r="BC57" i="280"/>
  <c r="BC59" i="280" s="1"/>
  <c r="BC67" i="280" s="1"/>
  <c r="BC69" i="280" s="1"/>
  <c r="BB25" i="265"/>
  <c r="BM123" i="281"/>
  <c r="BM124" i="281" s="1"/>
  <c r="BM114" i="281"/>
  <c r="BM31" i="265" s="1"/>
  <c r="BB83" i="265"/>
  <c r="BB82" i="265"/>
  <c r="BK50" i="280"/>
  <c r="BK63" i="280"/>
  <c r="CN19" i="280" l="1"/>
  <c r="CN49" i="265" s="1"/>
  <c r="CN28" i="280"/>
  <c r="CN29" i="280" s="1"/>
  <c r="CO26" i="280" s="1"/>
  <c r="BM69" i="265"/>
  <c r="BN121" i="281"/>
  <c r="BC70" i="280"/>
  <c r="BC14" i="286"/>
  <c r="BC16" i="286" s="1"/>
  <c r="BC18" i="286" s="1"/>
  <c r="BC51" i="280"/>
  <c r="BC52" i="280" s="1"/>
  <c r="BC40" i="280"/>
  <c r="BC41" i="280" s="1"/>
  <c r="BL30" i="265"/>
  <c r="BL62" i="281"/>
  <c r="BL63" i="281" s="1"/>
  <c r="CN73" i="265" l="1"/>
  <c r="AE73" i="277" s="1"/>
  <c r="CO16" i="280"/>
  <c r="CO18" i="280" s="1"/>
  <c r="CO15" i="286" s="1"/>
  <c r="BL64" i="265"/>
  <c r="X64" i="277" s="1"/>
  <c r="BM60" i="281"/>
  <c r="BC74" i="265"/>
  <c r="BC75" i="265" s="1"/>
  <c r="BC81" i="265" s="1"/>
  <c r="BD38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9" i="280"/>
  <c r="BC52" i="265"/>
  <c r="BC24" i="265"/>
  <c r="CO19" i="280" l="1"/>
  <c r="CO49" i="265" s="1"/>
  <c r="CO28" i="280"/>
  <c r="CO29" i="280" s="1"/>
  <c r="CP26" i="280" s="1"/>
  <c r="BC53" i="265"/>
  <c r="BL63" i="280"/>
  <c r="BL50" i="280"/>
  <c r="BC25" i="265"/>
  <c r="BD62" i="280"/>
  <c r="BD64" i="280" s="1"/>
  <c r="BD68" i="280" s="1"/>
  <c r="BD57" i="280"/>
  <c r="BD59" i="280" s="1"/>
  <c r="BD67" i="280" s="1"/>
  <c r="BM52" i="281"/>
  <c r="BM53" i="281" s="1"/>
  <c r="BC82" i="265"/>
  <c r="BC83" i="265"/>
  <c r="BN114" i="281"/>
  <c r="BN31" i="265" s="1"/>
  <c r="BN123" i="281"/>
  <c r="BN124" i="281" s="1"/>
  <c r="CO73" i="265" l="1"/>
  <c r="CP16" i="280"/>
  <c r="CP18" i="280" s="1"/>
  <c r="CP15" i="286" s="1"/>
  <c r="BD69" i="280"/>
  <c r="BD14" i="286" s="1"/>
  <c r="BD16" i="286" s="1"/>
  <c r="BD18" i="286" s="1"/>
  <c r="BN69" i="265"/>
  <c r="BO121" i="281"/>
  <c r="BM30" i="265"/>
  <c r="BM62" i="281"/>
  <c r="BM63" i="281" s="1"/>
  <c r="CP19" i="280" l="1"/>
  <c r="CP49" i="265" s="1"/>
  <c r="CP28" i="280"/>
  <c r="CP29" i="280" s="1"/>
  <c r="CP73" i="265" s="1"/>
  <c r="BD51" i="280"/>
  <c r="BD52" i="280" s="1"/>
  <c r="BD63" i="265" s="1"/>
  <c r="BD70" i="280"/>
  <c r="BD24" i="265" s="1"/>
  <c r="BD40" i="280"/>
  <c r="BD41" i="280" s="1"/>
  <c r="BD74" i="265" s="1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CQ26" i="280" l="1"/>
  <c r="CQ16" i="280" s="1"/>
  <c r="CQ18" i="280" s="1"/>
  <c r="CQ15" i="286" s="1"/>
  <c r="BE49" i="280"/>
  <c r="BE62" i="280" s="1"/>
  <c r="BE64" i="280" s="1"/>
  <c r="BE68" i="280" s="1"/>
  <c r="BE38" i="280"/>
  <c r="BE57" i="280" s="1"/>
  <c r="BE59" i="280" s="1"/>
  <c r="BE67" i="280" s="1"/>
  <c r="BN52" i="281"/>
  <c r="BN53" i="281" s="1"/>
  <c r="BD53" i="265"/>
  <c r="U51" i="277"/>
  <c r="BO123" i="281"/>
  <c r="BO124" i="281" s="1"/>
  <c r="BO114" i="281"/>
  <c r="BO31" i="265" s="1"/>
  <c r="BM63" i="280"/>
  <c r="BM50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CQ19" i="280" l="1"/>
  <c r="CQ49" i="265" s="1"/>
  <c r="CQ28" i="280"/>
  <c r="CQ29" i="280" s="1"/>
  <c r="CQ73" i="265" s="1"/>
  <c r="BD83" i="265"/>
  <c r="BD82" i="265"/>
  <c r="V83" i="277"/>
  <c r="V82" i="277"/>
  <c r="BO69" i="265"/>
  <c r="BP121" i="281"/>
  <c r="BN30" i="265"/>
  <c r="BN62" i="281"/>
  <c r="BN63" i="281" s="1"/>
  <c r="BE69" i="280"/>
  <c r="CR26" i="280" l="1"/>
  <c r="CR16" i="280" s="1"/>
  <c r="CR18" i="280" s="1"/>
  <c r="CR15" i="286" s="1"/>
  <c r="BN64" i="265"/>
  <c r="BO60" i="281"/>
  <c r="BP112" i="281"/>
  <c r="BP113" i="281" s="1"/>
  <c r="BE70" i="280"/>
  <c r="BE14" i="286"/>
  <c r="BE16" i="286" s="1"/>
  <c r="BE18" i="286" s="1"/>
  <c r="BE51" i="280"/>
  <c r="BE52" i="280" s="1"/>
  <c r="BE40" i="280"/>
  <c r="BE41" i="280" s="1"/>
  <c r="BN33" i="265"/>
  <c r="BN37" i="265" s="1"/>
  <c r="BN42" i="265" s="1"/>
  <c r="BN47" i="265" s="1"/>
  <c r="BN50" i="265" s="1"/>
  <c r="CR19" i="280" l="1"/>
  <c r="CR49" i="265" s="1"/>
  <c r="CR28" i="280"/>
  <c r="CR29" i="280" s="1"/>
  <c r="CR73" i="265" s="1"/>
  <c r="AF73" i="277" s="1"/>
  <c r="BE74" i="265"/>
  <c r="BE75" i="265" s="1"/>
  <c r="BE81" i="265" s="1"/>
  <c r="BF38" i="280"/>
  <c r="BO52" i="281"/>
  <c r="BO53" i="281" s="1"/>
  <c r="BN63" i="280"/>
  <c r="BN50" i="280"/>
  <c r="BE63" i="265"/>
  <c r="BE65" i="265" s="1"/>
  <c r="BE67" i="265" s="1"/>
  <c r="BE80" i="265" s="1"/>
  <c r="BF49" i="280"/>
  <c r="BE52" i="265"/>
  <c r="BE24" i="265"/>
  <c r="BP114" i="281"/>
  <c r="BP31" i="265" s="1"/>
  <c r="BP123" i="281"/>
  <c r="BP124" i="281" s="1"/>
  <c r="CS26" i="280" l="1"/>
  <c r="CS16" i="280" s="1"/>
  <c r="CS18" i="280" s="1"/>
  <c r="CS15" i="286" s="1"/>
  <c r="BE25" i="265"/>
  <c r="BE53" i="265"/>
  <c r="BE82" i="265"/>
  <c r="BE83" i="265"/>
  <c r="BF57" i="280"/>
  <c r="BF59" i="280" s="1"/>
  <c r="BF67" i="280" s="1"/>
  <c r="BP69" i="265"/>
  <c r="BQ121" i="281"/>
  <c r="BF62" i="280"/>
  <c r="BF64" i="280" s="1"/>
  <c r="BF68" i="280" s="1"/>
  <c r="BO30" i="265"/>
  <c r="BO62" i="281"/>
  <c r="BO63" i="281" s="1"/>
  <c r="CS19" i="280" l="1"/>
  <c r="CS49" i="265" s="1"/>
  <c r="CS28" i="280"/>
  <c r="CS29" i="280" s="1"/>
  <c r="CS73" i="265" s="1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9" i="280"/>
  <c r="CT26" i="280" l="1"/>
  <c r="CT16" i="280" s="1"/>
  <c r="CT18" i="280" s="1"/>
  <c r="CT15" i="286" s="1"/>
  <c r="BP52" i="281"/>
  <c r="BP53" i="281" s="1"/>
  <c r="BF14" i="286"/>
  <c r="BF16" i="286" s="1"/>
  <c r="BF18" i="286" s="1"/>
  <c r="BF70" i="280"/>
  <c r="BF51" i="280"/>
  <c r="BF52" i="280" s="1"/>
  <c r="BF40" i="280"/>
  <c r="BF41" i="280" s="1"/>
  <c r="BQ123" i="281"/>
  <c r="BQ124" i="281" s="1"/>
  <c r="BQ114" i="281"/>
  <c r="BQ31" i="265" s="1"/>
  <c r="BO63" i="280"/>
  <c r="BO50" i="280"/>
  <c r="CT19" i="280" l="1"/>
  <c r="CT49" i="265" s="1"/>
  <c r="CT28" i="280"/>
  <c r="CT29" i="280" s="1"/>
  <c r="CU26" i="280" s="1"/>
  <c r="BQ69" i="265"/>
  <c r="BR121" i="281"/>
  <c r="BF63" i="265"/>
  <c r="BF65" i="265" s="1"/>
  <c r="BF67" i="265" s="1"/>
  <c r="BF80" i="265" s="1"/>
  <c r="BG49" i="280"/>
  <c r="BP30" i="265"/>
  <c r="BP62" i="281"/>
  <c r="BP63" i="281" s="1"/>
  <c r="BF74" i="265"/>
  <c r="BF75" i="265" s="1"/>
  <c r="BF81" i="265" s="1"/>
  <c r="BG38" i="280"/>
  <c r="BF24" i="265"/>
  <c r="BF52" i="265"/>
  <c r="CT73" i="265" l="1"/>
  <c r="CU16" i="280"/>
  <c r="CU18" i="280" s="1"/>
  <c r="CU15" i="286" s="1"/>
  <c r="BF53" i="265"/>
  <c r="BG57" i="280"/>
  <c r="BG59" i="280" s="1"/>
  <c r="BG67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62" i="280"/>
  <c r="BG64" i="280" s="1"/>
  <c r="BG68" i="280" s="1"/>
  <c r="BR112" i="281"/>
  <c r="BR113" i="281" s="1"/>
  <c r="BF83" i="265"/>
  <c r="BF82" i="265"/>
  <c r="CU19" i="280" l="1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BP63" i="280"/>
  <c r="BP50" i="280"/>
  <c r="BG69" i="280"/>
  <c r="CU73" i="265" l="1"/>
  <c r="CV16" i="280"/>
  <c r="CV18" i="280" s="1"/>
  <c r="CV15" i="286" s="1"/>
  <c r="BQ30" i="265"/>
  <c r="BQ62" i="281"/>
  <c r="BQ63" i="281" s="1"/>
  <c r="BG70" i="280"/>
  <c r="BG14" i="286"/>
  <c r="BG16" i="286" s="1"/>
  <c r="BG18" i="286" s="1"/>
  <c r="BG51" i="280"/>
  <c r="BG52" i="280" s="1"/>
  <c r="BG40" i="280"/>
  <c r="BG41" i="280" s="1"/>
  <c r="BR69" i="265"/>
  <c r="BS121" i="281"/>
  <c r="CV19" i="280" l="1"/>
  <c r="CV49" i="265" s="1"/>
  <c r="CV28" i="280"/>
  <c r="CV29" i="280" s="1"/>
  <c r="CV73" i="265" s="1"/>
  <c r="AG73" i="277" s="1"/>
  <c r="BS112" i="281"/>
  <c r="BS113" i="281" s="1"/>
  <c r="BG74" i="265"/>
  <c r="BG75" i="265" s="1"/>
  <c r="BG81" i="265" s="1"/>
  <c r="BH38" i="280"/>
  <c r="BQ64" i="265"/>
  <c r="BR60" i="281"/>
  <c r="BG63" i="265"/>
  <c r="BG65" i="265" s="1"/>
  <c r="BG67" i="265" s="1"/>
  <c r="BG80" i="265" s="1"/>
  <c r="BH49" i="280"/>
  <c r="BG52" i="265"/>
  <c r="BG24" i="265"/>
  <c r="BQ33" i="265"/>
  <c r="BQ37" i="265" s="1"/>
  <c r="BQ42" i="265" s="1"/>
  <c r="BQ47" i="265" s="1"/>
  <c r="BQ50" i="265" s="1"/>
  <c r="CW26" i="280" l="1"/>
  <c r="CW16" i="280" s="1"/>
  <c r="CW18" i="280" s="1"/>
  <c r="CW15" i="286" s="1"/>
  <c r="BQ63" i="280"/>
  <c r="BQ50" i="280"/>
  <c r="BG53" i="265"/>
  <c r="BG82" i="265"/>
  <c r="BG83" i="265"/>
  <c r="BR52" i="281"/>
  <c r="BR53" i="281" s="1"/>
  <c r="BH57" i="280"/>
  <c r="BH59" i="280" s="1"/>
  <c r="BH67" i="280" s="1"/>
  <c r="BG25" i="265"/>
  <c r="BH62" i="280"/>
  <c r="BH64" i="280" s="1"/>
  <c r="BH68" i="280" s="1"/>
  <c r="BS123" i="281"/>
  <c r="BS124" i="281" s="1"/>
  <c r="BS114" i="281"/>
  <c r="BS31" i="265" s="1"/>
  <c r="CW19" i="280" l="1"/>
  <c r="CW49" i="265" s="1"/>
  <c r="CW28" i="280"/>
  <c r="CW29" i="280" s="1"/>
  <c r="CX26" i="280" s="1"/>
  <c r="BS69" i="265"/>
  <c r="BT121" i="281"/>
  <c r="BH69" i="280"/>
  <c r="BR30" i="265"/>
  <c r="BR62" i="281"/>
  <c r="BR63" i="281" s="1"/>
  <c r="CW73" i="265" l="1"/>
  <c r="CX16" i="280"/>
  <c r="CX18" i="280" s="1"/>
  <c r="CX15" i="286" s="1"/>
  <c r="BH14" i="286"/>
  <c r="BH16" i="286" s="1"/>
  <c r="BH18" i="286" s="1"/>
  <c r="BH70" i="280"/>
  <c r="BH40" i="280"/>
  <c r="BH41" i="280" s="1"/>
  <c r="BH51" i="280"/>
  <c r="BH52" i="280" s="1"/>
  <c r="BR33" i="265"/>
  <c r="BR37" i="265" s="1"/>
  <c r="BR42" i="265" s="1"/>
  <c r="BR47" i="265" s="1"/>
  <c r="BR50" i="265" s="1"/>
  <c r="BT112" i="281"/>
  <c r="BT113" i="281" s="1"/>
  <c r="BR64" i="265"/>
  <c r="BS60" i="281"/>
  <c r="CX19" i="280" l="1"/>
  <c r="CX49" i="265" s="1"/>
  <c r="CX28" i="280"/>
  <c r="CX29" i="280" s="1"/>
  <c r="CX73" i="265" s="1"/>
  <c r="BH63" i="265"/>
  <c r="BI49" i="280"/>
  <c r="BH24" i="265"/>
  <c r="BH52" i="265"/>
  <c r="BS52" i="281"/>
  <c r="BS53" i="281" s="1"/>
  <c r="BT114" i="281"/>
  <c r="BT31" i="265" s="1"/>
  <c r="BT123" i="281"/>
  <c r="BT124" i="281" s="1"/>
  <c r="BR63" i="280"/>
  <c r="BR50" i="280"/>
  <c r="BH74" i="265"/>
  <c r="BI38" i="280"/>
  <c r="CY26" i="280" l="1"/>
  <c r="CY16" i="280" s="1"/>
  <c r="CY18" i="280" s="1"/>
  <c r="CY15" i="286" s="1"/>
  <c r="BI57" i="280"/>
  <c r="BI59" i="280" s="1"/>
  <c r="BI67" i="280" s="1"/>
  <c r="W74" i="277"/>
  <c r="W75" i="277" s="1"/>
  <c r="W81" i="277" s="1"/>
  <c r="BH75" i="265"/>
  <c r="BH81" i="265" s="1"/>
  <c r="BT69" i="265"/>
  <c r="BU121" i="281"/>
  <c r="BH53" i="265"/>
  <c r="V51" i="277"/>
  <c r="BI62" i="280"/>
  <c r="BI64" i="280" s="1"/>
  <c r="BI68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Y19" i="280" l="1"/>
  <c r="CY49" i="265" s="1"/>
  <c r="CY28" i="280"/>
  <c r="CY29" i="280" s="1"/>
  <c r="CY73" i="265" s="1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9" i="280"/>
  <c r="CZ26" i="280" l="1"/>
  <c r="CZ16" i="280" s="1"/>
  <c r="CZ18" i="280" s="1"/>
  <c r="CZ15" i="286" s="1"/>
  <c r="BT52" i="281"/>
  <c r="BT53" i="281" s="1"/>
  <c r="BI70" i="280"/>
  <c r="BI14" i="286"/>
  <c r="BI16" i="286" s="1"/>
  <c r="BI18" i="286" s="1"/>
  <c r="BI51" i="280"/>
  <c r="BI52" i="280" s="1"/>
  <c r="BI40" i="280"/>
  <c r="BI41" i="280" s="1"/>
  <c r="BS50" i="280"/>
  <c r="BS63" i="280"/>
  <c r="BU123" i="281"/>
  <c r="BU124" i="281" s="1"/>
  <c r="BU114" i="281"/>
  <c r="BU31" i="265" s="1"/>
  <c r="CZ19" i="280" l="1"/>
  <c r="CZ49" i="265" s="1"/>
  <c r="CZ28" i="280"/>
  <c r="CZ29" i="280" s="1"/>
  <c r="DA26" i="280" s="1"/>
  <c r="BI63" i="265"/>
  <c r="BI65" i="265" s="1"/>
  <c r="BI67" i="265" s="1"/>
  <c r="BI80" i="265" s="1"/>
  <c r="BJ49" i="280"/>
  <c r="BI52" i="265"/>
  <c r="BI24" i="265"/>
  <c r="BU69" i="265"/>
  <c r="BV121" i="281"/>
  <c r="BI74" i="265"/>
  <c r="BI75" i="265" s="1"/>
  <c r="BI81" i="265" s="1"/>
  <c r="BJ38" i="280"/>
  <c r="BT30" i="265"/>
  <c r="BT62" i="281"/>
  <c r="BT63" i="281" s="1"/>
  <c r="CZ73" i="265" l="1"/>
  <c r="AH73" i="277" s="1"/>
  <c r="DA16" i="280"/>
  <c r="DA18" i="280" s="1"/>
  <c r="DA15" i="286" s="1"/>
  <c r="BT64" i="265"/>
  <c r="Z64" i="277" s="1"/>
  <c r="BU60" i="281"/>
  <c r="BJ57" i="280"/>
  <c r="BJ59" i="280" s="1"/>
  <c r="BJ67" i="280" s="1"/>
  <c r="BV112" i="281"/>
  <c r="BV113" i="281" s="1"/>
  <c r="BI25" i="265"/>
  <c r="BJ62" i="280"/>
  <c r="BJ64" i="280" s="1"/>
  <c r="BJ68" i="280" s="1"/>
  <c r="BT33" i="265"/>
  <c r="BT37" i="265" s="1"/>
  <c r="BT42" i="265" s="1"/>
  <c r="BT47" i="265" s="1"/>
  <c r="BT50" i="265" s="1"/>
  <c r="Y30" i="277"/>
  <c r="BI53" i="265"/>
  <c r="BI82" i="265"/>
  <c r="BI83" i="265"/>
  <c r="DA19" i="280" l="1"/>
  <c r="DA49" i="265" s="1"/>
  <c r="DA28" i="280"/>
  <c r="DA29" i="280" s="1"/>
  <c r="DA73" i="265" s="1"/>
  <c r="BU52" i="281"/>
  <c r="BU53" i="281" s="1"/>
  <c r="BT63" i="280"/>
  <c r="BT50" i="280"/>
  <c r="BV114" i="281"/>
  <c r="BV31" i="265" s="1"/>
  <c r="BV123" i="281"/>
  <c r="BV124" i="281" s="1"/>
  <c r="BJ69" i="280"/>
  <c r="DB26" i="280" l="1"/>
  <c r="DB16" i="280" s="1"/>
  <c r="DB18" i="280" s="1"/>
  <c r="DB15" i="286" s="1"/>
  <c r="BV69" i="265"/>
  <c r="BW121" i="281"/>
  <c r="BU30" i="265"/>
  <c r="BU62" i="281"/>
  <c r="BU63" i="281" s="1"/>
  <c r="BJ14" i="286"/>
  <c r="BJ16" i="286" s="1"/>
  <c r="BJ18" i="286" s="1"/>
  <c r="BJ70" i="280"/>
  <c r="BJ51" i="280"/>
  <c r="BJ52" i="280" s="1"/>
  <c r="BJ40" i="280"/>
  <c r="BJ41" i="280" s="1"/>
  <c r="DB19" i="280" l="1"/>
  <c r="DB49" i="265" s="1"/>
  <c r="DB28" i="280"/>
  <c r="DB29" i="280" s="1"/>
  <c r="DC26" i="280" s="1"/>
  <c r="BJ74" i="265"/>
  <c r="BJ75" i="265" s="1"/>
  <c r="BJ81" i="265" s="1"/>
  <c r="BK38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9" i="280"/>
  <c r="BU33" i="265"/>
  <c r="BU37" i="265" s="1"/>
  <c r="BU42" i="265" s="1"/>
  <c r="BU47" i="265" s="1"/>
  <c r="BU50" i="265" s="1"/>
  <c r="DB73" i="265" l="1"/>
  <c r="DC16" i="280"/>
  <c r="DC18" i="280" s="1"/>
  <c r="DC15" i="286" s="1"/>
  <c r="BK62" i="280"/>
  <c r="BK64" i="280" s="1"/>
  <c r="BK68" i="280" s="1"/>
  <c r="BV52" i="281"/>
  <c r="BV53" i="281" s="1"/>
  <c r="BJ53" i="265"/>
  <c r="BK57" i="280"/>
  <c r="BK59" i="280" s="1"/>
  <c r="BK67" i="280" s="1"/>
  <c r="BU63" i="280"/>
  <c r="BU50" i="280"/>
  <c r="BJ83" i="265"/>
  <c r="BJ82" i="265"/>
  <c r="BW123" i="281"/>
  <c r="BW124" i="281" s="1"/>
  <c r="BW114" i="281"/>
  <c r="BW31" i="265" s="1"/>
  <c r="BJ25" i="265"/>
  <c r="DC19" i="280" l="1"/>
  <c r="DC49" i="265" s="1"/>
  <c r="DC28" i="280"/>
  <c r="DC29" i="280" s="1"/>
  <c r="DC73" i="265" s="1"/>
  <c r="BK69" i="280"/>
  <c r="BK70" i="280" s="1"/>
  <c r="BW69" i="265"/>
  <c r="BX121" i="281"/>
  <c r="BV30" i="265"/>
  <c r="BV62" i="281"/>
  <c r="BV63" i="281" s="1"/>
  <c r="DD26" i="280" l="1"/>
  <c r="DD16" i="280" s="1"/>
  <c r="DD18" i="280" s="1"/>
  <c r="DD15" i="286" s="1"/>
  <c r="BK40" i="280"/>
  <c r="BK41" i="280" s="1"/>
  <c r="BK74" i="265" s="1"/>
  <c r="BK75" i="265" s="1"/>
  <c r="BK81" i="265" s="1"/>
  <c r="BK14" i="286"/>
  <c r="BK16" i="286" s="1"/>
  <c r="BK18" i="286" s="1"/>
  <c r="BK51" i="280"/>
  <c r="BK52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D19" i="280" l="1"/>
  <c r="DD49" i="265" s="1"/>
  <c r="DD28" i="280"/>
  <c r="DD29" i="280" s="1"/>
  <c r="DD73" i="265" s="1"/>
  <c r="AI73" i="277" s="1"/>
  <c r="BL38" i="280"/>
  <c r="BL57" i="280" s="1"/>
  <c r="BL59" i="280" s="1"/>
  <c r="BL67" i="280" s="1"/>
  <c r="DE26" i="280"/>
  <c r="BL49" i="280"/>
  <c r="BL62" i="280" s="1"/>
  <c r="BL64" i="280" s="1"/>
  <c r="BL68" i="280" s="1"/>
  <c r="BW52" i="281"/>
  <c r="BW53" i="281" s="1"/>
  <c r="BK25" i="265"/>
  <c r="BK53" i="265"/>
  <c r="BK82" i="265"/>
  <c r="BK83" i="265"/>
  <c r="BV63" i="280"/>
  <c r="BV50" i="280"/>
  <c r="BX114" i="281"/>
  <c r="BX31" i="265" s="1"/>
  <c r="BX123" i="281"/>
  <c r="BX124" i="281" s="1"/>
  <c r="DE16" i="280" l="1"/>
  <c r="DE18" i="280" s="1"/>
  <c r="DE15" i="286" s="1"/>
  <c r="BX69" i="265"/>
  <c r="BY121" i="281"/>
  <c r="BW30" i="265"/>
  <c r="BW62" i="281"/>
  <c r="BW63" i="281" s="1"/>
  <c r="BL69" i="280"/>
  <c r="DE19" i="280" l="1"/>
  <c r="DE49" i="265" s="1"/>
  <c r="DE28" i="280"/>
  <c r="DE29" i="280" s="1"/>
  <c r="DF26" i="280" s="1"/>
  <c r="BW64" i="265"/>
  <c r="BX60" i="281"/>
  <c r="BY112" i="281"/>
  <c r="BY113" i="281" s="1"/>
  <c r="BL14" i="286"/>
  <c r="BL16" i="286" s="1"/>
  <c r="BL18" i="286" s="1"/>
  <c r="BL70" i="280"/>
  <c r="BL40" i="280"/>
  <c r="BL41" i="280" s="1"/>
  <c r="BL51" i="280"/>
  <c r="BL52" i="280" s="1"/>
  <c r="BW33" i="265"/>
  <c r="BW37" i="265" s="1"/>
  <c r="BW42" i="265" s="1"/>
  <c r="BW47" i="265" s="1"/>
  <c r="BW50" i="265" s="1"/>
  <c r="AA69" i="277"/>
  <c r="DE73" i="265" l="1"/>
  <c r="DF16" i="280"/>
  <c r="DF18" i="280" s="1"/>
  <c r="DF15" i="286" s="1"/>
  <c r="BL63" i="265"/>
  <c r="BM49" i="280"/>
  <c r="BL24" i="265"/>
  <c r="BL52" i="265"/>
  <c r="BX52" i="281"/>
  <c r="BX53" i="281" s="1"/>
  <c r="BW63" i="280"/>
  <c r="BW50" i="280"/>
  <c r="BL74" i="265"/>
  <c r="BM38" i="280"/>
  <c r="BY123" i="281"/>
  <c r="BY124" i="281" s="1"/>
  <c r="BY114" i="281"/>
  <c r="BY31" i="265" s="1"/>
  <c r="DF19" i="280" l="1"/>
  <c r="DF49" i="265" s="1"/>
  <c r="DF28" i="280"/>
  <c r="DF29" i="280" s="1"/>
  <c r="DF73" i="265" s="1"/>
  <c r="BM57" i="280"/>
  <c r="BM59" i="280" s="1"/>
  <c r="BM67" i="280" s="1"/>
  <c r="BL53" i="265"/>
  <c r="W51" i="277"/>
  <c r="BM62" i="280"/>
  <c r="BM64" i="280" s="1"/>
  <c r="BM68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G26" i="280" l="1"/>
  <c r="DG16" i="280" s="1"/>
  <c r="DG18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9" i="280"/>
  <c r="DG19" i="280" l="1"/>
  <c r="DG49" i="265" s="1"/>
  <c r="DG28" i="280"/>
  <c r="DG29" i="280" s="1"/>
  <c r="DG73" i="265" s="1"/>
  <c r="BM70" i="280"/>
  <c r="BM14" i="286"/>
  <c r="BM16" i="286" s="1"/>
  <c r="BM18" i="286" s="1"/>
  <c r="BM51" i="280"/>
  <c r="BM52" i="280" s="1"/>
  <c r="BM40" i="280"/>
  <c r="BM41" i="280" s="1"/>
  <c r="BY52" i="281"/>
  <c r="BY53" i="281" s="1"/>
  <c r="BX63" i="280"/>
  <c r="BX50" i="280"/>
  <c r="BZ114" i="281"/>
  <c r="BZ31" i="265" s="1"/>
  <c r="BZ123" i="281"/>
  <c r="BZ124" i="281" s="1"/>
  <c r="DH26" i="280" l="1"/>
  <c r="DH16" i="280" s="1"/>
  <c r="DH18" i="280" s="1"/>
  <c r="DH15" i="286" s="1"/>
  <c r="BZ69" i="265"/>
  <c r="CA121" i="281"/>
  <c r="BY30" i="265"/>
  <c r="BY62" i="281"/>
  <c r="BY63" i="281" s="1"/>
  <c r="BM74" i="265"/>
  <c r="BM75" i="265" s="1"/>
  <c r="BM81" i="265" s="1"/>
  <c r="BN38" i="280"/>
  <c r="BM63" i="265"/>
  <c r="BM65" i="265" s="1"/>
  <c r="BM67" i="265" s="1"/>
  <c r="BM80" i="265" s="1"/>
  <c r="BN49" i="280"/>
  <c r="BM52" i="265"/>
  <c r="BM24" i="265"/>
  <c r="DH19" i="280" l="1"/>
  <c r="DH49" i="265" s="1"/>
  <c r="DH28" i="280"/>
  <c r="DH29" i="280" s="1"/>
  <c r="DH73" i="265" s="1"/>
  <c r="AJ73" i="277" s="1"/>
  <c r="BM25" i="265"/>
  <c r="BN62" i="280"/>
  <c r="BN64" i="280" s="1"/>
  <c r="BN68" i="280" s="1"/>
  <c r="BM53" i="265"/>
  <c r="BM82" i="265"/>
  <c r="BM83" i="265"/>
  <c r="BN57" i="280"/>
  <c r="BN59" i="280" s="1"/>
  <c r="BN67" i="280" s="1"/>
  <c r="BN69" i="280" s="1"/>
  <c r="BY64" i="265"/>
  <c r="BZ60" i="281"/>
  <c r="CA112" i="281"/>
  <c r="CA113" i="281" s="1"/>
  <c r="BY33" i="265"/>
  <c r="BY37" i="265" s="1"/>
  <c r="BY42" i="265" s="1"/>
  <c r="BY47" i="265" s="1"/>
  <c r="BY50" i="265" s="1"/>
  <c r="DI26" i="280" l="1"/>
  <c r="DI16" i="280" s="1"/>
  <c r="DI18" i="280" s="1"/>
  <c r="DI15" i="286" s="1"/>
  <c r="BZ52" i="281"/>
  <c r="BZ53" i="281" s="1"/>
  <c r="BY63" i="280"/>
  <c r="BY50" i="280"/>
  <c r="CA123" i="281"/>
  <c r="CA124" i="281" s="1"/>
  <c r="CA114" i="281"/>
  <c r="CA31" i="265" s="1"/>
  <c r="BN14" i="286"/>
  <c r="BN16" i="286" s="1"/>
  <c r="BN18" i="286" s="1"/>
  <c r="BN70" i="280"/>
  <c r="BN51" i="280"/>
  <c r="BN52" i="280" s="1"/>
  <c r="BN40" i="280"/>
  <c r="BN41" i="280" s="1"/>
  <c r="DI19" i="280" l="1"/>
  <c r="DI49" i="265" s="1"/>
  <c r="DI28" i="280"/>
  <c r="DI29" i="280" s="1"/>
  <c r="DI73" i="265" s="1"/>
  <c r="BN63" i="265"/>
  <c r="BN65" i="265" s="1"/>
  <c r="BN67" i="265" s="1"/>
  <c r="BN80" i="265" s="1"/>
  <c r="BO49" i="280"/>
  <c r="CA69" i="265"/>
  <c r="CB121" i="281"/>
  <c r="BN74" i="265"/>
  <c r="BN75" i="265" s="1"/>
  <c r="BN81" i="265" s="1"/>
  <c r="BO38" i="280"/>
  <c r="BN24" i="265"/>
  <c r="BN52" i="265"/>
  <c r="BZ30" i="265"/>
  <c r="BZ62" i="281"/>
  <c r="BZ63" i="281" s="1"/>
  <c r="DJ26" i="280" l="1"/>
  <c r="DJ16" i="280" s="1"/>
  <c r="DJ18" i="280" s="1"/>
  <c r="DJ15" i="286" s="1"/>
  <c r="BZ33" i="265"/>
  <c r="BZ37" i="265" s="1"/>
  <c r="BZ42" i="265" s="1"/>
  <c r="BZ47" i="265" s="1"/>
  <c r="BZ50" i="265" s="1"/>
  <c r="BZ64" i="265"/>
  <c r="CA60" i="281"/>
  <c r="BN53" i="265"/>
  <c r="BO57" i="280"/>
  <c r="BO59" i="280" s="1"/>
  <c r="BO67" i="280" s="1"/>
  <c r="CB112" i="281"/>
  <c r="CB113" i="281" s="1"/>
  <c r="BO62" i="280"/>
  <c r="BO64" i="280" s="1"/>
  <c r="BO68" i="280" s="1"/>
  <c r="BN25" i="265"/>
  <c r="BN83" i="265"/>
  <c r="BN82" i="265"/>
  <c r="DJ19" i="280" l="1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BO69" i="280"/>
  <c r="BZ63" i="280"/>
  <c r="BZ50" i="280"/>
  <c r="DK26" i="280" l="1"/>
  <c r="DK16" i="280" s="1"/>
  <c r="DK18" i="280" s="1"/>
  <c r="DK15" i="286" s="1"/>
  <c r="CB69" i="265"/>
  <c r="CC121" i="281"/>
  <c r="BO70" i="280"/>
  <c r="BO14" i="286"/>
  <c r="BO16" i="286" s="1"/>
  <c r="BO18" i="286" s="1"/>
  <c r="BO51" i="280"/>
  <c r="BO52" i="280" s="1"/>
  <c r="BO40" i="280"/>
  <c r="BO41" i="280" s="1"/>
  <c r="CA30" i="265"/>
  <c r="CA62" i="281"/>
  <c r="CA63" i="281" s="1"/>
  <c r="DK19" i="280" l="1"/>
  <c r="DK49" i="265" s="1"/>
  <c r="DK28" i="280"/>
  <c r="DK29" i="280" s="1"/>
  <c r="DK73" i="265" s="1"/>
  <c r="BO74" i="265"/>
  <c r="BO75" i="265" s="1"/>
  <c r="BO81" i="265" s="1"/>
  <c r="BP38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9" i="280"/>
  <c r="BO52" i="265"/>
  <c r="BO24" i="265"/>
  <c r="AB69" i="277"/>
  <c r="DL26" i="280" l="1"/>
  <c r="DL16" i="280" s="1"/>
  <c r="DL18" i="280" s="1"/>
  <c r="DL15" i="286" s="1"/>
  <c r="CB52" i="281"/>
  <c r="CB53" i="281" s="1"/>
  <c r="BP57" i="280"/>
  <c r="BP59" i="280" s="1"/>
  <c r="BP67" i="280" s="1"/>
  <c r="BO25" i="265"/>
  <c r="BP62" i="280"/>
  <c r="BP64" i="280" s="1"/>
  <c r="BP68" i="280" s="1"/>
  <c r="BO53" i="265"/>
  <c r="BO82" i="265"/>
  <c r="BO83" i="265"/>
  <c r="CA50" i="280"/>
  <c r="CA63" i="280"/>
  <c r="CC123" i="281"/>
  <c r="CC124" i="281" s="1"/>
  <c r="CC114" i="281"/>
  <c r="CC31" i="265" s="1"/>
  <c r="DL19" i="280" l="1"/>
  <c r="DL49" i="265" s="1"/>
  <c r="DL28" i="280"/>
  <c r="DL29" i="280" s="1"/>
  <c r="DL73" i="265" s="1"/>
  <c r="AK73" i="277" s="1"/>
  <c r="BP69" i="280"/>
  <c r="BP14" i="286" s="1"/>
  <c r="BP16" i="286" s="1"/>
  <c r="BP18" i="286" s="1"/>
  <c r="CC69" i="265"/>
  <c r="CD121" i="281"/>
  <c r="CB30" i="265"/>
  <c r="CB62" i="281"/>
  <c r="CB63" i="281" s="1"/>
  <c r="DM26" i="280" l="1"/>
  <c r="DM16" i="280" s="1"/>
  <c r="DM18" i="280" s="1"/>
  <c r="DM15" i="286" s="1"/>
  <c r="BP51" i="280"/>
  <c r="BP52" i="280" s="1"/>
  <c r="BP63" i="265" s="1"/>
  <c r="BP40" i="280"/>
  <c r="BP41" i="280" s="1"/>
  <c r="BQ38" i="280" s="1"/>
  <c r="BP70" i="280"/>
  <c r="BP24" i="265" s="1"/>
  <c r="CB64" i="265"/>
  <c r="AB64" i="277" s="1"/>
  <c r="CC60" i="281"/>
  <c r="CB33" i="265"/>
  <c r="CB37" i="265" s="1"/>
  <c r="CB42" i="265" s="1"/>
  <c r="CB47" i="265" s="1"/>
  <c r="CB50" i="265" s="1"/>
  <c r="AA30" i="277"/>
  <c r="CD112" i="281"/>
  <c r="CD113" i="281" s="1"/>
  <c r="BP52" i="265" l="1"/>
  <c r="X51" i="277" s="1"/>
  <c r="DM19" i="280"/>
  <c r="DM49" i="265" s="1"/>
  <c r="DM28" i="280"/>
  <c r="DM29" i="280" s="1"/>
  <c r="DM73" i="265" s="1"/>
  <c r="BP74" i="265"/>
  <c r="Y74" i="277" s="1"/>
  <c r="Y75" i="277" s="1"/>
  <c r="Y81" i="277" s="1"/>
  <c r="BQ49" i="280"/>
  <c r="BQ62" i="280" s="1"/>
  <c r="BQ64" i="280" s="1"/>
  <c r="BQ68" i="280" s="1"/>
  <c r="CD114" i="281"/>
  <c r="CD31" i="265" s="1"/>
  <c r="CD123" i="281"/>
  <c r="CD124" i="281" s="1"/>
  <c r="BQ57" i="280"/>
  <c r="BQ59" i="280" s="1"/>
  <c r="BQ67" i="280" s="1"/>
  <c r="BP53" i="265"/>
  <c r="CC52" i="281"/>
  <c r="CC53" i="281" s="1"/>
  <c r="CB63" i="280"/>
  <c r="CB50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N26" i="280" l="1"/>
  <c r="DN16" i="280" s="1"/>
  <c r="DN18" i="280" s="1"/>
  <c r="DN15" i="286" s="1"/>
  <c r="BP75" i="265"/>
  <c r="BP81" i="265" s="1"/>
  <c r="BP83" i="265" s="1"/>
  <c r="BQ69" i="280"/>
  <c r="BQ70" i="280" s="1"/>
  <c r="BP82" i="265"/>
  <c r="Y83" i="277"/>
  <c r="Y82" i="277"/>
  <c r="CC30" i="265"/>
  <c r="CC62" i="281"/>
  <c r="CC63" i="281" s="1"/>
  <c r="CD69" i="265"/>
  <c r="CE121" i="281"/>
  <c r="DN19" i="280" l="1"/>
  <c r="DN49" i="265" s="1"/>
  <c r="DN28" i="280"/>
  <c r="DN29" i="280" s="1"/>
  <c r="DO26" i="280" s="1"/>
  <c r="BQ40" i="280"/>
  <c r="BQ41" i="280" s="1"/>
  <c r="BQ74" i="265" s="1"/>
  <c r="BQ75" i="265" s="1"/>
  <c r="BQ81" i="265" s="1"/>
  <c r="BQ14" i="286"/>
  <c r="BQ16" i="286" s="1"/>
  <c r="BQ18" i="286" s="1"/>
  <c r="BQ51" i="280"/>
  <c r="BQ52" i="280" s="1"/>
  <c r="BR49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N73" i="265" l="1"/>
  <c r="DO16" i="280"/>
  <c r="DO18" i="280" s="1"/>
  <c r="DO15" i="286" s="1"/>
  <c r="BR38" i="280"/>
  <c r="BQ63" i="265"/>
  <c r="BQ65" i="265" s="1"/>
  <c r="BQ67" i="265" s="1"/>
  <c r="BQ80" i="265" s="1"/>
  <c r="BQ83" i="265" s="1"/>
  <c r="BQ53" i="265"/>
  <c r="CC63" i="280"/>
  <c r="CC50" i="280"/>
  <c r="BQ25" i="265"/>
  <c r="BR62" i="280"/>
  <c r="BR64" i="280" s="1"/>
  <c r="BR68" i="280" s="1"/>
  <c r="CD52" i="281"/>
  <c r="CD53" i="281" s="1"/>
  <c r="BR57" i="280"/>
  <c r="BR59" i="280" s="1"/>
  <c r="BR67" i="280" s="1"/>
  <c r="BR69" i="280" s="1"/>
  <c r="CE123" i="281"/>
  <c r="CE124" i="281" s="1"/>
  <c r="CE114" i="281"/>
  <c r="CE31" i="265" s="1"/>
  <c r="BQ82" i="265" l="1"/>
  <c r="DO19" i="280"/>
  <c r="DO49" i="265" s="1"/>
  <c r="DO28" i="280"/>
  <c r="DO29" i="280" s="1"/>
  <c r="DO73" i="265" s="1"/>
  <c r="CE69" i="265"/>
  <c r="CF121" i="281"/>
  <c r="BR14" i="286"/>
  <c r="BR16" i="286" s="1"/>
  <c r="BR18" i="286" s="1"/>
  <c r="BR70" i="280"/>
  <c r="BR51" i="280"/>
  <c r="BR52" i="280" s="1"/>
  <c r="BR40" i="280"/>
  <c r="BR41" i="280" s="1"/>
  <c r="CD30" i="265"/>
  <c r="CD62" i="281"/>
  <c r="CD63" i="281" s="1"/>
  <c r="DP26" i="280" l="1"/>
  <c r="DP16" i="280" s="1"/>
  <c r="DP18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9" i="280"/>
  <c r="CD64" i="265"/>
  <c r="CE60" i="281"/>
  <c r="BR74" i="265"/>
  <c r="BR75" i="265" s="1"/>
  <c r="BR81" i="265" s="1"/>
  <c r="BS38" i="280"/>
  <c r="BR24" i="265"/>
  <c r="BR52" i="265"/>
  <c r="CF112" i="281"/>
  <c r="CF113" i="281" s="1"/>
  <c r="DP19" i="280" l="1"/>
  <c r="DP49" i="265" s="1"/>
  <c r="DP28" i="280"/>
  <c r="DP29" i="280" s="1"/>
  <c r="DP73" i="265" s="1"/>
  <c r="AL73" i="277" s="1"/>
  <c r="BS57" i="280"/>
  <c r="BS59" i="280" s="1"/>
  <c r="BS67" i="280" s="1"/>
  <c r="BS62" i="280"/>
  <c r="BS64" i="280" s="1"/>
  <c r="BS68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63" i="280"/>
  <c r="CD50" i="280"/>
  <c r="DQ26" i="280" l="1"/>
  <c r="DQ16" i="280" s="1"/>
  <c r="DQ18" i="280" s="1"/>
  <c r="DQ15" i="286" s="1"/>
  <c r="CF69" i="265"/>
  <c r="CG121" i="281"/>
  <c r="CE30" i="265"/>
  <c r="CE62" i="281"/>
  <c r="CE63" i="281" s="1"/>
  <c r="BS69" i="280"/>
  <c r="DQ19" i="280" l="1"/>
  <c r="DQ49" i="265" s="1"/>
  <c r="DQ28" i="280"/>
  <c r="DQ29" i="280" s="1"/>
  <c r="DQ73" i="265" s="1"/>
  <c r="CE33" i="265"/>
  <c r="CE37" i="265" s="1"/>
  <c r="CE42" i="265" s="1"/>
  <c r="CE47" i="265" s="1"/>
  <c r="CE50" i="265" s="1"/>
  <c r="CE64" i="265"/>
  <c r="CF60" i="281"/>
  <c r="CG112" i="281"/>
  <c r="CG113" i="281" s="1"/>
  <c r="BS70" i="280"/>
  <c r="BS14" i="286"/>
  <c r="BS16" i="286" s="1"/>
  <c r="BS18" i="286" s="1"/>
  <c r="BS51" i="280"/>
  <c r="BS52" i="280" s="1"/>
  <c r="BS40" i="280"/>
  <c r="BS41" i="280" s="1"/>
  <c r="AC69" i="277"/>
  <c r="DR26" i="280" l="1"/>
  <c r="DR16" i="280" s="1"/>
  <c r="DR18" i="280" s="1"/>
  <c r="DR15" i="286" s="1"/>
  <c r="BS74" i="265"/>
  <c r="BS75" i="265" s="1"/>
  <c r="BS81" i="265" s="1"/>
  <c r="BT38" i="280"/>
  <c r="CF52" i="281"/>
  <c r="CF53" i="281" s="1"/>
  <c r="BS63" i="265"/>
  <c r="BS65" i="265" s="1"/>
  <c r="BS67" i="265" s="1"/>
  <c r="BS80" i="265" s="1"/>
  <c r="BT49" i="280"/>
  <c r="BS52" i="265"/>
  <c r="BS24" i="265"/>
  <c r="CG123" i="281"/>
  <c r="CG124" i="281" s="1"/>
  <c r="CG114" i="281"/>
  <c r="CG31" i="265" s="1"/>
  <c r="CE63" i="280"/>
  <c r="CE50" i="280"/>
  <c r="DR19" i="280" l="1"/>
  <c r="DR49" i="265" s="1"/>
  <c r="DR28" i="280"/>
  <c r="DR29" i="280" s="1"/>
  <c r="DR73" i="265" s="1"/>
  <c r="CG69" i="265"/>
  <c r="CH121" i="281"/>
  <c r="BS53" i="265"/>
  <c r="BS82" i="265"/>
  <c r="BS83" i="265"/>
  <c r="CF30" i="265"/>
  <c r="CF62" i="281"/>
  <c r="CF63" i="281" s="1"/>
  <c r="BS25" i="265"/>
  <c r="BT62" i="280"/>
  <c r="BT64" i="280" s="1"/>
  <c r="BT68" i="280" s="1"/>
  <c r="BT57" i="280"/>
  <c r="BT59" i="280" s="1"/>
  <c r="BT67" i="280" s="1"/>
  <c r="DS26" i="280" l="1"/>
  <c r="DS16" i="280" s="1"/>
  <c r="DS18" i="280" s="1"/>
  <c r="DS15" i="286" s="1"/>
  <c r="BT69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S19" i="280" l="1"/>
  <c r="DS49" i="265" s="1"/>
  <c r="DS28" i="280"/>
  <c r="DS29" i="280" s="1"/>
  <c r="DT26" i="280" s="1"/>
  <c r="BT51" i="280"/>
  <c r="BT52" i="280" s="1"/>
  <c r="BU49" i="280" s="1"/>
  <c r="BT70" i="280"/>
  <c r="BT24" i="265" s="1"/>
  <c r="BT40" i="280"/>
  <c r="BT41" i="280" s="1"/>
  <c r="BU38" i="280" s="1"/>
  <c r="CF63" i="280"/>
  <c r="CF50" i="280"/>
  <c r="CH114" i="281"/>
  <c r="CH31" i="265" s="1"/>
  <c r="CH123" i="281"/>
  <c r="CH124" i="281" s="1"/>
  <c r="CG52" i="281"/>
  <c r="CG53" i="281" s="1"/>
  <c r="BT63" i="265"/>
  <c r="DS73" i="265" l="1"/>
  <c r="BT74" i="265"/>
  <c r="Z74" i="277" s="1"/>
  <c r="Z75" i="277" s="1"/>
  <c r="Z81" i="277" s="1"/>
  <c r="DT16" i="280"/>
  <c r="DT18" i="280" s="1"/>
  <c r="DT15" i="286" s="1"/>
  <c r="BT52" i="265"/>
  <c r="Y51" i="277" s="1"/>
  <c r="BU57" i="280"/>
  <c r="BU59" i="280" s="1"/>
  <c r="BU67" i="280" s="1"/>
  <c r="BT53" i="265"/>
  <c r="BU62" i="280"/>
  <c r="BU64" i="280" s="1"/>
  <c r="BU68" i="280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DT19" i="280" l="1"/>
  <c r="DT49" i="265" s="1"/>
  <c r="DT28" i="280"/>
  <c r="DT29" i="280" s="1"/>
  <c r="DU26" i="280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69" i="280"/>
  <c r="Z83" i="277"/>
  <c r="Z82" i="277"/>
  <c r="DT73" i="265" l="1"/>
  <c r="AM73" i="277" s="1"/>
  <c r="DU16" i="280"/>
  <c r="DU18" i="280" s="1"/>
  <c r="DU15" i="286" s="1"/>
  <c r="BU70" i="280"/>
  <c r="BU14" i="286"/>
  <c r="BU16" i="286" s="1"/>
  <c r="BU18" i="286" s="1"/>
  <c r="BU51" i="280"/>
  <c r="BU52" i="280" s="1"/>
  <c r="BU40" i="280"/>
  <c r="BU41" i="280" s="1"/>
  <c r="CG63" i="280"/>
  <c r="CG50" i="280"/>
  <c r="CH52" i="281"/>
  <c r="CH53" i="281" s="1"/>
  <c r="CI123" i="281"/>
  <c r="CI124" i="281" s="1"/>
  <c r="CI114" i="281"/>
  <c r="CI31" i="265" s="1"/>
  <c r="DU19" i="280" l="1"/>
  <c r="DU49" i="265" s="1"/>
  <c r="DU28" i="280"/>
  <c r="DU29" i="280" s="1"/>
  <c r="DU73" i="265" s="1"/>
  <c r="CI69" i="265"/>
  <c r="CJ121" i="281"/>
  <c r="CH30" i="265"/>
  <c r="CH62" i="281"/>
  <c r="CH63" i="281" s="1"/>
  <c r="BU74" i="265"/>
  <c r="BU75" i="265" s="1"/>
  <c r="BU81" i="265" s="1"/>
  <c r="BV38" i="280"/>
  <c r="BU63" i="265"/>
  <c r="BU65" i="265" s="1"/>
  <c r="BU67" i="265" s="1"/>
  <c r="BU80" i="265" s="1"/>
  <c r="BV49" i="280"/>
  <c r="BU52" i="265"/>
  <c r="BU24" i="265"/>
  <c r="DV26" i="280" l="1"/>
  <c r="DV16" i="280" s="1"/>
  <c r="DV18" i="280" s="1"/>
  <c r="DV15" i="286" s="1"/>
  <c r="BU82" i="265"/>
  <c r="BU83" i="265"/>
  <c r="BU25" i="265"/>
  <c r="BV62" i="280"/>
  <c r="BV64" i="280" s="1"/>
  <c r="BV68" i="280" s="1"/>
  <c r="BV57" i="280"/>
  <c r="BV59" i="280" s="1"/>
  <c r="BV67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V19" i="280" l="1"/>
  <c r="DV49" i="265" s="1"/>
  <c r="DV28" i="280"/>
  <c r="DV29" i="280" s="1"/>
  <c r="DW26" i="280" s="1"/>
  <c r="BV69" i="280"/>
  <c r="BV70" i="280" s="1"/>
  <c r="CI52" i="281"/>
  <c r="CI53" i="281" s="1"/>
  <c r="CH63" i="280"/>
  <c r="CH50" i="280"/>
  <c r="CJ114" i="281"/>
  <c r="CJ31" i="265" s="1"/>
  <c r="CJ123" i="281"/>
  <c r="CJ124" i="281" s="1"/>
  <c r="DV73" i="265" l="1"/>
  <c r="DW16" i="280"/>
  <c r="DW18" i="280" s="1"/>
  <c r="DW15" i="286" s="1"/>
  <c r="BV51" i="280"/>
  <c r="BV52" i="280" s="1"/>
  <c r="BV63" i="265" s="1"/>
  <c r="BV65" i="265" s="1"/>
  <c r="BV67" i="265" s="1"/>
  <c r="BV80" i="265" s="1"/>
  <c r="BV14" i="286"/>
  <c r="BV16" i="286" s="1"/>
  <c r="BV18" i="286" s="1"/>
  <c r="BV40" i="280"/>
  <c r="BV41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BW38" i="280" l="1"/>
  <c r="DW19" i="280"/>
  <c r="DW49" i="265" s="1"/>
  <c r="DW28" i="280"/>
  <c r="DW29" i="280" s="1"/>
  <c r="DW73" i="265" s="1"/>
  <c r="BW49" i="280"/>
  <c r="BW62" i="280" s="1"/>
  <c r="BW64" i="280" s="1"/>
  <c r="BW68" i="280" s="1"/>
  <c r="DX26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7" i="280"/>
  <c r="BW59" i="280" s="1"/>
  <c r="BW67" i="280" s="1"/>
  <c r="BV83" i="265"/>
  <c r="BV82" i="265"/>
  <c r="DX16" i="280" l="1"/>
  <c r="DX18" i="280" s="1"/>
  <c r="DX15" i="286" s="1"/>
  <c r="CJ52" i="281"/>
  <c r="CJ53" i="281" s="1"/>
  <c r="BW69" i="280"/>
  <c r="CK123" i="281"/>
  <c r="CK124" i="281" s="1"/>
  <c r="CK114" i="281"/>
  <c r="CK31" i="265" s="1"/>
  <c r="CI50" i="280"/>
  <c r="CI63" i="280"/>
  <c r="DX19" i="280" l="1"/>
  <c r="DX49" i="265" s="1"/>
  <c r="DX28" i="280"/>
  <c r="DX29" i="280" s="1"/>
  <c r="DY26" i="280" s="1"/>
  <c r="BW70" i="280"/>
  <c r="BW14" i="286"/>
  <c r="BW16" i="286" s="1"/>
  <c r="BW18" i="286" s="1"/>
  <c r="BW51" i="280"/>
  <c r="BW52" i="280" s="1"/>
  <c r="BW40" i="280"/>
  <c r="BW41" i="280" s="1"/>
  <c r="CJ30" i="265"/>
  <c r="CJ62" i="281"/>
  <c r="CJ63" i="281" s="1"/>
  <c r="CK69" i="265"/>
  <c r="CL121" i="281"/>
  <c r="DX73" i="265" l="1"/>
  <c r="AN73" i="277" s="1"/>
  <c r="DY16" i="280"/>
  <c r="DY18" i="280" s="1"/>
  <c r="DY15" i="286" s="1"/>
  <c r="CL112" i="281"/>
  <c r="CL113" i="281" s="1"/>
  <c r="CJ64" i="265"/>
  <c r="AD64" i="277" s="1"/>
  <c r="CK60" i="281"/>
  <c r="BW74" i="265"/>
  <c r="BW75" i="265" s="1"/>
  <c r="BW81" i="265" s="1"/>
  <c r="BX38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9" i="280"/>
  <c r="BW52" i="265"/>
  <c r="BW24" i="265"/>
  <c r="DY19" i="280" l="1"/>
  <c r="DY49" i="265" s="1"/>
  <c r="DY28" i="280"/>
  <c r="DY29" i="280" s="1"/>
  <c r="DZ26" i="280" s="1"/>
  <c r="BW53" i="265"/>
  <c r="BW82" i="265"/>
  <c r="BW83" i="265"/>
  <c r="CJ63" i="280"/>
  <c r="CJ50" i="280"/>
  <c r="BX57" i="280"/>
  <c r="BX59" i="280" s="1"/>
  <c r="BX67" i="280" s="1"/>
  <c r="CK52" i="281"/>
  <c r="CK53" i="281" s="1"/>
  <c r="BW25" i="265"/>
  <c r="BX62" i="280"/>
  <c r="BX64" i="280" s="1"/>
  <c r="BX68" i="280" s="1"/>
  <c r="CL114" i="281"/>
  <c r="CL31" i="265" s="1"/>
  <c r="CL123" i="281"/>
  <c r="CL124" i="281" s="1"/>
  <c r="DY73" i="265" l="1"/>
  <c r="DZ16" i="280"/>
  <c r="DZ18" i="280" s="1"/>
  <c r="DZ15" i="286" s="1"/>
  <c r="CL69" i="265"/>
  <c r="CM121" i="281"/>
  <c r="CK30" i="265"/>
  <c r="CK62" i="281"/>
  <c r="CK63" i="281" s="1"/>
  <c r="BX69" i="280"/>
  <c r="DZ19" i="280" l="1"/>
  <c r="DZ49" i="265" s="1"/>
  <c r="DZ28" i="280"/>
  <c r="DZ29" i="280" s="1"/>
  <c r="DZ73" i="265" s="1"/>
  <c r="BX14" i="286"/>
  <c r="BX16" i="286" s="1"/>
  <c r="BX18" i="286" s="1"/>
  <c r="BX70" i="280"/>
  <c r="BX40" i="280"/>
  <c r="BX41" i="280" s="1"/>
  <c r="BX51" i="280"/>
  <c r="BX52" i="280" s="1"/>
  <c r="CK33" i="265"/>
  <c r="CK37" i="265" s="1"/>
  <c r="CK42" i="265" s="1"/>
  <c r="CK47" i="265" s="1"/>
  <c r="CK50" i="265" s="1"/>
  <c r="CM112" i="281"/>
  <c r="CM113" i="281" s="1"/>
  <c r="CK64" i="265"/>
  <c r="CL60" i="281"/>
  <c r="EA26" i="280" l="1"/>
  <c r="EA16" i="280" s="1"/>
  <c r="EA18" i="280" s="1"/>
  <c r="BX63" i="265"/>
  <c r="BY49" i="280"/>
  <c r="BX24" i="265"/>
  <c r="BX52" i="265"/>
  <c r="CL52" i="281"/>
  <c r="CL53" i="281" s="1"/>
  <c r="CM123" i="281"/>
  <c r="CM124" i="281" s="1"/>
  <c r="CM114" i="281"/>
  <c r="CM31" i="265" s="1"/>
  <c r="CK63" i="280"/>
  <c r="CK50" i="280"/>
  <c r="BX74" i="265"/>
  <c r="BY38" i="280"/>
  <c r="EA28" i="280" l="1"/>
  <c r="EA29" i="280" s="1"/>
  <c r="EA73" i="265" s="1"/>
  <c r="EA15" i="286"/>
  <c r="EA19" i="280"/>
  <c r="H18" i="280"/>
  <c r="BY57" i="280"/>
  <c r="BY59" i="280" s="1"/>
  <c r="BY67" i="280" s="1"/>
  <c r="AA74" i="277"/>
  <c r="AA75" i="277" s="1"/>
  <c r="AA81" i="277" s="1"/>
  <c r="BX75" i="265"/>
  <c r="BX81" i="265" s="1"/>
  <c r="BX53" i="265"/>
  <c r="Z51" i="277"/>
  <c r="BY62" i="280"/>
  <c r="BY64" i="280" s="1"/>
  <c r="BY68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H28" i="280" l="1"/>
  <c r="H15" i="286"/>
  <c r="H19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9" i="280"/>
  <c r="Z48" i="277" l="1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70" i="280"/>
  <c r="BY14" i="286"/>
  <c r="BY16" i="286" s="1"/>
  <c r="BY18" i="286" s="1"/>
  <c r="BY51" i="280"/>
  <c r="BY52" i="280" s="1"/>
  <c r="BY40" i="280"/>
  <c r="BY41" i="280" s="1"/>
  <c r="CL63" i="280"/>
  <c r="CL50" i="280"/>
  <c r="CN114" i="281"/>
  <c r="CN31" i="265" s="1"/>
  <c r="CN123" i="281"/>
  <c r="CN124" i="281" s="1"/>
  <c r="H48" i="277" l="1"/>
  <c r="BY74" i="265"/>
  <c r="BY75" i="265" s="1"/>
  <c r="BY81" i="265" s="1"/>
  <c r="BZ38" i="280"/>
  <c r="CN69" i="265"/>
  <c r="CO121" i="281"/>
  <c r="BY63" i="265"/>
  <c r="BY65" i="265" s="1"/>
  <c r="BY67" i="265" s="1"/>
  <c r="BY80" i="265" s="1"/>
  <c r="BZ49" i="280"/>
  <c r="BY52" i="265"/>
  <c r="BY24" i="265"/>
  <c r="CM30" i="265"/>
  <c r="CM62" i="281"/>
  <c r="CM63" i="281" s="1"/>
  <c r="BY82" i="265" l="1"/>
  <c r="BY83" i="265"/>
  <c r="CM64" i="265"/>
  <c r="CN60" i="281"/>
  <c r="BY25" i="265"/>
  <c r="BZ62" i="280"/>
  <c r="BZ64" i="280" s="1"/>
  <c r="BZ68" i="280" s="1"/>
  <c r="CO112" i="281"/>
  <c r="CO113" i="281" s="1"/>
  <c r="BZ57" i="280"/>
  <c r="BZ59" i="280" s="1"/>
  <c r="BZ67" i="280" s="1"/>
  <c r="CM33" i="265"/>
  <c r="CM37" i="265" s="1"/>
  <c r="CM42" i="265" s="1"/>
  <c r="CM47" i="265" s="1"/>
  <c r="CM50" i="265" s="1"/>
  <c r="BY53" i="265"/>
  <c r="AE69" i="277"/>
  <c r="BZ69" i="280" l="1"/>
  <c r="BZ70" i="280" s="1"/>
  <c r="CN52" i="281"/>
  <c r="CN53" i="281" s="1"/>
  <c r="CM63" i="280"/>
  <c r="CM50" i="280"/>
  <c r="BZ14" i="286"/>
  <c r="BZ16" i="286" s="1"/>
  <c r="BZ18" i="286" s="1"/>
  <c r="CO123" i="281"/>
  <c r="CO124" i="281" s="1"/>
  <c r="CO114" i="281"/>
  <c r="CO31" i="265" s="1"/>
  <c r="BZ51" i="280" l="1"/>
  <c r="BZ52" i="280" s="1"/>
  <c r="BZ40" i="280"/>
  <c r="BZ41" i="280" s="1"/>
  <c r="BZ74" i="265" s="1"/>
  <c r="BZ75" i="265" s="1"/>
  <c r="BZ81" i="265" s="1"/>
  <c r="BZ24" i="265"/>
  <c r="BZ52" i="265"/>
  <c r="CO69" i="265"/>
  <c r="CP121" i="281"/>
  <c r="BZ63" i="265"/>
  <c r="BZ65" i="265" s="1"/>
  <c r="BZ67" i="265" s="1"/>
  <c r="BZ80" i="265" s="1"/>
  <c r="CA49" i="280"/>
  <c r="CN30" i="265"/>
  <c r="CN62" i="281"/>
  <c r="CN63" i="281" s="1"/>
  <c r="CA38" i="280" l="1"/>
  <c r="CN64" i="265"/>
  <c r="AE64" i="277" s="1"/>
  <c r="CO60" i="281"/>
  <c r="CA62" i="280"/>
  <c r="CA64" i="280" s="1"/>
  <c r="CA68" i="280" s="1"/>
  <c r="CP112" i="281"/>
  <c r="CP113" i="281" s="1"/>
  <c r="BZ53" i="265"/>
  <c r="CA57" i="280"/>
  <c r="CA59" i="280" s="1"/>
  <c r="CA67" i="280" s="1"/>
  <c r="CN33" i="265"/>
  <c r="CN37" i="265" s="1"/>
  <c r="CN42" i="265" s="1"/>
  <c r="CN47" i="265" s="1"/>
  <c r="CN50" i="265" s="1"/>
  <c r="AD30" i="277"/>
  <c r="BZ83" i="265"/>
  <c r="BZ82" i="265"/>
  <c r="BZ25" i="265"/>
  <c r="CA69" i="280" l="1"/>
  <c r="CA14" i="286" s="1"/>
  <c r="CA16" i="286" s="1"/>
  <c r="CA18" i="286" s="1"/>
  <c r="CO52" i="281"/>
  <c r="CO53" i="281" s="1"/>
  <c r="CN63" i="280"/>
  <c r="CN50" i="280"/>
  <c r="CP114" i="281"/>
  <c r="CP31" i="265" s="1"/>
  <c r="CP123" i="281"/>
  <c r="CP124" i="281" s="1"/>
  <c r="CA40" i="280" l="1"/>
  <c r="CA41" i="280" s="1"/>
  <c r="CA74" i="265" s="1"/>
  <c r="CA75" i="265" s="1"/>
  <c r="CA81" i="265" s="1"/>
  <c r="CA70" i="280"/>
  <c r="CA24" i="265" s="1"/>
  <c r="CA51" i="280"/>
  <c r="CA52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8" i="280" l="1"/>
  <c r="CB57" i="280" s="1"/>
  <c r="CB59" i="280" s="1"/>
  <c r="CB67" i="280" s="1"/>
  <c r="CB49" i="280"/>
  <c r="CA25" i="265"/>
  <c r="CB62" i="280"/>
  <c r="CB64" i="280" s="1"/>
  <c r="CB68" i="280" s="1"/>
  <c r="CA53" i="265"/>
  <c r="CA82" i="265"/>
  <c r="CA83" i="265"/>
  <c r="CO64" i="265"/>
  <c r="CP60" i="281"/>
  <c r="CQ112" i="281"/>
  <c r="CQ113" i="281" s="1"/>
  <c r="CO33" i="265"/>
  <c r="CO37" i="265" s="1"/>
  <c r="CO42" i="265" s="1"/>
  <c r="CO47" i="265" s="1"/>
  <c r="CO50" i="265" s="1"/>
  <c r="CB69" i="280" l="1"/>
  <c r="CB70" i="280" s="1"/>
  <c r="CP52" i="281"/>
  <c r="CP53" i="281" s="1"/>
  <c r="CO63" i="280"/>
  <c r="CO50" i="280"/>
  <c r="CQ123" i="281"/>
  <c r="CQ124" i="281" s="1"/>
  <c r="CQ114" i="281"/>
  <c r="CQ31" i="265" s="1"/>
  <c r="CB14" i="286"/>
  <c r="CB16" i="286" s="1"/>
  <c r="CB18" i="286" s="1"/>
  <c r="CB40" i="280" l="1"/>
  <c r="CB41" i="280" s="1"/>
  <c r="CC38" i="280" s="1"/>
  <c r="CB51" i="280"/>
  <c r="CB52" i="280" s="1"/>
  <c r="CB63" i="265" s="1"/>
  <c r="CQ69" i="265"/>
  <c r="CR121" i="281"/>
  <c r="CB24" i="265"/>
  <c r="CB52" i="265"/>
  <c r="CP30" i="265"/>
  <c r="CP62" i="281"/>
  <c r="CP63" i="281" s="1"/>
  <c r="CC49" i="280" l="1"/>
  <c r="CB74" i="265"/>
  <c r="AB74" i="277" s="1"/>
  <c r="AB75" i="277" s="1"/>
  <c r="AB81" i="277" s="1"/>
  <c r="CP33" i="265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62" i="280"/>
  <c r="CC64" i="280" s="1"/>
  <c r="CC68" i="280" s="1"/>
  <c r="CR112" i="281"/>
  <c r="CR113" i="281" s="1"/>
  <c r="CC57" i="280"/>
  <c r="CC59" i="280" s="1"/>
  <c r="CC67" i="280" s="1"/>
  <c r="CC69" i="280" s="1"/>
  <c r="CB25" i="265"/>
  <c r="AA24" i="277"/>
  <c r="AA25" i="277" s="1"/>
  <c r="CB75" i="265"/>
  <c r="CB81" i="265" s="1"/>
  <c r="AB83" i="277" l="1"/>
  <c r="AB82" i="277"/>
  <c r="CQ52" i="281"/>
  <c r="CQ53" i="281" s="1"/>
  <c r="CC70" i="280"/>
  <c r="CC14" i="286"/>
  <c r="CC16" i="286" s="1"/>
  <c r="CC18" i="286" s="1"/>
  <c r="CC51" i="280"/>
  <c r="CC52" i="280" s="1"/>
  <c r="CC40" i="280"/>
  <c r="CC41" i="280" s="1"/>
  <c r="CR114" i="281"/>
  <c r="CR31" i="265" s="1"/>
  <c r="CR123" i="281"/>
  <c r="CR124" i="281" s="1"/>
  <c r="CB83" i="265"/>
  <c r="CB82" i="265"/>
  <c r="CP63" i="280"/>
  <c r="CP50" i="280"/>
  <c r="CR69" i="265" l="1"/>
  <c r="CS121" i="281"/>
  <c r="CC74" i="265"/>
  <c r="CC75" i="265" s="1"/>
  <c r="CC81" i="265" s="1"/>
  <c r="CD38" i="280"/>
  <c r="CC63" i="265"/>
  <c r="CC65" i="265" s="1"/>
  <c r="CC67" i="265" s="1"/>
  <c r="CC80" i="265" s="1"/>
  <c r="CD49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62" i="280"/>
  <c r="CD64" i="280" s="1"/>
  <c r="CD68" i="280" s="1"/>
  <c r="CD57" i="280"/>
  <c r="CD59" i="280" s="1"/>
  <c r="CD67" i="280" s="1"/>
  <c r="CS112" i="281"/>
  <c r="CS113" i="281" s="1"/>
  <c r="CC82" i="265"/>
  <c r="CC83" i="265"/>
  <c r="AF69" i="277"/>
  <c r="CD69" i="280" l="1"/>
  <c r="CD70" i="280" s="1"/>
  <c r="CR52" i="281"/>
  <c r="CR53" i="281" s="1"/>
  <c r="CS123" i="281"/>
  <c r="CS124" i="281" s="1"/>
  <c r="CS114" i="281"/>
  <c r="CS31" i="265" s="1"/>
  <c r="CQ50" i="280"/>
  <c r="CQ63" i="280"/>
  <c r="CD14" i="286" l="1"/>
  <c r="CD16" i="286" s="1"/>
  <c r="CD18" i="286" s="1"/>
  <c r="CD51" i="280"/>
  <c r="CD52" i="280" s="1"/>
  <c r="CD63" i="265" s="1"/>
  <c r="CD65" i="265" s="1"/>
  <c r="CD67" i="265" s="1"/>
  <c r="CD80" i="265" s="1"/>
  <c r="CD40" i="280"/>
  <c r="CD41" i="280" s="1"/>
  <c r="CD74" i="265" s="1"/>
  <c r="CD75" i="265" s="1"/>
  <c r="CD81" i="265" s="1"/>
  <c r="CD24" i="265"/>
  <c r="CD52" i="265"/>
  <c r="CE49" i="280"/>
  <c r="CS69" i="265"/>
  <c r="CT121" i="281"/>
  <c r="CR30" i="265"/>
  <c r="CR62" i="281"/>
  <c r="CR63" i="281" s="1"/>
  <c r="CE38" i="280" l="1"/>
  <c r="CR64" i="265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62" i="280"/>
  <c r="CE64" i="280" s="1"/>
  <c r="CE68" i="280" s="1"/>
  <c r="CD53" i="265"/>
  <c r="CE57" i="280"/>
  <c r="CE59" i="280" s="1"/>
  <c r="CE67" i="280" s="1"/>
  <c r="CE69" i="280" s="1"/>
  <c r="CD25" i="265"/>
  <c r="CS52" i="281" l="1"/>
  <c r="CS53" i="281" s="1"/>
  <c r="CE70" i="280"/>
  <c r="CE14" i="286"/>
  <c r="CE16" i="286" s="1"/>
  <c r="CE18" i="286" s="1"/>
  <c r="CE51" i="280"/>
  <c r="CE52" i="280" s="1"/>
  <c r="CE40" i="280"/>
  <c r="CE41" i="280" s="1"/>
  <c r="CT114" i="281"/>
  <c r="CT31" i="265" s="1"/>
  <c r="CT123" i="281"/>
  <c r="CT124" i="281" s="1"/>
  <c r="CR63" i="280"/>
  <c r="CR50" i="280"/>
  <c r="CE63" i="265" l="1"/>
  <c r="CE65" i="265" s="1"/>
  <c r="CE67" i="265" s="1"/>
  <c r="CE80" i="265" s="1"/>
  <c r="CF49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8" i="280"/>
  <c r="CF57" i="280" l="1"/>
  <c r="CF59" i="280" s="1"/>
  <c r="CF67" i="280" s="1"/>
  <c r="CU112" i="281"/>
  <c r="CU113" i="281" s="1"/>
  <c r="CS64" i="265"/>
  <c r="CT60" i="281"/>
  <c r="CE25" i="265"/>
  <c r="CF62" i="280"/>
  <c r="CF64" i="280" s="1"/>
  <c r="CF68" i="280" s="1"/>
  <c r="CS33" i="265"/>
  <c r="CS37" i="265" s="1"/>
  <c r="CS42" i="265" s="1"/>
  <c r="CS47" i="265" s="1"/>
  <c r="CS50" i="265" s="1"/>
  <c r="CE53" i="265"/>
  <c r="CE82" i="265"/>
  <c r="CE83" i="265"/>
  <c r="CS63" i="280" l="1"/>
  <c r="CS50" i="280"/>
  <c r="CT52" i="281"/>
  <c r="CT53" i="281" s="1"/>
  <c r="CU123" i="281"/>
  <c r="CU124" i="281" s="1"/>
  <c r="CU114" i="281"/>
  <c r="CU31" i="265" s="1"/>
  <c r="CF69" i="280"/>
  <c r="CF14" i="286" l="1"/>
  <c r="CF16" i="286" s="1"/>
  <c r="CF18" i="286" s="1"/>
  <c r="CF70" i="280"/>
  <c r="CF40" i="280"/>
  <c r="CF41" i="280" s="1"/>
  <c r="CF51" i="280"/>
  <c r="CF52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9" i="280"/>
  <c r="CF24" i="265"/>
  <c r="CF52" i="265"/>
  <c r="CF74" i="265"/>
  <c r="CG38" i="280"/>
  <c r="AC74" i="277" l="1"/>
  <c r="AC75" i="277" s="1"/>
  <c r="AC81" i="277" s="1"/>
  <c r="CF75" i="265"/>
  <c r="CF81" i="265" s="1"/>
  <c r="CF53" i="265"/>
  <c r="AB51" i="277"/>
  <c r="CG62" i="280"/>
  <c r="CG64" i="280" s="1"/>
  <c r="CG68" i="280" s="1"/>
  <c r="CU52" i="281"/>
  <c r="CU53" i="281" s="1"/>
  <c r="CG57" i="280"/>
  <c r="CG59" i="280" s="1"/>
  <c r="CG67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63" i="280"/>
  <c r="CT50" i="280"/>
  <c r="CG69" i="280" l="1"/>
  <c r="CG70" i="280" s="1"/>
  <c r="CV69" i="265"/>
  <c r="CW121" i="281"/>
  <c r="AC83" i="277"/>
  <c r="AC82" i="277"/>
  <c r="CF83" i="265"/>
  <c r="CF82" i="265"/>
  <c r="CU30" i="265"/>
  <c r="CU62" i="281"/>
  <c r="CU63" i="281" s="1"/>
  <c r="CG40" i="280" l="1"/>
  <c r="CG41" i="280" s="1"/>
  <c r="CH38" i="280" s="1"/>
  <c r="CG14" i="286"/>
  <c r="CG16" i="286" s="1"/>
  <c r="CG18" i="286" s="1"/>
  <c r="CG51" i="280"/>
  <c r="CG52" i="280" s="1"/>
  <c r="CG63" i="265" s="1"/>
  <c r="CG65" i="265" s="1"/>
  <c r="CG67" i="265" s="1"/>
  <c r="CG80" i="265" s="1"/>
  <c r="CU64" i="265"/>
  <c r="CV60" i="281"/>
  <c r="CW112" i="281"/>
  <c r="CW113" i="281" s="1"/>
  <c r="CG74" i="265"/>
  <c r="CG75" i="265" s="1"/>
  <c r="CG81" i="265" s="1"/>
  <c r="CU33" i="265"/>
  <c r="CU37" i="265" s="1"/>
  <c r="CU42" i="265" s="1"/>
  <c r="CU47" i="265" s="1"/>
  <c r="CU50" i="265" s="1"/>
  <c r="CG52" i="265"/>
  <c r="CG24" i="265"/>
  <c r="AG69" i="277"/>
  <c r="CH49" i="280" l="1"/>
  <c r="CH57" i="280"/>
  <c r="CH59" i="280" s="1"/>
  <c r="CH67" i="280" s="1"/>
  <c r="CV52" i="281"/>
  <c r="CV53" i="281" s="1"/>
  <c r="CG25" i="265"/>
  <c r="CH62" i="280"/>
  <c r="CH64" i="280" s="1"/>
  <c r="CH68" i="280" s="1"/>
  <c r="CG53" i="265"/>
  <c r="CG82" i="265"/>
  <c r="CG83" i="265"/>
  <c r="CU63" i="280"/>
  <c r="CU50" i="280"/>
  <c r="CW123" i="281"/>
  <c r="CW124" i="281" s="1"/>
  <c r="CW114" i="281"/>
  <c r="CW31" i="265" s="1"/>
  <c r="CW69" i="265" l="1"/>
  <c r="CX121" i="281"/>
  <c r="CV30" i="265"/>
  <c r="CV62" i="281"/>
  <c r="CV63" i="281" s="1"/>
  <c r="CH69" i="280"/>
  <c r="CV64" i="265" l="1"/>
  <c r="AG64" i="277" s="1"/>
  <c r="CW60" i="281"/>
  <c r="CX112" i="281"/>
  <c r="CX113" i="281" s="1"/>
  <c r="CH14" i="286"/>
  <c r="CH16" i="286" s="1"/>
  <c r="CH18" i="286" s="1"/>
  <c r="CH70" i="280"/>
  <c r="CH51" i="280"/>
  <c r="CH52" i="280" s="1"/>
  <c r="CH40" i="280"/>
  <c r="CH41" i="280" s="1"/>
  <c r="CV33" i="265"/>
  <c r="CV37" i="265" s="1"/>
  <c r="CV42" i="265" s="1"/>
  <c r="CV47" i="265" s="1"/>
  <c r="CV50" i="265" s="1"/>
  <c r="AF30" i="277"/>
  <c r="CV63" i="280" l="1"/>
  <c r="CV50" i="280"/>
  <c r="CH63" i="265"/>
  <c r="CH65" i="265" s="1"/>
  <c r="CH67" i="265" s="1"/>
  <c r="CH80" i="265" s="1"/>
  <c r="CI49" i="280"/>
  <c r="CH74" i="265"/>
  <c r="CH75" i="265" s="1"/>
  <c r="CH81" i="265" s="1"/>
  <c r="CI38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7" i="280"/>
  <c r="CI59" i="280" s="1"/>
  <c r="CI67" i="280" s="1"/>
  <c r="CH83" i="265"/>
  <c r="CH82" i="265"/>
  <c r="CW30" i="265"/>
  <c r="CW62" i="281"/>
  <c r="CW63" i="281" s="1"/>
  <c r="CH25" i="265"/>
  <c r="CI62" i="280"/>
  <c r="CI64" i="280" s="1"/>
  <c r="CI68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9" i="280"/>
  <c r="CX52" i="281" l="1"/>
  <c r="CX53" i="281" s="1"/>
  <c r="CI70" i="280"/>
  <c r="CI14" i="286"/>
  <c r="CI16" i="286" s="1"/>
  <c r="CI18" i="286" s="1"/>
  <c r="CI51" i="280"/>
  <c r="CI52" i="280" s="1"/>
  <c r="CI40" i="280"/>
  <c r="CI41" i="280" s="1"/>
  <c r="CY123" i="281"/>
  <c r="CY124" i="281" s="1"/>
  <c r="CY114" i="281"/>
  <c r="CY31" i="265" s="1"/>
  <c r="CW63" i="280"/>
  <c r="CW50" i="280"/>
  <c r="CI74" i="265" l="1"/>
  <c r="CI75" i="265" s="1"/>
  <c r="CI81" i="265" s="1"/>
  <c r="CJ38" i="280"/>
  <c r="CY69" i="265"/>
  <c r="CZ121" i="281"/>
  <c r="CI63" i="265"/>
  <c r="CI65" i="265" s="1"/>
  <c r="CI67" i="265" s="1"/>
  <c r="CI80" i="265" s="1"/>
  <c r="CJ49" i="280"/>
  <c r="CI52" i="265"/>
  <c r="CI24" i="265"/>
  <c r="CX30" i="265"/>
  <c r="CX62" i="281"/>
  <c r="CX63" i="281" s="1"/>
  <c r="CI82" i="265" l="1"/>
  <c r="CI83" i="265"/>
  <c r="CX64" i="265"/>
  <c r="CY60" i="281"/>
  <c r="CI25" i="265"/>
  <c r="CJ62" i="280"/>
  <c r="CJ64" i="280" s="1"/>
  <c r="CJ68" i="280" s="1"/>
  <c r="CZ112" i="281"/>
  <c r="CZ113" i="281" s="1"/>
  <c r="CJ57" i="280"/>
  <c r="CJ59" i="280" s="1"/>
  <c r="CJ67" i="280" s="1"/>
  <c r="CJ69" i="280" s="1"/>
  <c r="CX33" i="265"/>
  <c r="CX37" i="265" s="1"/>
  <c r="CX42" i="265" s="1"/>
  <c r="CX47" i="265" s="1"/>
  <c r="CX50" i="265" s="1"/>
  <c r="CI53" i="265"/>
  <c r="CY52" i="281" l="1"/>
  <c r="CY53" i="281" s="1"/>
  <c r="CX63" i="280"/>
  <c r="CX50" i="280"/>
  <c r="CJ14" i="286"/>
  <c r="CJ16" i="286" s="1"/>
  <c r="CJ18" i="286" s="1"/>
  <c r="CJ70" i="280"/>
  <c r="CJ40" i="280"/>
  <c r="CJ41" i="280" s="1"/>
  <c r="CJ51" i="280"/>
  <c r="CJ52" i="280" s="1"/>
  <c r="CZ114" i="281"/>
  <c r="CZ31" i="265" s="1"/>
  <c r="CZ123" i="281"/>
  <c r="CZ124" i="281" s="1"/>
  <c r="CJ74" i="265" l="1"/>
  <c r="CK38" i="280"/>
  <c r="CZ69" i="265"/>
  <c r="DA121" i="281"/>
  <c r="CJ63" i="265"/>
  <c r="CK49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62" i="280"/>
  <c r="CK64" i="280" s="1"/>
  <c r="CK68" i="280" s="1"/>
  <c r="DA112" i="281"/>
  <c r="DA113" i="281" s="1"/>
  <c r="CK57" i="280"/>
  <c r="CK59" i="280" s="1"/>
  <c r="CK67" i="280" s="1"/>
  <c r="CK69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50" i="280"/>
  <c r="CY63" i="280"/>
  <c r="CK70" i="280"/>
  <c r="CK14" i="286"/>
  <c r="CK16" i="286" s="1"/>
  <c r="CK18" i="286" s="1"/>
  <c r="CK51" i="280"/>
  <c r="CK52" i="280" s="1"/>
  <c r="CK40" i="280"/>
  <c r="CK41" i="280" s="1"/>
  <c r="DA123" i="281"/>
  <c r="DA124" i="281" s="1"/>
  <c r="DA114" i="281"/>
  <c r="DA31" i="265" s="1"/>
  <c r="CK74" i="265" l="1"/>
  <c r="CK75" i="265" s="1"/>
  <c r="CK81" i="265" s="1"/>
  <c r="CL38" i="280"/>
  <c r="DA69" i="265"/>
  <c r="DB121" i="281"/>
  <c r="CK63" i="265"/>
  <c r="CK65" i="265" s="1"/>
  <c r="CK67" i="265" s="1"/>
  <c r="CK80" i="265" s="1"/>
  <c r="CL49" i="280"/>
  <c r="CK52" i="265"/>
  <c r="CK24" i="265"/>
  <c r="CZ30" i="265"/>
  <c r="CZ62" i="281"/>
  <c r="CZ63" i="281" s="1"/>
  <c r="CZ64" i="265" l="1"/>
  <c r="AH64" i="277" s="1"/>
  <c r="DA60" i="281"/>
  <c r="CK25" i="265"/>
  <c r="CL62" i="280"/>
  <c r="CL64" i="280" s="1"/>
  <c r="CL68" i="280" s="1"/>
  <c r="DB112" i="281"/>
  <c r="DB113" i="281" s="1"/>
  <c r="CL57" i="280"/>
  <c r="CL59" i="280" s="1"/>
  <c r="CL67" i="280" s="1"/>
  <c r="CL69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63" i="280"/>
  <c r="CZ50" i="280"/>
  <c r="CL14" i="286"/>
  <c r="CL16" i="286" s="1"/>
  <c r="CL18" i="286" s="1"/>
  <c r="CL70" i="280"/>
  <c r="CL51" i="280"/>
  <c r="CL52" i="280" s="1"/>
  <c r="CL40" i="280"/>
  <c r="CL41" i="280" s="1"/>
  <c r="DB114" i="281"/>
  <c r="DB31" i="265" s="1"/>
  <c r="DB123" i="281"/>
  <c r="DB124" i="281" s="1"/>
  <c r="CL63" i="265" l="1"/>
  <c r="CL65" i="265" s="1"/>
  <c r="CL67" i="265" s="1"/>
  <c r="CL80" i="265" s="1"/>
  <c r="CM49" i="280"/>
  <c r="DB69" i="265"/>
  <c r="DC121" i="281"/>
  <c r="CL74" i="265"/>
  <c r="CL75" i="265" s="1"/>
  <c r="CL81" i="265" s="1"/>
  <c r="CM38" i="280"/>
  <c r="CL24" i="265"/>
  <c r="CL52" i="265"/>
  <c r="DA30" i="265"/>
  <c r="DA62" i="281"/>
  <c r="DA63" i="281" s="1"/>
  <c r="DA64" i="265" l="1"/>
  <c r="DB60" i="281"/>
  <c r="CL53" i="265"/>
  <c r="CM57" i="280"/>
  <c r="CM59" i="280" s="1"/>
  <c r="CM67" i="280" s="1"/>
  <c r="DC112" i="281"/>
  <c r="DC113" i="281" s="1"/>
  <c r="CM62" i="280"/>
  <c r="CM64" i="280" s="1"/>
  <c r="CM68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63" i="280"/>
  <c r="DA50" i="280"/>
  <c r="DC123" i="281"/>
  <c r="DC124" i="281" s="1"/>
  <c r="DC114" i="281"/>
  <c r="DC31" i="265" s="1"/>
  <c r="CM69" i="280"/>
  <c r="CM70" i="280" l="1"/>
  <c r="CM14" i="286"/>
  <c r="CM16" i="286" s="1"/>
  <c r="CM18" i="286" s="1"/>
  <c r="CM51" i="280"/>
  <c r="CM52" i="280" s="1"/>
  <c r="CM40" i="280"/>
  <c r="CM41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8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9" i="280"/>
  <c r="CM52" i="265"/>
  <c r="CM24" i="265"/>
  <c r="CN57" i="280" l="1"/>
  <c r="CN59" i="280" s="1"/>
  <c r="CN67" i="280" s="1"/>
  <c r="DC52" i="281"/>
  <c r="DC53" i="281" s="1"/>
  <c r="CM53" i="265"/>
  <c r="CM82" i="265"/>
  <c r="CM83" i="265"/>
  <c r="CM25" i="265"/>
  <c r="CN62" i="280"/>
  <c r="CN64" i="280" s="1"/>
  <c r="CN68" i="280" s="1"/>
  <c r="DB63" i="280"/>
  <c r="DB50" i="280"/>
  <c r="DD114" i="281"/>
  <c r="DD31" i="265" s="1"/>
  <c r="DD123" i="281"/>
  <c r="DD124" i="281" s="1"/>
  <c r="DD69" i="265" l="1"/>
  <c r="DE121" i="281"/>
  <c r="DC30" i="265"/>
  <c r="DC62" i="281"/>
  <c r="DC63" i="281" s="1"/>
  <c r="CN69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70" i="280"/>
  <c r="CN40" i="280"/>
  <c r="CN41" i="280" s="1"/>
  <c r="CN51" i="280"/>
  <c r="CN52" i="280" s="1"/>
  <c r="AI69" i="277"/>
  <c r="CN24" i="265" l="1"/>
  <c r="CN52" i="265"/>
  <c r="CN63" i="265"/>
  <c r="CO49" i="280"/>
  <c r="DD52" i="281"/>
  <c r="DD53" i="281" s="1"/>
  <c r="CN74" i="265"/>
  <c r="CO38" i="280"/>
  <c r="DE123" i="281"/>
  <c r="DE124" i="281" s="1"/>
  <c r="DE114" i="281"/>
  <c r="DE31" i="265" s="1"/>
  <c r="DC63" i="280"/>
  <c r="DC50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7" i="280"/>
  <c r="CO59" i="280" s="1"/>
  <c r="CO67" i="280" s="1"/>
  <c r="CO62" i="280"/>
  <c r="CO64" i="280" s="1"/>
  <c r="CO68" i="280" s="1"/>
  <c r="CN53" i="265"/>
  <c r="AD51" i="277"/>
  <c r="CO69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63" i="280" l="1"/>
  <c r="DD50" i="280"/>
  <c r="DF114" i="281"/>
  <c r="DF31" i="265" s="1"/>
  <c r="DF123" i="281"/>
  <c r="DF124" i="281" s="1"/>
  <c r="DE52" i="281"/>
  <c r="DE53" i="281" s="1"/>
  <c r="CO70" i="280"/>
  <c r="CO14" i="286"/>
  <c r="CO16" i="286" s="1"/>
  <c r="CO18" i="286" s="1"/>
  <c r="CO51" i="280"/>
  <c r="CO52" i="280" s="1"/>
  <c r="CO40" i="280"/>
  <c r="CO41" i="280" s="1"/>
  <c r="CO74" i="265" l="1"/>
  <c r="CO75" i="265" s="1"/>
  <c r="CO81" i="265" s="1"/>
  <c r="CP38" i="280"/>
  <c r="CO63" i="265"/>
  <c r="CO65" i="265" s="1"/>
  <c r="CO67" i="265" s="1"/>
  <c r="CO80" i="265" s="1"/>
  <c r="CP49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62" i="280"/>
  <c r="CP64" i="280" s="1"/>
  <c r="CP68" i="280" s="1"/>
  <c r="CP57" i="280"/>
  <c r="CP59" i="280" s="1"/>
  <c r="CP67" i="280" s="1"/>
  <c r="DE33" i="265"/>
  <c r="DE37" i="265" s="1"/>
  <c r="DE42" i="265" s="1"/>
  <c r="DE47" i="265" s="1"/>
  <c r="DE50" i="265" s="1"/>
  <c r="CO53" i="265"/>
  <c r="CO82" i="265"/>
  <c r="CO83" i="265"/>
  <c r="CP69" i="280" l="1"/>
  <c r="CP70" i="280" s="1"/>
  <c r="DE63" i="280"/>
  <c r="DE50" i="280"/>
  <c r="DF52" i="281"/>
  <c r="DF53" i="281" s="1"/>
  <c r="DG123" i="281"/>
  <c r="DG124" i="281" s="1"/>
  <c r="DG114" i="281"/>
  <c r="DG31" i="265" s="1"/>
  <c r="CP14" i="286" l="1"/>
  <c r="CP16" i="286" s="1"/>
  <c r="CP18" i="286" s="1"/>
  <c r="CP51" i="280"/>
  <c r="CP52" i="280" s="1"/>
  <c r="CQ49" i="280" s="1"/>
  <c r="CP40" i="280"/>
  <c r="CP41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8" i="280"/>
  <c r="CP25" i="265"/>
  <c r="DF33" i="265"/>
  <c r="DF37" i="265" s="1"/>
  <c r="DF42" i="265" s="1"/>
  <c r="DF47" i="265" s="1"/>
  <c r="DF50" i="265" s="1"/>
  <c r="CP53" i="265"/>
  <c r="CQ57" i="280"/>
  <c r="CQ59" i="280" s="1"/>
  <c r="CQ67" i="280" s="1"/>
  <c r="DF64" i="265"/>
  <c r="DG60" i="281"/>
  <c r="CQ62" i="280"/>
  <c r="CQ64" i="280" s="1"/>
  <c r="CQ68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9" i="280"/>
  <c r="DF63" i="280"/>
  <c r="DF50" i="280"/>
  <c r="DH69" i="265" l="1"/>
  <c r="DI121" i="281"/>
  <c r="CQ70" i="280"/>
  <c r="CQ14" i="286"/>
  <c r="CQ16" i="286" s="1"/>
  <c r="CQ18" i="286" s="1"/>
  <c r="CQ51" i="280"/>
  <c r="CQ52" i="280" s="1"/>
  <c r="CQ40" i="280"/>
  <c r="CQ41" i="280" s="1"/>
  <c r="DG30" i="265"/>
  <c r="DG62" i="281"/>
  <c r="DG63" i="281" s="1"/>
  <c r="CQ74" i="265" l="1"/>
  <c r="CQ75" i="265" s="1"/>
  <c r="CQ81" i="265" s="1"/>
  <c r="CR38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9" i="280"/>
  <c r="CQ52" i="265"/>
  <c r="CQ24" i="265"/>
  <c r="AJ69" i="277"/>
  <c r="DH52" i="281" l="1"/>
  <c r="DH53" i="281" s="1"/>
  <c r="CR57" i="280"/>
  <c r="CR59" i="280" s="1"/>
  <c r="CR67" i="280" s="1"/>
  <c r="CQ25" i="265"/>
  <c r="CR62" i="280"/>
  <c r="CR64" i="280" s="1"/>
  <c r="CR68" i="280" s="1"/>
  <c r="CQ53" i="265"/>
  <c r="CQ82" i="265"/>
  <c r="CQ83" i="265"/>
  <c r="DG50" i="280"/>
  <c r="DG63" i="280"/>
  <c r="DI123" i="281"/>
  <c r="DI124" i="281" s="1"/>
  <c r="DI114" i="281"/>
  <c r="DI31" i="265" s="1"/>
  <c r="CR69" i="280" l="1"/>
  <c r="CR14" i="286" s="1"/>
  <c r="CR16" i="286" s="1"/>
  <c r="CR18" i="286" s="1"/>
  <c r="DI69" i="265"/>
  <c r="DJ121" i="281"/>
  <c r="DH30" i="265"/>
  <c r="DH62" i="281"/>
  <c r="DH63" i="281" s="1"/>
  <c r="CR51" i="280" l="1"/>
  <c r="CR52" i="280" s="1"/>
  <c r="CR63" i="265" s="1"/>
  <c r="CR70" i="280"/>
  <c r="CR52" i="265" s="1"/>
  <c r="CR40" i="280"/>
  <c r="CR41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8" i="280" l="1"/>
  <c r="CS49" i="280"/>
  <c r="DJ114" i="281"/>
  <c r="DJ31" i="265" s="1"/>
  <c r="DJ123" i="281"/>
  <c r="DJ124" i="281" s="1"/>
  <c r="AF74" i="277"/>
  <c r="AF75" i="277" s="1"/>
  <c r="AF81" i="277" s="1"/>
  <c r="CR75" i="265"/>
  <c r="CR81" i="265" s="1"/>
  <c r="CS57" i="280"/>
  <c r="CS59" i="280" s="1"/>
  <c r="CS67" i="280" s="1"/>
  <c r="CR53" i="265"/>
  <c r="AE51" i="277"/>
  <c r="CS62" i="280"/>
  <c r="CS64" i="280" s="1"/>
  <c r="CS68" i="280" s="1"/>
  <c r="DI52" i="281"/>
  <c r="DI53" i="281" s="1"/>
  <c r="DH63" i="280"/>
  <c r="DH50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9" i="280" l="1"/>
  <c r="CS70" i="280" s="1"/>
  <c r="CR83" i="265"/>
  <c r="CR82" i="265"/>
  <c r="AF83" i="277"/>
  <c r="AF82" i="277"/>
  <c r="DI30" i="265"/>
  <c r="DI62" i="281"/>
  <c r="DI63" i="281" s="1"/>
  <c r="DJ69" i="265"/>
  <c r="DK121" i="281"/>
  <c r="CS40" i="280" l="1"/>
  <c r="CS41" i="280" s="1"/>
  <c r="CS74" i="265" s="1"/>
  <c r="CS75" i="265" s="1"/>
  <c r="CS81" i="265" s="1"/>
  <c r="CS14" i="286"/>
  <c r="CS16" i="286" s="1"/>
  <c r="CS18" i="286" s="1"/>
  <c r="CS51" i="280"/>
  <c r="CS52" i="280" s="1"/>
  <c r="CT49" i="280" s="1"/>
  <c r="DK112" i="281"/>
  <c r="DK113" i="281" s="1"/>
  <c r="DI64" i="265"/>
  <c r="DJ60" i="281"/>
  <c r="CS52" i="265"/>
  <c r="CS24" i="265"/>
  <c r="DI33" i="265"/>
  <c r="DI37" i="265" s="1"/>
  <c r="DI42" i="265" s="1"/>
  <c r="DI47" i="265" s="1"/>
  <c r="DI50" i="265" s="1"/>
  <c r="CS63" i="265" l="1"/>
  <c r="CS65" i="265" s="1"/>
  <c r="CS67" i="265" s="1"/>
  <c r="CS80" i="265" s="1"/>
  <c r="CS82" i="265" s="1"/>
  <c r="CT38" i="280"/>
  <c r="CT57" i="280" s="1"/>
  <c r="CT59" i="280" s="1"/>
  <c r="CT67" i="280" s="1"/>
  <c r="CT69" i="280" s="1"/>
  <c r="CS53" i="265"/>
  <c r="DI63" i="280"/>
  <c r="DI50" i="280"/>
  <c r="CS25" i="265"/>
  <c r="CT62" i="280"/>
  <c r="CT64" i="280" s="1"/>
  <c r="CT68" i="280" s="1"/>
  <c r="DJ52" i="281"/>
  <c r="DJ53" i="281" s="1"/>
  <c r="DK123" i="281"/>
  <c r="DK124" i="281" s="1"/>
  <c r="DK114" i="281"/>
  <c r="DK31" i="265" s="1"/>
  <c r="CS83" i="265" l="1"/>
  <c r="DK69" i="265"/>
  <c r="DL121" i="281"/>
  <c r="CT14" i="286"/>
  <c r="CT16" i="286" s="1"/>
  <c r="CT18" i="286" s="1"/>
  <c r="CT70" i="280"/>
  <c r="CT51" i="280"/>
  <c r="CT52" i="280" s="1"/>
  <c r="CT40" i="280"/>
  <c r="CT41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49" i="280"/>
  <c r="DJ64" i="265"/>
  <c r="DK60" i="281"/>
  <c r="CT74" i="265"/>
  <c r="CT75" i="265" s="1"/>
  <c r="CT81" i="265" s="1"/>
  <c r="CU38" i="280"/>
  <c r="CT24" i="265"/>
  <c r="CT52" i="265"/>
  <c r="DL112" i="281"/>
  <c r="DL113" i="281" s="1"/>
  <c r="DL114" i="281" l="1"/>
  <c r="DL31" i="265" s="1"/>
  <c r="DL123" i="281"/>
  <c r="DL124" i="281" s="1"/>
  <c r="CT25" i="265"/>
  <c r="CU62" i="280"/>
  <c r="CU64" i="280" s="1"/>
  <c r="CU68" i="280" s="1"/>
  <c r="CT53" i="265"/>
  <c r="CU57" i="280"/>
  <c r="CU59" i="280" s="1"/>
  <c r="CU67" i="280" s="1"/>
  <c r="CU69" i="280" s="1"/>
  <c r="DK52" i="281"/>
  <c r="DK53" i="281" s="1"/>
  <c r="CT83" i="265"/>
  <c r="CT82" i="265"/>
  <c r="DJ63" i="280"/>
  <c r="DJ50" i="280"/>
  <c r="DL69" i="265" l="1"/>
  <c r="DM121" i="281"/>
  <c r="DK30" i="265"/>
  <c r="DK62" i="281"/>
  <c r="DK63" i="281" s="1"/>
  <c r="CU70" i="280"/>
  <c r="CU14" i="286"/>
  <c r="CU16" i="286" s="1"/>
  <c r="CU18" i="286" s="1"/>
  <c r="CU51" i="280"/>
  <c r="CU52" i="280" s="1"/>
  <c r="CU40" i="280"/>
  <c r="CU41" i="280" s="1"/>
  <c r="CU74" i="265" l="1"/>
  <c r="CU75" i="265" s="1"/>
  <c r="CU81" i="265" s="1"/>
  <c r="CV38" i="280"/>
  <c r="DK64" i="265"/>
  <c r="DL60" i="281"/>
  <c r="DM112" i="281"/>
  <c r="DM113" i="281" s="1"/>
  <c r="CU63" i="265"/>
  <c r="CU65" i="265" s="1"/>
  <c r="CU67" i="265" s="1"/>
  <c r="CU80" i="265" s="1"/>
  <c r="CV49" i="280"/>
  <c r="CU52" i="265"/>
  <c r="CU24" i="265"/>
  <c r="DK33" i="265"/>
  <c r="DK37" i="265" s="1"/>
  <c r="DK42" i="265" s="1"/>
  <c r="DK47" i="265" s="1"/>
  <c r="DK50" i="265" s="1"/>
  <c r="AK69" i="277"/>
  <c r="CU25" i="265" l="1"/>
  <c r="CV62" i="280"/>
  <c r="CV64" i="280" s="1"/>
  <c r="CV68" i="280" s="1"/>
  <c r="DL52" i="281"/>
  <c r="DL53" i="281" s="1"/>
  <c r="CV57" i="280"/>
  <c r="CV59" i="280" s="1"/>
  <c r="CV67" i="280" s="1"/>
  <c r="CV69" i="280" s="1"/>
  <c r="DK63" i="280"/>
  <c r="DK50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70" i="280"/>
  <c r="CV40" i="280"/>
  <c r="CV41" i="280" s="1"/>
  <c r="CV51" i="280"/>
  <c r="CV52" i="280" s="1"/>
  <c r="DL30" i="265"/>
  <c r="DL62" i="281"/>
  <c r="DL63" i="281" s="1"/>
  <c r="DL64" i="265" l="1"/>
  <c r="AK64" i="277" s="1"/>
  <c r="DM60" i="281"/>
  <c r="CV63" i="265"/>
  <c r="CW49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8" i="280"/>
  <c r="DL63" i="280" l="1"/>
  <c r="DL50" i="280"/>
  <c r="CW57" i="280"/>
  <c r="CW59" i="280" s="1"/>
  <c r="CW67" i="280" s="1"/>
  <c r="CV53" i="265"/>
  <c r="AF51" i="277"/>
  <c r="CW62" i="280"/>
  <c r="CW64" i="280" s="1"/>
  <c r="CW68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9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70" i="280"/>
  <c r="CW14" i="286"/>
  <c r="CW16" i="286" s="1"/>
  <c r="CW18" i="286" s="1"/>
  <c r="CW51" i="280"/>
  <c r="CW52" i="280" s="1"/>
  <c r="CW40" i="280"/>
  <c r="CW41" i="280" s="1"/>
  <c r="DN52" i="281" l="1"/>
  <c r="DN53" i="281" s="1"/>
  <c r="CW74" i="265"/>
  <c r="CW75" i="265" s="1"/>
  <c r="CW81" i="265" s="1"/>
  <c r="CX38" i="280"/>
  <c r="CW63" i="265"/>
  <c r="CW65" i="265" s="1"/>
  <c r="CW67" i="265" s="1"/>
  <c r="CW80" i="265" s="1"/>
  <c r="CX49" i="280"/>
  <c r="CW52" i="265"/>
  <c r="CW24" i="265"/>
  <c r="DM63" i="280"/>
  <c r="DM50" i="280"/>
  <c r="DO123" i="281"/>
  <c r="DO124" i="281" s="1"/>
  <c r="DO114" i="281"/>
  <c r="DO31" i="265" s="1"/>
  <c r="CW53" i="265" l="1"/>
  <c r="DO69" i="265"/>
  <c r="DP121" i="281"/>
  <c r="CW25" i="265"/>
  <c r="CX62" i="280"/>
  <c r="CX64" i="280" s="1"/>
  <c r="CX68" i="280" s="1"/>
  <c r="CX57" i="280"/>
  <c r="CX59" i="280" s="1"/>
  <c r="CX67" i="280" s="1"/>
  <c r="CW82" i="265"/>
  <c r="CW83" i="265"/>
  <c r="DN30" i="265"/>
  <c r="DN62" i="281"/>
  <c r="DN63" i="281" s="1"/>
  <c r="CX69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51" i="280" l="1"/>
  <c r="CX52" i="280" s="1"/>
  <c r="CX63" i="265" s="1"/>
  <c r="CX65" i="265" s="1"/>
  <c r="CX67" i="265" s="1"/>
  <c r="CX80" i="265" s="1"/>
  <c r="CX40" i="280"/>
  <c r="CX41" i="280" s="1"/>
  <c r="CY38" i="280" s="1"/>
  <c r="CX70" i="280"/>
  <c r="CX52" i="265" s="1"/>
  <c r="DO52" i="281"/>
  <c r="DO53" i="281" s="1"/>
  <c r="DP114" i="281"/>
  <c r="DP31" i="265" s="1"/>
  <c r="DP123" i="281"/>
  <c r="DP124" i="281" s="1"/>
  <c r="DN63" i="280"/>
  <c r="DN50" i="280"/>
  <c r="CY49" i="280" l="1"/>
  <c r="CY62" i="280" s="1"/>
  <c r="CY64" i="280" s="1"/>
  <c r="CY68" i="280" s="1"/>
  <c r="CX24" i="265"/>
  <c r="CX74" i="265"/>
  <c r="CX75" i="265" s="1"/>
  <c r="CX81" i="265" s="1"/>
  <c r="CX82" i="265" s="1"/>
  <c r="DP69" i="265"/>
  <c r="DQ121" i="281"/>
  <c r="CX53" i="265"/>
  <c r="CY57" i="280"/>
  <c r="CY59" i="280" s="1"/>
  <c r="CY67" i="280" s="1"/>
  <c r="DO30" i="265"/>
  <c r="DO62" i="281"/>
  <c r="DO63" i="281" s="1"/>
  <c r="CX25" i="265"/>
  <c r="CX83" i="265" l="1"/>
  <c r="CY69" i="280"/>
  <c r="CY70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40" i="280" l="1"/>
  <c r="CY41" i="280" s="1"/>
  <c r="CZ38" i="280" s="1"/>
  <c r="CY14" i="286"/>
  <c r="CY16" i="286" s="1"/>
  <c r="CY18" i="286" s="1"/>
  <c r="CY51" i="280"/>
  <c r="CY52" i="280" s="1"/>
  <c r="CZ49" i="280" s="1"/>
  <c r="DP52" i="281"/>
  <c r="DP53" i="281" s="1"/>
  <c r="CY52" i="265"/>
  <c r="CY24" i="265"/>
  <c r="DO50" i="280"/>
  <c r="DO63" i="280"/>
  <c r="DQ123" i="281"/>
  <c r="DQ124" i="281" s="1"/>
  <c r="DQ114" i="281"/>
  <c r="DQ31" i="265" s="1"/>
  <c r="CY74" i="265" l="1"/>
  <c r="CY75" i="265" s="1"/>
  <c r="CY81" i="265" s="1"/>
  <c r="CY63" i="265"/>
  <c r="CY65" i="265" s="1"/>
  <c r="CY67" i="265" s="1"/>
  <c r="CY80" i="265" s="1"/>
  <c r="CY53" i="265"/>
  <c r="DQ69" i="265"/>
  <c r="DR121" i="281"/>
  <c r="CY25" i="265"/>
  <c r="CZ62" i="280"/>
  <c r="CZ64" i="280" s="1"/>
  <c r="CZ68" i="280" s="1"/>
  <c r="CZ57" i="280"/>
  <c r="CZ59" i="280" s="1"/>
  <c r="CZ67" i="280" s="1"/>
  <c r="DP30" i="265"/>
  <c r="DP62" i="281"/>
  <c r="DP63" i="281" s="1"/>
  <c r="CY83" i="265" l="1"/>
  <c r="CY82" i="265"/>
  <c r="CZ69" i="280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51" i="280" l="1"/>
  <c r="CZ52" i="280" s="1"/>
  <c r="CZ63" i="265" s="1"/>
  <c r="CZ70" i="280"/>
  <c r="CZ52" i="265" s="1"/>
  <c r="CZ40" i="280"/>
  <c r="CZ41" i="280" s="1"/>
  <c r="DA38" i="280" s="1"/>
  <c r="DR114" i="281"/>
  <c r="DR31" i="265" s="1"/>
  <c r="DR123" i="281"/>
  <c r="DR124" i="281" s="1"/>
  <c r="CZ24" i="265"/>
  <c r="DQ52" i="281"/>
  <c r="DQ53" i="281" s="1"/>
  <c r="DP63" i="280"/>
  <c r="DP50" i="280"/>
  <c r="DA49" i="280" l="1"/>
  <c r="DA62" i="280" s="1"/>
  <c r="DA64" i="280" s="1"/>
  <c r="DA68" i="280" s="1"/>
  <c r="CZ74" i="265"/>
  <c r="CZ75" i="265" s="1"/>
  <c r="CZ81" i="265" s="1"/>
  <c r="DA57" i="280"/>
  <c r="DA59" i="280" s="1"/>
  <c r="DA67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9" i="280"/>
  <c r="DA70" i="280" l="1"/>
  <c r="DA14" i="286"/>
  <c r="DA16" i="286" s="1"/>
  <c r="DA18" i="286" s="1"/>
  <c r="DA51" i="280"/>
  <c r="DA52" i="280" s="1"/>
  <c r="DA40" i="280"/>
  <c r="DA41" i="280" s="1"/>
  <c r="DQ63" i="280"/>
  <c r="DQ50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8" i="280"/>
  <c r="DA63" i="265"/>
  <c r="DA65" i="265" s="1"/>
  <c r="DA67" i="265" s="1"/>
  <c r="DA80" i="265" s="1"/>
  <c r="DB49" i="280"/>
  <c r="DA52" i="265"/>
  <c r="DA24" i="265"/>
  <c r="DA82" i="265" l="1"/>
  <c r="DA83" i="265"/>
  <c r="DA25" i="265"/>
  <c r="DB62" i="280"/>
  <c r="DB64" i="280" s="1"/>
  <c r="DB68" i="280" s="1"/>
  <c r="DB57" i="280"/>
  <c r="DB59" i="280" s="1"/>
  <c r="DB67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9" i="280" l="1"/>
  <c r="DB70" i="280" s="1"/>
  <c r="DS52" i="281"/>
  <c r="DS53" i="281" s="1"/>
  <c r="DR63" i="280"/>
  <c r="DR50" i="280"/>
  <c r="DT114" i="281"/>
  <c r="DT31" i="265" s="1"/>
  <c r="DT123" i="281"/>
  <c r="DT124" i="281" s="1"/>
  <c r="DB51" i="280" l="1"/>
  <c r="DB52" i="280" s="1"/>
  <c r="DB63" i="265" s="1"/>
  <c r="DB65" i="265" s="1"/>
  <c r="DB67" i="265" s="1"/>
  <c r="DB80" i="265" s="1"/>
  <c r="DB14" i="286"/>
  <c r="DB16" i="286" s="1"/>
  <c r="DB18" i="286" s="1"/>
  <c r="DB40" i="280"/>
  <c r="DB41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9" i="280" l="1"/>
  <c r="DC62" i="280" s="1"/>
  <c r="DC64" i="280" s="1"/>
  <c r="DC68" i="280" s="1"/>
  <c r="DC38" i="280"/>
  <c r="DC57" i="280" s="1"/>
  <c r="DC59" i="280" s="1"/>
  <c r="DC67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9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63" i="280"/>
  <c r="DS50" i="280"/>
  <c r="DC70" i="280" l="1"/>
  <c r="DC52" i="265" s="1"/>
  <c r="DC51" i="280"/>
  <c r="DC52" i="280" s="1"/>
  <c r="DD49" i="280" s="1"/>
  <c r="DC40" i="280"/>
  <c r="DC41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8" i="280" l="1"/>
  <c r="DT64" i="265"/>
  <c r="AM64" i="277" s="1"/>
  <c r="DU60" i="281"/>
  <c r="DC25" i="265"/>
  <c r="DD62" i="280"/>
  <c r="DD64" i="280" s="1"/>
  <c r="DD68" i="280" s="1"/>
  <c r="DV112" i="281"/>
  <c r="DV113" i="281" s="1"/>
  <c r="DD57" i="280"/>
  <c r="DD59" i="280" s="1"/>
  <c r="DD67" i="280" s="1"/>
  <c r="DD69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63" i="280"/>
  <c r="DT50" i="280"/>
  <c r="DD14" i="286"/>
  <c r="DD16" i="286" s="1"/>
  <c r="DD18" i="286" s="1"/>
  <c r="DD70" i="280"/>
  <c r="DD40" i="280"/>
  <c r="DD41" i="280" s="1"/>
  <c r="DD51" i="280"/>
  <c r="DD52" i="280" s="1"/>
  <c r="DV114" i="281"/>
  <c r="DV31" i="265" s="1"/>
  <c r="DV123" i="281"/>
  <c r="DV124" i="281" s="1"/>
  <c r="DD74" i="265" l="1"/>
  <c r="DE38" i="280"/>
  <c r="DV69" i="265"/>
  <c r="DW121" i="281"/>
  <c r="DD63" i="265"/>
  <c r="DE49" i="280"/>
  <c r="DD24" i="265"/>
  <c r="DD52" i="265"/>
  <c r="DU30" i="265"/>
  <c r="DU62" i="281"/>
  <c r="DU63" i="281" s="1"/>
  <c r="DU64" i="265" l="1"/>
  <c r="DV60" i="281"/>
  <c r="DD53" i="265"/>
  <c r="AH51" i="277"/>
  <c r="DE62" i="280"/>
  <c r="DE64" i="280" s="1"/>
  <c r="DE68" i="280" s="1"/>
  <c r="DW112" i="281"/>
  <c r="DW113" i="281" s="1"/>
  <c r="DE57" i="280"/>
  <c r="DE59" i="280" s="1"/>
  <c r="DE67" i="280" s="1"/>
  <c r="DE69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63" i="280"/>
  <c r="DU50" i="280"/>
  <c r="DE70" i="280"/>
  <c r="DE14" i="286"/>
  <c r="DE16" i="286" s="1"/>
  <c r="DE18" i="286" s="1"/>
  <c r="DE51" i="280"/>
  <c r="DE52" i="280" s="1"/>
  <c r="DE40" i="280"/>
  <c r="DE41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9" i="280"/>
  <c r="DE52" i="265"/>
  <c r="DE24" i="265"/>
  <c r="DE74" i="265"/>
  <c r="DE75" i="265" s="1"/>
  <c r="DE81" i="265" s="1"/>
  <c r="DF38" i="280"/>
  <c r="DV30" i="265"/>
  <c r="DV62" i="281"/>
  <c r="DV63" i="281" s="1"/>
  <c r="DE53" i="265" l="1"/>
  <c r="DV64" i="265"/>
  <c r="DW60" i="281"/>
  <c r="DF57" i="280"/>
  <c r="DF59" i="280" s="1"/>
  <c r="DF67" i="280" s="1"/>
  <c r="DE25" i="265"/>
  <c r="DF62" i="280"/>
  <c r="DF64" i="280" s="1"/>
  <c r="DF68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63" i="280"/>
  <c r="DV50" i="280"/>
  <c r="DX114" i="281"/>
  <c r="DX31" i="265" s="1"/>
  <c r="DX123" i="281"/>
  <c r="DX124" i="281" s="1"/>
  <c r="DF69" i="280"/>
  <c r="DF14" i="286" l="1"/>
  <c r="DF16" i="286" s="1"/>
  <c r="DF18" i="286" s="1"/>
  <c r="DF70" i="280"/>
  <c r="DF51" i="280"/>
  <c r="DF52" i="280" s="1"/>
  <c r="DF40" i="280"/>
  <c r="DF41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9" i="280"/>
  <c r="DW64" i="265"/>
  <c r="DX60" i="281"/>
  <c r="DY112" i="281"/>
  <c r="DY113" i="281" s="1"/>
  <c r="DF74" i="265"/>
  <c r="DF75" i="265" s="1"/>
  <c r="DF81" i="265" s="1"/>
  <c r="DG38" i="280"/>
  <c r="DF24" i="265"/>
  <c r="DF52" i="265"/>
  <c r="AN69" i="277"/>
  <c r="DF53" i="265" l="1"/>
  <c r="DG57" i="280"/>
  <c r="DG59" i="280" s="1"/>
  <c r="DG67" i="280" s="1"/>
  <c r="DX52" i="281"/>
  <c r="DX53" i="281" s="1"/>
  <c r="DG62" i="280"/>
  <c r="DG64" i="280" s="1"/>
  <c r="DG68" i="280" s="1"/>
  <c r="DF25" i="265"/>
  <c r="DY123" i="281"/>
  <c r="DY124" i="281" s="1"/>
  <c r="DY114" i="281"/>
  <c r="DY31" i="265" s="1"/>
  <c r="DF83" i="265"/>
  <c r="DF82" i="265"/>
  <c r="DW50" i="280"/>
  <c r="DW63" i="280"/>
  <c r="DY69" i="265" l="1"/>
  <c r="DZ121" i="281"/>
  <c r="DX30" i="265"/>
  <c r="DX62" i="281"/>
  <c r="DX63" i="281" s="1"/>
  <c r="DG69" i="280"/>
  <c r="DX64" i="265" l="1"/>
  <c r="AN64" i="277" s="1"/>
  <c r="DY60" i="281"/>
  <c r="DZ112" i="281"/>
  <c r="DZ113" i="281" s="1"/>
  <c r="DG70" i="280"/>
  <c r="DG14" i="286"/>
  <c r="DG16" i="286" s="1"/>
  <c r="DG18" i="286" s="1"/>
  <c r="DG51" i="280"/>
  <c r="DG52" i="280" s="1"/>
  <c r="DG40" i="280"/>
  <c r="DG41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8" i="280"/>
  <c r="DY52" i="281"/>
  <c r="DY53" i="281" s="1"/>
  <c r="DX63" i="280"/>
  <c r="DX50" i="280"/>
  <c r="DG63" i="265"/>
  <c r="DG65" i="265" s="1"/>
  <c r="DG67" i="265" s="1"/>
  <c r="DG80" i="265" s="1"/>
  <c r="DH49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62" i="280"/>
  <c r="DH64" i="280" s="1"/>
  <c r="DH68" i="280" s="1"/>
  <c r="DY30" i="265"/>
  <c r="DY62" i="281"/>
  <c r="DY63" i="281" s="1"/>
  <c r="DG82" i="265"/>
  <c r="DG83" i="265"/>
  <c r="DH57" i="280"/>
  <c r="DH59" i="280" s="1"/>
  <c r="DH67" i="280" s="1"/>
  <c r="DH69" i="280" l="1"/>
  <c r="DH70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40" i="280"/>
  <c r="DH41" i="280" s="1"/>
  <c r="DI38" i="280" s="1"/>
  <c r="DH51" i="280"/>
  <c r="DH52" i="280" s="1"/>
  <c r="DI49" i="280" s="1"/>
  <c r="DZ52" i="281"/>
  <c r="DZ53" i="281" s="1"/>
  <c r="DH24" i="265"/>
  <c r="DH52" i="265"/>
  <c r="DY63" i="280"/>
  <c r="DY50" i="280"/>
  <c r="EA123" i="281"/>
  <c r="EA124" i="281" s="1"/>
  <c r="EA69" i="265" s="1"/>
  <c r="EA114" i="281"/>
  <c r="H113" i="281"/>
  <c r="H123" i="281" s="1"/>
  <c r="DH74" i="265" l="1"/>
  <c r="DH75" i="265" s="1"/>
  <c r="DH81" i="265" s="1"/>
  <c r="DH63" i="265"/>
  <c r="AJ63" i="277" s="1"/>
  <c r="AJ65" i="277" s="1"/>
  <c r="AJ67" i="277" s="1"/>
  <c r="AJ80" i="277" s="1"/>
  <c r="AJ74" i="277"/>
  <c r="AJ75" i="277" s="1"/>
  <c r="AJ81" i="277" s="1"/>
  <c r="DH53" i="265"/>
  <c r="AI51" i="277"/>
  <c r="DI62" i="280"/>
  <c r="DI64" i="280" s="1"/>
  <c r="DI68" i="280" s="1"/>
  <c r="EA31" i="265"/>
  <c r="H114" i="281"/>
  <c r="H31" i="265" s="1"/>
  <c r="H41" i="269" s="1"/>
  <c r="K41" i="269" s="1"/>
  <c r="DI57" i="280"/>
  <c r="DI59" i="280" s="1"/>
  <c r="DI67" i="280" s="1"/>
  <c r="DH25" i="265"/>
  <c r="AI24" i="277"/>
  <c r="AI25" i="277" s="1"/>
  <c r="DH65" i="265"/>
  <c r="DH67" i="265" s="1"/>
  <c r="DH80" i="265" s="1"/>
  <c r="DZ30" i="265"/>
  <c r="DZ62" i="281"/>
  <c r="DZ63" i="281" s="1"/>
  <c r="DI69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70" i="280" l="1"/>
  <c r="DI52" i="265" s="1"/>
  <c r="DI40" i="280"/>
  <c r="DI41" i="280" s="1"/>
  <c r="DJ38" i="280" s="1"/>
  <c r="DI51" i="280"/>
  <c r="DI52" i="280" s="1"/>
  <c r="DJ49" i="280" s="1"/>
  <c r="H31" i="277"/>
  <c r="J33" i="277"/>
  <c r="EA52" i="281"/>
  <c r="EA53" i="281" s="1"/>
  <c r="DZ63" i="280"/>
  <c r="DZ50" i="280"/>
  <c r="DI24" i="265" l="1"/>
  <c r="DI25" i="265" s="1"/>
  <c r="DI63" i="265"/>
  <c r="DI65" i="265" s="1"/>
  <c r="DI67" i="265" s="1"/>
  <c r="DI80" i="265" s="1"/>
  <c r="DI74" i="265"/>
  <c r="DI75" i="265" s="1"/>
  <c r="DI81" i="265" s="1"/>
  <c r="DJ62" i="280"/>
  <c r="DJ64" i="280" s="1"/>
  <c r="DJ68" i="280" s="1"/>
  <c r="DJ57" i="280"/>
  <c r="DJ59" i="280" s="1"/>
  <c r="DJ67" i="280" s="1"/>
  <c r="J37" i="277"/>
  <c r="DI53" i="265"/>
  <c r="EA30" i="265"/>
  <c r="EA62" i="281"/>
  <c r="EA63" i="281" s="1"/>
  <c r="EA64" i="265" s="1"/>
  <c r="H53" i="281"/>
  <c r="DI83" i="265" l="1"/>
  <c r="DI82" i="265"/>
  <c r="DJ69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40" i="280" l="1"/>
  <c r="DJ41" i="280" s="1"/>
  <c r="DJ74" i="265" s="1"/>
  <c r="DJ75" i="265" s="1"/>
  <c r="DJ81" i="265" s="1"/>
  <c r="DJ70" i="280"/>
  <c r="DJ52" i="265" s="1"/>
  <c r="DJ51" i="280"/>
  <c r="DJ52" i="280" s="1"/>
  <c r="DJ63" i="265" s="1"/>
  <c r="DJ65" i="265" s="1"/>
  <c r="DJ67" i="265" s="1"/>
  <c r="DJ80" i="265" s="1"/>
  <c r="DJ24" i="265"/>
  <c r="DK49" i="280"/>
  <c r="J46" i="277"/>
  <c r="K33" i="277"/>
  <c r="H30" i="277"/>
  <c r="EA37" i="265"/>
  <c r="H33" i="265"/>
  <c r="H43" i="269" s="1"/>
  <c r="K43" i="269" s="1"/>
  <c r="L40" i="269"/>
  <c r="J40" i="269"/>
  <c r="DK38" i="280" l="1"/>
  <c r="DK57" i="280" s="1"/>
  <c r="DK59" i="280" s="1"/>
  <c r="DK67" i="280" s="1"/>
  <c r="EA42" i="265"/>
  <c r="H37" i="265"/>
  <c r="H47" i="269" s="1"/>
  <c r="DK62" i="280"/>
  <c r="DK64" i="280" s="1"/>
  <c r="DK68" i="280" s="1"/>
  <c r="DJ53" i="265"/>
  <c r="L43" i="269"/>
  <c r="J43" i="269"/>
  <c r="K37" i="277"/>
  <c r="H33" i="277"/>
  <c r="J49" i="277"/>
  <c r="DJ83" i="265"/>
  <c r="DJ82" i="265"/>
  <c r="DJ25" i="265"/>
  <c r="DK69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51" i="280" l="1"/>
  <c r="DK52" i="280" s="1"/>
  <c r="DK63" i="265" s="1"/>
  <c r="DK65" i="265" s="1"/>
  <c r="DK67" i="265" s="1"/>
  <c r="DK80" i="265" s="1"/>
  <c r="DK70" i="280"/>
  <c r="DK24" i="265" s="1"/>
  <c r="DK40" i="280"/>
  <c r="DK41" i="280" s="1"/>
  <c r="DK74" i="265" s="1"/>
  <c r="DK75" i="265" s="1"/>
  <c r="DK81" i="265" s="1"/>
  <c r="L52" i="269"/>
  <c r="J52" i="269"/>
  <c r="EA50" i="265"/>
  <c r="H47" i="265"/>
  <c r="H57" i="269" s="1"/>
  <c r="K57" i="269" s="1"/>
  <c r="DK52" i="265"/>
  <c r="K46" i="277"/>
  <c r="H41" i="277"/>
  <c r="DL49" i="280" l="1"/>
  <c r="DL62" i="280" s="1"/>
  <c r="DL64" i="280" s="1"/>
  <c r="DL68" i="280" s="1"/>
  <c r="DL38" i="280"/>
  <c r="DL57" i="280" s="1"/>
  <c r="DL59" i="280" s="1"/>
  <c r="DL67" i="280" s="1"/>
  <c r="L57" i="269"/>
  <c r="J57" i="269"/>
  <c r="DK25" i="265"/>
  <c r="K49" i="277"/>
  <c r="H46" i="277"/>
  <c r="DK53" i="265"/>
  <c r="DK82" i="265"/>
  <c r="DK83" i="265"/>
  <c r="EA63" i="280"/>
  <c r="EA50" i="280"/>
  <c r="H50" i="265"/>
  <c r="H60" i="269" l="1"/>
  <c r="H63" i="280"/>
  <c r="H50" i="280"/>
  <c r="H49" i="277"/>
  <c r="DL69" i="280"/>
  <c r="DL14" i="286" l="1"/>
  <c r="DL16" i="286" s="1"/>
  <c r="DL18" i="286" s="1"/>
  <c r="DL70" i="280"/>
  <c r="DL40" i="280"/>
  <c r="DL41" i="280" s="1"/>
  <c r="DL51" i="280"/>
  <c r="DL52" i="280" s="1"/>
  <c r="DL74" i="265" l="1"/>
  <c r="DM38" i="280"/>
  <c r="DL63" i="265"/>
  <c r="DM49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62" i="280"/>
  <c r="DM64" i="280" s="1"/>
  <c r="DM68" i="280" s="1"/>
  <c r="DM57" i="280"/>
  <c r="DM59" i="280" s="1"/>
  <c r="DM67" i="280" s="1"/>
  <c r="DL25" i="265"/>
  <c r="AJ24" i="277"/>
  <c r="AJ25" i="277" s="1"/>
  <c r="AK74" i="277"/>
  <c r="AK75" i="277" s="1"/>
  <c r="AK81" i="277" s="1"/>
  <c r="DL75" i="265"/>
  <c r="DL81" i="265" s="1"/>
  <c r="DM69" i="280" l="1"/>
  <c r="DM70" i="280" s="1"/>
  <c r="AK83" i="277"/>
  <c r="AK82" i="277"/>
  <c r="DL83" i="265"/>
  <c r="DL82" i="265"/>
  <c r="DM40" i="280" l="1"/>
  <c r="DM41" i="280" s="1"/>
  <c r="DM74" i="265" s="1"/>
  <c r="DM75" i="265" s="1"/>
  <c r="DM81" i="265" s="1"/>
  <c r="DM14" i="286"/>
  <c r="DM16" i="286" s="1"/>
  <c r="DM18" i="286" s="1"/>
  <c r="DM51" i="280"/>
  <c r="DM52" i="280" s="1"/>
  <c r="DM63" i="265" s="1"/>
  <c r="DM65" i="265" s="1"/>
  <c r="DM67" i="265" s="1"/>
  <c r="DM80" i="265" s="1"/>
  <c r="DM52" i="265"/>
  <c r="DM24" i="265"/>
  <c r="DN38" i="280" l="1"/>
  <c r="DN49" i="280"/>
  <c r="DM82" i="265"/>
  <c r="DM83" i="265"/>
  <c r="DM25" i="265"/>
  <c r="DN62" i="280"/>
  <c r="DN64" i="280" s="1"/>
  <c r="DN68" i="280" s="1"/>
  <c r="DN57" i="280"/>
  <c r="DN59" i="280" s="1"/>
  <c r="DN67" i="280" s="1"/>
  <c r="DM53" i="265"/>
  <c r="DN69" i="280" l="1"/>
  <c r="DN14" i="286" s="1"/>
  <c r="DN16" i="286" s="1"/>
  <c r="DN18" i="286" s="1"/>
  <c r="DN40" i="280" l="1"/>
  <c r="DN41" i="280" s="1"/>
  <c r="DN74" i="265" s="1"/>
  <c r="DN75" i="265" s="1"/>
  <c r="DN81" i="265" s="1"/>
  <c r="DN70" i="280"/>
  <c r="DN52" i="265" s="1"/>
  <c r="DN51" i="280"/>
  <c r="DN52" i="280" s="1"/>
  <c r="DN63" i="265" s="1"/>
  <c r="DN65" i="265" s="1"/>
  <c r="DN67" i="265" s="1"/>
  <c r="DN80" i="265" s="1"/>
  <c r="DN24" i="265"/>
  <c r="DO49" i="280" l="1"/>
  <c r="DO38" i="280"/>
  <c r="DO57" i="280" s="1"/>
  <c r="DO59" i="280" s="1"/>
  <c r="DO67" i="280" s="1"/>
  <c r="DN25" i="265"/>
  <c r="DN53" i="265"/>
  <c r="DO62" i="280"/>
  <c r="DO64" i="280" s="1"/>
  <c r="DO68" i="280" s="1"/>
  <c r="DN83" i="265"/>
  <c r="DN82" i="265"/>
  <c r="DO69" i="280" l="1"/>
  <c r="DO70" i="280" l="1"/>
  <c r="DO14" i="286"/>
  <c r="DO16" i="286" s="1"/>
  <c r="DO18" i="286" s="1"/>
  <c r="DO51" i="280"/>
  <c r="DO52" i="280" s="1"/>
  <c r="DO40" i="280"/>
  <c r="DO41" i="280" s="1"/>
  <c r="DO74" i="265" l="1"/>
  <c r="DO75" i="265" s="1"/>
  <c r="DO81" i="265" s="1"/>
  <c r="DP38" i="280"/>
  <c r="DO63" i="265"/>
  <c r="DO65" i="265" s="1"/>
  <c r="DO67" i="265" s="1"/>
  <c r="DO80" i="265" s="1"/>
  <c r="DP49" i="280"/>
  <c r="DO52" i="265"/>
  <c r="DO24" i="265"/>
  <c r="DO82" i="265" l="1"/>
  <c r="DO83" i="265"/>
  <c r="DO25" i="265"/>
  <c r="DP62" i="280"/>
  <c r="DP64" i="280" s="1"/>
  <c r="DP68" i="280" s="1"/>
  <c r="DP57" i="280"/>
  <c r="DP59" i="280" s="1"/>
  <c r="DP67" i="280" s="1"/>
  <c r="DO53" i="265"/>
  <c r="DP69" i="280" l="1"/>
  <c r="DP14" i="286" s="1"/>
  <c r="DP16" i="286" s="1"/>
  <c r="DP18" i="286" s="1"/>
  <c r="DP51" i="280" l="1"/>
  <c r="DP52" i="280" s="1"/>
  <c r="DP63" i="265" s="1"/>
  <c r="DP70" i="280"/>
  <c r="DP52" i="265" s="1"/>
  <c r="DP40" i="280"/>
  <c r="DP41" i="280" s="1"/>
  <c r="DP74" i="265" s="1"/>
  <c r="DP24" i="265"/>
  <c r="DQ49" i="280" l="1"/>
  <c r="DQ38" i="280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62" i="280"/>
  <c r="DQ64" i="280" s="1"/>
  <c r="DQ68" i="280" s="1"/>
  <c r="DQ57" i="280"/>
  <c r="DQ59" i="280" s="1"/>
  <c r="DQ67" i="280" s="1"/>
  <c r="AL74" i="277"/>
  <c r="AL75" i="277" s="1"/>
  <c r="AL81" i="277" s="1"/>
  <c r="DP75" i="265"/>
  <c r="DP81" i="265" s="1"/>
  <c r="DQ69" i="280" l="1"/>
  <c r="DQ70" i="280" s="1"/>
  <c r="AL83" i="277"/>
  <c r="AL82" i="277"/>
  <c r="DP83" i="265"/>
  <c r="DP82" i="265"/>
  <c r="DQ40" i="280" l="1"/>
  <c r="DQ41" i="280" s="1"/>
  <c r="DQ74" i="265" s="1"/>
  <c r="DQ75" i="265" s="1"/>
  <c r="DQ81" i="265" s="1"/>
  <c r="DQ14" i="286"/>
  <c r="DQ16" i="286" s="1"/>
  <c r="DQ18" i="286" s="1"/>
  <c r="DQ51" i="280"/>
  <c r="DQ52" i="280" s="1"/>
  <c r="DQ63" i="265" s="1"/>
  <c r="DQ65" i="265" s="1"/>
  <c r="DQ67" i="265" s="1"/>
  <c r="DQ80" i="265" s="1"/>
  <c r="DQ52" i="265"/>
  <c r="DQ24" i="265"/>
  <c r="DR38" i="280" l="1"/>
  <c r="DR49" i="280"/>
  <c r="DQ82" i="265"/>
  <c r="DQ83" i="265"/>
  <c r="DQ25" i="265"/>
  <c r="DR62" i="280"/>
  <c r="DR64" i="280" s="1"/>
  <c r="DR68" i="280" s="1"/>
  <c r="DR57" i="280"/>
  <c r="DR59" i="280" s="1"/>
  <c r="DR67" i="280" s="1"/>
  <c r="DQ53" i="265"/>
  <c r="DR69" i="280" l="1"/>
  <c r="DR14" i="286" s="1"/>
  <c r="DR16" i="286" s="1"/>
  <c r="DR18" i="286" s="1"/>
  <c r="DR40" i="280" l="1"/>
  <c r="DR41" i="280" s="1"/>
  <c r="DR74" i="265" s="1"/>
  <c r="DR75" i="265" s="1"/>
  <c r="DR81" i="265" s="1"/>
  <c r="DR70" i="280"/>
  <c r="DR52" i="265" s="1"/>
  <c r="DR51" i="280"/>
  <c r="DR52" i="280" s="1"/>
  <c r="DR63" i="265" s="1"/>
  <c r="DR65" i="265" s="1"/>
  <c r="DR67" i="265" s="1"/>
  <c r="DR80" i="265" s="1"/>
  <c r="DR24" i="265"/>
  <c r="DS38" i="280" l="1"/>
  <c r="DS49" i="280"/>
  <c r="DS62" i="280" s="1"/>
  <c r="DS64" i="280" s="1"/>
  <c r="DS68" i="280" s="1"/>
  <c r="DR25" i="265"/>
  <c r="DR53" i="265"/>
  <c r="DS57" i="280"/>
  <c r="DS59" i="280" s="1"/>
  <c r="DS67" i="280" s="1"/>
  <c r="DR83" i="265"/>
  <c r="DR82" i="265"/>
  <c r="DS69" i="280" l="1"/>
  <c r="DS70" i="280" l="1"/>
  <c r="DS14" i="286"/>
  <c r="DS16" i="286" s="1"/>
  <c r="DS18" i="286" s="1"/>
  <c r="DS51" i="280"/>
  <c r="DS52" i="280" s="1"/>
  <c r="DS40" i="280"/>
  <c r="DS41" i="280" s="1"/>
  <c r="DS74" i="265" l="1"/>
  <c r="DS75" i="265" s="1"/>
  <c r="DS81" i="265" s="1"/>
  <c r="DT38" i="280"/>
  <c r="DS63" i="265"/>
  <c r="DS65" i="265" s="1"/>
  <c r="DS67" i="265" s="1"/>
  <c r="DS80" i="265" s="1"/>
  <c r="DT49" i="280"/>
  <c r="DS52" i="265"/>
  <c r="DS24" i="265"/>
  <c r="DS82" i="265" l="1"/>
  <c r="DS83" i="265"/>
  <c r="DS25" i="265"/>
  <c r="DT62" i="280"/>
  <c r="DT64" i="280" s="1"/>
  <c r="DT68" i="280" s="1"/>
  <c r="DT57" i="280"/>
  <c r="DT59" i="280" s="1"/>
  <c r="DT67" i="280" s="1"/>
  <c r="DS53" i="265"/>
  <c r="DT69" i="280" l="1"/>
  <c r="DT14" i="286" s="1"/>
  <c r="DT16" i="286" s="1"/>
  <c r="DT18" i="286" s="1"/>
  <c r="DT40" i="280" l="1"/>
  <c r="DT41" i="280" s="1"/>
  <c r="DT74" i="265" s="1"/>
  <c r="DT51" i="280"/>
  <c r="DT52" i="280" s="1"/>
  <c r="DU49" i="280" s="1"/>
  <c r="DT70" i="280"/>
  <c r="DT52" i="265" s="1"/>
  <c r="DT63" i="265" l="1"/>
  <c r="DT65" i="265" s="1"/>
  <c r="DT67" i="265" s="1"/>
  <c r="DT80" i="265" s="1"/>
  <c r="DT24" i="265"/>
  <c r="AL24" i="277" s="1"/>
  <c r="AL25" i="277" s="1"/>
  <c r="DU38" i="280"/>
  <c r="DT25" i="265"/>
  <c r="AM63" i="277"/>
  <c r="AM65" i="277" s="1"/>
  <c r="AM67" i="277" s="1"/>
  <c r="AM80" i="277" s="1"/>
  <c r="DT53" i="265"/>
  <c r="AL51" i="277"/>
  <c r="AL52" i="277" s="1"/>
  <c r="DU62" i="280"/>
  <c r="DU64" i="280" s="1"/>
  <c r="DU68" i="280" s="1"/>
  <c r="DU57" i="280"/>
  <c r="DU59" i="280" s="1"/>
  <c r="DU67" i="280" s="1"/>
  <c r="AM74" i="277"/>
  <c r="AM75" i="277" s="1"/>
  <c r="AM81" i="277" s="1"/>
  <c r="DT75" i="265"/>
  <c r="DT81" i="265" s="1"/>
  <c r="DU69" i="280" l="1"/>
  <c r="DU70" i="280" s="1"/>
  <c r="AM83" i="277"/>
  <c r="AM82" i="277"/>
  <c r="DT83" i="265"/>
  <c r="DT82" i="265"/>
  <c r="DU40" i="280" l="1"/>
  <c r="DU41" i="280" s="1"/>
  <c r="DU74" i="265" s="1"/>
  <c r="DU75" i="265" s="1"/>
  <c r="DU81" i="265" s="1"/>
  <c r="DU14" i="286"/>
  <c r="DU16" i="286" s="1"/>
  <c r="DU18" i="286" s="1"/>
  <c r="DU51" i="280"/>
  <c r="DU52" i="280" s="1"/>
  <c r="DV49" i="280" s="1"/>
  <c r="DU52" i="265"/>
  <c r="DU24" i="265"/>
  <c r="DV38" i="280" l="1"/>
  <c r="DV57" i="280" s="1"/>
  <c r="DV59" i="280" s="1"/>
  <c r="DV67" i="280" s="1"/>
  <c r="DU63" i="265"/>
  <c r="DU65" i="265" s="1"/>
  <c r="DU67" i="265" s="1"/>
  <c r="DU80" i="265" s="1"/>
  <c r="DU82" i="265" s="1"/>
  <c r="DU25" i="265"/>
  <c r="DV62" i="280"/>
  <c r="DV64" i="280" s="1"/>
  <c r="DV68" i="280" s="1"/>
  <c r="DU53" i="265"/>
  <c r="DU83" i="265" l="1"/>
  <c r="DV69" i="280"/>
  <c r="DV14" i="286" s="1"/>
  <c r="DV16" i="286" s="1"/>
  <c r="DV18" i="286" s="1"/>
  <c r="DV40" i="280" l="1"/>
  <c r="DV41" i="280" s="1"/>
  <c r="DV74" i="265" s="1"/>
  <c r="DV75" i="265" s="1"/>
  <c r="DV81" i="265" s="1"/>
  <c r="DV70" i="280"/>
  <c r="DV52" i="265" s="1"/>
  <c r="DV51" i="280"/>
  <c r="DV52" i="280" s="1"/>
  <c r="DV63" i="265" s="1"/>
  <c r="DV65" i="265" s="1"/>
  <c r="DV67" i="265" s="1"/>
  <c r="DV80" i="265" s="1"/>
  <c r="DW38" i="280" l="1"/>
  <c r="DW57" i="280" s="1"/>
  <c r="DW59" i="280" s="1"/>
  <c r="DW67" i="280" s="1"/>
  <c r="DV24" i="265"/>
  <c r="DW49" i="280"/>
  <c r="DW62" i="280" s="1"/>
  <c r="DW64" i="280" s="1"/>
  <c r="DW68" i="280" s="1"/>
  <c r="DV25" i="265"/>
  <c r="DV53" i="265"/>
  <c r="DV83" i="265"/>
  <c r="DV82" i="265"/>
  <c r="DW69" i="280" l="1"/>
  <c r="DW70" i="280" l="1"/>
  <c r="DW14" i="286"/>
  <c r="DW16" i="286" s="1"/>
  <c r="DW18" i="286" s="1"/>
  <c r="DW51" i="280"/>
  <c r="DW52" i="280" s="1"/>
  <c r="DW40" i="280"/>
  <c r="DW41" i="280" s="1"/>
  <c r="DW74" i="265" l="1"/>
  <c r="DW75" i="265" s="1"/>
  <c r="DW81" i="265" s="1"/>
  <c r="DX38" i="280"/>
  <c r="DW63" i="265"/>
  <c r="DW65" i="265" s="1"/>
  <c r="DW67" i="265" s="1"/>
  <c r="DW80" i="265" s="1"/>
  <c r="DX49" i="280"/>
  <c r="DW52" i="265"/>
  <c r="DW24" i="265"/>
  <c r="DW82" i="265" l="1"/>
  <c r="DW83" i="265"/>
  <c r="DW25" i="265"/>
  <c r="DX62" i="280"/>
  <c r="DX64" i="280" s="1"/>
  <c r="DX68" i="280" s="1"/>
  <c r="DX57" i="280"/>
  <c r="DX59" i="280" s="1"/>
  <c r="DX67" i="280" s="1"/>
  <c r="DW53" i="265"/>
  <c r="DX69" i="280" l="1"/>
  <c r="DX14" i="286" s="1"/>
  <c r="DX16" i="286" s="1"/>
  <c r="DX18" i="286" s="1"/>
  <c r="DX51" i="280" l="1"/>
  <c r="DX52" i="280" s="1"/>
  <c r="DY49" i="280" s="1"/>
  <c r="DX70" i="280"/>
  <c r="DX24" i="265" s="1"/>
  <c r="DX40" i="280"/>
  <c r="DX41" i="280" s="1"/>
  <c r="DX74" i="265" s="1"/>
  <c r="DX52" i="265"/>
  <c r="DX63" i="265" l="1"/>
  <c r="DY38" i="280"/>
  <c r="DX25" i="265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62" i="280"/>
  <c r="DY64" i="280" s="1"/>
  <c r="DY68" i="280" s="1"/>
  <c r="DY57" i="280"/>
  <c r="DY59" i="280" s="1"/>
  <c r="DY67" i="280" s="1"/>
  <c r="AN74" i="277"/>
  <c r="AN75" i="277" s="1"/>
  <c r="AN81" i="277" s="1"/>
  <c r="DX75" i="265"/>
  <c r="DX81" i="265" s="1"/>
  <c r="DY69" i="280" l="1"/>
  <c r="DY70" i="280" s="1"/>
  <c r="AN83" i="277"/>
  <c r="AN82" i="277"/>
  <c r="DX83" i="265"/>
  <c r="DX82" i="265"/>
  <c r="DY51" i="280" l="1"/>
  <c r="DY52" i="280" s="1"/>
  <c r="DZ49" i="280" s="1"/>
  <c r="DY40" i="280"/>
  <c r="DY41" i="280" s="1"/>
  <c r="DZ38" i="280" s="1"/>
  <c r="DY14" i="286"/>
  <c r="DY16" i="286" s="1"/>
  <c r="DY18" i="286" s="1"/>
  <c r="DY74" i="265"/>
  <c r="DY75" i="265" s="1"/>
  <c r="DY81" i="265" s="1"/>
  <c r="DY63" i="265"/>
  <c r="DY65" i="265" s="1"/>
  <c r="DY67" i="265" s="1"/>
  <c r="DY80" i="265" s="1"/>
  <c r="DY52" i="265"/>
  <c r="DY24" i="265"/>
  <c r="DY82" i="265" l="1"/>
  <c r="DY83" i="265"/>
  <c r="DY25" i="265"/>
  <c r="DZ62" i="280"/>
  <c r="DZ64" i="280" s="1"/>
  <c r="DZ68" i="280" s="1"/>
  <c r="DZ57" i="280"/>
  <c r="DZ59" i="280" s="1"/>
  <c r="DZ67" i="280" s="1"/>
  <c r="DY53" i="265"/>
  <c r="DZ69" i="280" l="1"/>
  <c r="DZ14" i="286" s="1"/>
  <c r="DZ16" i="286" s="1"/>
  <c r="DZ18" i="286" s="1"/>
  <c r="DZ40" i="280" l="1"/>
  <c r="DZ41" i="280" s="1"/>
  <c r="EA38" i="280" s="1"/>
  <c r="DZ70" i="280"/>
  <c r="DZ51" i="280"/>
  <c r="DZ52" i="280" s="1"/>
  <c r="DZ63" i="265" s="1"/>
  <c r="DZ65" i="265" s="1"/>
  <c r="DZ67" i="265" s="1"/>
  <c r="DZ80" i="265" s="1"/>
  <c r="DZ24" i="265"/>
  <c r="DZ52" i="265"/>
  <c r="DZ74" i="265" l="1"/>
  <c r="DZ75" i="265" s="1"/>
  <c r="DZ81" i="265" s="1"/>
  <c r="DZ82" i="265" s="1"/>
  <c r="EA49" i="280"/>
  <c r="DZ25" i="265"/>
  <c r="DZ53" i="265"/>
  <c r="EA57" i="280"/>
  <c r="EA59" i="280" s="1"/>
  <c r="EA67" i="280" s="1"/>
  <c r="EA62" i="280"/>
  <c r="EA64" i="280" s="1"/>
  <c r="EA68" i="280" s="1"/>
  <c r="DZ83" i="265" l="1"/>
  <c r="EA69" i="280"/>
  <c r="EA14" i="286" l="1"/>
  <c r="EA16" i="286" s="1"/>
  <c r="EA70" i="280"/>
  <c r="EA51" i="280"/>
  <c r="EA52" i="280" s="1"/>
  <c r="EA63" i="265" s="1"/>
  <c r="EA65" i="265" s="1"/>
  <c r="EA67" i="265" s="1"/>
  <c r="EA80" i="265" s="1"/>
  <c r="EA40" i="280"/>
  <c r="EA41" i="280" s="1"/>
  <c r="EA74" i="265" s="1"/>
  <c r="H69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87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87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<sst xmlns="http://schemas.openxmlformats.org/spreadsheetml/2006/main" count="458" uniqueCount="272">
  <si>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</si>
  <si>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</si>
  <si>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</si>
  <si>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</si>
  <si>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</si>
  <si>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</si>
  <si>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</si>
  <si>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</si>
  <si>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</si>
  <si>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</si>
  <si>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</si>
  <si>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</si>
  <si>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</si>
  <si>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</si>
  <si>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</si>
  <si>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</si>
  <si>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</si>
  <si>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</si>
  <si>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</si>
  <si>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</si>
  <si>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</si>
  <si>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</si>
  <si>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</si>
  <si>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</si>
  <si>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</si>
  <si>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</si>
  <si>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</si>
  <si>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</si>
  <si>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</si>
  <si>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</si>
  <si>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</si>
  <si>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</si>
  <si>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</si>
  <si>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</si>
  <si>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</si>
  <si>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</si>
  <si>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</si>
  <si>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</si>
  <si>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</si>
  <si>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</si>
  <si>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</si>
  <si>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</si>
  <si>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</si>
  <si>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</si>
  <si>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</si>
  <si>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</si>
  <si>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</si>
  <si>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</si>
  <si>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</si>
  <si>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</si>
  <si>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</si>
  <si>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</si>
  <si>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</si>
  <si>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</si>
  <si>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</si>
  <si>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</si>
  <si>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</si>
  <si>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</si>
  <si>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</si>
  <si>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</si>
  <si>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</si>
  <si>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</si>
  <si>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</si>
  <si>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</si>
  <si>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</si>
  <si>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</si>
  <si>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</si>
  <si>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</si>
  <si>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</si>
  <si>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</si>
  <si>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</si>
  <si>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</si>
  <si>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</si>
  <si>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</si>
  <si>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</si>
  <si>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</si>
  <si>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</si>
  <si>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</si>
  <si>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</si>
  <si>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</si>
  <si>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</si>
  <si>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</si>
  <si>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</si>
  <si>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</si>
  <si>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</si>
  <si>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</si>
  <si>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</si>
  <si>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</si>
  <si>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</si>
  <si>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</si>
  <si>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</si>
  <si>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</si>
  <si>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</si>
  <si>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</si>
  <si>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</si>
  <si>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</si>
  <si>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</si>
  <si>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</si>
  <si>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</si>
  <si>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</si>
  <si>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</si>
  <si>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</si>
  <si>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</si>
  <si>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</si>
  <si>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</si>
  <si>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</si>
  <si>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</si>
  <si>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</si>
  <si>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</si>
  <si>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</si>
  <si>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</si>
  <si>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</si>
  <si>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</si>
  <si>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</si>
  <si>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</si>
  <si>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</si>
  <si>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</si>
  <si>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</si>
  <si>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</si>
  <si>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</si>
  <si>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</si>
  <si>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</si>
  <si>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</si>
  <si>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</si>
  <si>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</si>
  <si>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</si>
  <si>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</si>
  <si>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</si>
  <si>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</si>
  <si>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</si>
  <si>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</si>
  <si>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</si>
  <si>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</si>
  <si>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</si>
  <si>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</si>
  <si>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</si>
  <si>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</si>
  <si>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</si>
  <si>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</si>
  <si>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</si>
  <si>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</si>
  <si>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</si>
  <si>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</si>
  <si>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</si>
  <si>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</si>
  <si>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</si>
  <si>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</si>
  <si>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</si>
  <si>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</si>
  <si>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</si>
  <si>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</si>
  <si>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</si>
  <si>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</si>
  <si>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</si>
  <si>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</si>
  <si>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</si>
  <si>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</si>
  <si>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</si>
  <si>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</si>
  <si>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</si>
  <si>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</si>
  <si>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</si>
  <si>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</si>
  <si>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</si>
  <si>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</si>
  <si>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</si>
  <si>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</si>
  <si>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</si>
  <si>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</si>
  <si>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</si>
  <si>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</si>
  <si>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</si>
  <si>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</si>
  <si>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</si>
  <si>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</si>
  <si>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</si>
  <si>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</si>
  <si>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</si>
  <si>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</si>
  <si>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</si>
  <si>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</si>
  <si>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</si>
  <si>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</si>
  <si>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</si>
  <si>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</si>
  <si>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</si>
  <si>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</si>
  <si>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</si>
  <si>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</si>
  <si>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</si>
  <si>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</si>
  <si>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</si>
  <si>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</si>
  <si>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</si>
  <si>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</si>
  <si>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</si>
  <si>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</si>
  <si>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</si>
  <si>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</si>
  <si>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</si>
  <si>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</si>
  <si>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</si>
  <si>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</si>
  <si>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</si>
  <si>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</si>
  <si>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</si>
  <si>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</si>
  <si>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</si>
  <si>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</si>
  <si>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</si>
  <si>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</si>
  <si>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</si>
  <si>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</si>
  <si>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</si>
  <si>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</si>
  <si>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</si>
  <si>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</si>
  <si>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</si>
  <si>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</si>
  <si>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</si>
  <si>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</si>
  <si>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</si>
  <si>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</si>
  <si>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</si>
  <si>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</si>
  <si>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</si>
  <si>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</si>
  <si>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</si>
  <si>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</si>
  <si>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</si>
  <si>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</si>
  <si>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</si>
  <si>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</si>
  <si>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</si>
  <si>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</si>
  <si>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</si>
  <si>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</si>
  <si>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</si>
  <si>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</si>
  <si>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</si>
  <si>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</si>
  <si>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</si>
  <si>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</si>
  <si>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</si>
  <si>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</si>
  <si>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</si>
  <si>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</si>
  <si>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</si>
  <si>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</si>
  <si>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</si>
  <si>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</si>
  <si>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</si>
  <si>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</si>
  <si>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</si>
  <si>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</si>
  <si>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</si>
  <si>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</si>
  <si>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</si>
  <si>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</si>
  <si>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s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</si>
  <si>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</si>
  <si>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</si>
  <si>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</si>
  <si>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</si>
  <si>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</si>
  <si>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</si>
  <si>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</si>
  <si>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</si>
  <si>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[amortising debt repayment profile]</t>
  </si>
  <si>
    <t>[sculpted debt repayment profile]</t>
  </si>
  <si>
    <t xml:space="preserve">Senior debt principal repayment POS </t>
  </si>
  <si>
    <t>FMH debt2 BEG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</si>
</sst>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8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6"/>
  <sheetViews>
    <sheetView showGridLines="0" defaultGridColor="0" colorId="22" zoomScale="110" zoomScaleNormal="110" workbookViewId="0">
      <pane xSplit="10" ySplit="9" topLeftCell="K36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144</v>
      </c>
      <c r="M3" s="168" t="s">
        <v>145</v>
      </c>
      <c r="N3" s="167"/>
      <c r="O3" s="168" t="s">
        <v>146</v>
      </c>
      <c r="P3" s="168" t="s">
        <v>147</v>
      </c>
      <c r="Q3" s="168" t="s">
        <v>148</v>
      </c>
      <c r="R3" s="168" t="s">
        <v>149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COUNTIF(I10:I64,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162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171</v>
      </c>
      <c r="F24" s="454">
        <f xml:space="preserve"> IF( INDEX(J24:S24, $I$4) = "", INDEX(J24:R24, $I$6), INDEX(J24:S24, $I$4))</f>
        <v>0.33</v>
      </c>
      <c r="G24" s="453" t="s">
        <v>172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173</v>
      </c>
      <c r="F25" s="454">
        <f xml:space="preserve"> IF( INDEX(J25:S25, $I$4) = "", INDEX(J25:R25, $I$6), INDEX(J25:S25, $I$4))</f>
        <v>0.36</v>
      </c>
      <c r="G25" s="453" t="s">
        <v>172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174</v>
      </c>
      <c r="F26" s="454">
        <f xml:space="preserve"> IF( INDEX(J26:S26, $I$4) = "", INDEX(J26:R26, $I$6), INDEX(J26:S26, $I$4))</f>
        <v>0.15499999999999992</v>
      </c>
      <c r="G26" s="453" t="s">
        <v>172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175</v>
      </c>
      <c r="F27" s="454">
        <f xml:space="preserve"> IF( INDEX(J27:S27, $I$4) = "", INDEX(J27:R27, $I$6), INDEX(J27:S27, $I$4))</f>
        <v>0.155</v>
      </c>
      <c r="G27" s="453" t="s">
        <v>172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182</v>
      </c>
      <c r="F29" s="454">
        <f xml:space="preserve"> IF( INDEX(J29:S29, $I$4) = "", INDEX(J29:R29, $I$6), INDEX(J29:S29, $I$4))</f>
        <v>5.0000000000000001E-3</v>
      </c>
      <c r="G29" s="453" t="s">
        <v>170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176</v>
      </c>
      <c r="F30" s="263">
        <f xml:space="preserve"> IF( INDEX(J30:S30, $I$4) = "", INDEX(J30:R30, $I$6), INDEX(J30:S30, $I$4))</f>
        <v>250</v>
      </c>
      <c r="G30" s="106" t="s">
        <v>166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177</v>
      </c>
      <c r="F31" s="460">
        <f xml:space="preserve"> IF( INDEX(J31:S31, $I$4) = "", INDEX(J31:R31, $I$6), INDEX(J31:S31, $I$4))</f>
        <v>0.97</v>
      </c>
      <c r="G31" s="459" t="s">
        <v>163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168</v>
      </c>
      <c r="F33" s="470">
        <f xml:space="preserve"> IF( INDEX(J33:S33, $I$4) = "", INDEX(J33:R33, $I$6), INDEX(J33:S33, $I$4))</f>
        <v>6.5000000000000002E-2</v>
      </c>
      <c r="G33" s="469" t="s">
        <v>169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203</v>
      </c>
    </row>
    <row r="37" spans="1:19" s="434" customFormat="1" x14ac:dyDescent="0.35">
      <c r="A37" s="1"/>
      <c r="B37" s="1"/>
      <c r="C37" s="11"/>
      <c r="D37" s="12"/>
      <c r="E37" s="106" t="s">
        <v>204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216</v>
      </c>
    </row>
    <row r="41" spans="1:19" x14ac:dyDescent="0.35">
      <c r="E41" s="7" t="s">
        <v>242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250</v>
      </c>
    </row>
    <row r="45" spans="1:19" x14ac:dyDescent="0.35">
      <c r="E45" s="7" t="s">
        <v>262</v>
      </c>
      <c r="F45" s="263">
        <f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255</v>
      </c>
      <c r="F46" s="454">
        <f xml:space="preserve"> IF( INDEX(J46:S46, $I$4) = "", INDEX(J46:R46, $I$6), INDEX(J46:S46, $I$4))</f>
        <v>0.7</v>
      </c>
      <c r="G46" s="453" t="s">
        <v>163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266</v>
      </c>
      <c r="F47" s="263">
        <f xml:space="preserve"> IF( INDEX(J47:S47, $I$4) = "", INDEX(J47:R47, $I$6), INDEX(J47:S47, $I$4))</f>
        <v>1</v>
      </c>
      <c r="G47" s="106" t="s">
        <v>267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50" spans="1:19" x14ac:dyDescent="0.35">
      <c r="A50" s="1" t="s">
        <v>198</v>
      </c>
    </row>
    <row r="51" spans="1:19" s="434" customFormat="1" x14ac:dyDescent="0.35">
      <c r="A51" s="1"/>
      <c r="B51" s="1"/>
      <c r="C51" s="11"/>
      <c r="D51" s="12"/>
      <c r="E51" s="7" t="s">
        <v>199</v>
      </c>
      <c r="F51" s="263">
        <f xml:space="preserve"> IF( INDEX(J51:S51, $I$4) = "", INDEX(J51:R51, $I$6), INDEX(J51:S51, $I$4))</f>
        <v>60</v>
      </c>
      <c r="G51" s="106" t="s">
        <v>186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60</v>
      </c>
      <c r="L51" s="241">
        <v>60</v>
      </c>
      <c r="M51" s="241">
        <v>60</v>
      </c>
      <c r="N51" s="265"/>
      <c r="O51" s="266"/>
      <c r="P51" s="266"/>
      <c r="Q51" s="266"/>
      <c r="R51" s="266"/>
      <c r="S51" s="265"/>
    </row>
    <row r="52" spans="1:19" s="434" customFormat="1" x14ac:dyDescent="0.35">
      <c r="A52" s="1"/>
      <c r="B52" s="1"/>
      <c r="C52" s="11"/>
      <c r="D52" s="12"/>
      <c r="E52" s="7" t="s">
        <v>215</v>
      </c>
      <c r="F52" s="263">
        <f xml:space="preserve"> IF( INDEX(J52:S52, $I$4) = "", INDEX(J52:R52, $I$6), INDEX(J52:S52, $I$4))</f>
        <v>30</v>
      </c>
      <c r="G52" s="106" t="s">
        <v>186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30</v>
      </c>
      <c r="L52" s="241">
        <v>30</v>
      </c>
      <c r="M52" s="241">
        <v>30</v>
      </c>
      <c r="N52" s="265"/>
      <c r="O52" s="266"/>
      <c r="P52" s="266"/>
      <c r="Q52" s="266"/>
      <c r="R52" s="266"/>
      <c r="S52" s="265"/>
    </row>
    <row r="53" spans="1:19" x14ac:dyDescent="0.35">
      <c r="A53" s="128"/>
      <c r="B53" s="128"/>
      <c r="C53" s="129"/>
      <c r="D53" s="130"/>
      <c r="E53" s="130"/>
      <c r="F53" s="223"/>
      <c r="G53" s="130"/>
      <c r="H53" s="224"/>
      <c r="I53" s="338"/>
      <c r="J53" s="213"/>
      <c r="K53" s="223"/>
      <c r="L53" s="223"/>
      <c r="M53" s="223"/>
      <c r="N53" s="132"/>
      <c r="O53" s="225"/>
      <c r="P53" s="225"/>
      <c r="Q53" s="225"/>
      <c r="R53" s="225"/>
      <c r="S53" s="132"/>
    </row>
    <row r="54" spans="1:19" x14ac:dyDescent="0.35">
      <c r="A54" s="128" t="s">
        <v>160</v>
      </c>
      <c r="B54" s="128"/>
      <c r="C54" s="129"/>
      <c r="D54" s="130"/>
      <c r="E54" s="130"/>
      <c r="F54" s="223"/>
      <c r="G54" s="130"/>
      <c r="H54" s="224"/>
      <c r="I54" s="338"/>
      <c r="J54" s="213"/>
      <c r="K54" s="223"/>
      <c r="L54" s="223"/>
      <c r="M54" s="223"/>
      <c r="N54" s="132"/>
      <c r="O54" s="225"/>
      <c r="P54" s="225"/>
      <c r="Q54" s="225"/>
      <c r="R54" s="225"/>
      <c r="S54" s="132"/>
    </row>
    <row r="55" spans="1:19" s="434" customFormat="1" x14ac:dyDescent="0.35">
      <c r="A55" s="1"/>
      <c r="B55" s="1"/>
      <c r="C55" s="11"/>
      <c r="D55" s="12"/>
      <c r="E55" s="106" t="s">
        <v>152</v>
      </c>
      <c r="F55" s="263">
        <f t="shared" ref="F55:F60" si="1" xml:space="preserve"> IF( INDEX(J55:S55, $I$4) = "", INDEX(J55:R55, $I$6), INDEX(J55:S55, $I$4))</f>
        <v>0</v>
      </c>
      <c r="G55" s="106" t="str">
        <f t="shared" ref="G55:G60" si="2" xml:space="preserve"> SMU</f>
        <v>$ 000s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0</v>
      </c>
      <c r="L55" s="241">
        <v>0</v>
      </c>
      <c r="M55" s="241">
        <v>0</v>
      </c>
      <c r="N55" s="265"/>
      <c r="O55" s="266"/>
      <c r="P55" s="266"/>
      <c r="Q55" s="266"/>
      <c r="R55" s="266"/>
      <c r="S55" s="265"/>
    </row>
    <row r="56" spans="1:19" s="434" customFormat="1" x14ac:dyDescent="0.35">
      <c r="A56" s="1"/>
      <c r="B56" s="1"/>
      <c r="C56" s="11"/>
      <c r="D56" s="12"/>
      <c r="E56" s="106" t="s">
        <v>156</v>
      </c>
      <c r="F56" s="263">
        <f t="shared" si="1"/>
        <v>0</v>
      </c>
      <c r="G56" s="106" t="str">
        <f t="shared" si="2"/>
        <v>$ 000s</v>
      </c>
      <c r="H56" s="106"/>
      <c r="I56" s="336" t="str" cm="1">
        <f t="array" ref="I56" xml:space="preserve"> IF( INDEX(J56:S56, I$5) = "", IF( INDEX(J56:S56, I$6) = F56, "vw", "tu"), IF(INDEX(J56:S56, I$5) = F56, "vw", "tu"))</f>
        <v>vw</v>
      </c>
      <c r="J56" s="264"/>
      <c r="K56" s="241">
        <v>0</v>
      </c>
      <c r="L56" s="241">
        <v>0</v>
      </c>
      <c r="M56" s="241">
        <v>0</v>
      </c>
      <c r="N56" s="265"/>
      <c r="O56" s="266"/>
      <c r="P56" s="266"/>
      <c r="Q56" s="266"/>
      <c r="R56" s="266"/>
      <c r="S56" s="265"/>
    </row>
    <row r="57" spans="1:19" s="434" customFormat="1" x14ac:dyDescent="0.35">
      <c r="A57" s="1"/>
      <c r="B57" s="1"/>
      <c r="C57" s="11"/>
      <c r="D57" s="12"/>
      <c r="E57" s="106" t="s">
        <v>187</v>
      </c>
      <c r="F57" s="263">
        <f t="shared" si="1"/>
        <v>0</v>
      </c>
      <c r="G57" s="106" t="str">
        <f t="shared" si="2"/>
        <v>$ 000s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0</v>
      </c>
      <c r="L57" s="241">
        <v>0</v>
      </c>
      <c r="M57" s="241">
        <v>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106" t="s">
        <v>213</v>
      </c>
      <c r="F58" s="263">
        <f t="shared" si="1"/>
        <v>0</v>
      </c>
      <c r="G58" s="106" t="str">
        <f t="shared" si="2"/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218</v>
      </c>
      <c r="F59" s="263">
        <f t="shared" si="1"/>
        <v>100000</v>
      </c>
      <c r="G59" s="106" t="str">
        <f t="shared" si="2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100000</v>
      </c>
      <c r="L59" s="241">
        <v>100000</v>
      </c>
      <c r="M59" s="241">
        <v>100000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225</v>
      </c>
      <c r="F60" s="263">
        <f t="shared" si="1"/>
        <v>100000</v>
      </c>
      <c r="G60" s="106" t="str">
        <f t="shared" si="2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100000</v>
      </c>
      <c r="L60" s="241">
        <v>100000</v>
      </c>
      <c r="M60" s="241">
        <v>100000</v>
      </c>
      <c r="N60" s="265"/>
      <c r="O60" s="266"/>
      <c r="P60" s="266"/>
      <c r="Q60" s="266"/>
      <c r="R60" s="266"/>
      <c r="S60" s="265"/>
    </row>
    <row r="62" spans="1:19" x14ac:dyDescent="0.35">
      <c r="I62" s="336"/>
    </row>
    <row r="64" spans="1:19" x14ac:dyDescent="0.35">
      <c r="A64" s="195" t="s">
        <v>92</v>
      </c>
      <c r="B64" s="195"/>
      <c r="C64" s="196"/>
      <c r="D64" s="118"/>
      <c r="E64" s="118"/>
      <c r="F64" s="118"/>
      <c r="G64" s="118"/>
      <c r="H64" s="118"/>
      <c r="I64" s="339"/>
      <c r="J64" s="118"/>
      <c r="K64" s="118"/>
      <c r="L64" s="118"/>
      <c r="M64" s="118"/>
      <c r="N64" s="118"/>
      <c r="O64" s="118"/>
      <c r="P64" s="118"/>
      <c r="Q64" s="118"/>
      <c r="R64" s="118"/>
      <c r="S64" s="118"/>
    </row>
    <row r="65" spans="1:19" x14ac:dyDescent="0.35">
      <c r="A65" s="22"/>
      <c r="B65" s="22"/>
      <c r="C65" s="19"/>
      <c r="D65" s="47"/>
      <c r="E65" s="21"/>
      <c r="F65" s="20"/>
      <c r="G65" s="21"/>
      <c r="H65" s="21"/>
      <c r="J65" s="118"/>
      <c r="K65" s="21"/>
      <c r="L65" s="21"/>
      <c r="M65" s="21"/>
      <c r="N65" s="118"/>
      <c r="O65" s="21"/>
      <c r="P65" s="21"/>
      <c r="Q65" s="21"/>
      <c r="R65" s="21"/>
      <c r="S65" s="118"/>
    </row>
    <row r="66" spans="1:19" x14ac:dyDescent="0.35">
      <c r="A66" s="22"/>
      <c r="B66" s="22"/>
      <c r="C66" s="19"/>
      <c r="D66" s="47"/>
      <c r="E66" s="48" t="s">
        <v>40</v>
      </c>
      <c r="F66" s="387">
        <v>1E-3</v>
      </c>
      <c r="G66" s="48" t="s">
        <v>41</v>
      </c>
      <c r="H66" s="21"/>
      <c r="J66" s="118"/>
      <c r="K66" s="21"/>
      <c r="L66" s="21"/>
      <c r="M66" s="21"/>
      <c r="N66" s="118"/>
      <c r="O66" s="21"/>
      <c r="P66" s="21"/>
      <c r="Q66" s="21"/>
      <c r="R66" s="21"/>
      <c r="S66" s="118"/>
    </row>
    <row r="67" spans="1:19" x14ac:dyDescent="0.35">
      <c r="A67" s="22"/>
      <c r="B67" s="22"/>
      <c r="C67" s="19"/>
      <c r="D67" s="47"/>
      <c r="E67" s="48" t="s">
        <v>73</v>
      </c>
      <c r="F67" s="387">
        <v>1E-3</v>
      </c>
      <c r="G67" s="48" t="s">
        <v>41</v>
      </c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20"/>
      <c r="E68" s="20" t="s">
        <v>43</v>
      </c>
      <c r="F68" s="121">
        <v>12</v>
      </c>
      <c r="G68" s="20" t="s">
        <v>10</v>
      </c>
      <c r="H68" s="20"/>
      <c r="J68" s="118"/>
      <c r="K68" s="20"/>
      <c r="L68" s="20"/>
      <c r="M68" s="20"/>
      <c r="N68" s="118"/>
      <c r="O68" s="20"/>
      <c r="P68" s="20"/>
      <c r="Q68" s="20"/>
      <c r="R68" s="20"/>
      <c r="S68" s="118"/>
    </row>
    <row r="69" spans="1:19" x14ac:dyDescent="0.35">
      <c r="E69" s="500" t="s">
        <v>105</v>
      </c>
      <c r="F69" s="156">
        <v>4</v>
      </c>
      <c r="G69" s="7" t="s">
        <v>87</v>
      </c>
    </row>
    <row r="70" spans="1:19" x14ac:dyDescent="0.35">
      <c r="E70" s="7" t="s">
        <v>90</v>
      </c>
      <c r="F70" s="389" t="s">
        <v>108</v>
      </c>
      <c r="G70" s="7" t="s">
        <v>91</v>
      </c>
      <c r="I70" s="340"/>
    </row>
    <row r="71" spans="1:19" x14ac:dyDescent="0.35">
      <c r="E71" s="107" t="s">
        <v>109</v>
      </c>
      <c r="F71" s="388">
        <v>100</v>
      </c>
      <c r="G71" s="107" t="s">
        <v>109</v>
      </c>
      <c r="H71" s="107"/>
    </row>
    <row r="72" spans="1:19" x14ac:dyDescent="0.35">
      <c r="A72" s="476"/>
      <c r="B72" s="476"/>
      <c r="C72" s="477"/>
      <c r="D72" s="478"/>
      <c r="E72" s="107" t="s">
        <v>179</v>
      </c>
      <c r="F72" s="388">
        <v>1000000</v>
      </c>
      <c r="G72" s="107" t="s">
        <v>178</v>
      </c>
      <c r="H72" s="107"/>
      <c r="I72" s="336"/>
      <c r="J72" s="211"/>
      <c r="N72" s="134"/>
    </row>
    <row r="73" spans="1:19" x14ac:dyDescent="0.35">
      <c r="E73" s="107" t="s">
        <v>150</v>
      </c>
      <c r="F73" s="497">
        <v>1000</v>
      </c>
      <c r="G73" s="107" t="s">
        <v>107</v>
      </c>
      <c r="H73" s="107"/>
    </row>
    <row r="74" spans="1:19" x14ac:dyDescent="0.35">
      <c r="E74" s="106" t="s">
        <v>237</v>
      </c>
      <c r="F74" s="496">
        <v>-9.9999999999999995E-8</v>
      </c>
      <c r="G74" s="106" t="s">
        <v>108</v>
      </c>
    </row>
    <row r="75" spans="1:19" x14ac:dyDescent="0.35">
      <c r="E75" s="106"/>
      <c r="F75" s="495"/>
      <c r="G75" s="106"/>
    </row>
    <row r="76" spans="1:19" x14ac:dyDescent="0.35">
      <c r="B76" s="1" t="s">
        <v>27</v>
      </c>
    </row>
    <row r="77" spans="1:19" x14ac:dyDescent="0.35">
      <c r="A77" s="8"/>
      <c r="B77" s="8"/>
      <c r="C77" s="13"/>
      <c r="D77" s="34"/>
      <c r="E77" s="6" t="s">
        <v>30</v>
      </c>
      <c r="F77" s="156" t="s">
        <v>31</v>
      </c>
      <c r="G77" s="6" t="s">
        <v>26</v>
      </c>
      <c r="H77" s="6"/>
      <c r="J77" s="117"/>
      <c r="K77" s="33"/>
      <c r="L77" s="33"/>
      <c r="M77" s="33"/>
      <c r="N77" s="117"/>
      <c r="O77" s="33"/>
      <c r="P77" s="33"/>
      <c r="Q77" s="33"/>
      <c r="R77" s="33"/>
      <c r="S77" s="117"/>
    </row>
    <row r="78" spans="1:19" x14ac:dyDescent="0.35">
      <c r="A78" s="8"/>
      <c r="B78" s="8"/>
      <c r="C78" s="13"/>
      <c r="D78" s="34"/>
      <c r="E78" s="6" t="s">
        <v>46</v>
      </c>
      <c r="F78" s="156" t="s">
        <v>47</v>
      </c>
      <c r="G78" s="6" t="s">
        <v>26</v>
      </c>
      <c r="H78" s="6"/>
      <c r="J78" s="117"/>
      <c r="K78" s="33"/>
      <c r="L78" s="33"/>
      <c r="M78" s="33"/>
      <c r="N78" s="117"/>
      <c r="O78" s="33"/>
      <c r="P78" s="33"/>
      <c r="Q78" s="33"/>
      <c r="R78" s="33"/>
      <c r="S78" s="117"/>
    </row>
    <row r="79" spans="1:19" x14ac:dyDescent="0.35">
      <c r="A79" s="8"/>
      <c r="B79" s="8"/>
      <c r="C79" s="13"/>
      <c r="D79" s="34"/>
      <c r="E79" s="6" t="s">
        <v>48</v>
      </c>
      <c r="F79" s="156" t="s">
        <v>48</v>
      </c>
      <c r="G79" s="6" t="s">
        <v>26</v>
      </c>
      <c r="H79" s="6"/>
      <c r="I79" s="340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49</v>
      </c>
      <c r="F80" s="156" t="s">
        <v>49</v>
      </c>
      <c r="G80" s="6" t="s">
        <v>26</v>
      </c>
      <c r="H80" s="6"/>
      <c r="I80" s="340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/>
      <c r="F81" s="26"/>
      <c r="G81" s="6"/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E82" s="106" t="s">
        <v>114</v>
      </c>
      <c r="F82" s="263">
        <f xml:space="preserve"> IF( INDEX(J82:S82, $I$4) = "", INDEX(J82:R82, $I$6), INDEX(J82:S82, $I$4))</f>
        <v>0</v>
      </c>
      <c r="G82" s="106" t="s">
        <v>115</v>
      </c>
      <c r="H82" s="106"/>
      <c r="I82" s="336" t="str" cm="1">
        <f t="array" ref="I82" xml:space="preserve"> IF( INDEX(J82:S82, I$5) = "", IF( INDEX(J82:S82, I$6) = F82, "vw", "tu"), IF(INDEX(J82:S82, I$5) = F82, "vw", "tu"))</f>
        <v>vw</v>
      </c>
      <c r="J82" s="264"/>
      <c r="K82" s="241"/>
      <c r="L82" s="241"/>
      <c r="M82" s="241"/>
      <c r="N82" s="265"/>
      <c r="O82" s="266"/>
      <c r="P82" s="266"/>
      <c r="Q82" s="266"/>
      <c r="R82" s="266"/>
      <c r="S82" s="265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3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I84" s="336"/>
    </row>
    <row r="85" spans="1:19" x14ac:dyDescent="0.35">
      <c r="A85" s="1" t="s">
        <v>63</v>
      </c>
      <c r="I85" s="336"/>
    </row>
    <row r="86" spans="1:19" x14ac:dyDescent="0.35">
      <c r="I86" s="336"/>
    </row>
  </sheetData>
  <phoneticPr fontId="4" type="noConversion"/>
  <conditionalFormatting sqref="I13:I16">
    <cfRule type="cellIs" dxfId="77" priority="125" operator="equal">
      <formula>"tu"</formula>
    </cfRule>
  </conditionalFormatting>
  <conditionalFormatting sqref="I18">
    <cfRule type="cellIs" dxfId="76" priority="148" operator="equal">
      <formula>"tu"</formula>
    </cfRule>
  </conditionalFormatting>
  <conditionalFormatting sqref="I20:I21">
    <cfRule type="cellIs" dxfId="75" priority="239" operator="equal">
      <formula>"tu"</formula>
    </cfRule>
  </conditionalFormatting>
  <conditionalFormatting sqref="I24:I27">
    <cfRule type="cellIs" dxfId="74" priority="77" operator="equal">
      <formula>"tu"</formula>
    </cfRule>
  </conditionalFormatting>
  <conditionalFormatting sqref="I29:I31">
    <cfRule type="cellIs" dxfId="73" priority="67" operator="equal">
      <formula>"tu"</formula>
    </cfRule>
  </conditionalFormatting>
  <conditionalFormatting sqref="I33">
    <cfRule type="cellIs" dxfId="72" priority="62" operator="equal">
      <formula>"tu"</formula>
    </cfRule>
  </conditionalFormatting>
  <conditionalFormatting sqref="I37">
    <cfRule type="cellIs" dxfId="71" priority="40" operator="equal">
      <formula>"tu"</formula>
    </cfRule>
  </conditionalFormatting>
  <conditionalFormatting sqref="I41">
    <cfRule type="cellIs" dxfId="70" priority="11" operator="equal">
      <formula>"tu"</formula>
    </cfRule>
  </conditionalFormatting>
  <conditionalFormatting sqref="I45:I47">
    <cfRule type="cellIs" dxfId="69" priority="1" operator="equal">
      <formula>"tu"</formula>
    </cfRule>
  </conditionalFormatting>
  <conditionalFormatting sqref="I51:I52">
    <cfRule type="cellIs" dxfId="68" priority="32" operator="equal">
      <formula>"tu"</formula>
    </cfRule>
  </conditionalFormatting>
  <conditionalFormatting sqref="I55:I62">
    <cfRule type="cellIs" dxfId="67" priority="22" operator="equal">
      <formula>"tu"</formula>
    </cfRule>
  </conditionalFormatting>
  <conditionalFormatting sqref="I72">
    <cfRule type="cellIs" dxfId="66" priority="57" operator="equal">
      <formula>"tu"</formula>
    </cfRule>
  </conditionalFormatting>
  <conditionalFormatting sqref="I73:I76">
    <cfRule type="cellIs" dxfId="65" priority="240" operator="equal">
      <formula>1</formula>
    </cfRule>
  </conditionalFormatting>
  <conditionalFormatting sqref="I82:I86">
    <cfRule type="cellIs" dxfId="64" priority="154" operator="equal">
      <formula>"tu"</formula>
    </cfRule>
  </conditionalFormatting>
  <conditionalFormatting sqref="O14:R16">
    <cfRule type="cellIs" dxfId="63" priority="440" operator="equal">
      <formula>""</formula>
    </cfRule>
  </conditionalFormatting>
  <conditionalFormatting sqref="O20:R62">
    <cfRule type="cellIs" dxfId="62" priority="12" operator="equal">
      <formula>""</formula>
    </cfRule>
  </conditionalFormatting>
  <conditionalFormatting sqref="O71:R71">
    <cfRule type="cellIs" dxfId="61" priority="290" operator="equal">
      <formula>""</formula>
    </cfRule>
  </conditionalFormatting>
  <conditionalFormatting sqref="O73:R73">
    <cfRule type="cellIs" dxfId="60" priority="286" operator="equal">
      <formula>""</formula>
    </cfRule>
  </conditionalFormatting>
  <conditionalFormatting sqref="P13:R13 O18:R18 O69:R69">
    <cfRule type="cellIs" dxfId="59" priority="445" operator="equal">
      <formula>""</formula>
    </cfRule>
  </conditionalFormatting>
  <dataValidations count="1">
    <dataValidation allowBlank="1" showInputMessage="1" showErrorMessage="1" sqref="E24:H27 E29:H31 E74:G75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25" sqref="E125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140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InpC!E$68</f>
        <v>Months in year</v>
      </c>
      <c r="F36" s="93">
        <f xml:space="preserve"> InpC!F$68</f>
        <v>12</v>
      </c>
      <c r="G36" s="93" t="str">
        <f xml:space="preserve"> InpC!G$68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142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InpC!E$68</f>
        <v>Months in year</v>
      </c>
      <c r="F46" s="93">
        <f xml:space="preserve"> InpC!F$68</f>
        <v>12</v>
      </c>
      <c r="G46" s="93" t="str">
        <f xml:space="preserve"> InpC!G$68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143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InpC!E$77</f>
        <v>Pre-forecast period</v>
      </c>
      <c r="F62" s="146" t="str">
        <f xml:space="preserve"> InpC!F$77</f>
        <v>Pre-fcst</v>
      </c>
      <c r="G62" s="146" t="str">
        <f xml:space="preserve"> InpC!G$77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InpC!E$78</f>
        <v>Financial Close</v>
      </c>
      <c r="F63" s="38" t="str">
        <f xml:space="preserve"> InpC!F$78</f>
        <v>Fin Close</v>
      </c>
      <c r="G63" s="38" t="str">
        <f xml:space="preserve"> InpC!G$78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InpC!E$79</f>
        <v>Operations</v>
      </c>
      <c r="F64" s="38" t="str">
        <f xml:space="preserve"> InpC!F$79</f>
        <v>Operations</v>
      </c>
      <c r="G64" s="38" t="str">
        <f xml:space="preserve"> InpC!G$79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InpC!E$80</f>
        <v>Post ops</v>
      </c>
      <c r="F65" s="38" t="str">
        <f xml:space="preserve"> InpC!F$80</f>
        <v>Post ops</v>
      </c>
      <c r="G65" s="38" t="str">
        <f xml:space="preserve"> InpC!G$80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InpC!E$68</f>
        <v>Months in year</v>
      </c>
      <c r="F86" s="43">
        <f xml:space="preserve"> InpC!F$68</f>
        <v>12</v>
      </c>
      <c r="G86" s="43" t="str">
        <f xml:space="preserve"> InpC!G$68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InpC!E$68</f>
        <v>Months in year</v>
      </c>
      <c r="F103" s="43">
        <f xml:space="preserve"> InpC!F$68</f>
        <v>12</v>
      </c>
      <c r="G103" s="43" t="str">
        <f xml:space="preserve"> InpC!G$68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241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240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263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InpC!E$68</f>
        <v>Months in year</v>
      </c>
      <c r="F119" s="43">
        <f xml:space="preserve"> InpC!F$68</f>
        <v>12</v>
      </c>
      <c r="G119" s="43" t="str">
        <f xml:space="preserve"> InpC!G$68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264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263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139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141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InpC!E$69</f>
        <v>Number of periods in a year</v>
      </c>
      <c r="F134" s="38">
        <f xml:space="preserve"> InpC!F$69</f>
        <v>4</v>
      </c>
      <c r="G134" s="38" t="str">
        <f xml:space="preserve"> InpC!G$69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141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InpC!E$69</f>
        <v>Number of periods in a year</v>
      </c>
      <c r="F140" s="43">
        <f xml:space="preserve"> InpC!F$69</f>
        <v>4</v>
      </c>
      <c r="G140" s="43" t="str">
        <f xml:space="preserve"> InpC!G$69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190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191</v>
      </c>
      <c r="F149" s="147"/>
      <c r="G149" s="147" t="s">
        <v>186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162</v>
      </c>
    </row>
    <row r="9" spans="1:131" hidden="1" outlineLevel="1" x14ac:dyDescent="0.35"/>
    <row r="10" spans="1:131" hidden="1" outlineLevel="1" x14ac:dyDescent="0.35">
      <c r="B10" s="8" t="s">
        <v>180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181</v>
      </c>
      <c r="F14" s="190"/>
      <c r="G14" s="190" t="s">
        <v>163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164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164</v>
      </c>
      <c r="G23" s="7" t="s">
        <v>163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165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165</v>
      </c>
      <c r="F30" s="21"/>
      <c r="G30" s="21" t="s">
        <v>166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167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InpC!E$72</f>
        <v>GWh to kWh conversion</v>
      </c>
      <c r="F34" s="439">
        <f xml:space="preserve"> InpC!F$72</f>
        <v>1000000</v>
      </c>
      <c r="G34" s="439" t="str">
        <f xml:space="preserve"> InpC!G$72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InpC!E$73</f>
        <v>Units in a thousand</v>
      </c>
      <c r="F35" s="148">
        <f xml:space="preserve"> InpC!F$73</f>
        <v>1000</v>
      </c>
      <c r="G35" s="148" t="str">
        <f xml:space="preserve"> InpC!G$73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167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184</v>
      </c>
    </row>
    <row r="42" spans="1:131" hidden="1" outlineLevel="1" x14ac:dyDescent="0.35"/>
    <row r="43" spans="1:131" hidden="1" outlineLevel="1" x14ac:dyDescent="0.35">
      <c r="B43" s="8" t="s">
        <v>185</v>
      </c>
    </row>
    <row r="44" spans="1:131" hidden="1" outlineLevel="2" x14ac:dyDescent="0.35">
      <c r="E44" s="428" t="str">
        <f xml:space="preserve"> InpC!E$51</f>
        <v>Accounts receivable days</v>
      </c>
      <c r="F44" s="428">
        <f xml:space="preserve"> InpC!F$51</f>
        <v>60</v>
      </c>
      <c r="G44" s="428" t="str">
        <f xml:space="preserve"> InpC!G$51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185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192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201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202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192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193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InpC!E$57</f>
        <v>Accounts receivable - initial balance</v>
      </c>
      <c r="F57" s="435">
        <f xml:space="preserve"> InpC!F$57</f>
        <v>0</v>
      </c>
      <c r="G57" s="435" t="str">
        <f xml:space="preserve"> InpC!G$57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196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193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197</v>
      </c>
    </row>
    <row r="68" spans="1:131" hidden="1" outlineLevel="1" x14ac:dyDescent="0.35"/>
    <row r="69" spans="1:131" hidden="1" outlineLevel="1" x14ac:dyDescent="0.35">
      <c r="B69" s="8" t="s">
        <v>195</v>
      </c>
    </row>
    <row r="70" spans="1:131" hidden="1" outlineLevel="2" x14ac:dyDescent="0.35">
      <c r="E70" s="428" t="str">
        <f xml:space="preserve"> InpC!E$51</f>
        <v>Accounts receivable days</v>
      </c>
      <c r="F70" s="428">
        <f xml:space="preserve"> InpC!F$51</f>
        <v>60</v>
      </c>
      <c r="G70" s="428" t="str">
        <f xml:space="preserve"> InpC!G$51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194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192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192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InpC!E$57</f>
        <v>Accounts receivable - initial balance</v>
      </c>
      <c r="F80" s="435">
        <f xml:space="preserve"> InpC!F$57</f>
        <v>0</v>
      </c>
      <c r="G80" s="435" t="str">
        <f xml:space="preserve"> InpC!G$57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188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189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203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InpC!E$69</f>
        <v>Number of periods in a year</v>
      </c>
      <c r="F94" s="146">
        <f xml:space="preserve"> InpC!F$69</f>
        <v>4</v>
      </c>
      <c r="G94" s="146" t="str">
        <f xml:space="preserve"> InpC!G$69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206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205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208</v>
      </c>
    </row>
    <row r="102" spans="1:131" outlineLevel="1" x14ac:dyDescent="0.35"/>
    <row r="103" spans="1:131" outlineLevel="1" x14ac:dyDescent="0.35">
      <c r="B103" s="8" t="s">
        <v>209</v>
      </c>
    </row>
    <row r="104" spans="1:131" outlineLevel="2" x14ac:dyDescent="0.35">
      <c r="E104" s="428" t="str">
        <f xml:space="preserve"> InpC!E$52</f>
        <v>Accounts payable days</v>
      </c>
      <c r="F104" s="428">
        <f xml:space="preserve"> InpC!F$52</f>
        <v>30</v>
      </c>
      <c r="G104" s="428" t="str">
        <f xml:space="preserve"> InpC!G$52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209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192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201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202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212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210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InpC!E$58</f>
        <v>Accounts payable - initial balance</v>
      </c>
      <c r="F118" s="435">
        <f xml:space="preserve"> InpC!F$58</f>
        <v>0</v>
      </c>
      <c r="G118" s="435" t="str">
        <f xml:space="preserve"> InpC!G$58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211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210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A16:XFD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216</v>
      </c>
    </row>
    <row r="9" spans="1:131" outlineLevel="1" x14ac:dyDescent="0.35"/>
    <row r="10" spans="1:131" outlineLevel="1" x14ac:dyDescent="0.35">
      <c r="B10" s="8" t="s">
        <v>239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InpC!E$69</f>
        <v>Number of periods in a year</v>
      </c>
      <c r="F13" s="503">
        <f xml:space="preserve"> InpC!F$69</f>
        <v>4</v>
      </c>
      <c r="G13" s="503" t="str">
        <f xml:space="preserve"> InpC!G$69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243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217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InpC!E$59</f>
        <v xml:space="preserve">Fixed asset - initial balance </v>
      </c>
      <c r="F20" s="435">
        <f xml:space="preserve"> InpC!F$59</f>
        <v>100000</v>
      </c>
      <c r="G20" s="435" t="str">
        <f xml:space="preserve"> InpC!G$59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219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223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217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45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E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250</v>
      </c>
    </row>
    <row r="8" spans="1:131" outlineLevel="1" x14ac:dyDescent="0.35"/>
    <row r="9" spans="1:131" outlineLevel="1" x14ac:dyDescent="0.35">
      <c r="B9" s="8" t="s">
        <v>256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256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252</v>
      </c>
    </row>
    <row r="15" spans="1:131" s="498" customFormat="1" outlineLevel="2" x14ac:dyDescent="0.35">
      <c r="A15" s="8"/>
      <c r="B15" s="8"/>
      <c r="C15" s="13"/>
      <c r="D15" s="34"/>
      <c r="E15" s="26" t="str">
        <f t="shared" ref="E15:G15" si="0" xml:space="preserve"> E$12</f>
        <v>Senior debt initial drawdown</v>
      </c>
      <c r="F15" s="26">
        <f t="shared" si="0"/>
        <v>70000</v>
      </c>
      <c r="G15" s="26" t="str">
        <f t="shared" si="0"/>
        <v>$ 000s</v>
      </c>
      <c r="H15" s="26"/>
      <c r="I15" s="26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</row>
    <row r="16" spans="1:131" outlineLevel="2" x14ac:dyDescent="0.35">
      <c r="A16" s="41"/>
      <c r="B16" s="41"/>
      <c r="C16" s="42"/>
      <c r="D16" s="43"/>
      <c r="E16" s="506" t="str">
        <f xml:space="preserve"> InpC!E$45</f>
        <v>Senior debt repayment period</v>
      </c>
      <c r="F16" s="506">
        <f xml:space="preserve"> InpC!F$45</f>
        <v>10</v>
      </c>
      <c r="G16" s="506" t="str">
        <f xml:space="preserve"> InpC!G$45</f>
        <v>years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</row>
    <row r="17" spans="1:131" s="504" customFormat="1" outlineLevel="2" x14ac:dyDescent="0.35">
      <c r="A17" s="501"/>
      <c r="B17" s="501"/>
      <c r="C17" s="502"/>
      <c r="D17" s="503"/>
      <c r="E17" s="503" t="str">
        <f xml:space="preserve"> InpC!E$69</f>
        <v>Number of periods in a year</v>
      </c>
      <c r="F17" s="503">
        <f xml:space="preserve"> InpC!F$69</f>
        <v>4</v>
      </c>
      <c r="G17" s="503" t="str">
        <f xml:space="preserve"> InpC!G$69</f>
        <v>periods</v>
      </c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503"/>
      <c r="BA17" s="503"/>
      <c r="BB17" s="503"/>
      <c r="BC17" s="503"/>
      <c r="BD17" s="503"/>
      <c r="BE17" s="503"/>
      <c r="BF17" s="503"/>
      <c r="BG17" s="503"/>
      <c r="BH17" s="503"/>
      <c r="BI17" s="503"/>
      <c r="BJ17" s="503"/>
      <c r="BK17" s="503"/>
      <c r="BL17" s="503"/>
      <c r="BM17" s="503"/>
      <c r="BN17" s="503"/>
      <c r="BO17" s="503"/>
      <c r="BP17" s="503"/>
      <c r="BQ17" s="503"/>
      <c r="BR17" s="503"/>
      <c r="BS17" s="503"/>
      <c r="BT17" s="503"/>
      <c r="BU17" s="503"/>
      <c r="BV17" s="503"/>
      <c r="BW17" s="503"/>
      <c r="BX17" s="503"/>
      <c r="BY17" s="503"/>
      <c r="BZ17" s="503"/>
      <c r="CA17" s="503"/>
      <c r="CB17" s="503"/>
      <c r="CC17" s="503"/>
      <c r="CD17" s="503"/>
      <c r="CE17" s="503"/>
      <c r="CF17" s="503"/>
      <c r="CG17" s="503"/>
      <c r="CH17" s="503"/>
      <c r="CI17" s="503"/>
      <c r="CJ17" s="503"/>
      <c r="CK17" s="503"/>
      <c r="CL17" s="503"/>
      <c r="CM17" s="503"/>
      <c r="CN17" s="503"/>
      <c r="CO17" s="503"/>
      <c r="CP17" s="503"/>
      <c r="CQ17" s="503"/>
      <c r="CR17" s="503"/>
      <c r="CS17" s="503"/>
      <c r="CT17" s="503"/>
      <c r="CU17" s="503"/>
      <c r="CV17" s="503"/>
      <c r="CW17" s="503"/>
      <c r="CX17" s="503"/>
      <c r="CY17" s="503"/>
      <c r="CZ17" s="503"/>
      <c r="DA17" s="503"/>
      <c r="DB17" s="503"/>
      <c r="DC17" s="503"/>
      <c r="DD17" s="503"/>
      <c r="DE17" s="503"/>
      <c r="DF17" s="503"/>
      <c r="DG17" s="503"/>
      <c r="DH17" s="503"/>
      <c r="DI17" s="503"/>
      <c r="DJ17" s="503"/>
      <c r="DK17" s="503"/>
      <c r="DL17" s="503"/>
      <c r="DM17" s="503"/>
      <c r="DN17" s="503"/>
      <c r="DO17" s="503"/>
      <c r="DP17" s="503"/>
      <c r="DQ17" s="503"/>
      <c r="DR17" s="503"/>
      <c r="DS17" s="503"/>
      <c r="DT17" s="503"/>
      <c r="DU17" s="503"/>
      <c r="DV17" s="503"/>
      <c r="DW17" s="503"/>
      <c r="DX17" s="503"/>
      <c r="DY17" s="503"/>
      <c r="DZ17" s="503"/>
      <c r="EA17" s="503"/>
    </row>
    <row r="18" spans="1:131" outlineLevel="2" x14ac:dyDescent="0.35">
      <c r="E18" s="148" t="str">
        <f xml:space="preserve"> Time!E$125</f>
        <v>Senior debt repayment period flag</v>
      </c>
      <c r="F18" s="148">
        <f xml:space="preserve"> Time!F$125</f>
        <v>0</v>
      </c>
      <c r="G18" s="148" t="str">
        <f xml:space="preserve"> Time!G$125</f>
        <v>flag</v>
      </c>
      <c r="H18" s="148">
        <f xml:space="preserve"> Time!H$125</f>
        <v>40</v>
      </c>
      <c r="I18" s="148">
        <f xml:space="preserve"> Time!I$125</f>
        <v>0</v>
      </c>
      <c r="J18" s="148">
        <f xml:space="preserve"> Time!J$125</f>
        <v>0</v>
      </c>
      <c r="K18" s="148">
        <f xml:space="preserve"> Time!K$125</f>
        <v>0</v>
      </c>
      <c r="L18" s="148">
        <f xml:space="preserve"> Time!L$125</f>
        <v>0</v>
      </c>
      <c r="M18" s="148">
        <f xml:space="preserve"> Time!M$125</f>
        <v>1</v>
      </c>
      <c r="N18" s="148">
        <f xml:space="preserve"> Time!N$125</f>
        <v>1</v>
      </c>
      <c r="O18" s="148">
        <f xml:space="preserve"> Time!O$125</f>
        <v>1</v>
      </c>
      <c r="P18" s="148">
        <f xml:space="preserve"> Time!P$125</f>
        <v>1</v>
      </c>
      <c r="Q18" s="148">
        <f xml:space="preserve"> Time!Q$125</f>
        <v>1</v>
      </c>
      <c r="R18" s="148">
        <f xml:space="preserve"> Time!R$125</f>
        <v>1</v>
      </c>
      <c r="S18" s="148">
        <f xml:space="preserve"> Time!S$125</f>
        <v>1</v>
      </c>
      <c r="T18" s="148">
        <f xml:space="preserve"> Time!T$125</f>
        <v>1</v>
      </c>
      <c r="U18" s="148">
        <f xml:space="preserve"> Time!U$125</f>
        <v>1</v>
      </c>
      <c r="V18" s="148">
        <f xml:space="preserve"> Time!V$125</f>
        <v>1</v>
      </c>
      <c r="W18" s="148">
        <f xml:space="preserve"> Time!W$125</f>
        <v>1</v>
      </c>
      <c r="X18" s="148">
        <f xml:space="preserve"> Time!X$125</f>
        <v>1</v>
      </c>
      <c r="Y18" s="148">
        <f xml:space="preserve"> Time!Y$125</f>
        <v>1</v>
      </c>
      <c r="Z18" s="148">
        <f xml:space="preserve"> Time!Z$125</f>
        <v>1</v>
      </c>
      <c r="AA18" s="148">
        <f xml:space="preserve"> Time!AA$125</f>
        <v>1</v>
      </c>
      <c r="AB18" s="148">
        <f xml:space="preserve"> Time!AB$125</f>
        <v>1</v>
      </c>
      <c r="AC18" s="148">
        <f xml:space="preserve"> Time!AC$125</f>
        <v>1</v>
      </c>
      <c r="AD18" s="148">
        <f xml:space="preserve"> Time!AD$125</f>
        <v>1</v>
      </c>
      <c r="AE18" s="148">
        <f xml:space="preserve"> Time!AE$125</f>
        <v>1</v>
      </c>
      <c r="AF18" s="148">
        <f xml:space="preserve"> Time!AF$125</f>
        <v>1</v>
      </c>
      <c r="AG18" s="148">
        <f xml:space="preserve"> Time!AG$125</f>
        <v>1</v>
      </c>
      <c r="AH18" s="148">
        <f xml:space="preserve"> Time!AH$125</f>
        <v>1</v>
      </c>
      <c r="AI18" s="148">
        <f xml:space="preserve"> Time!AI$125</f>
        <v>1</v>
      </c>
      <c r="AJ18" s="148">
        <f xml:space="preserve"> Time!AJ$125</f>
        <v>1</v>
      </c>
      <c r="AK18" s="148">
        <f xml:space="preserve"> Time!AK$125</f>
        <v>1</v>
      </c>
      <c r="AL18" s="148">
        <f xml:space="preserve"> Time!AL$125</f>
        <v>1</v>
      </c>
      <c r="AM18" s="148">
        <f xml:space="preserve"> Time!AM$125</f>
        <v>1</v>
      </c>
      <c r="AN18" s="148">
        <f xml:space="preserve"> Time!AN$125</f>
        <v>1</v>
      </c>
      <c r="AO18" s="148">
        <f xml:space="preserve"> Time!AO$125</f>
        <v>1</v>
      </c>
      <c r="AP18" s="148">
        <f xml:space="preserve"> Time!AP$125</f>
        <v>1</v>
      </c>
      <c r="AQ18" s="148">
        <f xml:space="preserve"> Time!AQ$125</f>
        <v>1</v>
      </c>
      <c r="AR18" s="148">
        <f xml:space="preserve"> Time!AR$125</f>
        <v>1</v>
      </c>
      <c r="AS18" s="148">
        <f xml:space="preserve"> Time!AS$125</f>
        <v>1</v>
      </c>
      <c r="AT18" s="148">
        <f xml:space="preserve"> Time!AT$125</f>
        <v>1</v>
      </c>
      <c r="AU18" s="148">
        <f xml:space="preserve"> Time!AU$125</f>
        <v>1</v>
      </c>
      <c r="AV18" s="148">
        <f xml:space="preserve"> Time!AV$125</f>
        <v>1</v>
      </c>
      <c r="AW18" s="148">
        <f xml:space="preserve"> Time!AW$125</f>
        <v>1</v>
      </c>
      <c r="AX18" s="148">
        <f xml:space="preserve"> Time!AX$125</f>
        <v>1</v>
      </c>
      <c r="AY18" s="148">
        <f xml:space="preserve"> Time!AY$125</f>
        <v>1</v>
      </c>
      <c r="AZ18" s="148">
        <f xml:space="preserve"> Time!AZ$125</f>
        <v>1</v>
      </c>
      <c r="BA18" s="148">
        <f xml:space="preserve"> Time!BA$125</f>
        <v>0</v>
      </c>
      <c r="BB18" s="148">
        <f xml:space="preserve"> Time!BB$125</f>
        <v>0</v>
      </c>
      <c r="BC18" s="148">
        <f xml:space="preserve"> Time!BC$125</f>
        <v>0</v>
      </c>
      <c r="BD18" s="148">
        <f xml:space="preserve"> Time!BD$125</f>
        <v>0</v>
      </c>
      <c r="BE18" s="148">
        <f xml:space="preserve"> Time!BE$125</f>
        <v>0</v>
      </c>
      <c r="BF18" s="148">
        <f xml:space="preserve"> Time!BF$125</f>
        <v>0</v>
      </c>
      <c r="BG18" s="148">
        <f xml:space="preserve"> Time!BG$125</f>
        <v>0</v>
      </c>
      <c r="BH18" s="148">
        <f xml:space="preserve"> Time!BH$125</f>
        <v>0</v>
      </c>
      <c r="BI18" s="148">
        <f xml:space="preserve"> Time!BI$125</f>
        <v>0</v>
      </c>
      <c r="BJ18" s="148">
        <f xml:space="preserve"> Time!BJ$125</f>
        <v>0</v>
      </c>
      <c r="BK18" s="148">
        <f xml:space="preserve"> Time!BK$125</f>
        <v>0</v>
      </c>
      <c r="BL18" s="148">
        <f xml:space="preserve"> Time!BL$125</f>
        <v>0</v>
      </c>
      <c r="BM18" s="148">
        <f xml:space="preserve"> Time!BM$125</f>
        <v>0</v>
      </c>
      <c r="BN18" s="148">
        <f xml:space="preserve"> Time!BN$125</f>
        <v>0</v>
      </c>
      <c r="BO18" s="148">
        <f xml:space="preserve"> Time!BO$125</f>
        <v>0</v>
      </c>
      <c r="BP18" s="148">
        <f xml:space="preserve"> Time!BP$125</f>
        <v>0</v>
      </c>
      <c r="BQ18" s="148">
        <f xml:space="preserve"> Time!BQ$125</f>
        <v>0</v>
      </c>
      <c r="BR18" s="148">
        <f xml:space="preserve"> Time!BR$125</f>
        <v>0</v>
      </c>
      <c r="BS18" s="148">
        <f xml:space="preserve"> Time!BS$125</f>
        <v>0</v>
      </c>
      <c r="BT18" s="148">
        <f xml:space="preserve"> Time!BT$125</f>
        <v>0</v>
      </c>
      <c r="BU18" s="148">
        <f xml:space="preserve"> Time!BU$125</f>
        <v>0</v>
      </c>
      <c r="BV18" s="148">
        <f xml:space="preserve"> Time!BV$125</f>
        <v>0</v>
      </c>
      <c r="BW18" s="148">
        <f xml:space="preserve"> Time!BW$125</f>
        <v>0</v>
      </c>
      <c r="BX18" s="148">
        <f xml:space="preserve"> Time!BX$125</f>
        <v>0</v>
      </c>
      <c r="BY18" s="148">
        <f xml:space="preserve"> Time!BY$125</f>
        <v>0</v>
      </c>
      <c r="BZ18" s="148">
        <f xml:space="preserve"> Time!BZ$125</f>
        <v>0</v>
      </c>
      <c r="CA18" s="148">
        <f xml:space="preserve"> Time!CA$125</f>
        <v>0</v>
      </c>
      <c r="CB18" s="148">
        <f xml:space="preserve"> Time!CB$125</f>
        <v>0</v>
      </c>
      <c r="CC18" s="148">
        <f xml:space="preserve"> Time!CC$125</f>
        <v>0</v>
      </c>
      <c r="CD18" s="148">
        <f xml:space="preserve"> Time!CD$125</f>
        <v>0</v>
      </c>
      <c r="CE18" s="148">
        <f xml:space="preserve"> Time!CE$125</f>
        <v>0</v>
      </c>
      <c r="CF18" s="148">
        <f xml:space="preserve"> Time!CF$125</f>
        <v>0</v>
      </c>
      <c r="CG18" s="148">
        <f xml:space="preserve"> Time!CG$125</f>
        <v>0</v>
      </c>
      <c r="CH18" s="148">
        <f xml:space="preserve"> Time!CH$125</f>
        <v>0</v>
      </c>
      <c r="CI18" s="148">
        <f xml:space="preserve"> Time!CI$125</f>
        <v>0</v>
      </c>
      <c r="CJ18" s="148">
        <f xml:space="preserve"> Time!CJ$125</f>
        <v>0</v>
      </c>
      <c r="CK18" s="148">
        <f xml:space="preserve"> Time!CK$125</f>
        <v>0</v>
      </c>
      <c r="CL18" s="148">
        <f xml:space="preserve"> Time!CL$125</f>
        <v>0</v>
      </c>
      <c r="CM18" s="148">
        <f xml:space="preserve"> Time!CM$125</f>
        <v>0</v>
      </c>
      <c r="CN18" s="148">
        <f xml:space="preserve"> Time!CN$125</f>
        <v>0</v>
      </c>
      <c r="CO18" s="148">
        <f xml:space="preserve"> Time!CO$125</f>
        <v>0</v>
      </c>
      <c r="CP18" s="148">
        <f xml:space="preserve"> Time!CP$125</f>
        <v>0</v>
      </c>
      <c r="CQ18" s="148">
        <f xml:space="preserve"> Time!CQ$125</f>
        <v>0</v>
      </c>
      <c r="CR18" s="148">
        <f xml:space="preserve"> Time!CR$125</f>
        <v>0</v>
      </c>
      <c r="CS18" s="148">
        <f xml:space="preserve"> Time!CS$125</f>
        <v>0</v>
      </c>
      <c r="CT18" s="148">
        <f xml:space="preserve"> Time!CT$125</f>
        <v>0</v>
      </c>
      <c r="CU18" s="148">
        <f xml:space="preserve"> Time!CU$125</f>
        <v>0</v>
      </c>
      <c r="CV18" s="148">
        <f xml:space="preserve"> Time!CV$125</f>
        <v>0</v>
      </c>
      <c r="CW18" s="148">
        <f xml:space="preserve"> Time!CW$125</f>
        <v>0</v>
      </c>
      <c r="CX18" s="148">
        <f xml:space="preserve"> Time!CX$125</f>
        <v>0</v>
      </c>
      <c r="CY18" s="148">
        <f xml:space="preserve"> Time!CY$125</f>
        <v>0</v>
      </c>
      <c r="CZ18" s="148">
        <f xml:space="preserve"> Time!CZ$125</f>
        <v>0</v>
      </c>
      <c r="DA18" s="148">
        <f xml:space="preserve"> Time!DA$125</f>
        <v>0</v>
      </c>
      <c r="DB18" s="148">
        <f xml:space="preserve"> Time!DB$125</f>
        <v>0</v>
      </c>
      <c r="DC18" s="148">
        <f xml:space="preserve"> Time!DC$125</f>
        <v>0</v>
      </c>
      <c r="DD18" s="148">
        <f xml:space="preserve"> Time!DD$125</f>
        <v>0</v>
      </c>
      <c r="DE18" s="148">
        <f xml:space="preserve"> Time!DE$125</f>
        <v>0</v>
      </c>
      <c r="DF18" s="148">
        <f xml:space="preserve"> Time!DF$125</f>
        <v>0</v>
      </c>
      <c r="DG18" s="148">
        <f xml:space="preserve"> Time!DG$125</f>
        <v>0</v>
      </c>
      <c r="DH18" s="148">
        <f xml:space="preserve"> Time!DH$125</f>
        <v>0</v>
      </c>
      <c r="DI18" s="148">
        <f xml:space="preserve"> Time!DI$125</f>
        <v>0</v>
      </c>
      <c r="DJ18" s="148">
        <f xml:space="preserve"> Time!DJ$125</f>
        <v>0</v>
      </c>
      <c r="DK18" s="148">
        <f xml:space="preserve"> Time!DK$125</f>
        <v>0</v>
      </c>
      <c r="DL18" s="148">
        <f xml:space="preserve"> Time!DL$125</f>
        <v>0</v>
      </c>
      <c r="DM18" s="148">
        <f xml:space="preserve"> Time!DM$125</f>
        <v>0</v>
      </c>
      <c r="DN18" s="148">
        <f xml:space="preserve"> Time!DN$125</f>
        <v>0</v>
      </c>
      <c r="DO18" s="148">
        <f xml:space="preserve"> Time!DO$125</f>
        <v>0</v>
      </c>
      <c r="DP18" s="148">
        <f xml:space="preserve"> Time!DP$125</f>
        <v>0</v>
      </c>
      <c r="DQ18" s="148">
        <f xml:space="preserve"> Time!DQ$125</f>
        <v>0</v>
      </c>
      <c r="DR18" s="148">
        <f xml:space="preserve"> Time!DR$125</f>
        <v>0</v>
      </c>
      <c r="DS18" s="148">
        <f xml:space="preserve"> Time!DS$125</f>
        <v>0</v>
      </c>
      <c r="DT18" s="148">
        <f xml:space="preserve"> Time!DT$125</f>
        <v>0</v>
      </c>
      <c r="DU18" s="148">
        <f xml:space="preserve"> Time!DU$125</f>
        <v>0</v>
      </c>
      <c r="DV18" s="148">
        <f xml:space="preserve"> Time!DV$125</f>
        <v>0</v>
      </c>
      <c r="DW18" s="148">
        <f xml:space="preserve"> Time!DW$125</f>
        <v>0</v>
      </c>
      <c r="DX18" s="148">
        <f xml:space="preserve"> Time!DX$125</f>
        <v>0</v>
      </c>
      <c r="DY18" s="148">
        <f xml:space="preserve"> Time!DY$125</f>
        <v>0</v>
      </c>
      <c r="DZ18" s="148">
        <f xml:space="preserve"> Time!DZ$125</f>
        <v>0</v>
      </c>
      <c r="EA18" s="148">
        <f xml:space="preserve"> Time!EA$125</f>
        <v>0</v>
      </c>
    </row>
    <row r="19" spans="1:131" outlineLevel="2" x14ac:dyDescent="0.35">
      <c r="E19" s="7" t="s">
        <v>265</v>
      </c>
      <c r="G19" s="6" t="str">
        <f xml:space="preserve"> SMU</f>
        <v>$ 000s</v>
      </c>
      <c r="H19" s="7">
        <f xml:space="preserve"> SUM(J19:EA19)</f>
        <v>70000</v>
      </c>
      <c r="J19" s="7">
        <f t="shared" ref="J19:BU19" si="1" xml:space="preserve"> $F15 / $F16 / $F17 * J18</f>
        <v>0</v>
      </c>
      <c r="K19" s="7">
        <f t="shared" si="1"/>
        <v>0</v>
      </c>
      <c r="L19" s="7">
        <f t="shared" si="1"/>
        <v>0</v>
      </c>
      <c r="M19" s="7">
        <f t="shared" si="1"/>
        <v>1750</v>
      </c>
      <c r="N19" s="7">
        <f t="shared" si="1"/>
        <v>1750</v>
      </c>
      <c r="O19" s="7">
        <f t="shared" si="1"/>
        <v>1750</v>
      </c>
      <c r="P19" s="7">
        <f t="shared" si="1"/>
        <v>1750</v>
      </c>
      <c r="Q19" s="7">
        <f t="shared" si="1"/>
        <v>1750</v>
      </c>
      <c r="R19" s="7">
        <f t="shared" si="1"/>
        <v>1750</v>
      </c>
      <c r="S19" s="7">
        <f t="shared" si="1"/>
        <v>1750</v>
      </c>
      <c r="T19" s="7">
        <f t="shared" si="1"/>
        <v>1750</v>
      </c>
      <c r="U19" s="7">
        <f t="shared" si="1"/>
        <v>1750</v>
      </c>
      <c r="V19" s="7">
        <f t="shared" si="1"/>
        <v>1750</v>
      </c>
      <c r="W19" s="7">
        <f t="shared" si="1"/>
        <v>1750</v>
      </c>
      <c r="X19" s="7">
        <f t="shared" si="1"/>
        <v>1750</v>
      </c>
      <c r="Y19" s="7">
        <f t="shared" si="1"/>
        <v>1750</v>
      </c>
      <c r="Z19" s="7">
        <f t="shared" si="1"/>
        <v>1750</v>
      </c>
      <c r="AA19" s="7">
        <f t="shared" si="1"/>
        <v>1750</v>
      </c>
      <c r="AB19" s="7">
        <f t="shared" si="1"/>
        <v>1750</v>
      </c>
      <c r="AC19" s="7">
        <f t="shared" si="1"/>
        <v>1750</v>
      </c>
      <c r="AD19" s="7">
        <f t="shared" si="1"/>
        <v>1750</v>
      </c>
      <c r="AE19" s="7">
        <f t="shared" si="1"/>
        <v>1750</v>
      </c>
      <c r="AF19" s="7">
        <f t="shared" si="1"/>
        <v>1750</v>
      </c>
      <c r="AG19" s="7">
        <f t="shared" si="1"/>
        <v>1750</v>
      </c>
      <c r="AH19" s="7">
        <f t="shared" si="1"/>
        <v>1750</v>
      </c>
      <c r="AI19" s="7">
        <f t="shared" si="1"/>
        <v>1750</v>
      </c>
      <c r="AJ19" s="7">
        <f t="shared" si="1"/>
        <v>1750</v>
      </c>
      <c r="AK19" s="7">
        <f t="shared" si="1"/>
        <v>1750</v>
      </c>
      <c r="AL19" s="7">
        <f t="shared" si="1"/>
        <v>1750</v>
      </c>
      <c r="AM19" s="7">
        <f t="shared" si="1"/>
        <v>1750</v>
      </c>
      <c r="AN19" s="7">
        <f t="shared" si="1"/>
        <v>1750</v>
      </c>
      <c r="AO19" s="7">
        <f t="shared" si="1"/>
        <v>1750</v>
      </c>
      <c r="AP19" s="7">
        <f t="shared" si="1"/>
        <v>1750</v>
      </c>
      <c r="AQ19" s="7">
        <f t="shared" si="1"/>
        <v>1750</v>
      </c>
      <c r="AR19" s="7">
        <f t="shared" si="1"/>
        <v>1750</v>
      </c>
      <c r="AS19" s="7">
        <f t="shared" si="1"/>
        <v>1750</v>
      </c>
      <c r="AT19" s="7">
        <f t="shared" si="1"/>
        <v>1750</v>
      </c>
      <c r="AU19" s="7">
        <f t="shared" si="1"/>
        <v>1750</v>
      </c>
      <c r="AV19" s="7">
        <f t="shared" si="1"/>
        <v>1750</v>
      </c>
      <c r="AW19" s="7">
        <f t="shared" si="1"/>
        <v>1750</v>
      </c>
      <c r="AX19" s="7">
        <f t="shared" si="1"/>
        <v>1750</v>
      </c>
      <c r="AY19" s="7">
        <f t="shared" si="1"/>
        <v>1750</v>
      </c>
      <c r="AZ19" s="7">
        <f t="shared" si="1"/>
        <v>1750</v>
      </c>
      <c r="BA19" s="7">
        <f t="shared" si="1"/>
        <v>0</v>
      </c>
      <c r="BB19" s="7">
        <f t="shared" si="1"/>
        <v>0</v>
      </c>
      <c r="BC19" s="7">
        <f t="shared" si="1"/>
        <v>0</v>
      </c>
      <c r="BD19" s="7">
        <f t="shared" si="1"/>
        <v>0</v>
      </c>
      <c r="BE19" s="7">
        <f t="shared" si="1"/>
        <v>0</v>
      </c>
      <c r="BF19" s="7">
        <f t="shared" si="1"/>
        <v>0</v>
      </c>
      <c r="BG19" s="7">
        <f t="shared" si="1"/>
        <v>0</v>
      </c>
      <c r="BH19" s="7">
        <f t="shared" si="1"/>
        <v>0</v>
      </c>
      <c r="BI19" s="7">
        <f t="shared" si="1"/>
        <v>0</v>
      </c>
      <c r="BJ19" s="7">
        <f t="shared" si="1"/>
        <v>0</v>
      </c>
      <c r="BK19" s="7">
        <f t="shared" si="1"/>
        <v>0</v>
      </c>
      <c r="BL19" s="7">
        <f t="shared" si="1"/>
        <v>0</v>
      </c>
      <c r="BM19" s="7">
        <f t="shared" si="1"/>
        <v>0</v>
      </c>
      <c r="BN19" s="7">
        <f t="shared" si="1"/>
        <v>0</v>
      </c>
      <c r="BO19" s="7">
        <f t="shared" si="1"/>
        <v>0</v>
      </c>
      <c r="BP19" s="7">
        <f t="shared" si="1"/>
        <v>0</v>
      </c>
      <c r="BQ19" s="7">
        <f t="shared" si="1"/>
        <v>0</v>
      </c>
      <c r="BR19" s="7">
        <f t="shared" si="1"/>
        <v>0</v>
      </c>
      <c r="BS19" s="7">
        <f t="shared" si="1"/>
        <v>0</v>
      </c>
      <c r="BT19" s="7">
        <f t="shared" si="1"/>
        <v>0</v>
      </c>
      <c r="BU19" s="7">
        <f t="shared" si="1"/>
        <v>0</v>
      </c>
      <c r="BV19" s="7">
        <f t="shared" ref="BV19:EA19" si="2" xml:space="preserve"> $F15 / $F16 / $F17 * BV18</f>
        <v>0</v>
      </c>
      <c r="BW19" s="7">
        <f t="shared" si="2"/>
        <v>0</v>
      </c>
      <c r="BX19" s="7">
        <f t="shared" si="2"/>
        <v>0</v>
      </c>
      <c r="BY19" s="7">
        <f t="shared" si="2"/>
        <v>0</v>
      </c>
      <c r="BZ19" s="7">
        <f t="shared" si="2"/>
        <v>0</v>
      </c>
      <c r="CA19" s="7">
        <f t="shared" si="2"/>
        <v>0</v>
      </c>
      <c r="CB19" s="7">
        <f t="shared" si="2"/>
        <v>0</v>
      </c>
      <c r="CC19" s="7">
        <f t="shared" si="2"/>
        <v>0</v>
      </c>
      <c r="CD19" s="7">
        <f t="shared" si="2"/>
        <v>0</v>
      </c>
      <c r="CE19" s="7">
        <f t="shared" si="2"/>
        <v>0</v>
      </c>
      <c r="CF19" s="7">
        <f t="shared" si="2"/>
        <v>0</v>
      </c>
      <c r="CG19" s="7">
        <f t="shared" si="2"/>
        <v>0</v>
      </c>
      <c r="CH19" s="7">
        <f t="shared" si="2"/>
        <v>0</v>
      </c>
      <c r="CI19" s="7">
        <f t="shared" si="2"/>
        <v>0</v>
      </c>
      <c r="CJ19" s="7">
        <f t="shared" si="2"/>
        <v>0</v>
      </c>
      <c r="CK19" s="7">
        <f t="shared" si="2"/>
        <v>0</v>
      </c>
      <c r="CL19" s="7">
        <f t="shared" si="2"/>
        <v>0</v>
      </c>
      <c r="CM19" s="7">
        <f t="shared" si="2"/>
        <v>0</v>
      </c>
      <c r="CN19" s="7">
        <f t="shared" si="2"/>
        <v>0</v>
      </c>
      <c r="CO19" s="7">
        <f t="shared" si="2"/>
        <v>0</v>
      </c>
      <c r="CP19" s="7">
        <f t="shared" si="2"/>
        <v>0</v>
      </c>
      <c r="CQ19" s="7">
        <f t="shared" si="2"/>
        <v>0</v>
      </c>
      <c r="CR19" s="7">
        <f t="shared" si="2"/>
        <v>0</v>
      </c>
      <c r="CS19" s="7">
        <f t="shared" si="2"/>
        <v>0</v>
      </c>
      <c r="CT19" s="7">
        <f t="shared" si="2"/>
        <v>0</v>
      </c>
      <c r="CU19" s="7">
        <f t="shared" si="2"/>
        <v>0</v>
      </c>
      <c r="CV19" s="7">
        <f t="shared" si="2"/>
        <v>0</v>
      </c>
      <c r="CW19" s="7">
        <f t="shared" si="2"/>
        <v>0</v>
      </c>
      <c r="CX19" s="7">
        <f t="shared" si="2"/>
        <v>0</v>
      </c>
      <c r="CY19" s="7">
        <f t="shared" si="2"/>
        <v>0</v>
      </c>
      <c r="CZ19" s="7">
        <f t="shared" si="2"/>
        <v>0</v>
      </c>
      <c r="DA19" s="7">
        <f t="shared" si="2"/>
        <v>0</v>
      </c>
      <c r="DB19" s="7">
        <f t="shared" si="2"/>
        <v>0</v>
      </c>
      <c r="DC19" s="7">
        <f t="shared" si="2"/>
        <v>0</v>
      </c>
      <c r="DD19" s="7">
        <f t="shared" si="2"/>
        <v>0</v>
      </c>
      <c r="DE19" s="7">
        <f t="shared" si="2"/>
        <v>0</v>
      </c>
      <c r="DF19" s="7">
        <f t="shared" si="2"/>
        <v>0</v>
      </c>
      <c r="DG19" s="7">
        <f t="shared" si="2"/>
        <v>0</v>
      </c>
      <c r="DH19" s="7">
        <f t="shared" si="2"/>
        <v>0</v>
      </c>
      <c r="DI19" s="7">
        <f t="shared" si="2"/>
        <v>0</v>
      </c>
      <c r="DJ19" s="7">
        <f t="shared" si="2"/>
        <v>0</v>
      </c>
      <c r="DK19" s="7">
        <f t="shared" si="2"/>
        <v>0</v>
      </c>
      <c r="DL19" s="7">
        <f t="shared" si="2"/>
        <v>0</v>
      </c>
      <c r="DM19" s="7">
        <f t="shared" si="2"/>
        <v>0</v>
      </c>
      <c r="DN19" s="7">
        <f t="shared" si="2"/>
        <v>0</v>
      </c>
      <c r="DO19" s="7">
        <f t="shared" si="2"/>
        <v>0</v>
      </c>
      <c r="DP19" s="7">
        <f t="shared" si="2"/>
        <v>0</v>
      </c>
      <c r="DQ19" s="7">
        <f t="shared" si="2"/>
        <v>0</v>
      </c>
      <c r="DR19" s="7">
        <f t="shared" si="2"/>
        <v>0</v>
      </c>
      <c r="DS19" s="7">
        <f t="shared" si="2"/>
        <v>0</v>
      </c>
      <c r="DT19" s="7">
        <f t="shared" si="2"/>
        <v>0</v>
      </c>
      <c r="DU19" s="7">
        <f t="shared" si="2"/>
        <v>0</v>
      </c>
      <c r="DV19" s="7">
        <f t="shared" si="2"/>
        <v>0</v>
      </c>
      <c r="DW19" s="7">
        <f t="shared" si="2"/>
        <v>0</v>
      </c>
      <c r="DX19" s="7">
        <f t="shared" si="2"/>
        <v>0</v>
      </c>
      <c r="DY19" s="7">
        <f t="shared" si="2"/>
        <v>0</v>
      </c>
      <c r="DZ19" s="7">
        <f t="shared" si="2"/>
        <v>0</v>
      </c>
      <c r="EA19" s="7">
        <f t="shared" si="2"/>
        <v>0</v>
      </c>
    </row>
    <row r="20" spans="1:131" outlineLevel="2" x14ac:dyDescent="0.35"/>
    <row r="21" spans="1:131" outlineLevel="2" x14ac:dyDescent="0.35">
      <c r="E21" s="428" t="str">
        <f xml:space="preserve"> InpC!E$47</f>
        <v>Senior debt principal repayment profile selection</v>
      </c>
      <c r="F21" s="428">
        <f xml:space="preserve"> InpC!F$47</f>
        <v>1</v>
      </c>
      <c r="G21" s="428" t="str">
        <f xml:space="preserve"> InpC!G$47</f>
        <v>profile selection</v>
      </c>
      <c r="H21" s="26"/>
    </row>
    <row r="22" spans="1:131" outlineLevel="2" x14ac:dyDescent="0.35">
      <c r="E22" s="7" t="str">
        <f t="shared" ref="E22:AJ22" si="3" xml:space="preserve"> E$19</f>
        <v>Senior debt straight line principal repayment</v>
      </c>
      <c r="F22" s="7">
        <f t="shared" si="3"/>
        <v>0</v>
      </c>
      <c r="G22" s="7" t="str">
        <f t="shared" si="3"/>
        <v>$ 000s</v>
      </c>
      <c r="H22" s="7">
        <f t="shared" si="3"/>
        <v>70000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1750</v>
      </c>
      <c r="N22" s="7">
        <f t="shared" si="3"/>
        <v>1750</v>
      </c>
      <c r="O22" s="7">
        <f t="shared" si="3"/>
        <v>1750</v>
      </c>
      <c r="P22" s="7">
        <f t="shared" si="3"/>
        <v>1750</v>
      </c>
      <c r="Q22" s="7">
        <f t="shared" si="3"/>
        <v>1750</v>
      </c>
      <c r="R22" s="7">
        <f t="shared" si="3"/>
        <v>1750</v>
      </c>
      <c r="S22" s="7">
        <f t="shared" si="3"/>
        <v>1750</v>
      </c>
      <c r="T22" s="7">
        <f t="shared" si="3"/>
        <v>1750</v>
      </c>
      <c r="U22" s="7">
        <f t="shared" si="3"/>
        <v>1750</v>
      </c>
      <c r="V22" s="7">
        <f t="shared" si="3"/>
        <v>1750</v>
      </c>
      <c r="W22" s="7">
        <f t="shared" si="3"/>
        <v>1750</v>
      </c>
      <c r="X22" s="7">
        <f t="shared" si="3"/>
        <v>1750</v>
      </c>
      <c r="Y22" s="7">
        <f t="shared" si="3"/>
        <v>1750</v>
      </c>
      <c r="Z22" s="7">
        <f t="shared" si="3"/>
        <v>1750</v>
      </c>
      <c r="AA22" s="7">
        <f t="shared" si="3"/>
        <v>1750</v>
      </c>
      <c r="AB22" s="7">
        <f t="shared" si="3"/>
        <v>1750</v>
      </c>
      <c r="AC22" s="7">
        <f t="shared" si="3"/>
        <v>1750</v>
      </c>
      <c r="AD22" s="7">
        <f t="shared" si="3"/>
        <v>1750</v>
      </c>
      <c r="AE22" s="7">
        <f t="shared" si="3"/>
        <v>1750</v>
      </c>
      <c r="AF22" s="7">
        <f t="shared" si="3"/>
        <v>1750</v>
      </c>
      <c r="AG22" s="7">
        <f t="shared" si="3"/>
        <v>1750</v>
      </c>
      <c r="AH22" s="7">
        <f t="shared" si="3"/>
        <v>1750</v>
      </c>
      <c r="AI22" s="7">
        <f t="shared" si="3"/>
        <v>1750</v>
      </c>
      <c r="AJ22" s="7">
        <f t="shared" si="3"/>
        <v>1750</v>
      </c>
      <c r="AK22" s="7">
        <f t="shared" ref="AK22:BP22" si="4" xml:space="preserve"> AK$19</f>
        <v>1750</v>
      </c>
      <c r="AL22" s="7">
        <f t="shared" si="4"/>
        <v>1750</v>
      </c>
      <c r="AM22" s="7">
        <f t="shared" si="4"/>
        <v>1750</v>
      </c>
      <c r="AN22" s="7">
        <f t="shared" si="4"/>
        <v>1750</v>
      </c>
      <c r="AO22" s="7">
        <f t="shared" si="4"/>
        <v>1750</v>
      </c>
      <c r="AP22" s="7">
        <f t="shared" si="4"/>
        <v>1750</v>
      </c>
      <c r="AQ22" s="7">
        <f t="shared" si="4"/>
        <v>1750</v>
      </c>
      <c r="AR22" s="7">
        <f t="shared" si="4"/>
        <v>1750</v>
      </c>
      <c r="AS22" s="7">
        <f t="shared" si="4"/>
        <v>1750</v>
      </c>
      <c r="AT22" s="7">
        <f t="shared" si="4"/>
        <v>1750</v>
      </c>
      <c r="AU22" s="7">
        <f t="shared" si="4"/>
        <v>1750</v>
      </c>
      <c r="AV22" s="7">
        <f t="shared" si="4"/>
        <v>1750</v>
      </c>
      <c r="AW22" s="7">
        <f t="shared" si="4"/>
        <v>1750</v>
      </c>
      <c r="AX22" s="7">
        <f t="shared" si="4"/>
        <v>1750</v>
      </c>
      <c r="AY22" s="7">
        <f t="shared" si="4"/>
        <v>1750</v>
      </c>
      <c r="AZ22" s="7">
        <f t="shared" si="4"/>
        <v>1750</v>
      </c>
      <c r="BA22" s="7">
        <f t="shared" si="4"/>
        <v>0</v>
      </c>
      <c r="BB22" s="7">
        <f t="shared" si="4"/>
        <v>0</v>
      </c>
      <c r="BC22" s="7">
        <f t="shared" si="4"/>
        <v>0</v>
      </c>
      <c r="BD22" s="7">
        <f t="shared" si="4"/>
        <v>0</v>
      </c>
      <c r="BE22" s="7">
        <f t="shared" si="4"/>
        <v>0</v>
      </c>
      <c r="BF22" s="7">
        <f t="shared" si="4"/>
        <v>0</v>
      </c>
      <c r="BG22" s="7">
        <f t="shared" si="4"/>
        <v>0</v>
      </c>
      <c r="BH22" s="7">
        <f t="shared" si="4"/>
        <v>0</v>
      </c>
      <c r="BI22" s="7">
        <f t="shared" si="4"/>
        <v>0</v>
      </c>
      <c r="BJ22" s="7">
        <f t="shared" si="4"/>
        <v>0</v>
      </c>
      <c r="BK22" s="7">
        <f t="shared" si="4"/>
        <v>0</v>
      </c>
      <c r="BL22" s="7">
        <f t="shared" si="4"/>
        <v>0</v>
      </c>
      <c r="BM22" s="7">
        <f t="shared" si="4"/>
        <v>0</v>
      </c>
      <c r="BN22" s="7">
        <f t="shared" si="4"/>
        <v>0</v>
      </c>
      <c r="BO22" s="7">
        <f t="shared" si="4"/>
        <v>0</v>
      </c>
      <c r="BP22" s="7">
        <f t="shared" si="4"/>
        <v>0</v>
      </c>
      <c r="BQ22" s="7">
        <f t="shared" ref="BQ22:CV22" si="5" xml:space="preserve"> BQ$19</f>
        <v>0</v>
      </c>
      <c r="BR22" s="7">
        <f t="shared" si="5"/>
        <v>0</v>
      </c>
      <c r="BS22" s="7">
        <f t="shared" si="5"/>
        <v>0</v>
      </c>
      <c r="BT22" s="7">
        <f t="shared" si="5"/>
        <v>0</v>
      </c>
      <c r="BU22" s="7">
        <f t="shared" si="5"/>
        <v>0</v>
      </c>
      <c r="BV22" s="7">
        <f t="shared" si="5"/>
        <v>0</v>
      </c>
      <c r="BW22" s="7">
        <f t="shared" si="5"/>
        <v>0</v>
      </c>
      <c r="BX22" s="7">
        <f t="shared" si="5"/>
        <v>0</v>
      </c>
      <c r="BY22" s="7">
        <f t="shared" si="5"/>
        <v>0</v>
      </c>
      <c r="BZ22" s="7">
        <f t="shared" si="5"/>
        <v>0</v>
      </c>
      <c r="CA22" s="7">
        <f t="shared" si="5"/>
        <v>0</v>
      </c>
      <c r="CB22" s="7">
        <f t="shared" si="5"/>
        <v>0</v>
      </c>
      <c r="CC22" s="7">
        <f t="shared" si="5"/>
        <v>0</v>
      </c>
      <c r="CD22" s="7">
        <f t="shared" si="5"/>
        <v>0</v>
      </c>
      <c r="CE22" s="7">
        <f t="shared" si="5"/>
        <v>0</v>
      </c>
      <c r="CF22" s="7">
        <f t="shared" si="5"/>
        <v>0</v>
      </c>
      <c r="CG22" s="7">
        <f t="shared" si="5"/>
        <v>0</v>
      </c>
      <c r="CH22" s="7">
        <f t="shared" si="5"/>
        <v>0</v>
      </c>
      <c r="CI22" s="7">
        <f t="shared" si="5"/>
        <v>0</v>
      </c>
      <c r="CJ22" s="7">
        <f t="shared" si="5"/>
        <v>0</v>
      </c>
      <c r="CK22" s="7">
        <f t="shared" si="5"/>
        <v>0</v>
      </c>
      <c r="CL22" s="7">
        <f t="shared" si="5"/>
        <v>0</v>
      </c>
      <c r="CM22" s="7">
        <f t="shared" si="5"/>
        <v>0</v>
      </c>
      <c r="CN22" s="7">
        <f t="shared" si="5"/>
        <v>0</v>
      </c>
      <c r="CO22" s="7">
        <f t="shared" si="5"/>
        <v>0</v>
      </c>
      <c r="CP22" s="7">
        <f t="shared" si="5"/>
        <v>0</v>
      </c>
      <c r="CQ22" s="7">
        <f t="shared" si="5"/>
        <v>0</v>
      </c>
      <c r="CR22" s="7">
        <f t="shared" si="5"/>
        <v>0</v>
      </c>
      <c r="CS22" s="7">
        <f t="shared" si="5"/>
        <v>0</v>
      </c>
      <c r="CT22" s="7">
        <f t="shared" si="5"/>
        <v>0</v>
      </c>
      <c r="CU22" s="7">
        <f t="shared" si="5"/>
        <v>0</v>
      </c>
      <c r="CV22" s="7">
        <f t="shared" si="5"/>
        <v>0</v>
      </c>
      <c r="CW22" s="7">
        <f t="shared" ref="CW22:EA22" si="6" xml:space="preserve"> CW$19</f>
        <v>0</v>
      </c>
      <c r="CX22" s="7">
        <f t="shared" si="6"/>
        <v>0</v>
      </c>
      <c r="CY22" s="7">
        <f t="shared" si="6"/>
        <v>0</v>
      </c>
      <c r="CZ22" s="7">
        <f t="shared" si="6"/>
        <v>0</v>
      </c>
      <c r="DA22" s="7">
        <f t="shared" si="6"/>
        <v>0</v>
      </c>
      <c r="DB22" s="7">
        <f t="shared" si="6"/>
        <v>0</v>
      </c>
      <c r="DC22" s="7">
        <f t="shared" si="6"/>
        <v>0</v>
      </c>
      <c r="DD22" s="7">
        <f t="shared" si="6"/>
        <v>0</v>
      </c>
      <c r="DE22" s="7">
        <f t="shared" si="6"/>
        <v>0</v>
      </c>
      <c r="DF22" s="7">
        <f t="shared" si="6"/>
        <v>0</v>
      </c>
      <c r="DG22" s="7">
        <f t="shared" si="6"/>
        <v>0</v>
      </c>
      <c r="DH22" s="7">
        <f t="shared" si="6"/>
        <v>0</v>
      </c>
      <c r="DI22" s="7">
        <f t="shared" si="6"/>
        <v>0</v>
      </c>
      <c r="DJ22" s="7">
        <f t="shared" si="6"/>
        <v>0</v>
      </c>
      <c r="DK22" s="7">
        <f t="shared" si="6"/>
        <v>0</v>
      </c>
      <c r="DL22" s="7">
        <f t="shared" si="6"/>
        <v>0</v>
      </c>
      <c r="DM22" s="7">
        <f t="shared" si="6"/>
        <v>0</v>
      </c>
      <c r="DN22" s="7">
        <f t="shared" si="6"/>
        <v>0</v>
      </c>
      <c r="DO22" s="7">
        <f t="shared" si="6"/>
        <v>0</v>
      </c>
      <c r="DP22" s="7">
        <f t="shared" si="6"/>
        <v>0</v>
      </c>
      <c r="DQ22" s="7">
        <f t="shared" si="6"/>
        <v>0</v>
      </c>
      <c r="DR22" s="7">
        <f t="shared" si="6"/>
        <v>0</v>
      </c>
      <c r="DS22" s="7">
        <f t="shared" si="6"/>
        <v>0</v>
      </c>
      <c r="DT22" s="7">
        <f t="shared" si="6"/>
        <v>0</v>
      </c>
      <c r="DU22" s="7">
        <f t="shared" si="6"/>
        <v>0</v>
      </c>
      <c r="DV22" s="7">
        <f t="shared" si="6"/>
        <v>0</v>
      </c>
      <c r="DW22" s="7">
        <f t="shared" si="6"/>
        <v>0</v>
      </c>
      <c r="DX22" s="7">
        <f t="shared" si="6"/>
        <v>0</v>
      </c>
      <c r="DY22" s="7">
        <f t="shared" si="6"/>
        <v>0</v>
      </c>
      <c r="DZ22" s="7">
        <f t="shared" si="6"/>
        <v>0</v>
      </c>
      <c r="EA22" s="7">
        <f t="shared" si="6"/>
        <v>0</v>
      </c>
    </row>
    <row r="23" spans="1:131" outlineLevel="2" x14ac:dyDescent="0.35">
      <c r="E23" s="507" t="s">
        <v>268</v>
      </c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  <c r="X23" s="507"/>
      <c r="Y23" s="507"/>
      <c r="Z23" s="507"/>
      <c r="AA23" s="507"/>
      <c r="AB23" s="507"/>
      <c r="AC23" s="507"/>
      <c r="AD23" s="507"/>
      <c r="AE23" s="507"/>
      <c r="AF23" s="507"/>
      <c r="AG23" s="507"/>
      <c r="AH23" s="507"/>
      <c r="AI23" s="507"/>
      <c r="AJ23" s="507"/>
      <c r="AK23" s="507"/>
      <c r="AL23" s="507"/>
      <c r="AM23" s="507"/>
      <c r="AN23" s="507"/>
      <c r="AO23" s="507"/>
      <c r="AP23" s="507"/>
      <c r="AQ23" s="507"/>
      <c r="AR23" s="507"/>
      <c r="AS23" s="507"/>
      <c r="AT23" s="507"/>
      <c r="AU23" s="507"/>
      <c r="AV23" s="507"/>
      <c r="AW23" s="507"/>
      <c r="AX23" s="507"/>
      <c r="AY23" s="507"/>
      <c r="AZ23" s="507"/>
      <c r="BA23" s="507"/>
      <c r="BB23" s="507"/>
      <c r="BC23" s="507"/>
      <c r="BD23" s="507"/>
      <c r="BE23" s="507"/>
      <c r="BF23" s="507"/>
      <c r="BG23" s="507"/>
      <c r="BH23" s="507"/>
      <c r="BI23" s="507"/>
      <c r="BJ23" s="507"/>
      <c r="BK23" s="507"/>
      <c r="BL23" s="507"/>
      <c r="BM23" s="507"/>
      <c r="BN23" s="507"/>
      <c r="BO23" s="507"/>
      <c r="BP23" s="507"/>
      <c r="BQ23" s="507"/>
      <c r="BR23" s="507"/>
      <c r="BS23" s="507"/>
      <c r="BT23" s="507"/>
      <c r="BU23" s="507"/>
      <c r="BV23" s="507"/>
      <c r="BW23" s="507"/>
      <c r="BX23" s="507"/>
      <c r="BY23" s="507"/>
      <c r="BZ23" s="507"/>
      <c r="CA23" s="507"/>
      <c r="CB23" s="507"/>
      <c r="CC23" s="507"/>
      <c r="CD23" s="507"/>
      <c r="CE23" s="507"/>
      <c r="CF23" s="507"/>
      <c r="CG23" s="507"/>
      <c r="CH23" s="507"/>
      <c r="CI23" s="507"/>
      <c r="CJ23" s="507"/>
      <c r="CK23" s="507"/>
      <c r="CL23" s="507"/>
      <c r="CM23" s="507"/>
      <c r="CN23" s="507"/>
      <c r="CO23" s="507"/>
      <c r="CP23" s="507"/>
      <c r="CQ23" s="507"/>
      <c r="CR23" s="507"/>
      <c r="CS23" s="507"/>
      <c r="CT23" s="507"/>
      <c r="CU23" s="507"/>
      <c r="CV23" s="507"/>
      <c r="CW23" s="507"/>
      <c r="CX23" s="507"/>
      <c r="CY23" s="507"/>
      <c r="CZ23" s="507"/>
      <c r="DA23" s="507"/>
      <c r="DB23" s="507"/>
      <c r="DC23" s="507"/>
      <c r="DD23" s="507"/>
      <c r="DE23" s="507"/>
      <c r="DF23" s="507"/>
      <c r="DG23" s="507"/>
      <c r="DH23" s="507"/>
      <c r="DI23" s="507"/>
      <c r="DJ23" s="507"/>
      <c r="DK23" s="507"/>
      <c r="DL23" s="507"/>
      <c r="DM23" s="507"/>
      <c r="DN23" s="507"/>
      <c r="DO23" s="507"/>
      <c r="DP23" s="507"/>
      <c r="DQ23" s="507"/>
      <c r="DR23" s="507"/>
      <c r="DS23" s="507"/>
      <c r="DT23" s="507"/>
      <c r="DU23" s="507"/>
      <c r="DV23" s="507"/>
      <c r="DW23" s="507"/>
      <c r="DX23" s="507"/>
      <c r="DY23" s="507"/>
      <c r="DZ23" s="507"/>
      <c r="EA23" s="507"/>
    </row>
    <row r="24" spans="1:131" outlineLevel="2" x14ac:dyDescent="0.35">
      <c r="E24" s="507" t="s">
        <v>269</v>
      </c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7"/>
      <c r="AS24" s="507"/>
      <c r="AT24" s="507"/>
      <c r="AU24" s="507"/>
      <c r="AV24" s="507"/>
      <c r="AW24" s="507"/>
      <c r="AX24" s="507"/>
      <c r="AY24" s="507"/>
      <c r="AZ24" s="507"/>
      <c r="BA24" s="507"/>
      <c r="BB24" s="507"/>
      <c r="BC24" s="507"/>
      <c r="BD24" s="507"/>
      <c r="BE24" s="507"/>
      <c r="BF24" s="507"/>
      <c r="BG24" s="507"/>
      <c r="BH24" s="507"/>
      <c r="BI24" s="507"/>
      <c r="BJ24" s="507"/>
      <c r="BK24" s="507"/>
      <c r="BL24" s="507"/>
      <c r="BM24" s="507"/>
      <c r="BN24" s="507"/>
      <c r="BO24" s="507"/>
      <c r="BP24" s="507"/>
      <c r="BQ24" s="507"/>
      <c r="BR24" s="507"/>
      <c r="BS24" s="507"/>
      <c r="BT24" s="507"/>
      <c r="BU24" s="507"/>
      <c r="BV24" s="507"/>
      <c r="BW24" s="507"/>
      <c r="BX24" s="507"/>
      <c r="BY24" s="507"/>
      <c r="BZ24" s="507"/>
      <c r="CA24" s="507"/>
      <c r="CB24" s="507"/>
      <c r="CC24" s="507"/>
      <c r="CD24" s="507"/>
      <c r="CE24" s="507"/>
      <c r="CF24" s="507"/>
      <c r="CG24" s="507"/>
      <c r="CH24" s="507"/>
      <c r="CI24" s="507"/>
      <c r="CJ24" s="507"/>
      <c r="CK24" s="507"/>
      <c r="CL24" s="507"/>
      <c r="CM24" s="507"/>
      <c r="CN24" s="507"/>
      <c r="CO24" s="507"/>
      <c r="CP24" s="507"/>
      <c r="CQ24" s="507"/>
      <c r="CR24" s="507"/>
      <c r="CS24" s="507"/>
      <c r="CT24" s="507"/>
      <c r="CU24" s="507"/>
      <c r="CV24" s="507"/>
      <c r="CW24" s="507"/>
      <c r="CX24" s="507"/>
      <c r="CY24" s="507"/>
      <c r="CZ24" s="507"/>
      <c r="DA24" s="507"/>
      <c r="DB24" s="507"/>
      <c r="DC24" s="507"/>
      <c r="DD24" s="507"/>
      <c r="DE24" s="507"/>
      <c r="DF24" s="507"/>
      <c r="DG24" s="507"/>
      <c r="DH24" s="507"/>
      <c r="DI24" s="507"/>
      <c r="DJ24" s="507"/>
      <c r="DK24" s="507"/>
      <c r="DL24" s="507"/>
      <c r="DM24" s="507"/>
      <c r="DN24" s="507"/>
      <c r="DO24" s="507"/>
      <c r="DP24" s="507"/>
      <c r="DQ24" s="507"/>
      <c r="DR24" s="507"/>
      <c r="DS24" s="507"/>
      <c r="DT24" s="507"/>
      <c r="DU24" s="507"/>
      <c r="DV24" s="507"/>
      <c r="DW24" s="507"/>
      <c r="DX24" s="507"/>
      <c r="DY24" s="507"/>
      <c r="DZ24" s="507"/>
      <c r="EA24" s="507"/>
    </row>
    <row r="25" spans="1:131" outlineLevel="2" x14ac:dyDescent="0.35">
      <c r="E25" s="7" t="s">
        <v>270</v>
      </c>
      <c r="G25" s="7" t="str">
        <f xml:space="preserve"> SMU</f>
        <v>$ 000s</v>
      </c>
      <c r="H25" s="7">
        <f xml:space="preserve"> SUM(J25:EA25)</f>
        <v>70000</v>
      </c>
      <c r="J25" s="7">
        <f t="shared" ref="J25:AO25" si="7" xml:space="preserve"> INDEX(J22:J24, $F21)</f>
        <v>0</v>
      </c>
      <c r="K25" s="7">
        <f t="shared" si="7"/>
        <v>0</v>
      </c>
      <c r="L25" s="7">
        <f t="shared" si="7"/>
        <v>0</v>
      </c>
      <c r="M25" s="7">
        <f t="shared" si="7"/>
        <v>1750</v>
      </c>
      <c r="N25" s="7">
        <f t="shared" si="7"/>
        <v>1750</v>
      </c>
      <c r="O25" s="7">
        <f t="shared" si="7"/>
        <v>1750</v>
      </c>
      <c r="P25" s="7">
        <f t="shared" si="7"/>
        <v>1750</v>
      </c>
      <c r="Q25" s="7">
        <f t="shared" si="7"/>
        <v>1750</v>
      </c>
      <c r="R25" s="7">
        <f t="shared" si="7"/>
        <v>1750</v>
      </c>
      <c r="S25" s="7">
        <f t="shared" si="7"/>
        <v>1750</v>
      </c>
      <c r="T25" s="7">
        <f t="shared" si="7"/>
        <v>1750</v>
      </c>
      <c r="U25" s="7">
        <f t="shared" si="7"/>
        <v>1750</v>
      </c>
      <c r="V25" s="7">
        <f t="shared" si="7"/>
        <v>1750</v>
      </c>
      <c r="W25" s="7">
        <f t="shared" si="7"/>
        <v>1750</v>
      </c>
      <c r="X25" s="7">
        <f t="shared" si="7"/>
        <v>1750</v>
      </c>
      <c r="Y25" s="7">
        <f t="shared" si="7"/>
        <v>1750</v>
      </c>
      <c r="Z25" s="7">
        <f t="shared" si="7"/>
        <v>1750</v>
      </c>
      <c r="AA25" s="7">
        <f t="shared" si="7"/>
        <v>1750</v>
      </c>
      <c r="AB25" s="7">
        <f t="shared" si="7"/>
        <v>1750</v>
      </c>
      <c r="AC25" s="7">
        <f t="shared" si="7"/>
        <v>1750</v>
      </c>
      <c r="AD25" s="7">
        <f t="shared" si="7"/>
        <v>1750</v>
      </c>
      <c r="AE25" s="7">
        <f t="shared" si="7"/>
        <v>1750</v>
      </c>
      <c r="AF25" s="7">
        <f t="shared" si="7"/>
        <v>1750</v>
      </c>
      <c r="AG25" s="7">
        <f t="shared" si="7"/>
        <v>1750</v>
      </c>
      <c r="AH25" s="7">
        <f t="shared" si="7"/>
        <v>1750</v>
      </c>
      <c r="AI25" s="7">
        <f t="shared" si="7"/>
        <v>1750</v>
      </c>
      <c r="AJ25" s="7">
        <f t="shared" si="7"/>
        <v>1750</v>
      </c>
      <c r="AK25" s="7">
        <f t="shared" si="7"/>
        <v>1750</v>
      </c>
      <c r="AL25" s="7">
        <f t="shared" si="7"/>
        <v>1750</v>
      </c>
      <c r="AM25" s="7">
        <f t="shared" si="7"/>
        <v>1750</v>
      </c>
      <c r="AN25" s="7">
        <f t="shared" si="7"/>
        <v>1750</v>
      </c>
      <c r="AO25" s="7">
        <f t="shared" si="7"/>
        <v>1750</v>
      </c>
      <c r="AP25" s="7">
        <f t="shared" ref="AP25:BU25" si="8" xml:space="preserve"> INDEX(AP22:AP24, $F21)</f>
        <v>1750</v>
      </c>
      <c r="AQ25" s="7">
        <f t="shared" si="8"/>
        <v>1750</v>
      </c>
      <c r="AR25" s="7">
        <f t="shared" si="8"/>
        <v>1750</v>
      </c>
      <c r="AS25" s="7">
        <f t="shared" si="8"/>
        <v>1750</v>
      </c>
      <c r="AT25" s="7">
        <f t="shared" si="8"/>
        <v>1750</v>
      </c>
      <c r="AU25" s="7">
        <f t="shared" si="8"/>
        <v>1750</v>
      </c>
      <c r="AV25" s="7">
        <f t="shared" si="8"/>
        <v>1750</v>
      </c>
      <c r="AW25" s="7">
        <f t="shared" si="8"/>
        <v>1750</v>
      </c>
      <c r="AX25" s="7">
        <f t="shared" si="8"/>
        <v>1750</v>
      </c>
      <c r="AY25" s="7">
        <f t="shared" si="8"/>
        <v>1750</v>
      </c>
      <c r="AZ25" s="7">
        <f t="shared" si="8"/>
        <v>1750</v>
      </c>
      <c r="BA25" s="7">
        <f t="shared" si="8"/>
        <v>0</v>
      </c>
      <c r="BB25" s="7">
        <f t="shared" si="8"/>
        <v>0</v>
      </c>
      <c r="BC25" s="7">
        <f t="shared" si="8"/>
        <v>0</v>
      </c>
      <c r="BD25" s="7">
        <f t="shared" si="8"/>
        <v>0</v>
      </c>
      <c r="BE25" s="7">
        <f t="shared" si="8"/>
        <v>0</v>
      </c>
      <c r="BF25" s="7">
        <f t="shared" si="8"/>
        <v>0</v>
      </c>
      <c r="BG25" s="7">
        <f t="shared" si="8"/>
        <v>0</v>
      </c>
      <c r="BH25" s="7">
        <f t="shared" si="8"/>
        <v>0</v>
      </c>
      <c r="BI25" s="7">
        <f t="shared" si="8"/>
        <v>0</v>
      </c>
      <c r="BJ25" s="7">
        <f t="shared" si="8"/>
        <v>0</v>
      </c>
      <c r="BK25" s="7">
        <f t="shared" si="8"/>
        <v>0</v>
      </c>
      <c r="BL25" s="7">
        <f t="shared" si="8"/>
        <v>0</v>
      </c>
      <c r="BM25" s="7">
        <f t="shared" si="8"/>
        <v>0</v>
      </c>
      <c r="BN25" s="7">
        <f t="shared" si="8"/>
        <v>0</v>
      </c>
      <c r="BO25" s="7">
        <f t="shared" si="8"/>
        <v>0</v>
      </c>
      <c r="BP25" s="7">
        <f t="shared" si="8"/>
        <v>0</v>
      </c>
      <c r="BQ25" s="7">
        <f t="shared" si="8"/>
        <v>0</v>
      </c>
      <c r="BR25" s="7">
        <f t="shared" si="8"/>
        <v>0</v>
      </c>
      <c r="BS25" s="7">
        <f t="shared" si="8"/>
        <v>0</v>
      </c>
      <c r="BT25" s="7">
        <f t="shared" si="8"/>
        <v>0</v>
      </c>
      <c r="BU25" s="7">
        <f t="shared" si="8"/>
        <v>0</v>
      </c>
      <c r="BV25" s="7">
        <f t="shared" ref="BV25:DA25" si="9" xml:space="preserve"> INDEX(BV22:BV24, $F21)</f>
        <v>0</v>
      </c>
      <c r="BW25" s="7">
        <f t="shared" si="9"/>
        <v>0</v>
      </c>
      <c r="BX25" s="7">
        <f t="shared" si="9"/>
        <v>0</v>
      </c>
      <c r="BY25" s="7">
        <f t="shared" si="9"/>
        <v>0</v>
      </c>
      <c r="BZ25" s="7">
        <f t="shared" si="9"/>
        <v>0</v>
      </c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0</v>
      </c>
      <c r="CI25" s="7">
        <f t="shared" si="9"/>
        <v>0</v>
      </c>
      <c r="CJ25" s="7">
        <f t="shared" si="9"/>
        <v>0</v>
      </c>
      <c r="CK25" s="7">
        <f t="shared" si="9"/>
        <v>0</v>
      </c>
      <c r="CL25" s="7">
        <f t="shared" si="9"/>
        <v>0</v>
      </c>
      <c r="CM25" s="7">
        <f t="shared" si="9"/>
        <v>0</v>
      </c>
      <c r="CN25" s="7">
        <f t="shared" si="9"/>
        <v>0</v>
      </c>
      <c r="CO25" s="7">
        <f t="shared" si="9"/>
        <v>0</v>
      </c>
      <c r="CP25" s="7">
        <f t="shared" si="9"/>
        <v>0</v>
      </c>
      <c r="CQ25" s="7">
        <f t="shared" si="9"/>
        <v>0</v>
      </c>
      <c r="CR25" s="7">
        <f t="shared" si="9"/>
        <v>0</v>
      </c>
      <c r="CS25" s="7">
        <f t="shared" si="9"/>
        <v>0</v>
      </c>
      <c r="CT25" s="7">
        <f t="shared" si="9"/>
        <v>0</v>
      </c>
      <c r="CU25" s="7">
        <f t="shared" si="9"/>
        <v>0</v>
      </c>
      <c r="CV25" s="7">
        <f t="shared" si="9"/>
        <v>0</v>
      </c>
      <c r="CW25" s="7">
        <f t="shared" si="9"/>
        <v>0</v>
      </c>
      <c r="CX25" s="7">
        <f t="shared" si="9"/>
        <v>0</v>
      </c>
      <c r="CY25" s="7">
        <f t="shared" si="9"/>
        <v>0</v>
      </c>
      <c r="CZ25" s="7">
        <f t="shared" si="9"/>
        <v>0</v>
      </c>
      <c r="DA25" s="7">
        <f t="shared" si="9"/>
        <v>0</v>
      </c>
      <c r="DB25" s="7">
        <f t="shared" ref="DB25:EA25" si="10" xml:space="preserve"> INDEX(DB22:DB24, $F21)</f>
        <v>0</v>
      </c>
      <c r="DC25" s="7">
        <f t="shared" si="10"/>
        <v>0</v>
      </c>
      <c r="DD25" s="7">
        <f t="shared" si="10"/>
        <v>0</v>
      </c>
      <c r="DE25" s="7">
        <f t="shared" si="10"/>
        <v>0</v>
      </c>
      <c r="DF25" s="7">
        <f t="shared" si="10"/>
        <v>0</v>
      </c>
      <c r="DG25" s="7">
        <f t="shared" si="10"/>
        <v>0</v>
      </c>
      <c r="DH25" s="7">
        <f t="shared" si="10"/>
        <v>0</v>
      </c>
      <c r="DI25" s="7">
        <f t="shared" si="10"/>
        <v>0</v>
      </c>
      <c r="DJ25" s="7">
        <f t="shared" si="10"/>
        <v>0</v>
      </c>
      <c r="DK25" s="7">
        <f t="shared" si="10"/>
        <v>0</v>
      </c>
      <c r="DL25" s="7">
        <f t="shared" si="10"/>
        <v>0</v>
      </c>
      <c r="DM25" s="7">
        <f t="shared" si="10"/>
        <v>0</v>
      </c>
      <c r="DN25" s="7">
        <f t="shared" si="10"/>
        <v>0</v>
      </c>
      <c r="DO25" s="7">
        <f t="shared" si="10"/>
        <v>0</v>
      </c>
      <c r="DP25" s="7">
        <f t="shared" si="10"/>
        <v>0</v>
      </c>
      <c r="DQ25" s="7">
        <f t="shared" si="10"/>
        <v>0</v>
      </c>
      <c r="DR25" s="7">
        <f t="shared" si="10"/>
        <v>0</v>
      </c>
      <c r="DS25" s="7">
        <f t="shared" si="10"/>
        <v>0</v>
      </c>
      <c r="DT25" s="7">
        <f t="shared" si="10"/>
        <v>0</v>
      </c>
      <c r="DU25" s="7">
        <f t="shared" si="10"/>
        <v>0</v>
      </c>
      <c r="DV25" s="7">
        <f t="shared" si="10"/>
        <v>0</v>
      </c>
      <c r="DW25" s="7">
        <f t="shared" si="10"/>
        <v>0</v>
      </c>
      <c r="DX25" s="7">
        <f t="shared" si="10"/>
        <v>0</v>
      </c>
      <c r="DY25" s="7">
        <f t="shared" si="10"/>
        <v>0</v>
      </c>
      <c r="DZ25" s="7">
        <f t="shared" si="10"/>
        <v>0</v>
      </c>
      <c r="EA25" s="7">
        <f t="shared" si="10"/>
        <v>0</v>
      </c>
    </row>
    <row r="26" spans="1:131" s="484" customFormat="1" outlineLevel="2" x14ac:dyDescent="0.35">
      <c r="A26" s="102"/>
      <c r="B26" s="102"/>
      <c r="C26" s="103"/>
      <c r="D26" s="104"/>
      <c r="E26" s="147" t="str">
        <f xml:space="preserve"> LEFT(E25, LEN(E25) - 4)</f>
        <v xml:space="preserve">Senior debt principal repayment </v>
      </c>
      <c r="F26" s="147"/>
      <c r="G26" s="147" t="str">
        <f xml:space="preserve"> SMU</f>
        <v>$ 000s</v>
      </c>
      <c r="H26" s="147">
        <f xml:space="preserve"> SUM(J26:EA26)</f>
        <v>-70000</v>
      </c>
      <c r="I26" s="105"/>
      <c r="J26" s="147">
        <f t="shared" ref="J26:BU26" si="11" xml:space="preserve"> -1 * J25</f>
        <v>0</v>
      </c>
      <c r="K26" s="147">
        <f t="shared" si="11"/>
        <v>0</v>
      </c>
      <c r="L26" s="147">
        <f t="shared" si="11"/>
        <v>0</v>
      </c>
      <c r="M26" s="147">
        <f t="shared" si="11"/>
        <v>-1750</v>
      </c>
      <c r="N26" s="147">
        <f t="shared" si="11"/>
        <v>-1750</v>
      </c>
      <c r="O26" s="147">
        <f t="shared" si="11"/>
        <v>-1750</v>
      </c>
      <c r="P26" s="147">
        <f t="shared" si="11"/>
        <v>-1750</v>
      </c>
      <c r="Q26" s="147">
        <f t="shared" si="11"/>
        <v>-1750</v>
      </c>
      <c r="R26" s="147">
        <f t="shared" si="11"/>
        <v>-1750</v>
      </c>
      <c r="S26" s="147">
        <f t="shared" si="11"/>
        <v>-1750</v>
      </c>
      <c r="T26" s="147">
        <f t="shared" si="11"/>
        <v>-1750</v>
      </c>
      <c r="U26" s="147">
        <f t="shared" si="11"/>
        <v>-1750</v>
      </c>
      <c r="V26" s="147">
        <f t="shared" si="11"/>
        <v>-1750</v>
      </c>
      <c r="W26" s="147">
        <f t="shared" si="11"/>
        <v>-1750</v>
      </c>
      <c r="X26" s="147">
        <f t="shared" si="11"/>
        <v>-1750</v>
      </c>
      <c r="Y26" s="147">
        <f t="shared" si="11"/>
        <v>-1750</v>
      </c>
      <c r="Z26" s="147">
        <f t="shared" si="11"/>
        <v>-1750</v>
      </c>
      <c r="AA26" s="147">
        <f t="shared" si="11"/>
        <v>-1750</v>
      </c>
      <c r="AB26" s="147">
        <f t="shared" si="11"/>
        <v>-1750</v>
      </c>
      <c r="AC26" s="147">
        <f t="shared" si="11"/>
        <v>-1750</v>
      </c>
      <c r="AD26" s="147">
        <f t="shared" si="11"/>
        <v>-1750</v>
      </c>
      <c r="AE26" s="147">
        <f t="shared" si="11"/>
        <v>-1750</v>
      </c>
      <c r="AF26" s="147">
        <f t="shared" si="11"/>
        <v>-1750</v>
      </c>
      <c r="AG26" s="147">
        <f t="shared" si="11"/>
        <v>-1750</v>
      </c>
      <c r="AH26" s="147">
        <f t="shared" si="11"/>
        <v>-1750</v>
      </c>
      <c r="AI26" s="147">
        <f t="shared" si="11"/>
        <v>-1750</v>
      </c>
      <c r="AJ26" s="147">
        <f t="shared" si="11"/>
        <v>-1750</v>
      </c>
      <c r="AK26" s="147">
        <f t="shared" si="11"/>
        <v>-1750</v>
      </c>
      <c r="AL26" s="147">
        <f t="shared" si="11"/>
        <v>-1750</v>
      </c>
      <c r="AM26" s="147">
        <f t="shared" si="11"/>
        <v>-1750</v>
      </c>
      <c r="AN26" s="147">
        <f t="shared" si="11"/>
        <v>-1750</v>
      </c>
      <c r="AO26" s="147">
        <f t="shared" si="11"/>
        <v>-1750</v>
      </c>
      <c r="AP26" s="147">
        <f t="shared" si="11"/>
        <v>-1750</v>
      </c>
      <c r="AQ26" s="147">
        <f t="shared" si="11"/>
        <v>-1750</v>
      </c>
      <c r="AR26" s="147">
        <f t="shared" si="11"/>
        <v>-1750</v>
      </c>
      <c r="AS26" s="147">
        <f t="shared" si="11"/>
        <v>-1750</v>
      </c>
      <c r="AT26" s="147">
        <f t="shared" si="11"/>
        <v>-1750</v>
      </c>
      <c r="AU26" s="147">
        <f t="shared" si="11"/>
        <v>-1750</v>
      </c>
      <c r="AV26" s="147">
        <f t="shared" si="11"/>
        <v>-1750</v>
      </c>
      <c r="AW26" s="147">
        <f t="shared" si="11"/>
        <v>-1750</v>
      </c>
      <c r="AX26" s="147">
        <f t="shared" si="11"/>
        <v>-1750</v>
      </c>
      <c r="AY26" s="147">
        <f t="shared" si="11"/>
        <v>-1750</v>
      </c>
      <c r="AZ26" s="147">
        <f t="shared" si="11"/>
        <v>-1750</v>
      </c>
      <c r="BA26" s="147">
        <f t="shared" si="11"/>
        <v>0</v>
      </c>
      <c r="BB26" s="147">
        <f t="shared" si="11"/>
        <v>0</v>
      </c>
      <c r="BC26" s="147">
        <f t="shared" si="11"/>
        <v>0</v>
      </c>
      <c r="BD26" s="147">
        <f t="shared" si="11"/>
        <v>0</v>
      </c>
      <c r="BE26" s="147">
        <f t="shared" si="11"/>
        <v>0</v>
      </c>
      <c r="BF26" s="147">
        <f t="shared" si="11"/>
        <v>0</v>
      </c>
      <c r="BG26" s="147">
        <f t="shared" si="11"/>
        <v>0</v>
      </c>
      <c r="BH26" s="147">
        <f t="shared" si="11"/>
        <v>0</v>
      </c>
      <c r="BI26" s="147">
        <f t="shared" si="11"/>
        <v>0</v>
      </c>
      <c r="BJ26" s="147">
        <f t="shared" si="11"/>
        <v>0</v>
      </c>
      <c r="BK26" s="147">
        <f t="shared" si="11"/>
        <v>0</v>
      </c>
      <c r="BL26" s="147">
        <f t="shared" si="11"/>
        <v>0</v>
      </c>
      <c r="BM26" s="147">
        <f t="shared" si="11"/>
        <v>0</v>
      </c>
      <c r="BN26" s="147">
        <f t="shared" si="11"/>
        <v>0</v>
      </c>
      <c r="BO26" s="147">
        <f t="shared" si="11"/>
        <v>0</v>
      </c>
      <c r="BP26" s="147">
        <f t="shared" si="11"/>
        <v>0</v>
      </c>
      <c r="BQ26" s="147">
        <f t="shared" si="11"/>
        <v>0</v>
      </c>
      <c r="BR26" s="147">
        <f t="shared" si="11"/>
        <v>0</v>
      </c>
      <c r="BS26" s="147">
        <f t="shared" si="11"/>
        <v>0</v>
      </c>
      <c r="BT26" s="147">
        <f t="shared" si="11"/>
        <v>0</v>
      </c>
      <c r="BU26" s="147">
        <f t="shared" si="11"/>
        <v>0</v>
      </c>
      <c r="BV26" s="147">
        <f t="shared" ref="BV26:EA26" si="12" xml:space="preserve"> -1 * BV25</f>
        <v>0</v>
      </c>
      <c r="BW26" s="147">
        <f t="shared" si="12"/>
        <v>0</v>
      </c>
      <c r="BX26" s="147">
        <f t="shared" si="12"/>
        <v>0</v>
      </c>
      <c r="BY26" s="147">
        <f t="shared" si="12"/>
        <v>0</v>
      </c>
      <c r="BZ26" s="147">
        <f t="shared" si="12"/>
        <v>0</v>
      </c>
      <c r="CA26" s="147">
        <f t="shared" si="12"/>
        <v>0</v>
      </c>
      <c r="CB26" s="147">
        <f t="shared" si="12"/>
        <v>0</v>
      </c>
      <c r="CC26" s="147">
        <f t="shared" si="12"/>
        <v>0</v>
      </c>
      <c r="CD26" s="147">
        <f t="shared" si="12"/>
        <v>0</v>
      </c>
      <c r="CE26" s="147">
        <f t="shared" si="12"/>
        <v>0</v>
      </c>
      <c r="CF26" s="147">
        <f t="shared" si="12"/>
        <v>0</v>
      </c>
      <c r="CG26" s="147">
        <f t="shared" si="12"/>
        <v>0</v>
      </c>
      <c r="CH26" s="147">
        <f t="shared" si="12"/>
        <v>0</v>
      </c>
      <c r="CI26" s="147">
        <f t="shared" si="12"/>
        <v>0</v>
      </c>
      <c r="CJ26" s="147">
        <f t="shared" si="12"/>
        <v>0</v>
      </c>
      <c r="CK26" s="147">
        <f t="shared" si="12"/>
        <v>0</v>
      </c>
      <c r="CL26" s="147">
        <f t="shared" si="12"/>
        <v>0</v>
      </c>
      <c r="CM26" s="147">
        <f t="shared" si="12"/>
        <v>0</v>
      </c>
      <c r="CN26" s="147">
        <f t="shared" si="12"/>
        <v>0</v>
      </c>
      <c r="CO26" s="147">
        <f t="shared" si="12"/>
        <v>0</v>
      </c>
      <c r="CP26" s="147">
        <f t="shared" si="12"/>
        <v>0</v>
      </c>
      <c r="CQ26" s="147">
        <f t="shared" si="12"/>
        <v>0</v>
      </c>
      <c r="CR26" s="147">
        <f t="shared" si="12"/>
        <v>0</v>
      </c>
      <c r="CS26" s="147">
        <f t="shared" si="12"/>
        <v>0</v>
      </c>
      <c r="CT26" s="147">
        <f t="shared" si="12"/>
        <v>0</v>
      </c>
      <c r="CU26" s="147">
        <f t="shared" si="12"/>
        <v>0</v>
      </c>
      <c r="CV26" s="147">
        <f t="shared" si="12"/>
        <v>0</v>
      </c>
      <c r="CW26" s="147">
        <f t="shared" si="12"/>
        <v>0</v>
      </c>
      <c r="CX26" s="147">
        <f t="shared" si="12"/>
        <v>0</v>
      </c>
      <c r="CY26" s="147">
        <f t="shared" si="12"/>
        <v>0</v>
      </c>
      <c r="CZ26" s="147">
        <f t="shared" si="12"/>
        <v>0</v>
      </c>
      <c r="DA26" s="147">
        <f t="shared" si="12"/>
        <v>0</v>
      </c>
      <c r="DB26" s="147">
        <f t="shared" si="12"/>
        <v>0</v>
      </c>
      <c r="DC26" s="147">
        <f t="shared" si="12"/>
        <v>0</v>
      </c>
      <c r="DD26" s="147">
        <f t="shared" si="12"/>
        <v>0</v>
      </c>
      <c r="DE26" s="147">
        <f t="shared" si="12"/>
        <v>0</v>
      </c>
      <c r="DF26" s="147">
        <f t="shared" si="12"/>
        <v>0</v>
      </c>
      <c r="DG26" s="147">
        <f t="shared" si="12"/>
        <v>0</v>
      </c>
      <c r="DH26" s="147">
        <f t="shared" si="12"/>
        <v>0</v>
      </c>
      <c r="DI26" s="147">
        <f t="shared" si="12"/>
        <v>0</v>
      </c>
      <c r="DJ26" s="147">
        <f t="shared" si="12"/>
        <v>0</v>
      </c>
      <c r="DK26" s="147">
        <f t="shared" si="12"/>
        <v>0</v>
      </c>
      <c r="DL26" s="147">
        <f t="shared" si="12"/>
        <v>0</v>
      </c>
      <c r="DM26" s="147">
        <f t="shared" si="12"/>
        <v>0</v>
      </c>
      <c r="DN26" s="147">
        <f t="shared" si="12"/>
        <v>0</v>
      </c>
      <c r="DO26" s="147">
        <f t="shared" si="12"/>
        <v>0</v>
      </c>
      <c r="DP26" s="147">
        <f t="shared" si="12"/>
        <v>0</v>
      </c>
      <c r="DQ26" s="147">
        <f t="shared" si="12"/>
        <v>0</v>
      </c>
      <c r="DR26" s="147">
        <f t="shared" si="12"/>
        <v>0</v>
      </c>
      <c r="DS26" s="147">
        <f t="shared" si="12"/>
        <v>0</v>
      </c>
      <c r="DT26" s="147">
        <f t="shared" si="12"/>
        <v>0</v>
      </c>
      <c r="DU26" s="147">
        <f t="shared" si="12"/>
        <v>0</v>
      </c>
      <c r="DV26" s="147">
        <f t="shared" si="12"/>
        <v>0</v>
      </c>
      <c r="DW26" s="147">
        <f t="shared" si="12"/>
        <v>0</v>
      </c>
      <c r="DX26" s="147">
        <f t="shared" si="12"/>
        <v>0</v>
      </c>
      <c r="DY26" s="147">
        <f t="shared" si="12"/>
        <v>0</v>
      </c>
      <c r="DZ26" s="147">
        <f t="shared" si="12"/>
        <v>0</v>
      </c>
      <c r="EA26" s="147">
        <f t="shared" si="12"/>
        <v>0</v>
      </c>
    </row>
    <row r="27" spans="1:131" outlineLevel="1" x14ac:dyDescent="0.35"/>
    <row r="28" spans="1:131" outlineLevel="1" x14ac:dyDescent="0.35">
      <c r="B28" s="8" t="s">
        <v>253</v>
      </c>
    </row>
    <row r="29" spans="1:131" outlineLevel="2" x14ac:dyDescent="0.35"/>
    <row r="30" spans="1:131" outlineLevel="2" x14ac:dyDescent="0.35"/>
    <row r="31" spans="1:131" outlineLevel="1" x14ac:dyDescent="0.35"/>
    <row r="32" spans="1:131" outlineLevel="1" x14ac:dyDescent="0.35">
      <c r="B32" s="8" t="s">
        <v>251</v>
      </c>
    </row>
    <row r="33" spans="1:131" outlineLevel="2" x14ac:dyDescent="0.35"/>
    <row r="34" spans="1:131" outlineLevel="2" x14ac:dyDescent="0.35">
      <c r="A34" s="171"/>
      <c r="B34" s="171"/>
      <c r="C34" s="172"/>
      <c r="D34" s="173"/>
      <c r="E34" s="174" t="str">
        <f t="shared" ref="E34:G34" si="13" xml:space="preserve"> E$12</f>
        <v>Senior debt initial drawdown</v>
      </c>
      <c r="F34" s="174">
        <f t="shared" si="13"/>
        <v>70000</v>
      </c>
      <c r="G34" s="174" t="str">
        <f t="shared" si="13"/>
        <v>$ 000s</v>
      </c>
      <c r="H34" s="174"/>
      <c r="I34" s="175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4"/>
      <c r="CC34" s="174"/>
      <c r="CD34" s="174"/>
      <c r="CE34" s="174"/>
      <c r="CF34" s="174"/>
      <c r="CG34" s="174"/>
      <c r="CH34" s="174"/>
      <c r="CI34" s="174"/>
      <c r="CJ34" s="174"/>
      <c r="CK34" s="174"/>
      <c r="CL34" s="174"/>
      <c r="CM34" s="174"/>
      <c r="CN34" s="174"/>
      <c r="CO34" s="174"/>
      <c r="CP34" s="174"/>
      <c r="CQ34" s="174"/>
      <c r="CR34" s="174"/>
      <c r="CS34" s="174"/>
      <c r="CT34" s="174"/>
      <c r="CU34" s="174"/>
      <c r="CV34" s="174"/>
      <c r="CW34" s="174"/>
      <c r="CX34" s="174"/>
      <c r="CY34" s="174"/>
      <c r="CZ34" s="174"/>
      <c r="DA34" s="174"/>
      <c r="DB34" s="174"/>
      <c r="DC34" s="174"/>
      <c r="DD34" s="174"/>
      <c r="DE34" s="174"/>
      <c r="DF34" s="174"/>
      <c r="DG34" s="174"/>
      <c r="DH34" s="174"/>
      <c r="DI34" s="174"/>
      <c r="DJ34" s="174"/>
      <c r="DK34" s="174"/>
      <c r="DL34" s="174"/>
      <c r="DM34" s="174"/>
      <c r="DN34" s="174"/>
      <c r="DO34" s="174"/>
      <c r="DP34" s="174"/>
      <c r="DQ34" s="174"/>
      <c r="DR34" s="174"/>
      <c r="DS34" s="174"/>
      <c r="DT34" s="174"/>
      <c r="DU34" s="174"/>
      <c r="DV34" s="174"/>
      <c r="DW34" s="174"/>
      <c r="DX34" s="174"/>
      <c r="DY34" s="174"/>
      <c r="DZ34" s="174"/>
      <c r="EA34" s="174"/>
    </row>
    <row r="35" spans="1:131" outlineLevel="2" x14ac:dyDescent="0.35">
      <c r="E35" s="182" t="str">
        <f xml:space="preserve"> Time!E$76</f>
        <v>Financial close date flag</v>
      </c>
      <c r="F35" s="182">
        <f xml:space="preserve"> Time!F$76</f>
        <v>0</v>
      </c>
      <c r="G35" s="182" t="str">
        <f xml:space="preserve"> Time!G$76</f>
        <v>flag</v>
      </c>
      <c r="H35" s="182">
        <f xml:space="preserve"> Time!H$76</f>
        <v>1</v>
      </c>
      <c r="I35" s="182">
        <f xml:space="preserve"> Time!I$76</f>
        <v>0</v>
      </c>
      <c r="J35" s="182">
        <f xml:space="preserve"> Time!J$76</f>
        <v>0</v>
      </c>
      <c r="K35" s="182">
        <f xml:space="preserve"> Time!K$76</f>
        <v>0</v>
      </c>
      <c r="L35" s="182">
        <f xml:space="preserve"> Time!L$76</f>
        <v>1</v>
      </c>
      <c r="M35" s="182">
        <f xml:space="preserve"> Time!M$76</f>
        <v>0</v>
      </c>
      <c r="N35" s="182">
        <f xml:space="preserve"> Time!N$76</f>
        <v>0</v>
      </c>
      <c r="O35" s="182">
        <f xml:space="preserve"> Time!O$76</f>
        <v>0</v>
      </c>
      <c r="P35" s="182">
        <f xml:space="preserve"> Time!P$76</f>
        <v>0</v>
      </c>
      <c r="Q35" s="182">
        <f xml:space="preserve"> Time!Q$76</f>
        <v>0</v>
      </c>
      <c r="R35" s="182">
        <f xml:space="preserve"> Time!R$76</f>
        <v>0</v>
      </c>
      <c r="S35" s="182">
        <f xml:space="preserve"> Time!S$76</f>
        <v>0</v>
      </c>
      <c r="T35" s="182">
        <f xml:space="preserve"> Time!T$76</f>
        <v>0</v>
      </c>
      <c r="U35" s="182">
        <f xml:space="preserve"> Time!U$76</f>
        <v>0</v>
      </c>
      <c r="V35" s="182">
        <f xml:space="preserve"> Time!V$76</f>
        <v>0</v>
      </c>
      <c r="W35" s="182">
        <f xml:space="preserve"> Time!W$76</f>
        <v>0</v>
      </c>
      <c r="X35" s="182">
        <f xml:space="preserve"> Time!X$76</f>
        <v>0</v>
      </c>
      <c r="Y35" s="182">
        <f xml:space="preserve"> Time!Y$76</f>
        <v>0</v>
      </c>
      <c r="Z35" s="182">
        <f xml:space="preserve"> Time!Z$76</f>
        <v>0</v>
      </c>
      <c r="AA35" s="182">
        <f xml:space="preserve"> Time!AA$76</f>
        <v>0</v>
      </c>
      <c r="AB35" s="182">
        <f xml:space="preserve"> Time!AB$76</f>
        <v>0</v>
      </c>
      <c r="AC35" s="182">
        <f xml:space="preserve"> Time!AC$76</f>
        <v>0</v>
      </c>
      <c r="AD35" s="182">
        <f xml:space="preserve"> Time!AD$76</f>
        <v>0</v>
      </c>
      <c r="AE35" s="182">
        <f xml:space="preserve"> Time!AE$76</f>
        <v>0</v>
      </c>
      <c r="AF35" s="182">
        <f xml:space="preserve"> Time!AF$76</f>
        <v>0</v>
      </c>
      <c r="AG35" s="182">
        <f xml:space="preserve"> Time!AG$76</f>
        <v>0</v>
      </c>
      <c r="AH35" s="182">
        <f xml:space="preserve"> Time!AH$76</f>
        <v>0</v>
      </c>
      <c r="AI35" s="182">
        <f xml:space="preserve"> Time!AI$76</f>
        <v>0</v>
      </c>
      <c r="AJ35" s="182">
        <f xml:space="preserve"> Time!AJ$76</f>
        <v>0</v>
      </c>
      <c r="AK35" s="182">
        <f xml:space="preserve"> Time!AK$76</f>
        <v>0</v>
      </c>
      <c r="AL35" s="182">
        <f xml:space="preserve"> Time!AL$76</f>
        <v>0</v>
      </c>
      <c r="AM35" s="182">
        <f xml:space="preserve"> Time!AM$76</f>
        <v>0</v>
      </c>
      <c r="AN35" s="182">
        <f xml:space="preserve"> Time!AN$76</f>
        <v>0</v>
      </c>
      <c r="AO35" s="182">
        <f xml:space="preserve"> Time!AO$76</f>
        <v>0</v>
      </c>
      <c r="AP35" s="182">
        <f xml:space="preserve"> Time!AP$76</f>
        <v>0</v>
      </c>
      <c r="AQ35" s="182">
        <f xml:space="preserve"> Time!AQ$76</f>
        <v>0</v>
      </c>
      <c r="AR35" s="182">
        <f xml:space="preserve"> Time!AR$76</f>
        <v>0</v>
      </c>
      <c r="AS35" s="182">
        <f xml:space="preserve"> Time!AS$76</f>
        <v>0</v>
      </c>
      <c r="AT35" s="182">
        <f xml:space="preserve"> Time!AT$76</f>
        <v>0</v>
      </c>
      <c r="AU35" s="182">
        <f xml:space="preserve"> Time!AU$76</f>
        <v>0</v>
      </c>
      <c r="AV35" s="182">
        <f xml:space="preserve"> Time!AV$76</f>
        <v>0</v>
      </c>
      <c r="AW35" s="182">
        <f xml:space="preserve"> Time!AW$76</f>
        <v>0</v>
      </c>
      <c r="AX35" s="182">
        <f xml:space="preserve"> Time!AX$76</f>
        <v>0</v>
      </c>
      <c r="AY35" s="182">
        <f xml:space="preserve"> Time!AY$76</f>
        <v>0</v>
      </c>
      <c r="AZ35" s="182">
        <f xml:space="preserve"> Time!AZ$76</f>
        <v>0</v>
      </c>
      <c r="BA35" s="182">
        <f xml:space="preserve"> Time!BA$76</f>
        <v>0</v>
      </c>
      <c r="BB35" s="182">
        <f xml:space="preserve"> Time!BB$76</f>
        <v>0</v>
      </c>
      <c r="BC35" s="182">
        <f xml:space="preserve"> Time!BC$76</f>
        <v>0</v>
      </c>
      <c r="BD35" s="182">
        <f xml:space="preserve"> Time!BD$76</f>
        <v>0</v>
      </c>
      <c r="BE35" s="182">
        <f xml:space="preserve"> Time!BE$76</f>
        <v>0</v>
      </c>
      <c r="BF35" s="182">
        <f xml:space="preserve"> Time!BF$76</f>
        <v>0</v>
      </c>
      <c r="BG35" s="182">
        <f xml:space="preserve"> Time!BG$76</f>
        <v>0</v>
      </c>
      <c r="BH35" s="182">
        <f xml:space="preserve"> Time!BH$76</f>
        <v>0</v>
      </c>
      <c r="BI35" s="182">
        <f xml:space="preserve"> Time!BI$76</f>
        <v>0</v>
      </c>
      <c r="BJ35" s="182">
        <f xml:space="preserve"> Time!BJ$76</f>
        <v>0</v>
      </c>
      <c r="BK35" s="182">
        <f xml:space="preserve"> Time!BK$76</f>
        <v>0</v>
      </c>
      <c r="BL35" s="182">
        <f xml:space="preserve"> Time!BL$76</f>
        <v>0</v>
      </c>
      <c r="BM35" s="182">
        <f xml:space="preserve"> Time!BM$76</f>
        <v>0</v>
      </c>
      <c r="BN35" s="182">
        <f xml:space="preserve"> Time!BN$76</f>
        <v>0</v>
      </c>
      <c r="BO35" s="182">
        <f xml:space="preserve"> Time!BO$76</f>
        <v>0</v>
      </c>
      <c r="BP35" s="182">
        <f xml:space="preserve"> Time!BP$76</f>
        <v>0</v>
      </c>
      <c r="BQ35" s="182">
        <f xml:space="preserve"> Time!BQ$76</f>
        <v>0</v>
      </c>
      <c r="BR35" s="182">
        <f xml:space="preserve"> Time!BR$76</f>
        <v>0</v>
      </c>
      <c r="BS35" s="182">
        <f xml:space="preserve"> Time!BS$76</f>
        <v>0</v>
      </c>
      <c r="BT35" s="182">
        <f xml:space="preserve"> Time!BT$76</f>
        <v>0</v>
      </c>
      <c r="BU35" s="182">
        <f xml:space="preserve"> Time!BU$76</f>
        <v>0</v>
      </c>
      <c r="BV35" s="182">
        <f xml:space="preserve"> Time!BV$76</f>
        <v>0</v>
      </c>
      <c r="BW35" s="182">
        <f xml:space="preserve"> Time!BW$76</f>
        <v>0</v>
      </c>
      <c r="BX35" s="182">
        <f xml:space="preserve"> Time!BX$76</f>
        <v>0</v>
      </c>
      <c r="BY35" s="182">
        <f xml:space="preserve"> Time!BY$76</f>
        <v>0</v>
      </c>
      <c r="BZ35" s="182">
        <f xml:space="preserve"> Time!BZ$76</f>
        <v>0</v>
      </c>
      <c r="CA35" s="182">
        <f xml:space="preserve"> Time!CA$76</f>
        <v>0</v>
      </c>
      <c r="CB35" s="182">
        <f xml:space="preserve"> Time!CB$76</f>
        <v>0</v>
      </c>
      <c r="CC35" s="182">
        <f xml:space="preserve"> Time!CC$76</f>
        <v>0</v>
      </c>
      <c r="CD35" s="182">
        <f xml:space="preserve"> Time!CD$76</f>
        <v>0</v>
      </c>
      <c r="CE35" s="182">
        <f xml:space="preserve"> Time!CE$76</f>
        <v>0</v>
      </c>
      <c r="CF35" s="182">
        <f xml:space="preserve"> Time!CF$76</f>
        <v>0</v>
      </c>
      <c r="CG35" s="182">
        <f xml:space="preserve"> Time!CG$76</f>
        <v>0</v>
      </c>
      <c r="CH35" s="182">
        <f xml:space="preserve"> Time!CH$76</f>
        <v>0</v>
      </c>
      <c r="CI35" s="182">
        <f xml:space="preserve"> Time!CI$76</f>
        <v>0</v>
      </c>
      <c r="CJ35" s="182">
        <f xml:space="preserve"> Time!CJ$76</f>
        <v>0</v>
      </c>
      <c r="CK35" s="182">
        <f xml:space="preserve"> Time!CK$76</f>
        <v>0</v>
      </c>
      <c r="CL35" s="182">
        <f xml:space="preserve"> Time!CL$76</f>
        <v>0</v>
      </c>
      <c r="CM35" s="182">
        <f xml:space="preserve"> Time!CM$76</f>
        <v>0</v>
      </c>
      <c r="CN35" s="182">
        <f xml:space="preserve"> Time!CN$76</f>
        <v>0</v>
      </c>
      <c r="CO35" s="182">
        <f xml:space="preserve"> Time!CO$76</f>
        <v>0</v>
      </c>
      <c r="CP35" s="182">
        <f xml:space="preserve"> Time!CP$76</f>
        <v>0</v>
      </c>
      <c r="CQ35" s="182">
        <f xml:space="preserve"> Time!CQ$76</f>
        <v>0</v>
      </c>
      <c r="CR35" s="182">
        <f xml:space="preserve"> Time!CR$76</f>
        <v>0</v>
      </c>
      <c r="CS35" s="182">
        <f xml:space="preserve"> Time!CS$76</f>
        <v>0</v>
      </c>
      <c r="CT35" s="182">
        <f xml:space="preserve"> Time!CT$76</f>
        <v>0</v>
      </c>
      <c r="CU35" s="182">
        <f xml:space="preserve"> Time!CU$76</f>
        <v>0</v>
      </c>
      <c r="CV35" s="182">
        <f xml:space="preserve"> Time!CV$76</f>
        <v>0</v>
      </c>
      <c r="CW35" s="182">
        <f xml:space="preserve"> Time!CW$76</f>
        <v>0</v>
      </c>
      <c r="CX35" s="182">
        <f xml:space="preserve"> Time!CX$76</f>
        <v>0</v>
      </c>
      <c r="CY35" s="182">
        <f xml:space="preserve"> Time!CY$76</f>
        <v>0</v>
      </c>
      <c r="CZ35" s="182">
        <f xml:space="preserve"> Time!CZ$76</f>
        <v>0</v>
      </c>
      <c r="DA35" s="182">
        <f xml:space="preserve"> Time!DA$76</f>
        <v>0</v>
      </c>
      <c r="DB35" s="182">
        <f xml:space="preserve"> Time!DB$76</f>
        <v>0</v>
      </c>
      <c r="DC35" s="182">
        <f xml:space="preserve"> Time!DC$76</f>
        <v>0</v>
      </c>
      <c r="DD35" s="182">
        <f xml:space="preserve"> Time!DD$76</f>
        <v>0</v>
      </c>
      <c r="DE35" s="182">
        <f xml:space="preserve"> Time!DE$76</f>
        <v>0</v>
      </c>
      <c r="DF35" s="182">
        <f xml:space="preserve"> Time!DF$76</f>
        <v>0</v>
      </c>
      <c r="DG35" s="182">
        <f xml:space="preserve"> Time!DG$76</f>
        <v>0</v>
      </c>
      <c r="DH35" s="182">
        <f xml:space="preserve"> Time!DH$76</f>
        <v>0</v>
      </c>
      <c r="DI35" s="182">
        <f xml:space="preserve"> Time!DI$76</f>
        <v>0</v>
      </c>
      <c r="DJ35" s="182">
        <f xml:space="preserve"> Time!DJ$76</f>
        <v>0</v>
      </c>
      <c r="DK35" s="182">
        <f xml:space="preserve"> Time!DK$76</f>
        <v>0</v>
      </c>
      <c r="DL35" s="182">
        <f xml:space="preserve"> Time!DL$76</f>
        <v>0</v>
      </c>
      <c r="DM35" s="182">
        <f xml:space="preserve"> Time!DM$76</f>
        <v>0</v>
      </c>
      <c r="DN35" s="182">
        <f xml:space="preserve"> Time!DN$76</f>
        <v>0</v>
      </c>
      <c r="DO35" s="182">
        <f xml:space="preserve"> Time!DO$76</f>
        <v>0</v>
      </c>
      <c r="DP35" s="182">
        <f xml:space="preserve"> Time!DP$76</f>
        <v>0</v>
      </c>
      <c r="DQ35" s="182">
        <f xml:space="preserve"> Time!DQ$76</f>
        <v>0</v>
      </c>
      <c r="DR35" s="182">
        <f xml:space="preserve"> Time!DR$76</f>
        <v>0</v>
      </c>
      <c r="DS35" s="182">
        <f xml:space="preserve"> Time!DS$76</f>
        <v>0</v>
      </c>
      <c r="DT35" s="182">
        <f xml:space="preserve"> Time!DT$76</f>
        <v>0</v>
      </c>
      <c r="DU35" s="182">
        <f xml:space="preserve"> Time!DU$76</f>
        <v>0</v>
      </c>
      <c r="DV35" s="182">
        <f xml:space="preserve"> Time!DV$76</f>
        <v>0</v>
      </c>
      <c r="DW35" s="182">
        <f xml:space="preserve"> Time!DW$76</f>
        <v>0</v>
      </c>
      <c r="DX35" s="182">
        <f xml:space="preserve"> Time!DX$76</f>
        <v>0</v>
      </c>
      <c r="DY35" s="182">
        <f xml:space="preserve"> Time!DY$76</f>
        <v>0</v>
      </c>
      <c r="DZ35" s="182">
        <f xml:space="preserve"> Time!DZ$76</f>
        <v>0</v>
      </c>
      <c r="EA35" s="182">
        <f xml:space="preserve"> Time!EA$76</f>
        <v>0</v>
      </c>
    </row>
    <row r="36" spans="1:131" outlineLevel="2" x14ac:dyDescent="0.35">
      <c r="E36" s="169"/>
      <c r="F36" s="169"/>
      <c r="G36" s="169"/>
      <c r="H36" s="169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E37" s="169" t="s">
        <v>254</v>
      </c>
      <c r="F37" s="169"/>
      <c r="G37" s="169" t="str">
        <f xml:space="preserve"> SMU</f>
        <v>$ 000s</v>
      </c>
      <c r="H37" s="169"/>
      <c r="I37" s="26"/>
      <c r="J37" s="169">
        <f t="shared" ref="J37:BU37" si="14">I39</f>
        <v>0</v>
      </c>
      <c r="K37" s="169">
        <f t="shared" si="14"/>
        <v>0</v>
      </c>
      <c r="L37" s="169">
        <f t="shared" si="14"/>
        <v>0</v>
      </c>
      <c r="M37" s="169">
        <f t="shared" si="14"/>
        <v>70000</v>
      </c>
      <c r="N37" s="169">
        <f t="shared" si="14"/>
        <v>68250</v>
      </c>
      <c r="O37" s="169">
        <f t="shared" si="14"/>
        <v>66500</v>
      </c>
      <c r="P37" s="169">
        <f t="shared" si="14"/>
        <v>64750</v>
      </c>
      <c r="Q37" s="169">
        <f t="shared" si="14"/>
        <v>63000</v>
      </c>
      <c r="R37" s="169">
        <f t="shared" si="14"/>
        <v>61250</v>
      </c>
      <c r="S37" s="169">
        <f t="shared" si="14"/>
        <v>59500</v>
      </c>
      <c r="T37" s="169">
        <f t="shared" si="14"/>
        <v>57750</v>
      </c>
      <c r="U37" s="169">
        <f t="shared" si="14"/>
        <v>56000</v>
      </c>
      <c r="V37" s="169">
        <f t="shared" si="14"/>
        <v>54250</v>
      </c>
      <c r="W37" s="169">
        <f t="shared" si="14"/>
        <v>52500</v>
      </c>
      <c r="X37" s="169">
        <f t="shared" si="14"/>
        <v>50750</v>
      </c>
      <c r="Y37" s="169">
        <f t="shared" si="14"/>
        <v>49000</v>
      </c>
      <c r="Z37" s="169">
        <f t="shared" si="14"/>
        <v>47250</v>
      </c>
      <c r="AA37" s="169">
        <f t="shared" si="14"/>
        <v>45500</v>
      </c>
      <c r="AB37" s="169">
        <f t="shared" si="14"/>
        <v>43750</v>
      </c>
      <c r="AC37" s="169">
        <f t="shared" si="14"/>
        <v>42000</v>
      </c>
      <c r="AD37" s="169">
        <f t="shared" si="14"/>
        <v>40250</v>
      </c>
      <c r="AE37" s="169">
        <f t="shared" si="14"/>
        <v>38500</v>
      </c>
      <c r="AF37" s="169">
        <f t="shared" si="14"/>
        <v>36750</v>
      </c>
      <c r="AG37" s="169">
        <f t="shared" si="14"/>
        <v>35000</v>
      </c>
      <c r="AH37" s="169">
        <f t="shared" si="14"/>
        <v>33250</v>
      </c>
      <c r="AI37" s="169">
        <f t="shared" si="14"/>
        <v>31500</v>
      </c>
      <c r="AJ37" s="169">
        <f t="shared" si="14"/>
        <v>29750</v>
      </c>
      <c r="AK37" s="169">
        <f t="shared" si="14"/>
        <v>28000</v>
      </c>
      <c r="AL37" s="169">
        <f t="shared" si="14"/>
        <v>26250</v>
      </c>
      <c r="AM37" s="169">
        <f t="shared" si="14"/>
        <v>24500</v>
      </c>
      <c r="AN37" s="169">
        <f t="shared" si="14"/>
        <v>22750</v>
      </c>
      <c r="AO37" s="169">
        <f t="shared" si="14"/>
        <v>21000</v>
      </c>
      <c r="AP37" s="169">
        <f t="shared" si="14"/>
        <v>19250</v>
      </c>
      <c r="AQ37" s="169">
        <f t="shared" si="14"/>
        <v>17500</v>
      </c>
      <c r="AR37" s="169">
        <f t="shared" si="14"/>
        <v>15750</v>
      </c>
      <c r="AS37" s="169">
        <f t="shared" si="14"/>
        <v>14000</v>
      </c>
      <c r="AT37" s="169">
        <f t="shared" si="14"/>
        <v>12250</v>
      </c>
      <c r="AU37" s="169">
        <f t="shared" si="14"/>
        <v>10500</v>
      </c>
      <c r="AV37" s="169">
        <f t="shared" si="14"/>
        <v>8750</v>
      </c>
      <c r="AW37" s="169">
        <f t="shared" si="14"/>
        <v>7000</v>
      </c>
      <c r="AX37" s="169">
        <f t="shared" si="14"/>
        <v>5250</v>
      </c>
      <c r="AY37" s="169">
        <f t="shared" si="14"/>
        <v>3500</v>
      </c>
      <c r="AZ37" s="169">
        <f t="shared" si="14"/>
        <v>1750</v>
      </c>
      <c r="BA37" s="169">
        <f t="shared" si="14"/>
        <v>0</v>
      </c>
      <c r="BB37" s="169">
        <f t="shared" si="14"/>
        <v>0</v>
      </c>
      <c r="BC37" s="169">
        <f t="shared" si="14"/>
        <v>0</v>
      </c>
      <c r="BD37" s="169">
        <f t="shared" si="14"/>
        <v>0</v>
      </c>
      <c r="BE37" s="169">
        <f t="shared" si="14"/>
        <v>0</v>
      </c>
      <c r="BF37" s="169">
        <f t="shared" si="14"/>
        <v>0</v>
      </c>
      <c r="BG37" s="169">
        <f t="shared" si="14"/>
        <v>0</v>
      </c>
      <c r="BH37" s="169">
        <f t="shared" si="14"/>
        <v>0</v>
      </c>
      <c r="BI37" s="169">
        <f t="shared" si="14"/>
        <v>0</v>
      </c>
      <c r="BJ37" s="169">
        <f t="shared" si="14"/>
        <v>0</v>
      </c>
      <c r="BK37" s="169">
        <f t="shared" si="14"/>
        <v>0</v>
      </c>
      <c r="BL37" s="169">
        <f t="shared" si="14"/>
        <v>0</v>
      </c>
      <c r="BM37" s="169">
        <f t="shared" si="14"/>
        <v>0</v>
      </c>
      <c r="BN37" s="169">
        <f t="shared" si="14"/>
        <v>0</v>
      </c>
      <c r="BO37" s="169">
        <f t="shared" si="14"/>
        <v>0</v>
      </c>
      <c r="BP37" s="169">
        <f t="shared" si="14"/>
        <v>0</v>
      </c>
      <c r="BQ37" s="169">
        <f t="shared" si="14"/>
        <v>0</v>
      </c>
      <c r="BR37" s="169">
        <f t="shared" si="14"/>
        <v>0</v>
      </c>
      <c r="BS37" s="169">
        <f t="shared" si="14"/>
        <v>0</v>
      </c>
      <c r="BT37" s="169">
        <f t="shared" si="14"/>
        <v>0</v>
      </c>
      <c r="BU37" s="169">
        <f t="shared" si="14"/>
        <v>0</v>
      </c>
      <c r="BV37" s="169">
        <f t="shared" ref="BV37:EA37" si="15">BU39</f>
        <v>0</v>
      </c>
      <c r="BW37" s="169">
        <f t="shared" si="15"/>
        <v>0</v>
      </c>
      <c r="BX37" s="169">
        <f t="shared" si="15"/>
        <v>0</v>
      </c>
      <c r="BY37" s="169">
        <f t="shared" si="15"/>
        <v>0</v>
      </c>
      <c r="BZ37" s="169">
        <f t="shared" si="15"/>
        <v>0</v>
      </c>
      <c r="CA37" s="169">
        <f t="shared" si="15"/>
        <v>0</v>
      </c>
      <c r="CB37" s="169">
        <f t="shared" si="15"/>
        <v>0</v>
      </c>
      <c r="CC37" s="169">
        <f t="shared" si="15"/>
        <v>0</v>
      </c>
      <c r="CD37" s="169">
        <f t="shared" si="15"/>
        <v>0</v>
      </c>
      <c r="CE37" s="169">
        <f t="shared" si="15"/>
        <v>0</v>
      </c>
      <c r="CF37" s="169">
        <f t="shared" si="15"/>
        <v>0</v>
      </c>
      <c r="CG37" s="169">
        <f t="shared" si="15"/>
        <v>0</v>
      </c>
      <c r="CH37" s="169">
        <f t="shared" si="15"/>
        <v>0</v>
      </c>
      <c r="CI37" s="169">
        <f t="shared" si="15"/>
        <v>0</v>
      </c>
      <c r="CJ37" s="169">
        <f t="shared" si="15"/>
        <v>0</v>
      </c>
      <c r="CK37" s="169">
        <f t="shared" si="15"/>
        <v>0</v>
      </c>
      <c r="CL37" s="169">
        <f t="shared" si="15"/>
        <v>0</v>
      </c>
      <c r="CM37" s="169">
        <f t="shared" si="15"/>
        <v>0</v>
      </c>
      <c r="CN37" s="169">
        <f t="shared" si="15"/>
        <v>0</v>
      </c>
      <c r="CO37" s="169">
        <f t="shared" si="15"/>
        <v>0</v>
      </c>
      <c r="CP37" s="169">
        <f t="shared" si="15"/>
        <v>0</v>
      </c>
      <c r="CQ37" s="169">
        <f t="shared" si="15"/>
        <v>0</v>
      </c>
      <c r="CR37" s="169">
        <f t="shared" si="15"/>
        <v>0</v>
      </c>
      <c r="CS37" s="169">
        <f t="shared" si="15"/>
        <v>0</v>
      </c>
      <c r="CT37" s="169">
        <f t="shared" si="15"/>
        <v>0</v>
      </c>
      <c r="CU37" s="169">
        <f t="shared" si="15"/>
        <v>0</v>
      </c>
      <c r="CV37" s="169">
        <f t="shared" si="15"/>
        <v>0</v>
      </c>
      <c r="CW37" s="169">
        <f t="shared" si="15"/>
        <v>0</v>
      </c>
      <c r="CX37" s="169">
        <f t="shared" si="15"/>
        <v>0</v>
      </c>
      <c r="CY37" s="169">
        <f t="shared" si="15"/>
        <v>0</v>
      </c>
      <c r="CZ37" s="169">
        <f t="shared" si="15"/>
        <v>0</v>
      </c>
      <c r="DA37" s="169">
        <f t="shared" si="15"/>
        <v>0</v>
      </c>
      <c r="DB37" s="169">
        <f t="shared" si="15"/>
        <v>0</v>
      </c>
      <c r="DC37" s="169">
        <f t="shared" si="15"/>
        <v>0</v>
      </c>
      <c r="DD37" s="169">
        <f t="shared" si="15"/>
        <v>0</v>
      </c>
      <c r="DE37" s="169">
        <f t="shared" si="15"/>
        <v>0</v>
      </c>
      <c r="DF37" s="169">
        <f t="shared" si="15"/>
        <v>0</v>
      </c>
      <c r="DG37" s="169">
        <f t="shared" si="15"/>
        <v>0</v>
      </c>
      <c r="DH37" s="169">
        <f t="shared" si="15"/>
        <v>0</v>
      </c>
      <c r="DI37" s="169">
        <f t="shared" si="15"/>
        <v>0</v>
      </c>
      <c r="DJ37" s="169">
        <f t="shared" si="15"/>
        <v>0</v>
      </c>
      <c r="DK37" s="169">
        <f t="shared" si="15"/>
        <v>0</v>
      </c>
      <c r="DL37" s="169">
        <f t="shared" si="15"/>
        <v>0</v>
      </c>
      <c r="DM37" s="169">
        <f t="shared" si="15"/>
        <v>0</v>
      </c>
      <c r="DN37" s="169">
        <f t="shared" si="15"/>
        <v>0</v>
      </c>
      <c r="DO37" s="169">
        <f t="shared" si="15"/>
        <v>0</v>
      </c>
      <c r="DP37" s="169">
        <f t="shared" si="15"/>
        <v>0</v>
      </c>
      <c r="DQ37" s="169">
        <f t="shared" si="15"/>
        <v>0</v>
      </c>
      <c r="DR37" s="169">
        <f t="shared" si="15"/>
        <v>0</v>
      </c>
      <c r="DS37" s="169">
        <f t="shared" si="15"/>
        <v>0</v>
      </c>
      <c r="DT37" s="169">
        <f t="shared" si="15"/>
        <v>0</v>
      </c>
      <c r="DU37" s="169">
        <f t="shared" si="15"/>
        <v>0</v>
      </c>
      <c r="DV37" s="169">
        <f t="shared" si="15"/>
        <v>0</v>
      </c>
      <c r="DW37" s="169">
        <f t="shared" si="15"/>
        <v>0</v>
      </c>
      <c r="DX37" s="169">
        <f t="shared" si="15"/>
        <v>0</v>
      </c>
      <c r="DY37" s="169">
        <f t="shared" si="15"/>
        <v>0</v>
      </c>
      <c r="DZ37" s="169">
        <f t="shared" si="15"/>
        <v>0</v>
      </c>
      <c r="EA37" s="169">
        <f t="shared" si="15"/>
        <v>0</v>
      </c>
    </row>
    <row r="38" spans="1:131" outlineLevel="2" x14ac:dyDescent="0.35">
      <c r="E38" s="26" t="str">
        <f t="shared" ref="E38:AJ38" si="16" xml:space="preserve"> E$25</f>
        <v xml:space="preserve">Senior debt principal repayment POS </v>
      </c>
      <c r="F38" s="26">
        <f t="shared" si="16"/>
        <v>0</v>
      </c>
      <c r="G38" s="26" t="str">
        <f t="shared" si="16"/>
        <v>$ 000s</v>
      </c>
      <c r="H38" s="26">
        <f t="shared" si="16"/>
        <v>70000</v>
      </c>
      <c r="I38" s="26">
        <f t="shared" si="16"/>
        <v>0</v>
      </c>
      <c r="J38" s="26">
        <f t="shared" si="16"/>
        <v>0</v>
      </c>
      <c r="K38" s="26">
        <f t="shared" si="16"/>
        <v>0</v>
      </c>
      <c r="L38" s="26">
        <f t="shared" si="16"/>
        <v>0</v>
      </c>
      <c r="M38" s="26">
        <f t="shared" si="16"/>
        <v>1750</v>
      </c>
      <c r="N38" s="26">
        <f t="shared" si="16"/>
        <v>1750</v>
      </c>
      <c r="O38" s="26">
        <f t="shared" si="16"/>
        <v>1750</v>
      </c>
      <c r="P38" s="26">
        <f t="shared" si="16"/>
        <v>1750</v>
      </c>
      <c r="Q38" s="26">
        <f t="shared" si="16"/>
        <v>1750</v>
      </c>
      <c r="R38" s="26">
        <f t="shared" si="16"/>
        <v>1750</v>
      </c>
      <c r="S38" s="26">
        <f t="shared" si="16"/>
        <v>1750</v>
      </c>
      <c r="T38" s="26">
        <f t="shared" si="16"/>
        <v>1750</v>
      </c>
      <c r="U38" s="26">
        <f t="shared" si="16"/>
        <v>1750</v>
      </c>
      <c r="V38" s="26">
        <f t="shared" si="16"/>
        <v>1750</v>
      </c>
      <c r="W38" s="26">
        <f t="shared" si="16"/>
        <v>1750</v>
      </c>
      <c r="X38" s="26">
        <f t="shared" si="16"/>
        <v>1750</v>
      </c>
      <c r="Y38" s="26">
        <f t="shared" si="16"/>
        <v>1750</v>
      </c>
      <c r="Z38" s="26">
        <f t="shared" si="16"/>
        <v>1750</v>
      </c>
      <c r="AA38" s="26">
        <f t="shared" si="16"/>
        <v>1750</v>
      </c>
      <c r="AB38" s="26">
        <f t="shared" si="16"/>
        <v>1750</v>
      </c>
      <c r="AC38" s="26">
        <f t="shared" si="16"/>
        <v>1750</v>
      </c>
      <c r="AD38" s="26">
        <f t="shared" si="16"/>
        <v>1750</v>
      </c>
      <c r="AE38" s="26">
        <f t="shared" si="16"/>
        <v>1750</v>
      </c>
      <c r="AF38" s="26">
        <f t="shared" si="16"/>
        <v>1750</v>
      </c>
      <c r="AG38" s="26">
        <f t="shared" si="16"/>
        <v>1750</v>
      </c>
      <c r="AH38" s="26">
        <f t="shared" si="16"/>
        <v>1750</v>
      </c>
      <c r="AI38" s="26">
        <f t="shared" si="16"/>
        <v>1750</v>
      </c>
      <c r="AJ38" s="26">
        <f t="shared" si="16"/>
        <v>1750</v>
      </c>
      <c r="AK38" s="26">
        <f t="shared" ref="AK38:BP38" si="17" xml:space="preserve"> AK$25</f>
        <v>1750</v>
      </c>
      <c r="AL38" s="26">
        <f t="shared" si="17"/>
        <v>1750</v>
      </c>
      <c r="AM38" s="26">
        <f t="shared" si="17"/>
        <v>1750</v>
      </c>
      <c r="AN38" s="26">
        <f t="shared" si="17"/>
        <v>1750</v>
      </c>
      <c r="AO38" s="26">
        <f t="shared" si="17"/>
        <v>1750</v>
      </c>
      <c r="AP38" s="26">
        <f t="shared" si="17"/>
        <v>1750</v>
      </c>
      <c r="AQ38" s="26">
        <f t="shared" si="17"/>
        <v>1750</v>
      </c>
      <c r="AR38" s="26">
        <f t="shared" si="17"/>
        <v>1750</v>
      </c>
      <c r="AS38" s="26">
        <f t="shared" si="17"/>
        <v>1750</v>
      </c>
      <c r="AT38" s="26">
        <f t="shared" si="17"/>
        <v>1750</v>
      </c>
      <c r="AU38" s="26">
        <f t="shared" si="17"/>
        <v>1750</v>
      </c>
      <c r="AV38" s="26">
        <f t="shared" si="17"/>
        <v>1750</v>
      </c>
      <c r="AW38" s="26">
        <f t="shared" si="17"/>
        <v>1750</v>
      </c>
      <c r="AX38" s="26">
        <f t="shared" si="17"/>
        <v>1750</v>
      </c>
      <c r="AY38" s="26">
        <f t="shared" si="17"/>
        <v>1750</v>
      </c>
      <c r="AZ38" s="26">
        <f t="shared" si="17"/>
        <v>1750</v>
      </c>
      <c r="BA38" s="26">
        <f t="shared" si="17"/>
        <v>0</v>
      </c>
      <c r="BB38" s="26">
        <f t="shared" si="17"/>
        <v>0</v>
      </c>
      <c r="BC38" s="26">
        <f t="shared" si="17"/>
        <v>0</v>
      </c>
      <c r="BD38" s="26">
        <f t="shared" si="17"/>
        <v>0</v>
      </c>
      <c r="BE38" s="26">
        <f t="shared" si="17"/>
        <v>0</v>
      </c>
      <c r="BF38" s="26">
        <f t="shared" si="17"/>
        <v>0</v>
      </c>
      <c r="BG38" s="26">
        <f t="shared" si="17"/>
        <v>0</v>
      </c>
      <c r="BH38" s="26">
        <f t="shared" si="17"/>
        <v>0</v>
      </c>
      <c r="BI38" s="26">
        <f t="shared" si="17"/>
        <v>0</v>
      </c>
      <c r="BJ38" s="26">
        <f t="shared" si="17"/>
        <v>0</v>
      </c>
      <c r="BK38" s="26">
        <f t="shared" si="17"/>
        <v>0</v>
      </c>
      <c r="BL38" s="26">
        <f t="shared" si="17"/>
        <v>0</v>
      </c>
      <c r="BM38" s="26">
        <f t="shared" si="17"/>
        <v>0</v>
      </c>
      <c r="BN38" s="26">
        <f t="shared" si="17"/>
        <v>0</v>
      </c>
      <c r="BO38" s="26">
        <f t="shared" si="17"/>
        <v>0</v>
      </c>
      <c r="BP38" s="26">
        <f t="shared" si="17"/>
        <v>0</v>
      </c>
      <c r="BQ38" s="26">
        <f t="shared" ref="BQ38:CV38" si="18" xml:space="preserve"> BQ$25</f>
        <v>0</v>
      </c>
      <c r="BR38" s="26">
        <f t="shared" si="18"/>
        <v>0</v>
      </c>
      <c r="BS38" s="26">
        <f t="shared" si="18"/>
        <v>0</v>
      </c>
      <c r="BT38" s="26">
        <f t="shared" si="18"/>
        <v>0</v>
      </c>
      <c r="BU38" s="26">
        <f t="shared" si="18"/>
        <v>0</v>
      </c>
      <c r="BV38" s="26">
        <f t="shared" si="18"/>
        <v>0</v>
      </c>
      <c r="BW38" s="26">
        <f t="shared" si="18"/>
        <v>0</v>
      </c>
      <c r="BX38" s="26">
        <f t="shared" si="18"/>
        <v>0</v>
      </c>
      <c r="BY38" s="26">
        <f t="shared" si="18"/>
        <v>0</v>
      </c>
      <c r="BZ38" s="26">
        <f t="shared" si="18"/>
        <v>0</v>
      </c>
      <c r="CA38" s="26">
        <f t="shared" si="18"/>
        <v>0</v>
      </c>
      <c r="CB38" s="26">
        <f t="shared" si="18"/>
        <v>0</v>
      </c>
      <c r="CC38" s="26">
        <f t="shared" si="18"/>
        <v>0</v>
      </c>
      <c r="CD38" s="26">
        <f t="shared" si="18"/>
        <v>0</v>
      </c>
      <c r="CE38" s="26">
        <f t="shared" si="18"/>
        <v>0</v>
      </c>
      <c r="CF38" s="26">
        <f t="shared" si="18"/>
        <v>0</v>
      </c>
      <c r="CG38" s="26">
        <f t="shared" si="18"/>
        <v>0</v>
      </c>
      <c r="CH38" s="26">
        <f t="shared" si="18"/>
        <v>0</v>
      </c>
      <c r="CI38" s="26">
        <f t="shared" si="18"/>
        <v>0</v>
      </c>
      <c r="CJ38" s="26">
        <f t="shared" si="18"/>
        <v>0</v>
      </c>
      <c r="CK38" s="26">
        <f t="shared" si="18"/>
        <v>0</v>
      </c>
      <c r="CL38" s="26">
        <f t="shared" si="18"/>
        <v>0</v>
      </c>
      <c r="CM38" s="26">
        <f t="shared" si="18"/>
        <v>0</v>
      </c>
      <c r="CN38" s="26">
        <f t="shared" si="18"/>
        <v>0</v>
      </c>
      <c r="CO38" s="26">
        <f t="shared" si="18"/>
        <v>0</v>
      </c>
      <c r="CP38" s="26">
        <f t="shared" si="18"/>
        <v>0</v>
      </c>
      <c r="CQ38" s="26">
        <f t="shared" si="18"/>
        <v>0</v>
      </c>
      <c r="CR38" s="26">
        <f t="shared" si="18"/>
        <v>0</v>
      </c>
      <c r="CS38" s="26">
        <f t="shared" si="18"/>
        <v>0</v>
      </c>
      <c r="CT38" s="26">
        <f t="shared" si="18"/>
        <v>0</v>
      </c>
      <c r="CU38" s="26">
        <f t="shared" si="18"/>
        <v>0</v>
      </c>
      <c r="CV38" s="26">
        <f t="shared" si="18"/>
        <v>0</v>
      </c>
      <c r="CW38" s="26">
        <f t="shared" ref="CW38:EA38" si="19" xml:space="preserve"> CW$25</f>
        <v>0</v>
      </c>
      <c r="CX38" s="26">
        <f t="shared" si="19"/>
        <v>0</v>
      </c>
      <c r="CY38" s="26">
        <f t="shared" si="19"/>
        <v>0</v>
      </c>
      <c r="CZ38" s="26">
        <f t="shared" si="19"/>
        <v>0</v>
      </c>
      <c r="DA38" s="26">
        <f t="shared" si="19"/>
        <v>0</v>
      </c>
      <c r="DB38" s="26">
        <f t="shared" si="19"/>
        <v>0</v>
      </c>
      <c r="DC38" s="26">
        <f t="shared" si="19"/>
        <v>0</v>
      </c>
      <c r="DD38" s="26">
        <f t="shared" si="19"/>
        <v>0</v>
      </c>
      <c r="DE38" s="26">
        <f t="shared" si="19"/>
        <v>0</v>
      </c>
      <c r="DF38" s="26">
        <f t="shared" si="19"/>
        <v>0</v>
      </c>
      <c r="DG38" s="26">
        <f t="shared" si="19"/>
        <v>0</v>
      </c>
      <c r="DH38" s="26">
        <f t="shared" si="19"/>
        <v>0</v>
      </c>
      <c r="DI38" s="26">
        <f t="shared" si="19"/>
        <v>0</v>
      </c>
      <c r="DJ38" s="26">
        <f t="shared" si="19"/>
        <v>0</v>
      </c>
      <c r="DK38" s="26">
        <f t="shared" si="19"/>
        <v>0</v>
      </c>
      <c r="DL38" s="26">
        <f t="shared" si="19"/>
        <v>0</v>
      </c>
      <c r="DM38" s="26">
        <f t="shared" si="19"/>
        <v>0</v>
      </c>
      <c r="DN38" s="26">
        <f t="shared" si="19"/>
        <v>0</v>
      </c>
      <c r="DO38" s="26">
        <f t="shared" si="19"/>
        <v>0</v>
      </c>
      <c r="DP38" s="26">
        <f t="shared" si="19"/>
        <v>0</v>
      </c>
      <c r="DQ38" s="26">
        <f t="shared" si="19"/>
        <v>0</v>
      </c>
      <c r="DR38" s="26">
        <f t="shared" si="19"/>
        <v>0</v>
      </c>
      <c r="DS38" s="26">
        <f t="shared" si="19"/>
        <v>0</v>
      </c>
      <c r="DT38" s="26">
        <f t="shared" si="19"/>
        <v>0</v>
      </c>
      <c r="DU38" s="26">
        <f t="shared" si="19"/>
        <v>0</v>
      </c>
      <c r="DV38" s="26">
        <f t="shared" si="19"/>
        <v>0</v>
      </c>
      <c r="DW38" s="26">
        <f t="shared" si="19"/>
        <v>0</v>
      </c>
      <c r="DX38" s="26">
        <f t="shared" si="19"/>
        <v>0</v>
      </c>
      <c r="DY38" s="26">
        <f t="shared" si="19"/>
        <v>0</v>
      </c>
      <c r="DZ38" s="26">
        <f t="shared" si="19"/>
        <v>0</v>
      </c>
      <c r="EA38" s="26">
        <f t="shared" si="19"/>
        <v>0</v>
      </c>
    </row>
    <row r="39" spans="1:131" s="484" customFormat="1" outlineLevel="2" x14ac:dyDescent="0.35">
      <c r="A39" s="429"/>
      <c r="B39" s="429"/>
      <c r="C39" s="430"/>
      <c r="D39" s="431"/>
      <c r="E39" s="432" t="s">
        <v>251</v>
      </c>
      <c r="F39" s="432"/>
      <c r="G39" s="432" t="str">
        <f xml:space="preserve"> SMU</f>
        <v>$ 000s</v>
      </c>
      <c r="H39" s="432"/>
      <c r="I39" s="433"/>
      <c r="J39" s="432">
        <f t="shared" ref="J39:AO39" si="20" xml:space="preserve"> IF( J35 = 1, $F34, J37 - J38)</f>
        <v>0</v>
      </c>
      <c r="K39" s="432">
        <f t="shared" si="20"/>
        <v>0</v>
      </c>
      <c r="L39" s="432">
        <f t="shared" si="20"/>
        <v>70000</v>
      </c>
      <c r="M39" s="432">
        <f t="shared" si="20"/>
        <v>68250</v>
      </c>
      <c r="N39" s="432">
        <f t="shared" si="20"/>
        <v>66500</v>
      </c>
      <c r="O39" s="432">
        <f t="shared" si="20"/>
        <v>64750</v>
      </c>
      <c r="P39" s="432">
        <f t="shared" si="20"/>
        <v>63000</v>
      </c>
      <c r="Q39" s="432">
        <f t="shared" si="20"/>
        <v>61250</v>
      </c>
      <c r="R39" s="432">
        <f t="shared" si="20"/>
        <v>59500</v>
      </c>
      <c r="S39" s="432">
        <f t="shared" si="20"/>
        <v>57750</v>
      </c>
      <c r="T39" s="432">
        <f t="shared" si="20"/>
        <v>56000</v>
      </c>
      <c r="U39" s="432">
        <f t="shared" si="20"/>
        <v>54250</v>
      </c>
      <c r="V39" s="432">
        <f t="shared" si="20"/>
        <v>52500</v>
      </c>
      <c r="W39" s="432">
        <f t="shared" si="20"/>
        <v>50750</v>
      </c>
      <c r="X39" s="432">
        <f t="shared" si="20"/>
        <v>49000</v>
      </c>
      <c r="Y39" s="432">
        <f t="shared" si="20"/>
        <v>47250</v>
      </c>
      <c r="Z39" s="432">
        <f t="shared" si="20"/>
        <v>45500</v>
      </c>
      <c r="AA39" s="432">
        <f t="shared" si="20"/>
        <v>43750</v>
      </c>
      <c r="AB39" s="432">
        <f t="shared" si="20"/>
        <v>42000</v>
      </c>
      <c r="AC39" s="432">
        <f t="shared" si="20"/>
        <v>40250</v>
      </c>
      <c r="AD39" s="432">
        <f t="shared" si="20"/>
        <v>38500</v>
      </c>
      <c r="AE39" s="432">
        <f t="shared" si="20"/>
        <v>36750</v>
      </c>
      <c r="AF39" s="432">
        <f t="shared" si="20"/>
        <v>35000</v>
      </c>
      <c r="AG39" s="432">
        <f t="shared" si="20"/>
        <v>33250</v>
      </c>
      <c r="AH39" s="432">
        <f t="shared" si="20"/>
        <v>31500</v>
      </c>
      <c r="AI39" s="432">
        <f t="shared" si="20"/>
        <v>29750</v>
      </c>
      <c r="AJ39" s="432">
        <f t="shared" si="20"/>
        <v>28000</v>
      </c>
      <c r="AK39" s="432">
        <f t="shared" si="20"/>
        <v>26250</v>
      </c>
      <c r="AL39" s="432">
        <f t="shared" si="20"/>
        <v>24500</v>
      </c>
      <c r="AM39" s="432">
        <f t="shared" si="20"/>
        <v>22750</v>
      </c>
      <c r="AN39" s="432">
        <f t="shared" si="20"/>
        <v>21000</v>
      </c>
      <c r="AO39" s="432">
        <f t="shared" si="20"/>
        <v>19250</v>
      </c>
      <c r="AP39" s="432">
        <f t="shared" ref="AP39:BU39" si="21" xml:space="preserve"> IF( AP35 = 1, $F34, AP37 - AP38)</f>
        <v>17500</v>
      </c>
      <c r="AQ39" s="432">
        <f t="shared" si="21"/>
        <v>15750</v>
      </c>
      <c r="AR39" s="432">
        <f t="shared" si="21"/>
        <v>14000</v>
      </c>
      <c r="AS39" s="432">
        <f t="shared" si="21"/>
        <v>12250</v>
      </c>
      <c r="AT39" s="432">
        <f t="shared" si="21"/>
        <v>10500</v>
      </c>
      <c r="AU39" s="432">
        <f t="shared" si="21"/>
        <v>8750</v>
      </c>
      <c r="AV39" s="432">
        <f t="shared" si="21"/>
        <v>7000</v>
      </c>
      <c r="AW39" s="432">
        <f t="shared" si="21"/>
        <v>5250</v>
      </c>
      <c r="AX39" s="432">
        <f t="shared" si="21"/>
        <v>3500</v>
      </c>
      <c r="AY39" s="432">
        <f t="shared" si="21"/>
        <v>1750</v>
      </c>
      <c r="AZ39" s="432">
        <f t="shared" si="21"/>
        <v>0</v>
      </c>
      <c r="BA39" s="432">
        <f t="shared" si="21"/>
        <v>0</v>
      </c>
      <c r="BB39" s="432">
        <f t="shared" si="21"/>
        <v>0</v>
      </c>
      <c r="BC39" s="432">
        <f t="shared" si="21"/>
        <v>0</v>
      </c>
      <c r="BD39" s="432">
        <f t="shared" si="21"/>
        <v>0</v>
      </c>
      <c r="BE39" s="432">
        <f t="shared" si="21"/>
        <v>0</v>
      </c>
      <c r="BF39" s="432">
        <f t="shared" si="21"/>
        <v>0</v>
      </c>
      <c r="BG39" s="432">
        <f t="shared" si="21"/>
        <v>0</v>
      </c>
      <c r="BH39" s="432">
        <f t="shared" si="21"/>
        <v>0</v>
      </c>
      <c r="BI39" s="432">
        <f t="shared" si="21"/>
        <v>0</v>
      </c>
      <c r="BJ39" s="432">
        <f t="shared" si="21"/>
        <v>0</v>
      </c>
      <c r="BK39" s="432">
        <f t="shared" si="21"/>
        <v>0</v>
      </c>
      <c r="BL39" s="432">
        <f t="shared" si="21"/>
        <v>0</v>
      </c>
      <c r="BM39" s="432">
        <f t="shared" si="21"/>
        <v>0</v>
      </c>
      <c r="BN39" s="432">
        <f t="shared" si="21"/>
        <v>0</v>
      </c>
      <c r="BO39" s="432">
        <f t="shared" si="21"/>
        <v>0</v>
      </c>
      <c r="BP39" s="432">
        <f t="shared" si="21"/>
        <v>0</v>
      </c>
      <c r="BQ39" s="432">
        <f t="shared" si="21"/>
        <v>0</v>
      </c>
      <c r="BR39" s="432">
        <f t="shared" si="21"/>
        <v>0</v>
      </c>
      <c r="BS39" s="432">
        <f t="shared" si="21"/>
        <v>0</v>
      </c>
      <c r="BT39" s="432">
        <f t="shared" si="21"/>
        <v>0</v>
      </c>
      <c r="BU39" s="432">
        <f t="shared" si="21"/>
        <v>0</v>
      </c>
      <c r="BV39" s="432">
        <f t="shared" ref="BV39:DA39" si="22" xml:space="preserve"> IF( BV35 = 1, $F34, BV37 - BV38)</f>
        <v>0</v>
      </c>
      <c r="BW39" s="432">
        <f t="shared" si="22"/>
        <v>0</v>
      </c>
      <c r="BX39" s="432">
        <f t="shared" si="22"/>
        <v>0</v>
      </c>
      <c r="BY39" s="432">
        <f t="shared" si="22"/>
        <v>0</v>
      </c>
      <c r="BZ39" s="432">
        <f t="shared" si="22"/>
        <v>0</v>
      </c>
      <c r="CA39" s="432">
        <f t="shared" si="22"/>
        <v>0</v>
      </c>
      <c r="CB39" s="432">
        <f t="shared" si="22"/>
        <v>0</v>
      </c>
      <c r="CC39" s="432">
        <f t="shared" si="22"/>
        <v>0</v>
      </c>
      <c r="CD39" s="432">
        <f t="shared" si="22"/>
        <v>0</v>
      </c>
      <c r="CE39" s="432">
        <f t="shared" si="22"/>
        <v>0</v>
      </c>
      <c r="CF39" s="432">
        <f t="shared" si="22"/>
        <v>0</v>
      </c>
      <c r="CG39" s="432">
        <f t="shared" si="22"/>
        <v>0</v>
      </c>
      <c r="CH39" s="432">
        <f t="shared" si="22"/>
        <v>0</v>
      </c>
      <c r="CI39" s="432">
        <f t="shared" si="22"/>
        <v>0</v>
      </c>
      <c r="CJ39" s="432">
        <f t="shared" si="22"/>
        <v>0</v>
      </c>
      <c r="CK39" s="432">
        <f t="shared" si="22"/>
        <v>0</v>
      </c>
      <c r="CL39" s="432">
        <f t="shared" si="22"/>
        <v>0</v>
      </c>
      <c r="CM39" s="432">
        <f t="shared" si="22"/>
        <v>0</v>
      </c>
      <c r="CN39" s="432">
        <f t="shared" si="22"/>
        <v>0</v>
      </c>
      <c r="CO39" s="432">
        <f t="shared" si="22"/>
        <v>0</v>
      </c>
      <c r="CP39" s="432">
        <f t="shared" si="22"/>
        <v>0</v>
      </c>
      <c r="CQ39" s="432">
        <f t="shared" si="22"/>
        <v>0</v>
      </c>
      <c r="CR39" s="432">
        <f t="shared" si="22"/>
        <v>0</v>
      </c>
      <c r="CS39" s="432">
        <f t="shared" si="22"/>
        <v>0</v>
      </c>
      <c r="CT39" s="432">
        <f t="shared" si="22"/>
        <v>0</v>
      </c>
      <c r="CU39" s="432">
        <f t="shared" si="22"/>
        <v>0</v>
      </c>
      <c r="CV39" s="432">
        <f t="shared" si="22"/>
        <v>0</v>
      </c>
      <c r="CW39" s="432">
        <f t="shared" si="22"/>
        <v>0</v>
      </c>
      <c r="CX39" s="432">
        <f t="shared" si="22"/>
        <v>0</v>
      </c>
      <c r="CY39" s="432">
        <f t="shared" si="22"/>
        <v>0</v>
      </c>
      <c r="CZ39" s="432">
        <f t="shared" si="22"/>
        <v>0</v>
      </c>
      <c r="DA39" s="432">
        <f t="shared" si="22"/>
        <v>0</v>
      </c>
      <c r="DB39" s="432">
        <f t="shared" ref="DB39:EA39" si="23" xml:space="preserve"> IF( DB35 = 1, $F34, DB37 - DB38)</f>
        <v>0</v>
      </c>
      <c r="DC39" s="432">
        <f t="shared" si="23"/>
        <v>0</v>
      </c>
      <c r="DD39" s="432">
        <f t="shared" si="23"/>
        <v>0</v>
      </c>
      <c r="DE39" s="432">
        <f t="shared" si="23"/>
        <v>0</v>
      </c>
      <c r="DF39" s="432">
        <f t="shared" si="23"/>
        <v>0</v>
      </c>
      <c r="DG39" s="432">
        <f t="shared" si="23"/>
        <v>0</v>
      </c>
      <c r="DH39" s="432">
        <f t="shared" si="23"/>
        <v>0</v>
      </c>
      <c r="DI39" s="432">
        <f t="shared" si="23"/>
        <v>0</v>
      </c>
      <c r="DJ39" s="432">
        <f t="shared" si="23"/>
        <v>0</v>
      </c>
      <c r="DK39" s="432">
        <f t="shared" si="23"/>
        <v>0</v>
      </c>
      <c r="DL39" s="432">
        <f t="shared" si="23"/>
        <v>0</v>
      </c>
      <c r="DM39" s="432">
        <f t="shared" si="23"/>
        <v>0</v>
      </c>
      <c r="DN39" s="432">
        <f t="shared" si="23"/>
        <v>0</v>
      </c>
      <c r="DO39" s="432">
        <f t="shared" si="23"/>
        <v>0</v>
      </c>
      <c r="DP39" s="432">
        <f t="shared" si="23"/>
        <v>0</v>
      </c>
      <c r="DQ39" s="432">
        <f t="shared" si="23"/>
        <v>0</v>
      </c>
      <c r="DR39" s="432">
        <f t="shared" si="23"/>
        <v>0</v>
      </c>
      <c r="DS39" s="432">
        <f t="shared" si="23"/>
        <v>0</v>
      </c>
      <c r="DT39" s="432">
        <f t="shared" si="23"/>
        <v>0</v>
      </c>
      <c r="DU39" s="432">
        <f t="shared" si="23"/>
        <v>0</v>
      </c>
      <c r="DV39" s="432">
        <f t="shared" si="23"/>
        <v>0</v>
      </c>
      <c r="DW39" s="432">
        <f t="shared" si="23"/>
        <v>0</v>
      </c>
      <c r="DX39" s="432">
        <f t="shared" si="23"/>
        <v>0</v>
      </c>
      <c r="DY39" s="432">
        <f t="shared" si="23"/>
        <v>0</v>
      </c>
      <c r="DZ39" s="432">
        <f t="shared" si="23"/>
        <v>0</v>
      </c>
      <c r="EA39" s="432">
        <f t="shared" si="23"/>
        <v>0</v>
      </c>
    </row>
    <row r="40" spans="1:131" outlineLevel="2" x14ac:dyDescent="0.35"/>
    <row r="41" spans="1:131" outlineLevel="2" x14ac:dyDescent="0.35"/>
    <row r="42" spans="1:131" outlineLevel="2" x14ac:dyDescent="0.35"/>
    <row r="43" spans="1:131" outlineLevel="2" x14ac:dyDescent="0.35"/>
    <row r="45" spans="1:131" x14ac:dyDescent="0.35">
      <c r="A45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1:H11 E15:H15 E10:H10 E21:H2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4" sqref="E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220</v>
      </c>
    </row>
    <row r="9" spans="1:131" outlineLevel="1" x14ac:dyDescent="0.35"/>
    <row r="10" spans="1:131" outlineLevel="1" x14ac:dyDescent="0.35">
      <c r="B10" s="8" t="s">
        <v>261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outlineLevel="2" x14ac:dyDescent="0.35">
      <c r="E13" s="7" t="s">
        <v>258</v>
      </c>
      <c r="F13" s="7">
        <f xml:space="preserve"> F11 - F12</f>
        <v>30000</v>
      </c>
      <c r="G13" s="7" t="str">
        <f xml:space="preserve"> SMU</f>
        <v>$ 000s</v>
      </c>
    </row>
    <row r="14" spans="1:131" outlineLevel="1" x14ac:dyDescent="0.35"/>
    <row r="15" spans="1:131" outlineLevel="1" x14ac:dyDescent="0.35">
      <c r="B15" s="8" t="s">
        <v>248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247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222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221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224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222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155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InpC!E$55</f>
        <v xml:space="preserve">Retained earnings - initial balance </v>
      </c>
      <c r="F35" s="435">
        <f xml:space="preserve"> InpC!F$55</f>
        <v>0</v>
      </c>
      <c r="G35" s="435" t="str">
        <f xml:space="preserve"> InpC!G$55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153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3824.75</v>
      </c>
      <c r="O38" s="169">
        <f t="shared" si="23"/>
        <v>5077.252377717391</v>
      </c>
      <c r="P38" s="169">
        <f t="shared" si="23"/>
        <v>3719.2571178668468</v>
      </c>
      <c r="Q38" s="169">
        <f t="shared" si="23"/>
        <v>4501.272854088541</v>
      </c>
      <c r="R38" s="169">
        <f t="shared" si="23"/>
        <v>7035.8318628759516</v>
      </c>
      <c r="S38" s="169">
        <f t="shared" si="23"/>
        <v>8056.3518741554917</v>
      </c>
      <c r="T38" s="169">
        <f t="shared" si="23"/>
        <v>6708.8286367709134</v>
      </c>
      <c r="U38" s="169">
        <f t="shared" si="23"/>
        <v>7490.599845048293</v>
      </c>
      <c r="V38" s="169">
        <f t="shared" si="23"/>
        <v>10016.299815580824</v>
      </c>
      <c r="W38" s="169">
        <f t="shared" si="23"/>
        <v>11035.492821599601</v>
      </c>
      <c r="X38" s="169">
        <f t="shared" si="23"/>
        <v>9698.3891944087391</v>
      </c>
      <c r="Y38" s="169">
        <f t="shared" si="23"/>
        <v>10463.652567252908</v>
      </c>
      <c r="Z38" s="169">
        <f t="shared" si="23"/>
        <v>12996.800770860445</v>
      </c>
      <c r="AA38" s="169">
        <f t="shared" si="23"/>
        <v>14014.673753782783</v>
      </c>
      <c r="AB38" s="169">
        <f t="shared" si="23"/>
        <v>12687.937578970741</v>
      </c>
      <c r="AC38" s="169">
        <f t="shared" si="23"/>
        <v>13469.218195681322</v>
      </c>
      <c r="AD38" s="169">
        <f t="shared" si="23"/>
        <v>15977.333271429212</v>
      </c>
      <c r="AE38" s="169">
        <f t="shared" si="23"/>
        <v>16993.893186342477</v>
      </c>
      <c r="AF38" s="169">
        <f t="shared" si="23"/>
        <v>15677.47255915881</v>
      </c>
      <c r="AG38" s="169">
        <f t="shared" si="23"/>
        <v>16458.507047469397</v>
      </c>
      <c r="AH38" s="169">
        <f t="shared" si="23"/>
        <v>18957.895841195208</v>
      </c>
      <c r="AI38" s="169">
        <f t="shared" si="23"/>
        <v>19973.149616398874</v>
      </c>
      <c r="AJ38" s="169">
        <f t="shared" si="23"/>
        <v>18666.99288376905</v>
      </c>
      <c r="AK38" s="169">
        <f t="shared" si="23"/>
        <v>19447.780644509396</v>
      </c>
      <c r="AL38" s="169">
        <f t="shared" si="23"/>
        <v>21938.486984828724</v>
      </c>
      <c r="AM38" s="169">
        <f t="shared" si="23"/>
        <v>22952.441522125104</v>
      </c>
      <c r="AN38" s="169">
        <f t="shared" si="23"/>
        <v>21656.497281266253</v>
      </c>
      <c r="AO38" s="169">
        <f t="shared" si="23"/>
        <v>22421.246058625184</v>
      </c>
      <c r="AP38" s="169">
        <f t="shared" si="23"/>
        <v>24919.105187322326</v>
      </c>
      <c r="AQ38" s="169">
        <f t="shared" si="23"/>
        <v>25931.767362309049</v>
      </c>
      <c r="AR38" s="169">
        <f t="shared" si="23"/>
        <v>24645.984459349973</v>
      </c>
      <c r="AS38" s="169">
        <f t="shared" si="23"/>
        <v>25426.27683179735</v>
      </c>
      <c r="AT38" s="169">
        <f t="shared" si="23"/>
        <v>27899.748913542353</v>
      </c>
      <c r="AU38" s="169">
        <f t="shared" si="23"/>
        <v>28911.125575906608</v>
      </c>
      <c r="AV38" s="169">
        <f t="shared" si="23"/>
        <v>27635.453104511893</v>
      </c>
      <c r="AW38" s="169">
        <f t="shared" si="23"/>
        <v>28415.496746972341</v>
      </c>
      <c r="AX38" s="169">
        <f t="shared" si="23"/>
        <v>30880.416607771589</v>
      </c>
      <c r="AY38" s="169">
        <f t="shared" si="23"/>
        <v>31890.514581586216</v>
      </c>
      <c r="AZ38" s="169">
        <f t="shared" si="23"/>
        <v>30624.901881584447</v>
      </c>
      <c r="BA38" s="169">
        <f t="shared" si="23"/>
        <v>31404.696056334942</v>
      </c>
      <c r="BB38" s="169">
        <f t="shared" si="23"/>
        <v>32111.106693243008</v>
      </c>
      <c r="BC38" s="169">
        <f t="shared" si="23"/>
        <v>31369.932777264472</v>
      </c>
      <c r="BD38" s="169">
        <f t="shared" si="23"/>
        <v>28364.329433280443</v>
      </c>
      <c r="BE38" s="169">
        <f t="shared" si="23"/>
        <v>27378.556076725847</v>
      </c>
      <c r="BF38" s="169">
        <f t="shared" si="23"/>
        <v>28091.817571664375</v>
      </c>
      <c r="BG38" s="169">
        <f t="shared" si="23"/>
        <v>27349.378539632711</v>
      </c>
      <c r="BH38" s="169">
        <f t="shared" si="23"/>
        <v>24353.734379723559</v>
      </c>
      <c r="BI38" s="169">
        <f t="shared" si="23"/>
        <v>23383.027260739953</v>
      </c>
      <c r="BJ38" s="169">
        <f t="shared" si="23"/>
        <v>24072.54762273352</v>
      </c>
      <c r="BK38" s="169">
        <f t="shared" si="23"/>
        <v>23328.850223674279</v>
      </c>
      <c r="BL38" s="169">
        <f t="shared" si="23"/>
        <v>20343.115317969452</v>
      </c>
      <c r="BM38" s="169">
        <f t="shared" si="23"/>
        <v>19372.156298820435</v>
      </c>
      <c r="BN38" s="169">
        <f t="shared" si="23"/>
        <v>20053.295203644106</v>
      </c>
      <c r="BO38" s="169">
        <f t="shared" si="23"/>
        <v>19308.346162172373</v>
      </c>
      <c r="BP38" s="169">
        <f t="shared" si="23"/>
        <v>16332.470821517363</v>
      </c>
      <c r="BQ38" s="169">
        <f t="shared" si="23"/>
        <v>15361.259016170996</v>
      </c>
      <c r="BR38" s="169">
        <f t="shared" si="23"/>
        <v>16034.058648581653</v>
      </c>
      <c r="BS38" s="169">
        <f t="shared" si="23"/>
        <v>15287.864665208215</v>
      </c>
      <c r="BT38" s="169">
        <f t="shared" si="23"/>
        <v>12321.799439811999</v>
      </c>
      <c r="BU38" s="169">
        <f t="shared" si="23"/>
        <v>11335.495089212582</v>
      </c>
      <c r="BV38" s="169">
        <f t="shared" ref="BV38:EA38" si="24">BU41</f>
        <v>12014.836268209721</v>
      </c>
      <c r="BW38" s="169">
        <f t="shared" si="24"/>
        <v>11267.404019649432</v>
      </c>
      <c r="BX38" s="169">
        <f t="shared" si="24"/>
        <v>8311.0996977354807</v>
      </c>
      <c r="BY38" s="169">
        <f t="shared" si="24"/>
        <v>7339.3795064257938</v>
      </c>
      <c r="BZ38" s="169">
        <f t="shared" si="24"/>
        <v>7995.6263491459431</v>
      </c>
      <c r="CA38" s="169">
        <f t="shared" si="24"/>
        <v>7246.9624886283327</v>
      </c>
      <c r="CB38" s="169">
        <f t="shared" si="24"/>
        <v>4300.370095089188</v>
      </c>
      <c r="CC38" s="169">
        <f t="shared" si="24"/>
        <v>3328.3942245727467</v>
      </c>
      <c r="CD38" s="169">
        <f t="shared" si="24"/>
        <v>3976.4271534277591</v>
      </c>
      <c r="CE38" s="169">
        <f t="shared" si="24"/>
        <v>3226.5383110099901</v>
      </c>
      <c r="CF38" s="169">
        <f t="shared" si="24"/>
        <v>289.60910606525067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550.06025187035084</v>
      </c>
      <c r="DJ38" s="169">
        <f t="shared" si="24"/>
        <v>5.9117155615240335E-12</v>
      </c>
      <c r="DK38" s="169">
        <f t="shared" si="24"/>
        <v>5.9117155615240335E-12</v>
      </c>
      <c r="DL38" s="169">
        <f t="shared" si="24"/>
        <v>5.9117155615240335E-12</v>
      </c>
      <c r="DM38" s="169">
        <f t="shared" si="24"/>
        <v>5.9117155615240335E-12</v>
      </c>
      <c r="DN38" s="169">
        <f t="shared" si="24"/>
        <v>5.9117155615240335E-12</v>
      </c>
      <c r="DO38" s="169">
        <f t="shared" si="24"/>
        <v>5.9117155615240335E-12</v>
      </c>
      <c r="DP38" s="169">
        <f t="shared" si="24"/>
        <v>5.9117155615240335E-12</v>
      </c>
      <c r="DQ38" s="169">
        <f t="shared" si="24"/>
        <v>5.9117155615240335E-12</v>
      </c>
      <c r="DR38" s="169">
        <f t="shared" si="24"/>
        <v>5.9117155615240335E-12</v>
      </c>
      <c r="DS38" s="169">
        <f t="shared" si="24"/>
        <v>5.9117155615240335E-12</v>
      </c>
      <c r="DT38" s="169">
        <f t="shared" si="24"/>
        <v>5.9117155615240335E-12</v>
      </c>
      <c r="DU38" s="169">
        <f t="shared" si="24"/>
        <v>5.9117155615240335E-12</v>
      </c>
      <c r="DV38" s="169">
        <f t="shared" si="24"/>
        <v>5.9117155615240335E-12</v>
      </c>
      <c r="DW38" s="169">
        <f t="shared" si="24"/>
        <v>5.9117155615240335E-12</v>
      </c>
      <c r="DX38" s="169">
        <f t="shared" si="24"/>
        <v>5.9117155615240335E-12</v>
      </c>
      <c r="DY38" s="169">
        <f t="shared" si="24"/>
        <v>5.9117155615240335E-12</v>
      </c>
      <c r="DZ38" s="169">
        <f t="shared" si="24"/>
        <v>5.9117155615240335E-12</v>
      </c>
      <c r="EA38" s="169">
        <f t="shared" si="24"/>
        <v>5.9117155615240335E-12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222667.04122730848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3824.75</v>
      </c>
      <c r="N39" s="428">
        <f xml:space="preserve"> 'FS Qtr'!N$22</f>
        <v>4295.7406250000004</v>
      </c>
      <c r="O39" s="428">
        <f xml:space="preserve"> 'FS Qtr'!O$22</f>
        <v>1062.5343281249989</v>
      </c>
      <c r="P39" s="428">
        <f xml:space="preserve"> 'FS Qtr'!P$22</f>
        <v>1060.6310622656251</v>
      </c>
      <c r="Q39" s="428">
        <f xml:space="preserve"> 'FS Qtr'!Q$22</f>
        <v>3791.2770487336711</v>
      </c>
      <c r="R39" s="428">
        <f xml:space="preserve"> 'FS Qtr'!R$22</f>
        <v>4259.8770906937561</v>
      </c>
      <c r="S39" s="428">
        <f xml:space="preserve"> 'FS Qtr'!S$22</f>
        <v>1042.7088144556815</v>
      </c>
      <c r="T39" s="428">
        <f xml:space="preserve"> 'FS Qtr'!T$22</f>
        <v>1040.7671968364189</v>
      </c>
      <c r="U39" s="428">
        <f xml:space="preserve"> 'FS Qtr'!U$22</f>
        <v>3757.7798200412162</v>
      </c>
      <c r="V39" s="428">
        <f xml:space="preserve"> 'FS Qtr'!V$22</f>
        <v>4224.000218361738</v>
      </c>
      <c r="W39" s="428">
        <f xml:space="preserve"> 'FS Qtr'!W$22</f>
        <v>1022.7892127952941</v>
      </c>
      <c r="X39" s="428">
        <f xml:space="preserve"> 'FS Qtr'!X$22</f>
        <v>1020.8084706089812</v>
      </c>
      <c r="Y39" s="428">
        <f xml:space="preserve"> 'FS Qtr'!Y$22</f>
        <v>3724.2545897984583</v>
      </c>
      <c r="Z39" s="428">
        <f xml:space="preserve"> 'FS Qtr'!Z$22</f>
        <v>4188.1062102303531</v>
      </c>
      <c r="AA39" s="428">
        <f xml:space="preserve"> 'FS Qtr'!AA$22</f>
        <v>1002.7721077907047</v>
      </c>
      <c r="AB39" s="428">
        <f xml:space="preserve"> 'FS Qtr'!AB$22</f>
        <v>1000.7514526577284</v>
      </c>
      <c r="AC39" s="428">
        <f xml:space="preserve"> 'FS Qtr'!AC$22</f>
        <v>3690.6975749323938</v>
      </c>
      <c r="AD39" s="428">
        <f xml:space="preserve"> 'FS Qtr'!AD$22</f>
        <v>4152.191209556212</v>
      </c>
      <c r="AE39" s="428">
        <f xml:space="preserve"> 'FS Qtr'!AE$22</f>
        <v>982.65402282707737</v>
      </c>
      <c r="AF39" s="428">
        <f xml:space="preserve"> 'FS Qtr'!AF$22</f>
        <v>980.59265048158113</v>
      </c>
      <c r="AG39" s="428">
        <f xml:space="preserve"> 'FS Qtr'!AG$22</f>
        <v>3657.1049321532691</v>
      </c>
      <c r="AH39" s="428">
        <f xml:space="preserve"> 'FS Qtr'!AH$22</f>
        <v>4116.2512993505097</v>
      </c>
      <c r="AI39" s="428">
        <f xml:space="preserve"> 'FS Qtr'!AI$22</f>
        <v>962.43141875580363</v>
      </c>
      <c r="AJ39" s="428">
        <f xml:space="preserve"> 'FS Qtr'!AJ$22</f>
        <v>960.32850872557128</v>
      </c>
      <c r="AK39" s="428">
        <f xml:space="preserve"> 'FS Qtr'!AK$22</f>
        <v>3623.4727566615193</v>
      </c>
      <c r="AL39" s="428">
        <f xml:space="preserve"> 'FS Qtr'!AL$22</f>
        <v>4080.2825010781335</v>
      </c>
      <c r="AM39" s="428">
        <f xml:space="preserve"> 'FS Qtr'!AM$22</f>
        <v>942.10069259699731</v>
      </c>
      <c r="AN39" s="428">
        <f xml:space="preserve"> 'FS Qtr'!AN$22</f>
        <v>939.95540787688628</v>
      </c>
      <c r="AO39" s="428">
        <f xml:space="preserve"> 'FS Qtr'!AO$22</f>
        <v>3589.7970808290256</v>
      </c>
      <c r="AP39" s="428">
        <f xml:space="preserve"> 'FS Qtr'!AP$22</f>
        <v>4044.2807733309892</v>
      </c>
      <c r="AQ39" s="428">
        <f xml:space="preserve"> 'FS Qtr'!AQ$22</f>
        <v>921.65817621602537</v>
      </c>
      <c r="AR39" s="428">
        <f xml:space="preserve"> 'FS Qtr'!AR$22</f>
        <v>919.46966293482092</v>
      </c>
      <c r="AS39" s="428">
        <f xml:space="preserve"> 'FS Qtr'!AS$22</f>
        <v>3556.0738728542283</v>
      </c>
      <c r="AT39" s="428">
        <f xml:space="preserve"> 'FS Qtr'!AT$22</f>
        <v>4008.2420104750345</v>
      </c>
      <c r="AU39" s="428">
        <f xml:space="preserve"> 'FS Qtr'!AU$22</f>
        <v>901.10013497355976</v>
      </c>
      <c r="AV39" s="428">
        <f xml:space="preserve"> 'FS Qtr'!AV$22</f>
        <v>898.86752205411403</v>
      </c>
      <c r="AW39" s="428">
        <f xml:space="preserve"> 'FS Qtr'!AW$22</f>
        <v>3522.2990353904879</v>
      </c>
      <c r="AX39" s="428">
        <f xml:space="preserve"> 'FS Qtr'!AX$22</f>
        <v>3972.1620412704606</v>
      </c>
      <c r="AY39" s="428">
        <f xml:space="preserve"> 'FS Qtr'!AY$22</f>
        <v>880.42276634860264</v>
      </c>
      <c r="AZ39" s="428">
        <f xml:space="preserve"> 'FS Qtr'!AZ$22</f>
        <v>878.14516516112872</v>
      </c>
      <c r="BA39" s="428">
        <f xml:space="preserve"> 'FS Qtr'!BA$22</f>
        <v>3488.4684041472365</v>
      </c>
      <c r="BB39" s="428">
        <f xml:space="preserve"> 'FS Qtr'!BB$22</f>
        <v>3936.0366274645103</v>
      </c>
      <c r="BC39" s="428">
        <f xml:space="preserve"> 'FS Qtr'!BC$22</f>
        <v>859.62219853396186</v>
      </c>
      <c r="BD39" s="428">
        <f xml:space="preserve"> 'FS Qtr'!BD$22</f>
        <v>857.29870254233629</v>
      </c>
      <c r="BE39" s="428">
        <f xml:space="preserve"> 'FS Qtr'!BE$22</f>
        <v>3454.5777464633084</v>
      </c>
      <c r="BF39" s="428">
        <f xml:space="preserve"> 'FS Qtr'!BF$22</f>
        <v>3899.8614623563581</v>
      </c>
      <c r="BG39" s="428">
        <f xml:space="preserve"> 'FS Qtr'!BG$22</f>
        <v>838.69448900359203</v>
      </c>
      <c r="BH39" s="428">
        <f xml:space="preserve"> 'FS Qtr'!BH$22</f>
        <v>836.32417340453526</v>
      </c>
      <c r="BI39" s="428">
        <f xml:space="preserve"> 'FS Qtr'!BI$22</f>
        <v>3420.6227598519172</v>
      </c>
      <c r="BJ39" s="428">
        <f xml:space="preserve"> 'FS Qtr'!BJ$22</f>
        <v>3863.6321693334994</v>
      </c>
      <c r="BK39" s="428">
        <f xml:space="preserve"> 'FS Qtr'!BK$22</f>
        <v>817.63562305126288</v>
      </c>
      <c r="BL39" s="428">
        <f xml:space="preserve"> 'FS Qtr'!BL$22</f>
        <v>815.21754440624545</v>
      </c>
      <c r="BM39" s="428">
        <f xml:space="preserve"> 'FS Qtr'!BM$22</f>
        <v>3386.5990705166932</v>
      </c>
      <c r="BN39" s="428">
        <f xml:space="preserve"> 'FS Qtr'!BN$22</f>
        <v>3827.3443003790517</v>
      </c>
      <c r="BO39" s="428">
        <f xml:space="preserve"> 'FS Qtr'!BO$22</f>
        <v>796.44151229994668</v>
      </c>
      <c r="BP39" s="428">
        <f xml:space="preserve"> 'FS Qtr'!BP$22</f>
        <v>793.97470815968154</v>
      </c>
      <c r="BQ39" s="428">
        <f xml:space="preserve"> 'FS Qtr'!BQ$22</f>
        <v>3352.5022318382098</v>
      </c>
      <c r="BR39" s="428">
        <f xml:space="preserve"> 'FS Qtr'!BR$22</f>
        <v>3790.9933345494137</v>
      </c>
      <c r="BS39" s="428">
        <f xml:space="preserve"> 'FS Qtr'!BS$22</f>
        <v>775.10799318136537</v>
      </c>
      <c r="BT39" s="428">
        <f xml:space="preserve"> 'FS Qtr'!BT$22</f>
        <v>772.59148170272965</v>
      </c>
      <c r="BU39" s="428">
        <f xml:space="preserve"> 'FS Qtr'!BU$22</f>
        <v>3318.3277228303778</v>
      </c>
      <c r="BV39" s="428">
        <f xml:space="preserve"> 'FS Qtr'!BV$22</f>
        <v>3754.5746764216574</v>
      </c>
      <c r="BW39" s="428">
        <f xml:space="preserve"> 'FS Qtr'!BW$22</f>
        <v>753.63082538506251</v>
      </c>
      <c r="BX39" s="428">
        <f xml:space="preserve"> 'FS Qtr'!BX$22</f>
        <v>751.06360494030423</v>
      </c>
      <c r="BY39" s="428">
        <f xml:space="preserve"> 'FS Qtr'!BY$22</f>
        <v>3284.0709465661339</v>
      </c>
      <c r="BZ39" s="428">
        <f xml:space="preserve"> 'FS Qtr'!BZ$22</f>
        <v>3718.0836545100374</v>
      </c>
      <c r="CA39" s="428">
        <f xml:space="preserve"> 'FS Qtr'!CA$22</f>
        <v>732.00569027641495</v>
      </c>
      <c r="CB39" s="428">
        <f xml:space="preserve"> 'FS Qtr'!CB$22</f>
        <v>729.38673905447968</v>
      </c>
      <c r="CC39" s="428">
        <f xml:space="preserve"> 'FS Qtr'!CC$22</f>
        <v>3249.7272285717709</v>
      </c>
      <c r="CD39" s="428">
        <f xml:space="preserve"> 'FS Qtr'!CD$22</f>
        <v>3681.5155196510214</v>
      </c>
      <c r="CE39" s="428">
        <f xml:space="preserve"> 'FS Qtr'!CE$22</f>
        <v>710.22818928293464</v>
      </c>
      <c r="CF39" s="428">
        <f xml:space="preserve"> 'FS Qtr'!CF$22</f>
        <v>707.55646488276489</v>
      </c>
      <c r="CG39" s="428">
        <f xml:space="preserve"> 'FS Qtr'!CG$22</f>
        <v>3215.2918151892882</v>
      </c>
      <c r="CH39" s="428">
        <f xml:space="preserve"> 'FS Qtr'!CH$22</f>
        <v>3644.8654433561715</v>
      </c>
      <c r="CI39" s="428">
        <f xml:space="preserve"> 'FS Qtr'!CI$22</f>
        <v>688.29384224823389</v>
      </c>
      <c r="CJ39" s="428">
        <f xml:space="preserve"> 'FS Qtr'!CJ$22</f>
        <v>685.56828126386836</v>
      </c>
      <c r="CK39" s="428">
        <f xml:space="preserve"> 'FS Qtr'!CK$22</f>
        <v>3180.759871906117</v>
      </c>
      <c r="CL39" s="428">
        <f xml:space="preserve"> 'FS Qtr'!CL$22</f>
        <v>3608.1285161322512</v>
      </c>
      <c r="CM39" s="428">
        <f xml:space="preserve"> 'FS Qtr'!CM$22</f>
        <v>666.19808575299317</v>
      </c>
      <c r="CN39" s="428">
        <f xml:space="preserve"> 'FS Qtr'!CN$22</f>
        <v>663.41760335030904</v>
      </c>
      <c r="CO39" s="428">
        <f xml:space="preserve"> 'FS Qtr'!CO$22</f>
        <v>3146.1264816515677</v>
      </c>
      <c r="CP39" s="428">
        <f xml:space="preserve"> 'FS Qtr'!CP$22</f>
        <v>3571.2997457678875</v>
      </c>
      <c r="CQ39" s="428">
        <f xml:space="preserve"> 'FS Qtr'!CQ$22</f>
        <v>643.93627140228091</v>
      </c>
      <c r="CR39" s="428">
        <f xml:space="preserve"> 'FS Qtr'!CR$22</f>
        <v>641.0997608872035</v>
      </c>
      <c r="CS39" s="428">
        <f xml:space="preserve"> 'FS Qtr'!CS$22</f>
        <v>3111.3866430593098</v>
      </c>
      <c r="CT39" s="428">
        <f xml:space="preserve"> 'FS Qtr'!CT$22</f>
        <v>3534.3740555861114</v>
      </c>
      <c r="CU39" s="428">
        <f xml:space="preserve"> 'FS Qtr'!CU$22</f>
        <v>621.50366407852198</v>
      </c>
      <c r="CV39" s="428">
        <f xml:space="preserve"> 'FS Qtr'!CV$22</f>
        <v>618.60999645653737</v>
      </c>
      <c r="CW39" s="428">
        <f xml:space="preserve"> 'FS Qtr'!CW$22</f>
        <v>3076.5352686952083</v>
      </c>
      <c r="CX39" s="428">
        <f xml:space="preserve"> 'FS Qtr'!CX$22</f>
        <v>3497.3462826620735</v>
      </c>
      <c r="CY39" s="428">
        <f xml:space="preserve"> 'FS Qtr'!CY$22</f>
        <v>598.89544015944239</v>
      </c>
      <c r="CZ39" s="428">
        <f xml:space="preserve"> 'FS Qtr'!CZ$22</f>
        <v>595.94346368623292</v>
      </c>
      <c r="DA39" s="428">
        <f xml:space="preserve"> 'FS Qtr'!DA$22</f>
        <v>3041.5671832498269</v>
      </c>
      <c r="DB39" s="428">
        <f xml:space="preserve"> 'FS Qtr'!DB$22</f>
        <v>3460.2111760052694</v>
      </c>
      <c r="DC39" s="428">
        <f xml:space="preserve"> 'FS Qtr'!DC$22</f>
        <v>576.10668570027906</v>
      </c>
      <c r="DD39" s="428">
        <f xml:space="preserve"> 'FS Qtr'!DD$22</f>
        <v>573.09522542330069</v>
      </c>
      <c r="DE39" s="428">
        <f xml:space="preserve"> 'FS Qtr'!DE$22</f>
        <v>3006.477121694857</v>
      </c>
      <c r="DF39" s="428">
        <f xml:space="preserve"> 'FS Qtr'!DF$22</f>
        <v>3422.9633947055136</v>
      </c>
      <c r="DG39" s="428">
        <f xml:space="preserve"> 'FS Qtr'!DG$22</f>
        <v>553.13239457952204</v>
      </c>
      <c r="DH39" s="428">
        <f xml:space="preserve"> 'FS Qtr'!DH$22</f>
        <v>550.06025187035084</v>
      </c>
      <c r="DI39" s="428">
        <f xml:space="preserve"> 'FS Qtr'!DI$22</f>
        <v>0</v>
      </c>
      <c r="DJ39" s="428">
        <f xml:space="preserve"> 'FS Qtr'!DJ$22</f>
        <v>0</v>
      </c>
      <c r="DK39" s="428">
        <f xml:space="preserve"> 'FS Qtr'!DK$22</f>
        <v>0</v>
      </c>
      <c r="DL39" s="428">
        <f xml:space="preserve"> 'FS Qtr'!DL$22</f>
        <v>0</v>
      </c>
      <c r="DM39" s="428">
        <f xml:space="preserve"> 'FS Qtr'!DM$22</f>
        <v>0</v>
      </c>
      <c r="DN39" s="428">
        <f xml:space="preserve"> 'FS Qtr'!DN$22</f>
        <v>0</v>
      </c>
      <c r="DO39" s="428">
        <f xml:space="preserve"> 'FS Qtr'!DO$22</f>
        <v>0</v>
      </c>
      <c r="DP39" s="428">
        <f xml:space="preserve"> 'FS Qtr'!DP$22</f>
        <v>0</v>
      </c>
      <c r="DQ39" s="428">
        <f xml:space="preserve"> 'FS Qtr'!DQ$22</f>
        <v>0</v>
      </c>
      <c r="DR39" s="428">
        <f xml:space="preserve"> 'FS Qtr'!DR$22</f>
        <v>0</v>
      </c>
      <c r="DS39" s="428">
        <f xml:space="preserve"> 'FS Qtr'!DS$22</f>
        <v>0</v>
      </c>
      <c r="DT39" s="428">
        <f xml:space="preserve"> 'FS Qtr'!DT$22</f>
        <v>0</v>
      </c>
      <c r="DU39" s="428">
        <f xml:space="preserve"> 'FS Qtr'!DU$22</f>
        <v>0</v>
      </c>
      <c r="DV39" s="428">
        <f xml:space="preserve"> 'FS Qtr'!DV$22</f>
        <v>0</v>
      </c>
      <c r="DW39" s="428">
        <f xml:space="preserve"> 'FS Qtr'!DW$22</f>
        <v>0</v>
      </c>
      <c r="DX39" s="428">
        <f xml:space="preserve"> 'FS Qtr'!DX$22</f>
        <v>0</v>
      </c>
      <c r="DY39" s="428">
        <f xml:space="preserve"> 'FS Qtr'!DY$22</f>
        <v>0</v>
      </c>
      <c r="DZ39" s="428">
        <f xml:space="preserve"> 'FS Qtr'!DZ$22</f>
        <v>0</v>
      </c>
      <c r="EA39" s="428">
        <f xml:space="preserve"> 'FS Qtr'!EA$22</f>
        <v>0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222667.04122730848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3043.2382472826093</v>
      </c>
      <c r="O40" s="26">
        <f t="shared" si="25"/>
        <v>2420.5295879755431</v>
      </c>
      <c r="P40" s="26">
        <f t="shared" si="25"/>
        <v>278.61532604393051</v>
      </c>
      <c r="Q40" s="26">
        <f t="shared" si="25"/>
        <v>1256.71803994626</v>
      </c>
      <c r="R40" s="26">
        <f t="shared" si="25"/>
        <v>3239.357079414217</v>
      </c>
      <c r="S40" s="26">
        <f t="shared" si="25"/>
        <v>2390.2320518402594</v>
      </c>
      <c r="T40" s="26">
        <f t="shared" si="25"/>
        <v>258.99598855904014</v>
      </c>
      <c r="U40" s="26">
        <f t="shared" si="25"/>
        <v>1232.0798495086847</v>
      </c>
      <c r="V40" s="26">
        <f t="shared" si="25"/>
        <v>3204.807212342962</v>
      </c>
      <c r="W40" s="26">
        <f t="shared" si="25"/>
        <v>2359.8928399861561</v>
      </c>
      <c r="X40" s="26">
        <f t="shared" si="25"/>
        <v>255.54509776481268</v>
      </c>
      <c r="Y40" s="26">
        <f t="shared" si="25"/>
        <v>1191.1063861909197</v>
      </c>
      <c r="Z40" s="26">
        <f t="shared" si="25"/>
        <v>3170.2332273080128</v>
      </c>
      <c r="AA40" s="26">
        <f t="shared" si="25"/>
        <v>2329.5082826027474</v>
      </c>
      <c r="AB40" s="26">
        <f t="shared" si="25"/>
        <v>219.47083594714786</v>
      </c>
      <c r="AC40" s="26">
        <f t="shared" si="25"/>
        <v>1182.5824991845047</v>
      </c>
      <c r="AD40" s="26">
        <f t="shared" si="25"/>
        <v>3135.6312946429462</v>
      </c>
      <c r="AE40" s="26">
        <f t="shared" si="25"/>
        <v>2299.0746500107443</v>
      </c>
      <c r="AF40" s="26">
        <f t="shared" si="25"/>
        <v>199.55816217099482</v>
      </c>
      <c r="AG40" s="26">
        <f t="shared" si="25"/>
        <v>1157.71613842746</v>
      </c>
      <c r="AH40" s="26">
        <f t="shared" si="25"/>
        <v>3100.9975241468455</v>
      </c>
      <c r="AI40" s="26">
        <f t="shared" si="25"/>
        <v>2268.5881513856307</v>
      </c>
      <c r="AJ40" s="26">
        <f t="shared" si="25"/>
        <v>179.5407479852247</v>
      </c>
      <c r="AK40" s="26">
        <f t="shared" si="25"/>
        <v>1132.7664163421891</v>
      </c>
      <c r="AL40" s="26">
        <f t="shared" si="25"/>
        <v>3066.327963781755</v>
      </c>
      <c r="AM40" s="26">
        <f t="shared" si="25"/>
        <v>2238.0449334558452</v>
      </c>
      <c r="AN40" s="26">
        <f t="shared" si="25"/>
        <v>175.20663051795282</v>
      </c>
      <c r="AO40" s="26">
        <f t="shared" si="25"/>
        <v>1091.9379521318856</v>
      </c>
      <c r="AP40" s="26">
        <f t="shared" si="25"/>
        <v>3031.6185983442665</v>
      </c>
      <c r="AQ40" s="26">
        <f t="shared" si="25"/>
        <v>2207.4410791751011</v>
      </c>
      <c r="AR40" s="26">
        <f t="shared" si="25"/>
        <v>139.17729048744422</v>
      </c>
      <c r="AS40" s="26">
        <f t="shared" si="25"/>
        <v>1082.6017911092231</v>
      </c>
      <c r="AT40" s="26">
        <f t="shared" si="25"/>
        <v>2996.8653481107795</v>
      </c>
      <c r="AU40" s="26">
        <f t="shared" si="25"/>
        <v>2176.7726063682762</v>
      </c>
      <c r="AV40" s="26">
        <f t="shared" si="25"/>
        <v>118.82387959366497</v>
      </c>
      <c r="AW40" s="26">
        <f t="shared" si="25"/>
        <v>1057.3791745912417</v>
      </c>
      <c r="AX40" s="26">
        <f t="shared" si="25"/>
        <v>2962.0640674558335</v>
      </c>
      <c r="AY40" s="26">
        <f t="shared" si="25"/>
        <v>2146.0354663503745</v>
      </c>
      <c r="AZ40" s="26">
        <f t="shared" si="25"/>
        <v>98.350990410631312</v>
      </c>
      <c r="BA40" s="26">
        <f t="shared" si="25"/>
        <v>2782.0577672391714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997.16557094801556</v>
      </c>
      <c r="CG40" s="26">
        <f t="shared" si="26"/>
        <v>3215.2918151892882</v>
      </c>
      <c r="CH40" s="26">
        <f t="shared" si="26"/>
        <v>3644.8654433561715</v>
      </c>
      <c r="CI40" s="26">
        <f t="shared" si="26"/>
        <v>688.29384224823389</v>
      </c>
      <c r="CJ40" s="26">
        <f t="shared" si="26"/>
        <v>685.56828126386836</v>
      </c>
      <c r="CK40" s="26">
        <f t="shared" si="26"/>
        <v>3180.759871906117</v>
      </c>
      <c r="CL40" s="26">
        <f t="shared" si="26"/>
        <v>3608.1285161322512</v>
      </c>
      <c r="CM40" s="26">
        <f t="shared" si="26"/>
        <v>666.19808575299317</v>
      </c>
      <c r="CN40" s="26">
        <f t="shared" si="26"/>
        <v>663.41760335030904</v>
      </c>
      <c r="CO40" s="26">
        <f t="shared" si="26"/>
        <v>3146.1264816515677</v>
      </c>
      <c r="CP40" s="26">
        <f t="shared" si="26"/>
        <v>3571.2997457678875</v>
      </c>
      <c r="CQ40" s="26">
        <f t="shared" si="26"/>
        <v>643.93627140228091</v>
      </c>
      <c r="CR40" s="26">
        <f t="shared" si="26"/>
        <v>641.0997608872035</v>
      </c>
      <c r="CS40" s="26">
        <f t="shared" si="26"/>
        <v>3111.3866430593098</v>
      </c>
      <c r="CT40" s="26">
        <f t="shared" si="26"/>
        <v>3534.3740555861114</v>
      </c>
      <c r="CU40" s="26">
        <f t="shared" si="26"/>
        <v>621.50366407852198</v>
      </c>
      <c r="CV40" s="26">
        <f t="shared" si="26"/>
        <v>618.60999645653737</v>
      </c>
      <c r="CW40" s="26">
        <f t="shared" si="26"/>
        <v>3076.5352686952083</v>
      </c>
      <c r="CX40" s="26">
        <f t="shared" si="26"/>
        <v>3497.3462826620735</v>
      </c>
      <c r="CY40" s="26">
        <f t="shared" si="26"/>
        <v>598.89544015944239</v>
      </c>
      <c r="CZ40" s="26">
        <f t="shared" si="26"/>
        <v>595.94346368623292</v>
      </c>
      <c r="DA40" s="26">
        <f t="shared" si="26"/>
        <v>3041.5671832498269</v>
      </c>
      <c r="DB40" s="26">
        <f t="shared" si="26"/>
        <v>3460.2111760052694</v>
      </c>
      <c r="DC40" s="26">
        <f t="shared" si="26"/>
        <v>576.10668570027906</v>
      </c>
      <c r="DD40" s="26">
        <f t="shared" si="26"/>
        <v>573.09522542330069</v>
      </c>
      <c r="DE40" s="26">
        <f t="shared" si="26"/>
        <v>3006.477121694857</v>
      </c>
      <c r="DF40" s="26">
        <f t="shared" si="26"/>
        <v>3422.9633947055136</v>
      </c>
      <c r="DG40" s="26">
        <f t="shared" si="26"/>
        <v>553.13239457952204</v>
      </c>
      <c r="DH40" s="26">
        <f t="shared" si="26"/>
        <v>0</v>
      </c>
      <c r="DI40" s="26">
        <f t="shared" si="26"/>
        <v>550.06025187034493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154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3824.75</v>
      </c>
      <c r="N41" s="432">
        <f t="shared" si="27"/>
        <v>5077.252377717391</v>
      </c>
      <c r="O41" s="432">
        <f t="shared" si="27"/>
        <v>3719.2571178668468</v>
      </c>
      <c r="P41" s="432">
        <f t="shared" si="27"/>
        <v>4501.272854088541</v>
      </c>
      <c r="Q41" s="432">
        <f t="shared" si="27"/>
        <v>7035.8318628759516</v>
      </c>
      <c r="R41" s="432">
        <f t="shared" si="27"/>
        <v>8056.3518741554917</v>
      </c>
      <c r="S41" s="432">
        <f t="shared" si="27"/>
        <v>6708.8286367709134</v>
      </c>
      <c r="T41" s="432">
        <f t="shared" si="27"/>
        <v>7490.599845048293</v>
      </c>
      <c r="U41" s="432">
        <f t="shared" si="27"/>
        <v>10016.299815580824</v>
      </c>
      <c r="V41" s="432">
        <f t="shared" si="27"/>
        <v>11035.492821599601</v>
      </c>
      <c r="W41" s="432">
        <f t="shared" si="27"/>
        <v>9698.3891944087391</v>
      </c>
      <c r="X41" s="432">
        <f t="shared" si="27"/>
        <v>10463.652567252908</v>
      </c>
      <c r="Y41" s="432">
        <f t="shared" si="27"/>
        <v>12996.800770860445</v>
      </c>
      <c r="Z41" s="432">
        <f t="shared" si="27"/>
        <v>14014.673753782783</v>
      </c>
      <c r="AA41" s="432">
        <f t="shared" si="27"/>
        <v>12687.937578970741</v>
      </c>
      <c r="AB41" s="432">
        <f t="shared" si="27"/>
        <v>13469.218195681322</v>
      </c>
      <c r="AC41" s="432">
        <f t="shared" si="27"/>
        <v>15977.333271429212</v>
      </c>
      <c r="AD41" s="432">
        <f t="shared" si="27"/>
        <v>16993.893186342477</v>
      </c>
      <c r="AE41" s="432">
        <f t="shared" si="27"/>
        <v>15677.47255915881</v>
      </c>
      <c r="AF41" s="432">
        <f t="shared" si="27"/>
        <v>16458.507047469397</v>
      </c>
      <c r="AG41" s="432">
        <f t="shared" si="27"/>
        <v>18957.895841195208</v>
      </c>
      <c r="AH41" s="432">
        <f t="shared" si="27"/>
        <v>19973.149616398874</v>
      </c>
      <c r="AI41" s="432">
        <f t="shared" si="27"/>
        <v>18666.99288376905</v>
      </c>
      <c r="AJ41" s="432">
        <f t="shared" si="27"/>
        <v>19447.780644509396</v>
      </c>
      <c r="AK41" s="432">
        <f t="shared" si="27"/>
        <v>21938.486984828724</v>
      </c>
      <c r="AL41" s="432">
        <f t="shared" si="27"/>
        <v>22952.441522125104</v>
      </c>
      <c r="AM41" s="432">
        <f t="shared" si="27"/>
        <v>21656.497281266253</v>
      </c>
      <c r="AN41" s="432">
        <f t="shared" si="27"/>
        <v>22421.246058625184</v>
      </c>
      <c r="AO41" s="432">
        <f t="shared" si="27"/>
        <v>24919.105187322326</v>
      </c>
      <c r="AP41" s="432">
        <f t="shared" si="27"/>
        <v>25931.767362309049</v>
      </c>
      <c r="AQ41" s="432">
        <f t="shared" si="27"/>
        <v>24645.984459349973</v>
      </c>
      <c r="AR41" s="432">
        <f t="shared" si="27"/>
        <v>25426.27683179735</v>
      </c>
      <c r="AS41" s="432">
        <f t="shared" si="27"/>
        <v>27899.748913542353</v>
      </c>
      <c r="AT41" s="432">
        <f t="shared" si="27"/>
        <v>28911.125575906608</v>
      </c>
      <c r="AU41" s="432">
        <f t="shared" si="27"/>
        <v>27635.453104511893</v>
      </c>
      <c r="AV41" s="432">
        <f t="shared" si="27"/>
        <v>28415.496746972341</v>
      </c>
      <c r="AW41" s="432">
        <f t="shared" si="27"/>
        <v>30880.416607771589</v>
      </c>
      <c r="AX41" s="432">
        <f t="shared" si="27"/>
        <v>31890.514581586216</v>
      </c>
      <c r="AY41" s="432">
        <f t="shared" si="27"/>
        <v>30624.901881584447</v>
      </c>
      <c r="AZ41" s="432">
        <f t="shared" si="27"/>
        <v>31404.696056334942</v>
      </c>
      <c r="BA41" s="432">
        <f t="shared" si="27"/>
        <v>32111.106693243008</v>
      </c>
      <c r="BB41" s="432">
        <f t="shared" si="27"/>
        <v>31369.932777264472</v>
      </c>
      <c r="BC41" s="432">
        <f t="shared" si="27"/>
        <v>28364.329433280443</v>
      </c>
      <c r="BD41" s="432">
        <f t="shared" si="27"/>
        <v>27378.556076725847</v>
      </c>
      <c r="BE41" s="432">
        <f t="shared" si="27"/>
        <v>28091.817571664375</v>
      </c>
      <c r="BF41" s="432">
        <f t="shared" si="27"/>
        <v>27349.378539632711</v>
      </c>
      <c r="BG41" s="432">
        <f t="shared" si="27"/>
        <v>24353.734379723559</v>
      </c>
      <c r="BH41" s="432">
        <f t="shared" si="27"/>
        <v>23383.027260739953</v>
      </c>
      <c r="BI41" s="432">
        <f t="shared" si="27"/>
        <v>24072.54762273352</v>
      </c>
      <c r="BJ41" s="432">
        <f t="shared" si="27"/>
        <v>23328.850223674279</v>
      </c>
      <c r="BK41" s="432">
        <f t="shared" si="27"/>
        <v>20343.115317969452</v>
      </c>
      <c r="BL41" s="432">
        <f t="shared" si="27"/>
        <v>19372.156298820435</v>
      </c>
      <c r="BM41" s="432">
        <f t="shared" si="27"/>
        <v>20053.295203644106</v>
      </c>
      <c r="BN41" s="432">
        <f t="shared" si="27"/>
        <v>19308.346162172373</v>
      </c>
      <c r="BO41" s="432">
        <f t="shared" si="27"/>
        <v>16332.470821517363</v>
      </c>
      <c r="BP41" s="432">
        <f t="shared" si="27"/>
        <v>15361.259016170996</v>
      </c>
      <c r="BQ41" s="432">
        <f t="shared" si="27"/>
        <v>16034.058648581653</v>
      </c>
      <c r="BR41" s="432">
        <f t="shared" si="27"/>
        <v>15287.864665208215</v>
      </c>
      <c r="BS41" s="432">
        <f t="shared" si="27"/>
        <v>12321.799439811999</v>
      </c>
      <c r="BT41" s="432">
        <f t="shared" si="27"/>
        <v>11335.495089212582</v>
      </c>
      <c r="BU41" s="432">
        <f t="shared" si="27"/>
        <v>12014.836268209721</v>
      </c>
      <c r="BV41" s="432">
        <f t="shared" ref="BV41:EA41" si="28" xml:space="preserve"> IF( BV36 = 1, $F35, BV38 + BV39 - BV40)</f>
        <v>11267.404019649432</v>
      </c>
      <c r="BW41" s="432">
        <f t="shared" si="28"/>
        <v>8311.0996977354807</v>
      </c>
      <c r="BX41" s="432">
        <f t="shared" si="28"/>
        <v>7339.3795064257938</v>
      </c>
      <c r="BY41" s="432">
        <f t="shared" si="28"/>
        <v>7995.6263491459431</v>
      </c>
      <c r="BZ41" s="432">
        <f t="shared" si="28"/>
        <v>7246.9624886283327</v>
      </c>
      <c r="CA41" s="432">
        <f t="shared" si="28"/>
        <v>4300.370095089188</v>
      </c>
      <c r="CB41" s="432">
        <f t="shared" si="28"/>
        <v>3328.3942245727467</v>
      </c>
      <c r="CC41" s="432">
        <f t="shared" si="28"/>
        <v>3976.4271534277591</v>
      </c>
      <c r="CD41" s="432">
        <f t="shared" si="28"/>
        <v>3226.5383110099901</v>
      </c>
      <c r="CE41" s="432">
        <f t="shared" si="28"/>
        <v>289.60910606525067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550.06025187035084</v>
      </c>
      <c r="DI41" s="432">
        <f t="shared" si="28"/>
        <v>5.9117155615240335E-12</v>
      </c>
      <c r="DJ41" s="432">
        <f t="shared" si="28"/>
        <v>5.9117155615240335E-12</v>
      </c>
      <c r="DK41" s="432">
        <f t="shared" si="28"/>
        <v>5.9117155615240335E-12</v>
      </c>
      <c r="DL41" s="432">
        <f t="shared" si="28"/>
        <v>5.9117155615240335E-12</v>
      </c>
      <c r="DM41" s="432">
        <f t="shared" si="28"/>
        <v>5.9117155615240335E-12</v>
      </c>
      <c r="DN41" s="432">
        <f t="shared" si="28"/>
        <v>5.9117155615240335E-12</v>
      </c>
      <c r="DO41" s="432">
        <f t="shared" si="28"/>
        <v>5.9117155615240335E-12</v>
      </c>
      <c r="DP41" s="432">
        <f t="shared" si="28"/>
        <v>5.9117155615240335E-12</v>
      </c>
      <c r="DQ41" s="432">
        <f t="shared" si="28"/>
        <v>5.9117155615240335E-12</v>
      </c>
      <c r="DR41" s="432">
        <f t="shared" si="28"/>
        <v>5.9117155615240335E-12</v>
      </c>
      <c r="DS41" s="432">
        <f t="shared" si="28"/>
        <v>5.9117155615240335E-12</v>
      </c>
      <c r="DT41" s="432">
        <f t="shared" si="28"/>
        <v>5.9117155615240335E-12</v>
      </c>
      <c r="DU41" s="432">
        <f t="shared" si="28"/>
        <v>5.9117155615240335E-12</v>
      </c>
      <c r="DV41" s="432">
        <f t="shared" si="28"/>
        <v>5.9117155615240335E-12</v>
      </c>
      <c r="DW41" s="432">
        <f t="shared" si="28"/>
        <v>5.9117155615240335E-12</v>
      </c>
      <c r="DX41" s="432">
        <f t="shared" si="28"/>
        <v>5.9117155615240335E-12</v>
      </c>
      <c r="DY41" s="432">
        <f t="shared" si="28"/>
        <v>5.9117155615240335E-12</v>
      </c>
      <c r="DZ41" s="432">
        <f t="shared" si="28"/>
        <v>5.9117155615240335E-12</v>
      </c>
      <c r="EA41" s="432">
        <f t="shared" si="28"/>
        <v>5.9117155615240335E-12</v>
      </c>
    </row>
    <row r="42" spans="1:131" outlineLevel="1" x14ac:dyDescent="0.35"/>
    <row r="44" spans="1:131" x14ac:dyDescent="0.35">
      <c r="A44" s="8" t="s">
        <v>157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InpC!E$56</f>
        <v>Retained cash - initial balance</v>
      </c>
      <c r="F46" s="435">
        <f xml:space="preserve"> InpC!F$56</f>
        <v>0</v>
      </c>
      <c r="G46" s="435" t="str">
        <f xml:space="preserve"> InpC!G$56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159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-230.64835164835131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682.62348860002203</v>
      </c>
      <c r="CH49" s="169">
        <f t="shared" si="31"/>
        <v>42.763082032367493</v>
      </c>
      <c r="CI49" s="169">
        <f t="shared" si="31"/>
        <v>793.87029915015228</v>
      </c>
      <c r="CJ49" s="169">
        <f t="shared" si="31"/>
        <v>3721.1848212924588</v>
      </c>
      <c r="CK49" s="169">
        <f t="shared" si="31"/>
        <v>4708.0304438289804</v>
      </c>
      <c r="CL49" s="169">
        <f t="shared" si="31"/>
        <v>4061.9461460024577</v>
      </c>
      <c r="CM49" s="169">
        <f t="shared" si="31"/>
        <v>4814.2651531593319</v>
      </c>
      <c r="CN49" s="169">
        <f t="shared" si="31"/>
        <v>7732.0132656381202</v>
      </c>
      <c r="CO49" s="169">
        <f t="shared" si="31"/>
        <v>8704.7626101198621</v>
      </c>
      <c r="CP49" s="169">
        <f t="shared" si="31"/>
        <v>8081.1238534974846</v>
      </c>
      <c r="CQ49" s="169">
        <f t="shared" si="31"/>
        <v>8834.6480882514006</v>
      </c>
      <c r="CR49" s="169">
        <f t="shared" si="31"/>
        <v>11742.877832884687</v>
      </c>
      <c r="CS49" s="169">
        <f t="shared" si="31"/>
        <v>12715.887288231595</v>
      </c>
      <c r="CT49" s="169">
        <f t="shared" si="31"/>
        <v>12100.298046357006</v>
      </c>
      <c r="CU49" s="169">
        <f t="shared" si="31"/>
        <v>12855.020968161843</v>
      </c>
      <c r="CV49" s="169">
        <f t="shared" si="31"/>
        <v>15753.780156775818</v>
      </c>
      <c r="CW49" s="169">
        <f t="shared" si="31"/>
        <v>16727.050938355944</v>
      </c>
      <c r="CX49" s="169">
        <f t="shared" si="31"/>
        <v>16119.470593834196</v>
      </c>
      <c r="CY49" s="169">
        <f t="shared" si="31"/>
        <v>16875.385683714165</v>
      </c>
      <c r="CZ49" s="169">
        <f t="shared" si="31"/>
        <v>19764.721899469219</v>
      </c>
      <c r="DA49" s="169">
        <f t="shared" si="31"/>
        <v>20752.120593905103</v>
      </c>
      <c r="DB49" s="169">
        <f t="shared" ref="DB49:EA49" si="32">DA52</f>
        <v>20138.6433931965</v>
      </c>
      <c r="DC49" s="169">
        <f t="shared" si="32"/>
        <v>20895.744153417767</v>
      </c>
      <c r="DD49" s="169">
        <f t="shared" si="32"/>
        <v>23775.704752131605</v>
      </c>
      <c r="DE49" s="169">
        <f t="shared" si="32"/>
        <v>24749.502011160188</v>
      </c>
      <c r="DF49" s="169">
        <f t="shared" si="32"/>
        <v>24157.818370338158</v>
      </c>
      <c r="DG49" s="169">
        <f t="shared" si="32"/>
        <v>24916.09832407767</v>
      </c>
      <c r="DH49" s="169">
        <f t="shared" si="32"/>
        <v>27786.730435545571</v>
      </c>
      <c r="DI49" s="169">
        <f t="shared" si="32"/>
        <v>-689.14681089112128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222667.04122730828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-230.64835164835131</v>
      </c>
      <c r="N50" s="428">
        <f xml:space="preserve"> 'FS Qtr'!N$50</f>
        <v>3273.8865989309606</v>
      </c>
      <c r="O50" s="428">
        <f xml:space="preserve"> 'FS Qtr'!O$50</f>
        <v>2420.5295879755431</v>
      </c>
      <c r="P50" s="428">
        <f xml:space="preserve"> 'FS Qtr'!P$50</f>
        <v>278.61532604393051</v>
      </c>
      <c r="Q50" s="428">
        <f xml:space="preserve"> 'FS Qtr'!Q$50</f>
        <v>1256.71803994626</v>
      </c>
      <c r="R50" s="428">
        <f xml:space="preserve"> 'FS Qtr'!R$50</f>
        <v>3239.357079414217</v>
      </c>
      <c r="S50" s="428">
        <f xml:space="preserve"> 'FS Qtr'!S$50</f>
        <v>2390.2320518402594</v>
      </c>
      <c r="T50" s="428">
        <f xml:space="preserve"> 'FS Qtr'!T$50</f>
        <v>258.99598855904014</v>
      </c>
      <c r="U50" s="428">
        <f xml:space="preserve"> 'FS Qtr'!U$50</f>
        <v>1232.0798495086847</v>
      </c>
      <c r="V50" s="428">
        <f xml:space="preserve"> 'FS Qtr'!V$50</f>
        <v>3204.807212342962</v>
      </c>
      <c r="W50" s="428">
        <f xml:space="preserve"> 'FS Qtr'!W$50</f>
        <v>2359.8928399861561</v>
      </c>
      <c r="X50" s="428">
        <f xml:space="preserve"> 'FS Qtr'!X$50</f>
        <v>255.54509776481268</v>
      </c>
      <c r="Y50" s="428">
        <f xml:space="preserve"> 'FS Qtr'!Y$50</f>
        <v>1191.1063861909197</v>
      </c>
      <c r="Z50" s="428">
        <f xml:space="preserve"> 'FS Qtr'!Z$50</f>
        <v>3170.2332273080128</v>
      </c>
      <c r="AA50" s="428">
        <f xml:space="preserve"> 'FS Qtr'!AA$50</f>
        <v>2329.5082826027474</v>
      </c>
      <c r="AB50" s="428">
        <f xml:space="preserve"> 'FS Qtr'!AB$50</f>
        <v>219.47083594714786</v>
      </c>
      <c r="AC50" s="428">
        <f xml:space="preserve"> 'FS Qtr'!AC$50</f>
        <v>1182.5824991845047</v>
      </c>
      <c r="AD50" s="428">
        <f xml:space="preserve"> 'FS Qtr'!AD$50</f>
        <v>3135.6312946429462</v>
      </c>
      <c r="AE50" s="428">
        <f xml:space="preserve"> 'FS Qtr'!AE$50</f>
        <v>2299.0746500107443</v>
      </c>
      <c r="AF50" s="428">
        <f xml:space="preserve"> 'FS Qtr'!AF$50</f>
        <v>199.55816217099482</v>
      </c>
      <c r="AG50" s="428">
        <f xml:space="preserve"> 'FS Qtr'!AG$50</f>
        <v>1157.71613842746</v>
      </c>
      <c r="AH50" s="428">
        <f xml:space="preserve"> 'FS Qtr'!AH$50</f>
        <v>3100.9975241468455</v>
      </c>
      <c r="AI50" s="428">
        <f xml:space="preserve"> 'FS Qtr'!AI$50</f>
        <v>2268.5881513856307</v>
      </c>
      <c r="AJ50" s="428">
        <f xml:space="preserve"> 'FS Qtr'!AJ$50</f>
        <v>179.5407479852247</v>
      </c>
      <c r="AK50" s="428">
        <f xml:space="preserve"> 'FS Qtr'!AK$50</f>
        <v>1132.7664163421891</v>
      </c>
      <c r="AL50" s="428">
        <f xml:space="preserve"> 'FS Qtr'!AL$50</f>
        <v>3066.327963781755</v>
      </c>
      <c r="AM50" s="428">
        <f xml:space="preserve"> 'FS Qtr'!AM$50</f>
        <v>2238.0449334558452</v>
      </c>
      <c r="AN50" s="428">
        <f xml:space="preserve"> 'FS Qtr'!AN$50</f>
        <v>175.20663051795282</v>
      </c>
      <c r="AO50" s="428">
        <f xml:space="preserve"> 'FS Qtr'!AO$50</f>
        <v>1091.9379521318856</v>
      </c>
      <c r="AP50" s="428">
        <f xml:space="preserve"> 'FS Qtr'!AP$50</f>
        <v>3031.6185983442665</v>
      </c>
      <c r="AQ50" s="428">
        <f xml:space="preserve"> 'FS Qtr'!AQ$50</f>
        <v>2207.4410791751011</v>
      </c>
      <c r="AR50" s="428">
        <f xml:space="preserve"> 'FS Qtr'!AR$50</f>
        <v>139.17729048744422</v>
      </c>
      <c r="AS50" s="428">
        <f xml:space="preserve"> 'FS Qtr'!AS$50</f>
        <v>1082.6017911092231</v>
      </c>
      <c r="AT50" s="428">
        <f xml:space="preserve"> 'FS Qtr'!AT$50</f>
        <v>2996.8653481107795</v>
      </c>
      <c r="AU50" s="428">
        <f xml:space="preserve"> 'FS Qtr'!AU$50</f>
        <v>2176.7726063682762</v>
      </c>
      <c r="AV50" s="428">
        <f xml:space="preserve"> 'FS Qtr'!AV$50</f>
        <v>118.82387959366497</v>
      </c>
      <c r="AW50" s="428">
        <f xml:space="preserve"> 'FS Qtr'!AW$50</f>
        <v>1057.3791745912417</v>
      </c>
      <c r="AX50" s="428">
        <f xml:space="preserve"> 'FS Qtr'!AX$50</f>
        <v>2962.0640674558335</v>
      </c>
      <c r="AY50" s="428">
        <f xml:space="preserve"> 'FS Qtr'!AY$50</f>
        <v>2146.0354663503745</v>
      </c>
      <c r="AZ50" s="428">
        <f xml:space="preserve"> 'FS Qtr'!AZ$50</f>
        <v>98.350990410631312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222667.04122730848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3043.2382472826093</v>
      </c>
      <c r="O51" s="26">
        <f t="shared" si="33"/>
        <v>2420.5295879755431</v>
      </c>
      <c r="P51" s="26">
        <f t="shared" si="33"/>
        <v>278.61532604393051</v>
      </c>
      <c r="Q51" s="26">
        <f t="shared" si="33"/>
        <v>1256.71803994626</v>
      </c>
      <c r="R51" s="26">
        <f t="shared" si="33"/>
        <v>3239.357079414217</v>
      </c>
      <c r="S51" s="26">
        <f t="shared" si="33"/>
        <v>2390.2320518402594</v>
      </c>
      <c r="T51" s="26">
        <f t="shared" si="33"/>
        <v>258.99598855904014</v>
      </c>
      <c r="U51" s="26">
        <f t="shared" si="33"/>
        <v>1232.0798495086847</v>
      </c>
      <c r="V51" s="26">
        <f t="shared" si="33"/>
        <v>3204.807212342962</v>
      </c>
      <c r="W51" s="26">
        <f t="shared" si="33"/>
        <v>2359.8928399861561</v>
      </c>
      <c r="X51" s="26">
        <f t="shared" si="33"/>
        <v>255.54509776481268</v>
      </c>
      <c r="Y51" s="26">
        <f t="shared" si="33"/>
        <v>1191.1063861909197</v>
      </c>
      <c r="Z51" s="26">
        <f t="shared" si="33"/>
        <v>3170.2332273080128</v>
      </c>
      <c r="AA51" s="26">
        <f t="shared" si="33"/>
        <v>2329.5082826027474</v>
      </c>
      <c r="AB51" s="26">
        <f t="shared" si="33"/>
        <v>219.47083594714786</v>
      </c>
      <c r="AC51" s="26">
        <f t="shared" si="33"/>
        <v>1182.5824991845047</v>
      </c>
      <c r="AD51" s="26">
        <f t="shared" si="33"/>
        <v>3135.6312946429462</v>
      </c>
      <c r="AE51" s="26">
        <f t="shared" si="33"/>
        <v>2299.0746500107443</v>
      </c>
      <c r="AF51" s="26">
        <f t="shared" si="33"/>
        <v>199.55816217099482</v>
      </c>
      <c r="AG51" s="26">
        <f t="shared" si="33"/>
        <v>1157.71613842746</v>
      </c>
      <c r="AH51" s="26">
        <f t="shared" si="33"/>
        <v>3100.9975241468455</v>
      </c>
      <c r="AI51" s="26">
        <f t="shared" si="33"/>
        <v>2268.5881513856307</v>
      </c>
      <c r="AJ51" s="26">
        <f t="shared" si="33"/>
        <v>179.5407479852247</v>
      </c>
      <c r="AK51" s="26">
        <f t="shared" ref="AK51:BP51" si="34" xml:space="preserve"> AK$69</f>
        <v>1132.7664163421891</v>
      </c>
      <c r="AL51" s="26">
        <f t="shared" si="34"/>
        <v>3066.327963781755</v>
      </c>
      <c r="AM51" s="26">
        <f t="shared" si="34"/>
        <v>2238.0449334558452</v>
      </c>
      <c r="AN51" s="26">
        <f t="shared" si="34"/>
        <v>175.20663051795282</v>
      </c>
      <c r="AO51" s="26">
        <f t="shared" si="34"/>
        <v>1091.9379521318856</v>
      </c>
      <c r="AP51" s="26">
        <f t="shared" si="34"/>
        <v>3031.6185983442665</v>
      </c>
      <c r="AQ51" s="26">
        <f t="shared" si="34"/>
        <v>2207.4410791751011</v>
      </c>
      <c r="AR51" s="26">
        <f t="shared" si="34"/>
        <v>139.17729048744422</v>
      </c>
      <c r="AS51" s="26">
        <f t="shared" si="34"/>
        <v>1082.6017911092231</v>
      </c>
      <c r="AT51" s="26">
        <f t="shared" si="34"/>
        <v>2996.8653481107795</v>
      </c>
      <c r="AU51" s="26">
        <f t="shared" si="34"/>
        <v>2176.7726063682762</v>
      </c>
      <c r="AV51" s="26">
        <f t="shared" si="34"/>
        <v>118.82387959366497</v>
      </c>
      <c r="AW51" s="26">
        <f t="shared" si="34"/>
        <v>1057.3791745912417</v>
      </c>
      <c r="AX51" s="26">
        <f t="shared" si="34"/>
        <v>2962.0640674558335</v>
      </c>
      <c r="AY51" s="26">
        <f t="shared" si="34"/>
        <v>2146.0354663503745</v>
      </c>
      <c r="AZ51" s="26">
        <f t="shared" si="34"/>
        <v>98.350990410631312</v>
      </c>
      <c r="BA51" s="26">
        <f t="shared" si="34"/>
        <v>2782.0577672391714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997.16557094801556</v>
      </c>
      <c r="CG51" s="26">
        <f t="shared" si="35"/>
        <v>3215.2918151892882</v>
      </c>
      <c r="CH51" s="26">
        <f t="shared" si="35"/>
        <v>3644.8654433561715</v>
      </c>
      <c r="CI51" s="26">
        <f t="shared" si="35"/>
        <v>688.29384224823389</v>
      </c>
      <c r="CJ51" s="26">
        <f t="shared" si="35"/>
        <v>685.56828126386836</v>
      </c>
      <c r="CK51" s="26">
        <f t="shared" si="35"/>
        <v>3180.759871906117</v>
      </c>
      <c r="CL51" s="26">
        <f t="shared" si="35"/>
        <v>3608.1285161322512</v>
      </c>
      <c r="CM51" s="26">
        <f t="shared" si="35"/>
        <v>666.19808575299317</v>
      </c>
      <c r="CN51" s="26">
        <f t="shared" si="35"/>
        <v>663.41760335030904</v>
      </c>
      <c r="CO51" s="26">
        <f t="shared" si="35"/>
        <v>3146.1264816515677</v>
      </c>
      <c r="CP51" s="26">
        <f t="shared" si="35"/>
        <v>3571.2997457678875</v>
      </c>
      <c r="CQ51" s="26">
        <f t="shared" si="35"/>
        <v>643.93627140228091</v>
      </c>
      <c r="CR51" s="26">
        <f t="shared" si="35"/>
        <v>641.0997608872035</v>
      </c>
      <c r="CS51" s="26">
        <f t="shared" si="35"/>
        <v>3111.3866430593098</v>
      </c>
      <c r="CT51" s="26">
        <f t="shared" si="35"/>
        <v>3534.3740555861114</v>
      </c>
      <c r="CU51" s="26">
        <f t="shared" si="35"/>
        <v>621.50366407852198</v>
      </c>
      <c r="CV51" s="26">
        <f t="shared" si="35"/>
        <v>618.60999645653737</v>
      </c>
      <c r="CW51" s="26">
        <f t="shared" ref="CW51:EA51" si="36" xml:space="preserve"> CW$69</f>
        <v>3076.5352686952083</v>
      </c>
      <c r="CX51" s="26">
        <f t="shared" si="36"/>
        <v>3497.3462826620735</v>
      </c>
      <c r="CY51" s="26">
        <f t="shared" si="36"/>
        <v>598.89544015944239</v>
      </c>
      <c r="CZ51" s="26">
        <f t="shared" si="36"/>
        <v>595.94346368623292</v>
      </c>
      <c r="DA51" s="26">
        <f t="shared" si="36"/>
        <v>3041.5671832498269</v>
      </c>
      <c r="DB51" s="26">
        <f t="shared" si="36"/>
        <v>3460.2111760052694</v>
      </c>
      <c r="DC51" s="26">
        <f t="shared" si="36"/>
        <v>576.10668570027906</v>
      </c>
      <c r="DD51" s="26">
        <f t="shared" si="36"/>
        <v>573.09522542330069</v>
      </c>
      <c r="DE51" s="26">
        <f t="shared" si="36"/>
        <v>3006.477121694857</v>
      </c>
      <c r="DF51" s="26">
        <f t="shared" si="36"/>
        <v>3422.9633947055136</v>
      </c>
      <c r="DG51" s="26">
        <f t="shared" si="36"/>
        <v>553.13239457952204</v>
      </c>
      <c r="DH51" s="26">
        <f t="shared" si="36"/>
        <v>0</v>
      </c>
      <c r="DI51" s="26">
        <f t="shared" si="36"/>
        <v>550.06025187034493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158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-230.64835164835131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682.62348860002203</v>
      </c>
      <c r="CG52" s="432">
        <f t="shared" si="39"/>
        <v>42.763082032367493</v>
      </c>
      <c r="CH52" s="432">
        <f t="shared" si="39"/>
        <v>793.87029915015228</v>
      </c>
      <c r="CI52" s="432">
        <f t="shared" si="39"/>
        <v>3721.1848212924588</v>
      </c>
      <c r="CJ52" s="432">
        <f t="shared" si="39"/>
        <v>4708.0304438289804</v>
      </c>
      <c r="CK52" s="432">
        <f t="shared" si="39"/>
        <v>4061.9461460024577</v>
      </c>
      <c r="CL52" s="432">
        <f t="shared" si="39"/>
        <v>4814.2651531593319</v>
      </c>
      <c r="CM52" s="432">
        <f t="shared" si="39"/>
        <v>7732.0132656381202</v>
      </c>
      <c r="CN52" s="432">
        <f t="shared" si="39"/>
        <v>8704.7626101198621</v>
      </c>
      <c r="CO52" s="432">
        <f t="shared" si="39"/>
        <v>8081.1238534974846</v>
      </c>
      <c r="CP52" s="432">
        <f t="shared" si="39"/>
        <v>8834.6480882514006</v>
      </c>
      <c r="CQ52" s="432">
        <f t="shared" si="39"/>
        <v>11742.877832884687</v>
      </c>
      <c r="CR52" s="432">
        <f t="shared" si="39"/>
        <v>12715.887288231595</v>
      </c>
      <c r="CS52" s="432">
        <f t="shared" si="39"/>
        <v>12100.298046357006</v>
      </c>
      <c r="CT52" s="432">
        <f t="shared" si="39"/>
        <v>12855.020968161843</v>
      </c>
      <c r="CU52" s="432">
        <f t="shared" si="39"/>
        <v>15753.780156775818</v>
      </c>
      <c r="CV52" s="432">
        <f t="shared" si="39"/>
        <v>16727.050938355944</v>
      </c>
      <c r="CW52" s="432">
        <f t="shared" si="39"/>
        <v>16119.470593834196</v>
      </c>
      <c r="CX52" s="432">
        <f t="shared" si="39"/>
        <v>16875.385683714165</v>
      </c>
      <c r="CY52" s="432">
        <f t="shared" si="39"/>
        <v>19764.721899469219</v>
      </c>
      <c r="CZ52" s="432">
        <f t="shared" si="39"/>
        <v>20752.120593905103</v>
      </c>
      <c r="DA52" s="432">
        <f t="shared" si="39"/>
        <v>20138.6433931965</v>
      </c>
      <c r="DB52" s="432">
        <f t="shared" ref="DB52:EA52" si="40" xml:space="preserve"> IF( DB47 = 1, $F46, DB49 + DB50 - DB51)</f>
        <v>20895.744153417767</v>
      </c>
      <c r="DC52" s="432">
        <f t="shared" si="40"/>
        <v>23775.704752131605</v>
      </c>
      <c r="DD52" s="432">
        <f t="shared" si="40"/>
        <v>24749.502011160188</v>
      </c>
      <c r="DE52" s="432">
        <f t="shared" si="40"/>
        <v>24157.818370338158</v>
      </c>
      <c r="DF52" s="432">
        <f t="shared" si="40"/>
        <v>24916.09832407767</v>
      </c>
      <c r="DG52" s="432">
        <f t="shared" si="40"/>
        <v>27786.730435545571</v>
      </c>
      <c r="DH52" s="432">
        <f t="shared" si="40"/>
        <v>-689.14681089112128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226</v>
      </c>
    </row>
    <row r="55" spans="1:131" outlineLevel="1" x14ac:dyDescent="0.35"/>
    <row r="56" spans="1:131" outlineLevel="1" x14ac:dyDescent="0.35">
      <c r="B56" s="8" t="s">
        <v>227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3824.75</v>
      </c>
      <c r="O57" s="7">
        <f t="shared" si="41"/>
        <v>5077.252377717391</v>
      </c>
      <c r="P57" s="7">
        <f t="shared" si="41"/>
        <v>3719.2571178668468</v>
      </c>
      <c r="Q57" s="7">
        <f t="shared" si="41"/>
        <v>4501.272854088541</v>
      </c>
      <c r="R57" s="7">
        <f t="shared" si="41"/>
        <v>7035.8318628759516</v>
      </c>
      <c r="S57" s="7">
        <f t="shared" si="41"/>
        <v>8056.3518741554917</v>
      </c>
      <c r="T57" s="7">
        <f t="shared" si="41"/>
        <v>6708.8286367709134</v>
      </c>
      <c r="U57" s="7">
        <f t="shared" si="41"/>
        <v>7490.599845048293</v>
      </c>
      <c r="V57" s="7">
        <f t="shared" si="41"/>
        <v>10016.299815580824</v>
      </c>
      <c r="W57" s="7">
        <f t="shared" si="41"/>
        <v>11035.492821599601</v>
      </c>
      <c r="X57" s="7">
        <f t="shared" si="41"/>
        <v>9698.3891944087391</v>
      </c>
      <c r="Y57" s="7">
        <f t="shared" si="41"/>
        <v>10463.652567252908</v>
      </c>
      <c r="Z57" s="7">
        <f t="shared" si="41"/>
        <v>12996.800770860445</v>
      </c>
      <c r="AA57" s="7">
        <f t="shared" si="41"/>
        <v>14014.673753782783</v>
      </c>
      <c r="AB57" s="7">
        <f t="shared" si="41"/>
        <v>12687.937578970741</v>
      </c>
      <c r="AC57" s="7">
        <f t="shared" si="41"/>
        <v>13469.218195681322</v>
      </c>
      <c r="AD57" s="7">
        <f t="shared" si="41"/>
        <v>15977.333271429212</v>
      </c>
      <c r="AE57" s="7">
        <f t="shared" si="41"/>
        <v>16993.893186342477</v>
      </c>
      <c r="AF57" s="7">
        <f t="shared" si="41"/>
        <v>15677.47255915881</v>
      </c>
      <c r="AG57" s="7">
        <f t="shared" si="41"/>
        <v>16458.507047469397</v>
      </c>
      <c r="AH57" s="7">
        <f t="shared" si="41"/>
        <v>18957.895841195208</v>
      </c>
      <c r="AI57" s="7">
        <f t="shared" si="41"/>
        <v>19973.149616398874</v>
      </c>
      <c r="AJ57" s="7">
        <f t="shared" si="41"/>
        <v>18666.99288376905</v>
      </c>
      <c r="AK57" s="7">
        <f t="shared" ref="AK57:BP57" si="42" xml:space="preserve"> AK$38</f>
        <v>19447.780644509396</v>
      </c>
      <c r="AL57" s="7">
        <f t="shared" si="42"/>
        <v>21938.486984828724</v>
      </c>
      <c r="AM57" s="7">
        <f t="shared" si="42"/>
        <v>22952.441522125104</v>
      </c>
      <c r="AN57" s="7">
        <f t="shared" si="42"/>
        <v>21656.497281266253</v>
      </c>
      <c r="AO57" s="7">
        <f t="shared" si="42"/>
        <v>22421.246058625184</v>
      </c>
      <c r="AP57" s="7">
        <f t="shared" si="42"/>
        <v>24919.105187322326</v>
      </c>
      <c r="AQ57" s="7">
        <f t="shared" si="42"/>
        <v>25931.767362309049</v>
      </c>
      <c r="AR57" s="7">
        <f t="shared" si="42"/>
        <v>24645.984459349973</v>
      </c>
      <c r="AS57" s="7">
        <f t="shared" si="42"/>
        <v>25426.27683179735</v>
      </c>
      <c r="AT57" s="7">
        <f t="shared" si="42"/>
        <v>27899.748913542353</v>
      </c>
      <c r="AU57" s="7">
        <f t="shared" si="42"/>
        <v>28911.125575906608</v>
      </c>
      <c r="AV57" s="7">
        <f t="shared" si="42"/>
        <v>27635.453104511893</v>
      </c>
      <c r="AW57" s="7">
        <f t="shared" si="42"/>
        <v>28415.496746972341</v>
      </c>
      <c r="AX57" s="7">
        <f t="shared" si="42"/>
        <v>30880.416607771589</v>
      </c>
      <c r="AY57" s="7">
        <f t="shared" si="42"/>
        <v>31890.514581586216</v>
      </c>
      <c r="AZ57" s="7">
        <f t="shared" si="42"/>
        <v>30624.901881584447</v>
      </c>
      <c r="BA57" s="7">
        <f t="shared" si="42"/>
        <v>31404.696056334942</v>
      </c>
      <c r="BB57" s="7">
        <f t="shared" si="42"/>
        <v>32111.106693243008</v>
      </c>
      <c r="BC57" s="7">
        <f t="shared" si="42"/>
        <v>31369.932777264472</v>
      </c>
      <c r="BD57" s="7">
        <f t="shared" si="42"/>
        <v>28364.329433280443</v>
      </c>
      <c r="BE57" s="7">
        <f t="shared" si="42"/>
        <v>27378.556076725847</v>
      </c>
      <c r="BF57" s="7">
        <f t="shared" si="42"/>
        <v>28091.817571664375</v>
      </c>
      <c r="BG57" s="7">
        <f t="shared" si="42"/>
        <v>27349.378539632711</v>
      </c>
      <c r="BH57" s="7">
        <f t="shared" si="42"/>
        <v>24353.734379723559</v>
      </c>
      <c r="BI57" s="7">
        <f t="shared" si="42"/>
        <v>23383.027260739953</v>
      </c>
      <c r="BJ57" s="7">
        <f t="shared" si="42"/>
        <v>24072.54762273352</v>
      </c>
      <c r="BK57" s="7">
        <f t="shared" si="42"/>
        <v>23328.850223674279</v>
      </c>
      <c r="BL57" s="7">
        <f t="shared" si="42"/>
        <v>20343.115317969452</v>
      </c>
      <c r="BM57" s="7">
        <f t="shared" si="42"/>
        <v>19372.156298820435</v>
      </c>
      <c r="BN57" s="7">
        <f t="shared" si="42"/>
        <v>20053.295203644106</v>
      </c>
      <c r="BO57" s="7">
        <f t="shared" si="42"/>
        <v>19308.346162172373</v>
      </c>
      <c r="BP57" s="7">
        <f t="shared" si="42"/>
        <v>16332.470821517363</v>
      </c>
      <c r="BQ57" s="7">
        <f t="shared" ref="BQ57:CV57" si="43" xml:space="preserve"> BQ$38</f>
        <v>15361.259016170996</v>
      </c>
      <c r="BR57" s="7">
        <f t="shared" si="43"/>
        <v>16034.058648581653</v>
      </c>
      <c r="BS57" s="7">
        <f t="shared" si="43"/>
        <v>15287.864665208215</v>
      </c>
      <c r="BT57" s="7">
        <f t="shared" si="43"/>
        <v>12321.799439811999</v>
      </c>
      <c r="BU57" s="7">
        <f t="shared" si="43"/>
        <v>11335.495089212582</v>
      </c>
      <c r="BV57" s="7">
        <f t="shared" si="43"/>
        <v>12014.836268209721</v>
      </c>
      <c r="BW57" s="7">
        <f t="shared" si="43"/>
        <v>11267.404019649432</v>
      </c>
      <c r="BX57" s="7">
        <f t="shared" si="43"/>
        <v>8311.0996977354807</v>
      </c>
      <c r="BY57" s="7">
        <f t="shared" si="43"/>
        <v>7339.3795064257938</v>
      </c>
      <c r="BZ57" s="7">
        <f t="shared" si="43"/>
        <v>7995.6263491459431</v>
      </c>
      <c r="CA57" s="7">
        <f t="shared" si="43"/>
        <v>7246.9624886283327</v>
      </c>
      <c r="CB57" s="7">
        <f t="shared" si="43"/>
        <v>4300.370095089188</v>
      </c>
      <c r="CC57" s="7">
        <f t="shared" si="43"/>
        <v>3328.3942245727467</v>
      </c>
      <c r="CD57" s="7">
        <f t="shared" si="43"/>
        <v>3976.4271534277591</v>
      </c>
      <c r="CE57" s="7">
        <f t="shared" si="43"/>
        <v>3226.5383110099901</v>
      </c>
      <c r="CF57" s="7">
        <f t="shared" si="43"/>
        <v>289.60910606525067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550.06025187035084</v>
      </c>
      <c r="DJ57" s="7">
        <f t="shared" si="44"/>
        <v>5.9117155615240335E-12</v>
      </c>
      <c r="DK57" s="7">
        <f t="shared" si="44"/>
        <v>5.9117155615240335E-12</v>
      </c>
      <c r="DL57" s="7">
        <f t="shared" si="44"/>
        <v>5.9117155615240335E-12</v>
      </c>
      <c r="DM57" s="7">
        <f t="shared" si="44"/>
        <v>5.9117155615240335E-12</v>
      </c>
      <c r="DN57" s="7">
        <f t="shared" si="44"/>
        <v>5.9117155615240335E-12</v>
      </c>
      <c r="DO57" s="7">
        <f t="shared" si="44"/>
        <v>5.9117155615240335E-12</v>
      </c>
      <c r="DP57" s="7">
        <f t="shared" si="44"/>
        <v>5.9117155615240335E-12</v>
      </c>
      <c r="DQ57" s="7">
        <f t="shared" si="44"/>
        <v>5.9117155615240335E-12</v>
      </c>
      <c r="DR57" s="7">
        <f t="shared" si="44"/>
        <v>5.9117155615240335E-12</v>
      </c>
      <c r="DS57" s="7">
        <f t="shared" si="44"/>
        <v>5.9117155615240335E-12</v>
      </c>
      <c r="DT57" s="7">
        <f t="shared" si="44"/>
        <v>5.9117155615240335E-12</v>
      </c>
      <c r="DU57" s="7">
        <f t="shared" si="44"/>
        <v>5.9117155615240335E-12</v>
      </c>
      <c r="DV57" s="7">
        <f t="shared" si="44"/>
        <v>5.9117155615240335E-12</v>
      </c>
      <c r="DW57" s="7">
        <f t="shared" si="44"/>
        <v>5.9117155615240335E-12</v>
      </c>
      <c r="DX57" s="7">
        <f t="shared" si="44"/>
        <v>5.9117155615240335E-12</v>
      </c>
      <c r="DY57" s="7">
        <f t="shared" si="44"/>
        <v>5.9117155615240335E-12</v>
      </c>
      <c r="DZ57" s="7">
        <f t="shared" si="44"/>
        <v>5.9117155615240335E-12</v>
      </c>
      <c r="EA57" s="7">
        <f t="shared" si="44"/>
        <v>5.9117155615240335E-12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222667.04122730848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3824.75</v>
      </c>
      <c r="N58" s="428">
        <f xml:space="preserve"> 'FS Qtr'!N$22</f>
        <v>4295.7406250000004</v>
      </c>
      <c r="O58" s="428">
        <f xml:space="preserve"> 'FS Qtr'!O$22</f>
        <v>1062.5343281249989</v>
      </c>
      <c r="P58" s="428">
        <f xml:space="preserve"> 'FS Qtr'!P$22</f>
        <v>1060.6310622656251</v>
      </c>
      <c r="Q58" s="428">
        <f xml:space="preserve"> 'FS Qtr'!Q$22</f>
        <v>3791.2770487336711</v>
      </c>
      <c r="R58" s="428">
        <f xml:space="preserve"> 'FS Qtr'!R$22</f>
        <v>4259.8770906937561</v>
      </c>
      <c r="S58" s="428">
        <f xml:space="preserve"> 'FS Qtr'!S$22</f>
        <v>1042.7088144556815</v>
      </c>
      <c r="T58" s="428">
        <f xml:space="preserve"> 'FS Qtr'!T$22</f>
        <v>1040.7671968364189</v>
      </c>
      <c r="U58" s="428">
        <f xml:space="preserve"> 'FS Qtr'!U$22</f>
        <v>3757.7798200412162</v>
      </c>
      <c r="V58" s="428">
        <f xml:space="preserve"> 'FS Qtr'!V$22</f>
        <v>4224.000218361738</v>
      </c>
      <c r="W58" s="428">
        <f xml:space="preserve"> 'FS Qtr'!W$22</f>
        <v>1022.7892127952941</v>
      </c>
      <c r="X58" s="428">
        <f xml:space="preserve"> 'FS Qtr'!X$22</f>
        <v>1020.8084706089812</v>
      </c>
      <c r="Y58" s="428">
        <f xml:space="preserve"> 'FS Qtr'!Y$22</f>
        <v>3724.2545897984583</v>
      </c>
      <c r="Z58" s="428">
        <f xml:space="preserve"> 'FS Qtr'!Z$22</f>
        <v>4188.1062102303531</v>
      </c>
      <c r="AA58" s="428">
        <f xml:space="preserve"> 'FS Qtr'!AA$22</f>
        <v>1002.7721077907047</v>
      </c>
      <c r="AB58" s="428">
        <f xml:space="preserve"> 'FS Qtr'!AB$22</f>
        <v>1000.7514526577284</v>
      </c>
      <c r="AC58" s="428">
        <f xml:space="preserve"> 'FS Qtr'!AC$22</f>
        <v>3690.6975749323938</v>
      </c>
      <c r="AD58" s="428">
        <f xml:space="preserve"> 'FS Qtr'!AD$22</f>
        <v>4152.191209556212</v>
      </c>
      <c r="AE58" s="428">
        <f xml:space="preserve"> 'FS Qtr'!AE$22</f>
        <v>982.65402282707737</v>
      </c>
      <c r="AF58" s="428">
        <f xml:space="preserve"> 'FS Qtr'!AF$22</f>
        <v>980.59265048158113</v>
      </c>
      <c r="AG58" s="428">
        <f xml:space="preserve"> 'FS Qtr'!AG$22</f>
        <v>3657.1049321532691</v>
      </c>
      <c r="AH58" s="428">
        <f xml:space="preserve"> 'FS Qtr'!AH$22</f>
        <v>4116.2512993505097</v>
      </c>
      <c r="AI58" s="428">
        <f xml:space="preserve"> 'FS Qtr'!AI$22</f>
        <v>962.43141875580363</v>
      </c>
      <c r="AJ58" s="428">
        <f xml:space="preserve"> 'FS Qtr'!AJ$22</f>
        <v>960.32850872557128</v>
      </c>
      <c r="AK58" s="428">
        <f xml:space="preserve"> 'FS Qtr'!AK$22</f>
        <v>3623.4727566615193</v>
      </c>
      <c r="AL58" s="428">
        <f xml:space="preserve"> 'FS Qtr'!AL$22</f>
        <v>4080.2825010781335</v>
      </c>
      <c r="AM58" s="428">
        <f xml:space="preserve"> 'FS Qtr'!AM$22</f>
        <v>942.10069259699731</v>
      </c>
      <c r="AN58" s="428">
        <f xml:space="preserve"> 'FS Qtr'!AN$22</f>
        <v>939.95540787688628</v>
      </c>
      <c r="AO58" s="428">
        <f xml:space="preserve"> 'FS Qtr'!AO$22</f>
        <v>3589.7970808290256</v>
      </c>
      <c r="AP58" s="428">
        <f xml:space="preserve"> 'FS Qtr'!AP$22</f>
        <v>4044.2807733309892</v>
      </c>
      <c r="AQ58" s="428">
        <f xml:space="preserve"> 'FS Qtr'!AQ$22</f>
        <v>921.65817621602537</v>
      </c>
      <c r="AR58" s="428">
        <f xml:space="preserve"> 'FS Qtr'!AR$22</f>
        <v>919.46966293482092</v>
      </c>
      <c r="AS58" s="428">
        <f xml:space="preserve"> 'FS Qtr'!AS$22</f>
        <v>3556.0738728542283</v>
      </c>
      <c r="AT58" s="428">
        <f xml:space="preserve"> 'FS Qtr'!AT$22</f>
        <v>4008.2420104750345</v>
      </c>
      <c r="AU58" s="428">
        <f xml:space="preserve"> 'FS Qtr'!AU$22</f>
        <v>901.10013497355976</v>
      </c>
      <c r="AV58" s="428">
        <f xml:space="preserve"> 'FS Qtr'!AV$22</f>
        <v>898.86752205411403</v>
      </c>
      <c r="AW58" s="428">
        <f xml:space="preserve"> 'FS Qtr'!AW$22</f>
        <v>3522.2990353904879</v>
      </c>
      <c r="AX58" s="428">
        <f xml:space="preserve"> 'FS Qtr'!AX$22</f>
        <v>3972.1620412704606</v>
      </c>
      <c r="AY58" s="428">
        <f xml:space="preserve"> 'FS Qtr'!AY$22</f>
        <v>880.42276634860264</v>
      </c>
      <c r="AZ58" s="428">
        <f xml:space="preserve"> 'FS Qtr'!AZ$22</f>
        <v>878.14516516112872</v>
      </c>
      <c r="BA58" s="428">
        <f xml:space="preserve"> 'FS Qtr'!BA$22</f>
        <v>3488.4684041472365</v>
      </c>
      <c r="BB58" s="428">
        <f xml:space="preserve"> 'FS Qtr'!BB$22</f>
        <v>3936.0366274645103</v>
      </c>
      <c r="BC58" s="428">
        <f xml:space="preserve"> 'FS Qtr'!BC$22</f>
        <v>859.62219853396186</v>
      </c>
      <c r="BD58" s="428">
        <f xml:space="preserve"> 'FS Qtr'!BD$22</f>
        <v>857.29870254233629</v>
      </c>
      <c r="BE58" s="428">
        <f xml:space="preserve"> 'FS Qtr'!BE$22</f>
        <v>3454.5777464633084</v>
      </c>
      <c r="BF58" s="428">
        <f xml:space="preserve"> 'FS Qtr'!BF$22</f>
        <v>3899.8614623563581</v>
      </c>
      <c r="BG58" s="428">
        <f xml:space="preserve"> 'FS Qtr'!BG$22</f>
        <v>838.69448900359203</v>
      </c>
      <c r="BH58" s="428">
        <f xml:space="preserve"> 'FS Qtr'!BH$22</f>
        <v>836.32417340453526</v>
      </c>
      <c r="BI58" s="428">
        <f xml:space="preserve"> 'FS Qtr'!BI$22</f>
        <v>3420.6227598519172</v>
      </c>
      <c r="BJ58" s="428">
        <f xml:space="preserve"> 'FS Qtr'!BJ$22</f>
        <v>3863.6321693334994</v>
      </c>
      <c r="BK58" s="428">
        <f xml:space="preserve"> 'FS Qtr'!BK$22</f>
        <v>817.63562305126288</v>
      </c>
      <c r="BL58" s="428">
        <f xml:space="preserve"> 'FS Qtr'!BL$22</f>
        <v>815.21754440624545</v>
      </c>
      <c r="BM58" s="428">
        <f xml:space="preserve"> 'FS Qtr'!BM$22</f>
        <v>3386.5990705166932</v>
      </c>
      <c r="BN58" s="428">
        <f xml:space="preserve"> 'FS Qtr'!BN$22</f>
        <v>3827.3443003790517</v>
      </c>
      <c r="BO58" s="428">
        <f xml:space="preserve"> 'FS Qtr'!BO$22</f>
        <v>796.44151229994668</v>
      </c>
      <c r="BP58" s="428">
        <f xml:space="preserve"> 'FS Qtr'!BP$22</f>
        <v>793.97470815968154</v>
      </c>
      <c r="BQ58" s="428">
        <f xml:space="preserve"> 'FS Qtr'!BQ$22</f>
        <v>3352.5022318382098</v>
      </c>
      <c r="BR58" s="428">
        <f xml:space="preserve"> 'FS Qtr'!BR$22</f>
        <v>3790.9933345494137</v>
      </c>
      <c r="BS58" s="428">
        <f xml:space="preserve"> 'FS Qtr'!BS$22</f>
        <v>775.10799318136537</v>
      </c>
      <c r="BT58" s="428">
        <f xml:space="preserve"> 'FS Qtr'!BT$22</f>
        <v>772.59148170272965</v>
      </c>
      <c r="BU58" s="428">
        <f xml:space="preserve"> 'FS Qtr'!BU$22</f>
        <v>3318.3277228303778</v>
      </c>
      <c r="BV58" s="428">
        <f xml:space="preserve"> 'FS Qtr'!BV$22</f>
        <v>3754.5746764216574</v>
      </c>
      <c r="BW58" s="428">
        <f xml:space="preserve"> 'FS Qtr'!BW$22</f>
        <v>753.63082538506251</v>
      </c>
      <c r="BX58" s="428">
        <f xml:space="preserve"> 'FS Qtr'!BX$22</f>
        <v>751.06360494030423</v>
      </c>
      <c r="BY58" s="428">
        <f xml:space="preserve"> 'FS Qtr'!BY$22</f>
        <v>3284.0709465661339</v>
      </c>
      <c r="BZ58" s="428">
        <f xml:space="preserve"> 'FS Qtr'!BZ$22</f>
        <v>3718.0836545100374</v>
      </c>
      <c r="CA58" s="428">
        <f xml:space="preserve"> 'FS Qtr'!CA$22</f>
        <v>732.00569027641495</v>
      </c>
      <c r="CB58" s="428">
        <f xml:space="preserve"> 'FS Qtr'!CB$22</f>
        <v>729.38673905447968</v>
      </c>
      <c r="CC58" s="428">
        <f xml:space="preserve"> 'FS Qtr'!CC$22</f>
        <v>3249.7272285717709</v>
      </c>
      <c r="CD58" s="428">
        <f xml:space="preserve"> 'FS Qtr'!CD$22</f>
        <v>3681.5155196510214</v>
      </c>
      <c r="CE58" s="428">
        <f xml:space="preserve"> 'FS Qtr'!CE$22</f>
        <v>710.22818928293464</v>
      </c>
      <c r="CF58" s="428">
        <f xml:space="preserve"> 'FS Qtr'!CF$22</f>
        <v>707.55646488276489</v>
      </c>
      <c r="CG58" s="428">
        <f xml:space="preserve"> 'FS Qtr'!CG$22</f>
        <v>3215.2918151892882</v>
      </c>
      <c r="CH58" s="428">
        <f xml:space="preserve"> 'FS Qtr'!CH$22</f>
        <v>3644.8654433561715</v>
      </c>
      <c r="CI58" s="428">
        <f xml:space="preserve"> 'FS Qtr'!CI$22</f>
        <v>688.29384224823389</v>
      </c>
      <c r="CJ58" s="428">
        <f xml:space="preserve"> 'FS Qtr'!CJ$22</f>
        <v>685.56828126386836</v>
      </c>
      <c r="CK58" s="428">
        <f xml:space="preserve"> 'FS Qtr'!CK$22</f>
        <v>3180.759871906117</v>
      </c>
      <c r="CL58" s="428">
        <f xml:space="preserve"> 'FS Qtr'!CL$22</f>
        <v>3608.1285161322512</v>
      </c>
      <c r="CM58" s="428">
        <f xml:space="preserve"> 'FS Qtr'!CM$22</f>
        <v>666.19808575299317</v>
      </c>
      <c r="CN58" s="428">
        <f xml:space="preserve"> 'FS Qtr'!CN$22</f>
        <v>663.41760335030904</v>
      </c>
      <c r="CO58" s="428">
        <f xml:space="preserve"> 'FS Qtr'!CO$22</f>
        <v>3146.1264816515677</v>
      </c>
      <c r="CP58" s="428">
        <f xml:space="preserve"> 'FS Qtr'!CP$22</f>
        <v>3571.2997457678875</v>
      </c>
      <c r="CQ58" s="428">
        <f xml:space="preserve"> 'FS Qtr'!CQ$22</f>
        <v>643.93627140228091</v>
      </c>
      <c r="CR58" s="428">
        <f xml:space="preserve"> 'FS Qtr'!CR$22</f>
        <v>641.0997608872035</v>
      </c>
      <c r="CS58" s="428">
        <f xml:space="preserve"> 'FS Qtr'!CS$22</f>
        <v>3111.3866430593098</v>
      </c>
      <c r="CT58" s="428">
        <f xml:space="preserve"> 'FS Qtr'!CT$22</f>
        <v>3534.3740555861114</v>
      </c>
      <c r="CU58" s="428">
        <f xml:space="preserve"> 'FS Qtr'!CU$22</f>
        <v>621.50366407852198</v>
      </c>
      <c r="CV58" s="428">
        <f xml:space="preserve"> 'FS Qtr'!CV$22</f>
        <v>618.60999645653737</v>
      </c>
      <c r="CW58" s="428">
        <f xml:space="preserve"> 'FS Qtr'!CW$22</f>
        <v>3076.5352686952083</v>
      </c>
      <c r="CX58" s="428">
        <f xml:space="preserve"> 'FS Qtr'!CX$22</f>
        <v>3497.3462826620735</v>
      </c>
      <c r="CY58" s="428">
        <f xml:space="preserve"> 'FS Qtr'!CY$22</f>
        <v>598.89544015944239</v>
      </c>
      <c r="CZ58" s="428">
        <f xml:space="preserve"> 'FS Qtr'!CZ$22</f>
        <v>595.94346368623292</v>
      </c>
      <c r="DA58" s="428">
        <f xml:space="preserve"> 'FS Qtr'!DA$22</f>
        <v>3041.5671832498269</v>
      </c>
      <c r="DB58" s="428">
        <f xml:space="preserve"> 'FS Qtr'!DB$22</f>
        <v>3460.2111760052694</v>
      </c>
      <c r="DC58" s="428">
        <f xml:space="preserve"> 'FS Qtr'!DC$22</f>
        <v>576.10668570027906</v>
      </c>
      <c r="DD58" s="428">
        <f xml:space="preserve"> 'FS Qtr'!DD$22</f>
        <v>573.09522542330069</v>
      </c>
      <c r="DE58" s="428">
        <f xml:space="preserve"> 'FS Qtr'!DE$22</f>
        <v>3006.477121694857</v>
      </c>
      <c r="DF58" s="428">
        <f xml:space="preserve"> 'FS Qtr'!DF$22</f>
        <v>3422.9633947055136</v>
      </c>
      <c r="DG58" s="428">
        <f xml:space="preserve"> 'FS Qtr'!DG$22</f>
        <v>553.13239457952204</v>
      </c>
      <c r="DH58" s="428">
        <f xml:space="preserve"> 'FS Qtr'!DH$22</f>
        <v>550.06025187035084</v>
      </c>
      <c r="DI58" s="428">
        <f xml:space="preserve"> 'FS Qtr'!DI$22</f>
        <v>0</v>
      </c>
      <c r="DJ58" s="428">
        <f xml:space="preserve"> 'FS Qtr'!DJ$22</f>
        <v>0</v>
      </c>
      <c r="DK58" s="428">
        <f xml:space="preserve"> 'FS Qtr'!DK$22</f>
        <v>0</v>
      </c>
      <c r="DL58" s="428">
        <f xml:space="preserve"> 'FS Qtr'!DL$22</f>
        <v>0</v>
      </c>
      <c r="DM58" s="428">
        <f xml:space="preserve"> 'FS Qtr'!DM$22</f>
        <v>0</v>
      </c>
      <c r="DN58" s="428">
        <f xml:space="preserve"> 'FS Qtr'!DN$22</f>
        <v>0</v>
      </c>
      <c r="DO58" s="428">
        <f xml:space="preserve"> 'FS Qtr'!DO$22</f>
        <v>0</v>
      </c>
      <c r="DP58" s="428">
        <f xml:space="preserve"> 'FS Qtr'!DP$22</f>
        <v>0</v>
      </c>
      <c r="DQ58" s="428">
        <f xml:space="preserve"> 'FS Qtr'!DQ$22</f>
        <v>0</v>
      </c>
      <c r="DR58" s="428">
        <f xml:space="preserve"> 'FS Qtr'!DR$22</f>
        <v>0</v>
      </c>
      <c r="DS58" s="428">
        <f xml:space="preserve"> 'FS Qtr'!DS$22</f>
        <v>0</v>
      </c>
      <c r="DT58" s="428">
        <f xml:space="preserve"> 'FS Qtr'!DT$22</f>
        <v>0</v>
      </c>
      <c r="DU58" s="428">
        <f xml:space="preserve"> 'FS Qtr'!DU$22</f>
        <v>0</v>
      </c>
      <c r="DV58" s="428">
        <f xml:space="preserve"> 'FS Qtr'!DV$22</f>
        <v>0</v>
      </c>
      <c r="DW58" s="428">
        <f xml:space="preserve"> 'FS Qtr'!DW$22</f>
        <v>0</v>
      </c>
      <c r="DX58" s="428">
        <f xml:space="preserve"> 'FS Qtr'!DX$22</f>
        <v>0</v>
      </c>
      <c r="DY58" s="428">
        <f xml:space="preserve"> 'FS Qtr'!DY$22</f>
        <v>0</v>
      </c>
      <c r="DZ58" s="428">
        <f xml:space="preserve"> 'FS Qtr'!DZ$22</f>
        <v>0</v>
      </c>
      <c r="EA58" s="428">
        <f xml:space="preserve"> 'FS Qtr'!EA$22</f>
        <v>0</v>
      </c>
    </row>
    <row r="59" spans="1:131" outlineLevel="2" x14ac:dyDescent="0.35">
      <c r="E59" s="7" t="s">
        <v>227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3824.75</v>
      </c>
      <c r="N59" s="7">
        <f t="shared" si="45"/>
        <v>8120.4906250000004</v>
      </c>
      <c r="O59" s="7">
        <f t="shared" si="45"/>
        <v>6139.7867058423899</v>
      </c>
      <c r="P59" s="7">
        <f t="shared" si="45"/>
        <v>4779.8881801324715</v>
      </c>
      <c r="Q59" s="7">
        <f t="shared" si="45"/>
        <v>8292.5499028222112</v>
      </c>
      <c r="R59" s="7">
        <f t="shared" si="45"/>
        <v>11295.708953569709</v>
      </c>
      <c r="S59" s="7">
        <f t="shared" si="45"/>
        <v>9099.0606886111727</v>
      </c>
      <c r="T59" s="7">
        <f t="shared" si="45"/>
        <v>7749.5958336073327</v>
      </c>
      <c r="U59" s="7">
        <f t="shared" si="45"/>
        <v>11248.379665089509</v>
      </c>
      <c r="V59" s="7">
        <f t="shared" si="45"/>
        <v>14240.300033942562</v>
      </c>
      <c r="W59" s="7">
        <f t="shared" si="45"/>
        <v>12058.282034394895</v>
      </c>
      <c r="X59" s="7">
        <f t="shared" si="45"/>
        <v>10719.19766501772</v>
      </c>
      <c r="Y59" s="7">
        <f t="shared" si="45"/>
        <v>14187.907157051366</v>
      </c>
      <c r="Z59" s="7">
        <f t="shared" si="45"/>
        <v>17184.906981090797</v>
      </c>
      <c r="AA59" s="7">
        <f t="shared" si="45"/>
        <v>15017.445861573487</v>
      </c>
      <c r="AB59" s="7">
        <f t="shared" si="45"/>
        <v>13688.68903162847</v>
      </c>
      <c r="AC59" s="7">
        <f t="shared" si="45"/>
        <v>17159.915770613716</v>
      </c>
      <c r="AD59" s="7">
        <f t="shared" si="45"/>
        <v>20129.524480985423</v>
      </c>
      <c r="AE59" s="7">
        <f t="shared" si="45"/>
        <v>17976.547209169556</v>
      </c>
      <c r="AF59" s="7">
        <f t="shared" si="45"/>
        <v>16658.06520964039</v>
      </c>
      <c r="AG59" s="7">
        <f t="shared" si="45"/>
        <v>20115.611979622667</v>
      </c>
      <c r="AH59" s="7">
        <f t="shared" si="45"/>
        <v>23074.14714054572</v>
      </c>
      <c r="AI59" s="7">
        <f t="shared" si="45"/>
        <v>20935.581035154679</v>
      </c>
      <c r="AJ59" s="7">
        <f t="shared" si="45"/>
        <v>19627.321392494621</v>
      </c>
      <c r="AK59" s="7">
        <f t="shared" si="45"/>
        <v>23071.253401170914</v>
      </c>
      <c r="AL59" s="7">
        <f t="shared" si="45"/>
        <v>26018.769485906858</v>
      </c>
      <c r="AM59" s="7">
        <f t="shared" si="45"/>
        <v>23894.5422147221</v>
      </c>
      <c r="AN59" s="7">
        <f t="shared" si="45"/>
        <v>22596.452689143138</v>
      </c>
      <c r="AO59" s="7">
        <f t="shared" si="45"/>
        <v>26011.04313945421</v>
      </c>
      <c r="AP59" s="7">
        <f t="shared" ref="AP59:BU59" si="46">SUM(AP57:AP58)</f>
        <v>28963.385960653315</v>
      </c>
      <c r="AQ59" s="7">
        <f t="shared" si="46"/>
        <v>26853.425538525073</v>
      </c>
      <c r="AR59" s="7">
        <f t="shared" si="46"/>
        <v>25565.454122284795</v>
      </c>
      <c r="AS59" s="7">
        <f t="shared" si="46"/>
        <v>28982.350704651577</v>
      </c>
      <c r="AT59" s="7">
        <f t="shared" si="46"/>
        <v>31907.990924017387</v>
      </c>
      <c r="AU59" s="7">
        <f t="shared" si="46"/>
        <v>29812.225710880168</v>
      </c>
      <c r="AV59" s="7">
        <f t="shared" si="46"/>
        <v>28534.320626566008</v>
      </c>
      <c r="AW59" s="7">
        <f t="shared" si="46"/>
        <v>31937.795782362831</v>
      </c>
      <c r="AX59" s="7">
        <f t="shared" si="46"/>
        <v>34852.578649042051</v>
      </c>
      <c r="AY59" s="7">
        <f t="shared" si="46"/>
        <v>32770.937347934821</v>
      </c>
      <c r="AZ59" s="7">
        <f t="shared" si="46"/>
        <v>31503.047046745574</v>
      </c>
      <c r="BA59" s="7">
        <f t="shared" si="46"/>
        <v>34893.164460482178</v>
      </c>
      <c r="BB59" s="7">
        <f t="shared" si="46"/>
        <v>36047.143320707517</v>
      </c>
      <c r="BC59" s="7">
        <f t="shared" si="46"/>
        <v>32229.554975798434</v>
      </c>
      <c r="BD59" s="7">
        <f t="shared" si="46"/>
        <v>29221.628135822779</v>
      </c>
      <c r="BE59" s="7">
        <f t="shared" si="46"/>
        <v>30833.133823189157</v>
      </c>
      <c r="BF59" s="7">
        <f t="shared" si="46"/>
        <v>31991.679034020734</v>
      </c>
      <c r="BG59" s="7">
        <f t="shared" si="46"/>
        <v>28188.073028636303</v>
      </c>
      <c r="BH59" s="7">
        <f t="shared" si="46"/>
        <v>25190.058553128096</v>
      </c>
      <c r="BI59" s="7">
        <f t="shared" si="46"/>
        <v>26803.650020591871</v>
      </c>
      <c r="BJ59" s="7">
        <f t="shared" si="46"/>
        <v>27936.179792067021</v>
      </c>
      <c r="BK59" s="7">
        <f t="shared" si="46"/>
        <v>24146.48584672554</v>
      </c>
      <c r="BL59" s="7">
        <f t="shared" si="46"/>
        <v>21158.332862375697</v>
      </c>
      <c r="BM59" s="7">
        <f t="shared" si="46"/>
        <v>22758.75536933713</v>
      </c>
      <c r="BN59" s="7">
        <f t="shared" si="46"/>
        <v>23880.639504023158</v>
      </c>
      <c r="BO59" s="7">
        <f t="shared" si="46"/>
        <v>20104.787674472318</v>
      </c>
      <c r="BP59" s="7">
        <f t="shared" si="46"/>
        <v>17126.445529677047</v>
      </c>
      <c r="BQ59" s="7">
        <f t="shared" si="46"/>
        <v>18713.761248009207</v>
      </c>
      <c r="BR59" s="7">
        <f t="shared" si="46"/>
        <v>19825.051983131067</v>
      </c>
      <c r="BS59" s="7">
        <f t="shared" si="46"/>
        <v>16062.972658389581</v>
      </c>
      <c r="BT59" s="7">
        <f t="shared" si="46"/>
        <v>13094.390921514729</v>
      </c>
      <c r="BU59" s="7">
        <f t="shared" si="46"/>
        <v>14653.822812042959</v>
      </c>
      <c r="BV59" s="7">
        <f t="shared" ref="BV59:DA59" si="47">SUM(BV57:BV58)</f>
        <v>15769.410944631378</v>
      </c>
      <c r="BW59" s="7">
        <f t="shared" si="47"/>
        <v>12021.034845034494</v>
      </c>
      <c r="BX59" s="7">
        <f t="shared" si="47"/>
        <v>9062.1633026757845</v>
      </c>
      <c r="BY59" s="7">
        <f t="shared" si="47"/>
        <v>10623.450452991929</v>
      </c>
      <c r="BZ59" s="7">
        <f t="shared" si="47"/>
        <v>11713.71000365598</v>
      </c>
      <c r="CA59" s="7">
        <f t="shared" si="47"/>
        <v>7978.9681789047481</v>
      </c>
      <c r="CB59" s="7">
        <f t="shared" si="47"/>
        <v>5029.7568341436672</v>
      </c>
      <c r="CC59" s="7">
        <f t="shared" si="47"/>
        <v>6578.1214531445175</v>
      </c>
      <c r="CD59" s="7">
        <f t="shared" si="47"/>
        <v>7657.94267307878</v>
      </c>
      <c r="CE59" s="7">
        <f t="shared" si="47"/>
        <v>3936.7665002929248</v>
      </c>
      <c r="CF59" s="7">
        <f t="shared" si="47"/>
        <v>997.16557094801556</v>
      </c>
      <c r="CG59" s="7">
        <f t="shared" si="47"/>
        <v>3215.2918151892882</v>
      </c>
      <c r="CH59" s="7">
        <f t="shared" si="47"/>
        <v>3644.8654433561715</v>
      </c>
      <c r="CI59" s="7">
        <f t="shared" si="47"/>
        <v>688.29384224823389</v>
      </c>
      <c r="CJ59" s="7">
        <f t="shared" si="47"/>
        <v>685.56828126386836</v>
      </c>
      <c r="CK59" s="7">
        <f t="shared" si="47"/>
        <v>3180.759871906117</v>
      </c>
      <c r="CL59" s="7">
        <f t="shared" si="47"/>
        <v>3608.1285161322512</v>
      </c>
      <c r="CM59" s="7">
        <f t="shared" si="47"/>
        <v>666.19808575299317</v>
      </c>
      <c r="CN59" s="7">
        <f t="shared" si="47"/>
        <v>663.41760335030904</v>
      </c>
      <c r="CO59" s="7">
        <f t="shared" si="47"/>
        <v>3146.1264816515677</v>
      </c>
      <c r="CP59" s="7">
        <f t="shared" si="47"/>
        <v>3571.2997457678875</v>
      </c>
      <c r="CQ59" s="7">
        <f t="shared" si="47"/>
        <v>643.93627140228091</v>
      </c>
      <c r="CR59" s="7">
        <f t="shared" si="47"/>
        <v>641.0997608872035</v>
      </c>
      <c r="CS59" s="7">
        <f t="shared" si="47"/>
        <v>3111.3866430593098</v>
      </c>
      <c r="CT59" s="7">
        <f t="shared" si="47"/>
        <v>3534.3740555861114</v>
      </c>
      <c r="CU59" s="7">
        <f t="shared" si="47"/>
        <v>621.50366407852198</v>
      </c>
      <c r="CV59" s="7">
        <f t="shared" si="47"/>
        <v>618.60999645653737</v>
      </c>
      <c r="CW59" s="7">
        <f t="shared" si="47"/>
        <v>3076.5352686952083</v>
      </c>
      <c r="CX59" s="7">
        <f t="shared" si="47"/>
        <v>3497.3462826620735</v>
      </c>
      <c r="CY59" s="7">
        <f t="shared" si="47"/>
        <v>598.89544015944239</v>
      </c>
      <c r="CZ59" s="7">
        <f t="shared" si="47"/>
        <v>595.94346368623292</v>
      </c>
      <c r="DA59" s="7">
        <f t="shared" si="47"/>
        <v>3041.5671832498269</v>
      </c>
      <c r="DB59" s="7">
        <f t="shared" ref="DB59:EA59" si="48">SUM(DB57:DB58)</f>
        <v>3460.2111760052694</v>
      </c>
      <c r="DC59" s="7">
        <f t="shared" si="48"/>
        <v>576.10668570027906</v>
      </c>
      <c r="DD59" s="7">
        <f t="shared" si="48"/>
        <v>573.09522542330069</v>
      </c>
      <c r="DE59" s="7">
        <f t="shared" si="48"/>
        <v>3006.477121694857</v>
      </c>
      <c r="DF59" s="7">
        <f t="shared" si="48"/>
        <v>3422.9633947055136</v>
      </c>
      <c r="DG59" s="7">
        <f t="shared" si="48"/>
        <v>553.13239457952204</v>
      </c>
      <c r="DH59" s="7">
        <f t="shared" si="48"/>
        <v>550.06025187035084</v>
      </c>
      <c r="DI59" s="7">
        <f t="shared" si="48"/>
        <v>550.06025187035084</v>
      </c>
      <c r="DJ59" s="7">
        <f t="shared" si="48"/>
        <v>5.9117155615240335E-12</v>
      </c>
      <c r="DK59" s="7">
        <f t="shared" si="48"/>
        <v>5.9117155615240335E-12</v>
      </c>
      <c r="DL59" s="7">
        <f t="shared" si="48"/>
        <v>5.9117155615240335E-12</v>
      </c>
      <c r="DM59" s="7">
        <f t="shared" si="48"/>
        <v>5.9117155615240335E-12</v>
      </c>
      <c r="DN59" s="7">
        <f t="shared" si="48"/>
        <v>5.9117155615240335E-12</v>
      </c>
      <c r="DO59" s="7">
        <f t="shared" si="48"/>
        <v>5.9117155615240335E-12</v>
      </c>
      <c r="DP59" s="7">
        <f t="shared" si="48"/>
        <v>5.9117155615240335E-12</v>
      </c>
      <c r="DQ59" s="7">
        <f t="shared" si="48"/>
        <v>5.9117155615240335E-12</v>
      </c>
      <c r="DR59" s="7">
        <f t="shared" si="48"/>
        <v>5.9117155615240335E-12</v>
      </c>
      <c r="DS59" s="7">
        <f t="shared" si="48"/>
        <v>5.9117155615240335E-12</v>
      </c>
      <c r="DT59" s="7">
        <f t="shared" si="48"/>
        <v>5.9117155615240335E-12</v>
      </c>
      <c r="DU59" s="7">
        <f t="shared" si="48"/>
        <v>5.9117155615240335E-12</v>
      </c>
      <c r="DV59" s="7">
        <f t="shared" si="48"/>
        <v>5.9117155615240335E-12</v>
      </c>
      <c r="DW59" s="7">
        <f t="shared" si="48"/>
        <v>5.9117155615240335E-12</v>
      </c>
      <c r="DX59" s="7">
        <f t="shared" si="48"/>
        <v>5.9117155615240335E-12</v>
      </c>
      <c r="DY59" s="7">
        <f t="shared" si="48"/>
        <v>5.9117155615240335E-12</v>
      </c>
      <c r="DZ59" s="7">
        <f t="shared" si="48"/>
        <v>5.9117155615240335E-12</v>
      </c>
      <c r="EA59" s="7">
        <f t="shared" si="48"/>
        <v>5.9117155615240335E-12</v>
      </c>
    </row>
    <row r="60" spans="1:131" outlineLevel="1" x14ac:dyDescent="0.35"/>
    <row r="61" spans="1:131" outlineLevel="1" x14ac:dyDescent="0.35">
      <c r="B61" s="8" t="s">
        <v>228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-230.64835164835131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682.62348860002203</v>
      </c>
      <c r="CH62" s="7">
        <f t="shared" si="51"/>
        <v>42.763082032367493</v>
      </c>
      <c r="CI62" s="7">
        <f t="shared" si="51"/>
        <v>793.87029915015228</v>
      </c>
      <c r="CJ62" s="7">
        <f t="shared" si="51"/>
        <v>3721.1848212924588</v>
      </c>
      <c r="CK62" s="7">
        <f t="shared" si="51"/>
        <v>4708.0304438289804</v>
      </c>
      <c r="CL62" s="7">
        <f t="shared" si="51"/>
        <v>4061.9461460024577</v>
      </c>
      <c r="CM62" s="7">
        <f t="shared" si="51"/>
        <v>4814.2651531593319</v>
      </c>
      <c r="CN62" s="7">
        <f t="shared" si="51"/>
        <v>7732.0132656381202</v>
      </c>
      <c r="CO62" s="7">
        <f t="shared" si="51"/>
        <v>8704.7626101198621</v>
      </c>
      <c r="CP62" s="7">
        <f t="shared" si="51"/>
        <v>8081.1238534974846</v>
      </c>
      <c r="CQ62" s="7">
        <f t="shared" si="51"/>
        <v>8834.6480882514006</v>
      </c>
      <c r="CR62" s="7">
        <f t="shared" si="51"/>
        <v>11742.877832884687</v>
      </c>
      <c r="CS62" s="7">
        <f t="shared" si="51"/>
        <v>12715.887288231595</v>
      </c>
      <c r="CT62" s="7">
        <f t="shared" si="51"/>
        <v>12100.298046357006</v>
      </c>
      <c r="CU62" s="7">
        <f t="shared" si="51"/>
        <v>12855.020968161843</v>
      </c>
      <c r="CV62" s="7">
        <f t="shared" si="51"/>
        <v>15753.780156775818</v>
      </c>
      <c r="CW62" s="7">
        <f t="shared" ref="CW62:EA62" si="52" xml:space="preserve"> CW$49</f>
        <v>16727.050938355944</v>
      </c>
      <c r="CX62" s="7">
        <f t="shared" si="52"/>
        <v>16119.470593834196</v>
      </c>
      <c r="CY62" s="7">
        <f t="shared" si="52"/>
        <v>16875.385683714165</v>
      </c>
      <c r="CZ62" s="7">
        <f t="shared" si="52"/>
        <v>19764.721899469219</v>
      </c>
      <c r="DA62" s="7">
        <f t="shared" si="52"/>
        <v>20752.120593905103</v>
      </c>
      <c r="DB62" s="7">
        <f t="shared" si="52"/>
        <v>20138.6433931965</v>
      </c>
      <c r="DC62" s="7">
        <f t="shared" si="52"/>
        <v>20895.744153417767</v>
      </c>
      <c r="DD62" s="7">
        <f t="shared" si="52"/>
        <v>23775.704752131605</v>
      </c>
      <c r="DE62" s="7">
        <f t="shared" si="52"/>
        <v>24749.502011160188</v>
      </c>
      <c r="DF62" s="7">
        <f t="shared" si="52"/>
        <v>24157.818370338158</v>
      </c>
      <c r="DG62" s="7">
        <f t="shared" si="52"/>
        <v>24916.09832407767</v>
      </c>
      <c r="DH62" s="7">
        <f t="shared" si="52"/>
        <v>27786.730435545571</v>
      </c>
      <c r="DI62" s="7">
        <f t="shared" si="52"/>
        <v>-689.14681089112128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222667.04122730828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-230.64835164835131</v>
      </c>
      <c r="N63" s="428">
        <f xml:space="preserve"> 'FS Qtr'!N$50</f>
        <v>3273.8865989309606</v>
      </c>
      <c r="O63" s="428">
        <f xml:space="preserve"> 'FS Qtr'!O$50</f>
        <v>2420.5295879755431</v>
      </c>
      <c r="P63" s="428">
        <f xml:space="preserve"> 'FS Qtr'!P$50</f>
        <v>278.61532604393051</v>
      </c>
      <c r="Q63" s="428">
        <f xml:space="preserve"> 'FS Qtr'!Q$50</f>
        <v>1256.71803994626</v>
      </c>
      <c r="R63" s="428">
        <f xml:space="preserve"> 'FS Qtr'!R$50</f>
        <v>3239.357079414217</v>
      </c>
      <c r="S63" s="428">
        <f xml:space="preserve"> 'FS Qtr'!S$50</f>
        <v>2390.2320518402594</v>
      </c>
      <c r="T63" s="428">
        <f xml:space="preserve"> 'FS Qtr'!T$50</f>
        <v>258.99598855904014</v>
      </c>
      <c r="U63" s="428">
        <f xml:space="preserve"> 'FS Qtr'!U$50</f>
        <v>1232.0798495086847</v>
      </c>
      <c r="V63" s="428">
        <f xml:space="preserve"> 'FS Qtr'!V$50</f>
        <v>3204.807212342962</v>
      </c>
      <c r="W63" s="428">
        <f xml:space="preserve"> 'FS Qtr'!W$50</f>
        <v>2359.8928399861561</v>
      </c>
      <c r="X63" s="428">
        <f xml:space="preserve"> 'FS Qtr'!X$50</f>
        <v>255.54509776481268</v>
      </c>
      <c r="Y63" s="428">
        <f xml:space="preserve"> 'FS Qtr'!Y$50</f>
        <v>1191.1063861909197</v>
      </c>
      <c r="Z63" s="428">
        <f xml:space="preserve"> 'FS Qtr'!Z$50</f>
        <v>3170.2332273080128</v>
      </c>
      <c r="AA63" s="428">
        <f xml:space="preserve"> 'FS Qtr'!AA$50</f>
        <v>2329.5082826027474</v>
      </c>
      <c r="AB63" s="428">
        <f xml:space="preserve"> 'FS Qtr'!AB$50</f>
        <v>219.47083594714786</v>
      </c>
      <c r="AC63" s="428">
        <f xml:space="preserve"> 'FS Qtr'!AC$50</f>
        <v>1182.5824991845047</v>
      </c>
      <c r="AD63" s="428">
        <f xml:space="preserve"> 'FS Qtr'!AD$50</f>
        <v>3135.6312946429462</v>
      </c>
      <c r="AE63" s="428">
        <f xml:space="preserve"> 'FS Qtr'!AE$50</f>
        <v>2299.0746500107443</v>
      </c>
      <c r="AF63" s="428">
        <f xml:space="preserve"> 'FS Qtr'!AF$50</f>
        <v>199.55816217099482</v>
      </c>
      <c r="AG63" s="428">
        <f xml:space="preserve"> 'FS Qtr'!AG$50</f>
        <v>1157.71613842746</v>
      </c>
      <c r="AH63" s="428">
        <f xml:space="preserve"> 'FS Qtr'!AH$50</f>
        <v>3100.9975241468455</v>
      </c>
      <c r="AI63" s="428">
        <f xml:space="preserve"> 'FS Qtr'!AI$50</f>
        <v>2268.5881513856307</v>
      </c>
      <c r="AJ63" s="428">
        <f xml:space="preserve"> 'FS Qtr'!AJ$50</f>
        <v>179.5407479852247</v>
      </c>
      <c r="AK63" s="428">
        <f xml:space="preserve"> 'FS Qtr'!AK$50</f>
        <v>1132.7664163421891</v>
      </c>
      <c r="AL63" s="428">
        <f xml:space="preserve"> 'FS Qtr'!AL$50</f>
        <v>3066.327963781755</v>
      </c>
      <c r="AM63" s="428">
        <f xml:space="preserve"> 'FS Qtr'!AM$50</f>
        <v>2238.0449334558452</v>
      </c>
      <c r="AN63" s="428">
        <f xml:space="preserve"> 'FS Qtr'!AN$50</f>
        <v>175.20663051795282</v>
      </c>
      <c r="AO63" s="428">
        <f xml:space="preserve"> 'FS Qtr'!AO$50</f>
        <v>1091.9379521318856</v>
      </c>
      <c r="AP63" s="428">
        <f xml:space="preserve"> 'FS Qtr'!AP$50</f>
        <v>3031.6185983442665</v>
      </c>
      <c r="AQ63" s="428">
        <f xml:space="preserve"> 'FS Qtr'!AQ$50</f>
        <v>2207.4410791751011</v>
      </c>
      <c r="AR63" s="428">
        <f xml:space="preserve"> 'FS Qtr'!AR$50</f>
        <v>139.17729048744422</v>
      </c>
      <c r="AS63" s="428">
        <f xml:space="preserve"> 'FS Qtr'!AS$50</f>
        <v>1082.6017911092231</v>
      </c>
      <c r="AT63" s="428">
        <f xml:space="preserve"> 'FS Qtr'!AT$50</f>
        <v>2996.8653481107795</v>
      </c>
      <c r="AU63" s="428">
        <f xml:space="preserve"> 'FS Qtr'!AU$50</f>
        <v>2176.7726063682762</v>
      </c>
      <c r="AV63" s="428">
        <f xml:space="preserve"> 'FS Qtr'!AV$50</f>
        <v>118.82387959366497</v>
      </c>
      <c r="AW63" s="428">
        <f xml:space="preserve"> 'FS Qtr'!AW$50</f>
        <v>1057.3791745912417</v>
      </c>
      <c r="AX63" s="428">
        <f xml:space="preserve"> 'FS Qtr'!AX$50</f>
        <v>2962.0640674558335</v>
      </c>
      <c r="AY63" s="428">
        <f xml:space="preserve"> 'FS Qtr'!AY$50</f>
        <v>2146.0354663503745</v>
      </c>
      <c r="AZ63" s="428">
        <f xml:space="preserve"> 'FS Qtr'!AZ$50</f>
        <v>98.350990410631312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228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-230.64835164835131</v>
      </c>
      <c r="N64" s="7">
        <f t="shared" si="53"/>
        <v>3043.2382472826093</v>
      </c>
      <c r="O64" s="7">
        <f t="shared" si="53"/>
        <v>2420.5295879755431</v>
      </c>
      <c r="P64" s="7">
        <f t="shared" si="53"/>
        <v>278.61532604393051</v>
      </c>
      <c r="Q64" s="7">
        <f t="shared" si="53"/>
        <v>1256.71803994626</v>
      </c>
      <c r="R64" s="7">
        <f t="shared" si="53"/>
        <v>3239.357079414217</v>
      </c>
      <c r="S64" s="7">
        <f t="shared" si="53"/>
        <v>2390.2320518402594</v>
      </c>
      <c r="T64" s="7">
        <f t="shared" si="53"/>
        <v>258.99598855904014</v>
      </c>
      <c r="U64" s="7">
        <f t="shared" si="53"/>
        <v>1232.0798495086847</v>
      </c>
      <c r="V64" s="7">
        <f t="shared" si="53"/>
        <v>3204.807212342962</v>
      </c>
      <c r="W64" s="7">
        <f t="shared" si="53"/>
        <v>2359.8928399861561</v>
      </c>
      <c r="X64" s="7">
        <f t="shared" si="53"/>
        <v>255.54509776481268</v>
      </c>
      <c r="Y64" s="7">
        <f t="shared" si="53"/>
        <v>1191.1063861909197</v>
      </c>
      <c r="Z64" s="7">
        <f t="shared" si="53"/>
        <v>3170.2332273080128</v>
      </c>
      <c r="AA64" s="7">
        <f t="shared" si="53"/>
        <v>2329.5082826027474</v>
      </c>
      <c r="AB64" s="7">
        <f t="shared" si="53"/>
        <v>219.47083594714786</v>
      </c>
      <c r="AC64" s="7">
        <f t="shared" si="53"/>
        <v>1182.5824991845047</v>
      </c>
      <c r="AD64" s="7">
        <f t="shared" si="53"/>
        <v>3135.6312946429462</v>
      </c>
      <c r="AE64" s="7">
        <f t="shared" si="53"/>
        <v>2299.0746500107443</v>
      </c>
      <c r="AF64" s="7">
        <f t="shared" si="53"/>
        <v>199.55816217099482</v>
      </c>
      <c r="AG64" s="7">
        <f t="shared" si="53"/>
        <v>1157.71613842746</v>
      </c>
      <c r="AH64" s="7">
        <f t="shared" si="53"/>
        <v>3100.9975241468455</v>
      </c>
      <c r="AI64" s="7">
        <f t="shared" si="53"/>
        <v>2268.5881513856307</v>
      </c>
      <c r="AJ64" s="7">
        <f t="shared" si="53"/>
        <v>179.5407479852247</v>
      </c>
      <c r="AK64" s="7">
        <f t="shared" si="53"/>
        <v>1132.7664163421891</v>
      </c>
      <c r="AL64" s="7">
        <f t="shared" si="53"/>
        <v>3066.327963781755</v>
      </c>
      <c r="AM64" s="7">
        <f t="shared" si="53"/>
        <v>2238.0449334558452</v>
      </c>
      <c r="AN64" s="7">
        <f t="shared" si="53"/>
        <v>175.20663051795282</v>
      </c>
      <c r="AO64" s="7">
        <f t="shared" si="53"/>
        <v>1091.9379521318856</v>
      </c>
      <c r="AP64" s="7">
        <f t="shared" ref="AP64:BU64" si="54">SUM(AP62:AP63)</f>
        <v>3031.6185983442665</v>
      </c>
      <c r="AQ64" s="7">
        <f t="shared" si="54"/>
        <v>2207.4410791751011</v>
      </c>
      <c r="AR64" s="7">
        <f t="shared" si="54"/>
        <v>139.17729048744422</v>
      </c>
      <c r="AS64" s="7">
        <f t="shared" si="54"/>
        <v>1082.6017911092231</v>
      </c>
      <c r="AT64" s="7">
        <f t="shared" si="54"/>
        <v>2996.8653481107795</v>
      </c>
      <c r="AU64" s="7">
        <f t="shared" si="54"/>
        <v>2176.7726063682762</v>
      </c>
      <c r="AV64" s="7">
        <f t="shared" si="54"/>
        <v>118.82387959366497</v>
      </c>
      <c r="AW64" s="7">
        <f t="shared" si="54"/>
        <v>1057.3791745912417</v>
      </c>
      <c r="AX64" s="7">
        <f t="shared" si="54"/>
        <v>2962.0640674558335</v>
      </c>
      <c r="AY64" s="7">
        <f t="shared" si="54"/>
        <v>2146.0354663503745</v>
      </c>
      <c r="AZ64" s="7">
        <f t="shared" si="54"/>
        <v>98.350990410631312</v>
      </c>
      <c r="BA64" s="7">
        <f t="shared" si="54"/>
        <v>2782.0577672391714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3258.0548972216557</v>
      </c>
      <c r="CH64" s="7">
        <f t="shared" si="55"/>
        <v>4438.7357425063237</v>
      </c>
      <c r="CI64" s="7">
        <f t="shared" si="55"/>
        <v>4409.4786635406927</v>
      </c>
      <c r="CJ64" s="7">
        <f t="shared" si="55"/>
        <v>5393.5987250928483</v>
      </c>
      <c r="CK64" s="7">
        <f t="shared" si="55"/>
        <v>7242.7060179085747</v>
      </c>
      <c r="CL64" s="7">
        <f t="shared" si="55"/>
        <v>8422.3936692915831</v>
      </c>
      <c r="CM64" s="7">
        <f t="shared" si="55"/>
        <v>8398.2113513911136</v>
      </c>
      <c r="CN64" s="7">
        <f t="shared" si="55"/>
        <v>9368.180213470172</v>
      </c>
      <c r="CO64" s="7">
        <f t="shared" si="55"/>
        <v>11227.250335149052</v>
      </c>
      <c r="CP64" s="7">
        <f t="shared" si="55"/>
        <v>12405.947834019287</v>
      </c>
      <c r="CQ64" s="7">
        <f t="shared" si="55"/>
        <v>12386.814104286968</v>
      </c>
      <c r="CR64" s="7">
        <f t="shared" si="55"/>
        <v>13356.987049118799</v>
      </c>
      <c r="CS64" s="7">
        <f t="shared" si="55"/>
        <v>15211.684689416315</v>
      </c>
      <c r="CT64" s="7">
        <f t="shared" si="55"/>
        <v>16389.395023747955</v>
      </c>
      <c r="CU64" s="7">
        <f t="shared" si="55"/>
        <v>16375.28382085434</v>
      </c>
      <c r="CV64" s="7">
        <f t="shared" si="55"/>
        <v>17345.66093481248</v>
      </c>
      <c r="CW64" s="7">
        <f t="shared" si="55"/>
        <v>19196.005862529404</v>
      </c>
      <c r="CX64" s="7">
        <f t="shared" si="55"/>
        <v>20372.731966376239</v>
      </c>
      <c r="CY64" s="7">
        <f t="shared" si="55"/>
        <v>20363.617339628661</v>
      </c>
      <c r="CZ64" s="7">
        <f t="shared" si="55"/>
        <v>21348.064057591335</v>
      </c>
      <c r="DA64" s="7">
        <f t="shared" si="55"/>
        <v>23180.210576446327</v>
      </c>
      <c r="DB64" s="7">
        <f t="shared" ref="DB64:EA64" si="56">SUM(DB62:DB63)</f>
        <v>24355.955329423035</v>
      </c>
      <c r="DC64" s="7">
        <f t="shared" si="56"/>
        <v>24351.811437831886</v>
      </c>
      <c r="DD64" s="7">
        <f t="shared" si="56"/>
        <v>25322.59723658349</v>
      </c>
      <c r="DE64" s="7">
        <f t="shared" si="56"/>
        <v>27164.295492033016</v>
      </c>
      <c r="DF64" s="7">
        <f t="shared" si="56"/>
        <v>28339.061718783181</v>
      </c>
      <c r="DG64" s="7">
        <f t="shared" si="56"/>
        <v>28339.862830125094</v>
      </c>
      <c r="DH64" s="7">
        <f t="shared" si="56"/>
        <v>-689.14681089112128</v>
      </c>
      <c r="DI64" s="7">
        <f t="shared" si="56"/>
        <v>550.06025187034493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229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3824.75</v>
      </c>
      <c r="N67" s="7">
        <f t="shared" si="57"/>
        <v>8120.4906250000004</v>
      </c>
      <c r="O67" s="7">
        <f t="shared" si="57"/>
        <v>6139.7867058423899</v>
      </c>
      <c r="P67" s="7">
        <f t="shared" si="57"/>
        <v>4779.8881801324715</v>
      </c>
      <c r="Q67" s="7">
        <f t="shared" si="57"/>
        <v>8292.5499028222112</v>
      </c>
      <c r="R67" s="7">
        <f t="shared" si="57"/>
        <v>11295.708953569709</v>
      </c>
      <c r="S67" s="7">
        <f t="shared" si="57"/>
        <v>9099.0606886111727</v>
      </c>
      <c r="T67" s="7">
        <f t="shared" si="57"/>
        <v>7749.5958336073327</v>
      </c>
      <c r="U67" s="7">
        <f t="shared" si="57"/>
        <v>11248.379665089509</v>
      </c>
      <c r="V67" s="7">
        <f t="shared" si="57"/>
        <v>14240.300033942562</v>
      </c>
      <c r="W67" s="7">
        <f t="shared" si="57"/>
        <v>12058.282034394895</v>
      </c>
      <c r="X67" s="7">
        <f t="shared" si="57"/>
        <v>10719.19766501772</v>
      </c>
      <c r="Y67" s="7">
        <f t="shared" si="57"/>
        <v>14187.907157051366</v>
      </c>
      <c r="Z67" s="7">
        <f t="shared" si="57"/>
        <v>17184.906981090797</v>
      </c>
      <c r="AA67" s="7">
        <f t="shared" si="57"/>
        <v>15017.445861573487</v>
      </c>
      <c r="AB67" s="7">
        <f t="shared" si="57"/>
        <v>13688.68903162847</v>
      </c>
      <c r="AC67" s="7">
        <f t="shared" si="57"/>
        <v>17159.915770613716</v>
      </c>
      <c r="AD67" s="7">
        <f t="shared" si="57"/>
        <v>20129.524480985423</v>
      </c>
      <c r="AE67" s="7">
        <f t="shared" si="57"/>
        <v>17976.547209169556</v>
      </c>
      <c r="AF67" s="7">
        <f t="shared" si="57"/>
        <v>16658.06520964039</v>
      </c>
      <c r="AG67" s="7">
        <f t="shared" si="57"/>
        <v>20115.611979622667</v>
      </c>
      <c r="AH67" s="7">
        <f t="shared" si="57"/>
        <v>23074.14714054572</v>
      </c>
      <c r="AI67" s="7">
        <f t="shared" si="57"/>
        <v>20935.581035154679</v>
      </c>
      <c r="AJ67" s="7">
        <f t="shared" si="57"/>
        <v>19627.321392494621</v>
      </c>
      <c r="AK67" s="7">
        <f t="shared" ref="AK67:BP67" si="58" xml:space="preserve"> AK$59</f>
        <v>23071.253401170914</v>
      </c>
      <c r="AL67" s="7">
        <f t="shared" si="58"/>
        <v>26018.769485906858</v>
      </c>
      <c r="AM67" s="7">
        <f t="shared" si="58"/>
        <v>23894.5422147221</v>
      </c>
      <c r="AN67" s="7">
        <f t="shared" si="58"/>
        <v>22596.452689143138</v>
      </c>
      <c r="AO67" s="7">
        <f t="shared" si="58"/>
        <v>26011.04313945421</v>
      </c>
      <c r="AP67" s="7">
        <f t="shared" si="58"/>
        <v>28963.385960653315</v>
      </c>
      <c r="AQ67" s="7">
        <f t="shared" si="58"/>
        <v>26853.425538525073</v>
      </c>
      <c r="AR67" s="7">
        <f t="shared" si="58"/>
        <v>25565.454122284795</v>
      </c>
      <c r="AS67" s="7">
        <f t="shared" si="58"/>
        <v>28982.350704651577</v>
      </c>
      <c r="AT67" s="7">
        <f t="shared" si="58"/>
        <v>31907.990924017387</v>
      </c>
      <c r="AU67" s="7">
        <f t="shared" si="58"/>
        <v>29812.225710880168</v>
      </c>
      <c r="AV67" s="7">
        <f t="shared" si="58"/>
        <v>28534.320626566008</v>
      </c>
      <c r="AW67" s="7">
        <f t="shared" si="58"/>
        <v>31937.795782362831</v>
      </c>
      <c r="AX67" s="7">
        <f t="shared" si="58"/>
        <v>34852.578649042051</v>
      </c>
      <c r="AY67" s="7">
        <f t="shared" si="58"/>
        <v>32770.937347934821</v>
      </c>
      <c r="AZ67" s="7">
        <f t="shared" si="58"/>
        <v>31503.047046745574</v>
      </c>
      <c r="BA67" s="7">
        <f t="shared" si="58"/>
        <v>34893.164460482178</v>
      </c>
      <c r="BB67" s="7">
        <f t="shared" si="58"/>
        <v>36047.143320707517</v>
      </c>
      <c r="BC67" s="7">
        <f t="shared" si="58"/>
        <v>32229.554975798434</v>
      </c>
      <c r="BD67" s="7">
        <f t="shared" si="58"/>
        <v>29221.628135822779</v>
      </c>
      <c r="BE67" s="7">
        <f t="shared" si="58"/>
        <v>30833.133823189157</v>
      </c>
      <c r="BF67" s="7">
        <f t="shared" si="58"/>
        <v>31991.679034020734</v>
      </c>
      <c r="BG67" s="7">
        <f t="shared" si="58"/>
        <v>28188.073028636303</v>
      </c>
      <c r="BH67" s="7">
        <f t="shared" si="58"/>
        <v>25190.058553128096</v>
      </c>
      <c r="BI67" s="7">
        <f t="shared" si="58"/>
        <v>26803.650020591871</v>
      </c>
      <c r="BJ67" s="7">
        <f t="shared" si="58"/>
        <v>27936.179792067021</v>
      </c>
      <c r="BK67" s="7">
        <f t="shared" si="58"/>
        <v>24146.48584672554</v>
      </c>
      <c r="BL67" s="7">
        <f t="shared" si="58"/>
        <v>21158.332862375697</v>
      </c>
      <c r="BM67" s="7">
        <f t="shared" si="58"/>
        <v>22758.75536933713</v>
      </c>
      <c r="BN67" s="7">
        <f t="shared" si="58"/>
        <v>23880.639504023158</v>
      </c>
      <c r="BO67" s="7">
        <f t="shared" si="58"/>
        <v>20104.787674472318</v>
      </c>
      <c r="BP67" s="7">
        <f t="shared" si="58"/>
        <v>17126.445529677047</v>
      </c>
      <c r="BQ67" s="7">
        <f t="shared" ref="BQ67:CV67" si="59" xml:space="preserve"> BQ$59</f>
        <v>18713.761248009207</v>
      </c>
      <c r="BR67" s="7">
        <f t="shared" si="59"/>
        <v>19825.051983131067</v>
      </c>
      <c r="BS67" s="7">
        <f t="shared" si="59"/>
        <v>16062.972658389581</v>
      </c>
      <c r="BT67" s="7">
        <f t="shared" si="59"/>
        <v>13094.390921514729</v>
      </c>
      <c r="BU67" s="7">
        <f t="shared" si="59"/>
        <v>14653.822812042959</v>
      </c>
      <c r="BV67" s="7">
        <f t="shared" si="59"/>
        <v>15769.410944631378</v>
      </c>
      <c r="BW67" s="7">
        <f t="shared" si="59"/>
        <v>12021.034845034494</v>
      </c>
      <c r="BX67" s="7">
        <f t="shared" si="59"/>
        <v>9062.1633026757845</v>
      </c>
      <c r="BY67" s="7">
        <f t="shared" si="59"/>
        <v>10623.450452991929</v>
      </c>
      <c r="BZ67" s="7">
        <f t="shared" si="59"/>
        <v>11713.71000365598</v>
      </c>
      <c r="CA67" s="7">
        <f t="shared" si="59"/>
        <v>7978.9681789047481</v>
      </c>
      <c r="CB67" s="7">
        <f t="shared" si="59"/>
        <v>5029.7568341436672</v>
      </c>
      <c r="CC67" s="7">
        <f t="shared" si="59"/>
        <v>6578.1214531445175</v>
      </c>
      <c r="CD67" s="7">
        <f t="shared" si="59"/>
        <v>7657.94267307878</v>
      </c>
      <c r="CE67" s="7">
        <f t="shared" si="59"/>
        <v>3936.7665002929248</v>
      </c>
      <c r="CF67" s="7">
        <f t="shared" si="59"/>
        <v>997.16557094801556</v>
      </c>
      <c r="CG67" s="7">
        <f t="shared" si="59"/>
        <v>3215.2918151892882</v>
      </c>
      <c r="CH67" s="7">
        <f t="shared" si="59"/>
        <v>3644.8654433561715</v>
      </c>
      <c r="CI67" s="7">
        <f t="shared" si="59"/>
        <v>688.29384224823389</v>
      </c>
      <c r="CJ67" s="7">
        <f t="shared" si="59"/>
        <v>685.56828126386836</v>
      </c>
      <c r="CK67" s="7">
        <f t="shared" si="59"/>
        <v>3180.759871906117</v>
      </c>
      <c r="CL67" s="7">
        <f t="shared" si="59"/>
        <v>3608.1285161322512</v>
      </c>
      <c r="CM67" s="7">
        <f t="shared" si="59"/>
        <v>666.19808575299317</v>
      </c>
      <c r="CN67" s="7">
        <f t="shared" si="59"/>
        <v>663.41760335030904</v>
      </c>
      <c r="CO67" s="7">
        <f t="shared" si="59"/>
        <v>3146.1264816515677</v>
      </c>
      <c r="CP67" s="7">
        <f t="shared" si="59"/>
        <v>3571.2997457678875</v>
      </c>
      <c r="CQ67" s="7">
        <f t="shared" si="59"/>
        <v>643.93627140228091</v>
      </c>
      <c r="CR67" s="7">
        <f t="shared" si="59"/>
        <v>641.0997608872035</v>
      </c>
      <c r="CS67" s="7">
        <f t="shared" si="59"/>
        <v>3111.3866430593098</v>
      </c>
      <c r="CT67" s="7">
        <f t="shared" si="59"/>
        <v>3534.3740555861114</v>
      </c>
      <c r="CU67" s="7">
        <f t="shared" si="59"/>
        <v>621.50366407852198</v>
      </c>
      <c r="CV67" s="7">
        <f t="shared" si="59"/>
        <v>618.60999645653737</v>
      </c>
      <c r="CW67" s="7">
        <f t="shared" ref="CW67:EA67" si="60" xml:space="preserve"> CW$59</f>
        <v>3076.5352686952083</v>
      </c>
      <c r="CX67" s="7">
        <f t="shared" si="60"/>
        <v>3497.3462826620735</v>
      </c>
      <c r="CY67" s="7">
        <f t="shared" si="60"/>
        <v>598.89544015944239</v>
      </c>
      <c r="CZ67" s="7">
        <f t="shared" si="60"/>
        <v>595.94346368623292</v>
      </c>
      <c r="DA67" s="7">
        <f t="shared" si="60"/>
        <v>3041.5671832498269</v>
      </c>
      <c r="DB67" s="7">
        <f t="shared" si="60"/>
        <v>3460.2111760052694</v>
      </c>
      <c r="DC67" s="7">
        <f t="shared" si="60"/>
        <v>576.10668570027906</v>
      </c>
      <c r="DD67" s="7">
        <f t="shared" si="60"/>
        <v>573.09522542330069</v>
      </c>
      <c r="DE67" s="7">
        <f t="shared" si="60"/>
        <v>3006.477121694857</v>
      </c>
      <c r="DF67" s="7">
        <f t="shared" si="60"/>
        <v>3422.9633947055136</v>
      </c>
      <c r="DG67" s="7">
        <f t="shared" si="60"/>
        <v>553.13239457952204</v>
      </c>
      <c r="DH67" s="7">
        <f t="shared" si="60"/>
        <v>550.06025187035084</v>
      </c>
      <c r="DI67" s="7">
        <f t="shared" si="60"/>
        <v>550.06025187035084</v>
      </c>
      <c r="DJ67" s="7">
        <f t="shared" si="60"/>
        <v>5.9117155615240335E-12</v>
      </c>
      <c r="DK67" s="7">
        <f t="shared" si="60"/>
        <v>5.9117155615240335E-12</v>
      </c>
      <c r="DL67" s="7">
        <f t="shared" si="60"/>
        <v>5.9117155615240335E-12</v>
      </c>
      <c r="DM67" s="7">
        <f t="shared" si="60"/>
        <v>5.9117155615240335E-12</v>
      </c>
      <c r="DN67" s="7">
        <f t="shared" si="60"/>
        <v>5.9117155615240335E-12</v>
      </c>
      <c r="DO67" s="7">
        <f t="shared" si="60"/>
        <v>5.9117155615240335E-12</v>
      </c>
      <c r="DP67" s="7">
        <f t="shared" si="60"/>
        <v>5.9117155615240335E-12</v>
      </c>
      <c r="DQ67" s="7">
        <f t="shared" si="60"/>
        <v>5.9117155615240335E-12</v>
      </c>
      <c r="DR67" s="7">
        <f t="shared" si="60"/>
        <v>5.9117155615240335E-12</v>
      </c>
      <c r="DS67" s="7">
        <f t="shared" si="60"/>
        <v>5.9117155615240335E-12</v>
      </c>
      <c r="DT67" s="7">
        <f t="shared" si="60"/>
        <v>5.9117155615240335E-12</v>
      </c>
      <c r="DU67" s="7">
        <f t="shared" si="60"/>
        <v>5.9117155615240335E-12</v>
      </c>
      <c r="DV67" s="7">
        <f t="shared" si="60"/>
        <v>5.9117155615240335E-12</v>
      </c>
      <c r="DW67" s="7">
        <f t="shared" si="60"/>
        <v>5.9117155615240335E-12</v>
      </c>
      <c r="DX67" s="7">
        <f t="shared" si="60"/>
        <v>5.9117155615240335E-12</v>
      </c>
      <c r="DY67" s="7">
        <f t="shared" si="60"/>
        <v>5.9117155615240335E-12</v>
      </c>
      <c r="DZ67" s="7">
        <f t="shared" si="60"/>
        <v>5.9117155615240335E-12</v>
      </c>
      <c r="EA67" s="7">
        <f t="shared" si="60"/>
        <v>5.9117155615240335E-12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-230.64835164835131</v>
      </c>
      <c r="N68" s="7">
        <f t="shared" si="61"/>
        <v>3043.2382472826093</v>
      </c>
      <c r="O68" s="7">
        <f t="shared" si="61"/>
        <v>2420.5295879755431</v>
      </c>
      <c r="P68" s="7">
        <f t="shared" si="61"/>
        <v>278.61532604393051</v>
      </c>
      <c r="Q68" s="7">
        <f t="shared" si="61"/>
        <v>1256.71803994626</v>
      </c>
      <c r="R68" s="7">
        <f t="shared" si="61"/>
        <v>3239.357079414217</v>
      </c>
      <c r="S68" s="7">
        <f t="shared" si="61"/>
        <v>2390.2320518402594</v>
      </c>
      <c r="T68" s="7">
        <f t="shared" si="61"/>
        <v>258.99598855904014</v>
      </c>
      <c r="U68" s="7">
        <f t="shared" si="61"/>
        <v>1232.0798495086847</v>
      </c>
      <c r="V68" s="7">
        <f t="shared" si="61"/>
        <v>3204.807212342962</v>
      </c>
      <c r="W68" s="7">
        <f t="shared" si="61"/>
        <v>2359.8928399861561</v>
      </c>
      <c r="X68" s="7">
        <f t="shared" si="61"/>
        <v>255.54509776481268</v>
      </c>
      <c r="Y68" s="7">
        <f t="shared" si="61"/>
        <v>1191.1063861909197</v>
      </c>
      <c r="Z68" s="7">
        <f t="shared" si="61"/>
        <v>3170.2332273080128</v>
      </c>
      <c r="AA68" s="7">
        <f t="shared" si="61"/>
        <v>2329.5082826027474</v>
      </c>
      <c r="AB68" s="7">
        <f t="shared" si="61"/>
        <v>219.47083594714786</v>
      </c>
      <c r="AC68" s="7">
        <f t="shared" si="61"/>
        <v>1182.5824991845047</v>
      </c>
      <c r="AD68" s="7">
        <f t="shared" si="61"/>
        <v>3135.6312946429462</v>
      </c>
      <c r="AE68" s="7">
        <f t="shared" si="61"/>
        <v>2299.0746500107443</v>
      </c>
      <c r="AF68" s="7">
        <f t="shared" si="61"/>
        <v>199.55816217099482</v>
      </c>
      <c r="AG68" s="7">
        <f t="shared" si="61"/>
        <v>1157.71613842746</v>
      </c>
      <c r="AH68" s="7">
        <f t="shared" si="61"/>
        <v>3100.9975241468455</v>
      </c>
      <c r="AI68" s="7">
        <f t="shared" si="61"/>
        <v>2268.5881513856307</v>
      </c>
      <c r="AJ68" s="7">
        <f t="shared" si="61"/>
        <v>179.5407479852247</v>
      </c>
      <c r="AK68" s="7">
        <f t="shared" ref="AK68:BP68" si="62" xml:space="preserve"> AK$64</f>
        <v>1132.7664163421891</v>
      </c>
      <c r="AL68" s="7">
        <f t="shared" si="62"/>
        <v>3066.327963781755</v>
      </c>
      <c r="AM68" s="7">
        <f t="shared" si="62"/>
        <v>2238.0449334558452</v>
      </c>
      <c r="AN68" s="7">
        <f t="shared" si="62"/>
        <v>175.20663051795282</v>
      </c>
      <c r="AO68" s="7">
        <f t="shared" si="62"/>
        <v>1091.9379521318856</v>
      </c>
      <c r="AP68" s="7">
        <f t="shared" si="62"/>
        <v>3031.6185983442665</v>
      </c>
      <c r="AQ68" s="7">
        <f t="shared" si="62"/>
        <v>2207.4410791751011</v>
      </c>
      <c r="AR68" s="7">
        <f t="shared" si="62"/>
        <v>139.17729048744422</v>
      </c>
      <c r="AS68" s="7">
        <f t="shared" si="62"/>
        <v>1082.6017911092231</v>
      </c>
      <c r="AT68" s="7">
        <f t="shared" si="62"/>
        <v>2996.8653481107795</v>
      </c>
      <c r="AU68" s="7">
        <f t="shared" si="62"/>
        <v>2176.7726063682762</v>
      </c>
      <c r="AV68" s="7">
        <f t="shared" si="62"/>
        <v>118.82387959366497</v>
      </c>
      <c r="AW68" s="7">
        <f t="shared" si="62"/>
        <v>1057.3791745912417</v>
      </c>
      <c r="AX68" s="7">
        <f t="shared" si="62"/>
        <v>2962.0640674558335</v>
      </c>
      <c r="AY68" s="7">
        <f t="shared" si="62"/>
        <v>2146.0354663503745</v>
      </c>
      <c r="AZ68" s="7">
        <f t="shared" si="62"/>
        <v>98.350990410631312</v>
      </c>
      <c r="BA68" s="7">
        <f t="shared" si="62"/>
        <v>2782.0577672391714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3258.0548972216557</v>
      </c>
      <c r="CH68" s="7">
        <f t="shared" si="63"/>
        <v>4438.7357425063237</v>
      </c>
      <c r="CI68" s="7">
        <f t="shared" si="63"/>
        <v>4409.4786635406927</v>
      </c>
      <c r="CJ68" s="7">
        <f t="shared" si="63"/>
        <v>5393.5987250928483</v>
      </c>
      <c r="CK68" s="7">
        <f t="shared" si="63"/>
        <v>7242.7060179085747</v>
      </c>
      <c r="CL68" s="7">
        <f t="shared" si="63"/>
        <v>8422.3936692915831</v>
      </c>
      <c r="CM68" s="7">
        <f t="shared" si="63"/>
        <v>8398.2113513911136</v>
      </c>
      <c r="CN68" s="7">
        <f t="shared" si="63"/>
        <v>9368.180213470172</v>
      </c>
      <c r="CO68" s="7">
        <f t="shared" si="63"/>
        <v>11227.250335149052</v>
      </c>
      <c r="CP68" s="7">
        <f t="shared" si="63"/>
        <v>12405.947834019287</v>
      </c>
      <c r="CQ68" s="7">
        <f t="shared" si="63"/>
        <v>12386.814104286968</v>
      </c>
      <c r="CR68" s="7">
        <f t="shared" si="63"/>
        <v>13356.987049118799</v>
      </c>
      <c r="CS68" s="7">
        <f t="shared" si="63"/>
        <v>15211.684689416315</v>
      </c>
      <c r="CT68" s="7">
        <f t="shared" si="63"/>
        <v>16389.395023747955</v>
      </c>
      <c r="CU68" s="7">
        <f t="shared" si="63"/>
        <v>16375.28382085434</v>
      </c>
      <c r="CV68" s="7">
        <f t="shared" si="63"/>
        <v>17345.66093481248</v>
      </c>
      <c r="CW68" s="7">
        <f t="shared" ref="CW68:EA68" si="64" xml:space="preserve"> CW$64</f>
        <v>19196.005862529404</v>
      </c>
      <c r="CX68" s="7">
        <f t="shared" si="64"/>
        <v>20372.731966376239</v>
      </c>
      <c r="CY68" s="7">
        <f t="shared" si="64"/>
        <v>20363.617339628661</v>
      </c>
      <c r="CZ68" s="7">
        <f t="shared" si="64"/>
        <v>21348.064057591335</v>
      </c>
      <c r="DA68" s="7">
        <f t="shared" si="64"/>
        <v>23180.210576446327</v>
      </c>
      <c r="DB68" s="7">
        <f t="shared" si="64"/>
        <v>24355.955329423035</v>
      </c>
      <c r="DC68" s="7">
        <f t="shared" si="64"/>
        <v>24351.811437831886</v>
      </c>
      <c r="DD68" s="7">
        <f t="shared" si="64"/>
        <v>25322.59723658349</v>
      </c>
      <c r="DE68" s="7">
        <f t="shared" si="64"/>
        <v>27164.295492033016</v>
      </c>
      <c r="DF68" s="7">
        <f t="shared" si="64"/>
        <v>28339.061718783181</v>
      </c>
      <c r="DG68" s="7">
        <f t="shared" si="64"/>
        <v>28339.862830125094</v>
      </c>
      <c r="DH68" s="7">
        <f t="shared" si="64"/>
        <v>-689.14681089112128</v>
      </c>
      <c r="DI68" s="7">
        <f t="shared" si="64"/>
        <v>550.06025187034493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231</v>
      </c>
      <c r="F69" s="147"/>
      <c r="G69" s="147" t="str">
        <f xml:space="preserve"> SMU</f>
        <v>$ 000s</v>
      </c>
      <c r="H69" s="147">
        <f xml:space="preserve"> SUM(J69:EA69)</f>
        <v>222667.04122730848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3043.2382472826093</v>
      </c>
      <c r="O69" s="147">
        <f t="shared" si="65"/>
        <v>2420.5295879755431</v>
      </c>
      <c r="P69" s="147">
        <f t="shared" si="65"/>
        <v>278.61532604393051</v>
      </c>
      <c r="Q69" s="147">
        <f t="shared" si="65"/>
        <v>1256.71803994626</v>
      </c>
      <c r="R69" s="147">
        <f t="shared" si="65"/>
        <v>3239.357079414217</v>
      </c>
      <c r="S69" s="147">
        <f t="shared" si="65"/>
        <v>2390.2320518402594</v>
      </c>
      <c r="T69" s="147">
        <f t="shared" si="65"/>
        <v>258.99598855904014</v>
      </c>
      <c r="U69" s="147">
        <f t="shared" si="65"/>
        <v>1232.0798495086847</v>
      </c>
      <c r="V69" s="147">
        <f t="shared" si="65"/>
        <v>3204.807212342962</v>
      </c>
      <c r="W69" s="147">
        <f t="shared" si="65"/>
        <v>2359.8928399861561</v>
      </c>
      <c r="X69" s="147">
        <f t="shared" si="65"/>
        <v>255.54509776481268</v>
      </c>
      <c r="Y69" s="147">
        <f t="shared" si="65"/>
        <v>1191.1063861909197</v>
      </c>
      <c r="Z69" s="147">
        <f t="shared" si="65"/>
        <v>3170.2332273080128</v>
      </c>
      <c r="AA69" s="147">
        <f t="shared" si="65"/>
        <v>2329.5082826027474</v>
      </c>
      <c r="AB69" s="147">
        <f t="shared" si="65"/>
        <v>219.47083594714786</v>
      </c>
      <c r="AC69" s="147">
        <f t="shared" si="65"/>
        <v>1182.5824991845047</v>
      </c>
      <c r="AD69" s="147">
        <f t="shared" si="65"/>
        <v>3135.6312946429462</v>
      </c>
      <c r="AE69" s="147">
        <f t="shared" si="65"/>
        <v>2299.0746500107443</v>
      </c>
      <c r="AF69" s="147">
        <f t="shared" si="65"/>
        <v>199.55816217099482</v>
      </c>
      <c r="AG69" s="147">
        <f t="shared" si="65"/>
        <v>1157.71613842746</v>
      </c>
      <c r="AH69" s="147">
        <f t="shared" si="65"/>
        <v>3100.9975241468455</v>
      </c>
      <c r="AI69" s="147">
        <f t="shared" si="65"/>
        <v>2268.5881513856307</v>
      </c>
      <c r="AJ69" s="147">
        <f t="shared" si="65"/>
        <v>179.5407479852247</v>
      </c>
      <c r="AK69" s="147">
        <f t="shared" si="65"/>
        <v>1132.7664163421891</v>
      </c>
      <c r="AL69" s="147">
        <f t="shared" si="65"/>
        <v>3066.327963781755</v>
      </c>
      <c r="AM69" s="147">
        <f t="shared" si="65"/>
        <v>2238.0449334558452</v>
      </c>
      <c r="AN69" s="147">
        <f t="shared" si="65"/>
        <v>175.20663051795282</v>
      </c>
      <c r="AO69" s="147">
        <f t="shared" si="65"/>
        <v>1091.9379521318856</v>
      </c>
      <c r="AP69" s="147">
        <f t="shared" ref="AP69:BU69" si="66" xml:space="preserve"> MAX(0, MIN(AP67:AP68))</f>
        <v>3031.6185983442665</v>
      </c>
      <c r="AQ69" s="147">
        <f t="shared" si="66"/>
        <v>2207.4410791751011</v>
      </c>
      <c r="AR69" s="147">
        <f t="shared" si="66"/>
        <v>139.17729048744422</v>
      </c>
      <c r="AS69" s="147">
        <f t="shared" si="66"/>
        <v>1082.6017911092231</v>
      </c>
      <c r="AT69" s="147">
        <f t="shared" si="66"/>
        <v>2996.8653481107795</v>
      </c>
      <c r="AU69" s="147">
        <f t="shared" si="66"/>
        <v>2176.7726063682762</v>
      </c>
      <c r="AV69" s="147">
        <f t="shared" si="66"/>
        <v>118.82387959366497</v>
      </c>
      <c r="AW69" s="147">
        <f t="shared" si="66"/>
        <v>1057.3791745912417</v>
      </c>
      <c r="AX69" s="147">
        <f t="shared" si="66"/>
        <v>2962.0640674558335</v>
      </c>
      <c r="AY69" s="147">
        <f t="shared" si="66"/>
        <v>2146.0354663503745</v>
      </c>
      <c r="AZ69" s="147">
        <f t="shared" si="66"/>
        <v>98.350990410631312</v>
      </c>
      <c r="BA69" s="147">
        <f t="shared" si="66"/>
        <v>2782.0577672391714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997.16557094801556</v>
      </c>
      <c r="CG69" s="147">
        <f t="shared" si="67"/>
        <v>3215.2918151892882</v>
      </c>
      <c r="CH69" s="147">
        <f t="shared" si="67"/>
        <v>3644.8654433561715</v>
      </c>
      <c r="CI69" s="147">
        <f t="shared" si="67"/>
        <v>688.29384224823389</v>
      </c>
      <c r="CJ69" s="147">
        <f t="shared" si="67"/>
        <v>685.56828126386836</v>
      </c>
      <c r="CK69" s="147">
        <f t="shared" si="67"/>
        <v>3180.759871906117</v>
      </c>
      <c r="CL69" s="147">
        <f t="shared" si="67"/>
        <v>3608.1285161322512</v>
      </c>
      <c r="CM69" s="147">
        <f t="shared" si="67"/>
        <v>666.19808575299317</v>
      </c>
      <c r="CN69" s="147">
        <f t="shared" si="67"/>
        <v>663.41760335030904</v>
      </c>
      <c r="CO69" s="147">
        <f t="shared" si="67"/>
        <v>3146.1264816515677</v>
      </c>
      <c r="CP69" s="147">
        <f t="shared" si="67"/>
        <v>3571.2997457678875</v>
      </c>
      <c r="CQ69" s="147">
        <f t="shared" si="67"/>
        <v>643.93627140228091</v>
      </c>
      <c r="CR69" s="147">
        <f t="shared" si="67"/>
        <v>641.0997608872035</v>
      </c>
      <c r="CS69" s="147">
        <f t="shared" si="67"/>
        <v>3111.3866430593098</v>
      </c>
      <c r="CT69" s="147">
        <f t="shared" si="67"/>
        <v>3534.3740555861114</v>
      </c>
      <c r="CU69" s="147">
        <f t="shared" si="67"/>
        <v>621.50366407852198</v>
      </c>
      <c r="CV69" s="147">
        <f t="shared" si="67"/>
        <v>618.60999645653737</v>
      </c>
      <c r="CW69" s="147">
        <f t="shared" si="67"/>
        <v>3076.5352686952083</v>
      </c>
      <c r="CX69" s="147">
        <f t="shared" si="67"/>
        <v>3497.3462826620735</v>
      </c>
      <c r="CY69" s="147">
        <f t="shared" si="67"/>
        <v>598.89544015944239</v>
      </c>
      <c r="CZ69" s="147">
        <f t="shared" si="67"/>
        <v>595.94346368623292</v>
      </c>
      <c r="DA69" s="147">
        <f t="shared" si="67"/>
        <v>3041.5671832498269</v>
      </c>
      <c r="DB69" s="147">
        <f t="shared" ref="DB69:EA69" si="68" xml:space="preserve"> MAX(0, MIN(DB67:DB68))</f>
        <v>3460.2111760052694</v>
      </c>
      <c r="DC69" s="147">
        <f t="shared" si="68"/>
        <v>576.10668570027906</v>
      </c>
      <c r="DD69" s="147">
        <f t="shared" si="68"/>
        <v>573.09522542330069</v>
      </c>
      <c r="DE69" s="147">
        <f t="shared" si="68"/>
        <v>3006.477121694857</v>
      </c>
      <c r="DF69" s="147">
        <f t="shared" si="68"/>
        <v>3422.9633947055136</v>
      </c>
      <c r="DG69" s="147">
        <f t="shared" si="68"/>
        <v>553.13239457952204</v>
      </c>
      <c r="DH69" s="147">
        <f t="shared" si="68"/>
        <v>0</v>
      </c>
      <c r="DI69" s="147">
        <f t="shared" si="68"/>
        <v>550.06025187034493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-222667.04122730848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-3043.2382472826093</v>
      </c>
      <c r="O70" s="147">
        <f t="shared" si="69"/>
        <v>-2420.5295879755431</v>
      </c>
      <c r="P70" s="147">
        <f t="shared" si="69"/>
        <v>-278.61532604393051</v>
      </c>
      <c r="Q70" s="147">
        <f t="shared" si="69"/>
        <v>-1256.71803994626</v>
      </c>
      <c r="R70" s="147">
        <f t="shared" si="69"/>
        <v>-3239.357079414217</v>
      </c>
      <c r="S70" s="147">
        <f t="shared" si="69"/>
        <v>-2390.2320518402594</v>
      </c>
      <c r="T70" s="147">
        <f t="shared" si="69"/>
        <v>-258.99598855904014</v>
      </c>
      <c r="U70" s="147">
        <f t="shared" si="69"/>
        <v>-1232.0798495086847</v>
      </c>
      <c r="V70" s="147">
        <f t="shared" si="69"/>
        <v>-3204.807212342962</v>
      </c>
      <c r="W70" s="147">
        <f t="shared" si="69"/>
        <v>-2359.8928399861561</v>
      </c>
      <c r="X70" s="147">
        <f t="shared" si="69"/>
        <v>-255.54509776481268</v>
      </c>
      <c r="Y70" s="147">
        <f t="shared" si="69"/>
        <v>-1191.1063861909197</v>
      </c>
      <c r="Z70" s="147">
        <f t="shared" si="69"/>
        <v>-3170.2332273080128</v>
      </c>
      <c r="AA70" s="147">
        <f t="shared" si="69"/>
        <v>-2329.5082826027474</v>
      </c>
      <c r="AB70" s="147">
        <f t="shared" si="69"/>
        <v>-219.47083594714786</v>
      </c>
      <c r="AC70" s="147">
        <f t="shared" si="69"/>
        <v>-1182.5824991845047</v>
      </c>
      <c r="AD70" s="147">
        <f t="shared" si="69"/>
        <v>-3135.6312946429462</v>
      </c>
      <c r="AE70" s="147">
        <f t="shared" si="69"/>
        <v>-2299.0746500107443</v>
      </c>
      <c r="AF70" s="147">
        <f t="shared" si="69"/>
        <v>-199.55816217099482</v>
      </c>
      <c r="AG70" s="147">
        <f t="shared" si="69"/>
        <v>-1157.71613842746</v>
      </c>
      <c r="AH70" s="147">
        <f t="shared" si="69"/>
        <v>-3100.9975241468455</v>
      </c>
      <c r="AI70" s="147">
        <f t="shared" si="69"/>
        <v>-2268.5881513856307</v>
      </c>
      <c r="AJ70" s="147">
        <f t="shared" si="69"/>
        <v>-179.5407479852247</v>
      </c>
      <c r="AK70" s="147">
        <f t="shared" si="69"/>
        <v>-1132.7664163421891</v>
      </c>
      <c r="AL70" s="147">
        <f t="shared" si="69"/>
        <v>-3066.327963781755</v>
      </c>
      <c r="AM70" s="147">
        <f t="shared" si="69"/>
        <v>-2238.0449334558452</v>
      </c>
      <c r="AN70" s="147">
        <f t="shared" si="69"/>
        <v>-175.20663051795282</v>
      </c>
      <c r="AO70" s="147">
        <f t="shared" si="69"/>
        <v>-1091.9379521318856</v>
      </c>
      <c r="AP70" s="147">
        <f t="shared" si="69"/>
        <v>-3031.6185983442665</v>
      </c>
      <c r="AQ70" s="147">
        <f t="shared" si="69"/>
        <v>-2207.4410791751011</v>
      </c>
      <c r="AR70" s="147">
        <f t="shared" si="69"/>
        <v>-139.17729048744422</v>
      </c>
      <c r="AS70" s="147">
        <f t="shared" si="69"/>
        <v>-1082.6017911092231</v>
      </c>
      <c r="AT70" s="147">
        <f t="shared" si="69"/>
        <v>-2996.8653481107795</v>
      </c>
      <c r="AU70" s="147">
        <f t="shared" si="69"/>
        <v>-2176.7726063682762</v>
      </c>
      <c r="AV70" s="147">
        <f t="shared" si="69"/>
        <v>-118.82387959366497</v>
      </c>
      <c r="AW70" s="147">
        <f t="shared" si="69"/>
        <v>-1057.3791745912417</v>
      </c>
      <c r="AX70" s="147">
        <f t="shared" si="69"/>
        <v>-2962.0640674558335</v>
      </c>
      <c r="AY70" s="147">
        <f t="shared" si="69"/>
        <v>-2146.0354663503745</v>
      </c>
      <c r="AZ70" s="147">
        <f t="shared" si="69"/>
        <v>-98.350990410631312</v>
      </c>
      <c r="BA70" s="147">
        <f t="shared" si="69"/>
        <v>-2782.0577672391714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-997.16557094801556</v>
      </c>
      <c r="CG70" s="147">
        <f t="shared" si="70"/>
        <v>-3215.2918151892882</v>
      </c>
      <c r="CH70" s="147">
        <f t="shared" si="70"/>
        <v>-3644.8654433561715</v>
      </c>
      <c r="CI70" s="147">
        <f t="shared" si="70"/>
        <v>-688.29384224823389</v>
      </c>
      <c r="CJ70" s="147">
        <f t="shared" si="70"/>
        <v>-685.56828126386836</v>
      </c>
      <c r="CK70" s="147">
        <f t="shared" si="70"/>
        <v>-3180.759871906117</v>
      </c>
      <c r="CL70" s="147">
        <f t="shared" si="70"/>
        <v>-3608.1285161322512</v>
      </c>
      <c r="CM70" s="147">
        <f t="shared" si="70"/>
        <v>-666.19808575299317</v>
      </c>
      <c r="CN70" s="147">
        <f t="shared" si="70"/>
        <v>-663.41760335030904</v>
      </c>
      <c r="CO70" s="147">
        <f t="shared" si="70"/>
        <v>-3146.1264816515677</v>
      </c>
      <c r="CP70" s="147">
        <f t="shared" si="70"/>
        <v>-3571.2997457678875</v>
      </c>
      <c r="CQ70" s="147">
        <f t="shared" si="70"/>
        <v>-643.93627140228091</v>
      </c>
      <c r="CR70" s="147">
        <f t="shared" si="70"/>
        <v>-641.0997608872035</v>
      </c>
      <c r="CS70" s="147">
        <f t="shared" si="70"/>
        <v>-3111.3866430593098</v>
      </c>
      <c r="CT70" s="147">
        <f t="shared" si="70"/>
        <v>-3534.3740555861114</v>
      </c>
      <c r="CU70" s="147">
        <f t="shared" si="70"/>
        <v>-621.50366407852198</v>
      </c>
      <c r="CV70" s="147">
        <f t="shared" si="70"/>
        <v>-618.60999645653737</v>
      </c>
      <c r="CW70" s="147">
        <f t="shared" si="70"/>
        <v>-3076.5352686952083</v>
      </c>
      <c r="CX70" s="147">
        <f t="shared" si="70"/>
        <v>-3497.3462826620735</v>
      </c>
      <c r="CY70" s="147">
        <f t="shared" si="70"/>
        <v>-598.89544015944239</v>
      </c>
      <c r="CZ70" s="147">
        <f t="shared" si="70"/>
        <v>-595.94346368623292</v>
      </c>
      <c r="DA70" s="147">
        <f t="shared" si="70"/>
        <v>-3041.5671832498269</v>
      </c>
      <c r="DB70" s="147">
        <f t="shared" si="70"/>
        <v>-3460.2111760052694</v>
      </c>
      <c r="DC70" s="147">
        <f t="shared" si="70"/>
        <v>-576.10668570027906</v>
      </c>
      <c r="DD70" s="147">
        <f t="shared" si="70"/>
        <v>-573.09522542330069</v>
      </c>
      <c r="DE70" s="147">
        <f t="shared" si="70"/>
        <v>-3006.477121694857</v>
      </c>
      <c r="DF70" s="147">
        <f t="shared" si="70"/>
        <v>-3422.9633947055136</v>
      </c>
      <c r="DG70" s="147">
        <f t="shared" si="70"/>
        <v>-553.13239457952204</v>
      </c>
      <c r="DH70" s="147">
        <f t="shared" si="70"/>
        <v>0</v>
      </c>
      <c r="DI70" s="147">
        <f t="shared" si="70"/>
        <v>-550.06025187034493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E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234</v>
      </c>
    </row>
    <row r="9" spans="1:131" x14ac:dyDescent="0.35">
      <c r="B9" s="8" t="s">
        <v>235</v>
      </c>
    </row>
    <row r="10" spans="1:131" x14ac:dyDescent="0.35">
      <c r="E10" s="146" t="str">
        <f xml:space="preserve"> InpC!E$60</f>
        <v>Share capital - initial balance</v>
      </c>
      <c r="F10" s="146">
        <f xml:space="preserve"> InpC!F$60</f>
        <v>100000</v>
      </c>
      <c r="G10" s="146" t="str">
        <f xml:space="preserve"> InpC!G$60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InpC!E$74</f>
        <v>Small negative value for XIRR</v>
      </c>
      <c r="F11" s="428">
        <f xml:space="preserve"> InpC!F$74</f>
        <v>-9.9999999999999995E-8</v>
      </c>
      <c r="G11" s="428" t="str">
        <f xml:space="preserve"> InpC!G$74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222667.04122730848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3043.2382472826093</v>
      </c>
      <c r="O14" s="146">
        <f xml:space="preserve"> Equity!O$69</f>
        <v>2420.5295879755431</v>
      </c>
      <c r="P14" s="146">
        <f xml:space="preserve"> Equity!P$69</f>
        <v>278.61532604393051</v>
      </c>
      <c r="Q14" s="146">
        <f xml:space="preserve"> Equity!Q$69</f>
        <v>1256.71803994626</v>
      </c>
      <c r="R14" s="146">
        <f xml:space="preserve"> Equity!R$69</f>
        <v>3239.357079414217</v>
      </c>
      <c r="S14" s="146">
        <f xml:space="preserve"> Equity!S$69</f>
        <v>2390.2320518402594</v>
      </c>
      <c r="T14" s="146">
        <f xml:space="preserve"> Equity!T$69</f>
        <v>258.99598855904014</v>
      </c>
      <c r="U14" s="146">
        <f xml:space="preserve"> Equity!U$69</f>
        <v>1232.0798495086847</v>
      </c>
      <c r="V14" s="146">
        <f xml:space="preserve"> Equity!V$69</f>
        <v>3204.807212342962</v>
      </c>
      <c r="W14" s="146">
        <f xml:space="preserve"> Equity!W$69</f>
        <v>2359.8928399861561</v>
      </c>
      <c r="X14" s="146">
        <f xml:space="preserve"> Equity!X$69</f>
        <v>255.54509776481268</v>
      </c>
      <c r="Y14" s="146">
        <f xml:space="preserve"> Equity!Y$69</f>
        <v>1191.1063861909197</v>
      </c>
      <c r="Z14" s="146">
        <f xml:space="preserve"> Equity!Z$69</f>
        <v>3170.2332273080128</v>
      </c>
      <c r="AA14" s="146">
        <f xml:space="preserve"> Equity!AA$69</f>
        <v>2329.5082826027474</v>
      </c>
      <c r="AB14" s="146">
        <f xml:space="preserve"> Equity!AB$69</f>
        <v>219.47083594714786</v>
      </c>
      <c r="AC14" s="146">
        <f xml:space="preserve"> Equity!AC$69</f>
        <v>1182.5824991845047</v>
      </c>
      <c r="AD14" s="146">
        <f xml:space="preserve"> Equity!AD$69</f>
        <v>3135.6312946429462</v>
      </c>
      <c r="AE14" s="146">
        <f xml:space="preserve"> Equity!AE$69</f>
        <v>2299.0746500107443</v>
      </c>
      <c r="AF14" s="146">
        <f xml:space="preserve"> Equity!AF$69</f>
        <v>199.55816217099482</v>
      </c>
      <c r="AG14" s="146">
        <f xml:space="preserve"> Equity!AG$69</f>
        <v>1157.71613842746</v>
      </c>
      <c r="AH14" s="146">
        <f xml:space="preserve"> Equity!AH$69</f>
        <v>3100.9975241468455</v>
      </c>
      <c r="AI14" s="146">
        <f xml:space="preserve"> Equity!AI$69</f>
        <v>2268.5881513856307</v>
      </c>
      <c r="AJ14" s="146">
        <f xml:space="preserve"> Equity!AJ$69</f>
        <v>179.5407479852247</v>
      </c>
      <c r="AK14" s="146">
        <f xml:space="preserve"> Equity!AK$69</f>
        <v>1132.7664163421891</v>
      </c>
      <c r="AL14" s="146">
        <f xml:space="preserve"> Equity!AL$69</f>
        <v>3066.327963781755</v>
      </c>
      <c r="AM14" s="146">
        <f xml:space="preserve"> Equity!AM$69</f>
        <v>2238.0449334558452</v>
      </c>
      <c r="AN14" s="146">
        <f xml:space="preserve"> Equity!AN$69</f>
        <v>175.20663051795282</v>
      </c>
      <c r="AO14" s="146">
        <f xml:space="preserve"> Equity!AO$69</f>
        <v>1091.9379521318856</v>
      </c>
      <c r="AP14" s="146">
        <f xml:space="preserve"> Equity!AP$69</f>
        <v>3031.6185983442665</v>
      </c>
      <c r="AQ14" s="146">
        <f xml:space="preserve"> Equity!AQ$69</f>
        <v>2207.4410791751011</v>
      </c>
      <c r="AR14" s="146">
        <f xml:space="preserve"> Equity!AR$69</f>
        <v>139.17729048744422</v>
      </c>
      <c r="AS14" s="146">
        <f xml:space="preserve"> Equity!AS$69</f>
        <v>1082.6017911092231</v>
      </c>
      <c r="AT14" s="146">
        <f xml:space="preserve"> Equity!AT$69</f>
        <v>2996.8653481107795</v>
      </c>
      <c r="AU14" s="146">
        <f xml:space="preserve"> Equity!AU$69</f>
        <v>2176.7726063682762</v>
      </c>
      <c r="AV14" s="146">
        <f xml:space="preserve"> Equity!AV$69</f>
        <v>118.82387959366497</v>
      </c>
      <c r="AW14" s="146">
        <f xml:space="preserve"> Equity!AW$69</f>
        <v>1057.3791745912417</v>
      </c>
      <c r="AX14" s="146">
        <f xml:space="preserve"> Equity!AX$69</f>
        <v>2962.0640674558335</v>
      </c>
      <c r="AY14" s="146">
        <f xml:space="preserve"> Equity!AY$69</f>
        <v>2146.0354663503745</v>
      </c>
      <c r="AZ14" s="146">
        <f xml:space="preserve"> Equity!AZ$69</f>
        <v>98.350990410631312</v>
      </c>
      <c r="BA14" s="146">
        <f xml:space="preserve"> Equity!BA$69</f>
        <v>2782.0577672391714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997.16557094801556</v>
      </c>
      <c r="CG14" s="146">
        <f xml:space="preserve"> Equity!CG$69</f>
        <v>3215.2918151892882</v>
      </c>
      <c r="CH14" s="146">
        <f xml:space="preserve"> Equity!CH$69</f>
        <v>3644.8654433561715</v>
      </c>
      <c r="CI14" s="146">
        <f xml:space="preserve"> Equity!CI$69</f>
        <v>688.29384224823389</v>
      </c>
      <c r="CJ14" s="146">
        <f xml:space="preserve"> Equity!CJ$69</f>
        <v>685.56828126386836</v>
      </c>
      <c r="CK14" s="146">
        <f xml:space="preserve"> Equity!CK$69</f>
        <v>3180.759871906117</v>
      </c>
      <c r="CL14" s="146">
        <f xml:space="preserve"> Equity!CL$69</f>
        <v>3608.1285161322512</v>
      </c>
      <c r="CM14" s="146">
        <f xml:space="preserve"> Equity!CM$69</f>
        <v>666.19808575299317</v>
      </c>
      <c r="CN14" s="146">
        <f xml:space="preserve"> Equity!CN$69</f>
        <v>663.41760335030904</v>
      </c>
      <c r="CO14" s="146">
        <f xml:space="preserve"> Equity!CO$69</f>
        <v>3146.1264816515677</v>
      </c>
      <c r="CP14" s="146">
        <f xml:space="preserve"> Equity!CP$69</f>
        <v>3571.2997457678875</v>
      </c>
      <c r="CQ14" s="146">
        <f xml:space="preserve"> Equity!CQ$69</f>
        <v>643.93627140228091</v>
      </c>
      <c r="CR14" s="146">
        <f xml:space="preserve"> Equity!CR$69</f>
        <v>641.0997608872035</v>
      </c>
      <c r="CS14" s="146">
        <f xml:space="preserve"> Equity!CS$69</f>
        <v>3111.3866430593098</v>
      </c>
      <c r="CT14" s="146">
        <f xml:space="preserve"> Equity!CT$69</f>
        <v>3534.3740555861114</v>
      </c>
      <c r="CU14" s="146">
        <f xml:space="preserve"> Equity!CU$69</f>
        <v>621.50366407852198</v>
      </c>
      <c r="CV14" s="146">
        <f xml:space="preserve"> Equity!CV$69</f>
        <v>618.60999645653737</v>
      </c>
      <c r="CW14" s="146">
        <f xml:space="preserve"> Equity!CW$69</f>
        <v>3076.5352686952083</v>
      </c>
      <c r="CX14" s="146">
        <f xml:space="preserve"> Equity!CX$69</f>
        <v>3497.3462826620735</v>
      </c>
      <c r="CY14" s="146">
        <f xml:space="preserve"> Equity!CY$69</f>
        <v>598.89544015944239</v>
      </c>
      <c r="CZ14" s="146">
        <f xml:space="preserve"> Equity!CZ$69</f>
        <v>595.94346368623292</v>
      </c>
      <c r="DA14" s="146">
        <f xml:space="preserve"> Equity!DA$69</f>
        <v>3041.5671832498269</v>
      </c>
      <c r="DB14" s="146">
        <f xml:space="preserve"> Equity!DB$69</f>
        <v>3460.2111760052694</v>
      </c>
      <c r="DC14" s="146">
        <f xml:space="preserve"> Equity!DC$69</f>
        <v>576.10668570027906</v>
      </c>
      <c r="DD14" s="146">
        <f xml:space="preserve"> Equity!DD$69</f>
        <v>573.09522542330069</v>
      </c>
      <c r="DE14" s="146">
        <f xml:space="preserve"> Equity!DE$69</f>
        <v>3006.477121694857</v>
      </c>
      <c r="DF14" s="146">
        <f xml:space="preserve"> Equity!DF$69</f>
        <v>3422.9633947055136</v>
      </c>
      <c r="DG14" s="146">
        <f xml:space="preserve"> Equity!DG$69</f>
        <v>553.13239457952204</v>
      </c>
      <c r="DH14" s="146">
        <f xml:space="preserve"> Equity!DH$69</f>
        <v>0</v>
      </c>
      <c r="DI14" s="146">
        <f xml:space="preserve"> Equity!DI$69</f>
        <v>550.06025187034493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236</v>
      </c>
      <c r="G16" s="7" t="str">
        <f xml:space="preserve"> SMU</f>
        <v>$ 000s</v>
      </c>
      <c r="H16" s="7">
        <f xml:space="preserve"> SUM(J16:EA16)</f>
        <v>152667.04122720836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-100000</v>
      </c>
      <c r="M16" s="6">
        <f t="shared" si="0"/>
        <v>0</v>
      </c>
      <c r="N16" s="6">
        <f t="shared" si="0"/>
        <v>3043.2382472826093</v>
      </c>
      <c r="O16" s="6">
        <f t="shared" si="0"/>
        <v>2420.5295879755431</v>
      </c>
      <c r="P16" s="6">
        <f t="shared" si="0"/>
        <v>278.61532604393051</v>
      </c>
      <c r="Q16" s="6">
        <f t="shared" si="0"/>
        <v>1256.71803994626</v>
      </c>
      <c r="R16" s="6">
        <f t="shared" si="0"/>
        <v>3239.357079414217</v>
      </c>
      <c r="S16" s="6">
        <f t="shared" si="0"/>
        <v>2390.2320518402594</v>
      </c>
      <c r="T16" s="6">
        <f t="shared" si="0"/>
        <v>258.99598855904014</v>
      </c>
      <c r="U16" s="6">
        <f t="shared" si="0"/>
        <v>1232.0798495086847</v>
      </c>
      <c r="V16" s="6">
        <f t="shared" si="0"/>
        <v>3204.807212342962</v>
      </c>
      <c r="W16" s="6">
        <f t="shared" si="0"/>
        <v>2359.8928399861561</v>
      </c>
      <c r="X16" s="6">
        <f t="shared" si="0"/>
        <v>255.54509776481268</v>
      </c>
      <c r="Y16" s="6">
        <f t="shared" si="0"/>
        <v>1191.1063861909197</v>
      </c>
      <c r="Z16" s="6">
        <f t="shared" si="0"/>
        <v>3170.2332273080128</v>
      </c>
      <c r="AA16" s="6">
        <f t="shared" si="0"/>
        <v>2329.5082826027474</v>
      </c>
      <c r="AB16" s="6">
        <f t="shared" si="0"/>
        <v>219.47083594714786</v>
      </c>
      <c r="AC16" s="6">
        <f t="shared" si="0"/>
        <v>1182.5824991845047</v>
      </c>
      <c r="AD16" s="6">
        <f t="shared" si="0"/>
        <v>3135.6312946429462</v>
      </c>
      <c r="AE16" s="6">
        <f t="shared" si="0"/>
        <v>2299.0746500107443</v>
      </c>
      <c r="AF16" s="6">
        <f t="shared" si="0"/>
        <v>199.55816217099482</v>
      </c>
      <c r="AG16" s="6">
        <f t="shared" si="0"/>
        <v>1157.71613842746</v>
      </c>
      <c r="AH16" s="6">
        <f t="shared" si="0"/>
        <v>3100.9975241468455</v>
      </c>
      <c r="AI16" s="6">
        <f t="shared" si="0"/>
        <v>2268.5881513856307</v>
      </c>
      <c r="AJ16" s="6">
        <f t="shared" si="0"/>
        <v>179.5407479852247</v>
      </c>
      <c r="AK16" s="6">
        <f t="shared" si="0"/>
        <v>1132.7664163421891</v>
      </c>
      <c r="AL16" s="6">
        <f t="shared" si="0"/>
        <v>3066.327963781755</v>
      </c>
      <c r="AM16" s="6">
        <f t="shared" si="0"/>
        <v>2238.0449334558452</v>
      </c>
      <c r="AN16" s="6">
        <f t="shared" si="0"/>
        <v>175.20663051795282</v>
      </c>
      <c r="AO16" s="6">
        <f t="shared" si="0"/>
        <v>1091.9379521318856</v>
      </c>
      <c r="AP16" s="6">
        <f t="shared" ref="AP16:BU16" si="1" xml:space="preserve"> $F11 * AP13 + -1 * $F10 * AP12 + AP14 + AP15</f>
        <v>3031.6185983442665</v>
      </c>
      <c r="AQ16" s="6">
        <f t="shared" si="1"/>
        <v>2207.4410791751011</v>
      </c>
      <c r="AR16" s="6">
        <f t="shared" si="1"/>
        <v>139.17729048744422</v>
      </c>
      <c r="AS16" s="6">
        <f t="shared" si="1"/>
        <v>1082.6017911092231</v>
      </c>
      <c r="AT16" s="6">
        <f t="shared" si="1"/>
        <v>2996.8653481107795</v>
      </c>
      <c r="AU16" s="6">
        <f t="shared" si="1"/>
        <v>2176.7726063682762</v>
      </c>
      <c r="AV16" s="6">
        <f t="shared" si="1"/>
        <v>118.82387959366497</v>
      </c>
      <c r="AW16" s="6">
        <f t="shared" si="1"/>
        <v>1057.3791745912417</v>
      </c>
      <c r="AX16" s="6">
        <f t="shared" si="1"/>
        <v>2962.0640674558335</v>
      </c>
      <c r="AY16" s="6">
        <f t="shared" si="1"/>
        <v>2146.0354663503745</v>
      </c>
      <c r="AZ16" s="6">
        <f t="shared" si="1"/>
        <v>98.350990410631312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997.16557094801556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30000</v>
      </c>
      <c r="DI16" s="6">
        <f t="shared" si="3"/>
        <v>550.06025187034493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152667.04122720836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-100000</v>
      </c>
      <c r="M18" s="7">
        <f t="shared" si="4"/>
        <v>0</v>
      </c>
      <c r="N18" s="7">
        <f t="shared" si="4"/>
        <v>3043.2382472826093</v>
      </c>
      <c r="O18" s="7">
        <f t="shared" si="4"/>
        <v>2420.5295879755431</v>
      </c>
      <c r="P18" s="7">
        <f t="shared" si="4"/>
        <v>278.61532604393051</v>
      </c>
      <c r="Q18" s="7">
        <f t="shared" si="4"/>
        <v>1256.71803994626</v>
      </c>
      <c r="R18" s="7">
        <f t="shared" si="4"/>
        <v>3239.357079414217</v>
      </c>
      <c r="S18" s="7">
        <f t="shared" si="4"/>
        <v>2390.2320518402594</v>
      </c>
      <c r="T18" s="7">
        <f t="shared" si="4"/>
        <v>258.99598855904014</v>
      </c>
      <c r="U18" s="7">
        <f t="shared" si="4"/>
        <v>1232.0798495086847</v>
      </c>
      <c r="V18" s="7">
        <f t="shared" si="4"/>
        <v>3204.807212342962</v>
      </c>
      <c r="W18" s="7">
        <f t="shared" si="4"/>
        <v>2359.8928399861561</v>
      </c>
      <c r="X18" s="7">
        <f t="shared" si="4"/>
        <v>255.54509776481268</v>
      </c>
      <c r="Y18" s="7">
        <f t="shared" si="4"/>
        <v>1191.1063861909197</v>
      </c>
      <c r="Z18" s="7">
        <f t="shared" si="4"/>
        <v>3170.2332273080128</v>
      </c>
      <c r="AA18" s="7">
        <f t="shared" si="4"/>
        <v>2329.5082826027474</v>
      </c>
      <c r="AB18" s="7">
        <f t="shared" si="4"/>
        <v>219.47083594714786</v>
      </c>
      <c r="AC18" s="7">
        <f t="shared" si="4"/>
        <v>1182.5824991845047</v>
      </c>
      <c r="AD18" s="7">
        <f t="shared" si="4"/>
        <v>3135.6312946429462</v>
      </c>
      <c r="AE18" s="7">
        <f t="shared" si="4"/>
        <v>2299.0746500107443</v>
      </c>
      <c r="AF18" s="7">
        <f t="shared" si="4"/>
        <v>199.55816217099482</v>
      </c>
      <c r="AG18" s="7">
        <f t="shared" si="4"/>
        <v>1157.71613842746</v>
      </c>
      <c r="AH18" s="7">
        <f t="shared" si="4"/>
        <v>3100.9975241468455</v>
      </c>
      <c r="AI18" s="7">
        <f t="shared" si="4"/>
        <v>2268.5881513856307</v>
      </c>
      <c r="AJ18" s="7">
        <f t="shared" si="4"/>
        <v>179.5407479852247</v>
      </c>
      <c r="AK18" s="7">
        <f t="shared" ref="AK18:BP18" si="5" xml:space="preserve"> AK$16</f>
        <v>1132.7664163421891</v>
      </c>
      <c r="AL18" s="7">
        <f t="shared" si="5"/>
        <v>3066.327963781755</v>
      </c>
      <c r="AM18" s="7">
        <f t="shared" si="5"/>
        <v>2238.0449334558452</v>
      </c>
      <c r="AN18" s="7">
        <f t="shared" si="5"/>
        <v>175.20663051795282</v>
      </c>
      <c r="AO18" s="7">
        <f t="shared" si="5"/>
        <v>1091.9379521318856</v>
      </c>
      <c r="AP18" s="7">
        <f t="shared" si="5"/>
        <v>3031.6185983442665</v>
      </c>
      <c r="AQ18" s="7">
        <f t="shared" si="5"/>
        <v>2207.4410791751011</v>
      </c>
      <c r="AR18" s="7">
        <f t="shared" si="5"/>
        <v>139.17729048744422</v>
      </c>
      <c r="AS18" s="7">
        <f t="shared" si="5"/>
        <v>1082.6017911092231</v>
      </c>
      <c r="AT18" s="7">
        <f t="shared" si="5"/>
        <v>2996.8653481107795</v>
      </c>
      <c r="AU18" s="7">
        <f t="shared" si="5"/>
        <v>2176.7726063682762</v>
      </c>
      <c r="AV18" s="7">
        <f t="shared" si="5"/>
        <v>118.82387959366497</v>
      </c>
      <c r="AW18" s="7">
        <f t="shared" si="5"/>
        <v>1057.3791745912417</v>
      </c>
      <c r="AX18" s="7">
        <f t="shared" si="5"/>
        <v>2962.0640674558335</v>
      </c>
      <c r="AY18" s="7">
        <f t="shared" si="5"/>
        <v>2146.0354663503745</v>
      </c>
      <c r="AZ18" s="7">
        <f t="shared" si="5"/>
        <v>98.350990410631312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997.16557094801556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30000</v>
      </c>
      <c r="DI18" s="7">
        <f t="shared" si="7"/>
        <v>550.06025187034493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235</v>
      </c>
      <c r="F20" s="494">
        <f xml:space="preserve"> XIRR(J18:EA18, J19:EA19)</f>
        <v>7.5917240977287304E-2</v>
      </c>
      <c r="G20" s="147" t="s">
        <v>163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27" activePane="bottomRight" state="frozen"/>
      <selection activeCell="E45" sqref="E45"/>
      <selection pane="topRight" activeCell="E45" sqref="E45"/>
      <selection pane="bottomLeft" activeCell="E45" sqref="E45"/>
      <selection pane="bottomRight" activeCell="M36" sqref="M3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 t="s">
        <v>259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222667.04122730848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3824.75</v>
      </c>
      <c r="N19" s="163">
        <f t="shared" si="8"/>
        <v>4295.7406250000004</v>
      </c>
      <c r="O19" s="163">
        <f t="shared" si="8"/>
        <v>1062.5343281249989</v>
      </c>
      <c r="P19" s="163">
        <f t="shared" si="8"/>
        <v>1060.6310622656251</v>
      </c>
      <c r="Q19" s="163">
        <f t="shared" si="8"/>
        <v>3791.2770487336711</v>
      </c>
      <c r="R19" s="163">
        <f t="shared" si="8"/>
        <v>4259.8770906937561</v>
      </c>
      <c r="S19" s="163">
        <f t="shared" si="8"/>
        <v>1042.7088144556815</v>
      </c>
      <c r="T19" s="163">
        <f t="shared" si="8"/>
        <v>1040.7671968364189</v>
      </c>
      <c r="U19" s="163">
        <f t="shared" si="8"/>
        <v>3757.7798200412162</v>
      </c>
      <c r="V19" s="163">
        <f t="shared" si="8"/>
        <v>4224.000218361738</v>
      </c>
      <c r="W19" s="163">
        <f t="shared" si="8"/>
        <v>1022.7892127952941</v>
      </c>
      <c r="X19" s="163">
        <f t="shared" si="8"/>
        <v>1020.8084706089812</v>
      </c>
      <c r="Y19" s="163">
        <f t="shared" si="8"/>
        <v>3724.2545897984583</v>
      </c>
      <c r="Z19" s="163">
        <f t="shared" si="8"/>
        <v>4188.1062102303531</v>
      </c>
      <c r="AA19" s="163">
        <f t="shared" si="8"/>
        <v>1002.7721077907047</v>
      </c>
      <c r="AB19" s="163">
        <f t="shared" si="8"/>
        <v>1000.7514526577284</v>
      </c>
      <c r="AC19" s="163">
        <f t="shared" si="8"/>
        <v>3690.6975749323938</v>
      </c>
      <c r="AD19" s="163">
        <f t="shared" si="8"/>
        <v>4152.191209556212</v>
      </c>
      <c r="AE19" s="163">
        <f t="shared" si="8"/>
        <v>982.65402282707737</v>
      </c>
      <c r="AF19" s="163">
        <f t="shared" si="8"/>
        <v>980.59265048158113</v>
      </c>
      <c r="AG19" s="163">
        <f t="shared" si="8"/>
        <v>3657.1049321532691</v>
      </c>
      <c r="AH19" s="163">
        <f t="shared" si="8"/>
        <v>4116.2512993505097</v>
      </c>
      <c r="AI19" s="163">
        <f t="shared" si="8"/>
        <v>962.43141875580363</v>
      </c>
      <c r="AJ19" s="163">
        <f t="shared" si="8"/>
        <v>960.32850872557128</v>
      </c>
      <c r="AK19" s="163">
        <f t="shared" si="8"/>
        <v>3623.4727566615193</v>
      </c>
      <c r="AL19" s="163">
        <f t="shared" si="8"/>
        <v>4080.2825010781335</v>
      </c>
      <c r="AM19" s="163">
        <f t="shared" si="8"/>
        <v>942.10069259699731</v>
      </c>
      <c r="AN19" s="163">
        <f t="shared" si="8"/>
        <v>939.95540787688628</v>
      </c>
      <c r="AO19" s="163">
        <f t="shared" si="8"/>
        <v>3589.7970808290256</v>
      </c>
      <c r="AP19" s="163">
        <f t="shared" ref="AP19:BU19" si="9" xml:space="preserve"> AP14 + SUM(AP16:AP18)</f>
        <v>4044.2807733309892</v>
      </c>
      <c r="AQ19" s="163">
        <f t="shared" si="9"/>
        <v>921.65817621602537</v>
      </c>
      <c r="AR19" s="163">
        <f t="shared" si="9"/>
        <v>919.46966293482092</v>
      </c>
      <c r="AS19" s="163">
        <f t="shared" si="9"/>
        <v>3556.0738728542283</v>
      </c>
      <c r="AT19" s="163">
        <f t="shared" si="9"/>
        <v>4008.2420104750345</v>
      </c>
      <c r="AU19" s="163">
        <f t="shared" si="9"/>
        <v>901.10013497355976</v>
      </c>
      <c r="AV19" s="163">
        <f t="shared" si="9"/>
        <v>898.86752205411403</v>
      </c>
      <c r="AW19" s="163">
        <f t="shared" si="9"/>
        <v>3522.2990353904879</v>
      </c>
      <c r="AX19" s="163">
        <f t="shared" si="9"/>
        <v>3972.1620412704606</v>
      </c>
      <c r="AY19" s="163">
        <f t="shared" si="9"/>
        <v>880.42276634860264</v>
      </c>
      <c r="AZ19" s="163">
        <f t="shared" si="9"/>
        <v>878.14516516112872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222667.04122730848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3824.75</v>
      </c>
      <c r="N22" s="163">
        <f t="shared" si="12"/>
        <v>4295.7406250000004</v>
      </c>
      <c r="O22" s="163">
        <f t="shared" si="12"/>
        <v>1062.5343281249989</v>
      </c>
      <c r="P22" s="163">
        <f t="shared" si="12"/>
        <v>1060.6310622656251</v>
      </c>
      <c r="Q22" s="163">
        <f t="shared" si="12"/>
        <v>3791.2770487336711</v>
      </c>
      <c r="R22" s="163">
        <f t="shared" si="12"/>
        <v>4259.8770906937561</v>
      </c>
      <c r="S22" s="163">
        <f t="shared" si="12"/>
        <v>1042.7088144556815</v>
      </c>
      <c r="T22" s="163">
        <f t="shared" si="12"/>
        <v>1040.7671968364189</v>
      </c>
      <c r="U22" s="163">
        <f t="shared" si="12"/>
        <v>3757.7798200412162</v>
      </c>
      <c r="V22" s="163">
        <f t="shared" si="12"/>
        <v>4224.000218361738</v>
      </c>
      <c r="W22" s="163">
        <f t="shared" si="12"/>
        <v>1022.7892127952941</v>
      </c>
      <c r="X22" s="163">
        <f t="shared" si="12"/>
        <v>1020.8084706089812</v>
      </c>
      <c r="Y22" s="163">
        <f t="shared" si="12"/>
        <v>3724.2545897984583</v>
      </c>
      <c r="Z22" s="163">
        <f t="shared" si="12"/>
        <v>4188.1062102303531</v>
      </c>
      <c r="AA22" s="163">
        <f t="shared" si="12"/>
        <v>1002.7721077907047</v>
      </c>
      <c r="AB22" s="163">
        <f t="shared" si="12"/>
        <v>1000.7514526577284</v>
      </c>
      <c r="AC22" s="163">
        <f t="shared" si="12"/>
        <v>3690.6975749323938</v>
      </c>
      <c r="AD22" s="163">
        <f t="shared" si="12"/>
        <v>4152.191209556212</v>
      </c>
      <c r="AE22" s="163">
        <f t="shared" si="12"/>
        <v>982.65402282707737</v>
      </c>
      <c r="AF22" s="163">
        <f t="shared" si="12"/>
        <v>980.59265048158113</v>
      </c>
      <c r="AG22" s="163">
        <f t="shared" si="12"/>
        <v>3657.1049321532691</v>
      </c>
      <c r="AH22" s="163">
        <f t="shared" si="12"/>
        <v>4116.2512993505097</v>
      </c>
      <c r="AI22" s="163">
        <f t="shared" si="12"/>
        <v>962.43141875580363</v>
      </c>
      <c r="AJ22" s="163">
        <f t="shared" si="12"/>
        <v>960.32850872557128</v>
      </c>
      <c r="AK22" s="163">
        <f t="shared" si="12"/>
        <v>3623.4727566615193</v>
      </c>
      <c r="AL22" s="163">
        <f t="shared" si="12"/>
        <v>4080.2825010781335</v>
      </c>
      <c r="AM22" s="163">
        <f t="shared" si="12"/>
        <v>942.10069259699731</v>
      </c>
      <c r="AN22" s="163">
        <f t="shared" si="12"/>
        <v>939.95540787688628</v>
      </c>
      <c r="AO22" s="163">
        <f t="shared" si="12"/>
        <v>3589.7970808290256</v>
      </c>
      <c r="AP22" s="163">
        <f t="shared" si="12"/>
        <v>4044.2807733309892</v>
      </c>
      <c r="AQ22" s="163">
        <f t="shared" si="12"/>
        <v>921.65817621602537</v>
      </c>
      <c r="AR22" s="163">
        <f t="shared" si="12"/>
        <v>919.46966293482092</v>
      </c>
      <c r="AS22" s="163">
        <f t="shared" si="12"/>
        <v>3556.0738728542283</v>
      </c>
      <c r="AT22" s="163">
        <f t="shared" si="12"/>
        <v>4008.2420104750345</v>
      </c>
      <c r="AU22" s="163">
        <f t="shared" si="12"/>
        <v>901.10013497355976</v>
      </c>
      <c r="AV22" s="163">
        <f t="shared" si="12"/>
        <v>898.86752205411403</v>
      </c>
      <c r="AW22" s="163">
        <f t="shared" si="12"/>
        <v>3522.2990353904879</v>
      </c>
      <c r="AX22" s="163">
        <f t="shared" si="12"/>
        <v>3972.1620412704606</v>
      </c>
      <c r="AY22" s="163">
        <f t="shared" si="12"/>
        <v>880.42276634860264</v>
      </c>
      <c r="AZ22" s="163">
        <f t="shared" si="12"/>
        <v>878.14516516112872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-222667.04122730848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-3043.2382472826093</v>
      </c>
      <c r="O24" s="191">
        <f xml:space="preserve"> Equity!O$70</f>
        <v>-2420.5295879755431</v>
      </c>
      <c r="P24" s="191">
        <f xml:space="preserve"> Equity!P$70</f>
        <v>-278.61532604393051</v>
      </c>
      <c r="Q24" s="191">
        <f xml:space="preserve"> Equity!Q$70</f>
        <v>-1256.71803994626</v>
      </c>
      <c r="R24" s="191">
        <f xml:space="preserve"> Equity!R$70</f>
        <v>-3239.357079414217</v>
      </c>
      <c r="S24" s="191">
        <f xml:space="preserve"> Equity!S$70</f>
        <v>-2390.2320518402594</v>
      </c>
      <c r="T24" s="191">
        <f xml:space="preserve"> Equity!T$70</f>
        <v>-258.99598855904014</v>
      </c>
      <c r="U24" s="191">
        <f xml:space="preserve"> Equity!U$70</f>
        <v>-1232.0798495086847</v>
      </c>
      <c r="V24" s="191">
        <f xml:space="preserve"> Equity!V$70</f>
        <v>-3204.807212342962</v>
      </c>
      <c r="W24" s="191">
        <f xml:space="preserve"> Equity!W$70</f>
        <v>-2359.8928399861561</v>
      </c>
      <c r="X24" s="191">
        <f xml:space="preserve"> Equity!X$70</f>
        <v>-255.54509776481268</v>
      </c>
      <c r="Y24" s="191">
        <f xml:space="preserve"> Equity!Y$70</f>
        <v>-1191.1063861909197</v>
      </c>
      <c r="Z24" s="191">
        <f xml:space="preserve"> Equity!Z$70</f>
        <v>-3170.2332273080128</v>
      </c>
      <c r="AA24" s="191">
        <f xml:space="preserve"> Equity!AA$70</f>
        <v>-2329.5082826027474</v>
      </c>
      <c r="AB24" s="191">
        <f xml:space="preserve"> Equity!AB$70</f>
        <v>-219.47083594714786</v>
      </c>
      <c r="AC24" s="191">
        <f xml:space="preserve"> Equity!AC$70</f>
        <v>-1182.5824991845047</v>
      </c>
      <c r="AD24" s="191">
        <f xml:space="preserve"> Equity!AD$70</f>
        <v>-3135.6312946429462</v>
      </c>
      <c r="AE24" s="191">
        <f xml:space="preserve"> Equity!AE$70</f>
        <v>-2299.0746500107443</v>
      </c>
      <c r="AF24" s="191">
        <f xml:space="preserve"> Equity!AF$70</f>
        <v>-199.55816217099482</v>
      </c>
      <c r="AG24" s="191">
        <f xml:space="preserve"> Equity!AG$70</f>
        <v>-1157.71613842746</v>
      </c>
      <c r="AH24" s="191">
        <f xml:space="preserve"> Equity!AH$70</f>
        <v>-3100.9975241468455</v>
      </c>
      <c r="AI24" s="191">
        <f xml:space="preserve"> Equity!AI$70</f>
        <v>-2268.5881513856307</v>
      </c>
      <c r="AJ24" s="191">
        <f xml:space="preserve"> Equity!AJ$70</f>
        <v>-179.5407479852247</v>
      </c>
      <c r="AK24" s="191">
        <f xml:space="preserve"> Equity!AK$70</f>
        <v>-1132.7664163421891</v>
      </c>
      <c r="AL24" s="191">
        <f xml:space="preserve"> Equity!AL$70</f>
        <v>-3066.327963781755</v>
      </c>
      <c r="AM24" s="191">
        <f xml:space="preserve"> Equity!AM$70</f>
        <v>-2238.0449334558452</v>
      </c>
      <c r="AN24" s="191">
        <f xml:space="preserve"> Equity!AN$70</f>
        <v>-175.20663051795282</v>
      </c>
      <c r="AO24" s="191">
        <f xml:space="preserve"> Equity!AO$70</f>
        <v>-1091.9379521318856</v>
      </c>
      <c r="AP24" s="191">
        <f xml:space="preserve"> Equity!AP$70</f>
        <v>-3031.6185983442665</v>
      </c>
      <c r="AQ24" s="191">
        <f xml:space="preserve"> Equity!AQ$70</f>
        <v>-2207.4410791751011</v>
      </c>
      <c r="AR24" s="191">
        <f xml:space="preserve"> Equity!AR$70</f>
        <v>-139.17729048744422</v>
      </c>
      <c r="AS24" s="191">
        <f xml:space="preserve"> Equity!AS$70</f>
        <v>-1082.6017911092231</v>
      </c>
      <c r="AT24" s="191">
        <f xml:space="preserve"> Equity!AT$70</f>
        <v>-2996.8653481107795</v>
      </c>
      <c r="AU24" s="191">
        <f xml:space="preserve"> Equity!AU$70</f>
        <v>-2176.7726063682762</v>
      </c>
      <c r="AV24" s="191">
        <f xml:space="preserve"> Equity!AV$70</f>
        <v>-118.82387959366497</v>
      </c>
      <c r="AW24" s="191">
        <f xml:space="preserve"> Equity!AW$70</f>
        <v>-1057.3791745912417</v>
      </c>
      <c r="AX24" s="191">
        <f xml:space="preserve"> Equity!AX$70</f>
        <v>-2962.0640674558335</v>
      </c>
      <c r="AY24" s="191">
        <f xml:space="preserve"> Equity!AY$70</f>
        <v>-2146.0354663503745</v>
      </c>
      <c r="AZ24" s="191">
        <f xml:space="preserve"> Equity!AZ$70</f>
        <v>-98.350990410631312</v>
      </c>
      <c r="BA24" s="191">
        <f xml:space="preserve"> Equity!BA$70</f>
        <v>-2782.0577672391714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-997.16557094801556</v>
      </c>
      <c r="CG24" s="191">
        <f xml:space="preserve"> Equity!CG$70</f>
        <v>-3215.2918151892882</v>
      </c>
      <c r="CH24" s="191">
        <f xml:space="preserve"> Equity!CH$70</f>
        <v>-3644.8654433561715</v>
      </c>
      <c r="CI24" s="191">
        <f xml:space="preserve"> Equity!CI$70</f>
        <v>-688.29384224823389</v>
      </c>
      <c r="CJ24" s="191">
        <f xml:space="preserve"> Equity!CJ$70</f>
        <v>-685.56828126386836</v>
      </c>
      <c r="CK24" s="191">
        <f xml:space="preserve"> Equity!CK$70</f>
        <v>-3180.759871906117</v>
      </c>
      <c r="CL24" s="191">
        <f xml:space="preserve"> Equity!CL$70</f>
        <v>-3608.1285161322512</v>
      </c>
      <c r="CM24" s="191">
        <f xml:space="preserve"> Equity!CM$70</f>
        <v>-666.19808575299317</v>
      </c>
      <c r="CN24" s="191">
        <f xml:space="preserve"> Equity!CN$70</f>
        <v>-663.41760335030904</v>
      </c>
      <c r="CO24" s="191">
        <f xml:space="preserve"> Equity!CO$70</f>
        <v>-3146.1264816515677</v>
      </c>
      <c r="CP24" s="191">
        <f xml:space="preserve"> Equity!CP$70</f>
        <v>-3571.2997457678875</v>
      </c>
      <c r="CQ24" s="191">
        <f xml:space="preserve"> Equity!CQ$70</f>
        <v>-643.93627140228091</v>
      </c>
      <c r="CR24" s="191">
        <f xml:space="preserve"> Equity!CR$70</f>
        <v>-641.0997608872035</v>
      </c>
      <c r="CS24" s="191">
        <f xml:space="preserve"> Equity!CS$70</f>
        <v>-3111.3866430593098</v>
      </c>
      <c r="CT24" s="191">
        <f xml:space="preserve"> Equity!CT$70</f>
        <v>-3534.3740555861114</v>
      </c>
      <c r="CU24" s="191">
        <f xml:space="preserve"> Equity!CU$70</f>
        <v>-621.50366407852198</v>
      </c>
      <c r="CV24" s="191">
        <f xml:space="preserve"> Equity!CV$70</f>
        <v>-618.60999645653737</v>
      </c>
      <c r="CW24" s="191">
        <f xml:space="preserve"> Equity!CW$70</f>
        <v>-3076.5352686952083</v>
      </c>
      <c r="CX24" s="191">
        <f xml:space="preserve"> Equity!CX$70</f>
        <v>-3497.3462826620735</v>
      </c>
      <c r="CY24" s="191">
        <f xml:space="preserve"> Equity!CY$70</f>
        <v>-598.89544015944239</v>
      </c>
      <c r="CZ24" s="191">
        <f xml:space="preserve"> Equity!CZ$70</f>
        <v>-595.94346368623292</v>
      </c>
      <c r="DA24" s="191">
        <f xml:space="preserve"> Equity!DA$70</f>
        <v>-3041.5671832498269</v>
      </c>
      <c r="DB24" s="191">
        <f xml:space="preserve"> Equity!DB$70</f>
        <v>-3460.2111760052694</v>
      </c>
      <c r="DC24" s="191">
        <f xml:space="preserve"> Equity!DC$70</f>
        <v>-576.10668570027906</v>
      </c>
      <c r="DD24" s="191">
        <f xml:space="preserve"> Equity!DD$70</f>
        <v>-573.09522542330069</v>
      </c>
      <c r="DE24" s="191">
        <f xml:space="preserve"> Equity!DE$70</f>
        <v>-3006.477121694857</v>
      </c>
      <c r="DF24" s="191">
        <f xml:space="preserve"> Equity!DF$70</f>
        <v>-3422.9633947055136</v>
      </c>
      <c r="DG24" s="191">
        <f xml:space="preserve"> Equity!DG$70</f>
        <v>-553.13239457952204</v>
      </c>
      <c r="DH24" s="191">
        <f xml:space="preserve"> Equity!DH$70</f>
        <v>0</v>
      </c>
      <c r="DI24" s="191">
        <f xml:space="preserve"> Equity!DI$70</f>
        <v>-550.06025187034493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230</v>
      </c>
      <c r="F25" s="163"/>
      <c r="G25" s="163" t="str">
        <f>SMU</f>
        <v>$ 000s</v>
      </c>
      <c r="H25" s="163">
        <f xml:space="preserve"> SUM(J25:EA25)</f>
        <v>-1.3642420526593924E-12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3824.75</v>
      </c>
      <c r="N25" s="163">
        <f t="shared" si="14"/>
        <v>1252.502377717391</v>
      </c>
      <c r="O25" s="163">
        <f t="shared" si="14"/>
        <v>-1357.9952598505442</v>
      </c>
      <c r="P25" s="163">
        <f t="shared" si="14"/>
        <v>782.01573622169462</v>
      </c>
      <c r="Q25" s="163">
        <f t="shared" si="14"/>
        <v>2534.5590087874111</v>
      </c>
      <c r="R25" s="163">
        <f t="shared" si="14"/>
        <v>1020.5200112795392</v>
      </c>
      <c r="S25" s="163">
        <f t="shared" si="14"/>
        <v>-1347.5232373845779</v>
      </c>
      <c r="T25" s="163">
        <f t="shared" si="14"/>
        <v>781.77120827737872</v>
      </c>
      <c r="U25" s="163">
        <f t="shared" si="14"/>
        <v>2525.6999705325316</v>
      </c>
      <c r="V25" s="163">
        <f t="shared" si="14"/>
        <v>1019.193006018776</v>
      </c>
      <c r="W25" s="163">
        <f t="shared" si="14"/>
        <v>-1337.103627190862</v>
      </c>
      <c r="X25" s="163">
        <f t="shared" si="14"/>
        <v>765.26337284416854</v>
      </c>
      <c r="Y25" s="163">
        <f t="shared" si="14"/>
        <v>2533.1482036075386</v>
      </c>
      <c r="Z25" s="163">
        <f t="shared" si="14"/>
        <v>1017.8729829223403</v>
      </c>
      <c r="AA25" s="163">
        <f t="shared" si="14"/>
        <v>-1326.7361748120427</v>
      </c>
      <c r="AB25" s="163">
        <f t="shared" si="14"/>
        <v>781.28061671058049</v>
      </c>
      <c r="AC25" s="163">
        <f t="shared" si="14"/>
        <v>2508.115075747889</v>
      </c>
      <c r="AD25" s="163">
        <f t="shared" si="14"/>
        <v>1016.5599149132659</v>
      </c>
      <c r="AE25" s="163">
        <f t="shared" si="14"/>
        <v>-1316.420627183667</v>
      </c>
      <c r="AF25" s="163">
        <f t="shared" si="14"/>
        <v>781.03448831058631</v>
      </c>
      <c r="AG25" s="163">
        <f t="shared" si="14"/>
        <v>2499.3887937258091</v>
      </c>
      <c r="AH25" s="163">
        <f t="shared" si="14"/>
        <v>1015.2537752036642</v>
      </c>
      <c r="AI25" s="163">
        <f t="shared" si="14"/>
        <v>-1306.156732629827</v>
      </c>
      <c r="AJ25" s="163">
        <f t="shared" si="14"/>
        <v>780.78776074034658</v>
      </c>
      <c r="AK25" s="163">
        <f t="shared" si="14"/>
        <v>2490.7063403193301</v>
      </c>
      <c r="AL25" s="163">
        <f t="shared" si="14"/>
        <v>1013.9545372963785</v>
      </c>
      <c r="AM25" s="163">
        <f t="shared" si="14"/>
        <v>-1295.9442408588479</v>
      </c>
      <c r="AN25" s="163">
        <f t="shared" si="14"/>
        <v>764.74877735893347</v>
      </c>
      <c r="AO25" s="163">
        <f t="shared" si="14"/>
        <v>2497.85912869714</v>
      </c>
      <c r="AP25" s="163">
        <f t="shared" si="14"/>
        <v>1012.6621749867227</v>
      </c>
      <c r="AQ25" s="163">
        <f t="shared" si="14"/>
        <v>-1285.7829029590757</v>
      </c>
      <c r="AR25" s="163">
        <f t="shared" si="14"/>
        <v>780.29237244737669</v>
      </c>
      <c r="AS25" s="163">
        <f t="shared" si="14"/>
        <v>2473.4720817450052</v>
      </c>
      <c r="AT25" s="163">
        <f t="shared" si="14"/>
        <v>1011.376662364255</v>
      </c>
      <c r="AU25" s="163">
        <f t="shared" si="14"/>
        <v>-1275.6724713947165</v>
      </c>
      <c r="AV25" s="163">
        <f t="shared" si="14"/>
        <v>780.04364246044906</v>
      </c>
      <c r="AW25" s="163">
        <f t="shared" si="14"/>
        <v>2464.9198607992462</v>
      </c>
      <c r="AX25" s="163">
        <f t="shared" si="14"/>
        <v>1010.097973814627</v>
      </c>
      <c r="AY25" s="163">
        <f t="shared" si="14"/>
        <v>-1265.6127000017718</v>
      </c>
      <c r="AZ25" s="163">
        <f t="shared" si="14"/>
        <v>779.7941747504974</v>
      </c>
      <c r="BA25" s="163">
        <f t="shared" si="14"/>
        <v>706.41063690806504</v>
      </c>
      <c r="BB25" s="163">
        <f t="shared" si="14"/>
        <v>-741.17391597853384</v>
      </c>
      <c r="BC25" s="163">
        <f t="shared" si="14"/>
        <v>-3005.6033439840294</v>
      </c>
      <c r="BD25" s="163">
        <f t="shared" si="14"/>
        <v>-985.77335655459683</v>
      </c>
      <c r="BE25" s="163">
        <f t="shared" si="14"/>
        <v>713.26149493852608</v>
      </c>
      <c r="BF25" s="163">
        <f t="shared" si="14"/>
        <v>-742.43903203166428</v>
      </c>
      <c r="BG25" s="163">
        <f t="shared" si="14"/>
        <v>-2995.6441599091504</v>
      </c>
      <c r="BH25" s="163">
        <f t="shared" si="14"/>
        <v>-970.70711898360628</v>
      </c>
      <c r="BI25" s="163">
        <f t="shared" si="14"/>
        <v>689.52036199356644</v>
      </c>
      <c r="BJ25" s="163">
        <f t="shared" si="14"/>
        <v>-743.69739905924416</v>
      </c>
      <c r="BK25" s="163">
        <f t="shared" si="14"/>
        <v>-2985.7349057048255</v>
      </c>
      <c r="BL25" s="163">
        <f t="shared" si="14"/>
        <v>-970.95901914901788</v>
      </c>
      <c r="BM25" s="163">
        <f t="shared" si="14"/>
        <v>681.13890482366742</v>
      </c>
      <c r="BN25" s="163">
        <f t="shared" si="14"/>
        <v>-744.94904147173384</v>
      </c>
      <c r="BO25" s="163">
        <f t="shared" si="14"/>
        <v>-2975.8753406550072</v>
      </c>
      <c r="BP25" s="163">
        <f t="shared" si="14"/>
        <v>-971.21180534636937</v>
      </c>
      <c r="BQ25" s="163">
        <f t="shared" si="14"/>
        <v>672.79963241065661</v>
      </c>
      <c r="BR25" s="163">
        <f t="shared" si="14"/>
        <v>-746.19398337343773</v>
      </c>
      <c r="BS25" s="163">
        <f t="shared" si="14"/>
        <v>-2966.0652253962171</v>
      </c>
      <c r="BT25" s="163">
        <f t="shared" si="14"/>
        <v>-986.30435059941806</v>
      </c>
      <c r="BU25" s="163">
        <f t="shared" si="14"/>
        <v>679.34117899714056</v>
      </c>
      <c r="BV25" s="163">
        <f t="shared" si="14"/>
        <v>-747.43224856028974</v>
      </c>
      <c r="BW25" s="163">
        <f t="shared" ref="BW25:EA25" si="15" xml:space="preserve"> BW22 + BW24</f>
        <v>-2956.3043219139508</v>
      </c>
      <c r="BX25" s="163">
        <f t="shared" si="15"/>
        <v>-971.72019130968602</v>
      </c>
      <c r="BY25" s="163">
        <f t="shared" si="15"/>
        <v>656.24684272014838</v>
      </c>
      <c r="BZ25" s="163">
        <f t="shared" si="15"/>
        <v>-748.66386051761037</v>
      </c>
      <c r="CA25" s="163">
        <f t="shared" si="15"/>
        <v>-2946.5923935391452</v>
      </c>
      <c r="CB25" s="163">
        <f t="shared" si="15"/>
        <v>-971.97587051644086</v>
      </c>
      <c r="CC25" s="163">
        <f t="shared" si="15"/>
        <v>648.03292885501241</v>
      </c>
      <c r="CD25" s="163">
        <f t="shared" si="15"/>
        <v>-749.8888424177685</v>
      </c>
      <c r="CE25" s="163">
        <f t="shared" si="15"/>
        <v>-2936.9292049447395</v>
      </c>
      <c r="CF25" s="163">
        <f t="shared" si="15"/>
        <v>-289.60910606525067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550.06025187035084</v>
      </c>
      <c r="DI25" s="163">
        <f t="shared" si="15"/>
        <v>-550.06025187034493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151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Debt!E$26</f>
        <v xml:space="preserve">Senior debt principal repayment </v>
      </c>
      <c r="F36" s="191">
        <f xml:space="preserve"> Debt!F$26</f>
        <v>0</v>
      </c>
      <c r="G36" s="191" t="str">
        <f xml:space="preserve"> Debt!G$26</f>
        <v>$ 000s</v>
      </c>
      <c r="H36" s="191">
        <f xml:space="preserve"> Debt!H$26</f>
        <v>-70000</v>
      </c>
      <c r="I36" s="191">
        <f xml:space="preserve"> Debt!I$26</f>
        <v>0</v>
      </c>
      <c r="J36" s="191">
        <f xml:space="preserve"> Debt!J$26</f>
        <v>0</v>
      </c>
      <c r="K36" s="191">
        <f xml:space="preserve"> Debt!K$26</f>
        <v>0</v>
      </c>
      <c r="L36" s="191">
        <f xml:space="preserve"> Debt!L$26</f>
        <v>0</v>
      </c>
      <c r="M36" s="191">
        <f xml:space="preserve"> Debt!M$26</f>
        <v>-1750</v>
      </c>
      <c r="N36" s="191">
        <f xml:space="preserve"> Debt!N$26</f>
        <v>-1750</v>
      </c>
      <c r="O36" s="191">
        <f xml:space="preserve"> Debt!O$26</f>
        <v>-1750</v>
      </c>
      <c r="P36" s="191">
        <f xml:space="preserve"> Debt!P$26</f>
        <v>-1750</v>
      </c>
      <c r="Q36" s="191">
        <f xml:space="preserve"> Debt!Q$26</f>
        <v>-1750</v>
      </c>
      <c r="R36" s="191">
        <f xml:space="preserve"> Debt!R$26</f>
        <v>-1750</v>
      </c>
      <c r="S36" s="191">
        <f xml:space="preserve"> Debt!S$26</f>
        <v>-1750</v>
      </c>
      <c r="T36" s="191">
        <f xml:space="preserve"> Debt!T$26</f>
        <v>-1750</v>
      </c>
      <c r="U36" s="191">
        <f xml:space="preserve"> Debt!U$26</f>
        <v>-1750</v>
      </c>
      <c r="V36" s="191">
        <f xml:space="preserve"> Debt!V$26</f>
        <v>-1750</v>
      </c>
      <c r="W36" s="191">
        <f xml:space="preserve"> Debt!W$26</f>
        <v>-1750</v>
      </c>
      <c r="X36" s="191">
        <f xml:space="preserve"> Debt!X$26</f>
        <v>-1750</v>
      </c>
      <c r="Y36" s="191">
        <f xml:space="preserve"> Debt!Y$26</f>
        <v>-1750</v>
      </c>
      <c r="Z36" s="191">
        <f xml:space="preserve"> Debt!Z$26</f>
        <v>-1750</v>
      </c>
      <c r="AA36" s="191">
        <f xml:space="preserve"> Debt!AA$26</f>
        <v>-1750</v>
      </c>
      <c r="AB36" s="191">
        <f xml:space="preserve"> Debt!AB$26</f>
        <v>-1750</v>
      </c>
      <c r="AC36" s="191">
        <f xml:space="preserve"> Debt!AC$26</f>
        <v>-1750</v>
      </c>
      <c r="AD36" s="191">
        <f xml:space="preserve"> Debt!AD$26</f>
        <v>-1750</v>
      </c>
      <c r="AE36" s="191">
        <f xml:space="preserve"> Debt!AE$26</f>
        <v>-1750</v>
      </c>
      <c r="AF36" s="191">
        <f xml:space="preserve"> Debt!AF$26</f>
        <v>-1750</v>
      </c>
      <c r="AG36" s="191">
        <f xml:space="preserve"> Debt!AG$26</f>
        <v>-1750</v>
      </c>
      <c r="AH36" s="191">
        <f xml:space="preserve"> Debt!AH$26</f>
        <v>-1750</v>
      </c>
      <c r="AI36" s="191">
        <f xml:space="preserve"> Debt!AI$26</f>
        <v>-1750</v>
      </c>
      <c r="AJ36" s="191">
        <f xml:space="preserve"> Debt!AJ$26</f>
        <v>-1750</v>
      </c>
      <c r="AK36" s="191">
        <f xml:space="preserve"> Debt!AK$26</f>
        <v>-1750</v>
      </c>
      <c r="AL36" s="191">
        <f xml:space="preserve"> Debt!AL$26</f>
        <v>-1750</v>
      </c>
      <c r="AM36" s="191">
        <f xml:space="preserve"> Debt!AM$26</f>
        <v>-1750</v>
      </c>
      <c r="AN36" s="191">
        <f xml:space="preserve"> Debt!AN$26</f>
        <v>-1750</v>
      </c>
      <c r="AO36" s="191">
        <f xml:space="preserve"> Debt!AO$26</f>
        <v>-1750</v>
      </c>
      <c r="AP36" s="191">
        <f xml:space="preserve"> Debt!AP$26</f>
        <v>-1750</v>
      </c>
      <c r="AQ36" s="191">
        <f xml:space="preserve"> Debt!AQ$26</f>
        <v>-1750</v>
      </c>
      <c r="AR36" s="191">
        <f xml:space="preserve"> Debt!AR$26</f>
        <v>-1750</v>
      </c>
      <c r="AS36" s="191">
        <f xml:space="preserve"> Debt!AS$26</f>
        <v>-1750</v>
      </c>
      <c r="AT36" s="191">
        <f xml:space="preserve"> Debt!AT$26</f>
        <v>-1750</v>
      </c>
      <c r="AU36" s="191">
        <f xml:space="preserve"> Debt!AU$26</f>
        <v>-1750</v>
      </c>
      <c r="AV36" s="191">
        <f xml:space="preserve"> Debt!AV$26</f>
        <v>-1750</v>
      </c>
      <c r="AW36" s="191">
        <f xml:space="preserve"> Debt!AW$26</f>
        <v>-1750</v>
      </c>
      <c r="AX36" s="191">
        <f xml:space="preserve"> Debt!AX$26</f>
        <v>-1750</v>
      </c>
      <c r="AY36" s="191">
        <f xml:space="preserve"> Debt!AY$26</f>
        <v>-1750</v>
      </c>
      <c r="AZ36" s="191">
        <f xml:space="preserve"> Debt!AZ$26</f>
        <v>-1750</v>
      </c>
      <c r="BA36" s="191">
        <f xml:space="preserve"> Debt!BA$26</f>
        <v>0</v>
      </c>
      <c r="BB36" s="191">
        <f xml:space="preserve"> Debt!BB$26</f>
        <v>0</v>
      </c>
      <c r="BC36" s="191">
        <f xml:space="preserve"> Debt!BC$26</f>
        <v>0</v>
      </c>
      <c r="BD36" s="191">
        <f xml:space="preserve"> Debt!BD$26</f>
        <v>0</v>
      </c>
      <c r="BE36" s="191">
        <f xml:space="preserve"> Debt!BE$26</f>
        <v>0</v>
      </c>
      <c r="BF36" s="191">
        <f xml:space="preserve"> Debt!BF$26</f>
        <v>0</v>
      </c>
      <c r="BG36" s="191">
        <f xml:space="preserve"> Debt!BG$26</f>
        <v>0</v>
      </c>
      <c r="BH36" s="191">
        <f xml:space="preserve"> Debt!BH$26</f>
        <v>0</v>
      </c>
      <c r="BI36" s="191">
        <f xml:space="preserve"> Debt!BI$26</f>
        <v>0</v>
      </c>
      <c r="BJ36" s="191">
        <f xml:space="preserve"> Debt!BJ$26</f>
        <v>0</v>
      </c>
      <c r="BK36" s="191">
        <f xml:space="preserve"> Debt!BK$26</f>
        <v>0</v>
      </c>
      <c r="BL36" s="191">
        <f xml:space="preserve"> Debt!BL$26</f>
        <v>0</v>
      </c>
      <c r="BM36" s="191">
        <f xml:space="preserve"> Debt!BM$26</f>
        <v>0</v>
      </c>
      <c r="BN36" s="191">
        <f xml:space="preserve"> Debt!BN$26</f>
        <v>0</v>
      </c>
      <c r="BO36" s="191">
        <f xml:space="preserve"> Debt!BO$26</f>
        <v>0</v>
      </c>
      <c r="BP36" s="191">
        <f xml:space="preserve"> Debt!BP$26</f>
        <v>0</v>
      </c>
      <c r="BQ36" s="191">
        <f xml:space="preserve"> Debt!BQ$26</f>
        <v>0</v>
      </c>
      <c r="BR36" s="191">
        <f xml:space="preserve"> Debt!BR$26</f>
        <v>0</v>
      </c>
      <c r="BS36" s="191">
        <f xml:space="preserve"> Debt!BS$26</f>
        <v>0</v>
      </c>
      <c r="BT36" s="191">
        <f xml:space="preserve"> Debt!BT$26</f>
        <v>0</v>
      </c>
      <c r="BU36" s="191">
        <f xml:space="preserve"> Debt!BU$26</f>
        <v>0</v>
      </c>
      <c r="BV36" s="191">
        <f xml:space="preserve"> Debt!BV$26</f>
        <v>0</v>
      </c>
      <c r="BW36" s="191">
        <f xml:space="preserve"> Debt!BW$26</f>
        <v>0</v>
      </c>
      <c r="BX36" s="191">
        <f xml:space="preserve"> Debt!BX$26</f>
        <v>0</v>
      </c>
      <c r="BY36" s="191">
        <f xml:space="preserve"> Debt!BY$26</f>
        <v>0</v>
      </c>
      <c r="BZ36" s="191">
        <f xml:space="preserve"> Debt!BZ$26</f>
        <v>0</v>
      </c>
      <c r="CA36" s="191">
        <f xml:space="preserve"> Debt!CA$26</f>
        <v>0</v>
      </c>
      <c r="CB36" s="191">
        <f xml:space="preserve"> Debt!CB$26</f>
        <v>0</v>
      </c>
      <c r="CC36" s="191">
        <f xml:space="preserve"> Debt!CC$26</f>
        <v>0</v>
      </c>
      <c r="CD36" s="191">
        <f xml:space="preserve"> Debt!CD$26</f>
        <v>0</v>
      </c>
      <c r="CE36" s="191">
        <f xml:space="preserve"> Debt!CE$26</f>
        <v>0</v>
      </c>
      <c r="CF36" s="191">
        <f xml:space="preserve"> Debt!CF$26</f>
        <v>0</v>
      </c>
      <c r="CG36" s="191">
        <f xml:space="preserve"> Debt!CG$26</f>
        <v>0</v>
      </c>
      <c r="CH36" s="191">
        <f xml:space="preserve"> Debt!CH$26</f>
        <v>0</v>
      </c>
      <c r="CI36" s="191">
        <f xml:space="preserve"> Debt!CI$26</f>
        <v>0</v>
      </c>
      <c r="CJ36" s="191">
        <f xml:space="preserve"> Debt!CJ$26</f>
        <v>0</v>
      </c>
      <c r="CK36" s="191">
        <f xml:space="preserve"> Debt!CK$26</f>
        <v>0</v>
      </c>
      <c r="CL36" s="191">
        <f xml:space="preserve"> Debt!CL$26</f>
        <v>0</v>
      </c>
      <c r="CM36" s="191">
        <f xml:space="preserve"> Debt!CM$26</f>
        <v>0</v>
      </c>
      <c r="CN36" s="191">
        <f xml:space="preserve"> Debt!CN$26</f>
        <v>0</v>
      </c>
      <c r="CO36" s="191">
        <f xml:space="preserve"> Debt!CO$26</f>
        <v>0</v>
      </c>
      <c r="CP36" s="191">
        <f xml:space="preserve"> Debt!CP$26</f>
        <v>0</v>
      </c>
      <c r="CQ36" s="191">
        <f xml:space="preserve"> Debt!CQ$26</f>
        <v>0</v>
      </c>
      <c r="CR36" s="191">
        <f xml:space="preserve"> Debt!CR$26</f>
        <v>0</v>
      </c>
      <c r="CS36" s="191">
        <f xml:space="preserve"> Debt!CS$26</f>
        <v>0</v>
      </c>
      <c r="CT36" s="191">
        <f xml:space="preserve"> Debt!CT$26</f>
        <v>0</v>
      </c>
      <c r="CU36" s="191">
        <f xml:space="preserve"> Debt!CU$26</f>
        <v>0</v>
      </c>
      <c r="CV36" s="191">
        <f xml:space="preserve"> Debt!CV$26</f>
        <v>0</v>
      </c>
      <c r="CW36" s="191">
        <f xml:space="preserve"> Debt!CW$26</f>
        <v>0</v>
      </c>
      <c r="CX36" s="191">
        <f xml:space="preserve"> Debt!CX$26</f>
        <v>0</v>
      </c>
      <c r="CY36" s="191">
        <f xml:space="preserve"> Debt!CY$26</f>
        <v>0</v>
      </c>
      <c r="CZ36" s="191">
        <f xml:space="preserve"> Debt!CZ$26</f>
        <v>0</v>
      </c>
      <c r="DA36" s="191">
        <f xml:space="preserve"> Debt!DA$26</f>
        <v>0</v>
      </c>
      <c r="DB36" s="191">
        <f xml:space="preserve"> Debt!DB$26</f>
        <v>0</v>
      </c>
      <c r="DC36" s="191">
        <f xml:space="preserve"> Debt!DC$26</f>
        <v>0</v>
      </c>
      <c r="DD36" s="191">
        <f xml:space="preserve"> Debt!DD$26</f>
        <v>0</v>
      </c>
      <c r="DE36" s="191">
        <f xml:space="preserve"> Debt!DE$26</f>
        <v>0</v>
      </c>
      <c r="DF36" s="191">
        <f xml:space="preserve"> Debt!DF$26</f>
        <v>0</v>
      </c>
      <c r="DG36" s="191">
        <f xml:space="preserve"> Debt!DG$26</f>
        <v>0</v>
      </c>
      <c r="DH36" s="191">
        <f xml:space="preserve"> Debt!DH$26</f>
        <v>0</v>
      </c>
      <c r="DI36" s="191">
        <f xml:space="preserve"> Debt!DI$26</f>
        <v>0</v>
      </c>
      <c r="DJ36" s="191">
        <f xml:space="preserve"> Debt!DJ$26</f>
        <v>0</v>
      </c>
      <c r="DK36" s="191">
        <f xml:space="preserve"> Debt!DK$26</f>
        <v>0</v>
      </c>
      <c r="DL36" s="191">
        <f xml:space="preserve"> Debt!DL$26</f>
        <v>0</v>
      </c>
      <c r="DM36" s="191">
        <f xml:space="preserve"> Debt!DM$26</f>
        <v>0</v>
      </c>
      <c r="DN36" s="191">
        <f xml:space="preserve"> Debt!DN$26</f>
        <v>0</v>
      </c>
      <c r="DO36" s="191">
        <f xml:space="preserve"> Debt!DO$26</f>
        <v>0</v>
      </c>
      <c r="DP36" s="191">
        <f xml:space="preserve"> Debt!DP$26</f>
        <v>0</v>
      </c>
      <c r="DQ36" s="191">
        <f xml:space="preserve"> Debt!DQ$26</f>
        <v>0</v>
      </c>
      <c r="DR36" s="191">
        <f xml:space="preserve"> Debt!DR$26</f>
        <v>0</v>
      </c>
      <c r="DS36" s="191">
        <f xml:space="preserve"> Debt!DS$26</f>
        <v>0</v>
      </c>
      <c r="DT36" s="191">
        <f xml:space="preserve"> Debt!DT$26</f>
        <v>0</v>
      </c>
      <c r="DU36" s="191">
        <f xml:space="preserve"> Debt!DU$26</f>
        <v>0</v>
      </c>
      <c r="DV36" s="191">
        <f xml:space="preserve"> Debt!DV$26</f>
        <v>0</v>
      </c>
      <c r="DW36" s="191">
        <f xml:space="preserve"> Debt!DW$26</f>
        <v>0</v>
      </c>
      <c r="DX36" s="191">
        <f xml:space="preserve"> Debt!DX$26</f>
        <v>0</v>
      </c>
      <c r="DY36" s="191">
        <f xml:space="preserve"> Debt!DY$26</f>
        <v>0</v>
      </c>
      <c r="DZ36" s="191">
        <f xml:space="preserve"> Debt!DZ$26</f>
        <v>0</v>
      </c>
      <c r="EA36" s="191">
        <f xml:space="preserve"> Debt!EA$26</f>
        <v>0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252667.04122730828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-230.64835164835131</v>
      </c>
      <c r="N37" s="163">
        <f t="shared" si="20"/>
        <v>3273.8865989309606</v>
      </c>
      <c r="O37" s="163">
        <f t="shared" si="20"/>
        <v>2420.5295879755431</v>
      </c>
      <c r="P37" s="163">
        <f t="shared" si="20"/>
        <v>278.61532604393051</v>
      </c>
      <c r="Q37" s="163">
        <f t="shared" si="20"/>
        <v>1256.71803994626</v>
      </c>
      <c r="R37" s="163">
        <f t="shared" si="20"/>
        <v>3239.357079414217</v>
      </c>
      <c r="S37" s="163">
        <f t="shared" si="20"/>
        <v>2390.2320518402594</v>
      </c>
      <c r="T37" s="163">
        <f t="shared" si="20"/>
        <v>258.99598855904014</v>
      </c>
      <c r="U37" s="163">
        <f t="shared" si="20"/>
        <v>1232.0798495086847</v>
      </c>
      <c r="V37" s="163">
        <f t="shared" si="20"/>
        <v>3204.807212342962</v>
      </c>
      <c r="W37" s="163">
        <f t="shared" si="20"/>
        <v>2359.8928399861561</v>
      </c>
      <c r="X37" s="163">
        <f t="shared" si="20"/>
        <v>255.54509776481268</v>
      </c>
      <c r="Y37" s="163">
        <f t="shared" si="20"/>
        <v>1191.1063861909197</v>
      </c>
      <c r="Z37" s="163">
        <f t="shared" si="20"/>
        <v>3170.2332273080128</v>
      </c>
      <c r="AA37" s="163">
        <f t="shared" si="20"/>
        <v>2329.5082826027474</v>
      </c>
      <c r="AB37" s="163">
        <f t="shared" si="20"/>
        <v>219.47083594714786</v>
      </c>
      <c r="AC37" s="163">
        <f t="shared" si="20"/>
        <v>1182.5824991845047</v>
      </c>
      <c r="AD37" s="163">
        <f t="shared" si="20"/>
        <v>3135.6312946429462</v>
      </c>
      <c r="AE37" s="163">
        <f t="shared" si="20"/>
        <v>2299.0746500107443</v>
      </c>
      <c r="AF37" s="163">
        <f t="shared" si="20"/>
        <v>199.55816217099482</v>
      </c>
      <c r="AG37" s="163">
        <f t="shared" si="20"/>
        <v>1157.71613842746</v>
      </c>
      <c r="AH37" s="163">
        <f t="shared" si="20"/>
        <v>3100.9975241468455</v>
      </c>
      <c r="AI37" s="163">
        <f t="shared" si="20"/>
        <v>2268.5881513856307</v>
      </c>
      <c r="AJ37" s="163">
        <f t="shared" si="20"/>
        <v>179.5407479852247</v>
      </c>
      <c r="AK37" s="163">
        <f t="shared" si="20"/>
        <v>1132.7664163421891</v>
      </c>
      <c r="AL37" s="163">
        <f t="shared" si="20"/>
        <v>3066.327963781755</v>
      </c>
      <c r="AM37" s="163">
        <f t="shared" si="20"/>
        <v>2238.0449334558452</v>
      </c>
      <c r="AN37" s="163">
        <f t="shared" si="20"/>
        <v>175.20663051795282</v>
      </c>
      <c r="AO37" s="163">
        <f t="shared" si="20"/>
        <v>1091.9379521318856</v>
      </c>
      <c r="AP37" s="163">
        <f t="shared" ref="AP37:BU37" si="21" xml:space="preserve"> AP33 + SUM(AP35:AP36)</f>
        <v>3031.6185983442665</v>
      </c>
      <c r="AQ37" s="163">
        <f t="shared" si="21"/>
        <v>2207.4410791751011</v>
      </c>
      <c r="AR37" s="163">
        <f t="shared" si="21"/>
        <v>139.17729048744422</v>
      </c>
      <c r="AS37" s="163">
        <f t="shared" si="21"/>
        <v>1082.6017911092231</v>
      </c>
      <c r="AT37" s="163">
        <f t="shared" si="21"/>
        <v>2996.8653481107795</v>
      </c>
      <c r="AU37" s="163">
        <f t="shared" si="21"/>
        <v>2176.7726063682762</v>
      </c>
      <c r="AV37" s="163">
        <f t="shared" si="21"/>
        <v>118.82387959366497</v>
      </c>
      <c r="AW37" s="163">
        <f t="shared" si="21"/>
        <v>1057.3791745912417</v>
      </c>
      <c r="AX37" s="163">
        <f t="shared" si="21"/>
        <v>2962.0640674558335</v>
      </c>
      <c r="AY37" s="163">
        <f t="shared" si="21"/>
        <v>2146.0354663503745</v>
      </c>
      <c r="AZ37" s="163">
        <f t="shared" si="21"/>
        <v>98.350990410631312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132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133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252667.04122730828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-230.64835164835131</v>
      </c>
      <c r="N42" s="163">
        <f t="shared" si="24"/>
        <v>3273.8865989309606</v>
      </c>
      <c r="O42" s="163">
        <f t="shared" si="24"/>
        <v>2420.5295879755431</v>
      </c>
      <c r="P42" s="163">
        <f t="shared" si="24"/>
        <v>278.61532604393051</v>
      </c>
      <c r="Q42" s="163">
        <f t="shared" si="24"/>
        <v>1256.71803994626</v>
      </c>
      <c r="R42" s="163">
        <f t="shared" si="24"/>
        <v>3239.357079414217</v>
      </c>
      <c r="S42" s="163">
        <f t="shared" si="24"/>
        <v>2390.2320518402594</v>
      </c>
      <c r="T42" s="163">
        <f t="shared" si="24"/>
        <v>258.99598855904014</v>
      </c>
      <c r="U42" s="163">
        <f t="shared" si="24"/>
        <v>1232.0798495086847</v>
      </c>
      <c r="V42" s="163">
        <f t="shared" si="24"/>
        <v>3204.807212342962</v>
      </c>
      <c r="W42" s="163">
        <f t="shared" si="24"/>
        <v>2359.8928399861561</v>
      </c>
      <c r="X42" s="163">
        <f t="shared" si="24"/>
        <v>255.54509776481268</v>
      </c>
      <c r="Y42" s="163">
        <f t="shared" si="24"/>
        <v>1191.1063861909197</v>
      </c>
      <c r="Z42" s="163">
        <f t="shared" si="24"/>
        <v>3170.2332273080128</v>
      </c>
      <c r="AA42" s="163">
        <f t="shared" si="24"/>
        <v>2329.5082826027474</v>
      </c>
      <c r="AB42" s="163">
        <f t="shared" si="24"/>
        <v>219.47083594714786</v>
      </c>
      <c r="AC42" s="163">
        <f t="shared" si="24"/>
        <v>1182.5824991845047</v>
      </c>
      <c r="AD42" s="163">
        <f t="shared" si="24"/>
        <v>3135.6312946429462</v>
      </c>
      <c r="AE42" s="163">
        <f t="shared" si="24"/>
        <v>2299.0746500107443</v>
      </c>
      <c r="AF42" s="163">
        <f t="shared" si="24"/>
        <v>199.55816217099482</v>
      </c>
      <c r="AG42" s="163">
        <f t="shared" si="24"/>
        <v>1157.71613842746</v>
      </c>
      <c r="AH42" s="163">
        <f t="shared" si="24"/>
        <v>3100.9975241468455</v>
      </c>
      <c r="AI42" s="163">
        <f t="shared" si="24"/>
        <v>2268.5881513856307</v>
      </c>
      <c r="AJ42" s="163">
        <f t="shared" si="24"/>
        <v>179.5407479852247</v>
      </c>
      <c r="AK42" s="163">
        <f t="shared" si="24"/>
        <v>1132.7664163421891</v>
      </c>
      <c r="AL42" s="163">
        <f t="shared" si="24"/>
        <v>3066.327963781755</v>
      </c>
      <c r="AM42" s="163">
        <f t="shared" si="24"/>
        <v>2238.0449334558452</v>
      </c>
      <c r="AN42" s="163">
        <f t="shared" si="24"/>
        <v>175.20663051795282</v>
      </c>
      <c r="AO42" s="163">
        <f t="shared" si="24"/>
        <v>1091.9379521318856</v>
      </c>
      <c r="AP42" s="163">
        <f t="shared" ref="AP42:BU42" si="25" xml:space="preserve"> AP37 + SUM(AP39:AP41)</f>
        <v>3031.6185983442665</v>
      </c>
      <c r="AQ42" s="163">
        <f t="shared" si="25"/>
        <v>2207.4410791751011</v>
      </c>
      <c r="AR42" s="163">
        <f t="shared" si="25"/>
        <v>139.17729048744422</v>
      </c>
      <c r="AS42" s="163">
        <f t="shared" si="25"/>
        <v>1082.6017911092231</v>
      </c>
      <c r="AT42" s="163">
        <f t="shared" si="25"/>
        <v>2996.8653481107795</v>
      </c>
      <c r="AU42" s="163">
        <f t="shared" si="25"/>
        <v>2176.7726063682762</v>
      </c>
      <c r="AV42" s="163">
        <f t="shared" si="25"/>
        <v>118.82387959366497</v>
      </c>
      <c r="AW42" s="163">
        <f t="shared" si="25"/>
        <v>1057.3791745912417</v>
      </c>
      <c r="AX42" s="163">
        <f t="shared" si="25"/>
        <v>2962.0640674558335</v>
      </c>
      <c r="AY42" s="163">
        <f t="shared" si="25"/>
        <v>2146.0354663503745</v>
      </c>
      <c r="AZ42" s="163">
        <f t="shared" si="25"/>
        <v>98.350990410631312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134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135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136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257</v>
      </c>
      <c r="F47" s="163"/>
      <c r="G47" s="163" t="str">
        <f xml:space="preserve"> SMU</f>
        <v>$ 000s</v>
      </c>
      <c r="H47" s="163">
        <f xml:space="preserve"> SUM(J47:EA47)</f>
        <v>252667.04122730828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-230.64835164835131</v>
      </c>
      <c r="N47" s="163">
        <f t="shared" si="28"/>
        <v>3273.8865989309606</v>
      </c>
      <c r="O47" s="163">
        <f t="shared" si="28"/>
        <v>2420.5295879755431</v>
      </c>
      <c r="P47" s="163">
        <f t="shared" si="28"/>
        <v>278.61532604393051</v>
      </c>
      <c r="Q47" s="163">
        <f t="shared" si="28"/>
        <v>1256.71803994626</v>
      </c>
      <c r="R47" s="163">
        <f t="shared" si="28"/>
        <v>3239.357079414217</v>
      </c>
      <c r="S47" s="163">
        <f t="shared" si="28"/>
        <v>2390.2320518402594</v>
      </c>
      <c r="T47" s="163">
        <f t="shared" si="28"/>
        <v>258.99598855904014</v>
      </c>
      <c r="U47" s="163">
        <f t="shared" si="28"/>
        <v>1232.0798495086847</v>
      </c>
      <c r="V47" s="163">
        <f t="shared" si="28"/>
        <v>3204.807212342962</v>
      </c>
      <c r="W47" s="163">
        <f t="shared" si="28"/>
        <v>2359.8928399861561</v>
      </c>
      <c r="X47" s="163">
        <f t="shared" si="28"/>
        <v>255.54509776481268</v>
      </c>
      <c r="Y47" s="163">
        <f t="shared" si="28"/>
        <v>1191.1063861909197</v>
      </c>
      <c r="Z47" s="163">
        <f t="shared" si="28"/>
        <v>3170.2332273080128</v>
      </c>
      <c r="AA47" s="163">
        <f t="shared" si="28"/>
        <v>2329.5082826027474</v>
      </c>
      <c r="AB47" s="163">
        <f t="shared" si="28"/>
        <v>219.47083594714786</v>
      </c>
      <c r="AC47" s="163">
        <f t="shared" si="28"/>
        <v>1182.5824991845047</v>
      </c>
      <c r="AD47" s="163">
        <f t="shared" si="28"/>
        <v>3135.6312946429462</v>
      </c>
      <c r="AE47" s="163">
        <f t="shared" si="28"/>
        <v>2299.0746500107443</v>
      </c>
      <c r="AF47" s="163">
        <f t="shared" si="28"/>
        <v>199.55816217099482</v>
      </c>
      <c r="AG47" s="163">
        <f t="shared" si="28"/>
        <v>1157.71613842746</v>
      </c>
      <c r="AH47" s="163">
        <f t="shared" si="28"/>
        <v>3100.9975241468455</v>
      </c>
      <c r="AI47" s="163">
        <f t="shared" si="28"/>
        <v>2268.5881513856307</v>
      </c>
      <c r="AJ47" s="163">
        <f t="shared" si="28"/>
        <v>179.5407479852247</v>
      </c>
      <c r="AK47" s="163">
        <f t="shared" si="28"/>
        <v>1132.7664163421891</v>
      </c>
      <c r="AL47" s="163">
        <f t="shared" si="28"/>
        <v>3066.327963781755</v>
      </c>
      <c r="AM47" s="163">
        <f t="shared" si="28"/>
        <v>2238.0449334558452</v>
      </c>
      <c r="AN47" s="163">
        <f t="shared" si="28"/>
        <v>175.20663051795282</v>
      </c>
      <c r="AO47" s="163">
        <f t="shared" si="28"/>
        <v>1091.9379521318856</v>
      </c>
      <c r="AP47" s="163">
        <f t="shared" ref="AP47:BU47" si="29" xml:space="preserve"> AP42 + SUM(AP44:AP46)</f>
        <v>3031.6185983442665</v>
      </c>
      <c r="AQ47" s="163">
        <f t="shared" si="29"/>
        <v>2207.4410791751011</v>
      </c>
      <c r="AR47" s="163">
        <f t="shared" si="29"/>
        <v>139.17729048744422</v>
      </c>
      <c r="AS47" s="163">
        <f t="shared" si="29"/>
        <v>1082.6017911092231</v>
      </c>
      <c r="AT47" s="163">
        <f t="shared" si="29"/>
        <v>2996.8653481107795</v>
      </c>
      <c r="AU47" s="163">
        <f t="shared" si="29"/>
        <v>2176.7726063682762</v>
      </c>
      <c r="AV47" s="163">
        <f t="shared" si="29"/>
        <v>118.82387959366497</v>
      </c>
      <c r="AW47" s="163">
        <f t="shared" si="29"/>
        <v>1057.3791745912417</v>
      </c>
      <c r="AX47" s="163">
        <f t="shared" si="29"/>
        <v>2962.0640674558335</v>
      </c>
      <c r="AY47" s="163">
        <f t="shared" si="29"/>
        <v>2146.0354663503745</v>
      </c>
      <c r="AZ47" s="163">
        <f t="shared" si="29"/>
        <v>98.350990410631312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222667.04122730828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-230.64835164835131</v>
      </c>
      <c r="N50" s="163">
        <f t="shared" si="32"/>
        <v>3273.8865989309606</v>
      </c>
      <c r="O50" s="163">
        <f t="shared" si="32"/>
        <v>2420.5295879755431</v>
      </c>
      <c r="P50" s="163">
        <f t="shared" si="32"/>
        <v>278.61532604393051</v>
      </c>
      <c r="Q50" s="163">
        <f t="shared" si="32"/>
        <v>1256.71803994626</v>
      </c>
      <c r="R50" s="163">
        <f t="shared" si="32"/>
        <v>3239.357079414217</v>
      </c>
      <c r="S50" s="163">
        <f t="shared" si="32"/>
        <v>2390.2320518402594</v>
      </c>
      <c r="T50" s="163">
        <f t="shared" si="32"/>
        <v>258.99598855904014</v>
      </c>
      <c r="U50" s="163">
        <f t="shared" si="32"/>
        <v>1232.0798495086847</v>
      </c>
      <c r="V50" s="163">
        <f t="shared" si="32"/>
        <v>3204.807212342962</v>
      </c>
      <c r="W50" s="163">
        <f t="shared" si="32"/>
        <v>2359.8928399861561</v>
      </c>
      <c r="X50" s="163">
        <f t="shared" si="32"/>
        <v>255.54509776481268</v>
      </c>
      <c r="Y50" s="163">
        <f t="shared" si="32"/>
        <v>1191.1063861909197</v>
      </c>
      <c r="Z50" s="163">
        <f t="shared" si="32"/>
        <v>3170.2332273080128</v>
      </c>
      <c r="AA50" s="163">
        <f t="shared" si="32"/>
        <v>2329.5082826027474</v>
      </c>
      <c r="AB50" s="163">
        <f t="shared" si="32"/>
        <v>219.47083594714786</v>
      </c>
      <c r="AC50" s="163">
        <f t="shared" si="32"/>
        <v>1182.5824991845047</v>
      </c>
      <c r="AD50" s="163">
        <f t="shared" si="32"/>
        <v>3135.6312946429462</v>
      </c>
      <c r="AE50" s="163">
        <f t="shared" si="32"/>
        <v>2299.0746500107443</v>
      </c>
      <c r="AF50" s="163">
        <f t="shared" si="32"/>
        <v>199.55816217099482</v>
      </c>
      <c r="AG50" s="163">
        <f t="shared" si="32"/>
        <v>1157.71613842746</v>
      </c>
      <c r="AH50" s="163">
        <f t="shared" si="32"/>
        <v>3100.9975241468455</v>
      </c>
      <c r="AI50" s="163">
        <f t="shared" si="32"/>
        <v>2268.5881513856307</v>
      </c>
      <c r="AJ50" s="163">
        <f t="shared" si="32"/>
        <v>179.5407479852247</v>
      </c>
      <c r="AK50" s="163">
        <f t="shared" si="32"/>
        <v>1132.7664163421891</v>
      </c>
      <c r="AL50" s="163">
        <f t="shared" si="32"/>
        <v>3066.327963781755</v>
      </c>
      <c r="AM50" s="163">
        <f t="shared" si="32"/>
        <v>2238.0449334558452</v>
      </c>
      <c r="AN50" s="163">
        <f t="shared" si="32"/>
        <v>175.20663051795282</v>
      </c>
      <c r="AO50" s="163">
        <f t="shared" si="32"/>
        <v>1091.9379521318856</v>
      </c>
      <c r="AP50" s="163">
        <f t="shared" ref="AP50:BU50" si="33" xml:space="preserve"> AP47 + AP49</f>
        <v>3031.6185983442665</v>
      </c>
      <c r="AQ50" s="163">
        <f t="shared" si="33"/>
        <v>2207.4410791751011</v>
      </c>
      <c r="AR50" s="163">
        <f t="shared" si="33"/>
        <v>139.17729048744422</v>
      </c>
      <c r="AS50" s="163">
        <f t="shared" si="33"/>
        <v>1082.6017911092231</v>
      </c>
      <c r="AT50" s="163">
        <f t="shared" si="33"/>
        <v>2996.8653481107795</v>
      </c>
      <c r="AU50" s="163">
        <f t="shared" si="33"/>
        <v>2176.7726063682762</v>
      </c>
      <c r="AV50" s="163">
        <f t="shared" si="33"/>
        <v>118.82387959366497</v>
      </c>
      <c r="AW50" s="163">
        <f t="shared" si="33"/>
        <v>1057.3791745912417</v>
      </c>
      <c r="AX50" s="163">
        <f t="shared" si="33"/>
        <v>2962.0640674558335</v>
      </c>
      <c r="AY50" s="163">
        <f t="shared" si="33"/>
        <v>2146.0354663503745</v>
      </c>
      <c r="AZ50" s="163">
        <f t="shared" si="33"/>
        <v>98.350990410631312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-222667.04122730848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-3043.2382472826093</v>
      </c>
      <c r="O52" s="191">
        <f xml:space="preserve"> Equity!O$70</f>
        <v>-2420.5295879755431</v>
      </c>
      <c r="P52" s="191">
        <f xml:space="preserve"> Equity!P$70</f>
        <v>-278.61532604393051</v>
      </c>
      <c r="Q52" s="191">
        <f xml:space="preserve"> Equity!Q$70</f>
        <v>-1256.71803994626</v>
      </c>
      <c r="R52" s="191">
        <f xml:space="preserve"> Equity!R$70</f>
        <v>-3239.357079414217</v>
      </c>
      <c r="S52" s="191">
        <f xml:space="preserve"> Equity!S$70</f>
        <v>-2390.2320518402594</v>
      </c>
      <c r="T52" s="191">
        <f xml:space="preserve"> Equity!T$70</f>
        <v>-258.99598855904014</v>
      </c>
      <c r="U52" s="191">
        <f xml:space="preserve"> Equity!U$70</f>
        <v>-1232.0798495086847</v>
      </c>
      <c r="V52" s="191">
        <f xml:space="preserve"> Equity!V$70</f>
        <v>-3204.807212342962</v>
      </c>
      <c r="W52" s="191">
        <f xml:space="preserve"> Equity!W$70</f>
        <v>-2359.8928399861561</v>
      </c>
      <c r="X52" s="191">
        <f xml:space="preserve"> Equity!X$70</f>
        <v>-255.54509776481268</v>
      </c>
      <c r="Y52" s="191">
        <f xml:space="preserve"> Equity!Y$70</f>
        <v>-1191.1063861909197</v>
      </c>
      <c r="Z52" s="191">
        <f xml:space="preserve"> Equity!Z$70</f>
        <v>-3170.2332273080128</v>
      </c>
      <c r="AA52" s="191">
        <f xml:space="preserve"> Equity!AA$70</f>
        <v>-2329.5082826027474</v>
      </c>
      <c r="AB52" s="191">
        <f xml:space="preserve"> Equity!AB$70</f>
        <v>-219.47083594714786</v>
      </c>
      <c r="AC52" s="191">
        <f xml:space="preserve"> Equity!AC$70</f>
        <v>-1182.5824991845047</v>
      </c>
      <c r="AD52" s="191">
        <f xml:space="preserve"> Equity!AD$70</f>
        <v>-3135.6312946429462</v>
      </c>
      <c r="AE52" s="191">
        <f xml:space="preserve"> Equity!AE$70</f>
        <v>-2299.0746500107443</v>
      </c>
      <c r="AF52" s="191">
        <f xml:space="preserve"> Equity!AF$70</f>
        <v>-199.55816217099482</v>
      </c>
      <c r="AG52" s="191">
        <f xml:space="preserve"> Equity!AG$70</f>
        <v>-1157.71613842746</v>
      </c>
      <c r="AH52" s="191">
        <f xml:space="preserve"> Equity!AH$70</f>
        <v>-3100.9975241468455</v>
      </c>
      <c r="AI52" s="191">
        <f xml:space="preserve"> Equity!AI$70</f>
        <v>-2268.5881513856307</v>
      </c>
      <c r="AJ52" s="191">
        <f xml:space="preserve"> Equity!AJ$70</f>
        <v>-179.5407479852247</v>
      </c>
      <c r="AK52" s="191">
        <f xml:space="preserve"> Equity!AK$70</f>
        <v>-1132.7664163421891</v>
      </c>
      <c r="AL52" s="191">
        <f xml:space="preserve"> Equity!AL$70</f>
        <v>-3066.327963781755</v>
      </c>
      <c r="AM52" s="191">
        <f xml:space="preserve"> Equity!AM$70</f>
        <v>-2238.0449334558452</v>
      </c>
      <c r="AN52" s="191">
        <f xml:space="preserve"> Equity!AN$70</f>
        <v>-175.20663051795282</v>
      </c>
      <c r="AO52" s="191">
        <f xml:space="preserve"> Equity!AO$70</f>
        <v>-1091.9379521318856</v>
      </c>
      <c r="AP52" s="191">
        <f xml:space="preserve"> Equity!AP$70</f>
        <v>-3031.6185983442665</v>
      </c>
      <c r="AQ52" s="191">
        <f xml:space="preserve"> Equity!AQ$70</f>
        <v>-2207.4410791751011</v>
      </c>
      <c r="AR52" s="191">
        <f xml:space="preserve"> Equity!AR$70</f>
        <v>-139.17729048744422</v>
      </c>
      <c r="AS52" s="191">
        <f xml:space="preserve"> Equity!AS$70</f>
        <v>-1082.6017911092231</v>
      </c>
      <c r="AT52" s="191">
        <f xml:space="preserve"> Equity!AT$70</f>
        <v>-2996.8653481107795</v>
      </c>
      <c r="AU52" s="191">
        <f xml:space="preserve"> Equity!AU$70</f>
        <v>-2176.7726063682762</v>
      </c>
      <c r="AV52" s="191">
        <f xml:space="preserve"> Equity!AV$70</f>
        <v>-118.82387959366497</v>
      </c>
      <c r="AW52" s="191">
        <f xml:space="preserve"> Equity!AW$70</f>
        <v>-1057.3791745912417</v>
      </c>
      <c r="AX52" s="191">
        <f xml:space="preserve"> Equity!AX$70</f>
        <v>-2962.0640674558335</v>
      </c>
      <c r="AY52" s="191">
        <f xml:space="preserve"> Equity!AY$70</f>
        <v>-2146.0354663503745</v>
      </c>
      <c r="AZ52" s="191">
        <f xml:space="preserve"> Equity!AZ$70</f>
        <v>-98.350990410631312</v>
      </c>
      <c r="BA52" s="191">
        <f xml:space="preserve"> Equity!BA$70</f>
        <v>-2782.0577672391714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-997.16557094801556</v>
      </c>
      <c r="CG52" s="191">
        <f xml:space="preserve"> Equity!CG$70</f>
        <v>-3215.2918151892882</v>
      </c>
      <c r="CH52" s="191">
        <f xml:space="preserve"> Equity!CH$70</f>
        <v>-3644.8654433561715</v>
      </c>
      <c r="CI52" s="191">
        <f xml:space="preserve"> Equity!CI$70</f>
        <v>-688.29384224823389</v>
      </c>
      <c r="CJ52" s="191">
        <f xml:space="preserve"> Equity!CJ$70</f>
        <v>-685.56828126386836</v>
      </c>
      <c r="CK52" s="191">
        <f xml:space="preserve"> Equity!CK$70</f>
        <v>-3180.759871906117</v>
      </c>
      <c r="CL52" s="191">
        <f xml:space="preserve"> Equity!CL$70</f>
        <v>-3608.1285161322512</v>
      </c>
      <c r="CM52" s="191">
        <f xml:space="preserve"> Equity!CM$70</f>
        <v>-666.19808575299317</v>
      </c>
      <c r="CN52" s="191">
        <f xml:space="preserve"> Equity!CN$70</f>
        <v>-663.41760335030904</v>
      </c>
      <c r="CO52" s="191">
        <f xml:space="preserve"> Equity!CO$70</f>
        <v>-3146.1264816515677</v>
      </c>
      <c r="CP52" s="191">
        <f xml:space="preserve"> Equity!CP$70</f>
        <v>-3571.2997457678875</v>
      </c>
      <c r="CQ52" s="191">
        <f xml:space="preserve"> Equity!CQ$70</f>
        <v>-643.93627140228091</v>
      </c>
      <c r="CR52" s="191">
        <f xml:space="preserve"> Equity!CR$70</f>
        <v>-641.0997608872035</v>
      </c>
      <c r="CS52" s="191">
        <f xml:space="preserve"> Equity!CS$70</f>
        <v>-3111.3866430593098</v>
      </c>
      <c r="CT52" s="191">
        <f xml:space="preserve"> Equity!CT$70</f>
        <v>-3534.3740555861114</v>
      </c>
      <c r="CU52" s="191">
        <f xml:space="preserve"> Equity!CU$70</f>
        <v>-621.50366407852198</v>
      </c>
      <c r="CV52" s="191">
        <f xml:space="preserve"> Equity!CV$70</f>
        <v>-618.60999645653737</v>
      </c>
      <c r="CW52" s="191">
        <f xml:space="preserve"> Equity!CW$70</f>
        <v>-3076.5352686952083</v>
      </c>
      <c r="CX52" s="191">
        <f xml:space="preserve"> Equity!CX$70</f>
        <v>-3497.3462826620735</v>
      </c>
      <c r="CY52" s="191">
        <f xml:space="preserve"> Equity!CY$70</f>
        <v>-598.89544015944239</v>
      </c>
      <c r="CZ52" s="191">
        <f xml:space="preserve"> Equity!CZ$70</f>
        <v>-595.94346368623292</v>
      </c>
      <c r="DA52" s="191">
        <f xml:space="preserve"> Equity!DA$70</f>
        <v>-3041.5671832498269</v>
      </c>
      <c r="DB52" s="191">
        <f xml:space="preserve"> Equity!DB$70</f>
        <v>-3460.2111760052694</v>
      </c>
      <c r="DC52" s="191">
        <f xml:space="preserve"> Equity!DC$70</f>
        <v>-576.10668570027906</v>
      </c>
      <c r="DD52" s="191">
        <f xml:space="preserve"> Equity!DD$70</f>
        <v>-573.09522542330069</v>
      </c>
      <c r="DE52" s="191">
        <f xml:space="preserve"> Equity!DE$70</f>
        <v>-3006.477121694857</v>
      </c>
      <c r="DF52" s="191">
        <f xml:space="preserve"> Equity!DF$70</f>
        <v>-3422.9633947055136</v>
      </c>
      <c r="DG52" s="191">
        <f xml:space="preserve"> Equity!DG$70</f>
        <v>-553.13239457952204</v>
      </c>
      <c r="DH52" s="191">
        <f xml:space="preserve"> Equity!DH$70</f>
        <v>0</v>
      </c>
      <c r="DI52" s="191">
        <f xml:space="preserve"> Equity!DI$70</f>
        <v>-550.06025187034493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232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-230.64835164835131</v>
      </c>
      <c r="N53" s="163">
        <f t="shared" si="36"/>
        <v>230.64835164835131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682.62348860002203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-28475.877246436692</v>
      </c>
      <c r="DI53" s="163">
        <f t="shared" si="37"/>
        <v>689.14681089112128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-230.64835164835131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682.62348860002203</v>
      </c>
      <c r="CG63" s="191">
        <f xml:space="preserve"> Equity!CG$52</f>
        <v>42.763082032367493</v>
      </c>
      <c r="CH63" s="191">
        <f xml:space="preserve"> Equity!CH$52</f>
        <v>793.87029915015228</v>
      </c>
      <c r="CI63" s="191">
        <f xml:space="preserve"> Equity!CI$52</f>
        <v>3721.1848212924588</v>
      </c>
      <c r="CJ63" s="191">
        <f xml:space="preserve"> Equity!CJ$52</f>
        <v>4708.0304438289804</v>
      </c>
      <c r="CK63" s="191">
        <f xml:space="preserve"> Equity!CK$52</f>
        <v>4061.9461460024577</v>
      </c>
      <c r="CL63" s="191">
        <f xml:space="preserve"> Equity!CL$52</f>
        <v>4814.2651531593319</v>
      </c>
      <c r="CM63" s="191">
        <f xml:space="preserve"> Equity!CM$52</f>
        <v>7732.0132656381202</v>
      </c>
      <c r="CN63" s="191">
        <f xml:space="preserve"> Equity!CN$52</f>
        <v>8704.7626101198621</v>
      </c>
      <c r="CO63" s="191">
        <f xml:space="preserve"> Equity!CO$52</f>
        <v>8081.1238534974846</v>
      </c>
      <c r="CP63" s="191">
        <f xml:space="preserve"> Equity!CP$52</f>
        <v>8834.6480882514006</v>
      </c>
      <c r="CQ63" s="191">
        <f xml:space="preserve"> Equity!CQ$52</f>
        <v>11742.877832884687</v>
      </c>
      <c r="CR63" s="191">
        <f xml:space="preserve"> Equity!CR$52</f>
        <v>12715.887288231595</v>
      </c>
      <c r="CS63" s="191">
        <f xml:space="preserve"> Equity!CS$52</f>
        <v>12100.298046357006</v>
      </c>
      <c r="CT63" s="191">
        <f xml:space="preserve"> Equity!CT$52</f>
        <v>12855.020968161843</v>
      </c>
      <c r="CU63" s="191">
        <f xml:space="preserve"> Equity!CU$52</f>
        <v>15753.780156775818</v>
      </c>
      <c r="CV63" s="191">
        <f xml:space="preserve"> Equity!CV$52</f>
        <v>16727.050938355944</v>
      </c>
      <c r="CW63" s="191">
        <f xml:space="preserve"> Equity!CW$52</f>
        <v>16119.470593834196</v>
      </c>
      <c r="CX63" s="191">
        <f xml:space="preserve"> Equity!CX$52</f>
        <v>16875.385683714165</v>
      </c>
      <c r="CY63" s="191">
        <f xml:space="preserve"> Equity!CY$52</f>
        <v>19764.721899469219</v>
      </c>
      <c r="CZ63" s="191">
        <f xml:space="preserve"> Equity!CZ$52</f>
        <v>20752.120593905103</v>
      </c>
      <c r="DA63" s="191">
        <f xml:space="preserve"> Equity!DA$52</f>
        <v>20138.6433931965</v>
      </c>
      <c r="DB63" s="191">
        <f xml:space="preserve"> Equity!DB$52</f>
        <v>20895.744153417767</v>
      </c>
      <c r="DC63" s="191">
        <f xml:space="preserve"> Equity!DC$52</f>
        <v>23775.704752131605</v>
      </c>
      <c r="DD63" s="191">
        <f xml:space="preserve"> Equity!DD$52</f>
        <v>24749.502011160188</v>
      </c>
      <c r="DE63" s="191">
        <f xml:space="preserve"> Equity!DE$52</f>
        <v>24157.818370338158</v>
      </c>
      <c r="DF63" s="191">
        <f xml:space="preserve"> Equity!DF$52</f>
        <v>24916.09832407767</v>
      </c>
      <c r="DG63" s="191">
        <f xml:space="preserve"> Equity!DG$52</f>
        <v>27786.730435545571</v>
      </c>
      <c r="DH63" s="191">
        <f xml:space="preserve"> Equity!DH$52</f>
        <v>-689.14681089112128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3198.9945054945056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1628.7916666666665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1620.6882255389719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1594.9039450932974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1604.6020895908246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1596.618994617736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1588.6756165350612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1563.4006395293372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1572.9072216381392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1565.081812575263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2179.0055348114429</v>
      </c>
      <c r="CG65" s="188">
        <f t="shared" si="44"/>
        <v>3177.9236332274177</v>
      </c>
      <c r="CH65" s="188">
        <f t="shared" si="44"/>
        <v>4176.8696290957996</v>
      </c>
      <c r="CI65" s="188">
        <f t="shared" si="44"/>
        <v>5177.7539772412783</v>
      </c>
      <c r="CJ65" s="188">
        <f t="shared" si="44"/>
        <v>6180.6058542387764</v>
      </c>
      <c r="CK65" s="188">
        <f t="shared" si="44"/>
        <v>7181.5088835099705</v>
      </c>
      <c r="CL65" s="188">
        <f t="shared" si="44"/>
        <v>8180.4336406674392</v>
      </c>
      <c r="CM65" s="188">
        <f t="shared" si="44"/>
        <v>9181.3358088707755</v>
      </c>
      <c r="CN65" s="188">
        <f t="shared" si="44"/>
        <v>10186.292320979912</v>
      </c>
      <c r="CO65" s="188">
        <f t="shared" si="44"/>
        <v>11185.166378380582</v>
      </c>
      <c r="CP65" s="188">
        <f t="shared" si="44"/>
        <v>12184.069468856482</v>
      </c>
      <c r="CQ65" s="188">
        <f t="shared" si="44"/>
        <v>13184.989816200763</v>
      </c>
      <c r="CR65" s="188">
        <f t="shared" si="44"/>
        <v>14190.04620451025</v>
      </c>
      <c r="CS65" s="188">
        <f t="shared" si="44"/>
        <v>15188.89757360387</v>
      </c>
      <c r="CT65" s="188">
        <f t="shared" si="44"/>
        <v>16187.778560803716</v>
      </c>
      <c r="CU65" s="188">
        <f t="shared" si="44"/>
        <v>17188.717453607736</v>
      </c>
      <c r="CV65" s="188">
        <f t="shared" si="44"/>
        <v>18193.875730673015</v>
      </c>
      <c r="CW65" s="188">
        <f t="shared" si="44"/>
        <v>19192.703954278837</v>
      </c>
      <c r="CX65" s="188">
        <f t="shared" si="44"/>
        <v>20191.562392810556</v>
      </c>
      <c r="CY65" s="188">
        <f t="shared" si="44"/>
        <v>21192.52020477461</v>
      </c>
      <c r="CZ65" s="188">
        <f t="shared" si="44"/>
        <v>22195.608990477587</v>
      </c>
      <c r="DA65" s="188">
        <f t="shared" si="44"/>
        <v>23196.587035429977</v>
      </c>
      <c r="DB65" s="188">
        <f t="shared" ref="DB65:EA65" si="45">SUM(DB63:DB64)</f>
        <v>24195.422470926616</v>
      </c>
      <c r="DC65" s="188">
        <f t="shared" si="45"/>
        <v>25196.399583281247</v>
      </c>
      <c r="DD65" s="188">
        <f t="shared" si="45"/>
        <v>26201.7678385576</v>
      </c>
      <c r="DE65" s="188">
        <f t="shared" si="45"/>
        <v>27200.548362610272</v>
      </c>
      <c r="DF65" s="188">
        <f t="shared" si="45"/>
        <v>28199.36033154916</v>
      </c>
      <c r="DG65" s="188">
        <f t="shared" si="45"/>
        <v>29200.357133206904</v>
      </c>
      <c r="DH65" s="188">
        <f t="shared" si="45"/>
        <v>755.89381338491103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102198.99450549451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97628.791666666672</v>
      </c>
      <c r="Q67" s="163">
        <f t="shared" si="46"/>
        <v>98412.57995735608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93620.688225538965</v>
      </c>
      <c r="U67" s="163">
        <f t="shared" si="46"/>
        <v>94395.601947617994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89594.903945093291</v>
      </c>
      <c r="Y67" s="163">
        <f t="shared" si="46"/>
        <v>90378.708405590034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85604.60208959083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81596.618994617733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77588.675616535067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73563.40063952934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69572.907221638132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65565.081812575256</v>
      </c>
      <c r="AW67" s="163">
        <f t="shared" si="47"/>
        <v>66279.097587813172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61557.295335895782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30179.005534811444</v>
      </c>
      <c r="CG67" s="163">
        <f t="shared" si="48"/>
        <v>30177.923633227416</v>
      </c>
      <c r="CH67" s="163">
        <f t="shared" si="48"/>
        <v>30176.8696290958</v>
      </c>
      <c r="CI67" s="163">
        <f t="shared" si="48"/>
        <v>30177.753977241278</v>
      </c>
      <c r="CJ67" s="163">
        <f t="shared" si="48"/>
        <v>30180.605854238776</v>
      </c>
      <c r="CK67" s="163">
        <f t="shared" si="48"/>
        <v>30181.50888350997</v>
      </c>
      <c r="CL67" s="163">
        <f t="shared" si="48"/>
        <v>30180.433640667441</v>
      </c>
      <c r="CM67" s="163">
        <f t="shared" si="48"/>
        <v>30181.335808870776</v>
      </c>
      <c r="CN67" s="163">
        <f t="shared" si="48"/>
        <v>30186.292320979912</v>
      </c>
      <c r="CO67" s="163">
        <f t="shared" si="48"/>
        <v>30185.166378380582</v>
      </c>
      <c r="CP67" s="163">
        <f t="shared" si="48"/>
        <v>30184.069468856484</v>
      </c>
      <c r="CQ67" s="163">
        <f t="shared" si="48"/>
        <v>30184.989816200763</v>
      </c>
      <c r="CR67" s="163">
        <f t="shared" si="48"/>
        <v>30190.04620451025</v>
      </c>
      <c r="CS67" s="163">
        <f t="shared" si="48"/>
        <v>30188.89757360387</v>
      </c>
      <c r="CT67" s="163">
        <f t="shared" si="48"/>
        <v>30187.778560803716</v>
      </c>
      <c r="CU67" s="163">
        <f t="shared" si="48"/>
        <v>30188.717453607736</v>
      </c>
      <c r="CV67" s="163">
        <f t="shared" si="48"/>
        <v>30193.875730673015</v>
      </c>
      <c r="CW67" s="163">
        <f t="shared" si="48"/>
        <v>30192.703954278837</v>
      </c>
      <c r="CX67" s="163">
        <f t="shared" si="48"/>
        <v>30191.562392810556</v>
      </c>
      <c r="CY67" s="163">
        <f t="shared" si="48"/>
        <v>30192.52020477461</v>
      </c>
      <c r="CZ67" s="163">
        <f t="shared" si="48"/>
        <v>30195.608990477587</v>
      </c>
      <c r="DA67" s="163">
        <f t="shared" si="48"/>
        <v>30196.587035429977</v>
      </c>
      <c r="DB67" s="163">
        <f t="shared" ref="DB67:EA67" si="49" xml:space="preserve"> DB65 + DB60</f>
        <v>30195.422470926616</v>
      </c>
      <c r="DC67" s="163">
        <f t="shared" si="49"/>
        <v>30196.399583281247</v>
      </c>
      <c r="DD67" s="163">
        <f t="shared" si="49"/>
        <v>30201.7678385576</v>
      </c>
      <c r="DE67" s="163">
        <f t="shared" si="49"/>
        <v>30200.548362610272</v>
      </c>
      <c r="DF67" s="163">
        <f t="shared" si="49"/>
        <v>30199.36033154916</v>
      </c>
      <c r="DG67" s="163">
        <f t="shared" si="49"/>
        <v>30200.357133206904</v>
      </c>
      <c r="DH67" s="163">
        <f t="shared" si="49"/>
        <v>755.89381338491103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Debt!E$39</f>
        <v>Senior debt balance</v>
      </c>
      <c r="F70" s="191">
        <f xml:space="preserve"> Debt!F$39</f>
        <v>0</v>
      </c>
      <c r="G70" s="191" t="str">
        <f xml:space="preserve"> Debt!G$39</f>
        <v>$ 000s</v>
      </c>
      <c r="H70" s="191">
        <f xml:space="preserve"> Debt!H$39</f>
        <v>0</v>
      </c>
      <c r="I70" s="191">
        <f xml:space="preserve"> Debt!I$39</f>
        <v>0</v>
      </c>
      <c r="J70" s="191">
        <f xml:space="preserve"> Debt!J$39</f>
        <v>0</v>
      </c>
      <c r="K70" s="191">
        <f xml:space="preserve"> Debt!K$39</f>
        <v>0</v>
      </c>
      <c r="L70" s="191">
        <f xml:space="preserve"> Debt!L$39</f>
        <v>70000</v>
      </c>
      <c r="M70" s="191">
        <f xml:space="preserve"> Debt!M$39</f>
        <v>68250</v>
      </c>
      <c r="N70" s="191">
        <f xml:space="preserve"> Debt!N$39</f>
        <v>66500</v>
      </c>
      <c r="O70" s="191">
        <f xml:space="preserve"> Debt!O$39</f>
        <v>64750</v>
      </c>
      <c r="P70" s="191">
        <f xml:space="preserve"> Debt!P$39</f>
        <v>63000</v>
      </c>
      <c r="Q70" s="191">
        <f xml:space="preserve"> Debt!Q$39</f>
        <v>61250</v>
      </c>
      <c r="R70" s="191">
        <f xml:space="preserve"> Debt!R$39</f>
        <v>59500</v>
      </c>
      <c r="S70" s="191">
        <f xml:space="preserve"> Debt!S$39</f>
        <v>57750</v>
      </c>
      <c r="T70" s="191">
        <f xml:space="preserve"> Debt!T$39</f>
        <v>56000</v>
      </c>
      <c r="U70" s="191">
        <f xml:space="preserve"> Debt!U$39</f>
        <v>54250</v>
      </c>
      <c r="V70" s="191">
        <f xml:space="preserve"> Debt!V$39</f>
        <v>52500</v>
      </c>
      <c r="W70" s="191">
        <f xml:space="preserve"> Debt!W$39</f>
        <v>50750</v>
      </c>
      <c r="X70" s="191">
        <f xml:space="preserve"> Debt!X$39</f>
        <v>49000</v>
      </c>
      <c r="Y70" s="191">
        <f xml:space="preserve"> Debt!Y$39</f>
        <v>47250</v>
      </c>
      <c r="Z70" s="191">
        <f xml:space="preserve"> Debt!Z$39</f>
        <v>45500</v>
      </c>
      <c r="AA70" s="191">
        <f xml:space="preserve"> Debt!AA$39</f>
        <v>43750</v>
      </c>
      <c r="AB70" s="191">
        <f xml:space="preserve"> Debt!AB$39</f>
        <v>42000</v>
      </c>
      <c r="AC70" s="191">
        <f xml:space="preserve"> Debt!AC$39</f>
        <v>40250</v>
      </c>
      <c r="AD70" s="191">
        <f xml:space="preserve"> Debt!AD$39</f>
        <v>38500</v>
      </c>
      <c r="AE70" s="191">
        <f xml:space="preserve"> Debt!AE$39</f>
        <v>36750</v>
      </c>
      <c r="AF70" s="191">
        <f xml:space="preserve"> Debt!AF$39</f>
        <v>35000</v>
      </c>
      <c r="AG70" s="191">
        <f xml:space="preserve"> Debt!AG$39</f>
        <v>33250</v>
      </c>
      <c r="AH70" s="191">
        <f xml:space="preserve"> Debt!AH$39</f>
        <v>31500</v>
      </c>
      <c r="AI70" s="191">
        <f xml:space="preserve"> Debt!AI$39</f>
        <v>29750</v>
      </c>
      <c r="AJ70" s="191">
        <f xml:space="preserve"> Debt!AJ$39</f>
        <v>28000</v>
      </c>
      <c r="AK70" s="191">
        <f xml:space="preserve"> Debt!AK$39</f>
        <v>26250</v>
      </c>
      <c r="AL70" s="191">
        <f xml:space="preserve"> Debt!AL$39</f>
        <v>24500</v>
      </c>
      <c r="AM70" s="191">
        <f xml:space="preserve"> Debt!AM$39</f>
        <v>22750</v>
      </c>
      <c r="AN70" s="191">
        <f xml:space="preserve"> Debt!AN$39</f>
        <v>21000</v>
      </c>
      <c r="AO70" s="191">
        <f xml:space="preserve"> Debt!AO$39</f>
        <v>19250</v>
      </c>
      <c r="AP70" s="191">
        <f xml:space="preserve"> Debt!AP$39</f>
        <v>17500</v>
      </c>
      <c r="AQ70" s="191">
        <f xml:space="preserve"> Debt!AQ$39</f>
        <v>15750</v>
      </c>
      <c r="AR70" s="191">
        <f xml:space="preserve"> Debt!AR$39</f>
        <v>14000</v>
      </c>
      <c r="AS70" s="191">
        <f xml:space="preserve"> Debt!AS$39</f>
        <v>12250</v>
      </c>
      <c r="AT70" s="191">
        <f xml:space="preserve"> Debt!AT$39</f>
        <v>10500</v>
      </c>
      <c r="AU70" s="191">
        <f xml:space="preserve"> Debt!AU$39</f>
        <v>8750</v>
      </c>
      <c r="AV70" s="191">
        <f xml:space="preserve"> Debt!AV$39</f>
        <v>7000</v>
      </c>
      <c r="AW70" s="191">
        <f xml:space="preserve"> Debt!AW$39</f>
        <v>5250</v>
      </c>
      <c r="AX70" s="191">
        <f xml:space="preserve"> Debt!AX$39</f>
        <v>3500</v>
      </c>
      <c r="AY70" s="191">
        <f xml:space="preserve"> Debt!AY$39</f>
        <v>1750</v>
      </c>
      <c r="AZ70" s="191">
        <f xml:space="preserve"> Debt!AZ$39</f>
        <v>0</v>
      </c>
      <c r="BA70" s="191">
        <f xml:space="preserve"> Debt!BA$39</f>
        <v>0</v>
      </c>
      <c r="BB70" s="191">
        <f xml:space="preserve"> Debt!BB$39</f>
        <v>0</v>
      </c>
      <c r="BC70" s="191">
        <f xml:space="preserve"> Debt!BC$39</f>
        <v>0</v>
      </c>
      <c r="BD70" s="191">
        <f xml:space="preserve"> Debt!BD$39</f>
        <v>0</v>
      </c>
      <c r="BE70" s="191">
        <f xml:space="preserve"> Debt!BE$39</f>
        <v>0</v>
      </c>
      <c r="BF70" s="191">
        <f xml:space="preserve"> Debt!BF$39</f>
        <v>0</v>
      </c>
      <c r="BG70" s="191">
        <f xml:space="preserve"> Debt!BG$39</f>
        <v>0</v>
      </c>
      <c r="BH70" s="191">
        <f xml:space="preserve"> Debt!BH$39</f>
        <v>0</v>
      </c>
      <c r="BI70" s="191">
        <f xml:space="preserve"> Debt!BI$39</f>
        <v>0</v>
      </c>
      <c r="BJ70" s="191">
        <f xml:space="preserve"> Debt!BJ$39</f>
        <v>0</v>
      </c>
      <c r="BK70" s="191">
        <f xml:space="preserve"> Debt!BK$39</f>
        <v>0</v>
      </c>
      <c r="BL70" s="191">
        <f xml:space="preserve"> Debt!BL$39</f>
        <v>0</v>
      </c>
      <c r="BM70" s="191">
        <f xml:space="preserve"> Debt!BM$39</f>
        <v>0</v>
      </c>
      <c r="BN70" s="191">
        <f xml:space="preserve"> Debt!BN$39</f>
        <v>0</v>
      </c>
      <c r="BO70" s="191">
        <f xml:space="preserve"> Debt!BO$39</f>
        <v>0</v>
      </c>
      <c r="BP70" s="191">
        <f xml:space="preserve"> Debt!BP$39</f>
        <v>0</v>
      </c>
      <c r="BQ70" s="191">
        <f xml:space="preserve"> Debt!BQ$39</f>
        <v>0</v>
      </c>
      <c r="BR70" s="191">
        <f xml:space="preserve"> Debt!BR$39</f>
        <v>0</v>
      </c>
      <c r="BS70" s="191">
        <f xml:space="preserve"> Debt!BS$39</f>
        <v>0</v>
      </c>
      <c r="BT70" s="191">
        <f xml:space="preserve"> Debt!BT$39</f>
        <v>0</v>
      </c>
      <c r="BU70" s="191">
        <f xml:space="preserve"> Debt!BU$39</f>
        <v>0</v>
      </c>
      <c r="BV70" s="191">
        <f xml:space="preserve"> Debt!BV$39</f>
        <v>0</v>
      </c>
      <c r="BW70" s="191">
        <f xml:space="preserve"> Debt!BW$39</f>
        <v>0</v>
      </c>
      <c r="BX70" s="191">
        <f xml:space="preserve"> Debt!BX$39</f>
        <v>0</v>
      </c>
      <c r="BY70" s="191">
        <f xml:space="preserve"> Debt!BY$39</f>
        <v>0</v>
      </c>
      <c r="BZ70" s="191">
        <f xml:space="preserve"> Debt!BZ$39</f>
        <v>0</v>
      </c>
      <c r="CA70" s="191">
        <f xml:space="preserve"> Debt!CA$39</f>
        <v>0</v>
      </c>
      <c r="CB70" s="191">
        <f xml:space="preserve"> Debt!CB$39</f>
        <v>0</v>
      </c>
      <c r="CC70" s="191">
        <f xml:space="preserve"> Debt!CC$39</f>
        <v>0</v>
      </c>
      <c r="CD70" s="191">
        <f xml:space="preserve"> Debt!CD$39</f>
        <v>0</v>
      </c>
      <c r="CE70" s="191">
        <f xml:space="preserve"> Debt!CE$39</f>
        <v>0</v>
      </c>
      <c r="CF70" s="191">
        <f xml:space="preserve"> Debt!CF$39</f>
        <v>0</v>
      </c>
      <c r="CG70" s="191">
        <f xml:space="preserve"> Debt!CG$39</f>
        <v>0</v>
      </c>
      <c r="CH70" s="191">
        <f xml:space="preserve"> Debt!CH$39</f>
        <v>0</v>
      </c>
      <c r="CI70" s="191">
        <f xml:space="preserve"> Debt!CI$39</f>
        <v>0</v>
      </c>
      <c r="CJ70" s="191">
        <f xml:space="preserve"> Debt!CJ$39</f>
        <v>0</v>
      </c>
      <c r="CK70" s="191">
        <f xml:space="preserve"> Debt!CK$39</f>
        <v>0</v>
      </c>
      <c r="CL70" s="191">
        <f xml:space="preserve"> Debt!CL$39</f>
        <v>0</v>
      </c>
      <c r="CM70" s="191">
        <f xml:space="preserve"> Debt!CM$39</f>
        <v>0</v>
      </c>
      <c r="CN70" s="191">
        <f xml:space="preserve"> Debt!CN$39</f>
        <v>0</v>
      </c>
      <c r="CO70" s="191">
        <f xml:space="preserve"> Debt!CO$39</f>
        <v>0</v>
      </c>
      <c r="CP70" s="191">
        <f xml:space="preserve"> Debt!CP$39</f>
        <v>0</v>
      </c>
      <c r="CQ70" s="191">
        <f xml:space="preserve"> Debt!CQ$39</f>
        <v>0</v>
      </c>
      <c r="CR70" s="191">
        <f xml:space="preserve"> Debt!CR$39</f>
        <v>0</v>
      </c>
      <c r="CS70" s="191">
        <f xml:space="preserve"> Debt!CS$39</f>
        <v>0</v>
      </c>
      <c r="CT70" s="191">
        <f xml:space="preserve"> Debt!CT$39</f>
        <v>0</v>
      </c>
      <c r="CU70" s="191">
        <f xml:space="preserve"> Debt!CU$39</f>
        <v>0</v>
      </c>
      <c r="CV70" s="191">
        <f xml:space="preserve"> Debt!CV$39</f>
        <v>0</v>
      </c>
      <c r="CW70" s="191">
        <f xml:space="preserve"> Debt!CW$39</f>
        <v>0</v>
      </c>
      <c r="CX70" s="191">
        <f xml:space="preserve"> Debt!CX$39</f>
        <v>0</v>
      </c>
      <c r="CY70" s="191">
        <f xml:space="preserve"> Debt!CY$39</f>
        <v>0</v>
      </c>
      <c r="CZ70" s="191">
        <f xml:space="preserve"> Debt!CZ$39</f>
        <v>0</v>
      </c>
      <c r="DA70" s="191">
        <f xml:space="preserve"> Debt!DA$39</f>
        <v>0</v>
      </c>
      <c r="DB70" s="191">
        <f xml:space="preserve"> Debt!DB$39</f>
        <v>0</v>
      </c>
      <c r="DC70" s="191">
        <f xml:space="preserve"> Debt!DC$39</f>
        <v>0</v>
      </c>
      <c r="DD70" s="191">
        <f xml:space="preserve"> Debt!DD$39</f>
        <v>0</v>
      </c>
      <c r="DE70" s="191">
        <f xml:space="preserve"> Debt!DE$39</f>
        <v>0</v>
      </c>
      <c r="DF70" s="191">
        <f xml:space="preserve"> Debt!DF$39</f>
        <v>0</v>
      </c>
      <c r="DG70" s="191">
        <f xml:space="preserve"> Debt!DG$39</f>
        <v>0</v>
      </c>
      <c r="DH70" s="191">
        <f xml:space="preserve"> Debt!DH$39</f>
        <v>0</v>
      </c>
      <c r="DI70" s="191">
        <f xml:space="preserve"> Debt!DI$39</f>
        <v>0</v>
      </c>
      <c r="DJ70" s="191">
        <f xml:space="preserve"> Debt!DJ$39</f>
        <v>0</v>
      </c>
      <c r="DK70" s="191">
        <f xml:space="preserve"> Debt!DK$39</f>
        <v>0</v>
      </c>
      <c r="DL70" s="191">
        <f xml:space="preserve"> Debt!DL$39</f>
        <v>0</v>
      </c>
      <c r="DM70" s="191">
        <f xml:space="preserve"> Debt!DM$39</f>
        <v>0</v>
      </c>
      <c r="DN70" s="191">
        <f xml:space="preserve"> Debt!DN$39</f>
        <v>0</v>
      </c>
      <c r="DO70" s="191">
        <f xml:space="preserve"> Debt!DO$39</f>
        <v>0</v>
      </c>
      <c r="DP70" s="191">
        <f xml:space="preserve"> Debt!DP$39</f>
        <v>0</v>
      </c>
      <c r="DQ70" s="191">
        <f xml:space="preserve"> Debt!DQ$39</f>
        <v>0</v>
      </c>
      <c r="DR70" s="191">
        <f xml:space="preserve"> Debt!DR$39</f>
        <v>0</v>
      </c>
      <c r="DS70" s="191">
        <f xml:space="preserve"> Debt!DS$39</f>
        <v>0</v>
      </c>
      <c r="DT70" s="191">
        <f xml:space="preserve"> Debt!DT$39</f>
        <v>0</v>
      </c>
      <c r="DU70" s="191">
        <f xml:space="preserve"> Debt!DU$39</f>
        <v>0</v>
      </c>
      <c r="DV70" s="191">
        <f xml:space="preserve"> Debt!DV$39</f>
        <v>0</v>
      </c>
      <c r="DW70" s="191">
        <f xml:space="preserve"> Debt!DW$39</f>
        <v>0</v>
      </c>
      <c r="DX70" s="191">
        <f xml:space="preserve"> Debt!DX$39</f>
        <v>0</v>
      </c>
      <c r="DY70" s="191">
        <f xml:space="preserve"> Debt!DY$39</f>
        <v>0</v>
      </c>
      <c r="DZ70" s="191">
        <f xml:space="preserve"> Debt!DZ$39</f>
        <v>0</v>
      </c>
      <c r="EA70" s="191">
        <f xml:space="preserve"> Debt!EA$39</f>
        <v>0</v>
      </c>
    </row>
    <row r="71" spans="1:131" outlineLevel="1" x14ac:dyDescent="0.35">
      <c r="A71" s="160"/>
      <c r="D71" s="164"/>
      <c r="E71" s="341" t="s">
        <v>137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138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3824.75</v>
      </c>
      <c r="N74" s="191">
        <f xml:space="preserve"> Equity!N$41</f>
        <v>5077.252377717391</v>
      </c>
      <c r="O74" s="191">
        <f xml:space="preserve"> Equity!O$41</f>
        <v>3719.2571178668468</v>
      </c>
      <c r="P74" s="191">
        <f xml:space="preserve"> Equity!P$41</f>
        <v>4501.272854088541</v>
      </c>
      <c r="Q74" s="191">
        <f xml:space="preserve"> Equity!Q$41</f>
        <v>7035.8318628759516</v>
      </c>
      <c r="R74" s="191">
        <f xml:space="preserve"> Equity!R$41</f>
        <v>8056.3518741554917</v>
      </c>
      <c r="S74" s="191">
        <f xml:space="preserve"> Equity!S$41</f>
        <v>6708.8286367709134</v>
      </c>
      <c r="T74" s="191">
        <f xml:space="preserve"> Equity!T$41</f>
        <v>7490.599845048293</v>
      </c>
      <c r="U74" s="191">
        <f xml:space="preserve"> Equity!U$41</f>
        <v>10016.299815580824</v>
      </c>
      <c r="V74" s="191">
        <f xml:space="preserve"> Equity!V$41</f>
        <v>11035.492821599601</v>
      </c>
      <c r="W74" s="191">
        <f xml:space="preserve"> Equity!W$41</f>
        <v>9698.3891944087391</v>
      </c>
      <c r="X74" s="191">
        <f xml:space="preserve"> Equity!X$41</f>
        <v>10463.652567252908</v>
      </c>
      <c r="Y74" s="191">
        <f xml:space="preserve"> Equity!Y$41</f>
        <v>12996.800770860445</v>
      </c>
      <c r="Z74" s="191">
        <f xml:space="preserve"> Equity!Z$41</f>
        <v>14014.673753782783</v>
      </c>
      <c r="AA74" s="191">
        <f xml:space="preserve"> Equity!AA$41</f>
        <v>12687.937578970741</v>
      </c>
      <c r="AB74" s="191">
        <f xml:space="preserve"> Equity!AB$41</f>
        <v>13469.218195681322</v>
      </c>
      <c r="AC74" s="191">
        <f xml:space="preserve"> Equity!AC$41</f>
        <v>15977.333271429212</v>
      </c>
      <c r="AD74" s="191">
        <f xml:space="preserve"> Equity!AD$41</f>
        <v>16993.893186342477</v>
      </c>
      <c r="AE74" s="191">
        <f xml:space="preserve"> Equity!AE$41</f>
        <v>15677.47255915881</v>
      </c>
      <c r="AF74" s="191">
        <f xml:space="preserve"> Equity!AF$41</f>
        <v>16458.507047469397</v>
      </c>
      <c r="AG74" s="191">
        <f xml:space="preserve"> Equity!AG$41</f>
        <v>18957.895841195208</v>
      </c>
      <c r="AH74" s="191">
        <f xml:space="preserve"> Equity!AH$41</f>
        <v>19973.149616398874</v>
      </c>
      <c r="AI74" s="191">
        <f xml:space="preserve"> Equity!AI$41</f>
        <v>18666.99288376905</v>
      </c>
      <c r="AJ74" s="191">
        <f xml:space="preserve"> Equity!AJ$41</f>
        <v>19447.780644509396</v>
      </c>
      <c r="AK74" s="191">
        <f xml:space="preserve"> Equity!AK$41</f>
        <v>21938.486984828724</v>
      </c>
      <c r="AL74" s="191">
        <f xml:space="preserve"> Equity!AL$41</f>
        <v>22952.441522125104</v>
      </c>
      <c r="AM74" s="191">
        <f xml:space="preserve"> Equity!AM$41</f>
        <v>21656.497281266253</v>
      </c>
      <c r="AN74" s="191">
        <f xml:space="preserve"> Equity!AN$41</f>
        <v>22421.246058625184</v>
      </c>
      <c r="AO74" s="191">
        <f xml:space="preserve"> Equity!AO$41</f>
        <v>24919.105187322326</v>
      </c>
      <c r="AP74" s="191">
        <f xml:space="preserve"> Equity!AP$41</f>
        <v>25931.767362309049</v>
      </c>
      <c r="AQ74" s="191">
        <f xml:space="preserve"> Equity!AQ$41</f>
        <v>24645.984459349973</v>
      </c>
      <c r="AR74" s="191">
        <f xml:space="preserve"> Equity!AR$41</f>
        <v>25426.27683179735</v>
      </c>
      <c r="AS74" s="191">
        <f xml:space="preserve"> Equity!AS$41</f>
        <v>27899.748913542353</v>
      </c>
      <c r="AT74" s="191">
        <f xml:space="preserve"> Equity!AT$41</f>
        <v>28911.125575906608</v>
      </c>
      <c r="AU74" s="191">
        <f xml:space="preserve"> Equity!AU$41</f>
        <v>27635.453104511893</v>
      </c>
      <c r="AV74" s="191">
        <f xml:space="preserve"> Equity!AV$41</f>
        <v>28415.496746972341</v>
      </c>
      <c r="AW74" s="191">
        <f xml:space="preserve"> Equity!AW$41</f>
        <v>30880.416607771589</v>
      </c>
      <c r="AX74" s="191">
        <f xml:space="preserve"> Equity!AX$41</f>
        <v>31890.514581586216</v>
      </c>
      <c r="AY74" s="191">
        <f xml:space="preserve"> Equity!AY$41</f>
        <v>30624.901881584447</v>
      </c>
      <c r="AZ74" s="191">
        <f xml:space="preserve"> Equity!AZ$41</f>
        <v>31404.696056334942</v>
      </c>
      <c r="BA74" s="191">
        <f xml:space="preserve"> Equity!BA$41</f>
        <v>32111.106693243008</v>
      </c>
      <c r="BB74" s="191">
        <f xml:space="preserve"> Equity!BB$41</f>
        <v>31369.932777264472</v>
      </c>
      <c r="BC74" s="191">
        <f xml:space="preserve"> Equity!BC$41</f>
        <v>28364.329433280443</v>
      </c>
      <c r="BD74" s="191">
        <f xml:space="preserve"> Equity!BD$41</f>
        <v>27378.556076725847</v>
      </c>
      <c r="BE74" s="191">
        <f xml:space="preserve"> Equity!BE$41</f>
        <v>28091.817571664375</v>
      </c>
      <c r="BF74" s="191">
        <f xml:space="preserve"> Equity!BF$41</f>
        <v>27349.378539632711</v>
      </c>
      <c r="BG74" s="191">
        <f xml:space="preserve"> Equity!BG$41</f>
        <v>24353.734379723559</v>
      </c>
      <c r="BH74" s="191">
        <f xml:space="preserve"> Equity!BH$41</f>
        <v>23383.027260739953</v>
      </c>
      <c r="BI74" s="191">
        <f xml:space="preserve"> Equity!BI$41</f>
        <v>24072.54762273352</v>
      </c>
      <c r="BJ74" s="191">
        <f xml:space="preserve"> Equity!BJ$41</f>
        <v>23328.850223674279</v>
      </c>
      <c r="BK74" s="191">
        <f xml:space="preserve"> Equity!BK$41</f>
        <v>20343.115317969452</v>
      </c>
      <c r="BL74" s="191">
        <f xml:space="preserve"> Equity!BL$41</f>
        <v>19372.156298820435</v>
      </c>
      <c r="BM74" s="191">
        <f xml:space="preserve"> Equity!BM$41</f>
        <v>20053.295203644106</v>
      </c>
      <c r="BN74" s="191">
        <f xml:space="preserve"> Equity!BN$41</f>
        <v>19308.346162172373</v>
      </c>
      <c r="BO74" s="191">
        <f xml:space="preserve"> Equity!BO$41</f>
        <v>16332.470821517363</v>
      </c>
      <c r="BP74" s="191">
        <f xml:space="preserve"> Equity!BP$41</f>
        <v>15361.259016170996</v>
      </c>
      <c r="BQ74" s="191">
        <f xml:space="preserve"> Equity!BQ$41</f>
        <v>16034.058648581653</v>
      </c>
      <c r="BR74" s="191">
        <f xml:space="preserve"> Equity!BR$41</f>
        <v>15287.864665208215</v>
      </c>
      <c r="BS74" s="191">
        <f xml:space="preserve"> Equity!BS$41</f>
        <v>12321.799439811999</v>
      </c>
      <c r="BT74" s="191">
        <f xml:space="preserve"> Equity!BT$41</f>
        <v>11335.495089212582</v>
      </c>
      <c r="BU74" s="191">
        <f xml:space="preserve"> Equity!BU$41</f>
        <v>12014.836268209721</v>
      </c>
      <c r="BV74" s="191">
        <f xml:space="preserve"> Equity!BV$41</f>
        <v>11267.404019649432</v>
      </c>
      <c r="BW74" s="191">
        <f xml:space="preserve"> Equity!BW$41</f>
        <v>8311.0996977354807</v>
      </c>
      <c r="BX74" s="191">
        <f xml:space="preserve"> Equity!BX$41</f>
        <v>7339.3795064257938</v>
      </c>
      <c r="BY74" s="191">
        <f xml:space="preserve"> Equity!BY$41</f>
        <v>7995.6263491459431</v>
      </c>
      <c r="BZ74" s="191">
        <f xml:space="preserve"> Equity!BZ$41</f>
        <v>7246.9624886283327</v>
      </c>
      <c r="CA74" s="191">
        <f xml:space="preserve"> Equity!CA$41</f>
        <v>4300.370095089188</v>
      </c>
      <c r="CB74" s="191">
        <f xml:space="preserve"> Equity!CB$41</f>
        <v>3328.3942245727467</v>
      </c>
      <c r="CC74" s="191">
        <f xml:space="preserve"> Equity!CC$41</f>
        <v>3976.4271534277591</v>
      </c>
      <c r="CD74" s="191">
        <f xml:space="preserve"> Equity!CD$41</f>
        <v>3226.5383110099901</v>
      </c>
      <c r="CE74" s="191">
        <f xml:space="preserve"> Equity!CE$41</f>
        <v>289.60910606525067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550.06025187035084</v>
      </c>
      <c r="DI74" s="191">
        <f xml:space="preserve"> Equity!DI$41</f>
        <v>5.9117155615240335E-12</v>
      </c>
      <c r="DJ74" s="191">
        <f xml:space="preserve"> Equity!DJ$41</f>
        <v>5.9117155615240335E-12</v>
      </c>
      <c r="DK74" s="191">
        <f xml:space="preserve"> Equity!DK$41</f>
        <v>5.9117155615240335E-12</v>
      </c>
      <c r="DL74" s="191">
        <f xml:space="preserve"> Equity!DL$41</f>
        <v>5.9117155615240335E-12</v>
      </c>
      <c r="DM74" s="191">
        <f xml:space="preserve"> Equity!DM$41</f>
        <v>5.9117155615240335E-12</v>
      </c>
      <c r="DN74" s="191">
        <f xml:space="preserve"> Equity!DN$41</f>
        <v>5.9117155615240335E-12</v>
      </c>
      <c r="DO74" s="191">
        <f xml:space="preserve"> Equity!DO$41</f>
        <v>5.9117155615240335E-12</v>
      </c>
      <c r="DP74" s="191">
        <f xml:space="preserve"> Equity!DP$41</f>
        <v>5.9117155615240335E-12</v>
      </c>
      <c r="DQ74" s="191">
        <f xml:space="preserve"> Equity!DQ$41</f>
        <v>5.9117155615240335E-12</v>
      </c>
      <c r="DR74" s="191">
        <f xml:space="preserve"> Equity!DR$41</f>
        <v>5.9117155615240335E-12</v>
      </c>
      <c r="DS74" s="191">
        <f xml:space="preserve"> Equity!DS$41</f>
        <v>5.9117155615240335E-12</v>
      </c>
      <c r="DT74" s="191">
        <f xml:space="preserve"> Equity!DT$41</f>
        <v>5.9117155615240335E-12</v>
      </c>
      <c r="DU74" s="191">
        <f xml:space="preserve"> Equity!DU$41</f>
        <v>5.9117155615240335E-12</v>
      </c>
      <c r="DV74" s="191">
        <f xml:space="preserve"> Equity!DV$41</f>
        <v>5.9117155615240335E-12</v>
      </c>
      <c r="DW74" s="191">
        <f xml:space="preserve"> Equity!DW$41</f>
        <v>5.9117155615240335E-12</v>
      </c>
      <c r="DX74" s="191">
        <f xml:space="preserve"> Equity!DX$41</f>
        <v>5.9117155615240335E-12</v>
      </c>
      <c r="DY74" s="191">
        <f xml:space="preserve"> Equity!DY$41</f>
        <v>5.9117155615240335E-12</v>
      </c>
      <c r="DZ74" s="191">
        <f xml:space="preserve"> Equity!DZ$41</f>
        <v>5.9117155615240335E-12</v>
      </c>
      <c r="EA74" s="191">
        <f xml:space="preserve"> Equity!EA$41</f>
        <v>5.9117155615240335E-12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102198.9945054945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97628.791666666672</v>
      </c>
      <c r="Q75" s="163">
        <f t="shared" si="50"/>
        <v>98412.579957356094</v>
      </c>
      <c r="R75" s="163">
        <f t="shared" si="50"/>
        <v>97682.349123945489</v>
      </c>
      <c r="S75" s="163">
        <f t="shared" si="50"/>
        <v>94585.455872809849</v>
      </c>
      <c r="T75" s="163">
        <f t="shared" si="50"/>
        <v>93620.688225538965</v>
      </c>
      <c r="U75" s="163">
        <f t="shared" si="50"/>
        <v>94395.601947617979</v>
      </c>
      <c r="V75" s="163">
        <f t="shared" si="50"/>
        <v>93664.028979050243</v>
      </c>
      <c r="W75" s="163">
        <f t="shared" si="50"/>
        <v>90577.568032646624</v>
      </c>
      <c r="X75" s="163">
        <f t="shared" si="50"/>
        <v>89594.903945093291</v>
      </c>
      <c r="Y75" s="163">
        <f t="shared" si="50"/>
        <v>90378.708405590034</v>
      </c>
      <c r="Z75" s="163">
        <f t="shared" si="50"/>
        <v>89645.799979154472</v>
      </c>
      <c r="AA75" s="163">
        <f t="shared" si="50"/>
        <v>86569.719435469277</v>
      </c>
      <c r="AB75" s="163">
        <f t="shared" si="50"/>
        <v>85604.60208959083</v>
      </c>
      <c r="AC75" s="163">
        <f t="shared" si="50"/>
        <v>86361.898911034863</v>
      </c>
      <c r="AD75" s="163">
        <f t="shared" si="50"/>
        <v>85627.661670800473</v>
      </c>
      <c r="AE75" s="163">
        <f t="shared" si="50"/>
        <v>82561.909886039095</v>
      </c>
      <c r="AF75" s="163">
        <f t="shared" si="50"/>
        <v>81596.618994617733</v>
      </c>
      <c r="AG75" s="163">
        <f t="shared" si="50"/>
        <v>82345.173045805845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77588.675616535067</v>
      </c>
      <c r="AK75" s="163">
        <f t="shared" si="50"/>
        <v>78328.530393836656</v>
      </c>
      <c r="AL75" s="163">
        <f t="shared" si="50"/>
        <v>77591.655326155771</v>
      </c>
      <c r="AM75" s="163">
        <f t="shared" si="50"/>
        <v>74546.407154317072</v>
      </c>
      <c r="AN75" s="163">
        <f t="shared" si="50"/>
        <v>73563.40063952934</v>
      </c>
      <c r="AO75" s="163">
        <f t="shared" si="50"/>
        <v>74311.970541131013</v>
      </c>
      <c r="AP75" s="163">
        <f t="shared" ref="AP75:BU75" si="51" xml:space="preserve"> SUM(AP69:AP74)</f>
        <v>73573.786394184834</v>
      </c>
      <c r="AQ75" s="163">
        <f t="shared" si="51"/>
        <v>70538.713586385144</v>
      </c>
      <c r="AR75" s="163">
        <f t="shared" si="51"/>
        <v>69572.907221638146</v>
      </c>
      <c r="AS75" s="163">
        <f t="shared" si="51"/>
        <v>70295.493075752252</v>
      </c>
      <c r="AT75" s="163">
        <f t="shared" si="51"/>
        <v>69556.006362372966</v>
      </c>
      <c r="AU75" s="163">
        <f t="shared" si="51"/>
        <v>66531.058294910588</v>
      </c>
      <c r="AV75" s="163">
        <f t="shared" si="51"/>
        <v>65565.08181257527</v>
      </c>
      <c r="AW75" s="163">
        <f t="shared" si="51"/>
        <v>66279.097587813187</v>
      </c>
      <c r="AX75" s="163">
        <f t="shared" si="51"/>
        <v>65538.314788430827</v>
      </c>
      <c r="AY75" s="163">
        <f t="shared" si="51"/>
        <v>62523.441089463275</v>
      </c>
      <c r="AZ75" s="163">
        <f t="shared" si="51"/>
        <v>61557.295335895789</v>
      </c>
      <c r="BA75" s="163">
        <f t="shared" si="51"/>
        <v>62262.783669465847</v>
      </c>
      <c r="BB75" s="163">
        <f t="shared" si="51"/>
        <v>61520.711232269474</v>
      </c>
      <c r="BC75" s="163">
        <f t="shared" si="51"/>
        <v>58515.861780560474</v>
      </c>
      <c r="BD75" s="163">
        <f t="shared" si="51"/>
        <v>57532.519602324872</v>
      </c>
      <c r="BE75" s="163">
        <f t="shared" si="51"/>
        <v>58246.550914891399</v>
      </c>
      <c r="BF75" s="163">
        <f t="shared" si="51"/>
        <v>57503.195255989529</v>
      </c>
      <c r="BG75" s="163">
        <f t="shared" si="51"/>
        <v>54508.320179662158</v>
      </c>
      <c r="BH75" s="163">
        <f t="shared" si="51"/>
        <v>53541.838405876872</v>
      </c>
      <c r="BI75" s="163">
        <f t="shared" si="51"/>
        <v>54230.398920289947</v>
      </c>
      <c r="BJ75" s="163">
        <f t="shared" si="51"/>
        <v>53485.766423870184</v>
      </c>
      <c r="BK75" s="163">
        <f t="shared" si="51"/>
        <v>50500.816099166332</v>
      </c>
      <c r="BL75" s="163">
        <f t="shared" si="51"/>
        <v>49534.167568036697</v>
      </c>
      <c r="BM75" s="163">
        <f t="shared" si="51"/>
        <v>50214.327283870603</v>
      </c>
      <c r="BN75" s="163">
        <f t="shared" si="51"/>
        <v>49468.424302358399</v>
      </c>
      <c r="BO75" s="163">
        <f t="shared" si="51"/>
        <v>46493.349352404315</v>
      </c>
      <c r="BP75" s="163">
        <f t="shared" si="51"/>
        <v>45526.534893568853</v>
      </c>
      <c r="BQ75" s="163">
        <f t="shared" si="51"/>
        <v>46198.335605841392</v>
      </c>
      <c r="BR75" s="163">
        <f t="shared" si="51"/>
        <v>45451.168460058099</v>
      </c>
      <c r="BS75" s="163">
        <f t="shared" si="51"/>
        <v>42485.919753636132</v>
      </c>
      <c r="BT75" s="163">
        <f t="shared" si="51"/>
        <v>41502.248542137633</v>
      </c>
      <c r="BU75" s="163">
        <f t="shared" si="51"/>
        <v>42182.4234883994</v>
      </c>
      <c r="BV75" s="163">
        <f t="shared" ref="BV75:DA75" si="52" xml:space="preserve"> SUM(BV69:BV74)</f>
        <v>41433.998467719503</v>
      </c>
      <c r="BW75" s="163">
        <f t="shared" si="52"/>
        <v>38478.527118045909</v>
      </c>
      <c r="BX75" s="163">
        <f t="shared" si="52"/>
        <v>37511.383276224704</v>
      </c>
      <c r="BY75" s="163">
        <f t="shared" si="52"/>
        <v>38166.590535720796</v>
      </c>
      <c r="BZ75" s="163">
        <f t="shared" si="52"/>
        <v>37416.913898228362</v>
      </c>
      <c r="CA75" s="163">
        <f t="shared" si="52"/>
        <v>34471.171261737225</v>
      </c>
      <c r="CB75" s="163">
        <f t="shared" si="52"/>
        <v>33503.863956442496</v>
      </c>
      <c r="CC75" s="163">
        <f t="shared" si="52"/>
        <v>34150.836353951039</v>
      </c>
      <c r="CD75" s="163">
        <f t="shared" si="52"/>
        <v>33399.91432659539</v>
      </c>
      <c r="CE75" s="163">
        <f t="shared" si="52"/>
        <v>30463.852001728574</v>
      </c>
      <c r="CF75" s="163">
        <f t="shared" si="52"/>
        <v>30179.005534811455</v>
      </c>
      <c r="CG75" s="163">
        <f t="shared" si="52"/>
        <v>30177.92363322743</v>
      </c>
      <c r="CH75" s="163">
        <f t="shared" si="52"/>
        <v>30176.869629095811</v>
      </c>
      <c r="CI75" s="163">
        <f t="shared" si="52"/>
        <v>30177.753977241289</v>
      </c>
      <c r="CJ75" s="163">
        <f t="shared" si="52"/>
        <v>30180.605854238787</v>
      </c>
      <c r="CK75" s="163">
        <f t="shared" si="52"/>
        <v>30181.508883509981</v>
      </c>
      <c r="CL75" s="163">
        <f t="shared" si="52"/>
        <v>30180.433640667448</v>
      </c>
      <c r="CM75" s="163">
        <f t="shared" si="52"/>
        <v>30181.335808870786</v>
      </c>
      <c r="CN75" s="163">
        <f t="shared" si="52"/>
        <v>30186.292320979923</v>
      </c>
      <c r="CO75" s="163">
        <f t="shared" si="52"/>
        <v>30185.166378380593</v>
      </c>
      <c r="CP75" s="163">
        <f t="shared" si="52"/>
        <v>30184.069468856491</v>
      </c>
      <c r="CQ75" s="163">
        <f t="shared" si="52"/>
        <v>30184.989816200774</v>
      </c>
      <c r="CR75" s="163">
        <f t="shared" si="52"/>
        <v>30190.046204510261</v>
      </c>
      <c r="CS75" s="163">
        <f t="shared" si="52"/>
        <v>30188.897573603881</v>
      </c>
      <c r="CT75" s="163">
        <f t="shared" si="52"/>
        <v>30187.778560803727</v>
      </c>
      <c r="CU75" s="163">
        <f t="shared" si="52"/>
        <v>30188.717453607744</v>
      </c>
      <c r="CV75" s="163">
        <f t="shared" si="52"/>
        <v>30193.875730673022</v>
      </c>
      <c r="CW75" s="163">
        <f t="shared" si="52"/>
        <v>30192.703954278844</v>
      </c>
      <c r="CX75" s="163">
        <f t="shared" si="52"/>
        <v>30191.562392810563</v>
      </c>
      <c r="CY75" s="163">
        <f t="shared" si="52"/>
        <v>30192.520204774617</v>
      </c>
      <c r="CZ75" s="163">
        <f t="shared" si="52"/>
        <v>30195.608990477594</v>
      </c>
      <c r="DA75" s="163">
        <f t="shared" si="52"/>
        <v>30196.58703542998</v>
      </c>
      <c r="DB75" s="163">
        <f t="shared" ref="DB75:EA75" si="53" xml:space="preserve"> SUM(DB69:DB74)</f>
        <v>30195.42247092662</v>
      </c>
      <c r="DC75" s="163">
        <f t="shared" si="53"/>
        <v>30196.399583281251</v>
      </c>
      <c r="DD75" s="163">
        <f t="shared" si="53"/>
        <v>30201.767838557607</v>
      </c>
      <c r="DE75" s="163">
        <f t="shared" si="53"/>
        <v>30200.54836261028</v>
      </c>
      <c r="DF75" s="163">
        <f t="shared" si="53"/>
        <v>30199.360331549164</v>
      </c>
      <c r="DG75" s="163">
        <f t="shared" si="53"/>
        <v>30200.357133206911</v>
      </c>
      <c r="DH75" s="163">
        <f t="shared" si="53"/>
        <v>755.89381338491683</v>
      </c>
      <c r="DI75" s="163">
        <f t="shared" si="53"/>
        <v>5.9117155615240335E-12</v>
      </c>
      <c r="DJ75" s="163">
        <f t="shared" si="53"/>
        <v>5.9117155615240335E-12</v>
      </c>
      <c r="DK75" s="163">
        <f t="shared" si="53"/>
        <v>5.9117155615240335E-12</v>
      </c>
      <c r="DL75" s="163">
        <f t="shared" si="53"/>
        <v>5.9117155615240335E-12</v>
      </c>
      <c r="DM75" s="163">
        <f t="shared" si="53"/>
        <v>5.9117155615240335E-12</v>
      </c>
      <c r="DN75" s="163">
        <f t="shared" si="53"/>
        <v>5.9117155615240335E-12</v>
      </c>
      <c r="DO75" s="163">
        <f t="shared" si="53"/>
        <v>5.9117155615240335E-12</v>
      </c>
      <c r="DP75" s="163">
        <f t="shared" si="53"/>
        <v>5.9117155615240335E-12</v>
      </c>
      <c r="DQ75" s="163">
        <f t="shared" si="53"/>
        <v>5.9117155615240335E-12</v>
      </c>
      <c r="DR75" s="163">
        <f t="shared" si="53"/>
        <v>5.9117155615240335E-12</v>
      </c>
      <c r="DS75" s="163">
        <f t="shared" si="53"/>
        <v>5.9117155615240335E-12</v>
      </c>
      <c r="DT75" s="163">
        <f t="shared" si="53"/>
        <v>5.9117155615240335E-12</v>
      </c>
      <c r="DU75" s="163">
        <f t="shared" si="53"/>
        <v>5.9117155615240335E-12</v>
      </c>
      <c r="DV75" s="163">
        <f t="shared" si="53"/>
        <v>5.9117155615240335E-12</v>
      </c>
      <c r="DW75" s="163">
        <f t="shared" si="53"/>
        <v>5.9117155615240335E-12</v>
      </c>
      <c r="DX75" s="163">
        <f t="shared" si="53"/>
        <v>5.9117155615240335E-12</v>
      </c>
      <c r="DY75" s="163">
        <f t="shared" si="53"/>
        <v>5.9117155615240335E-12</v>
      </c>
      <c r="DZ75" s="163">
        <f t="shared" si="53"/>
        <v>5.9117155615240335E-12</v>
      </c>
      <c r="EA75" s="163">
        <f t="shared" si="53"/>
        <v>5.9117155615240335E-12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102198.99450549451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97628.791666666672</v>
      </c>
      <c r="Q80" s="190">
        <f t="shared" si="54"/>
        <v>98412.57995735608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93620.688225538965</v>
      </c>
      <c r="U80" s="190">
        <f t="shared" si="54"/>
        <v>94395.601947617994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89594.903945093291</v>
      </c>
      <c r="Y80" s="190">
        <f t="shared" si="54"/>
        <v>90378.708405590034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85604.60208959083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81596.618994617733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77588.675616535067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73563.40063952934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69572.907221638132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65565.081812575256</v>
      </c>
      <c r="AW80" s="190">
        <f t="shared" si="54"/>
        <v>66279.097587813172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61557.295335895782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30179.005534811444</v>
      </c>
      <c r="CG80" s="190">
        <f t="shared" si="55"/>
        <v>30177.923633227416</v>
      </c>
      <c r="CH80" s="190">
        <f t="shared" si="55"/>
        <v>30176.8696290958</v>
      </c>
      <c r="CI80" s="190">
        <f t="shared" si="55"/>
        <v>30177.753977241278</v>
      </c>
      <c r="CJ80" s="190">
        <f t="shared" si="55"/>
        <v>30180.605854238776</v>
      </c>
      <c r="CK80" s="190">
        <f t="shared" si="55"/>
        <v>30181.50888350997</v>
      </c>
      <c r="CL80" s="190">
        <f t="shared" si="55"/>
        <v>30180.433640667441</v>
      </c>
      <c r="CM80" s="190">
        <f t="shared" si="55"/>
        <v>30181.335808870776</v>
      </c>
      <c r="CN80" s="190">
        <f t="shared" si="55"/>
        <v>30186.292320979912</v>
      </c>
      <c r="CO80" s="190">
        <f t="shared" si="55"/>
        <v>30185.166378380582</v>
      </c>
      <c r="CP80" s="190">
        <f t="shared" si="55"/>
        <v>30184.069468856484</v>
      </c>
      <c r="CQ80" s="190">
        <f t="shared" si="55"/>
        <v>30184.989816200763</v>
      </c>
      <c r="CR80" s="190">
        <f t="shared" si="55"/>
        <v>30190.04620451025</v>
      </c>
      <c r="CS80" s="190">
        <f t="shared" si="55"/>
        <v>30188.89757360387</v>
      </c>
      <c r="CT80" s="190">
        <f t="shared" si="55"/>
        <v>30187.778560803716</v>
      </c>
      <c r="CU80" s="190">
        <f t="shared" si="55"/>
        <v>30188.717453607736</v>
      </c>
      <c r="CV80" s="190">
        <f t="shared" si="55"/>
        <v>30193.875730673015</v>
      </c>
      <c r="CW80" s="190">
        <f t="shared" si="55"/>
        <v>30192.703954278837</v>
      </c>
      <c r="CX80" s="190">
        <f t="shared" si="55"/>
        <v>30191.562392810556</v>
      </c>
      <c r="CY80" s="190">
        <f t="shared" si="55"/>
        <v>30192.52020477461</v>
      </c>
      <c r="CZ80" s="190">
        <f t="shared" si="55"/>
        <v>30195.608990477587</v>
      </c>
      <c r="DA80" s="190">
        <f t="shared" si="55"/>
        <v>30196.587035429977</v>
      </c>
      <c r="DB80" s="190">
        <f t="shared" si="55"/>
        <v>30195.422470926616</v>
      </c>
      <c r="DC80" s="190">
        <f t="shared" si="55"/>
        <v>30196.399583281247</v>
      </c>
      <c r="DD80" s="190">
        <f t="shared" si="55"/>
        <v>30201.7678385576</v>
      </c>
      <c r="DE80" s="190">
        <f t="shared" si="55"/>
        <v>30200.548362610272</v>
      </c>
      <c r="DF80" s="190">
        <f t="shared" si="55"/>
        <v>30199.36033154916</v>
      </c>
      <c r="DG80" s="190">
        <f t="shared" si="55"/>
        <v>30200.357133206904</v>
      </c>
      <c r="DH80" s="190">
        <f t="shared" si="55"/>
        <v>755.89381338491103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102198.9945054945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97628.791666666672</v>
      </c>
      <c r="Q81" s="190">
        <f t="shared" si="57"/>
        <v>98412.579957356094</v>
      </c>
      <c r="R81" s="190">
        <f t="shared" si="57"/>
        <v>97682.349123945489</v>
      </c>
      <c r="S81" s="190">
        <f t="shared" si="57"/>
        <v>94585.455872809849</v>
      </c>
      <c r="T81" s="190">
        <f t="shared" si="57"/>
        <v>93620.688225538965</v>
      </c>
      <c r="U81" s="190">
        <f t="shared" si="57"/>
        <v>94395.601947617979</v>
      </c>
      <c r="V81" s="190">
        <f t="shared" si="57"/>
        <v>93664.028979050243</v>
      </c>
      <c r="W81" s="190">
        <f t="shared" si="57"/>
        <v>90577.568032646624</v>
      </c>
      <c r="X81" s="190">
        <f t="shared" si="57"/>
        <v>89594.903945093291</v>
      </c>
      <c r="Y81" s="190">
        <f t="shared" si="57"/>
        <v>90378.708405590034</v>
      </c>
      <c r="Z81" s="190">
        <f t="shared" si="57"/>
        <v>89645.799979154472</v>
      </c>
      <c r="AA81" s="190">
        <f t="shared" si="57"/>
        <v>86569.719435469277</v>
      </c>
      <c r="AB81" s="190">
        <f t="shared" si="57"/>
        <v>85604.60208959083</v>
      </c>
      <c r="AC81" s="190">
        <f t="shared" si="57"/>
        <v>86361.898911034863</v>
      </c>
      <c r="AD81" s="190">
        <f t="shared" si="57"/>
        <v>85627.661670800473</v>
      </c>
      <c r="AE81" s="190">
        <f t="shared" si="57"/>
        <v>82561.909886039095</v>
      </c>
      <c r="AF81" s="190">
        <f t="shared" si="57"/>
        <v>81596.618994617733</v>
      </c>
      <c r="AG81" s="190">
        <f t="shared" si="57"/>
        <v>82345.173045805845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77588.675616535067</v>
      </c>
      <c r="AK81" s="190">
        <f t="shared" si="57"/>
        <v>78328.530393836656</v>
      </c>
      <c r="AL81" s="190">
        <f t="shared" si="57"/>
        <v>77591.655326155771</v>
      </c>
      <c r="AM81" s="190">
        <f t="shared" si="57"/>
        <v>74546.407154317072</v>
      </c>
      <c r="AN81" s="190">
        <f t="shared" si="57"/>
        <v>73563.40063952934</v>
      </c>
      <c r="AO81" s="190">
        <f t="shared" si="57"/>
        <v>74311.970541131013</v>
      </c>
      <c r="AP81" s="190">
        <f t="shared" si="57"/>
        <v>73573.786394184834</v>
      </c>
      <c r="AQ81" s="190">
        <f t="shared" si="57"/>
        <v>70538.713586385144</v>
      </c>
      <c r="AR81" s="190">
        <f t="shared" si="57"/>
        <v>69572.907221638146</v>
      </c>
      <c r="AS81" s="190">
        <f t="shared" si="57"/>
        <v>70295.493075752252</v>
      </c>
      <c r="AT81" s="190">
        <f t="shared" ref="AT81:BY81" si="58" xml:space="preserve"> AT$75</f>
        <v>69556.006362372966</v>
      </c>
      <c r="AU81" s="190">
        <f t="shared" si="58"/>
        <v>66531.058294910588</v>
      </c>
      <c r="AV81" s="190">
        <f t="shared" si="58"/>
        <v>65565.08181257527</v>
      </c>
      <c r="AW81" s="190">
        <f t="shared" si="58"/>
        <v>66279.097587813187</v>
      </c>
      <c r="AX81" s="190">
        <f t="shared" si="58"/>
        <v>65538.314788430827</v>
      </c>
      <c r="AY81" s="190">
        <f t="shared" si="58"/>
        <v>62523.441089463275</v>
      </c>
      <c r="AZ81" s="190">
        <f t="shared" si="58"/>
        <v>61557.295335895789</v>
      </c>
      <c r="BA81" s="190">
        <f t="shared" si="58"/>
        <v>62262.783669465847</v>
      </c>
      <c r="BB81" s="190">
        <f t="shared" si="58"/>
        <v>61520.711232269474</v>
      </c>
      <c r="BC81" s="190">
        <f t="shared" si="58"/>
        <v>58515.861780560474</v>
      </c>
      <c r="BD81" s="190">
        <f t="shared" si="58"/>
        <v>57532.519602324872</v>
      </c>
      <c r="BE81" s="190">
        <f t="shared" si="58"/>
        <v>58246.550914891399</v>
      </c>
      <c r="BF81" s="190">
        <f t="shared" si="58"/>
        <v>57503.195255989529</v>
      </c>
      <c r="BG81" s="190">
        <f t="shared" si="58"/>
        <v>54508.320179662158</v>
      </c>
      <c r="BH81" s="190">
        <f t="shared" si="58"/>
        <v>53541.838405876872</v>
      </c>
      <c r="BI81" s="190">
        <f t="shared" si="58"/>
        <v>54230.398920289947</v>
      </c>
      <c r="BJ81" s="190">
        <f t="shared" si="58"/>
        <v>53485.766423870184</v>
      </c>
      <c r="BK81" s="190">
        <f t="shared" si="58"/>
        <v>50500.816099166332</v>
      </c>
      <c r="BL81" s="190">
        <f t="shared" si="58"/>
        <v>49534.167568036697</v>
      </c>
      <c r="BM81" s="190">
        <f t="shared" si="58"/>
        <v>50214.327283870603</v>
      </c>
      <c r="BN81" s="190">
        <f t="shared" si="58"/>
        <v>49468.424302358399</v>
      </c>
      <c r="BO81" s="190">
        <f t="shared" si="58"/>
        <v>46493.349352404315</v>
      </c>
      <c r="BP81" s="190">
        <f t="shared" si="58"/>
        <v>45526.534893568853</v>
      </c>
      <c r="BQ81" s="190">
        <f t="shared" si="58"/>
        <v>46198.335605841392</v>
      </c>
      <c r="BR81" s="190">
        <f t="shared" si="58"/>
        <v>45451.168460058099</v>
      </c>
      <c r="BS81" s="190">
        <f t="shared" si="58"/>
        <v>42485.919753636132</v>
      </c>
      <c r="BT81" s="190">
        <f t="shared" si="58"/>
        <v>41502.248542137633</v>
      </c>
      <c r="BU81" s="190">
        <f t="shared" si="58"/>
        <v>42182.4234883994</v>
      </c>
      <c r="BV81" s="190">
        <f t="shared" si="58"/>
        <v>41433.998467719503</v>
      </c>
      <c r="BW81" s="190">
        <f t="shared" si="58"/>
        <v>38478.527118045909</v>
      </c>
      <c r="BX81" s="190">
        <f t="shared" si="58"/>
        <v>37511.383276224704</v>
      </c>
      <c r="BY81" s="190">
        <f t="shared" si="58"/>
        <v>38166.590535720796</v>
      </c>
      <c r="BZ81" s="190">
        <f t="shared" ref="BZ81:DE81" si="59" xml:space="preserve"> BZ$75</f>
        <v>37416.913898228362</v>
      </c>
      <c r="CA81" s="190">
        <f t="shared" si="59"/>
        <v>34471.171261737225</v>
      </c>
      <c r="CB81" s="190">
        <f t="shared" si="59"/>
        <v>33503.863956442496</v>
      </c>
      <c r="CC81" s="190">
        <f t="shared" si="59"/>
        <v>34150.836353951039</v>
      </c>
      <c r="CD81" s="190">
        <f t="shared" si="59"/>
        <v>33399.91432659539</v>
      </c>
      <c r="CE81" s="190">
        <f t="shared" si="59"/>
        <v>30463.852001728574</v>
      </c>
      <c r="CF81" s="190">
        <f t="shared" si="59"/>
        <v>30179.005534811455</v>
      </c>
      <c r="CG81" s="190">
        <f t="shared" si="59"/>
        <v>30177.92363322743</v>
      </c>
      <c r="CH81" s="190">
        <f t="shared" si="59"/>
        <v>30176.869629095811</v>
      </c>
      <c r="CI81" s="190">
        <f t="shared" si="59"/>
        <v>30177.753977241289</v>
      </c>
      <c r="CJ81" s="190">
        <f t="shared" si="59"/>
        <v>30180.605854238787</v>
      </c>
      <c r="CK81" s="190">
        <f t="shared" si="59"/>
        <v>30181.508883509981</v>
      </c>
      <c r="CL81" s="190">
        <f t="shared" si="59"/>
        <v>30180.433640667448</v>
      </c>
      <c r="CM81" s="190">
        <f t="shared" si="59"/>
        <v>30181.335808870786</v>
      </c>
      <c r="CN81" s="190">
        <f t="shared" si="59"/>
        <v>30186.292320979923</v>
      </c>
      <c r="CO81" s="190">
        <f t="shared" si="59"/>
        <v>30185.166378380593</v>
      </c>
      <c r="CP81" s="190">
        <f t="shared" si="59"/>
        <v>30184.069468856491</v>
      </c>
      <c r="CQ81" s="190">
        <f t="shared" si="59"/>
        <v>30184.989816200774</v>
      </c>
      <c r="CR81" s="190">
        <f t="shared" si="59"/>
        <v>30190.046204510261</v>
      </c>
      <c r="CS81" s="190">
        <f t="shared" si="59"/>
        <v>30188.897573603881</v>
      </c>
      <c r="CT81" s="190">
        <f t="shared" si="59"/>
        <v>30187.778560803727</v>
      </c>
      <c r="CU81" s="190">
        <f t="shared" si="59"/>
        <v>30188.717453607744</v>
      </c>
      <c r="CV81" s="190">
        <f t="shared" si="59"/>
        <v>30193.875730673022</v>
      </c>
      <c r="CW81" s="190">
        <f t="shared" si="59"/>
        <v>30192.703954278844</v>
      </c>
      <c r="CX81" s="190">
        <f t="shared" si="59"/>
        <v>30191.562392810563</v>
      </c>
      <c r="CY81" s="190">
        <f t="shared" si="59"/>
        <v>30192.520204774617</v>
      </c>
      <c r="CZ81" s="190">
        <f t="shared" si="59"/>
        <v>30195.608990477594</v>
      </c>
      <c r="DA81" s="190">
        <f t="shared" si="59"/>
        <v>30196.58703542998</v>
      </c>
      <c r="DB81" s="190">
        <f t="shared" si="59"/>
        <v>30195.42247092662</v>
      </c>
      <c r="DC81" s="190">
        <f t="shared" si="59"/>
        <v>30196.399583281251</v>
      </c>
      <c r="DD81" s="190">
        <f t="shared" si="59"/>
        <v>30201.767838557607</v>
      </c>
      <c r="DE81" s="190">
        <f t="shared" si="59"/>
        <v>30200.54836261028</v>
      </c>
      <c r="DF81" s="190">
        <f t="shared" ref="DF81:EA81" si="60" xml:space="preserve"> DF$75</f>
        <v>30199.360331549164</v>
      </c>
      <c r="DG81" s="190">
        <f t="shared" si="60"/>
        <v>30200.357133206911</v>
      </c>
      <c r="DH81" s="190">
        <f t="shared" si="60"/>
        <v>755.89381338491683</v>
      </c>
      <c r="DI81" s="190">
        <f t="shared" si="60"/>
        <v>5.9117155615240335E-12</v>
      </c>
      <c r="DJ81" s="190">
        <f t="shared" si="60"/>
        <v>5.9117155615240335E-12</v>
      </c>
      <c r="DK81" s="190">
        <f t="shared" si="60"/>
        <v>5.9117155615240335E-12</v>
      </c>
      <c r="DL81" s="190">
        <f t="shared" si="60"/>
        <v>5.9117155615240335E-12</v>
      </c>
      <c r="DM81" s="190">
        <f t="shared" si="60"/>
        <v>5.9117155615240335E-12</v>
      </c>
      <c r="DN81" s="190">
        <f t="shared" si="60"/>
        <v>5.9117155615240335E-12</v>
      </c>
      <c r="DO81" s="190">
        <f t="shared" si="60"/>
        <v>5.9117155615240335E-12</v>
      </c>
      <c r="DP81" s="190">
        <f t="shared" si="60"/>
        <v>5.9117155615240335E-12</v>
      </c>
      <c r="DQ81" s="190">
        <f t="shared" si="60"/>
        <v>5.9117155615240335E-12</v>
      </c>
      <c r="DR81" s="190">
        <f t="shared" si="60"/>
        <v>5.9117155615240335E-12</v>
      </c>
      <c r="DS81" s="190">
        <f t="shared" si="60"/>
        <v>5.9117155615240335E-12</v>
      </c>
      <c r="DT81" s="190">
        <f t="shared" si="60"/>
        <v>5.9117155615240335E-12</v>
      </c>
      <c r="DU81" s="190">
        <f t="shared" si="60"/>
        <v>5.9117155615240335E-12</v>
      </c>
      <c r="DV81" s="190">
        <f t="shared" si="60"/>
        <v>5.9117155615240335E-12</v>
      </c>
      <c r="DW81" s="190">
        <f t="shared" si="60"/>
        <v>5.9117155615240335E-12</v>
      </c>
      <c r="DX81" s="190">
        <f t="shared" si="60"/>
        <v>5.9117155615240335E-12</v>
      </c>
      <c r="DY81" s="190">
        <f t="shared" si="60"/>
        <v>5.9117155615240335E-12</v>
      </c>
      <c r="DZ81" s="190">
        <f t="shared" si="60"/>
        <v>5.9117155615240335E-12</v>
      </c>
      <c r="EA81" s="190">
        <f t="shared" si="60"/>
        <v>5.9117155615240335E-12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-1.1812062439275905E-10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-5.7980287238024175E-12</v>
      </c>
      <c r="DI83" s="150">
        <f t="shared" si="66"/>
        <v>-5.9117155615240335E-12</v>
      </c>
      <c r="DJ83" s="150">
        <f t="shared" si="66"/>
        <v>-5.9117155615240335E-12</v>
      </c>
      <c r="DK83" s="150">
        <f t="shared" si="66"/>
        <v>-5.9117155615240335E-12</v>
      </c>
      <c r="DL83" s="150">
        <f t="shared" si="66"/>
        <v>-5.9117155615240335E-12</v>
      </c>
      <c r="DM83" s="150">
        <f t="shared" si="66"/>
        <v>-5.9117155615240335E-12</v>
      </c>
      <c r="DN83" s="150">
        <f t="shared" si="66"/>
        <v>-5.9117155615240335E-12</v>
      </c>
      <c r="DO83" s="150">
        <f t="shared" si="66"/>
        <v>-5.9117155615240335E-12</v>
      </c>
      <c r="DP83" s="150">
        <f t="shared" si="66"/>
        <v>-5.9117155615240335E-12</v>
      </c>
      <c r="DQ83" s="150">
        <f t="shared" si="66"/>
        <v>-5.9117155615240335E-12</v>
      </c>
      <c r="DR83" s="150">
        <f t="shared" si="66"/>
        <v>-5.9117155615240335E-12</v>
      </c>
      <c r="DS83" s="150">
        <f t="shared" si="66"/>
        <v>-5.9117155615240335E-12</v>
      </c>
      <c r="DT83" s="150">
        <f t="shared" si="66"/>
        <v>-5.9117155615240335E-12</v>
      </c>
      <c r="DU83" s="150">
        <f t="shared" si="66"/>
        <v>-5.9117155615240335E-12</v>
      </c>
      <c r="DV83" s="150">
        <f t="shared" si="66"/>
        <v>-5.9117155615240335E-12</v>
      </c>
      <c r="DW83" s="150">
        <f t="shared" si="66"/>
        <v>-5.9117155615240335E-12</v>
      </c>
      <c r="DX83" s="150">
        <f t="shared" si="66"/>
        <v>-5.9117155615240335E-12</v>
      </c>
      <c r="DY83" s="150">
        <f t="shared" si="66"/>
        <v>-5.9117155615240335E-12</v>
      </c>
      <c r="DZ83" s="150">
        <f t="shared" si="66"/>
        <v>-5.9117155615240335E-12</v>
      </c>
      <c r="EA83" s="150">
        <f t="shared" si="66"/>
        <v>-5.9117155615240335E-12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222667.04122730839</v>
      </c>
      <c r="I19" s="50"/>
      <c r="J19" s="50">
        <f t="shared" ref="J19:AN19" si="3" xml:space="preserve"> J14 + SUM(J16:J18)</f>
        <v>0</v>
      </c>
      <c r="K19" s="50">
        <f t="shared" si="3"/>
        <v>10243.656015390623</v>
      </c>
      <c r="L19" s="50">
        <f t="shared" si="3"/>
        <v>10134.630150719528</v>
      </c>
      <c r="M19" s="50">
        <f t="shared" si="3"/>
        <v>10025.377721807232</v>
      </c>
      <c r="N19" s="50">
        <f t="shared" si="3"/>
        <v>9915.8843604772446</v>
      </c>
      <c r="O19" s="50">
        <f t="shared" si="3"/>
        <v>9806.1354577972634</v>
      </c>
      <c r="P19" s="50">
        <f t="shared" si="3"/>
        <v>9696.1161589851508</v>
      </c>
      <c r="Q19" s="50">
        <f t="shared" si="3"/>
        <v>9585.8113582135356</v>
      </c>
      <c r="R19" s="50">
        <f t="shared" si="3"/>
        <v>9475.2056933108597</v>
      </c>
      <c r="S19" s="50">
        <f t="shared" si="3"/>
        <v>9364.2835403569352</v>
      </c>
      <c r="T19" s="50">
        <f t="shared" si="3"/>
        <v>9253.0290081706789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222667.04122730839</v>
      </c>
      <c r="I22" s="188"/>
      <c r="J22" s="188">
        <f t="shared" ref="J22:AN22" si="4" xml:space="preserve"> J19 + J21</f>
        <v>0</v>
      </c>
      <c r="K22" s="188">
        <f t="shared" si="4"/>
        <v>10243.656015390623</v>
      </c>
      <c r="L22" s="188">
        <f t="shared" si="4"/>
        <v>10134.630150719528</v>
      </c>
      <c r="M22" s="188">
        <f t="shared" si="4"/>
        <v>10025.377721807232</v>
      </c>
      <c r="N22" s="188">
        <f t="shared" si="4"/>
        <v>9915.8843604772446</v>
      </c>
      <c r="O22" s="188">
        <f t="shared" si="4"/>
        <v>9806.1354577972634</v>
      </c>
      <c r="P22" s="188">
        <f t="shared" si="4"/>
        <v>9696.1161589851508</v>
      </c>
      <c r="Q22" s="188">
        <f t="shared" si="4"/>
        <v>9585.8113582135356</v>
      </c>
      <c r="R22" s="188">
        <f t="shared" si="4"/>
        <v>9475.2056933108597</v>
      </c>
      <c r="S22" s="188">
        <f t="shared" si="4"/>
        <v>9364.2835403569352</v>
      </c>
      <c r="T22" s="188">
        <f t="shared" si="4"/>
        <v>9253.0290081706789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-222667.04122730836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-5742.383161302083</v>
      </c>
      <c r="L24" s="9">
        <f xml:space="preserve"> SUMIFS('FS Qtr'!$J24:$EA24, 'FS Qtr'!$J$4:$EA$4, 'FS Ann'!L$4)</f>
        <v>-7145.3031597597765</v>
      </c>
      <c r="M24" s="9">
        <f xml:space="preserve"> SUMIFS('FS Qtr'!$J24:$EA24, 'FS Qtr'!$J$4:$EA$4, 'FS Ann'!M$4)</f>
        <v>-7052.3249996026152</v>
      </c>
      <c r="N24" s="9">
        <f xml:space="preserve"> SUMIFS('FS Qtr'!$J24:$EA24, 'FS Qtr'!$J$4:$EA$4, 'FS Ann'!N$4)</f>
        <v>-6910.3187320488278</v>
      </c>
      <c r="O24" s="9">
        <f xml:space="preserve"> SUMIFS('FS Qtr'!$J24:$EA24, 'FS Qtr'!$J$4:$EA$4, 'FS Ann'!O$4)</f>
        <v>-6816.8466060091905</v>
      </c>
      <c r="P24" s="9">
        <f xml:space="preserve"> SUMIFS('FS Qtr'!$J24:$EA24, 'FS Qtr'!$J$4:$EA$4, 'FS Ann'!P$4)</f>
        <v>-6706.8425619451618</v>
      </c>
      <c r="Q24" s="9">
        <f xml:space="preserve"> SUMIFS('FS Qtr'!$J24:$EA24, 'FS Qtr'!$J$4:$EA$4, 'FS Ann'!Q$4)</f>
        <v>-6612.3459440977422</v>
      </c>
      <c r="R24" s="9">
        <f xml:space="preserve"> SUMIFS('FS Qtr'!$J24:$EA24, 'FS Qtr'!$J$4:$EA$4, 'FS Ann'!R$4)</f>
        <v>-6470.1749201386983</v>
      </c>
      <c r="S24" s="9">
        <f xml:space="preserve"> SUMIFS('FS Qtr'!$J24:$EA24, 'FS Qtr'!$J$4:$EA$4, 'FS Ann'!S$4)</f>
        <v>-6375.0636251819433</v>
      </c>
      <c r="T24" s="9">
        <f xml:space="preserve"> SUMIFS('FS Qtr'!$J24:$EA24, 'FS Qtr'!$J$4:$EA$4, 'FS Ann'!T$4)</f>
        <v>-6263.829698808081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-11677.421626961237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-6982.5729109798931</v>
      </c>
      <c r="AJ24" s="9">
        <f xml:space="preserve"> SUMIFS('FS Qtr'!$J24:$EA24, 'FS Qtr'!$J$4:$EA$4, 'FS Ann'!AJ$4)</f>
        <v>-550.06025187034493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-7.73070496506989E-12</v>
      </c>
      <c r="I25" s="50"/>
      <c r="J25" s="50">
        <f t="shared" ref="J25:AN25" si="5" xml:space="preserve"> J22 + J24</f>
        <v>0</v>
      </c>
      <c r="K25" s="50">
        <f t="shared" si="5"/>
        <v>4501.27285408854</v>
      </c>
      <c r="L25" s="50">
        <f t="shared" si="5"/>
        <v>2989.3269909597511</v>
      </c>
      <c r="M25" s="50">
        <f t="shared" si="5"/>
        <v>2973.0527222046167</v>
      </c>
      <c r="N25" s="50">
        <f t="shared" si="5"/>
        <v>3005.5656284284169</v>
      </c>
      <c r="O25" s="50">
        <f t="shared" si="5"/>
        <v>2989.2888517880729</v>
      </c>
      <c r="P25" s="50">
        <f t="shared" si="5"/>
        <v>2989.273597039989</v>
      </c>
      <c r="Q25" s="50">
        <f t="shared" si="5"/>
        <v>2973.4654141157935</v>
      </c>
      <c r="R25" s="50">
        <f t="shared" si="5"/>
        <v>3005.0307731721614</v>
      </c>
      <c r="S25" s="50">
        <f t="shared" si="5"/>
        <v>2989.2199151749919</v>
      </c>
      <c r="T25" s="50">
        <f t="shared" si="5"/>
        <v>2989.1993093625979</v>
      </c>
      <c r="U25" s="50">
        <f t="shared" si="5"/>
        <v>-4026.1399796090955</v>
      </c>
      <c r="V25" s="50">
        <f t="shared" si="5"/>
        <v>-3995.5288159858956</v>
      </c>
      <c r="W25" s="50">
        <f t="shared" si="5"/>
        <v>-4010.8709619195215</v>
      </c>
      <c r="X25" s="50">
        <f t="shared" si="5"/>
        <v>-4010.8972826494428</v>
      </c>
      <c r="Y25" s="50">
        <f t="shared" si="5"/>
        <v>-4025.7639269584179</v>
      </c>
      <c r="Z25" s="50">
        <f t="shared" si="5"/>
        <v>-3996.1155827867842</v>
      </c>
      <c r="AA25" s="50">
        <f t="shared" si="5"/>
        <v>-4010.9852818530489</v>
      </c>
      <c r="AB25" s="50">
        <f t="shared" si="5"/>
        <v>-3328.3942245727449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550.06025187035175</v>
      </c>
      <c r="AJ25" s="50">
        <f t="shared" si="5"/>
        <v>-550.06025187034493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-7000</v>
      </c>
      <c r="L36" s="9">
        <f xml:space="preserve"> SUMIFS('FS Qtr'!$J36:$EA36, 'FS Qtr'!$J$4:$EA$4, 'FS Ann'!L$4)</f>
        <v>-7000</v>
      </c>
      <c r="M36" s="9">
        <f xml:space="preserve"> SUMIFS('FS Qtr'!$J36:$EA36, 'FS Qtr'!$J$4:$EA$4, 'FS Ann'!M$4)</f>
        <v>-7000</v>
      </c>
      <c r="N36" s="9">
        <f xml:space="preserve"> SUMIFS('FS Qtr'!$J36:$EA36, 'FS Qtr'!$J$4:$EA$4, 'FS Ann'!N$4)</f>
        <v>-7000</v>
      </c>
      <c r="O36" s="9">
        <f xml:space="preserve"> SUMIFS('FS Qtr'!$J36:$EA36, 'FS Qtr'!$J$4:$EA$4, 'FS Ann'!O$4)</f>
        <v>-7000</v>
      </c>
      <c r="P36" s="9">
        <f xml:space="preserve"> SUMIFS('FS Qtr'!$J36:$EA36, 'FS Qtr'!$J$4:$EA$4, 'FS Ann'!P$4)</f>
        <v>-7000</v>
      </c>
      <c r="Q36" s="9">
        <f xml:space="preserve"> SUMIFS('FS Qtr'!$J36:$EA36, 'FS Qtr'!$J$4:$EA$4, 'FS Ann'!Q$4)</f>
        <v>-7000</v>
      </c>
      <c r="R36" s="9">
        <f xml:space="preserve"> SUMIFS('FS Qtr'!$J36:$EA36, 'FS Qtr'!$J$4:$EA$4, 'FS Ann'!R$4)</f>
        <v>-7000</v>
      </c>
      <c r="S36" s="9">
        <f xml:space="preserve"> SUMIFS('FS Qtr'!$J36:$EA36, 'FS Qtr'!$J$4:$EA$4, 'FS Ann'!S$4)</f>
        <v>-7000</v>
      </c>
      <c r="T36" s="9">
        <f xml:space="preserve"> SUMIFS('FS Qtr'!$J36:$EA36, 'FS Qtr'!$J$4:$EA$4, 'FS Ann'!T$4)</f>
        <v>-7000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252667.04122730842</v>
      </c>
      <c r="I37" s="50"/>
      <c r="J37" s="50">
        <f t="shared" ref="J37:AN37" si="7" xml:space="preserve"> J33 + SUM(J35:J36)</f>
        <v>0</v>
      </c>
      <c r="K37" s="50">
        <f t="shared" si="7"/>
        <v>5742.3831613020848</v>
      </c>
      <c r="L37" s="50">
        <f t="shared" si="7"/>
        <v>7145.3031597597765</v>
      </c>
      <c r="M37" s="50">
        <f t="shared" si="7"/>
        <v>7052.324999602617</v>
      </c>
      <c r="N37" s="50">
        <f t="shared" si="7"/>
        <v>6910.3187320488287</v>
      </c>
      <c r="O37" s="50">
        <f t="shared" si="7"/>
        <v>6816.8466060091923</v>
      </c>
      <c r="P37" s="50">
        <f t="shared" si="7"/>
        <v>6706.8425619451609</v>
      </c>
      <c r="Q37" s="50">
        <f t="shared" si="7"/>
        <v>6612.3459440977404</v>
      </c>
      <c r="R37" s="50">
        <f t="shared" si="7"/>
        <v>6470.1749201386974</v>
      </c>
      <c r="S37" s="50">
        <f t="shared" si="7"/>
        <v>6375.0636251819451</v>
      </c>
      <c r="T37" s="50">
        <f t="shared" si="7"/>
        <v>6263.8296988080801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252667.04122730842</v>
      </c>
      <c r="I41" s="50"/>
      <c r="J41" s="50">
        <f t="shared" ref="J41:AN41" si="8" xml:space="preserve"> J37 + SUM(J39:J40)</f>
        <v>0</v>
      </c>
      <c r="K41" s="50">
        <f t="shared" si="8"/>
        <v>5742.3831613020848</v>
      </c>
      <c r="L41" s="50">
        <f t="shared" si="8"/>
        <v>7145.3031597597765</v>
      </c>
      <c r="M41" s="50">
        <f t="shared" si="8"/>
        <v>7052.324999602617</v>
      </c>
      <c r="N41" s="50">
        <f t="shared" si="8"/>
        <v>6910.3187320488287</v>
      </c>
      <c r="O41" s="50">
        <f t="shared" si="8"/>
        <v>6816.8466060091923</v>
      </c>
      <c r="P41" s="50">
        <f t="shared" si="8"/>
        <v>6706.8425619451609</v>
      </c>
      <c r="Q41" s="50">
        <f t="shared" si="8"/>
        <v>6612.3459440977404</v>
      </c>
      <c r="R41" s="50">
        <f t="shared" si="8"/>
        <v>6470.1749201386974</v>
      </c>
      <c r="S41" s="50">
        <f t="shared" si="8"/>
        <v>6375.0636251819451</v>
      </c>
      <c r="T41" s="50">
        <f t="shared" si="8"/>
        <v>6263.8296988080801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252667.04122730842</v>
      </c>
      <c r="I46" s="50"/>
      <c r="J46" s="50">
        <f t="shared" ref="J46:AN46" si="9" xml:space="preserve"> J41 + SUM(J43:J45)</f>
        <v>0</v>
      </c>
      <c r="K46" s="50">
        <f t="shared" si="9"/>
        <v>5742.3831613020848</v>
      </c>
      <c r="L46" s="50">
        <f t="shared" si="9"/>
        <v>7145.3031597597765</v>
      </c>
      <c r="M46" s="50">
        <f t="shared" si="9"/>
        <v>7052.324999602617</v>
      </c>
      <c r="N46" s="50">
        <f t="shared" si="9"/>
        <v>6910.3187320488287</v>
      </c>
      <c r="O46" s="50">
        <f t="shared" si="9"/>
        <v>6816.8466060091923</v>
      </c>
      <c r="P46" s="50">
        <f t="shared" si="9"/>
        <v>6706.8425619451609</v>
      </c>
      <c r="Q46" s="50">
        <f t="shared" si="9"/>
        <v>6612.3459440977404</v>
      </c>
      <c r="R46" s="50">
        <f t="shared" si="9"/>
        <v>6470.1749201386974</v>
      </c>
      <c r="S46" s="50">
        <f t="shared" si="9"/>
        <v>6375.0636251819451</v>
      </c>
      <c r="T46" s="50">
        <f t="shared" si="9"/>
        <v>6263.8296988080801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222667.04122730842</v>
      </c>
      <c r="I49" s="50"/>
      <c r="J49" s="50">
        <f t="shared" ref="J49:AN49" si="10" xml:space="preserve"> J46 + J48</f>
        <v>0</v>
      </c>
      <c r="K49" s="50">
        <f t="shared" si="10"/>
        <v>5742.3831613020848</v>
      </c>
      <c r="L49" s="50">
        <f t="shared" si="10"/>
        <v>7145.3031597597765</v>
      </c>
      <c r="M49" s="50">
        <f t="shared" si="10"/>
        <v>7052.324999602617</v>
      </c>
      <c r="N49" s="50">
        <f t="shared" si="10"/>
        <v>6910.3187320488287</v>
      </c>
      <c r="O49" s="50">
        <f t="shared" si="10"/>
        <v>6816.8466060091923</v>
      </c>
      <c r="P49" s="50">
        <f t="shared" si="10"/>
        <v>6706.8425619451609</v>
      </c>
      <c r="Q49" s="50">
        <f t="shared" si="10"/>
        <v>6612.3459440977404</v>
      </c>
      <c r="R49" s="50">
        <f t="shared" si="10"/>
        <v>6470.1749201386974</v>
      </c>
      <c r="S49" s="50">
        <f t="shared" si="10"/>
        <v>6375.0636251819451</v>
      </c>
      <c r="T49" s="50">
        <f t="shared" si="10"/>
        <v>6263.8296988080801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-222667.04122730836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-5742.383161302083</v>
      </c>
      <c r="L51" s="9">
        <f xml:space="preserve"> SUMIFS('FS Qtr'!$J52:$EA52, 'FS Qtr'!$J$4:$EA$4, 'FS Ann'!L$4)</f>
        <v>-7145.3031597597765</v>
      </c>
      <c r="M51" s="9">
        <f xml:space="preserve"> SUMIFS('FS Qtr'!$J52:$EA52, 'FS Qtr'!$J$4:$EA$4, 'FS Ann'!M$4)</f>
        <v>-7052.3249996026152</v>
      </c>
      <c r="N51" s="9">
        <f xml:space="preserve"> SUMIFS('FS Qtr'!$J52:$EA52, 'FS Qtr'!$J$4:$EA$4, 'FS Ann'!N$4)</f>
        <v>-6910.3187320488278</v>
      </c>
      <c r="O51" s="9">
        <f xml:space="preserve"> SUMIFS('FS Qtr'!$J52:$EA52, 'FS Qtr'!$J$4:$EA$4, 'FS Ann'!O$4)</f>
        <v>-6816.8466060091905</v>
      </c>
      <c r="P51" s="9">
        <f xml:space="preserve"> SUMIFS('FS Qtr'!$J52:$EA52, 'FS Qtr'!$J$4:$EA$4, 'FS Ann'!P$4)</f>
        <v>-6706.8425619451618</v>
      </c>
      <c r="Q51" s="9">
        <f xml:space="preserve"> SUMIFS('FS Qtr'!$J52:$EA52, 'FS Qtr'!$J$4:$EA$4, 'FS Ann'!Q$4)</f>
        <v>-6612.3459440977422</v>
      </c>
      <c r="R51" s="9">
        <f xml:space="preserve"> SUMIFS('FS Qtr'!$J52:$EA52, 'FS Qtr'!$J$4:$EA$4, 'FS Ann'!R$4)</f>
        <v>-6470.1749201386983</v>
      </c>
      <c r="S51" s="9">
        <f xml:space="preserve"> SUMIFS('FS Qtr'!$J52:$EA52, 'FS Qtr'!$J$4:$EA$4, 'FS Ann'!S$4)</f>
        <v>-6375.0636251819433</v>
      </c>
      <c r="T51" s="9">
        <f xml:space="preserve"> SUMIFS('FS Qtr'!$J52:$EA52, 'FS Qtr'!$J$4:$EA$4, 'FS Ann'!T$4)</f>
        <v>-6263.829698808081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-11677.421626961237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-6982.5729109798931</v>
      </c>
      <c r="AJ51" s="9">
        <f xml:space="preserve"> SUMIFS('FS Qtr'!$J52:$EA52, 'FS Qtr'!$J$4:$EA$4, 'FS Ann'!AJ$4)</f>
        <v>-550.06025187034493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-1.4551915228366852E-11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682.62348860002203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-25438.648822051309</v>
      </c>
      <c r="AJ52" s="50">
        <f t="shared" si="11"/>
        <v>689.14681089112128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682.62348860002203</v>
      </c>
      <c r="AD63" s="9">
        <f xml:space="preserve"> SUMIFS( 'FS Qtr'!$J63:$EA63, 'FS Qtr'!$J$2:$EA$2, 'FS Ann'!AD$2)</f>
        <v>4708.0304438289804</v>
      </c>
      <c r="AE63" s="9">
        <f xml:space="preserve"> SUMIFS( 'FS Qtr'!$J63:$EA63, 'FS Qtr'!$J$2:$EA$2, 'FS Ann'!AE$2)</f>
        <v>8704.7626101198621</v>
      </c>
      <c r="AF63" s="9">
        <f xml:space="preserve"> SUMIFS( 'FS Qtr'!$J63:$EA63, 'FS Qtr'!$J$2:$EA$2, 'FS Ann'!AF$2)</f>
        <v>12715.887288231595</v>
      </c>
      <c r="AG63" s="9">
        <f xml:space="preserve"> SUMIFS( 'FS Qtr'!$J63:$EA63, 'FS Qtr'!$J$2:$EA$2, 'FS Ann'!AG$2)</f>
        <v>16727.050938355944</v>
      </c>
      <c r="AH63" s="9">
        <f xml:space="preserve"> SUMIFS( 'FS Qtr'!$J63:$EA63, 'FS Qtr'!$J$2:$EA$2, 'FS Ann'!AH$2)</f>
        <v>20752.120593905103</v>
      </c>
      <c r="AI63" s="9">
        <f xml:space="preserve"> SUMIFS( 'FS Qtr'!$J63:$EA63, 'FS Qtr'!$J$2:$EA$2, 'FS Ann'!AI$2)</f>
        <v>24749.502011160188</v>
      </c>
      <c r="AJ63" s="9">
        <f xml:space="preserve"> SUMIFS( 'FS Qtr'!$J63:$EA63, 'FS Qtr'!$J$2:$EA$2, 'FS Ann'!AJ$2)</f>
        <v>-689.14681089112128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1628.7916666666665</v>
      </c>
      <c r="M65" s="50">
        <f t="shared" si="13"/>
        <v>1620.6882255389719</v>
      </c>
      <c r="N65" s="50">
        <f t="shared" si="13"/>
        <v>1594.9039450932974</v>
      </c>
      <c r="O65" s="50">
        <f t="shared" si="13"/>
        <v>1604.6020895908246</v>
      </c>
      <c r="P65" s="50">
        <f t="shared" si="13"/>
        <v>1596.618994617736</v>
      </c>
      <c r="Q65" s="50">
        <f t="shared" si="13"/>
        <v>1588.6756165350612</v>
      </c>
      <c r="R65" s="50">
        <f t="shared" si="13"/>
        <v>1563.4006395293372</v>
      </c>
      <c r="S65" s="50">
        <f t="shared" si="13"/>
        <v>1572.9072216381392</v>
      </c>
      <c r="T65" s="50">
        <f t="shared" si="13"/>
        <v>1565.081812575263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2179.0055348114429</v>
      </c>
      <c r="AD65" s="50">
        <f t="shared" si="13"/>
        <v>6180.6058542387764</v>
      </c>
      <c r="AE65" s="50">
        <f t="shared" si="13"/>
        <v>10186.292320979912</v>
      </c>
      <c r="AF65" s="50">
        <f t="shared" si="13"/>
        <v>14190.04620451025</v>
      </c>
      <c r="AG65" s="50">
        <f t="shared" si="13"/>
        <v>18193.875730673015</v>
      </c>
      <c r="AH65" s="50">
        <f t="shared" si="13"/>
        <v>22195.608990477587</v>
      </c>
      <c r="AI65" s="50">
        <f t="shared" si="13"/>
        <v>26201.7678385576</v>
      </c>
      <c r="AJ65" s="50">
        <f t="shared" si="13"/>
        <v>755.89381338491103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97628.791666666672</v>
      </c>
      <c r="M67" s="50">
        <f t="shared" si="14"/>
        <v>93620.688225538965</v>
      </c>
      <c r="N67" s="50">
        <f t="shared" si="14"/>
        <v>89594.903945093291</v>
      </c>
      <c r="O67" s="50">
        <f t="shared" si="14"/>
        <v>85604.60208959083</v>
      </c>
      <c r="P67" s="50">
        <f t="shared" si="14"/>
        <v>81596.618994617733</v>
      </c>
      <c r="Q67" s="50">
        <f t="shared" si="14"/>
        <v>77588.675616535067</v>
      </c>
      <c r="R67" s="50">
        <f t="shared" si="14"/>
        <v>73563.40063952934</v>
      </c>
      <c r="S67" s="50">
        <f t="shared" si="14"/>
        <v>69572.907221638132</v>
      </c>
      <c r="T67" s="50">
        <f t="shared" si="14"/>
        <v>65565.081812575256</v>
      </c>
      <c r="U67" s="50">
        <f t="shared" si="14"/>
        <v>61557.295335895782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30179.005534811444</v>
      </c>
      <c r="AD67" s="50">
        <f t="shared" si="14"/>
        <v>30180.605854238776</v>
      </c>
      <c r="AE67" s="50">
        <f t="shared" si="14"/>
        <v>30186.292320979912</v>
      </c>
      <c r="AF67" s="50">
        <f t="shared" si="14"/>
        <v>30190.04620451025</v>
      </c>
      <c r="AG67" s="50">
        <f t="shared" si="14"/>
        <v>30193.875730673015</v>
      </c>
      <c r="AH67" s="50">
        <f t="shared" si="14"/>
        <v>30195.608990477587</v>
      </c>
      <c r="AI67" s="50">
        <f t="shared" si="14"/>
        <v>30201.7678385576</v>
      </c>
      <c r="AJ67" s="50">
        <f t="shared" si="14"/>
        <v>755.89381338491103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63000</v>
      </c>
      <c r="M70" s="9">
        <f xml:space="preserve"> SUMIFS( 'FS Qtr'!$J70:$EA70, 'FS Qtr'!$J$2:$EA$2, 'FS Ann'!M$2)</f>
        <v>56000</v>
      </c>
      <c r="N70" s="9">
        <f xml:space="preserve"> SUMIFS( 'FS Qtr'!$J70:$EA70, 'FS Qtr'!$J$2:$EA$2, 'FS Ann'!N$2)</f>
        <v>49000</v>
      </c>
      <c r="O70" s="9">
        <f xml:space="preserve"> SUMIFS( 'FS Qtr'!$J70:$EA70, 'FS Qtr'!$J$2:$EA$2, 'FS Ann'!O$2)</f>
        <v>42000</v>
      </c>
      <c r="P70" s="9">
        <f xml:space="preserve"> SUMIFS( 'FS Qtr'!$J70:$EA70, 'FS Qtr'!$J$2:$EA$2, 'FS Ann'!P$2)</f>
        <v>35000</v>
      </c>
      <c r="Q70" s="9">
        <f xml:space="preserve"> SUMIFS( 'FS Qtr'!$J70:$EA70, 'FS Qtr'!$J$2:$EA$2, 'FS Ann'!Q$2)</f>
        <v>28000</v>
      </c>
      <c r="R70" s="9">
        <f xml:space="preserve"> SUMIFS( 'FS Qtr'!$J70:$EA70, 'FS Qtr'!$J$2:$EA$2, 'FS Ann'!R$2)</f>
        <v>21000</v>
      </c>
      <c r="S70" s="9">
        <f xml:space="preserve"> SUMIFS( 'FS Qtr'!$J70:$EA70, 'FS Qtr'!$J$2:$EA$2, 'FS Ann'!S$2)</f>
        <v>14000</v>
      </c>
      <c r="T70" s="9">
        <f xml:space="preserve"> SUMIFS( 'FS Qtr'!$J70:$EA70, 'FS Qtr'!$J$2:$EA$2, 'FS Ann'!T$2)</f>
        <v>7000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4501.272854088541</v>
      </c>
      <c r="M74" s="9">
        <f xml:space="preserve"> SUMIFS( 'FS Qtr'!$J74:$EA74, 'FS Qtr'!$J$2:$EA$2, 'FS Ann'!M$2)</f>
        <v>7490.599845048293</v>
      </c>
      <c r="N74" s="9">
        <f xml:space="preserve"> SUMIFS( 'FS Qtr'!$J74:$EA74, 'FS Qtr'!$J$2:$EA$2, 'FS Ann'!N$2)</f>
        <v>10463.652567252908</v>
      </c>
      <c r="O74" s="9">
        <f xml:space="preserve"> SUMIFS( 'FS Qtr'!$J74:$EA74, 'FS Qtr'!$J$2:$EA$2, 'FS Ann'!O$2)</f>
        <v>13469.218195681322</v>
      </c>
      <c r="P74" s="9">
        <f xml:space="preserve"> SUMIFS( 'FS Qtr'!$J74:$EA74, 'FS Qtr'!$J$2:$EA$2, 'FS Ann'!P$2)</f>
        <v>16458.507047469397</v>
      </c>
      <c r="Q74" s="9">
        <f xml:space="preserve"> SUMIFS( 'FS Qtr'!$J74:$EA74, 'FS Qtr'!$J$2:$EA$2, 'FS Ann'!Q$2)</f>
        <v>19447.780644509396</v>
      </c>
      <c r="R74" s="9">
        <f xml:space="preserve"> SUMIFS( 'FS Qtr'!$J74:$EA74, 'FS Qtr'!$J$2:$EA$2, 'FS Ann'!R$2)</f>
        <v>22421.246058625184</v>
      </c>
      <c r="S74" s="9">
        <f xml:space="preserve"> SUMIFS( 'FS Qtr'!$J74:$EA74, 'FS Qtr'!$J$2:$EA$2, 'FS Ann'!S$2)</f>
        <v>25426.27683179735</v>
      </c>
      <c r="T74" s="9">
        <f xml:space="preserve"> SUMIFS( 'FS Qtr'!$J74:$EA74, 'FS Qtr'!$J$2:$EA$2, 'FS Ann'!T$2)</f>
        <v>28415.496746972341</v>
      </c>
      <c r="U74" s="9">
        <f xml:space="preserve"> SUMIFS( 'FS Qtr'!$J74:$EA74, 'FS Qtr'!$J$2:$EA$2, 'FS Ann'!U$2)</f>
        <v>31404.696056334942</v>
      </c>
      <c r="V74" s="9">
        <f xml:space="preserve"> SUMIFS( 'FS Qtr'!$J74:$EA74, 'FS Qtr'!$J$2:$EA$2, 'FS Ann'!V$2)</f>
        <v>27378.556076725847</v>
      </c>
      <c r="W74" s="9">
        <f xml:space="preserve"> SUMIFS( 'FS Qtr'!$J74:$EA74, 'FS Qtr'!$J$2:$EA$2, 'FS Ann'!W$2)</f>
        <v>23383.027260739953</v>
      </c>
      <c r="X74" s="9">
        <f xml:space="preserve"> SUMIFS( 'FS Qtr'!$J74:$EA74, 'FS Qtr'!$J$2:$EA$2, 'FS Ann'!X$2)</f>
        <v>19372.156298820435</v>
      </c>
      <c r="Y74" s="9">
        <f xml:space="preserve"> SUMIFS( 'FS Qtr'!$J74:$EA74, 'FS Qtr'!$J$2:$EA$2, 'FS Ann'!Y$2)</f>
        <v>15361.259016170996</v>
      </c>
      <c r="Z74" s="9">
        <f xml:space="preserve"> SUMIFS( 'FS Qtr'!$J74:$EA74, 'FS Qtr'!$J$2:$EA$2, 'FS Ann'!Z$2)</f>
        <v>11335.495089212582</v>
      </c>
      <c r="AA74" s="9">
        <f xml:space="preserve"> SUMIFS( 'FS Qtr'!$J74:$EA74, 'FS Qtr'!$J$2:$EA$2, 'FS Ann'!AA$2)</f>
        <v>7339.3795064257938</v>
      </c>
      <c r="AB74" s="9">
        <f xml:space="preserve"> SUMIFS( 'FS Qtr'!$J74:$EA74, 'FS Qtr'!$J$2:$EA$2, 'FS Ann'!AB$2)</f>
        <v>3328.3942245727467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550.06025187035084</v>
      </c>
      <c r="AK74" s="9">
        <f xml:space="preserve"> SUMIFS( 'FS Qtr'!$J74:$EA74, 'FS Qtr'!$J$2:$EA$2, 'FS Ann'!AK$2)</f>
        <v>5.9117155615240335E-12</v>
      </c>
      <c r="AL74" s="9">
        <f xml:space="preserve"> SUMIFS( 'FS Qtr'!$J74:$EA74, 'FS Qtr'!$J$2:$EA$2, 'FS Ann'!AL$2)</f>
        <v>5.9117155615240335E-12</v>
      </c>
      <c r="AM74" s="9">
        <f xml:space="preserve"> SUMIFS( 'FS Qtr'!$J74:$EA74, 'FS Qtr'!$J$2:$EA$2, 'FS Ann'!AM$2)</f>
        <v>5.9117155615240335E-12</v>
      </c>
      <c r="AN74" s="9">
        <f xml:space="preserve"> SUMIFS( 'FS Qtr'!$J74:$EA74, 'FS Qtr'!$J$2:$EA$2, 'FS Ann'!AN$2)</f>
        <v>5.9117155615240335E-12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97628.791666666672</v>
      </c>
      <c r="M75" s="50">
        <f t="shared" si="15"/>
        <v>93620.688225538965</v>
      </c>
      <c r="N75" s="50">
        <f t="shared" si="15"/>
        <v>89594.903945093291</v>
      </c>
      <c r="O75" s="50">
        <f t="shared" si="15"/>
        <v>85604.60208959083</v>
      </c>
      <c r="P75" s="50">
        <f t="shared" si="15"/>
        <v>81596.618994617733</v>
      </c>
      <c r="Q75" s="50">
        <f t="shared" si="15"/>
        <v>77588.675616535067</v>
      </c>
      <c r="R75" s="50">
        <f t="shared" si="15"/>
        <v>73563.40063952934</v>
      </c>
      <c r="S75" s="50">
        <f t="shared" si="15"/>
        <v>69572.907221638146</v>
      </c>
      <c r="T75" s="50">
        <f t="shared" si="15"/>
        <v>65565.08181257527</v>
      </c>
      <c r="U75" s="50">
        <f t="shared" si="15"/>
        <v>61557.295335895789</v>
      </c>
      <c r="V75" s="50">
        <f t="shared" si="15"/>
        <v>57532.519602324872</v>
      </c>
      <c r="W75" s="50">
        <f t="shared" si="15"/>
        <v>53541.838405876872</v>
      </c>
      <c r="X75" s="50">
        <f t="shared" si="15"/>
        <v>49534.167568036697</v>
      </c>
      <c r="Y75" s="50">
        <f t="shared" si="15"/>
        <v>45526.534893568853</v>
      </c>
      <c r="Z75" s="50">
        <f t="shared" si="15"/>
        <v>41502.248542137633</v>
      </c>
      <c r="AA75" s="50">
        <f t="shared" si="15"/>
        <v>37511.383276224704</v>
      </c>
      <c r="AB75" s="50">
        <f t="shared" si="15"/>
        <v>33503.863956442496</v>
      </c>
      <c r="AC75" s="50">
        <f t="shared" si="15"/>
        <v>30179.005534811455</v>
      </c>
      <c r="AD75" s="50">
        <f t="shared" si="15"/>
        <v>30180.605854238787</v>
      </c>
      <c r="AE75" s="50">
        <f t="shared" si="15"/>
        <v>30186.292320979923</v>
      </c>
      <c r="AF75" s="50">
        <f t="shared" si="15"/>
        <v>30190.046204510261</v>
      </c>
      <c r="AG75" s="50">
        <f t="shared" si="15"/>
        <v>30193.875730673022</v>
      </c>
      <c r="AH75" s="50">
        <f t="shared" si="15"/>
        <v>30195.608990477594</v>
      </c>
      <c r="AI75" s="50">
        <f t="shared" si="15"/>
        <v>30201.767838557607</v>
      </c>
      <c r="AJ75" s="50">
        <f t="shared" si="15"/>
        <v>755.89381338491683</v>
      </c>
      <c r="AK75" s="50">
        <f t="shared" si="15"/>
        <v>5.9117155615240335E-12</v>
      </c>
      <c r="AL75" s="50">
        <f t="shared" si="15"/>
        <v>5.9117155615240335E-12</v>
      </c>
      <c r="AM75" s="50">
        <f t="shared" si="15"/>
        <v>5.9117155615240335E-12</v>
      </c>
      <c r="AN75" s="50">
        <f t="shared" si="15"/>
        <v>5.9117155615240335E-12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97628.791666666672</v>
      </c>
      <c r="M80" s="113">
        <f t="shared" si="16"/>
        <v>93620.688225538965</v>
      </c>
      <c r="N80" s="113">
        <f t="shared" si="16"/>
        <v>89594.903945093291</v>
      </c>
      <c r="O80" s="113">
        <f t="shared" si="16"/>
        <v>85604.60208959083</v>
      </c>
      <c r="P80" s="113">
        <f t="shared" si="16"/>
        <v>81596.618994617733</v>
      </c>
      <c r="Q80" s="113">
        <f t="shared" si="16"/>
        <v>77588.675616535067</v>
      </c>
      <c r="R80" s="113">
        <f t="shared" si="16"/>
        <v>73563.40063952934</v>
      </c>
      <c r="S80" s="113">
        <f t="shared" si="16"/>
        <v>69572.907221638132</v>
      </c>
      <c r="T80" s="113">
        <f t="shared" si="16"/>
        <v>65565.081812575256</v>
      </c>
      <c r="U80" s="113">
        <f t="shared" si="16"/>
        <v>61557.295335895782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30179.005534811444</v>
      </c>
      <c r="AD80" s="113">
        <f t="shared" si="16"/>
        <v>30180.605854238776</v>
      </c>
      <c r="AE80" s="113">
        <f t="shared" si="16"/>
        <v>30186.292320979912</v>
      </c>
      <c r="AF80" s="113">
        <f t="shared" si="16"/>
        <v>30190.04620451025</v>
      </c>
      <c r="AG80" s="113">
        <f t="shared" si="16"/>
        <v>30193.875730673015</v>
      </c>
      <c r="AH80" s="113">
        <f t="shared" si="16"/>
        <v>30195.608990477587</v>
      </c>
      <c r="AI80" s="113">
        <f t="shared" si="16"/>
        <v>30201.7678385576</v>
      </c>
      <c r="AJ80" s="113">
        <f t="shared" si="16"/>
        <v>755.89381338491103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97628.791666666672</v>
      </c>
      <c r="M81" s="113">
        <f t="shared" si="17"/>
        <v>93620.688225538965</v>
      </c>
      <c r="N81" s="113">
        <f t="shared" si="17"/>
        <v>89594.903945093291</v>
      </c>
      <c r="O81" s="113">
        <f t="shared" si="17"/>
        <v>85604.60208959083</v>
      </c>
      <c r="P81" s="113">
        <f t="shared" si="17"/>
        <v>81596.618994617733</v>
      </c>
      <c r="Q81" s="113">
        <f t="shared" si="17"/>
        <v>77588.675616535067</v>
      </c>
      <c r="R81" s="113">
        <f t="shared" si="17"/>
        <v>73563.40063952934</v>
      </c>
      <c r="S81" s="113">
        <f t="shared" si="17"/>
        <v>69572.907221638146</v>
      </c>
      <c r="T81" s="113">
        <f t="shared" si="17"/>
        <v>65565.08181257527</v>
      </c>
      <c r="U81" s="113">
        <f t="shared" si="17"/>
        <v>61557.295335895789</v>
      </c>
      <c r="V81" s="113">
        <f t="shared" si="17"/>
        <v>57532.519602324872</v>
      </c>
      <c r="W81" s="113">
        <f t="shared" si="17"/>
        <v>53541.838405876872</v>
      </c>
      <c r="X81" s="113">
        <f t="shared" si="17"/>
        <v>49534.167568036697</v>
      </c>
      <c r="Y81" s="113">
        <f t="shared" si="17"/>
        <v>45526.534893568853</v>
      </c>
      <c r="Z81" s="113">
        <f t="shared" si="17"/>
        <v>41502.248542137633</v>
      </c>
      <c r="AA81" s="113">
        <f t="shared" si="17"/>
        <v>37511.383276224704</v>
      </c>
      <c r="AB81" s="113">
        <f t="shared" si="17"/>
        <v>33503.863956442496</v>
      </c>
      <c r="AC81" s="113">
        <f t="shared" si="17"/>
        <v>30179.005534811455</v>
      </c>
      <c r="AD81" s="113">
        <f t="shared" si="17"/>
        <v>30180.605854238787</v>
      </c>
      <c r="AE81" s="113">
        <f t="shared" si="17"/>
        <v>30186.292320979923</v>
      </c>
      <c r="AF81" s="113">
        <f t="shared" si="17"/>
        <v>30190.046204510261</v>
      </c>
      <c r="AG81" s="113">
        <f t="shared" si="17"/>
        <v>30193.875730673022</v>
      </c>
      <c r="AH81" s="113">
        <f t="shared" si="17"/>
        <v>30195.608990477594</v>
      </c>
      <c r="AI81" s="113">
        <f t="shared" si="17"/>
        <v>30201.767838557607</v>
      </c>
      <c r="AJ81" s="113">
        <f t="shared" si="17"/>
        <v>755.89381338491683</v>
      </c>
      <c r="AK81" s="113">
        <f xml:space="preserve"> AK$75</f>
        <v>5.9117155615240335E-12</v>
      </c>
      <c r="AL81" s="113">
        <f xml:space="preserve"> AL$75</f>
        <v>5.9117155615240335E-12</v>
      </c>
      <c r="AM81" s="113">
        <f xml:space="preserve"> AM$75</f>
        <v>5.9117155615240335E-12</v>
      </c>
      <c r="AN81" s="113">
        <f xml:space="preserve"> AN$75</f>
        <v>5.9117155615240335E-12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-2.9444890969898552E-11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-5.7980287238024175E-12</v>
      </c>
      <c r="AK83" s="20">
        <f t="shared" si="19"/>
        <v>-5.9117155615240335E-12</v>
      </c>
      <c r="AL83" s="20">
        <f t="shared" si="19"/>
        <v>-5.9117155615240335E-12</v>
      </c>
      <c r="AM83" s="20">
        <f t="shared" si="19"/>
        <v>-5.9117155615240335E-12</v>
      </c>
      <c r="AN83" s="20">
        <f t="shared" si="19"/>
        <v>-5.9117155615240335E-12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B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24" sqref="H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6" width="12.53125" style="67" customWidth="1"/>
    <col min="27" max="27" width="0.46484375" style="114" customWidth="1"/>
    <col min="28" max="28" width="0" hidden="1" customWidth="1"/>
    <col min="29" max="16384" width="9.1328125" hidden="1"/>
  </cols>
  <sheetData>
    <row r="1" spans="1:27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7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44576</v>
      </c>
      <c r="O2" s="219">
        <v>44575</v>
      </c>
      <c r="P2" s="219">
        <v>44572</v>
      </c>
      <c r="Q2" s="219">
        <v>44572</v>
      </c>
      <c r="R2" s="219">
        <v>44572</v>
      </c>
      <c r="S2" s="219">
        <v>44572</v>
      </c>
      <c r="T2" s="219">
        <v>44571</v>
      </c>
      <c r="U2" s="219">
        <v>44571</v>
      </c>
      <c r="V2" s="219">
        <v>44564</v>
      </c>
      <c r="W2" s="219">
        <v>44564</v>
      </c>
      <c r="X2" s="219">
        <v>44564</v>
      </c>
      <c r="Y2" s="219"/>
      <c r="Z2" s="219"/>
    </row>
    <row r="3" spans="1:27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/>
      <c r="Z3" s="218"/>
      <c r="AA3" s="139"/>
    </row>
    <row r="4" spans="1:27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115"/>
    </row>
    <row r="5" spans="1:27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13</v>
      </c>
      <c r="I5" s="72"/>
      <c r="J5" s="314">
        <f xml:space="preserve"> MATCH($H$5, M5:AA5, 0)</f>
        <v>2</v>
      </c>
      <c r="K5" s="261" t="s">
        <v>65</v>
      </c>
      <c r="L5" s="259" t="s">
        <v>66</v>
      </c>
      <c r="M5" s="116"/>
      <c r="N5" s="220">
        <v>13</v>
      </c>
      <c r="O5" s="220">
        <v>12</v>
      </c>
      <c r="P5" s="220">
        <v>11</v>
      </c>
      <c r="Q5" s="220">
        <v>10</v>
      </c>
      <c r="R5" s="220">
        <v>9</v>
      </c>
      <c r="S5" s="220">
        <v>8</v>
      </c>
      <c r="T5" s="220">
        <v>7</v>
      </c>
      <c r="U5" s="220">
        <v>6</v>
      </c>
      <c r="V5" s="220">
        <v>5</v>
      </c>
      <c r="W5" s="220">
        <v>4</v>
      </c>
      <c r="X5" s="220">
        <v>3</v>
      </c>
      <c r="Y5" s="220">
        <v>2</v>
      </c>
      <c r="Z5" s="220">
        <v>1</v>
      </c>
      <c r="AA5" s="116"/>
    </row>
    <row r="6" spans="1:27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16"/>
    </row>
    <row r="7" spans="1:27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116"/>
    </row>
    <row r="8" spans="1:27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116"/>
    </row>
    <row r="9" spans="1:27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"/>
    </row>
    <row r="10" spans="1:27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7.5917240977287304E-2</v>
      </c>
      <c r="I10" s="493"/>
      <c r="J10" s="316" t="str">
        <f xml:space="preserve"> IF(ABS(K10) &gt; TRK_TOL, "tu", "vw")</f>
        <v>vw</v>
      </c>
      <c r="K10" s="81">
        <f xml:space="preserve"> H10 - INDEX(M10:AA10, $J$5)</f>
        <v>0</v>
      </c>
      <c r="L10" s="81">
        <f xml:space="preserve"> IF(ABS(K10) &gt; TRK_TOL, IF(INDEX(M10:AA10, $J$5) = 0, 0, H10 / INDEX(M10:AA10, $J$5) - 1), 0)</f>
        <v>0</v>
      </c>
      <c r="M10" s="271"/>
      <c r="N10" s="257">
        <v>7.5917240977287304E-2</v>
      </c>
      <c r="O10" s="257">
        <v>8.9617064595222493E-2</v>
      </c>
      <c r="P10" s="257">
        <v>9.8730558156967185E-2</v>
      </c>
      <c r="Q10" s="257">
        <v>8.4725400805473347E-2</v>
      </c>
      <c r="R10" s="257">
        <v>0.13478659987449648</v>
      </c>
      <c r="S10" s="257"/>
      <c r="T10" s="257"/>
      <c r="U10" s="257"/>
      <c r="V10" s="257"/>
      <c r="W10" s="257"/>
      <c r="X10" s="257"/>
      <c r="Y10" s="257"/>
      <c r="Z10" s="257"/>
      <c r="AA10" s="138"/>
    </row>
    <row r="11" spans="1:27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71"/>
    </row>
    <row r="12" spans="1:27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71"/>
    </row>
    <row r="13" spans="1:27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39"/>
    </row>
    <row r="14" spans="1:27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136"/>
    </row>
    <row r="15" spans="1:27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131"/>
    </row>
    <row r="16" spans="1:27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131"/>
    </row>
    <row r="17" spans="1:27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131"/>
    </row>
    <row r="18" spans="1:27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7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INDEX(M19:AA19, $J$5)</f>
        <v>0</v>
      </c>
      <c r="L19" s="274">
        <f xml:space="preserve"> IF(ABS(K19) &gt; TRK_TOL, IF(INDEX(M19:AA19, $J$5) = 0, 0, H19 / INDEX(M19:AA19,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371409.67882059288</v>
      </c>
      <c r="X19" s="281">
        <v>0</v>
      </c>
      <c r="Y19" s="281"/>
      <c r="Z19" s="281"/>
      <c r="AA19" s="280"/>
    </row>
    <row r="20" spans="1:27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INDEX(M20:AA20, $J$5)</f>
        <v>0</v>
      </c>
      <c r="L20" s="274">
        <f xml:space="preserve"> IF(ABS(K20) &gt; TRK_TOL, IF(INDEX(M20:AA20, $J$5) = 0, 0, H20 / INDEX(M20:AA20,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-48742.637593284249</v>
      </c>
      <c r="V20" s="281">
        <v>0</v>
      </c>
      <c r="W20" s="281">
        <v>0</v>
      </c>
      <c r="X20" s="281">
        <v>0</v>
      </c>
      <c r="Y20" s="281"/>
      <c r="Z20" s="281"/>
      <c r="AA20" s="282"/>
    </row>
    <row r="21" spans="1:27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INDEX(M21:AA21, $J$5)</f>
        <v>0</v>
      </c>
      <c r="L21" s="285">
        <f xml:space="preserve"> IF(ABS(K21) &gt; TRK_TOL, IF(INDEX(M21:AA21, $J$5) = 0, 0, H21 / INDEX(M21:AA21,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322667.04122730839</v>
      </c>
      <c r="V21" s="287">
        <v>371409.67882059288</v>
      </c>
      <c r="W21" s="287">
        <v>371409.67882059288</v>
      </c>
      <c r="X21" s="287">
        <v>10000</v>
      </c>
      <c r="Y21" s="287"/>
      <c r="Z21" s="287"/>
      <c r="AA21" s="286"/>
    </row>
    <row r="22" spans="1:27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0"/>
    </row>
    <row r="23" spans="1:27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INDEX(M23:AA23, $J$5)</f>
        <v>0</v>
      </c>
      <c r="L23" s="274">
        <f xml:space="preserve"> IF(ABS(K23) &gt; TRK_TOL, IF(INDEX(M23:AA23, $J$5) = 0, 0, H23 / INDEX(M23:AA23,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-100000</v>
      </c>
      <c r="R23" s="281">
        <v>0</v>
      </c>
      <c r="S23" s="281">
        <v>0</v>
      </c>
      <c r="T23" s="281">
        <v>0</v>
      </c>
      <c r="U23" s="281">
        <v>0</v>
      </c>
      <c r="V23" s="281">
        <v>0</v>
      </c>
      <c r="W23" s="281">
        <v>0</v>
      </c>
      <c r="X23" s="281">
        <v>0</v>
      </c>
      <c r="Y23" s="281"/>
      <c r="Z23" s="281"/>
      <c r="AA23" s="280"/>
    </row>
    <row r="24" spans="1:27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INDEX(M24:AA24, $J$5)</f>
        <v>0</v>
      </c>
      <c r="L24" s="285">
        <f xml:space="preserve"> IF(ABS(K24) &gt; TRK_TOL, IF(INDEX(M24:AA24, $J$5) = 0, 0, H24 / INDEX(M24:AA24,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222667.04122730848</v>
      </c>
      <c r="R24" s="287">
        <v>322667.04122730839</v>
      </c>
      <c r="S24" s="287">
        <v>322667.04122730839</v>
      </c>
      <c r="T24" s="287">
        <v>322667.04122730839</v>
      </c>
      <c r="U24" s="287">
        <v>322667.04122730839</v>
      </c>
      <c r="V24" s="287">
        <v>371409.67882059288</v>
      </c>
      <c r="W24" s="287">
        <v>371409.67882059288</v>
      </c>
      <c r="X24" s="287">
        <v>10000</v>
      </c>
      <c r="Y24" s="287"/>
      <c r="Z24" s="287"/>
      <c r="AA24" s="288"/>
    </row>
    <row r="25" spans="1:27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0"/>
    </row>
    <row r="26" spans="1:27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INDEX(M26:AA26, $J$5)</f>
        <v>0</v>
      </c>
      <c r="L26" s="274">
        <f xml:space="preserve"> IF(ABS(K26) &gt; TRK_TOL, IF(INDEX(M26:AA26, $J$5) = 0, 0, H26 / INDEX(M26:AA26,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v>0</v>
      </c>
      <c r="Y26" s="281"/>
      <c r="Z26" s="281"/>
      <c r="AA26" s="289"/>
    </row>
    <row r="27" spans="1:27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INDEX(M27:AA27, $J$5)</f>
        <v>0</v>
      </c>
      <c r="L27" s="274">
        <f xml:space="preserve"> IF(ABS(K27) &gt; TRK_TOL, IF(INDEX(M27:AA27, $J$5) = 0, 0, H27 / INDEX(M27:AA27,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>
        <v>0</v>
      </c>
      <c r="Y27" s="281"/>
      <c r="Z27" s="281"/>
      <c r="AA27" s="289"/>
    </row>
    <row r="28" spans="1:27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INDEX(M28:AA28, $J$5)</f>
        <v>0</v>
      </c>
      <c r="L28" s="274">
        <f xml:space="preserve"> IF(ABS(K28) &gt; TRK_TOL, IF(INDEX(M28:AA28, $J$5) = 0, 0, H28 / INDEX(M28:AA28,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/>
      <c r="Z28" s="281"/>
      <c r="AA28" s="291"/>
    </row>
    <row r="29" spans="1:27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222667.04122730848</v>
      </c>
      <c r="I29" s="321"/>
      <c r="J29" s="318" t="str">
        <f xml:space="preserve"> IF(ABS(K29) &gt; TRK_TOL, "tu", "vw")</f>
        <v>vw</v>
      </c>
      <c r="K29" s="284">
        <f xml:space="preserve"> H29 - INDEX(M29:AA29, $J$5)</f>
        <v>0</v>
      </c>
      <c r="L29" s="285">
        <f xml:space="preserve"> IF(ABS(K29) &gt; TRK_TOL, IF(INDEX(M29:AA29, $J$5) = 0, 0, H29 / INDEX(M29:AA29, $J$5) - 1), 0)</f>
        <v>0</v>
      </c>
      <c r="M29" s="286"/>
      <c r="N29" s="287">
        <v>222667.04122730848</v>
      </c>
      <c r="O29" s="287">
        <v>222667.04122730848</v>
      </c>
      <c r="P29" s="287">
        <v>222667.04122730848</v>
      </c>
      <c r="Q29" s="287">
        <v>222667.04122730848</v>
      </c>
      <c r="R29" s="287">
        <v>322667.04122730839</v>
      </c>
      <c r="S29" s="287">
        <v>322667.04122730839</v>
      </c>
      <c r="T29" s="287">
        <v>322667.04122730839</v>
      </c>
      <c r="U29" s="287">
        <v>322667.04122730839</v>
      </c>
      <c r="V29" s="287">
        <v>371409.67882059288</v>
      </c>
      <c r="W29" s="287">
        <v>371409.67882059288</v>
      </c>
      <c r="X29" s="287">
        <v>10000</v>
      </c>
      <c r="Y29" s="287"/>
      <c r="Z29" s="287"/>
      <c r="AA29" s="286"/>
    </row>
    <row r="30" spans="1:27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91"/>
    </row>
    <row r="31" spans="1:27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INDEX(M31:AA31, $J$5)</f>
        <v>0</v>
      </c>
      <c r="L31" s="274">
        <f xml:space="preserve"> IF(ABS(K31) &gt; TRK_TOL, IF(INDEX(M31:AA31, $J$5) = 0, 0, H31 / INDEX(M31:AA31,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>
        <v>0</v>
      </c>
      <c r="Y31" s="281"/>
      <c r="Z31" s="281"/>
      <c r="AA31" s="291"/>
    </row>
    <row r="32" spans="1:27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222667.04122730848</v>
      </c>
      <c r="I32" s="321"/>
      <c r="J32" s="318" t="str">
        <f xml:space="preserve"> IF(ABS(K32) &gt; TRK_TOL, "tu", "vw")</f>
        <v>vw</v>
      </c>
      <c r="K32" s="284">
        <f xml:space="preserve"> H32 - INDEX(M32:AA32, $J$5)</f>
        <v>0</v>
      </c>
      <c r="L32" s="285">
        <f xml:space="preserve"> IF(ABS(K32) &gt; TRK_TOL, IF(INDEX(M32:AA32, $J$5) = 0, 0, H32 / INDEX(M32:AA32, $J$5) - 1), 0)</f>
        <v>0</v>
      </c>
      <c r="M32" s="286"/>
      <c r="N32" s="287">
        <v>222667.04122730848</v>
      </c>
      <c r="O32" s="287">
        <v>222667.04122730848</v>
      </c>
      <c r="P32" s="287">
        <v>222667.04122730848</v>
      </c>
      <c r="Q32" s="287">
        <v>222667.04122730848</v>
      </c>
      <c r="R32" s="287">
        <v>322667.04122730839</v>
      </c>
      <c r="S32" s="287">
        <v>322667.04122730839</v>
      </c>
      <c r="T32" s="287">
        <v>322667.04122730839</v>
      </c>
      <c r="U32" s="287">
        <v>322667.04122730839</v>
      </c>
      <c r="V32" s="287">
        <v>371409.67882059288</v>
      </c>
      <c r="W32" s="287">
        <v>371409.67882059288</v>
      </c>
      <c r="X32" s="287">
        <v>10000</v>
      </c>
      <c r="Y32" s="287"/>
      <c r="Z32" s="287"/>
      <c r="AA32" s="286"/>
    </row>
    <row r="33" spans="1:27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91"/>
    </row>
    <row r="34" spans="1:27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-222667.04122730848</v>
      </c>
      <c r="I34" s="279"/>
      <c r="J34" s="319" t="str">
        <f xml:space="preserve"> IF(ABS(K34) &gt; TRK_TOL, "tu", "vw")</f>
        <v>vw</v>
      </c>
      <c r="K34" s="149">
        <f xml:space="preserve"> H34 - INDEX(M34:AA34, $J$5)</f>
        <v>0</v>
      </c>
      <c r="L34" s="274">
        <f xml:space="preserve"> IF(ABS(K34) &gt; TRK_TOL, IF(INDEX(M34:AA34, $J$5) = 0, 0, H34 / INDEX(M34:AA34, $J$5) - 1), 0)</f>
        <v>0</v>
      </c>
      <c r="M34" s="291"/>
      <c r="N34" s="281">
        <v>-222667.04122730848</v>
      </c>
      <c r="O34" s="281">
        <v>-222667.04122730848</v>
      </c>
      <c r="P34" s="281">
        <v>-222667.04122730848</v>
      </c>
      <c r="Q34" s="281">
        <v>-222667.04122730848</v>
      </c>
      <c r="R34" s="281">
        <v>-322667.04122730857</v>
      </c>
      <c r="S34" s="281">
        <v>-322667.04122730857</v>
      </c>
      <c r="T34" s="281">
        <v>0</v>
      </c>
      <c r="U34" s="281">
        <v>0</v>
      </c>
      <c r="V34" s="281">
        <v>0</v>
      </c>
      <c r="W34" s="281">
        <v>0</v>
      </c>
      <c r="X34" s="281">
        <v>0</v>
      </c>
      <c r="Y34" s="281"/>
      <c r="Z34" s="281"/>
      <c r="AA34" s="291"/>
    </row>
    <row r="35" spans="1:27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-1.3642420526593924E-12</v>
      </c>
      <c r="I35" s="283"/>
      <c r="J35" s="318" t="str">
        <f xml:space="preserve"> IF(ABS(K35) &gt; TRK_TOL, "tu", "vw")</f>
        <v>vw</v>
      </c>
      <c r="K35" s="284">
        <f xml:space="preserve"> H35 - INDEX(M35:AA35, $J$5)</f>
        <v>0</v>
      </c>
      <c r="L35" s="285">
        <f xml:space="preserve"> IF(ABS(K35) &gt; TRK_TOL, IF(INDEX(M35:AA35, $J$5) = 0, 0, H35 / INDEX(M35:AA35, $J$5) - 1), 0)</f>
        <v>0</v>
      </c>
      <c r="M35" s="288"/>
      <c r="N35" s="344">
        <v>-1.3642420526593924E-12</v>
      </c>
      <c r="O35" s="344">
        <v>0</v>
      </c>
      <c r="P35" s="344">
        <v>0</v>
      </c>
      <c r="Q35" s="344">
        <v>0</v>
      </c>
      <c r="R35" s="344">
        <v>-9.0949470177292824E-13</v>
      </c>
      <c r="S35" s="344">
        <v>-9.0949470177292824E-13</v>
      </c>
      <c r="T35" s="344">
        <v>322667.04122730839</v>
      </c>
      <c r="U35" s="344">
        <v>322667.04122730839</v>
      </c>
      <c r="V35" s="344">
        <v>371409.67882059288</v>
      </c>
      <c r="W35" s="344">
        <v>371409.67882059288</v>
      </c>
      <c r="X35" s="344">
        <v>10000</v>
      </c>
      <c r="Y35" s="344"/>
      <c r="Z35" s="344"/>
      <c r="AA35" s="288"/>
    </row>
    <row r="36" spans="1:27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80"/>
    </row>
    <row r="37" spans="1:27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80"/>
    </row>
    <row r="38" spans="1:27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80"/>
    </row>
    <row r="39" spans="1:27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80"/>
    </row>
    <row r="40" spans="1:27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INDEX(M40:AA40, $J$5)</f>
        <v>0</v>
      </c>
      <c r="L40" s="274">
        <f xml:space="preserve"> IF(ABS(K40) &gt; TRK_TOL, IF(INDEX(M40:AA40, $J$5) = 0, 0, H40 / INDEX(M40:AA40,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371409.67882059258</v>
      </c>
      <c r="W40" s="281">
        <v>0</v>
      </c>
      <c r="X40" s="281">
        <v>0</v>
      </c>
      <c r="Y40" s="281"/>
      <c r="Z40" s="281"/>
      <c r="AA40" s="289"/>
    </row>
    <row r="41" spans="1:27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INDEX(M41:AA41, $J$5)</f>
        <v>0</v>
      </c>
      <c r="L41" s="274">
        <f xml:space="preserve"> IF(ABS(K41) &gt; TRK_TOL, IF(INDEX(M41:AA41, $J$5) = 0, 0, H41 / INDEX(M41:AA41,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-48742.637593284257</v>
      </c>
      <c r="U41" s="281">
        <v>0</v>
      </c>
      <c r="V41" s="281">
        <v>0</v>
      </c>
      <c r="W41" s="281">
        <v>0</v>
      </c>
      <c r="X41" s="281">
        <v>0</v>
      </c>
      <c r="Y41" s="281"/>
      <c r="Z41" s="281"/>
      <c r="AA41" s="289"/>
    </row>
    <row r="42" spans="1:27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INDEX(M42:AA42, $J$5)</f>
        <v>0</v>
      </c>
      <c r="L42" s="274">
        <f xml:space="preserve"> IF(ABS(K42) &gt; TRK_TOL, IF(INDEX(M42:AA42, $J$5) = 0, 0, H42 / INDEX(M42:AA42,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v>0</v>
      </c>
      <c r="Y42" s="281"/>
      <c r="Z42" s="281"/>
      <c r="AA42" s="289"/>
    </row>
    <row r="43" spans="1:27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INDEX(M43:AA43, $J$5)</f>
        <v>0</v>
      </c>
      <c r="L43" s="285">
        <f xml:space="preserve"> IF(ABS(K43) &gt; TRK_TOL, IF(INDEX(M43:AA43, $J$5) = 0, 0, H43 / INDEX(M43:AA43,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322667.04122730857</v>
      </c>
      <c r="T43" s="287">
        <v>322667.04122730828</v>
      </c>
      <c r="U43" s="287">
        <v>371409.67882059258</v>
      </c>
      <c r="V43" s="287">
        <v>371409.67882059258</v>
      </c>
      <c r="W43" s="287">
        <v>10000</v>
      </c>
      <c r="X43" s="287">
        <v>10000</v>
      </c>
      <c r="Y43" s="287"/>
      <c r="Z43" s="287"/>
      <c r="AA43" s="286"/>
    </row>
    <row r="44" spans="1:27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9"/>
    </row>
    <row r="45" spans="1:27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INDEX(M45:AA45, $J$5)</f>
        <v>0</v>
      </c>
      <c r="L45" s="274">
        <f xml:space="preserve"> IF(ABS(K45) &gt; TRK_TOL, IF(INDEX(M45:AA45, $J$5) = 0, 0, H45 / INDEX(M45:AA45,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v>0</v>
      </c>
      <c r="Y45" s="281"/>
      <c r="Z45" s="281"/>
      <c r="AA45" s="289"/>
    </row>
    <row r="46" spans="1:27" outlineLevel="1" x14ac:dyDescent="0.35">
      <c r="A46" s="73"/>
      <c r="B46" s="75"/>
      <c r="C46" s="63"/>
      <c r="D46" s="72"/>
      <c r="E46" s="279" t="str">
        <f xml:space="preserve"> 'FS Qtr'!E36</f>
        <v xml:space="preserve">Senior debt principal repayment 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-70000</v>
      </c>
      <c r="I46" s="279"/>
      <c r="J46" s="316" t="str">
        <f xml:space="preserve"> IF(ABS(K46) &gt; TRK_TOL, "tu", "vw")</f>
        <v>vw</v>
      </c>
      <c r="K46" s="149">
        <f xml:space="preserve"> H46 - INDEX(M46:AA46, $J$5)</f>
        <v>0</v>
      </c>
      <c r="L46" s="274">
        <f xml:space="preserve"> IF(ABS(K46) &gt; TRK_TOL, IF(INDEX(M46:AA46, $J$5) = 0, 0, H46 / INDEX(M46:AA46, $J$5) - 1), 0)</f>
        <v>0</v>
      </c>
      <c r="M46" s="289"/>
      <c r="N46" s="281">
        <v>-70000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v>0</v>
      </c>
      <c r="Y46" s="281"/>
      <c r="Z46" s="281"/>
      <c r="AA46" s="289"/>
    </row>
    <row r="47" spans="1:27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252667.04122730828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252667.04122730828</v>
      </c>
      <c r="O47" s="287">
        <v>322667.04122730857</v>
      </c>
      <c r="P47" s="287">
        <v>322667.04122730857</v>
      </c>
      <c r="Q47" s="287">
        <v>322667.04122730857</v>
      </c>
      <c r="R47" s="287">
        <v>322667.04122730857</v>
      </c>
      <c r="S47" s="287">
        <v>322667.04122730857</v>
      </c>
      <c r="T47" s="287">
        <v>322667.04122730828</v>
      </c>
      <c r="U47" s="287">
        <v>371409.67882059258</v>
      </c>
      <c r="V47" s="287">
        <v>371409.67882059258</v>
      </c>
      <c r="W47" s="287">
        <v>10000</v>
      </c>
      <c r="X47" s="287">
        <v>10000</v>
      </c>
      <c r="Y47" s="287"/>
      <c r="Z47" s="287"/>
      <c r="AA47" s="286"/>
    </row>
    <row r="48" spans="1:27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9"/>
    </row>
    <row r="49" spans="1:27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INDEX(M49:AA49, $J$5)</f>
        <v>0</v>
      </c>
      <c r="L49" s="274">
        <f xml:space="preserve"> IF(ABS(K49) &gt; TRK_TOL, IF(INDEX(M49:AA49, $J$5) = 0, 0, H49 / INDEX(M49:AA49,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>
        <v>0</v>
      </c>
      <c r="Y49" s="281"/>
      <c r="Z49" s="281"/>
      <c r="AA49" s="291"/>
    </row>
    <row r="50" spans="1:27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INDEX(M50:AA50, $J$5)</f>
        <v>0</v>
      </c>
      <c r="L50" s="274">
        <f xml:space="preserve"> IF(ABS(K50) &gt; TRK_TOL, IF(INDEX(M50:AA50, $J$5) = 0, 0, H50 / INDEX(M50:AA50,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281"/>
      <c r="Z50" s="281"/>
      <c r="AA50" s="291"/>
    </row>
    <row r="51" spans="1:27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INDEX(M51:AA51, $J$5)</f>
        <v>0</v>
      </c>
      <c r="L51" s="274">
        <f xml:space="preserve"> IF(ABS(K51) &gt; TRK_TOL, IF(INDEX(M51:AA51, $J$5) = 0, 0, H51 / INDEX(M51:AA51,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/>
      <c r="Z51" s="281"/>
      <c r="AA51" s="291"/>
    </row>
    <row r="52" spans="1:27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252667.04122730828</v>
      </c>
      <c r="I52" s="283"/>
      <c r="J52" s="318" t="str">
        <f xml:space="preserve"> IF(ABS(K52) &gt; TRK_TOL, "tu", "vw")</f>
        <v>vw</v>
      </c>
      <c r="K52" s="284">
        <f xml:space="preserve"> H52 - INDEX(M52:AA52, $J$5)</f>
        <v>0</v>
      </c>
      <c r="L52" s="285">
        <f xml:space="preserve"> IF(ABS(K52) &gt; TRK_TOL, IF(INDEX(M52:AA52, $J$5) = 0, 0, H52 / INDEX(M52:AA52, $J$5) - 1), 0)</f>
        <v>0</v>
      </c>
      <c r="M52" s="286"/>
      <c r="N52" s="287">
        <v>252667.04122730828</v>
      </c>
      <c r="O52" s="287">
        <v>322667.04122730857</v>
      </c>
      <c r="P52" s="287">
        <v>322667.04122730857</v>
      </c>
      <c r="Q52" s="287">
        <v>322667.04122730857</v>
      </c>
      <c r="R52" s="287">
        <v>322667.04122730857</v>
      </c>
      <c r="S52" s="287">
        <v>322667.04122730857</v>
      </c>
      <c r="T52" s="287">
        <v>322667.04122730828</v>
      </c>
      <c r="U52" s="287">
        <v>371409.67882059258</v>
      </c>
      <c r="V52" s="287">
        <v>371409.67882059258</v>
      </c>
      <c r="W52" s="287">
        <v>10000</v>
      </c>
      <c r="X52" s="287">
        <v>10000</v>
      </c>
      <c r="Y52" s="287"/>
      <c r="Z52" s="287"/>
      <c r="AA52" s="286"/>
    </row>
    <row r="53" spans="1:27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91"/>
    </row>
    <row r="54" spans="1:27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INDEX(M54:AA54, $J$5)</f>
        <v>0</v>
      </c>
      <c r="L54" s="274">
        <f xml:space="preserve"> IF(ABS(K54) &gt; TRK_TOL, IF(INDEX(M54:AA54, $J$5) = 0, 0, H54 / INDEX(M54:AA54,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>
        <v>0</v>
      </c>
      <c r="Y54" s="281"/>
      <c r="Z54" s="281"/>
      <c r="AA54" s="291"/>
    </row>
    <row r="55" spans="1:27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INDEX(M55:AA55, $J$5)</f>
        <v>0</v>
      </c>
      <c r="L55" s="274">
        <f xml:space="preserve"> IF(ABS(K55) &gt; TRK_TOL, IF(INDEX(M55:AA55, $J$5) = 0, 0, H55 / INDEX(M55:AA55,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>
        <v>0</v>
      </c>
      <c r="Y55" s="281"/>
      <c r="Z55" s="281"/>
      <c r="AA55" s="291"/>
    </row>
    <row r="56" spans="1:27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INDEX(M56:AA56, $J$5)</f>
        <v>0</v>
      </c>
      <c r="L56" s="274">
        <f xml:space="preserve"> IF(ABS(K56) &gt; TRK_TOL, IF(INDEX(M56:AA56, $J$5) = 0, 0, H56 / INDEX(M56:AA56,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/>
      <c r="Z56" s="281"/>
      <c r="AA56" s="291"/>
    </row>
    <row r="57" spans="1:27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252667.04122730828</v>
      </c>
      <c r="I57" s="283"/>
      <c r="J57" s="318" t="str">
        <f xml:space="preserve"> IF(ABS(K57) &gt; TRK_TOL, "tu", "vw")</f>
        <v>vw</v>
      </c>
      <c r="K57" s="284">
        <f xml:space="preserve"> H57 - INDEX(M57:AA57, $J$5)</f>
        <v>0</v>
      </c>
      <c r="L57" s="285">
        <f xml:space="preserve"> IF(ABS(K57) &gt; TRK_TOL, IF(INDEX(M57:AA57, $J$5) = 0, 0, H57 / INDEX(M57:AA57, $J$5) - 1), 0)</f>
        <v>0</v>
      </c>
      <c r="M57" s="286"/>
      <c r="N57" s="287">
        <v>252667.04122730828</v>
      </c>
      <c r="O57" s="287">
        <v>322667.04122730857</v>
      </c>
      <c r="P57" s="287">
        <v>322667.04122730857</v>
      </c>
      <c r="Q57" s="287">
        <v>322667.04122730857</v>
      </c>
      <c r="R57" s="287">
        <v>322667.04122730857</v>
      </c>
      <c r="S57" s="287">
        <v>322667.04122730857</v>
      </c>
      <c r="T57" s="287">
        <v>322667.04122730828</v>
      </c>
      <c r="U57" s="287">
        <v>371409.67882059258</v>
      </c>
      <c r="V57" s="287">
        <v>371409.67882059258</v>
      </c>
      <c r="W57" s="287">
        <v>10000</v>
      </c>
      <c r="X57" s="287">
        <v>10000</v>
      </c>
      <c r="Y57" s="287"/>
      <c r="Z57" s="287"/>
      <c r="AA57" s="286"/>
    </row>
    <row r="58" spans="1:27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91"/>
    </row>
    <row r="59" spans="1:27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INDEX(M59:AA59, $J$5)</f>
        <v>0</v>
      </c>
      <c r="L59" s="274">
        <f xml:space="preserve"> IF(ABS(K59) &gt; TRK_TOL, IF(INDEX(M59:AA59, $J$5) = 0, 0, H59 / INDEX(M59:AA59, $J$5) - 1), 0)</f>
        <v>0</v>
      </c>
      <c r="M59" s="291"/>
      <c r="N59" s="281">
        <v>-30000</v>
      </c>
      <c r="O59" s="281">
        <v>-30000</v>
      </c>
      <c r="P59" s="281">
        <v>-100000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X59" s="281">
        <v>0</v>
      </c>
      <c r="Y59" s="281"/>
      <c r="Z59" s="281"/>
      <c r="AA59" s="291"/>
    </row>
    <row r="60" spans="1:27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222667.04122730828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222667.04122730828</v>
      </c>
      <c r="O60" s="287">
        <v>292667.04122730851</v>
      </c>
      <c r="P60" s="287">
        <v>222667.04122730854</v>
      </c>
      <c r="Q60" s="287">
        <v>322667.04122730857</v>
      </c>
      <c r="R60" s="287">
        <v>322667.04122730857</v>
      </c>
      <c r="S60" s="287">
        <v>322667.04122730857</v>
      </c>
      <c r="T60" s="287">
        <v>322667.04122730828</v>
      </c>
      <c r="U60" s="287">
        <v>371409.67882059258</v>
      </c>
      <c r="V60" s="287">
        <v>371409.67882059258</v>
      </c>
      <c r="W60" s="287">
        <v>10000</v>
      </c>
      <c r="X60" s="287">
        <v>10000</v>
      </c>
      <c r="Y60" s="287"/>
      <c r="Z60" s="287"/>
      <c r="AA60" s="286"/>
    </row>
    <row r="61" spans="1:27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91"/>
    </row>
    <row r="62" spans="1:27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-222667.04122730848</v>
      </c>
      <c r="I62" s="279"/>
      <c r="J62" s="319" t="str">
        <f xml:space="preserve"> IF(ABS(K62) &gt; TRK_TOL, "tu", "vw")</f>
        <v>vw</v>
      </c>
      <c r="K62" s="149">
        <f xml:space="preserve"> H62 - INDEX(M62:AA62, $J$5)</f>
        <v>0</v>
      </c>
      <c r="L62" s="274">
        <f xml:space="preserve"> IF(ABS(K62) &gt; TRK_TOL, IF(INDEX(M62:AA62, $J$5) = 0, 0, H62 / INDEX(M62:AA62, $J$5) - 1), 0)</f>
        <v>0</v>
      </c>
      <c r="M62" s="291"/>
      <c r="N62" s="281">
        <v>-222667.04122730848</v>
      </c>
      <c r="O62" s="281">
        <v>-222667.04122730848</v>
      </c>
      <c r="P62" s="281">
        <v>-222667.04122730848</v>
      </c>
      <c r="Q62" s="281">
        <v>-222667.04122730848</v>
      </c>
      <c r="R62" s="281">
        <v>-322667.04122730857</v>
      </c>
      <c r="S62" s="281">
        <v>-322667.04122730857</v>
      </c>
      <c r="T62" s="281">
        <v>0</v>
      </c>
      <c r="U62" s="281">
        <v>0</v>
      </c>
      <c r="V62" s="281">
        <v>0</v>
      </c>
      <c r="W62" s="281">
        <v>0</v>
      </c>
      <c r="X62" s="281">
        <v>0</v>
      </c>
      <c r="Y62" s="281"/>
      <c r="Z62" s="281"/>
      <c r="AA62" s="291"/>
    </row>
    <row r="63" spans="1:27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-7.2759576141834259E-12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-7.2759576141834259E-12</v>
      </c>
      <c r="O63" s="287">
        <v>70000.000000000029</v>
      </c>
      <c r="P63" s="287">
        <v>3.7744030123576522E-11</v>
      </c>
      <c r="Q63" s="287">
        <v>100000.00000000003</v>
      </c>
      <c r="R63" s="287">
        <v>0</v>
      </c>
      <c r="S63" s="287">
        <v>0</v>
      </c>
      <c r="T63" s="287">
        <v>322667.04122730828</v>
      </c>
      <c r="U63" s="287">
        <v>371409.67882059258</v>
      </c>
      <c r="V63" s="287">
        <v>371409.67882059258</v>
      </c>
      <c r="W63" s="287">
        <v>10000</v>
      </c>
      <c r="X63" s="287">
        <v>10000</v>
      </c>
      <c r="Y63" s="287"/>
      <c r="Z63" s="287"/>
      <c r="AA63" s="286"/>
    </row>
    <row r="64" spans="1:27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91"/>
    </row>
    <row r="65" spans="1:27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91"/>
    </row>
    <row r="66" spans="1:27" outlineLevel="1" x14ac:dyDescent="0.35">
      <c r="A66" s="62" t="s">
        <v>246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91"/>
    </row>
    <row r="67" spans="1:27" outlineLevel="1" x14ac:dyDescent="0.35">
      <c r="A67" s="73"/>
      <c r="B67" s="75"/>
      <c r="C67" s="82"/>
      <c r="D67" s="72"/>
      <c r="E67" s="279" t="s">
        <v>245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INDEX(M67:AA67, $J$5)</f>
        <v>0</v>
      </c>
      <c r="L67" s="274">
        <f xml:space="preserve"> IF(ABS(K67) &gt; TRK_TOL, IF(INDEX(M67:AA67, $J$5) = 0, 0, H67 / INDEX(M67:AA67,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91"/>
    </row>
    <row r="68" spans="1:27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91"/>
    </row>
    <row r="69" spans="1:27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9"/>
    </row>
    <row r="70" spans="1:27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89"/>
    </row>
    <row r="71" spans="1:27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44576.27174074074</v>
      </c>
      <c r="I71" s="292"/>
      <c r="K71" s="151"/>
      <c r="L71" s="276"/>
      <c r="M71" s="289"/>
      <c r="N71" s="300">
        <v>44576.270824189814</v>
      </c>
      <c r="O71" s="300">
        <v>44575.401448379627</v>
      </c>
      <c r="P71" s="300">
        <v>44572.708572916665</v>
      </c>
      <c r="Q71" s="300">
        <v>44572.466787384263</v>
      </c>
      <c r="R71" s="300">
        <v>44572.374983333335</v>
      </c>
      <c r="S71" s="300">
        <v>44572.287801157407</v>
      </c>
      <c r="T71" s="300">
        <v>44571.375070023147</v>
      </c>
      <c r="U71" s="300">
        <v>44571.345448263892</v>
      </c>
      <c r="V71" s="300">
        <v>44564.56703564815</v>
      </c>
      <c r="W71" s="300">
        <v>44564.437968171296</v>
      </c>
      <c r="X71" s="300">
        <v>44564.41158414352</v>
      </c>
      <c r="Y71" s="300">
        <v>43909.144523958334</v>
      </c>
      <c r="Z71" s="300"/>
      <c r="AA71" s="289"/>
    </row>
    <row r="72" spans="1:27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debt2 END 01a.xlsx</v>
      </c>
      <c r="I72" s="292"/>
      <c r="K72" s="151"/>
      <c r="L72" s="276"/>
      <c r="M72" s="289"/>
      <c r="N72" s="303" t="s">
        <v>271</v>
      </c>
      <c r="O72" s="303" t="s">
        <v>260</v>
      </c>
      <c r="P72" s="303" t="s">
        <v>249</v>
      </c>
      <c r="Q72" s="303" t="s">
        <v>244</v>
      </c>
      <c r="R72" s="303" t="s">
        <v>238</v>
      </c>
      <c r="S72" s="303" t="s">
        <v>233</v>
      </c>
      <c r="T72" s="303" t="s">
        <v>214</v>
      </c>
      <c r="U72" s="303" t="s">
        <v>207</v>
      </c>
      <c r="V72" s="303" t="s">
        <v>200</v>
      </c>
      <c r="W72" s="303" t="s">
        <v>183</v>
      </c>
      <c r="X72" s="303" t="s">
        <v>161</v>
      </c>
      <c r="Y72" s="303" t="s">
        <v>119</v>
      </c>
      <c r="Z72" s="303"/>
      <c r="AA72" s="289"/>
    </row>
    <row r="73" spans="1:27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89"/>
    </row>
    <row r="74" spans="1:27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289"/>
    </row>
    <row r="76" spans="1:27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2023-09-21T09:54:46Z</dcterms:modified>
</cp:coreProperties>
</file>