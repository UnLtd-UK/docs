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C43B73BC-AC6C-449B-8D3B-E87CE03C9571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externalReferences>
    <externalReference r:id="rId14"/>
  </externalReferences>
  <definedNames>
    <definedName name="__CheckBox_Ignore_23_20191012130750__" hidden="1">[1]FSAnn!#REF!</definedName>
    <definedName name="__CheckBox_Ignore_5_20191013013801__" hidden="1">[1]FS!#REF!</definedName>
    <definedName name="__CheckBox_Ignore_5_20191013013803__" hidden="1">[1]FS!#REF!</definedName>
    <definedName name="__CheckBox_Ignore_5_20191013015051__" hidden="1">[1]FSAnn!#REF!</definedName>
    <definedName name="__CheckBox_Ignore_5_20191013015103__" hidden="1">[1]FSAnn!#REF!</definedName>
    <definedName name="__CheckBox_Ignore_5_20191013021741__" hidden="1">[1]FSAnn!#REF!</definedName>
    <definedName name="BaseCaseIndicator">InpC!$J$7:$S$7</definedName>
    <definedName name="CASE_ACTIVE">InpC!$F$4</definedName>
    <definedName name="ChangeLogLatestValueColumn">#REF!</definedName>
    <definedName name="ChangeLogStartRow">#REF!</definedName>
    <definedName name="ChangeLogTimelineStart">#REF!</definedName>
    <definedName name="ChangeLogTitleRow">#REF!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288" l="1"/>
  <c r="E17" i="288"/>
  <c r="F17" i="288"/>
  <c r="G17" i="288"/>
  <c r="H17" i="288"/>
  <c r="I17" i="288"/>
  <c r="J17" i="288"/>
  <c r="K17" i="288"/>
  <c r="L17" i="288"/>
  <c r="M17" i="288"/>
  <c r="N17" i="288"/>
  <c r="O17" i="288"/>
  <c r="P17" i="288"/>
  <c r="Q17" i="288"/>
  <c r="R17" i="288"/>
  <c r="S17" i="288"/>
  <c r="T17" i="288"/>
  <c r="U17" i="288"/>
  <c r="V17" i="288"/>
  <c r="W17" i="288"/>
  <c r="X17" i="288"/>
  <c r="Y17" i="288"/>
  <c r="Z17" i="288"/>
  <c r="AA17" i="288"/>
  <c r="AB17" i="288"/>
  <c r="AC17" i="288"/>
  <c r="AD17" i="288"/>
  <c r="AE17" i="288"/>
  <c r="AF17" i="288"/>
  <c r="AG17" i="288"/>
  <c r="AH17" i="288"/>
  <c r="AI17" i="288"/>
  <c r="AJ17" i="288"/>
  <c r="AK17" i="288"/>
  <c r="AL17" i="288"/>
  <c r="AM17" i="288"/>
  <c r="AN17" i="288"/>
  <c r="AO17" i="288"/>
  <c r="AP17" i="288"/>
  <c r="AQ17" i="288"/>
  <c r="AR17" i="288"/>
  <c r="AS17" i="288"/>
  <c r="AT17" i="288"/>
  <c r="AU17" i="288"/>
  <c r="AV17" i="288"/>
  <c r="AW17" i="288"/>
  <c r="AX17" i="288"/>
  <c r="AY17" i="288"/>
  <c r="AZ17" i="288"/>
  <c r="BA17" i="288"/>
  <c r="BB17" i="288"/>
  <c r="BC17" i="288"/>
  <c r="BD17" i="288"/>
  <c r="BE17" i="288"/>
  <c r="BF17" i="288"/>
  <c r="BG17" i="288"/>
  <c r="BH17" i="288"/>
  <c r="BI17" i="288"/>
  <c r="BJ17" i="288"/>
  <c r="BK17" i="288"/>
  <c r="BL17" i="288"/>
  <c r="BM17" i="288"/>
  <c r="BN17" i="288"/>
  <c r="BO17" i="288"/>
  <c r="BP17" i="288"/>
  <c r="BQ17" i="288"/>
  <c r="BR17" i="288"/>
  <c r="BS17" i="288"/>
  <c r="BT17" i="288"/>
  <c r="BU17" i="288"/>
  <c r="BV17" i="288"/>
  <c r="BW17" i="288"/>
  <c r="BX17" i="288"/>
  <c r="BY17" i="288"/>
  <c r="BZ17" i="288"/>
  <c r="CA17" i="288"/>
  <c r="CB17" i="288"/>
  <c r="CC17" i="288"/>
  <c r="CD17" i="288"/>
  <c r="CE17" i="288"/>
  <c r="CF17" i="288"/>
  <c r="CG17" i="288"/>
  <c r="CH17" i="288"/>
  <c r="CI17" i="288"/>
  <c r="CJ17" i="288"/>
  <c r="CK17" i="288"/>
  <c r="CL17" i="288"/>
  <c r="CM17" i="288"/>
  <c r="CN17" i="288"/>
  <c r="CO17" i="288"/>
  <c r="CP17" i="288"/>
  <c r="CQ17" i="288"/>
  <c r="CR17" i="288"/>
  <c r="CS17" i="288"/>
  <c r="CT17" i="288"/>
  <c r="CU17" i="288"/>
  <c r="CV17" i="288"/>
  <c r="CW17" i="288"/>
  <c r="CX17" i="288"/>
  <c r="CY17" i="288"/>
  <c r="CZ17" i="288"/>
  <c r="DA17" i="288"/>
  <c r="DB17" i="288"/>
  <c r="DC17" i="288"/>
  <c r="DD17" i="288"/>
  <c r="DE17" i="288"/>
  <c r="DF17" i="288"/>
  <c r="DG17" i="288"/>
  <c r="DH17" i="288"/>
  <c r="DI17" i="288"/>
  <c r="DJ17" i="288"/>
  <c r="DK17" i="288"/>
  <c r="DL17" i="288"/>
  <c r="DM17" i="288"/>
  <c r="DN17" i="288"/>
  <c r="DO17" i="288"/>
  <c r="DP17" i="288"/>
  <c r="DQ17" i="288"/>
  <c r="DR17" i="288"/>
  <c r="DS17" i="288"/>
  <c r="DT17" i="288"/>
  <c r="DU17" i="288"/>
  <c r="DV17" i="288"/>
  <c r="DW17" i="288"/>
  <c r="DX17" i="288"/>
  <c r="DY17" i="288"/>
  <c r="DZ17" i="288"/>
  <c r="EA17" i="288"/>
  <c r="E16" i="288"/>
  <c r="F16" i="288"/>
  <c r="G16" i="288"/>
  <c r="H16" i="288"/>
  <c r="I16" i="288"/>
  <c r="J16" i="288"/>
  <c r="J20" i="288" s="1"/>
  <c r="K16" i="288"/>
  <c r="L16" i="288"/>
  <c r="L20" i="288" s="1"/>
  <c r="M16" i="288"/>
  <c r="N16" i="288"/>
  <c r="N20" i="288" s="1"/>
  <c r="O16" i="288"/>
  <c r="P16" i="288"/>
  <c r="P20" i="288" s="1"/>
  <c r="Q16" i="288"/>
  <c r="R16" i="288"/>
  <c r="R20" i="288" s="1"/>
  <c r="S16" i="288"/>
  <c r="T16" i="288"/>
  <c r="T20" i="288" s="1"/>
  <c r="U16" i="288"/>
  <c r="V16" i="288"/>
  <c r="V20" i="288" s="1"/>
  <c r="W16" i="288"/>
  <c r="X16" i="288"/>
  <c r="X20" i="288" s="1"/>
  <c r="Y16" i="288"/>
  <c r="Z16" i="288"/>
  <c r="Z20" i="288" s="1"/>
  <c r="AA16" i="288"/>
  <c r="AB16" i="288"/>
  <c r="AB20" i="288" s="1"/>
  <c r="AC16" i="288"/>
  <c r="AD16" i="288"/>
  <c r="AD20" i="288" s="1"/>
  <c r="AE16" i="288"/>
  <c r="AF16" i="288"/>
  <c r="AF20" i="288" s="1"/>
  <c r="AG16" i="288"/>
  <c r="AH16" i="288"/>
  <c r="AH20" i="288" s="1"/>
  <c r="AI16" i="288"/>
  <c r="AJ16" i="288"/>
  <c r="AJ20" i="288" s="1"/>
  <c r="AK16" i="288"/>
  <c r="AL16" i="288"/>
  <c r="AL20" i="288" s="1"/>
  <c r="AM16" i="288"/>
  <c r="AN16" i="288"/>
  <c r="AN20" i="288" s="1"/>
  <c r="AO16" i="288"/>
  <c r="AP16" i="288"/>
  <c r="AP20" i="288" s="1"/>
  <c r="AQ16" i="288"/>
  <c r="AR16" i="288"/>
  <c r="AR20" i="288" s="1"/>
  <c r="AS16" i="288"/>
  <c r="AT16" i="288"/>
  <c r="AT20" i="288" s="1"/>
  <c r="AU16" i="288"/>
  <c r="AV16" i="288"/>
  <c r="AV20" i="288" s="1"/>
  <c r="AW16" i="288"/>
  <c r="AX16" i="288"/>
  <c r="AX20" i="288" s="1"/>
  <c r="AY16" i="288"/>
  <c r="AZ16" i="288"/>
  <c r="AZ20" i="288" s="1"/>
  <c r="BA16" i="288"/>
  <c r="BB16" i="288"/>
  <c r="BB20" i="288" s="1"/>
  <c r="BC16" i="288"/>
  <c r="BD16" i="288"/>
  <c r="BD20" i="288" s="1"/>
  <c r="BE16" i="288"/>
  <c r="BF16" i="288"/>
  <c r="BF20" i="288" s="1"/>
  <c r="BG16" i="288"/>
  <c r="BH16" i="288"/>
  <c r="BH20" i="288" s="1"/>
  <c r="BI16" i="288"/>
  <c r="BJ16" i="288"/>
  <c r="BJ20" i="288" s="1"/>
  <c r="BK16" i="288"/>
  <c r="BL16" i="288"/>
  <c r="BL20" i="288" s="1"/>
  <c r="BM16" i="288"/>
  <c r="BN16" i="288"/>
  <c r="BN20" i="288" s="1"/>
  <c r="BO16" i="288"/>
  <c r="BP16" i="288"/>
  <c r="BP20" i="288" s="1"/>
  <c r="BQ16" i="288"/>
  <c r="BR16" i="288"/>
  <c r="BR20" i="288" s="1"/>
  <c r="BS16" i="288"/>
  <c r="BT16" i="288"/>
  <c r="BT20" i="288" s="1"/>
  <c r="BU16" i="288"/>
  <c r="BV16" i="288"/>
  <c r="BV20" i="288" s="1"/>
  <c r="BW16" i="288"/>
  <c r="BX16" i="288"/>
  <c r="BX20" i="288" s="1"/>
  <c r="BY16" i="288"/>
  <c r="BZ16" i="288"/>
  <c r="BZ20" i="288" s="1"/>
  <c r="CA16" i="288"/>
  <c r="CB16" i="288"/>
  <c r="CB20" i="288" s="1"/>
  <c r="CC16" i="288"/>
  <c r="CD16" i="288"/>
  <c r="CD20" i="288" s="1"/>
  <c r="CE16" i="288"/>
  <c r="CF16" i="288"/>
  <c r="CF20" i="288" s="1"/>
  <c r="CG16" i="288"/>
  <c r="CH16" i="288"/>
  <c r="CH20" i="288" s="1"/>
  <c r="CI16" i="288"/>
  <c r="CJ16" i="288"/>
  <c r="CJ20" i="288" s="1"/>
  <c r="CK16" i="288"/>
  <c r="CL16" i="288"/>
  <c r="CL20" i="288" s="1"/>
  <c r="CM16" i="288"/>
  <c r="CN16" i="288"/>
  <c r="CN20" i="288" s="1"/>
  <c r="CO16" i="288"/>
  <c r="CP16" i="288"/>
  <c r="CP20" i="288" s="1"/>
  <c r="CQ16" i="288"/>
  <c r="CR16" i="288"/>
  <c r="CR20" i="288" s="1"/>
  <c r="CS16" i="288"/>
  <c r="CT16" i="288"/>
  <c r="CT20" i="288" s="1"/>
  <c r="CU16" i="288"/>
  <c r="CV16" i="288"/>
  <c r="CV20" i="288" s="1"/>
  <c r="CW16" i="288"/>
  <c r="CX16" i="288"/>
  <c r="CX20" i="288" s="1"/>
  <c r="CY16" i="288"/>
  <c r="CZ16" i="288"/>
  <c r="CZ20" i="288" s="1"/>
  <c r="DA16" i="288"/>
  <c r="DB16" i="288"/>
  <c r="DB20" i="288" s="1"/>
  <c r="DC16" i="288"/>
  <c r="DD16" i="288"/>
  <c r="DD20" i="288" s="1"/>
  <c r="DE16" i="288"/>
  <c r="DF16" i="288"/>
  <c r="DF20" i="288" s="1"/>
  <c r="DG16" i="288"/>
  <c r="DH16" i="288"/>
  <c r="DH20" i="288" s="1"/>
  <c r="DI16" i="288"/>
  <c r="DJ16" i="288"/>
  <c r="DJ20" i="288" s="1"/>
  <c r="DK16" i="288"/>
  <c r="DL16" i="288"/>
  <c r="DL20" i="288" s="1"/>
  <c r="DM16" i="288"/>
  <c r="DN16" i="288"/>
  <c r="DN20" i="288" s="1"/>
  <c r="DO16" i="288"/>
  <c r="DP16" i="288"/>
  <c r="DP20" i="288" s="1"/>
  <c r="DQ16" i="288"/>
  <c r="DR16" i="288"/>
  <c r="DR20" i="288" s="1"/>
  <c r="DS16" i="288"/>
  <c r="DT16" i="288"/>
  <c r="DT20" i="288" s="1"/>
  <c r="DU16" i="288"/>
  <c r="DV16" i="288"/>
  <c r="DV20" i="288" s="1"/>
  <c r="DW16" i="288"/>
  <c r="DX16" i="288"/>
  <c r="DX20" i="288" s="1"/>
  <c r="DY16" i="288"/>
  <c r="DZ16" i="288"/>
  <c r="DZ20" i="288" s="1"/>
  <c r="EA16" i="288"/>
  <c r="E15" i="288"/>
  <c r="F15" i="288"/>
  <c r="G15" i="288"/>
  <c r="H15" i="288"/>
  <c r="I15" i="288"/>
  <c r="J15" i="288"/>
  <c r="K15" i="288"/>
  <c r="K20" i="288" s="1"/>
  <c r="L15" i="288"/>
  <c r="M15" i="288"/>
  <c r="M20" i="288" s="1"/>
  <c r="N15" i="288"/>
  <c r="O15" i="288"/>
  <c r="O20" i="288" s="1"/>
  <c r="P15" i="288"/>
  <c r="Q15" i="288"/>
  <c r="Q20" i="288" s="1"/>
  <c r="R15" i="288"/>
  <c r="S15" i="288"/>
  <c r="S20" i="288" s="1"/>
  <c r="T15" i="288"/>
  <c r="U15" i="288"/>
  <c r="U20" i="288" s="1"/>
  <c r="V15" i="288"/>
  <c r="W15" i="288"/>
  <c r="W20" i="288" s="1"/>
  <c r="X15" i="288"/>
  <c r="Y15" i="288"/>
  <c r="Y20" i="288" s="1"/>
  <c r="Z15" i="288"/>
  <c r="AA15" i="288"/>
  <c r="AA20" i="288" s="1"/>
  <c r="AB15" i="288"/>
  <c r="AC15" i="288"/>
  <c r="AC20" i="288" s="1"/>
  <c r="AD15" i="288"/>
  <c r="AE15" i="288"/>
  <c r="AE20" i="288" s="1"/>
  <c r="AF15" i="288"/>
  <c r="AG15" i="288"/>
  <c r="AG20" i="288" s="1"/>
  <c r="AH15" i="288"/>
  <c r="AI15" i="288"/>
  <c r="AI20" i="288" s="1"/>
  <c r="AJ15" i="288"/>
  <c r="AK15" i="288"/>
  <c r="AK20" i="288" s="1"/>
  <c r="AL15" i="288"/>
  <c r="AM15" i="288"/>
  <c r="AM20" i="288" s="1"/>
  <c r="AN15" i="288"/>
  <c r="AO15" i="288"/>
  <c r="AO20" i="288" s="1"/>
  <c r="AP15" i="288"/>
  <c r="AQ15" i="288"/>
  <c r="AQ20" i="288" s="1"/>
  <c r="AR15" i="288"/>
  <c r="AS15" i="288"/>
  <c r="AS20" i="288" s="1"/>
  <c r="AT15" i="288"/>
  <c r="AU15" i="288"/>
  <c r="AU20" i="288" s="1"/>
  <c r="AV15" i="288"/>
  <c r="AW15" i="288"/>
  <c r="AW20" i="288" s="1"/>
  <c r="AX15" i="288"/>
  <c r="AY15" i="288"/>
  <c r="AY20" i="288" s="1"/>
  <c r="AZ15" i="288"/>
  <c r="BA15" i="288"/>
  <c r="BA20" i="288" s="1"/>
  <c r="BB15" i="288"/>
  <c r="BC15" i="288"/>
  <c r="BC20" i="288" s="1"/>
  <c r="BD15" i="288"/>
  <c r="BE15" i="288"/>
  <c r="BE20" i="288" s="1"/>
  <c r="BF15" i="288"/>
  <c r="BG15" i="288"/>
  <c r="BG20" i="288" s="1"/>
  <c r="BH15" i="288"/>
  <c r="BI15" i="288"/>
  <c r="BI20" i="288" s="1"/>
  <c r="BJ15" i="288"/>
  <c r="BK15" i="288"/>
  <c r="BK20" i="288" s="1"/>
  <c r="BL15" i="288"/>
  <c r="BM15" i="288"/>
  <c r="BM20" i="288" s="1"/>
  <c r="BN15" i="288"/>
  <c r="BO15" i="288"/>
  <c r="BO20" i="288" s="1"/>
  <c r="BP15" i="288"/>
  <c r="BQ15" i="288"/>
  <c r="BQ20" i="288" s="1"/>
  <c r="BR15" i="288"/>
  <c r="BS15" i="288"/>
  <c r="BS20" i="288" s="1"/>
  <c r="BT15" i="288"/>
  <c r="BU15" i="288"/>
  <c r="BU20" i="288" s="1"/>
  <c r="BV15" i="288"/>
  <c r="BW15" i="288"/>
  <c r="BW20" i="288" s="1"/>
  <c r="BX15" i="288"/>
  <c r="BY15" i="288"/>
  <c r="BY20" i="288" s="1"/>
  <c r="BZ15" i="288"/>
  <c r="CA15" i="288"/>
  <c r="CA20" i="288" s="1"/>
  <c r="CB15" i="288"/>
  <c r="CC15" i="288"/>
  <c r="CC20" i="288" s="1"/>
  <c r="CD15" i="288"/>
  <c r="CE15" i="288"/>
  <c r="CE20" i="288" s="1"/>
  <c r="CF15" i="288"/>
  <c r="CG15" i="288"/>
  <c r="CG20" i="288" s="1"/>
  <c r="CH15" i="288"/>
  <c r="CI15" i="288"/>
  <c r="CI20" i="288" s="1"/>
  <c r="CJ15" i="288"/>
  <c r="CK15" i="288"/>
  <c r="CK20" i="288" s="1"/>
  <c r="CL15" i="288"/>
  <c r="CM15" i="288"/>
  <c r="CM20" i="288" s="1"/>
  <c r="CN15" i="288"/>
  <c r="CO15" i="288"/>
  <c r="CO20" i="288" s="1"/>
  <c r="CP15" i="288"/>
  <c r="CQ15" i="288"/>
  <c r="CQ20" i="288" s="1"/>
  <c r="CR15" i="288"/>
  <c r="CS15" i="288"/>
  <c r="CS20" i="288" s="1"/>
  <c r="CT15" i="288"/>
  <c r="CU15" i="288"/>
  <c r="CU20" i="288" s="1"/>
  <c r="CV15" i="288"/>
  <c r="CW15" i="288"/>
  <c r="CW20" i="288" s="1"/>
  <c r="CX15" i="288"/>
  <c r="CY15" i="288"/>
  <c r="CY20" i="288" s="1"/>
  <c r="CZ15" i="288"/>
  <c r="DA15" i="288"/>
  <c r="DA20" i="288" s="1"/>
  <c r="DB15" i="288"/>
  <c r="DC15" i="288"/>
  <c r="DC20" i="288" s="1"/>
  <c r="DD15" i="288"/>
  <c r="DE15" i="288"/>
  <c r="DE20" i="288" s="1"/>
  <c r="DF15" i="288"/>
  <c r="DG15" i="288"/>
  <c r="DG20" i="288" s="1"/>
  <c r="DH15" i="288"/>
  <c r="DI15" i="288"/>
  <c r="DI20" i="288" s="1"/>
  <c r="DJ15" i="288"/>
  <c r="DK15" i="288"/>
  <c r="DK20" i="288" s="1"/>
  <c r="DL15" i="288"/>
  <c r="DM15" i="288"/>
  <c r="DM20" i="288" s="1"/>
  <c r="DN15" i="288"/>
  <c r="DO15" i="288"/>
  <c r="DO20" i="288" s="1"/>
  <c r="DP15" i="288"/>
  <c r="DQ15" i="288"/>
  <c r="DQ20" i="288" s="1"/>
  <c r="DR15" i="288"/>
  <c r="DS15" i="288"/>
  <c r="DS20" i="288" s="1"/>
  <c r="DT15" i="288"/>
  <c r="DU15" i="288"/>
  <c r="DU20" i="288" s="1"/>
  <c r="DV15" i="288"/>
  <c r="DW15" i="288"/>
  <c r="DW20" i="288" s="1"/>
  <c r="DX15" i="288"/>
  <c r="DY15" i="288"/>
  <c r="DY20" i="288" s="1"/>
  <c r="DZ15" i="288"/>
  <c r="EA15" i="288"/>
  <c r="EA20" i="288" s="1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H20" i="288" l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L58" i="269" l="1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F95" i="273" l="1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23" i="287" l="1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23" i="287" l="1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N11" i="287" l="1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N23" i="287" l="1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11" i="287" l="1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J10" i="287" l="1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R20" i="287" l="1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J60" i="287" l="1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K10" i="287" l="1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7" l="1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L10" i="287" l="1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3" i="287" l="1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23" i="287" l="1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23" i="287" l="1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11" i="287" l="1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23" i="287" l="1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A23" i="287" l="1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B43" i="287" l="1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C23" i="287" l="1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1" i="287" l="1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23" i="287" l="1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Q10" i="287" l="1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23" i="287" l="1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H23" i="287" l="1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I23" i="287" l="1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J43" i="287" l="1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0" i="287" l="1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S10" i="287" l="1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23" i="287" l="1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23" i="287" l="1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T10" i="287" l="1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23" i="287" l="1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Q23" i="287" l="1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R43" i="287" l="1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23" i="287" l="1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U16" i="282" l="1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U23" i="287" l="1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23" i="287" l="1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X20" i="287" l="1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25" i="282" l="1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Y23" i="287" l="1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23" i="287" l="1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23" i="287" l="1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X22" i="287" l="1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Z61" i="281" l="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Y10" i="287" l="1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1" i="287" l="1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F23" i="287" l="1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20" i="287" l="1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11" i="287" l="1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I23" i="287" l="1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K20" i="287" l="1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0" i="287" l="1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I61" i="281" l="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AB10" i="287" l="1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11" i="287" l="1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O23" i="287" l="1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1" i="287" l="1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Q23" i="287" l="1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20" i="287" l="1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1" i="287" l="1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T23" i="287" l="1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V11" i="287" l="1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1" i="287" l="1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X20" i="287" l="1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" i="287" l="1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AF10" i="287" l="1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Z23" i="287" l="1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A23" i="287" l="1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G10" i="287" l="1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20" i="287" l="1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1" i="287" l="1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H10" i="287" l="1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0" i="287" l="1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H20" i="287" l="1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AI10" i="287" l="1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I22" i="287" l="1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J23" i="287" l="1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K23" i="287" l="1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AJ22" i="287" l="1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1" i="287" l="1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N23" i="287" l="1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20" i="287" l="1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20" i="287" l="1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20" i="287" l="1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25" i="282" l="1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23" i="287" l="1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23" i="287" l="1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20" i="287" l="1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0" i="287" l="1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AN10" i="287" l="1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AN22" i="287" l="1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23" i="287" l="1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Z23" i="287" l="1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1" i="287" l="1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C25" i="282" l="1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C23" i="287" l="1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AP22" i="287" l="1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F11" i="287" l="1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F23" i="287" l="1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20" i="287" l="1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1" i="287" l="1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I23" i="287" l="1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J23" i="287" l="1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J61" i="281" l="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M20" i="287" l="1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0" i="287" l="1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O11" i="287" l="1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20" i="287" l="1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1" i="287" l="1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23" i="287" l="1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AU10" i="287" l="1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1" i="287" l="1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1" i="287" l="1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<sst xmlns="http://schemas.openxmlformats.org/spreadsheetml/2006/main" count="517" uniqueCount="308">
  <si>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</si>
  <si>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</si>
  <si>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</si>
  <si>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</si>
  <si>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</si>
  <si>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</si>
  <si>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</si>
  <si>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</si>
  <si>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</si>
  <si>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</si>
  <si>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</si>
  <si>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</si>
  <si>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</si>
  <si>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</si>
  <si>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</si>
  <si>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</si>
  <si>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</si>
  <si>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</si>
  <si>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</si>
  <si>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</si>
  <si>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</si>
  <si>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</si>
  <si>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</si>
  <si>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</si>
  <si>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</si>
  <si>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</si>
  <si>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</si>
  <si>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</si>
  <si>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</si>
  <si>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</si>
  <si>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</si>
  <si>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</si>
  <si>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</si>
  <si>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</si>
  <si>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</si>
  <si>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</si>
  <si>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</si>
  <si>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</si>
  <si>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</si>
  <si>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</si>
  <si>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</si>
  <si>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</si>
  <si>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</si>
  <si>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</si>
  <si>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</si>
  <si>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</si>
  <si>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</si>
  <si>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</si>
  <si>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</si>
  <si>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</si>
  <si>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</si>
  <si>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</si>
  <si>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</si>
  <si>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</si>
  <si>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</si>
  <si>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</si>
  <si>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</si>
  <si>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</si>
  <si>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</si>
  <si>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</si>
  <si>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</si>
  <si>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</si>
  <si>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</si>
  <si>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</si>
  <si>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</si>
  <si>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</si>
  <si>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</si>
  <si>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</si>
  <si>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</si>
  <si>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</si>
  <si>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</si>
  <si>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</si>
  <si>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</si>
  <si>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</si>
  <si>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</si>
  <si>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</si>
  <si>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</si>
  <si>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</si>
  <si>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</si>
  <si>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</si>
  <si>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</si>
  <si>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</si>
  <si>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</si>
  <si>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</si>
  <si>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</si>
  <si>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</si>
  <si>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</si>
  <si>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</si>
  <si>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</si>
  <si>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</si>
  <si>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</si>
  <si>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</si>
  <si>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</si>
  <si>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</si>
  <si>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</si>
  <si>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</si>
  <si>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</si>
  <si>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</si>
  <si>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</si>
  <si>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</si>
  <si>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</si>
  <si>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</si>
  <si>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</si>
  <si>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</si>
  <si>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</si>
  <si>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</si>
  <si>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</si>
  <si>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</si>
  <si>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</si>
  <si>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</si>
  <si>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</si>
  <si>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</si>
  <si>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</si>
  <si>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</si>
  <si>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</si>
  <si>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</si>
  <si>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</si>
  <si>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</si>
  <si>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</si>
  <si>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</si>
  <si>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</si>
  <si>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</si>
  <si>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</si>
  <si>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</si>
  <si>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</si>
  <si>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</si>
  <si>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</si>
  <si>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</si>
  <si>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</si>
  <si>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</si>
  <si>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</si>
  <si>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</si>
  <si>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</si>
  <si>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</si>
  <si>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</si>
  <si>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</si>
  <si>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</si>
  <si>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</si>
  <si>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</si>
  <si>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</si>
  <si>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</si>
  <si>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</si>
  <si>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</si>
  <si>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</si>
  <si>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</si>
  <si>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</si>
  <si>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</si>
  <si>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</si>
  <si>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</si>
  <si>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</si>
  <si>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</si>
  <si>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</si>
  <si>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</si>
  <si>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</si>
  <si>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</si>
  <si>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</si>
  <si>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</si>
  <si>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</si>
  <si>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</si>
  <si>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</si>
  <si>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</si>
  <si>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</si>
  <si>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</si>
  <si>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</si>
  <si>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</si>
  <si>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</si>
  <si>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</si>
  <si>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</si>
  <si>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</si>
  <si>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</si>
  <si>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</si>
  <si>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</si>
  <si>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</si>
  <si>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</si>
  <si>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</si>
  <si>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</si>
  <si>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</si>
  <si>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</si>
  <si>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</si>
  <si>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</si>
  <si>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</si>
  <si>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</si>
  <si>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</si>
  <si>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</si>
  <si>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</si>
  <si>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</si>
  <si>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</si>
  <si>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</si>
  <si>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</si>
  <si>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</si>
  <si>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</si>
  <si>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</si>
  <si>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</si>
  <si>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</si>
  <si>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</si>
  <si>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</si>
  <si>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</si>
  <si>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</si>
  <si>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</si>
  <si>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</si>
  <si>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</si>
  <si>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</si>
  <si>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</si>
  <si>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</si>
  <si>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</si>
  <si>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</si>
  <si>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</si>
  <si>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</si>
  <si>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</si>
  <si>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</si>
  <si>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</si>
  <si>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</si>
  <si>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</si>
  <si>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</si>
  <si>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</si>
  <si>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</si>
  <si>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</si>
  <si>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</si>
  <si>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</si>
  <si>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</si>
  <si>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</si>
  <si>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</si>
  <si>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</si>
  <si>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</si>
  <si>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</si>
  <si>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</si>
  <si>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</si>
  <si>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</si>
  <si>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</si>
  <si>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</si>
  <si>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</si>
  <si>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</si>
  <si>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</si>
  <si>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</si>
  <si>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</si>
  <si>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</si>
  <si>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</si>
  <si>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</si>
  <si>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</si>
  <si>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</si>
  <si>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</si>
  <si>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</si>
  <si>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</si>
  <si>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</si>
  <si>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</si>
  <si>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</si>
  <si>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</si>
  <si>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</si>
  <si>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</si>
  <si>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</si>
  <si>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</si>
  <si>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</si>
  <si>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</si>
  <si>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</si>
  <si>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</si>
  <si>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</si>
  <si>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</si>
  <si>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</si>
  <si>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</si>
  <si>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</si>
  <si>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</si>
  <si>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</si>
  <si>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</si>
  <si>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</si>
  <si>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</si>
  <si>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</si>
  <si>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</si>
  <si>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</si>
  <si>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</si>
  <si>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</si>
  <si>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</si>
  <si>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</si>
  <si>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</si>
  <si>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</si>
  <si>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</si>
  <si>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</si>
  <si>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</si>
  <si>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</si>
  <si>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</si>
  <si>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</si>
  <si>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</si>
  <si>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</si>
  <si>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</si>
  <si>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</si>
  <si>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</si>
  <si>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</si>
  <si>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</si>
  <si>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</si>
  <si>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</si>
  <si>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</si>
  <si>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</si>
  <si>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</si>
  <si>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</si>
  <si>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</si>
  <si>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</si>
  <si>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</si>
  <si>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</si>
  <si>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</si>
  <si>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</si>
  <si>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</si>
  <si>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</si>
  <si>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</si>
  <si>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</si>
  <si>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</si>
  <si>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</si>
  <si>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[Tax depreciation]</t>
  </si>
  <si>
    <t>[Allowable debt interest for tax]</t>
  </si>
  <si>
    <t>Taxable profit / (tax losses arising)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</si>
</sst>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3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Dropbox%20for%20Business\Masdar%20-%20ScSolar%20Uzbek\Post-Bid\Model\017\Uzbek%20SS%20v01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Checkbox_Settings__"/>
      <sheetName val="Summary"/>
      <sheetName val="Output"/>
      <sheetName val="InpC"/>
      <sheetName val="InpS"/>
      <sheetName val="Sensitivity"/>
      <sheetName val="Time-M"/>
      <sheetName val="Const-M"/>
      <sheetName val="HoldCo-M"/>
      <sheetName val="HoldCo"/>
      <sheetName val="T&amp;E"/>
      <sheetName val="D&amp;A"/>
      <sheetName val="Oper"/>
      <sheetName val="Debt"/>
      <sheetName val="Debt_IFRS9"/>
      <sheetName val="Equity"/>
      <sheetName val="DT"/>
      <sheetName val="Reserve"/>
      <sheetName val="Tax"/>
      <sheetName val="Metrics"/>
      <sheetName val="Graphs"/>
      <sheetName val="S&amp;U"/>
      <sheetName val="FS"/>
      <sheetName val="FSAnn"/>
      <sheetName val="FSAnn_Cal_Yr"/>
      <sheetName val="Chk"/>
      <sheetName val="Data for graphs"/>
    </sheetNames>
    <sheetDataSet>
      <sheetData sheetId="0" refreshError="1"/>
      <sheetData sheetId="1">
        <row r="6">
          <cell r="V6">
            <v>2.6794485143839135</v>
          </cell>
        </row>
      </sheetData>
      <sheetData sheetId="2" refreshError="1"/>
      <sheetData sheetId="3">
        <row r="25">
          <cell r="F25">
            <v>0.1</v>
          </cell>
        </row>
      </sheetData>
      <sheetData sheetId="4" refreshError="1"/>
      <sheetData sheetId="5" refreshError="1"/>
      <sheetData sheetId="6" refreshError="1"/>
      <sheetData sheetId="7">
        <row r="918">
          <cell r="F918">
            <v>0</v>
          </cell>
        </row>
      </sheetData>
      <sheetData sheetId="8" refreshError="1"/>
      <sheetData sheetId="9" refreshError="1"/>
      <sheetData sheetId="10">
        <row r="842">
          <cell r="F842">
            <v>0.33333333333333331</v>
          </cell>
        </row>
      </sheetData>
      <sheetData sheetId="11" refreshError="1"/>
      <sheetData sheetId="12" refreshError="1"/>
      <sheetData sheetId="13">
        <row r="1463">
          <cell r="J1463">
            <v>0</v>
          </cell>
        </row>
      </sheetData>
      <sheetData sheetId="14" refreshError="1"/>
      <sheetData sheetId="15" refreshError="1"/>
      <sheetData sheetId="16">
        <row r="8">
          <cell r="F8" t="str">
            <v>P50</v>
          </cell>
        </row>
      </sheetData>
      <sheetData sheetId="17" refreshError="1"/>
      <sheetData sheetId="18" refreshError="1"/>
      <sheetData sheetId="19">
        <row r="521">
          <cell r="J521">
            <v>-1E-8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26349.980283391676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1197.2229115983791</v>
      </c>
      <c r="N81" s="7">
        <f t="shared" si="93"/>
        <v>1190.5899685033376</v>
      </c>
      <c r="O81" s="7">
        <f t="shared" si="93"/>
        <v>1147.9906819084558</v>
      </c>
      <c r="P81" s="7">
        <f t="shared" si="93"/>
        <v>1104.2906760888534</v>
      </c>
      <c r="Q81" s="7">
        <f t="shared" si="93"/>
        <v>1109.4352526054679</v>
      </c>
      <c r="R81" s="7">
        <f t="shared" si="93"/>
        <v>1092.6545584244641</v>
      </c>
      <c r="S81" s="7">
        <f t="shared" si="93"/>
        <v>1048.9688215293802</v>
      </c>
      <c r="T81" s="7">
        <f t="shared" si="93"/>
        <v>1006.2252365928529</v>
      </c>
      <c r="U81" s="7">
        <f t="shared" si="93"/>
        <v>1009.0227911636565</v>
      </c>
      <c r="V81" s="7">
        <f t="shared" si="93"/>
        <v>989.94194709529347</v>
      </c>
      <c r="W81" s="7">
        <f t="shared" si="93"/>
        <v>945.09670990185248</v>
      </c>
      <c r="X81" s="7">
        <f t="shared" si="93"/>
        <v>913.38015873119298</v>
      </c>
      <c r="Y81" s="7">
        <f t="shared" si="93"/>
        <v>903.7339388420877</v>
      </c>
      <c r="Z81" s="7">
        <f t="shared" si="93"/>
        <v>882.31248953653733</v>
      </c>
      <c r="AA81" s="7">
        <f t="shared" si="93"/>
        <v>836.23260549195652</v>
      </c>
      <c r="AB81" s="7">
        <f t="shared" si="93"/>
        <v>795.50326322711089</v>
      </c>
      <c r="AC81" s="7">
        <f t="shared" si="93"/>
        <v>793.2266792979309</v>
      </c>
      <c r="AD81" s="7">
        <f t="shared" si="93"/>
        <v>769.15328511308087</v>
      </c>
      <c r="AE81" s="7">
        <f t="shared" si="93"/>
        <v>721.7542552211778</v>
      </c>
      <c r="AF81" s="7">
        <f t="shared" si="93"/>
        <v>682.08796579611294</v>
      </c>
      <c r="AG81" s="7">
        <f t="shared" si="93"/>
        <v>677.06440676082934</v>
      </c>
      <c r="AH81" s="7">
        <f t="shared" si="93"/>
        <v>650.27820470527649</v>
      </c>
      <c r="AI81" s="7">
        <f t="shared" si="93"/>
        <v>601.47272206939567</v>
      </c>
      <c r="AJ81" s="7">
        <f t="shared" si="93"/>
        <v>562.90950034582897</v>
      </c>
      <c r="AK81" s="7">
        <f t="shared" si="93"/>
        <v>554.98873989081835</v>
      </c>
      <c r="AL81" s="7">
        <f t="shared" si="93"/>
        <v>525.33480228194662</v>
      </c>
      <c r="AM81" s="7">
        <f t="shared" si="93"/>
        <v>475.03020264070562</v>
      </c>
      <c r="AN81" s="7">
        <f t="shared" si="93"/>
        <v>442.47487905833009</v>
      </c>
      <c r="AO81" s="7">
        <f t="shared" si="93"/>
        <v>426.62587537093373</v>
      </c>
      <c r="AP81" s="7">
        <f t="shared" ref="AP81:BU81" si="94" xml:space="preserve"> AP79 * AP80</f>
        <v>394.02329585801135</v>
      </c>
      <c r="AQ81" s="7">
        <f t="shared" si="94"/>
        <v>342.12236584473817</v>
      </c>
      <c r="AR81" s="7">
        <f t="shared" si="94"/>
        <v>305.89478157424725</v>
      </c>
      <c r="AS81" s="7">
        <f t="shared" si="94"/>
        <v>291.69315207317447</v>
      </c>
      <c r="AT81" s="7">
        <f t="shared" si="94"/>
        <v>255.80218503398922</v>
      </c>
      <c r="AU81" s="7">
        <f t="shared" si="94"/>
        <v>202.19945658774819</v>
      </c>
      <c r="AV81" s="7">
        <f t="shared" si="94"/>
        <v>167.21028608399482</v>
      </c>
      <c r="AW81" s="7">
        <f t="shared" si="94"/>
        <v>149.60278504223194</v>
      </c>
      <c r="AX81" s="7">
        <f t="shared" si="94"/>
        <v>110.31970545613908</v>
      </c>
      <c r="AY81" s="7">
        <f t="shared" si="94"/>
        <v>54.904365884114206</v>
      </c>
      <c r="AZ81" s="7">
        <f t="shared" si="94"/>
        <v>21.204374160213664</v>
      </c>
      <c r="BA81" s="7">
        <f t="shared" si="94"/>
        <v>-1.1138657403838201E-12</v>
      </c>
      <c r="BB81" s="7">
        <f t="shared" si="94"/>
        <v>-1.1431852979310662E-12</v>
      </c>
      <c r="BC81" s="7">
        <f t="shared" si="94"/>
        <v>-1.1607141391660092E-12</v>
      </c>
      <c r="BD81" s="7">
        <f t="shared" si="94"/>
        <v>-1.1657018455756139E-12</v>
      </c>
      <c r="BE81" s="7">
        <f t="shared" si="94"/>
        <v>-1.1833816569001772E-12</v>
      </c>
      <c r="BF81" s="7">
        <f t="shared" si="94"/>
        <v>-1.2145310363378501E-12</v>
      </c>
      <c r="BG81" s="7">
        <f t="shared" si="94"/>
        <v>-1.2331538455616972E-12</v>
      </c>
      <c r="BH81" s="7">
        <f t="shared" si="94"/>
        <v>-1.224843460950303E-12</v>
      </c>
      <c r="BI81" s="7">
        <f t="shared" si="94"/>
        <v>-1.2570296252297195E-12</v>
      </c>
      <c r="BJ81" s="7">
        <f t="shared" si="94"/>
        <v>-1.2901175918484036E-12</v>
      </c>
      <c r="BK81" s="7">
        <f t="shared" si="94"/>
        <v>-1.3098993949234124E-12</v>
      </c>
      <c r="BL81" s="7">
        <f t="shared" si="94"/>
        <v>-1.3010718120445806E-12</v>
      </c>
      <c r="BM81" s="7">
        <f t="shared" si="94"/>
        <v>-1.3352610879944189E-12</v>
      </c>
      <c r="BN81" s="7">
        <f t="shared" si="94"/>
        <v>-1.370408290112836E-12</v>
      </c>
      <c r="BO81" s="7">
        <f t="shared" si="94"/>
        <v>-1.3914212172278997E-12</v>
      </c>
      <c r="BP81" s="7">
        <f t="shared" si="94"/>
        <v>-1.3820442481552766E-12</v>
      </c>
      <c r="BQ81" s="7">
        <f t="shared" si="94"/>
        <v>-1.418361299787357E-12</v>
      </c>
      <c r="BR81" s="7">
        <f t="shared" si="94"/>
        <v>-1.4556958942938476E-12</v>
      </c>
      <c r="BS81" s="7">
        <f t="shared" si="94"/>
        <v>-1.4780165646730201E-12</v>
      </c>
      <c r="BT81" s="7">
        <f t="shared" si="94"/>
        <v>-1.4843677517951293E-12</v>
      </c>
      <c r="BU81" s="7">
        <f t="shared" si="94"/>
        <v>-1.5068806626973554E-12</v>
      </c>
      <c r="BV81" s="7">
        <f t="shared" ref="BV81:DA81" si="95" xml:space="preserve"> BV79 * BV80</f>
        <v>-1.5465452943535579E-12</v>
      </c>
      <c r="BW81" s="7">
        <f t="shared" si="95"/>
        <v>-1.570258988866979E-12</v>
      </c>
      <c r="BX81" s="7">
        <f t="shared" si="95"/>
        <v>-1.5596768087246145E-12</v>
      </c>
      <c r="BY81" s="7">
        <f t="shared" si="95"/>
        <v>-1.6006616493094333E-12</v>
      </c>
      <c r="BZ81" s="7">
        <f t="shared" si="95"/>
        <v>-1.6427948163861279E-12</v>
      </c>
      <c r="CA81" s="7">
        <f t="shared" si="95"/>
        <v>-1.6679843369040487E-12</v>
      </c>
      <c r="CB81" s="7">
        <f t="shared" si="95"/>
        <v>-1.6567435728944777E-12</v>
      </c>
      <c r="CC81" s="7">
        <f t="shared" si="95"/>
        <v>-1.7002791123377603E-12</v>
      </c>
      <c r="CD81" s="7">
        <f t="shared" si="95"/>
        <v>-1.745034444576805E-12</v>
      </c>
      <c r="CE81" s="7">
        <f t="shared" si="95"/>
        <v>-1.7717916393936493E-12</v>
      </c>
      <c r="CF81" s="7">
        <f t="shared" si="95"/>
        <v>-1.7598513044325182E-12</v>
      </c>
      <c r="CG81" s="7">
        <f t="shared" si="95"/>
        <v>-1.8060962859323284E-12</v>
      </c>
      <c r="CH81" s="7">
        <f t="shared" si="95"/>
        <v>-1.8536369742499467E-12</v>
      </c>
      <c r="CI81" s="7">
        <f t="shared" si="95"/>
        <v>-1.8820594078551125E-12</v>
      </c>
      <c r="CJ81" s="7">
        <f t="shared" si="95"/>
        <v>-1.8901468080642288E-12</v>
      </c>
      <c r="CK81" s="7">
        <f t="shared" si="95"/>
        <v>-1.9188140346532029E-12</v>
      </c>
      <c r="CL81" s="7">
        <f t="shared" si="95"/>
        <v>-1.9693217183638916E-12</v>
      </c>
      <c r="CM81" s="7">
        <f t="shared" si="95"/>
        <v>-1.999517984712138E-12</v>
      </c>
      <c r="CN81" s="7">
        <f t="shared" si="95"/>
        <v>-1.9860429722064693E-12</v>
      </c>
      <c r="CO81" s="7">
        <f t="shared" si="95"/>
        <v>-2.0382317680872283E-12</v>
      </c>
      <c r="CP81" s="7">
        <f t="shared" si="95"/>
        <v>-2.0918828064955611E-12</v>
      </c>
      <c r="CQ81" s="7">
        <f t="shared" si="95"/>
        <v>-2.1239583428618268E-12</v>
      </c>
      <c r="CR81" s="7">
        <f t="shared" si="95"/>
        <v>-2.1096447105512358E-12</v>
      </c>
      <c r="CS81" s="7">
        <f t="shared" si="95"/>
        <v>-2.1650814854451654E-12</v>
      </c>
      <c r="CT81" s="7">
        <f t="shared" si="95"/>
        <v>-2.2220715057909857E-12</v>
      </c>
      <c r="CU81" s="7">
        <f t="shared" si="95"/>
        <v>-2.2561432688797811E-12</v>
      </c>
      <c r="CV81" s="7">
        <f t="shared" si="95"/>
        <v>-2.2409388251112433E-12</v>
      </c>
      <c r="CW81" s="7">
        <f t="shared" si="95"/>
        <v>-2.299825717571111E-12</v>
      </c>
      <c r="CX81" s="7">
        <f t="shared" si="95"/>
        <v>-2.3603625219904008E-12</v>
      </c>
      <c r="CY81" s="7">
        <f t="shared" si="95"/>
        <v>-2.3965547473275869E-12</v>
      </c>
      <c r="CZ81" s="7">
        <f t="shared" si="95"/>
        <v>-2.4068529862055961E-12</v>
      </c>
      <c r="DA81" s="7">
        <f t="shared" si="95"/>
        <v>-2.443356923163048E-12</v>
      </c>
      <c r="DB81" s="7">
        <f t="shared" ref="DB81:EA81" si="96" xml:space="preserve"> DB79 * DB80</f>
        <v>-2.5076718053969296E-12</v>
      </c>
      <c r="DC81" s="7">
        <f t="shared" si="96"/>
        <v>-2.5461227730796825E-12</v>
      </c>
      <c r="DD81" s="7">
        <f t="shared" si="96"/>
        <v>-2.5289641196089276E-12</v>
      </c>
      <c r="DE81" s="7">
        <f t="shared" si="96"/>
        <v>-2.5954196767519844E-12</v>
      </c>
      <c r="DF81" s="7">
        <f t="shared" si="96"/>
        <v>-2.6637372071444382E-12</v>
      </c>
      <c r="DG81" s="7">
        <f t="shared" si="96"/>
        <v>-2.704581177653986E-12</v>
      </c>
      <c r="DH81" s="7">
        <f t="shared" si="96"/>
        <v>-2.6863546523263179E-12</v>
      </c>
      <c r="DI81" s="7">
        <f t="shared" si="96"/>
        <v>-2.7569460829124483E-12</v>
      </c>
      <c r="DJ81" s="7">
        <f t="shared" si="96"/>
        <v>-2.8295153669850084E-12</v>
      </c>
      <c r="DK81" s="7">
        <f t="shared" si="96"/>
        <v>-2.8729012692787786E-12</v>
      </c>
      <c r="DL81" s="7">
        <f t="shared" si="96"/>
        <v>-2.853540412898856E-12</v>
      </c>
      <c r="DM81" s="7">
        <f t="shared" si="96"/>
        <v>-2.9285251137489206E-12</v>
      </c>
      <c r="DN81" s="7">
        <f t="shared" si="96"/>
        <v>-3.0056107601496525E-12</v>
      </c>
      <c r="DO81" s="7">
        <f t="shared" si="96"/>
        <v>-3.0516967918052802E-12</v>
      </c>
      <c r="DP81" s="7">
        <f t="shared" si="96"/>
        <v>-3.0648102425120956E-12</v>
      </c>
      <c r="DQ81" s="7">
        <f t="shared" si="96"/>
        <v>-3.1112931978568627E-12</v>
      </c>
      <c r="DR81" s="7">
        <f t="shared" si="96"/>
        <v>-3.1931897286986188E-12</v>
      </c>
      <c r="DS81" s="7">
        <f t="shared" si="96"/>
        <v>-3.242151971205331E-12</v>
      </c>
      <c r="DT81" s="7">
        <f t="shared" si="96"/>
        <v>-3.2203026861819905E-12</v>
      </c>
      <c r="DU81" s="7">
        <f t="shared" si="96"/>
        <v>-3.3049250845466616E-12</v>
      </c>
      <c r="DV81" s="7">
        <f t="shared" si="96"/>
        <v>-3.3919184605816521E-12</v>
      </c>
      <c r="DW81" s="7">
        <f t="shared" si="96"/>
        <v>-3.4439278769772374E-12</v>
      </c>
      <c r="DX81" s="7">
        <f t="shared" si="96"/>
        <v>-3.4207187978063038E-12</v>
      </c>
      <c r="DY81" s="7">
        <f t="shared" si="96"/>
        <v>-3.5106076862153251E-12</v>
      </c>
      <c r="DZ81" s="7">
        <f t="shared" si="96"/>
        <v>-3.6030151105125529E-12</v>
      </c>
      <c r="EA81" s="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78937.774391101906</v>
      </c>
      <c r="N90" s="169">
        <f t="shared" si="100"/>
        <v>77647.171858913309</v>
      </c>
      <c r="O90" s="169">
        <f t="shared" si="100"/>
        <v>74868.957515768852</v>
      </c>
      <c r="P90" s="169">
        <f t="shared" si="100"/>
        <v>73619.378405923548</v>
      </c>
      <c r="Q90" s="169">
        <f t="shared" si="100"/>
        <v>73149.577094866007</v>
      </c>
      <c r="R90" s="169">
        <f t="shared" si="100"/>
        <v>71260.079897247648</v>
      </c>
      <c r="S90" s="169">
        <f t="shared" si="100"/>
        <v>68411.010099742169</v>
      </c>
      <c r="T90" s="169">
        <f t="shared" si="100"/>
        <v>67081.682439523516</v>
      </c>
      <c r="U90" s="169">
        <f t="shared" si="100"/>
        <v>66528.975241559761</v>
      </c>
      <c r="V90" s="169">
        <f t="shared" si="100"/>
        <v>64561.431332301734</v>
      </c>
      <c r="W90" s="169">
        <f t="shared" si="100"/>
        <v>61636.741950120806</v>
      </c>
      <c r="X90" s="169">
        <f t="shared" si="100"/>
        <v>60222.867608650078</v>
      </c>
      <c r="Y90" s="169">
        <f t="shared" si="100"/>
        <v>59586.853110467317</v>
      </c>
      <c r="Z90" s="169">
        <f t="shared" si="100"/>
        <v>57542.118882817645</v>
      </c>
      <c r="AA90" s="169">
        <f t="shared" si="100"/>
        <v>54536.909053823241</v>
      </c>
      <c r="AB90" s="169">
        <f t="shared" si="100"/>
        <v>53033.550881807387</v>
      </c>
      <c r="AC90" s="169">
        <f t="shared" si="100"/>
        <v>52300.660173489945</v>
      </c>
      <c r="AD90" s="169">
        <f t="shared" si="100"/>
        <v>50162.170768244396</v>
      </c>
      <c r="AE90" s="169">
        <f t="shared" si="100"/>
        <v>47070.929688337674</v>
      </c>
      <c r="AF90" s="169">
        <f t="shared" si="100"/>
        <v>45472.531053074192</v>
      </c>
      <c r="AG90" s="169">
        <f t="shared" si="100"/>
        <v>44641.609236977754</v>
      </c>
      <c r="AH90" s="169">
        <f t="shared" si="100"/>
        <v>42409.448132952806</v>
      </c>
      <c r="AI90" s="169">
        <f t="shared" si="100"/>
        <v>39226.481874091012</v>
      </c>
      <c r="AJ90" s="169">
        <f t="shared" si="100"/>
        <v>37527.300023055264</v>
      </c>
      <c r="AK90" s="169">
        <f t="shared" si="100"/>
        <v>36592.664168625379</v>
      </c>
      <c r="AL90" s="169">
        <f t="shared" si="100"/>
        <v>34260.965366213903</v>
      </c>
      <c r="AM90" s="169">
        <f t="shared" si="100"/>
        <v>30980.230607002537</v>
      </c>
      <c r="AN90" s="169">
        <f t="shared" si="100"/>
        <v>29174.167849999783</v>
      </c>
      <c r="AO90" s="169">
        <f t="shared" si="100"/>
        <v>28129.178595885736</v>
      </c>
      <c r="AP90" s="169">
        <f t="shared" si="100"/>
        <v>25697.171469000736</v>
      </c>
      <c r="AQ90" s="169">
        <f t="shared" si="100"/>
        <v>22312.328207265527</v>
      </c>
      <c r="AR90" s="169">
        <f t="shared" si="100"/>
        <v>20392.985438283147</v>
      </c>
      <c r="AS90" s="169">
        <f t="shared" si="100"/>
        <v>19232.515521308203</v>
      </c>
      <c r="AT90" s="169">
        <f t="shared" si="100"/>
        <v>16682.75119786886</v>
      </c>
      <c r="AU90" s="169">
        <f t="shared" si="100"/>
        <v>13186.921081809662</v>
      </c>
      <c r="AV90" s="169">
        <f t="shared" si="100"/>
        <v>11147.352405599653</v>
      </c>
      <c r="AW90" s="169">
        <f t="shared" si="100"/>
        <v>9863.9198928944134</v>
      </c>
      <c r="AX90" s="169">
        <f t="shared" si="100"/>
        <v>7194.7633993134168</v>
      </c>
      <c r="AY90" s="169">
        <f t="shared" si="100"/>
        <v>3580.7195141813609</v>
      </c>
      <c r="AZ90" s="169">
        <f t="shared" si="100"/>
        <v>1413.6249440142442</v>
      </c>
      <c r="BA90" s="169">
        <f t="shared" si="100"/>
        <v>-7.3441697168163955E-11</v>
      </c>
      <c r="BB90" s="169">
        <f t="shared" si="100"/>
        <v>-7.4555562908547781E-11</v>
      </c>
      <c r="BC90" s="169">
        <f t="shared" si="100"/>
        <v>-7.5698748206478843E-11</v>
      </c>
      <c r="BD90" s="169">
        <f t="shared" si="100"/>
        <v>-7.6859462345644857E-11</v>
      </c>
      <c r="BE90" s="169">
        <f t="shared" si="100"/>
        <v>-7.8025164191220468E-11</v>
      </c>
      <c r="BF90" s="169">
        <f t="shared" si="100"/>
        <v>-7.9208545848120648E-11</v>
      </c>
      <c r="BG90" s="169">
        <f t="shared" si="100"/>
        <v>-8.0423076884458499E-11</v>
      </c>
      <c r="BH90" s="169">
        <f t="shared" si="100"/>
        <v>-8.1656230730020198E-11</v>
      </c>
      <c r="BI90" s="169">
        <f t="shared" si="100"/>
        <v>-8.2881074190970505E-11</v>
      </c>
      <c r="BJ90" s="169">
        <f t="shared" si="100"/>
        <v>-8.413810381620022E-11</v>
      </c>
      <c r="BK90" s="169">
        <f t="shared" si="100"/>
        <v>-8.5428221408048619E-11</v>
      </c>
      <c r="BL90" s="169">
        <f t="shared" si="100"/>
        <v>-8.6738120802972037E-11</v>
      </c>
      <c r="BM90" s="169">
        <f t="shared" si="100"/>
        <v>-8.8039192615016617E-11</v>
      </c>
      <c r="BN90" s="169">
        <f t="shared" si="100"/>
        <v>-8.9374453703011034E-11</v>
      </c>
      <c r="BO90" s="169">
        <f t="shared" si="100"/>
        <v>-9.0744861993123871E-11</v>
      </c>
      <c r="BP90" s="169">
        <f t="shared" si="100"/>
        <v>-9.2136283210351769E-11</v>
      </c>
      <c r="BQ90" s="169">
        <f t="shared" si="100"/>
        <v>-9.3518327458507042E-11</v>
      </c>
      <c r="BR90" s="169">
        <f t="shared" si="100"/>
        <v>-9.4936688758294392E-11</v>
      </c>
      <c r="BS90" s="169">
        <f t="shared" si="100"/>
        <v>-9.6392384652588243E-11</v>
      </c>
      <c r="BT90" s="169">
        <f t="shared" si="100"/>
        <v>-9.7870401217261262E-11</v>
      </c>
      <c r="BU90" s="169">
        <f t="shared" si="100"/>
        <v>-9.9354768969056393E-11</v>
      </c>
      <c r="BV90" s="169">
        <f t="shared" ref="BV90:EA90" si="101">BU92</f>
        <v>-1.0086164963175375E-10</v>
      </c>
      <c r="BW90" s="169">
        <f t="shared" si="101"/>
        <v>-1.0240819492610731E-10</v>
      </c>
      <c r="BX90" s="169">
        <f t="shared" si="101"/>
        <v>-1.0397845391497428E-10</v>
      </c>
      <c r="BY90" s="169">
        <f t="shared" si="101"/>
        <v>-1.0553813072369889E-10</v>
      </c>
      <c r="BZ90" s="169">
        <f t="shared" si="101"/>
        <v>-1.0713879237300833E-10</v>
      </c>
      <c r="CA90" s="169">
        <f t="shared" si="101"/>
        <v>-1.0878158718939446E-10</v>
      </c>
      <c r="CB90" s="169">
        <f t="shared" si="101"/>
        <v>-1.1044957152629851E-10</v>
      </c>
      <c r="CC90" s="169">
        <f t="shared" si="101"/>
        <v>-1.1210631509919298E-10</v>
      </c>
      <c r="CD90" s="169">
        <f t="shared" si="101"/>
        <v>-1.1380659421153074E-10</v>
      </c>
      <c r="CE90" s="169">
        <f t="shared" si="101"/>
        <v>-1.1555162865610754E-10</v>
      </c>
      <c r="CF90" s="169">
        <f t="shared" si="101"/>
        <v>-1.173234202955012E-10</v>
      </c>
      <c r="CG90" s="169">
        <f t="shared" si="101"/>
        <v>-1.1908327159993373E-10</v>
      </c>
      <c r="CH90" s="169">
        <f t="shared" si="101"/>
        <v>-1.2088936788586606E-10</v>
      </c>
      <c r="CI90" s="169">
        <f t="shared" si="101"/>
        <v>-1.2274300486011601E-10</v>
      </c>
      <c r="CJ90" s="169">
        <f t="shared" si="101"/>
        <v>-1.2462506426797111E-10</v>
      </c>
      <c r="CK90" s="169">
        <f t="shared" si="101"/>
        <v>-1.2651521107603535E-10</v>
      </c>
      <c r="CL90" s="169">
        <f t="shared" si="101"/>
        <v>-1.2843402511068856E-10</v>
      </c>
      <c r="CM90" s="169">
        <f t="shared" si="101"/>
        <v>-1.3040334682905246E-10</v>
      </c>
      <c r="CN90" s="169">
        <f t="shared" si="101"/>
        <v>-1.324028648137646E-10</v>
      </c>
      <c r="CO90" s="169">
        <f t="shared" si="101"/>
        <v>-1.3438890778597108E-10</v>
      </c>
      <c r="CP90" s="169">
        <f t="shared" si="101"/>
        <v>-1.3642713955405832E-10</v>
      </c>
      <c r="CQ90" s="169">
        <f t="shared" si="101"/>
        <v>-1.3851902236055388E-10</v>
      </c>
      <c r="CR90" s="169">
        <f t="shared" si="101"/>
        <v>-1.4064298070341571E-10</v>
      </c>
      <c r="CS90" s="169">
        <f t="shared" si="101"/>
        <v>-1.4275262541396694E-10</v>
      </c>
      <c r="CT90" s="169">
        <f t="shared" si="101"/>
        <v>-1.449177068994121E-10</v>
      </c>
      <c r="CU90" s="169">
        <f t="shared" si="101"/>
        <v>-1.4713977840520309E-10</v>
      </c>
      <c r="CV90" s="169">
        <f t="shared" si="101"/>
        <v>-1.4939592167408288E-10</v>
      </c>
      <c r="CW90" s="169">
        <f t="shared" si="101"/>
        <v>-1.5163686049919412E-10</v>
      </c>
      <c r="CX90" s="169">
        <f t="shared" si="101"/>
        <v>-1.5393668621676524E-10</v>
      </c>
      <c r="CY90" s="169">
        <f t="shared" si="101"/>
        <v>-1.5629704873875565E-10</v>
      </c>
      <c r="CZ90" s="169">
        <f t="shared" si="101"/>
        <v>-1.5869360348608324E-10</v>
      </c>
      <c r="DA90" s="169">
        <f t="shared" si="101"/>
        <v>-1.6110045647228885E-10</v>
      </c>
      <c r="DB90" s="169">
        <f t="shared" si="101"/>
        <v>-1.635438133954519E-10</v>
      </c>
      <c r="DC90" s="169">
        <f t="shared" si="101"/>
        <v>-1.6605148520084882E-10</v>
      </c>
      <c r="DD90" s="169">
        <f t="shared" si="101"/>
        <v>-1.6859760797392849E-10</v>
      </c>
      <c r="DE90" s="169">
        <f t="shared" si="101"/>
        <v>-1.7112657209353742E-10</v>
      </c>
      <c r="DF90" s="169">
        <f t="shared" si="101"/>
        <v>-1.7372199177028942E-10</v>
      </c>
      <c r="DG90" s="169">
        <f t="shared" si="101"/>
        <v>-1.7638572897743385E-10</v>
      </c>
      <c r="DH90" s="169">
        <f t="shared" si="101"/>
        <v>-1.7909031015508784E-10</v>
      </c>
      <c r="DI90" s="169">
        <f t="shared" si="101"/>
        <v>-1.8177666480741415E-10</v>
      </c>
      <c r="DJ90" s="169">
        <f t="shared" si="101"/>
        <v>-1.8453361089032661E-10</v>
      </c>
      <c r="DK90" s="169">
        <f t="shared" si="101"/>
        <v>-1.8736312625731161E-10</v>
      </c>
      <c r="DL90" s="169">
        <f t="shared" si="101"/>
        <v>-1.9023602752659038E-10</v>
      </c>
      <c r="DM90" s="169">
        <f t="shared" si="101"/>
        <v>-1.9308956793948924E-10</v>
      </c>
      <c r="DN90" s="169">
        <f t="shared" si="101"/>
        <v>-1.9601809305323816E-10</v>
      </c>
      <c r="DO90" s="169">
        <f t="shared" si="101"/>
        <v>-1.9902370381338782E-10</v>
      </c>
      <c r="DP90" s="169">
        <f t="shared" si="101"/>
        <v>-2.0207540060519309E-10</v>
      </c>
      <c r="DQ90" s="169">
        <f t="shared" si="101"/>
        <v>-2.0514021084770519E-10</v>
      </c>
      <c r="DR90" s="169">
        <f t="shared" si="101"/>
        <v>-2.0825150404556206E-10</v>
      </c>
      <c r="DS90" s="169">
        <f t="shared" si="101"/>
        <v>-2.1144469377426068E-10</v>
      </c>
      <c r="DT90" s="169">
        <f t="shared" si="101"/>
        <v>-2.1468684574546602E-10</v>
      </c>
      <c r="DU90" s="169">
        <f t="shared" si="101"/>
        <v>-2.17907148431648E-10</v>
      </c>
      <c r="DV90" s="169">
        <f t="shared" si="101"/>
        <v>-2.2121207351619467E-10</v>
      </c>
      <c r="DW90" s="169">
        <f t="shared" si="101"/>
        <v>-2.2460399197677632E-10</v>
      </c>
      <c r="DX90" s="169">
        <f t="shared" si="101"/>
        <v>-2.2804791985375355E-10</v>
      </c>
      <c r="DY90" s="169">
        <f t="shared" si="101"/>
        <v>-2.3146863865155986E-10</v>
      </c>
      <c r="DZ90" s="169">
        <f t="shared" si="101"/>
        <v>-2.3497924633777516E-10</v>
      </c>
      <c r="EA90" s="169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24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J20" sqref="J20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13" spans="1:131" s="498" customFormat="1" x14ac:dyDescent="0.35">
      <c r="A13" s="8" t="s">
        <v>302</v>
      </c>
      <c r="B13" s="8"/>
      <c r="C13" s="13"/>
      <c r="D13" s="34"/>
      <c r="E13" s="169"/>
      <c r="F13" s="169"/>
      <c r="G13" s="169"/>
      <c r="H13" s="169"/>
      <c r="I13" s="26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169"/>
      <c r="DH13" s="169"/>
      <c r="DI13" s="169"/>
      <c r="DJ13" s="169"/>
      <c r="DK13" s="169"/>
      <c r="DL13" s="169"/>
      <c r="DM13" s="169"/>
      <c r="DN13" s="169"/>
      <c r="DO13" s="169"/>
      <c r="DP13" s="169"/>
      <c r="DQ13" s="169"/>
      <c r="DR13" s="169"/>
      <c r="DS13" s="169"/>
      <c r="DT13" s="169"/>
      <c r="DU13" s="169"/>
      <c r="DV13" s="169"/>
      <c r="DW13" s="169"/>
      <c r="DX13" s="169"/>
      <c r="DY13" s="169"/>
      <c r="DZ13" s="169"/>
      <c r="EA13" s="169"/>
    </row>
    <row r="15" spans="1:131" x14ac:dyDescent="0.35">
      <c r="E15" s="146" t="str">
        <f xml:space="preserve"> 'FS Qtr'!E$19</f>
        <v>Profit before tax</v>
      </c>
      <c r="F15" s="146">
        <f xml:space="preserve"> 'FS Qtr'!F$19</f>
        <v>0</v>
      </c>
      <c r="G15" s="146" t="str">
        <f xml:space="preserve"> 'FS Qtr'!G$19</f>
        <v>$ 000s</v>
      </c>
      <c r="H15" s="146">
        <f xml:space="preserve"> 'FS Qtr'!H$19</f>
        <v>196317.0609439167</v>
      </c>
      <c r="I15" s="146">
        <f xml:space="preserve"> 'FS Qtr'!I$19</f>
        <v>0</v>
      </c>
      <c r="J15" s="146">
        <f xml:space="preserve"> 'FS Qtr'!J$19</f>
        <v>0</v>
      </c>
      <c r="K15" s="146">
        <f xml:space="preserve"> 'FS Qtr'!K$19</f>
        <v>0</v>
      </c>
      <c r="L15" s="146">
        <f xml:space="preserve"> 'FS Qtr'!L$19</f>
        <v>0</v>
      </c>
      <c r="M15" s="146">
        <f xml:space="preserve"> 'FS Qtr'!M$19</f>
        <v>2627.5270884016209</v>
      </c>
      <c r="N15" s="146">
        <f xml:space="preserve"> 'FS Qtr'!N$19</f>
        <v>3105.150656496663</v>
      </c>
      <c r="O15" s="146">
        <f xml:space="preserve"> 'FS Qtr'!O$19</f>
        <v>-85.456353783456962</v>
      </c>
      <c r="P15" s="146">
        <f xml:space="preserve"> 'FS Qtr'!P$19</f>
        <v>-43.659613823228256</v>
      </c>
      <c r="Q15" s="146">
        <f xml:space="preserve"> 'FS Qtr'!Q$19</f>
        <v>2681.841796128203</v>
      </c>
      <c r="R15" s="146">
        <f xml:space="preserve"> 'FS Qtr'!R$19</f>
        <v>3167.2225322692921</v>
      </c>
      <c r="S15" s="146">
        <f xml:space="preserve"> 'FS Qtr'!S$19</f>
        <v>-6.2600070736987163</v>
      </c>
      <c r="T15" s="146">
        <f xml:space="preserve"> 'FS Qtr'!T$19</f>
        <v>34.541960243565995</v>
      </c>
      <c r="U15" s="146">
        <f xml:space="preserve"> 'FS Qtr'!U$19</f>
        <v>2748.7570288775596</v>
      </c>
      <c r="V15" s="146">
        <f xml:space="preserve"> 'FS Qtr'!V$19</f>
        <v>3234.0582712664445</v>
      </c>
      <c r="W15" s="146">
        <f xml:space="preserve"> 'FS Qtr'!W$19</f>
        <v>77.692502893441656</v>
      </c>
      <c r="X15" s="146">
        <f xml:space="preserve"> 'FS Qtr'!X$19</f>
        <v>107.42831187778825</v>
      </c>
      <c r="Y15" s="146">
        <f xml:space="preserve"> 'FS Qtr'!Y$19</f>
        <v>2820.5206509563704</v>
      </c>
      <c r="Z15" s="146">
        <f xml:space="preserve"> 'FS Qtr'!Z$19</f>
        <v>3305.7937206938159</v>
      </c>
      <c r="AA15" s="146">
        <f xml:space="preserve"> 'FS Qtr'!AA$19</f>
        <v>166.53950229874818</v>
      </c>
      <c r="AB15" s="146">
        <f xml:space="preserve"> 'FS Qtr'!AB$19</f>
        <v>205.24818943061746</v>
      </c>
      <c r="AC15" s="146">
        <f xml:space="preserve"> 'FS Qtr'!AC$19</f>
        <v>2897.470895634463</v>
      </c>
      <c r="AD15" s="146">
        <f xml:space="preserve"> 'FS Qtr'!AD$19</f>
        <v>3383.037924443131</v>
      </c>
      <c r="AE15" s="146">
        <f xml:space="preserve"> 'FS Qtr'!AE$19</f>
        <v>260.89976760589957</v>
      </c>
      <c r="AF15" s="146">
        <f xml:space="preserve"> 'FS Qtr'!AF$19</f>
        <v>298.50468468546819</v>
      </c>
      <c r="AG15" s="146">
        <f xml:space="preserve"> 'FS Qtr'!AG$19</f>
        <v>2980.04052539244</v>
      </c>
      <c r="AH15" s="146">
        <f xml:space="preserve"> 'FS Qtr'!AH$19</f>
        <v>3465.9730946452332</v>
      </c>
      <c r="AI15" s="146">
        <f xml:space="preserve"> 'FS Qtr'!AI$19</f>
        <v>360.95869668640796</v>
      </c>
      <c r="AJ15" s="146">
        <f xml:space="preserve"> 'FS Qtr'!AJ$19</f>
        <v>397.41900837974231</v>
      </c>
      <c r="AK15" s="146">
        <f xml:space="preserve"> 'FS Qtr'!AK$19</f>
        <v>3068.4840167707007</v>
      </c>
      <c r="AL15" s="146">
        <f xml:space="preserve"> 'FS Qtr'!AL$19</f>
        <v>3554.9476987961871</v>
      </c>
      <c r="AM15" s="146">
        <f xml:space="preserve"> 'FS Qtr'!AM$19</f>
        <v>467.07048995629168</v>
      </c>
      <c r="AN15" s="146">
        <f xml:space="preserve"> 'FS Qtr'!AN$19</f>
        <v>497.48052881855619</v>
      </c>
      <c r="AO15" s="146">
        <f xml:space="preserve"> 'FS Qtr'!AO$19</f>
        <v>3163.1712054580921</v>
      </c>
      <c r="AP15" s="146">
        <f xml:space="preserve"> 'FS Qtr'!AP$19</f>
        <v>3650.2574774729778</v>
      </c>
      <c r="AQ15" s="146">
        <f xml:space="preserve"> 'FS Qtr'!AQ$19</f>
        <v>579.5358103712872</v>
      </c>
      <c r="AR15" s="146">
        <f xml:space="preserve"> 'FS Qtr'!AR$19</f>
        <v>613.57488136057373</v>
      </c>
      <c r="AS15" s="146">
        <f xml:space="preserve"> 'FS Qtr'!AS$19</f>
        <v>3264.3807207810537</v>
      </c>
      <c r="AT15" s="146">
        <f xml:space="preserve"> 'FS Qtr'!AT$19</f>
        <v>3752.4398254410453</v>
      </c>
      <c r="AU15" s="146">
        <f xml:space="preserve"> 'FS Qtr'!AU$19</f>
        <v>698.9006783858116</v>
      </c>
      <c r="AV15" s="146">
        <f xml:space="preserve"> 'FS Qtr'!AV$19</f>
        <v>731.65723597011925</v>
      </c>
      <c r="AW15" s="146">
        <f xml:space="preserve"> 'FS Qtr'!AW$19</f>
        <v>3372.6962503482559</v>
      </c>
      <c r="AX15" s="146">
        <f xml:space="preserve"> 'FS Qtr'!AX$19</f>
        <v>3861.8423358143214</v>
      </c>
      <c r="AY15" s="146">
        <f xml:space="preserve"> 'FS Qtr'!AY$19</f>
        <v>825.51840046448842</v>
      </c>
      <c r="AZ15" s="146">
        <f xml:space="preserve"> 'FS Qtr'!AZ$19</f>
        <v>856.94079100091506</v>
      </c>
      <c r="BA15" s="146">
        <f xml:space="preserve"> 'FS Qtr'!BA$19</f>
        <v>3488.4684041472374</v>
      </c>
      <c r="BB15" s="146">
        <f xml:space="preserve"> 'FS Qtr'!BB$19</f>
        <v>3936.0366274645116</v>
      </c>
      <c r="BC15" s="146">
        <f xml:space="preserve"> 'FS Qtr'!BC$19</f>
        <v>859.622198533963</v>
      </c>
      <c r="BD15" s="146">
        <f xml:space="preserve"> 'FS Qtr'!BD$19</f>
        <v>857.29870254233742</v>
      </c>
      <c r="BE15" s="146">
        <f xml:space="preserve"> 'FS Qtr'!BE$19</f>
        <v>3454.5777464633097</v>
      </c>
      <c r="BF15" s="146">
        <f xml:space="preserve"> 'FS Qtr'!BF$19</f>
        <v>3899.8614623563594</v>
      </c>
      <c r="BG15" s="146">
        <f xml:space="preserve"> 'FS Qtr'!BG$19</f>
        <v>838.69448900359328</v>
      </c>
      <c r="BH15" s="146">
        <f xml:space="preserve"> 'FS Qtr'!BH$19</f>
        <v>836.32417340453651</v>
      </c>
      <c r="BI15" s="146">
        <f xml:space="preserve"> 'FS Qtr'!BI$19</f>
        <v>3420.6227598519185</v>
      </c>
      <c r="BJ15" s="146">
        <f xml:space="preserve"> 'FS Qtr'!BJ$19</f>
        <v>3863.6321693335008</v>
      </c>
      <c r="BK15" s="146">
        <f xml:space="preserve"> 'FS Qtr'!BK$19</f>
        <v>817.63562305126425</v>
      </c>
      <c r="BL15" s="146">
        <f xml:space="preserve"> 'FS Qtr'!BL$19</f>
        <v>815.2175444062467</v>
      </c>
      <c r="BM15" s="146">
        <f xml:space="preserve"> 'FS Qtr'!BM$19</f>
        <v>3386.5990705166946</v>
      </c>
      <c r="BN15" s="146">
        <f xml:space="preserve"> 'FS Qtr'!BN$19</f>
        <v>3827.344300379053</v>
      </c>
      <c r="BO15" s="146">
        <f xml:space="preserve"> 'FS Qtr'!BO$19</f>
        <v>796.44151229994804</v>
      </c>
      <c r="BP15" s="146">
        <f xml:space="preserve"> 'FS Qtr'!BP$19</f>
        <v>793.9747081596829</v>
      </c>
      <c r="BQ15" s="146">
        <f xml:space="preserve"> 'FS Qtr'!BQ$19</f>
        <v>3352.5022318382112</v>
      </c>
      <c r="BR15" s="146">
        <f xml:space="preserve"> 'FS Qtr'!BR$19</f>
        <v>3790.9933345494151</v>
      </c>
      <c r="BS15" s="146">
        <f xml:space="preserve"> 'FS Qtr'!BS$19</f>
        <v>775.10799318136685</v>
      </c>
      <c r="BT15" s="146">
        <f xml:space="preserve"> 'FS Qtr'!BT$19</f>
        <v>772.59148170273113</v>
      </c>
      <c r="BU15" s="146">
        <f xml:space="preserve"> 'FS Qtr'!BU$19</f>
        <v>3318.3277228303791</v>
      </c>
      <c r="BV15" s="146">
        <f xml:space="preserve"> 'FS Qtr'!BV$19</f>
        <v>3754.5746764216588</v>
      </c>
      <c r="BW15" s="146">
        <f xml:space="preserve"> 'FS Qtr'!BW$19</f>
        <v>753.6308253850641</v>
      </c>
      <c r="BX15" s="146">
        <f xml:space="preserve"> 'FS Qtr'!BX$19</f>
        <v>751.06360494030582</v>
      </c>
      <c r="BY15" s="146">
        <f xml:space="preserve"> 'FS Qtr'!BY$19</f>
        <v>3284.0709465661357</v>
      </c>
      <c r="BZ15" s="146">
        <f xml:space="preserve"> 'FS Qtr'!BZ$19</f>
        <v>3718.0836545100392</v>
      </c>
      <c r="CA15" s="146">
        <f xml:space="preserve"> 'FS Qtr'!CA$19</f>
        <v>732.00569027641666</v>
      </c>
      <c r="CB15" s="146">
        <f xml:space="preserve"> 'FS Qtr'!CB$19</f>
        <v>729.38673905448138</v>
      </c>
      <c r="CC15" s="146">
        <f xml:space="preserve"> 'FS Qtr'!CC$19</f>
        <v>3249.7272285717727</v>
      </c>
      <c r="CD15" s="146">
        <f xml:space="preserve"> 'FS Qtr'!CD$19</f>
        <v>3681.5155196510232</v>
      </c>
      <c r="CE15" s="146">
        <f xml:space="preserve"> 'FS Qtr'!CE$19</f>
        <v>710.22818928293646</v>
      </c>
      <c r="CF15" s="146">
        <f xml:space="preserve"> 'FS Qtr'!CF$19</f>
        <v>707.55646488276659</v>
      </c>
      <c r="CG15" s="146">
        <f xml:space="preserve"> 'FS Qtr'!CG$19</f>
        <v>3215.29181518929</v>
      </c>
      <c r="CH15" s="146">
        <f xml:space="preserve"> 'FS Qtr'!CH$19</f>
        <v>3644.8654433561733</v>
      </c>
      <c r="CI15" s="146">
        <f xml:space="preserve"> 'FS Qtr'!CI$19</f>
        <v>688.29384224823582</v>
      </c>
      <c r="CJ15" s="146">
        <f xml:space="preserve"> 'FS Qtr'!CJ$19</f>
        <v>685.56828126387029</v>
      </c>
      <c r="CK15" s="146">
        <f xml:space="preserve"> 'FS Qtr'!CK$19</f>
        <v>3180.7598719061189</v>
      </c>
      <c r="CL15" s="146">
        <f xml:space="preserve"> 'FS Qtr'!CL$19</f>
        <v>3608.128516132253</v>
      </c>
      <c r="CM15" s="146">
        <f xml:space="preserve"> 'FS Qtr'!CM$19</f>
        <v>666.19808575299521</v>
      </c>
      <c r="CN15" s="146">
        <f xml:space="preserve"> 'FS Qtr'!CN$19</f>
        <v>663.41760335031097</v>
      </c>
      <c r="CO15" s="146">
        <f xml:space="preserve"> 'FS Qtr'!CO$19</f>
        <v>3146.1264816515695</v>
      </c>
      <c r="CP15" s="146">
        <f xml:space="preserve"> 'FS Qtr'!CP$19</f>
        <v>3571.2997457678898</v>
      </c>
      <c r="CQ15" s="146">
        <f xml:space="preserve"> 'FS Qtr'!CQ$19</f>
        <v>643.93627140228307</v>
      </c>
      <c r="CR15" s="146">
        <f xml:space="preserve"> 'FS Qtr'!CR$19</f>
        <v>641.09976088720566</v>
      </c>
      <c r="CS15" s="146">
        <f xml:space="preserve"> 'FS Qtr'!CS$19</f>
        <v>3111.3866430593121</v>
      </c>
      <c r="CT15" s="146">
        <f xml:space="preserve"> 'FS Qtr'!CT$19</f>
        <v>3534.3740555861136</v>
      </c>
      <c r="CU15" s="146">
        <f xml:space="preserve"> 'FS Qtr'!CU$19</f>
        <v>621.50366407852425</v>
      </c>
      <c r="CV15" s="146">
        <f xml:space="preserve"> 'FS Qtr'!CV$19</f>
        <v>618.60999645653965</v>
      </c>
      <c r="CW15" s="146">
        <f xml:space="preserve"> 'FS Qtr'!CW$19</f>
        <v>3076.5352686952106</v>
      </c>
      <c r="CX15" s="146">
        <f xml:space="preserve"> 'FS Qtr'!CX$19</f>
        <v>3497.3462826620757</v>
      </c>
      <c r="CY15" s="146">
        <f xml:space="preserve"> 'FS Qtr'!CY$19</f>
        <v>598.89544015944477</v>
      </c>
      <c r="CZ15" s="146">
        <f xml:space="preserve"> 'FS Qtr'!CZ$19</f>
        <v>595.9434636862353</v>
      </c>
      <c r="DA15" s="146">
        <f xml:space="preserve"> 'FS Qtr'!DA$19</f>
        <v>3041.5671832498292</v>
      </c>
      <c r="DB15" s="146">
        <f xml:space="preserve"> 'FS Qtr'!DB$19</f>
        <v>3460.2111760052721</v>
      </c>
      <c r="DC15" s="146">
        <f xml:space="preserve"> 'FS Qtr'!DC$19</f>
        <v>576.10668570028156</v>
      </c>
      <c r="DD15" s="146">
        <f xml:space="preserve"> 'FS Qtr'!DD$19</f>
        <v>573.09522542330319</v>
      </c>
      <c r="DE15" s="146">
        <f xml:space="preserve"> 'FS Qtr'!DE$19</f>
        <v>3006.4771216948598</v>
      </c>
      <c r="DF15" s="146">
        <f xml:space="preserve"> 'FS Qtr'!DF$19</f>
        <v>3422.9633947055163</v>
      </c>
      <c r="DG15" s="146">
        <f xml:space="preserve"> 'FS Qtr'!DG$19</f>
        <v>553.13239457952477</v>
      </c>
      <c r="DH15" s="146">
        <f xml:space="preserve"> 'FS Qtr'!DH$19</f>
        <v>550.06025187035357</v>
      </c>
      <c r="DI15" s="146">
        <f xml:space="preserve"> 'FS Qtr'!DI$19</f>
        <v>2.7569460829124483E-12</v>
      </c>
      <c r="DJ15" s="146">
        <f xml:space="preserve"> 'FS Qtr'!DJ$19</f>
        <v>2.8295153669850084E-12</v>
      </c>
      <c r="DK15" s="146">
        <f xml:space="preserve"> 'FS Qtr'!DK$19</f>
        <v>2.8729012692787786E-12</v>
      </c>
      <c r="DL15" s="146">
        <f xml:space="preserve"> 'FS Qtr'!DL$19</f>
        <v>2.853540412898856E-12</v>
      </c>
      <c r="DM15" s="146">
        <f xml:space="preserve"> 'FS Qtr'!DM$19</f>
        <v>2.9285251137489206E-12</v>
      </c>
      <c r="DN15" s="146">
        <f xml:space="preserve"> 'FS Qtr'!DN$19</f>
        <v>3.0056107601496525E-12</v>
      </c>
      <c r="DO15" s="146">
        <f xml:space="preserve"> 'FS Qtr'!DO$19</f>
        <v>3.0516967918052802E-12</v>
      </c>
      <c r="DP15" s="146">
        <f xml:space="preserve"> 'FS Qtr'!DP$19</f>
        <v>3.0648102425120956E-12</v>
      </c>
      <c r="DQ15" s="146">
        <f xml:space="preserve"> 'FS Qtr'!DQ$19</f>
        <v>3.1112931978568627E-12</v>
      </c>
      <c r="DR15" s="146">
        <f xml:space="preserve"> 'FS Qtr'!DR$19</f>
        <v>3.1931897286986188E-12</v>
      </c>
      <c r="DS15" s="146">
        <f xml:space="preserve"> 'FS Qtr'!DS$19</f>
        <v>3.242151971205331E-12</v>
      </c>
      <c r="DT15" s="146">
        <f xml:space="preserve"> 'FS Qtr'!DT$19</f>
        <v>3.2203026861819905E-12</v>
      </c>
      <c r="DU15" s="146">
        <f xml:space="preserve"> 'FS Qtr'!DU$19</f>
        <v>3.3049250845466616E-12</v>
      </c>
      <c r="DV15" s="146">
        <f xml:space="preserve"> 'FS Qtr'!DV$19</f>
        <v>3.3919184605816521E-12</v>
      </c>
      <c r="DW15" s="146">
        <f xml:space="preserve"> 'FS Qtr'!DW$19</f>
        <v>3.4439278769772374E-12</v>
      </c>
      <c r="DX15" s="146">
        <f xml:space="preserve"> 'FS Qtr'!DX$19</f>
        <v>3.4207187978063038E-12</v>
      </c>
      <c r="DY15" s="146">
        <f xml:space="preserve"> 'FS Qtr'!DY$19</f>
        <v>3.5106076862153251E-12</v>
      </c>
      <c r="DZ15" s="146">
        <f xml:space="preserve"> 'FS Qtr'!DZ$19</f>
        <v>3.6030151105125529E-12</v>
      </c>
      <c r="EA15" s="146">
        <f xml:space="preserve"> 'FS Qtr'!EA$19</f>
        <v>3.6582613422070795E-12</v>
      </c>
    </row>
    <row r="16" spans="1:131" s="540" customFormat="1" outlineLevel="1" x14ac:dyDescent="0.35">
      <c r="A16" s="538"/>
      <c r="B16" s="538"/>
      <c r="C16" s="539"/>
      <c r="D16" s="164" t="s">
        <v>303</v>
      </c>
      <c r="E16" s="38" t="str">
        <f xml:space="preserve"> Asset!E$15</f>
        <v>Depreciation of fixed asset POS</v>
      </c>
      <c r="F16" s="38">
        <f xml:space="preserve"> Asset!F$15</f>
        <v>0</v>
      </c>
      <c r="G16" s="38" t="str">
        <f xml:space="preserve"> Asset!G$15</f>
        <v>$ 000s</v>
      </c>
      <c r="H16" s="38">
        <f xml:space="preserve"> Asset!H$15</f>
        <v>100000</v>
      </c>
      <c r="I16" s="38">
        <f xml:space="preserve"> Asset!I$15</f>
        <v>0</v>
      </c>
      <c r="J16" s="38">
        <f xml:space="preserve"> Asset!J$15</f>
        <v>0</v>
      </c>
      <c r="K16" s="38">
        <f xml:space="preserve"> Asset!K$15</f>
        <v>0</v>
      </c>
      <c r="L16" s="38">
        <f xml:space="preserve"> Asset!L$15</f>
        <v>0</v>
      </c>
      <c r="M16" s="38">
        <f xml:space="preserve"> Asset!M$15</f>
        <v>1000</v>
      </c>
      <c r="N16" s="38">
        <f xml:space="preserve"> Asset!N$15</f>
        <v>1000</v>
      </c>
      <c r="O16" s="38">
        <f xml:space="preserve"> Asset!O$15</f>
        <v>1000</v>
      </c>
      <c r="P16" s="38">
        <f xml:space="preserve"> Asset!P$15</f>
        <v>1000</v>
      </c>
      <c r="Q16" s="38">
        <f xml:space="preserve"> Asset!Q$15</f>
        <v>1000</v>
      </c>
      <c r="R16" s="38">
        <f xml:space="preserve"> Asset!R$15</f>
        <v>1000</v>
      </c>
      <c r="S16" s="38">
        <f xml:space="preserve"> Asset!S$15</f>
        <v>1000</v>
      </c>
      <c r="T16" s="38">
        <f xml:space="preserve"> Asset!T$15</f>
        <v>1000</v>
      </c>
      <c r="U16" s="38">
        <f xml:space="preserve"> Asset!U$15</f>
        <v>1000</v>
      </c>
      <c r="V16" s="38">
        <f xml:space="preserve"> Asset!V$15</f>
        <v>1000</v>
      </c>
      <c r="W16" s="38">
        <f xml:space="preserve"> Asset!W$15</f>
        <v>1000</v>
      </c>
      <c r="X16" s="38">
        <f xml:space="preserve"> Asset!X$15</f>
        <v>1000</v>
      </c>
      <c r="Y16" s="38">
        <f xml:space="preserve"> Asset!Y$15</f>
        <v>1000</v>
      </c>
      <c r="Z16" s="38">
        <f xml:space="preserve"> Asset!Z$15</f>
        <v>1000</v>
      </c>
      <c r="AA16" s="38">
        <f xml:space="preserve"> Asset!AA$15</f>
        <v>1000</v>
      </c>
      <c r="AB16" s="38">
        <f xml:space="preserve"> Asset!AB$15</f>
        <v>1000</v>
      </c>
      <c r="AC16" s="38">
        <f xml:space="preserve"> Asset!AC$15</f>
        <v>1000</v>
      </c>
      <c r="AD16" s="38">
        <f xml:space="preserve"> Asset!AD$15</f>
        <v>1000</v>
      </c>
      <c r="AE16" s="38">
        <f xml:space="preserve"> Asset!AE$15</f>
        <v>1000</v>
      </c>
      <c r="AF16" s="38">
        <f xml:space="preserve"> Asset!AF$15</f>
        <v>1000</v>
      </c>
      <c r="AG16" s="38">
        <f xml:space="preserve"> Asset!AG$15</f>
        <v>1000</v>
      </c>
      <c r="AH16" s="38">
        <f xml:space="preserve"> Asset!AH$15</f>
        <v>1000</v>
      </c>
      <c r="AI16" s="38">
        <f xml:space="preserve"> Asset!AI$15</f>
        <v>1000</v>
      </c>
      <c r="AJ16" s="38">
        <f xml:space="preserve"> Asset!AJ$15</f>
        <v>1000</v>
      </c>
      <c r="AK16" s="38">
        <f xml:space="preserve"> Asset!AK$15</f>
        <v>1000</v>
      </c>
      <c r="AL16" s="38">
        <f xml:space="preserve"> Asset!AL$15</f>
        <v>1000</v>
      </c>
      <c r="AM16" s="38">
        <f xml:space="preserve"> Asset!AM$15</f>
        <v>1000</v>
      </c>
      <c r="AN16" s="38">
        <f xml:space="preserve"> Asset!AN$15</f>
        <v>1000</v>
      </c>
      <c r="AO16" s="38">
        <f xml:space="preserve"> Asset!AO$15</f>
        <v>1000</v>
      </c>
      <c r="AP16" s="38">
        <f xml:space="preserve"> Asset!AP$15</f>
        <v>1000</v>
      </c>
      <c r="AQ16" s="38">
        <f xml:space="preserve"> Asset!AQ$15</f>
        <v>1000</v>
      </c>
      <c r="AR16" s="38">
        <f xml:space="preserve"> Asset!AR$15</f>
        <v>1000</v>
      </c>
      <c r="AS16" s="38">
        <f xml:space="preserve"> Asset!AS$15</f>
        <v>1000</v>
      </c>
      <c r="AT16" s="38">
        <f xml:space="preserve"> Asset!AT$15</f>
        <v>1000</v>
      </c>
      <c r="AU16" s="38">
        <f xml:space="preserve"> Asset!AU$15</f>
        <v>1000</v>
      </c>
      <c r="AV16" s="38">
        <f xml:space="preserve"> Asset!AV$15</f>
        <v>1000</v>
      </c>
      <c r="AW16" s="38">
        <f xml:space="preserve"> Asset!AW$15</f>
        <v>1000</v>
      </c>
      <c r="AX16" s="38">
        <f xml:space="preserve"> Asset!AX$15</f>
        <v>1000</v>
      </c>
      <c r="AY16" s="38">
        <f xml:space="preserve"> Asset!AY$15</f>
        <v>1000</v>
      </c>
      <c r="AZ16" s="38">
        <f xml:space="preserve"> Asset!AZ$15</f>
        <v>1000</v>
      </c>
      <c r="BA16" s="38">
        <f xml:space="preserve"> Asset!BA$15</f>
        <v>1000</v>
      </c>
      <c r="BB16" s="38">
        <f xml:space="preserve"> Asset!BB$15</f>
        <v>1000</v>
      </c>
      <c r="BC16" s="38">
        <f xml:space="preserve"> Asset!BC$15</f>
        <v>1000</v>
      </c>
      <c r="BD16" s="38">
        <f xml:space="preserve"> Asset!BD$15</f>
        <v>1000</v>
      </c>
      <c r="BE16" s="38">
        <f xml:space="preserve"> Asset!BE$15</f>
        <v>1000</v>
      </c>
      <c r="BF16" s="38">
        <f xml:space="preserve"> Asset!BF$15</f>
        <v>1000</v>
      </c>
      <c r="BG16" s="38">
        <f xml:space="preserve"> Asset!BG$15</f>
        <v>1000</v>
      </c>
      <c r="BH16" s="38">
        <f xml:space="preserve"> Asset!BH$15</f>
        <v>1000</v>
      </c>
      <c r="BI16" s="38">
        <f xml:space="preserve"> Asset!BI$15</f>
        <v>1000</v>
      </c>
      <c r="BJ16" s="38">
        <f xml:space="preserve"> Asset!BJ$15</f>
        <v>1000</v>
      </c>
      <c r="BK16" s="38">
        <f xml:space="preserve"> Asset!BK$15</f>
        <v>1000</v>
      </c>
      <c r="BL16" s="38">
        <f xml:space="preserve"> Asset!BL$15</f>
        <v>1000</v>
      </c>
      <c r="BM16" s="38">
        <f xml:space="preserve"> Asset!BM$15</f>
        <v>1000</v>
      </c>
      <c r="BN16" s="38">
        <f xml:space="preserve"> Asset!BN$15</f>
        <v>1000</v>
      </c>
      <c r="BO16" s="38">
        <f xml:space="preserve"> Asset!BO$15</f>
        <v>1000</v>
      </c>
      <c r="BP16" s="38">
        <f xml:space="preserve"> Asset!BP$15</f>
        <v>1000</v>
      </c>
      <c r="BQ16" s="38">
        <f xml:space="preserve"> Asset!BQ$15</f>
        <v>1000</v>
      </c>
      <c r="BR16" s="38">
        <f xml:space="preserve"> Asset!BR$15</f>
        <v>1000</v>
      </c>
      <c r="BS16" s="38">
        <f xml:space="preserve"> Asset!BS$15</f>
        <v>1000</v>
      </c>
      <c r="BT16" s="38">
        <f xml:space="preserve"> Asset!BT$15</f>
        <v>1000</v>
      </c>
      <c r="BU16" s="38">
        <f xml:space="preserve"> Asset!BU$15</f>
        <v>1000</v>
      </c>
      <c r="BV16" s="38">
        <f xml:space="preserve"> Asset!BV$15</f>
        <v>1000</v>
      </c>
      <c r="BW16" s="38">
        <f xml:space="preserve"> Asset!BW$15</f>
        <v>1000</v>
      </c>
      <c r="BX16" s="38">
        <f xml:space="preserve"> Asset!BX$15</f>
        <v>1000</v>
      </c>
      <c r="BY16" s="38">
        <f xml:space="preserve"> Asset!BY$15</f>
        <v>1000</v>
      </c>
      <c r="BZ16" s="38">
        <f xml:space="preserve"> Asset!BZ$15</f>
        <v>1000</v>
      </c>
      <c r="CA16" s="38">
        <f xml:space="preserve"> Asset!CA$15</f>
        <v>1000</v>
      </c>
      <c r="CB16" s="38">
        <f xml:space="preserve"> Asset!CB$15</f>
        <v>1000</v>
      </c>
      <c r="CC16" s="38">
        <f xml:space="preserve"> Asset!CC$15</f>
        <v>1000</v>
      </c>
      <c r="CD16" s="38">
        <f xml:space="preserve"> Asset!CD$15</f>
        <v>1000</v>
      </c>
      <c r="CE16" s="38">
        <f xml:space="preserve"> Asset!CE$15</f>
        <v>1000</v>
      </c>
      <c r="CF16" s="38">
        <f xml:space="preserve"> Asset!CF$15</f>
        <v>1000</v>
      </c>
      <c r="CG16" s="38">
        <f xml:space="preserve"> Asset!CG$15</f>
        <v>1000</v>
      </c>
      <c r="CH16" s="38">
        <f xml:space="preserve"> Asset!CH$15</f>
        <v>1000</v>
      </c>
      <c r="CI16" s="38">
        <f xml:space="preserve"> Asset!CI$15</f>
        <v>1000</v>
      </c>
      <c r="CJ16" s="38">
        <f xml:space="preserve"> Asset!CJ$15</f>
        <v>1000</v>
      </c>
      <c r="CK16" s="38">
        <f xml:space="preserve"> Asset!CK$15</f>
        <v>1000</v>
      </c>
      <c r="CL16" s="38">
        <f xml:space="preserve"> Asset!CL$15</f>
        <v>1000</v>
      </c>
      <c r="CM16" s="38">
        <f xml:space="preserve"> Asset!CM$15</f>
        <v>1000</v>
      </c>
      <c r="CN16" s="38">
        <f xml:space="preserve"> Asset!CN$15</f>
        <v>1000</v>
      </c>
      <c r="CO16" s="38">
        <f xml:space="preserve"> Asset!CO$15</f>
        <v>1000</v>
      </c>
      <c r="CP16" s="38">
        <f xml:space="preserve"> Asset!CP$15</f>
        <v>1000</v>
      </c>
      <c r="CQ16" s="38">
        <f xml:space="preserve"> Asset!CQ$15</f>
        <v>1000</v>
      </c>
      <c r="CR16" s="38">
        <f xml:space="preserve"> Asset!CR$15</f>
        <v>1000</v>
      </c>
      <c r="CS16" s="38">
        <f xml:space="preserve"> Asset!CS$15</f>
        <v>1000</v>
      </c>
      <c r="CT16" s="38">
        <f xml:space="preserve"> Asset!CT$15</f>
        <v>1000</v>
      </c>
      <c r="CU16" s="38">
        <f xml:space="preserve"> Asset!CU$15</f>
        <v>1000</v>
      </c>
      <c r="CV16" s="38">
        <f xml:space="preserve"> Asset!CV$15</f>
        <v>1000</v>
      </c>
      <c r="CW16" s="38">
        <f xml:space="preserve"> Asset!CW$15</f>
        <v>1000</v>
      </c>
      <c r="CX16" s="38">
        <f xml:space="preserve"> Asset!CX$15</f>
        <v>1000</v>
      </c>
      <c r="CY16" s="38">
        <f xml:space="preserve"> Asset!CY$15</f>
        <v>1000</v>
      </c>
      <c r="CZ16" s="38">
        <f xml:space="preserve"> Asset!CZ$15</f>
        <v>1000</v>
      </c>
      <c r="DA16" s="38">
        <f xml:space="preserve"> Asset!DA$15</f>
        <v>1000</v>
      </c>
      <c r="DB16" s="38">
        <f xml:space="preserve"> Asset!DB$15</f>
        <v>1000</v>
      </c>
      <c r="DC16" s="38">
        <f xml:space="preserve"> Asset!DC$15</f>
        <v>1000</v>
      </c>
      <c r="DD16" s="38">
        <f xml:space="preserve"> Asset!DD$15</f>
        <v>1000</v>
      </c>
      <c r="DE16" s="38">
        <f xml:space="preserve"> Asset!DE$15</f>
        <v>1000</v>
      </c>
      <c r="DF16" s="38">
        <f xml:space="preserve"> Asset!DF$15</f>
        <v>1000</v>
      </c>
      <c r="DG16" s="38">
        <f xml:space="preserve"> Asset!DG$15</f>
        <v>1000</v>
      </c>
      <c r="DH16" s="38">
        <f xml:space="preserve"> Asset!DH$15</f>
        <v>1000</v>
      </c>
      <c r="DI16" s="38">
        <f xml:space="preserve"> Asset!DI$15</f>
        <v>0</v>
      </c>
      <c r="DJ16" s="38">
        <f xml:space="preserve"> Asset!DJ$15</f>
        <v>0</v>
      </c>
      <c r="DK16" s="38">
        <f xml:space="preserve"> Asset!DK$15</f>
        <v>0</v>
      </c>
      <c r="DL16" s="38">
        <f xml:space="preserve"> Asset!DL$15</f>
        <v>0</v>
      </c>
      <c r="DM16" s="38">
        <f xml:space="preserve"> Asset!DM$15</f>
        <v>0</v>
      </c>
      <c r="DN16" s="38">
        <f xml:space="preserve"> Asset!DN$15</f>
        <v>0</v>
      </c>
      <c r="DO16" s="38">
        <f xml:space="preserve"> Asset!DO$15</f>
        <v>0</v>
      </c>
      <c r="DP16" s="38">
        <f xml:space="preserve"> Asset!DP$15</f>
        <v>0</v>
      </c>
      <c r="DQ16" s="38">
        <f xml:space="preserve"> Asset!DQ$15</f>
        <v>0</v>
      </c>
      <c r="DR16" s="38">
        <f xml:space="preserve"> Asset!DR$15</f>
        <v>0</v>
      </c>
      <c r="DS16" s="38">
        <f xml:space="preserve"> Asset!DS$15</f>
        <v>0</v>
      </c>
      <c r="DT16" s="38">
        <f xml:space="preserve"> Asset!DT$15</f>
        <v>0</v>
      </c>
      <c r="DU16" s="38">
        <f xml:space="preserve"> Asset!DU$15</f>
        <v>0</v>
      </c>
      <c r="DV16" s="38">
        <f xml:space="preserve"> Asset!DV$15</f>
        <v>0</v>
      </c>
      <c r="DW16" s="38">
        <f xml:space="preserve"> Asset!DW$15</f>
        <v>0</v>
      </c>
      <c r="DX16" s="38">
        <f xml:space="preserve"> Asset!DX$15</f>
        <v>0</v>
      </c>
      <c r="DY16" s="38">
        <f xml:space="preserve"> Asset!DY$15</f>
        <v>0</v>
      </c>
      <c r="DZ16" s="38">
        <f xml:space="preserve"> Asset!DZ$15</f>
        <v>0</v>
      </c>
      <c r="EA16" s="38">
        <f xml:space="preserve"> Asset!EA$15</f>
        <v>0</v>
      </c>
    </row>
    <row r="17" spans="1:131" s="541" customFormat="1" outlineLevel="1" x14ac:dyDescent="0.35">
      <c r="A17" s="538"/>
      <c r="B17" s="538"/>
      <c r="C17" s="539"/>
      <c r="D17" s="164" t="s">
        <v>303</v>
      </c>
      <c r="E17" s="38" t="str">
        <f xml:space="preserve"> Debt!E$81</f>
        <v>Senior debt interest POS</v>
      </c>
      <c r="F17" s="38">
        <f xml:space="preserve"> Debt!F$81</f>
        <v>0</v>
      </c>
      <c r="G17" s="38" t="str">
        <f xml:space="preserve"> Debt!G$81</f>
        <v>$ 000s</v>
      </c>
      <c r="H17" s="38">
        <f xml:space="preserve"> Debt!H$81</f>
        <v>26349.980283391676</v>
      </c>
      <c r="I17" s="38">
        <f xml:space="preserve"> Debt!I$81</f>
        <v>0</v>
      </c>
      <c r="J17" s="38">
        <f xml:space="preserve"> Debt!J$81</f>
        <v>0</v>
      </c>
      <c r="K17" s="38">
        <f xml:space="preserve"> Debt!K$81</f>
        <v>0</v>
      </c>
      <c r="L17" s="38">
        <f xml:space="preserve"> Debt!L$81</f>
        <v>0</v>
      </c>
      <c r="M17" s="38">
        <f xml:space="preserve"> Debt!M$81</f>
        <v>1197.2229115983791</v>
      </c>
      <c r="N17" s="38">
        <f xml:space="preserve"> Debt!N$81</f>
        <v>1190.5899685033376</v>
      </c>
      <c r="O17" s="38">
        <f xml:space="preserve"> Debt!O$81</f>
        <v>1147.9906819084558</v>
      </c>
      <c r="P17" s="38">
        <f xml:space="preserve"> Debt!P$81</f>
        <v>1104.2906760888534</v>
      </c>
      <c r="Q17" s="38">
        <f xml:space="preserve"> Debt!Q$81</f>
        <v>1109.4352526054679</v>
      </c>
      <c r="R17" s="38">
        <f xml:space="preserve"> Debt!R$81</f>
        <v>1092.6545584244641</v>
      </c>
      <c r="S17" s="38">
        <f xml:space="preserve"> Debt!S$81</f>
        <v>1048.9688215293802</v>
      </c>
      <c r="T17" s="38">
        <f xml:space="preserve"> Debt!T$81</f>
        <v>1006.2252365928529</v>
      </c>
      <c r="U17" s="38">
        <f xml:space="preserve"> Debt!U$81</f>
        <v>1009.0227911636565</v>
      </c>
      <c r="V17" s="38">
        <f xml:space="preserve"> Debt!V$81</f>
        <v>989.94194709529347</v>
      </c>
      <c r="W17" s="38">
        <f xml:space="preserve"> Debt!W$81</f>
        <v>945.09670990185248</v>
      </c>
      <c r="X17" s="38">
        <f xml:space="preserve"> Debt!X$81</f>
        <v>913.38015873119298</v>
      </c>
      <c r="Y17" s="38">
        <f xml:space="preserve"> Debt!Y$81</f>
        <v>903.7339388420877</v>
      </c>
      <c r="Z17" s="38">
        <f xml:space="preserve"> Debt!Z$81</f>
        <v>882.31248953653733</v>
      </c>
      <c r="AA17" s="38">
        <f xml:space="preserve"> Debt!AA$81</f>
        <v>836.23260549195652</v>
      </c>
      <c r="AB17" s="38">
        <f xml:space="preserve"> Debt!AB$81</f>
        <v>795.50326322711089</v>
      </c>
      <c r="AC17" s="38">
        <f xml:space="preserve"> Debt!AC$81</f>
        <v>793.2266792979309</v>
      </c>
      <c r="AD17" s="38">
        <f xml:space="preserve"> Debt!AD$81</f>
        <v>769.15328511308087</v>
      </c>
      <c r="AE17" s="38">
        <f xml:space="preserve"> Debt!AE$81</f>
        <v>721.7542552211778</v>
      </c>
      <c r="AF17" s="38">
        <f xml:space="preserve"> Debt!AF$81</f>
        <v>682.08796579611294</v>
      </c>
      <c r="AG17" s="38">
        <f xml:space="preserve"> Debt!AG$81</f>
        <v>677.06440676082934</v>
      </c>
      <c r="AH17" s="38">
        <f xml:space="preserve"> Debt!AH$81</f>
        <v>650.27820470527649</v>
      </c>
      <c r="AI17" s="38">
        <f xml:space="preserve"> Debt!AI$81</f>
        <v>601.47272206939567</v>
      </c>
      <c r="AJ17" s="38">
        <f xml:space="preserve"> Debt!AJ$81</f>
        <v>562.90950034582897</v>
      </c>
      <c r="AK17" s="38">
        <f xml:space="preserve"> Debt!AK$81</f>
        <v>554.98873989081835</v>
      </c>
      <c r="AL17" s="38">
        <f xml:space="preserve"> Debt!AL$81</f>
        <v>525.33480228194662</v>
      </c>
      <c r="AM17" s="38">
        <f xml:space="preserve"> Debt!AM$81</f>
        <v>475.03020264070562</v>
      </c>
      <c r="AN17" s="38">
        <f xml:space="preserve"> Debt!AN$81</f>
        <v>442.47487905833009</v>
      </c>
      <c r="AO17" s="38">
        <f xml:space="preserve"> Debt!AO$81</f>
        <v>426.62587537093373</v>
      </c>
      <c r="AP17" s="38">
        <f xml:space="preserve"> Debt!AP$81</f>
        <v>394.02329585801135</v>
      </c>
      <c r="AQ17" s="38">
        <f xml:space="preserve"> Debt!AQ$81</f>
        <v>342.12236584473817</v>
      </c>
      <c r="AR17" s="38">
        <f xml:space="preserve"> Debt!AR$81</f>
        <v>305.89478157424725</v>
      </c>
      <c r="AS17" s="38">
        <f xml:space="preserve"> Debt!AS$81</f>
        <v>291.69315207317447</v>
      </c>
      <c r="AT17" s="38">
        <f xml:space="preserve"> Debt!AT$81</f>
        <v>255.80218503398922</v>
      </c>
      <c r="AU17" s="38">
        <f xml:space="preserve"> Debt!AU$81</f>
        <v>202.19945658774819</v>
      </c>
      <c r="AV17" s="38">
        <f xml:space="preserve"> Debt!AV$81</f>
        <v>167.21028608399482</v>
      </c>
      <c r="AW17" s="38">
        <f xml:space="preserve"> Debt!AW$81</f>
        <v>149.60278504223194</v>
      </c>
      <c r="AX17" s="38">
        <f xml:space="preserve"> Debt!AX$81</f>
        <v>110.31970545613908</v>
      </c>
      <c r="AY17" s="38">
        <f xml:space="preserve"> Debt!AY$81</f>
        <v>54.904365884114206</v>
      </c>
      <c r="AZ17" s="38">
        <f xml:space="preserve"> Debt!AZ$81</f>
        <v>21.204374160213664</v>
      </c>
      <c r="BA17" s="38">
        <f xml:space="preserve"> Debt!BA$81</f>
        <v>-1.1138657403838201E-12</v>
      </c>
      <c r="BB17" s="38">
        <f xml:space="preserve"> Debt!BB$81</f>
        <v>-1.1431852979310662E-12</v>
      </c>
      <c r="BC17" s="38">
        <f xml:space="preserve"> Debt!BC$81</f>
        <v>-1.1607141391660092E-12</v>
      </c>
      <c r="BD17" s="38">
        <f xml:space="preserve"> Debt!BD$81</f>
        <v>-1.1657018455756139E-12</v>
      </c>
      <c r="BE17" s="38">
        <f xml:space="preserve"> Debt!BE$81</f>
        <v>-1.1833816569001772E-12</v>
      </c>
      <c r="BF17" s="38">
        <f xml:space="preserve"> Debt!BF$81</f>
        <v>-1.2145310363378501E-12</v>
      </c>
      <c r="BG17" s="38">
        <f xml:space="preserve"> Debt!BG$81</f>
        <v>-1.2331538455616972E-12</v>
      </c>
      <c r="BH17" s="38">
        <f xml:space="preserve"> Debt!BH$81</f>
        <v>-1.224843460950303E-12</v>
      </c>
      <c r="BI17" s="38">
        <f xml:space="preserve"> Debt!BI$81</f>
        <v>-1.2570296252297195E-12</v>
      </c>
      <c r="BJ17" s="38">
        <f xml:space="preserve"> Debt!BJ$81</f>
        <v>-1.2901175918484036E-12</v>
      </c>
      <c r="BK17" s="38">
        <f xml:space="preserve"> Debt!BK$81</f>
        <v>-1.3098993949234124E-12</v>
      </c>
      <c r="BL17" s="38">
        <f xml:space="preserve"> Debt!BL$81</f>
        <v>-1.3010718120445806E-12</v>
      </c>
      <c r="BM17" s="38">
        <f xml:space="preserve"> Debt!BM$81</f>
        <v>-1.3352610879944189E-12</v>
      </c>
      <c r="BN17" s="38">
        <f xml:space="preserve"> Debt!BN$81</f>
        <v>-1.370408290112836E-12</v>
      </c>
      <c r="BO17" s="38">
        <f xml:space="preserve"> Debt!BO$81</f>
        <v>-1.3914212172278997E-12</v>
      </c>
      <c r="BP17" s="38">
        <f xml:space="preserve"> Debt!BP$81</f>
        <v>-1.3820442481552766E-12</v>
      </c>
      <c r="BQ17" s="38">
        <f xml:space="preserve"> Debt!BQ$81</f>
        <v>-1.418361299787357E-12</v>
      </c>
      <c r="BR17" s="38">
        <f xml:space="preserve"> Debt!BR$81</f>
        <v>-1.4556958942938476E-12</v>
      </c>
      <c r="BS17" s="38">
        <f xml:space="preserve"> Debt!BS$81</f>
        <v>-1.4780165646730201E-12</v>
      </c>
      <c r="BT17" s="38">
        <f xml:space="preserve"> Debt!BT$81</f>
        <v>-1.4843677517951293E-12</v>
      </c>
      <c r="BU17" s="38">
        <f xml:space="preserve"> Debt!BU$81</f>
        <v>-1.5068806626973554E-12</v>
      </c>
      <c r="BV17" s="38">
        <f xml:space="preserve"> Debt!BV$81</f>
        <v>-1.5465452943535579E-12</v>
      </c>
      <c r="BW17" s="38">
        <f xml:space="preserve"> Debt!BW$81</f>
        <v>-1.570258988866979E-12</v>
      </c>
      <c r="BX17" s="38">
        <f xml:space="preserve"> Debt!BX$81</f>
        <v>-1.5596768087246145E-12</v>
      </c>
      <c r="BY17" s="38">
        <f xml:space="preserve"> Debt!BY$81</f>
        <v>-1.6006616493094333E-12</v>
      </c>
      <c r="BZ17" s="38">
        <f xml:space="preserve"> Debt!BZ$81</f>
        <v>-1.6427948163861279E-12</v>
      </c>
      <c r="CA17" s="38">
        <f xml:space="preserve"> Debt!CA$81</f>
        <v>-1.6679843369040487E-12</v>
      </c>
      <c r="CB17" s="38">
        <f xml:space="preserve"> Debt!CB$81</f>
        <v>-1.6567435728944777E-12</v>
      </c>
      <c r="CC17" s="38">
        <f xml:space="preserve"> Debt!CC$81</f>
        <v>-1.7002791123377603E-12</v>
      </c>
      <c r="CD17" s="38">
        <f xml:space="preserve"> Debt!CD$81</f>
        <v>-1.745034444576805E-12</v>
      </c>
      <c r="CE17" s="38">
        <f xml:space="preserve"> Debt!CE$81</f>
        <v>-1.7717916393936493E-12</v>
      </c>
      <c r="CF17" s="38">
        <f xml:space="preserve"> Debt!CF$81</f>
        <v>-1.7598513044325182E-12</v>
      </c>
      <c r="CG17" s="38">
        <f xml:space="preserve"> Debt!CG$81</f>
        <v>-1.8060962859323284E-12</v>
      </c>
      <c r="CH17" s="38">
        <f xml:space="preserve"> Debt!CH$81</f>
        <v>-1.8536369742499467E-12</v>
      </c>
      <c r="CI17" s="38">
        <f xml:space="preserve"> Debt!CI$81</f>
        <v>-1.8820594078551125E-12</v>
      </c>
      <c r="CJ17" s="38">
        <f xml:space="preserve"> Debt!CJ$81</f>
        <v>-1.8901468080642288E-12</v>
      </c>
      <c r="CK17" s="38">
        <f xml:space="preserve"> Debt!CK$81</f>
        <v>-1.9188140346532029E-12</v>
      </c>
      <c r="CL17" s="38">
        <f xml:space="preserve"> Debt!CL$81</f>
        <v>-1.9693217183638916E-12</v>
      </c>
      <c r="CM17" s="38">
        <f xml:space="preserve"> Debt!CM$81</f>
        <v>-1.999517984712138E-12</v>
      </c>
      <c r="CN17" s="38">
        <f xml:space="preserve"> Debt!CN$81</f>
        <v>-1.9860429722064693E-12</v>
      </c>
      <c r="CO17" s="38">
        <f xml:space="preserve"> Debt!CO$81</f>
        <v>-2.0382317680872283E-12</v>
      </c>
      <c r="CP17" s="38">
        <f xml:space="preserve"> Debt!CP$81</f>
        <v>-2.0918828064955611E-12</v>
      </c>
      <c r="CQ17" s="38">
        <f xml:space="preserve"> Debt!CQ$81</f>
        <v>-2.1239583428618268E-12</v>
      </c>
      <c r="CR17" s="38">
        <f xml:space="preserve"> Debt!CR$81</f>
        <v>-2.1096447105512358E-12</v>
      </c>
      <c r="CS17" s="38">
        <f xml:space="preserve"> Debt!CS$81</f>
        <v>-2.1650814854451654E-12</v>
      </c>
      <c r="CT17" s="38">
        <f xml:space="preserve"> Debt!CT$81</f>
        <v>-2.2220715057909857E-12</v>
      </c>
      <c r="CU17" s="38">
        <f xml:space="preserve"> Debt!CU$81</f>
        <v>-2.2561432688797811E-12</v>
      </c>
      <c r="CV17" s="38">
        <f xml:space="preserve"> Debt!CV$81</f>
        <v>-2.2409388251112433E-12</v>
      </c>
      <c r="CW17" s="38">
        <f xml:space="preserve"> Debt!CW$81</f>
        <v>-2.299825717571111E-12</v>
      </c>
      <c r="CX17" s="38">
        <f xml:space="preserve"> Debt!CX$81</f>
        <v>-2.3603625219904008E-12</v>
      </c>
      <c r="CY17" s="38">
        <f xml:space="preserve"> Debt!CY$81</f>
        <v>-2.3965547473275869E-12</v>
      </c>
      <c r="CZ17" s="38">
        <f xml:space="preserve"> Debt!CZ$81</f>
        <v>-2.4068529862055961E-12</v>
      </c>
      <c r="DA17" s="38">
        <f xml:space="preserve"> Debt!DA$81</f>
        <v>-2.443356923163048E-12</v>
      </c>
      <c r="DB17" s="38">
        <f xml:space="preserve"> Debt!DB$81</f>
        <v>-2.5076718053969296E-12</v>
      </c>
      <c r="DC17" s="38">
        <f xml:space="preserve"> Debt!DC$81</f>
        <v>-2.5461227730796825E-12</v>
      </c>
      <c r="DD17" s="38">
        <f xml:space="preserve"> Debt!DD$81</f>
        <v>-2.5289641196089276E-12</v>
      </c>
      <c r="DE17" s="38">
        <f xml:space="preserve"> Debt!DE$81</f>
        <v>-2.5954196767519844E-12</v>
      </c>
      <c r="DF17" s="38">
        <f xml:space="preserve"> Debt!DF$81</f>
        <v>-2.6637372071444382E-12</v>
      </c>
      <c r="DG17" s="38">
        <f xml:space="preserve"> Debt!DG$81</f>
        <v>-2.704581177653986E-12</v>
      </c>
      <c r="DH17" s="38">
        <f xml:space="preserve"> Debt!DH$81</f>
        <v>-2.6863546523263179E-12</v>
      </c>
      <c r="DI17" s="38">
        <f xml:space="preserve"> Debt!DI$81</f>
        <v>-2.7569460829124483E-12</v>
      </c>
      <c r="DJ17" s="38">
        <f xml:space="preserve"> Debt!DJ$81</f>
        <v>-2.8295153669850084E-12</v>
      </c>
      <c r="DK17" s="38">
        <f xml:space="preserve"> Debt!DK$81</f>
        <v>-2.8729012692787786E-12</v>
      </c>
      <c r="DL17" s="38">
        <f xml:space="preserve"> Debt!DL$81</f>
        <v>-2.853540412898856E-12</v>
      </c>
      <c r="DM17" s="38">
        <f xml:space="preserve"> Debt!DM$81</f>
        <v>-2.9285251137489206E-12</v>
      </c>
      <c r="DN17" s="38">
        <f xml:space="preserve"> Debt!DN$81</f>
        <v>-3.0056107601496525E-12</v>
      </c>
      <c r="DO17" s="38">
        <f xml:space="preserve"> Debt!DO$81</f>
        <v>-3.0516967918052802E-12</v>
      </c>
      <c r="DP17" s="38">
        <f xml:space="preserve"> Debt!DP$81</f>
        <v>-3.0648102425120956E-12</v>
      </c>
      <c r="DQ17" s="38">
        <f xml:space="preserve"> Debt!DQ$81</f>
        <v>-3.1112931978568627E-12</v>
      </c>
      <c r="DR17" s="38">
        <f xml:space="preserve"> Debt!DR$81</f>
        <v>-3.1931897286986188E-12</v>
      </c>
      <c r="DS17" s="38">
        <f xml:space="preserve"> Debt!DS$81</f>
        <v>-3.242151971205331E-12</v>
      </c>
      <c r="DT17" s="38">
        <f xml:space="preserve"> Debt!DT$81</f>
        <v>-3.2203026861819905E-12</v>
      </c>
      <c r="DU17" s="38">
        <f xml:space="preserve"> Debt!DU$81</f>
        <v>-3.3049250845466616E-12</v>
      </c>
      <c r="DV17" s="38">
        <f xml:space="preserve"> Debt!DV$81</f>
        <v>-3.3919184605816521E-12</v>
      </c>
      <c r="DW17" s="38">
        <f xml:space="preserve"> Debt!DW$81</f>
        <v>-3.4439278769772374E-12</v>
      </c>
      <c r="DX17" s="38">
        <f xml:space="preserve"> Debt!DX$81</f>
        <v>-3.4207187978063038E-12</v>
      </c>
      <c r="DY17" s="38">
        <f xml:space="preserve"> Debt!DY$81</f>
        <v>-3.5106076862153251E-12</v>
      </c>
      <c r="DZ17" s="38">
        <f xml:space="preserve"> Debt!DZ$81</f>
        <v>-3.6030151105125529E-12</v>
      </c>
      <c r="EA17" s="38">
        <f xml:space="preserve"> Debt!EA$81</f>
        <v>-3.6582613422070795E-12</v>
      </c>
    </row>
    <row r="18" spans="1:131" x14ac:dyDescent="0.35">
      <c r="D18" s="34" t="s">
        <v>304</v>
      </c>
      <c r="E18" s="542" t="s">
        <v>305</v>
      </c>
      <c r="F18" s="542"/>
      <c r="G18" s="542"/>
      <c r="H18" s="542"/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2"/>
      <c r="AG18" s="542"/>
      <c r="AH18" s="542"/>
      <c r="AI18" s="542"/>
      <c r="AJ18" s="542"/>
      <c r="AK18" s="542"/>
      <c r="AL18" s="542"/>
      <c r="AM18" s="542"/>
      <c r="AN18" s="542"/>
      <c r="AO18" s="542"/>
      <c r="AP18" s="542"/>
      <c r="AQ18" s="542"/>
      <c r="AR18" s="542"/>
      <c r="AS18" s="542"/>
      <c r="AT18" s="542"/>
      <c r="AU18" s="542"/>
      <c r="AV18" s="542"/>
      <c r="AW18" s="542"/>
      <c r="AX18" s="542"/>
      <c r="AY18" s="542"/>
      <c r="AZ18" s="542"/>
      <c r="BA18" s="542"/>
      <c r="BB18" s="542"/>
      <c r="BC18" s="542"/>
      <c r="BD18" s="542"/>
      <c r="BE18" s="542"/>
      <c r="BF18" s="542"/>
      <c r="BG18" s="542"/>
      <c r="BH18" s="542"/>
      <c r="BI18" s="542"/>
      <c r="BJ18" s="542"/>
      <c r="BK18" s="542"/>
      <c r="BL18" s="542"/>
      <c r="BM18" s="542"/>
      <c r="BN18" s="542"/>
      <c r="BO18" s="542"/>
      <c r="BP18" s="542"/>
      <c r="BQ18" s="542"/>
      <c r="BR18" s="542"/>
      <c r="BS18" s="542"/>
      <c r="BT18" s="542"/>
      <c r="BU18" s="542"/>
      <c r="BV18" s="542"/>
      <c r="BW18" s="542"/>
      <c r="BX18" s="542"/>
      <c r="BY18" s="542"/>
      <c r="BZ18" s="542"/>
      <c r="CA18" s="542"/>
      <c r="CB18" s="542"/>
      <c r="CC18" s="542"/>
      <c r="CD18" s="542"/>
      <c r="CE18" s="542"/>
      <c r="CF18" s="542"/>
      <c r="CG18" s="542"/>
      <c r="CH18" s="542"/>
      <c r="CI18" s="542"/>
      <c r="CJ18" s="542"/>
      <c r="CK18" s="542"/>
      <c r="CL18" s="542"/>
      <c r="CM18" s="542"/>
      <c r="CN18" s="542"/>
      <c r="CO18" s="542"/>
      <c r="CP18" s="542"/>
      <c r="CQ18" s="542"/>
      <c r="CR18" s="542"/>
      <c r="CS18" s="542"/>
      <c r="CT18" s="542"/>
      <c r="CU18" s="542"/>
      <c r="CV18" s="542"/>
      <c r="CW18" s="542"/>
      <c r="CX18" s="542"/>
      <c r="CY18" s="542"/>
      <c r="CZ18" s="542"/>
      <c r="DA18" s="542"/>
      <c r="DB18" s="542"/>
      <c r="DC18" s="542"/>
      <c r="DD18" s="542"/>
      <c r="DE18" s="542"/>
      <c r="DF18" s="542"/>
      <c r="DG18" s="542"/>
      <c r="DH18" s="542"/>
      <c r="DI18" s="542"/>
      <c r="DJ18" s="542"/>
      <c r="DK18" s="542"/>
      <c r="DL18" s="542"/>
      <c r="DM18" s="542"/>
      <c r="DN18" s="542"/>
      <c r="DO18" s="542"/>
      <c r="DP18" s="542"/>
      <c r="DQ18" s="542"/>
      <c r="DR18" s="542"/>
      <c r="DS18" s="542"/>
      <c r="DT18" s="542"/>
      <c r="DU18" s="542"/>
      <c r="DV18" s="542"/>
      <c r="DW18" s="542"/>
      <c r="DX18" s="542"/>
      <c r="DY18" s="542"/>
      <c r="DZ18" s="542"/>
      <c r="EA18" s="542"/>
    </row>
    <row r="19" spans="1:131" x14ac:dyDescent="0.35">
      <c r="D19" s="34" t="s">
        <v>304</v>
      </c>
      <c r="E19" s="542" t="s">
        <v>306</v>
      </c>
      <c r="F19" s="542"/>
      <c r="G19" s="542"/>
      <c r="H19" s="542"/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2"/>
      <c r="AG19" s="542"/>
      <c r="AH19" s="542"/>
      <c r="AI19" s="542"/>
      <c r="AJ19" s="542"/>
      <c r="AK19" s="542"/>
      <c r="AL19" s="542"/>
      <c r="AM19" s="542"/>
      <c r="AN19" s="542"/>
      <c r="AO19" s="542"/>
      <c r="AP19" s="542"/>
      <c r="AQ19" s="542"/>
      <c r="AR19" s="542"/>
      <c r="AS19" s="542"/>
      <c r="AT19" s="542"/>
      <c r="AU19" s="542"/>
      <c r="AV19" s="542"/>
      <c r="AW19" s="542"/>
      <c r="AX19" s="542"/>
      <c r="AY19" s="542"/>
      <c r="AZ19" s="542"/>
      <c r="BA19" s="542"/>
      <c r="BB19" s="542"/>
      <c r="BC19" s="542"/>
      <c r="BD19" s="542"/>
      <c r="BE19" s="542"/>
      <c r="BF19" s="542"/>
      <c r="BG19" s="542"/>
      <c r="BH19" s="542"/>
      <c r="BI19" s="542"/>
      <c r="BJ19" s="542"/>
      <c r="BK19" s="542"/>
      <c r="BL19" s="542"/>
      <c r="BM19" s="542"/>
      <c r="BN19" s="542"/>
      <c r="BO19" s="542"/>
      <c r="BP19" s="542"/>
      <c r="BQ19" s="542"/>
      <c r="BR19" s="542"/>
      <c r="BS19" s="542"/>
      <c r="BT19" s="542"/>
      <c r="BU19" s="542"/>
      <c r="BV19" s="542"/>
      <c r="BW19" s="542"/>
      <c r="BX19" s="542"/>
      <c r="BY19" s="542"/>
      <c r="BZ19" s="542"/>
      <c r="CA19" s="542"/>
      <c r="CB19" s="542"/>
      <c r="CC19" s="542"/>
      <c r="CD19" s="542"/>
      <c r="CE19" s="542"/>
      <c r="CF19" s="542"/>
      <c r="CG19" s="542"/>
      <c r="CH19" s="542"/>
      <c r="CI19" s="542"/>
      <c r="CJ19" s="542"/>
      <c r="CK19" s="542"/>
      <c r="CL19" s="542"/>
      <c r="CM19" s="542"/>
      <c r="CN19" s="542"/>
      <c r="CO19" s="542"/>
      <c r="CP19" s="542"/>
      <c r="CQ19" s="542"/>
      <c r="CR19" s="542"/>
      <c r="CS19" s="542"/>
      <c r="CT19" s="542"/>
      <c r="CU19" s="542"/>
      <c r="CV19" s="542"/>
      <c r="CW19" s="542"/>
      <c r="CX19" s="542"/>
      <c r="CY19" s="542"/>
      <c r="CZ19" s="542"/>
      <c r="DA19" s="542"/>
      <c r="DB19" s="542"/>
      <c r="DC19" s="542"/>
      <c r="DD19" s="542"/>
      <c r="DE19" s="542"/>
      <c r="DF19" s="542"/>
      <c r="DG19" s="542"/>
      <c r="DH19" s="542"/>
      <c r="DI19" s="542"/>
      <c r="DJ19" s="542"/>
      <c r="DK19" s="542"/>
      <c r="DL19" s="542"/>
      <c r="DM19" s="542"/>
      <c r="DN19" s="542"/>
      <c r="DO19" s="542"/>
      <c r="DP19" s="542"/>
      <c r="DQ19" s="542"/>
      <c r="DR19" s="542"/>
      <c r="DS19" s="542"/>
      <c r="DT19" s="542"/>
      <c r="DU19" s="542"/>
      <c r="DV19" s="542"/>
      <c r="DW19" s="542"/>
      <c r="DX19" s="542"/>
      <c r="DY19" s="542"/>
      <c r="DZ19" s="542"/>
      <c r="EA19" s="542"/>
    </row>
    <row r="20" spans="1:131" x14ac:dyDescent="0.35">
      <c r="E20" s="7" t="s">
        <v>307</v>
      </c>
      <c r="G20" s="7" t="str">
        <f xml:space="preserve"> SMU</f>
        <v>$ 000s</v>
      </c>
      <c r="H20" s="7">
        <f xml:space="preserve"> SUM(J20:EA20)</f>
        <v>322667.04122730839</v>
      </c>
      <c r="J20" s="7">
        <f t="shared" ref="J20:AO20" si="0" xml:space="preserve"> J15 + J16 + J17 - J18 - J19</f>
        <v>0</v>
      </c>
      <c r="K20" s="7">
        <f t="shared" si="0"/>
        <v>0</v>
      </c>
      <c r="L20" s="7">
        <f t="shared" si="0"/>
        <v>0</v>
      </c>
      <c r="M20" s="7">
        <f t="shared" si="0"/>
        <v>4824.75</v>
      </c>
      <c r="N20" s="7">
        <f t="shared" si="0"/>
        <v>5295.7406250000004</v>
      </c>
      <c r="O20" s="7">
        <f t="shared" si="0"/>
        <v>2062.5343281249989</v>
      </c>
      <c r="P20" s="7">
        <f t="shared" si="0"/>
        <v>2060.6310622656251</v>
      </c>
      <c r="Q20" s="7">
        <f t="shared" si="0"/>
        <v>4791.2770487336711</v>
      </c>
      <c r="R20" s="7">
        <f t="shared" si="0"/>
        <v>5259.8770906937561</v>
      </c>
      <c r="S20" s="7">
        <f t="shared" si="0"/>
        <v>2042.7088144556815</v>
      </c>
      <c r="T20" s="7">
        <f t="shared" si="0"/>
        <v>2040.7671968364189</v>
      </c>
      <c r="U20" s="7">
        <f t="shared" si="0"/>
        <v>4757.7798200412162</v>
      </c>
      <c r="V20" s="7">
        <f t="shared" si="0"/>
        <v>5224.000218361738</v>
      </c>
      <c r="W20" s="7">
        <f t="shared" si="0"/>
        <v>2022.7892127952941</v>
      </c>
      <c r="X20" s="7">
        <f t="shared" si="0"/>
        <v>2020.8084706089812</v>
      </c>
      <c r="Y20" s="7">
        <f t="shared" si="0"/>
        <v>4724.2545897984583</v>
      </c>
      <c r="Z20" s="7">
        <f t="shared" si="0"/>
        <v>5188.1062102303531</v>
      </c>
      <c r="AA20" s="7">
        <f t="shared" si="0"/>
        <v>2002.7721077907047</v>
      </c>
      <c r="AB20" s="7">
        <f t="shared" si="0"/>
        <v>2000.7514526577284</v>
      </c>
      <c r="AC20" s="7">
        <f t="shared" si="0"/>
        <v>4690.6975749323938</v>
      </c>
      <c r="AD20" s="7">
        <f t="shared" si="0"/>
        <v>5152.191209556212</v>
      </c>
      <c r="AE20" s="7">
        <f t="shared" si="0"/>
        <v>1982.6540228270774</v>
      </c>
      <c r="AF20" s="7">
        <f t="shared" si="0"/>
        <v>1980.5926504815811</v>
      </c>
      <c r="AG20" s="7">
        <f t="shared" si="0"/>
        <v>4657.1049321532691</v>
      </c>
      <c r="AH20" s="7">
        <f t="shared" si="0"/>
        <v>5116.2512993505097</v>
      </c>
      <c r="AI20" s="7">
        <f t="shared" si="0"/>
        <v>1962.4314187558039</v>
      </c>
      <c r="AJ20" s="7">
        <f t="shared" si="0"/>
        <v>1960.3285087255713</v>
      </c>
      <c r="AK20" s="7">
        <f t="shared" si="0"/>
        <v>4623.4727566615193</v>
      </c>
      <c r="AL20" s="7">
        <f t="shared" si="0"/>
        <v>5080.2825010781335</v>
      </c>
      <c r="AM20" s="7">
        <f t="shared" si="0"/>
        <v>1942.1006925969973</v>
      </c>
      <c r="AN20" s="7">
        <f t="shared" si="0"/>
        <v>1939.9554078768863</v>
      </c>
      <c r="AO20" s="7">
        <f t="shared" si="0"/>
        <v>4589.7970808290256</v>
      </c>
      <c r="AP20" s="7">
        <f t="shared" ref="AP20:BU20" si="1" xml:space="preserve"> AP15 + AP16 + AP17 - AP18 - AP19</f>
        <v>5044.2807733309892</v>
      </c>
      <c r="AQ20" s="7">
        <f t="shared" si="1"/>
        <v>1921.6581762160254</v>
      </c>
      <c r="AR20" s="7">
        <f t="shared" si="1"/>
        <v>1919.4696629348209</v>
      </c>
      <c r="AS20" s="7">
        <f t="shared" si="1"/>
        <v>4556.0738728542274</v>
      </c>
      <c r="AT20" s="7">
        <f t="shared" si="1"/>
        <v>5008.2420104750345</v>
      </c>
      <c r="AU20" s="7">
        <f t="shared" si="1"/>
        <v>1901.10013497356</v>
      </c>
      <c r="AV20" s="7">
        <f t="shared" si="1"/>
        <v>1898.867522054114</v>
      </c>
      <c r="AW20" s="7">
        <f t="shared" si="1"/>
        <v>4522.299035390487</v>
      </c>
      <c r="AX20" s="7">
        <f t="shared" si="1"/>
        <v>4972.1620412704597</v>
      </c>
      <c r="AY20" s="7">
        <f t="shared" si="1"/>
        <v>1880.4227663486026</v>
      </c>
      <c r="AZ20" s="7">
        <f t="shared" si="1"/>
        <v>1878.1451651611287</v>
      </c>
      <c r="BA20" s="7">
        <f t="shared" si="1"/>
        <v>4488.4684041472365</v>
      </c>
      <c r="BB20" s="7">
        <f t="shared" si="1"/>
        <v>4936.0366274645103</v>
      </c>
      <c r="BC20" s="7">
        <f t="shared" si="1"/>
        <v>1859.6221985339619</v>
      </c>
      <c r="BD20" s="7">
        <f t="shared" si="1"/>
        <v>1857.2987025423363</v>
      </c>
      <c r="BE20" s="7">
        <f t="shared" si="1"/>
        <v>4454.5777464633093</v>
      </c>
      <c r="BF20" s="7">
        <f t="shared" si="1"/>
        <v>4899.8614623563581</v>
      </c>
      <c r="BG20" s="7">
        <f t="shared" si="1"/>
        <v>1838.6944890035923</v>
      </c>
      <c r="BH20" s="7">
        <f t="shared" si="1"/>
        <v>1836.3241734045353</v>
      </c>
      <c r="BI20" s="7">
        <f t="shared" si="1"/>
        <v>4420.6227598519172</v>
      </c>
      <c r="BJ20" s="7">
        <f t="shared" si="1"/>
        <v>4863.6321693335003</v>
      </c>
      <c r="BK20" s="7">
        <f t="shared" si="1"/>
        <v>1817.6356230512629</v>
      </c>
      <c r="BL20" s="7">
        <f t="shared" si="1"/>
        <v>1815.2175444062455</v>
      </c>
      <c r="BM20" s="7">
        <f t="shared" si="1"/>
        <v>4386.5990705166942</v>
      </c>
      <c r="BN20" s="7">
        <f t="shared" si="1"/>
        <v>4827.3443003790508</v>
      </c>
      <c r="BO20" s="7">
        <f t="shared" si="1"/>
        <v>1796.4415122999467</v>
      </c>
      <c r="BP20" s="7">
        <f t="shared" si="1"/>
        <v>1793.9747081596815</v>
      </c>
      <c r="BQ20" s="7">
        <f t="shared" si="1"/>
        <v>4352.5022318382089</v>
      </c>
      <c r="BR20" s="7">
        <f t="shared" si="1"/>
        <v>4790.9933345494137</v>
      </c>
      <c r="BS20" s="7">
        <f t="shared" si="1"/>
        <v>1775.1079931813654</v>
      </c>
      <c r="BT20" s="7">
        <f t="shared" si="1"/>
        <v>1772.5914817027294</v>
      </c>
      <c r="BU20" s="7">
        <f t="shared" si="1"/>
        <v>4318.3277228303778</v>
      </c>
      <c r="BV20" s="7">
        <f t="shared" ref="BV20:DA20" si="2" xml:space="preserve"> BV15 + BV16 + BV17 - BV18 - BV19</f>
        <v>4754.5746764216565</v>
      </c>
      <c r="BW20" s="7">
        <f t="shared" si="2"/>
        <v>1753.6308253850625</v>
      </c>
      <c r="BX20" s="7">
        <f t="shared" si="2"/>
        <v>1751.0636049403042</v>
      </c>
      <c r="BY20" s="7">
        <f t="shared" si="2"/>
        <v>4284.0709465661339</v>
      </c>
      <c r="BZ20" s="7">
        <f t="shared" si="2"/>
        <v>4718.0836545100374</v>
      </c>
      <c r="CA20" s="7">
        <f t="shared" si="2"/>
        <v>1732.0056902764152</v>
      </c>
      <c r="CB20" s="7">
        <f t="shared" si="2"/>
        <v>1729.3867390544799</v>
      </c>
      <c r="CC20" s="7">
        <f t="shared" si="2"/>
        <v>4249.7272285717709</v>
      </c>
      <c r="CD20" s="7">
        <f t="shared" si="2"/>
        <v>4681.5155196510214</v>
      </c>
      <c r="CE20" s="7">
        <f t="shared" si="2"/>
        <v>1710.2281892829346</v>
      </c>
      <c r="CF20" s="7">
        <f t="shared" si="2"/>
        <v>1707.5564648827649</v>
      </c>
      <c r="CG20" s="7">
        <f t="shared" si="2"/>
        <v>4215.2918151892882</v>
      </c>
      <c r="CH20" s="7">
        <f t="shared" si="2"/>
        <v>4644.8654433561715</v>
      </c>
      <c r="CI20" s="7">
        <f t="shared" si="2"/>
        <v>1688.2938422482339</v>
      </c>
      <c r="CJ20" s="7">
        <f t="shared" si="2"/>
        <v>1685.5682812638684</v>
      </c>
      <c r="CK20" s="7">
        <f t="shared" si="2"/>
        <v>4180.759871906117</v>
      </c>
      <c r="CL20" s="7">
        <f t="shared" si="2"/>
        <v>4608.1285161322512</v>
      </c>
      <c r="CM20" s="7">
        <f t="shared" si="2"/>
        <v>1666.1980857529932</v>
      </c>
      <c r="CN20" s="7">
        <f t="shared" si="2"/>
        <v>1663.4176033503088</v>
      </c>
      <c r="CO20" s="7">
        <f t="shared" si="2"/>
        <v>4146.1264816515677</v>
      </c>
      <c r="CP20" s="7">
        <f t="shared" si="2"/>
        <v>4571.2997457678885</v>
      </c>
      <c r="CQ20" s="7">
        <f t="shared" si="2"/>
        <v>1643.9362714022811</v>
      </c>
      <c r="CR20" s="7">
        <f t="shared" si="2"/>
        <v>1641.0997608872037</v>
      </c>
      <c r="CS20" s="7">
        <f t="shared" si="2"/>
        <v>4111.3866430593098</v>
      </c>
      <c r="CT20" s="7">
        <f t="shared" si="2"/>
        <v>4534.3740555861114</v>
      </c>
      <c r="CU20" s="7">
        <f t="shared" si="2"/>
        <v>1621.503664078522</v>
      </c>
      <c r="CV20" s="7">
        <f t="shared" si="2"/>
        <v>1618.6099964565374</v>
      </c>
      <c r="CW20" s="7">
        <f t="shared" si="2"/>
        <v>4076.5352686952083</v>
      </c>
      <c r="CX20" s="7">
        <f t="shared" si="2"/>
        <v>4497.3462826620735</v>
      </c>
      <c r="CY20" s="7">
        <f t="shared" si="2"/>
        <v>1598.8954401594422</v>
      </c>
      <c r="CZ20" s="7">
        <f t="shared" si="2"/>
        <v>1595.9434636862327</v>
      </c>
      <c r="DA20" s="7">
        <f t="shared" si="2"/>
        <v>4041.5671832498269</v>
      </c>
      <c r="DB20" s="7">
        <f t="shared" ref="DB20:EA20" si="3" xml:space="preserve"> DB15 + DB16 + DB17 - DB18 - DB19</f>
        <v>4460.2111760052694</v>
      </c>
      <c r="DC20" s="7">
        <f t="shared" si="3"/>
        <v>1576.1066857002791</v>
      </c>
      <c r="DD20" s="7">
        <f t="shared" si="3"/>
        <v>1573.0952254233007</v>
      </c>
      <c r="DE20" s="7">
        <f t="shared" si="3"/>
        <v>4006.477121694857</v>
      </c>
      <c r="DF20" s="7">
        <f t="shared" si="3"/>
        <v>4422.9633947055136</v>
      </c>
      <c r="DG20" s="7">
        <f t="shared" si="3"/>
        <v>1553.132394579522</v>
      </c>
      <c r="DH20" s="7">
        <f t="shared" si="3"/>
        <v>1550.0602518703508</v>
      </c>
      <c r="DI20" s="7">
        <f t="shared" si="3"/>
        <v>0</v>
      </c>
      <c r="DJ20" s="7">
        <f t="shared" si="3"/>
        <v>0</v>
      </c>
      <c r="DK20" s="7">
        <f t="shared" si="3"/>
        <v>0</v>
      </c>
      <c r="DL20" s="7">
        <f t="shared" si="3"/>
        <v>0</v>
      </c>
      <c r="DM20" s="7">
        <f t="shared" si="3"/>
        <v>0</v>
      </c>
      <c r="DN20" s="7">
        <f t="shared" si="3"/>
        <v>0</v>
      </c>
      <c r="DO20" s="7">
        <f t="shared" si="3"/>
        <v>0</v>
      </c>
      <c r="DP20" s="7">
        <f t="shared" si="3"/>
        <v>0</v>
      </c>
      <c r="DQ20" s="7">
        <f t="shared" si="3"/>
        <v>0</v>
      </c>
      <c r="DR20" s="7">
        <f t="shared" si="3"/>
        <v>0</v>
      </c>
      <c r="DS20" s="7">
        <f t="shared" si="3"/>
        <v>0</v>
      </c>
      <c r="DT20" s="7">
        <f t="shared" si="3"/>
        <v>0</v>
      </c>
      <c r="DU20" s="7">
        <f t="shared" si="3"/>
        <v>0</v>
      </c>
      <c r="DV20" s="7">
        <f t="shared" si="3"/>
        <v>0</v>
      </c>
      <c r="DW20" s="7">
        <f t="shared" si="3"/>
        <v>0</v>
      </c>
      <c r="DX20" s="7">
        <f t="shared" si="3"/>
        <v>0</v>
      </c>
      <c r="DY20" s="7">
        <f t="shared" si="3"/>
        <v>0</v>
      </c>
      <c r="DZ20" s="7">
        <f t="shared" si="3"/>
        <v>0</v>
      </c>
      <c r="EA20" s="7">
        <f t="shared" si="3"/>
        <v>0</v>
      </c>
    </row>
    <row r="24" spans="1:131" x14ac:dyDescent="0.35">
      <c r="A24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A13:XFD1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44587.40841261574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END 01a.xlsx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2023-09-21T10:06:04Z</dcterms:modified>
</cp:coreProperties>
</file>