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6ABAE76-FCA5-4F5C-92E9-C3A349E475F2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FS Qtr" sheetId="265" r:id="rId4"/>
    <sheet name="FS Ann" sheetId="277" r:id="rId5"/>
    <sheet name="Output" sheetId="269" r:id="rId6"/>
    <sheet name="Check" sheetId="264" r:id="rId7"/>
    <sheet name="Tmp" sheetId="275" r:id="rId8"/>
  </sheets>
  <definedNames>
    <definedName name="BaseCaseIndicator">InpC!$J$7:$S$7</definedName>
    <definedName name="CASE_ACTIVE">InpC!$F$4</definedName>
    <definedName name="CHK_TOL">InpC!$F$47</definedName>
    <definedName name="InputRowTemplate">InpC!$E$61:$S$61</definedName>
    <definedName name="InputStored">InpC!$J$3:$S$3</definedName>
    <definedName name="OutputRowTemplate">Output!$E$66:$R$66</definedName>
    <definedName name="SMU">InpC!$F$50</definedName>
    <definedName name="TrackActive">Output!$H$5</definedName>
    <definedName name="TrackLiveResults">Output!$H$6:$H$76</definedName>
    <definedName name="TrackStoredResults">Output!$M$5:$R$5</definedName>
    <definedName name="TRK_TOL">InpC!$F$46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265" l="1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9" i="265" s="1"/>
  <c r="EA5" i="281"/>
  <c r="DZ5" i="281"/>
  <c r="DY5" i="281"/>
  <c r="DX5" i="281"/>
  <c r="DW5" i="281"/>
  <c r="DV5" i="281"/>
  <c r="DU5" i="281"/>
  <c r="DT5" i="281"/>
  <c r="DS5" i="281"/>
  <c r="DR5" i="281"/>
  <c r="DQ5" i="281"/>
  <c r="DP5" i="281"/>
  <c r="DO5" i="281"/>
  <c r="DN5" i="281"/>
  <c r="DM5" i="281"/>
  <c r="DL5" i="281"/>
  <c r="DK5" i="281"/>
  <c r="DJ5" i="281"/>
  <c r="DI5" i="281"/>
  <c r="DH5" i="281"/>
  <c r="DG5" i="281"/>
  <c r="DF5" i="281"/>
  <c r="DE5" i="281"/>
  <c r="DD5" i="281"/>
  <c r="DC5" i="281"/>
  <c r="DB5" i="281"/>
  <c r="DA5" i="281"/>
  <c r="CZ5" i="281"/>
  <c r="CY5" i="281"/>
  <c r="CX5" i="281"/>
  <c r="CW5" i="281"/>
  <c r="CV5" i="281"/>
  <c r="CU5" i="281"/>
  <c r="CT5" i="281"/>
  <c r="CS5" i="281"/>
  <c r="CR5" i="281"/>
  <c r="CQ5" i="281"/>
  <c r="CP5" i="281"/>
  <c r="CO5" i="281"/>
  <c r="CN5" i="281"/>
  <c r="CM5" i="281"/>
  <c r="CL5" i="281"/>
  <c r="CK5" i="281"/>
  <c r="CJ5" i="281"/>
  <c r="CI5" i="281"/>
  <c r="CH5" i="281"/>
  <c r="CG5" i="281"/>
  <c r="CF5" i="281"/>
  <c r="CE5" i="281"/>
  <c r="CD5" i="281"/>
  <c r="CC5" i="281"/>
  <c r="CB5" i="281"/>
  <c r="CA5" i="281"/>
  <c r="BZ5" i="281"/>
  <c r="BY5" i="281"/>
  <c r="BX5" i="281"/>
  <c r="BW5" i="281"/>
  <c r="BV5" i="281"/>
  <c r="BU5" i="281"/>
  <c r="BT5" i="281"/>
  <c r="BS5" i="281"/>
  <c r="BR5" i="281"/>
  <c r="BQ5" i="281"/>
  <c r="BP5" i="281"/>
  <c r="BO5" i="281"/>
  <c r="BN5" i="281"/>
  <c r="BM5" i="281"/>
  <c r="BL5" i="281"/>
  <c r="BK5" i="281"/>
  <c r="BJ5" i="281"/>
  <c r="BI5" i="281"/>
  <c r="BH5" i="281"/>
  <c r="BG5" i="281"/>
  <c r="BF5" i="281"/>
  <c r="BE5" i="281"/>
  <c r="BD5" i="281"/>
  <c r="BC5" i="281"/>
  <c r="BB5" i="281"/>
  <c r="BA5" i="281"/>
  <c r="AZ5" i="281"/>
  <c r="AY5" i="281"/>
  <c r="AX5" i="281"/>
  <c r="AW5" i="281"/>
  <c r="AV5" i="281"/>
  <c r="AU5" i="281"/>
  <c r="AT5" i="281"/>
  <c r="AS5" i="281"/>
  <c r="AR5" i="281"/>
  <c r="AQ5" i="281"/>
  <c r="AP5" i="281"/>
  <c r="AO5" i="281"/>
  <c r="AN5" i="281"/>
  <c r="AM5" i="281"/>
  <c r="AL5" i="281"/>
  <c r="AK5" i="281"/>
  <c r="AJ5" i="281"/>
  <c r="AI5" i="281"/>
  <c r="AH5" i="281"/>
  <c r="AG5" i="281"/>
  <c r="AF5" i="281"/>
  <c r="AE5" i="281"/>
  <c r="AD5" i="281"/>
  <c r="AC5" i="281"/>
  <c r="AB5" i="281"/>
  <c r="AA5" i="281"/>
  <c r="Z5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E5" i="281"/>
  <c r="F4" i="281"/>
  <c r="E4" i="281"/>
  <c r="E3" i="281"/>
  <c r="E2" i="281"/>
  <c r="G39" i="48" l="1"/>
  <c r="G38" i="48"/>
  <c r="G63" i="277"/>
  <c r="G74" i="277"/>
  <c r="F4" i="264"/>
  <c r="F4" i="273"/>
  <c r="F4" i="275"/>
  <c r="F4" i="265"/>
  <c r="I4" i="48"/>
  <c r="F18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H20" i="269"/>
  <c r="H23" i="269"/>
  <c r="H26" i="269"/>
  <c r="H27" i="269"/>
  <c r="H28" i="269"/>
  <c r="H31" i="269"/>
  <c r="H34" i="269"/>
  <c r="H40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9" i="265"/>
  <c r="G14" i="265"/>
  <c r="G11" i="265"/>
  <c r="G19" i="269"/>
  <c r="J33" i="265"/>
  <c r="J37" i="265" s="1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72" i="269"/>
  <c r="H71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33" i="265"/>
  <c r="L37" i="265" s="1"/>
  <c r="L42" i="265" s="1"/>
  <c r="L47" i="265" s="1"/>
  <c r="L50" i="265" s="1"/>
  <c r="L53" i="265" s="1"/>
  <c r="M33" i="265"/>
  <c r="M37" i="265" s="1"/>
  <c r="M42" i="265" s="1"/>
  <c r="M47" i="265" s="1"/>
  <c r="M50" i="265" s="1"/>
  <c r="M53" i="265" s="1"/>
  <c r="N33" i="265"/>
  <c r="N37" i="265" s="1"/>
  <c r="O33" i="265"/>
  <c r="O37" i="265" s="1"/>
  <c r="O42" i="265" s="1"/>
  <c r="O47" i="265" s="1"/>
  <c r="O50" i="265" s="1"/>
  <c r="O53" i="265" s="1"/>
  <c r="P33" i="265"/>
  <c r="P37" i="265" s="1"/>
  <c r="P42" i="265" s="1"/>
  <c r="P47" i="265" s="1"/>
  <c r="P50" i="265" s="1"/>
  <c r="P53" i="265" s="1"/>
  <c r="Q33" i="265"/>
  <c r="Q37" i="265" s="1"/>
  <c r="Q42" i="265" s="1"/>
  <c r="Q47" i="265" s="1"/>
  <c r="Q50" i="265" s="1"/>
  <c r="Q53" i="265" s="1"/>
  <c r="R33" i="265"/>
  <c r="R37" i="265" s="1"/>
  <c r="R42" i="265" s="1"/>
  <c r="R47" i="265" s="1"/>
  <c r="R50" i="265" s="1"/>
  <c r="R53" i="265" s="1"/>
  <c r="S33" i="265"/>
  <c r="S37" i="265" s="1"/>
  <c r="S42" i="265" s="1"/>
  <c r="S47" i="265" s="1"/>
  <c r="S50" i="265" s="1"/>
  <c r="S53" i="265" s="1"/>
  <c r="T33" i="265"/>
  <c r="T37" i="265" s="1"/>
  <c r="T42" i="265" s="1"/>
  <c r="T47" i="265" s="1"/>
  <c r="T50" i="265" s="1"/>
  <c r="T53" i="265" s="1"/>
  <c r="U33" i="265"/>
  <c r="U37" i="265" s="1"/>
  <c r="U42" i="265" s="1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 s="1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 s="1"/>
  <c r="Y47" i="265" s="1"/>
  <c r="Y50" i="265" s="1"/>
  <c r="Y53" i="265" s="1"/>
  <c r="Z33" i="265"/>
  <c r="Z37" i="265" s="1"/>
  <c r="Z42" i="265" s="1"/>
  <c r="Z47" i="265" s="1"/>
  <c r="Z50" i="265" s="1"/>
  <c r="Z53" i="265" s="1"/>
  <c r="AA33" i="265"/>
  <c r="AA37" i="265" s="1"/>
  <c r="AA42" i="265" s="1"/>
  <c r="AA47" i="265" s="1"/>
  <c r="AA50" i="265" s="1"/>
  <c r="AA53" i="265" s="1"/>
  <c r="AB33" i="265"/>
  <c r="AB37" i="265" s="1"/>
  <c r="AB42" i="265" s="1"/>
  <c r="AB47" i="265" s="1"/>
  <c r="AB50" i="265" s="1"/>
  <c r="AB53" i="265" s="1"/>
  <c r="AC33" i="265"/>
  <c r="AC37" i="265" s="1"/>
  <c r="AC42" i="265" s="1"/>
  <c r="AC47" i="265" s="1"/>
  <c r="AC50" i="265" s="1"/>
  <c r="AC53" i="265" s="1"/>
  <c r="AD33" i="265"/>
  <c r="AD37" i="265" s="1"/>
  <c r="AD42" i="265" s="1"/>
  <c r="AD47" i="265" s="1"/>
  <c r="AD50" i="265" s="1"/>
  <c r="AD53" i="265" s="1"/>
  <c r="AE33" i="265"/>
  <c r="AE37" i="265" s="1"/>
  <c r="AE42" i="265" s="1"/>
  <c r="AE47" i="265" s="1"/>
  <c r="AE50" i="265" s="1"/>
  <c r="AE53" i="265" s="1"/>
  <c r="AF33" i="265"/>
  <c r="AF37" i="265" s="1"/>
  <c r="AF42" i="265" s="1"/>
  <c r="AF47" i="265" s="1"/>
  <c r="AF50" i="265" s="1"/>
  <c r="AF53" i="265" s="1"/>
  <c r="AG33" i="265"/>
  <c r="AG37" i="265" s="1"/>
  <c r="AG42" i="265" s="1"/>
  <c r="AG47" i="265" s="1"/>
  <c r="AG50" i="265" s="1"/>
  <c r="AG53" i="265" s="1"/>
  <c r="AH33" i="265"/>
  <c r="AH37" i="265" s="1"/>
  <c r="AH42" i="265" s="1"/>
  <c r="AH47" i="265" s="1"/>
  <c r="AH50" i="265" s="1"/>
  <c r="AH53" i="265" s="1"/>
  <c r="AI33" i="265"/>
  <c r="AI37" i="265" s="1"/>
  <c r="AI42" i="265" s="1"/>
  <c r="AI47" i="265" s="1"/>
  <c r="AI50" i="265" s="1"/>
  <c r="AI53" i="265" s="1"/>
  <c r="AJ33" i="265"/>
  <c r="AJ37" i="265" s="1"/>
  <c r="AJ42" i="265" s="1"/>
  <c r="AJ47" i="265" s="1"/>
  <c r="AJ50" i="265" s="1"/>
  <c r="AJ53" i="265" s="1"/>
  <c r="AK33" i="265"/>
  <c r="AK37" i="265" s="1"/>
  <c r="AK42" i="265" s="1"/>
  <c r="AK47" i="265" s="1"/>
  <c r="AK50" i="265" s="1"/>
  <c r="AK53" i="265" s="1"/>
  <c r="AL33" i="265"/>
  <c r="AL37" i="265" s="1"/>
  <c r="AL42" i="265" s="1"/>
  <c r="AL47" i="265" s="1"/>
  <c r="AL50" i="265" s="1"/>
  <c r="AL53" i="265" s="1"/>
  <c r="AM33" i="265"/>
  <c r="AM37" i="265"/>
  <c r="AM42" i="265" s="1"/>
  <c r="AM47" i="265" s="1"/>
  <c r="AM50" i="265" s="1"/>
  <c r="AM53" i="265" s="1"/>
  <c r="AN33" i="265"/>
  <c r="AN37" i="265" s="1"/>
  <c r="AN42" i="265" s="1"/>
  <c r="AN47" i="265" s="1"/>
  <c r="AN50" i="265" s="1"/>
  <c r="AN53" i="265" s="1"/>
  <c r="AO33" i="265"/>
  <c r="AO37" i="265" s="1"/>
  <c r="AO42" i="265" s="1"/>
  <c r="AO47" i="265" s="1"/>
  <c r="AO50" i="265" s="1"/>
  <c r="AO53" i="265" s="1"/>
  <c r="AP33" i="265"/>
  <c r="AP37" i="265" s="1"/>
  <c r="AP42" i="265" s="1"/>
  <c r="AP47" i="265" s="1"/>
  <c r="AP50" i="265" s="1"/>
  <c r="AP53" i="265" s="1"/>
  <c r="AQ33" i="265"/>
  <c r="AQ37" i="265" s="1"/>
  <c r="AQ42" i="265" s="1"/>
  <c r="AQ47" i="265" s="1"/>
  <c r="AQ50" i="265" s="1"/>
  <c r="AQ53" i="265" s="1"/>
  <c r="AR33" i="265"/>
  <c r="AR37" i="265" s="1"/>
  <c r="AR42" i="265" s="1"/>
  <c r="AR47" i="265" s="1"/>
  <c r="AR50" i="265" s="1"/>
  <c r="AR53" i="265" s="1"/>
  <c r="AS33" i="265"/>
  <c r="AS37" i="265" s="1"/>
  <c r="AS42" i="265" s="1"/>
  <c r="AS47" i="265" s="1"/>
  <c r="AS50" i="265" s="1"/>
  <c r="AS53" i="265" s="1"/>
  <c r="AT33" i="265"/>
  <c r="AT37" i="265" s="1"/>
  <c r="AT42" i="265" s="1"/>
  <c r="AT47" i="265" s="1"/>
  <c r="AT50" i="265" s="1"/>
  <c r="AT53" i="265" s="1"/>
  <c r="AU33" i="265"/>
  <c r="AU37" i="265" s="1"/>
  <c r="AU42" i="265" s="1"/>
  <c r="AU47" i="265" s="1"/>
  <c r="AU50" i="265" s="1"/>
  <c r="AU53" i="265" s="1"/>
  <c r="AV33" i="265"/>
  <c r="AV37" i="265" s="1"/>
  <c r="AV42" i="265" s="1"/>
  <c r="AV47" i="265" s="1"/>
  <c r="AV50" i="265" s="1"/>
  <c r="AV53" i="265" s="1"/>
  <c r="AW33" i="265"/>
  <c r="AW37" i="265" s="1"/>
  <c r="AW42" i="265" s="1"/>
  <c r="AW47" i="265" s="1"/>
  <c r="AW50" i="265" s="1"/>
  <c r="AW53" i="265" s="1"/>
  <c r="AX33" i="265"/>
  <c r="AX37" i="265" s="1"/>
  <c r="AX42" i="265" s="1"/>
  <c r="AX47" i="265" s="1"/>
  <c r="AX50" i="265" s="1"/>
  <c r="AX53" i="265" s="1"/>
  <c r="AY33" i="265"/>
  <c r="AY37" i="265" s="1"/>
  <c r="AY42" i="265" s="1"/>
  <c r="AY47" i="265" s="1"/>
  <c r="AY50" i="265" s="1"/>
  <c r="AY53" i="265" s="1"/>
  <c r="AZ33" i="265"/>
  <c r="AZ37" i="265" s="1"/>
  <c r="AZ42" i="265" s="1"/>
  <c r="AZ47" i="265" s="1"/>
  <c r="AZ50" i="265" s="1"/>
  <c r="AZ53" i="265" s="1"/>
  <c r="BA33" i="265"/>
  <c r="BA37" i="265" s="1"/>
  <c r="BA42" i="265" s="1"/>
  <c r="BA47" i="265" s="1"/>
  <c r="BA50" i="265" s="1"/>
  <c r="BA53" i="265" s="1"/>
  <c r="BB33" i="265"/>
  <c r="BB37" i="265" s="1"/>
  <c r="BB42" i="265" s="1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 s="1"/>
  <c r="BD47" i="265" s="1"/>
  <c r="BD50" i="265" s="1"/>
  <c r="BD53" i="265" s="1"/>
  <c r="BE33" i="265"/>
  <c r="BE37" i="265" s="1"/>
  <c r="BE42" i="265" s="1"/>
  <c r="BE47" i="265" s="1"/>
  <c r="BE50" i="265" s="1"/>
  <c r="BE53" i="265" s="1"/>
  <c r="BF33" i="265"/>
  <c r="BF37" i="265" s="1"/>
  <c r="BF42" i="265" s="1"/>
  <c r="BF47" i="265" s="1"/>
  <c r="BF50" i="265" s="1"/>
  <c r="BF53" i="265" s="1"/>
  <c r="BG33" i="265"/>
  <c r="BG37" i="265" s="1"/>
  <c r="BG42" i="265" s="1"/>
  <c r="BG47" i="265" s="1"/>
  <c r="BG50" i="265" s="1"/>
  <c r="BG53" i="265" s="1"/>
  <c r="BH33" i="265"/>
  <c r="BH37" i="265" s="1"/>
  <c r="BH42" i="265" s="1"/>
  <c r="BH47" i="265" s="1"/>
  <c r="BH50" i="265" s="1"/>
  <c r="BH53" i="265" s="1"/>
  <c r="BI33" i="265"/>
  <c r="BI37" i="265" s="1"/>
  <c r="BI42" i="265" s="1"/>
  <c r="BI47" i="265" s="1"/>
  <c r="BI50" i="265" s="1"/>
  <c r="BI53" i="265" s="1"/>
  <c r="BJ33" i="265"/>
  <c r="BJ37" i="265" s="1"/>
  <c r="BJ42" i="265" s="1"/>
  <c r="BJ47" i="265" s="1"/>
  <c r="BJ50" i="265" s="1"/>
  <c r="BJ53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 s="1"/>
  <c r="BN50" i="265" s="1"/>
  <c r="BN53" i="265" s="1"/>
  <c r="BO33" i="265"/>
  <c r="BO37" i="265" s="1"/>
  <c r="BO42" i="265" s="1"/>
  <c r="BO47" i="265" s="1"/>
  <c r="BO50" i="265" s="1"/>
  <c r="BO53" i="265" s="1"/>
  <c r="BP33" i="265"/>
  <c r="BP37" i="265" s="1"/>
  <c r="BP42" i="265" s="1"/>
  <c r="BP47" i="265" s="1"/>
  <c r="BP50" i="265" s="1"/>
  <c r="BP53" i="265" s="1"/>
  <c r="BQ33" i="265"/>
  <c r="BQ37" i="265" s="1"/>
  <c r="BQ42" i="265" s="1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 s="1"/>
  <c r="BS47" i="265" s="1"/>
  <c r="BS50" i="265" s="1"/>
  <c r="BS53" i="265" s="1"/>
  <c r="BT33" i="265"/>
  <c r="BT37" i="265" s="1"/>
  <c r="BT42" i="265" s="1"/>
  <c r="BT47" i="265" s="1"/>
  <c r="BT50" i="265" s="1"/>
  <c r="BT53" i="265" s="1"/>
  <c r="BU33" i="265"/>
  <c r="BU37" i="265" s="1"/>
  <c r="BU42" i="265" s="1"/>
  <c r="BU47" i="265" s="1"/>
  <c r="BU50" i="265" s="1"/>
  <c r="BU53" i="265" s="1"/>
  <c r="BV33" i="265"/>
  <c r="BV37" i="265" s="1"/>
  <c r="BV42" i="265" s="1"/>
  <c r="BV47" i="265" s="1"/>
  <c r="BV50" i="265" s="1"/>
  <c r="BV53" i="265" s="1"/>
  <c r="BW33" i="265"/>
  <c r="BW37" i="265" s="1"/>
  <c r="BW42" i="265" s="1"/>
  <c r="BW47" i="265" s="1"/>
  <c r="BW50" i="265" s="1"/>
  <c r="BW53" i="265" s="1"/>
  <c r="BX33" i="265"/>
  <c r="BX37" i="265" s="1"/>
  <c r="BX42" i="265" s="1"/>
  <c r="BX47" i="265" s="1"/>
  <c r="BX50" i="265" s="1"/>
  <c r="BX53" i="265" s="1"/>
  <c r="BY33" i="265"/>
  <c r="BY37" i="265" s="1"/>
  <c r="BY42" i="265" s="1"/>
  <c r="BY47" i="265" s="1"/>
  <c r="BY50" i="265" s="1"/>
  <c r="BY53" i="265" s="1"/>
  <c r="BZ33" i="265"/>
  <c r="BZ37" i="265"/>
  <c r="BZ42" i="265" s="1"/>
  <c r="BZ47" i="265" s="1"/>
  <c r="BZ50" i="265" s="1"/>
  <c r="BZ53" i="265" s="1"/>
  <c r="CA33" i="265"/>
  <c r="CA37" i="265" s="1"/>
  <c r="CA42" i="265" s="1"/>
  <c r="CA47" i="265" s="1"/>
  <c r="CA50" i="265" s="1"/>
  <c r="CA53" i="265" s="1"/>
  <c r="CB33" i="265"/>
  <c r="CB37" i="265" s="1"/>
  <c r="CB42" i="265" s="1"/>
  <c r="CB47" i="265" s="1"/>
  <c r="CB50" i="265" s="1"/>
  <c r="CB53" i="265" s="1"/>
  <c r="CC33" i="265"/>
  <c r="CC37" i="265" s="1"/>
  <c r="CC42" i="265" s="1"/>
  <c r="CC47" i="265" s="1"/>
  <c r="CC50" i="265" s="1"/>
  <c r="CC53" i="265" s="1"/>
  <c r="CD33" i="265"/>
  <c r="CD37" i="265" s="1"/>
  <c r="CD42" i="265" s="1"/>
  <c r="CD47" i="265" s="1"/>
  <c r="CD50" i="265" s="1"/>
  <c r="CD53" i="265" s="1"/>
  <c r="CE33" i="265"/>
  <c r="CE37" i="265" s="1"/>
  <c r="CE42" i="265" s="1"/>
  <c r="CE47" i="265" s="1"/>
  <c r="CE50" i="265" s="1"/>
  <c r="CE53" i="265" s="1"/>
  <c r="CF33" i="265"/>
  <c r="CF37" i="265" s="1"/>
  <c r="CF42" i="265" s="1"/>
  <c r="CF47" i="265" s="1"/>
  <c r="CF50" i="265" s="1"/>
  <c r="CF53" i="265" s="1"/>
  <c r="CG33" i="265"/>
  <c r="CG37" i="265" s="1"/>
  <c r="CG42" i="265" s="1"/>
  <c r="CG47" i="265" s="1"/>
  <c r="CG50" i="265" s="1"/>
  <c r="CG53" i="265" s="1"/>
  <c r="CH33" i="265"/>
  <c r="CH37" i="265" s="1"/>
  <c r="CH42" i="265" s="1"/>
  <c r="CH47" i="265" s="1"/>
  <c r="CH50" i="265" s="1"/>
  <c r="CH53" i="265" s="1"/>
  <c r="CI33" i="265"/>
  <c r="CI37" i="265" s="1"/>
  <c r="CI42" i="265" s="1"/>
  <c r="CI47" i="265" s="1"/>
  <c r="CI50" i="265" s="1"/>
  <c r="CI53" i="265" s="1"/>
  <c r="CJ33" i="265"/>
  <c r="CJ37" i="265" s="1"/>
  <c r="CJ42" i="265" s="1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 s="1"/>
  <c r="CL47" i="265" s="1"/>
  <c r="CL50" i="265" s="1"/>
  <c r="CL53" i="265" s="1"/>
  <c r="CM33" i="265"/>
  <c r="CM37" i="265" s="1"/>
  <c r="CM42" i="265" s="1"/>
  <c r="CM47" i="265" s="1"/>
  <c r="CM50" i="265" s="1"/>
  <c r="CM53" i="265" s="1"/>
  <c r="CN33" i="265"/>
  <c r="CN37" i="265" s="1"/>
  <c r="CN42" i="265" s="1"/>
  <c r="CN47" i="265" s="1"/>
  <c r="CN50" i="265" s="1"/>
  <c r="CN53" i="265" s="1"/>
  <c r="CO33" i="265"/>
  <c r="CO37" i="265" s="1"/>
  <c r="CO42" i="265" s="1"/>
  <c r="CO47" i="265" s="1"/>
  <c r="CO50" i="265" s="1"/>
  <c r="CO53" i="265" s="1"/>
  <c r="CP33" i="265"/>
  <c r="CP37" i="265" s="1"/>
  <c r="CP42" i="265" s="1"/>
  <c r="CP47" i="265" s="1"/>
  <c r="CP50" i="265" s="1"/>
  <c r="CP53" i="265" s="1"/>
  <c r="CQ33" i="265"/>
  <c r="CQ37" i="265" s="1"/>
  <c r="CQ42" i="265" s="1"/>
  <c r="CQ47" i="265" s="1"/>
  <c r="CQ50" i="265" s="1"/>
  <c r="CQ53" i="265" s="1"/>
  <c r="CR33" i="265"/>
  <c r="CR37" i="265" s="1"/>
  <c r="CR42" i="265" s="1"/>
  <c r="CR47" i="265" s="1"/>
  <c r="CR50" i="265" s="1"/>
  <c r="CR53" i="265" s="1"/>
  <c r="CS33" i="265"/>
  <c r="CS37" i="265" s="1"/>
  <c r="CS42" i="265" s="1"/>
  <c r="CS47" i="265" s="1"/>
  <c r="CS50" i="265" s="1"/>
  <c r="CS53" i="265" s="1"/>
  <c r="CT33" i="265"/>
  <c r="CT37" i="265"/>
  <c r="CT42" i="265" s="1"/>
  <c r="CT47" i="265" s="1"/>
  <c r="CT50" i="265" s="1"/>
  <c r="CT53" i="265" s="1"/>
  <c r="CU33" i="265"/>
  <c r="CU37" i="265" s="1"/>
  <c r="CU42" i="265" s="1"/>
  <c r="CU47" i="265" s="1"/>
  <c r="CU50" i="265" s="1"/>
  <c r="CU53" i="265" s="1"/>
  <c r="CV33" i="265"/>
  <c r="CV37" i="265" s="1"/>
  <c r="CV42" i="265" s="1"/>
  <c r="CV47" i="265" s="1"/>
  <c r="CV50" i="265" s="1"/>
  <c r="CV53" i="265" s="1"/>
  <c r="CW33" i="265"/>
  <c r="CW37" i="265" s="1"/>
  <c r="CW42" i="265" s="1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 s="1"/>
  <c r="DA47" i="265" s="1"/>
  <c r="DA50" i="265" s="1"/>
  <c r="DA53" i="265" s="1"/>
  <c r="DB33" i="265"/>
  <c r="DB37" i="265" s="1"/>
  <c r="DB42" i="265" s="1"/>
  <c r="DB47" i="265" s="1"/>
  <c r="DB50" i="265" s="1"/>
  <c r="DB53" i="265" s="1"/>
  <c r="DC33" i="265"/>
  <c r="DC37" i="265" s="1"/>
  <c r="DC42" i="265" s="1"/>
  <c r="DC47" i="265" s="1"/>
  <c r="DC50" i="265" s="1"/>
  <c r="DC53" i="265" s="1"/>
  <c r="DD33" i="265"/>
  <c r="DD37" i="265" s="1"/>
  <c r="DD42" i="265" s="1"/>
  <c r="DD47" i="265" s="1"/>
  <c r="DD50" i="265" s="1"/>
  <c r="DD53" i="265" s="1"/>
  <c r="DE33" i="265"/>
  <c r="DE37" i="265" s="1"/>
  <c r="DE42" i="265" s="1"/>
  <c r="DE47" i="265" s="1"/>
  <c r="DE50" i="265" s="1"/>
  <c r="DE53" i="265" s="1"/>
  <c r="DF33" i="265"/>
  <c r="DF37" i="265" s="1"/>
  <c r="DF42" i="265" s="1"/>
  <c r="DF47" i="265" s="1"/>
  <c r="DF50" i="265" s="1"/>
  <c r="DF53" i="265" s="1"/>
  <c r="DG33" i="265"/>
  <c r="DG37" i="265" s="1"/>
  <c r="DG42" i="265" s="1"/>
  <c r="DG47" i="265" s="1"/>
  <c r="DG50" i="265" s="1"/>
  <c r="DG53" i="265" s="1"/>
  <c r="DH33" i="265"/>
  <c r="DH37" i="265" s="1"/>
  <c r="DH42" i="265" s="1"/>
  <c r="DH47" i="265" s="1"/>
  <c r="DH50" i="265" s="1"/>
  <c r="DH53" i="265" s="1"/>
  <c r="DI33" i="265"/>
  <c r="DI37" i="265"/>
  <c r="DI42" i="265" s="1"/>
  <c r="DI47" i="265" s="1"/>
  <c r="DI50" i="265" s="1"/>
  <c r="DI53" i="265" s="1"/>
  <c r="DJ33" i="265"/>
  <c r="DJ37" i="265" s="1"/>
  <c r="DJ42" i="265"/>
  <c r="DJ47" i="265" s="1"/>
  <c r="DJ50" i="265" s="1"/>
  <c r="DJ53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33" i="265"/>
  <c r="DM37" i="265"/>
  <c r="DM42" i="265" s="1"/>
  <c r="DM47" i="265" s="1"/>
  <c r="DM50" i="265" s="1"/>
  <c r="DM53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33" i="265"/>
  <c r="DP37" i="265"/>
  <c r="DP42" i="265" s="1"/>
  <c r="DP47" i="265" s="1"/>
  <c r="DP50" i="265" s="1"/>
  <c r="DP53" i="265" s="1"/>
  <c r="DQ33" i="265"/>
  <c r="DQ37" i="265" s="1"/>
  <c r="DQ42" i="265"/>
  <c r="DQ47" i="265" s="1"/>
  <c r="DQ50" i="265" s="1"/>
  <c r="DQ53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T33" i="265"/>
  <c r="DT37" i="265" s="1"/>
  <c r="DT42" i="265" s="1"/>
  <c r="DT47" i="265" s="1"/>
  <c r="DT50" i="265" s="1"/>
  <c r="DT53" i="265" s="1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EA33" i="265"/>
  <c r="EA37" i="265" s="1"/>
  <c r="EA42" i="265"/>
  <c r="EA47" i="265" s="1"/>
  <c r="EA50" i="265" s="1"/>
  <c r="EA53" i="265" s="1"/>
  <c r="I6" i="48"/>
  <c r="F61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J47" i="265"/>
  <c r="F4" i="277"/>
  <c r="J13" i="273"/>
  <c r="J14" i="273" s="1"/>
  <c r="J37" i="273" s="1"/>
  <c r="K10" i="273"/>
  <c r="I20" i="48" a="1"/>
  <c r="I20" i="48" s="1"/>
  <c r="J50" i="265"/>
  <c r="J53" i="265" s="1"/>
  <c r="K5" i="275"/>
  <c r="K10" i="269" l="1"/>
  <c r="K66" i="269"/>
  <c r="F74" i="273"/>
  <c r="F94" i="273"/>
  <c r="F21" i="48"/>
  <c r="F85" i="273" s="1"/>
  <c r="F14" i="48"/>
  <c r="I14" i="48" s="1" a="1"/>
  <c r="I14" i="48" s="1"/>
  <c r="I61" i="48" a="1"/>
  <c r="I61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38" i="48"/>
  <c r="F39" i="48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41" i="269"/>
  <c r="K40" i="269"/>
  <c r="J40" i="269" s="1"/>
  <c r="K34" i="269"/>
  <c r="K28" i="269"/>
  <c r="J28" i="269" s="1"/>
  <c r="K20" i="269"/>
  <c r="L20" i="269" s="1"/>
  <c r="K13" i="269"/>
  <c r="K11" i="269"/>
  <c r="J11" i="269" s="1"/>
  <c r="N42" i="265"/>
  <c r="N47" i="265" s="1"/>
  <c r="N50" i="265" s="1"/>
  <c r="N53" i="265" s="1"/>
  <c r="H37" i="265"/>
  <c r="H47" i="269" s="1"/>
  <c r="J10" i="269"/>
  <c r="L10" i="269"/>
  <c r="L40" i="269"/>
  <c r="L54" i="269"/>
  <c r="L51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J62" i="269"/>
  <c r="F17" i="273"/>
  <c r="J20" i="273" s="1"/>
  <c r="J24" i="273" s="1"/>
  <c r="I13" i="48" a="1"/>
  <c r="I13" i="48" s="1"/>
  <c r="J39" i="273"/>
  <c r="J41" i="273" s="1"/>
  <c r="J52" i="273" s="1"/>
  <c r="F83" i="273"/>
  <c r="F28" i="273"/>
  <c r="F29" i="273" s="1"/>
  <c r="F31" i="273" s="1"/>
  <c r="F16" i="48"/>
  <c r="H47" i="265"/>
  <c r="H57" i="269" s="1"/>
  <c r="K57" i="269" s="1"/>
  <c r="V53" i="265"/>
  <c r="H50" i="265"/>
  <c r="H60" i="269" s="1"/>
  <c r="H33" i="265"/>
  <c r="H43" i="269" s="1"/>
  <c r="K43" i="269" s="1"/>
  <c r="K13" i="273"/>
  <c r="K14" i="273" s="1"/>
  <c r="K5" i="277"/>
  <c r="K5" i="265"/>
  <c r="L10" i="273"/>
  <c r="K5" i="273"/>
  <c r="J56" i="273"/>
  <c r="J19" i="273"/>
  <c r="J47" i="273"/>
  <c r="J48" i="273" s="1"/>
  <c r="F87" i="273"/>
  <c r="L66" i="269" l="1"/>
  <c r="J66" i="269"/>
  <c r="J45" i="269"/>
  <c r="J31" i="269"/>
  <c r="L28" i="269"/>
  <c r="I39" i="48" a="1"/>
  <c r="I39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20" i="269"/>
  <c r="J4" i="273"/>
  <c r="I38" i="48" a="1"/>
  <c r="I38" i="48" s="1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H42" i="265"/>
  <c r="H52" i="269" s="1"/>
  <c r="K52" i="269" s="1"/>
  <c r="L52" i="269" s="1"/>
  <c r="H53" i="265"/>
  <c r="H63" i="269" s="1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F7" i="48"/>
  <c r="J25" i="273"/>
  <c r="J4" i="275"/>
  <c r="J43" i="269"/>
  <c r="L43" i="269"/>
  <c r="J57" i="269"/>
  <c r="L57" i="269"/>
  <c r="J51" i="273"/>
  <c r="J2" i="277"/>
  <c r="J4" i="277" s="1"/>
  <c r="J2" i="265"/>
  <c r="J2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56" i="273"/>
  <c r="F89" i="273"/>
  <c r="F95" i="273"/>
  <c r="J2" i="281" l="1"/>
  <c r="K20" i="273"/>
  <c r="K24" i="273" s="1"/>
  <c r="K25" i="273" s="1"/>
  <c r="K2" i="281" s="1"/>
  <c r="J96" i="273"/>
  <c r="J2" i="275"/>
  <c r="J52" i="269"/>
  <c r="K2" i="277"/>
  <c r="K4" i="277" s="1"/>
  <c r="J75" i="273"/>
  <c r="J76" i="273" s="1"/>
  <c r="J90" i="273"/>
  <c r="J91" i="273" s="1"/>
  <c r="K2" i="273"/>
  <c r="K32" i="273"/>
  <c r="K33" i="273" s="1"/>
  <c r="K38" i="273" s="1"/>
  <c r="K96" i="273"/>
  <c r="K97" i="273" s="1"/>
  <c r="K2" i="275"/>
  <c r="K39" i="273"/>
  <c r="K41" i="273" s="1"/>
  <c r="K52" i="273" s="1"/>
  <c r="J118" i="273"/>
  <c r="J97" i="273"/>
  <c r="L37" i="273"/>
  <c r="L56" i="273"/>
  <c r="L47" i="273"/>
  <c r="L48" i="273" s="1"/>
  <c r="L51" i="273" s="1"/>
  <c r="L19" i="273"/>
  <c r="L20" i="273" s="1"/>
  <c r="L24" i="273" s="1"/>
  <c r="L25" i="273" s="1"/>
  <c r="N10" i="273"/>
  <c r="M5" i="277"/>
  <c r="M5" i="275"/>
  <c r="M13" i="273"/>
  <c r="M14" i="273" s="1"/>
  <c r="M5" i="273"/>
  <c r="M5" i="265"/>
  <c r="J100" i="273"/>
  <c r="K101" i="273" s="1"/>
  <c r="K59" i="273" s="1"/>
  <c r="L2" i="265"/>
  <c r="J108" i="273"/>
  <c r="J109" i="273" s="1"/>
  <c r="K118" i="273"/>
  <c r="L2" i="281" l="1"/>
  <c r="J119" i="273"/>
  <c r="J120" i="273" s="1"/>
  <c r="J12" i="281" s="1"/>
  <c r="J37" i="281"/>
  <c r="J22" i="281"/>
  <c r="J23" i="281" s="1"/>
  <c r="J13" i="281"/>
  <c r="J14" i="281" s="1"/>
  <c r="J28" i="281" s="1"/>
  <c r="K37" i="281"/>
  <c r="K22" i="281"/>
  <c r="K23" i="281" s="1"/>
  <c r="K29" i="281" s="1"/>
  <c r="K13" i="281"/>
  <c r="K14" i="281" s="1"/>
  <c r="K28" i="281" s="1"/>
  <c r="J113" i="273"/>
  <c r="J114" i="273" s="1"/>
  <c r="J21" i="281" s="1"/>
  <c r="L2" i="273"/>
  <c r="L32" i="273"/>
  <c r="L33" i="273" s="1"/>
  <c r="K42" i="273"/>
  <c r="L96" i="273"/>
  <c r="L97" i="273" s="1"/>
  <c r="L2" i="275"/>
  <c r="L90" i="273"/>
  <c r="L91" i="273" s="1"/>
  <c r="L100" i="273" s="1"/>
  <c r="M101" i="273" s="1"/>
  <c r="M59" i="273" s="1"/>
  <c r="L75" i="273"/>
  <c r="K90" i="273"/>
  <c r="K91" i="273" s="1"/>
  <c r="K100" i="273" s="1"/>
  <c r="L101" i="273" s="1"/>
  <c r="L59" i="273" s="1"/>
  <c r="K75" i="273"/>
  <c r="K2" i="265"/>
  <c r="K76" i="273"/>
  <c r="J79" i="273"/>
  <c r="K80" i="273" s="1"/>
  <c r="K58" i="273" s="1"/>
  <c r="J57" i="273"/>
  <c r="J60" i="273" s="1"/>
  <c r="J66" i="273" s="1"/>
  <c r="J67" i="273" s="1"/>
  <c r="J3" i="273" s="1"/>
  <c r="J15" i="275"/>
  <c r="J20" i="275" s="1"/>
  <c r="K17" i="275" s="1"/>
  <c r="L39" i="273"/>
  <c r="L41" i="273" s="1"/>
  <c r="L52" i="273" s="1"/>
  <c r="L2" i="277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M2" i="281" s="1"/>
  <c r="J3" i="265"/>
  <c r="J3" i="275"/>
  <c r="M2" i="265"/>
  <c r="L42" i="273"/>
  <c r="L119" i="273"/>
  <c r="L108" i="273"/>
  <c r="L113" i="273"/>
  <c r="J112" i="273"/>
  <c r="L38" i="273"/>
  <c r="L118" i="273"/>
  <c r="K108" i="273"/>
  <c r="K109" i="273" s="1"/>
  <c r="K119" i="273"/>
  <c r="K120" i="273" s="1"/>
  <c r="K12" i="281" s="1"/>
  <c r="K113" i="273"/>
  <c r="K114" i="273" s="1"/>
  <c r="K4" i="273"/>
  <c r="K4" i="275"/>
  <c r="K4" i="265"/>
  <c r="L4" i="277"/>
  <c r="K30" i="281" l="1"/>
  <c r="K36" i="281" s="1"/>
  <c r="K38" i="281" s="1"/>
  <c r="K9" i="265" s="1"/>
  <c r="K11" i="265" s="1"/>
  <c r="K14" i="265" s="1"/>
  <c r="K19" i="265" s="1"/>
  <c r="K22" i="265" s="1"/>
  <c r="L4" i="281"/>
  <c r="M32" i="273"/>
  <c r="M33" i="273" s="1"/>
  <c r="J50" i="273"/>
  <c r="J53" i="273" s="1"/>
  <c r="J3" i="277" s="1"/>
  <c r="L114" i="273"/>
  <c r="L21" i="281" s="1"/>
  <c r="K21" i="281"/>
  <c r="J3" i="281"/>
  <c r="L37" i="281"/>
  <c r="L22" i="281"/>
  <c r="L23" i="281" s="1"/>
  <c r="L29" i="281" s="1"/>
  <c r="L13" i="281"/>
  <c r="L14" i="281" s="1"/>
  <c r="L28" i="281" s="1"/>
  <c r="K4" i="281"/>
  <c r="J29" i="281"/>
  <c r="J30" i="281" s="1"/>
  <c r="M2" i="277"/>
  <c r="M4" i="277" s="1"/>
  <c r="M75" i="273"/>
  <c r="M76" i="273" s="1"/>
  <c r="L76" i="273"/>
  <c r="J65" i="265"/>
  <c r="J67" i="265" s="1"/>
  <c r="J80" i="265" s="1"/>
  <c r="M2" i="275"/>
  <c r="K57" i="273"/>
  <c r="K60" i="273" s="1"/>
  <c r="K66" i="273" s="1"/>
  <c r="K67" i="273" s="1"/>
  <c r="K15" i="275"/>
  <c r="K20" i="275" s="1"/>
  <c r="L17" i="275" s="1"/>
  <c r="K79" i="273"/>
  <c r="L80" i="273" s="1"/>
  <c r="L58" i="273" s="1"/>
  <c r="L120" i="273"/>
  <c r="L12" i="281" s="1"/>
  <c r="M2" i="273"/>
  <c r="M96" i="273"/>
  <c r="M97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N37" i="273"/>
  <c r="N56" i="273"/>
  <c r="N19" i="273"/>
  <c r="N20" i="273" s="1"/>
  <c r="N24" i="273" s="1"/>
  <c r="N25" i="273" s="1"/>
  <c r="N2" i="281" s="1"/>
  <c r="N47" i="273"/>
  <c r="N48" i="273" s="1"/>
  <c r="N51" i="273" s="1"/>
  <c r="L109" i="273"/>
  <c r="K112" i="273"/>
  <c r="M38" i="273"/>
  <c r="M118" i="273"/>
  <c r="N75" i="273"/>
  <c r="N90" i="273"/>
  <c r="N91" i="273" s="1"/>
  <c r="N2" i="275"/>
  <c r="N2" i="273"/>
  <c r="L4" i="275"/>
  <c r="L4" i="265"/>
  <c r="L4" i="273"/>
  <c r="K50" i="273"/>
  <c r="K3" i="275"/>
  <c r="K25" i="265" l="1"/>
  <c r="L30" i="281"/>
  <c r="L36" i="281" s="1"/>
  <c r="L38" i="281" s="1"/>
  <c r="L9" i="265" s="1"/>
  <c r="L11" i="265" s="1"/>
  <c r="L14" i="265" s="1"/>
  <c r="L19" i="265" s="1"/>
  <c r="L22" i="265" s="1"/>
  <c r="J36" i="281"/>
  <c r="J38" i="281" s="1"/>
  <c r="J9" i="265" s="1"/>
  <c r="J11" i="265" s="1"/>
  <c r="M4" i="281"/>
  <c r="M119" i="273"/>
  <c r="M37" i="281"/>
  <c r="M22" i="281"/>
  <c r="M13" i="281"/>
  <c r="M108" i="273"/>
  <c r="K3" i="281"/>
  <c r="L79" i="273"/>
  <c r="M80" i="273" s="1"/>
  <c r="M58" i="273" s="1"/>
  <c r="L57" i="273"/>
  <c r="L60" i="273" s="1"/>
  <c r="L66" i="273" s="1"/>
  <c r="L67" i="273" s="1"/>
  <c r="L15" i="275"/>
  <c r="L20" i="275" s="1"/>
  <c r="M17" i="275" s="1"/>
  <c r="K3" i="273"/>
  <c r="K3" i="265"/>
  <c r="N39" i="273"/>
  <c r="N41" i="273" s="1"/>
  <c r="N52" i="273" s="1"/>
  <c r="N32" i="273"/>
  <c r="N33" i="273" s="1"/>
  <c r="N96" i="273"/>
  <c r="N97" i="273" s="1"/>
  <c r="N2" i="265"/>
  <c r="M120" i="273"/>
  <c r="M12" i="281" s="1"/>
  <c r="M113" i="273"/>
  <c r="M114" i="273" s="1"/>
  <c r="M21" i="281" s="1"/>
  <c r="M52" i="273"/>
  <c r="N2" i="277"/>
  <c r="N4" i="277" s="1"/>
  <c r="O37" i="273"/>
  <c r="O47" i="273"/>
  <c r="O48" i="273" s="1"/>
  <c r="O51" i="273" s="1"/>
  <c r="O19" i="273"/>
  <c r="O20" i="273" s="1"/>
  <c r="O24" i="273" s="1"/>
  <c r="O25" i="273" s="1"/>
  <c r="O2" i="281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38" i="273"/>
  <c r="O39" i="273" s="1"/>
  <c r="O41" i="273" s="1"/>
  <c r="N118" i="273"/>
  <c r="N42" i="273"/>
  <c r="L3" i="265"/>
  <c r="L3" i="273"/>
  <c r="M57" i="273"/>
  <c r="M79" i="273"/>
  <c r="N80" i="273" s="1"/>
  <c r="M15" i="275"/>
  <c r="M20" i="275" s="1"/>
  <c r="N17" i="275" s="1"/>
  <c r="O2" i="277"/>
  <c r="L112" i="273"/>
  <c r="M109" i="273"/>
  <c r="J14" i="265" l="1"/>
  <c r="L25" i="265"/>
  <c r="N4" i="281"/>
  <c r="N108" i="273"/>
  <c r="N37" i="281"/>
  <c r="N22" i="281"/>
  <c r="N13" i="281"/>
  <c r="L3" i="281"/>
  <c r="M14" i="281"/>
  <c r="M28" i="281" s="1"/>
  <c r="M23" i="281"/>
  <c r="O75" i="273"/>
  <c r="O76" i="273" s="1"/>
  <c r="L75" i="265"/>
  <c r="L81" i="265" s="1"/>
  <c r="M60" i="273"/>
  <c r="L50" i="273"/>
  <c r="L3" i="275"/>
  <c r="N119" i="273"/>
  <c r="N120" i="273" s="1"/>
  <c r="N12" i="281" s="1"/>
  <c r="K65" i="265"/>
  <c r="K67" i="265" s="1"/>
  <c r="K80" i="265" s="1"/>
  <c r="L65" i="265"/>
  <c r="L67" i="265" s="1"/>
  <c r="L80" i="265" s="1"/>
  <c r="L83" i="265" s="1"/>
  <c r="O96" i="273"/>
  <c r="O97" i="273" s="1"/>
  <c r="N113" i="273"/>
  <c r="N114" i="273" s="1"/>
  <c r="N21" i="281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P2" i="281" s="1"/>
  <c r="O57" i="273"/>
  <c r="O79" i="273"/>
  <c r="P80" i="273" s="1"/>
  <c r="P58" i="273" s="1"/>
  <c r="O15" i="275"/>
  <c r="N58" i="273"/>
  <c r="N4" i="273"/>
  <c r="N4" i="275"/>
  <c r="N4" i="265"/>
  <c r="N109" i="273"/>
  <c r="M112" i="273"/>
  <c r="O4" i="277"/>
  <c r="M66" i="273"/>
  <c r="M67" i="273" s="1"/>
  <c r="O42" i="273"/>
  <c r="O52" i="273"/>
  <c r="N57" i="273"/>
  <c r="N60" i="273" s="1"/>
  <c r="N79" i="273"/>
  <c r="O80" i="273" s="1"/>
  <c r="O58" i="273" s="1"/>
  <c r="N15" i="275"/>
  <c r="N20" i="275" s="1"/>
  <c r="O17" i="275" s="1"/>
  <c r="J19" i="265" l="1"/>
  <c r="O4" i="281"/>
  <c r="O113" i="273"/>
  <c r="O114" i="273" s="1"/>
  <c r="O21" i="281" s="1"/>
  <c r="O37" i="281"/>
  <c r="O22" i="281"/>
  <c r="O23" i="281" s="1"/>
  <c r="O29" i="281" s="1"/>
  <c r="O13" i="281"/>
  <c r="M3" i="281"/>
  <c r="M29" i="281"/>
  <c r="M30" i="281" s="1"/>
  <c r="N14" i="281"/>
  <c r="N28" i="281" s="1"/>
  <c r="N23" i="281"/>
  <c r="N29" i="281" s="1"/>
  <c r="P75" i="273"/>
  <c r="P76" i="273" s="1"/>
  <c r="L82" i="265"/>
  <c r="O38" i="273"/>
  <c r="O108" i="273"/>
  <c r="M65" i="265"/>
  <c r="M67" i="265" s="1"/>
  <c r="M80" i="265" s="1"/>
  <c r="P2" i="277"/>
  <c r="P2" i="275"/>
  <c r="P32" i="273"/>
  <c r="P33" i="273" s="1"/>
  <c r="P118" i="273" s="1"/>
  <c r="P2" i="265"/>
  <c r="P96" i="273"/>
  <c r="P97" i="273" s="1"/>
  <c r="P2" i="273"/>
  <c r="P90" i="273"/>
  <c r="P91" i="273" s="1"/>
  <c r="P100" i="273" s="1"/>
  <c r="Q101" i="273" s="1"/>
  <c r="Q59" i="273" s="1"/>
  <c r="O119" i="273"/>
  <c r="O120" i="273" s="1"/>
  <c r="O12" i="281" s="1"/>
  <c r="P39" i="273"/>
  <c r="P41" i="273" s="1"/>
  <c r="P42" i="273" s="1"/>
  <c r="Q37" i="273"/>
  <c r="Q56" i="273"/>
  <c r="Q47" i="273"/>
  <c r="Q48" i="273" s="1"/>
  <c r="Q2" i="277" s="1"/>
  <c r="Q19" i="273"/>
  <c r="Q20" i="273" s="1"/>
  <c r="Q24" i="273" s="1"/>
  <c r="Q25" i="273" s="1"/>
  <c r="Q2" i="281" s="1"/>
  <c r="R5" i="277"/>
  <c r="R5" i="275"/>
  <c r="S10" i="273"/>
  <c r="R5" i="265"/>
  <c r="R13" i="273"/>
  <c r="R14" i="273" s="1"/>
  <c r="R5" i="273"/>
  <c r="O60" i="273"/>
  <c r="N66" i="273"/>
  <c r="N67" i="273" s="1"/>
  <c r="O4" i="275"/>
  <c r="O4" i="265"/>
  <c r="O4" i="273"/>
  <c r="P57" i="273"/>
  <c r="P79" i="273"/>
  <c r="Q80" i="273" s="1"/>
  <c r="Q58" i="273" s="1"/>
  <c r="P15" i="275"/>
  <c r="O109" i="273"/>
  <c r="N112" i="273"/>
  <c r="M50" i="273"/>
  <c r="M3" i="273"/>
  <c r="M3" i="265"/>
  <c r="M3" i="275"/>
  <c r="P4" i="277"/>
  <c r="Q51" i="273"/>
  <c r="P38" i="273"/>
  <c r="Q90" i="273"/>
  <c r="Q91" i="273" s="1"/>
  <c r="O20" i="275"/>
  <c r="P17" i="275" s="1"/>
  <c r="J22" i="265" l="1"/>
  <c r="M36" i="281"/>
  <c r="M38" i="281" s="1"/>
  <c r="M9" i="265" s="1"/>
  <c r="M11" i="265" s="1"/>
  <c r="O14" i="281"/>
  <c r="O28" i="281" s="1"/>
  <c r="O30" i="281" s="1"/>
  <c r="O36" i="281" s="1"/>
  <c r="O38" i="281" s="1"/>
  <c r="O9" i="265" s="1"/>
  <c r="O11" i="265" s="1"/>
  <c r="O14" i="265" s="1"/>
  <c r="O19" i="265" s="1"/>
  <c r="O22" i="265" s="1"/>
  <c r="N3" i="281"/>
  <c r="P4" i="281"/>
  <c r="P113" i="273"/>
  <c r="P114" i="273" s="1"/>
  <c r="P21" i="281" s="1"/>
  <c r="P37" i="281"/>
  <c r="P22" i="281"/>
  <c r="P23" i="281" s="1"/>
  <c r="P29" i="281" s="1"/>
  <c r="P13" i="281"/>
  <c r="N30" i="281"/>
  <c r="N36" i="281" s="1"/>
  <c r="N38" i="281" s="1"/>
  <c r="N9" i="265" s="1"/>
  <c r="N11" i="265" s="1"/>
  <c r="N14" i="265" s="1"/>
  <c r="N19" i="265" s="1"/>
  <c r="N22" i="265" s="1"/>
  <c r="Q32" i="273"/>
  <c r="Q33" i="273" s="1"/>
  <c r="N65" i="265"/>
  <c r="N67" i="265" s="1"/>
  <c r="N80" i="265" s="1"/>
  <c r="Q2" i="275"/>
  <c r="P108" i="273"/>
  <c r="Q2" i="265"/>
  <c r="Q75" i="273"/>
  <c r="Q76" i="273" s="1"/>
  <c r="P52" i="273"/>
  <c r="Q96" i="273"/>
  <c r="Q97" i="273" s="1"/>
  <c r="Q2" i="273"/>
  <c r="P119" i="273"/>
  <c r="P120" i="273" s="1"/>
  <c r="P12" i="281" s="1"/>
  <c r="Q39" i="273"/>
  <c r="Q41" i="273" s="1"/>
  <c r="R19" i="273"/>
  <c r="R20" i="273" s="1"/>
  <c r="R24" i="273" s="1"/>
  <c r="R25" i="273" s="1"/>
  <c r="R2" i="281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52" i="273"/>
  <c r="R32" i="273"/>
  <c r="R33" i="273" s="1"/>
  <c r="P4" i="265"/>
  <c r="P4" i="273"/>
  <c r="P4" i="275"/>
  <c r="P60" i="273"/>
  <c r="O66" i="273"/>
  <c r="O67" i="273" s="1"/>
  <c r="Q100" i="273"/>
  <c r="R101" i="273" s="1"/>
  <c r="R59" i="273" s="1"/>
  <c r="Q119" i="273"/>
  <c r="Q120" i="273" s="1"/>
  <c r="Q12" i="281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O25" i="265" l="1"/>
  <c r="N25" i="265"/>
  <c r="M14" i="265"/>
  <c r="J25" i="265"/>
  <c r="O3" i="281"/>
  <c r="P14" i="281"/>
  <c r="P28" i="281" s="1"/>
  <c r="P30" i="281" s="1"/>
  <c r="P36" i="281" s="1"/>
  <c r="P38" i="281" s="1"/>
  <c r="P9" i="265" s="1"/>
  <c r="P11" i="265" s="1"/>
  <c r="P14" i="265" s="1"/>
  <c r="P19" i="265" s="1"/>
  <c r="P22" i="265" s="1"/>
  <c r="Q4" i="281"/>
  <c r="Q113" i="273"/>
  <c r="Q114" i="273" s="1"/>
  <c r="Q21" i="281" s="1"/>
  <c r="Q37" i="281"/>
  <c r="Q22" i="281"/>
  <c r="Q23" i="281" s="1"/>
  <c r="Q29" i="281" s="1"/>
  <c r="Q13" i="281"/>
  <c r="Q14" i="281" s="1"/>
  <c r="Q28" i="281" s="1"/>
  <c r="R75" i="273"/>
  <c r="R76" i="273" s="1"/>
  <c r="O65" i="265"/>
  <c r="O67" i="265" s="1"/>
  <c r="O80" i="265" s="1"/>
  <c r="R2" i="277"/>
  <c r="Q108" i="273"/>
  <c r="Q109" i="273" s="1"/>
  <c r="R2" i="275"/>
  <c r="R2" i="265"/>
  <c r="S19" i="273"/>
  <c r="S20" i="273" s="1"/>
  <c r="S24" i="273" s="1"/>
  <c r="S25" i="273" s="1"/>
  <c r="S2" i="281" s="1"/>
  <c r="S47" i="273"/>
  <c r="S48" i="273" s="1"/>
  <c r="S51" i="273" s="1"/>
  <c r="S37" i="273"/>
  <c r="S56" i="273"/>
  <c r="R2" i="273"/>
  <c r="R96" i="273"/>
  <c r="R97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S2" i="277"/>
  <c r="R42" i="273"/>
  <c r="R52" i="273"/>
  <c r="P66" i="273"/>
  <c r="P67" i="273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P25" i="265" l="1"/>
  <c r="J75" i="265"/>
  <c r="J81" i="265" s="1"/>
  <c r="M19" i="265"/>
  <c r="P3" i="281"/>
  <c r="R4" i="281"/>
  <c r="R119" i="273"/>
  <c r="R120" i="273" s="1"/>
  <c r="R12" i="281" s="1"/>
  <c r="R37" i="281"/>
  <c r="R22" i="281"/>
  <c r="R13" i="281"/>
  <c r="Q30" i="281"/>
  <c r="Q36" i="281" s="1"/>
  <c r="Q38" i="281" s="1"/>
  <c r="Q9" i="265" s="1"/>
  <c r="Q11" i="265" s="1"/>
  <c r="Q14" i="265" s="1"/>
  <c r="Q19" i="265" s="1"/>
  <c r="Q22" i="265" s="1"/>
  <c r="R108" i="273"/>
  <c r="S90" i="273"/>
  <c r="S91" i="273" s="1"/>
  <c r="S100" i="273" s="1"/>
  <c r="T101" i="273" s="1"/>
  <c r="T59" i="273" s="1"/>
  <c r="P65" i="265"/>
  <c r="P67" i="265" s="1"/>
  <c r="P80" i="265" s="1"/>
  <c r="S2" i="273"/>
  <c r="S32" i="273"/>
  <c r="S33" i="273" s="1"/>
  <c r="S39" i="273"/>
  <c r="S41" i="273" s="1"/>
  <c r="S52" i="273" s="1"/>
  <c r="S2" i="275"/>
  <c r="S75" i="273"/>
  <c r="S76" i="273" s="1"/>
  <c r="T19" i="273"/>
  <c r="T20" i="273" s="1"/>
  <c r="T24" i="273" s="1"/>
  <c r="T25" i="273" s="1"/>
  <c r="T2" i="281" s="1"/>
  <c r="T56" i="273"/>
  <c r="T37" i="273"/>
  <c r="T47" i="273"/>
  <c r="T48" i="273" s="1"/>
  <c r="T51" i="273" s="1"/>
  <c r="R113" i="273"/>
  <c r="R114" i="273" s="1"/>
  <c r="R21" i="281" s="1"/>
  <c r="S2" i="265"/>
  <c r="S96" i="273"/>
  <c r="S97" i="273" s="1"/>
  <c r="U13" i="273"/>
  <c r="U14" i="273" s="1"/>
  <c r="U5" i="275"/>
  <c r="V10" i="273"/>
  <c r="U5" i="273"/>
  <c r="U5" i="265"/>
  <c r="U5" i="277"/>
  <c r="Q66" i="273"/>
  <c r="Q67" i="273" s="1"/>
  <c r="S42" i="273"/>
  <c r="R58" i="273"/>
  <c r="R60" i="273" s="1"/>
  <c r="R4" i="265"/>
  <c r="R4" i="273"/>
  <c r="R4" i="275"/>
  <c r="S4" i="277"/>
  <c r="S113" i="273"/>
  <c r="S114" i="273" s="1"/>
  <c r="S21" i="281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Q25" i="265" l="1"/>
  <c r="M22" i="265"/>
  <c r="K75" i="265"/>
  <c r="K81" i="265" s="1"/>
  <c r="J83" i="265"/>
  <c r="J82" i="265"/>
  <c r="Q3" i="281"/>
  <c r="R14" i="281"/>
  <c r="R28" i="281" s="1"/>
  <c r="S4" i="281"/>
  <c r="S119" i="273"/>
  <c r="S120" i="273" s="1"/>
  <c r="S12" i="281" s="1"/>
  <c r="S37" i="281"/>
  <c r="S22" i="281"/>
  <c r="S23" i="281" s="1"/>
  <c r="S29" i="281" s="1"/>
  <c r="S13" i="281"/>
  <c r="R23" i="281"/>
  <c r="S57" i="273"/>
  <c r="Q65" i="265"/>
  <c r="Q67" i="265" s="1"/>
  <c r="Q80" i="265" s="1"/>
  <c r="S79" i="273"/>
  <c r="T80" i="273" s="1"/>
  <c r="T58" i="273" s="1"/>
  <c r="T75" i="273"/>
  <c r="T39" i="273"/>
  <c r="T41" i="273" s="1"/>
  <c r="T52" i="273" s="1"/>
  <c r="S15" i="275"/>
  <c r="S20" i="275" s="1"/>
  <c r="T17" i="275" s="1"/>
  <c r="T76" i="273"/>
  <c r="T57" i="273" s="1"/>
  <c r="T2" i="265"/>
  <c r="S108" i="273"/>
  <c r="T2" i="275"/>
  <c r="T96" i="273"/>
  <c r="T97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2" i="281" s="1"/>
  <c r="U47" i="273"/>
  <c r="U48" i="273" s="1"/>
  <c r="U2" i="277" s="1"/>
  <c r="U56" i="273"/>
  <c r="U37" i="273"/>
  <c r="S60" i="273"/>
  <c r="R66" i="273"/>
  <c r="R67" i="273" s="1"/>
  <c r="T4" i="277"/>
  <c r="U51" i="273"/>
  <c r="T108" i="273"/>
  <c r="T79" i="273"/>
  <c r="U80" i="273" s="1"/>
  <c r="U58" i="273" s="1"/>
  <c r="T42" i="273"/>
  <c r="T38" i="273"/>
  <c r="T118" i="273"/>
  <c r="S109" i="273"/>
  <c r="R112" i="273"/>
  <c r="S4" i="265"/>
  <c r="S4" i="273"/>
  <c r="S4" i="275"/>
  <c r="Q50" i="273"/>
  <c r="Q3" i="265"/>
  <c r="Q3" i="275"/>
  <c r="Q3" i="273"/>
  <c r="K82" i="265" l="1"/>
  <c r="K83" i="265"/>
  <c r="M25" i="265"/>
  <c r="T4" i="281"/>
  <c r="U2" i="273"/>
  <c r="U75" i="273"/>
  <c r="T113" i="273"/>
  <c r="T114" i="273" s="1"/>
  <c r="T21" i="281" s="1"/>
  <c r="T37" i="281"/>
  <c r="T22" i="281"/>
  <c r="T23" i="281" s="1"/>
  <c r="T29" i="281" s="1"/>
  <c r="T13" i="281"/>
  <c r="T15" i="275"/>
  <c r="U2" i="275"/>
  <c r="T119" i="273"/>
  <c r="T120" i="273" s="1"/>
  <c r="T12" i="281" s="1"/>
  <c r="R3" i="281"/>
  <c r="R29" i="281"/>
  <c r="S14" i="281"/>
  <c r="S28" i="281" s="1"/>
  <c r="S30" i="281" s="1"/>
  <c r="S36" i="281" s="1"/>
  <c r="S38" i="281" s="1"/>
  <c r="S9" i="265" s="1"/>
  <c r="S11" i="265" s="1"/>
  <c r="S14" i="265" s="1"/>
  <c r="S19" i="265" s="1"/>
  <c r="S22" i="265" s="1"/>
  <c r="R30" i="281"/>
  <c r="R36" i="281" s="1"/>
  <c r="R38" i="281" s="1"/>
  <c r="R9" i="265" s="1"/>
  <c r="R11" i="265" s="1"/>
  <c r="R65" i="265"/>
  <c r="R67" i="265" s="1"/>
  <c r="R80" i="265" s="1"/>
  <c r="U32" i="273"/>
  <c r="U33" i="273" s="1"/>
  <c r="U90" i="273"/>
  <c r="U91" i="273" s="1"/>
  <c r="U100" i="273" s="1"/>
  <c r="V101" i="273" s="1"/>
  <c r="V59" i="273" s="1"/>
  <c r="T20" i="275"/>
  <c r="U17" i="275" s="1"/>
  <c r="U2" i="265"/>
  <c r="U96" i="273"/>
  <c r="U97" i="273" s="1"/>
  <c r="U39" i="273"/>
  <c r="U41" i="273" s="1"/>
  <c r="U52" i="273" s="1"/>
  <c r="V19" i="273"/>
  <c r="V20" i="273" s="1"/>
  <c r="V24" i="273" s="1"/>
  <c r="V25" i="273" s="1"/>
  <c r="V2" i="281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V51" i="273"/>
  <c r="T60" i="273"/>
  <c r="S66" i="273"/>
  <c r="S67" i="273" s="1"/>
  <c r="U42" i="273"/>
  <c r="U119" i="273"/>
  <c r="U120" i="273" s="1"/>
  <c r="U12" i="281" s="1"/>
  <c r="U38" i="273"/>
  <c r="U118" i="273"/>
  <c r="U4" i="277"/>
  <c r="V32" i="273"/>
  <c r="V33" i="273" s="1"/>
  <c r="R3" i="273"/>
  <c r="R3" i="265"/>
  <c r="R3" i="275"/>
  <c r="R50" i="273"/>
  <c r="S25" i="265" l="1"/>
  <c r="R14" i="265"/>
  <c r="M75" i="265"/>
  <c r="M81" i="265" s="1"/>
  <c r="V96" i="273"/>
  <c r="V97" i="273" s="1"/>
  <c r="U4" i="281"/>
  <c r="T14" i="281"/>
  <c r="T28" i="281" s="1"/>
  <c r="T30" i="281" s="1"/>
  <c r="T36" i="281" s="1"/>
  <c r="T38" i="281" s="1"/>
  <c r="T9" i="265" s="1"/>
  <c r="T11" i="265" s="1"/>
  <c r="T14" i="265" s="1"/>
  <c r="T19" i="265" s="1"/>
  <c r="T22" i="265" s="1"/>
  <c r="S3" i="281"/>
  <c r="U113" i="273"/>
  <c r="U114" i="273" s="1"/>
  <c r="U21" i="281" s="1"/>
  <c r="U37" i="281"/>
  <c r="U22" i="281"/>
  <c r="U23" i="281" s="1"/>
  <c r="U29" i="281" s="1"/>
  <c r="U13" i="281"/>
  <c r="U14" i="281" s="1"/>
  <c r="U28" i="281" s="1"/>
  <c r="V75" i="273"/>
  <c r="V76" i="273" s="1"/>
  <c r="V2" i="265"/>
  <c r="S65" i="265"/>
  <c r="S67" i="265" s="1"/>
  <c r="S80" i="265" s="1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W19" i="273"/>
  <c r="W20" i="273" s="1"/>
  <c r="W24" i="273" s="1"/>
  <c r="W25" i="273" s="1"/>
  <c r="W2" i="281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21" i="281" s="1"/>
  <c r="V108" i="273"/>
  <c r="V119" i="273"/>
  <c r="V120" i="273" s="1"/>
  <c r="V12" i="281" s="1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2" i="265"/>
  <c r="T112" i="273"/>
  <c r="M83" i="265" l="1"/>
  <c r="M82" i="265"/>
  <c r="R19" i="265"/>
  <c r="T25" i="265"/>
  <c r="N75" i="265"/>
  <c r="N81" i="265" s="1"/>
  <c r="T3" i="281"/>
  <c r="W2" i="275"/>
  <c r="W96" i="273"/>
  <c r="W97" i="273" s="1"/>
  <c r="V4" i="281"/>
  <c r="U30" i="281"/>
  <c r="U36" i="281" s="1"/>
  <c r="U38" i="281" s="1"/>
  <c r="U9" i="265" s="1"/>
  <c r="U11" i="265" s="1"/>
  <c r="U14" i="265" s="1"/>
  <c r="U19" i="265" s="1"/>
  <c r="U22" i="265" s="1"/>
  <c r="V37" i="281"/>
  <c r="V22" i="281"/>
  <c r="V23" i="281" s="1"/>
  <c r="V29" i="281" s="1"/>
  <c r="V13" i="281"/>
  <c r="V14" i="281" s="1"/>
  <c r="V28" i="281" s="1"/>
  <c r="T65" i="265"/>
  <c r="T67" i="265" s="1"/>
  <c r="T80" i="265" s="1"/>
  <c r="W2" i="277"/>
  <c r="W75" i="273"/>
  <c r="W39" i="273"/>
  <c r="W41" i="273" s="1"/>
  <c r="W42" i="273" s="1"/>
  <c r="V52" i="273"/>
  <c r="W2" i="273"/>
  <c r="W32" i="273"/>
  <c r="W33" i="273" s="1"/>
  <c r="W38" i="273" s="1"/>
  <c r="X39" i="273" s="1"/>
  <c r="X41" i="273" s="1"/>
  <c r="X19" i="273"/>
  <c r="X20" i="273" s="1"/>
  <c r="X24" i="273" s="1"/>
  <c r="X25" i="273" s="1"/>
  <c r="X2" i="281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W118" i="273"/>
  <c r="W76" i="273"/>
  <c r="W4" i="277"/>
  <c r="T3" i="275"/>
  <c r="T3" i="265"/>
  <c r="T3" i="273"/>
  <c r="T50" i="273"/>
  <c r="V4" i="275"/>
  <c r="V4" i="265"/>
  <c r="V4" i="273"/>
  <c r="V109" i="273"/>
  <c r="U112" i="273"/>
  <c r="W119" i="273"/>
  <c r="W120" i="273" s="1"/>
  <c r="W12" i="281" s="1"/>
  <c r="W113" i="273"/>
  <c r="W114" i="273" s="1"/>
  <c r="W21" i="281" s="1"/>
  <c r="W108" i="273"/>
  <c r="X51" i="273"/>
  <c r="X2" i="277"/>
  <c r="V20" i="275"/>
  <c r="W17" i="275" s="1"/>
  <c r="N83" i="265" l="1"/>
  <c r="N82" i="265"/>
  <c r="U25" i="265"/>
  <c r="O75" i="265"/>
  <c r="O81" i="265" s="1"/>
  <c r="R22" i="265"/>
  <c r="W4" i="281"/>
  <c r="V30" i="281"/>
  <c r="V36" i="281" s="1"/>
  <c r="V38" i="281" s="1"/>
  <c r="V9" i="265" s="1"/>
  <c r="V11" i="265" s="1"/>
  <c r="V14" i="265" s="1"/>
  <c r="W37" i="281"/>
  <c r="W22" i="281"/>
  <c r="W23" i="281" s="1"/>
  <c r="W29" i="281" s="1"/>
  <c r="W13" i="281"/>
  <c r="W14" i="281" s="1"/>
  <c r="W28" i="281" s="1"/>
  <c r="U3" i="281"/>
  <c r="X32" i="273"/>
  <c r="X33" i="273" s="1"/>
  <c r="X75" i="273"/>
  <c r="W52" i="273"/>
  <c r="U65" i="265"/>
  <c r="U67" i="265" s="1"/>
  <c r="U80" i="265" s="1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2" i="281" s="1"/>
  <c r="X2" i="273"/>
  <c r="X96" i="273"/>
  <c r="X97" i="273" s="1"/>
  <c r="X2" i="265"/>
  <c r="Z5" i="275"/>
  <c r="Z5" i="277"/>
  <c r="AA10" i="273"/>
  <c r="Z5" i="273"/>
  <c r="Z5" i="265"/>
  <c r="Z13" i="273"/>
  <c r="Z14" i="273" s="1"/>
  <c r="Y75" i="273"/>
  <c r="Y96" i="273"/>
  <c r="Y97" i="273" s="1"/>
  <c r="X4" i="277"/>
  <c r="Y51" i="273"/>
  <c r="Y76" i="273"/>
  <c r="W4" i="275"/>
  <c r="W4" i="265"/>
  <c r="W4" i="273"/>
  <c r="X76" i="273"/>
  <c r="X42" i="273"/>
  <c r="X52" i="273"/>
  <c r="U50" i="273"/>
  <c r="U3" i="275"/>
  <c r="U3" i="265"/>
  <c r="U3" i="273"/>
  <c r="V112" i="273"/>
  <c r="W109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O83" i="265" l="1"/>
  <c r="O82" i="265"/>
  <c r="V19" i="265"/>
  <c r="R25" i="265"/>
  <c r="P75" i="265"/>
  <c r="P81" i="265" s="1"/>
  <c r="V3" i="281"/>
  <c r="X113" i="273"/>
  <c r="X114" i="273" s="1"/>
  <c r="X21" i="281" s="1"/>
  <c r="X37" i="281"/>
  <c r="X22" i="281"/>
  <c r="X23" i="281" s="1"/>
  <c r="X29" i="281" s="1"/>
  <c r="X13" i="281"/>
  <c r="W30" i="281"/>
  <c r="W36" i="281" s="1"/>
  <c r="W38" i="281" s="1"/>
  <c r="W9" i="265" s="1"/>
  <c r="W11" i="265" s="1"/>
  <c r="W14" i="265" s="1"/>
  <c r="W19" i="265" s="1"/>
  <c r="W22" i="265" s="1"/>
  <c r="X4" i="281"/>
  <c r="Y37" i="281"/>
  <c r="Y22" i="281"/>
  <c r="Y13" i="281"/>
  <c r="Y32" i="273"/>
  <c r="Y33" i="273" s="1"/>
  <c r="X108" i="273"/>
  <c r="Y2" i="265"/>
  <c r="Y90" i="273"/>
  <c r="Y91" i="273" s="1"/>
  <c r="Y100" i="273" s="1"/>
  <c r="Z101" i="273" s="1"/>
  <c r="Z59" i="273" s="1"/>
  <c r="V65" i="265"/>
  <c r="V67" i="265" s="1"/>
  <c r="V80" i="265" s="1"/>
  <c r="Y39" i="273"/>
  <c r="Y41" i="273" s="1"/>
  <c r="Y52" i="273" s="1"/>
  <c r="X119" i="273"/>
  <c r="X120" i="273" s="1"/>
  <c r="X12" i="281" s="1"/>
  <c r="Y2" i="275"/>
  <c r="Y2" i="273"/>
  <c r="Z37" i="273"/>
  <c r="Z47" i="273"/>
  <c r="Z48" i="273" s="1"/>
  <c r="Z51" i="273" s="1"/>
  <c r="Z19" i="273"/>
  <c r="Z20" i="273" s="1"/>
  <c r="Z24" i="273" s="1"/>
  <c r="Z25" i="273" s="1"/>
  <c r="Z2" i="281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X4" i="275"/>
  <c r="X4" i="273"/>
  <c r="X4" i="265"/>
  <c r="Y119" i="273"/>
  <c r="Y113" i="273"/>
  <c r="Y114" i="273" s="1"/>
  <c r="Y21" i="281" s="1"/>
  <c r="Y108" i="273"/>
  <c r="W66" i="273"/>
  <c r="W67" i="273" s="1"/>
  <c r="W112" i="273"/>
  <c r="X109" i="273"/>
  <c r="Z32" i="273"/>
  <c r="Z33" i="273" s="1"/>
  <c r="Z2" i="273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Y118" i="273"/>
  <c r="W25" i="265" l="1"/>
  <c r="P83" i="265"/>
  <c r="P82" i="265"/>
  <c r="Q75" i="265"/>
  <c r="Q81" i="265" s="1"/>
  <c r="V22" i="265"/>
  <c r="W3" i="281"/>
  <c r="Y4" i="281"/>
  <c r="X14" i="281"/>
  <c r="X28" i="281" s="1"/>
  <c r="X30" i="281" s="1"/>
  <c r="X36" i="281" s="1"/>
  <c r="X38" i="281" s="1"/>
  <c r="X9" i="265" s="1"/>
  <c r="X11" i="265" s="1"/>
  <c r="X14" i="265" s="1"/>
  <c r="X19" i="265" s="1"/>
  <c r="X22" i="265" s="1"/>
  <c r="Y23" i="281"/>
  <c r="Y29" i="281" s="1"/>
  <c r="Z75" i="273"/>
  <c r="Z76" i="273" s="1"/>
  <c r="W65" i="265"/>
  <c r="W67" i="265" s="1"/>
  <c r="W80" i="265" s="1"/>
  <c r="Z39" i="273"/>
  <c r="Z41" i="273" s="1"/>
  <c r="Z52" i="273" s="1"/>
  <c r="Z96" i="273"/>
  <c r="Z97" i="273" s="1"/>
  <c r="Z2" i="265"/>
  <c r="Y120" i="273"/>
  <c r="Y12" i="281" s="1"/>
  <c r="Y14" i="281" s="1"/>
  <c r="Y28" i="281" s="1"/>
  <c r="Y30" i="281" s="1"/>
  <c r="Y36" i="281" s="1"/>
  <c r="Y38" i="281" s="1"/>
  <c r="Y9" i="265" s="1"/>
  <c r="Y11" i="265" s="1"/>
  <c r="Y14" i="265" s="1"/>
  <c r="Y19" i="265" s="1"/>
  <c r="Y22" i="265" s="1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2" i="281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21" i="281" s="1"/>
  <c r="Z108" i="273"/>
  <c r="Z38" i="273"/>
  <c r="Z118" i="273"/>
  <c r="Y109" i="273"/>
  <c r="X112" i="273"/>
  <c r="W3" i="273"/>
  <c r="W3" i="265"/>
  <c r="W3" i="275"/>
  <c r="W50" i="273"/>
  <c r="Y4" i="275"/>
  <c r="Y4" i="273"/>
  <c r="Y4" i="265"/>
  <c r="Z42" i="273"/>
  <c r="Y60" i="273"/>
  <c r="X66" i="273"/>
  <c r="X67" i="273" s="1"/>
  <c r="AA51" i="273"/>
  <c r="AA2" i="265"/>
  <c r="X25" i="265" l="1"/>
  <c r="V25" i="265"/>
  <c r="R75" i="265"/>
  <c r="R81" i="265" s="1"/>
  <c r="Y25" i="265"/>
  <c r="Q83" i="265"/>
  <c r="Q82" i="265"/>
  <c r="Z4" i="281"/>
  <c r="AA96" i="273"/>
  <c r="AA97" i="273" s="1"/>
  <c r="AA90" i="273"/>
  <c r="AA91" i="273" s="1"/>
  <c r="AA100" i="273" s="1"/>
  <c r="AB101" i="273" s="1"/>
  <c r="AB59" i="273" s="1"/>
  <c r="X3" i="281"/>
  <c r="AA39" i="273"/>
  <c r="AA41" i="273" s="1"/>
  <c r="Z119" i="273"/>
  <c r="Z37" i="281"/>
  <c r="Z22" i="281"/>
  <c r="Z23" i="281" s="1"/>
  <c r="Z29" i="281" s="1"/>
  <c r="Z13" i="281"/>
  <c r="AA75" i="273"/>
  <c r="AA76" i="273" s="1"/>
  <c r="X65" i="265"/>
  <c r="X67" i="265" s="1"/>
  <c r="X80" i="265" s="1"/>
  <c r="Z120" i="273"/>
  <c r="Z12" i="281" s="1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2" i="281" s="1"/>
  <c r="AB56" i="273"/>
  <c r="AB37" i="273"/>
  <c r="AB47" i="273"/>
  <c r="AB48" i="273" s="1"/>
  <c r="AB51" i="273" s="1"/>
  <c r="AB2" i="277"/>
  <c r="AA113" i="273"/>
  <c r="AA114" i="273" s="1"/>
  <c r="AA21" i="281" s="1"/>
  <c r="AA108" i="273"/>
  <c r="AA119" i="273"/>
  <c r="Z60" i="273"/>
  <c r="Y66" i="273"/>
  <c r="Y67" i="273" s="1"/>
  <c r="Y112" i="273"/>
  <c r="Z109" i="273"/>
  <c r="AA42" i="273"/>
  <c r="AA52" i="273"/>
  <c r="AA4" i="277"/>
  <c r="X50" i="273"/>
  <c r="X3" i="273"/>
  <c r="X3" i="275"/>
  <c r="X3" i="265"/>
  <c r="Z4" i="275"/>
  <c r="Z4" i="265"/>
  <c r="Z4" i="273"/>
  <c r="AA120" i="273"/>
  <c r="AA12" i="281" s="1"/>
  <c r="S75" i="265" l="1"/>
  <c r="S81" i="265" s="1"/>
  <c r="R83" i="265"/>
  <c r="R82" i="265"/>
  <c r="Y3" i="281"/>
  <c r="AB75" i="273"/>
  <c r="AA4" i="281"/>
  <c r="Z14" i="281"/>
  <c r="Z28" i="281" s="1"/>
  <c r="Z30" i="281" s="1"/>
  <c r="Z36" i="281" s="1"/>
  <c r="Z38" i="281" s="1"/>
  <c r="Z9" i="265" s="1"/>
  <c r="Z11" i="265" s="1"/>
  <c r="Z14" i="265" s="1"/>
  <c r="Z19" i="265" s="1"/>
  <c r="Z22" i="265" s="1"/>
  <c r="AA37" i="281"/>
  <c r="AA22" i="281"/>
  <c r="AA23" i="281" s="1"/>
  <c r="AA29" i="281" s="1"/>
  <c r="AA13" i="281"/>
  <c r="AA14" i="281" s="1"/>
  <c r="AA28" i="281" s="1"/>
  <c r="AA118" i="273"/>
  <c r="AB32" i="273"/>
  <c r="AB33" i="273" s="1"/>
  <c r="AB38" i="273" s="1"/>
  <c r="Y65" i="265"/>
  <c r="Y67" i="265" s="1"/>
  <c r="Y80" i="265" s="1"/>
  <c r="AB96" i="273"/>
  <c r="AB97" i="273" s="1"/>
  <c r="AB108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2" i="281" s="1"/>
  <c r="AC47" i="273"/>
  <c r="AC48" i="273" s="1"/>
  <c r="AB2" i="275"/>
  <c r="AB2" i="273"/>
  <c r="AB2" i="265"/>
  <c r="AB39" i="273"/>
  <c r="AB41" i="273" s="1"/>
  <c r="AB42" i="273" s="1"/>
  <c r="AD5" i="277"/>
  <c r="AD5" i="265"/>
  <c r="AE10" i="273"/>
  <c r="AD5" i="275"/>
  <c r="AD5" i="273"/>
  <c r="AD13" i="273"/>
  <c r="AD14" i="273" s="1"/>
  <c r="AB113" i="273"/>
  <c r="AB114" i="273" s="1"/>
  <c r="AB21" i="281" s="1"/>
  <c r="Z112" i="273"/>
  <c r="AA109" i="273"/>
  <c r="AC90" i="273"/>
  <c r="AC91" i="273" s="1"/>
  <c r="AC100" i="273" s="1"/>
  <c r="AD101" i="273" s="1"/>
  <c r="AD59" i="273" s="1"/>
  <c r="Z66" i="273"/>
  <c r="Z67" i="273" s="1"/>
  <c r="AB76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AA30" i="281" l="1"/>
  <c r="AA36" i="281" s="1"/>
  <c r="AA38" i="281" s="1"/>
  <c r="AA9" i="265" s="1"/>
  <c r="AA11" i="265" s="1"/>
  <c r="AA14" i="265" s="1"/>
  <c r="AA19" i="265" s="1"/>
  <c r="AA22" i="265" s="1"/>
  <c r="AA25" i="265" s="1"/>
  <c r="S83" i="265"/>
  <c r="S82" i="265"/>
  <c r="Z25" i="265"/>
  <c r="T75" i="265"/>
  <c r="T81" i="265" s="1"/>
  <c r="Z3" i="281"/>
  <c r="AC2" i="265"/>
  <c r="AB4" i="281"/>
  <c r="AB119" i="273"/>
  <c r="AB120" i="273" s="1"/>
  <c r="AB12" i="281" s="1"/>
  <c r="AB37" i="281"/>
  <c r="AB22" i="281"/>
  <c r="AB23" i="281" s="1"/>
  <c r="AB29" i="281" s="1"/>
  <c r="AB13" i="281"/>
  <c r="AC32" i="273"/>
  <c r="AC33" i="273" s="1"/>
  <c r="Z65" i="265"/>
  <c r="Z67" i="265" s="1"/>
  <c r="Z80" i="265" s="1"/>
  <c r="AC96" i="273"/>
  <c r="AC97" i="273" s="1"/>
  <c r="AC75" i="273"/>
  <c r="AC76" i="273" s="1"/>
  <c r="AC15" i="275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C2" i="275"/>
  <c r="AD19" i="273"/>
  <c r="AD20" i="273" s="1"/>
  <c r="AD24" i="273" s="1"/>
  <c r="AD25" i="273" s="1"/>
  <c r="AD2" i="281" s="1"/>
  <c r="AD56" i="273"/>
  <c r="AD47" i="273"/>
  <c r="AD48" i="273" s="1"/>
  <c r="AD51" i="273" s="1"/>
  <c r="AD37" i="273"/>
  <c r="AC5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2" i="281" s="1"/>
  <c r="AC113" i="273"/>
  <c r="AC114" i="273" s="1"/>
  <c r="AC21" i="281" s="1"/>
  <c r="AC108" i="273"/>
  <c r="AB14" i="281" l="1"/>
  <c r="AB28" i="281" s="1"/>
  <c r="AB30" i="281" s="1"/>
  <c r="AB36" i="281" s="1"/>
  <c r="AB38" i="281" s="1"/>
  <c r="AB9" i="265" s="1"/>
  <c r="AB11" i="265" s="1"/>
  <c r="AB14" i="265" s="1"/>
  <c r="AB19" i="265" s="1"/>
  <c r="AB22" i="265" s="1"/>
  <c r="AB25" i="265" s="1"/>
  <c r="U75" i="265"/>
  <c r="U81" i="265" s="1"/>
  <c r="T83" i="265"/>
  <c r="T82" i="265"/>
  <c r="AA3" i="281"/>
  <c r="AC4" i="281"/>
  <c r="AC37" i="281"/>
  <c r="AC22" i="281"/>
  <c r="AC23" i="281" s="1"/>
  <c r="AC29" i="281" s="1"/>
  <c r="AC13" i="281"/>
  <c r="AC14" i="281" s="1"/>
  <c r="AC28" i="281" s="1"/>
  <c r="AD32" i="273"/>
  <c r="AD33" i="273" s="1"/>
  <c r="AC79" i="273"/>
  <c r="AD80" i="273" s="1"/>
  <c r="AD58" i="273" s="1"/>
  <c r="AA65" i="265"/>
  <c r="AA67" i="265" s="1"/>
  <c r="AA80" i="265" s="1"/>
  <c r="AD75" i="273"/>
  <c r="AD76" i="273" s="1"/>
  <c r="AD79" i="273" s="1"/>
  <c r="AE80" i="273" s="1"/>
  <c r="AE58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C52" i="273"/>
  <c r="AE37" i="273"/>
  <c r="AE56" i="273"/>
  <c r="AE19" i="273"/>
  <c r="AE20" i="273" s="1"/>
  <c r="AE24" i="273" s="1"/>
  <c r="AE25" i="273" s="1"/>
  <c r="AE2" i="281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2" i="265"/>
  <c r="AC60" i="273"/>
  <c r="AB66" i="273"/>
  <c r="AB67" i="273" s="1"/>
  <c r="AD119" i="273"/>
  <c r="AD120" i="273" s="1"/>
  <c r="AD12" i="281" s="1"/>
  <c r="AE2" i="277"/>
  <c r="AC20" i="275"/>
  <c r="AD17" i="275" s="1"/>
  <c r="AD38" i="273"/>
  <c r="AD118" i="273"/>
  <c r="AB112" i="273"/>
  <c r="AC109" i="273"/>
  <c r="AA3" i="273"/>
  <c r="AA50" i="273"/>
  <c r="AA3" i="265"/>
  <c r="AA3" i="275"/>
  <c r="AC4" i="275"/>
  <c r="AC4" i="265"/>
  <c r="AC4" i="273"/>
  <c r="U83" i="265" l="1"/>
  <c r="U82" i="265"/>
  <c r="AC30" i="281"/>
  <c r="AC36" i="281" s="1"/>
  <c r="AC38" i="281" s="1"/>
  <c r="AC9" i="265" s="1"/>
  <c r="AC11" i="265" s="1"/>
  <c r="AC14" i="265" s="1"/>
  <c r="AC19" i="265" s="1"/>
  <c r="AC22" i="265" s="1"/>
  <c r="V75" i="265"/>
  <c r="V81" i="265" s="1"/>
  <c r="AB3" i="281"/>
  <c r="AD4" i="281"/>
  <c r="AE2" i="275"/>
  <c r="AD113" i="273"/>
  <c r="AD114" i="273" s="1"/>
  <c r="AD21" i="281" s="1"/>
  <c r="AD37" i="281"/>
  <c r="AD22" i="281"/>
  <c r="AD23" i="281" s="1"/>
  <c r="AD29" i="281" s="1"/>
  <c r="AD13" i="281"/>
  <c r="AD14" i="281" s="1"/>
  <c r="AD28" i="281" s="1"/>
  <c r="AE75" i="273"/>
  <c r="AE76" i="273" s="1"/>
  <c r="AB65" i="265"/>
  <c r="AB67" i="265" s="1"/>
  <c r="AB80" i="265" s="1"/>
  <c r="AE90" i="273"/>
  <c r="AE91" i="273" s="1"/>
  <c r="AE100" i="273" s="1"/>
  <c r="AF101" i="273" s="1"/>
  <c r="AF59" i="273" s="1"/>
  <c r="AD15" i="275"/>
  <c r="AD20" i="275" s="1"/>
  <c r="AE17" i="275" s="1"/>
  <c r="AD57" i="273"/>
  <c r="AD108" i="273"/>
  <c r="AD109" i="273" s="1"/>
  <c r="AD52" i="273"/>
  <c r="AE2" i="273"/>
  <c r="AF19" i="273"/>
  <c r="AF20" i="273" s="1"/>
  <c r="AF24" i="273" s="1"/>
  <c r="AF25" i="273" s="1"/>
  <c r="AF2" i="281" s="1"/>
  <c r="AF56" i="273"/>
  <c r="AF47" i="273"/>
  <c r="AF48" i="273" s="1"/>
  <c r="AF2" i="277" s="1"/>
  <c r="AF37" i="273"/>
  <c r="AE2" i="265"/>
  <c r="AE96" i="273"/>
  <c r="AE97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D4" i="275"/>
  <c r="AD4" i="265"/>
  <c r="AD4" i="273"/>
  <c r="AE4" i="277"/>
  <c r="AB3" i="265"/>
  <c r="AB3" i="275"/>
  <c r="AB3" i="273"/>
  <c r="AB50" i="273"/>
  <c r="AE119" i="273"/>
  <c r="AE120" i="273" s="1"/>
  <c r="AE12" i="281" s="1"/>
  <c r="AF2" i="273"/>
  <c r="AD60" i="273"/>
  <c r="AC66" i="273"/>
  <c r="AC67" i="273" s="1"/>
  <c r="AD30" i="281" l="1"/>
  <c r="AD36" i="281" s="1"/>
  <c r="AD38" i="281" s="1"/>
  <c r="AD9" i="265" s="1"/>
  <c r="AD11" i="265" s="1"/>
  <c r="AD14" i="265" s="1"/>
  <c r="AD19" i="265" s="1"/>
  <c r="AD22" i="265" s="1"/>
  <c r="AD25" i="265" s="1"/>
  <c r="V82" i="265"/>
  <c r="V83" i="265"/>
  <c r="W75" i="265"/>
  <c r="W81" i="265" s="1"/>
  <c r="AC25" i="265"/>
  <c r="AE113" i="273"/>
  <c r="AE114" i="273" s="1"/>
  <c r="AE21" i="281" s="1"/>
  <c r="AE37" i="281"/>
  <c r="AE22" i="281"/>
  <c r="AE13" i="281"/>
  <c r="AE14" i="281" s="1"/>
  <c r="AE28" i="281" s="1"/>
  <c r="AC3" i="281"/>
  <c r="AE42" i="273"/>
  <c r="AE108" i="273"/>
  <c r="AF32" i="273"/>
  <c r="AF33" i="273" s="1"/>
  <c r="AF118" i="273" s="1"/>
  <c r="AC65" i="265"/>
  <c r="AC67" i="265" s="1"/>
  <c r="AC80" i="265" s="1"/>
  <c r="AF75" i="273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2" i="281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2" i="265"/>
  <c r="AE60" i="273"/>
  <c r="AD66" i="273"/>
  <c r="AD67" i="273" s="1"/>
  <c r="AC50" i="273"/>
  <c r="AC3" i="265"/>
  <c r="AC3" i="275"/>
  <c r="AC3" i="273"/>
  <c r="AF4" i="277"/>
  <c r="AG51" i="273"/>
  <c r="AF76" i="273"/>
  <c r="AD112" i="273"/>
  <c r="AE109" i="273"/>
  <c r="AG2" i="273"/>
  <c r="AE4" i="273"/>
  <c r="AE4" i="275"/>
  <c r="AE20" i="275"/>
  <c r="AF17" i="275" s="1"/>
  <c r="W82" i="265" l="1"/>
  <c r="W83" i="265"/>
  <c r="X75" i="265"/>
  <c r="X81" i="265" s="1"/>
  <c r="AD3" i="281"/>
  <c r="AE4" i="281"/>
  <c r="AE23" i="281"/>
  <c r="AE29" i="281" s="1"/>
  <c r="AE30" i="281" s="1"/>
  <c r="AE36" i="281" s="1"/>
  <c r="AE38" i="281" s="1"/>
  <c r="AE9" i="265" s="1"/>
  <c r="AE11" i="265" s="1"/>
  <c r="AE14" i="265" s="1"/>
  <c r="AE19" i="265" s="1"/>
  <c r="AE22" i="265" s="1"/>
  <c r="AE4" i="265"/>
  <c r="AF38" i="273"/>
  <c r="AF108" i="273"/>
  <c r="AF37" i="281"/>
  <c r="AF22" i="281"/>
  <c r="AF13" i="281"/>
  <c r="AD65" i="265"/>
  <c r="AD67" i="265" s="1"/>
  <c r="AD80" i="265" s="1"/>
  <c r="AG32" i="273"/>
  <c r="AG33" i="273" s="1"/>
  <c r="AG118" i="273" s="1"/>
  <c r="AF42" i="273"/>
  <c r="AF52" i="273"/>
  <c r="AG39" i="273"/>
  <c r="AG41" i="273" s="1"/>
  <c r="AG42" i="273" s="1"/>
  <c r="AG75" i="273"/>
  <c r="AG76" i="273" s="1"/>
  <c r="AF119" i="273"/>
  <c r="AF120" i="273" s="1"/>
  <c r="AF12" i="281" s="1"/>
  <c r="AG96" i="273"/>
  <c r="AG97" i="273" s="1"/>
  <c r="AG90" i="273"/>
  <c r="AG91" i="273" s="1"/>
  <c r="AG100" i="273" s="1"/>
  <c r="AH101" i="273" s="1"/>
  <c r="AH59" i="273" s="1"/>
  <c r="AF113" i="273"/>
  <c r="AF114" i="273" s="1"/>
  <c r="AF21" i="281" s="1"/>
  <c r="AH19" i="273"/>
  <c r="AH20" i="273" s="1"/>
  <c r="AH24" i="273" s="1"/>
  <c r="AH25" i="273" s="1"/>
  <c r="AH2" i="281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119" i="273"/>
  <c r="AG120" i="273" s="1"/>
  <c r="AG12" i="281" s="1"/>
  <c r="AF4" i="265"/>
  <c r="AF4" i="275"/>
  <c r="AG4" i="277"/>
  <c r="AD3" i="275"/>
  <c r="AD3" i="273"/>
  <c r="AD3" i="265"/>
  <c r="AD50" i="273"/>
  <c r="AG3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52" i="273"/>
  <c r="AE66" i="273"/>
  <c r="AE67" i="273" s="1"/>
  <c r="Y75" i="265" l="1"/>
  <c r="Y81" i="265" s="1"/>
  <c r="AE25" i="265"/>
  <c r="X82" i="265"/>
  <c r="X83" i="265"/>
  <c r="AG4" i="281"/>
  <c r="AF4" i="281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H2" i="277"/>
  <c r="AH4" i="277" s="1"/>
  <c r="AG108" i="273"/>
  <c r="AG79" i="273"/>
  <c r="AH80" i="273" s="1"/>
  <c r="AH58" i="273" s="1"/>
  <c r="AH75" i="273"/>
  <c r="AH76" i="273" s="1"/>
  <c r="AE65" i="265"/>
  <c r="AE67" i="265" s="1"/>
  <c r="AE80" i="265" s="1"/>
  <c r="AH2" i="265"/>
  <c r="AG114" i="273"/>
  <c r="AG21" i="281" s="1"/>
  <c r="AG15" i="275"/>
  <c r="AG20" i="275" s="1"/>
  <c r="AH17" i="275" s="1"/>
  <c r="AH2" i="275"/>
  <c r="AH32" i="273"/>
  <c r="AH33" i="273" s="1"/>
  <c r="AH38" i="273" s="1"/>
  <c r="AH39" i="273"/>
  <c r="AH41" i="273" s="1"/>
  <c r="AH52" i="273" s="1"/>
  <c r="AH96" i="273"/>
  <c r="AH97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2" i="281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118" i="273"/>
  <c r="AG60" i="273"/>
  <c r="AF66" i="273"/>
  <c r="AF67" i="273" s="1"/>
  <c r="AI32" i="273"/>
  <c r="AI33" i="273" s="1"/>
  <c r="AH108" i="273"/>
  <c r="Y82" i="265" l="1"/>
  <c r="Y83" i="265"/>
  <c r="Z75" i="265"/>
  <c r="Z81" i="265" s="1"/>
  <c r="AH57" i="273"/>
  <c r="AH15" i="275"/>
  <c r="AH4" i="281"/>
  <c r="AF3" i="281"/>
  <c r="AH119" i="273"/>
  <c r="AH120" i="273" s="1"/>
  <c r="AH12" i="281" s="1"/>
  <c r="AH37" i="281"/>
  <c r="AH22" i="281"/>
  <c r="AH13" i="281"/>
  <c r="AF30" i="281"/>
  <c r="AF36" i="281" s="1"/>
  <c r="AF38" i="281" s="1"/>
  <c r="AF9" i="265" s="1"/>
  <c r="AF11" i="265" s="1"/>
  <c r="AF14" i="265" s="1"/>
  <c r="AF19" i="265" s="1"/>
  <c r="AF22" i="265" s="1"/>
  <c r="AG23" i="281"/>
  <c r="AG29" i="281" s="1"/>
  <c r="AG30" i="281" s="1"/>
  <c r="AG36" i="281" s="1"/>
  <c r="AG38" i="281" s="1"/>
  <c r="AG9" i="265" s="1"/>
  <c r="AG11" i="265" s="1"/>
  <c r="AG14" i="265" s="1"/>
  <c r="AG19" i="265" s="1"/>
  <c r="AG22" i="265" s="1"/>
  <c r="AI90" i="273"/>
  <c r="AI91" i="273" s="1"/>
  <c r="AI100" i="273" s="1"/>
  <c r="AJ101" i="273" s="1"/>
  <c r="AJ59" i="273" s="1"/>
  <c r="AH79" i="273"/>
  <c r="AI80" i="273" s="1"/>
  <c r="AI58" i="273" s="1"/>
  <c r="AI2" i="265"/>
  <c r="AI75" i="273"/>
  <c r="AI76" i="273" s="1"/>
  <c r="AF65" i="265"/>
  <c r="AF67" i="265" s="1"/>
  <c r="AF80" i="265" s="1"/>
  <c r="AI2" i="277"/>
  <c r="AI39" i="273"/>
  <c r="AI41" i="273" s="1"/>
  <c r="AH113" i="273"/>
  <c r="AH114" i="273" s="1"/>
  <c r="AH21" i="281" s="1"/>
  <c r="AJ19" i="273"/>
  <c r="AJ20" i="273" s="1"/>
  <c r="AJ24" i="273" s="1"/>
  <c r="AJ25" i="273" s="1"/>
  <c r="AJ2" i="281" s="1"/>
  <c r="AJ56" i="273"/>
  <c r="AJ47" i="273"/>
  <c r="AJ48" i="273" s="1"/>
  <c r="AJ37" i="273"/>
  <c r="AI2" i="275"/>
  <c r="AI96" i="273"/>
  <c r="AI97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I42" i="273"/>
  <c r="AI52" i="273"/>
  <c r="AJ51" i="273"/>
  <c r="AH109" i="273"/>
  <c r="AG112" i="273"/>
  <c r="AJ2" i="265"/>
  <c r="AJ2" i="273"/>
  <c r="AG25" i="265" l="1"/>
  <c r="AA75" i="265"/>
  <c r="AA81" i="265" s="1"/>
  <c r="AF25" i="265"/>
  <c r="Z82" i="265"/>
  <c r="Z83" i="265"/>
  <c r="AG3" i="281"/>
  <c r="AH14" i="281"/>
  <c r="AH28" i="281" s="1"/>
  <c r="AI4" i="281"/>
  <c r="AI119" i="273"/>
  <c r="AI120" i="273" s="1"/>
  <c r="AI12" i="281" s="1"/>
  <c r="AI37" i="281"/>
  <c r="AI22" i="281"/>
  <c r="AI13" i="281"/>
  <c r="AH23" i="281"/>
  <c r="AH29" i="281" s="1"/>
  <c r="AG65" i="265"/>
  <c r="AG67" i="265" s="1"/>
  <c r="AG80" i="265" s="1"/>
  <c r="AI113" i="273"/>
  <c r="AI114" i="273" s="1"/>
  <c r="AI21" i="281" s="1"/>
  <c r="AJ75" i="273"/>
  <c r="AJ76" i="273" s="1"/>
  <c r="AJ39" i="273"/>
  <c r="AJ41" i="273" s="1"/>
  <c r="AJ52" i="273" s="1"/>
  <c r="AI108" i="273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2" i="281" s="1"/>
  <c r="AJ96" i="273"/>
  <c r="AJ97" i="273" s="1"/>
  <c r="AJ119" i="273" s="1"/>
  <c r="AJ120" i="273" s="1"/>
  <c r="AJ12" i="281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79" i="273"/>
  <c r="AK80" i="273" s="1"/>
  <c r="AK58" i="273" s="1"/>
  <c r="AK2" i="277"/>
  <c r="AI60" i="273"/>
  <c r="AH66" i="273"/>
  <c r="AH67" i="273" s="1"/>
  <c r="AJ118" i="273"/>
  <c r="AG50" i="273"/>
  <c r="AG3" i="273"/>
  <c r="AG3" i="265"/>
  <c r="AG3" i="275"/>
  <c r="AJ42" i="273"/>
  <c r="AK2" i="275"/>
  <c r="AH112" i="273"/>
  <c r="AI109" i="273"/>
  <c r="AI4" i="273"/>
  <c r="AI4" i="275"/>
  <c r="AI4" i="265"/>
  <c r="AI20" i="275"/>
  <c r="AJ17" i="275" s="1"/>
  <c r="AI14" i="281" l="1"/>
  <c r="AI28" i="281" s="1"/>
  <c r="AB75" i="265"/>
  <c r="AB81" i="265" s="1"/>
  <c r="AH30" i="281"/>
  <c r="AH36" i="281" s="1"/>
  <c r="AH38" i="281" s="1"/>
  <c r="AH9" i="265" s="1"/>
  <c r="AH11" i="265" s="1"/>
  <c r="AH14" i="265" s="1"/>
  <c r="AH19" i="265" s="1"/>
  <c r="AH22" i="265" s="1"/>
  <c r="AA82" i="265"/>
  <c r="AA83" i="265"/>
  <c r="AJ108" i="273"/>
  <c r="AJ113" i="273"/>
  <c r="AJ114" i="273" s="1"/>
  <c r="AJ21" i="281" s="1"/>
  <c r="AJ4" i="281"/>
  <c r="AH3" i="281"/>
  <c r="AI23" i="281"/>
  <c r="AI29" i="281" s="1"/>
  <c r="AJ37" i="281"/>
  <c r="AJ22" i="281"/>
  <c r="AJ13" i="281"/>
  <c r="AJ14" i="281" s="1"/>
  <c r="AJ28" i="281" s="1"/>
  <c r="AI30" i="281"/>
  <c r="AI36" i="281" s="1"/>
  <c r="AI38" i="281" s="1"/>
  <c r="AI9" i="265" s="1"/>
  <c r="AI11" i="265" s="1"/>
  <c r="AI14" i="265" s="1"/>
  <c r="AI19" i="265" s="1"/>
  <c r="AI22" i="265" s="1"/>
  <c r="AK32" i="273"/>
  <c r="AK33" i="273" s="1"/>
  <c r="AK90" i="273"/>
  <c r="AK91" i="273" s="1"/>
  <c r="AK100" i="273" s="1"/>
  <c r="AL101" i="273" s="1"/>
  <c r="AL59" i="273" s="1"/>
  <c r="AJ15" i="275"/>
  <c r="AJ20" i="275" s="1"/>
  <c r="AK17" i="275" s="1"/>
  <c r="AJ57" i="273"/>
  <c r="AH65" i="265"/>
  <c r="AH67" i="265" s="1"/>
  <c r="AH80" i="265" s="1"/>
  <c r="AK2" i="265"/>
  <c r="AK75" i="273"/>
  <c r="AK76" i="273" s="1"/>
  <c r="AK96" i="273"/>
  <c r="AK97" i="273" s="1"/>
  <c r="AK2" i="273"/>
  <c r="AK39" i="273"/>
  <c r="AK41" i="273" s="1"/>
  <c r="AK42" i="273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2" i="281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L51" i="273"/>
  <c r="AL32" i="273"/>
  <c r="AL33" i="273" s="1"/>
  <c r="AL2" i="265"/>
  <c r="AL96" i="273"/>
  <c r="AL97" i="273" s="1"/>
  <c r="AL2" i="273"/>
  <c r="AJ4" i="273"/>
  <c r="AJ4" i="275"/>
  <c r="AJ4" i="265"/>
  <c r="AH3" i="273"/>
  <c r="AH50" i="273"/>
  <c r="AH3" i="275"/>
  <c r="AH3" i="265"/>
  <c r="AK4" i="277"/>
  <c r="AJ23" i="281" l="1"/>
  <c r="AJ29" i="281" s="1"/>
  <c r="AI25" i="265"/>
  <c r="AB82" i="265"/>
  <c r="AB83" i="265"/>
  <c r="AH25" i="265"/>
  <c r="AC75" i="265"/>
  <c r="AC81" i="265" s="1"/>
  <c r="AL37" i="281"/>
  <c r="AL22" i="281"/>
  <c r="AL13" i="281"/>
  <c r="AI3" i="281"/>
  <c r="AJ30" i="281"/>
  <c r="AJ36" i="281" s="1"/>
  <c r="AJ38" i="281" s="1"/>
  <c r="AJ9" i="265" s="1"/>
  <c r="AJ11" i="265" s="1"/>
  <c r="AJ14" i="265" s="1"/>
  <c r="AJ19" i="265" s="1"/>
  <c r="AJ22" i="265" s="1"/>
  <c r="AK4" i="281"/>
  <c r="AK119" i="273"/>
  <c r="AK120" i="273" s="1"/>
  <c r="AK12" i="281" s="1"/>
  <c r="AK37" i="281"/>
  <c r="AK22" i="281"/>
  <c r="AK13" i="281"/>
  <c r="AI65" i="265"/>
  <c r="AI67" i="265" s="1"/>
  <c r="AI80" i="265" s="1"/>
  <c r="AK52" i="273"/>
  <c r="AK113" i="273"/>
  <c r="AK114" i="273" s="1"/>
  <c r="AK21" i="281" s="1"/>
  <c r="AL75" i="273"/>
  <c r="AL76" i="273" s="1"/>
  <c r="AK108" i="273"/>
  <c r="AK109" i="273" s="1"/>
  <c r="AM19" i="273"/>
  <c r="AM20" i="273" s="1"/>
  <c r="AM24" i="273" s="1"/>
  <c r="AM25" i="273" s="1"/>
  <c r="AM2" i="281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9" i="273"/>
  <c r="AL120" i="273" s="1"/>
  <c r="AL12" i="281" s="1"/>
  <c r="AL108" i="273"/>
  <c r="AL38" i="273"/>
  <c r="AL118" i="273"/>
  <c r="AK60" i="273"/>
  <c r="AJ66" i="273"/>
  <c r="AJ67" i="273" s="1"/>
  <c r="AM75" i="273"/>
  <c r="AM2" i="275"/>
  <c r="AK23" i="281" l="1"/>
  <c r="AK29" i="281" s="1"/>
  <c r="AJ25" i="265"/>
  <c r="AD75" i="265"/>
  <c r="AD81" i="265" s="1"/>
  <c r="AC82" i="265"/>
  <c r="AC83" i="265"/>
  <c r="AL4" i="281"/>
  <c r="AK14" i="281"/>
  <c r="AK28" i="281" s="1"/>
  <c r="AK30" i="281" s="1"/>
  <c r="AK36" i="281" s="1"/>
  <c r="AK38" i="281" s="1"/>
  <c r="AK9" i="265" s="1"/>
  <c r="AK11" i="265" s="1"/>
  <c r="AK14" i="265" s="1"/>
  <c r="AK19" i="265" s="1"/>
  <c r="AK22" i="265" s="1"/>
  <c r="AJ3" i="281"/>
  <c r="AL14" i="281"/>
  <c r="AL28" i="281" s="1"/>
  <c r="AM90" i="273"/>
  <c r="AM91" i="273" s="1"/>
  <c r="AM100" i="273" s="1"/>
  <c r="AN101" i="273" s="1"/>
  <c r="AN59" i="273" s="1"/>
  <c r="AM32" i="273"/>
  <c r="AM33" i="273" s="1"/>
  <c r="AL114" i="273"/>
  <c r="AL21" i="281" s="1"/>
  <c r="AL23" i="281" s="1"/>
  <c r="AL29" i="281" s="1"/>
  <c r="AJ65" i="265"/>
  <c r="AJ67" i="265" s="1"/>
  <c r="AJ80" i="265" s="1"/>
  <c r="AM39" i="273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N2" i="281" s="1"/>
  <c r="AM2" i="273"/>
  <c r="AM2" i="265"/>
  <c r="AM96" i="273"/>
  <c r="AM97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M21" i="281" s="1"/>
  <c r="AL60" i="273"/>
  <c r="AK66" i="273"/>
  <c r="AK67" i="273" s="1"/>
  <c r="AM42" i="273"/>
  <c r="AN32" i="273"/>
  <c r="AN33" i="273" s="1"/>
  <c r="AK112" i="273"/>
  <c r="AL109" i="273"/>
  <c r="AL4" i="265"/>
  <c r="AL4" i="275"/>
  <c r="AL4" i="273"/>
  <c r="AN2" i="277"/>
  <c r="AE75" i="265" l="1"/>
  <c r="AE81" i="265" s="1"/>
  <c r="AK25" i="265"/>
  <c r="AD83" i="265"/>
  <c r="AD82" i="265"/>
  <c r="AM4" i="281"/>
  <c r="AK3" i="281"/>
  <c r="AM108" i="273"/>
  <c r="AM37" i="281"/>
  <c r="AM22" i="281"/>
  <c r="AM23" i="281" s="1"/>
  <c r="AM29" i="281" s="1"/>
  <c r="AM13" i="281"/>
  <c r="AL30" i="281"/>
  <c r="AL36" i="281" s="1"/>
  <c r="AL38" i="281" s="1"/>
  <c r="AL9" i="265" s="1"/>
  <c r="AL11" i="265" s="1"/>
  <c r="AL14" i="265" s="1"/>
  <c r="AL19" i="265" s="1"/>
  <c r="AL22" i="265" s="1"/>
  <c r="AM119" i="273"/>
  <c r="AM120" i="273" s="1"/>
  <c r="AM12" i="281" s="1"/>
  <c r="AN75" i="273"/>
  <c r="AK65" i="265"/>
  <c r="AK67" i="265" s="1"/>
  <c r="AK80" i="265" s="1"/>
  <c r="AN2" i="275"/>
  <c r="AN2" i="265"/>
  <c r="AN96" i="273"/>
  <c r="AN97" i="273" s="1"/>
  <c r="AN119" i="273" s="1"/>
  <c r="AN120" i="273" s="1"/>
  <c r="AN12" i="281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2" i="281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L66" i="273"/>
  <c r="AL67" i="273" s="1"/>
  <c r="AO75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F75" i="265" l="1"/>
  <c r="AF81" i="265" s="1"/>
  <c r="AL25" i="265"/>
  <c r="AE83" i="265"/>
  <c r="AE82" i="265"/>
  <c r="AL3" i="281"/>
  <c r="AM14" i="281"/>
  <c r="AM28" i="281" s="1"/>
  <c r="AM30" i="281" s="1"/>
  <c r="AM36" i="281" s="1"/>
  <c r="AM38" i="281" s="1"/>
  <c r="AM9" i="265" s="1"/>
  <c r="AM11" i="265" s="1"/>
  <c r="AM14" i="265" s="1"/>
  <c r="AM19" i="265" s="1"/>
  <c r="AM22" i="265" s="1"/>
  <c r="AN113" i="273"/>
  <c r="AN114" i="273" s="1"/>
  <c r="AN21" i="281" s="1"/>
  <c r="AN37" i="281"/>
  <c r="AN22" i="281"/>
  <c r="AN23" i="281" s="1"/>
  <c r="AN29" i="281" s="1"/>
  <c r="AN13" i="281"/>
  <c r="AN14" i="281" s="1"/>
  <c r="AN28" i="281" s="1"/>
  <c r="AL65" i="265"/>
  <c r="AL67" i="265" s="1"/>
  <c r="AL80" i="265" s="1"/>
  <c r="AO32" i="273"/>
  <c r="AO33" i="273" s="1"/>
  <c r="AO2" i="265"/>
  <c r="AN42" i="273"/>
  <c r="AN4" i="281" s="1"/>
  <c r="AO39" i="273"/>
  <c r="AO41" i="273" s="1"/>
  <c r="AO52" i="273" s="1"/>
  <c r="AO96" i="273"/>
  <c r="AO97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2" i="281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L3" i="275"/>
  <c r="AL50" i="273"/>
  <c r="AL3" i="273"/>
  <c r="AL3" i="265"/>
  <c r="AO76" i="273"/>
  <c r="AN109" i="273"/>
  <c r="AM112" i="273"/>
  <c r="AP51" i="273"/>
  <c r="AO38" i="273"/>
  <c r="AO118" i="273"/>
  <c r="AF83" i="265" l="1"/>
  <c r="AF82" i="265"/>
  <c r="AN30" i="281"/>
  <c r="AN36" i="281" s="1"/>
  <c r="AN38" i="281" s="1"/>
  <c r="AN9" i="265" s="1"/>
  <c r="AN11" i="265" s="1"/>
  <c r="AN14" i="265" s="1"/>
  <c r="AN19" i="265" s="1"/>
  <c r="AN22" i="265" s="1"/>
  <c r="AM25" i="265"/>
  <c r="AG75" i="265"/>
  <c r="AG81" i="265" s="1"/>
  <c r="AM3" i="281"/>
  <c r="AO4" i="281"/>
  <c r="AO119" i="273"/>
  <c r="AO120" i="273" s="1"/>
  <c r="AO12" i="281" s="1"/>
  <c r="AO37" i="281"/>
  <c r="AO22" i="281"/>
  <c r="AO13" i="281"/>
  <c r="AN4" i="265"/>
  <c r="AN4" i="275"/>
  <c r="AO113" i="273"/>
  <c r="AO114" i="273" s="1"/>
  <c r="AO21" i="281" s="1"/>
  <c r="AP32" i="273"/>
  <c r="AP33" i="273" s="1"/>
  <c r="AM65" i="265"/>
  <c r="AM67" i="265" s="1"/>
  <c r="AM80" i="265" s="1"/>
  <c r="AP2" i="273"/>
  <c r="AP39" i="273"/>
  <c r="AP41" i="273" s="1"/>
  <c r="AP52" i="273" s="1"/>
  <c r="AN4" i="273"/>
  <c r="AO108" i="273"/>
  <c r="AP96" i="273"/>
  <c r="AP97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2" i="281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O4" i="265"/>
  <c r="AO4" i="275"/>
  <c r="AO4" i="273"/>
  <c r="AP119" i="273"/>
  <c r="AP120" i="273" s="1"/>
  <c r="AP12" i="281" s="1"/>
  <c r="AO23" i="281" l="1"/>
  <c r="AO29" i="281" s="1"/>
  <c r="AH75" i="265"/>
  <c r="AH81" i="265" s="1"/>
  <c r="AG82" i="265"/>
  <c r="AG83" i="265"/>
  <c r="AN25" i="265"/>
  <c r="AQ90" i="273"/>
  <c r="AQ91" i="273" s="1"/>
  <c r="AQ100" i="273" s="1"/>
  <c r="AR101" i="273" s="1"/>
  <c r="AR59" i="273" s="1"/>
  <c r="AN3" i="281"/>
  <c r="AO14" i="281"/>
  <c r="AO28" i="281" s="1"/>
  <c r="AP4" i="281"/>
  <c r="AP113" i="273"/>
  <c r="AP37" i="281"/>
  <c r="AP22" i="281"/>
  <c r="AP13" i="281"/>
  <c r="AP14" i="281" s="1"/>
  <c r="AP28" i="281" s="1"/>
  <c r="AQ75" i="273"/>
  <c r="AQ76" i="273" s="1"/>
  <c r="AP114" i="273"/>
  <c r="AP21" i="281" s="1"/>
  <c r="AN65" i="265"/>
  <c r="AN67" i="265" s="1"/>
  <c r="AN80" i="265" s="1"/>
  <c r="AP108" i="273"/>
  <c r="AP109" i="273" s="1"/>
  <c r="AQ2" i="265"/>
  <c r="AQ96" i="273"/>
  <c r="AQ97" i="273" s="1"/>
  <c r="AR37" i="273"/>
  <c r="AR47" i="273"/>
  <c r="AR48" i="273" s="1"/>
  <c r="AR56" i="273"/>
  <c r="AR19" i="273"/>
  <c r="AR20" i="273" s="1"/>
  <c r="AR24" i="273" s="1"/>
  <c r="AR25" i="273" s="1"/>
  <c r="AR2" i="281" s="1"/>
  <c r="AQ2" i="275"/>
  <c r="AQ2" i="273"/>
  <c r="AQ32" i="273"/>
  <c r="AQ33" i="273" s="1"/>
  <c r="AQ118" i="273" s="1"/>
  <c r="AQ39" i="273"/>
  <c r="AQ41" i="273" s="1"/>
  <c r="AQ42" i="273" s="1"/>
  <c r="AS5" i="265"/>
  <c r="AS5" i="275"/>
  <c r="AT10" i="273"/>
  <c r="AS13" i="273"/>
  <c r="AS14" i="273" s="1"/>
  <c r="AS5" i="273"/>
  <c r="AP60" i="273"/>
  <c r="AO66" i="273"/>
  <c r="AO67" i="273" s="1"/>
  <c r="AQ108" i="273"/>
  <c r="AP4" i="275"/>
  <c r="AP4" i="273"/>
  <c r="AP4" i="265"/>
  <c r="AO112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O30" i="281" l="1"/>
  <c r="AO36" i="281" s="1"/>
  <c r="AO38" i="281" s="1"/>
  <c r="AO9" i="265" s="1"/>
  <c r="AO11" i="265" s="1"/>
  <c r="AO14" i="265" s="1"/>
  <c r="AO19" i="265" s="1"/>
  <c r="AO22" i="265" s="1"/>
  <c r="AO25" i="265" s="1"/>
  <c r="AH82" i="265"/>
  <c r="AH83" i="265"/>
  <c r="AI75" i="265"/>
  <c r="AI81" i="265" s="1"/>
  <c r="AQ4" i="281"/>
  <c r="AQ113" i="273"/>
  <c r="AQ114" i="273" s="1"/>
  <c r="AQ21" i="281" s="1"/>
  <c r="AQ37" i="281"/>
  <c r="AQ22" i="281"/>
  <c r="AQ23" i="281" s="1"/>
  <c r="AQ29" i="281" s="1"/>
  <c r="AQ13" i="281"/>
  <c r="AO3" i="281"/>
  <c r="AP23" i="281"/>
  <c r="AP29" i="281" s="1"/>
  <c r="AP30" i="281" s="1"/>
  <c r="AP36" i="281" s="1"/>
  <c r="AP38" i="281" s="1"/>
  <c r="AP9" i="265" s="1"/>
  <c r="AP11" i="265" s="1"/>
  <c r="AP14" i="265" s="1"/>
  <c r="AP19" i="265" s="1"/>
  <c r="AP22" i="265" s="1"/>
  <c r="AR32" i="273"/>
  <c r="AR33" i="273" s="1"/>
  <c r="AO65" i="265"/>
  <c r="AO67" i="265" s="1"/>
  <c r="AO80" i="265" s="1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39" i="273"/>
  <c r="AR41" i="273" s="1"/>
  <c r="AR42" i="273" s="1"/>
  <c r="AR96" i="273"/>
  <c r="AR97" i="273" s="1"/>
  <c r="AR2" i="273"/>
  <c r="AR2" i="265"/>
  <c r="AR51" i="273"/>
  <c r="AS47" i="273"/>
  <c r="AS48" i="273" s="1"/>
  <c r="AS19" i="273"/>
  <c r="AS20" i="273" s="1"/>
  <c r="AS24" i="273" s="1"/>
  <c r="AS25" i="273" s="1"/>
  <c r="AS2" i="281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R108" i="273"/>
  <c r="AR38" i="273"/>
  <c r="AR118" i="273"/>
  <c r="AR76" i="273"/>
  <c r="AR52" i="273"/>
  <c r="AQ20" i="275"/>
  <c r="AR17" i="275" s="1"/>
  <c r="AQ109" i="273"/>
  <c r="AP112" i="273"/>
  <c r="AS32" i="273"/>
  <c r="AS33" i="273" s="1"/>
  <c r="AS2" i="275"/>
  <c r="AO50" i="273"/>
  <c r="AO3" i="273"/>
  <c r="AO3" i="265"/>
  <c r="AO3" i="275"/>
  <c r="AP25" i="265" l="1"/>
  <c r="AJ75" i="265"/>
  <c r="AJ81" i="265" s="1"/>
  <c r="AI82" i="265"/>
  <c r="AI83" i="265"/>
  <c r="AP3" i="281"/>
  <c r="AR4" i="281"/>
  <c r="AQ14" i="281"/>
  <c r="AQ28" i="281" s="1"/>
  <c r="AQ30" i="281" s="1"/>
  <c r="AQ36" i="281" s="1"/>
  <c r="AQ38" i="281" s="1"/>
  <c r="AQ9" i="265" s="1"/>
  <c r="AQ11" i="265" s="1"/>
  <c r="AQ14" i="265" s="1"/>
  <c r="AQ19" i="265" s="1"/>
  <c r="AQ22" i="265" s="1"/>
  <c r="AR113" i="273"/>
  <c r="AR114" i="273" s="1"/>
  <c r="AR21" i="281" s="1"/>
  <c r="AR37" i="281"/>
  <c r="AR22" i="281"/>
  <c r="AR23" i="281" s="1"/>
  <c r="AR29" i="281" s="1"/>
  <c r="AR13" i="281"/>
  <c r="AS75" i="273"/>
  <c r="AS2" i="265"/>
  <c r="AP65" i="265"/>
  <c r="AP67" i="265" s="1"/>
  <c r="AP80" i="265" s="1"/>
  <c r="AR119" i="273"/>
  <c r="AR120" i="273" s="1"/>
  <c r="AR12" i="281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2" i="281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13" i="273"/>
  <c r="AS114" i="273" s="1"/>
  <c r="AS21" i="281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T75" i="273"/>
  <c r="AJ82" i="265" l="1"/>
  <c r="AJ83" i="265"/>
  <c r="AQ25" i="265"/>
  <c r="AK75" i="265"/>
  <c r="AK81" i="265" s="1"/>
  <c r="AQ3" i="281"/>
  <c r="AS37" i="281"/>
  <c r="AS22" i="281"/>
  <c r="AS23" i="281" s="1"/>
  <c r="AS29" i="281" s="1"/>
  <c r="AS13" i="281"/>
  <c r="AR14" i="281"/>
  <c r="AR28" i="281" s="1"/>
  <c r="AR30" i="281" s="1"/>
  <c r="AR36" i="281" s="1"/>
  <c r="AR38" i="281" s="1"/>
  <c r="AR9" i="265" s="1"/>
  <c r="AR11" i="265" s="1"/>
  <c r="AR14" i="265" s="1"/>
  <c r="AR19" i="265" s="1"/>
  <c r="AR22" i="265" s="1"/>
  <c r="AT32" i="273"/>
  <c r="AT33" i="273" s="1"/>
  <c r="AQ65" i="265"/>
  <c r="AQ67" i="265" s="1"/>
  <c r="AQ80" i="265" s="1"/>
  <c r="AS120" i="273"/>
  <c r="AS12" i="281" s="1"/>
  <c r="AT96" i="273"/>
  <c r="AT97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U24" i="273" s="1"/>
  <c r="AU25" i="273" s="1"/>
  <c r="AU2" i="281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T12" i="281" s="1"/>
  <c r="AR66" i="273"/>
  <c r="AR67" i="273" s="1"/>
  <c r="AU75" i="273"/>
  <c r="AS109" i="273"/>
  <c r="AR112" i="273"/>
  <c r="AT76" i="273"/>
  <c r="AT38" i="273"/>
  <c r="AT118" i="273"/>
  <c r="AQ3" i="265"/>
  <c r="AQ3" i="273"/>
  <c r="AQ50" i="273"/>
  <c r="AQ3" i="275"/>
  <c r="AS4" i="265"/>
  <c r="AS57" i="273"/>
  <c r="AS60" i="273" s="1"/>
  <c r="AS79" i="273"/>
  <c r="AT80" i="273" s="1"/>
  <c r="AT58" i="273" s="1"/>
  <c r="AS15" i="275"/>
  <c r="AS20" i="275" s="1"/>
  <c r="AT17" i="275" s="1"/>
  <c r="AR25" i="265" l="1"/>
  <c r="AK83" i="265"/>
  <c r="AK82" i="265"/>
  <c r="AL75" i="265"/>
  <c r="AL81" i="265" s="1"/>
  <c r="AS4" i="281"/>
  <c r="AT108" i="273"/>
  <c r="AT37" i="281"/>
  <c r="AT22" i="281"/>
  <c r="AT13" i="281"/>
  <c r="AT14" i="281" s="1"/>
  <c r="AT28" i="281" s="1"/>
  <c r="AU2" i="265"/>
  <c r="AR3" i="281"/>
  <c r="AS14" i="281"/>
  <c r="AS28" i="281" s="1"/>
  <c r="AS30" i="281" s="1"/>
  <c r="AS36" i="281" s="1"/>
  <c r="AS38" i="281" s="1"/>
  <c r="AS9" i="265" s="1"/>
  <c r="AS11" i="265" s="1"/>
  <c r="AS14" i="265" s="1"/>
  <c r="AS19" i="265" s="1"/>
  <c r="AS22" i="265" s="1"/>
  <c r="AU90" i="273"/>
  <c r="AU91" i="273" s="1"/>
  <c r="AU100" i="273" s="1"/>
  <c r="AV101" i="273" s="1"/>
  <c r="AV59" i="273" s="1"/>
  <c r="AS4" i="273"/>
  <c r="AS4" i="275"/>
  <c r="AU2" i="275"/>
  <c r="AU32" i="273"/>
  <c r="AU33" i="273" s="1"/>
  <c r="AU38" i="273" s="1"/>
  <c r="AT42" i="273"/>
  <c r="AT113" i="273"/>
  <c r="AT114" i="273" s="1"/>
  <c r="AT21" i="281" s="1"/>
  <c r="AR65" i="265"/>
  <c r="AR67" i="265" s="1"/>
  <c r="AR80" i="265" s="1"/>
  <c r="AU96" i="273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2" i="281" s="1"/>
  <c r="AU39" i="273"/>
  <c r="AU41" i="273" s="1"/>
  <c r="AU42" i="273" s="1"/>
  <c r="AW5" i="265"/>
  <c r="AX10" i="273"/>
  <c r="AW5" i="275"/>
  <c r="AW5" i="273"/>
  <c r="AW13" i="273"/>
  <c r="AW14" i="273" s="1"/>
  <c r="AU52" i="273"/>
  <c r="AU119" i="273"/>
  <c r="AU120" i="273" s="1"/>
  <c r="AU12" i="281" s="1"/>
  <c r="AU113" i="273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118" i="273"/>
  <c r="AT4" i="265"/>
  <c r="AT4" i="275"/>
  <c r="AT4" i="273"/>
  <c r="AT60" i="273"/>
  <c r="AS66" i="273"/>
  <c r="AS67" i="273" s="1"/>
  <c r="AR3" i="273"/>
  <c r="AR3" i="275"/>
  <c r="AR3" i="265"/>
  <c r="AR50" i="273"/>
  <c r="AU76" i="273"/>
  <c r="AS25" i="265" l="1"/>
  <c r="AL82" i="265"/>
  <c r="AL83" i="265"/>
  <c r="AM75" i="265"/>
  <c r="AM81" i="265" s="1"/>
  <c r="AS3" i="281"/>
  <c r="AU4" i="281"/>
  <c r="AU37" i="281"/>
  <c r="AU22" i="281"/>
  <c r="AU13" i="281"/>
  <c r="AU14" i="281" s="1"/>
  <c r="AU28" i="281" s="1"/>
  <c r="AT4" i="281"/>
  <c r="AT23" i="281"/>
  <c r="AT29" i="281" s="1"/>
  <c r="AT30" i="281" s="1"/>
  <c r="AT36" i="281" s="1"/>
  <c r="AT38" i="281" s="1"/>
  <c r="AT9" i="265" s="1"/>
  <c r="AT11" i="265" s="1"/>
  <c r="AT14" i="265" s="1"/>
  <c r="AT19" i="265" s="1"/>
  <c r="AT22" i="265" s="1"/>
  <c r="AU114" i="273"/>
  <c r="AU21" i="281" s="1"/>
  <c r="AV32" i="273"/>
  <c r="AV33" i="273" s="1"/>
  <c r="AS65" i="265"/>
  <c r="AS67" i="265" s="1"/>
  <c r="AS80" i="265" s="1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2" i="281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21" i="281" s="1"/>
  <c r="AV119" i="273"/>
  <c r="AV120" i="273" s="1"/>
  <c r="AV12" i="281" s="1"/>
  <c r="AV108" i="273"/>
  <c r="AV38" i="273"/>
  <c r="AV118" i="273"/>
  <c r="AS50" i="273"/>
  <c r="AS3" i="265"/>
  <c r="AS3" i="275"/>
  <c r="AS3" i="273"/>
  <c r="AV76" i="273"/>
  <c r="AV42" i="273"/>
  <c r="AT112" i="273"/>
  <c r="AU109" i="273"/>
  <c r="AW75" i="273"/>
  <c r="AW90" i="273"/>
  <c r="AW91" i="273" s="1"/>
  <c r="AW100" i="273" s="1"/>
  <c r="AX101" i="273" s="1"/>
  <c r="AX59" i="273" s="1"/>
  <c r="AW2" i="273"/>
  <c r="AW2" i="275"/>
  <c r="AT25" i="265" l="1"/>
  <c r="AM83" i="265"/>
  <c r="AM82" i="265"/>
  <c r="AN75" i="265"/>
  <c r="AN81" i="265" s="1"/>
  <c r="AV4" i="281"/>
  <c r="AT3" i="281"/>
  <c r="AV37" i="281"/>
  <c r="AV22" i="281"/>
  <c r="AV23" i="281" s="1"/>
  <c r="AV29" i="281" s="1"/>
  <c r="AV13" i="281"/>
  <c r="AV14" i="281" s="1"/>
  <c r="AV28" i="281" s="1"/>
  <c r="AU23" i="281"/>
  <c r="AU29" i="281" s="1"/>
  <c r="AU30" i="281" s="1"/>
  <c r="AU36" i="281" s="1"/>
  <c r="AU38" i="281" s="1"/>
  <c r="AU9" i="265" s="1"/>
  <c r="AU11" i="265" s="1"/>
  <c r="AU14" i="265" s="1"/>
  <c r="AU19" i="265" s="1"/>
  <c r="AU22" i="265" s="1"/>
  <c r="AW32" i="273"/>
  <c r="AW33" i="273" s="1"/>
  <c r="AT65" i="265"/>
  <c r="AT67" i="265" s="1"/>
  <c r="AT80" i="265" s="1"/>
  <c r="AW39" i="273"/>
  <c r="AW41" i="273" s="1"/>
  <c r="AW52" i="273" s="1"/>
  <c r="AW51" i="273"/>
  <c r="AW96" i="273"/>
  <c r="AW97" i="273" s="1"/>
  <c r="AW2" i="265"/>
  <c r="AX37" i="273"/>
  <c r="AX47" i="273"/>
  <c r="AX48" i="273" s="1"/>
  <c r="AX51" i="273" s="1"/>
  <c r="AX19" i="273"/>
  <c r="AX20" i="273" s="1"/>
  <c r="AX24" i="273" s="1"/>
  <c r="AX25" i="273" s="1"/>
  <c r="AX2" i="281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W21" i="281" s="1"/>
  <c r="AU112" i="273"/>
  <c r="AV109" i="273"/>
  <c r="AV4" i="275"/>
  <c r="AV4" i="265"/>
  <c r="AV4" i="273"/>
  <c r="AW42" i="273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U25" i="265" l="1"/>
  <c r="AO75" i="265"/>
  <c r="AO81" i="265" s="1"/>
  <c r="AN82" i="265"/>
  <c r="AN83" i="265"/>
  <c r="AW4" i="281"/>
  <c r="AW108" i="273"/>
  <c r="AW37" i="281"/>
  <c r="AW22" i="281"/>
  <c r="AW23" i="281" s="1"/>
  <c r="AW29" i="281" s="1"/>
  <c r="AW13" i="281"/>
  <c r="AV30" i="281"/>
  <c r="AV36" i="281" s="1"/>
  <c r="AV38" i="281" s="1"/>
  <c r="AV9" i="265" s="1"/>
  <c r="AV11" i="265" s="1"/>
  <c r="AV14" i="265" s="1"/>
  <c r="AV19" i="265" s="1"/>
  <c r="AV22" i="265" s="1"/>
  <c r="AU3" i="281"/>
  <c r="AW119" i="273"/>
  <c r="AW120" i="273" s="1"/>
  <c r="AW12" i="281" s="1"/>
  <c r="AX75" i="273"/>
  <c r="AU65" i="265"/>
  <c r="AU67" i="265" s="1"/>
  <c r="AU80" i="265" s="1"/>
  <c r="AX2" i="275"/>
  <c r="AX96" i="273"/>
  <c r="AX97" i="273" s="1"/>
  <c r="AX2" i="265"/>
  <c r="AX39" i="273"/>
  <c r="AX41" i="273" s="1"/>
  <c r="AY19" i="273"/>
  <c r="AY20" i="273" s="1"/>
  <c r="AY24" i="273" s="1"/>
  <c r="AY25" i="273" s="1"/>
  <c r="AY2" i="281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X113" i="273"/>
  <c r="AX114" i="273" s="1"/>
  <c r="AX21" i="281" s="1"/>
  <c r="AX119" i="273"/>
  <c r="AX120" i="273" s="1"/>
  <c r="AX12" i="281" s="1"/>
  <c r="AX108" i="273"/>
  <c r="AX38" i="273"/>
  <c r="AX118" i="273"/>
  <c r="AX42" i="273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O82" i="265" l="1"/>
  <c r="AO83" i="265"/>
  <c r="AV25" i="265"/>
  <c r="AP75" i="265"/>
  <c r="AP81" i="265" s="1"/>
  <c r="AX4" i="281"/>
  <c r="AV3" i="281"/>
  <c r="AX37" i="281"/>
  <c r="AX22" i="281"/>
  <c r="AX23" i="281" s="1"/>
  <c r="AX29" i="281" s="1"/>
  <c r="AX13" i="281"/>
  <c r="AX14" i="281" s="1"/>
  <c r="AX28" i="281" s="1"/>
  <c r="AW14" i="281"/>
  <c r="AW28" i="281" s="1"/>
  <c r="AW30" i="281" s="1"/>
  <c r="AW36" i="281" s="1"/>
  <c r="AW38" i="281" s="1"/>
  <c r="AW9" i="265" s="1"/>
  <c r="AW11" i="265" s="1"/>
  <c r="AW14" i="265" s="1"/>
  <c r="AW19" i="265" s="1"/>
  <c r="AW22" i="265" s="1"/>
  <c r="AY90" i="273"/>
  <c r="AY91" i="273" s="1"/>
  <c r="AY100" i="273" s="1"/>
  <c r="AZ101" i="273" s="1"/>
  <c r="AZ59" i="273" s="1"/>
  <c r="AV65" i="265"/>
  <c r="AV67" i="265" s="1"/>
  <c r="AV80" i="265" s="1"/>
  <c r="AY75" i="273"/>
  <c r="AY2" i="273"/>
  <c r="AY32" i="273"/>
  <c r="AY33" i="273" s="1"/>
  <c r="AY38" i="273" s="1"/>
  <c r="AY39" i="273"/>
  <c r="AY41" i="273" s="1"/>
  <c r="AY42" i="273" s="1"/>
  <c r="BA5" i="265"/>
  <c r="BA5" i="275"/>
  <c r="BB10" i="273"/>
  <c r="BA5" i="273"/>
  <c r="BA13" i="273"/>
  <c r="BA14" i="273" s="1"/>
  <c r="AY96" i="273"/>
  <c r="AY97" i="273" s="1"/>
  <c r="AY2" i="265"/>
  <c r="AZ19" i="273"/>
  <c r="AZ20" i="273" s="1"/>
  <c r="AZ24" i="273" s="1"/>
  <c r="AZ25" i="273" s="1"/>
  <c r="AZ2" i="281" s="1"/>
  <c r="AZ56" i="273"/>
  <c r="AZ47" i="273"/>
  <c r="AZ48" i="273" s="1"/>
  <c r="AZ51" i="273" s="1"/>
  <c r="AZ37" i="273"/>
  <c r="AW66" i="273"/>
  <c r="AW67" i="273" s="1"/>
  <c r="AX109" i="273"/>
  <c r="AW112" i="273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W25" i="265" l="1"/>
  <c r="AP82" i="265"/>
  <c r="AP83" i="265"/>
  <c r="AX30" i="281"/>
  <c r="AX36" i="281" s="1"/>
  <c r="AX38" i="281" s="1"/>
  <c r="AX9" i="265" s="1"/>
  <c r="AX11" i="265" s="1"/>
  <c r="AX14" i="265" s="1"/>
  <c r="AX19" i="265" s="1"/>
  <c r="AX22" i="265" s="1"/>
  <c r="AQ75" i="265"/>
  <c r="AQ81" i="265" s="1"/>
  <c r="AW3" i="281"/>
  <c r="AY108" i="273"/>
  <c r="AY37" i="281"/>
  <c r="AY22" i="281"/>
  <c r="AY13" i="281"/>
  <c r="AY4" i="281"/>
  <c r="AZ32" i="273"/>
  <c r="AZ33" i="273" s="1"/>
  <c r="AZ90" i="273"/>
  <c r="AZ91" i="273" s="1"/>
  <c r="AZ100" i="273" s="1"/>
  <c r="BA101" i="273" s="1"/>
  <c r="BA59" i="273" s="1"/>
  <c r="AW65" i="265"/>
  <c r="AW67" i="265" s="1"/>
  <c r="AW80" i="265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2" i="281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57" i="273"/>
  <c r="AZ15" i="275"/>
  <c r="AZ42" i="273"/>
  <c r="AZ52" i="273"/>
  <c r="AY4" i="275"/>
  <c r="AY4" i="265"/>
  <c r="AY4" i="273"/>
  <c r="AZ38" i="273"/>
  <c r="AZ118" i="273"/>
  <c r="AX112" i="273"/>
  <c r="AY109" i="273"/>
  <c r="AZ113" i="273"/>
  <c r="AZ114" i="273" s="1"/>
  <c r="AZ21" i="281" s="1"/>
  <c r="AZ119" i="273"/>
  <c r="AZ108" i="273"/>
  <c r="AW3" i="265"/>
  <c r="AW50" i="273"/>
  <c r="AW3" i="273"/>
  <c r="AW3" i="275"/>
  <c r="AQ83" i="265" l="1"/>
  <c r="AQ82" i="265"/>
  <c r="AR75" i="265"/>
  <c r="AR81" i="265" s="1"/>
  <c r="AX25" i="265"/>
  <c r="AX3" i="281"/>
  <c r="AZ37" i="281"/>
  <c r="AZ22" i="281"/>
  <c r="AZ23" i="281" s="1"/>
  <c r="AZ29" i="281" s="1"/>
  <c r="AZ13" i="281"/>
  <c r="AY14" i="281"/>
  <c r="AY28" i="281" s="1"/>
  <c r="AZ4" i="281"/>
  <c r="AY23" i="281"/>
  <c r="AY29" i="281" s="1"/>
  <c r="AX65" i="265"/>
  <c r="AX67" i="265" s="1"/>
  <c r="AX80" i="265" s="1"/>
  <c r="BA32" i="273"/>
  <c r="BA33" i="273" s="1"/>
  <c r="AZ79" i="273"/>
  <c r="BA80" i="273" s="1"/>
  <c r="BA58" i="273" s="1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AZ12" i="281" s="1"/>
  <c r="BB19" i="273"/>
  <c r="BB20" i="273" s="1"/>
  <c r="BB24" i="273" s="1"/>
  <c r="BB25" i="273" s="1"/>
  <c r="BB2" i="281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BA76" i="273"/>
  <c r="BA119" i="273"/>
  <c r="BA120" i="273" s="1"/>
  <c r="BA12" i="281" s="1"/>
  <c r="BA113" i="273"/>
  <c r="BA114" i="273" s="1"/>
  <c r="BA21" i="281" s="1"/>
  <c r="BA108" i="273"/>
  <c r="BA38" i="273"/>
  <c r="BA118" i="273"/>
  <c r="BB75" i="273"/>
  <c r="BB2" i="273"/>
  <c r="AX3" i="273"/>
  <c r="AX3" i="275"/>
  <c r="AX3" i="265"/>
  <c r="AX50" i="273"/>
  <c r="AR82" i="265" l="1"/>
  <c r="AR83" i="265"/>
  <c r="AS75" i="265"/>
  <c r="AS81" i="265" s="1"/>
  <c r="AY3" i="281"/>
  <c r="AY30" i="281"/>
  <c r="AY36" i="281" s="1"/>
  <c r="AY38" i="281" s="1"/>
  <c r="AY9" i="265" s="1"/>
  <c r="AY11" i="265" s="1"/>
  <c r="AY14" i="265" s="1"/>
  <c r="AY19" i="265" s="1"/>
  <c r="AY22" i="265" s="1"/>
  <c r="BA37" i="281"/>
  <c r="BA22" i="281"/>
  <c r="BA23" i="281" s="1"/>
  <c r="BA29" i="281" s="1"/>
  <c r="BA13" i="281"/>
  <c r="BA14" i="281" s="1"/>
  <c r="BA28" i="281" s="1"/>
  <c r="AZ14" i="281"/>
  <c r="AZ28" i="281" s="1"/>
  <c r="AZ30" i="281" s="1"/>
  <c r="AZ36" i="281" s="1"/>
  <c r="AZ38" i="281" s="1"/>
  <c r="AZ9" i="265" s="1"/>
  <c r="AZ11" i="265" s="1"/>
  <c r="AZ14" i="265" s="1"/>
  <c r="AZ19" i="265" s="1"/>
  <c r="AZ22" i="265" s="1"/>
  <c r="BB32" i="273"/>
  <c r="BB33" i="273" s="1"/>
  <c r="AY65" i="265"/>
  <c r="AY67" i="265" s="1"/>
  <c r="AY80" i="265" s="1"/>
  <c r="BA42" i="273"/>
  <c r="BB96" i="273"/>
  <c r="BB97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2" i="281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B12" i="281" s="1"/>
  <c r="BA60" i="273"/>
  <c r="AZ66" i="273"/>
  <c r="AZ67" i="273" s="1"/>
  <c r="BB76" i="273"/>
  <c r="AT75" i="265" l="1"/>
  <c r="AT81" i="265" s="1"/>
  <c r="AZ25" i="265"/>
  <c r="AY25" i="265"/>
  <c r="AS83" i="265"/>
  <c r="AS82" i="265"/>
  <c r="AZ3" i="281"/>
  <c r="BA4" i="281"/>
  <c r="BA30" i="281"/>
  <c r="BA36" i="281" s="1"/>
  <c r="BA38" i="281" s="1"/>
  <c r="BA9" i="265" s="1"/>
  <c r="BA11" i="265" s="1"/>
  <c r="BA14" i="265" s="1"/>
  <c r="BA19" i="265" s="1"/>
  <c r="BA22" i="265" s="1"/>
  <c r="BB113" i="273"/>
  <c r="BB114" i="273" s="1"/>
  <c r="BB21" i="281" s="1"/>
  <c r="BB37" i="281"/>
  <c r="BB22" i="281"/>
  <c r="BB23" i="281" s="1"/>
  <c r="BB29" i="281" s="1"/>
  <c r="BB13" i="281"/>
  <c r="BB14" i="281" s="1"/>
  <c r="BB28" i="281" s="1"/>
  <c r="BC75" i="273"/>
  <c r="BC76" i="273" s="1"/>
  <c r="AZ65" i="265"/>
  <c r="AZ67" i="265" s="1"/>
  <c r="AZ80" i="265" s="1"/>
  <c r="BB42" i="273"/>
  <c r="BB4" i="281" s="1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2" i="281" s="1"/>
  <c r="BD56" i="273"/>
  <c r="BD37" i="273"/>
  <c r="BD47" i="273"/>
  <c r="BD48" i="273" s="1"/>
  <c r="BD51" i="273" s="1"/>
  <c r="BC96" i="273"/>
  <c r="BC97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C57" i="273"/>
  <c r="BC79" i="273"/>
  <c r="BD80" i="273" s="1"/>
  <c r="BD58" i="273" s="1"/>
  <c r="BC15" i="275"/>
  <c r="BA112" i="273"/>
  <c r="BB109" i="273"/>
  <c r="BC108" i="273"/>
  <c r="AU75" i="265" l="1"/>
  <c r="AU81" i="265" s="1"/>
  <c r="BB30" i="281"/>
  <c r="BB36" i="281" s="1"/>
  <c r="BB38" i="281" s="1"/>
  <c r="BB9" i="265" s="1"/>
  <c r="BB11" i="265" s="1"/>
  <c r="BB14" i="265" s="1"/>
  <c r="BB19" i="265" s="1"/>
  <c r="BB22" i="265" s="1"/>
  <c r="BA25" i="265"/>
  <c r="AT83" i="265"/>
  <c r="AT82" i="265"/>
  <c r="BD96" i="273"/>
  <c r="BD97" i="273" s="1"/>
  <c r="BD75" i="273"/>
  <c r="BD76" i="273" s="1"/>
  <c r="BC113" i="273"/>
  <c r="BC114" i="273" s="1"/>
  <c r="BC21" i="281" s="1"/>
  <c r="BC37" i="281"/>
  <c r="BC22" i="281"/>
  <c r="BC23" i="281" s="1"/>
  <c r="BC29" i="281" s="1"/>
  <c r="BC13" i="281"/>
  <c r="BC118" i="273"/>
  <c r="BC119" i="273"/>
  <c r="BC120" i="273" s="1"/>
  <c r="BC12" i="281" s="1"/>
  <c r="BA3" i="281"/>
  <c r="BD90" i="273"/>
  <c r="BD91" i="273" s="1"/>
  <c r="BD100" i="273" s="1"/>
  <c r="BE101" i="273" s="1"/>
  <c r="BE59" i="273" s="1"/>
  <c r="BC4" i="281"/>
  <c r="BD32" i="273"/>
  <c r="BD33" i="273" s="1"/>
  <c r="BB4" i="273"/>
  <c r="BA65" i="265"/>
  <c r="BA67" i="265" s="1"/>
  <c r="BA80" i="265" s="1"/>
  <c r="BD39" i="273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2" i="281" s="1"/>
  <c r="BE56" i="273"/>
  <c r="BE37" i="273"/>
  <c r="BE47" i="273"/>
  <c r="BE48" i="273" s="1"/>
  <c r="BE51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D57" i="273"/>
  <c r="BD79" i="273"/>
  <c r="BE80" i="273" s="1"/>
  <c r="BE58" i="273" s="1"/>
  <c r="BD15" i="275"/>
  <c r="BD42" i="273"/>
  <c r="BB112" i="273"/>
  <c r="BC109" i="273"/>
  <c r="BC60" i="273"/>
  <c r="BB66" i="273"/>
  <c r="BB67" i="273" s="1"/>
  <c r="BD113" i="273"/>
  <c r="BD114" i="273" s="1"/>
  <c r="BD21" i="281" s="1"/>
  <c r="BD119" i="273"/>
  <c r="BD120" i="273" s="1"/>
  <c r="BD12" i="281" s="1"/>
  <c r="BD108" i="273"/>
  <c r="AU82" i="265" l="1"/>
  <c r="AU83" i="265"/>
  <c r="BB25" i="265"/>
  <c r="AV75" i="265"/>
  <c r="AV81" i="265" s="1"/>
  <c r="BB3" i="281"/>
  <c r="BD4" i="281"/>
  <c r="BC14" i="281"/>
  <c r="BC28" i="281" s="1"/>
  <c r="BC30" i="281" s="1"/>
  <c r="BC36" i="281" s="1"/>
  <c r="BC38" i="281" s="1"/>
  <c r="BC9" i="265" s="1"/>
  <c r="BC11" i="265" s="1"/>
  <c r="BC14" i="265" s="1"/>
  <c r="BC19" i="265" s="1"/>
  <c r="BC22" i="265" s="1"/>
  <c r="BD37" i="281"/>
  <c r="BD22" i="281"/>
  <c r="BD23" i="281" s="1"/>
  <c r="BD29" i="281" s="1"/>
  <c r="BD13" i="281"/>
  <c r="BD14" i="281" s="1"/>
  <c r="BD28" i="281" s="1"/>
  <c r="BE32" i="273"/>
  <c r="BE33" i="273" s="1"/>
  <c r="BB65" i="265"/>
  <c r="BB67" i="265" s="1"/>
  <c r="BB80" i="265" s="1"/>
  <c r="BE96" i="273"/>
  <c r="BE97" i="273" s="1"/>
  <c r="BE2" i="273"/>
  <c r="BE75" i="273"/>
  <c r="BE76" i="273" s="1"/>
  <c r="BE15" i="275" s="1"/>
  <c r="BD20" i="275"/>
  <c r="BE17" i="275" s="1"/>
  <c r="BE39" i="273"/>
  <c r="BE41" i="273" s="1"/>
  <c r="BE42" i="273" s="1"/>
  <c r="BE2" i="275"/>
  <c r="BE2" i="265"/>
  <c r="BF19" i="273"/>
  <c r="BF20" i="273" s="1"/>
  <c r="BF24" i="273" s="1"/>
  <c r="BF25" i="273" s="1"/>
  <c r="BF2" i="281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F75" i="273"/>
  <c r="BD60" i="273"/>
  <c r="BC66" i="273"/>
  <c r="BC67" i="273" s="1"/>
  <c r="BC112" i="273"/>
  <c r="BD109" i="273"/>
  <c r="BE119" i="273"/>
  <c r="BE120" i="273" s="1"/>
  <c r="BE12" i="281" s="1"/>
  <c r="BE113" i="273"/>
  <c r="BE114" i="273" s="1"/>
  <c r="BE21" i="281" s="1"/>
  <c r="BE108" i="273"/>
  <c r="BB50" i="273"/>
  <c r="BB3" i="273"/>
  <c r="BB3" i="275"/>
  <c r="BB3" i="265"/>
  <c r="BD4" i="275"/>
  <c r="BD4" i="265"/>
  <c r="BD4" i="273"/>
  <c r="BE38" i="273"/>
  <c r="BE118" i="273"/>
  <c r="AW75" i="265" l="1"/>
  <c r="AW81" i="265" s="1"/>
  <c r="BC25" i="265"/>
  <c r="AV82" i="265"/>
  <c r="AV83" i="265"/>
  <c r="BC3" i="281"/>
  <c r="BE52" i="273"/>
  <c r="BD30" i="281"/>
  <c r="BD36" i="281" s="1"/>
  <c r="BD38" i="281" s="1"/>
  <c r="BD9" i="265" s="1"/>
  <c r="BD11" i="265" s="1"/>
  <c r="BD14" i="265" s="1"/>
  <c r="BD19" i="265" s="1"/>
  <c r="BD22" i="265" s="1"/>
  <c r="BE4" i="281"/>
  <c r="BE37" i="281"/>
  <c r="BE22" i="281"/>
  <c r="BE23" i="281" s="1"/>
  <c r="BE29" i="281" s="1"/>
  <c r="BE13" i="281"/>
  <c r="BE14" i="281" s="1"/>
  <c r="BE28" i="281" s="1"/>
  <c r="BF32" i="273"/>
  <c r="BF33" i="273" s="1"/>
  <c r="BE79" i="273"/>
  <c r="BF80" i="273" s="1"/>
  <c r="BF58" i="273" s="1"/>
  <c r="BC65" i="265"/>
  <c r="BC67" i="265" s="1"/>
  <c r="BC80" i="265" s="1"/>
  <c r="BF96" i="273"/>
  <c r="BF97" i="273" s="1"/>
  <c r="BF119" i="273" s="1"/>
  <c r="BF120" i="273" s="1"/>
  <c r="BF12" i="281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2" i="281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E4" i="275"/>
  <c r="BE4" i="265"/>
  <c r="BE4" i="273"/>
  <c r="BG2" i="273"/>
  <c r="BE60" i="273"/>
  <c r="BD66" i="273"/>
  <c r="BD67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D25" i="265" l="1"/>
  <c r="AW83" i="265"/>
  <c r="AW82" i="265"/>
  <c r="BE30" i="281"/>
  <c r="BE36" i="281" s="1"/>
  <c r="BE38" i="281" s="1"/>
  <c r="BE9" i="265" s="1"/>
  <c r="BE11" i="265" s="1"/>
  <c r="BE14" i="265" s="1"/>
  <c r="BE19" i="265" s="1"/>
  <c r="BE22" i="265" s="1"/>
  <c r="AX75" i="265"/>
  <c r="AX81" i="265" s="1"/>
  <c r="BD3" i="281"/>
  <c r="BF4" i="281"/>
  <c r="BF113" i="273"/>
  <c r="BF114" i="273" s="1"/>
  <c r="BF21" i="281" s="1"/>
  <c r="BF37" i="281"/>
  <c r="BF22" i="281"/>
  <c r="BF23" i="281" s="1"/>
  <c r="BF29" i="281" s="1"/>
  <c r="BF13" i="281"/>
  <c r="BF14" i="281" s="1"/>
  <c r="BF28" i="281" s="1"/>
  <c r="BG75" i="273"/>
  <c r="BG76" i="273" s="1"/>
  <c r="BD65" i="265"/>
  <c r="BD67" i="265" s="1"/>
  <c r="BD80" i="265" s="1"/>
  <c r="BF108" i="273"/>
  <c r="BF109" i="273" s="1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2" i="281" s="1"/>
  <c r="BH56" i="273"/>
  <c r="BH37" i="273"/>
  <c r="BH47" i="273"/>
  <c r="BH48" i="273" s="1"/>
  <c r="BH51" i="273" s="1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19" i="273"/>
  <c r="BG120" i="273" s="1"/>
  <c r="BG12" i="281" s="1"/>
  <c r="BG113" i="273"/>
  <c r="BG114" i="273" s="1"/>
  <c r="BG21" i="281" s="1"/>
  <c r="BG108" i="273"/>
  <c r="BF4" i="275"/>
  <c r="BF4" i="273"/>
  <c r="BF4" i="265"/>
  <c r="AX83" i="265" l="1"/>
  <c r="AX82" i="265"/>
  <c r="AY75" i="265"/>
  <c r="AY81" i="265" s="1"/>
  <c r="BE25" i="265"/>
  <c r="BE3" i="281"/>
  <c r="BG37" i="281"/>
  <c r="BG22" i="281"/>
  <c r="BG23" i="281" s="1"/>
  <c r="BG29" i="281" s="1"/>
  <c r="BG13" i="281"/>
  <c r="BG14" i="281" s="1"/>
  <c r="BG28" i="281" s="1"/>
  <c r="BF30" i="281"/>
  <c r="BF36" i="281" s="1"/>
  <c r="BF38" i="281" s="1"/>
  <c r="BF9" i="265" s="1"/>
  <c r="BF11" i="265" s="1"/>
  <c r="BF14" i="265" s="1"/>
  <c r="BF19" i="265" s="1"/>
  <c r="BF22" i="265" s="1"/>
  <c r="BG4" i="281"/>
  <c r="BH32" i="273"/>
  <c r="BH33" i="273" s="1"/>
  <c r="BH38" i="273" s="1"/>
  <c r="BE65" i="265"/>
  <c r="BE67" i="265" s="1"/>
  <c r="BE80" i="265" s="1"/>
  <c r="BG118" i="273"/>
  <c r="BI37" i="273"/>
  <c r="BI19" i="273"/>
  <c r="BI20" i="273" s="1"/>
  <c r="BI24" i="273" s="1"/>
  <c r="BI25" i="273" s="1"/>
  <c r="BI90" i="273" s="1"/>
  <c r="BI91" i="273" s="1"/>
  <c r="BI100" i="273" s="1"/>
  <c r="BJ101" i="273" s="1"/>
  <c r="BJ59" i="273" s="1"/>
  <c r="BI56" i="273"/>
  <c r="BI47" i="273"/>
  <c r="BI48" i="273" s="1"/>
  <c r="BI51" i="273" s="1"/>
  <c r="BH2" i="275"/>
  <c r="BH96" i="273"/>
  <c r="BH97" i="273" s="1"/>
  <c r="BH2" i="265"/>
  <c r="BJ13" i="273"/>
  <c r="BJ14" i="273" s="1"/>
  <c r="BK10" i="273"/>
  <c r="BJ5" i="273"/>
  <c r="BJ5" i="265"/>
  <c r="BJ5" i="275"/>
  <c r="BG60" i="273"/>
  <c r="BF66" i="273"/>
  <c r="BF67" i="273" s="1"/>
  <c r="BH10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52" i="273"/>
  <c r="BG20" i="275"/>
  <c r="BH17" i="275" s="1"/>
  <c r="BF112" i="273"/>
  <c r="BG109" i="273"/>
  <c r="BF25" i="265" l="1"/>
  <c r="AY82" i="265"/>
  <c r="AY83" i="265"/>
  <c r="BG30" i="281"/>
  <c r="BG36" i="281" s="1"/>
  <c r="BG38" i="281" s="1"/>
  <c r="BG9" i="265" s="1"/>
  <c r="BG11" i="265" s="1"/>
  <c r="BG14" i="265" s="1"/>
  <c r="BG19" i="265" s="1"/>
  <c r="BG22" i="265" s="1"/>
  <c r="AZ75" i="265"/>
  <c r="AZ81" i="265" s="1"/>
  <c r="BF3" i="281"/>
  <c r="BH119" i="273"/>
  <c r="BH120" i="273" s="1"/>
  <c r="BH12" i="281" s="1"/>
  <c r="BH37" i="281"/>
  <c r="BH22" i="281"/>
  <c r="BH13" i="281"/>
  <c r="BH4" i="281"/>
  <c r="BI75" i="273"/>
  <c r="BI76" i="273" s="1"/>
  <c r="BI2" i="281"/>
  <c r="BH113" i="273"/>
  <c r="BH114" i="273" s="1"/>
  <c r="BH21" i="281" s="1"/>
  <c r="BI2" i="275"/>
  <c r="BI32" i="273"/>
  <c r="BI33" i="273" s="1"/>
  <c r="BF65" i="265"/>
  <c r="BF67" i="265" s="1"/>
  <c r="BF80" i="265" s="1"/>
  <c r="BI39" i="273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2" i="281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2" i="281" s="1"/>
  <c r="BI113" i="273"/>
  <c r="BI114" i="273" s="1"/>
  <c r="BI21" i="281" s="1"/>
  <c r="BI38" i="273"/>
  <c r="BJ39" i="273" s="1"/>
  <c r="BJ41" i="273" s="1"/>
  <c r="BI118" i="273"/>
  <c r="BF3" i="265"/>
  <c r="BF3" i="273"/>
  <c r="BF3" i="275"/>
  <c r="BF50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BH14" i="281" l="1"/>
  <c r="BH28" i="281" s="1"/>
  <c r="AZ83" i="265"/>
  <c r="AZ82" i="265"/>
  <c r="BA75" i="265"/>
  <c r="BA81" i="265" s="1"/>
  <c r="BG25" i="265"/>
  <c r="BI37" i="281"/>
  <c r="BI22" i="281"/>
  <c r="BI23" i="281" s="1"/>
  <c r="BI29" i="281" s="1"/>
  <c r="BI13" i="281"/>
  <c r="BI14" i="281" s="1"/>
  <c r="BI28" i="281" s="1"/>
  <c r="BG3" i="281"/>
  <c r="BI108" i="273"/>
  <c r="BH23" i="281"/>
  <c r="BH29" i="281" s="1"/>
  <c r="BH30" i="281" s="1"/>
  <c r="BH36" i="281" s="1"/>
  <c r="BH38" i="281" s="1"/>
  <c r="BH9" i="265" s="1"/>
  <c r="BH11" i="265" s="1"/>
  <c r="BH14" i="265" s="1"/>
  <c r="BH19" i="265" s="1"/>
  <c r="BH22" i="265" s="1"/>
  <c r="BJ32" i="273"/>
  <c r="BJ33" i="273" s="1"/>
  <c r="BG65" i="265"/>
  <c r="BG67" i="265" s="1"/>
  <c r="BG80" i="265" s="1"/>
  <c r="BI42" i="273"/>
  <c r="BI4" i="273" s="1"/>
  <c r="BI20" i="275"/>
  <c r="BJ17" i="275" s="1"/>
  <c r="BJ96" i="273"/>
  <c r="BJ97" i="273" s="1"/>
  <c r="BJ119" i="273" s="1"/>
  <c r="BJ120" i="273" s="1"/>
  <c r="BJ12" i="281" s="1"/>
  <c r="BJ75" i="273"/>
  <c r="BJ76" i="273" s="1"/>
  <c r="BK19" i="273"/>
  <c r="BK20" i="273" s="1"/>
  <c r="BK24" i="273" s="1"/>
  <c r="BK25" i="273" s="1"/>
  <c r="BK2" i="281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5"/>
  <c r="BJ42" i="273"/>
  <c r="BJ52" i="273"/>
  <c r="BK90" i="273"/>
  <c r="BK91" i="273" s="1"/>
  <c r="BK100" i="273" s="1"/>
  <c r="BL101" i="273" s="1"/>
  <c r="BL59" i="273" s="1"/>
  <c r="BH112" i="273"/>
  <c r="BI109" i="273"/>
  <c r="BI60" i="273"/>
  <c r="BH66" i="273"/>
  <c r="BH67" i="273" s="1"/>
  <c r="BJ38" i="273"/>
  <c r="BJ118" i="273"/>
  <c r="BB75" i="265" l="1"/>
  <c r="BB81" i="265" s="1"/>
  <c r="BH25" i="265"/>
  <c r="BI30" i="281"/>
  <c r="BI36" i="281" s="1"/>
  <c r="BI38" i="281" s="1"/>
  <c r="BI9" i="265" s="1"/>
  <c r="BI11" i="265" s="1"/>
  <c r="BI14" i="265" s="1"/>
  <c r="BI19" i="265" s="1"/>
  <c r="BI22" i="265" s="1"/>
  <c r="BA83" i="265"/>
  <c r="BA82" i="265"/>
  <c r="BH3" i="281"/>
  <c r="BK2" i="273"/>
  <c r="BJ4" i="281"/>
  <c r="BJ113" i="273"/>
  <c r="BJ114" i="273" s="1"/>
  <c r="BJ21" i="281" s="1"/>
  <c r="BJ37" i="281"/>
  <c r="BJ22" i="281"/>
  <c r="BJ23" i="281" s="1"/>
  <c r="BJ29" i="281" s="1"/>
  <c r="BJ13" i="281"/>
  <c r="BJ14" i="281" s="1"/>
  <c r="BJ28" i="281" s="1"/>
  <c r="BI4" i="281"/>
  <c r="BJ57" i="273"/>
  <c r="BK75" i="273"/>
  <c r="BH65" i="265"/>
  <c r="BH67" i="265" s="1"/>
  <c r="BH80" i="265" s="1"/>
  <c r="BK2" i="275"/>
  <c r="BJ108" i="273"/>
  <c r="BJ109" i="273" s="1"/>
  <c r="BJ15" i="275"/>
  <c r="BJ20" i="275" s="1"/>
  <c r="BK17" i="275" s="1"/>
  <c r="BK76" i="273"/>
  <c r="BK79" i="273" s="1"/>
  <c r="BL80" i="273" s="1"/>
  <c r="BL58" i="273" s="1"/>
  <c r="BL19" i="273"/>
  <c r="BL20" i="273" s="1"/>
  <c r="BL24" i="273" s="1"/>
  <c r="BL25" i="273" s="1"/>
  <c r="BL2" i="281" s="1"/>
  <c r="BL56" i="273"/>
  <c r="BL37" i="273"/>
  <c r="BL47" i="273"/>
  <c r="BL48" i="273" s="1"/>
  <c r="BK39" i="273"/>
  <c r="BK41" i="273" s="1"/>
  <c r="BK42" i="273" s="1"/>
  <c r="BK2" i="265"/>
  <c r="BK96" i="273"/>
  <c r="BK97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J60" i="273"/>
  <c r="BL51" i="273"/>
  <c r="BL32" i="273"/>
  <c r="BL33" i="273" s="1"/>
  <c r="BL2" i="275"/>
  <c r="BH50" i="273"/>
  <c r="BH3" i="275"/>
  <c r="BH3" i="273"/>
  <c r="BH3" i="265"/>
  <c r="BI112" i="273"/>
  <c r="BK118" i="273"/>
  <c r="BJ4" i="265"/>
  <c r="BJ4" i="273"/>
  <c r="BJ4" i="275"/>
  <c r="BJ30" i="281" l="1"/>
  <c r="BJ36" i="281" s="1"/>
  <c r="BJ38" i="281" s="1"/>
  <c r="BJ9" i="265" s="1"/>
  <c r="BJ11" i="265" s="1"/>
  <c r="BJ14" i="265" s="1"/>
  <c r="BJ19" i="265" s="1"/>
  <c r="BJ22" i="265" s="1"/>
  <c r="BJ25" i="265" s="1"/>
  <c r="BB82" i="265"/>
  <c r="BB83" i="265"/>
  <c r="BI25" i="265"/>
  <c r="BC75" i="265"/>
  <c r="BC81" i="265" s="1"/>
  <c r="BI3" i="281"/>
  <c r="BK113" i="273"/>
  <c r="BK114" i="273" s="1"/>
  <c r="BK21" i="281" s="1"/>
  <c r="BK37" i="281"/>
  <c r="BK22" i="281"/>
  <c r="BK23" i="281" s="1"/>
  <c r="BK29" i="281" s="1"/>
  <c r="BK13" i="281"/>
  <c r="BK4" i="281"/>
  <c r="BL75" i="273"/>
  <c r="BL76" i="273" s="1"/>
  <c r="BI65" i="265"/>
  <c r="BI67" i="265" s="1"/>
  <c r="BI80" i="265" s="1"/>
  <c r="BK57" i="273"/>
  <c r="BK60" i="273" s="1"/>
  <c r="BK119" i="273"/>
  <c r="BK120" i="273" s="1"/>
  <c r="BK12" i="281" s="1"/>
  <c r="BK108" i="273"/>
  <c r="BK109" i="273" s="1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2" i="281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L12" i="281" s="1"/>
  <c r="BI3" i="275"/>
  <c r="BI3" i="265"/>
  <c r="BI50" i="273"/>
  <c r="BI3" i="273"/>
  <c r="BK4" i="275"/>
  <c r="BK4" i="265"/>
  <c r="BK4" i="273"/>
  <c r="BJ112" i="273"/>
  <c r="BL38" i="273"/>
  <c r="BL118" i="273"/>
  <c r="BJ66" i="273"/>
  <c r="BJ67" i="273" s="1"/>
  <c r="BM96" i="273"/>
  <c r="BM97" i="273" s="1"/>
  <c r="BD75" i="265" l="1"/>
  <c r="BD81" i="265" s="1"/>
  <c r="BC83" i="265"/>
  <c r="BC82" i="265"/>
  <c r="BM37" i="281"/>
  <c r="BM22" i="281"/>
  <c r="BM13" i="281"/>
  <c r="BJ3" i="281"/>
  <c r="BL108" i="273"/>
  <c r="BL37" i="281"/>
  <c r="BL22" i="281"/>
  <c r="BL13" i="281"/>
  <c r="BL14" i="281" s="1"/>
  <c r="BL28" i="281" s="1"/>
  <c r="BK14" i="281"/>
  <c r="BK28" i="281" s="1"/>
  <c r="BK30" i="281" s="1"/>
  <c r="BK36" i="281" s="1"/>
  <c r="BK38" i="281" s="1"/>
  <c r="BK9" i="265" s="1"/>
  <c r="BK11" i="265" s="1"/>
  <c r="BK14" i="265" s="1"/>
  <c r="BK19" i="265" s="1"/>
  <c r="BK22" i="265" s="1"/>
  <c r="BM32" i="273"/>
  <c r="BM33" i="273" s="1"/>
  <c r="BJ65" i="265"/>
  <c r="BJ67" i="265" s="1"/>
  <c r="BJ80" i="265" s="1"/>
  <c r="BL20" i="275"/>
  <c r="BM17" i="275" s="1"/>
  <c r="BM90" i="273"/>
  <c r="BM91" i="273" s="1"/>
  <c r="BM100" i="273" s="1"/>
  <c r="BN101" i="273" s="1"/>
  <c r="BN59" i="273" s="1"/>
  <c r="BL42" i="273"/>
  <c r="BM2" i="275"/>
  <c r="BM75" i="273"/>
  <c r="BM39" i="273"/>
  <c r="BM41" i="273" s="1"/>
  <c r="BM52" i="273" s="1"/>
  <c r="BL113" i="273"/>
  <c r="BL114" i="273" s="1"/>
  <c r="BL21" i="281" s="1"/>
  <c r="BN19" i="273"/>
  <c r="BN20" i="273" s="1"/>
  <c r="BN24" i="273" s="1"/>
  <c r="BN25" i="273" s="1"/>
  <c r="BN2" i="281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2" i="281" s="1"/>
  <c r="BM113" i="273"/>
  <c r="BM114" i="273" s="1"/>
  <c r="BM21" i="281" s="1"/>
  <c r="BM108" i="273"/>
  <c r="BJ3" i="275"/>
  <c r="BJ3" i="273"/>
  <c r="BJ50" i="273"/>
  <c r="BJ3" i="265"/>
  <c r="BM42" i="273"/>
  <c r="BL109" i="273"/>
  <c r="BK112" i="273"/>
  <c r="BL4" i="265"/>
  <c r="BL4" i="273"/>
  <c r="BL4" i="275"/>
  <c r="BM38" i="273"/>
  <c r="BN39" i="273" s="1"/>
  <c r="BN41" i="273" s="1"/>
  <c r="BM118" i="273"/>
  <c r="BK66" i="273"/>
  <c r="BK67" i="273" s="1"/>
  <c r="BL60" i="273"/>
  <c r="BM76" i="273"/>
  <c r="BK25" i="265" l="1"/>
  <c r="BD82" i="265"/>
  <c r="BD83" i="265"/>
  <c r="BE75" i="265"/>
  <c r="BE81" i="265" s="1"/>
  <c r="BL23" i="281"/>
  <c r="BL29" i="281" s="1"/>
  <c r="BL30" i="281" s="1"/>
  <c r="BL36" i="281" s="1"/>
  <c r="BL38" i="281" s="1"/>
  <c r="BL9" i="265" s="1"/>
  <c r="BL11" i="265" s="1"/>
  <c r="BL14" i="265" s="1"/>
  <c r="BL19" i="265" s="1"/>
  <c r="BL22" i="265" s="1"/>
  <c r="BM23" i="281"/>
  <c r="BM29" i="281" s="1"/>
  <c r="BM4" i="281"/>
  <c r="BK3" i="281"/>
  <c r="BN96" i="273"/>
  <c r="BN97" i="273" s="1"/>
  <c r="BL4" i="281"/>
  <c r="BM14" i="281"/>
  <c r="BM28" i="281" s="1"/>
  <c r="BM30" i="281" s="1"/>
  <c r="BM36" i="281" s="1"/>
  <c r="BM38" i="281" s="1"/>
  <c r="BM9" i="265" s="1"/>
  <c r="BM11" i="265" s="1"/>
  <c r="BM14" i="265" s="1"/>
  <c r="BM19" i="265" s="1"/>
  <c r="BM22" i="265" s="1"/>
  <c r="BN32" i="273"/>
  <c r="BN33" i="273" s="1"/>
  <c r="BN75" i="273"/>
  <c r="BK65" i="265"/>
  <c r="BK67" i="265" s="1"/>
  <c r="BK80" i="265" s="1"/>
  <c r="BN90" i="273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2" i="281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N119" i="273"/>
  <c r="BN120" i="273" s="1"/>
  <c r="BN12" i="281" s="1"/>
  <c r="BN108" i="273"/>
  <c r="BN113" i="273"/>
  <c r="BN114" i="273" s="1"/>
  <c r="BN21" i="281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52" i="273"/>
  <c r="BN38" i="273"/>
  <c r="BN118" i="273"/>
  <c r="BM25" i="265" l="1"/>
  <c r="BE82" i="265"/>
  <c r="BE83" i="265"/>
  <c r="BL25" i="265"/>
  <c r="BF75" i="265"/>
  <c r="BF81" i="265" s="1"/>
  <c r="BO37" i="281"/>
  <c r="BO22" i="281"/>
  <c r="BO13" i="281"/>
  <c r="BN4" i="281"/>
  <c r="BL3" i="281"/>
  <c r="BN37" i="281"/>
  <c r="BN22" i="281"/>
  <c r="BN23" i="281" s="1"/>
  <c r="BN29" i="281" s="1"/>
  <c r="BN13" i="281"/>
  <c r="BN14" i="281" s="1"/>
  <c r="BN28" i="281" s="1"/>
  <c r="BL65" i="265"/>
  <c r="BL67" i="265" s="1"/>
  <c r="BL80" i="265" s="1"/>
  <c r="BO90" i="273"/>
  <c r="BO91" i="273" s="1"/>
  <c r="BO100" i="273" s="1"/>
  <c r="BP101" i="273" s="1"/>
  <c r="BP59" i="273" s="1"/>
  <c r="BO39" i="273"/>
  <c r="BO41" i="273" s="1"/>
  <c r="BO2" i="275"/>
  <c r="BO2" i="273"/>
  <c r="BP19" i="273"/>
  <c r="BP20" i="273" s="1"/>
  <c r="BP24" i="273" s="1"/>
  <c r="BP25" i="273" s="1"/>
  <c r="BP2" i="281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112" i="273"/>
  <c r="BN109" i="273"/>
  <c r="BL3" i="273"/>
  <c r="BL3" i="265"/>
  <c r="BL50" i="273"/>
  <c r="BL3" i="275"/>
  <c r="BO119" i="273"/>
  <c r="BO120" i="273" s="1"/>
  <c r="BO12" i="281" s="1"/>
  <c r="BO113" i="273"/>
  <c r="BO114" i="273" s="1"/>
  <c r="BO21" i="281" s="1"/>
  <c r="BO108" i="273"/>
  <c r="BO38" i="273"/>
  <c r="BO118" i="273"/>
  <c r="BG75" i="265" l="1"/>
  <c r="BG81" i="265" s="1"/>
  <c r="BF82" i="265"/>
  <c r="BF83" i="265"/>
  <c r="BM3" i="281"/>
  <c r="BN30" i="281"/>
  <c r="BN36" i="281" s="1"/>
  <c r="BN38" i="281" s="1"/>
  <c r="BN9" i="265" s="1"/>
  <c r="BN11" i="265" s="1"/>
  <c r="BN14" i="265" s="1"/>
  <c r="BN19" i="265" s="1"/>
  <c r="BN22" i="265" s="1"/>
  <c r="BO23" i="281"/>
  <c r="BO29" i="281" s="1"/>
  <c r="BO4" i="281"/>
  <c r="BO14" i="281"/>
  <c r="BO28" i="281" s="1"/>
  <c r="BP32" i="273"/>
  <c r="BP33" i="273" s="1"/>
  <c r="BM65" i="265"/>
  <c r="BM67" i="265" s="1"/>
  <c r="BM80" i="265" s="1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2" i="281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M3" i="265"/>
  <c r="BM3" i="275"/>
  <c r="BM50" i="273"/>
  <c r="BM3" i="273"/>
  <c r="BH75" i="265" l="1"/>
  <c r="BH81" i="265" s="1"/>
  <c r="BO30" i="281"/>
  <c r="BO36" i="281" s="1"/>
  <c r="BO38" i="281" s="1"/>
  <c r="BO9" i="265" s="1"/>
  <c r="BO11" i="265" s="1"/>
  <c r="BO14" i="265" s="1"/>
  <c r="BO19" i="265" s="1"/>
  <c r="BO22" i="265" s="1"/>
  <c r="BN25" i="265"/>
  <c r="BG82" i="265"/>
  <c r="BG83" i="265"/>
  <c r="BN3" i="281"/>
  <c r="BP4" i="281"/>
  <c r="BP119" i="273"/>
  <c r="BP120" i="273" s="1"/>
  <c r="BP12" i="281" s="1"/>
  <c r="BP37" i="281"/>
  <c r="BP22" i="281"/>
  <c r="BP13" i="281"/>
  <c r="BQ75" i="273"/>
  <c r="BQ76" i="273" s="1"/>
  <c r="BN65" i="265"/>
  <c r="BN67" i="265" s="1"/>
  <c r="BN80" i="265" s="1"/>
  <c r="BP20" i="275"/>
  <c r="BQ17" i="275" s="1"/>
  <c r="BP113" i="273"/>
  <c r="BP114" i="273" s="1"/>
  <c r="BP21" i="281" s="1"/>
  <c r="BS13" i="273"/>
  <c r="BS14" i="273" s="1"/>
  <c r="BT10" i="273"/>
  <c r="BS5" i="273"/>
  <c r="BS5" i="275"/>
  <c r="BS5" i="265"/>
  <c r="BQ96" i="273"/>
  <c r="BQ97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52" i="273"/>
  <c r="BO66" i="273"/>
  <c r="BO67" i="273" s="1"/>
  <c r="BP60" i="273"/>
  <c r="BQ38" i="273"/>
  <c r="BQ118" i="273"/>
  <c r="BR75" i="273"/>
  <c r="BR2" i="273"/>
  <c r="BR2" i="275"/>
  <c r="BN3" i="275"/>
  <c r="BN3" i="265"/>
  <c r="BN50" i="273"/>
  <c r="BN3" i="273"/>
  <c r="BR76" i="273"/>
  <c r="BP109" i="273"/>
  <c r="BO112" i="273"/>
  <c r="BP14" i="281" l="1"/>
  <c r="BP28" i="281" s="1"/>
  <c r="BI75" i="265"/>
  <c r="BI81" i="265" s="1"/>
  <c r="BO25" i="265"/>
  <c r="BH82" i="265"/>
  <c r="BH83" i="265"/>
  <c r="BQ108" i="273"/>
  <c r="BQ37" i="281"/>
  <c r="BQ22" i="281"/>
  <c r="BQ13" i="281"/>
  <c r="BO3" i="281"/>
  <c r="BQ4" i="281"/>
  <c r="BR90" i="273"/>
  <c r="BR91" i="273" s="1"/>
  <c r="BR100" i="273" s="1"/>
  <c r="BS101" i="273" s="1"/>
  <c r="BS59" i="273" s="1"/>
  <c r="BR2" i="281"/>
  <c r="BP23" i="281"/>
  <c r="BP29" i="281" s="1"/>
  <c r="BP30" i="281" s="1"/>
  <c r="BP36" i="281" s="1"/>
  <c r="BP38" i="281" s="1"/>
  <c r="BP9" i="265" s="1"/>
  <c r="BP11" i="265" s="1"/>
  <c r="BP14" i="265" s="1"/>
  <c r="BP19" i="265" s="1"/>
  <c r="BP22" i="265" s="1"/>
  <c r="BR32" i="273"/>
  <c r="BR33" i="273" s="1"/>
  <c r="BO65" i="265"/>
  <c r="BO67" i="265" s="1"/>
  <c r="BO80" i="265" s="1"/>
  <c r="BQ113" i="273"/>
  <c r="BQ114" i="273" s="1"/>
  <c r="BQ21" i="281" s="1"/>
  <c r="BQ119" i="273"/>
  <c r="BQ120" i="273" s="1"/>
  <c r="BQ12" i="281" s="1"/>
  <c r="BR39" i="273"/>
  <c r="BR41" i="273" s="1"/>
  <c r="BS19" i="273"/>
  <c r="BS20" i="273" s="1"/>
  <c r="BS24" i="273" s="1"/>
  <c r="BS25" i="273" s="1"/>
  <c r="BS2" i="281" s="1"/>
  <c r="BS56" i="273"/>
  <c r="BS47" i="273"/>
  <c r="BS48" i="273" s="1"/>
  <c r="BS51" i="273" s="1"/>
  <c r="BS37" i="273"/>
  <c r="BR96" i="273"/>
  <c r="BR97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Q60" i="273"/>
  <c r="BJ75" i="265" l="1"/>
  <c r="BJ81" i="265" s="1"/>
  <c r="BP25" i="265"/>
  <c r="BI83" i="265"/>
  <c r="BI82" i="265"/>
  <c r="BP3" i="281"/>
  <c r="BS37" i="281"/>
  <c r="BS22" i="281"/>
  <c r="BS13" i="281"/>
  <c r="BR119" i="273"/>
  <c r="BR120" i="273" s="1"/>
  <c r="BR12" i="281" s="1"/>
  <c r="BR37" i="281"/>
  <c r="BR22" i="281"/>
  <c r="BR13" i="281"/>
  <c r="BQ14" i="281"/>
  <c r="BQ28" i="281" s="1"/>
  <c r="BR4" i="281"/>
  <c r="BQ23" i="281"/>
  <c r="BQ29" i="281" s="1"/>
  <c r="BS90" i="273"/>
  <c r="BS91" i="273" s="1"/>
  <c r="BS100" i="273" s="1"/>
  <c r="BT101" i="273" s="1"/>
  <c r="BT59" i="273" s="1"/>
  <c r="BP65" i="265"/>
  <c r="BP67" i="265" s="1"/>
  <c r="BP80" i="265" s="1"/>
  <c r="BS32" i="273"/>
  <c r="BS33" i="273" s="1"/>
  <c r="BR113" i="273"/>
  <c r="BR114" i="273" s="1"/>
  <c r="BR21" i="281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2" i="281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52" i="273"/>
  <c r="BQ112" i="273"/>
  <c r="BS120" i="273"/>
  <c r="BS12" i="281" s="1"/>
  <c r="BT32" i="273"/>
  <c r="BT33" i="273" s="1"/>
  <c r="BT2" i="265"/>
  <c r="BT2" i="273"/>
  <c r="BT96" i="273"/>
  <c r="BT97" i="273" s="1"/>
  <c r="BQ66" i="273"/>
  <c r="BQ67" i="273" s="1"/>
  <c r="BR60" i="273"/>
  <c r="BR14" i="281" l="1"/>
  <c r="BR28" i="281" s="1"/>
  <c r="BJ83" i="265"/>
  <c r="BJ82" i="265"/>
  <c r="BK75" i="265"/>
  <c r="BK81" i="265" s="1"/>
  <c r="BT37" i="281"/>
  <c r="BT22" i="281"/>
  <c r="BT13" i="281"/>
  <c r="BQ3" i="281"/>
  <c r="BS4" i="281"/>
  <c r="BQ30" i="281"/>
  <c r="BQ36" i="281" s="1"/>
  <c r="BQ38" i="281" s="1"/>
  <c r="BQ9" i="265" s="1"/>
  <c r="BQ11" i="265" s="1"/>
  <c r="BQ14" i="265" s="1"/>
  <c r="BQ19" i="265" s="1"/>
  <c r="BQ22" i="265" s="1"/>
  <c r="BR23" i="281"/>
  <c r="BR29" i="281" s="1"/>
  <c r="BR30" i="281" s="1"/>
  <c r="BR36" i="281" s="1"/>
  <c r="BR38" i="281" s="1"/>
  <c r="BR9" i="265" s="1"/>
  <c r="BR11" i="265" s="1"/>
  <c r="BR14" i="265" s="1"/>
  <c r="BR19" i="265" s="1"/>
  <c r="BR22" i="265" s="1"/>
  <c r="BS14" i="281"/>
  <c r="BS28" i="281" s="1"/>
  <c r="BT75" i="273"/>
  <c r="BT76" i="273" s="1"/>
  <c r="BT79" i="273" s="1"/>
  <c r="BU80" i="273" s="1"/>
  <c r="BU58" i="273" s="1"/>
  <c r="BQ65" i="265"/>
  <c r="BQ67" i="265" s="1"/>
  <c r="BQ80" i="265" s="1"/>
  <c r="BS114" i="273"/>
  <c r="BS21" i="281" s="1"/>
  <c r="BS23" i="281" s="1"/>
  <c r="BS29" i="281" s="1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2" i="281" s="1"/>
  <c r="BR66" i="273"/>
  <c r="BR67" i="273" s="1"/>
  <c r="BT108" i="273"/>
  <c r="BT113" i="273"/>
  <c r="BT119" i="273"/>
  <c r="BT120" i="273" s="1"/>
  <c r="BT12" i="281" s="1"/>
  <c r="BT38" i="273"/>
  <c r="BU39" i="273" s="1"/>
  <c r="BU41" i="273" s="1"/>
  <c r="BT118" i="273"/>
  <c r="BR112" i="273"/>
  <c r="BS109" i="273"/>
  <c r="BS4" i="273"/>
  <c r="BS4" i="265"/>
  <c r="BS4" i="275"/>
  <c r="BT42" i="273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R25" i="265" l="1"/>
  <c r="BQ25" i="265"/>
  <c r="BL75" i="265"/>
  <c r="BL81" i="265" s="1"/>
  <c r="BK83" i="265"/>
  <c r="BK82" i="265"/>
  <c r="BT4" i="281"/>
  <c r="BR3" i="281"/>
  <c r="BS30" i="281"/>
  <c r="BS36" i="281" s="1"/>
  <c r="BS38" i="281" s="1"/>
  <c r="BS9" i="265" s="1"/>
  <c r="BS11" i="265" s="1"/>
  <c r="BS14" i="265" s="1"/>
  <c r="BS19" i="265" s="1"/>
  <c r="BS22" i="265" s="1"/>
  <c r="BT14" i="281"/>
  <c r="BT28" i="281" s="1"/>
  <c r="BT57" i="273"/>
  <c r="BU32" i="273"/>
  <c r="BU33" i="273" s="1"/>
  <c r="BR65" i="265"/>
  <c r="BR67" i="265" s="1"/>
  <c r="BR80" i="265" s="1"/>
  <c r="BT15" i="275"/>
  <c r="BU2" i="275"/>
  <c r="BT114" i="273"/>
  <c r="BT21" i="281" s="1"/>
  <c r="BT23" i="281" s="1"/>
  <c r="BT29" i="281" s="1"/>
  <c r="BU2" i="265"/>
  <c r="BU75" i="273"/>
  <c r="BU76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2" i="281" s="1"/>
  <c r="BV56" i="273"/>
  <c r="BU96" i="273"/>
  <c r="BU97" i="273" s="1"/>
  <c r="BU2" i="273"/>
  <c r="BS66" i="273"/>
  <c r="BS67" i="273" s="1"/>
  <c r="BT60" i="273"/>
  <c r="BU119" i="273"/>
  <c r="BU120" i="273" s="1"/>
  <c r="BU12" i="281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52" i="273"/>
  <c r="BL83" i="265" l="1"/>
  <c r="BL82" i="265"/>
  <c r="BS25" i="265"/>
  <c r="BM75" i="265"/>
  <c r="BM81" i="265" s="1"/>
  <c r="BU4" i="281"/>
  <c r="BS3" i="281"/>
  <c r="BU113" i="273"/>
  <c r="BU114" i="273" s="1"/>
  <c r="BU21" i="281" s="1"/>
  <c r="BU37" i="281"/>
  <c r="BU22" i="281"/>
  <c r="BU23" i="281" s="1"/>
  <c r="BU29" i="281" s="1"/>
  <c r="BU13" i="281"/>
  <c r="BU14" i="281" s="1"/>
  <c r="BU28" i="281" s="1"/>
  <c r="BT30" i="281"/>
  <c r="BT36" i="281" s="1"/>
  <c r="BT38" i="281" s="1"/>
  <c r="BT9" i="265" s="1"/>
  <c r="BT11" i="265" s="1"/>
  <c r="BT14" i="265" s="1"/>
  <c r="BT19" i="265" s="1"/>
  <c r="BT22" i="265" s="1"/>
  <c r="BV32" i="273"/>
  <c r="BV33" i="273" s="1"/>
  <c r="BU57" i="273"/>
  <c r="BS65" i="265"/>
  <c r="BS67" i="265" s="1"/>
  <c r="BS80" i="265" s="1"/>
  <c r="BV96" i="273"/>
  <c r="BV97" i="273" s="1"/>
  <c r="BV113" i="273" s="1"/>
  <c r="BV114" i="273" s="1"/>
  <c r="BV21" i="281" s="1"/>
  <c r="BV75" i="273"/>
  <c r="BV76" i="273" s="1"/>
  <c r="BU108" i="273"/>
  <c r="BU109" i="273" s="1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2" i="281" s="1"/>
  <c r="BW56" i="273"/>
  <c r="BX5" i="275"/>
  <c r="BX5" i="265"/>
  <c r="BX13" i="273"/>
  <c r="BX14" i="273" s="1"/>
  <c r="BX5" i="273"/>
  <c r="BY10" i="273"/>
  <c r="BV38" i="273"/>
  <c r="BV118" i="273"/>
  <c r="BV42" i="273"/>
  <c r="BS3" i="273"/>
  <c r="BS3" i="275"/>
  <c r="BS3" i="265"/>
  <c r="BS50" i="273"/>
  <c r="BU4" i="265"/>
  <c r="BU4" i="275"/>
  <c r="BU4" i="273"/>
  <c r="BT112" i="273"/>
  <c r="BW2" i="275"/>
  <c r="BV119" i="273"/>
  <c r="BV120" i="273" s="1"/>
  <c r="BV12" i="281" s="1"/>
  <c r="BT66" i="273"/>
  <c r="BT67" i="273" s="1"/>
  <c r="BU60" i="273"/>
  <c r="BN75" i="265" l="1"/>
  <c r="BN81" i="265" s="1"/>
  <c r="BT25" i="265"/>
  <c r="BM83" i="265"/>
  <c r="BM82" i="265"/>
  <c r="BT3" i="281"/>
  <c r="BV108" i="273"/>
  <c r="BW75" i="273"/>
  <c r="BV4" i="281"/>
  <c r="BU30" i="281"/>
  <c r="BU36" i="281" s="1"/>
  <c r="BU38" i="281" s="1"/>
  <c r="BU9" i="265" s="1"/>
  <c r="BU11" i="265" s="1"/>
  <c r="BU14" i="265" s="1"/>
  <c r="BU19" i="265" s="1"/>
  <c r="BU22" i="265" s="1"/>
  <c r="BV37" i="281"/>
  <c r="BV22" i="281"/>
  <c r="BV23" i="281" s="1"/>
  <c r="BV29" i="281" s="1"/>
  <c r="BV13" i="281"/>
  <c r="BV14" i="281" s="1"/>
  <c r="BV28" i="281" s="1"/>
  <c r="BW90" i="273"/>
  <c r="BW91" i="273" s="1"/>
  <c r="BW100" i="273" s="1"/>
  <c r="BX101" i="273" s="1"/>
  <c r="BX59" i="273" s="1"/>
  <c r="BT65" i="265"/>
  <c r="BT67" i="265" s="1"/>
  <c r="BT80" i="265" s="1"/>
  <c r="BV79" i="273"/>
  <c r="BW80" i="273" s="1"/>
  <c r="BW58" i="273" s="1"/>
  <c r="BV57" i="273"/>
  <c r="BV60" i="273" s="1"/>
  <c r="BV15" i="275"/>
  <c r="BW76" i="273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2" i="281" s="1"/>
  <c r="BX56" i="273"/>
  <c r="BW96" i="273"/>
  <c r="BW97" i="273" s="1"/>
  <c r="BW2" i="265"/>
  <c r="BW39" i="273"/>
  <c r="BW41" i="273" s="1"/>
  <c r="BW42" i="273" s="1"/>
  <c r="BU66" i="273"/>
  <c r="BU67" i="273" s="1"/>
  <c r="BW57" i="273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21" i="281" s="1"/>
  <c r="BW52" i="273"/>
  <c r="BV30" i="281" l="1"/>
  <c r="BV36" i="281" s="1"/>
  <c r="BV38" i="281" s="1"/>
  <c r="BV9" i="265" s="1"/>
  <c r="BV11" i="265" s="1"/>
  <c r="BV14" i="265" s="1"/>
  <c r="BV19" i="265" s="1"/>
  <c r="BV22" i="265" s="1"/>
  <c r="BV25" i="265" s="1"/>
  <c r="BN83" i="265"/>
  <c r="BN82" i="265"/>
  <c r="BU25" i="265"/>
  <c r="BO75" i="265"/>
  <c r="BO81" i="265" s="1"/>
  <c r="BU3" i="281"/>
  <c r="BX37" i="281"/>
  <c r="BX22" i="281"/>
  <c r="BX13" i="281"/>
  <c r="BW4" i="281"/>
  <c r="BW119" i="273"/>
  <c r="BW120" i="273" s="1"/>
  <c r="BW12" i="281" s="1"/>
  <c r="BW37" i="281"/>
  <c r="BW22" i="281"/>
  <c r="BW23" i="281" s="1"/>
  <c r="BW29" i="281" s="1"/>
  <c r="BW13" i="281"/>
  <c r="BW79" i="273"/>
  <c r="BX80" i="273" s="1"/>
  <c r="BX58" i="273" s="1"/>
  <c r="BX32" i="273"/>
  <c r="BX33" i="273" s="1"/>
  <c r="BU65" i="265"/>
  <c r="BU67" i="265" s="1"/>
  <c r="BU80" i="265" s="1"/>
  <c r="BW108" i="273"/>
  <c r="BW109" i="273" s="1"/>
  <c r="BX2" i="275"/>
  <c r="BX2" i="265"/>
  <c r="BW20" i="275"/>
  <c r="BX17" i="275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2" i="281" s="1"/>
  <c r="BY37" i="273"/>
  <c r="BY47" i="273"/>
  <c r="BY48" i="273" s="1"/>
  <c r="BY51" i="273" s="1"/>
  <c r="BW4" i="265"/>
  <c r="BW4" i="275"/>
  <c r="BW4" i="273"/>
  <c r="BX113" i="273"/>
  <c r="BX114" i="273" s="1"/>
  <c r="BX21" i="281" s="1"/>
  <c r="BX108" i="273"/>
  <c r="BX119" i="273"/>
  <c r="BX120" i="273" s="1"/>
  <c r="BX12" i="281" s="1"/>
  <c r="BV112" i="273"/>
  <c r="BX76" i="273"/>
  <c r="BX52" i="273"/>
  <c r="BV66" i="273"/>
  <c r="BV67" i="273" s="1"/>
  <c r="BW60" i="273"/>
  <c r="BY75" i="273"/>
  <c r="BX38" i="273"/>
  <c r="BX118" i="273"/>
  <c r="BU50" i="273"/>
  <c r="BU3" i="275"/>
  <c r="BU3" i="273"/>
  <c r="BU3" i="265"/>
  <c r="BO82" i="265" l="1"/>
  <c r="BO83" i="265"/>
  <c r="BP75" i="265"/>
  <c r="BP81" i="265" s="1"/>
  <c r="BV3" i="281"/>
  <c r="BX23" i="281"/>
  <c r="BX29" i="281" s="1"/>
  <c r="BX4" i="281"/>
  <c r="BW14" i="281"/>
  <c r="BW28" i="281" s="1"/>
  <c r="BW30" i="281" s="1"/>
  <c r="BW36" i="281" s="1"/>
  <c r="BW38" i="281" s="1"/>
  <c r="BW9" i="265" s="1"/>
  <c r="BW11" i="265" s="1"/>
  <c r="BW14" i="265" s="1"/>
  <c r="BW19" i="265" s="1"/>
  <c r="BW22" i="265" s="1"/>
  <c r="BX14" i="281"/>
  <c r="BX28" i="281" s="1"/>
  <c r="BV65" i="265"/>
  <c r="BV67" i="265" s="1"/>
  <c r="BV80" i="265" s="1"/>
  <c r="BY32" i="273"/>
  <c r="BY33" i="273" s="1"/>
  <c r="BY2" i="265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2" i="281" s="1"/>
  <c r="BY96" i="273"/>
  <c r="BY97" i="273" s="1"/>
  <c r="BY2" i="273"/>
  <c r="BY108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Z75" i="273"/>
  <c r="BZ90" i="273"/>
  <c r="BZ91" i="273" s="1"/>
  <c r="BZ100" i="273" s="1"/>
  <c r="CA101" i="273" s="1"/>
  <c r="CA59" i="273" s="1"/>
  <c r="BZ96" i="273"/>
  <c r="BZ97" i="273" s="1"/>
  <c r="BY42" i="273"/>
  <c r="BZ76" i="273"/>
  <c r="BV3" i="273"/>
  <c r="BV3" i="265"/>
  <c r="BV50" i="273"/>
  <c r="BV3" i="275"/>
  <c r="BX4" i="275"/>
  <c r="BX4" i="273"/>
  <c r="BX4" i="265"/>
  <c r="BW112" i="273"/>
  <c r="BX109" i="273"/>
  <c r="BY76" i="273"/>
  <c r="BX30" i="281" l="1"/>
  <c r="BX36" i="281" s="1"/>
  <c r="BX38" i="281" s="1"/>
  <c r="BX9" i="265" s="1"/>
  <c r="BX11" i="265" s="1"/>
  <c r="BX14" i="265" s="1"/>
  <c r="BX19" i="265" s="1"/>
  <c r="BX22" i="265" s="1"/>
  <c r="BX25" i="265" s="1"/>
  <c r="BW25" i="265"/>
  <c r="BQ75" i="265"/>
  <c r="BQ81" i="265" s="1"/>
  <c r="BP83" i="265"/>
  <c r="BP82" i="265"/>
  <c r="BZ37" i="281"/>
  <c r="BZ22" i="281"/>
  <c r="BZ13" i="281"/>
  <c r="BW3" i="281"/>
  <c r="BY4" i="281"/>
  <c r="BY119" i="273"/>
  <c r="BY120" i="273" s="1"/>
  <c r="BY12" i="281" s="1"/>
  <c r="BY37" i="281"/>
  <c r="BY22" i="281"/>
  <c r="BY13" i="281"/>
  <c r="BY14" i="281" s="1"/>
  <c r="BY28" i="281" s="1"/>
  <c r="BZ32" i="273"/>
  <c r="BZ33" i="273" s="1"/>
  <c r="BW65" i="265"/>
  <c r="BW67" i="265" s="1"/>
  <c r="BW80" i="265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2" i="281" s="1"/>
  <c r="CA56" i="273"/>
  <c r="BZ2" i="273"/>
  <c r="BZ2" i="275"/>
  <c r="BZ2" i="265"/>
  <c r="BY113" i="273"/>
  <c r="BY114" i="273" s="1"/>
  <c r="BY21" i="281" s="1"/>
  <c r="CB5" i="275"/>
  <c r="CB5" i="265"/>
  <c r="CB13" i="273"/>
  <c r="CB14" i="273" s="1"/>
  <c r="CB5" i="273"/>
  <c r="CC10" i="273"/>
  <c r="BX66" i="273"/>
  <c r="BX67" i="273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14" i="273" s="1"/>
  <c r="BZ21" i="281" s="1"/>
  <c r="BZ108" i="273"/>
  <c r="BZ119" i="273"/>
  <c r="BZ120" i="273" s="1"/>
  <c r="BZ12" i="281" s="1"/>
  <c r="CA76" i="273"/>
  <c r="BQ83" i="265" l="1"/>
  <c r="BQ82" i="265"/>
  <c r="BR75" i="265"/>
  <c r="BR81" i="265" s="1"/>
  <c r="BZ4" i="281"/>
  <c r="BX3" i="281"/>
  <c r="BY23" i="281"/>
  <c r="BY29" i="281" s="1"/>
  <c r="BZ23" i="281"/>
  <c r="BZ29" i="281" s="1"/>
  <c r="BY30" i="281"/>
  <c r="BY36" i="281" s="1"/>
  <c r="BY38" i="281" s="1"/>
  <c r="BY9" i="265" s="1"/>
  <c r="BY11" i="265" s="1"/>
  <c r="BY14" i="265" s="1"/>
  <c r="BY19" i="265" s="1"/>
  <c r="BY22" i="265" s="1"/>
  <c r="BZ14" i="281"/>
  <c r="BZ28" i="281" s="1"/>
  <c r="BZ30" i="281" s="1"/>
  <c r="BZ36" i="281" s="1"/>
  <c r="BZ38" i="281" s="1"/>
  <c r="BZ9" i="265" s="1"/>
  <c r="BZ11" i="265" s="1"/>
  <c r="BZ14" i="265" s="1"/>
  <c r="BZ19" i="265" s="1"/>
  <c r="BZ22" i="265" s="1"/>
  <c r="CA90" i="273"/>
  <c r="CA91" i="273" s="1"/>
  <c r="CA100" i="273" s="1"/>
  <c r="CB101" i="273" s="1"/>
  <c r="CB59" i="273" s="1"/>
  <c r="BX65" i="265"/>
  <c r="BX67" i="265" s="1"/>
  <c r="BX80" i="265" s="1"/>
  <c r="CA2" i="273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A39" i="273"/>
  <c r="CA41" i="273" s="1"/>
  <c r="CA52" i="273" s="1"/>
  <c r="CA2" i="265"/>
  <c r="CA96" i="273"/>
  <c r="CA97" i="273" s="1"/>
  <c r="BY66" i="273"/>
  <c r="BY67" i="273" s="1"/>
  <c r="BZ60" i="273"/>
  <c r="CA57" i="273"/>
  <c r="CA79" i="273"/>
  <c r="CB80" i="273" s="1"/>
  <c r="CB58" i="273" s="1"/>
  <c r="CA15" i="275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BX3" i="265"/>
  <c r="BX50" i="273"/>
  <c r="BX3" i="273"/>
  <c r="BX3" i="275"/>
  <c r="BZ25" i="265" l="1"/>
  <c r="BS75" i="265"/>
  <c r="BS81" i="265" s="1"/>
  <c r="BY25" i="265"/>
  <c r="BR82" i="265"/>
  <c r="BR83" i="265"/>
  <c r="CB90" i="273"/>
  <c r="CB91" i="273" s="1"/>
  <c r="CB100" i="273" s="1"/>
  <c r="CC101" i="273" s="1"/>
  <c r="CC59" i="273" s="1"/>
  <c r="CB2" i="281"/>
  <c r="CA4" i="281"/>
  <c r="CA119" i="273"/>
  <c r="CA120" i="273" s="1"/>
  <c r="CA12" i="281" s="1"/>
  <c r="CA37" i="281"/>
  <c r="CA22" i="281"/>
  <c r="CA13" i="281"/>
  <c r="BY3" i="281"/>
  <c r="CB32" i="273"/>
  <c r="CB33" i="273" s="1"/>
  <c r="CB118" i="273" s="1"/>
  <c r="BY65" i="265"/>
  <c r="BY67" i="265" s="1"/>
  <c r="BY80" i="265" s="1"/>
  <c r="CA108" i="273"/>
  <c r="CA109" i="273" s="1"/>
  <c r="CB96" i="273"/>
  <c r="CB97" i="273" s="1"/>
  <c r="CB75" i="273"/>
  <c r="CB76" i="273" s="1"/>
  <c r="CB79" i="273" s="1"/>
  <c r="CC80" i="273" s="1"/>
  <c r="CC58" i="273" s="1"/>
  <c r="CC37" i="273"/>
  <c r="CC47" i="273"/>
  <c r="CC48" i="273" s="1"/>
  <c r="CC19" i="273"/>
  <c r="CC20" i="273" s="1"/>
  <c r="CC24" i="273" s="1"/>
  <c r="CC25" i="273" s="1"/>
  <c r="CC2" i="281" s="1"/>
  <c r="CC56" i="273"/>
  <c r="CD5" i="265"/>
  <c r="CD5" i="273"/>
  <c r="CD13" i="273"/>
  <c r="CD14" i="273" s="1"/>
  <c r="CD5" i="275"/>
  <c r="CE10" i="273"/>
  <c r="CA113" i="273"/>
  <c r="CA114" i="273" s="1"/>
  <c r="CA21" i="281" s="1"/>
  <c r="CB2" i="273"/>
  <c r="CB2" i="275"/>
  <c r="CB2" i="265"/>
  <c r="CC90" i="273"/>
  <c r="CC91" i="273" s="1"/>
  <c r="CC100" i="273" s="1"/>
  <c r="CD101" i="273" s="1"/>
  <c r="CD59" i="273" s="1"/>
  <c r="CC2" i="273"/>
  <c r="BZ112" i="273"/>
  <c r="CB38" i="273"/>
  <c r="CC39" i="273" s="1"/>
  <c r="CC41" i="273" s="1"/>
  <c r="CA20" i="275"/>
  <c r="CB17" i="275" s="1"/>
  <c r="BZ66" i="273"/>
  <c r="BZ67" i="273" s="1"/>
  <c r="CA60" i="273"/>
  <c r="CA4" i="273"/>
  <c r="CA4" i="265"/>
  <c r="CA4" i="275"/>
  <c r="CC51" i="273"/>
  <c r="CB42" i="273"/>
  <c r="CB52" i="273"/>
  <c r="CB119" i="273"/>
  <c r="CB120" i="273" s="1"/>
  <c r="CB12" i="281" s="1"/>
  <c r="BY3" i="275"/>
  <c r="BY3" i="273"/>
  <c r="BY50" i="273"/>
  <c r="BY3" i="265"/>
  <c r="BS83" i="265" l="1"/>
  <c r="BS82" i="265"/>
  <c r="BT75" i="265"/>
  <c r="BT81" i="265" s="1"/>
  <c r="CB4" i="281"/>
  <c r="BZ3" i="281"/>
  <c r="CB113" i="273"/>
  <c r="CB37" i="281"/>
  <c r="CB22" i="281"/>
  <c r="CB13" i="281"/>
  <c r="CB14" i="281" s="1"/>
  <c r="CB28" i="281" s="1"/>
  <c r="CA14" i="281"/>
  <c r="CA28" i="281" s="1"/>
  <c r="CA23" i="281"/>
  <c r="CA29" i="281" s="1"/>
  <c r="CC32" i="273"/>
  <c r="CC33" i="273" s="1"/>
  <c r="CB114" i="273"/>
  <c r="CB21" i="281" s="1"/>
  <c r="CB57" i="273"/>
  <c r="BZ65" i="265"/>
  <c r="BZ67" i="265" s="1"/>
  <c r="BZ80" i="265" s="1"/>
  <c r="CB108" i="273"/>
  <c r="CC2" i="275"/>
  <c r="CC75" i="273"/>
  <c r="CC76" i="273" s="1"/>
  <c r="CC79" i="273" s="1"/>
  <c r="CD80" i="273" s="1"/>
  <c r="CD58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2" i="281" s="1"/>
  <c r="CC96" i="273"/>
  <c r="CC97" i="273" s="1"/>
  <c r="CC2" i="265"/>
  <c r="CB4" i="265"/>
  <c r="CB4" i="273"/>
  <c r="CB4" i="27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15" i="275"/>
  <c r="CA66" i="273"/>
  <c r="CA67" i="273" s="1"/>
  <c r="CB60" i="273"/>
  <c r="CC42" i="273"/>
  <c r="CC52" i="273"/>
  <c r="BT82" i="265" l="1"/>
  <c r="BT83" i="265"/>
  <c r="CA30" i="281"/>
  <c r="CA36" i="281" s="1"/>
  <c r="CA38" i="281" s="1"/>
  <c r="CA9" i="265" s="1"/>
  <c r="CA11" i="265" s="1"/>
  <c r="CA14" i="265" s="1"/>
  <c r="CA19" i="265" s="1"/>
  <c r="CA22" i="265" s="1"/>
  <c r="BU75" i="265"/>
  <c r="BU81" i="265" s="1"/>
  <c r="CD2" i="265"/>
  <c r="CC4" i="281"/>
  <c r="CA3" i="281"/>
  <c r="CC119" i="273"/>
  <c r="CC120" i="273" s="1"/>
  <c r="CC12" i="281" s="1"/>
  <c r="CC37" i="281"/>
  <c r="CC22" i="281"/>
  <c r="CC13" i="281"/>
  <c r="CB23" i="281"/>
  <c r="CB29" i="281" s="1"/>
  <c r="CB30" i="281" s="1"/>
  <c r="CB36" i="281" s="1"/>
  <c r="CB38" i="281" s="1"/>
  <c r="CB9" i="265" s="1"/>
  <c r="CB11" i="265" s="1"/>
  <c r="CB14" i="265" s="1"/>
  <c r="CB19" i="265" s="1"/>
  <c r="CB22" i="265" s="1"/>
  <c r="CD75" i="273"/>
  <c r="CD76" i="273" s="1"/>
  <c r="CA65" i="265"/>
  <c r="CA67" i="265" s="1"/>
  <c r="CA80" i="265" s="1"/>
  <c r="CC20" i="275"/>
  <c r="CD17" i="275" s="1"/>
  <c r="CD2" i="273"/>
  <c r="CC113" i="273"/>
  <c r="CC114" i="273" s="1"/>
  <c r="CC21" i="281" s="1"/>
  <c r="CD96" i="273"/>
  <c r="CD97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60" i="273"/>
  <c r="CE75" i="273"/>
  <c r="CE76" i="273" s="1"/>
  <c r="CE2" i="265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52" i="273"/>
  <c r="CC109" i="273"/>
  <c r="CB112" i="273"/>
  <c r="CC14" i="281" l="1"/>
  <c r="CC28" i="281" s="1"/>
  <c r="BV75" i="265"/>
  <c r="BV81" i="265" s="1"/>
  <c r="CB25" i="265"/>
  <c r="BU82" i="265"/>
  <c r="BU83" i="265"/>
  <c r="CA25" i="265"/>
  <c r="CB3" i="281"/>
  <c r="CE32" i="273"/>
  <c r="CE33" i="273" s="1"/>
  <c r="CE2" i="281"/>
  <c r="CC23" i="281"/>
  <c r="CC29" i="281" s="1"/>
  <c r="CC30" i="281" s="1"/>
  <c r="CC36" i="281" s="1"/>
  <c r="CC38" i="281" s="1"/>
  <c r="CC9" i="265" s="1"/>
  <c r="CC11" i="265" s="1"/>
  <c r="CC14" i="265" s="1"/>
  <c r="CC19" i="265" s="1"/>
  <c r="CC22" i="265" s="1"/>
  <c r="CD4" i="281"/>
  <c r="CD113" i="273"/>
  <c r="CD37" i="281"/>
  <c r="CD22" i="281"/>
  <c r="CD13" i="281"/>
  <c r="CE96" i="273"/>
  <c r="CE97" i="273" s="1"/>
  <c r="CD114" i="273"/>
  <c r="CD21" i="281" s="1"/>
  <c r="CE90" i="273"/>
  <c r="CE91" i="273" s="1"/>
  <c r="CE100" i="273" s="1"/>
  <c r="CF101" i="273" s="1"/>
  <c r="CF59" i="273" s="1"/>
  <c r="CB65" i="265"/>
  <c r="CB67" i="265" s="1"/>
  <c r="CB80" i="265" s="1"/>
  <c r="CD108" i="273"/>
  <c r="CD119" i="273"/>
  <c r="CD120" i="273" s="1"/>
  <c r="CD12" i="281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2" i="281" s="1"/>
  <c r="CF47" i="273"/>
  <c r="CF48" i="273" s="1"/>
  <c r="CF51" i="273" s="1"/>
  <c r="CF56" i="273"/>
  <c r="CF37" i="273"/>
  <c r="CF75" i="273"/>
  <c r="CF96" i="273"/>
  <c r="CF97" i="273" s="1"/>
  <c r="CE52" i="273"/>
  <c r="CC66" i="273"/>
  <c r="CC67" i="273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2" i="281" s="1"/>
  <c r="CE113" i="273"/>
  <c r="CE114" i="273" s="1"/>
  <c r="CE21" i="281" s="1"/>
  <c r="CE108" i="273"/>
  <c r="CE38" i="273"/>
  <c r="CE118" i="273"/>
  <c r="CF76" i="273"/>
  <c r="CB50" i="273"/>
  <c r="CB3" i="273"/>
  <c r="CB3" i="265"/>
  <c r="CB3" i="275"/>
  <c r="BW75" i="265" l="1"/>
  <c r="BW81" i="265" s="1"/>
  <c r="CC25" i="265"/>
  <c r="BV83" i="265"/>
  <c r="BV82" i="265"/>
  <c r="CF37" i="281"/>
  <c r="CF22" i="281"/>
  <c r="CF13" i="281"/>
  <c r="CC3" i="281"/>
  <c r="CF2" i="273"/>
  <c r="CF90" i="273"/>
  <c r="CF91" i="273" s="1"/>
  <c r="CF100" i="273" s="1"/>
  <c r="CG101" i="273" s="1"/>
  <c r="CG59" i="273" s="1"/>
  <c r="CD23" i="281"/>
  <c r="CD29" i="281" s="1"/>
  <c r="CE4" i="281"/>
  <c r="CE37" i="281"/>
  <c r="CE22" i="281"/>
  <c r="CE23" i="281" s="1"/>
  <c r="CE29" i="281" s="1"/>
  <c r="CE13" i="281"/>
  <c r="CE14" i="281" s="1"/>
  <c r="CE28" i="281" s="1"/>
  <c r="CD14" i="281"/>
  <c r="CD28" i="281" s="1"/>
  <c r="CD30" i="281" s="1"/>
  <c r="CD36" i="281" s="1"/>
  <c r="CD38" i="281" s="1"/>
  <c r="CD9" i="265" s="1"/>
  <c r="CD11" i="265" s="1"/>
  <c r="CD14" i="265" s="1"/>
  <c r="CD19" i="265" s="1"/>
  <c r="CD22" i="265" s="1"/>
  <c r="CF32" i="273"/>
  <c r="CF33" i="273" s="1"/>
  <c r="CC65" i="265"/>
  <c r="CC67" i="265" s="1"/>
  <c r="CC80" i="265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G32" i="273"/>
  <c r="CG33" i="273" s="1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21" i="281" s="1"/>
  <c r="CF108" i="273"/>
  <c r="CF119" i="273"/>
  <c r="CF120" i="273" s="1"/>
  <c r="CF12" i="281" s="1"/>
  <c r="CD66" i="273"/>
  <c r="CD67" i="273" s="1"/>
  <c r="CE60" i="273"/>
  <c r="CF38" i="273"/>
  <c r="CF118" i="273"/>
  <c r="CD25" i="265" l="1"/>
  <c r="BX75" i="265"/>
  <c r="BX81" i="265" s="1"/>
  <c r="BW83" i="265"/>
  <c r="BW82" i="265"/>
  <c r="CF4" i="281"/>
  <c r="CF23" i="281"/>
  <c r="CF29" i="281" s="1"/>
  <c r="CD3" i="281"/>
  <c r="CG2" i="275"/>
  <c r="CG2" i="281"/>
  <c r="CE30" i="281"/>
  <c r="CE36" i="281" s="1"/>
  <c r="CE38" i="281" s="1"/>
  <c r="CE9" i="265" s="1"/>
  <c r="CE11" i="265" s="1"/>
  <c r="CE14" i="265" s="1"/>
  <c r="CE19" i="265" s="1"/>
  <c r="CE22" i="265" s="1"/>
  <c r="CF14" i="281"/>
  <c r="CF28" i="281" s="1"/>
  <c r="CF30" i="281" s="1"/>
  <c r="CF36" i="281" s="1"/>
  <c r="CF38" i="281" s="1"/>
  <c r="CF9" i="265" s="1"/>
  <c r="CF11" i="265" s="1"/>
  <c r="CF14" i="265" s="1"/>
  <c r="CF19" i="265" s="1"/>
  <c r="CF22" i="265" s="1"/>
  <c r="CG75" i="273"/>
  <c r="CG76" i="273" s="1"/>
  <c r="CD65" i="265"/>
  <c r="CD67" i="265" s="1"/>
  <c r="CD80" i="265" s="1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2" i="281" s="1"/>
  <c r="CH56" i="273"/>
  <c r="CG39" i="273"/>
  <c r="CG41" i="273" s="1"/>
  <c r="CG52" i="273" s="1"/>
  <c r="CG2" i="265"/>
  <c r="CG96" i="273"/>
  <c r="CG97" i="273" s="1"/>
  <c r="CG90" i="273"/>
  <c r="CG91" i="273" s="1"/>
  <c r="CG100" i="273" s="1"/>
  <c r="CH101" i="273" s="1"/>
  <c r="CH59" i="273" s="1"/>
  <c r="CG42" i="273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F60" i="273"/>
  <c r="CH75" i="273"/>
  <c r="CH76" i="273" s="1"/>
  <c r="CG57" i="273"/>
  <c r="CG79" i="273"/>
  <c r="CH80" i="273" s="1"/>
  <c r="CH58" i="273" s="1"/>
  <c r="CG15" i="275"/>
  <c r="CG20" i="275" s="1"/>
  <c r="CH17" i="275" s="1"/>
  <c r="CF4" i="275"/>
  <c r="CF4" i="265"/>
  <c r="CF4" i="273"/>
  <c r="CE25" i="265" l="1"/>
  <c r="BY75" i="265"/>
  <c r="BY81" i="265" s="1"/>
  <c r="CF25" i="265"/>
  <c r="BX82" i="265"/>
  <c r="BX83" i="265"/>
  <c r="CE3" i="281"/>
  <c r="CH2" i="273"/>
  <c r="CG4" i="281"/>
  <c r="CG113" i="273"/>
  <c r="CG114" i="273" s="1"/>
  <c r="CG21" i="281" s="1"/>
  <c r="CG37" i="281"/>
  <c r="CG22" i="281"/>
  <c r="CG23" i="281" s="1"/>
  <c r="CG29" i="281" s="1"/>
  <c r="CG13" i="281"/>
  <c r="CH32" i="273"/>
  <c r="CH33" i="273" s="1"/>
  <c r="CE65" i="265"/>
  <c r="CE67" i="265" s="1"/>
  <c r="CE80" i="265" s="1"/>
  <c r="CG119" i="273"/>
  <c r="CG120" i="273" s="1"/>
  <c r="CG12" i="281" s="1"/>
  <c r="CH96" i="273"/>
  <c r="CH97" i="273" s="1"/>
  <c r="CH108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21" i="281" s="1"/>
  <c r="CE3" i="275"/>
  <c r="CE3" i="265"/>
  <c r="CE3" i="273"/>
  <c r="CE50" i="273"/>
  <c r="CH52" i="273"/>
  <c r="CH38" i="273"/>
  <c r="CH118" i="273"/>
  <c r="CF66" i="273"/>
  <c r="CF67" i="273" s="1"/>
  <c r="CG60" i="273"/>
  <c r="CG109" i="273"/>
  <c r="CF112" i="273"/>
  <c r="CI75" i="273"/>
  <c r="CI76" i="273" s="1"/>
  <c r="CG4" i="265"/>
  <c r="CG4" i="275"/>
  <c r="CG4" i="273"/>
  <c r="BZ75" i="265" l="1"/>
  <c r="BZ81" i="265" s="1"/>
  <c r="BY82" i="265"/>
  <c r="BY83" i="265"/>
  <c r="CH4" i="281"/>
  <c r="CF3" i="281"/>
  <c r="CI96" i="273"/>
  <c r="CI97" i="273" s="1"/>
  <c r="CI2" i="281"/>
  <c r="CH119" i="273"/>
  <c r="CH120" i="273" s="1"/>
  <c r="CH12" i="281" s="1"/>
  <c r="CH37" i="281"/>
  <c r="CH22" i="281"/>
  <c r="CH23" i="281" s="1"/>
  <c r="CH29" i="281" s="1"/>
  <c r="CH13" i="281"/>
  <c r="CG14" i="281"/>
  <c r="CG28" i="281" s="1"/>
  <c r="CG30" i="281" s="1"/>
  <c r="CG36" i="281" s="1"/>
  <c r="CG38" i="281" s="1"/>
  <c r="CG9" i="265" s="1"/>
  <c r="CG11" i="265" s="1"/>
  <c r="CG14" i="265" s="1"/>
  <c r="CG19" i="265" s="1"/>
  <c r="CG22" i="265" s="1"/>
  <c r="CI90" i="273"/>
  <c r="CI91" i="273" s="1"/>
  <c r="CI100" i="273" s="1"/>
  <c r="CJ101" i="273" s="1"/>
  <c r="CJ59" i="273" s="1"/>
  <c r="CF65" i="265"/>
  <c r="CF67" i="265" s="1"/>
  <c r="CF80" i="265" s="1"/>
  <c r="CI39" i="273"/>
  <c r="CI41" i="273" s="1"/>
  <c r="CI42" i="273" s="1"/>
  <c r="CI2" i="265"/>
  <c r="CI32" i="273"/>
  <c r="CI33" i="273" s="1"/>
  <c r="CI38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37" i="273"/>
  <c r="CG66" i="273"/>
  <c r="CG67" i="273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13" i="273"/>
  <c r="CI114" i="273" s="1"/>
  <c r="CI21" i="281" s="1"/>
  <c r="CG112" i="273"/>
  <c r="CH109" i="273"/>
  <c r="CF3" i="275"/>
  <c r="CF3" i="273"/>
  <c r="CF50" i="273"/>
  <c r="CF3" i="265"/>
  <c r="CI52" i="273"/>
  <c r="CJ32" i="273"/>
  <c r="CJ33" i="273" s="1"/>
  <c r="CJ2" i="265"/>
  <c r="CJ2" i="273"/>
  <c r="CA75" i="265" l="1"/>
  <c r="CA81" i="265" s="1"/>
  <c r="CG25" i="265"/>
  <c r="BZ83" i="265"/>
  <c r="BZ82" i="265"/>
  <c r="CI4" i="281"/>
  <c r="CI118" i="273"/>
  <c r="CI120" i="273"/>
  <c r="CI12" i="281" s="1"/>
  <c r="CG3" i="281"/>
  <c r="CJ2" i="281"/>
  <c r="CI37" i="281"/>
  <c r="CI22" i="281"/>
  <c r="CI23" i="281" s="1"/>
  <c r="CI29" i="281" s="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H14" i="281"/>
  <c r="CH28" i="281" s="1"/>
  <c r="CH30" i="281" s="1"/>
  <c r="CH36" i="281" s="1"/>
  <c r="CH38" i="281" s="1"/>
  <c r="CH9" i="265" s="1"/>
  <c r="CH11" i="265" s="1"/>
  <c r="CH14" i="265" s="1"/>
  <c r="CH19" i="265" s="1"/>
  <c r="CH22" i="265" s="1"/>
  <c r="CG65" i="265"/>
  <c r="CG67" i="265" s="1"/>
  <c r="CG80" i="265" s="1"/>
  <c r="CK37" i="273"/>
  <c r="CK47" i="273"/>
  <c r="CK48" i="273" s="1"/>
  <c r="CK51" i="273" s="1"/>
  <c r="CK56" i="273"/>
  <c r="CK19" i="273"/>
  <c r="CK20" i="273" s="1"/>
  <c r="CK24" i="273" s="1"/>
  <c r="CK25" i="273" s="1"/>
  <c r="CK2" i="281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J119" i="273"/>
  <c r="CJ120" i="273" s="1"/>
  <c r="CJ12" i="281" s="1"/>
  <c r="CJ108" i="273"/>
  <c r="CI4" i="273"/>
  <c r="CI4" i="265"/>
  <c r="CI4" i="275"/>
  <c r="CH112" i="273"/>
  <c r="CJ76" i="273"/>
  <c r="CJ42" i="273"/>
  <c r="CG3" i="265"/>
  <c r="CG3" i="275"/>
  <c r="CG50" i="273"/>
  <c r="CG3" i="273"/>
  <c r="CJ38" i="273"/>
  <c r="CJ118" i="273"/>
  <c r="CH66" i="273"/>
  <c r="CH67" i="273" s="1"/>
  <c r="CI60" i="273"/>
  <c r="CA82" i="265" l="1"/>
  <c r="CA83" i="265"/>
  <c r="CH25" i="265"/>
  <c r="CB75" i="265"/>
  <c r="CB81" i="265" s="1"/>
  <c r="CH3" i="281"/>
  <c r="CJ4" i="281"/>
  <c r="CJ37" i="281"/>
  <c r="CJ22" i="281"/>
  <c r="CJ23" i="281" s="1"/>
  <c r="CJ29" i="281" s="1"/>
  <c r="CJ13" i="281"/>
  <c r="CJ14" i="281" s="1"/>
  <c r="CJ28" i="281" s="1"/>
  <c r="CI14" i="281"/>
  <c r="CI28" i="281" s="1"/>
  <c r="CI30" i="281" s="1"/>
  <c r="CI36" i="281" s="1"/>
  <c r="CI38" i="281" s="1"/>
  <c r="CI9" i="265" s="1"/>
  <c r="CI11" i="265" s="1"/>
  <c r="CI14" i="265" s="1"/>
  <c r="CI19" i="265" s="1"/>
  <c r="CI22" i="265" s="1"/>
  <c r="CK32" i="273"/>
  <c r="CK33" i="273" s="1"/>
  <c r="CK96" i="273"/>
  <c r="CK97" i="273" s="1"/>
  <c r="CH65" i="265"/>
  <c r="CH67" i="265" s="1"/>
  <c r="CH80" i="265" s="1"/>
  <c r="CK90" i="273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51" i="273" s="1"/>
  <c r="CL19" i="273"/>
  <c r="CL20" i="273" s="1"/>
  <c r="CL24" i="273" s="1"/>
  <c r="CL25" i="273" s="1"/>
  <c r="CL2" i="281" s="1"/>
  <c r="CL56" i="273"/>
  <c r="CM5" i="275"/>
  <c r="CM5" i="265"/>
  <c r="CN10" i="273"/>
  <c r="CM5" i="273"/>
  <c r="CM13" i="273"/>
  <c r="CM14" i="273" s="1"/>
  <c r="CK39" i="273"/>
  <c r="CK41" i="273" s="1"/>
  <c r="CK52" i="273" s="1"/>
  <c r="CH3" i="265"/>
  <c r="CH3" i="273"/>
  <c r="CH3" i="275"/>
  <c r="CH50" i="273"/>
  <c r="CL2" i="265"/>
  <c r="CK119" i="273"/>
  <c r="CK120" i="273" s="1"/>
  <c r="CK12" i="281" s="1"/>
  <c r="CK113" i="273"/>
  <c r="CK114" i="273" s="1"/>
  <c r="CK21" i="281" s="1"/>
  <c r="CK108" i="273"/>
  <c r="CJ4" i="265"/>
  <c r="CJ4" i="275"/>
  <c r="CJ4" i="273"/>
  <c r="CJ109" i="273"/>
  <c r="CI112" i="273"/>
  <c r="CI66" i="273"/>
  <c r="CI67" i="273" s="1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I25" i="265" l="1"/>
  <c r="CC75" i="265"/>
  <c r="CC81" i="265" s="1"/>
  <c r="CB83" i="265"/>
  <c r="CB82" i="265"/>
  <c r="CI3" i="281"/>
  <c r="CK42" i="273"/>
  <c r="CK37" i="281"/>
  <c r="CK22" i="281"/>
  <c r="CK23" i="281" s="1"/>
  <c r="CK29" i="281" s="1"/>
  <c r="CK13" i="281"/>
  <c r="CK14" i="281" s="1"/>
  <c r="CK28" i="281" s="1"/>
  <c r="CJ30" i="281"/>
  <c r="CJ36" i="281" s="1"/>
  <c r="CJ38" i="281" s="1"/>
  <c r="CJ9" i="265" s="1"/>
  <c r="CJ11" i="265" s="1"/>
  <c r="CJ14" i="265" s="1"/>
  <c r="CJ19" i="265" s="1"/>
  <c r="CJ22" i="265" s="1"/>
  <c r="CI65" i="265"/>
  <c r="CI67" i="265" s="1"/>
  <c r="CI80" i="265" s="1"/>
  <c r="CL75" i="273"/>
  <c r="CL76" i="273" s="1"/>
  <c r="CL2" i="273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2" i="281" s="1"/>
  <c r="CN5" i="265"/>
  <c r="CN5" i="273"/>
  <c r="CN13" i="273"/>
  <c r="CN14" i="273" s="1"/>
  <c r="CN5" i="275"/>
  <c r="CO10" i="273"/>
  <c r="CL96" i="273"/>
  <c r="CL97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96" i="273"/>
  <c r="CM97" i="273" s="1"/>
  <c r="CJ66" i="273"/>
  <c r="CJ67" i="273" s="1"/>
  <c r="CL38" i="273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C82" i="265" l="1"/>
  <c r="CC83" i="265"/>
  <c r="CJ25" i="265"/>
  <c r="CD75" i="265"/>
  <c r="CD81" i="265" s="1"/>
  <c r="CL42" i="273"/>
  <c r="CJ3" i="281"/>
  <c r="CM32" i="273"/>
  <c r="CM33" i="273" s="1"/>
  <c r="CK30" i="281"/>
  <c r="CK36" i="281" s="1"/>
  <c r="CK38" i="281" s="1"/>
  <c r="CK9" i="265" s="1"/>
  <c r="CK11" i="265" s="1"/>
  <c r="CK14" i="265" s="1"/>
  <c r="CK19" i="265" s="1"/>
  <c r="CK22" i="265" s="1"/>
  <c r="CM37" i="281"/>
  <c r="CM22" i="281"/>
  <c r="CM13" i="281"/>
  <c r="CL113" i="273"/>
  <c r="CL114" i="273" s="1"/>
  <c r="CL21" i="281" s="1"/>
  <c r="CL37" i="281"/>
  <c r="CL22" i="281"/>
  <c r="CL23" i="281" s="1"/>
  <c r="CL29" i="281" s="1"/>
  <c r="CL13" i="281"/>
  <c r="CK4" i="281"/>
  <c r="CM90" i="273"/>
  <c r="CM91" i="273" s="1"/>
  <c r="CM100" i="273" s="1"/>
  <c r="CN101" i="273" s="1"/>
  <c r="CN59" i="273" s="1"/>
  <c r="CM2" i="265"/>
  <c r="CM75" i="273"/>
  <c r="CM76" i="273" s="1"/>
  <c r="CJ65" i="265"/>
  <c r="CJ67" i="265" s="1"/>
  <c r="CJ80" i="265" s="1"/>
  <c r="CM2" i="273"/>
  <c r="CM2" i="275"/>
  <c r="CM39" i="273"/>
  <c r="CM41" i="273" s="1"/>
  <c r="CM42" i="273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2" i="281" s="1"/>
  <c r="CN47" i="273"/>
  <c r="CN48" i="273" s="1"/>
  <c r="CN51" i="273" s="1"/>
  <c r="CN56" i="273"/>
  <c r="CN37" i="273"/>
  <c r="CL119" i="273"/>
  <c r="CL120" i="273" s="1"/>
  <c r="CL12" i="281" s="1"/>
  <c r="CM57" i="273"/>
  <c r="CM79" i="273"/>
  <c r="CN80" i="273" s="1"/>
  <c r="CN58" i="273" s="1"/>
  <c r="CM15" i="275"/>
  <c r="CK112" i="273"/>
  <c r="CL109" i="273"/>
  <c r="CL4" i="265"/>
  <c r="CL4" i="273"/>
  <c r="CL4" i="275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L60" i="273"/>
  <c r="CM113" i="273"/>
  <c r="CM114" i="273" s="1"/>
  <c r="CM21" i="281" s="1"/>
  <c r="CM119" i="273"/>
  <c r="CM108" i="273"/>
  <c r="CE75" i="265" l="1"/>
  <c r="CE81" i="265" s="1"/>
  <c r="CK25" i="265"/>
  <c r="CD82" i="265"/>
  <c r="CD83" i="265"/>
  <c r="CK3" i="281"/>
  <c r="CM52" i="273"/>
  <c r="CL14" i="281"/>
  <c r="CL28" i="281" s="1"/>
  <c r="CL30" i="281" s="1"/>
  <c r="CL36" i="281" s="1"/>
  <c r="CL38" i="281" s="1"/>
  <c r="CL9" i="265" s="1"/>
  <c r="CL11" i="265" s="1"/>
  <c r="CL14" i="265" s="1"/>
  <c r="CL19" i="265" s="1"/>
  <c r="CL22" i="265" s="1"/>
  <c r="CM4" i="281"/>
  <c r="CM23" i="281"/>
  <c r="CM29" i="281" s="1"/>
  <c r="CL4" i="281"/>
  <c r="CN32" i="273"/>
  <c r="CN33" i="273" s="1"/>
  <c r="CK65" i="265"/>
  <c r="CK67" i="265" s="1"/>
  <c r="CK80" i="265" s="1"/>
  <c r="CN96" i="273"/>
  <c r="CN97" i="273" s="1"/>
  <c r="CN75" i="273"/>
  <c r="CM120" i="273"/>
  <c r="CM12" i="281" s="1"/>
  <c r="CM14" i="281" s="1"/>
  <c r="CM28" i="281" s="1"/>
  <c r="CM30" i="281" s="1"/>
  <c r="CM36" i="281" s="1"/>
  <c r="CM38" i="281" s="1"/>
  <c r="CM9" i="265" s="1"/>
  <c r="CM11" i="265" s="1"/>
  <c r="CM14" i="265" s="1"/>
  <c r="CM19" i="265" s="1"/>
  <c r="CM22" i="265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2" i="281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21" i="281" s="1"/>
  <c r="CN108" i="273"/>
  <c r="CN119" i="273"/>
  <c r="CN120" i="273" s="1"/>
  <c r="CN12" i="281" s="1"/>
  <c r="CN76" i="273"/>
  <c r="CN52" i="273"/>
  <c r="CM25" i="265" l="1"/>
  <c r="CL25" i="265"/>
  <c r="CF75" i="265"/>
  <c r="CF81" i="265" s="1"/>
  <c r="CE82" i="265"/>
  <c r="CE83" i="265"/>
  <c r="CL3" i="281"/>
  <c r="CN4" i="281"/>
  <c r="CN37" i="281"/>
  <c r="CN22" i="281"/>
  <c r="CN23" i="281" s="1"/>
  <c r="CN29" i="281" s="1"/>
  <c r="CN13" i="281"/>
  <c r="CN14" i="281" s="1"/>
  <c r="CN28" i="281" s="1"/>
  <c r="CO75" i="273"/>
  <c r="CO76" i="273" s="1"/>
  <c r="CL65" i="265"/>
  <c r="CL67" i="265" s="1"/>
  <c r="CL80" i="265" s="1"/>
  <c r="CO32" i="273"/>
  <c r="CO33" i="273" s="1"/>
  <c r="CO38" i="273" s="1"/>
  <c r="CO2" i="275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47" i="273"/>
  <c r="CP48" i="273" s="1"/>
  <c r="CP51" i="273" s="1"/>
  <c r="CO96" i="273"/>
  <c r="CO97" i="273" s="1"/>
  <c r="CO2" i="273"/>
  <c r="CO90" i="273"/>
  <c r="CO91" i="273" s="1"/>
  <c r="CO100" i="273" s="1"/>
  <c r="CP101" i="273" s="1"/>
  <c r="CP59" i="273" s="1"/>
  <c r="CP2" i="265"/>
  <c r="CN57" i="273"/>
  <c r="CN79" i="273"/>
  <c r="CO80" i="273" s="1"/>
  <c r="CO58" i="273" s="1"/>
  <c r="CN15" i="275"/>
  <c r="CN20" i="275" s="1"/>
  <c r="CO17" i="275" s="1"/>
  <c r="CO118" i="273"/>
  <c r="CM66" i="273"/>
  <c r="CM67" i="273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42" i="273"/>
  <c r="CL3" i="273"/>
  <c r="CL3" i="275"/>
  <c r="CL3" i="265"/>
  <c r="CL50" i="273"/>
  <c r="CG75" i="265" l="1"/>
  <c r="CG81" i="265" s="1"/>
  <c r="CF83" i="265"/>
  <c r="CF82" i="265"/>
  <c r="CO119" i="273"/>
  <c r="CO120" i="273" s="1"/>
  <c r="CO12" i="281" s="1"/>
  <c r="CO37" i="281"/>
  <c r="CO22" i="281"/>
  <c r="CO13" i="281"/>
  <c r="CO14" i="281" s="1"/>
  <c r="CO28" i="281" s="1"/>
  <c r="CO4" i="281"/>
  <c r="CP2" i="281"/>
  <c r="CO113" i="273"/>
  <c r="CO114" i="273" s="1"/>
  <c r="CO21" i="281" s="1"/>
  <c r="CM3" i="281"/>
  <c r="CP2" i="275"/>
  <c r="CP32" i="273"/>
  <c r="CP33" i="273" s="1"/>
  <c r="CN30" i="281"/>
  <c r="CN36" i="281" s="1"/>
  <c r="CN38" i="281" s="1"/>
  <c r="CN9" i="265" s="1"/>
  <c r="CN11" i="265" s="1"/>
  <c r="CN14" i="265" s="1"/>
  <c r="CN19" i="265" s="1"/>
  <c r="CN22" i="265" s="1"/>
  <c r="CO108" i="273"/>
  <c r="CP39" i="273"/>
  <c r="CP41" i="273" s="1"/>
  <c r="CP2" i="273"/>
  <c r="CP96" i="273"/>
  <c r="CP97" i="273" s="1"/>
  <c r="CP90" i="273"/>
  <c r="CP91" i="273" s="1"/>
  <c r="CP100" i="273" s="1"/>
  <c r="CQ101" i="273" s="1"/>
  <c r="CQ59" i="273" s="1"/>
  <c r="CP75" i="273"/>
  <c r="CP76" i="273" s="1"/>
  <c r="CM65" i="265"/>
  <c r="CM67" i="265" s="1"/>
  <c r="CM80" i="265" s="1"/>
  <c r="CO20" i="275"/>
  <c r="CP17" i="275" s="1"/>
  <c r="CQ37" i="273"/>
  <c r="CQ47" i="273"/>
  <c r="CQ48" i="273" s="1"/>
  <c r="CQ19" i="273"/>
  <c r="CQ20" i="273" s="1"/>
  <c r="CQ24" i="273" s="1"/>
  <c r="CQ25" i="273" s="1"/>
  <c r="CQ2" i="281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51" i="273"/>
  <c r="CN66" i="273"/>
  <c r="CN67" i="273" s="1"/>
  <c r="CO60" i="273"/>
  <c r="CP113" i="273"/>
  <c r="CP114" i="273" s="1"/>
  <c r="CP21" i="281" s="1"/>
  <c r="CP119" i="273"/>
  <c r="CP120" i="273" s="1"/>
  <c r="CP12" i="281" s="1"/>
  <c r="CP108" i="273"/>
  <c r="CO4" i="275"/>
  <c r="CO4" i="273"/>
  <c r="CO4" i="265"/>
  <c r="CM3" i="265"/>
  <c r="CM3" i="273"/>
  <c r="CM50" i="273"/>
  <c r="CM3" i="275"/>
  <c r="CP42" i="273"/>
  <c r="CP52" i="273"/>
  <c r="CP38" i="273"/>
  <c r="CP118" i="273"/>
  <c r="CN25" i="265" l="1"/>
  <c r="CH75" i="265"/>
  <c r="CH81" i="265" s="1"/>
  <c r="CG83" i="265"/>
  <c r="CG82" i="265"/>
  <c r="CP4" i="281"/>
  <c r="CP37" i="281"/>
  <c r="CP22" i="281"/>
  <c r="CP23" i="281" s="1"/>
  <c r="CP29" i="281" s="1"/>
  <c r="CP13" i="281"/>
  <c r="CP14" i="281" s="1"/>
  <c r="CP28" i="281" s="1"/>
  <c r="CN3" i="281"/>
  <c r="CQ75" i="273"/>
  <c r="CQ76" i="273" s="1"/>
  <c r="CO23" i="281"/>
  <c r="CO29" i="281" s="1"/>
  <c r="CO30" i="281" s="1"/>
  <c r="CO36" i="281" s="1"/>
  <c r="CO38" i="281" s="1"/>
  <c r="CO9" i="265" s="1"/>
  <c r="CO11" i="265" s="1"/>
  <c r="CO14" i="265" s="1"/>
  <c r="CO19" i="265" s="1"/>
  <c r="CO22" i="265" s="1"/>
  <c r="CQ90" i="273"/>
  <c r="CQ91" i="273" s="1"/>
  <c r="CQ100" i="273" s="1"/>
  <c r="CR101" i="273" s="1"/>
  <c r="CR59" i="273" s="1"/>
  <c r="CN65" i="265"/>
  <c r="CN67" i="265" s="1"/>
  <c r="CN80" i="265" s="1"/>
  <c r="CQ39" i="273"/>
  <c r="CQ41" i="273" s="1"/>
  <c r="CQ42" i="273" s="1"/>
  <c r="CQ2" i="265"/>
  <c r="CQ96" i="273"/>
  <c r="CQ97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2" i="281" s="1"/>
  <c r="CQ2" i="275"/>
  <c r="CQ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P60" i="273"/>
  <c r="CO112" i="273"/>
  <c r="CP109" i="273"/>
  <c r="CN3" i="275"/>
  <c r="CN3" i="265"/>
  <c r="CN50" i="273"/>
  <c r="CN3" i="273"/>
  <c r="CQ113" i="273"/>
  <c r="CQ114" i="273" s="1"/>
  <c r="CQ21" i="281" s="1"/>
  <c r="CQ108" i="273"/>
  <c r="CQ38" i="273"/>
  <c r="CI75" i="265" l="1"/>
  <c r="CI81" i="265" s="1"/>
  <c r="CO25" i="265"/>
  <c r="CP30" i="281"/>
  <c r="CP36" i="281" s="1"/>
  <c r="CP38" i="281" s="1"/>
  <c r="CP9" i="265" s="1"/>
  <c r="CP11" i="265" s="1"/>
  <c r="CP14" i="265" s="1"/>
  <c r="CP19" i="265" s="1"/>
  <c r="CP22" i="265" s="1"/>
  <c r="CH82" i="265"/>
  <c r="CH83" i="265"/>
  <c r="CQ52" i="273"/>
  <c r="CO3" i="281"/>
  <c r="CQ119" i="273"/>
  <c r="CQ120" i="273" s="1"/>
  <c r="CQ12" i="281" s="1"/>
  <c r="CQ37" i="281"/>
  <c r="CQ22" i="281"/>
  <c r="CQ23" i="281" s="1"/>
  <c r="CQ29" i="281" s="1"/>
  <c r="CQ13" i="281"/>
  <c r="CQ4" i="281"/>
  <c r="CR75" i="273"/>
  <c r="CR76" i="273" s="1"/>
  <c r="CO65" i="265"/>
  <c r="CO67" i="265" s="1"/>
  <c r="CO80" i="265" s="1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56" i="273"/>
  <c r="CR42" i="273"/>
  <c r="CP112" i="273"/>
  <c r="CQ109" i="273"/>
  <c r="CP66" i="273"/>
  <c r="CP67" i="273" s="1"/>
  <c r="CQ60" i="273"/>
  <c r="CR113" i="273"/>
  <c r="CR114" i="273" s="1"/>
  <c r="CR21" i="281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Q14" i="281" l="1"/>
  <c r="CQ28" i="281" s="1"/>
  <c r="CQ30" i="281" s="1"/>
  <c r="CQ36" i="281" s="1"/>
  <c r="CQ38" i="281" s="1"/>
  <c r="CQ9" i="265" s="1"/>
  <c r="CQ11" i="265" s="1"/>
  <c r="CQ14" i="265" s="1"/>
  <c r="CQ19" i="265" s="1"/>
  <c r="CQ22" i="265" s="1"/>
  <c r="CJ75" i="265"/>
  <c r="CJ81" i="265" s="1"/>
  <c r="CP25" i="265"/>
  <c r="CI82" i="265"/>
  <c r="CI83" i="265"/>
  <c r="CR4" i="281"/>
  <c r="CS2" i="273"/>
  <c r="CS2" i="281"/>
  <c r="CR119" i="273"/>
  <c r="CR120" i="273" s="1"/>
  <c r="CR12" i="281" s="1"/>
  <c r="CR37" i="281"/>
  <c r="CR22" i="281"/>
  <c r="CR23" i="281" s="1"/>
  <c r="CR29" i="281" s="1"/>
  <c r="CR13" i="281"/>
  <c r="CP3" i="281"/>
  <c r="CS32" i="273"/>
  <c r="CS33" i="273" s="1"/>
  <c r="CP65" i="265"/>
  <c r="CP67" i="265" s="1"/>
  <c r="CP80" i="265" s="1"/>
  <c r="CS75" i="273"/>
  <c r="CS76" i="273" s="1"/>
  <c r="CS39" i="273"/>
  <c r="CS41" i="273" s="1"/>
  <c r="CS52" i="273" s="1"/>
  <c r="CR108" i="273"/>
  <c r="CS96" i="273"/>
  <c r="CS97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2" i="281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R60" i="273"/>
  <c r="CR109" i="273"/>
  <c r="CQ112" i="273"/>
  <c r="CS38" i="273"/>
  <c r="CS118" i="273"/>
  <c r="CS42" i="273"/>
  <c r="CP50" i="273"/>
  <c r="CP3" i="273"/>
  <c r="CP3" i="265"/>
  <c r="CP3" i="275"/>
  <c r="CS108" i="273"/>
  <c r="CR4" i="275"/>
  <c r="CR4" i="265"/>
  <c r="CR4" i="273"/>
  <c r="CJ82" i="265" l="1"/>
  <c r="CJ83" i="265"/>
  <c r="CQ25" i="265"/>
  <c r="CK75" i="265"/>
  <c r="CK81" i="265" s="1"/>
  <c r="CS4" i="281"/>
  <c r="CS113" i="273"/>
  <c r="CS114" i="273" s="1"/>
  <c r="CS21" i="281" s="1"/>
  <c r="CS37" i="281"/>
  <c r="CS22" i="281"/>
  <c r="CS23" i="281" s="1"/>
  <c r="CS29" i="281" s="1"/>
  <c r="CS13" i="281"/>
  <c r="CS119" i="273"/>
  <c r="CS120" i="273" s="1"/>
  <c r="CS12" i="281" s="1"/>
  <c r="CT90" i="273"/>
  <c r="CT91" i="273" s="1"/>
  <c r="CT100" i="273" s="1"/>
  <c r="CU101" i="273" s="1"/>
  <c r="CU59" i="273" s="1"/>
  <c r="CQ3" i="281"/>
  <c r="CR14" i="281"/>
  <c r="CR28" i="281" s="1"/>
  <c r="CR30" i="281" s="1"/>
  <c r="CR36" i="281" s="1"/>
  <c r="CR38" i="281" s="1"/>
  <c r="CR9" i="265" s="1"/>
  <c r="CR11" i="265" s="1"/>
  <c r="CR14" i="265" s="1"/>
  <c r="CR19" i="265" s="1"/>
  <c r="CR22" i="265" s="1"/>
  <c r="CT32" i="273"/>
  <c r="CT33" i="273" s="1"/>
  <c r="CS79" i="273"/>
  <c r="CT80" i="273" s="1"/>
  <c r="CT58" i="273" s="1"/>
  <c r="CQ65" i="265"/>
  <c r="CQ67" i="265" s="1"/>
  <c r="CQ80" i="265" s="1"/>
  <c r="CT96" i="273"/>
  <c r="CT97" i="273" s="1"/>
  <c r="CT108" i="273" s="1"/>
  <c r="CT75" i="273"/>
  <c r="CT76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2" i="281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T57" i="273"/>
  <c r="CT15" i="275"/>
  <c r="CT20" i="275" s="1"/>
  <c r="CU17" i="275" s="1"/>
  <c r="CS4" i="275"/>
  <c r="CS4" i="273"/>
  <c r="CS4" i="265"/>
  <c r="CT42" i="273"/>
  <c r="CR112" i="273"/>
  <c r="CS109" i="273"/>
  <c r="CQ3" i="265"/>
  <c r="CQ3" i="275"/>
  <c r="CQ3" i="273"/>
  <c r="CQ50" i="273"/>
  <c r="CR66" i="273"/>
  <c r="CR67" i="273" s="1"/>
  <c r="CS60" i="273"/>
  <c r="CL75" i="265" l="1"/>
  <c r="CL81" i="265" s="1"/>
  <c r="CR25" i="265"/>
  <c r="CK83" i="265"/>
  <c r="CK82" i="265"/>
  <c r="CT4" i="281"/>
  <c r="CR3" i="281"/>
  <c r="CU2" i="275"/>
  <c r="CS14" i="281"/>
  <c r="CS28" i="281" s="1"/>
  <c r="CS30" i="281" s="1"/>
  <c r="CS36" i="281" s="1"/>
  <c r="CS38" i="281" s="1"/>
  <c r="CS9" i="265" s="1"/>
  <c r="CS11" i="265" s="1"/>
  <c r="CS14" i="265" s="1"/>
  <c r="CS19" i="265" s="1"/>
  <c r="CS22" i="265" s="1"/>
  <c r="CT113" i="273"/>
  <c r="CT114" i="273" s="1"/>
  <c r="CT21" i="281" s="1"/>
  <c r="CT37" i="281"/>
  <c r="CT22" i="281"/>
  <c r="CT23" i="281" s="1"/>
  <c r="CT29" i="281" s="1"/>
  <c r="CT13" i="281"/>
  <c r="CU75" i="273"/>
  <c r="CR65" i="265"/>
  <c r="CR67" i="265" s="1"/>
  <c r="CR80" i="265" s="1"/>
  <c r="CU90" i="273"/>
  <c r="CU91" i="273" s="1"/>
  <c r="CU100" i="273" s="1"/>
  <c r="CV101" i="273" s="1"/>
  <c r="CV59" i="273" s="1"/>
  <c r="CT79" i="273"/>
  <c r="CU80" i="273" s="1"/>
  <c r="CU58" i="273" s="1"/>
  <c r="CU76" i="273"/>
  <c r="CT119" i="273"/>
  <c r="CT120" i="273" s="1"/>
  <c r="CT12" i="281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S66" i="273"/>
  <c r="CS67" i="273" s="1"/>
  <c r="CT60" i="273"/>
  <c r="CT4" i="265"/>
  <c r="CT4" i="273"/>
  <c r="CT4" i="275"/>
  <c r="CU119" i="273"/>
  <c r="CU113" i="273"/>
  <c r="CU114" i="273" s="1"/>
  <c r="CU21" i="281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S25" i="265" l="1"/>
  <c r="CL83" i="265"/>
  <c r="CL82" i="265"/>
  <c r="CM75" i="265"/>
  <c r="CM81" i="265" s="1"/>
  <c r="CV37" i="281"/>
  <c r="CV22" i="281"/>
  <c r="CV13" i="281"/>
  <c r="CU4" i="281"/>
  <c r="CT14" i="281"/>
  <c r="CT28" i="281" s="1"/>
  <c r="CT30" i="281" s="1"/>
  <c r="CT36" i="281" s="1"/>
  <c r="CT38" i="281" s="1"/>
  <c r="CT9" i="265" s="1"/>
  <c r="CT11" i="265" s="1"/>
  <c r="CT14" i="265" s="1"/>
  <c r="CT19" i="265" s="1"/>
  <c r="CT22" i="265" s="1"/>
  <c r="CS3" i="281"/>
  <c r="CV2" i="281"/>
  <c r="CU37" i="281"/>
  <c r="CU13" i="281"/>
  <c r="CU22" i="281"/>
  <c r="CU23" i="281" s="1"/>
  <c r="CU29" i="281" s="1"/>
  <c r="CS65" i="265"/>
  <c r="CS67" i="265" s="1"/>
  <c r="CS80" i="265" s="1"/>
  <c r="CU120" i="273"/>
  <c r="CU12" i="281" s="1"/>
  <c r="CW37" i="273"/>
  <c r="CW47" i="273"/>
  <c r="CW48" i="273" s="1"/>
  <c r="CW51" i="273" s="1"/>
  <c r="CW56" i="273"/>
  <c r="CW19" i="273"/>
  <c r="CW20" i="273" s="1"/>
  <c r="CW24" i="273" s="1"/>
  <c r="CW25" i="273" s="1"/>
  <c r="CX5" i="265"/>
  <c r="CX5" i="273"/>
  <c r="CX13" i="273"/>
  <c r="CX14" i="273" s="1"/>
  <c r="CX5" i="275"/>
  <c r="CY10" i="273"/>
  <c r="CV39" i="273"/>
  <c r="CV41" i="273" s="1"/>
  <c r="CV42" i="273" s="1"/>
  <c r="CV113" i="273"/>
  <c r="CV114" i="273" s="1"/>
  <c r="CV21" i="281" s="1"/>
  <c r="CV119" i="273"/>
  <c r="CV120" i="273" s="1"/>
  <c r="CV12" i="281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U60" i="273"/>
  <c r="CW2" i="273"/>
  <c r="CT112" i="273"/>
  <c r="CU109" i="273"/>
  <c r="CS3" i="265"/>
  <c r="CS3" i="275"/>
  <c r="CS3" i="273"/>
  <c r="CS50" i="273"/>
  <c r="CU4" i="275"/>
  <c r="CU4" i="273"/>
  <c r="CU4" i="265"/>
  <c r="CV23" i="281" l="1"/>
  <c r="CV29" i="281" s="1"/>
  <c r="CT25" i="265"/>
  <c r="CM83" i="265"/>
  <c r="CM82" i="265"/>
  <c r="CN75" i="265"/>
  <c r="CN81" i="265" s="1"/>
  <c r="CV4" i="281"/>
  <c r="CW32" i="273"/>
  <c r="CW33" i="273" s="1"/>
  <c r="CW2" i="281"/>
  <c r="CU14" i="281"/>
  <c r="CU28" i="281" s="1"/>
  <c r="CU30" i="281" s="1"/>
  <c r="CU36" i="281" s="1"/>
  <c r="CU38" i="281" s="1"/>
  <c r="CU9" i="265" s="1"/>
  <c r="CU11" i="265" s="1"/>
  <c r="CU14" i="265" s="1"/>
  <c r="CU19" i="265" s="1"/>
  <c r="CU22" i="265" s="1"/>
  <c r="CW2" i="275"/>
  <c r="CT3" i="281"/>
  <c r="CV14" i="281"/>
  <c r="CV28" i="281" s="1"/>
  <c r="CW75" i="273"/>
  <c r="CW76" i="273" s="1"/>
  <c r="CT65" i="265"/>
  <c r="CT67" i="265" s="1"/>
  <c r="CT80" i="265" s="1"/>
  <c r="CV52" i="273"/>
  <c r="CW2" i="265"/>
  <c r="CW96" i="273"/>
  <c r="CW97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2" i="281" s="1"/>
  <c r="CW39" i="273"/>
  <c r="CW41" i="273" s="1"/>
  <c r="CW42" i="273" s="1"/>
  <c r="CW119" i="273"/>
  <c r="CW120" i="273" s="1"/>
  <c r="CW12" i="281" s="1"/>
  <c r="CT3" i="275"/>
  <c r="CT3" i="265"/>
  <c r="CT3" i="273"/>
  <c r="CT50" i="273"/>
  <c r="CX32" i="273"/>
  <c r="CX33" i="273" s="1"/>
  <c r="CW52" i="273"/>
  <c r="CV109" i="273"/>
  <c r="CU112" i="273"/>
  <c r="CW38" i="273"/>
  <c r="CW118" i="273"/>
  <c r="CU66" i="273"/>
  <c r="CU67" i="273" s="1"/>
  <c r="CV60" i="273"/>
  <c r="CV4" i="275"/>
  <c r="CV4" i="273"/>
  <c r="CV4" i="265"/>
  <c r="CV30" i="281" l="1"/>
  <c r="CV36" i="281" s="1"/>
  <c r="CV38" i="281" s="1"/>
  <c r="CV9" i="265" s="1"/>
  <c r="CV11" i="265" s="1"/>
  <c r="CV14" i="265" s="1"/>
  <c r="CV19" i="265" s="1"/>
  <c r="CV22" i="265" s="1"/>
  <c r="CV25" i="265" s="1"/>
  <c r="CO75" i="265"/>
  <c r="CO81" i="265" s="1"/>
  <c r="CU25" i="265"/>
  <c r="CN82" i="265"/>
  <c r="CN83" i="265"/>
  <c r="CW108" i="273"/>
  <c r="CW37" i="281"/>
  <c r="CW22" i="281"/>
  <c r="CW13" i="281"/>
  <c r="CW14" i="281" s="1"/>
  <c r="CW28" i="281" s="1"/>
  <c r="CU3" i="281"/>
  <c r="CX2" i="275"/>
  <c r="CW113" i="273"/>
  <c r="CW114" i="273" s="1"/>
  <c r="CW21" i="281" s="1"/>
  <c r="CW4" i="281"/>
  <c r="CX75" i="273"/>
  <c r="CU65" i="265"/>
  <c r="CU67" i="265" s="1"/>
  <c r="CU80" i="265" s="1"/>
  <c r="CX39" i="273"/>
  <c r="CX41" i="273" s="1"/>
  <c r="CX96" i="273"/>
  <c r="CX97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2" i="281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52" i="273"/>
  <c r="CW109" i="273"/>
  <c r="CV112" i="273"/>
  <c r="CW4" i="275"/>
  <c r="CW4" i="265"/>
  <c r="CW4" i="273"/>
  <c r="CX76" i="273"/>
  <c r="CV66" i="273"/>
  <c r="CV67" i="273" s="1"/>
  <c r="CX38" i="273"/>
  <c r="CY39" i="273" s="1"/>
  <c r="CY41" i="273" s="1"/>
  <c r="CX118" i="273"/>
  <c r="CO82" i="265" l="1"/>
  <c r="CO83" i="265"/>
  <c r="CP75" i="265"/>
  <c r="CP81" i="265" s="1"/>
  <c r="CV3" i="281"/>
  <c r="CX4" i="281"/>
  <c r="CX113" i="273"/>
  <c r="CX114" i="273" s="1"/>
  <c r="CX21" i="281" s="1"/>
  <c r="CX37" i="281"/>
  <c r="CX22" i="281"/>
  <c r="CX23" i="281" s="1"/>
  <c r="CX29" i="281" s="1"/>
  <c r="CX13" i="281"/>
  <c r="CX108" i="273"/>
  <c r="CW23" i="281"/>
  <c r="CW29" i="281" s="1"/>
  <c r="CW30" i="281" s="1"/>
  <c r="CW36" i="281" s="1"/>
  <c r="CW38" i="281" s="1"/>
  <c r="CW9" i="265" s="1"/>
  <c r="CW11" i="265" s="1"/>
  <c r="CW14" i="265" s="1"/>
  <c r="CW19" i="265" s="1"/>
  <c r="CW22" i="265" s="1"/>
  <c r="CY75" i="273"/>
  <c r="CV65" i="265"/>
  <c r="CV67" i="265" s="1"/>
  <c r="CV80" i="265" s="1"/>
  <c r="CX119" i="273"/>
  <c r="CX120" i="273" s="1"/>
  <c r="CX12" i="281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13" i="273"/>
  <c r="CY114" i="273" s="1"/>
  <c r="CY21" i="281" s="1"/>
  <c r="CY118" i="273"/>
  <c r="CY42" i="273"/>
  <c r="CY52" i="273"/>
  <c r="CZ32" i="273"/>
  <c r="CZ33" i="273" s="1"/>
  <c r="CZ2" i="265"/>
  <c r="CZ96" i="273"/>
  <c r="CZ97" i="273" s="1"/>
  <c r="CY76" i="273"/>
  <c r="CW25" i="265" l="1"/>
  <c r="CQ75" i="265"/>
  <c r="CQ81" i="265" s="1"/>
  <c r="CP82" i="265"/>
  <c r="CP83" i="265"/>
  <c r="CZ37" i="281"/>
  <c r="CZ22" i="281"/>
  <c r="CZ13" i="281"/>
  <c r="CW3" i="281"/>
  <c r="CZ2" i="281"/>
  <c r="CX14" i="281"/>
  <c r="CX28" i="281" s="1"/>
  <c r="CX30" i="281" s="1"/>
  <c r="CX36" i="281" s="1"/>
  <c r="CX38" i="281" s="1"/>
  <c r="CX9" i="265" s="1"/>
  <c r="CX11" i="265" s="1"/>
  <c r="CX14" i="265" s="1"/>
  <c r="CX19" i="265" s="1"/>
  <c r="CX22" i="265" s="1"/>
  <c r="CZ2" i="275"/>
  <c r="CZ2" i="273"/>
  <c r="CZ90" i="273"/>
  <c r="CZ91" i="273" s="1"/>
  <c r="CZ100" i="273" s="1"/>
  <c r="DA101" i="273" s="1"/>
  <c r="DA59" i="273" s="1"/>
  <c r="CZ75" i="273"/>
  <c r="CY4" i="281"/>
  <c r="CY120" i="273"/>
  <c r="CY12" i="281" s="1"/>
  <c r="CY108" i="273"/>
  <c r="CY109" i="273" s="1"/>
  <c r="CY37" i="281"/>
  <c r="CY13" i="281"/>
  <c r="CY22" i="281"/>
  <c r="CY23" i="281" s="1"/>
  <c r="CY29" i="281" s="1"/>
  <c r="CW65" i="265"/>
  <c r="CW67" i="265" s="1"/>
  <c r="CW80" i="265" s="1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21" i="281" s="1"/>
  <c r="CZ108" i="273"/>
  <c r="CZ119" i="273"/>
  <c r="CZ120" i="273" s="1"/>
  <c r="CZ12" i="281" s="1"/>
  <c r="CY4" i="265"/>
  <c r="CY4" i="273"/>
  <c r="CY4" i="275"/>
  <c r="CZ38" i="273"/>
  <c r="CZ118" i="273"/>
  <c r="CZ76" i="273"/>
  <c r="CX112" i="273"/>
  <c r="CW3" i="265"/>
  <c r="CW3" i="273"/>
  <c r="CW3" i="275"/>
  <c r="CW50" i="273"/>
  <c r="CY14" i="281" l="1"/>
  <c r="CY28" i="281" s="1"/>
  <c r="CY30" i="281" s="1"/>
  <c r="CY36" i="281" s="1"/>
  <c r="CY38" i="281" s="1"/>
  <c r="CY9" i="265" s="1"/>
  <c r="CY11" i="265" s="1"/>
  <c r="CY14" i="265" s="1"/>
  <c r="CY19" i="265" s="1"/>
  <c r="CY22" i="265" s="1"/>
  <c r="CY25" i="265" s="1"/>
  <c r="CX25" i="265"/>
  <c r="CQ83" i="265"/>
  <c r="CQ82" i="265"/>
  <c r="CR75" i="265"/>
  <c r="CR81" i="265" s="1"/>
  <c r="CX3" i="281"/>
  <c r="DA32" i="273"/>
  <c r="DA33" i="273" s="1"/>
  <c r="DA2" i="281"/>
  <c r="CZ4" i="281"/>
  <c r="CZ23" i="281"/>
  <c r="CZ29" i="281" s="1"/>
  <c r="DA96" i="273"/>
  <c r="DA97" i="273" s="1"/>
  <c r="CZ14" i="281"/>
  <c r="CZ28" i="281" s="1"/>
  <c r="DA75" i="273"/>
  <c r="CX65" i="265"/>
  <c r="CX67" i="265" s="1"/>
  <c r="CX80" i="265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C5" i="265"/>
  <c r="DC5" i="273"/>
  <c r="DD10" i="273"/>
  <c r="DC13" i="273"/>
  <c r="DC14" i="273" s="1"/>
  <c r="DC5" i="275"/>
  <c r="CY66" i="273"/>
  <c r="CY67" i="273" s="1"/>
  <c r="DA119" i="273"/>
  <c r="DA120" i="273" s="1"/>
  <c r="DA12" i="281" s="1"/>
  <c r="DA113" i="273"/>
  <c r="DA114" i="273" s="1"/>
  <c r="DA21" i="281" s="1"/>
  <c r="CY112" i="273"/>
  <c r="CZ109" i="273"/>
  <c r="CZ4" i="275"/>
  <c r="CZ4" i="273"/>
  <c r="CZ4" i="265"/>
  <c r="DA38" i="273"/>
  <c r="DB39" i="273" s="1"/>
  <c r="DB41" i="273" s="1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52" i="273"/>
  <c r="DB75" i="273"/>
  <c r="DB32" i="273"/>
  <c r="DB33" i="273" s="1"/>
  <c r="DB90" i="273"/>
  <c r="DB91" i="273" s="1"/>
  <c r="DB100" i="273" s="1"/>
  <c r="DC101" i="273" s="1"/>
  <c r="DC59" i="273" s="1"/>
  <c r="DB2" i="265"/>
  <c r="DB2" i="273"/>
  <c r="DB2" i="275"/>
  <c r="DB96" i="273"/>
  <c r="DB97" i="273" s="1"/>
  <c r="DA76" i="273"/>
  <c r="CX3" i="265"/>
  <c r="CX3" i="273"/>
  <c r="CX50" i="273"/>
  <c r="CX3" i="275"/>
  <c r="CZ30" i="281" l="1"/>
  <c r="CZ36" i="281" s="1"/>
  <c r="CZ38" i="281" s="1"/>
  <c r="CZ9" i="265" s="1"/>
  <c r="CZ11" i="265" s="1"/>
  <c r="CZ14" i="265" s="1"/>
  <c r="CZ19" i="265" s="1"/>
  <c r="CZ22" i="265" s="1"/>
  <c r="CZ25" i="265" s="1"/>
  <c r="CR82" i="265"/>
  <c r="CR83" i="265"/>
  <c r="CS75" i="265"/>
  <c r="CS81" i="265" s="1"/>
  <c r="DA37" i="281"/>
  <c r="DA22" i="281"/>
  <c r="DA23" i="281" s="1"/>
  <c r="DA29" i="281" s="1"/>
  <c r="DA13" i="281"/>
  <c r="DA14" i="281" s="1"/>
  <c r="DA28" i="281" s="1"/>
  <c r="DB37" i="281"/>
  <c r="DB22" i="281"/>
  <c r="DB13" i="281"/>
  <c r="DB76" i="273"/>
  <c r="DA4" i="281"/>
  <c r="DA108" i="273"/>
  <c r="DA109" i="273" s="1"/>
  <c r="CY3" i="281"/>
  <c r="DB2" i="281"/>
  <c r="CY65" i="265"/>
  <c r="CY67" i="265" s="1"/>
  <c r="CY80" i="265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2" i="281" s="1"/>
  <c r="DC56" i="273"/>
  <c r="CZ66" i="273"/>
  <c r="CZ67" i="273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96" i="273"/>
  <c r="DC97" i="273" s="1"/>
  <c r="DB113" i="273"/>
  <c r="DB114" i="273" s="1"/>
  <c r="DB21" i="281" s="1"/>
  <c r="DB119" i="273"/>
  <c r="DB120" i="273" s="1"/>
  <c r="DB12" i="281" s="1"/>
  <c r="DB108" i="273"/>
  <c r="DB38" i="273"/>
  <c r="DC39" i="273" s="1"/>
  <c r="DC41" i="273" s="1"/>
  <c r="DB118" i="273"/>
  <c r="DB42" i="273"/>
  <c r="DB52" i="273"/>
  <c r="CZ112" i="273"/>
  <c r="CY3" i="275"/>
  <c r="CY3" i="273"/>
  <c r="CY3" i="265"/>
  <c r="CY50" i="273"/>
  <c r="CT75" i="265" l="1"/>
  <c r="CT81" i="265" s="1"/>
  <c r="CS83" i="265"/>
  <c r="CS82" i="265"/>
  <c r="DB4" i="281"/>
  <c r="DC37" i="281"/>
  <c r="DC13" i="281"/>
  <c r="DC22" i="281"/>
  <c r="CZ3" i="281"/>
  <c r="DB14" i="281"/>
  <c r="DB28" i="281" s="1"/>
  <c r="DC2" i="265"/>
  <c r="DB23" i="281"/>
  <c r="DB29" i="281" s="1"/>
  <c r="DA30" i="281"/>
  <c r="DA36" i="281" s="1"/>
  <c r="DA38" i="281" s="1"/>
  <c r="DA9" i="265" s="1"/>
  <c r="DA11" i="265" s="1"/>
  <c r="DA14" i="265" s="1"/>
  <c r="DA19" i="265" s="1"/>
  <c r="DA22" i="265" s="1"/>
  <c r="DC75" i="273"/>
  <c r="CZ65" i="265"/>
  <c r="CZ67" i="265" s="1"/>
  <c r="CZ80" i="265" s="1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D75" i="273"/>
  <c r="DD76" i="273" s="1"/>
  <c r="DD96" i="273"/>
  <c r="DD97" i="273" s="1"/>
  <c r="DC38" i="273"/>
  <c r="DD39" i="273" s="1"/>
  <c r="DD41" i="273" s="1"/>
  <c r="DC76" i="273"/>
  <c r="DB4" i="273"/>
  <c r="DB4" i="275"/>
  <c r="DB4" i="265"/>
  <c r="DC42" i="273"/>
  <c r="DC52" i="273"/>
  <c r="DC108" i="273"/>
  <c r="DC119" i="273"/>
  <c r="DC120" i="273" s="1"/>
  <c r="DC12" i="281" s="1"/>
  <c r="DC113" i="273"/>
  <c r="DC114" i="273" s="1"/>
  <c r="DC21" i="281" s="1"/>
  <c r="DB20" i="275"/>
  <c r="DC17" i="275" s="1"/>
  <c r="CZ3" i="275"/>
  <c r="CZ50" i="273"/>
  <c r="CZ3" i="265"/>
  <c r="CZ3" i="273"/>
  <c r="DC14" i="281" l="1"/>
  <c r="DC28" i="281" s="1"/>
  <c r="CU75" i="265"/>
  <c r="CU81" i="265" s="1"/>
  <c r="DA25" i="265"/>
  <c r="CT83" i="265"/>
  <c r="CT82" i="265"/>
  <c r="DC4" i="281"/>
  <c r="DD37" i="281"/>
  <c r="DD22" i="281"/>
  <c r="DD13" i="281"/>
  <c r="DA3" i="281"/>
  <c r="DD2" i="281"/>
  <c r="DB30" i="281"/>
  <c r="DB36" i="281" s="1"/>
  <c r="DB38" i="281" s="1"/>
  <c r="DB9" i="265" s="1"/>
  <c r="DB11" i="265" s="1"/>
  <c r="DB14" i="265" s="1"/>
  <c r="DB19" i="265" s="1"/>
  <c r="DB22" i="265" s="1"/>
  <c r="DD2" i="273"/>
  <c r="DD90" i="273"/>
  <c r="DD91" i="273" s="1"/>
  <c r="DD100" i="273" s="1"/>
  <c r="DE101" i="273" s="1"/>
  <c r="DE59" i="273" s="1"/>
  <c r="DC23" i="281"/>
  <c r="DC29" i="281" s="1"/>
  <c r="DC30" i="281" s="1"/>
  <c r="DC36" i="281" s="1"/>
  <c r="DC38" i="281" s="1"/>
  <c r="DC9" i="265" s="1"/>
  <c r="DC11" i="265" s="1"/>
  <c r="DC14" i="265" s="1"/>
  <c r="DC19" i="265" s="1"/>
  <c r="DC22" i="265" s="1"/>
  <c r="DD2" i="275"/>
  <c r="DD2" i="265"/>
  <c r="DD32" i="273"/>
  <c r="DD33" i="273" s="1"/>
  <c r="DA65" i="265"/>
  <c r="DA67" i="265" s="1"/>
  <c r="DA80" i="265" s="1"/>
  <c r="DF5" i="265"/>
  <c r="DF5" i="273"/>
  <c r="DF13" i="273"/>
  <c r="DF14" i="273" s="1"/>
  <c r="DF5" i="275"/>
  <c r="DG10" i="273"/>
  <c r="DE37" i="273"/>
  <c r="DE47" i="273"/>
  <c r="DE48" i="273" s="1"/>
  <c r="DE19" i="273"/>
  <c r="DE20" i="273" s="1"/>
  <c r="DE24" i="273" s="1"/>
  <c r="DE25" i="273" s="1"/>
  <c r="DE56" i="273"/>
  <c r="DC4" i="265"/>
  <c r="DC4" i="275"/>
  <c r="DC4" i="273"/>
  <c r="DE51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52" i="273"/>
  <c r="DD108" i="273"/>
  <c r="DD113" i="273"/>
  <c r="DD114" i="273" s="1"/>
  <c r="DD21" i="281" s="1"/>
  <c r="DD119" i="273"/>
  <c r="DD120" i="273" s="1"/>
  <c r="DD12" i="281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B25" i="265" l="1"/>
  <c r="CU82" i="265"/>
  <c r="CU83" i="265"/>
  <c r="DC25" i="265"/>
  <c r="CV75" i="265"/>
  <c r="CV81" i="265" s="1"/>
  <c r="DB3" i="281"/>
  <c r="DD23" i="281"/>
  <c r="DD29" i="281" s="1"/>
  <c r="DD4" i="281"/>
  <c r="DE2" i="273"/>
  <c r="DE2" i="281"/>
  <c r="DD14" i="281"/>
  <c r="DD28" i="281" s="1"/>
  <c r="DB65" i="265"/>
  <c r="DB67" i="265" s="1"/>
  <c r="DB80" i="265" s="1"/>
  <c r="DE75" i="273"/>
  <c r="DE2" i="265"/>
  <c r="DE32" i="273"/>
  <c r="DE33" i="273" s="1"/>
  <c r="DE38" i="273" s="1"/>
  <c r="DF39" i="273" s="1"/>
  <c r="DF41" i="273" s="1"/>
  <c r="DE96" i="273"/>
  <c r="DE97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2" i="281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52" i="273"/>
  <c r="DE76" i="273"/>
  <c r="DD20" i="275"/>
  <c r="DE17" i="275" s="1"/>
  <c r="DD30" i="281" l="1"/>
  <c r="DD36" i="281" s="1"/>
  <c r="DD38" i="281" s="1"/>
  <c r="DD9" i="265" s="1"/>
  <c r="DD11" i="265" s="1"/>
  <c r="DD14" i="265" s="1"/>
  <c r="DD19" i="265" s="1"/>
  <c r="DD22" i="265" s="1"/>
  <c r="DD25" i="265" s="1"/>
  <c r="CV82" i="265"/>
  <c r="CV83" i="265"/>
  <c r="CW75" i="265"/>
  <c r="CW81" i="265" s="1"/>
  <c r="DE4" i="281"/>
  <c r="DC3" i="281"/>
  <c r="DE113" i="273"/>
  <c r="DE114" i="273" s="1"/>
  <c r="DE21" i="281" s="1"/>
  <c r="DE37" i="281"/>
  <c r="DE22" i="281"/>
  <c r="DE23" i="281" s="1"/>
  <c r="DE29" i="281" s="1"/>
  <c r="DE13" i="281"/>
  <c r="DF32" i="273"/>
  <c r="DF33" i="273" s="1"/>
  <c r="DF118" i="273" s="1"/>
  <c r="DC65" i="265"/>
  <c r="DC67" i="265" s="1"/>
  <c r="DC80" i="265" s="1"/>
  <c r="DE118" i="273"/>
  <c r="DF90" i="273"/>
  <c r="DF91" i="273" s="1"/>
  <c r="DF100" i="273" s="1"/>
  <c r="DG101" i="273" s="1"/>
  <c r="DG59" i="273" s="1"/>
  <c r="DE108" i="273"/>
  <c r="DE109" i="273" s="1"/>
  <c r="DE119" i="273"/>
  <c r="DE120" i="273" s="1"/>
  <c r="DE12" i="281" s="1"/>
  <c r="DF96" i="273"/>
  <c r="DF97" i="273" s="1"/>
  <c r="DF75" i="273"/>
  <c r="DF76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2" i="281" s="1"/>
  <c r="DF38" i="273"/>
  <c r="DG39" i="273" s="1"/>
  <c r="DG41" i="273" s="1"/>
  <c r="DD66" i="273"/>
  <c r="DD67" i="273" s="1"/>
  <c r="DF42" i="273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9" i="273"/>
  <c r="DD112" i="273"/>
  <c r="DC3" i="265"/>
  <c r="DC3" i="273"/>
  <c r="DC50" i="273"/>
  <c r="DC3" i="275"/>
  <c r="CW82" i="265" l="1"/>
  <c r="CW83" i="265"/>
  <c r="CX75" i="265"/>
  <c r="CX81" i="265" s="1"/>
  <c r="DD3" i="281"/>
  <c r="DF37" i="281"/>
  <c r="DF22" i="281"/>
  <c r="DF13" i="281"/>
  <c r="DF108" i="273"/>
  <c r="DF113" i="273"/>
  <c r="DF114" i="273" s="1"/>
  <c r="DF21" i="281" s="1"/>
  <c r="DF4" i="281"/>
  <c r="DE14" i="281"/>
  <c r="DE28" i="281" s="1"/>
  <c r="DE30" i="281" s="1"/>
  <c r="DE36" i="281" s="1"/>
  <c r="DE38" i="281" s="1"/>
  <c r="DE9" i="265" s="1"/>
  <c r="DE11" i="265" s="1"/>
  <c r="DE14" i="265" s="1"/>
  <c r="DE19" i="265" s="1"/>
  <c r="DE22" i="265" s="1"/>
  <c r="DG90" i="273"/>
  <c r="DG91" i="273" s="1"/>
  <c r="DG100" i="273" s="1"/>
  <c r="DH101" i="273" s="1"/>
  <c r="DH59" i="273" s="1"/>
  <c r="DF57" i="273"/>
  <c r="DG32" i="273"/>
  <c r="DG33" i="273" s="1"/>
  <c r="DG118" i="273" s="1"/>
  <c r="DD65" i="265"/>
  <c r="DD67" i="265" s="1"/>
  <c r="DD80" i="265" s="1"/>
  <c r="DF120" i="273"/>
  <c r="DF12" i="281" s="1"/>
  <c r="DF79" i="273"/>
  <c r="DG80" i="273" s="1"/>
  <c r="DG58" i="273" s="1"/>
  <c r="DG2" i="275"/>
  <c r="DG75" i="273"/>
  <c r="DG76" i="273" s="1"/>
  <c r="DG15" i="275" s="1"/>
  <c r="DF15" i="275"/>
  <c r="DF20" i="275" s="1"/>
  <c r="DG17" i="275" s="1"/>
  <c r="DG2" i="273"/>
  <c r="DG2" i="265"/>
  <c r="DG96" i="273"/>
  <c r="DG97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2" i="281" s="1"/>
  <c r="DE66" i="273"/>
  <c r="DE67" i="273" s="1"/>
  <c r="DF60" i="273"/>
  <c r="DF109" i="273"/>
  <c r="DE112" i="273"/>
  <c r="DG57" i="273"/>
  <c r="DH75" i="273"/>
  <c r="DH96" i="273"/>
  <c r="DH97" i="273" s="1"/>
  <c r="DF4" i="265"/>
  <c r="DF4" i="275"/>
  <c r="DF4" i="273"/>
  <c r="DD3" i="273"/>
  <c r="DD3" i="265"/>
  <c r="DD3" i="275"/>
  <c r="DD50" i="273"/>
  <c r="DG42" i="273"/>
  <c r="DG52" i="273"/>
  <c r="DG38" i="273"/>
  <c r="DF23" i="281" l="1"/>
  <c r="DF29" i="281" s="1"/>
  <c r="DE25" i="265"/>
  <c r="CY75" i="265"/>
  <c r="CY81" i="265" s="1"/>
  <c r="CX83" i="265"/>
  <c r="CX82" i="265"/>
  <c r="DG4" i="281"/>
  <c r="DE3" i="281"/>
  <c r="DG113" i="273"/>
  <c r="DG114" i="273" s="1"/>
  <c r="DG21" i="281" s="1"/>
  <c r="DG37" i="281"/>
  <c r="DG13" i="281"/>
  <c r="DG22" i="281"/>
  <c r="DG23" i="281" s="1"/>
  <c r="DG29" i="281" s="1"/>
  <c r="DG119" i="273"/>
  <c r="DG120" i="273" s="1"/>
  <c r="DG12" i="281" s="1"/>
  <c r="DH37" i="281"/>
  <c r="DH22" i="281"/>
  <c r="DH13" i="281"/>
  <c r="DF14" i="281"/>
  <c r="DF28" i="281" s="1"/>
  <c r="DG79" i="273"/>
  <c r="DH80" i="273" s="1"/>
  <c r="DH58" i="273" s="1"/>
  <c r="DH32" i="273"/>
  <c r="DH33" i="273" s="1"/>
  <c r="DE65" i="265"/>
  <c r="DE67" i="265" s="1"/>
  <c r="DE80" i="265" s="1"/>
  <c r="DG108" i="273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56" i="273"/>
  <c r="DH119" i="273"/>
  <c r="DH120" i="273" s="1"/>
  <c r="DH12" i="281" s="1"/>
  <c r="DH108" i="273"/>
  <c r="DH113" i="273"/>
  <c r="DH114" i="273" s="1"/>
  <c r="DH21" i="281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52" i="273"/>
  <c r="DG4" i="275"/>
  <c r="DG4" i="273"/>
  <c r="DG4" i="265"/>
  <c r="DH38" i="273"/>
  <c r="DH118" i="273"/>
  <c r="DF112" i="273"/>
  <c r="DG109" i="273"/>
  <c r="DF66" i="273"/>
  <c r="DF67" i="273" s="1"/>
  <c r="DG60" i="273"/>
  <c r="DF30" i="281" l="1"/>
  <c r="DF36" i="281" s="1"/>
  <c r="DF38" i="281" s="1"/>
  <c r="DF9" i="265" s="1"/>
  <c r="DF11" i="265" s="1"/>
  <c r="DF14" i="265" s="1"/>
  <c r="DF19" i="265" s="1"/>
  <c r="DF22" i="265" s="1"/>
  <c r="DF25" i="265" s="1"/>
  <c r="CY83" i="265"/>
  <c r="CY82" i="265"/>
  <c r="CZ75" i="265"/>
  <c r="CZ81" i="265" s="1"/>
  <c r="DH4" i="281"/>
  <c r="DI32" i="273"/>
  <c r="DI33" i="273" s="1"/>
  <c r="DI2" i="281"/>
  <c r="DH14" i="281"/>
  <c r="DH28" i="281" s="1"/>
  <c r="DF3" i="281"/>
  <c r="DH23" i="281"/>
  <c r="DH29" i="281" s="1"/>
  <c r="DG14" i="281"/>
  <c r="DG28" i="281" s="1"/>
  <c r="DG30" i="281" s="1"/>
  <c r="DG36" i="281" s="1"/>
  <c r="DG38" i="281" s="1"/>
  <c r="DG9" i="265" s="1"/>
  <c r="DG11" i="265" s="1"/>
  <c r="DG14" i="265" s="1"/>
  <c r="DG19" i="265" s="1"/>
  <c r="DG22" i="265" s="1"/>
  <c r="DF65" i="265"/>
  <c r="DF67" i="265" s="1"/>
  <c r="DF80" i="265" s="1"/>
  <c r="DI75" i="273"/>
  <c r="DI2" i="275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2" i="281" s="1"/>
  <c r="DF3" i="273"/>
  <c r="DF3" i="275"/>
  <c r="DF3" i="265"/>
  <c r="DF50" i="273"/>
  <c r="DI108" i="273"/>
  <c r="DI76" i="273"/>
  <c r="DG66" i="273"/>
  <c r="DG67" i="273" s="1"/>
  <c r="DH60" i="273"/>
  <c r="DG112" i="273"/>
  <c r="DH109" i="273"/>
  <c r="DI38" i="273"/>
  <c r="DI118" i="273"/>
  <c r="DH4" i="265"/>
  <c r="DH4" i="273"/>
  <c r="DH4" i="275"/>
  <c r="DA75" i="265" l="1"/>
  <c r="DA81" i="265" s="1"/>
  <c r="DG25" i="265"/>
  <c r="CZ83" i="265"/>
  <c r="CZ82" i="265"/>
  <c r="DJ39" i="273"/>
  <c r="DJ41" i="273" s="1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H30" i="281"/>
  <c r="DH36" i="281" s="1"/>
  <c r="DH38" i="281" s="1"/>
  <c r="DH9" i="265" s="1"/>
  <c r="DH11" i="265" s="1"/>
  <c r="DH14" i="265" s="1"/>
  <c r="DH19" i="265" s="1"/>
  <c r="DH22" i="265" s="1"/>
  <c r="DJ32" i="273"/>
  <c r="DJ33" i="273" s="1"/>
  <c r="DG65" i="265"/>
  <c r="DG67" i="265" s="1"/>
  <c r="DG80" i="265" s="1"/>
  <c r="DJ75" i="273"/>
  <c r="DJ2" i="273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J96" i="273"/>
  <c r="DJ97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75" i="273" s="1"/>
  <c r="DK76" i="273" s="1"/>
  <c r="DI109" i="273"/>
  <c r="DH112" i="273"/>
  <c r="DH66" i="273"/>
  <c r="DH67" i="273" s="1"/>
  <c r="DJ76" i="273"/>
  <c r="DJ38" i="273"/>
  <c r="DK39" i="273" s="1"/>
  <c r="DK41" i="273" s="1"/>
  <c r="DJ118" i="273"/>
  <c r="DJ42" i="273"/>
  <c r="DJ52" i="273"/>
  <c r="DG3" i="265"/>
  <c r="DG3" i="273"/>
  <c r="DG50" i="273"/>
  <c r="DG3" i="275"/>
  <c r="DK32" i="273"/>
  <c r="DK33" i="273" s="1"/>
  <c r="DK96" i="273"/>
  <c r="DK97" i="273" s="1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H25" i="265" l="1"/>
  <c r="DA82" i="265"/>
  <c r="DA83" i="265"/>
  <c r="DI30" i="281"/>
  <c r="DI36" i="281" s="1"/>
  <c r="DI38" i="281" s="1"/>
  <c r="DI9" i="265" s="1"/>
  <c r="DI11" i="265" s="1"/>
  <c r="DI14" i="265" s="1"/>
  <c r="DI19" i="265" s="1"/>
  <c r="DI22" i="265" s="1"/>
  <c r="DB75" i="265"/>
  <c r="DB81" i="265" s="1"/>
  <c r="DK2" i="265"/>
  <c r="DJ4" i="281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37" i="281"/>
  <c r="DK13" i="281"/>
  <c r="DK14" i="281" s="1"/>
  <c r="DK28" i="281" s="1"/>
  <c r="DK22" i="281"/>
  <c r="DK23" i="281" s="1"/>
  <c r="DK29" i="281" s="1"/>
  <c r="DK2" i="281"/>
  <c r="DK2" i="275"/>
  <c r="DK2" i="273"/>
  <c r="DK90" i="273"/>
  <c r="DK91" i="273" s="1"/>
  <c r="DK100" i="273" s="1"/>
  <c r="DL101" i="273" s="1"/>
  <c r="DL59" i="273" s="1"/>
  <c r="DH65" i="265"/>
  <c r="DH67" i="265" s="1"/>
  <c r="DH80" i="265" s="1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2" i="281" s="1"/>
  <c r="DL56" i="273"/>
  <c r="DL47" i="273"/>
  <c r="DL48" i="273" s="1"/>
  <c r="DL37" i="273"/>
  <c r="DJ113" i="273"/>
  <c r="DJ114" i="273" s="1"/>
  <c r="DJ21" i="281" s="1"/>
  <c r="DI66" i="273"/>
  <c r="DI67" i="273" s="1"/>
  <c r="DK113" i="273"/>
  <c r="DK114" i="273" s="1"/>
  <c r="DK21" i="281" s="1"/>
  <c r="DK119" i="273"/>
  <c r="DK120" i="273" s="1"/>
  <c r="DK12" i="281" s="1"/>
  <c r="DK108" i="273"/>
  <c r="DJ4" i="275"/>
  <c r="DJ4" i="265"/>
  <c r="DJ4" i="273"/>
  <c r="DK42" i="273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L2" i="265"/>
  <c r="DI112" i="273"/>
  <c r="DK30" i="281" l="1"/>
  <c r="DK36" i="281" s="1"/>
  <c r="DK38" i="281" s="1"/>
  <c r="DK9" i="265" s="1"/>
  <c r="DK11" i="265" s="1"/>
  <c r="DK14" i="265" s="1"/>
  <c r="DK19" i="265" s="1"/>
  <c r="DK22" i="265" s="1"/>
  <c r="DJ30" i="281"/>
  <c r="DJ36" i="281" s="1"/>
  <c r="DJ38" i="281" s="1"/>
  <c r="DJ9" i="265" s="1"/>
  <c r="DJ11" i="265" s="1"/>
  <c r="DJ14" i="265" s="1"/>
  <c r="DJ19" i="265" s="1"/>
  <c r="DJ22" i="265" s="1"/>
  <c r="DK25" i="265"/>
  <c r="DJ25" i="265"/>
  <c r="DC75" i="265"/>
  <c r="DC81" i="265" s="1"/>
  <c r="DB82" i="265"/>
  <c r="DB83" i="265"/>
  <c r="DI25" i="265"/>
  <c r="DI3" i="281"/>
  <c r="DK4" i="281"/>
  <c r="DL75" i="273"/>
  <c r="DL76" i="273" s="1"/>
  <c r="DI65" i="265"/>
  <c r="DI67" i="265" s="1"/>
  <c r="DI80" i="265" s="1"/>
  <c r="DL2" i="275"/>
  <c r="DL32" i="273"/>
  <c r="DL33" i="273" s="1"/>
  <c r="DL38" i="273" s="1"/>
  <c r="DM39" i="273" s="1"/>
  <c r="DM41" i="273" s="1"/>
  <c r="DL96" i="273"/>
  <c r="DL97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2" i="281" s="1"/>
  <c r="DN5" i="275"/>
  <c r="DN5" i="265"/>
  <c r="DN13" i="273"/>
  <c r="DN14" i="273" s="1"/>
  <c r="DN5" i="273"/>
  <c r="DO10" i="273"/>
  <c r="DK60" i="273"/>
  <c r="DJ66" i="273"/>
  <c r="DJ67" i="273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118" i="273"/>
  <c r="DL42" i="273"/>
  <c r="DL52" i="273"/>
  <c r="DI3" i="265"/>
  <c r="DI50" i="273"/>
  <c r="DI3" i="275"/>
  <c r="DI3" i="273"/>
  <c r="DM2" i="265"/>
  <c r="DC82" i="265" l="1"/>
  <c r="DC83" i="265"/>
  <c r="DD75" i="265"/>
  <c r="DD81" i="265" s="1"/>
  <c r="DM2" i="275"/>
  <c r="DM32" i="273"/>
  <c r="DM33" i="273" s="1"/>
  <c r="DL4" i="281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J65" i="265"/>
  <c r="DJ67" i="265" s="1"/>
  <c r="DJ80" i="265" s="1"/>
  <c r="DL119" i="273"/>
  <c r="DL120" i="273" s="1"/>
  <c r="DL12" i="281" s="1"/>
  <c r="DM96" i="273"/>
  <c r="DM97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2" i="281" s="1"/>
  <c r="DN56" i="273"/>
  <c r="DM119" i="273"/>
  <c r="DM113" i="273"/>
  <c r="DM114" i="273" s="1"/>
  <c r="DM21" i="281" s="1"/>
  <c r="DL4" i="273"/>
  <c r="DL4" i="265"/>
  <c r="DL4" i="275"/>
  <c r="DM42" i="273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D82" i="265" l="1"/>
  <c r="DD83" i="265"/>
  <c r="DE75" i="265"/>
  <c r="DE81" i="265" s="1"/>
  <c r="DM108" i="273"/>
  <c r="DM37" i="281"/>
  <c r="DM22" i="281"/>
  <c r="DM23" i="281" s="1"/>
  <c r="DM29" i="281" s="1"/>
  <c r="DM13" i="281"/>
  <c r="DM14" i="281" s="1"/>
  <c r="DM28" i="281" s="1"/>
  <c r="DL30" i="281"/>
  <c r="DL36" i="281" s="1"/>
  <c r="DL38" i="281" s="1"/>
  <c r="DL9" i="265" s="1"/>
  <c r="DL11" i="265" s="1"/>
  <c r="DL14" i="265" s="1"/>
  <c r="DL19" i="265" s="1"/>
  <c r="DL22" i="265" s="1"/>
  <c r="DK3" i="281"/>
  <c r="DM4" i="281"/>
  <c r="DN75" i="273"/>
  <c r="DK65" i="265"/>
  <c r="DK67" i="265" s="1"/>
  <c r="DK80" i="265" s="1"/>
  <c r="DN2" i="275"/>
  <c r="DN96" i="273"/>
  <c r="DN97" i="273" s="1"/>
  <c r="DN90" i="273"/>
  <c r="DN91" i="273" s="1"/>
  <c r="DN100" i="273" s="1"/>
  <c r="DO101" i="273" s="1"/>
  <c r="DO59" i="273" s="1"/>
  <c r="DM120" i="273"/>
  <c r="DM12" i="281" s="1"/>
  <c r="DO37" i="273"/>
  <c r="DO47" i="273"/>
  <c r="DO48" i="273" s="1"/>
  <c r="DO51" i="273" s="1"/>
  <c r="DO56" i="273"/>
  <c r="DO19" i="273"/>
  <c r="DO20" i="273" s="1"/>
  <c r="DO24" i="273" s="1"/>
  <c r="DO25" i="273" s="1"/>
  <c r="DO2" i="281" s="1"/>
  <c r="DP5" i="275"/>
  <c r="DP5" i="265"/>
  <c r="DP13" i="273"/>
  <c r="DP14" i="273" s="1"/>
  <c r="DP5" i="273"/>
  <c r="DQ10" i="273"/>
  <c r="DL66" i="273"/>
  <c r="DL67" i="273" s="1"/>
  <c r="DM4" i="273"/>
  <c r="DM4" i="275"/>
  <c r="DM4" i="265"/>
  <c r="DN76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52" i="273"/>
  <c r="DE82" i="265" l="1"/>
  <c r="DE83" i="265"/>
  <c r="DL25" i="265"/>
  <c r="DF75" i="265"/>
  <c r="DF81" i="265" s="1"/>
  <c r="DL3" i="281"/>
  <c r="DN119" i="273"/>
  <c r="DN37" i="281"/>
  <c r="DN22" i="281"/>
  <c r="DN23" i="281" s="1"/>
  <c r="DN29" i="281" s="1"/>
  <c r="DN13" i="281"/>
  <c r="DN14" i="281" s="1"/>
  <c r="DN28" i="281" s="1"/>
  <c r="DN4" i="281"/>
  <c r="DO2" i="273"/>
  <c r="DN113" i="273"/>
  <c r="DN114" i="273" s="1"/>
  <c r="DN21" i="281" s="1"/>
  <c r="DM30" i="281"/>
  <c r="DM36" i="281" s="1"/>
  <c r="DM38" i="281" s="1"/>
  <c r="DM9" i="265" s="1"/>
  <c r="DM11" i="265" s="1"/>
  <c r="DM14" i="265" s="1"/>
  <c r="DM19" i="265" s="1"/>
  <c r="DM22" i="265" s="1"/>
  <c r="DO75" i="273"/>
  <c r="DN120" i="273"/>
  <c r="DN12" i="281" s="1"/>
  <c r="DO96" i="273"/>
  <c r="DO97" i="273" s="1"/>
  <c r="DL65" i="265"/>
  <c r="DL67" i="265" s="1"/>
  <c r="DL80" i="265" s="1"/>
  <c r="DO2" i="265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47" i="273"/>
  <c r="DP48" i="273" s="1"/>
  <c r="DP51" i="273" s="1"/>
  <c r="DP56" i="273"/>
  <c r="DP37" i="273"/>
  <c r="DO39" i="273"/>
  <c r="DO41" i="273" s="1"/>
  <c r="DO52" i="273" s="1"/>
  <c r="DM66" i="273"/>
  <c r="DM67" i="273" s="1"/>
  <c r="DN4" i="265"/>
  <c r="DN4" i="273"/>
  <c r="DN4" i="275"/>
  <c r="DP32" i="273"/>
  <c r="DP33" i="273" s="1"/>
  <c r="DP2" i="265"/>
  <c r="DP2" i="273"/>
  <c r="DO42" i="273"/>
  <c r="DM112" i="273"/>
  <c r="DN109" i="273"/>
  <c r="DO119" i="273"/>
  <c r="DO120" i="273" s="1"/>
  <c r="DO12" i="281" s="1"/>
  <c r="DO113" i="273"/>
  <c r="DO114" i="273" s="1"/>
  <c r="DO21" i="281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N30" i="281" l="1"/>
  <c r="DN36" i="281" s="1"/>
  <c r="DN38" i="281" s="1"/>
  <c r="DN9" i="265" s="1"/>
  <c r="DN11" i="265" s="1"/>
  <c r="DN14" i="265" s="1"/>
  <c r="DN19" i="265" s="1"/>
  <c r="DN22" i="265" s="1"/>
  <c r="DN25" i="265" s="1"/>
  <c r="DG75" i="265"/>
  <c r="DG81" i="265" s="1"/>
  <c r="DM25" i="265"/>
  <c r="DF82" i="265"/>
  <c r="DF83" i="265"/>
  <c r="DO4" i="281"/>
  <c r="DP2" i="281"/>
  <c r="DP2" i="275"/>
  <c r="DP96" i="273"/>
  <c r="DP97" i="273" s="1"/>
  <c r="DP90" i="273"/>
  <c r="DP91" i="273" s="1"/>
  <c r="DP100" i="273" s="1"/>
  <c r="DQ101" i="273" s="1"/>
  <c r="DQ59" i="273" s="1"/>
  <c r="DP75" i="273"/>
  <c r="DP76" i="273" s="1"/>
  <c r="DM3" i="281"/>
  <c r="DO37" i="281"/>
  <c r="DO13" i="281"/>
  <c r="DO14" i="281" s="1"/>
  <c r="DO28" i="281" s="1"/>
  <c r="DO22" i="281"/>
  <c r="DO23" i="281" s="1"/>
  <c r="DO29" i="281" s="1"/>
  <c r="DM65" i="265"/>
  <c r="DM67" i="265" s="1"/>
  <c r="DM80" i="265" s="1"/>
  <c r="DP39" i="273"/>
  <c r="DP41" i="273" s="1"/>
  <c r="DP42" i="273" s="1"/>
  <c r="DQ37" i="273"/>
  <c r="DQ47" i="273"/>
  <c r="DQ48" i="273" s="1"/>
  <c r="DQ51" i="273" s="1"/>
  <c r="DQ19" i="273"/>
  <c r="DQ20" i="273" s="1"/>
  <c r="DQ24" i="273" s="1"/>
  <c r="DQ25" i="273" s="1"/>
  <c r="DQ2" i="281" s="1"/>
  <c r="DQ56" i="273"/>
  <c r="DS10" i="273"/>
  <c r="DR5" i="273"/>
  <c r="DR13" i="273"/>
  <c r="DR14" i="273" s="1"/>
  <c r="DR5" i="275"/>
  <c r="DR5" i="265"/>
  <c r="DN66" i="273"/>
  <c r="DN67" i="273" s="1"/>
  <c r="DN112" i="273"/>
  <c r="DO109" i="273"/>
  <c r="DP113" i="273"/>
  <c r="DP114" i="273" s="1"/>
  <c r="DP21" i="281" s="1"/>
  <c r="DP119" i="273"/>
  <c r="DP120" i="273" s="1"/>
  <c r="DP12" i="281" s="1"/>
  <c r="DP38" i="273"/>
  <c r="DP118" i="273"/>
  <c r="DM3" i="265"/>
  <c r="DM3" i="273"/>
  <c r="DM3" i="275"/>
  <c r="DM50" i="273"/>
  <c r="DP79" i="273"/>
  <c r="DQ80" i="273" s="1"/>
  <c r="DQ58" i="273" s="1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O30" i="281" l="1"/>
  <c r="DO36" i="281" s="1"/>
  <c r="DO38" i="281" s="1"/>
  <c r="DO9" i="265" s="1"/>
  <c r="DO11" i="265" s="1"/>
  <c r="DO14" i="265" s="1"/>
  <c r="DO19" i="265" s="1"/>
  <c r="DO22" i="265" s="1"/>
  <c r="DO25" i="265" s="1"/>
  <c r="DH75" i="265"/>
  <c r="DH81" i="265" s="1"/>
  <c r="DG83" i="265"/>
  <c r="DG82" i="265"/>
  <c r="DN3" i="281"/>
  <c r="DP4" i="281"/>
  <c r="DP37" i="281"/>
  <c r="DP22" i="281"/>
  <c r="DP23" i="281" s="1"/>
  <c r="DP29" i="281" s="1"/>
  <c r="DP13" i="281"/>
  <c r="DP14" i="281" s="1"/>
  <c r="DP28" i="281" s="1"/>
  <c r="DP15" i="275"/>
  <c r="DP57" i="273"/>
  <c r="DP108" i="273"/>
  <c r="DP52" i="273"/>
  <c r="DQ32" i="273"/>
  <c r="DQ33" i="273" s="1"/>
  <c r="DN65" i="265"/>
  <c r="DN67" i="265" s="1"/>
  <c r="DN80" i="265" s="1"/>
  <c r="DR37" i="273"/>
  <c r="DR56" i="273"/>
  <c r="DR19" i="273"/>
  <c r="DR20" i="273" s="1"/>
  <c r="DR24" i="273" s="1"/>
  <c r="DR25" i="273" s="1"/>
  <c r="DR2" i="281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2" i="265"/>
  <c r="DQ39" i="273"/>
  <c r="DQ41" i="273" s="1"/>
  <c r="DQ42" i="273" s="1"/>
  <c r="DP60" i="273"/>
  <c r="DO66" i="273"/>
  <c r="DO67" i="273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H83" i="265" l="1"/>
  <c r="DH82" i="265"/>
  <c r="DI75" i="265"/>
  <c r="DI81" i="265" s="1"/>
  <c r="DR37" i="281"/>
  <c r="DR22" i="281"/>
  <c r="DR23" i="281" s="1"/>
  <c r="DR29" i="281" s="1"/>
  <c r="DR13" i="281"/>
  <c r="DR14" i="281" s="1"/>
  <c r="DR28" i="281" s="1"/>
  <c r="DO3" i="281"/>
  <c r="DQ4" i="281"/>
  <c r="DQ119" i="273"/>
  <c r="DQ120" i="273" s="1"/>
  <c r="DQ12" i="281" s="1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P9" i="265" s="1"/>
  <c r="DP11" i="265" s="1"/>
  <c r="DP14" i="265" s="1"/>
  <c r="DP19" i="265" s="1"/>
  <c r="DP22" i="265" s="1"/>
  <c r="DR75" i="273"/>
  <c r="DR76" i="273" s="1"/>
  <c r="DR79" i="273" s="1"/>
  <c r="DS80" i="273" s="1"/>
  <c r="DS58" i="273" s="1"/>
  <c r="DO65" i="265"/>
  <c r="DO67" i="265" s="1"/>
  <c r="DO80" i="265" s="1"/>
  <c r="DQ52" i="273"/>
  <c r="DQ113" i="273"/>
  <c r="DQ114" i="273" s="1"/>
  <c r="DQ21" i="281" s="1"/>
  <c r="DS37" i="273"/>
  <c r="DS47" i="273"/>
  <c r="DS48" i="273" s="1"/>
  <c r="DS19" i="273"/>
  <c r="DS20" i="273" s="1"/>
  <c r="DS24" i="273" s="1"/>
  <c r="DS25" i="273" s="1"/>
  <c r="DS2" i="281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57" i="273"/>
  <c r="DR15" i="275"/>
  <c r="DS51" i="273"/>
  <c r="DP112" i="273"/>
  <c r="DQ109" i="273"/>
  <c r="DR113" i="273"/>
  <c r="DR119" i="273"/>
  <c r="DR120" i="273" s="1"/>
  <c r="DR12" i="281" s="1"/>
  <c r="DR108" i="273"/>
  <c r="DR38" i="273"/>
  <c r="DR118" i="273"/>
  <c r="DO50" i="273"/>
  <c r="DO3" i="275"/>
  <c r="DO3" i="273"/>
  <c r="DO3" i="265"/>
  <c r="DS2" i="275"/>
  <c r="DQ20" i="275"/>
  <c r="DR17" i="275" s="1"/>
  <c r="DQ4" i="275"/>
  <c r="DQ4" i="265"/>
  <c r="DQ4" i="273"/>
  <c r="DQ60" i="273"/>
  <c r="DP66" i="273"/>
  <c r="DP67" i="273" s="1"/>
  <c r="DP25" i="265" l="1"/>
  <c r="DI83" i="265"/>
  <c r="DI82" i="265"/>
  <c r="DQ30" i="281"/>
  <c r="DQ36" i="281" s="1"/>
  <c r="DQ38" i="281" s="1"/>
  <c r="DQ9" i="265" s="1"/>
  <c r="DQ11" i="265" s="1"/>
  <c r="DQ14" i="265" s="1"/>
  <c r="DQ19" i="265" s="1"/>
  <c r="DQ22" i="265" s="1"/>
  <c r="DR30" i="281"/>
  <c r="DR36" i="281" s="1"/>
  <c r="DR38" i="281" s="1"/>
  <c r="DR9" i="265" s="1"/>
  <c r="DR11" i="265" s="1"/>
  <c r="DR14" i="265" s="1"/>
  <c r="DR19" i="265" s="1"/>
  <c r="DR22" i="265" s="1"/>
  <c r="DJ75" i="265"/>
  <c r="DJ81" i="265" s="1"/>
  <c r="DP3" i="281"/>
  <c r="DS32" i="273"/>
  <c r="DS33" i="273" s="1"/>
  <c r="DR4" i="281"/>
  <c r="DS90" i="273"/>
  <c r="DS91" i="273" s="1"/>
  <c r="DS100" i="273" s="1"/>
  <c r="DT101" i="273" s="1"/>
  <c r="DT59" i="273" s="1"/>
  <c r="DP65" i="265"/>
  <c r="DP67" i="265" s="1"/>
  <c r="DP80" i="265" s="1"/>
  <c r="DR114" i="273"/>
  <c r="DR21" i="281" s="1"/>
  <c r="DR52" i="273"/>
  <c r="DS2" i="273"/>
  <c r="DS75" i="273"/>
  <c r="DS76" i="273" s="1"/>
  <c r="DT19" i="273"/>
  <c r="DT20" i="273" s="1"/>
  <c r="DT24" i="273" s="1"/>
  <c r="DT25" i="273" s="1"/>
  <c r="DT2" i="281" s="1"/>
  <c r="DT47" i="273"/>
  <c r="DT48" i="273" s="1"/>
  <c r="DT51" i="273" s="1"/>
  <c r="DT37" i="273"/>
  <c r="DT56" i="273"/>
  <c r="DS96" i="273"/>
  <c r="DS97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J83" i="265" l="1"/>
  <c r="DJ82" i="265"/>
  <c r="DR25" i="265"/>
  <c r="DK75" i="265"/>
  <c r="DK81" i="265" s="1"/>
  <c r="DQ25" i="265"/>
  <c r="DS4" i="281"/>
  <c r="DS119" i="273"/>
  <c r="DS120" i="273" s="1"/>
  <c r="DS12" i="281" s="1"/>
  <c r="DS37" i="281"/>
  <c r="DS13" i="281"/>
  <c r="DS14" i="281" s="1"/>
  <c r="DS28" i="281" s="1"/>
  <c r="DS22" i="281"/>
  <c r="DS23" i="281" s="1"/>
  <c r="DS29" i="281" s="1"/>
  <c r="DQ3" i="281"/>
  <c r="DS57" i="273"/>
  <c r="DT75" i="273"/>
  <c r="DT76" i="273" s="1"/>
  <c r="DQ65" i="265"/>
  <c r="DQ67" i="265" s="1"/>
  <c r="DQ80" i="265" s="1"/>
  <c r="DT2" i="265"/>
  <c r="DS113" i="273"/>
  <c r="DS114" i="273" s="1"/>
  <c r="DS21" i="281" s="1"/>
  <c r="DS52" i="273"/>
  <c r="DT96" i="273"/>
  <c r="DT97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2" i="281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112" i="273"/>
  <c r="DS109" i="273"/>
  <c r="DS4" i="275"/>
  <c r="DS4" i="273"/>
  <c r="DS4" i="265"/>
  <c r="DT113" i="273"/>
  <c r="DT114" i="273" s="1"/>
  <c r="DT21" i="281" s="1"/>
  <c r="DT119" i="273"/>
  <c r="DT120" i="273" s="1"/>
  <c r="DT12" i="281" s="1"/>
  <c r="DT118" i="273"/>
  <c r="DT42" i="273"/>
  <c r="DT52" i="273"/>
  <c r="DQ3" i="275"/>
  <c r="DQ3" i="273"/>
  <c r="DQ50" i="273"/>
  <c r="DQ3" i="265"/>
  <c r="DK82" i="265" l="1"/>
  <c r="DK83" i="265"/>
  <c r="DL75" i="265"/>
  <c r="DL81" i="265" s="1"/>
  <c r="DT4" i="281"/>
  <c r="DR3" i="281"/>
  <c r="DT108" i="273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S9" i="265" s="1"/>
  <c r="DS11" i="265" s="1"/>
  <c r="DS14" i="265" s="1"/>
  <c r="DS19" i="265" s="1"/>
  <c r="DS22" i="265" s="1"/>
  <c r="DU32" i="273"/>
  <c r="DU33" i="273" s="1"/>
  <c r="DU38" i="273" s="1"/>
  <c r="DV39" i="273" s="1"/>
  <c r="DV41" i="273" s="1"/>
  <c r="DR65" i="265"/>
  <c r="DR67" i="265" s="1"/>
  <c r="DR80" i="265" s="1"/>
  <c r="DU2" i="273"/>
  <c r="DU90" i="273"/>
  <c r="DU91" i="273" s="1"/>
  <c r="DU100" i="273" s="1"/>
  <c r="DV101" i="273" s="1"/>
  <c r="DV59" i="273" s="1"/>
  <c r="DU39" i="273"/>
  <c r="DU41" i="273" s="1"/>
  <c r="DU42" i="273" s="1"/>
  <c r="DU2" i="275"/>
  <c r="DU75" i="273"/>
  <c r="DU76" i="273" s="1"/>
  <c r="DV37" i="273"/>
  <c r="DV56" i="273"/>
  <c r="DV19" i="273"/>
  <c r="DV20" i="273" s="1"/>
  <c r="DV24" i="273" s="1"/>
  <c r="DV25" i="273" s="1"/>
  <c r="DV2" i="281" s="1"/>
  <c r="DV47" i="273"/>
  <c r="DV48" i="273" s="1"/>
  <c r="DU2" i="265"/>
  <c r="DU96" i="273"/>
  <c r="DU97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118" i="273"/>
  <c r="DS66" i="273"/>
  <c r="DS67" i="273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52" i="273"/>
  <c r="DR3" i="273"/>
  <c r="DR50" i="273"/>
  <c r="DR3" i="265"/>
  <c r="DR3" i="275"/>
  <c r="DT30" i="281" l="1"/>
  <c r="DT36" i="281" s="1"/>
  <c r="DT38" i="281" s="1"/>
  <c r="DT9" i="265" s="1"/>
  <c r="DT11" i="265" s="1"/>
  <c r="DT14" i="265" s="1"/>
  <c r="DT19" i="265" s="1"/>
  <c r="DT22" i="265" s="1"/>
  <c r="DT25" i="265" s="1"/>
  <c r="DL82" i="265"/>
  <c r="DL83" i="265"/>
  <c r="DS25" i="265"/>
  <c r="DM75" i="265"/>
  <c r="DM81" i="265" s="1"/>
  <c r="DU4" i="281"/>
  <c r="DU119" i="273"/>
  <c r="DU120" i="273" s="1"/>
  <c r="DU12" i="281" s="1"/>
  <c r="DU37" i="281"/>
  <c r="DU22" i="281"/>
  <c r="DU23" i="281" s="1"/>
  <c r="DU29" i="281" s="1"/>
  <c r="DU13" i="281"/>
  <c r="DU14" i="281" s="1"/>
  <c r="DU28" i="281" s="1"/>
  <c r="DS3" i="281"/>
  <c r="DV75" i="273"/>
  <c r="DV76" i="273" s="1"/>
  <c r="DS65" i="265"/>
  <c r="DS67" i="265" s="1"/>
  <c r="DS80" i="265" s="1"/>
  <c r="DV96" i="273"/>
  <c r="DV97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24" i="273" s="1"/>
  <c r="DW25" i="273" s="1"/>
  <c r="DW2" i="281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2" i="281" s="1"/>
  <c r="DV108" i="273"/>
  <c r="DV38" i="273"/>
  <c r="DW39" i="273" s="1"/>
  <c r="DW41" i="273" s="1"/>
  <c r="DV118" i="273"/>
  <c r="DS3" i="273"/>
  <c r="DS3" i="265"/>
  <c r="DS3" i="275"/>
  <c r="DS50" i="273"/>
  <c r="DV42" i="273"/>
  <c r="DV52" i="273"/>
  <c r="DU109" i="273"/>
  <c r="DT112" i="273"/>
  <c r="DU30" i="281" l="1"/>
  <c r="DU36" i="281" s="1"/>
  <c r="DU38" i="281" s="1"/>
  <c r="DU9" i="265" s="1"/>
  <c r="DU11" i="265" s="1"/>
  <c r="DU14" i="265" s="1"/>
  <c r="DU19" i="265" s="1"/>
  <c r="DU22" i="265" s="1"/>
  <c r="DM82" i="265"/>
  <c r="DM83" i="265"/>
  <c r="DN75" i="265"/>
  <c r="DN81" i="265" s="1"/>
  <c r="DV4" i="281"/>
  <c r="DT3" i="281"/>
  <c r="DV113" i="273"/>
  <c r="DV37" i="281"/>
  <c r="DV22" i="281"/>
  <c r="DV23" i="281" s="1"/>
  <c r="DV29" i="281" s="1"/>
  <c r="DV13" i="281"/>
  <c r="DV14" i="281" s="1"/>
  <c r="DV28" i="281" s="1"/>
  <c r="DW75" i="273"/>
  <c r="DW76" i="273" s="1"/>
  <c r="DV114" i="273"/>
  <c r="DV21" i="281" s="1"/>
  <c r="DT65" i="265"/>
  <c r="DT67" i="265" s="1"/>
  <c r="DT80" i="265" s="1"/>
  <c r="DW2" i="265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90" i="273"/>
  <c r="DX91" i="273" s="1"/>
  <c r="DX100" i="273" s="1"/>
  <c r="DY101" i="273" s="1"/>
  <c r="DY59" i="273" s="1"/>
  <c r="DX96" i="273"/>
  <c r="DX97" i="273" s="1"/>
  <c r="DW42" i="273"/>
  <c r="DW52" i="273"/>
  <c r="DW119" i="273"/>
  <c r="DW120" i="273" s="1"/>
  <c r="DW12" i="281" s="1"/>
  <c r="DW108" i="273"/>
  <c r="DW113" i="273"/>
  <c r="DW114" i="273" s="1"/>
  <c r="DW21" i="281" s="1"/>
  <c r="DW38" i="273"/>
  <c r="DW118" i="273"/>
  <c r="DV30" i="281" l="1"/>
  <c r="DV36" i="281" s="1"/>
  <c r="DV38" i="281" s="1"/>
  <c r="DV9" i="265" s="1"/>
  <c r="DV11" i="265" s="1"/>
  <c r="DV14" i="265" s="1"/>
  <c r="DV19" i="265" s="1"/>
  <c r="DV22" i="265" s="1"/>
  <c r="DV25" i="265" s="1"/>
  <c r="DO75" i="265"/>
  <c r="DO81" i="265" s="1"/>
  <c r="DN82" i="265"/>
  <c r="DN83" i="265"/>
  <c r="DU25" i="265"/>
  <c r="DW4" i="281"/>
  <c r="DX37" i="281"/>
  <c r="DX22" i="281"/>
  <c r="DX23" i="281" s="1"/>
  <c r="DX29" i="281" s="1"/>
  <c r="DX13" i="281"/>
  <c r="DX14" i="281" s="1"/>
  <c r="DX28" i="281" s="1"/>
  <c r="DU3" i="281"/>
  <c r="DX75" i="273"/>
  <c r="DX76" i="273" s="1"/>
  <c r="DX2" i="281"/>
  <c r="DW37" i="281"/>
  <c r="DW22" i="281"/>
  <c r="DW23" i="281" s="1"/>
  <c r="DW29" i="281" s="1"/>
  <c r="DW13" i="281"/>
  <c r="DW14" i="281" s="1"/>
  <c r="DW28" i="281" s="1"/>
  <c r="DX2" i="273"/>
  <c r="DU65" i="265"/>
  <c r="DU67" i="265" s="1"/>
  <c r="DU80" i="265" s="1"/>
  <c r="DX32" i="273"/>
  <c r="DX33" i="273" s="1"/>
  <c r="DX118" i="273" s="1"/>
  <c r="DX39" i="273"/>
  <c r="DX41" i="273" s="1"/>
  <c r="DX52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56" i="273"/>
  <c r="DW4" i="265"/>
  <c r="DW4" i="273"/>
  <c r="DW4" i="275"/>
  <c r="DX113" i="273"/>
  <c r="DX114" i="273" s="1"/>
  <c r="DX21" i="281" s="1"/>
  <c r="DX119" i="273"/>
  <c r="DX120" i="273" s="1"/>
  <c r="DX12" i="281" s="1"/>
  <c r="DX108" i="273"/>
  <c r="DW109" i="273"/>
  <c r="DV112" i="273"/>
  <c r="DW60" i="273"/>
  <c r="DV66" i="273"/>
  <c r="DV67" i="273" s="1"/>
  <c r="DX42" i="273"/>
  <c r="DX38" i="273"/>
  <c r="DY39" i="273" s="1"/>
  <c r="DY41" i="273" s="1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DW30" i="281" l="1"/>
  <c r="DW36" i="281" s="1"/>
  <c r="DW38" i="281" s="1"/>
  <c r="DW9" i="265" s="1"/>
  <c r="DW11" i="265" s="1"/>
  <c r="DW14" i="265" s="1"/>
  <c r="DW19" i="265" s="1"/>
  <c r="DW22" i="265" s="1"/>
  <c r="DW25" i="265" s="1"/>
  <c r="DO83" i="265"/>
  <c r="DO82" i="265"/>
  <c r="DP75" i="265"/>
  <c r="DP81" i="265" s="1"/>
  <c r="DX4" i="281"/>
  <c r="DV3" i="281"/>
  <c r="DY22" i="281"/>
  <c r="DY23" i="281" s="1"/>
  <c r="DY29" i="281" s="1"/>
  <c r="DY37" i="281"/>
  <c r="DY13" i="281"/>
  <c r="DY14" i="281" s="1"/>
  <c r="DY28" i="281" s="1"/>
  <c r="DY2" i="281"/>
  <c r="DX30" i="281"/>
  <c r="DX36" i="281" s="1"/>
  <c r="DX38" i="281" s="1"/>
  <c r="DX9" i="265" s="1"/>
  <c r="DX11" i="265" s="1"/>
  <c r="DX14" i="265" s="1"/>
  <c r="DX19" i="265" s="1"/>
  <c r="DX22" i="265" s="1"/>
  <c r="DV65" i="265"/>
  <c r="DV67" i="265" s="1"/>
  <c r="DV80" i="265" s="1"/>
  <c r="EA5" i="275"/>
  <c r="EA5" i="265"/>
  <c r="EA13" i="273"/>
  <c r="EA14" i="273" s="1"/>
  <c r="EA5" i="273"/>
  <c r="DZ37" i="273"/>
  <c r="DZ56" i="273"/>
  <c r="DZ19" i="273"/>
  <c r="DZ20" i="273" s="1"/>
  <c r="DZ24" i="273" s="1"/>
  <c r="DZ25" i="273" s="1"/>
  <c r="DZ2" i="281" s="1"/>
  <c r="DZ47" i="273"/>
  <c r="DZ48" i="273" s="1"/>
  <c r="DZ51" i="273" s="1"/>
  <c r="DY119" i="273"/>
  <c r="DY120" i="273" s="1"/>
  <c r="DY12" i="281" s="1"/>
  <c r="DY113" i="273"/>
  <c r="DY114" i="273" s="1"/>
  <c r="DY21" i="281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X109" i="273"/>
  <c r="DW112" i="273"/>
  <c r="DY42" i="273"/>
  <c r="DY52" i="273"/>
  <c r="DX4" i="275"/>
  <c r="DX4" i="273"/>
  <c r="DX4" i="265"/>
  <c r="DV3" i="275"/>
  <c r="DV50" i="273"/>
  <c r="DV3" i="265"/>
  <c r="DV3" i="273"/>
  <c r="DY76" i="273"/>
  <c r="DY30" i="281" l="1"/>
  <c r="DY36" i="281" s="1"/>
  <c r="DY38" i="281" s="1"/>
  <c r="DY9" i="265" s="1"/>
  <c r="DY11" i="265" s="1"/>
  <c r="DY14" i="265" s="1"/>
  <c r="DY19" i="265" s="1"/>
  <c r="DY22" i="265" s="1"/>
  <c r="DX25" i="265"/>
  <c r="DQ75" i="265"/>
  <c r="DQ81" i="265" s="1"/>
  <c r="DP83" i="265"/>
  <c r="DP82" i="265"/>
  <c r="DY4" i="281"/>
  <c r="DW3" i="281"/>
  <c r="DZ75" i="273"/>
  <c r="DZ76" i="273" s="1"/>
  <c r="DW65" i="265"/>
  <c r="DW67" i="265" s="1"/>
  <c r="DW80" i="265" s="1"/>
  <c r="DZ2" i="273"/>
  <c r="DZ2" i="265"/>
  <c r="DZ96" i="273"/>
  <c r="DZ97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2" i="281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EA75" i="273"/>
  <c r="EA32" i="273"/>
  <c r="EA33" i="273" s="1"/>
  <c r="EA2" i="265"/>
  <c r="EA96" i="273"/>
  <c r="EA97" i="273" s="1"/>
  <c r="DZ113" i="273"/>
  <c r="DZ114" i="273" s="1"/>
  <c r="DZ21" i="281" s="1"/>
  <c r="DZ38" i="273"/>
  <c r="DZ118" i="273"/>
  <c r="DW3" i="273"/>
  <c r="DW50" i="273"/>
  <c r="DW3" i="265"/>
  <c r="DW3" i="275"/>
  <c r="DY25" i="265" l="1"/>
  <c r="DQ83" i="265"/>
  <c r="DQ82" i="265"/>
  <c r="DR75" i="265"/>
  <c r="DR81" i="265" s="1"/>
  <c r="EA37" i="281"/>
  <c r="EA22" i="281"/>
  <c r="EA23" i="281" s="1"/>
  <c r="EA13" i="281"/>
  <c r="EA14" i="281" s="1"/>
  <c r="EA28" i="281" s="1"/>
  <c r="DX3" i="281"/>
  <c r="DZ4" i="281"/>
  <c r="DZ119" i="273"/>
  <c r="DZ120" i="273" s="1"/>
  <c r="DZ12" i="281" s="1"/>
  <c r="DZ37" i="281"/>
  <c r="DZ22" i="281"/>
  <c r="DZ23" i="281" s="1"/>
  <c r="DZ29" i="281" s="1"/>
  <c r="DZ13" i="281"/>
  <c r="DZ14" i="281" s="1"/>
  <c r="DZ28" i="281" s="1"/>
  <c r="DZ108" i="273"/>
  <c r="EA90" i="273"/>
  <c r="EA91" i="273" s="1"/>
  <c r="EA100" i="273" s="1"/>
  <c r="DX65" i="265"/>
  <c r="DX67" i="265" s="1"/>
  <c r="DX80" i="265" s="1"/>
  <c r="EA39" i="273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2" i="281" s="1"/>
  <c r="EA113" i="273"/>
  <c r="EA114" i="273" s="1"/>
  <c r="EA21" i="281" s="1"/>
  <c r="EA108" i="273"/>
  <c r="EA38" i="273"/>
  <c r="EA118" i="273"/>
  <c r="DZ60" i="273"/>
  <c r="DY66" i="273"/>
  <c r="DY67" i="273" s="1"/>
  <c r="DZ4" i="265"/>
  <c r="DZ4" i="275"/>
  <c r="DZ4" i="273"/>
  <c r="DX3" i="273"/>
  <c r="DX50" i="273"/>
  <c r="DX3" i="265"/>
  <c r="DX3" i="275"/>
  <c r="EA76" i="273"/>
  <c r="DY112" i="273"/>
  <c r="DZ109" i="273"/>
  <c r="DS75" i="265" l="1"/>
  <c r="DS81" i="265" s="1"/>
  <c r="DR83" i="265"/>
  <c r="DR82" i="265"/>
  <c r="DY3" i="281"/>
  <c r="EA29" i="281"/>
  <c r="H23" i="281"/>
  <c r="H29" i="281" s="1"/>
  <c r="DZ30" i="281"/>
  <c r="DZ36" i="281" s="1"/>
  <c r="DZ38" i="281" s="1"/>
  <c r="DZ9" i="265" s="1"/>
  <c r="DZ11" i="265" s="1"/>
  <c r="DZ14" i="265" s="1"/>
  <c r="DZ19" i="265" s="1"/>
  <c r="DZ22" i="265" s="1"/>
  <c r="EA30" i="281"/>
  <c r="DY65" i="265"/>
  <c r="DY67" i="265" s="1"/>
  <c r="DY80" i="265" s="1"/>
  <c r="EA42" i="273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5"/>
  <c r="EA4" i="273"/>
  <c r="EA4" i="265"/>
  <c r="DS82" i="265" l="1"/>
  <c r="DS83" i="265"/>
  <c r="DZ25" i="265"/>
  <c r="DT75" i="265"/>
  <c r="DT81" i="265" s="1"/>
  <c r="EA36" i="281"/>
  <c r="EA38" i="281" s="1"/>
  <c r="H30" i="281"/>
  <c r="H36" i="281" s="1"/>
  <c r="DZ3" i="281"/>
  <c r="EA4" i="281"/>
  <c r="EA65" i="265"/>
  <c r="EA67" i="265" s="1"/>
  <c r="EA80" i="265" s="1"/>
  <c r="DZ65" i="265"/>
  <c r="DZ67" i="265" s="1"/>
  <c r="DZ80" i="265" s="1"/>
  <c r="EA66" i="273"/>
  <c r="EA67" i="273" s="1"/>
  <c r="EA112" i="273"/>
  <c r="DZ50" i="273"/>
  <c r="DZ3" i="275"/>
  <c r="DZ3" i="273"/>
  <c r="DZ3" i="265"/>
  <c r="DT82" i="265" l="1"/>
  <c r="DT83" i="265"/>
  <c r="H38" i="281"/>
  <c r="H9" i="265" s="1"/>
  <c r="H19" i="269" s="1"/>
  <c r="K19" i="269" s="1"/>
  <c r="EA9" i="265"/>
  <c r="EA11" i="265" s="1"/>
  <c r="DU75" i="265"/>
  <c r="DU81" i="265" s="1"/>
  <c r="EA3" i="281"/>
  <c r="EA3" i="275"/>
  <c r="EA3" i="273"/>
  <c r="EA3" i="265"/>
  <c r="EA50" i="273"/>
  <c r="DU82" i="265" l="1"/>
  <c r="DU83" i="265"/>
  <c r="DV75" i="265"/>
  <c r="DV81" i="265" s="1"/>
  <c r="EA14" i="265"/>
  <c r="H11" i="265"/>
  <c r="H21" i="269" s="1"/>
  <c r="K21" i="269" s="1"/>
  <c r="L19" i="269"/>
  <c r="J19" i="269"/>
  <c r="F11" i="273"/>
  <c r="J21" i="269" l="1"/>
  <c r="L21" i="269"/>
  <c r="DW75" i="265"/>
  <c r="DW81" i="265" s="1"/>
  <c r="EA19" i="265"/>
  <c r="H14" i="265"/>
  <c r="H24" i="269" s="1"/>
  <c r="K24" i="269" s="1"/>
  <c r="DV83" i="265"/>
  <c r="DV82" i="265"/>
  <c r="H14" i="273"/>
  <c r="L24" i="269" l="1"/>
  <c r="J24" i="269"/>
  <c r="DX75" i="265"/>
  <c r="DX81" i="265" s="1"/>
  <c r="EA22" i="265"/>
  <c r="H19" i="265"/>
  <c r="H29" i="269" s="1"/>
  <c r="K29" i="269" s="1"/>
  <c r="DW83" i="265"/>
  <c r="DW82" i="265"/>
  <c r="H56" i="273"/>
  <c r="H47" i="273"/>
  <c r="H19" i="273"/>
  <c r="H37" i="273"/>
  <c r="EA25" i="265" l="1"/>
  <c r="H25" i="265" s="1"/>
  <c r="H35" i="269" s="1"/>
  <c r="K35" i="269" s="1"/>
  <c r="H22" i="265"/>
  <c r="DX83" i="265"/>
  <c r="DX82" i="265"/>
  <c r="L29" i="269"/>
  <c r="J29" i="269"/>
  <c r="DY75" i="265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DY82" i="265" l="1"/>
  <c r="DY83" i="265"/>
  <c r="DZ75" i="265"/>
  <c r="DZ81" i="265" s="1"/>
  <c r="EA75" i="265"/>
  <c r="EA81" i="265" s="1"/>
  <c r="H32" i="269"/>
  <c r="K32" i="269" s="1"/>
  <c r="L35" i="269"/>
  <c r="J35" i="269"/>
  <c r="H37" i="281"/>
  <c r="H22" i="281"/>
  <c r="H13" i="281"/>
  <c r="AK67" i="277"/>
  <c r="AK80" i="277" s="1"/>
  <c r="AH65" i="277"/>
  <c r="AH67" i="277" s="1"/>
  <c r="AH80" i="277" s="1"/>
  <c r="AB75" i="277"/>
  <c r="AB81" i="277" s="1"/>
  <c r="S65" i="277"/>
  <c r="AM65" i="277"/>
  <c r="AM67" i="277" s="1"/>
  <c r="AM80" i="277" s="1"/>
  <c r="T65" i="277"/>
  <c r="T67" i="277" s="1"/>
  <c r="T80" i="277" s="1"/>
  <c r="O65" i="277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J32" i="269" l="1"/>
  <c r="J2" i="269" s="1"/>
  <c r="L32" i="269"/>
  <c r="DZ83" i="265"/>
  <c r="DZ82" i="265"/>
  <c r="EA82" i="265"/>
  <c r="F82" i="265" s="1"/>
  <c r="F12" i="264" s="1"/>
  <c r="EA83" i="265"/>
  <c r="AJ11" i="277"/>
  <c r="AJ14" i="277" s="1"/>
  <c r="AJ19" i="277" s="1"/>
  <c r="AJ22" i="277" s="1"/>
  <c r="AJ25" i="277" s="1"/>
  <c r="AG11" i="277"/>
  <c r="Z33" i="277"/>
  <c r="AA14" i="277"/>
  <c r="J83" i="277"/>
  <c r="AK33" i="277"/>
  <c r="AK37" i="277" s="1"/>
  <c r="AK41" i="277" s="1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H33" i="277"/>
  <c r="AH37" i="277" s="1"/>
  <c r="AH41" i="277" s="1"/>
  <c r="AH46" i="277" s="1"/>
  <c r="AH49" i="277" s="1"/>
  <c r="AH52" i="277" s="1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H83" i="265" l="1"/>
  <c r="F3" i="281"/>
  <c r="F3" i="265"/>
  <c r="F3" i="275"/>
  <c r="F3" i="273"/>
  <c r="F3" i="264"/>
  <c r="F3" i="277"/>
  <c r="F82" i="277"/>
  <c r="F13" i="264" s="1"/>
  <c r="F9" i="264" s="1"/>
  <c r="H83" i="277"/>
  <c r="J37" i="277"/>
  <c r="H33" i="277"/>
  <c r="H11" i="277"/>
  <c r="J14" i="277"/>
  <c r="F2" i="281" l="1"/>
  <c r="F2" i="264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<sst xmlns="http://schemas.openxmlformats.org/spreadsheetml/2006/main" count="317" uniqueCount="193">
  <si>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</si>
  <si>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</si>
  <si>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</si>
  <si>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</si>
  <si>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</si>
  <si>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</si>
  <si>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</si>
  <si>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</si>
  <si>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</si>
  <si>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</si>
  <si>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</si>
  <si>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</si>
  <si>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</si>
  <si>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</si>
  <si>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</si>
  <si>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</si>
  <si>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</si>
  <si>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</si>
  <si>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</si>
  <si>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</si>
  <si>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</si>
  <si>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</si>
  <si>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</si>
  <si>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</si>
  <si>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</si>
  <si>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</si>
  <si>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</si>
  <si>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</si>
  <si>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</si>
  <si>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</si>
  <si>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</si>
  <si>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</si>
  <si>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</si>
  <si>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</si>
  <si>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</si>
  <si>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</si>
  <si>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</si>
  <si>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</si>
  <si>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</si>
  <si>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</si>
  <si>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</si>
  <si>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</si>
  <si>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</si>
  <si>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</si>
  <si>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</si>
  <si>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</si>
  <si>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</si>
  <si>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</si>
  <si>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</si>
  <si>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</si>
  <si>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</si>
  <si>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</si>
  <si>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</si>
  <si>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</si>
  <si>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</si>
  <si>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</si>
  <si>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</si>
  <si>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</si>
  <si>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</si>
  <si>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</si>
  <si>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</si>
  <si>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</si>
  <si>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</si>
  <si>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</si>
  <si>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</si>
  <si>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</si>
  <si>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</si>
  <si>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</si>
  <si>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</si>
  <si>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</si>
  <si>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</si>
  <si>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</si>
  <si>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</si>
  <si>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</si>
  <si>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</si>
  <si>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</si>
  <si>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</si>
  <si>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</si>
  <si>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</si>
  <si>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</si>
  <si>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</si>
  <si>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</si>
  <si>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</si>
  <si>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</si>
  <si>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</si>
  <si>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</si>
  <si>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</si>
  <si>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</si>
  <si>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</si>
  <si>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</si>
  <si>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</si>
  <si>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</si>
  <si>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</si>
  <si>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</si>
  <si>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</si>
  <si>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</si>
  <si>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</si>
  <si>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</si>
  <si>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</si>
  <si>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</si>
  <si>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</si>
  <si>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</si>
  <si>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</si>
  <si>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</si>
  <si>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</si>
  <si>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</si>
  <si>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</si>
  <si>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</si>
  <si>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</si>
  <si>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</si>
  <si>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</si>
  <si>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</si>
  <si>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</si>
  <si>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</si>
  <si>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</si>
  <si>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</si>
  <si>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</si>
  <si>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</si>
  <si>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</si>
  <si>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</si>
  <si>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</si>
  <si>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</si>
  <si>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</si>
  <si>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</si>
  <si>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</si>
  <si>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</si>
  <si>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</si>
  <si>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</si>
  <si>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</si>
  <si>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</si>
  <si>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</si>
  <si>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</si>
  <si>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</si>
  <si>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</si>
  <si>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</si>
  <si>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</si>
  <si>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</si>
  <si>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</si>
  <si>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</si>
  <si>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</si>
  <si>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</si>
  <si>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</si>
  <si>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</si>
  <si>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</si>
  <si>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</si>
  <si>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</si>
  <si>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</si>
  <si>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</si>
  <si>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</si>
  <si>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</si>
  <si>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</si>
  <si>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</si>
  <si>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</si>
  <si>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</si>
  <si>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</si>
  <si>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</si>
  <si>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</si>
  <si>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</si>
  <si>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</si>
  <si>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</si>
  <si>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</si>
  <si>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</si>
  <si>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</si>
  <si>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</si>
  <si>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cash - initial balance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</si>
  <si>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</si>
  <si>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</si>
  <si>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</si>
  <si>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</si>
  <si>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</si>
  <si>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</si>
  <si>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</si>
  <si>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</si>
  <si>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</si>
  <si>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</si>
  <si>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</si>
  <si>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</si>
  <si>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</si>
  <si>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</si>
  <si>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</si>
  <si>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</si>
  <si>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</si>
  <si>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</si>
  <si>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</si>
  <si>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</si>
  <si>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</si>
  <si>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</si>
  <si>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</si>
  <si>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</si>
  <si>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[Retained cash balance]</t>
  </si>
  <si>
    <t>[Retained earnings balance]</t>
  </si>
  <si>
    <t>OUTPUT TEMPLATE</t>
  </si>
  <si>
    <t>[Output template row]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</si>
</sst>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7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0" fillId="0" borderId="0" xfId="0" applyNumberFormat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67" fontId="17" fillId="0" borderId="0" xfId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3" fillId="0" borderId="0" xfId="0" applyFont="1">
      <alignment vertical="top"/>
    </xf>
    <xf numFmtId="169" fontId="44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3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  <xf numFmtId="167" fontId="28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59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5"/>
  <sheetViews>
    <sheetView showGridLines="0" tabSelected="1" defaultGridColor="0" colorId="22" zoomScale="110" zoomScaleNormal="110" workbookViewId="0">
      <pane xSplit="10" ySplit="9" topLeftCell="K10" activePane="bottomRight" state="frozen"/>
      <selection activeCell="E33" sqref="E33"/>
      <selection pane="topRight" activeCell="E33" sqref="E33"/>
      <selection pane="bottomLeft" activeCell="E33" sqref="E33"/>
      <selection pane="bottomRight" activeCell="F44" sqref="F44"/>
    </sheetView>
  </sheetViews>
  <sheetFormatPr defaultColWidth="0" defaultRowHeight="13.15" x14ac:dyDescent="0.35"/>
  <cols>
    <col min="1" max="2" width="1.1328125" style="1" customWidth="1"/>
    <col min="3" max="3" width="1.1328125" style="11" customWidth="1"/>
    <col min="4" max="4" width="1.132812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4648437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155</v>
      </c>
      <c r="M3" s="168" t="s">
        <v>156</v>
      </c>
      <c r="N3" s="167"/>
      <c r="O3" s="168" t="s">
        <v>157</v>
      </c>
      <c r="P3" s="168" t="s">
        <v>158</v>
      </c>
      <c r="Q3" s="168" t="s">
        <v>159</v>
      </c>
      <c r="R3" s="168" t="s">
        <v>160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167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44" customFormat="1" x14ac:dyDescent="0.35">
      <c r="A24" s="441"/>
      <c r="B24" s="441"/>
      <c r="C24" s="442"/>
      <c r="D24" s="443"/>
      <c r="E24" s="445" t="s">
        <v>176</v>
      </c>
      <c r="F24" s="446">
        <f xml:space="preserve"> IF( INDEX(J24:S24, $I$4) = "", INDEX(J24:R24, $I$6), INDEX(J24:S24, $I$4))</f>
        <v>0.33</v>
      </c>
      <c r="G24" s="445" t="s">
        <v>177</v>
      </c>
      <c r="H24" s="445"/>
      <c r="I24" s="336" t="str" cm="1">
        <f t="array" ref="I24" xml:space="preserve"> IF( INDEX(J24:S24, I$5) = "", IF( INDEX(J24:S24, I$6) = F24, "vw", "tu"), IF(INDEX(J24:S24, I$5) = F24, "vw", "tu"))</f>
        <v>vw</v>
      </c>
      <c r="J24" s="447"/>
      <c r="K24" s="448">
        <v>0.33</v>
      </c>
      <c r="L24" s="448">
        <v>0.33</v>
      </c>
      <c r="M24" s="448">
        <v>0.33</v>
      </c>
      <c r="N24" s="449"/>
      <c r="O24" s="450"/>
      <c r="P24" s="450"/>
      <c r="Q24" s="450"/>
      <c r="R24" s="450"/>
      <c r="S24" s="449"/>
    </row>
    <row r="25" spans="1:19" x14ac:dyDescent="0.35">
      <c r="E25" s="445" t="s">
        <v>178</v>
      </c>
      <c r="F25" s="446">
        <f xml:space="preserve"> IF( INDEX(J25:S25, $I$4) = "", INDEX(J25:R25, $I$6), INDEX(J25:S25, $I$4))</f>
        <v>0.36</v>
      </c>
      <c r="G25" s="445" t="s">
        <v>177</v>
      </c>
      <c r="H25" s="445"/>
      <c r="I25" s="336" t="str" cm="1">
        <f t="array" ref="I25" xml:space="preserve"> IF( INDEX(J25:S25, I$5) = "", IF( INDEX(J25:S25, I$6) = F25, "vw", "tu"), IF(INDEX(J25:S25, I$5) = F25, "vw", "tu"))</f>
        <v>vw</v>
      </c>
      <c r="J25" s="447"/>
      <c r="K25" s="448">
        <v>0.36</v>
      </c>
      <c r="L25" s="448">
        <v>0.36</v>
      </c>
      <c r="M25" s="448">
        <v>0.36</v>
      </c>
      <c r="N25" s="449"/>
      <c r="O25" s="450"/>
      <c r="P25" s="450"/>
      <c r="Q25" s="450"/>
      <c r="R25" s="450"/>
      <c r="S25" s="449"/>
    </row>
    <row r="26" spans="1:19" x14ac:dyDescent="0.35">
      <c r="E26" s="445" t="s">
        <v>179</v>
      </c>
      <c r="F26" s="446">
        <f xml:space="preserve"> IF( INDEX(J26:S26, $I$4) = "", INDEX(J26:R26, $I$6), INDEX(J26:S26, $I$4))</f>
        <v>0.15499999999999992</v>
      </c>
      <c r="G26" s="445" t="s">
        <v>177</v>
      </c>
      <c r="H26" s="445"/>
      <c r="I26" s="336" t="str" cm="1">
        <f t="array" ref="I26" xml:space="preserve"> IF( INDEX(J26:S26, I$5) = "", IF( INDEX(J26:S26, I$6) = F26, "vw", "tu"), IF(INDEX(J26:S26, I$5) = F26, "vw", "tu"))</f>
        <v>vw</v>
      </c>
      <c r="J26" s="447"/>
      <c r="K26" s="448">
        <v>0.15499999999999992</v>
      </c>
      <c r="L26" s="448">
        <v>0.15499999999999992</v>
      </c>
      <c r="M26" s="448">
        <v>0.15499999999999992</v>
      </c>
      <c r="N26" s="449"/>
      <c r="O26" s="450"/>
      <c r="P26" s="450"/>
      <c r="Q26" s="450"/>
      <c r="R26" s="450"/>
      <c r="S26" s="449"/>
    </row>
    <row r="27" spans="1:19" x14ac:dyDescent="0.35">
      <c r="E27" s="445" t="s">
        <v>180</v>
      </c>
      <c r="F27" s="446">
        <f xml:space="preserve"> IF( INDEX(J27:S27, $I$4) = "", INDEX(J27:R27, $I$6), INDEX(J27:S27, $I$4))</f>
        <v>0.155</v>
      </c>
      <c r="G27" s="445" t="s">
        <v>177</v>
      </c>
      <c r="H27" s="445"/>
      <c r="I27" s="336" t="str" cm="1">
        <f t="array" ref="I27" xml:space="preserve"> IF( INDEX(J27:S27, I$5) = "", IF( INDEX(J27:S27, I$6) = F27, "vw", "tu"), IF(INDEX(J27:S27, I$5) = F27, "vw", "tu"))</f>
        <v>vw</v>
      </c>
      <c r="J27" s="447"/>
      <c r="K27" s="448">
        <v>0.155</v>
      </c>
      <c r="L27" s="448">
        <v>0.155</v>
      </c>
      <c r="M27" s="448">
        <v>0.155</v>
      </c>
      <c r="N27" s="449"/>
      <c r="O27" s="450"/>
      <c r="P27" s="450"/>
      <c r="Q27" s="450"/>
      <c r="R27" s="450"/>
      <c r="S27" s="449"/>
    </row>
    <row r="29" spans="1:19" s="444" customFormat="1" x14ac:dyDescent="0.35">
      <c r="A29" s="441"/>
      <c r="B29" s="441"/>
      <c r="C29" s="442"/>
      <c r="D29" s="443"/>
      <c r="E29" s="445" t="s">
        <v>187</v>
      </c>
      <c r="F29" s="446">
        <f xml:space="preserve"> IF( INDEX(J29:S29, $I$4) = "", INDEX(J29:R29, $I$6), INDEX(J29:S29, $I$4))</f>
        <v>5.0000000000000001E-3</v>
      </c>
      <c r="G29" s="445" t="s">
        <v>175</v>
      </c>
      <c r="H29" s="445"/>
      <c r="I29" s="336" t="str" cm="1">
        <f t="array" ref="I29" xml:space="preserve"> IF( INDEX(J29:S29, I$5) = "", IF( INDEX(J29:S29, I$6) = F29, "vw", "tu"), IF(INDEX(J29:S29, I$5) = F29, "vw", "tu"))</f>
        <v>vw</v>
      </c>
      <c r="J29" s="447"/>
      <c r="K29" s="448">
        <v>5.0000000000000001E-3</v>
      </c>
      <c r="L29" s="448">
        <v>5.0000000000000001E-3</v>
      </c>
      <c r="M29" s="448">
        <v>5.0000000000000001E-3</v>
      </c>
      <c r="N29" s="449"/>
      <c r="O29" s="450"/>
      <c r="P29" s="450"/>
      <c r="Q29" s="450"/>
      <c r="R29" s="450"/>
      <c r="S29" s="449"/>
    </row>
    <row r="30" spans="1:19" s="424" customFormat="1" x14ac:dyDescent="0.35">
      <c r="A30" s="1"/>
      <c r="B30" s="1"/>
      <c r="C30" s="11"/>
      <c r="D30" s="12"/>
      <c r="E30" s="106" t="s">
        <v>181</v>
      </c>
      <c r="F30" s="263">
        <f xml:space="preserve"> IF( INDEX(J30:S30, $I$4) = "", INDEX(J30:R30, $I$6), INDEX(J30:S30, $I$4))</f>
        <v>250</v>
      </c>
      <c r="G30" s="106" t="s">
        <v>171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1" t="s">
        <v>182</v>
      </c>
      <c r="F31" s="452">
        <f xml:space="preserve"> IF( INDEX(J31:S31, $I$4) = "", INDEX(J31:R31, $I$6), INDEX(J31:S31, $I$4))</f>
        <v>0.97</v>
      </c>
      <c r="G31" s="451" t="s">
        <v>168</v>
      </c>
      <c r="H31" s="451"/>
      <c r="I31" s="336" t="str" cm="1">
        <f t="array" ref="I31" xml:space="preserve"> IF( INDEX(J31:S31, I$5) = "", IF( INDEX(J31:S31, I$6) = F31, "vw", "tu"), IF(INDEX(J31:S31, I$5) = F31, "vw", "tu"))</f>
        <v>vw</v>
      </c>
      <c r="J31" s="453"/>
      <c r="K31" s="454">
        <v>0.97</v>
      </c>
      <c r="L31" s="454">
        <v>0.97</v>
      </c>
      <c r="M31" s="454">
        <v>0.97</v>
      </c>
      <c r="N31" s="455"/>
      <c r="O31" s="456"/>
      <c r="P31" s="456"/>
      <c r="Q31" s="456"/>
      <c r="R31" s="456"/>
      <c r="S31" s="455"/>
    </row>
    <row r="33" spans="1:19" s="460" customFormat="1" x14ac:dyDescent="0.35">
      <c r="A33" s="457"/>
      <c r="B33" s="457"/>
      <c r="C33" s="458"/>
      <c r="D33" s="459"/>
      <c r="E33" s="461" t="s">
        <v>173</v>
      </c>
      <c r="F33" s="462">
        <f xml:space="preserve"> IF( INDEX(J33:S33, $I$4) = "", INDEX(J33:R33, $I$6), INDEX(J33:S33, $I$4))</f>
        <v>6.5000000000000002E-2</v>
      </c>
      <c r="G33" s="461" t="s">
        <v>174</v>
      </c>
      <c r="H33" s="461"/>
      <c r="I33" s="336" t="str" cm="1">
        <f t="array" ref="I33" xml:space="preserve"> IF( INDEX(J33:S33, I$5) = "", IF( INDEX(J33:S33, I$6) = F33, "vw", "tu"), IF(INDEX(J33:S33, I$5) = F33, "vw", "tu"))</f>
        <v>vw</v>
      </c>
      <c r="J33" s="463"/>
      <c r="K33" s="464">
        <v>6.5000000000000002E-2</v>
      </c>
      <c r="L33" s="464">
        <v>6.5000000000000002E-2</v>
      </c>
      <c r="M33" s="464">
        <v>6.5000000000000002E-2</v>
      </c>
      <c r="N33" s="465"/>
      <c r="O33" s="466"/>
      <c r="P33" s="466"/>
      <c r="Q33" s="466"/>
      <c r="R33" s="466"/>
      <c r="S33" s="465"/>
    </row>
    <row r="35" spans="1:19" x14ac:dyDescent="0.35">
      <c r="A35" s="128"/>
      <c r="B35" s="128"/>
      <c r="C35" s="129"/>
      <c r="D35" s="130"/>
      <c r="E35" s="130"/>
      <c r="F35" s="223"/>
      <c r="G35" s="130"/>
      <c r="H35" s="224"/>
      <c r="I35" s="338"/>
      <c r="J35" s="213"/>
      <c r="K35" s="223"/>
      <c r="L35" s="223"/>
      <c r="M35" s="223"/>
      <c r="N35" s="132"/>
      <c r="O35" s="225"/>
      <c r="P35" s="225"/>
      <c r="Q35" s="225"/>
      <c r="R35" s="225"/>
      <c r="S35" s="132"/>
    </row>
    <row r="36" spans="1:19" x14ac:dyDescent="0.35">
      <c r="A36" s="128"/>
      <c r="B36" s="128"/>
      <c r="C36" s="129"/>
      <c r="D36" s="130"/>
      <c r="E36" s="130"/>
      <c r="F36" s="223"/>
      <c r="G36" s="130"/>
      <c r="H36" s="224"/>
      <c r="I36" s="338"/>
      <c r="J36" s="213"/>
      <c r="K36" s="223"/>
      <c r="L36" s="223"/>
      <c r="M36" s="223"/>
      <c r="N36" s="132"/>
      <c r="O36" s="225"/>
      <c r="P36" s="225"/>
      <c r="Q36" s="225"/>
      <c r="R36" s="225"/>
      <c r="S36" s="132"/>
    </row>
    <row r="37" spans="1:19" x14ac:dyDescent="0.35">
      <c r="A37" s="128" t="s">
        <v>165</v>
      </c>
      <c r="B37" s="128"/>
      <c r="C37" s="129"/>
      <c r="D37" s="130"/>
      <c r="E37" s="130"/>
      <c r="F37" s="223"/>
      <c r="G37" s="130"/>
      <c r="H37" s="224"/>
      <c r="I37" s="338"/>
      <c r="J37" s="213"/>
      <c r="K37" s="223"/>
      <c r="L37" s="223"/>
      <c r="M37" s="223"/>
      <c r="N37" s="132"/>
      <c r="O37" s="225"/>
      <c r="P37" s="225"/>
      <c r="Q37" s="225"/>
      <c r="R37" s="225"/>
      <c r="S37" s="132"/>
    </row>
    <row r="38" spans="1:19" s="424" customFormat="1" x14ac:dyDescent="0.35">
      <c r="A38" s="1"/>
      <c r="B38" s="1"/>
      <c r="C38" s="11"/>
      <c r="D38" s="12"/>
      <c r="E38" s="106" t="s">
        <v>163</v>
      </c>
      <c r="F38" s="263">
        <f xml:space="preserve"> IF( INDEX(J38:S38, $I$4) = "", INDEX(J38:R38, $I$6), INDEX(J38:S38, $I$4))</f>
        <v>0</v>
      </c>
      <c r="G38" s="106" t="str">
        <f xml:space="preserve"> SMU</f>
        <v>$ 000s</v>
      </c>
      <c r="H38" s="106"/>
      <c r="I38" s="336" t="str" cm="1">
        <f t="array" ref="I38" xml:space="preserve"> IF( INDEX(J38:S38, I$5) = "", IF( INDEX(J38:S38, I$6) = F38, "vw", "tu"), IF(INDEX(J38:S38, I$5) = F38, "vw", "tu"))</f>
        <v>vw</v>
      </c>
      <c r="J38" s="264"/>
      <c r="K38" s="241">
        <v>0</v>
      </c>
      <c r="L38" s="241">
        <v>0</v>
      </c>
      <c r="M38" s="241">
        <v>0</v>
      </c>
      <c r="N38" s="265"/>
      <c r="O38" s="266"/>
      <c r="P38" s="266"/>
      <c r="Q38" s="266"/>
      <c r="R38" s="266"/>
      <c r="S38" s="265"/>
    </row>
    <row r="39" spans="1:19" s="424" customFormat="1" x14ac:dyDescent="0.35">
      <c r="A39" s="1"/>
      <c r="B39" s="1"/>
      <c r="C39" s="11"/>
      <c r="D39" s="12"/>
      <c r="E39" s="106" t="s">
        <v>164</v>
      </c>
      <c r="F39" s="263">
        <f xml:space="preserve"> IF( INDEX(J39:S39, $I$4) = "", INDEX(J39:R39, $I$6), INDEX(J39:S39, $I$4))</f>
        <v>0</v>
      </c>
      <c r="G39" s="106" t="str">
        <f xml:space="preserve"> SMU</f>
        <v>$ 000s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0</v>
      </c>
      <c r="L39" s="241">
        <v>0</v>
      </c>
      <c r="M39" s="241">
        <v>0</v>
      </c>
      <c r="N39" s="265"/>
      <c r="O39" s="266"/>
      <c r="P39" s="266"/>
      <c r="Q39" s="266"/>
      <c r="R39" s="266"/>
      <c r="S39" s="265"/>
    </row>
    <row r="40" spans="1:19" s="424" customFormat="1" x14ac:dyDescent="0.35">
      <c r="A40" s="1"/>
      <c r="B40" s="1"/>
      <c r="C40" s="11"/>
      <c r="D40" s="12"/>
      <c r="E40" s="106"/>
      <c r="F40" s="425"/>
      <c r="G40" s="106"/>
      <c r="H40" s="106"/>
      <c r="I40" s="336"/>
      <c r="J40" s="264"/>
      <c r="K40" s="33"/>
      <c r="L40" s="33"/>
      <c r="M40" s="33"/>
      <c r="N40" s="265"/>
      <c r="O40" s="426"/>
      <c r="P40" s="426"/>
      <c r="Q40" s="426"/>
      <c r="R40" s="426"/>
      <c r="S40" s="265"/>
    </row>
    <row r="41" spans="1:19" s="424" customFormat="1" x14ac:dyDescent="0.35">
      <c r="A41" s="1"/>
      <c r="B41" s="1"/>
      <c r="C41" s="11"/>
      <c r="D41" s="12"/>
      <c r="E41" s="106"/>
      <c r="F41" s="425"/>
      <c r="G41" s="106"/>
      <c r="H41" s="106"/>
      <c r="I41" s="336"/>
      <c r="J41" s="264"/>
      <c r="K41" s="33"/>
      <c r="L41" s="33"/>
      <c r="M41" s="33"/>
      <c r="N41" s="265"/>
      <c r="O41" s="426"/>
      <c r="P41" s="426"/>
      <c r="Q41" s="426"/>
      <c r="R41" s="426"/>
      <c r="S41" s="265"/>
    </row>
    <row r="42" spans="1:19" x14ac:dyDescent="0.35">
      <c r="I42" s="336"/>
    </row>
    <row r="44" spans="1:19" x14ac:dyDescent="0.35">
      <c r="A44" s="195" t="s">
        <v>92</v>
      </c>
      <c r="B44" s="195"/>
      <c r="C44" s="196"/>
      <c r="D44" s="118"/>
      <c r="E44" s="118"/>
      <c r="F44" s="118"/>
      <c r="G44" s="118"/>
      <c r="H44" s="118"/>
      <c r="I44" s="339"/>
      <c r="J44" s="118"/>
      <c r="K44" s="118"/>
      <c r="L44" s="118"/>
      <c r="M44" s="118"/>
      <c r="N44" s="118"/>
      <c r="O44" s="118"/>
      <c r="P44" s="118"/>
      <c r="Q44" s="118"/>
      <c r="R44" s="118"/>
      <c r="S44" s="118"/>
    </row>
    <row r="45" spans="1:19" x14ac:dyDescent="0.35">
      <c r="A45" s="22"/>
      <c r="B45" s="22"/>
      <c r="C45" s="19"/>
      <c r="D45" s="47"/>
      <c r="E45" s="21"/>
      <c r="F45" s="20"/>
      <c r="G45" s="21"/>
      <c r="H45" s="21"/>
      <c r="J45" s="118"/>
      <c r="K45" s="21"/>
      <c r="L45" s="21"/>
      <c r="M45" s="21"/>
      <c r="N45" s="118"/>
      <c r="O45" s="21"/>
      <c r="P45" s="21"/>
      <c r="Q45" s="21"/>
      <c r="R45" s="21"/>
      <c r="S45" s="118"/>
    </row>
    <row r="46" spans="1:19" x14ac:dyDescent="0.35">
      <c r="A46" s="22"/>
      <c r="B46" s="22"/>
      <c r="C46" s="19"/>
      <c r="D46" s="47"/>
      <c r="E46" s="48" t="s">
        <v>40</v>
      </c>
      <c r="F46" s="387">
        <v>1E-3</v>
      </c>
      <c r="G46" s="48" t="s">
        <v>41</v>
      </c>
      <c r="H46" s="21"/>
      <c r="J46" s="118"/>
      <c r="K46" s="21"/>
      <c r="L46" s="21"/>
      <c r="M46" s="21"/>
      <c r="N46" s="118"/>
      <c r="O46" s="21"/>
      <c r="P46" s="21"/>
      <c r="Q46" s="21"/>
      <c r="R46" s="21"/>
      <c r="S46" s="118"/>
    </row>
    <row r="47" spans="1:19" x14ac:dyDescent="0.35">
      <c r="A47" s="22"/>
      <c r="B47" s="22"/>
      <c r="C47" s="19"/>
      <c r="D47" s="47"/>
      <c r="E47" s="48" t="s">
        <v>73</v>
      </c>
      <c r="F47" s="387">
        <v>1E-3</v>
      </c>
      <c r="G47" s="48" t="s">
        <v>41</v>
      </c>
      <c r="H47" s="21"/>
      <c r="J47" s="118"/>
      <c r="K47" s="21"/>
      <c r="L47" s="21"/>
      <c r="M47" s="21"/>
      <c r="N47" s="118"/>
      <c r="O47" s="21"/>
      <c r="P47" s="21"/>
      <c r="Q47" s="21"/>
      <c r="R47" s="21"/>
      <c r="S47" s="118"/>
    </row>
    <row r="48" spans="1:19" x14ac:dyDescent="0.35">
      <c r="A48" s="22"/>
      <c r="B48" s="22"/>
      <c r="C48" s="19"/>
      <c r="D48" s="20"/>
      <c r="E48" s="20" t="s">
        <v>43</v>
      </c>
      <c r="F48" s="121">
        <v>12</v>
      </c>
      <c r="G48" s="20" t="s">
        <v>10</v>
      </c>
      <c r="H48" s="20"/>
      <c r="J48" s="118"/>
      <c r="K48" s="20"/>
      <c r="L48" s="20"/>
      <c r="M48" s="20"/>
      <c r="N48" s="118"/>
      <c r="O48" s="20"/>
      <c r="P48" s="20"/>
      <c r="Q48" s="20"/>
      <c r="R48" s="20"/>
      <c r="S48" s="118"/>
    </row>
    <row r="49" spans="1:19" x14ac:dyDescent="0.35">
      <c r="E49" s="7" t="s">
        <v>105</v>
      </c>
      <c r="F49" s="156">
        <v>4</v>
      </c>
      <c r="G49" s="7" t="s">
        <v>87</v>
      </c>
    </row>
    <row r="50" spans="1:19" x14ac:dyDescent="0.35">
      <c r="E50" s="7" t="s">
        <v>90</v>
      </c>
      <c r="F50" s="389" t="s">
        <v>108</v>
      </c>
      <c r="G50" s="7" t="s">
        <v>91</v>
      </c>
      <c r="I50" s="340"/>
    </row>
    <row r="51" spans="1:19" x14ac:dyDescent="0.35">
      <c r="E51" s="107" t="s">
        <v>109</v>
      </c>
      <c r="F51" s="388">
        <v>100</v>
      </c>
      <c r="G51" s="107" t="s">
        <v>109</v>
      </c>
      <c r="H51" s="107"/>
    </row>
    <row r="52" spans="1:19" x14ac:dyDescent="0.35">
      <c r="A52" s="468"/>
      <c r="B52" s="468"/>
      <c r="C52" s="469"/>
      <c r="D52" s="470"/>
      <c r="E52" s="107" t="s">
        <v>184</v>
      </c>
      <c r="F52" s="388">
        <v>1000000</v>
      </c>
      <c r="G52" s="107" t="s">
        <v>183</v>
      </c>
      <c r="H52" s="107"/>
      <c r="I52" s="336"/>
      <c r="J52" s="211"/>
      <c r="N52" s="134"/>
    </row>
    <row r="53" spans="1:19" x14ac:dyDescent="0.35">
      <c r="E53" s="107" t="s">
        <v>161</v>
      </c>
      <c r="F53" s="388">
        <v>1000</v>
      </c>
      <c r="G53" s="107" t="s">
        <v>107</v>
      </c>
      <c r="H53" s="107"/>
    </row>
    <row r="55" spans="1:19" x14ac:dyDescent="0.35">
      <c r="B55" s="1" t="s">
        <v>27</v>
      </c>
    </row>
    <row r="56" spans="1:19" x14ac:dyDescent="0.35">
      <c r="A56" s="8"/>
      <c r="B56" s="8"/>
      <c r="C56" s="13"/>
      <c r="D56" s="34"/>
      <c r="E56" s="6" t="s">
        <v>30</v>
      </c>
      <c r="F56" s="156" t="s">
        <v>31</v>
      </c>
      <c r="G56" s="6" t="s">
        <v>26</v>
      </c>
      <c r="H56" s="6"/>
      <c r="J56" s="117"/>
      <c r="K56" s="33"/>
      <c r="L56" s="33"/>
      <c r="M56" s="33"/>
      <c r="N56" s="117"/>
      <c r="O56" s="33"/>
      <c r="P56" s="33"/>
      <c r="Q56" s="33"/>
      <c r="R56" s="33"/>
      <c r="S56" s="117"/>
    </row>
    <row r="57" spans="1:19" x14ac:dyDescent="0.35">
      <c r="A57" s="8"/>
      <c r="B57" s="8"/>
      <c r="C57" s="13"/>
      <c r="D57" s="34"/>
      <c r="E57" s="6" t="s">
        <v>46</v>
      </c>
      <c r="F57" s="156" t="s">
        <v>47</v>
      </c>
      <c r="G57" s="6" t="s">
        <v>26</v>
      </c>
      <c r="H57" s="6"/>
      <c r="J57" s="117"/>
      <c r="K57" s="33"/>
      <c r="L57" s="33"/>
      <c r="M57" s="33"/>
      <c r="N57" s="117"/>
      <c r="O57" s="33"/>
      <c r="P57" s="33"/>
      <c r="Q57" s="33"/>
      <c r="R57" s="33"/>
      <c r="S57" s="117"/>
    </row>
    <row r="58" spans="1:19" x14ac:dyDescent="0.35">
      <c r="A58" s="8"/>
      <c r="B58" s="8"/>
      <c r="C58" s="13"/>
      <c r="D58" s="34"/>
      <c r="E58" s="6" t="s">
        <v>48</v>
      </c>
      <c r="F58" s="156" t="s">
        <v>48</v>
      </c>
      <c r="G58" s="6" t="s">
        <v>26</v>
      </c>
      <c r="H58" s="6"/>
      <c r="I58" s="340"/>
      <c r="J58" s="117"/>
      <c r="K58" s="33"/>
      <c r="L58" s="33"/>
      <c r="M58" s="33"/>
      <c r="N58" s="117"/>
      <c r="O58" s="33"/>
      <c r="P58" s="33"/>
      <c r="Q58" s="33"/>
      <c r="R58" s="33"/>
      <c r="S58" s="117"/>
    </row>
    <row r="59" spans="1:19" x14ac:dyDescent="0.35">
      <c r="A59" s="8"/>
      <c r="B59" s="8"/>
      <c r="C59" s="13"/>
      <c r="D59" s="34"/>
      <c r="E59" s="6" t="s">
        <v>49</v>
      </c>
      <c r="F59" s="156" t="s">
        <v>49</v>
      </c>
      <c r="G59" s="6" t="s">
        <v>26</v>
      </c>
      <c r="H59" s="6"/>
      <c r="I59" s="340"/>
      <c r="J59" s="117"/>
      <c r="K59" s="33"/>
      <c r="L59" s="33"/>
      <c r="M59" s="33"/>
      <c r="N59" s="117"/>
      <c r="O59" s="33"/>
      <c r="P59" s="33"/>
      <c r="Q59" s="33"/>
      <c r="R59" s="33"/>
      <c r="S59" s="117"/>
    </row>
    <row r="60" spans="1:19" x14ac:dyDescent="0.35">
      <c r="A60" s="8"/>
      <c r="B60" s="8"/>
      <c r="C60" s="13"/>
      <c r="D60" s="34"/>
      <c r="E60" s="6"/>
      <c r="F60" s="26"/>
      <c r="G60" s="6"/>
      <c r="H60" s="6"/>
      <c r="I60" s="340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E61" s="106" t="s">
        <v>114</v>
      </c>
      <c r="F61" s="263">
        <f xml:space="preserve"> IF( INDEX(J61:S61, $I$4) = "", INDEX(J61:R61, $I$6), INDEX(J61:S61, $I$4))</f>
        <v>0</v>
      </c>
      <c r="G61" s="106" t="s">
        <v>115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/>
      <c r="L61" s="241"/>
      <c r="M61" s="241"/>
      <c r="N61" s="265"/>
      <c r="O61" s="266"/>
      <c r="P61" s="266"/>
      <c r="Q61" s="266"/>
      <c r="R61" s="266"/>
      <c r="S61" s="265"/>
    </row>
    <row r="62" spans="1:19" x14ac:dyDescent="0.35">
      <c r="A62" s="8"/>
      <c r="B62" s="8"/>
      <c r="C62" s="13"/>
      <c r="D62" s="34"/>
      <c r="E62" s="6"/>
      <c r="F62" s="26"/>
      <c r="G62" s="6"/>
      <c r="H62" s="6"/>
      <c r="I62" s="336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I63" s="336"/>
    </row>
    <row r="64" spans="1:19" x14ac:dyDescent="0.35">
      <c r="A64" s="1" t="s">
        <v>63</v>
      </c>
      <c r="I64" s="336"/>
    </row>
    <row r="65" spans="9:9" x14ac:dyDescent="0.35">
      <c r="I65" s="336"/>
    </row>
  </sheetData>
  <phoneticPr fontId="4" type="noConversion"/>
  <conditionalFormatting sqref="I13:I16">
    <cfRule type="cellIs" dxfId="58" priority="71" operator="equal">
      <formula>"tu"</formula>
    </cfRule>
  </conditionalFormatting>
  <conditionalFormatting sqref="I18">
    <cfRule type="cellIs" dxfId="57" priority="94" operator="equal">
      <formula>"tu"</formula>
    </cfRule>
  </conditionalFormatting>
  <conditionalFormatting sqref="I20:I21">
    <cfRule type="cellIs" dxfId="56" priority="185" operator="equal">
      <formula>"tu"</formula>
    </cfRule>
  </conditionalFormatting>
  <conditionalFormatting sqref="I24:I27">
    <cfRule type="cellIs" dxfId="55" priority="23" operator="equal">
      <formula>"tu"</formula>
    </cfRule>
  </conditionalFormatting>
  <conditionalFormatting sqref="I29:I31">
    <cfRule type="cellIs" dxfId="54" priority="13" operator="equal">
      <formula>"tu"</formula>
    </cfRule>
  </conditionalFormatting>
  <conditionalFormatting sqref="I33">
    <cfRule type="cellIs" dxfId="53" priority="8" operator="equal">
      <formula>"tu"</formula>
    </cfRule>
  </conditionalFormatting>
  <conditionalFormatting sqref="I38:I42">
    <cfRule type="cellIs" dxfId="52" priority="48" operator="equal">
      <formula>"tu"</formula>
    </cfRule>
  </conditionalFormatting>
  <conditionalFormatting sqref="I52">
    <cfRule type="cellIs" dxfId="51" priority="3" operator="equal">
      <formula>"tu"</formula>
    </cfRule>
  </conditionalFormatting>
  <conditionalFormatting sqref="I53:I55">
    <cfRule type="cellIs" dxfId="50" priority="186" operator="equal">
      <formula>1</formula>
    </cfRule>
  </conditionalFormatting>
  <conditionalFormatting sqref="I61:I65">
    <cfRule type="cellIs" dxfId="49" priority="100" operator="equal">
      <formula>"tu"</formula>
    </cfRule>
  </conditionalFormatting>
  <conditionalFormatting sqref="O13:R16">
    <cfRule type="cellIs" dxfId="48" priority="180" operator="equal">
      <formula>""</formula>
    </cfRule>
  </conditionalFormatting>
  <conditionalFormatting sqref="O18:R18 O49:R49">
    <cfRule type="cellIs" dxfId="47" priority="391" operator="equal">
      <formula>""</formula>
    </cfRule>
  </conditionalFormatting>
  <conditionalFormatting sqref="O20:R42">
    <cfRule type="cellIs" dxfId="46" priority="12" operator="equal">
      <formula>""</formula>
    </cfRule>
  </conditionalFormatting>
  <conditionalFormatting sqref="O51:R53">
    <cfRule type="cellIs" dxfId="45" priority="1" operator="equal">
      <formula>""</formula>
    </cfRule>
  </conditionalFormatting>
  <conditionalFormatting sqref="O61:R61">
    <cfRule type="cellIs" dxfId="44" priority="104" operator="equal">
      <formula>""</formula>
    </cfRule>
  </conditionalFormatting>
  <dataValidations disablePrompts="1" count="1">
    <dataValidation allowBlank="1" showInputMessage="1" showErrorMessage="1" sqref="E29:H29 E24:H27 E30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81" activePane="bottomRight" state="frozen"/>
      <selection pane="topRight" activeCell="J1" sqref="J1"/>
      <selection pane="bottomLeft" activeCell="A6" sqref="A6"/>
      <selection pane="bottomRight" activeCell="E114" sqref="E114"/>
    </sheetView>
  </sheetViews>
  <sheetFormatPr defaultColWidth="0" defaultRowHeight="13.15" zeroHeight="1" outlineLevelRow="2" x14ac:dyDescent="0.35"/>
  <cols>
    <col min="1" max="2" width="1.1328125" style="8" customWidth="1"/>
    <col min="3" max="3" width="1.1328125" style="13" customWidth="1"/>
    <col min="4" max="4" width="1.132812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151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InpC!E$48</f>
        <v>Months in year</v>
      </c>
      <c r="F36" s="93">
        <f xml:space="preserve"> InpC!F$48</f>
        <v>12</v>
      </c>
      <c r="G36" s="93" t="str">
        <f xml:space="preserve"> InpC!G$48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153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InpC!E$48</f>
        <v>Months in year</v>
      </c>
      <c r="F46" s="93">
        <f xml:space="preserve"> InpC!F$48</f>
        <v>12</v>
      </c>
      <c r="G46" s="93" t="str">
        <f xml:space="preserve"> InpC!G$48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154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InpC!E$56</f>
        <v>Pre-forecast period</v>
      </c>
      <c r="F62" s="146" t="str">
        <f xml:space="preserve"> InpC!F$56</f>
        <v>Pre-fcst</v>
      </c>
      <c r="G62" s="146" t="str">
        <f xml:space="preserve"> InpC!G$56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InpC!E$57</f>
        <v>Financial Close</v>
      </c>
      <c r="F63" s="38" t="str">
        <f xml:space="preserve"> InpC!F$57</f>
        <v>Fin Close</v>
      </c>
      <c r="G63" s="38" t="str">
        <f xml:space="preserve"> InpC!G$57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InpC!E$58</f>
        <v>Operations</v>
      </c>
      <c r="F64" s="38" t="str">
        <f xml:space="preserve"> InpC!F$58</f>
        <v>Operations</v>
      </c>
      <c r="G64" s="38" t="str">
        <f xml:space="preserve"> InpC!G$58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InpC!E$59</f>
        <v>Post ops</v>
      </c>
      <c r="F65" s="38" t="str">
        <f xml:space="preserve"> InpC!F$59</f>
        <v>Post ops</v>
      </c>
      <c r="G65" s="38" t="str">
        <f xml:space="preserve"> InpC!G$59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outlineLevel="2" x14ac:dyDescent="0.35">
      <c r="A76" s="183"/>
      <c r="B76" s="183"/>
      <c r="C76" s="184"/>
      <c r="D76" s="185"/>
      <c r="E76" s="181" t="s">
        <v>42</v>
      </c>
      <c r="F76" s="181"/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InpC!E$48</f>
        <v>Months in year</v>
      </c>
      <c r="F86" s="43">
        <f xml:space="preserve"> InpC!F$48</f>
        <v>12</v>
      </c>
      <c r="G86" s="43" t="str">
        <f xml:space="preserve"> InpC!G$48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120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121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37" customFormat="1" outlineLevel="2" x14ac:dyDescent="0.35">
      <c r="A97" s="183"/>
      <c r="B97" s="183"/>
      <c r="C97" s="184"/>
      <c r="D97" s="185"/>
      <c r="E97" s="186" t="s">
        <v>118</v>
      </c>
      <c r="F97" s="438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119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119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x14ac:dyDescent="0.35">
      <c r="A105" s="192" t="s">
        <v>150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outlineLevel="1" x14ac:dyDescent="0.35">
      <c r="A107" s="192"/>
      <c r="B107" s="192" t="s">
        <v>152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outlineLevel="2" x14ac:dyDescent="0.35">
      <c r="A109" s="192"/>
      <c r="B109" s="192"/>
      <c r="C109" s="193"/>
      <c r="D109" s="194"/>
      <c r="E109" s="191" t="s">
        <v>122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outlineLevel="2" x14ac:dyDescent="0.35">
      <c r="A111" s="51"/>
      <c r="B111" s="51"/>
      <c r="C111" s="52"/>
      <c r="D111" s="53"/>
      <c r="E111" s="38" t="str">
        <f xml:space="preserve"> InpC!E$49</f>
        <v>Number of periods in a year</v>
      </c>
      <c r="F111" s="38">
        <f xml:space="preserve"> InpC!F$49</f>
        <v>4</v>
      </c>
      <c r="G111" s="38" t="str">
        <f xml:space="preserve"> InpC!G$49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37" customFormat="1" outlineLevel="2" x14ac:dyDescent="0.35">
      <c r="A114" s="102"/>
      <c r="B114" s="102"/>
      <c r="C114" s="103"/>
      <c r="D114" s="104"/>
      <c r="E114" s="105" t="s">
        <v>152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outlineLevel="1" x14ac:dyDescent="0.35">
      <c r="A116" s="192"/>
      <c r="B116" s="192" t="s">
        <v>123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outlineLevel="2" x14ac:dyDescent="0.35">
      <c r="A117" s="379"/>
      <c r="B117" s="379"/>
      <c r="C117" s="380"/>
      <c r="D117" s="381"/>
      <c r="E117" s="43" t="str">
        <f xml:space="preserve"> InpC!E$49</f>
        <v>Number of periods in a year</v>
      </c>
      <c r="F117" s="43">
        <f xml:space="preserve"> InpC!F$49</f>
        <v>4</v>
      </c>
      <c r="G117" s="43" t="str">
        <f xml:space="preserve"> InpC!G$49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37" customFormat="1" outlineLevel="2" x14ac:dyDescent="0.35">
      <c r="A120" s="183"/>
      <c r="B120" s="183"/>
      <c r="C120" s="184"/>
      <c r="D120" s="185"/>
      <c r="E120" s="186" t="s">
        <v>123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192"/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outlineLevel="2" x14ac:dyDescent="0.35">
      <c r="A124" s="192"/>
      <c r="B124" s="192"/>
      <c r="C124" s="193"/>
      <c r="D124" s="194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  <c r="CT124" s="191"/>
      <c r="CU124" s="191"/>
      <c r="CV124" s="191"/>
      <c r="CW124" s="191"/>
      <c r="CX124" s="191"/>
      <c r="CY124" s="191"/>
      <c r="CZ124" s="191"/>
      <c r="DA124" s="191"/>
      <c r="DB124" s="191"/>
      <c r="DC124" s="191"/>
      <c r="DD124" s="191"/>
      <c r="DE124" s="191"/>
      <c r="DF124" s="191"/>
      <c r="DG124" s="191"/>
      <c r="DH124" s="191"/>
      <c r="DI124" s="191"/>
      <c r="DJ124" s="191"/>
      <c r="DK124" s="191"/>
      <c r="DL124" s="191"/>
      <c r="DM124" s="191"/>
      <c r="DN124" s="191"/>
      <c r="DO124" s="191"/>
      <c r="DP124" s="191"/>
      <c r="DQ124" s="191"/>
      <c r="DR124" s="191"/>
      <c r="DS124" s="191"/>
      <c r="DT124" s="191"/>
      <c r="DU124" s="191"/>
      <c r="DV124" s="191"/>
      <c r="DW124" s="191"/>
      <c r="DX124" s="191"/>
      <c r="DY124" s="191"/>
      <c r="DZ124" s="191"/>
      <c r="EA124" s="191"/>
    </row>
    <row r="125" spans="1:131" outlineLevel="2" x14ac:dyDescent="0.35">
      <c r="A125" s="192"/>
      <c r="B125" s="192"/>
      <c r="C125" s="193"/>
      <c r="D125" s="194"/>
      <c r="E125" s="190"/>
      <c r="F125" s="190"/>
      <c r="G125" s="190"/>
      <c r="H125" s="190"/>
      <c r="I125" s="191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AW125" s="190"/>
      <c r="AX125" s="190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0"/>
      <c r="BM125" s="190"/>
      <c r="BN125" s="190"/>
      <c r="BO125" s="190"/>
      <c r="BP125" s="190"/>
      <c r="BQ125" s="190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  <c r="CH125" s="190"/>
      <c r="CI125" s="190"/>
      <c r="CJ125" s="190"/>
      <c r="CK125" s="190"/>
      <c r="CL125" s="190"/>
      <c r="CM125" s="190"/>
      <c r="CN125" s="190"/>
      <c r="CO125" s="190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0"/>
      <c r="DA125" s="190"/>
      <c r="DB125" s="190"/>
      <c r="DC125" s="190"/>
      <c r="DD125" s="190"/>
      <c r="DE125" s="190"/>
      <c r="DF125" s="190"/>
      <c r="DG125" s="190"/>
      <c r="DH125" s="190"/>
      <c r="DI125" s="190"/>
      <c r="DJ125" s="190"/>
      <c r="DK125" s="190"/>
      <c r="DL125" s="190"/>
      <c r="DM125" s="190"/>
      <c r="DN125" s="190"/>
      <c r="DO125" s="190"/>
      <c r="DP125" s="190"/>
      <c r="DQ125" s="190"/>
      <c r="DR125" s="190"/>
      <c r="DS125" s="190"/>
      <c r="DT125" s="190"/>
      <c r="DU125" s="190"/>
      <c r="DV125" s="190"/>
      <c r="DW125" s="190"/>
      <c r="DX125" s="190"/>
      <c r="DY125" s="190"/>
      <c r="DZ125" s="190"/>
      <c r="EA125" s="190"/>
    </row>
    <row r="126" spans="1:131" outlineLevel="2" x14ac:dyDescent="0.35">
      <c r="A126" s="192"/>
      <c r="B126" s="192"/>
      <c r="C126" s="193"/>
      <c r="D126" s="194"/>
      <c r="E126" s="190"/>
      <c r="F126" s="190"/>
      <c r="G126" s="190"/>
      <c r="H126" s="190"/>
      <c r="I126" s="191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/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  <c r="BM126" s="190"/>
      <c r="BN126" s="190"/>
      <c r="BO126" s="190"/>
      <c r="BP126" s="190"/>
      <c r="BQ126" s="190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  <c r="CH126" s="190"/>
      <c r="CI126" s="190"/>
      <c r="CJ126" s="190"/>
      <c r="CK126" s="190"/>
      <c r="CL126" s="190"/>
      <c r="CM126" s="190"/>
      <c r="CN126" s="190"/>
      <c r="CO126" s="190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0"/>
      <c r="DA126" s="190"/>
      <c r="DB126" s="190"/>
      <c r="DC126" s="190"/>
      <c r="DD126" s="190"/>
      <c r="DE126" s="190"/>
      <c r="DF126" s="190"/>
      <c r="DG126" s="190"/>
      <c r="DH126" s="190"/>
      <c r="DI126" s="190"/>
      <c r="DJ126" s="190"/>
      <c r="DK126" s="190"/>
      <c r="DL126" s="190"/>
      <c r="DM126" s="190"/>
      <c r="DN126" s="190"/>
      <c r="DO126" s="190"/>
      <c r="DP126" s="190"/>
      <c r="DQ126" s="190"/>
      <c r="DR126" s="190"/>
      <c r="DS126" s="190"/>
      <c r="DT126" s="190"/>
      <c r="DU126" s="190"/>
      <c r="DV126" s="190"/>
      <c r="DW126" s="190"/>
      <c r="DX126" s="190"/>
      <c r="DY126" s="190"/>
      <c r="DZ126" s="190"/>
      <c r="EA126" s="190"/>
    </row>
    <row r="127" spans="1:131" outlineLevel="2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x14ac:dyDescent="0.35">
      <c r="A129" s="192" t="s">
        <v>63</v>
      </c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</sheetData>
  <conditionalFormatting sqref="F2:F4">
    <cfRule type="cellIs" dxfId="43" priority="1" stopIfTrue="1" operator="notEqual">
      <formula>0</formula>
    </cfRule>
    <cfRule type="cellIs" dxfId="42" priority="2" stopIfTrue="1" operator="equal">
      <formula>""</formula>
    </cfRule>
  </conditionalFormatting>
  <conditionalFormatting sqref="J3:EA3">
    <cfRule type="cellIs" dxfId="41" priority="13" operator="equal">
      <formula>"Fin Close"</formula>
    </cfRule>
    <cfRule type="cellIs" dxfId="40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40"/>
  <sheetViews>
    <sheetView showGridLines="0" defaultGridColor="0" colorId="8" zoomScaleNormal="100" workbookViewId="0">
      <pane xSplit="9" ySplit="5" topLeftCell="DR13" activePane="bottomRight" state="frozen"/>
      <selection activeCell="E45" sqref="E45"/>
      <selection pane="topRight" activeCell="E45" sqref="E45"/>
      <selection pane="bottomLeft" activeCell="E45" sqref="E45"/>
      <selection pane="bottomRight" activeCell="F24" sqref="F24"/>
    </sheetView>
  </sheetViews>
  <sheetFormatPr defaultColWidth="0" defaultRowHeight="13.15" outlineLevelRow="2" x14ac:dyDescent="0.35"/>
  <cols>
    <col min="1" max="2" width="1.1328125" style="8" customWidth="1"/>
    <col min="3" max="3" width="1.1328125" style="13" customWidth="1"/>
    <col min="4" max="4" width="1.132812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167</v>
      </c>
    </row>
    <row r="9" spans="1:131" outlineLevel="1" x14ac:dyDescent="0.35"/>
    <row r="10" spans="1:131" outlineLevel="1" x14ac:dyDescent="0.35">
      <c r="B10" s="8" t="s">
        <v>185</v>
      </c>
    </row>
    <row r="11" spans="1:131" s="436" customFormat="1" outlineLevel="2" x14ac:dyDescent="0.35">
      <c r="A11" s="427"/>
      <c r="B11" s="427"/>
      <c r="C11" s="428"/>
      <c r="D11" s="274"/>
      <c r="E11" s="429" t="str">
        <f xml:space="preserve"> InpC!E$29</f>
        <v>Annual degradation</v>
      </c>
      <c r="F11" s="429">
        <f xml:space="preserve"> InpC!F$29</f>
        <v>5.0000000000000001E-3</v>
      </c>
      <c r="G11" s="429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36" customFormat="1" outlineLevel="2" x14ac:dyDescent="0.35">
      <c r="A12" s="192"/>
      <c r="B12" s="192"/>
      <c r="C12" s="193"/>
      <c r="D12" s="194"/>
      <c r="E12" s="430" t="str">
        <f xml:space="preserve"> Time!E$120</f>
        <v>Contract year number</v>
      </c>
      <c r="F12" s="430">
        <f xml:space="preserve"> Time!F$120</f>
        <v>0</v>
      </c>
      <c r="G12" s="430" t="str">
        <f xml:space="preserve"> Time!G$120</f>
        <v>counter</v>
      </c>
      <c r="H12" s="430">
        <f xml:space="preserve"> Time!H$120</f>
        <v>0</v>
      </c>
      <c r="I12" s="430">
        <f xml:space="preserve"> Time!I$120</f>
        <v>0</v>
      </c>
      <c r="J12" s="430">
        <f xml:space="preserve"> Time!J$120</f>
        <v>0</v>
      </c>
      <c r="K12" s="430">
        <f xml:space="preserve"> Time!K$120</f>
        <v>0</v>
      </c>
      <c r="L12" s="430">
        <f xml:space="preserve"> Time!L$120</f>
        <v>0</v>
      </c>
      <c r="M12" s="430">
        <f xml:space="preserve"> Time!M$120</f>
        <v>1</v>
      </c>
      <c r="N12" s="430">
        <f xml:space="preserve"> Time!N$120</f>
        <v>1</v>
      </c>
      <c r="O12" s="430">
        <f xml:space="preserve"> Time!O$120</f>
        <v>1</v>
      </c>
      <c r="P12" s="430">
        <f xml:space="preserve"> Time!P$120</f>
        <v>1</v>
      </c>
      <c r="Q12" s="430">
        <f xml:space="preserve"> Time!Q$120</f>
        <v>2</v>
      </c>
      <c r="R12" s="430">
        <f xml:space="preserve"> Time!R$120</f>
        <v>2</v>
      </c>
      <c r="S12" s="430">
        <f xml:space="preserve"> Time!S$120</f>
        <v>2</v>
      </c>
      <c r="T12" s="430">
        <f xml:space="preserve"> Time!T$120</f>
        <v>2</v>
      </c>
      <c r="U12" s="430">
        <f xml:space="preserve"> Time!U$120</f>
        <v>3</v>
      </c>
      <c r="V12" s="430">
        <f xml:space="preserve"> Time!V$120</f>
        <v>3</v>
      </c>
      <c r="W12" s="430">
        <f xml:space="preserve"> Time!W$120</f>
        <v>3</v>
      </c>
      <c r="X12" s="430">
        <f xml:space="preserve"> Time!X$120</f>
        <v>3</v>
      </c>
      <c r="Y12" s="430">
        <f xml:space="preserve"> Time!Y$120</f>
        <v>4</v>
      </c>
      <c r="Z12" s="430">
        <f xml:space="preserve"> Time!Z$120</f>
        <v>4</v>
      </c>
      <c r="AA12" s="430">
        <f xml:space="preserve"> Time!AA$120</f>
        <v>4</v>
      </c>
      <c r="AB12" s="430">
        <f xml:space="preserve"> Time!AB$120</f>
        <v>4</v>
      </c>
      <c r="AC12" s="430">
        <f xml:space="preserve"> Time!AC$120</f>
        <v>5</v>
      </c>
      <c r="AD12" s="430">
        <f xml:space="preserve"> Time!AD$120</f>
        <v>5</v>
      </c>
      <c r="AE12" s="430">
        <f xml:space="preserve"> Time!AE$120</f>
        <v>5</v>
      </c>
      <c r="AF12" s="430">
        <f xml:space="preserve"> Time!AF$120</f>
        <v>5</v>
      </c>
      <c r="AG12" s="430">
        <f xml:space="preserve"> Time!AG$120</f>
        <v>6</v>
      </c>
      <c r="AH12" s="430">
        <f xml:space="preserve"> Time!AH$120</f>
        <v>6</v>
      </c>
      <c r="AI12" s="430">
        <f xml:space="preserve"> Time!AI$120</f>
        <v>6</v>
      </c>
      <c r="AJ12" s="430">
        <f xml:space="preserve"> Time!AJ$120</f>
        <v>6</v>
      </c>
      <c r="AK12" s="430">
        <f xml:space="preserve"> Time!AK$120</f>
        <v>7</v>
      </c>
      <c r="AL12" s="430">
        <f xml:space="preserve"> Time!AL$120</f>
        <v>7</v>
      </c>
      <c r="AM12" s="430">
        <f xml:space="preserve"> Time!AM$120</f>
        <v>7</v>
      </c>
      <c r="AN12" s="430">
        <f xml:space="preserve"> Time!AN$120</f>
        <v>7</v>
      </c>
      <c r="AO12" s="430">
        <f xml:space="preserve"> Time!AO$120</f>
        <v>8</v>
      </c>
      <c r="AP12" s="430">
        <f xml:space="preserve"> Time!AP$120</f>
        <v>8</v>
      </c>
      <c r="AQ12" s="430">
        <f xml:space="preserve"> Time!AQ$120</f>
        <v>8</v>
      </c>
      <c r="AR12" s="430">
        <f xml:space="preserve"> Time!AR$120</f>
        <v>8</v>
      </c>
      <c r="AS12" s="430">
        <f xml:space="preserve"> Time!AS$120</f>
        <v>9</v>
      </c>
      <c r="AT12" s="430">
        <f xml:space="preserve"> Time!AT$120</f>
        <v>9</v>
      </c>
      <c r="AU12" s="430">
        <f xml:space="preserve"> Time!AU$120</f>
        <v>9</v>
      </c>
      <c r="AV12" s="430">
        <f xml:space="preserve"> Time!AV$120</f>
        <v>9</v>
      </c>
      <c r="AW12" s="430">
        <f xml:space="preserve"> Time!AW$120</f>
        <v>10</v>
      </c>
      <c r="AX12" s="430">
        <f xml:space="preserve"> Time!AX$120</f>
        <v>10</v>
      </c>
      <c r="AY12" s="430">
        <f xml:space="preserve"> Time!AY$120</f>
        <v>10</v>
      </c>
      <c r="AZ12" s="430">
        <f xml:space="preserve"> Time!AZ$120</f>
        <v>10</v>
      </c>
      <c r="BA12" s="430">
        <f xml:space="preserve"> Time!BA$120</f>
        <v>11</v>
      </c>
      <c r="BB12" s="430">
        <f xml:space="preserve"> Time!BB$120</f>
        <v>11</v>
      </c>
      <c r="BC12" s="430">
        <f xml:space="preserve"> Time!BC$120</f>
        <v>11</v>
      </c>
      <c r="BD12" s="430">
        <f xml:space="preserve"> Time!BD$120</f>
        <v>11</v>
      </c>
      <c r="BE12" s="430">
        <f xml:space="preserve"> Time!BE$120</f>
        <v>12</v>
      </c>
      <c r="BF12" s="430">
        <f xml:space="preserve"> Time!BF$120</f>
        <v>12</v>
      </c>
      <c r="BG12" s="430">
        <f xml:space="preserve"> Time!BG$120</f>
        <v>12</v>
      </c>
      <c r="BH12" s="430">
        <f xml:space="preserve"> Time!BH$120</f>
        <v>12</v>
      </c>
      <c r="BI12" s="430">
        <f xml:space="preserve"> Time!BI$120</f>
        <v>13</v>
      </c>
      <c r="BJ12" s="430">
        <f xml:space="preserve"> Time!BJ$120</f>
        <v>13</v>
      </c>
      <c r="BK12" s="430">
        <f xml:space="preserve"> Time!BK$120</f>
        <v>13</v>
      </c>
      <c r="BL12" s="430">
        <f xml:space="preserve"> Time!BL$120</f>
        <v>13</v>
      </c>
      <c r="BM12" s="430">
        <f xml:space="preserve"> Time!BM$120</f>
        <v>14</v>
      </c>
      <c r="BN12" s="430">
        <f xml:space="preserve"> Time!BN$120</f>
        <v>14</v>
      </c>
      <c r="BO12" s="430">
        <f xml:space="preserve"> Time!BO$120</f>
        <v>14</v>
      </c>
      <c r="BP12" s="430">
        <f xml:space="preserve"> Time!BP$120</f>
        <v>14</v>
      </c>
      <c r="BQ12" s="430">
        <f xml:space="preserve"> Time!BQ$120</f>
        <v>15</v>
      </c>
      <c r="BR12" s="430">
        <f xml:space="preserve"> Time!BR$120</f>
        <v>15</v>
      </c>
      <c r="BS12" s="430">
        <f xml:space="preserve"> Time!BS$120</f>
        <v>15</v>
      </c>
      <c r="BT12" s="430">
        <f xml:space="preserve"> Time!BT$120</f>
        <v>15</v>
      </c>
      <c r="BU12" s="430">
        <f xml:space="preserve"> Time!BU$120</f>
        <v>16</v>
      </c>
      <c r="BV12" s="430">
        <f xml:space="preserve"> Time!BV$120</f>
        <v>16</v>
      </c>
      <c r="BW12" s="430">
        <f xml:space="preserve"> Time!BW$120</f>
        <v>16</v>
      </c>
      <c r="BX12" s="430">
        <f xml:space="preserve"> Time!BX$120</f>
        <v>16</v>
      </c>
      <c r="BY12" s="430">
        <f xml:space="preserve"> Time!BY$120</f>
        <v>17</v>
      </c>
      <c r="BZ12" s="430">
        <f xml:space="preserve"> Time!BZ$120</f>
        <v>17</v>
      </c>
      <c r="CA12" s="430">
        <f xml:space="preserve"> Time!CA$120</f>
        <v>17</v>
      </c>
      <c r="CB12" s="430">
        <f xml:space="preserve"> Time!CB$120</f>
        <v>17</v>
      </c>
      <c r="CC12" s="430">
        <f xml:space="preserve"> Time!CC$120</f>
        <v>18</v>
      </c>
      <c r="CD12" s="430">
        <f xml:space="preserve"> Time!CD$120</f>
        <v>18</v>
      </c>
      <c r="CE12" s="430">
        <f xml:space="preserve"> Time!CE$120</f>
        <v>18</v>
      </c>
      <c r="CF12" s="430">
        <f xml:space="preserve"> Time!CF$120</f>
        <v>18</v>
      </c>
      <c r="CG12" s="430">
        <f xml:space="preserve"> Time!CG$120</f>
        <v>19</v>
      </c>
      <c r="CH12" s="430">
        <f xml:space="preserve"> Time!CH$120</f>
        <v>19</v>
      </c>
      <c r="CI12" s="430">
        <f xml:space="preserve"> Time!CI$120</f>
        <v>19</v>
      </c>
      <c r="CJ12" s="430">
        <f xml:space="preserve"> Time!CJ$120</f>
        <v>19</v>
      </c>
      <c r="CK12" s="430">
        <f xml:space="preserve"> Time!CK$120</f>
        <v>20</v>
      </c>
      <c r="CL12" s="430">
        <f xml:space="preserve"> Time!CL$120</f>
        <v>20</v>
      </c>
      <c r="CM12" s="430">
        <f xml:space="preserve"> Time!CM$120</f>
        <v>20</v>
      </c>
      <c r="CN12" s="430">
        <f xml:space="preserve"> Time!CN$120</f>
        <v>20</v>
      </c>
      <c r="CO12" s="430">
        <f xml:space="preserve"> Time!CO$120</f>
        <v>21</v>
      </c>
      <c r="CP12" s="430">
        <f xml:space="preserve"> Time!CP$120</f>
        <v>21</v>
      </c>
      <c r="CQ12" s="430">
        <f xml:space="preserve"> Time!CQ$120</f>
        <v>21</v>
      </c>
      <c r="CR12" s="430">
        <f xml:space="preserve"> Time!CR$120</f>
        <v>21</v>
      </c>
      <c r="CS12" s="430">
        <f xml:space="preserve"> Time!CS$120</f>
        <v>22</v>
      </c>
      <c r="CT12" s="430">
        <f xml:space="preserve"> Time!CT$120</f>
        <v>22</v>
      </c>
      <c r="CU12" s="430">
        <f xml:space="preserve"> Time!CU$120</f>
        <v>22</v>
      </c>
      <c r="CV12" s="430">
        <f xml:space="preserve"> Time!CV$120</f>
        <v>22</v>
      </c>
      <c r="CW12" s="430">
        <f xml:space="preserve"> Time!CW$120</f>
        <v>23</v>
      </c>
      <c r="CX12" s="430">
        <f xml:space="preserve"> Time!CX$120</f>
        <v>23</v>
      </c>
      <c r="CY12" s="430">
        <f xml:space="preserve"> Time!CY$120</f>
        <v>23</v>
      </c>
      <c r="CZ12" s="430">
        <f xml:space="preserve"> Time!CZ$120</f>
        <v>23</v>
      </c>
      <c r="DA12" s="430">
        <f xml:space="preserve"> Time!DA$120</f>
        <v>24</v>
      </c>
      <c r="DB12" s="430">
        <f xml:space="preserve"> Time!DB$120</f>
        <v>24</v>
      </c>
      <c r="DC12" s="430">
        <f xml:space="preserve"> Time!DC$120</f>
        <v>24</v>
      </c>
      <c r="DD12" s="430">
        <f xml:space="preserve"> Time!DD$120</f>
        <v>24</v>
      </c>
      <c r="DE12" s="430">
        <f xml:space="preserve"> Time!DE$120</f>
        <v>25</v>
      </c>
      <c r="DF12" s="430">
        <f xml:space="preserve"> Time!DF$120</f>
        <v>25</v>
      </c>
      <c r="DG12" s="430">
        <f xml:space="preserve"> Time!DG$120</f>
        <v>25</v>
      </c>
      <c r="DH12" s="430">
        <f xml:space="preserve"> Time!DH$120</f>
        <v>25</v>
      </c>
      <c r="DI12" s="430">
        <f xml:space="preserve"> Time!DI$120</f>
        <v>0</v>
      </c>
      <c r="DJ12" s="430">
        <f xml:space="preserve"> Time!DJ$120</f>
        <v>0</v>
      </c>
      <c r="DK12" s="430">
        <f xml:space="preserve"> Time!DK$120</f>
        <v>0</v>
      </c>
      <c r="DL12" s="430">
        <f xml:space="preserve"> Time!DL$120</f>
        <v>0</v>
      </c>
      <c r="DM12" s="430">
        <f xml:space="preserve"> Time!DM$120</f>
        <v>0</v>
      </c>
      <c r="DN12" s="430">
        <f xml:space="preserve"> Time!DN$120</f>
        <v>0</v>
      </c>
      <c r="DO12" s="430">
        <f xml:space="preserve"> Time!DO$120</f>
        <v>0</v>
      </c>
      <c r="DP12" s="430">
        <f xml:space="preserve"> Time!DP$120</f>
        <v>0</v>
      </c>
      <c r="DQ12" s="430">
        <f xml:space="preserve"> Time!DQ$120</f>
        <v>0</v>
      </c>
      <c r="DR12" s="430">
        <f xml:space="preserve"> Time!DR$120</f>
        <v>0</v>
      </c>
      <c r="DS12" s="430">
        <f xml:space="preserve"> Time!DS$120</f>
        <v>0</v>
      </c>
      <c r="DT12" s="430">
        <f xml:space="preserve"> Time!DT$120</f>
        <v>0</v>
      </c>
      <c r="DU12" s="430">
        <f xml:space="preserve"> Time!DU$120</f>
        <v>0</v>
      </c>
      <c r="DV12" s="430">
        <f xml:space="preserve"> Time!DV$120</f>
        <v>0</v>
      </c>
      <c r="DW12" s="430">
        <f xml:space="preserve"> Time!DW$120</f>
        <v>0</v>
      </c>
      <c r="DX12" s="430">
        <f xml:space="preserve"> Time!DX$120</f>
        <v>0</v>
      </c>
      <c r="DY12" s="430">
        <f xml:space="preserve"> Time!DY$120</f>
        <v>0</v>
      </c>
      <c r="DZ12" s="430">
        <f xml:space="preserve"> Time!DZ$120</f>
        <v>0</v>
      </c>
      <c r="EA12" s="430">
        <f xml:space="preserve"> Time!EA$120</f>
        <v>0</v>
      </c>
    </row>
    <row r="13" spans="1:131" s="436" customFormat="1" outlineLevel="2" x14ac:dyDescent="0.35">
      <c r="A13" s="192"/>
      <c r="B13" s="192"/>
      <c r="C13" s="193"/>
      <c r="D13" s="194"/>
      <c r="E13" s="430" t="str">
        <f xml:space="preserve"> Time!E$97</f>
        <v>Operating period flag</v>
      </c>
      <c r="F13" s="430">
        <f xml:space="preserve"> Time!F$97</f>
        <v>0</v>
      </c>
      <c r="G13" s="430" t="str">
        <f xml:space="preserve"> Time!G$97</f>
        <v>flag</v>
      </c>
      <c r="H13" s="430">
        <f xml:space="preserve"> Time!H$97</f>
        <v>100</v>
      </c>
      <c r="I13" s="430">
        <f xml:space="preserve"> Time!I$97</f>
        <v>0</v>
      </c>
      <c r="J13" s="430">
        <f xml:space="preserve"> Time!J$97</f>
        <v>0</v>
      </c>
      <c r="K13" s="430">
        <f xml:space="preserve"> Time!K$97</f>
        <v>0</v>
      </c>
      <c r="L13" s="430">
        <f xml:space="preserve"> Time!L$97</f>
        <v>0</v>
      </c>
      <c r="M13" s="430">
        <f xml:space="preserve"> Time!M$97</f>
        <v>1</v>
      </c>
      <c r="N13" s="430">
        <f xml:space="preserve"> Time!N$97</f>
        <v>1</v>
      </c>
      <c r="O13" s="430">
        <f xml:space="preserve"> Time!O$97</f>
        <v>1</v>
      </c>
      <c r="P13" s="430">
        <f xml:space="preserve"> Time!P$97</f>
        <v>1</v>
      </c>
      <c r="Q13" s="430">
        <f xml:space="preserve"> Time!Q$97</f>
        <v>1</v>
      </c>
      <c r="R13" s="430">
        <f xml:space="preserve"> Time!R$97</f>
        <v>1</v>
      </c>
      <c r="S13" s="430">
        <f xml:space="preserve"> Time!S$97</f>
        <v>1</v>
      </c>
      <c r="T13" s="430">
        <f xml:space="preserve"> Time!T$97</f>
        <v>1</v>
      </c>
      <c r="U13" s="430">
        <f xml:space="preserve"> Time!U$97</f>
        <v>1</v>
      </c>
      <c r="V13" s="430">
        <f xml:space="preserve"> Time!V$97</f>
        <v>1</v>
      </c>
      <c r="W13" s="430">
        <f xml:space="preserve"> Time!W$97</f>
        <v>1</v>
      </c>
      <c r="X13" s="430">
        <f xml:space="preserve"> Time!X$97</f>
        <v>1</v>
      </c>
      <c r="Y13" s="430">
        <f xml:space="preserve"> Time!Y$97</f>
        <v>1</v>
      </c>
      <c r="Z13" s="430">
        <f xml:space="preserve"> Time!Z$97</f>
        <v>1</v>
      </c>
      <c r="AA13" s="430">
        <f xml:space="preserve"> Time!AA$97</f>
        <v>1</v>
      </c>
      <c r="AB13" s="430">
        <f xml:space="preserve"> Time!AB$97</f>
        <v>1</v>
      </c>
      <c r="AC13" s="430">
        <f xml:space="preserve"> Time!AC$97</f>
        <v>1</v>
      </c>
      <c r="AD13" s="430">
        <f xml:space="preserve"> Time!AD$97</f>
        <v>1</v>
      </c>
      <c r="AE13" s="430">
        <f xml:space="preserve"> Time!AE$97</f>
        <v>1</v>
      </c>
      <c r="AF13" s="430">
        <f xml:space="preserve"> Time!AF$97</f>
        <v>1</v>
      </c>
      <c r="AG13" s="430">
        <f xml:space="preserve"> Time!AG$97</f>
        <v>1</v>
      </c>
      <c r="AH13" s="430">
        <f xml:space="preserve"> Time!AH$97</f>
        <v>1</v>
      </c>
      <c r="AI13" s="430">
        <f xml:space="preserve"> Time!AI$97</f>
        <v>1</v>
      </c>
      <c r="AJ13" s="430">
        <f xml:space="preserve"> Time!AJ$97</f>
        <v>1</v>
      </c>
      <c r="AK13" s="430">
        <f xml:space="preserve"> Time!AK$97</f>
        <v>1</v>
      </c>
      <c r="AL13" s="430">
        <f xml:space="preserve"> Time!AL$97</f>
        <v>1</v>
      </c>
      <c r="AM13" s="430">
        <f xml:space="preserve"> Time!AM$97</f>
        <v>1</v>
      </c>
      <c r="AN13" s="430">
        <f xml:space="preserve"> Time!AN$97</f>
        <v>1</v>
      </c>
      <c r="AO13" s="430">
        <f xml:space="preserve"> Time!AO$97</f>
        <v>1</v>
      </c>
      <c r="AP13" s="430">
        <f xml:space="preserve"> Time!AP$97</f>
        <v>1</v>
      </c>
      <c r="AQ13" s="430">
        <f xml:space="preserve"> Time!AQ$97</f>
        <v>1</v>
      </c>
      <c r="AR13" s="430">
        <f xml:space="preserve"> Time!AR$97</f>
        <v>1</v>
      </c>
      <c r="AS13" s="430">
        <f xml:space="preserve"> Time!AS$97</f>
        <v>1</v>
      </c>
      <c r="AT13" s="430">
        <f xml:space="preserve"> Time!AT$97</f>
        <v>1</v>
      </c>
      <c r="AU13" s="430">
        <f xml:space="preserve"> Time!AU$97</f>
        <v>1</v>
      </c>
      <c r="AV13" s="430">
        <f xml:space="preserve"> Time!AV$97</f>
        <v>1</v>
      </c>
      <c r="AW13" s="430">
        <f xml:space="preserve"> Time!AW$97</f>
        <v>1</v>
      </c>
      <c r="AX13" s="430">
        <f xml:space="preserve"> Time!AX$97</f>
        <v>1</v>
      </c>
      <c r="AY13" s="430">
        <f xml:space="preserve"> Time!AY$97</f>
        <v>1</v>
      </c>
      <c r="AZ13" s="430">
        <f xml:space="preserve"> Time!AZ$97</f>
        <v>1</v>
      </c>
      <c r="BA13" s="430">
        <f xml:space="preserve"> Time!BA$97</f>
        <v>1</v>
      </c>
      <c r="BB13" s="430">
        <f xml:space="preserve"> Time!BB$97</f>
        <v>1</v>
      </c>
      <c r="BC13" s="430">
        <f xml:space="preserve"> Time!BC$97</f>
        <v>1</v>
      </c>
      <c r="BD13" s="430">
        <f xml:space="preserve"> Time!BD$97</f>
        <v>1</v>
      </c>
      <c r="BE13" s="430">
        <f xml:space="preserve"> Time!BE$97</f>
        <v>1</v>
      </c>
      <c r="BF13" s="430">
        <f xml:space="preserve"> Time!BF$97</f>
        <v>1</v>
      </c>
      <c r="BG13" s="430">
        <f xml:space="preserve"> Time!BG$97</f>
        <v>1</v>
      </c>
      <c r="BH13" s="430">
        <f xml:space="preserve"> Time!BH$97</f>
        <v>1</v>
      </c>
      <c r="BI13" s="430">
        <f xml:space="preserve"> Time!BI$97</f>
        <v>1</v>
      </c>
      <c r="BJ13" s="430">
        <f xml:space="preserve"> Time!BJ$97</f>
        <v>1</v>
      </c>
      <c r="BK13" s="430">
        <f xml:space="preserve"> Time!BK$97</f>
        <v>1</v>
      </c>
      <c r="BL13" s="430">
        <f xml:space="preserve"> Time!BL$97</f>
        <v>1</v>
      </c>
      <c r="BM13" s="430">
        <f xml:space="preserve"> Time!BM$97</f>
        <v>1</v>
      </c>
      <c r="BN13" s="430">
        <f xml:space="preserve"> Time!BN$97</f>
        <v>1</v>
      </c>
      <c r="BO13" s="430">
        <f xml:space="preserve"> Time!BO$97</f>
        <v>1</v>
      </c>
      <c r="BP13" s="430">
        <f xml:space="preserve"> Time!BP$97</f>
        <v>1</v>
      </c>
      <c r="BQ13" s="430">
        <f xml:space="preserve"> Time!BQ$97</f>
        <v>1</v>
      </c>
      <c r="BR13" s="430">
        <f xml:space="preserve"> Time!BR$97</f>
        <v>1</v>
      </c>
      <c r="BS13" s="430">
        <f xml:space="preserve"> Time!BS$97</f>
        <v>1</v>
      </c>
      <c r="BT13" s="430">
        <f xml:space="preserve"> Time!BT$97</f>
        <v>1</v>
      </c>
      <c r="BU13" s="430">
        <f xml:space="preserve"> Time!BU$97</f>
        <v>1</v>
      </c>
      <c r="BV13" s="430">
        <f xml:space="preserve"> Time!BV$97</f>
        <v>1</v>
      </c>
      <c r="BW13" s="430">
        <f xml:space="preserve"> Time!BW$97</f>
        <v>1</v>
      </c>
      <c r="BX13" s="430">
        <f xml:space="preserve"> Time!BX$97</f>
        <v>1</v>
      </c>
      <c r="BY13" s="430">
        <f xml:space="preserve"> Time!BY$97</f>
        <v>1</v>
      </c>
      <c r="BZ13" s="430">
        <f xml:space="preserve"> Time!BZ$97</f>
        <v>1</v>
      </c>
      <c r="CA13" s="430">
        <f xml:space="preserve"> Time!CA$97</f>
        <v>1</v>
      </c>
      <c r="CB13" s="430">
        <f xml:space="preserve"> Time!CB$97</f>
        <v>1</v>
      </c>
      <c r="CC13" s="430">
        <f xml:space="preserve"> Time!CC$97</f>
        <v>1</v>
      </c>
      <c r="CD13" s="430">
        <f xml:space="preserve"> Time!CD$97</f>
        <v>1</v>
      </c>
      <c r="CE13" s="430">
        <f xml:space="preserve"> Time!CE$97</f>
        <v>1</v>
      </c>
      <c r="CF13" s="430">
        <f xml:space="preserve"> Time!CF$97</f>
        <v>1</v>
      </c>
      <c r="CG13" s="430">
        <f xml:space="preserve"> Time!CG$97</f>
        <v>1</v>
      </c>
      <c r="CH13" s="430">
        <f xml:space="preserve"> Time!CH$97</f>
        <v>1</v>
      </c>
      <c r="CI13" s="430">
        <f xml:space="preserve"> Time!CI$97</f>
        <v>1</v>
      </c>
      <c r="CJ13" s="430">
        <f xml:space="preserve"> Time!CJ$97</f>
        <v>1</v>
      </c>
      <c r="CK13" s="430">
        <f xml:space="preserve"> Time!CK$97</f>
        <v>1</v>
      </c>
      <c r="CL13" s="430">
        <f xml:space="preserve"> Time!CL$97</f>
        <v>1</v>
      </c>
      <c r="CM13" s="430">
        <f xml:space="preserve"> Time!CM$97</f>
        <v>1</v>
      </c>
      <c r="CN13" s="430">
        <f xml:space="preserve"> Time!CN$97</f>
        <v>1</v>
      </c>
      <c r="CO13" s="430">
        <f xml:space="preserve"> Time!CO$97</f>
        <v>1</v>
      </c>
      <c r="CP13" s="430">
        <f xml:space="preserve"> Time!CP$97</f>
        <v>1</v>
      </c>
      <c r="CQ13" s="430">
        <f xml:space="preserve"> Time!CQ$97</f>
        <v>1</v>
      </c>
      <c r="CR13" s="430">
        <f xml:space="preserve"> Time!CR$97</f>
        <v>1</v>
      </c>
      <c r="CS13" s="430">
        <f xml:space="preserve"> Time!CS$97</f>
        <v>1</v>
      </c>
      <c r="CT13" s="430">
        <f xml:space="preserve"> Time!CT$97</f>
        <v>1</v>
      </c>
      <c r="CU13" s="430">
        <f xml:space="preserve"> Time!CU$97</f>
        <v>1</v>
      </c>
      <c r="CV13" s="430">
        <f xml:space="preserve"> Time!CV$97</f>
        <v>1</v>
      </c>
      <c r="CW13" s="430">
        <f xml:space="preserve"> Time!CW$97</f>
        <v>1</v>
      </c>
      <c r="CX13" s="430">
        <f xml:space="preserve"> Time!CX$97</f>
        <v>1</v>
      </c>
      <c r="CY13" s="430">
        <f xml:space="preserve"> Time!CY$97</f>
        <v>1</v>
      </c>
      <c r="CZ13" s="430">
        <f xml:space="preserve"> Time!CZ$97</f>
        <v>1</v>
      </c>
      <c r="DA13" s="430">
        <f xml:space="preserve"> Time!DA$97</f>
        <v>1</v>
      </c>
      <c r="DB13" s="430">
        <f xml:space="preserve"> Time!DB$97</f>
        <v>1</v>
      </c>
      <c r="DC13" s="430">
        <f xml:space="preserve"> Time!DC$97</f>
        <v>1</v>
      </c>
      <c r="DD13" s="430">
        <f xml:space="preserve"> Time!DD$97</f>
        <v>1</v>
      </c>
      <c r="DE13" s="430">
        <f xml:space="preserve"> Time!DE$97</f>
        <v>1</v>
      </c>
      <c r="DF13" s="430">
        <f xml:space="preserve"> Time!DF$97</f>
        <v>1</v>
      </c>
      <c r="DG13" s="430">
        <f xml:space="preserve"> Time!DG$97</f>
        <v>1</v>
      </c>
      <c r="DH13" s="430">
        <f xml:space="preserve"> Time!DH$97</f>
        <v>1</v>
      </c>
      <c r="DI13" s="430">
        <f xml:space="preserve"> Time!DI$97</f>
        <v>0</v>
      </c>
      <c r="DJ13" s="430">
        <f xml:space="preserve"> Time!DJ$97</f>
        <v>0</v>
      </c>
      <c r="DK13" s="430">
        <f xml:space="preserve"> Time!DK$97</f>
        <v>0</v>
      </c>
      <c r="DL13" s="430">
        <f xml:space="preserve"> Time!DL$97</f>
        <v>0</v>
      </c>
      <c r="DM13" s="430">
        <f xml:space="preserve"> Time!DM$97</f>
        <v>0</v>
      </c>
      <c r="DN13" s="430">
        <f xml:space="preserve"> Time!DN$97</f>
        <v>0</v>
      </c>
      <c r="DO13" s="430">
        <f xml:space="preserve"> Time!DO$97</f>
        <v>0</v>
      </c>
      <c r="DP13" s="430">
        <f xml:space="preserve"> Time!DP$97</f>
        <v>0</v>
      </c>
      <c r="DQ13" s="430">
        <f xml:space="preserve"> Time!DQ$97</f>
        <v>0</v>
      </c>
      <c r="DR13" s="430">
        <f xml:space="preserve"> Time!DR$97</f>
        <v>0</v>
      </c>
      <c r="DS13" s="430">
        <f xml:space="preserve"> Time!DS$97</f>
        <v>0</v>
      </c>
      <c r="DT13" s="430">
        <f xml:space="preserve"> Time!DT$97</f>
        <v>0</v>
      </c>
      <c r="DU13" s="430">
        <f xml:space="preserve"> Time!DU$97</f>
        <v>0</v>
      </c>
      <c r="DV13" s="430">
        <f xml:space="preserve"> Time!DV$97</f>
        <v>0</v>
      </c>
      <c r="DW13" s="430">
        <f xml:space="preserve"> Time!DW$97</f>
        <v>0</v>
      </c>
      <c r="DX13" s="430">
        <f xml:space="preserve"> Time!DX$97</f>
        <v>0</v>
      </c>
      <c r="DY13" s="430">
        <f xml:space="preserve"> Time!DY$97</f>
        <v>0</v>
      </c>
      <c r="DZ13" s="430">
        <f xml:space="preserve"> Time!DZ$97</f>
        <v>0</v>
      </c>
      <c r="EA13" s="430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186</v>
      </c>
      <c r="F14" s="190"/>
      <c r="G14" s="190" t="s">
        <v>168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outlineLevel="1" x14ac:dyDescent="0.35"/>
    <row r="16" spans="1:131" outlineLevel="1" x14ac:dyDescent="0.35">
      <c r="B16" s="8" t="s">
        <v>169</v>
      </c>
    </row>
    <row r="17" spans="1:131" s="436" customFormat="1" outlineLevel="2" x14ac:dyDescent="0.35">
      <c r="A17" s="427"/>
      <c r="B17" s="427"/>
      <c r="C17" s="428"/>
      <c r="D17" s="274"/>
      <c r="E17" s="429" t="str">
        <f xml:space="preserve"> InpC!E$24</f>
        <v>Q1 seasonal adjustment</v>
      </c>
      <c r="F17" s="429">
        <f xml:space="preserve"> InpC!F$24</f>
        <v>0.33</v>
      </c>
      <c r="G17" s="429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36" customFormat="1" outlineLevel="2" x14ac:dyDescent="0.35">
      <c r="A18" s="427"/>
      <c r="B18" s="427"/>
      <c r="C18" s="428"/>
      <c r="D18" s="274"/>
      <c r="E18" s="429" t="str">
        <f xml:space="preserve"> InpC!E$25</f>
        <v>Q2 seasonal adjustment</v>
      </c>
      <c r="F18" s="429">
        <f xml:space="preserve"> InpC!F$25</f>
        <v>0.36</v>
      </c>
      <c r="G18" s="429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36" customFormat="1" outlineLevel="2" x14ac:dyDescent="0.35">
      <c r="A19" s="427"/>
      <c r="B19" s="427"/>
      <c r="C19" s="428"/>
      <c r="D19" s="274"/>
      <c r="E19" s="429" t="str">
        <f xml:space="preserve"> InpC!E$26</f>
        <v>Q3 seasonal adjustment</v>
      </c>
      <c r="F19" s="429">
        <f xml:space="preserve"> InpC!F$26</f>
        <v>0.15499999999999992</v>
      </c>
      <c r="G19" s="429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36" customFormat="1" outlineLevel="2" x14ac:dyDescent="0.35">
      <c r="A20" s="427"/>
      <c r="B20" s="427"/>
      <c r="C20" s="428"/>
      <c r="D20" s="274"/>
      <c r="E20" s="429" t="str">
        <f xml:space="preserve"> InpC!E$27</f>
        <v>Q4 seasonal adjustment</v>
      </c>
      <c r="F20" s="429">
        <f xml:space="preserve"> InpC!F$27</f>
        <v>0.155</v>
      </c>
      <c r="G20" s="429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36" customFormat="1" outlineLevel="2" x14ac:dyDescent="0.35">
      <c r="A21" s="192"/>
      <c r="B21" s="192"/>
      <c r="C21" s="193"/>
      <c r="D21" s="194"/>
      <c r="E21" s="439" t="str">
        <f xml:space="preserve"> Time!E$114</f>
        <v>Period number</v>
      </c>
      <c r="F21" s="439">
        <f xml:space="preserve"> Time!F$114</f>
        <v>0</v>
      </c>
      <c r="G21" s="439" t="str">
        <f xml:space="preserve"> Time!G$114</f>
        <v>counter</v>
      </c>
      <c r="H21" s="439">
        <f xml:space="preserve"> Time!H$114</f>
        <v>0</v>
      </c>
      <c r="I21" s="439">
        <f xml:space="preserve"> Time!I$114</f>
        <v>0</v>
      </c>
      <c r="J21" s="439">
        <f xml:space="preserve"> Time!J$114</f>
        <v>0</v>
      </c>
      <c r="K21" s="439">
        <f xml:space="preserve"> Time!K$114</f>
        <v>0</v>
      </c>
      <c r="L21" s="439">
        <f xml:space="preserve"> Time!L$114</f>
        <v>0</v>
      </c>
      <c r="M21" s="439">
        <f xml:space="preserve"> Time!M$114</f>
        <v>1</v>
      </c>
      <c r="N21" s="439">
        <f xml:space="preserve"> Time!N$114</f>
        <v>2</v>
      </c>
      <c r="O21" s="439">
        <f xml:space="preserve"> Time!O$114</f>
        <v>3</v>
      </c>
      <c r="P21" s="439">
        <f xml:space="preserve"> Time!P$114</f>
        <v>4</v>
      </c>
      <c r="Q21" s="439">
        <f xml:space="preserve"> Time!Q$114</f>
        <v>1</v>
      </c>
      <c r="R21" s="439">
        <f xml:space="preserve"> Time!R$114</f>
        <v>2</v>
      </c>
      <c r="S21" s="439">
        <f xml:space="preserve"> Time!S$114</f>
        <v>3</v>
      </c>
      <c r="T21" s="439">
        <f xml:space="preserve"> Time!T$114</f>
        <v>4</v>
      </c>
      <c r="U21" s="439">
        <f xml:space="preserve"> Time!U$114</f>
        <v>1</v>
      </c>
      <c r="V21" s="439">
        <f xml:space="preserve"> Time!V$114</f>
        <v>2</v>
      </c>
      <c r="W21" s="439">
        <f xml:space="preserve"> Time!W$114</f>
        <v>3</v>
      </c>
      <c r="X21" s="439">
        <f xml:space="preserve"> Time!X$114</f>
        <v>4</v>
      </c>
      <c r="Y21" s="439">
        <f xml:space="preserve"> Time!Y$114</f>
        <v>1</v>
      </c>
      <c r="Z21" s="439">
        <f xml:space="preserve"> Time!Z$114</f>
        <v>2</v>
      </c>
      <c r="AA21" s="439">
        <f xml:space="preserve"> Time!AA$114</f>
        <v>3</v>
      </c>
      <c r="AB21" s="439">
        <f xml:space="preserve"> Time!AB$114</f>
        <v>4</v>
      </c>
      <c r="AC21" s="439">
        <f xml:space="preserve"> Time!AC$114</f>
        <v>1</v>
      </c>
      <c r="AD21" s="439">
        <f xml:space="preserve"> Time!AD$114</f>
        <v>2</v>
      </c>
      <c r="AE21" s="439">
        <f xml:space="preserve"> Time!AE$114</f>
        <v>3</v>
      </c>
      <c r="AF21" s="439">
        <f xml:space="preserve"> Time!AF$114</f>
        <v>4</v>
      </c>
      <c r="AG21" s="439">
        <f xml:space="preserve"> Time!AG$114</f>
        <v>1</v>
      </c>
      <c r="AH21" s="439">
        <f xml:space="preserve"> Time!AH$114</f>
        <v>2</v>
      </c>
      <c r="AI21" s="439">
        <f xml:space="preserve"> Time!AI$114</f>
        <v>3</v>
      </c>
      <c r="AJ21" s="439">
        <f xml:space="preserve"> Time!AJ$114</f>
        <v>4</v>
      </c>
      <c r="AK21" s="439">
        <f xml:space="preserve"> Time!AK$114</f>
        <v>1</v>
      </c>
      <c r="AL21" s="439">
        <f xml:space="preserve"> Time!AL$114</f>
        <v>2</v>
      </c>
      <c r="AM21" s="439">
        <f xml:space="preserve"> Time!AM$114</f>
        <v>3</v>
      </c>
      <c r="AN21" s="439">
        <f xml:space="preserve"> Time!AN$114</f>
        <v>4</v>
      </c>
      <c r="AO21" s="439">
        <f xml:space="preserve"> Time!AO$114</f>
        <v>1</v>
      </c>
      <c r="AP21" s="439">
        <f xml:space="preserve"> Time!AP$114</f>
        <v>2</v>
      </c>
      <c r="AQ21" s="439">
        <f xml:space="preserve"> Time!AQ$114</f>
        <v>3</v>
      </c>
      <c r="AR21" s="439">
        <f xml:space="preserve"> Time!AR$114</f>
        <v>4</v>
      </c>
      <c r="AS21" s="439">
        <f xml:space="preserve"> Time!AS$114</f>
        <v>1</v>
      </c>
      <c r="AT21" s="439">
        <f xml:space="preserve"> Time!AT$114</f>
        <v>2</v>
      </c>
      <c r="AU21" s="439">
        <f xml:space="preserve"> Time!AU$114</f>
        <v>3</v>
      </c>
      <c r="AV21" s="439">
        <f xml:space="preserve"> Time!AV$114</f>
        <v>4</v>
      </c>
      <c r="AW21" s="439">
        <f xml:space="preserve"> Time!AW$114</f>
        <v>1</v>
      </c>
      <c r="AX21" s="439">
        <f xml:space="preserve"> Time!AX$114</f>
        <v>2</v>
      </c>
      <c r="AY21" s="439">
        <f xml:space="preserve"> Time!AY$114</f>
        <v>3</v>
      </c>
      <c r="AZ21" s="439">
        <f xml:space="preserve"> Time!AZ$114</f>
        <v>4</v>
      </c>
      <c r="BA21" s="439">
        <f xml:space="preserve"> Time!BA$114</f>
        <v>1</v>
      </c>
      <c r="BB21" s="439">
        <f xml:space="preserve"> Time!BB$114</f>
        <v>2</v>
      </c>
      <c r="BC21" s="439">
        <f xml:space="preserve"> Time!BC$114</f>
        <v>3</v>
      </c>
      <c r="BD21" s="439">
        <f xml:space="preserve"> Time!BD$114</f>
        <v>4</v>
      </c>
      <c r="BE21" s="439">
        <f xml:space="preserve"> Time!BE$114</f>
        <v>1</v>
      </c>
      <c r="BF21" s="439">
        <f xml:space="preserve"> Time!BF$114</f>
        <v>2</v>
      </c>
      <c r="BG21" s="439">
        <f xml:space="preserve"> Time!BG$114</f>
        <v>3</v>
      </c>
      <c r="BH21" s="439">
        <f xml:space="preserve"> Time!BH$114</f>
        <v>4</v>
      </c>
      <c r="BI21" s="439">
        <f xml:space="preserve"> Time!BI$114</f>
        <v>1</v>
      </c>
      <c r="BJ21" s="439">
        <f xml:space="preserve"> Time!BJ$114</f>
        <v>2</v>
      </c>
      <c r="BK21" s="439">
        <f xml:space="preserve"> Time!BK$114</f>
        <v>3</v>
      </c>
      <c r="BL21" s="439">
        <f xml:space="preserve"> Time!BL$114</f>
        <v>4</v>
      </c>
      <c r="BM21" s="439">
        <f xml:space="preserve"> Time!BM$114</f>
        <v>1</v>
      </c>
      <c r="BN21" s="439">
        <f xml:space="preserve"> Time!BN$114</f>
        <v>2</v>
      </c>
      <c r="BO21" s="439">
        <f xml:space="preserve"> Time!BO$114</f>
        <v>3</v>
      </c>
      <c r="BP21" s="439">
        <f xml:space="preserve"> Time!BP$114</f>
        <v>4</v>
      </c>
      <c r="BQ21" s="439">
        <f xml:space="preserve"> Time!BQ$114</f>
        <v>1</v>
      </c>
      <c r="BR21" s="439">
        <f xml:space="preserve"> Time!BR$114</f>
        <v>2</v>
      </c>
      <c r="BS21" s="439">
        <f xml:space="preserve"> Time!BS$114</f>
        <v>3</v>
      </c>
      <c r="BT21" s="439">
        <f xml:space="preserve"> Time!BT$114</f>
        <v>4</v>
      </c>
      <c r="BU21" s="439">
        <f xml:space="preserve"> Time!BU$114</f>
        <v>1</v>
      </c>
      <c r="BV21" s="439">
        <f xml:space="preserve"> Time!BV$114</f>
        <v>2</v>
      </c>
      <c r="BW21" s="439">
        <f xml:space="preserve"> Time!BW$114</f>
        <v>3</v>
      </c>
      <c r="BX21" s="439">
        <f xml:space="preserve"> Time!BX$114</f>
        <v>4</v>
      </c>
      <c r="BY21" s="439">
        <f xml:space="preserve"> Time!BY$114</f>
        <v>1</v>
      </c>
      <c r="BZ21" s="439">
        <f xml:space="preserve"> Time!BZ$114</f>
        <v>2</v>
      </c>
      <c r="CA21" s="439">
        <f xml:space="preserve"> Time!CA$114</f>
        <v>3</v>
      </c>
      <c r="CB21" s="439">
        <f xml:space="preserve"> Time!CB$114</f>
        <v>4</v>
      </c>
      <c r="CC21" s="439">
        <f xml:space="preserve"> Time!CC$114</f>
        <v>1</v>
      </c>
      <c r="CD21" s="439">
        <f xml:space="preserve"> Time!CD$114</f>
        <v>2</v>
      </c>
      <c r="CE21" s="439">
        <f xml:space="preserve"> Time!CE$114</f>
        <v>3</v>
      </c>
      <c r="CF21" s="439">
        <f xml:space="preserve"> Time!CF$114</f>
        <v>4</v>
      </c>
      <c r="CG21" s="439">
        <f xml:space="preserve"> Time!CG$114</f>
        <v>1</v>
      </c>
      <c r="CH21" s="439">
        <f xml:space="preserve"> Time!CH$114</f>
        <v>2</v>
      </c>
      <c r="CI21" s="439">
        <f xml:space="preserve"> Time!CI$114</f>
        <v>3</v>
      </c>
      <c r="CJ21" s="439">
        <f xml:space="preserve"> Time!CJ$114</f>
        <v>4</v>
      </c>
      <c r="CK21" s="439">
        <f xml:space="preserve"> Time!CK$114</f>
        <v>1</v>
      </c>
      <c r="CL21" s="439">
        <f xml:space="preserve"> Time!CL$114</f>
        <v>2</v>
      </c>
      <c r="CM21" s="439">
        <f xml:space="preserve"> Time!CM$114</f>
        <v>3</v>
      </c>
      <c r="CN21" s="439">
        <f xml:space="preserve"> Time!CN$114</f>
        <v>4</v>
      </c>
      <c r="CO21" s="439">
        <f xml:space="preserve"> Time!CO$114</f>
        <v>1</v>
      </c>
      <c r="CP21" s="439">
        <f xml:space="preserve"> Time!CP$114</f>
        <v>2</v>
      </c>
      <c r="CQ21" s="439">
        <f xml:space="preserve"> Time!CQ$114</f>
        <v>3</v>
      </c>
      <c r="CR21" s="439">
        <f xml:space="preserve"> Time!CR$114</f>
        <v>4</v>
      </c>
      <c r="CS21" s="439">
        <f xml:space="preserve"> Time!CS$114</f>
        <v>1</v>
      </c>
      <c r="CT21" s="439">
        <f xml:space="preserve"> Time!CT$114</f>
        <v>2</v>
      </c>
      <c r="CU21" s="439">
        <f xml:space="preserve"> Time!CU$114</f>
        <v>3</v>
      </c>
      <c r="CV21" s="439">
        <f xml:space="preserve"> Time!CV$114</f>
        <v>4</v>
      </c>
      <c r="CW21" s="439">
        <f xml:space="preserve"> Time!CW$114</f>
        <v>1</v>
      </c>
      <c r="CX21" s="439">
        <f xml:space="preserve"> Time!CX$114</f>
        <v>2</v>
      </c>
      <c r="CY21" s="439">
        <f xml:space="preserve"> Time!CY$114</f>
        <v>3</v>
      </c>
      <c r="CZ21" s="439">
        <f xml:space="preserve"> Time!CZ$114</f>
        <v>4</v>
      </c>
      <c r="DA21" s="439">
        <f xml:space="preserve"> Time!DA$114</f>
        <v>1</v>
      </c>
      <c r="DB21" s="439">
        <f xml:space="preserve"> Time!DB$114</f>
        <v>2</v>
      </c>
      <c r="DC21" s="439">
        <f xml:space="preserve"> Time!DC$114</f>
        <v>3</v>
      </c>
      <c r="DD21" s="439">
        <f xml:space="preserve"> Time!DD$114</f>
        <v>4</v>
      </c>
      <c r="DE21" s="439">
        <f xml:space="preserve"> Time!DE$114</f>
        <v>1</v>
      </c>
      <c r="DF21" s="439">
        <f xml:space="preserve"> Time!DF$114</f>
        <v>2</v>
      </c>
      <c r="DG21" s="439">
        <f xml:space="preserve"> Time!DG$114</f>
        <v>3</v>
      </c>
      <c r="DH21" s="439">
        <f xml:space="preserve"> Time!DH$114</f>
        <v>4</v>
      </c>
      <c r="DI21" s="439">
        <f xml:space="preserve"> Time!DI$114</f>
        <v>0</v>
      </c>
      <c r="DJ21" s="439">
        <f xml:space="preserve"> Time!DJ$114</f>
        <v>0</v>
      </c>
      <c r="DK21" s="439">
        <f xml:space="preserve"> Time!DK$114</f>
        <v>0</v>
      </c>
      <c r="DL21" s="439">
        <f xml:space="preserve"> Time!DL$114</f>
        <v>0</v>
      </c>
      <c r="DM21" s="439">
        <f xml:space="preserve"> Time!DM$114</f>
        <v>0</v>
      </c>
      <c r="DN21" s="439">
        <f xml:space="preserve"> Time!DN$114</f>
        <v>0</v>
      </c>
      <c r="DO21" s="439">
        <f xml:space="preserve"> Time!DO$114</f>
        <v>0</v>
      </c>
      <c r="DP21" s="439">
        <f xml:space="preserve"> Time!DP$114</f>
        <v>0</v>
      </c>
      <c r="DQ21" s="439">
        <f xml:space="preserve"> Time!DQ$114</f>
        <v>0</v>
      </c>
      <c r="DR21" s="439">
        <f xml:space="preserve"> Time!DR$114</f>
        <v>0</v>
      </c>
      <c r="DS21" s="439">
        <f xml:space="preserve"> Time!DS$114</f>
        <v>0</v>
      </c>
      <c r="DT21" s="439">
        <f xml:space="preserve"> Time!DT$114</f>
        <v>0</v>
      </c>
      <c r="DU21" s="439">
        <f xml:space="preserve"> Time!DU$114</f>
        <v>0</v>
      </c>
      <c r="DV21" s="439">
        <f xml:space="preserve"> Time!DV$114</f>
        <v>0</v>
      </c>
      <c r="DW21" s="439">
        <f xml:space="preserve"> Time!DW$114</f>
        <v>0</v>
      </c>
      <c r="DX21" s="439">
        <f xml:space="preserve"> Time!DX$114</f>
        <v>0</v>
      </c>
      <c r="DY21" s="439">
        <f xml:space="preserve"> Time!DY$114</f>
        <v>0</v>
      </c>
      <c r="DZ21" s="439">
        <f xml:space="preserve"> Time!DZ$114</f>
        <v>0</v>
      </c>
      <c r="EA21" s="439">
        <f xml:space="preserve"> Time!EA$114</f>
        <v>0</v>
      </c>
    </row>
    <row r="22" spans="1:131" s="436" customFormat="1" outlineLevel="2" x14ac:dyDescent="0.35">
      <c r="A22" s="192"/>
      <c r="B22" s="192"/>
      <c r="C22" s="193"/>
      <c r="D22" s="194"/>
      <c r="E22" s="430" t="str">
        <f xml:space="preserve"> Time!E$97</f>
        <v>Operating period flag</v>
      </c>
      <c r="F22" s="430">
        <f xml:space="preserve"> Time!F$97</f>
        <v>0</v>
      </c>
      <c r="G22" s="430" t="str">
        <f xml:space="preserve"> Time!G$97</f>
        <v>flag</v>
      </c>
      <c r="H22" s="430">
        <f xml:space="preserve"> Time!H$97</f>
        <v>100</v>
      </c>
      <c r="I22" s="430">
        <f xml:space="preserve"> Time!I$97</f>
        <v>0</v>
      </c>
      <c r="J22" s="430">
        <f xml:space="preserve"> Time!J$97</f>
        <v>0</v>
      </c>
      <c r="K22" s="430">
        <f xml:space="preserve"> Time!K$97</f>
        <v>0</v>
      </c>
      <c r="L22" s="430">
        <f xml:space="preserve"> Time!L$97</f>
        <v>0</v>
      </c>
      <c r="M22" s="430">
        <f xml:space="preserve"> Time!M$97</f>
        <v>1</v>
      </c>
      <c r="N22" s="430">
        <f xml:space="preserve"> Time!N$97</f>
        <v>1</v>
      </c>
      <c r="O22" s="430">
        <f xml:space="preserve"> Time!O$97</f>
        <v>1</v>
      </c>
      <c r="P22" s="430">
        <f xml:space="preserve"> Time!P$97</f>
        <v>1</v>
      </c>
      <c r="Q22" s="430">
        <f xml:space="preserve"> Time!Q$97</f>
        <v>1</v>
      </c>
      <c r="R22" s="430">
        <f xml:space="preserve"> Time!R$97</f>
        <v>1</v>
      </c>
      <c r="S22" s="430">
        <f xml:space="preserve"> Time!S$97</f>
        <v>1</v>
      </c>
      <c r="T22" s="430">
        <f xml:space="preserve"> Time!T$97</f>
        <v>1</v>
      </c>
      <c r="U22" s="430">
        <f xml:space="preserve"> Time!U$97</f>
        <v>1</v>
      </c>
      <c r="V22" s="430">
        <f xml:space="preserve"> Time!V$97</f>
        <v>1</v>
      </c>
      <c r="W22" s="430">
        <f xml:space="preserve"> Time!W$97</f>
        <v>1</v>
      </c>
      <c r="X22" s="430">
        <f xml:space="preserve"> Time!X$97</f>
        <v>1</v>
      </c>
      <c r="Y22" s="430">
        <f xml:space="preserve"> Time!Y$97</f>
        <v>1</v>
      </c>
      <c r="Z22" s="430">
        <f xml:space="preserve"> Time!Z$97</f>
        <v>1</v>
      </c>
      <c r="AA22" s="430">
        <f xml:space="preserve"> Time!AA$97</f>
        <v>1</v>
      </c>
      <c r="AB22" s="430">
        <f xml:space="preserve"> Time!AB$97</f>
        <v>1</v>
      </c>
      <c r="AC22" s="430">
        <f xml:space="preserve"> Time!AC$97</f>
        <v>1</v>
      </c>
      <c r="AD22" s="430">
        <f xml:space="preserve"> Time!AD$97</f>
        <v>1</v>
      </c>
      <c r="AE22" s="430">
        <f xml:space="preserve"> Time!AE$97</f>
        <v>1</v>
      </c>
      <c r="AF22" s="430">
        <f xml:space="preserve"> Time!AF$97</f>
        <v>1</v>
      </c>
      <c r="AG22" s="430">
        <f xml:space="preserve"> Time!AG$97</f>
        <v>1</v>
      </c>
      <c r="AH22" s="430">
        <f xml:space="preserve"> Time!AH$97</f>
        <v>1</v>
      </c>
      <c r="AI22" s="430">
        <f xml:space="preserve"> Time!AI$97</f>
        <v>1</v>
      </c>
      <c r="AJ22" s="430">
        <f xml:space="preserve"> Time!AJ$97</f>
        <v>1</v>
      </c>
      <c r="AK22" s="430">
        <f xml:space="preserve"> Time!AK$97</f>
        <v>1</v>
      </c>
      <c r="AL22" s="430">
        <f xml:space="preserve"> Time!AL$97</f>
        <v>1</v>
      </c>
      <c r="AM22" s="430">
        <f xml:space="preserve"> Time!AM$97</f>
        <v>1</v>
      </c>
      <c r="AN22" s="430">
        <f xml:space="preserve"> Time!AN$97</f>
        <v>1</v>
      </c>
      <c r="AO22" s="430">
        <f xml:space="preserve"> Time!AO$97</f>
        <v>1</v>
      </c>
      <c r="AP22" s="430">
        <f xml:space="preserve"> Time!AP$97</f>
        <v>1</v>
      </c>
      <c r="AQ22" s="430">
        <f xml:space="preserve"> Time!AQ$97</f>
        <v>1</v>
      </c>
      <c r="AR22" s="430">
        <f xml:space="preserve"> Time!AR$97</f>
        <v>1</v>
      </c>
      <c r="AS22" s="430">
        <f xml:space="preserve"> Time!AS$97</f>
        <v>1</v>
      </c>
      <c r="AT22" s="430">
        <f xml:space="preserve"> Time!AT$97</f>
        <v>1</v>
      </c>
      <c r="AU22" s="430">
        <f xml:space="preserve"> Time!AU$97</f>
        <v>1</v>
      </c>
      <c r="AV22" s="430">
        <f xml:space="preserve"> Time!AV$97</f>
        <v>1</v>
      </c>
      <c r="AW22" s="430">
        <f xml:space="preserve"> Time!AW$97</f>
        <v>1</v>
      </c>
      <c r="AX22" s="430">
        <f xml:space="preserve"> Time!AX$97</f>
        <v>1</v>
      </c>
      <c r="AY22" s="430">
        <f xml:space="preserve"> Time!AY$97</f>
        <v>1</v>
      </c>
      <c r="AZ22" s="430">
        <f xml:space="preserve"> Time!AZ$97</f>
        <v>1</v>
      </c>
      <c r="BA22" s="430">
        <f xml:space="preserve"> Time!BA$97</f>
        <v>1</v>
      </c>
      <c r="BB22" s="430">
        <f xml:space="preserve"> Time!BB$97</f>
        <v>1</v>
      </c>
      <c r="BC22" s="430">
        <f xml:space="preserve"> Time!BC$97</f>
        <v>1</v>
      </c>
      <c r="BD22" s="430">
        <f xml:space="preserve"> Time!BD$97</f>
        <v>1</v>
      </c>
      <c r="BE22" s="430">
        <f xml:space="preserve"> Time!BE$97</f>
        <v>1</v>
      </c>
      <c r="BF22" s="430">
        <f xml:space="preserve"> Time!BF$97</f>
        <v>1</v>
      </c>
      <c r="BG22" s="430">
        <f xml:space="preserve"> Time!BG$97</f>
        <v>1</v>
      </c>
      <c r="BH22" s="430">
        <f xml:space="preserve"> Time!BH$97</f>
        <v>1</v>
      </c>
      <c r="BI22" s="430">
        <f xml:space="preserve"> Time!BI$97</f>
        <v>1</v>
      </c>
      <c r="BJ22" s="430">
        <f xml:space="preserve"> Time!BJ$97</f>
        <v>1</v>
      </c>
      <c r="BK22" s="430">
        <f xml:space="preserve"> Time!BK$97</f>
        <v>1</v>
      </c>
      <c r="BL22" s="430">
        <f xml:space="preserve"> Time!BL$97</f>
        <v>1</v>
      </c>
      <c r="BM22" s="430">
        <f xml:space="preserve"> Time!BM$97</f>
        <v>1</v>
      </c>
      <c r="BN22" s="430">
        <f xml:space="preserve"> Time!BN$97</f>
        <v>1</v>
      </c>
      <c r="BO22" s="430">
        <f xml:space="preserve"> Time!BO$97</f>
        <v>1</v>
      </c>
      <c r="BP22" s="430">
        <f xml:space="preserve"> Time!BP$97</f>
        <v>1</v>
      </c>
      <c r="BQ22" s="430">
        <f xml:space="preserve"> Time!BQ$97</f>
        <v>1</v>
      </c>
      <c r="BR22" s="430">
        <f xml:space="preserve"> Time!BR$97</f>
        <v>1</v>
      </c>
      <c r="BS22" s="430">
        <f xml:space="preserve"> Time!BS$97</f>
        <v>1</v>
      </c>
      <c r="BT22" s="430">
        <f xml:space="preserve"> Time!BT$97</f>
        <v>1</v>
      </c>
      <c r="BU22" s="430">
        <f xml:space="preserve"> Time!BU$97</f>
        <v>1</v>
      </c>
      <c r="BV22" s="430">
        <f xml:space="preserve"> Time!BV$97</f>
        <v>1</v>
      </c>
      <c r="BW22" s="430">
        <f xml:space="preserve"> Time!BW$97</f>
        <v>1</v>
      </c>
      <c r="BX22" s="430">
        <f xml:space="preserve"> Time!BX$97</f>
        <v>1</v>
      </c>
      <c r="BY22" s="430">
        <f xml:space="preserve"> Time!BY$97</f>
        <v>1</v>
      </c>
      <c r="BZ22" s="430">
        <f xml:space="preserve"> Time!BZ$97</f>
        <v>1</v>
      </c>
      <c r="CA22" s="430">
        <f xml:space="preserve"> Time!CA$97</f>
        <v>1</v>
      </c>
      <c r="CB22" s="430">
        <f xml:space="preserve"> Time!CB$97</f>
        <v>1</v>
      </c>
      <c r="CC22" s="430">
        <f xml:space="preserve"> Time!CC$97</f>
        <v>1</v>
      </c>
      <c r="CD22" s="430">
        <f xml:space="preserve"> Time!CD$97</f>
        <v>1</v>
      </c>
      <c r="CE22" s="430">
        <f xml:space="preserve"> Time!CE$97</f>
        <v>1</v>
      </c>
      <c r="CF22" s="430">
        <f xml:space="preserve"> Time!CF$97</f>
        <v>1</v>
      </c>
      <c r="CG22" s="430">
        <f xml:space="preserve"> Time!CG$97</f>
        <v>1</v>
      </c>
      <c r="CH22" s="430">
        <f xml:space="preserve"> Time!CH$97</f>
        <v>1</v>
      </c>
      <c r="CI22" s="430">
        <f xml:space="preserve"> Time!CI$97</f>
        <v>1</v>
      </c>
      <c r="CJ22" s="430">
        <f xml:space="preserve"> Time!CJ$97</f>
        <v>1</v>
      </c>
      <c r="CK22" s="430">
        <f xml:space="preserve"> Time!CK$97</f>
        <v>1</v>
      </c>
      <c r="CL22" s="430">
        <f xml:space="preserve"> Time!CL$97</f>
        <v>1</v>
      </c>
      <c r="CM22" s="430">
        <f xml:space="preserve"> Time!CM$97</f>
        <v>1</v>
      </c>
      <c r="CN22" s="430">
        <f xml:space="preserve"> Time!CN$97</f>
        <v>1</v>
      </c>
      <c r="CO22" s="430">
        <f xml:space="preserve"> Time!CO$97</f>
        <v>1</v>
      </c>
      <c r="CP22" s="430">
        <f xml:space="preserve"> Time!CP$97</f>
        <v>1</v>
      </c>
      <c r="CQ22" s="430">
        <f xml:space="preserve"> Time!CQ$97</f>
        <v>1</v>
      </c>
      <c r="CR22" s="430">
        <f xml:space="preserve"> Time!CR$97</f>
        <v>1</v>
      </c>
      <c r="CS22" s="430">
        <f xml:space="preserve"> Time!CS$97</f>
        <v>1</v>
      </c>
      <c r="CT22" s="430">
        <f xml:space="preserve"> Time!CT$97</f>
        <v>1</v>
      </c>
      <c r="CU22" s="430">
        <f xml:space="preserve"> Time!CU$97</f>
        <v>1</v>
      </c>
      <c r="CV22" s="430">
        <f xml:space="preserve"> Time!CV$97</f>
        <v>1</v>
      </c>
      <c r="CW22" s="430">
        <f xml:space="preserve"> Time!CW$97</f>
        <v>1</v>
      </c>
      <c r="CX22" s="430">
        <f xml:space="preserve"> Time!CX$97</f>
        <v>1</v>
      </c>
      <c r="CY22" s="430">
        <f xml:space="preserve"> Time!CY$97</f>
        <v>1</v>
      </c>
      <c r="CZ22" s="430">
        <f xml:space="preserve"> Time!CZ$97</f>
        <v>1</v>
      </c>
      <c r="DA22" s="430">
        <f xml:space="preserve"> Time!DA$97</f>
        <v>1</v>
      </c>
      <c r="DB22" s="430">
        <f xml:space="preserve"> Time!DB$97</f>
        <v>1</v>
      </c>
      <c r="DC22" s="430">
        <f xml:space="preserve"> Time!DC$97</f>
        <v>1</v>
      </c>
      <c r="DD22" s="430">
        <f xml:space="preserve"> Time!DD$97</f>
        <v>1</v>
      </c>
      <c r="DE22" s="430">
        <f xml:space="preserve"> Time!DE$97</f>
        <v>1</v>
      </c>
      <c r="DF22" s="430">
        <f xml:space="preserve"> Time!DF$97</f>
        <v>1</v>
      </c>
      <c r="DG22" s="430">
        <f xml:space="preserve"> Time!DG$97</f>
        <v>1</v>
      </c>
      <c r="DH22" s="430">
        <f xml:space="preserve"> Time!DH$97</f>
        <v>1</v>
      </c>
      <c r="DI22" s="430">
        <f xml:space="preserve"> Time!DI$97</f>
        <v>0</v>
      </c>
      <c r="DJ22" s="430">
        <f xml:space="preserve"> Time!DJ$97</f>
        <v>0</v>
      </c>
      <c r="DK22" s="430">
        <f xml:space="preserve"> Time!DK$97</f>
        <v>0</v>
      </c>
      <c r="DL22" s="430">
        <f xml:space="preserve"> Time!DL$97</f>
        <v>0</v>
      </c>
      <c r="DM22" s="430">
        <f xml:space="preserve"> Time!DM$97</f>
        <v>0</v>
      </c>
      <c r="DN22" s="430">
        <f xml:space="preserve"> Time!DN$97</f>
        <v>0</v>
      </c>
      <c r="DO22" s="430">
        <f xml:space="preserve"> Time!DO$97</f>
        <v>0</v>
      </c>
      <c r="DP22" s="430">
        <f xml:space="preserve"> Time!DP$97</f>
        <v>0</v>
      </c>
      <c r="DQ22" s="430">
        <f xml:space="preserve"> Time!DQ$97</f>
        <v>0</v>
      </c>
      <c r="DR22" s="430">
        <f xml:space="preserve"> Time!DR$97</f>
        <v>0</v>
      </c>
      <c r="DS22" s="430">
        <f xml:space="preserve"> Time!DS$97</f>
        <v>0</v>
      </c>
      <c r="DT22" s="430">
        <f xml:space="preserve"> Time!DT$97</f>
        <v>0</v>
      </c>
      <c r="DU22" s="430">
        <f xml:space="preserve"> Time!DU$97</f>
        <v>0</v>
      </c>
      <c r="DV22" s="430">
        <f xml:space="preserve"> Time!DV$97</f>
        <v>0</v>
      </c>
      <c r="DW22" s="430">
        <f xml:space="preserve"> Time!DW$97</f>
        <v>0</v>
      </c>
      <c r="DX22" s="430">
        <f xml:space="preserve"> Time!DX$97</f>
        <v>0</v>
      </c>
      <c r="DY22" s="430">
        <f xml:space="preserve"> Time!DY$97</f>
        <v>0</v>
      </c>
      <c r="DZ22" s="430">
        <f xml:space="preserve"> Time!DZ$97</f>
        <v>0</v>
      </c>
      <c r="EA22" s="430">
        <f xml:space="preserve"> Time!EA$97</f>
        <v>0</v>
      </c>
    </row>
    <row r="23" spans="1:131" outlineLevel="2" x14ac:dyDescent="0.35">
      <c r="E23" s="7" t="s">
        <v>169</v>
      </c>
      <c r="G23" s="7" t="s">
        <v>168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outlineLevel="1" x14ac:dyDescent="0.35"/>
    <row r="25" spans="1:131" outlineLevel="1" x14ac:dyDescent="0.35">
      <c r="B25" s="8" t="s">
        <v>170</v>
      </c>
    </row>
    <row r="26" spans="1:131" s="436" customFormat="1" outlineLevel="2" x14ac:dyDescent="0.35">
      <c r="A26" s="192"/>
      <c r="B26" s="192"/>
      <c r="C26" s="193"/>
      <c r="D26" s="194"/>
      <c r="E26" s="431" t="str">
        <f xml:space="preserve"> InpC!E$30</f>
        <v>Year 1 P50 yield</v>
      </c>
      <c r="F26" s="431">
        <f xml:space="preserve"> InpC!F$30</f>
        <v>250</v>
      </c>
      <c r="G26" s="431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36" customFormat="1" outlineLevel="2" x14ac:dyDescent="0.35">
      <c r="A27" s="192"/>
      <c r="B27" s="192"/>
      <c r="C27" s="193"/>
      <c r="D27" s="194"/>
      <c r="E27" s="432" t="str">
        <f xml:space="preserve"> InpC!E$31</f>
        <v xml:space="preserve">Availability </v>
      </c>
      <c r="F27" s="432">
        <f xml:space="preserve"> InpC!F$31</f>
        <v>0.97</v>
      </c>
      <c r="G27" s="43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0" customFormat="1" outlineLevel="2" x14ac:dyDescent="0.35">
      <c r="A28" s="427"/>
      <c r="B28" s="427"/>
      <c r="C28" s="428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36" customFormat="1" outlineLevel="2" x14ac:dyDescent="0.35">
      <c r="A29" s="427"/>
      <c r="B29" s="427"/>
      <c r="C29" s="428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outlineLevel="2" x14ac:dyDescent="0.35">
      <c r="A30" s="433"/>
      <c r="B30" s="433"/>
      <c r="C30" s="434"/>
      <c r="D30" s="23"/>
      <c r="E30" s="21" t="s">
        <v>170</v>
      </c>
      <c r="F30" s="21"/>
      <c r="G30" s="21" t="s">
        <v>171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outlineLevel="1" x14ac:dyDescent="0.35"/>
    <row r="32" spans="1:131" outlineLevel="1" x14ac:dyDescent="0.35">
      <c r="B32" s="8" t="s">
        <v>172</v>
      </c>
    </row>
    <row r="33" spans="1:131" outlineLevel="2" x14ac:dyDescent="0.35">
      <c r="E33" s="431" t="str">
        <f xml:space="preserve"> InpC!E$33</f>
        <v>Power tariff</v>
      </c>
      <c r="F33" s="467">
        <f xml:space="preserve"> InpC!F$33</f>
        <v>6.5000000000000002E-2</v>
      </c>
      <c r="G33" s="431" t="str">
        <f xml:space="preserve"> InpC!G$33</f>
        <v>USD / kWh</v>
      </c>
      <c r="H33" s="26"/>
    </row>
    <row r="34" spans="1:131" s="436" customFormat="1" outlineLevel="2" x14ac:dyDescent="0.35">
      <c r="A34" s="192"/>
      <c r="B34" s="192"/>
      <c r="C34" s="193"/>
      <c r="D34" s="194"/>
      <c r="E34" s="430" t="str">
        <f xml:space="preserve"> InpC!E$52</f>
        <v>GWh to kWh conversion</v>
      </c>
      <c r="F34" s="430">
        <f xml:space="preserve"> InpC!F$52</f>
        <v>1000000</v>
      </c>
      <c r="G34" s="430" t="str">
        <f xml:space="preserve"> InpC!G$52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36" customFormat="1" outlineLevel="2" x14ac:dyDescent="0.35">
      <c r="A35" s="192"/>
      <c r="B35" s="192"/>
      <c r="C35" s="193"/>
      <c r="D35" s="194"/>
      <c r="E35" s="148" t="str">
        <f xml:space="preserve"> InpC!E$53</f>
        <v>Units in a thousand</v>
      </c>
      <c r="F35" s="148">
        <f xml:space="preserve"> InpC!F$53</f>
        <v>1000</v>
      </c>
      <c r="G35" s="148" t="str">
        <f xml:space="preserve"> InpC!G$53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36" customFormat="1" outlineLevel="2" x14ac:dyDescent="0.35">
      <c r="A36" s="192"/>
      <c r="B36" s="192"/>
      <c r="C36" s="193"/>
      <c r="D36" s="194"/>
      <c r="E36" s="435" t="str">
        <f t="shared" ref="E36:AJ36" si="20" xml:space="preserve"> E$30</f>
        <v>Electricity generation</v>
      </c>
      <c r="F36" s="435">
        <f t="shared" si="20"/>
        <v>0</v>
      </c>
      <c r="G36" s="435" t="str">
        <f t="shared" si="20"/>
        <v>GWh</v>
      </c>
      <c r="H36" s="435">
        <f t="shared" si="20"/>
        <v>5713.995058778346</v>
      </c>
      <c r="I36" s="435">
        <f t="shared" si="20"/>
        <v>0</v>
      </c>
      <c r="J36" s="435">
        <f t="shared" si="20"/>
        <v>0</v>
      </c>
      <c r="K36" s="435">
        <f t="shared" si="20"/>
        <v>0</v>
      </c>
      <c r="L36" s="435">
        <f t="shared" si="20"/>
        <v>0</v>
      </c>
      <c r="M36" s="435">
        <f t="shared" si="20"/>
        <v>80.025000000000006</v>
      </c>
      <c r="N36" s="435">
        <f t="shared" si="20"/>
        <v>87.3</v>
      </c>
      <c r="O36" s="435">
        <f t="shared" si="20"/>
        <v>37.587499999999977</v>
      </c>
      <c r="P36" s="435">
        <f t="shared" si="20"/>
        <v>37.587499999999999</v>
      </c>
      <c r="Q36" s="435">
        <f t="shared" si="20"/>
        <v>79.626865671641809</v>
      </c>
      <c r="R36" s="435">
        <f t="shared" si="20"/>
        <v>86.865671641791053</v>
      </c>
      <c r="S36" s="435">
        <f t="shared" si="20"/>
        <v>37.400497512437795</v>
      </c>
      <c r="T36" s="435">
        <f t="shared" si="20"/>
        <v>37.400497512437816</v>
      </c>
      <c r="U36" s="435">
        <f t="shared" si="20"/>
        <v>79.23071211108639</v>
      </c>
      <c r="V36" s="435">
        <f t="shared" si="20"/>
        <v>86.433504121185138</v>
      </c>
      <c r="W36" s="435">
        <f t="shared" si="20"/>
        <v>37.214425385510253</v>
      </c>
      <c r="X36" s="435">
        <f t="shared" si="20"/>
        <v>37.214425385510275</v>
      </c>
      <c r="Y36" s="435">
        <f t="shared" si="20"/>
        <v>78.836529463767548</v>
      </c>
      <c r="Z36" s="435">
        <f t="shared" si="20"/>
        <v>86.003486687746417</v>
      </c>
      <c r="AA36" s="435">
        <f t="shared" si="20"/>
        <v>37.029278990557465</v>
      </c>
      <c r="AB36" s="435">
        <f t="shared" si="20"/>
        <v>37.029278990557486</v>
      </c>
      <c r="AC36" s="435">
        <f t="shared" si="20"/>
        <v>78.444307924146841</v>
      </c>
      <c r="AD36" s="435">
        <f t="shared" si="20"/>
        <v>85.575608644523825</v>
      </c>
      <c r="AE36" s="435">
        <f t="shared" si="20"/>
        <v>36.845053721947735</v>
      </c>
      <c r="AF36" s="435">
        <f t="shared" si="20"/>
        <v>36.845053721947757</v>
      </c>
      <c r="AG36" s="435">
        <f t="shared" si="20"/>
        <v>78.054037735469507</v>
      </c>
      <c r="AH36" s="435">
        <f t="shared" si="20"/>
        <v>85.149859347784911</v>
      </c>
      <c r="AI36" s="435">
        <f t="shared" si="20"/>
        <v>36.661744996962931</v>
      </c>
      <c r="AJ36" s="435">
        <f t="shared" si="20"/>
        <v>36.661744996962952</v>
      </c>
      <c r="AK36" s="435">
        <f t="shared" ref="AK36:BP36" si="21" xml:space="preserve"> AK$30</f>
        <v>77.66570918952192</v>
      </c>
      <c r="AL36" s="435">
        <f t="shared" si="21"/>
        <v>84.726228206751173</v>
      </c>
      <c r="AM36" s="435">
        <f t="shared" si="21"/>
        <v>36.479348255684513</v>
      </c>
      <c r="AN36" s="435">
        <f t="shared" si="21"/>
        <v>36.479348255684535</v>
      </c>
      <c r="AO36" s="435">
        <f t="shared" si="21"/>
        <v>77.279312626389967</v>
      </c>
      <c r="AP36" s="435">
        <f t="shared" si="21"/>
        <v>84.304704683334492</v>
      </c>
      <c r="AQ36" s="435">
        <f t="shared" si="21"/>
        <v>36.297858960880113</v>
      </c>
      <c r="AR36" s="435">
        <f t="shared" si="21"/>
        <v>36.297858960880134</v>
      </c>
      <c r="AS36" s="435">
        <f t="shared" si="21"/>
        <v>76.894838434218883</v>
      </c>
      <c r="AT36" s="435">
        <f t="shared" si="21"/>
        <v>83.885278291875139</v>
      </c>
      <c r="AU36" s="435">
        <f t="shared" si="21"/>
        <v>36.117272597890668</v>
      </c>
      <c r="AV36" s="435">
        <f t="shared" si="21"/>
        <v>36.117272597890683</v>
      </c>
      <c r="AW36" s="435">
        <f t="shared" si="21"/>
        <v>76.512277048974028</v>
      </c>
      <c r="AX36" s="435">
        <f t="shared" si="21"/>
        <v>83.46793859888075</v>
      </c>
      <c r="AY36" s="435">
        <f t="shared" si="21"/>
        <v>35.937584674518078</v>
      </c>
      <c r="AZ36" s="435">
        <f t="shared" si="21"/>
        <v>35.937584674518099</v>
      </c>
      <c r="BA36" s="435">
        <f t="shared" si="21"/>
        <v>76.13161895420302</v>
      </c>
      <c r="BB36" s="435">
        <f t="shared" si="21"/>
        <v>83.052675222766922</v>
      </c>
      <c r="BC36" s="435">
        <f t="shared" si="21"/>
        <v>35.758790720913517</v>
      </c>
      <c r="BD36" s="435">
        <f t="shared" si="21"/>
        <v>35.758790720913538</v>
      </c>
      <c r="BE36" s="435">
        <f t="shared" si="21"/>
        <v>75.752854680799032</v>
      </c>
      <c r="BF36" s="435">
        <f t="shared" si="21"/>
        <v>82.639477833598932</v>
      </c>
      <c r="BG36" s="435">
        <f t="shared" si="21"/>
        <v>35.580886289466186</v>
      </c>
      <c r="BH36" s="435">
        <f t="shared" si="21"/>
        <v>35.580886289466207</v>
      </c>
      <c r="BI36" s="435">
        <f t="shared" si="21"/>
        <v>75.375974806765228</v>
      </c>
      <c r="BJ36" s="435">
        <f t="shared" si="21"/>
        <v>82.228336152834785</v>
      </c>
      <c r="BK36" s="435">
        <f t="shared" si="21"/>
        <v>35.403866954692738</v>
      </c>
      <c r="BL36" s="435">
        <f t="shared" si="21"/>
        <v>35.403866954692759</v>
      </c>
      <c r="BM36" s="435">
        <f t="shared" si="21"/>
        <v>75.000969956980327</v>
      </c>
      <c r="BN36" s="435">
        <f t="shared" si="21"/>
        <v>81.819239953069442</v>
      </c>
      <c r="BO36" s="435">
        <f t="shared" si="21"/>
        <v>35.227728313127102</v>
      </c>
      <c r="BP36" s="435">
        <f t="shared" si="21"/>
        <v>35.227728313127123</v>
      </c>
      <c r="BQ36" s="435">
        <f t="shared" ref="BQ36:CV36" si="22" xml:space="preserve"> BQ$30</f>
        <v>74.627830802965519</v>
      </c>
      <c r="BR36" s="435">
        <f t="shared" si="22"/>
        <v>81.412179057780563</v>
      </c>
      <c r="BS36" s="435">
        <f t="shared" si="22"/>
        <v>35.052465983211057</v>
      </c>
      <c r="BT36" s="435">
        <f t="shared" si="22"/>
        <v>35.052465983211071</v>
      </c>
      <c r="BU36" s="435">
        <f t="shared" si="22"/>
        <v>74.256548062652271</v>
      </c>
      <c r="BV36" s="435">
        <f t="shared" si="22"/>
        <v>81.007143341075206</v>
      </c>
      <c r="BW36" s="435">
        <f t="shared" si="22"/>
        <v>34.878075605185138</v>
      </c>
      <c r="BX36" s="435">
        <f t="shared" si="22"/>
        <v>34.87807560518516</v>
      </c>
      <c r="BY36" s="435">
        <f t="shared" si="22"/>
        <v>73.887112500151517</v>
      </c>
      <c r="BZ36" s="435">
        <f t="shared" si="22"/>
        <v>80.604122727438011</v>
      </c>
      <c r="CA36" s="435">
        <f t="shared" si="22"/>
        <v>34.704552840980234</v>
      </c>
      <c r="CB36" s="435">
        <f t="shared" si="22"/>
        <v>34.704552840980256</v>
      </c>
      <c r="CC36" s="435">
        <f t="shared" si="22"/>
        <v>73.519514925523907</v>
      </c>
      <c r="CD36" s="435">
        <f t="shared" si="22"/>
        <v>80.203107191480626</v>
      </c>
      <c r="CE36" s="435">
        <f t="shared" si="22"/>
        <v>34.531893374109693</v>
      </c>
      <c r="CF36" s="435">
        <f t="shared" si="22"/>
        <v>34.531893374109714</v>
      </c>
      <c r="CG36" s="435">
        <f t="shared" si="22"/>
        <v>73.153746194551175</v>
      </c>
      <c r="CH36" s="435">
        <f t="shared" si="22"/>
        <v>79.80408675769219</v>
      </c>
      <c r="CI36" s="435">
        <f t="shared" si="22"/>
        <v>34.360092909561899</v>
      </c>
      <c r="CJ36" s="435">
        <f t="shared" si="22"/>
        <v>34.360092909561914</v>
      </c>
      <c r="CK36" s="435">
        <f t="shared" si="22"/>
        <v>72.789797208508645</v>
      </c>
      <c r="CL36" s="435">
        <f t="shared" si="22"/>
        <v>79.40705150019123</v>
      </c>
      <c r="CM36" s="435">
        <f t="shared" si="22"/>
        <v>34.189147173693428</v>
      </c>
      <c r="CN36" s="435">
        <f t="shared" si="22"/>
        <v>34.189147173693449</v>
      </c>
      <c r="CO36" s="435">
        <f t="shared" si="22"/>
        <v>72.427658913938942</v>
      </c>
      <c r="CP36" s="435">
        <f t="shared" si="22"/>
        <v>79.011991542478839</v>
      </c>
      <c r="CQ36" s="435">
        <f t="shared" si="22"/>
        <v>34.019051914122819</v>
      </c>
      <c r="CR36" s="435">
        <f t="shared" si="22"/>
        <v>34.019051914122834</v>
      </c>
      <c r="CS36" s="435">
        <f t="shared" si="22"/>
        <v>72.067322302426831</v>
      </c>
      <c r="CT36" s="435">
        <f t="shared" si="22"/>
        <v>78.618897057192896</v>
      </c>
      <c r="CU36" s="435">
        <f t="shared" si="22"/>
        <v>33.849802899624706</v>
      </c>
      <c r="CV36" s="435">
        <f t="shared" si="22"/>
        <v>33.84980289962472</v>
      </c>
      <c r="CW36" s="435">
        <f t="shared" ref="CW36:EA36" si="23" xml:space="preserve"> CW$30</f>
        <v>71.708778410374961</v>
      </c>
      <c r="CX36" s="435">
        <f t="shared" si="23"/>
        <v>78.227758265863599</v>
      </c>
      <c r="CY36" s="435">
        <f t="shared" si="23"/>
        <v>33.681395920024585</v>
      </c>
      <c r="CZ36" s="435">
        <f t="shared" si="23"/>
        <v>33.681395920024606</v>
      </c>
      <c r="DA36" s="435">
        <f t="shared" si="23"/>
        <v>71.352018318781077</v>
      </c>
      <c r="DB36" s="435">
        <f t="shared" si="23"/>
        <v>77.838565438670258</v>
      </c>
      <c r="DC36" s="435">
        <f t="shared" si="23"/>
        <v>33.513826786094121</v>
      </c>
      <c r="DD36" s="435">
        <f t="shared" si="23"/>
        <v>33.513826786094135</v>
      </c>
      <c r="DE36" s="435">
        <f t="shared" si="23"/>
        <v>70.997033153015991</v>
      </c>
      <c r="DF36" s="435">
        <f t="shared" si="23"/>
        <v>77.451308894199258</v>
      </c>
      <c r="DG36" s="435">
        <f t="shared" si="23"/>
        <v>33.347091329446883</v>
      </c>
      <c r="DH36" s="435">
        <f t="shared" si="23"/>
        <v>33.347091329446904</v>
      </c>
      <c r="DI36" s="435">
        <f t="shared" si="23"/>
        <v>0</v>
      </c>
      <c r="DJ36" s="435">
        <f t="shared" si="23"/>
        <v>0</v>
      </c>
      <c r="DK36" s="435">
        <f t="shared" si="23"/>
        <v>0</v>
      </c>
      <c r="DL36" s="435">
        <f t="shared" si="23"/>
        <v>0</v>
      </c>
      <c r="DM36" s="435">
        <f t="shared" si="23"/>
        <v>0</v>
      </c>
      <c r="DN36" s="435">
        <f t="shared" si="23"/>
        <v>0</v>
      </c>
      <c r="DO36" s="435">
        <f t="shared" si="23"/>
        <v>0</v>
      </c>
      <c r="DP36" s="435">
        <f t="shared" si="23"/>
        <v>0</v>
      </c>
      <c r="DQ36" s="435">
        <f t="shared" si="23"/>
        <v>0</v>
      </c>
      <c r="DR36" s="435">
        <f t="shared" si="23"/>
        <v>0</v>
      </c>
      <c r="DS36" s="435">
        <f t="shared" si="23"/>
        <v>0</v>
      </c>
      <c r="DT36" s="435">
        <f t="shared" si="23"/>
        <v>0</v>
      </c>
      <c r="DU36" s="435">
        <f t="shared" si="23"/>
        <v>0</v>
      </c>
      <c r="DV36" s="435">
        <f t="shared" si="23"/>
        <v>0</v>
      </c>
      <c r="DW36" s="435">
        <f t="shared" si="23"/>
        <v>0</v>
      </c>
      <c r="DX36" s="435">
        <f t="shared" si="23"/>
        <v>0</v>
      </c>
      <c r="DY36" s="435">
        <f t="shared" si="23"/>
        <v>0</v>
      </c>
      <c r="DZ36" s="435">
        <f t="shared" si="23"/>
        <v>0</v>
      </c>
      <c r="EA36" s="435">
        <f t="shared" si="23"/>
        <v>0</v>
      </c>
    </row>
    <row r="37" spans="1:131" s="436" customFormat="1" outlineLevel="2" x14ac:dyDescent="0.35">
      <c r="A37" s="192"/>
      <c r="B37" s="192"/>
      <c r="C37" s="193"/>
      <c r="D37" s="194"/>
      <c r="E37" s="430" t="str">
        <f xml:space="preserve"> Time!E$97</f>
        <v>Operating period flag</v>
      </c>
      <c r="F37" s="430">
        <f xml:space="preserve"> Time!F$97</f>
        <v>0</v>
      </c>
      <c r="G37" s="430" t="str">
        <f xml:space="preserve"> Time!G$97</f>
        <v>flag</v>
      </c>
      <c r="H37" s="430">
        <f xml:space="preserve"> Time!H$97</f>
        <v>100</v>
      </c>
      <c r="I37" s="430">
        <f xml:space="preserve"> Time!I$97</f>
        <v>0</v>
      </c>
      <c r="J37" s="430">
        <f xml:space="preserve"> Time!J$97</f>
        <v>0</v>
      </c>
      <c r="K37" s="430">
        <f xml:space="preserve"> Time!K$97</f>
        <v>0</v>
      </c>
      <c r="L37" s="430">
        <f xml:space="preserve"> Time!L$97</f>
        <v>0</v>
      </c>
      <c r="M37" s="430">
        <f xml:space="preserve"> Time!M$97</f>
        <v>1</v>
      </c>
      <c r="N37" s="430">
        <f xml:space="preserve"> Time!N$97</f>
        <v>1</v>
      </c>
      <c r="O37" s="430">
        <f xml:space="preserve"> Time!O$97</f>
        <v>1</v>
      </c>
      <c r="P37" s="430">
        <f xml:space="preserve"> Time!P$97</f>
        <v>1</v>
      </c>
      <c r="Q37" s="430">
        <f xml:space="preserve"> Time!Q$97</f>
        <v>1</v>
      </c>
      <c r="R37" s="430">
        <f xml:space="preserve"> Time!R$97</f>
        <v>1</v>
      </c>
      <c r="S37" s="430">
        <f xml:space="preserve"> Time!S$97</f>
        <v>1</v>
      </c>
      <c r="T37" s="430">
        <f xml:space="preserve"> Time!T$97</f>
        <v>1</v>
      </c>
      <c r="U37" s="430">
        <f xml:space="preserve"> Time!U$97</f>
        <v>1</v>
      </c>
      <c r="V37" s="430">
        <f xml:space="preserve"> Time!V$97</f>
        <v>1</v>
      </c>
      <c r="W37" s="430">
        <f xml:space="preserve"> Time!W$97</f>
        <v>1</v>
      </c>
      <c r="X37" s="430">
        <f xml:space="preserve"> Time!X$97</f>
        <v>1</v>
      </c>
      <c r="Y37" s="430">
        <f xml:space="preserve"> Time!Y$97</f>
        <v>1</v>
      </c>
      <c r="Z37" s="430">
        <f xml:space="preserve"> Time!Z$97</f>
        <v>1</v>
      </c>
      <c r="AA37" s="430">
        <f xml:space="preserve"> Time!AA$97</f>
        <v>1</v>
      </c>
      <c r="AB37" s="430">
        <f xml:space="preserve"> Time!AB$97</f>
        <v>1</v>
      </c>
      <c r="AC37" s="430">
        <f xml:space="preserve"> Time!AC$97</f>
        <v>1</v>
      </c>
      <c r="AD37" s="430">
        <f xml:space="preserve"> Time!AD$97</f>
        <v>1</v>
      </c>
      <c r="AE37" s="430">
        <f xml:space="preserve"> Time!AE$97</f>
        <v>1</v>
      </c>
      <c r="AF37" s="430">
        <f xml:space="preserve"> Time!AF$97</f>
        <v>1</v>
      </c>
      <c r="AG37" s="430">
        <f xml:space="preserve"> Time!AG$97</f>
        <v>1</v>
      </c>
      <c r="AH37" s="430">
        <f xml:space="preserve"> Time!AH$97</f>
        <v>1</v>
      </c>
      <c r="AI37" s="430">
        <f xml:space="preserve"> Time!AI$97</f>
        <v>1</v>
      </c>
      <c r="AJ37" s="430">
        <f xml:space="preserve"> Time!AJ$97</f>
        <v>1</v>
      </c>
      <c r="AK37" s="430">
        <f xml:space="preserve"> Time!AK$97</f>
        <v>1</v>
      </c>
      <c r="AL37" s="430">
        <f xml:space="preserve"> Time!AL$97</f>
        <v>1</v>
      </c>
      <c r="AM37" s="430">
        <f xml:space="preserve"> Time!AM$97</f>
        <v>1</v>
      </c>
      <c r="AN37" s="430">
        <f xml:space="preserve"> Time!AN$97</f>
        <v>1</v>
      </c>
      <c r="AO37" s="430">
        <f xml:space="preserve"> Time!AO$97</f>
        <v>1</v>
      </c>
      <c r="AP37" s="430">
        <f xml:space="preserve"> Time!AP$97</f>
        <v>1</v>
      </c>
      <c r="AQ37" s="430">
        <f xml:space="preserve"> Time!AQ$97</f>
        <v>1</v>
      </c>
      <c r="AR37" s="430">
        <f xml:space="preserve"> Time!AR$97</f>
        <v>1</v>
      </c>
      <c r="AS37" s="430">
        <f xml:space="preserve"> Time!AS$97</f>
        <v>1</v>
      </c>
      <c r="AT37" s="430">
        <f xml:space="preserve"> Time!AT$97</f>
        <v>1</v>
      </c>
      <c r="AU37" s="430">
        <f xml:space="preserve"> Time!AU$97</f>
        <v>1</v>
      </c>
      <c r="AV37" s="430">
        <f xml:space="preserve"> Time!AV$97</f>
        <v>1</v>
      </c>
      <c r="AW37" s="430">
        <f xml:space="preserve"> Time!AW$97</f>
        <v>1</v>
      </c>
      <c r="AX37" s="430">
        <f xml:space="preserve"> Time!AX$97</f>
        <v>1</v>
      </c>
      <c r="AY37" s="430">
        <f xml:space="preserve"> Time!AY$97</f>
        <v>1</v>
      </c>
      <c r="AZ37" s="430">
        <f xml:space="preserve"> Time!AZ$97</f>
        <v>1</v>
      </c>
      <c r="BA37" s="430">
        <f xml:space="preserve"> Time!BA$97</f>
        <v>1</v>
      </c>
      <c r="BB37" s="430">
        <f xml:space="preserve"> Time!BB$97</f>
        <v>1</v>
      </c>
      <c r="BC37" s="430">
        <f xml:space="preserve"> Time!BC$97</f>
        <v>1</v>
      </c>
      <c r="BD37" s="430">
        <f xml:space="preserve"> Time!BD$97</f>
        <v>1</v>
      </c>
      <c r="BE37" s="430">
        <f xml:space="preserve"> Time!BE$97</f>
        <v>1</v>
      </c>
      <c r="BF37" s="430">
        <f xml:space="preserve"> Time!BF$97</f>
        <v>1</v>
      </c>
      <c r="BG37" s="430">
        <f xml:space="preserve"> Time!BG$97</f>
        <v>1</v>
      </c>
      <c r="BH37" s="430">
        <f xml:space="preserve"> Time!BH$97</f>
        <v>1</v>
      </c>
      <c r="BI37" s="430">
        <f xml:space="preserve"> Time!BI$97</f>
        <v>1</v>
      </c>
      <c r="BJ37" s="430">
        <f xml:space="preserve"> Time!BJ$97</f>
        <v>1</v>
      </c>
      <c r="BK37" s="430">
        <f xml:space="preserve"> Time!BK$97</f>
        <v>1</v>
      </c>
      <c r="BL37" s="430">
        <f xml:space="preserve"> Time!BL$97</f>
        <v>1</v>
      </c>
      <c r="BM37" s="430">
        <f xml:space="preserve"> Time!BM$97</f>
        <v>1</v>
      </c>
      <c r="BN37" s="430">
        <f xml:space="preserve"> Time!BN$97</f>
        <v>1</v>
      </c>
      <c r="BO37" s="430">
        <f xml:space="preserve"> Time!BO$97</f>
        <v>1</v>
      </c>
      <c r="BP37" s="430">
        <f xml:space="preserve"> Time!BP$97</f>
        <v>1</v>
      </c>
      <c r="BQ37" s="430">
        <f xml:space="preserve"> Time!BQ$97</f>
        <v>1</v>
      </c>
      <c r="BR37" s="430">
        <f xml:space="preserve"> Time!BR$97</f>
        <v>1</v>
      </c>
      <c r="BS37" s="430">
        <f xml:space="preserve"> Time!BS$97</f>
        <v>1</v>
      </c>
      <c r="BT37" s="430">
        <f xml:space="preserve"> Time!BT$97</f>
        <v>1</v>
      </c>
      <c r="BU37" s="430">
        <f xml:space="preserve"> Time!BU$97</f>
        <v>1</v>
      </c>
      <c r="BV37" s="430">
        <f xml:space="preserve"> Time!BV$97</f>
        <v>1</v>
      </c>
      <c r="BW37" s="430">
        <f xml:space="preserve"> Time!BW$97</f>
        <v>1</v>
      </c>
      <c r="BX37" s="430">
        <f xml:space="preserve"> Time!BX$97</f>
        <v>1</v>
      </c>
      <c r="BY37" s="430">
        <f xml:space="preserve"> Time!BY$97</f>
        <v>1</v>
      </c>
      <c r="BZ37" s="430">
        <f xml:space="preserve"> Time!BZ$97</f>
        <v>1</v>
      </c>
      <c r="CA37" s="430">
        <f xml:space="preserve"> Time!CA$97</f>
        <v>1</v>
      </c>
      <c r="CB37" s="430">
        <f xml:space="preserve"> Time!CB$97</f>
        <v>1</v>
      </c>
      <c r="CC37" s="430">
        <f xml:space="preserve"> Time!CC$97</f>
        <v>1</v>
      </c>
      <c r="CD37" s="430">
        <f xml:space="preserve"> Time!CD$97</f>
        <v>1</v>
      </c>
      <c r="CE37" s="430">
        <f xml:space="preserve"> Time!CE$97</f>
        <v>1</v>
      </c>
      <c r="CF37" s="430">
        <f xml:space="preserve"> Time!CF$97</f>
        <v>1</v>
      </c>
      <c r="CG37" s="430">
        <f xml:space="preserve"> Time!CG$97</f>
        <v>1</v>
      </c>
      <c r="CH37" s="430">
        <f xml:space="preserve"> Time!CH$97</f>
        <v>1</v>
      </c>
      <c r="CI37" s="430">
        <f xml:space="preserve"> Time!CI$97</f>
        <v>1</v>
      </c>
      <c r="CJ37" s="430">
        <f xml:space="preserve"> Time!CJ$97</f>
        <v>1</v>
      </c>
      <c r="CK37" s="430">
        <f xml:space="preserve"> Time!CK$97</f>
        <v>1</v>
      </c>
      <c r="CL37" s="430">
        <f xml:space="preserve"> Time!CL$97</f>
        <v>1</v>
      </c>
      <c r="CM37" s="430">
        <f xml:space="preserve"> Time!CM$97</f>
        <v>1</v>
      </c>
      <c r="CN37" s="430">
        <f xml:space="preserve"> Time!CN$97</f>
        <v>1</v>
      </c>
      <c r="CO37" s="430">
        <f xml:space="preserve"> Time!CO$97</f>
        <v>1</v>
      </c>
      <c r="CP37" s="430">
        <f xml:space="preserve"> Time!CP$97</f>
        <v>1</v>
      </c>
      <c r="CQ37" s="430">
        <f xml:space="preserve"> Time!CQ$97</f>
        <v>1</v>
      </c>
      <c r="CR37" s="430">
        <f xml:space="preserve"> Time!CR$97</f>
        <v>1</v>
      </c>
      <c r="CS37" s="430">
        <f xml:space="preserve"> Time!CS$97</f>
        <v>1</v>
      </c>
      <c r="CT37" s="430">
        <f xml:space="preserve"> Time!CT$97</f>
        <v>1</v>
      </c>
      <c r="CU37" s="430">
        <f xml:space="preserve"> Time!CU$97</f>
        <v>1</v>
      </c>
      <c r="CV37" s="430">
        <f xml:space="preserve"> Time!CV$97</f>
        <v>1</v>
      </c>
      <c r="CW37" s="430">
        <f xml:space="preserve"> Time!CW$97</f>
        <v>1</v>
      </c>
      <c r="CX37" s="430">
        <f xml:space="preserve"> Time!CX$97</f>
        <v>1</v>
      </c>
      <c r="CY37" s="430">
        <f xml:space="preserve"> Time!CY$97</f>
        <v>1</v>
      </c>
      <c r="CZ37" s="430">
        <f xml:space="preserve"> Time!CZ$97</f>
        <v>1</v>
      </c>
      <c r="DA37" s="430">
        <f xml:space="preserve"> Time!DA$97</f>
        <v>1</v>
      </c>
      <c r="DB37" s="430">
        <f xml:space="preserve"> Time!DB$97</f>
        <v>1</v>
      </c>
      <c r="DC37" s="430">
        <f xml:space="preserve"> Time!DC$97</f>
        <v>1</v>
      </c>
      <c r="DD37" s="430">
        <f xml:space="preserve"> Time!DD$97</f>
        <v>1</v>
      </c>
      <c r="DE37" s="430">
        <f xml:space="preserve"> Time!DE$97</f>
        <v>1</v>
      </c>
      <c r="DF37" s="430">
        <f xml:space="preserve"> Time!DF$97</f>
        <v>1</v>
      </c>
      <c r="DG37" s="430">
        <f xml:space="preserve"> Time!DG$97</f>
        <v>1</v>
      </c>
      <c r="DH37" s="430">
        <f xml:space="preserve"> Time!DH$97</f>
        <v>1</v>
      </c>
      <c r="DI37" s="430">
        <f xml:space="preserve"> Time!DI$97</f>
        <v>0</v>
      </c>
      <c r="DJ37" s="430">
        <f xml:space="preserve"> Time!DJ$97</f>
        <v>0</v>
      </c>
      <c r="DK37" s="430">
        <f xml:space="preserve"> Time!DK$97</f>
        <v>0</v>
      </c>
      <c r="DL37" s="430">
        <f xml:space="preserve"> Time!DL$97</f>
        <v>0</v>
      </c>
      <c r="DM37" s="430">
        <f xml:space="preserve"> Time!DM$97</f>
        <v>0</v>
      </c>
      <c r="DN37" s="430">
        <f xml:space="preserve"> Time!DN$97</f>
        <v>0</v>
      </c>
      <c r="DO37" s="430">
        <f xml:space="preserve"> Time!DO$97</f>
        <v>0</v>
      </c>
      <c r="DP37" s="430">
        <f xml:space="preserve"> Time!DP$97</f>
        <v>0</v>
      </c>
      <c r="DQ37" s="430">
        <f xml:space="preserve"> Time!DQ$97</f>
        <v>0</v>
      </c>
      <c r="DR37" s="430">
        <f xml:space="preserve"> Time!DR$97</f>
        <v>0</v>
      </c>
      <c r="DS37" s="430">
        <f xml:space="preserve"> Time!DS$97</f>
        <v>0</v>
      </c>
      <c r="DT37" s="430">
        <f xml:space="preserve"> Time!DT$97</f>
        <v>0</v>
      </c>
      <c r="DU37" s="430">
        <f xml:space="preserve"> Time!DU$97</f>
        <v>0</v>
      </c>
      <c r="DV37" s="430">
        <f xml:space="preserve"> Time!DV$97</f>
        <v>0</v>
      </c>
      <c r="DW37" s="430">
        <f xml:space="preserve"> Time!DW$97</f>
        <v>0</v>
      </c>
      <c r="DX37" s="430">
        <f xml:space="preserve"> Time!DX$97</f>
        <v>0</v>
      </c>
      <c r="DY37" s="430">
        <f xml:space="preserve"> Time!DY$97</f>
        <v>0</v>
      </c>
      <c r="DZ37" s="430">
        <f xml:space="preserve"> Time!DZ$97</f>
        <v>0</v>
      </c>
      <c r="EA37" s="430">
        <f xml:space="preserve"> Time!EA$97</f>
        <v>0</v>
      </c>
    </row>
    <row r="38" spans="1:131" s="437" customFormat="1" outlineLevel="2" x14ac:dyDescent="0.35">
      <c r="A38" s="102"/>
      <c r="B38" s="102"/>
      <c r="C38" s="103"/>
      <c r="D38" s="104"/>
      <c r="E38" s="471" t="s">
        <v>172</v>
      </c>
      <c r="F38" s="471"/>
      <c r="G38" s="471" t="str">
        <f xml:space="preserve"> SMU</f>
        <v>$ 000s</v>
      </c>
      <c r="H38" s="471">
        <f xml:space="preserve"> SUM(J38:GJ38)</f>
        <v>371409.67882059288</v>
      </c>
      <c r="I38" s="471"/>
      <c r="J38" s="471">
        <f t="shared" ref="J38:AO38" si="24" xml:space="preserve"> $F33 * $F34 / $F35 * J36  * J37</f>
        <v>0</v>
      </c>
      <c r="K38" s="471">
        <f t="shared" si="24"/>
        <v>0</v>
      </c>
      <c r="L38" s="471">
        <f t="shared" si="24"/>
        <v>0</v>
      </c>
      <c r="M38" s="471">
        <f t="shared" si="24"/>
        <v>5201.625</v>
      </c>
      <c r="N38" s="471">
        <f t="shared" si="24"/>
        <v>5674.5</v>
      </c>
      <c r="O38" s="471">
        <f t="shared" si="24"/>
        <v>2443.1874999999986</v>
      </c>
      <c r="P38" s="471">
        <f t="shared" si="24"/>
        <v>2443.1875</v>
      </c>
      <c r="Q38" s="471">
        <f t="shared" si="24"/>
        <v>5175.7462686567178</v>
      </c>
      <c r="R38" s="471">
        <f t="shared" si="24"/>
        <v>5646.2686567164183</v>
      </c>
      <c r="S38" s="471">
        <f t="shared" si="24"/>
        <v>2431.0323383084565</v>
      </c>
      <c r="T38" s="471">
        <f t="shared" si="24"/>
        <v>2431.0323383084578</v>
      </c>
      <c r="U38" s="471">
        <f t="shared" si="24"/>
        <v>5149.9962872206152</v>
      </c>
      <c r="V38" s="471">
        <f t="shared" si="24"/>
        <v>5618.1777678770341</v>
      </c>
      <c r="W38" s="471">
        <f t="shared" si="24"/>
        <v>2418.9376500581666</v>
      </c>
      <c r="X38" s="471">
        <f t="shared" si="24"/>
        <v>2418.9376500581679</v>
      </c>
      <c r="Y38" s="471">
        <f t="shared" si="24"/>
        <v>5124.3744151448909</v>
      </c>
      <c r="Z38" s="471">
        <f t="shared" si="24"/>
        <v>5590.2266347035174</v>
      </c>
      <c r="AA38" s="471">
        <f t="shared" si="24"/>
        <v>2406.9031343862353</v>
      </c>
      <c r="AB38" s="471">
        <f t="shared" si="24"/>
        <v>2406.9031343862366</v>
      </c>
      <c r="AC38" s="471">
        <f t="shared" si="24"/>
        <v>5098.8800150695442</v>
      </c>
      <c r="AD38" s="471">
        <f t="shared" si="24"/>
        <v>5562.4145618940483</v>
      </c>
      <c r="AE38" s="471">
        <f t="shared" si="24"/>
        <v>2394.9284919266029</v>
      </c>
      <c r="AF38" s="471">
        <f t="shared" si="24"/>
        <v>2394.9284919266042</v>
      </c>
      <c r="AG38" s="471">
        <f t="shared" si="24"/>
        <v>5073.5124528055176</v>
      </c>
      <c r="AH38" s="471">
        <f t="shared" si="24"/>
        <v>5534.7408576060188</v>
      </c>
      <c r="AI38" s="471">
        <f t="shared" si="24"/>
        <v>2383.0134248025906</v>
      </c>
      <c r="AJ38" s="471">
        <f t="shared" si="24"/>
        <v>2383.013424802592</v>
      </c>
      <c r="AK38" s="471">
        <f t="shared" si="24"/>
        <v>5048.2710973189251</v>
      </c>
      <c r="AL38" s="471">
        <f t="shared" si="24"/>
        <v>5507.2048334388264</v>
      </c>
      <c r="AM38" s="471">
        <f t="shared" si="24"/>
        <v>2371.1576366194936</v>
      </c>
      <c r="AN38" s="471">
        <f t="shared" si="24"/>
        <v>2371.157636619495</v>
      </c>
      <c r="AO38" s="471">
        <f t="shared" si="24"/>
        <v>5023.1553207153474</v>
      </c>
      <c r="AP38" s="471">
        <f t="shared" ref="AP38:BU38" si="25" xml:space="preserve"> $F33 * $F34 / $F35 * AP36  * AP37</f>
        <v>5479.8058044167419</v>
      </c>
      <c r="AQ38" s="471">
        <f t="shared" si="25"/>
        <v>2359.3608324572074</v>
      </c>
      <c r="AR38" s="471">
        <f t="shared" si="25"/>
        <v>2359.3608324572087</v>
      </c>
      <c r="AS38" s="471">
        <f t="shared" si="25"/>
        <v>4998.1644982242278</v>
      </c>
      <c r="AT38" s="471">
        <f t="shared" si="25"/>
        <v>5452.5430889718837</v>
      </c>
      <c r="AU38" s="471">
        <f t="shared" si="25"/>
        <v>2347.6227188628936</v>
      </c>
      <c r="AV38" s="471">
        <f t="shared" si="25"/>
        <v>2347.6227188628945</v>
      </c>
      <c r="AW38" s="471">
        <f t="shared" si="25"/>
        <v>4973.298008183312</v>
      </c>
      <c r="AX38" s="471">
        <f t="shared" si="25"/>
        <v>5425.4160089272491</v>
      </c>
      <c r="AY38" s="471">
        <f t="shared" si="25"/>
        <v>2335.9430038436749</v>
      </c>
      <c r="AZ38" s="471">
        <f t="shared" si="25"/>
        <v>2335.9430038436763</v>
      </c>
      <c r="BA38" s="471">
        <f t="shared" si="25"/>
        <v>4948.5552320231964</v>
      </c>
      <c r="BB38" s="471">
        <f t="shared" si="25"/>
        <v>5398.42388947985</v>
      </c>
      <c r="BC38" s="471">
        <f t="shared" si="25"/>
        <v>2324.3213968593786</v>
      </c>
      <c r="BD38" s="471">
        <f t="shared" si="25"/>
        <v>2324.32139685938</v>
      </c>
      <c r="BE38" s="471">
        <f t="shared" si="25"/>
        <v>4923.935554251937</v>
      </c>
      <c r="BF38" s="471">
        <f t="shared" si="25"/>
        <v>5371.5660591839305</v>
      </c>
      <c r="BG38" s="471">
        <f t="shared" si="25"/>
        <v>2312.7576088153019</v>
      </c>
      <c r="BH38" s="471">
        <f t="shared" si="25"/>
        <v>2312.7576088153037</v>
      </c>
      <c r="BI38" s="471">
        <f t="shared" si="25"/>
        <v>4899.4383624397396</v>
      </c>
      <c r="BJ38" s="471">
        <f t="shared" si="25"/>
        <v>5344.8418499342606</v>
      </c>
      <c r="BK38" s="471">
        <f t="shared" si="25"/>
        <v>2301.2513520550278</v>
      </c>
      <c r="BL38" s="471">
        <f t="shared" si="25"/>
        <v>2301.2513520550292</v>
      </c>
      <c r="BM38" s="471">
        <f t="shared" si="25"/>
        <v>4875.063047203721</v>
      </c>
      <c r="BN38" s="471">
        <f t="shared" si="25"/>
        <v>5318.2505969495141</v>
      </c>
      <c r="BO38" s="471">
        <f t="shared" si="25"/>
        <v>2289.8023403532616</v>
      </c>
      <c r="BP38" s="471">
        <f t="shared" si="25"/>
        <v>2289.8023403532629</v>
      </c>
      <c r="BQ38" s="471">
        <f t="shared" si="25"/>
        <v>4850.8090021927592</v>
      </c>
      <c r="BR38" s="471">
        <f t="shared" si="25"/>
        <v>5291.7916387557361</v>
      </c>
      <c r="BS38" s="471">
        <f t="shared" si="25"/>
        <v>2278.4102889087189</v>
      </c>
      <c r="BT38" s="471">
        <f t="shared" si="25"/>
        <v>2278.4102889087198</v>
      </c>
      <c r="BU38" s="471">
        <f t="shared" si="25"/>
        <v>4826.675624072398</v>
      </c>
      <c r="BV38" s="471">
        <f t="shared" ref="BV38:DA38" si="26" xml:space="preserve"> $F33 * $F34 / $F35 * BV36  * BV37</f>
        <v>5265.4643171698881</v>
      </c>
      <c r="BW38" s="471">
        <f t="shared" si="26"/>
        <v>2267.074914337034</v>
      </c>
      <c r="BX38" s="471">
        <f t="shared" si="26"/>
        <v>2267.0749143370354</v>
      </c>
      <c r="BY38" s="471">
        <f t="shared" si="26"/>
        <v>4802.6623125098486</v>
      </c>
      <c r="BZ38" s="471">
        <f t="shared" si="26"/>
        <v>5239.2679772834708</v>
      </c>
      <c r="CA38" s="471">
        <f t="shared" si="26"/>
        <v>2255.7959346637153</v>
      </c>
      <c r="CB38" s="471">
        <f t="shared" si="26"/>
        <v>2255.7959346637167</v>
      </c>
      <c r="CC38" s="471">
        <f t="shared" si="26"/>
        <v>4778.7684701590542</v>
      </c>
      <c r="CD38" s="471">
        <f t="shared" si="26"/>
        <v>5213.2019674462408</v>
      </c>
      <c r="CE38" s="471">
        <f t="shared" si="26"/>
        <v>2244.5730693171299</v>
      </c>
      <c r="CF38" s="471">
        <f t="shared" si="26"/>
        <v>2244.5730693171313</v>
      </c>
      <c r="CG38" s="471">
        <f t="shared" si="26"/>
        <v>4754.9935026458261</v>
      </c>
      <c r="CH38" s="471">
        <f t="shared" si="26"/>
        <v>5187.2656392499921</v>
      </c>
      <c r="CI38" s="471">
        <f t="shared" si="26"/>
        <v>2233.4060391215235</v>
      </c>
      <c r="CJ38" s="471">
        <f t="shared" si="26"/>
        <v>2233.4060391215244</v>
      </c>
      <c r="CK38" s="471">
        <f t="shared" si="26"/>
        <v>4731.3368185530617</v>
      </c>
      <c r="CL38" s="471">
        <f t="shared" si="26"/>
        <v>5161.45834751243</v>
      </c>
      <c r="CM38" s="471">
        <f t="shared" si="26"/>
        <v>2222.2945662900729</v>
      </c>
      <c r="CN38" s="471">
        <f t="shared" si="26"/>
        <v>2222.2945662900743</v>
      </c>
      <c r="CO38" s="471">
        <f t="shared" si="26"/>
        <v>4707.7978294060313</v>
      </c>
      <c r="CP38" s="471">
        <f t="shared" si="26"/>
        <v>5135.7794502611241</v>
      </c>
      <c r="CQ38" s="471">
        <f t="shared" si="26"/>
        <v>2211.2383744179833</v>
      </c>
      <c r="CR38" s="471">
        <f t="shared" si="26"/>
        <v>2211.2383744179842</v>
      </c>
      <c r="CS38" s="471">
        <f t="shared" si="26"/>
        <v>4684.3759496577441</v>
      </c>
      <c r="CT38" s="471">
        <f t="shared" si="26"/>
        <v>5110.2283087175383</v>
      </c>
      <c r="CU38" s="471">
        <f t="shared" si="26"/>
        <v>2200.2371884756058</v>
      </c>
      <c r="CV38" s="471">
        <f t="shared" si="26"/>
        <v>2200.2371884756067</v>
      </c>
      <c r="CW38" s="471">
        <f t="shared" si="26"/>
        <v>4661.0705966743726</v>
      </c>
      <c r="CX38" s="471">
        <f t="shared" si="26"/>
        <v>5084.8042872811338</v>
      </c>
      <c r="CY38" s="471">
        <f t="shared" si="26"/>
        <v>2189.2907348015979</v>
      </c>
      <c r="CZ38" s="471">
        <f t="shared" si="26"/>
        <v>2189.2907348015992</v>
      </c>
      <c r="DA38" s="471">
        <f t="shared" si="26"/>
        <v>4637.8811907207701</v>
      </c>
      <c r="DB38" s="471">
        <f t="shared" ref="DB38:EA38" si="27" xml:space="preserve"> $F33 * $F34 / $F35 * DB36  * DB37</f>
        <v>5059.5067535135668</v>
      </c>
      <c r="DC38" s="471">
        <f t="shared" si="27"/>
        <v>2178.3987410961181</v>
      </c>
      <c r="DD38" s="471">
        <f t="shared" si="27"/>
        <v>2178.398741096119</v>
      </c>
      <c r="DE38" s="471">
        <f t="shared" si="27"/>
        <v>4614.8071549460392</v>
      </c>
      <c r="DF38" s="471">
        <f t="shared" si="27"/>
        <v>5034.3350781229519</v>
      </c>
      <c r="DG38" s="471">
        <f t="shared" si="27"/>
        <v>2167.5609364140473</v>
      </c>
      <c r="DH38" s="471">
        <f t="shared" si="27"/>
        <v>2167.5609364140487</v>
      </c>
      <c r="DI38" s="471">
        <f t="shared" si="27"/>
        <v>0</v>
      </c>
      <c r="DJ38" s="471">
        <f t="shared" si="27"/>
        <v>0</v>
      </c>
      <c r="DK38" s="471">
        <f t="shared" si="27"/>
        <v>0</v>
      </c>
      <c r="DL38" s="471">
        <f t="shared" si="27"/>
        <v>0</v>
      </c>
      <c r="DM38" s="471">
        <f t="shared" si="27"/>
        <v>0</v>
      </c>
      <c r="DN38" s="471">
        <f t="shared" si="27"/>
        <v>0</v>
      </c>
      <c r="DO38" s="471">
        <f t="shared" si="27"/>
        <v>0</v>
      </c>
      <c r="DP38" s="471">
        <f t="shared" si="27"/>
        <v>0</v>
      </c>
      <c r="DQ38" s="471">
        <f t="shared" si="27"/>
        <v>0</v>
      </c>
      <c r="DR38" s="471">
        <f t="shared" si="27"/>
        <v>0</v>
      </c>
      <c r="DS38" s="471">
        <f t="shared" si="27"/>
        <v>0</v>
      </c>
      <c r="DT38" s="471">
        <f t="shared" si="27"/>
        <v>0</v>
      </c>
      <c r="DU38" s="471">
        <f t="shared" si="27"/>
        <v>0</v>
      </c>
      <c r="DV38" s="471">
        <f t="shared" si="27"/>
        <v>0</v>
      </c>
      <c r="DW38" s="471">
        <f t="shared" si="27"/>
        <v>0</v>
      </c>
      <c r="DX38" s="471">
        <f t="shared" si="27"/>
        <v>0</v>
      </c>
      <c r="DY38" s="471">
        <f t="shared" si="27"/>
        <v>0</v>
      </c>
      <c r="DZ38" s="471">
        <f t="shared" si="27"/>
        <v>0</v>
      </c>
      <c r="EA38" s="471">
        <f t="shared" si="27"/>
        <v>0</v>
      </c>
    </row>
    <row r="40" spans="1:131" x14ac:dyDescent="0.35">
      <c r="A40" s="8" t="s">
        <v>63</v>
      </c>
    </row>
  </sheetData>
  <conditionalFormatting sqref="F2:F4">
    <cfRule type="cellIs" dxfId="39" priority="1" stopIfTrue="1" operator="notEqual">
      <formula>0</formula>
    </cfRule>
    <cfRule type="cellIs" dxfId="38" priority="2" stopIfTrue="1" operator="equal">
      <formula>""</formula>
    </cfRule>
  </conditionalFormatting>
  <conditionalFormatting sqref="J3:EA3">
    <cfRule type="cellIs" dxfId="37" priority="3" operator="equal">
      <formula>"Fin Close"</formula>
    </cfRule>
    <cfRule type="cellIs" dxfId="36" priority="4" stopIfTrue="1" operator="equal">
      <formula>"Operations"</formula>
    </cfRule>
  </conditionalFormatting>
  <dataValidations count="1">
    <dataValidation allowBlank="1" showInputMessage="1" showErrorMessage="1" sqref="E17:H20 E11:H11 E26:H27 E33:H33 E34:H34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11" sqref="L11"/>
    </sheetView>
  </sheetViews>
  <sheetFormatPr defaultColWidth="0" defaultRowHeight="13.15" outlineLevelRow="1" x14ac:dyDescent="0.35"/>
  <cols>
    <col min="1" max="1" width="1.1328125" style="159" customWidth="1"/>
    <col min="2" max="2" width="1.1328125" style="160" customWidth="1"/>
    <col min="3" max="3" width="1.1328125" style="161" customWidth="1"/>
    <col min="4" max="4" width="1.132812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72" t="str">
        <f xml:space="preserve"> Ops!E$38</f>
        <v>Electricity revenue</v>
      </c>
      <c r="F9" s="472">
        <f xml:space="preserve"> Ops!F$38</f>
        <v>0</v>
      </c>
      <c r="G9" s="472" t="str">
        <f xml:space="preserve"> Ops!G$38</f>
        <v>$ 000s</v>
      </c>
      <c r="H9" s="472">
        <f xml:space="preserve"> Ops!H$38</f>
        <v>371409.67882059288</v>
      </c>
      <c r="I9" s="472">
        <f xml:space="preserve"> Ops!I$38</f>
        <v>0</v>
      </c>
      <c r="J9" s="472">
        <f xml:space="preserve"> Ops!J$38</f>
        <v>0</v>
      </c>
      <c r="K9" s="472">
        <f xml:space="preserve"> Ops!K$38</f>
        <v>0</v>
      </c>
      <c r="L9" s="472">
        <f xml:space="preserve"> Ops!L$38</f>
        <v>0</v>
      </c>
      <c r="M9" s="472">
        <f xml:space="preserve"> Ops!M$38</f>
        <v>5201.625</v>
      </c>
      <c r="N9" s="472">
        <f xml:space="preserve"> Ops!N$38</f>
        <v>5674.5</v>
      </c>
      <c r="O9" s="472">
        <f xml:space="preserve"> Ops!O$38</f>
        <v>2443.1874999999986</v>
      </c>
      <c r="P9" s="472">
        <f xml:space="preserve"> Ops!P$38</f>
        <v>2443.1875</v>
      </c>
      <c r="Q9" s="472">
        <f xml:space="preserve"> Ops!Q$38</f>
        <v>5175.7462686567178</v>
      </c>
      <c r="R9" s="472">
        <f xml:space="preserve"> Ops!R$38</f>
        <v>5646.2686567164183</v>
      </c>
      <c r="S9" s="472">
        <f xml:space="preserve"> Ops!S$38</f>
        <v>2431.0323383084565</v>
      </c>
      <c r="T9" s="472">
        <f xml:space="preserve"> Ops!T$38</f>
        <v>2431.0323383084578</v>
      </c>
      <c r="U9" s="472">
        <f xml:space="preserve"> Ops!U$38</f>
        <v>5149.9962872206152</v>
      </c>
      <c r="V9" s="472">
        <f xml:space="preserve"> Ops!V$38</f>
        <v>5618.1777678770341</v>
      </c>
      <c r="W9" s="472">
        <f xml:space="preserve"> Ops!W$38</f>
        <v>2418.9376500581666</v>
      </c>
      <c r="X9" s="472">
        <f xml:space="preserve"> Ops!X$38</f>
        <v>2418.9376500581679</v>
      </c>
      <c r="Y9" s="472">
        <f xml:space="preserve"> Ops!Y$38</f>
        <v>5124.3744151448909</v>
      </c>
      <c r="Z9" s="472">
        <f xml:space="preserve"> Ops!Z$38</f>
        <v>5590.2266347035174</v>
      </c>
      <c r="AA9" s="472">
        <f xml:space="preserve"> Ops!AA$38</f>
        <v>2406.9031343862353</v>
      </c>
      <c r="AB9" s="472">
        <f xml:space="preserve"> Ops!AB$38</f>
        <v>2406.9031343862366</v>
      </c>
      <c r="AC9" s="472">
        <f xml:space="preserve"> Ops!AC$38</f>
        <v>5098.8800150695442</v>
      </c>
      <c r="AD9" s="472">
        <f xml:space="preserve"> Ops!AD$38</f>
        <v>5562.4145618940483</v>
      </c>
      <c r="AE9" s="472">
        <f xml:space="preserve"> Ops!AE$38</f>
        <v>2394.9284919266029</v>
      </c>
      <c r="AF9" s="472">
        <f xml:space="preserve"> Ops!AF$38</f>
        <v>2394.9284919266042</v>
      </c>
      <c r="AG9" s="472">
        <f xml:space="preserve"> Ops!AG$38</f>
        <v>5073.5124528055176</v>
      </c>
      <c r="AH9" s="472">
        <f xml:space="preserve"> Ops!AH$38</f>
        <v>5534.7408576060188</v>
      </c>
      <c r="AI9" s="472">
        <f xml:space="preserve"> Ops!AI$38</f>
        <v>2383.0134248025906</v>
      </c>
      <c r="AJ9" s="472">
        <f xml:space="preserve"> Ops!AJ$38</f>
        <v>2383.013424802592</v>
      </c>
      <c r="AK9" s="472">
        <f xml:space="preserve"> Ops!AK$38</f>
        <v>5048.2710973189251</v>
      </c>
      <c r="AL9" s="472">
        <f xml:space="preserve"> Ops!AL$38</f>
        <v>5507.2048334388264</v>
      </c>
      <c r="AM9" s="472">
        <f xml:space="preserve"> Ops!AM$38</f>
        <v>2371.1576366194936</v>
      </c>
      <c r="AN9" s="472">
        <f xml:space="preserve"> Ops!AN$38</f>
        <v>2371.157636619495</v>
      </c>
      <c r="AO9" s="472">
        <f xml:space="preserve"> Ops!AO$38</f>
        <v>5023.1553207153474</v>
      </c>
      <c r="AP9" s="472">
        <f xml:space="preserve"> Ops!AP$38</f>
        <v>5479.8058044167419</v>
      </c>
      <c r="AQ9" s="472">
        <f xml:space="preserve"> Ops!AQ$38</f>
        <v>2359.3608324572074</v>
      </c>
      <c r="AR9" s="472">
        <f xml:space="preserve"> Ops!AR$38</f>
        <v>2359.3608324572087</v>
      </c>
      <c r="AS9" s="472">
        <f xml:space="preserve"> Ops!AS$38</f>
        <v>4998.1644982242278</v>
      </c>
      <c r="AT9" s="472">
        <f xml:space="preserve"> Ops!AT$38</f>
        <v>5452.5430889718837</v>
      </c>
      <c r="AU9" s="472">
        <f xml:space="preserve"> Ops!AU$38</f>
        <v>2347.6227188628936</v>
      </c>
      <c r="AV9" s="472">
        <f xml:space="preserve"> Ops!AV$38</f>
        <v>2347.6227188628945</v>
      </c>
      <c r="AW9" s="472">
        <f xml:space="preserve"> Ops!AW$38</f>
        <v>4973.298008183312</v>
      </c>
      <c r="AX9" s="472">
        <f xml:space="preserve"> Ops!AX$38</f>
        <v>5425.4160089272491</v>
      </c>
      <c r="AY9" s="472">
        <f xml:space="preserve"> Ops!AY$38</f>
        <v>2335.9430038436749</v>
      </c>
      <c r="AZ9" s="472">
        <f xml:space="preserve"> Ops!AZ$38</f>
        <v>2335.9430038436763</v>
      </c>
      <c r="BA9" s="472">
        <f xml:space="preserve"> Ops!BA$38</f>
        <v>4948.5552320231964</v>
      </c>
      <c r="BB9" s="472">
        <f xml:space="preserve"> Ops!BB$38</f>
        <v>5398.42388947985</v>
      </c>
      <c r="BC9" s="472">
        <f xml:space="preserve"> Ops!BC$38</f>
        <v>2324.3213968593786</v>
      </c>
      <c r="BD9" s="472">
        <f xml:space="preserve"> Ops!BD$38</f>
        <v>2324.32139685938</v>
      </c>
      <c r="BE9" s="472">
        <f xml:space="preserve"> Ops!BE$38</f>
        <v>4923.935554251937</v>
      </c>
      <c r="BF9" s="472">
        <f xml:space="preserve"> Ops!BF$38</f>
        <v>5371.5660591839305</v>
      </c>
      <c r="BG9" s="472">
        <f xml:space="preserve"> Ops!BG$38</f>
        <v>2312.7576088153019</v>
      </c>
      <c r="BH9" s="472">
        <f xml:space="preserve"> Ops!BH$38</f>
        <v>2312.7576088153037</v>
      </c>
      <c r="BI9" s="472">
        <f xml:space="preserve"> Ops!BI$38</f>
        <v>4899.4383624397396</v>
      </c>
      <c r="BJ9" s="472">
        <f xml:space="preserve"> Ops!BJ$38</f>
        <v>5344.8418499342606</v>
      </c>
      <c r="BK9" s="472">
        <f xml:space="preserve"> Ops!BK$38</f>
        <v>2301.2513520550278</v>
      </c>
      <c r="BL9" s="472">
        <f xml:space="preserve"> Ops!BL$38</f>
        <v>2301.2513520550292</v>
      </c>
      <c r="BM9" s="472">
        <f xml:space="preserve"> Ops!BM$38</f>
        <v>4875.063047203721</v>
      </c>
      <c r="BN9" s="472">
        <f xml:space="preserve"> Ops!BN$38</f>
        <v>5318.2505969495141</v>
      </c>
      <c r="BO9" s="472">
        <f xml:space="preserve"> Ops!BO$38</f>
        <v>2289.8023403532616</v>
      </c>
      <c r="BP9" s="472">
        <f xml:space="preserve"> Ops!BP$38</f>
        <v>2289.8023403532629</v>
      </c>
      <c r="BQ9" s="472">
        <f xml:space="preserve"> Ops!BQ$38</f>
        <v>4850.8090021927592</v>
      </c>
      <c r="BR9" s="472">
        <f xml:space="preserve"> Ops!BR$38</f>
        <v>5291.7916387557361</v>
      </c>
      <c r="BS9" s="472">
        <f xml:space="preserve"> Ops!BS$38</f>
        <v>2278.4102889087189</v>
      </c>
      <c r="BT9" s="472">
        <f xml:space="preserve"> Ops!BT$38</f>
        <v>2278.4102889087198</v>
      </c>
      <c r="BU9" s="472">
        <f xml:space="preserve"> Ops!BU$38</f>
        <v>4826.675624072398</v>
      </c>
      <c r="BV9" s="472">
        <f xml:space="preserve"> Ops!BV$38</f>
        <v>5265.4643171698881</v>
      </c>
      <c r="BW9" s="472">
        <f xml:space="preserve"> Ops!BW$38</f>
        <v>2267.074914337034</v>
      </c>
      <c r="BX9" s="472">
        <f xml:space="preserve"> Ops!BX$38</f>
        <v>2267.0749143370354</v>
      </c>
      <c r="BY9" s="472">
        <f xml:space="preserve"> Ops!BY$38</f>
        <v>4802.6623125098486</v>
      </c>
      <c r="BZ9" s="472">
        <f xml:space="preserve"> Ops!BZ$38</f>
        <v>5239.2679772834708</v>
      </c>
      <c r="CA9" s="472">
        <f xml:space="preserve"> Ops!CA$38</f>
        <v>2255.7959346637153</v>
      </c>
      <c r="CB9" s="472">
        <f xml:space="preserve"> Ops!CB$38</f>
        <v>2255.7959346637167</v>
      </c>
      <c r="CC9" s="472">
        <f xml:space="preserve"> Ops!CC$38</f>
        <v>4778.7684701590542</v>
      </c>
      <c r="CD9" s="472">
        <f xml:space="preserve"> Ops!CD$38</f>
        <v>5213.2019674462408</v>
      </c>
      <c r="CE9" s="472">
        <f xml:space="preserve"> Ops!CE$38</f>
        <v>2244.5730693171299</v>
      </c>
      <c r="CF9" s="472">
        <f xml:space="preserve"> Ops!CF$38</f>
        <v>2244.5730693171313</v>
      </c>
      <c r="CG9" s="472">
        <f xml:space="preserve"> Ops!CG$38</f>
        <v>4754.9935026458261</v>
      </c>
      <c r="CH9" s="472">
        <f xml:space="preserve"> Ops!CH$38</f>
        <v>5187.2656392499921</v>
      </c>
      <c r="CI9" s="472">
        <f xml:space="preserve"> Ops!CI$38</f>
        <v>2233.4060391215235</v>
      </c>
      <c r="CJ9" s="472">
        <f xml:space="preserve"> Ops!CJ$38</f>
        <v>2233.4060391215244</v>
      </c>
      <c r="CK9" s="472">
        <f xml:space="preserve"> Ops!CK$38</f>
        <v>4731.3368185530617</v>
      </c>
      <c r="CL9" s="472">
        <f xml:space="preserve"> Ops!CL$38</f>
        <v>5161.45834751243</v>
      </c>
      <c r="CM9" s="472">
        <f xml:space="preserve"> Ops!CM$38</f>
        <v>2222.2945662900729</v>
      </c>
      <c r="CN9" s="472">
        <f xml:space="preserve"> Ops!CN$38</f>
        <v>2222.2945662900743</v>
      </c>
      <c r="CO9" s="472">
        <f xml:space="preserve"> Ops!CO$38</f>
        <v>4707.7978294060313</v>
      </c>
      <c r="CP9" s="472">
        <f xml:space="preserve"> Ops!CP$38</f>
        <v>5135.7794502611241</v>
      </c>
      <c r="CQ9" s="472">
        <f xml:space="preserve"> Ops!CQ$38</f>
        <v>2211.2383744179833</v>
      </c>
      <c r="CR9" s="472">
        <f xml:space="preserve"> Ops!CR$38</f>
        <v>2211.2383744179842</v>
      </c>
      <c r="CS9" s="472">
        <f xml:space="preserve"> Ops!CS$38</f>
        <v>4684.3759496577441</v>
      </c>
      <c r="CT9" s="472">
        <f xml:space="preserve"> Ops!CT$38</f>
        <v>5110.2283087175383</v>
      </c>
      <c r="CU9" s="472">
        <f xml:space="preserve"> Ops!CU$38</f>
        <v>2200.2371884756058</v>
      </c>
      <c r="CV9" s="472">
        <f xml:space="preserve"> Ops!CV$38</f>
        <v>2200.2371884756067</v>
      </c>
      <c r="CW9" s="472">
        <f xml:space="preserve"> Ops!CW$38</f>
        <v>4661.0705966743726</v>
      </c>
      <c r="CX9" s="472">
        <f xml:space="preserve"> Ops!CX$38</f>
        <v>5084.8042872811338</v>
      </c>
      <c r="CY9" s="472">
        <f xml:space="preserve"> Ops!CY$38</f>
        <v>2189.2907348015979</v>
      </c>
      <c r="CZ9" s="472">
        <f xml:space="preserve"> Ops!CZ$38</f>
        <v>2189.2907348015992</v>
      </c>
      <c r="DA9" s="472">
        <f xml:space="preserve"> Ops!DA$38</f>
        <v>4637.8811907207701</v>
      </c>
      <c r="DB9" s="472">
        <f xml:space="preserve"> Ops!DB$38</f>
        <v>5059.5067535135668</v>
      </c>
      <c r="DC9" s="472">
        <f xml:space="preserve"> Ops!DC$38</f>
        <v>2178.3987410961181</v>
      </c>
      <c r="DD9" s="472">
        <f xml:space="preserve"> Ops!DD$38</f>
        <v>2178.398741096119</v>
      </c>
      <c r="DE9" s="472">
        <f xml:space="preserve"> Ops!DE$38</f>
        <v>4614.8071549460392</v>
      </c>
      <c r="DF9" s="472">
        <f xml:space="preserve"> Ops!DF$38</f>
        <v>5034.3350781229519</v>
      </c>
      <c r="DG9" s="472">
        <f xml:space="preserve"> Ops!DG$38</f>
        <v>2167.5609364140473</v>
      </c>
      <c r="DH9" s="472">
        <f xml:space="preserve"> Ops!DH$38</f>
        <v>2167.5609364140487</v>
      </c>
      <c r="DI9" s="472">
        <f xml:space="preserve"> Ops!DI$38</f>
        <v>0</v>
      </c>
      <c r="DJ9" s="472">
        <f xml:space="preserve"> Ops!DJ$38</f>
        <v>0</v>
      </c>
      <c r="DK9" s="472">
        <f xml:space="preserve"> Ops!DK$38</f>
        <v>0</v>
      </c>
      <c r="DL9" s="472">
        <f xml:space="preserve"> Ops!DL$38</f>
        <v>0</v>
      </c>
      <c r="DM9" s="472">
        <f xml:space="preserve"> Ops!DM$38</f>
        <v>0</v>
      </c>
      <c r="DN9" s="472">
        <f xml:space="preserve"> Ops!DN$38</f>
        <v>0</v>
      </c>
      <c r="DO9" s="472">
        <f xml:space="preserve"> Ops!DO$38</f>
        <v>0</v>
      </c>
      <c r="DP9" s="472">
        <f xml:space="preserve"> Ops!DP$38</f>
        <v>0</v>
      </c>
      <c r="DQ9" s="472">
        <f xml:space="preserve"> Ops!DQ$38</f>
        <v>0</v>
      </c>
      <c r="DR9" s="472">
        <f xml:space="preserve"> Ops!DR$38</f>
        <v>0</v>
      </c>
      <c r="DS9" s="472">
        <f xml:space="preserve"> Ops!DS$38</f>
        <v>0</v>
      </c>
      <c r="DT9" s="472">
        <f xml:space="preserve"> Ops!DT$38</f>
        <v>0</v>
      </c>
      <c r="DU9" s="472">
        <f xml:space="preserve"> Ops!DU$38</f>
        <v>0</v>
      </c>
      <c r="DV9" s="472">
        <f xml:space="preserve"> Ops!DV$38</f>
        <v>0</v>
      </c>
      <c r="DW9" s="472">
        <f xml:space="preserve"> Ops!DW$38</f>
        <v>0</v>
      </c>
      <c r="DX9" s="472">
        <f xml:space="preserve"> Ops!DX$38</f>
        <v>0</v>
      </c>
      <c r="DY9" s="472">
        <f xml:space="preserve"> Ops!DY$38</f>
        <v>0</v>
      </c>
      <c r="DZ9" s="472">
        <f xml:space="preserve"> Ops!DZ$38</f>
        <v>0</v>
      </c>
      <c r="EA9" s="472">
        <f xml:space="preserve"> Ops!EA$38</f>
        <v>0</v>
      </c>
    </row>
    <row r="10" spans="1:131" outlineLevel="1" x14ac:dyDescent="0.35">
      <c r="A10" s="160"/>
      <c r="D10" s="164"/>
      <c r="E10" s="341" t="s">
        <v>128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371409.67882059288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5201.625</v>
      </c>
      <c r="N11" s="188">
        <f t="shared" si="0"/>
        <v>5674.5</v>
      </c>
      <c r="O11" s="188">
        <f t="shared" si="0"/>
        <v>2443.1874999999986</v>
      </c>
      <c r="P11" s="188">
        <f t="shared" si="0"/>
        <v>2443.1875</v>
      </c>
      <c r="Q11" s="188">
        <f t="shared" si="0"/>
        <v>5175.7462686567178</v>
      </c>
      <c r="R11" s="188">
        <f t="shared" si="0"/>
        <v>5646.2686567164183</v>
      </c>
      <c r="S11" s="188">
        <f t="shared" si="0"/>
        <v>2431.0323383084565</v>
      </c>
      <c r="T11" s="188">
        <f t="shared" si="0"/>
        <v>2431.0323383084578</v>
      </c>
      <c r="U11" s="188">
        <f t="shared" si="0"/>
        <v>5149.9962872206152</v>
      </c>
      <c r="V11" s="188">
        <f t="shared" si="0"/>
        <v>5618.1777678770341</v>
      </c>
      <c r="W11" s="188">
        <f t="shared" si="0"/>
        <v>2418.9376500581666</v>
      </c>
      <c r="X11" s="188">
        <f t="shared" si="0"/>
        <v>2418.9376500581679</v>
      </c>
      <c r="Y11" s="188">
        <f t="shared" si="0"/>
        <v>5124.3744151448909</v>
      </c>
      <c r="Z11" s="188">
        <f t="shared" si="0"/>
        <v>5590.2266347035174</v>
      </c>
      <c r="AA11" s="188">
        <f t="shared" si="0"/>
        <v>2406.9031343862353</v>
      </c>
      <c r="AB11" s="188">
        <f t="shared" si="0"/>
        <v>2406.9031343862366</v>
      </c>
      <c r="AC11" s="188">
        <f t="shared" si="0"/>
        <v>5098.8800150695442</v>
      </c>
      <c r="AD11" s="188">
        <f t="shared" si="0"/>
        <v>5562.4145618940483</v>
      </c>
      <c r="AE11" s="188">
        <f t="shared" si="0"/>
        <v>2394.9284919266029</v>
      </c>
      <c r="AF11" s="188">
        <f t="shared" si="0"/>
        <v>2394.9284919266042</v>
      </c>
      <c r="AG11" s="188">
        <f t="shared" si="0"/>
        <v>5073.5124528055176</v>
      </c>
      <c r="AH11" s="188">
        <f t="shared" si="0"/>
        <v>5534.7408576060188</v>
      </c>
      <c r="AI11" s="188">
        <f t="shared" si="0"/>
        <v>2383.0134248025906</v>
      </c>
      <c r="AJ11" s="188">
        <f t="shared" si="0"/>
        <v>2383.013424802592</v>
      </c>
      <c r="AK11" s="188">
        <f t="shared" si="0"/>
        <v>5048.2710973189251</v>
      </c>
      <c r="AL11" s="188">
        <f t="shared" si="0"/>
        <v>5507.2048334388264</v>
      </c>
      <c r="AM11" s="188">
        <f t="shared" si="0"/>
        <v>2371.1576366194936</v>
      </c>
      <c r="AN11" s="188">
        <f t="shared" si="0"/>
        <v>2371.157636619495</v>
      </c>
      <c r="AO11" s="188">
        <f t="shared" si="0"/>
        <v>5023.1553207153474</v>
      </c>
      <c r="AP11" s="188">
        <f t="shared" ref="AP11:BU11" si="1">SUM(AP9:AP10)</f>
        <v>5479.8058044167419</v>
      </c>
      <c r="AQ11" s="188">
        <f t="shared" si="1"/>
        <v>2359.3608324572074</v>
      </c>
      <c r="AR11" s="188">
        <f t="shared" si="1"/>
        <v>2359.3608324572087</v>
      </c>
      <c r="AS11" s="188">
        <f t="shared" si="1"/>
        <v>4998.1644982242278</v>
      </c>
      <c r="AT11" s="188">
        <f t="shared" si="1"/>
        <v>5452.5430889718837</v>
      </c>
      <c r="AU11" s="188">
        <f t="shared" si="1"/>
        <v>2347.6227188628936</v>
      </c>
      <c r="AV11" s="188">
        <f t="shared" si="1"/>
        <v>2347.6227188628945</v>
      </c>
      <c r="AW11" s="188">
        <f t="shared" si="1"/>
        <v>4973.298008183312</v>
      </c>
      <c r="AX11" s="188">
        <f t="shared" si="1"/>
        <v>5425.4160089272491</v>
      </c>
      <c r="AY11" s="188">
        <f t="shared" si="1"/>
        <v>2335.9430038436749</v>
      </c>
      <c r="AZ11" s="188">
        <f t="shared" si="1"/>
        <v>2335.9430038436763</v>
      </c>
      <c r="BA11" s="188">
        <f t="shared" si="1"/>
        <v>4948.5552320231964</v>
      </c>
      <c r="BB11" s="188">
        <f t="shared" si="1"/>
        <v>5398.42388947985</v>
      </c>
      <c r="BC11" s="188">
        <f t="shared" si="1"/>
        <v>2324.3213968593786</v>
      </c>
      <c r="BD11" s="188">
        <f t="shared" si="1"/>
        <v>2324.32139685938</v>
      </c>
      <c r="BE11" s="188">
        <f t="shared" si="1"/>
        <v>4923.935554251937</v>
      </c>
      <c r="BF11" s="188">
        <f t="shared" si="1"/>
        <v>5371.5660591839305</v>
      </c>
      <c r="BG11" s="188">
        <f t="shared" si="1"/>
        <v>2312.7576088153019</v>
      </c>
      <c r="BH11" s="188">
        <f t="shared" si="1"/>
        <v>2312.7576088153037</v>
      </c>
      <c r="BI11" s="188">
        <f t="shared" si="1"/>
        <v>4899.4383624397396</v>
      </c>
      <c r="BJ11" s="188">
        <f t="shared" si="1"/>
        <v>5344.8418499342606</v>
      </c>
      <c r="BK11" s="188">
        <f t="shared" si="1"/>
        <v>2301.2513520550278</v>
      </c>
      <c r="BL11" s="188">
        <f t="shared" si="1"/>
        <v>2301.2513520550292</v>
      </c>
      <c r="BM11" s="188">
        <f t="shared" si="1"/>
        <v>4875.063047203721</v>
      </c>
      <c r="BN11" s="188">
        <f t="shared" si="1"/>
        <v>5318.2505969495141</v>
      </c>
      <c r="BO11" s="188">
        <f t="shared" si="1"/>
        <v>2289.8023403532616</v>
      </c>
      <c r="BP11" s="188">
        <f t="shared" si="1"/>
        <v>2289.8023403532629</v>
      </c>
      <c r="BQ11" s="188">
        <f t="shared" si="1"/>
        <v>4850.8090021927592</v>
      </c>
      <c r="BR11" s="188">
        <f t="shared" si="1"/>
        <v>5291.7916387557361</v>
      </c>
      <c r="BS11" s="188">
        <f t="shared" si="1"/>
        <v>2278.4102889087189</v>
      </c>
      <c r="BT11" s="188">
        <f t="shared" si="1"/>
        <v>2278.4102889087198</v>
      </c>
      <c r="BU11" s="188">
        <f t="shared" si="1"/>
        <v>4826.675624072398</v>
      </c>
      <c r="BV11" s="188">
        <f t="shared" ref="BV11:DA11" si="2">SUM(BV9:BV10)</f>
        <v>5265.4643171698881</v>
      </c>
      <c r="BW11" s="188">
        <f t="shared" si="2"/>
        <v>2267.074914337034</v>
      </c>
      <c r="BX11" s="188">
        <f t="shared" si="2"/>
        <v>2267.0749143370354</v>
      </c>
      <c r="BY11" s="188">
        <f t="shared" si="2"/>
        <v>4802.6623125098486</v>
      </c>
      <c r="BZ11" s="188">
        <f t="shared" si="2"/>
        <v>5239.2679772834708</v>
      </c>
      <c r="CA11" s="188">
        <f t="shared" si="2"/>
        <v>2255.7959346637153</v>
      </c>
      <c r="CB11" s="188">
        <f t="shared" si="2"/>
        <v>2255.7959346637167</v>
      </c>
      <c r="CC11" s="188">
        <f t="shared" si="2"/>
        <v>4778.7684701590542</v>
      </c>
      <c r="CD11" s="188">
        <f t="shared" si="2"/>
        <v>5213.2019674462408</v>
      </c>
      <c r="CE11" s="188">
        <f t="shared" si="2"/>
        <v>2244.5730693171299</v>
      </c>
      <c r="CF11" s="188">
        <f t="shared" si="2"/>
        <v>2244.5730693171313</v>
      </c>
      <c r="CG11" s="188">
        <f t="shared" si="2"/>
        <v>4754.9935026458261</v>
      </c>
      <c r="CH11" s="188">
        <f t="shared" si="2"/>
        <v>5187.2656392499921</v>
      </c>
      <c r="CI11" s="188">
        <f t="shared" si="2"/>
        <v>2233.4060391215235</v>
      </c>
      <c r="CJ11" s="188">
        <f t="shared" si="2"/>
        <v>2233.4060391215244</v>
      </c>
      <c r="CK11" s="188">
        <f t="shared" si="2"/>
        <v>4731.3368185530617</v>
      </c>
      <c r="CL11" s="188">
        <f t="shared" si="2"/>
        <v>5161.45834751243</v>
      </c>
      <c r="CM11" s="188">
        <f t="shared" si="2"/>
        <v>2222.2945662900729</v>
      </c>
      <c r="CN11" s="188">
        <f t="shared" si="2"/>
        <v>2222.2945662900743</v>
      </c>
      <c r="CO11" s="188">
        <f t="shared" si="2"/>
        <v>4707.7978294060313</v>
      </c>
      <c r="CP11" s="188">
        <f t="shared" si="2"/>
        <v>5135.7794502611241</v>
      </c>
      <c r="CQ11" s="188">
        <f t="shared" si="2"/>
        <v>2211.2383744179833</v>
      </c>
      <c r="CR11" s="188">
        <f t="shared" si="2"/>
        <v>2211.2383744179842</v>
      </c>
      <c r="CS11" s="188">
        <f t="shared" si="2"/>
        <v>4684.3759496577441</v>
      </c>
      <c r="CT11" s="188">
        <f t="shared" si="2"/>
        <v>5110.2283087175383</v>
      </c>
      <c r="CU11" s="188">
        <f t="shared" si="2"/>
        <v>2200.2371884756058</v>
      </c>
      <c r="CV11" s="188">
        <f t="shared" si="2"/>
        <v>2200.2371884756067</v>
      </c>
      <c r="CW11" s="188">
        <f t="shared" si="2"/>
        <v>4661.0705966743726</v>
      </c>
      <c r="CX11" s="188">
        <f t="shared" si="2"/>
        <v>5084.8042872811338</v>
      </c>
      <c r="CY11" s="188">
        <f t="shared" si="2"/>
        <v>2189.2907348015979</v>
      </c>
      <c r="CZ11" s="188">
        <f t="shared" si="2"/>
        <v>2189.2907348015992</v>
      </c>
      <c r="DA11" s="188">
        <f t="shared" si="2"/>
        <v>4637.8811907207701</v>
      </c>
      <c r="DB11" s="188">
        <f t="shared" ref="DB11:EA11" si="3">SUM(DB9:DB10)</f>
        <v>5059.5067535135668</v>
      </c>
      <c r="DC11" s="188">
        <f t="shared" si="3"/>
        <v>2178.3987410961181</v>
      </c>
      <c r="DD11" s="188">
        <f t="shared" si="3"/>
        <v>2178.398741096119</v>
      </c>
      <c r="DE11" s="188">
        <f t="shared" si="3"/>
        <v>4614.8071549460392</v>
      </c>
      <c r="DF11" s="188">
        <f t="shared" si="3"/>
        <v>5034.3350781229519</v>
      </c>
      <c r="DG11" s="188">
        <f t="shared" si="3"/>
        <v>2167.5609364140473</v>
      </c>
      <c r="DH11" s="188">
        <f t="shared" si="3"/>
        <v>2167.5609364140487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127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371409.67882059288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5201.625</v>
      </c>
      <c r="N14" s="163">
        <f t="shared" si="4"/>
        <v>5674.5</v>
      </c>
      <c r="O14" s="163">
        <f t="shared" si="4"/>
        <v>2443.1874999999986</v>
      </c>
      <c r="P14" s="163">
        <f t="shared" si="4"/>
        <v>2443.1875</v>
      </c>
      <c r="Q14" s="163">
        <f t="shared" si="4"/>
        <v>5175.7462686567178</v>
      </c>
      <c r="R14" s="163">
        <f t="shared" si="4"/>
        <v>5646.2686567164183</v>
      </c>
      <c r="S14" s="163">
        <f t="shared" si="4"/>
        <v>2431.0323383084565</v>
      </c>
      <c r="T14" s="163">
        <f t="shared" si="4"/>
        <v>2431.0323383084578</v>
      </c>
      <c r="U14" s="163">
        <f t="shared" si="4"/>
        <v>5149.9962872206152</v>
      </c>
      <c r="V14" s="163">
        <f t="shared" si="4"/>
        <v>5618.1777678770341</v>
      </c>
      <c r="W14" s="163">
        <f t="shared" si="4"/>
        <v>2418.9376500581666</v>
      </c>
      <c r="X14" s="163">
        <f t="shared" si="4"/>
        <v>2418.9376500581679</v>
      </c>
      <c r="Y14" s="163">
        <f t="shared" si="4"/>
        <v>5124.3744151448909</v>
      </c>
      <c r="Z14" s="163">
        <f t="shared" si="4"/>
        <v>5590.2266347035174</v>
      </c>
      <c r="AA14" s="163">
        <f t="shared" si="4"/>
        <v>2406.9031343862353</v>
      </c>
      <c r="AB14" s="163">
        <f t="shared" si="4"/>
        <v>2406.9031343862366</v>
      </c>
      <c r="AC14" s="163">
        <f t="shared" si="4"/>
        <v>5098.8800150695442</v>
      </c>
      <c r="AD14" s="163">
        <f t="shared" si="4"/>
        <v>5562.4145618940483</v>
      </c>
      <c r="AE14" s="163">
        <f t="shared" si="4"/>
        <v>2394.9284919266029</v>
      </c>
      <c r="AF14" s="163">
        <f t="shared" si="4"/>
        <v>2394.9284919266042</v>
      </c>
      <c r="AG14" s="163">
        <f t="shared" si="4"/>
        <v>5073.5124528055176</v>
      </c>
      <c r="AH14" s="163">
        <f t="shared" si="4"/>
        <v>5534.7408576060188</v>
      </c>
      <c r="AI14" s="163">
        <f t="shared" si="4"/>
        <v>2383.0134248025906</v>
      </c>
      <c r="AJ14" s="163">
        <f t="shared" si="4"/>
        <v>2383.013424802592</v>
      </c>
      <c r="AK14" s="163">
        <f t="shared" si="4"/>
        <v>5048.2710973189251</v>
      </c>
      <c r="AL14" s="163">
        <f t="shared" si="4"/>
        <v>5507.2048334388264</v>
      </c>
      <c r="AM14" s="163">
        <f t="shared" si="4"/>
        <v>2371.1576366194936</v>
      </c>
      <c r="AN14" s="163">
        <f t="shared" si="4"/>
        <v>2371.157636619495</v>
      </c>
      <c r="AO14" s="163">
        <f t="shared" si="4"/>
        <v>5023.1553207153474</v>
      </c>
      <c r="AP14" s="163">
        <f t="shared" ref="AP14:BU14" si="5" xml:space="preserve"> AP11 + SUM(AP13:AP13)</f>
        <v>5479.8058044167419</v>
      </c>
      <c r="AQ14" s="163">
        <f t="shared" si="5"/>
        <v>2359.3608324572074</v>
      </c>
      <c r="AR14" s="163">
        <f t="shared" si="5"/>
        <v>2359.3608324572087</v>
      </c>
      <c r="AS14" s="163">
        <f t="shared" si="5"/>
        <v>4998.1644982242278</v>
      </c>
      <c r="AT14" s="163">
        <f t="shared" si="5"/>
        <v>5452.5430889718837</v>
      </c>
      <c r="AU14" s="163">
        <f t="shared" si="5"/>
        <v>2347.6227188628936</v>
      </c>
      <c r="AV14" s="163">
        <f t="shared" si="5"/>
        <v>2347.6227188628945</v>
      </c>
      <c r="AW14" s="163">
        <f t="shared" si="5"/>
        <v>4973.298008183312</v>
      </c>
      <c r="AX14" s="163">
        <f t="shared" si="5"/>
        <v>5425.4160089272491</v>
      </c>
      <c r="AY14" s="163">
        <f t="shared" si="5"/>
        <v>2335.9430038436749</v>
      </c>
      <c r="AZ14" s="163">
        <f t="shared" si="5"/>
        <v>2335.9430038436763</v>
      </c>
      <c r="BA14" s="163">
        <f t="shared" si="5"/>
        <v>4948.5552320231964</v>
      </c>
      <c r="BB14" s="163">
        <f t="shared" si="5"/>
        <v>5398.42388947985</v>
      </c>
      <c r="BC14" s="163">
        <f t="shared" si="5"/>
        <v>2324.3213968593786</v>
      </c>
      <c r="BD14" s="163">
        <f t="shared" si="5"/>
        <v>2324.32139685938</v>
      </c>
      <c r="BE14" s="163">
        <f t="shared" si="5"/>
        <v>4923.935554251937</v>
      </c>
      <c r="BF14" s="163">
        <f t="shared" si="5"/>
        <v>5371.5660591839305</v>
      </c>
      <c r="BG14" s="163">
        <f t="shared" si="5"/>
        <v>2312.7576088153019</v>
      </c>
      <c r="BH14" s="163">
        <f t="shared" si="5"/>
        <v>2312.7576088153037</v>
      </c>
      <c r="BI14" s="163">
        <f t="shared" si="5"/>
        <v>4899.4383624397396</v>
      </c>
      <c r="BJ14" s="163">
        <f t="shared" si="5"/>
        <v>5344.8418499342606</v>
      </c>
      <c r="BK14" s="163">
        <f t="shared" si="5"/>
        <v>2301.2513520550278</v>
      </c>
      <c r="BL14" s="163">
        <f t="shared" si="5"/>
        <v>2301.2513520550292</v>
      </c>
      <c r="BM14" s="163">
        <f t="shared" si="5"/>
        <v>4875.063047203721</v>
      </c>
      <c r="BN14" s="163">
        <f t="shared" si="5"/>
        <v>5318.2505969495141</v>
      </c>
      <c r="BO14" s="163">
        <f t="shared" si="5"/>
        <v>2289.8023403532616</v>
      </c>
      <c r="BP14" s="163">
        <f t="shared" si="5"/>
        <v>2289.8023403532629</v>
      </c>
      <c r="BQ14" s="163">
        <f t="shared" si="5"/>
        <v>4850.8090021927592</v>
      </c>
      <c r="BR14" s="163">
        <f t="shared" si="5"/>
        <v>5291.7916387557361</v>
      </c>
      <c r="BS14" s="163">
        <f t="shared" si="5"/>
        <v>2278.4102889087189</v>
      </c>
      <c r="BT14" s="163">
        <f t="shared" si="5"/>
        <v>2278.4102889087198</v>
      </c>
      <c r="BU14" s="163">
        <f t="shared" si="5"/>
        <v>4826.675624072398</v>
      </c>
      <c r="BV14" s="163">
        <f t="shared" ref="BV14:DA14" si="6" xml:space="preserve"> BV11 + SUM(BV13:BV13)</f>
        <v>5265.4643171698881</v>
      </c>
      <c r="BW14" s="163">
        <f t="shared" si="6"/>
        <v>2267.074914337034</v>
      </c>
      <c r="BX14" s="163">
        <f t="shared" si="6"/>
        <v>2267.0749143370354</v>
      </c>
      <c r="BY14" s="163">
        <f t="shared" si="6"/>
        <v>4802.6623125098486</v>
      </c>
      <c r="BZ14" s="163">
        <f t="shared" si="6"/>
        <v>5239.2679772834708</v>
      </c>
      <c r="CA14" s="163">
        <f t="shared" si="6"/>
        <v>2255.7959346637153</v>
      </c>
      <c r="CB14" s="163">
        <f t="shared" si="6"/>
        <v>2255.7959346637167</v>
      </c>
      <c r="CC14" s="163">
        <f t="shared" si="6"/>
        <v>4778.7684701590542</v>
      </c>
      <c r="CD14" s="163">
        <f t="shared" si="6"/>
        <v>5213.2019674462408</v>
      </c>
      <c r="CE14" s="163">
        <f t="shared" si="6"/>
        <v>2244.5730693171299</v>
      </c>
      <c r="CF14" s="163">
        <f t="shared" si="6"/>
        <v>2244.5730693171313</v>
      </c>
      <c r="CG14" s="163">
        <f t="shared" si="6"/>
        <v>4754.9935026458261</v>
      </c>
      <c r="CH14" s="163">
        <f t="shared" si="6"/>
        <v>5187.2656392499921</v>
      </c>
      <c r="CI14" s="163">
        <f t="shared" si="6"/>
        <v>2233.4060391215235</v>
      </c>
      <c r="CJ14" s="163">
        <f t="shared" si="6"/>
        <v>2233.4060391215244</v>
      </c>
      <c r="CK14" s="163">
        <f t="shared" si="6"/>
        <v>4731.3368185530617</v>
      </c>
      <c r="CL14" s="163">
        <f t="shared" si="6"/>
        <v>5161.45834751243</v>
      </c>
      <c r="CM14" s="163">
        <f t="shared" si="6"/>
        <v>2222.2945662900729</v>
      </c>
      <c r="CN14" s="163">
        <f t="shared" si="6"/>
        <v>2222.2945662900743</v>
      </c>
      <c r="CO14" s="163">
        <f t="shared" si="6"/>
        <v>4707.7978294060313</v>
      </c>
      <c r="CP14" s="163">
        <f t="shared" si="6"/>
        <v>5135.7794502611241</v>
      </c>
      <c r="CQ14" s="163">
        <f t="shared" si="6"/>
        <v>2211.2383744179833</v>
      </c>
      <c r="CR14" s="163">
        <f t="shared" si="6"/>
        <v>2211.2383744179842</v>
      </c>
      <c r="CS14" s="163">
        <f t="shared" si="6"/>
        <v>4684.3759496577441</v>
      </c>
      <c r="CT14" s="163">
        <f t="shared" si="6"/>
        <v>5110.2283087175383</v>
      </c>
      <c r="CU14" s="163">
        <f t="shared" si="6"/>
        <v>2200.2371884756058</v>
      </c>
      <c r="CV14" s="163">
        <f t="shared" si="6"/>
        <v>2200.2371884756067</v>
      </c>
      <c r="CW14" s="163">
        <f t="shared" si="6"/>
        <v>4661.0705966743726</v>
      </c>
      <c r="CX14" s="163">
        <f t="shared" si="6"/>
        <v>5084.8042872811338</v>
      </c>
      <c r="CY14" s="163">
        <f t="shared" si="6"/>
        <v>2189.2907348015979</v>
      </c>
      <c r="CZ14" s="163">
        <f t="shared" si="6"/>
        <v>2189.2907348015992</v>
      </c>
      <c r="DA14" s="163">
        <f t="shared" si="6"/>
        <v>4637.8811907207701</v>
      </c>
      <c r="DB14" s="163">
        <f t="shared" ref="DB14:EA14" si="7" xml:space="preserve"> DB11 + SUM(DB13:DB13)</f>
        <v>5059.5067535135668</v>
      </c>
      <c r="DC14" s="163">
        <f t="shared" si="7"/>
        <v>2178.3987410961181</v>
      </c>
      <c r="DD14" s="163">
        <f t="shared" si="7"/>
        <v>2178.398741096119</v>
      </c>
      <c r="DE14" s="163">
        <f t="shared" si="7"/>
        <v>4614.8071549460392</v>
      </c>
      <c r="DF14" s="163">
        <f t="shared" si="7"/>
        <v>5034.3350781229519</v>
      </c>
      <c r="DG14" s="163">
        <f t="shared" si="7"/>
        <v>2167.5609364140473</v>
      </c>
      <c r="DH14" s="163">
        <f t="shared" si="7"/>
        <v>2167.5609364140487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371409.67882059288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5201.625</v>
      </c>
      <c r="N19" s="163">
        <f t="shared" si="8"/>
        <v>5674.5</v>
      </c>
      <c r="O19" s="163">
        <f t="shared" si="8"/>
        <v>2443.1874999999986</v>
      </c>
      <c r="P19" s="163">
        <f t="shared" si="8"/>
        <v>2443.1875</v>
      </c>
      <c r="Q19" s="163">
        <f t="shared" si="8"/>
        <v>5175.7462686567178</v>
      </c>
      <c r="R19" s="163">
        <f t="shared" si="8"/>
        <v>5646.2686567164183</v>
      </c>
      <c r="S19" s="163">
        <f t="shared" si="8"/>
        <v>2431.0323383084565</v>
      </c>
      <c r="T19" s="163">
        <f t="shared" si="8"/>
        <v>2431.0323383084578</v>
      </c>
      <c r="U19" s="163">
        <f t="shared" si="8"/>
        <v>5149.9962872206152</v>
      </c>
      <c r="V19" s="163">
        <f t="shared" si="8"/>
        <v>5618.1777678770341</v>
      </c>
      <c r="W19" s="163">
        <f t="shared" si="8"/>
        <v>2418.9376500581666</v>
      </c>
      <c r="X19" s="163">
        <f t="shared" si="8"/>
        <v>2418.9376500581679</v>
      </c>
      <c r="Y19" s="163">
        <f t="shared" si="8"/>
        <v>5124.3744151448909</v>
      </c>
      <c r="Z19" s="163">
        <f t="shared" si="8"/>
        <v>5590.2266347035174</v>
      </c>
      <c r="AA19" s="163">
        <f t="shared" si="8"/>
        <v>2406.9031343862353</v>
      </c>
      <c r="AB19" s="163">
        <f t="shared" si="8"/>
        <v>2406.9031343862366</v>
      </c>
      <c r="AC19" s="163">
        <f t="shared" si="8"/>
        <v>5098.8800150695442</v>
      </c>
      <c r="AD19" s="163">
        <f t="shared" si="8"/>
        <v>5562.4145618940483</v>
      </c>
      <c r="AE19" s="163">
        <f t="shared" si="8"/>
        <v>2394.9284919266029</v>
      </c>
      <c r="AF19" s="163">
        <f t="shared" si="8"/>
        <v>2394.9284919266042</v>
      </c>
      <c r="AG19" s="163">
        <f t="shared" si="8"/>
        <v>5073.5124528055176</v>
      </c>
      <c r="AH19" s="163">
        <f t="shared" si="8"/>
        <v>5534.7408576060188</v>
      </c>
      <c r="AI19" s="163">
        <f t="shared" si="8"/>
        <v>2383.0134248025906</v>
      </c>
      <c r="AJ19" s="163">
        <f t="shared" si="8"/>
        <v>2383.013424802592</v>
      </c>
      <c r="AK19" s="163">
        <f t="shared" si="8"/>
        <v>5048.2710973189251</v>
      </c>
      <c r="AL19" s="163">
        <f t="shared" si="8"/>
        <v>5507.2048334388264</v>
      </c>
      <c r="AM19" s="163">
        <f t="shared" si="8"/>
        <v>2371.1576366194936</v>
      </c>
      <c r="AN19" s="163">
        <f t="shared" si="8"/>
        <v>2371.157636619495</v>
      </c>
      <c r="AO19" s="163">
        <f t="shared" si="8"/>
        <v>5023.1553207153474</v>
      </c>
      <c r="AP19" s="163">
        <f t="shared" ref="AP19:BU19" si="9" xml:space="preserve"> AP14 + SUM(AP16:AP18)</f>
        <v>5479.8058044167419</v>
      </c>
      <c r="AQ19" s="163">
        <f t="shared" si="9"/>
        <v>2359.3608324572074</v>
      </c>
      <c r="AR19" s="163">
        <f t="shared" si="9"/>
        <v>2359.3608324572087</v>
      </c>
      <c r="AS19" s="163">
        <f t="shared" si="9"/>
        <v>4998.1644982242278</v>
      </c>
      <c r="AT19" s="163">
        <f t="shared" si="9"/>
        <v>5452.5430889718837</v>
      </c>
      <c r="AU19" s="163">
        <f t="shared" si="9"/>
        <v>2347.6227188628936</v>
      </c>
      <c r="AV19" s="163">
        <f t="shared" si="9"/>
        <v>2347.6227188628945</v>
      </c>
      <c r="AW19" s="163">
        <f t="shared" si="9"/>
        <v>4973.298008183312</v>
      </c>
      <c r="AX19" s="163">
        <f t="shared" si="9"/>
        <v>5425.4160089272491</v>
      </c>
      <c r="AY19" s="163">
        <f t="shared" si="9"/>
        <v>2335.9430038436749</v>
      </c>
      <c r="AZ19" s="163">
        <f t="shared" si="9"/>
        <v>2335.9430038436763</v>
      </c>
      <c r="BA19" s="163">
        <f t="shared" si="9"/>
        <v>4948.5552320231964</v>
      </c>
      <c r="BB19" s="163">
        <f t="shared" si="9"/>
        <v>5398.42388947985</v>
      </c>
      <c r="BC19" s="163">
        <f t="shared" si="9"/>
        <v>2324.3213968593786</v>
      </c>
      <c r="BD19" s="163">
        <f t="shared" si="9"/>
        <v>2324.32139685938</v>
      </c>
      <c r="BE19" s="163">
        <f t="shared" si="9"/>
        <v>4923.935554251937</v>
      </c>
      <c r="BF19" s="163">
        <f t="shared" si="9"/>
        <v>5371.5660591839305</v>
      </c>
      <c r="BG19" s="163">
        <f t="shared" si="9"/>
        <v>2312.7576088153019</v>
      </c>
      <c r="BH19" s="163">
        <f t="shared" si="9"/>
        <v>2312.7576088153037</v>
      </c>
      <c r="BI19" s="163">
        <f t="shared" si="9"/>
        <v>4899.4383624397396</v>
      </c>
      <c r="BJ19" s="163">
        <f t="shared" si="9"/>
        <v>5344.8418499342606</v>
      </c>
      <c r="BK19" s="163">
        <f t="shared" si="9"/>
        <v>2301.2513520550278</v>
      </c>
      <c r="BL19" s="163">
        <f t="shared" si="9"/>
        <v>2301.2513520550292</v>
      </c>
      <c r="BM19" s="163">
        <f t="shared" si="9"/>
        <v>4875.063047203721</v>
      </c>
      <c r="BN19" s="163">
        <f t="shared" si="9"/>
        <v>5318.2505969495141</v>
      </c>
      <c r="BO19" s="163">
        <f t="shared" si="9"/>
        <v>2289.8023403532616</v>
      </c>
      <c r="BP19" s="163">
        <f t="shared" si="9"/>
        <v>2289.8023403532629</v>
      </c>
      <c r="BQ19" s="163">
        <f t="shared" si="9"/>
        <v>4850.8090021927592</v>
      </c>
      <c r="BR19" s="163">
        <f t="shared" si="9"/>
        <v>5291.7916387557361</v>
      </c>
      <c r="BS19" s="163">
        <f t="shared" si="9"/>
        <v>2278.4102889087189</v>
      </c>
      <c r="BT19" s="163">
        <f t="shared" si="9"/>
        <v>2278.4102889087198</v>
      </c>
      <c r="BU19" s="163">
        <f t="shared" si="9"/>
        <v>4826.675624072398</v>
      </c>
      <c r="BV19" s="163">
        <f t="shared" ref="BV19:DA19" si="10" xml:space="preserve"> BV14 + SUM(BV16:BV18)</f>
        <v>5265.4643171698881</v>
      </c>
      <c r="BW19" s="163">
        <f t="shared" si="10"/>
        <v>2267.074914337034</v>
      </c>
      <c r="BX19" s="163">
        <f t="shared" si="10"/>
        <v>2267.0749143370354</v>
      </c>
      <c r="BY19" s="163">
        <f t="shared" si="10"/>
        <v>4802.6623125098486</v>
      </c>
      <c r="BZ19" s="163">
        <f t="shared" si="10"/>
        <v>5239.2679772834708</v>
      </c>
      <c r="CA19" s="163">
        <f t="shared" si="10"/>
        <v>2255.7959346637153</v>
      </c>
      <c r="CB19" s="163">
        <f t="shared" si="10"/>
        <v>2255.7959346637167</v>
      </c>
      <c r="CC19" s="163">
        <f t="shared" si="10"/>
        <v>4778.7684701590542</v>
      </c>
      <c r="CD19" s="163">
        <f t="shared" si="10"/>
        <v>5213.2019674462408</v>
      </c>
      <c r="CE19" s="163">
        <f t="shared" si="10"/>
        <v>2244.5730693171299</v>
      </c>
      <c r="CF19" s="163">
        <f t="shared" si="10"/>
        <v>2244.5730693171313</v>
      </c>
      <c r="CG19" s="163">
        <f t="shared" si="10"/>
        <v>4754.9935026458261</v>
      </c>
      <c r="CH19" s="163">
        <f t="shared" si="10"/>
        <v>5187.2656392499921</v>
      </c>
      <c r="CI19" s="163">
        <f t="shared" si="10"/>
        <v>2233.4060391215235</v>
      </c>
      <c r="CJ19" s="163">
        <f t="shared" si="10"/>
        <v>2233.4060391215244</v>
      </c>
      <c r="CK19" s="163">
        <f t="shared" si="10"/>
        <v>4731.3368185530617</v>
      </c>
      <c r="CL19" s="163">
        <f t="shared" si="10"/>
        <v>5161.45834751243</v>
      </c>
      <c r="CM19" s="163">
        <f t="shared" si="10"/>
        <v>2222.2945662900729</v>
      </c>
      <c r="CN19" s="163">
        <f t="shared" si="10"/>
        <v>2222.2945662900743</v>
      </c>
      <c r="CO19" s="163">
        <f t="shared" si="10"/>
        <v>4707.7978294060313</v>
      </c>
      <c r="CP19" s="163">
        <f t="shared" si="10"/>
        <v>5135.7794502611241</v>
      </c>
      <c r="CQ19" s="163">
        <f t="shared" si="10"/>
        <v>2211.2383744179833</v>
      </c>
      <c r="CR19" s="163">
        <f t="shared" si="10"/>
        <v>2211.2383744179842</v>
      </c>
      <c r="CS19" s="163">
        <f t="shared" si="10"/>
        <v>4684.3759496577441</v>
      </c>
      <c r="CT19" s="163">
        <f t="shared" si="10"/>
        <v>5110.2283087175383</v>
      </c>
      <c r="CU19" s="163">
        <f t="shared" si="10"/>
        <v>2200.2371884756058</v>
      </c>
      <c r="CV19" s="163">
        <f t="shared" si="10"/>
        <v>2200.2371884756067</v>
      </c>
      <c r="CW19" s="163">
        <f t="shared" si="10"/>
        <v>4661.0705966743726</v>
      </c>
      <c r="CX19" s="163">
        <f t="shared" si="10"/>
        <v>5084.8042872811338</v>
      </c>
      <c r="CY19" s="163">
        <f t="shared" si="10"/>
        <v>2189.2907348015979</v>
      </c>
      <c r="CZ19" s="163">
        <f t="shared" si="10"/>
        <v>2189.2907348015992</v>
      </c>
      <c r="DA19" s="163">
        <f t="shared" si="10"/>
        <v>4637.8811907207701</v>
      </c>
      <c r="DB19" s="163">
        <f t="shared" ref="DB19:EA19" si="11" xml:space="preserve"> DB14 + SUM(DB16:DB18)</f>
        <v>5059.5067535135668</v>
      </c>
      <c r="DC19" s="163">
        <f t="shared" si="11"/>
        <v>2178.3987410961181</v>
      </c>
      <c r="DD19" s="163">
        <f t="shared" si="11"/>
        <v>2178.398741096119</v>
      </c>
      <c r="DE19" s="163">
        <f t="shared" si="11"/>
        <v>4614.8071549460392</v>
      </c>
      <c r="DF19" s="163">
        <f t="shared" si="11"/>
        <v>5034.3350781229519</v>
      </c>
      <c r="DG19" s="163">
        <f t="shared" si="11"/>
        <v>2167.5609364140473</v>
      </c>
      <c r="DH19" s="163">
        <f t="shared" si="11"/>
        <v>2167.5609364140487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371409.67882059288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5201.625</v>
      </c>
      <c r="N22" s="163">
        <f t="shared" si="12"/>
        <v>5674.5</v>
      </c>
      <c r="O22" s="163">
        <f t="shared" si="12"/>
        <v>2443.1874999999986</v>
      </c>
      <c r="P22" s="163">
        <f t="shared" si="12"/>
        <v>2443.1875</v>
      </c>
      <c r="Q22" s="163">
        <f t="shared" si="12"/>
        <v>5175.7462686567178</v>
      </c>
      <c r="R22" s="163">
        <f t="shared" si="12"/>
        <v>5646.2686567164183</v>
      </c>
      <c r="S22" s="163">
        <f t="shared" si="12"/>
        <v>2431.0323383084565</v>
      </c>
      <c r="T22" s="163">
        <f t="shared" si="12"/>
        <v>2431.0323383084578</v>
      </c>
      <c r="U22" s="163">
        <f t="shared" si="12"/>
        <v>5149.9962872206152</v>
      </c>
      <c r="V22" s="163">
        <f t="shared" si="12"/>
        <v>5618.1777678770341</v>
      </c>
      <c r="W22" s="163">
        <f t="shared" si="12"/>
        <v>2418.9376500581666</v>
      </c>
      <c r="X22" s="163">
        <f t="shared" si="12"/>
        <v>2418.9376500581679</v>
      </c>
      <c r="Y22" s="163">
        <f t="shared" si="12"/>
        <v>5124.3744151448909</v>
      </c>
      <c r="Z22" s="163">
        <f t="shared" si="12"/>
        <v>5590.2266347035174</v>
      </c>
      <c r="AA22" s="163">
        <f t="shared" si="12"/>
        <v>2406.9031343862353</v>
      </c>
      <c r="AB22" s="163">
        <f t="shared" si="12"/>
        <v>2406.9031343862366</v>
      </c>
      <c r="AC22" s="163">
        <f t="shared" si="12"/>
        <v>5098.8800150695442</v>
      </c>
      <c r="AD22" s="163">
        <f t="shared" si="12"/>
        <v>5562.4145618940483</v>
      </c>
      <c r="AE22" s="163">
        <f t="shared" si="12"/>
        <v>2394.9284919266029</v>
      </c>
      <c r="AF22" s="163">
        <f t="shared" si="12"/>
        <v>2394.9284919266042</v>
      </c>
      <c r="AG22" s="163">
        <f t="shared" si="12"/>
        <v>5073.5124528055176</v>
      </c>
      <c r="AH22" s="163">
        <f t="shared" si="12"/>
        <v>5534.7408576060188</v>
      </c>
      <c r="AI22" s="163">
        <f t="shared" si="12"/>
        <v>2383.0134248025906</v>
      </c>
      <c r="AJ22" s="163">
        <f t="shared" si="12"/>
        <v>2383.013424802592</v>
      </c>
      <c r="AK22" s="163">
        <f t="shared" si="12"/>
        <v>5048.2710973189251</v>
      </c>
      <c r="AL22" s="163">
        <f t="shared" si="12"/>
        <v>5507.2048334388264</v>
      </c>
      <c r="AM22" s="163">
        <f t="shared" si="12"/>
        <v>2371.1576366194936</v>
      </c>
      <c r="AN22" s="163">
        <f t="shared" si="12"/>
        <v>2371.157636619495</v>
      </c>
      <c r="AO22" s="163">
        <f t="shared" si="12"/>
        <v>5023.1553207153474</v>
      </c>
      <c r="AP22" s="163">
        <f t="shared" si="12"/>
        <v>5479.8058044167419</v>
      </c>
      <c r="AQ22" s="163">
        <f t="shared" si="12"/>
        <v>2359.3608324572074</v>
      </c>
      <c r="AR22" s="163">
        <f t="shared" si="12"/>
        <v>2359.3608324572087</v>
      </c>
      <c r="AS22" s="163">
        <f t="shared" si="12"/>
        <v>4998.1644982242278</v>
      </c>
      <c r="AT22" s="163">
        <f t="shared" si="12"/>
        <v>5452.5430889718837</v>
      </c>
      <c r="AU22" s="163">
        <f t="shared" si="12"/>
        <v>2347.6227188628936</v>
      </c>
      <c r="AV22" s="163">
        <f t="shared" si="12"/>
        <v>2347.6227188628945</v>
      </c>
      <c r="AW22" s="163">
        <f t="shared" si="12"/>
        <v>4973.298008183312</v>
      </c>
      <c r="AX22" s="163">
        <f t="shared" si="12"/>
        <v>5425.4160089272491</v>
      </c>
      <c r="AY22" s="163">
        <f t="shared" si="12"/>
        <v>2335.9430038436749</v>
      </c>
      <c r="AZ22" s="163">
        <f t="shared" si="12"/>
        <v>2335.9430038436763</v>
      </c>
      <c r="BA22" s="163">
        <f t="shared" si="12"/>
        <v>4948.5552320231964</v>
      </c>
      <c r="BB22" s="163">
        <f t="shared" si="12"/>
        <v>5398.42388947985</v>
      </c>
      <c r="BC22" s="163">
        <f t="shared" si="12"/>
        <v>2324.3213968593786</v>
      </c>
      <c r="BD22" s="163">
        <f t="shared" si="12"/>
        <v>2324.32139685938</v>
      </c>
      <c r="BE22" s="163">
        <f t="shared" si="12"/>
        <v>4923.935554251937</v>
      </c>
      <c r="BF22" s="163">
        <f t="shared" si="12"/>
        <v>5371.5660591839305</v>
      </c>
      <c r="BG22" s="163">
        <f t="shared" si="12"/>
        <v>2312.7576088153019</v>
      </c>
      <c r="BH22" s="163">
        <f t="shared" si="12"/>
        <v>2312.7576088153037</v>
      </c>
      <c r="BI22" s="163">
        <f t="shared" si="12"/>
        <v>4899.4383624397396</v>
      </c>
      <c r="BJ22" s="163">
        <f t="shared" si="12"/>
        <v>5344.8418499342606</v>
      </c>
      <c r="BK22" s="163">
        <f t="shared" si="12"/>
        <v>2301.2513520550278</v>
      </c>
      <c r="BL22" s="163">
        <f t="shared" si="12"/>
        <v>2301.2513520550292</v>
      </c>
      <c r="BM22" s="163">
        <f t="shared" si="12"/>
        <v>4875.063047203721</v>
      </c>
      <c r="BN22" s="163">
        <f t="shared" si="12"/>
        <v>5318.2505969495141</v>
      </c>
      <c r="BO22" s="163">
        <f t="shared" si="12"/>
        <v>2289.8023403532616</v>
      </c>
      <c r="BP22" s="163">
        <f t="shared" si="12"/>
        <v>2289.8023403532629</v>
      </c>
      <c r="BQ22" s="163">
        <f t="shared" si="12"/>
        <v>4850.8090021927592</v>
      </c>
      <c r="BR22" s="163">
        <f t="shared" si="12"/>
        <v>5291.7916387557361</v>
      </c>
      <c r="BS22" s="163">
        <f t="shared" si="12"/>
        <v>2278.4102889087189</v>
      </c>
      <c r="BT22" s="163">
        <f t="shared" si="12"/>
        <v>2278.4102889087198</v>
      </c>
      <c r="BU22" s="163">
        <f t="shared" si="12"/>
        <v>4826.675624072398</v>
      </c>
      <c r="BV22" s="163">
        <f t="shared" si="12"/>
        <v>5265.4643171698881</v>
      </c>
      <c r="BW22" s="163">
        <f t="shared" ref="BW22:EA22" si="13" xml:space="preserve"> BW19 + BW21</f>
        <v>2267.074914337034</v>
      </c>
      <c r="BX22" s="163">
        <f t="shared" si="13"/>
        <v>2267.0749143370354</v>
      </c>
      <c r="BY22" s="163">
        <f t="shared" si="13"/>
        <v>4802.6623125098486</v>
      </c>
      <c r="BZ22" s="163">
        <f t="shared" si="13"/>
        <v>5239.2679772834708</v>
      </c>
      <c r="CA22" s="163">
        <f t="shared" si="13"/>
        <v>2255.7959346637153</v>
      </c>
      <c r="CB22" s="163">
        <f t="shared" si="13"/>
        <v>2255.7959346637167</v>
      </c>
      <c r="CC22" s="163">
        <f t="shared" si="13"/>
        <v>4778.7684701590542</v>
      </c>
      <c r="CD22" s="163">
        <f t="shared" si="13"/>
        <v>5213.2019674462408</v>
      </c>
      <c r="CE22" s="163">
        <f t="shared" si="13"/>
        <v>2244.5730693171299</v>
      </c>
      <c r="CF22" s="163">
        <f t="shared" si="13"/>
        <v>2244.5730693171313</v>
      </c>
      <c r="CG22" s="163">
        <f t="shared" si="13"/>
        <v>4754.9935026458261</v>
      </c>
      <c r="CH22" s="163">
        <f t="shared" si="13"/>
        <v>5187.2656392499921</v>
      </c>
      <c r="CI22" s="163">
        <f t="shared" si="13"/>
        <v>2233.4060391215235</v>
      </c>
      <c r="CJ22" s="163">
        <f t="shared" si="13"/>
        <v>2233.4060391215244</v>
      </c>
      <c r="CK22" s="163">
        <f t="shared" si="13"/>
        <v>4731.3368185530617</v>
      </c>
      <c r="CL22" s="163">
        <f t="shared" si="13"/>
        <v>5161.45834751243</v>
      </c>
      <c r="CM22" s="163">
        <f t="shared" si="13"/>
        <v>2222.2945662900729</v>
      </c>
      <c r="CN22" s="163">
        <f t="shared" si="13"/>
        <v>2222.2945662900743</v>
      </c>
      <c r="CO22" s="163">
        <f t="shared" si="13"/>
        <v>4707.7978294060313</v>
      </c>
      <c r="CP22" s="163">
        <f t="shared" si="13"/>
        <v>5135.7794502611241</v>
      </c>
      <c r="CQ22" s="163">
        <f t="shared" si="13"/>
        <v>2211.2383744179833</v>
      </c>
      <c r="CR22" s="163">
        <f t="shared" si="13"/>
        <v>2211.2383744179842</v>
      </c>
      <c r="CS22" s="163">
        <f t="shared" si="13"/>
        <v>4684.3759496577441</v>
      </c>
      <c r="CT22" s="163">
        <f t="shared" si="13"/>
        <v>5110.2283087175383</v>
      </c>
      <c r="CU22" s="163">
        <f t="shared" si="13"/>
        <v>2200.2371884756058</v>
      </c>
      <c r="CV22" s="163">
        <f t="shared" si="13"/>
        <v>2200.2371884756067</v>
      </c>
      <c r="CW22" s="163">
        <f t="shared" si="13"/>
        <v>4661.0705966743726</v>
      </c>
      <c r="CX22" s="163">
        <f t="shared" si="13"/>
        <v>5084.8042872811338</v>
      </c>
      <c r="CY22" s="163">
        <f t="shared" si="13"/>
        <v>2189.2907348015979</v>
      </c>
      <c r="CZ22" s="163">
        <f t="shared" si="13"/>
        <v>2189.2907348015992</v>
      </c>
      <c r="DA22" s="163">
        <f t="shared" si="13"/>
        <v>4637.8811907207701</v>
      </c>
      <c r="DB22" s="163">
        <f t="shared" si="13"/>
        <v>5059.5067535135668</v>
      </c>
      <c r="DC22" s="163">
        <f t="shared" si="13"/>
        <v>2178.3987410961181</v>
      </c>
      <c r="DD22" s="163">
        <f t="shared" si="13"/>
        <v>2178.398741096119</v>
      </c>
      <c r="DE22" s="163">
        <f t="shared" si="13"/>
        <v>4614.8071549460392</v>
      </c>
      <c r="DF22" s="163">
        <f t="shared" si="13"/>
        <v>5034.3350781229519</v>
      </c>
      <c r="DG22" s="163">
        <f t="shared" si="13"/>
        <v>2167.5609364140473</v>
      </c>
      <c r="DH22" s="163">
        <f t="shared" si="13"/>
        <v>2167.5609364140487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371409.67882059288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5201.625</v>
      </c>
      <c r="N25" s="163">
        <f t="shared" si="14"/>
        <v>5674.5</v>
      </c>
      <c r="O25" s="163">
        <f t="shared" si="14"/>
        <v>2443.1874999999986</v>
      </c>
      <c r="P25" s="163">
        <f t="shared" si="14"/>
        <v>2443.1875</v>
      </c>
      <c r="Q25" s="163">
        <f t="shared" si="14"/>
        <v>5175.7462686567178</v>
      </c>
      <c r="R25" s="163">
        <f t="shared" si="14"/>
        <v>5646.2686567164183</v>
      </c>
      <c r="S25" s="163">
        <f t="shared" si="14"/>
        <v>2431.0323383084565</v>
      </c>
      <c r="T25" s="163">
        <f t="shared" si="14"/>
        <v>2431.0323383084578</v>
      </c>
      <c r="U25" s="163">
        <f t="shared" si="14"/>
        <v>5149.9962872206152</v>
      </c>
      <c r="V25" s="163">
        <f t="shared" si="14"/>
        <v>5618.1777678770341</v>
      </c>
      <c r="W25" s="163">
        <f t="shared" si="14"/>
        <v>2418.9376500581666</v>
      </c>
      <c r="X25" s="163">
        <f t="shared" si="14"/>
        <v>2418.9376500581679</v>
      </c>
      <c r="Y25" s="163">
        <f t="shared" si="14"/>
        <v>5124.3744151448909</v>
      </c>
      <c r="Z25" s="163">
        <f t="shared" si="14"/>
        <v>5590.2266347035174</v>
      </c>
      <c r="AA25" s="163">
        <f t="shared" si="14"/>
        <v>2406.9031343862353</v>
      </c>
      <c r="AB25" s="163">
        <f t="shared" si="14"/>
        <v>2406.9031343862366</v>
      </c>
      <c r="AC25" s="163">
        <f t="shared" si="14"/>
        <v>5098.8800150695442</v>
      </c>
      <c r="AD25" s="163">
        <f t="shared" si="14"/>
        <v>5562.4145618940483</v>
      </c>
      <c r="AE25" s="163">
        <f t="shared" si="14"/>
        <v>2394.9284919266029</v>
      </c>
      <c r="AF25" s="163">
        <f t="shared" si="14"/>
        <v>2394.9284919266042</v>
      </c>
      <c r="AG25" s="163">
        <f t="shared" si="14"/>
        <v>5073.5124528055176</v>
      </c>
      <c r="AH25" s="163">
        <f t="shared" si="14"/>
        <v>5534.7408576060188</v>
      </c>
      <c r="AI25" s="163">
        <f t="shared" si="14"/>
        <v>2383.0134248025906</v>
      </c>
      <c r="AJ25" s="163">
        <f t="shared" si="14"/>
        <v>2383.013424802592</v>
      </c>
      <c r="AK25" s="163">
        <f t="shared" si="14"/>
        <v>5048.2710973189251</v>
      </c>
      <c r="AL25" s="163">
        <f t="shared" si="14"/>
        <v>5507.2048334388264</v>
      </c>
      <c r="AM25" s="163">
        <f t="shared" si="14"/>
        <v>2371.1576366194936</v>
      </c>
      <c r="AN25" s="163">
        <f t="shared" si="14"/>
        <v>2371.157636619495</v>
      </c>
      <c r="AO25" s="163">
        <f t="shared" si="14"/>
        <v>5023.1553207153474</v>
      </c>
      <c r="AP25" s="163">
        <f t="shared" si="14"/>
        <v>5479.8058044167419</v>
      </c>
      <c r="AQ25" s="163">
        <f t="shared" si="14"/>
        <v>2359.3608324572074</v>
      </c>
      <c r="AR25" s="163">
        <f t="shared" si="14"/>
        <v>2359.3608324572087</v>
      </c>
      <c r="AS25" s="163">
        <f t="shared" si="14"/>
        <v>4998.1644982242278</v>
      </c>
      <c r="AT25" s="163">
        <f t="shared" si="14"/>
        <v>5452.5430889718837</v>
      </c>
      <c r="AU25" s="163">
        <f t="shared" si="14"/>
        <v>2347.6227188628936</v>
      </c>
      <c r="AV25" s="163">
        <f t="shared" si="14"/>
        <v>2347.6227188628945</v>
      </c>
      <c r="AW25" s="163">
        <f t="shared" si="14"/>
        <v>4973.298008183312</v>
      </c>
      <c r="AX25" s="163">
        <f t="shared" si="14"/>
        <v>5425.4160089272491</v>
      </c>
      <c r="AY25" s="163">
        <f t="shared" si="14"/>
        <v>2335.9430038436749</v>
      </c>
      <c r="AZ25" s="163">
        <f t="shared" si="14"/>
        <v>2335.9430038436763</v>
      </c>
      <c r="BA25" s="163">
        <f t="shared" si="14"/>
        <v>4948.5552320231964</v>
      </c>
      <c r="BB25" s="163">
        <f t="shared" si="14"/>
        <v>5398.42388947985</v>
      </c>
      <c r="BC25" s="163">
        <f t="shared" si="14"/>
        <v>2324.3213968593786</v>
      </c>
      <c r="BD25" s="163">
        <f t="shared" si="14"/>
        <v>2324.32139685938</v>
      </c>
      <c r="BE25" s="163">
        <f t="shared" si="14"/>
        <v>4923.935554251937</v>
      </c>
      <c r="BF25" s="163">
        <f t="shared" si="14"/>
        <v>5371.5660591839305</v>
      </c>
      <c r="BG25" s="163">
        <f t="shared" si="14"/>
        <v>2312.7576088153019</v>
      </c>
      <c r="BH25" s="163">
        <f t="shared" si="14"/>
        <v>2312.7576088153037</v>
      </c>
      <c r="BI25" s="163">
        <f t="shared" si="14"/>
        <v>4899.4383624397396</v>
      </c>
      <c r="BJ25" s="163">
        <f t="shared" si="14"/>
        <v>5344.8418499342606</v>
      </c>
      <c r="BK25" s="163">
        <f t="shared" si="14"/>
        <v>2301.2513520550278</v>
      </c>
      <c r="BL25" s="163">
        <f t="shared" si="14"/>
        <v>2301.2513520550292</v>
      </c>
      <c r="BM25" s="163">
        <f t="shared" si="14"/>
        <v>4875.063047203721</v>
      </c>
      <c r="BN25" s="163">
        <f t="shared" si="14"/>
        <v>5318.2505969495141</v>
      </c>
      <c r="BO25" s="163">
        <f t="shared" si="14"/>
        <v>2289.8023403532616</v>
      </c>
      <c r="BP25" s="163">
        <f t="shared" si="14"/>
        <v>2289.8023403532629</v>
      </c>
      <c r="BQ25" s="163">
        <f t="shared" si="14"/>
        <v>4850.8090021927592</v>
      </c>
      <c r="BR25" s="163">
        <f t="shared" si="14"/>
        <v>5291.7916387557361</v>
      </c>
      <c r="BS25" s="163">
        <f t="shared" si="14"/>
        <v>2278.4102889087189</v>
      </c>
      <c r="BT25" s="163">
        <f t="shared" si="14"/>
        <v>2278.4102889087198</v>
      </c>
      <c r="BU25" s="163">
        <f t="shared" si="14"/>
        <v>4826.675624072398</v>
      </c>
      <c r="BV25" s="163">
        <f t="shared" si="14"/>
        <v>5265.4643171698881</v>
      </c>
      <c r="BW25" s="163">
        <f t="shared" ref="BW25:EA25" si="15" xml:space="preserve"> BW22 + BW24</f>
        <v>2267.074914337034</v>
      </c>
      <c r="BX25" s="163">
        <f t="shared" si="15"/>
        <v>2267.0749143370354</v>
      </c>
      <c r="BY25" s="163">
        <f t="shared" si="15"/>
        <v>4802.6623125098486</v>
      </c>
      <c r="BZ25" s="163">
        <f t="shared" si="15"/>
        <v>5239.2679772834708</v>
      </c>
      <c r="CA25" s="163">
        <f t="shared" si="15"/>
        <v>2255.7959346637153</v>
      </c>
      <c r="CB25" s="163">
        <f t="shared" si="15"/>
        <v>2255.7959346637167</v>
      </c>
      <c r="CC25" s="163">
        <f t="shared" si="15"/>
        <v>4778.7684701590542</v>
      </c>
      <c r="CD25" s="163">
        <f t="shared" si="15"/>
        <v>5213.2019674462408</v>
      </c>
      <c r="CE25" s="163">
        <f t="shared" si="15"/>
        <v>2244.5730693171299</v>
      </c>
      <c r="CF25" s="163">
        <f t="shared" si="15"/>
        <v>2244.5730693171313</v>
      </c>
      <c r="CG25" s="163">
        <f t="shared" si="15"/>
        <v>4754.9935026458261</v>
      </c>
      <c r="CH25" s="163">
        <f t="shared" si="15"/>
        <v>5187.2656392499921</v>
      </c>
      <c r="CI25" s="163">
        <f t="shared" si="15"/>
        <v>2233.4060391215235</v>
      </c>
      <c r="CJ25" s="163">
        <f t="shared" si="15"/>
        <v>2233.4060391215244</v>
      </c>
      <c r="CK25" s="163">
        <f t="shared" si="15"/>
        <v>4731.3368185530617</v>
      </c>
      <c r="CL25" s="163">
        <f t="shared" si="15"/>
        <v>5161.45834751243</v>
      </c>
      <c r="CM25" s="163">
        <f t="shared" si="15"/>
        <v>2222.2945662900729</v>
      </c>
      <c r="CN25" s="163">
        <f t="shared" si="15"/>
        <v>2222.2945662900743</v>
      </c>
      <c r="CO25" s="163">
        <f t="shared" si="15"/>
        <v>4707.7978294060313</v>
      </c>
      <c r="CP25" s="163">
        <f t="shared" si="15"/>
        <v>5135.7794502611241</v>
      </c>
      <c r="CQ25" s="163">
        <f t="shared" si="15"/>
        <v>2211.2383744179833</v>
      </c>
      <c r="CR25" s="163">
        <f t="shared" si="15"/>
        <v>2211.2383744179842</v>
      </c>
      <c r="CS25" s="163">
        <f t="shared" si="15"/>
        <v>4684.3759496577441</v>
      </c>
      <c r="CT25" s="163">
        <f t="shared" si="15"/>
        <v>5110.2283087175383</v>
      </c>
      <c r="CU25" s="163">
        <f t="shared" si="15"/>
        <v>2200.2371884756058</v>
      </c>
      <c r="CV25" s="163">
        <f t="shared" si="15"/>
        <v>2200.2371884756067</v>
      </c>
      <c r="CW25" s="163">
        <f t="shared" si="15"/>
        <v>4661.0705966743726</v>
      </c>
      <c r="CX25" s="163">
        <f t="shared" si="15"/>
        <v>5084.8042872811338</v>
      </c>
      <c r="CY25" s="163">
        <f t="shared" si="15"/>
        <v>2189.2907348015979</v>
      </c>
      <c r="CZ25" s="163">
        <f t="shared" si="15"/>
        <v>2189.2907348015992</v>
      </c>
      <c r="DA25" s="163">
        <f t="shared" si="15"/>
        <v>4637.8811907207701</v>
      </c>
      <c r="DB25" s="163">
        <f t="shared" si="15"/>
        <v>5059.5067535135668</v>
      </c>
      <c r="DC25" s="163">
        <f t="shared" si="15"/>
        <v>2178.3987410961181</v>
      </c>
      <c r="DD25" s="163">
        <f t="shared" si="15"/>
        <v>2178.398741096119</v>
      </c>
      <c r="DE25" s="163">
        <f t="shared" si="15"/>
        <v>4614.8071549460392</v>
      </c>
      <c r="DF25" s="163">
        <f t="shared" si="15"/>
        <v>5034.3350781229519</v>
      </c>
      <c r="DG25" s="163">
        <f t="shared" si="15"/>
        <v>2167.5609364140473</v>
      </c>
      <c r="DH25" s="163">
        <f t="shared" si="15"/>
        <v>2167.5609364140487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outlineLevel="1" x14ac:dyDescent="0.35">
      <c r="E30" s="341" t="s">
        <v>134</v>
      </c>
      <c r="F30" s="341"/>
      <c r="G30" s="341"/>
      <c r="H30" s="341"/>
      <c r="I30" s="341"/>
      <c r="J30" s="341"/>
      <c r="K30" s="341"/>
      <c r="L30" s="341"/>
      <c r="M30" s="341">
        <v>100</v>
      </c>
      <c r="N30" s="341">
        <v>100</v>
      </c>
      <c r="O30" s="341">
        <v>100</v>
      </c>
      <c r="P30" s="341">
        <v>100</v>
      </c>
      <c r="Q30" s="341">
        <v>100</v>
      </c>
      <c r="R30" s="341">
        <v>100</v>
      </c>
      <c r="S30" s="341">
        <v>100</v>
      </c>
      <c r="T30" s="341">
        <v>100</v>
      </c>
      <c r="U30" s="341">
        <v>100</v>
      </c>
      <c r="V30" s="341">
        <v>100</v>
      </c>
      <c r="W30" s="341">
        <v>100</v>
      </c>
      <c r="X30" s="341">
        <v>100</v>
      </c>
      <c r="Y30" s="341">
        <v>100</v>
      </c>
      <c r="Z30" s="341">
        <v>100</v>
      </c>
      <c r="AA30" s="341">
        <v>100</v>
      </c>
      <c r="AB30" s="341">
        <v>100</v>
      </c>
      <c r="AC30" s="341">
        <v>100</v>
      </c>
      <c r="AD30" s="341">
        <v>100</v>
      </c>
      <c r="AE30" s="341">
        <v>100</v>
      </c>
      <c r="AF30" s="341">
        <v>100</v>
      </c>
      <c r="AG30" s="341">
        <v>100</v>
      </c>
      <c r="AH30" s="341">
        <v>100</v>
      </c>
      <c r="AI30" s="341">
        <v>100</v>
      </c>
      <c r="AJ30" s="341">
        <v>100</v>
      </c>
      <c r="AK30" s="341">
        <v>100</v>
      </c>
      <c r="AL30" s="341">
        <v>100</v>
      </c>
      <c r="AM30" s="341">
        <v>100</v>
      </c>
      <c r="AN30" s="341">
        <v>100</v>
      </c>
      <c r="AO30" s="341">
        <v>100</v>
      </c>
      <c r="AP30" s="341">
        <v>100</v>
      </c>
      <c r="AQ30" s="341">
        <v>100</v>
      </c>
      <c r="AR30" s="341">
        <v>100</v>
      </c>
      <c r="AS30" s="341">
        <v>100</v>
      </c>
      <c r="AT30" s="341">
        <v>100</v>
      </c>
      <c r="AU30" s="341">
        <v>100</v>
      </c>
      <c r="AV30" s="341">
        <v>100</v>
      </c>
      <c r="AW30" s="341">
        <v>100</v>
      </c>
      <c r="AX30" s="341">
        <v>100</v>
      </c>
      <c r="AY30" s="341">
        <v>100</v>
      </c>
      <c r="AZ30" s="341">
        <v>100</v>
      </c>
      <c r="BA30" s="341">
        <v>100</v>
      </c>
      <c r="BB30" s="341">
        <v>100</v>
      </c>
      <c r="BC30" s="341">
        <v>100</v>
      </c>
      <c r="BD30" s="341">
        <v>100</v>
      </c>
      <c r="BE30" s="341">
        <v>100</v>
      </c>
      <c r="BF30" s="341">
        <v>100</v>
      </c>
      <c r="BG30" s="341">
        <v>100</v>
      </c>
      <c r="BH30" s="341">
        <v>100</v>
      </c>
      <c r="BI30" s="341">
        <v>100</v>
      </c>
      <c r="BJ30" s="341">
        <v>100</v>
      </c>
      <c r="BK30" s="341">
        <v>100</v>
      </c>
      <c r="BL30" s="341">
        <v>100</v>
      </c>
      <c r="BM30" s="341">
        <v>100</v>
      </c>
      <c r="BN30" s="341">
        <v>100</v>
      </c>
      <c r="BO30" s="341">
        <v>100</v>
      </c>
      <c r="BP30" s="341">
        <v>100</v>
      </c>
      <c r="BQ30" s="341">
        <v>100</v>
      </c>
      <c r="BR30" s="341">
        <v>100</v>
      </c>
      <c r="BS30" s="341">
        <v>100</v>
      </c>
      <c r="BT30" s="341">
        <v>100</v>
      </c>
      <c r="BU30" s="341">
        <v>100</v>
      </c>
      <c r="BV30" s="341">
        <v>100</v>
      </c>
      <c r="BW30" s="341">
        <v>100</v>
      </c>
      <c r="BX30" s="341">
        <v>100</v>
      </c>
      <c r="BY30" s="341">
        <v>100</v>
      </c>
      <c r="BZ30" s="341">
        <v>100</v>
      </c>
      <c r="CA30" s="341">
        <v>100</v>
      </c>
      <c r="CB30" s="341">
        <v>100</v>
      </c>
      <c r="CC30" s="341">
        <v>100</v>
      </c>
      <c r="CD30" s="341">
        <v>100</v>
      </c>
      <c r="CE30" s="341">
        <v>100</v>
      </c>
      <c r="CF30" s="341">
        <v>100</v>
      </c>
      <c r="CG30" s="341">
        <v>100</v>
      </c>
      <c r="CH30" s="341">
        <v>100</v>
      </c>
      <c r="CI30" s="341">
        <v>100</v>
      </c>
      <c r="CJ30" s="341">
        <v>100</v>
      </c>
      <c r="CK30" s="341">
        <v>100</v>
      </c>
      <c r="CL30" s="341">
        <v>100</v>
      </c>
      <c r="CM30" s="341">
        <v>100</v>
      </c>
      <c r="CN30" s="341">
        <v>100</v>
      </c>
      <c r="CO30" s="341">
        <v>100</v>
      </c>
      <c r="CP30" s="341">
        <v>100</v>
      </c>
      <c r="CQ30" s="341">
        <v>100</v>
      </c>
      <c r="CR30" s="341">
        <v>100</v>
      </c>
      <c r="CS30" s="341">
        <v>100</v>
      </c>
      <c r="CT30" s="341">
        <v>100</v>
      </c>
      <c r="CU30" s="341">
        <v>100</v>
      </c>
      <c r="CV30" s="341">
        <v>100</v>
      </c>
      <c r="CW30" s="341">
        <v>100</v>
      </c>
      <c r="CX30" s="341">
        <v>100</v>
      </c>
      <c r="CY30" s="341">
        <v>100</v>
      </c>
      <c r="CZ30" s="341">
        <v>100</v>
      </c>
      <c r="DA30" s="341">
        <v>100</v>
      </c>
      <c r="DB30" s="341">
        <v>100</v>
      </c>
      <c r="DC30" s="341">
        <v>100</v>
      </c>
      <c r="DD30" s="341">
        <v>100</v>
      </c>
      <c r="DE30" s="341">
        <v>100</v>
      </c>
      <c r="DF30" s="341">
        <v>100</v>
      </c>
      <c r="DG30" s="341">
        <v>100</v>
      </c>
      <c r="DH30" s="341">
        <v>100</v>
      </c>
      <c r="DI30" s="341"/>
      <c r="DJ30" s="341"/>
      <c r="DK30" s="341"/>
      <c r="DL30" s="341"/>
      <c r="DM30" s="341"/>
      <c r="DN30" s="341"/>
      <c r="DO30" s="341"/>
      <c r="DP30" s="341"/>
      <c r="DQ30" s="341"/>
      <c r="DR30" s="341"/>
      <c r="DS30" s="341"/>
      <c r="DT30" s="341"/>
      <c r="DU30" s="341"/>
      <c r="DV30" s="341"/>
      <c r="DW30" s="341"/>
      <c r="DX30" s="341"/>
      <c r="DY30" s="341"/>
      <c r="DZ30" s="341"/>
      <c r="EA30" s="341"/>
    </row>
    <row r="31" spans="1:131" outlineLevel="1" x14ac:dyDescent="0.35">
      <c r="A31" s="160"/>
      <c r="D31" s="164"/>
      <c r="E31" s="341" t="s">
        <v>135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162</v>
      </c>
      <c r="F33" s="163"/>
      <c r="G33" s="163" t="str">
        <f>SMU</f>
        <v>$ 000s</v>
      </c>
      <c r="H33" s="163">
        <f xml:space="preserve"> SUM(J33:EA33)</f>
        <v>10000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100</v>
      </c>
      <c r="N33" s="163">
        <f t="shared" si="16"/>
        <v>100</v>
      </c>
      <c r="O33" s="163">
        <f t="shared" si="16"/>
        <v>100</v>
      </c>
      <c r="P33" s="163">
        <f t="shared" si="16"/>
        <v>100</v>
      </c>
      <c r="Q33" s="163">
        <f t="shared" si="16"/>
        <v>100</v>
      </c>
      <c r="R33" s="163">
        <f t="shared" si="16"/>
        <v>100</v>
      </c>
      <c r="S33" s="163">
        <f t="shared" si="16"/>
        <v>100</v>
      </c>
      <c r="T33" s="163">
        <f t="shared" si="16"/>
        <v>100</v>
      </c>
      <c r="U33" s="163">
        <f t="shared" si="16"/>
        <v>100</v>
      </c>
      <c r="V33" s="163">
        <f t="shared" si="16"/>
        <v>100</v>
      </c>
      <c r="W33" s="163">
        <f t="shared" si="16"/>
        <v>100</v>
      </c>
      <c r="X33" s="163">
        <f t="shared" si="16"/>
        <v>100</v>
      </c>
      <c r="Y33" s="163">
        <f t="shared" si="16"/>
        <v>100</v>
      </c>
      <c r="Z33" s="163">
        <f t="shared" si="16"/>
        <v>100</v>
      </c>
      <c r="AA33" s="163">
        <f t="shared" si="16"/>
        <v>100</v>
      </c>
      <c r="AB33" s="163">
        <f t="shared" si="16"/>
        <v>100</v>
      </c>
      <c r="AC33" s="163">
        <f t="shared" si="16"/>
        <v>100</v>
      </c>
      <c r="AD33" s="163">
        <f t="shared" si="16"/>
        <v>100</v>
      </c>
      <c r="AE33" s="163">
        <f t="shared" si="16"/>
        <v>100</v>
      </c>
      <c r="AF33" s="163">
        <f t="shared" si="16"/>
        <v>100</v>
      </c>
      <c r="AG33" s="163">
        <f t="shared" si="16"/>
        <v>100</v>
      </c>
      <c r="AH33" s="163">
        <f t="shared" si="16"/>
        <v>100</v>
      </c>
      <c r="AI33" s="163">
        <f t="shared" si="16"/>
        <v>100</v>
      </c>
      <c r="AJ33" s="163">
        <f t="shared" si="16"/>
        <v>100</v>
      </c>
      <c r="AK33" s="163">
        <f t="shared" si="16"/>
        <v>100</v>
      </c>
      <c r="AL33" s="163">
        <f t="shared" si="16"/>
        <v>100</v>
      </c>
      <c r="AM33" s="163">
        <f t="shared" si="16"/>
        <v>100</v>
      </c>
      <c r="AN33" s="163">
        <f t="shared" si="16"/>
        <v>100</v>
      </c>
      <c r="AO33" s="163">
        <f t="shared" si="16"/>
        <v>100</v>
      </c>
      <c r="AP33" s="163">
        <f t="shared" ref="AP33:BU33" si="17">SUM(AP30:AP32)</f>
        <v>100</v>
      </c>
      <c r="AQ33" s="163">
        <f t="shared" si="17"/>
        <v>100</v>
      </c>
      <c r="AR33" s="163">
        <f t="shared" si="17"/>
        <v>100</v>
      </c>
      <c r="AS33" s="163">
        <f t="shared" si="17"/>
        <v>100</v>
      </c>
      <c r="AT33" s="163">
        <f t="shared" si="17"/>
        <v>100</v>
      </c>
      <c r="AU33" s="163">
        <f t="shared" si="17"/>
        <v>100</v>
      </c>
      <c r="AV33" s="163">
        <f t="shared" si="17"/>
        <v>100</v>
      </c>
      <c r="AW33" s="163">
        <f t="shared" si="17"/>
        <v>100</v>
      </c>
      <c r="AX33" s="163">
        <f t="shared" si="17"/>
        <v>100</v>
      </c>
      <c r="AY33" s="163">
        <f t="shared" si="17"/>
        <v>100</v>
      </c>
      <c r="AZ33" s="163">
        <f t="shared" si="17"/>
        <v>100</v>
      </c>
      <c r="BA33" s="163">
        <f t="shared" si="17"/>
        <v>100</v>
      </c>
      <c r="BB33" s="163">
        <f t="shared" si="17"/>
        <v>100</v>
      </c>
      <c r="BC33" s="163">
        <f t="shared" si="17"/>
        <v>100</v>
      </c>
      <c r="BD33" s="163">
        <f t="shared" si="17"/>
        <v>100</v>
      </c>
      <c r="BE33" s="163">
        <f t="shared" si="17"/>
        <v>100</v>
      </c>
      <c r="BF33" s="163">
        <f t="shared" si="17"/>
        <v>100</v>
      </c>
      <c r="BG33" s="163">
        <f t="shared" si="17"/>
        <v>100</v>
      </c>
      <c r="BH33" s="163">
        <f t="shared" si="17"/>
        <v>100</v>
      </c>
      <c r="BI33" s="163">
        <f t="shared" si="17"/>
        <v>100</v>
      </c>
      <c r="BJ33" s="163">
        <f t="shared" si="17"/>
        <v>100</v>
      </c>
      <c r="BK33" s="163">
        <f t="shared" si="17"/>
        <v>100</v>
      </c>
      <c r="BL33" s="163">
        <f t="shared" si="17"/>
        <v>100</v>
      </c>
      <c r="BM33" s="163">
        <f t="shared" si="17"/>
        <v>100</v>
      </c>
      <c r="BN33" s="163">
        <f t="shared" si="17"/>
        <v>100</v>
      </c>
      <c r="BO33" s="163">
        <f t="shared" si="17"/>
        <v>100</v>
      </c>
      <c r="BP33" s="163">
        <f t="shared" si="17"/>
        <v>100</v>
      </c>
      <c r="BQ33" s="163">
        <f t="shared" si="17"/>
        <v>100</v>
      </c>
      <c r="BR33" s="163">
        <f t="shared" si="17"/>
        <v>100</v>
      </c>
      <c r="BS33" s="163">
        <f t="shared" si="17"/>
        <v>100</v>
      </c>
      <c r="BT33" s="163">
        <f t="shared" si="17"/>
        <v>100</v>
      </c>
      <c r="BU33" s="163">
        <f t="shared" si="17"/>
        <v>100</v>
      </c>
      <c r="BV33" s="163">
        <f t="shared" ref="BV33:DA33" si="18">SUM(BV30:BV32)</f>
        <v>100</v>
      </c>
      <c r="BW33" s="163">
        <f t="shared" si="18"/>
        <v>100</v>
      </c>
      <c r="BX33" s="163">
        <f t="shared" si="18"/>
        <v>100</v>
      </c>
      <c r="BY33" s="163">
        <f t="shared" si="18"/>
        <v>100</v>
      </c>
      <c r="BZ33" s="163">
        <f t="shared" si="18"/>
        <v>100</v>
      </c>
      <c r="CA33" s="163">
        <f t="shared" si="18"/>
        <v>100</v>
      </c>
      <c r="CB33" s="163">
        <f t="shared" si="18"/>
        <v>100</v>
      </c>
      <c r="CC33" s="163">
        <f t="shared" si="18"/>
        <v>100</v>
      </c>
      <c r="CD33" s="163">
        <f t="shared" si="18"/>
        <v>100</v>
      </c>
      <c r="CE33" s="163">
        <f t="shared" si="18"/>
        <v>100</v>
      </c>
      <c r="CF33" s="163">
        <f t="shared" si="18"/>
        <v>100</v>
      </c>
      <c r="CG33" s="163">
        <f t="shared" si="18"/>
        <v>100</v>
      </c>
      <c r="CH33" s="163">
        <f t="shared" si="18"/>
        <v>100</v>
      </c>
      <c r="CI33" s="163">
        <f t="shared" si="18"/>
        <v>100</v>
      </c>
      <c r="CJ33" s="163">
        <f t="shared" si="18"/>
        <v>100</v>
      </c>
      <c r="CK33" s="163">
        <f t="shared" si="18"/>
        <v>100</v>
      </c>
      <c r="CL33" s="163">
        <f t="shared" si="18"/>
        <v>100</v>
      </c>
      <c r="CM33" s="163">
        <f t="shared" si="18"/>
        <v>100</v>
      </c>
      <c r="CN33" s="163">
        <f t="shared" si="18"/>
        <v>100</v>
      </c>
      <c r="CO33" s="163">
        <f t="shared" si="18"/>
        <v>100</v>
      </c>
      <c r="CP33" s="163">
        <f t="shared" si="18"/>
        <v>100</v>
      </c>
      <c r="CQ33" s="163">
        <f t="shared" si="18"/>
        <v>100</v>
      </c>
      <c r="CR33" s="163">
        <f t="shared" si="18"/>
        <v>100</v>
      </c>
      <c r="CS33" s="163">
        <f t="shared" si="18"/>
        <v>100</v>
      </c>
      <c r="CT33" s="163">
        <f t="shared" si="18"/>
        <v>100</v>
      </c>
      <c r="CU33" s="163">
        <f t="shared" si="18"/>
        <v>100</v>
      </c>
      <c r="CV33" s="163">
        <f t="shared" si="18"/>
        <v>100</v>
      </c>
      <c r="CW33" s="163">
        <f t="shared" si="18"/>
        <v>100</v>
      </c>
      <c r="CX33" s="163">
        <f t="shared" si="18"/>
        <v>100</v>
      </c>
      <c r="CY33" s="163">
        <f t="shared" si="18"/>
        <v>100</v>
      </c>
      <c r="CZ33" s="163">
        <f t="shared" si="18"/>
        <v>100</v>
      </c>
      <c r="DA33" s="163">
        <f t="shared" si="18"/>
        <v>100</v>
      </c>
      <c r="DB33" s="163">
        <f t="shared" ref="DB33:EA33" si="19">SUM(DB30:DB32)</f>
        <v>100</v>
      </c>
      <c r="DC33" s="163">
        <f t="shared" si="19"/>
        <v>100</v>
      </c>
      <c r="DD33" s="163">
        <f t="shared" si="19"/>
        <v>100</v>
      </c>
      <c r="DE33" s="163">
        <f t="shared" si="19"/>
        <v>100</v>
      </c>
      <c r="DF33" s="163">
        <f t="shared" si="19"/>
        <v>100</v>
      </c>
      <c r="DG33" s="163">
        <f t="shared" si="19"/>
        <v>100</v>
      </c>
      <c r="DH33" s="163">
        <f t="shared" si="19"/>
        <v>100</v>
      </c>
      <c r="DI33" s="163">
        <f t="shared" si="19"/>
        <v>0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136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126</v>
      </c>
      <c r="F37" s="163"/>
      <c r="G37" s="163" t="str">
        <f>SMU</f>
        <v>$ 000s</v>
      </c>
      <c r="H37" s="163">
        <f xml:space="preserve"> SUM(J37:EA37)</f>
        <v>10000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100</v>
      </c>
      <c r="N37" s="163">
        <f t="shared" si="20"/>
        <v>100</v>
      </c>
      <c r="O37" s="163">
        <f t="shared" si="20"/>
        <v>100</v>
      </c>
      <c r="P37" s="163">
        <f t="shared" si="20"/>
        <v>100</v>
      </c>
      <c r="Q37" s="163">
        <f t="shared" si="20"/>
        <v>100</v>
      </c>
      <c r="R37" s="163">
        <f t="shared" si="20"/>
        <v>100</v>
      </c>
      <c r="S37" s="163">
        <f t="shared" si="20"/>
        <v>100</v>
      </c>
      <c r="T37" s="163">
        <f t="shared" si="20"/>
        <v>100</v>
      </c>
      <c r="U37" s="163">
        <f t="shared" si="20"/>
        <v>100</v>
      </c>
      <c r="V37" s="163">
        <f t="shared" si="20"/>
        <v>100</v>
      </c>
      <c r="W37" s="163">
        <f t="shared" si="20"/>
        <v>100</v>
      </c>
      <c r="X37" s="163">
        <f t="shared" si="20"/>
        <v>100</v>
      </c>
      <c r="Y37" s="163">
        <f t="shared" si="20"/>
        <v>100</v>
      </c>
      <c r="Z37" s="163">
        <f t="shared" si="20"/>
        <v>100</v>
      </c>
      <c r="AA37" s="163">
        <f t="shared" si="20"/>
        <v>100</v>
      </c>
      <c r="AB37" s="163">
        <f t="shared" si="20"/>
        <v>100</v>
      </c>
      <c r="AC37" s="163">
        <f t="shared" si="20"/>
        <v>100</v>
      </c>
      <c r="AD37" s="163">
        <f t="shared" si="20"/>
        <v>100</v>
      </c>
      <c r="AE37" s="163">
        <f t="shared" si="20"/>
        <v>100</v>
      </c>
      <c r="AF37" s="163">
        <f t="shared" si="20"/>
        <v>100</v>
      </c>
      <c r="AG37" s="163">
        <f t="shared" si="20"/>
        <v>100</v>
      </c>
      <c r="AH37" s="163">
        <f t="shared" si="20"/>
        <v>100</v>
      </c>
      <c r="AI37" s="163">
        <f t="shared" si="20"/>
        <v>100</v>
      </c>
      <c r="AJ37" s="163">
        <f t="shared" si="20"/>
        <v>100</v>
      </c>
      <c r="AK37" s="163">
        <f t="shared" si="20"/>
        <v>100</v>
      </c>
      <c r="AL37" s="163">
        <f t="shared" si="20"/>
        <v>100</v>
      </c>
      <c r="AM37" s="163">
        <f t="shared" si="20"/>
        <v>100</v>
      </c>
      <c r="AN37" s="163">
        <f t="shared" si="20"/>
        <v>100</v>
      </c>
      <c r="AO37" s="163">
        <f t="shared" si="20"/>
        <v>100</v>
      </c>
      <c r="AP37" s="163">
        <f t="shared" ref="AP37:BU37" si="21" xml:space="preserve"> AP33 + SUM(AP35:AP36)</f>
        <v>100</v>
      </c>
      <c r="AQ37" s="163">
        <f t="shared" si="21"/>
        <v>100</v>
      </c>
      <c r="AR37" s="163">
        <f t="shared" si="21"/>
        <v>100</v>
      </c>
      <c r="AS37" s="163">
        <f t="shared" si="21"/>
        <v>100</v>
      </c>
      <c r="AT37" s="163">
        <f t="shared" si="21"/>
        <v>100</v>
      </c>
      <c r="AU37" s="163">
        <f t="shared" si="21"/>
        <v>100</v>
      </c>
      <c r="AV37" s="163">
        <f t="shared" si="21"/>
        <v>100</v>
      </c>
      <c r="AW37" s="163">
        <f t="shared" si="21"/>
        <v>100</v>
      </c>
      <c r="AX37" s="163">
        <f t="shared" si="21"/>
        <v>100</v>
      </c>
      <c r="AY37" s="163">
        <f t="shared" si="21"/>
        <v>100</v>
      </c>
      <c r="AZ37" s="163">
        <f t="shared" si="21"/>
        <v>100</v>
      </c>
      <c r="BA37" s="163">
        <f t="shared" si="21"/>
        <v>100</v>
      </c>
      <c r="BB37" s="163">
        <f t="shared" si="21"/>
        <v>100</v>
      </c>
      <c r="BC37" s="163">
        <f t="shared" si="21"/>
        <v>100</v>
      </c>
      <c r="BD37" s="163">
        <f t="shared" si="21"/>
        <v>100</v>
      </c>
      <c r="BE37" s="163">
        <f t="shared" si="21"/>
        <v>100</v>
      </c>
      <c r="BF37" s="163">
        <f t="shared" si="21"/>
        <v>100</v>
      </c>
      <c r="BG37" s="163">
        <f t="shared" si="21"/>
        <v>100</v>
      </c>
      <c r="BH37" s="163">
        <f t="shared" si="21"/>
        <v>100</v>
      </c>
      <c r="BI37" s="163">
        <f t="shared" si="21"/>
        <v>100</v>
      </c>
      <c r="BJ37" s="163">
        <f t="shared" si="21"/>
        <v>100</v>
      </c>
      <c r="BK37" s="163">
        <f t="shared" si="21"/>
        <v>100</v>
      </c>
      <c r="BL37" s="163">
        <f t="shared" si="21"/>
        <v>100</v>
      </c>
      <c r="BM37" s="163">
        <f t="shared" si="21"/>
        <v>100</v>
      </c>
      <c r="BN37" s="163">
        <f t="shared" si="21"/>
        <v>100</v>
      </c>
      <c r="BO37" s="163">
        <f t="shared" si="21"/>
        <v>100</v>
      </c>
      <c r="BP37" s="163">
        <f t="shared" si="21"/>
        <v>100</v>
      </c>
      <c r="BQ37" s="163">
        <f t="shared" si="21"/>
        <v>100</v>
      </c>
      <c r="BR37" s="163">
        <f t="shared" si="21"/>
        <v>100</v>
      </c>
      <c r="BS37" s="163">
        <f t="shared" si="21"/>
        <v>100</v>
      </c>
      <c r="BT37" s="163">
        <f t="shared" si="21"/>
        <v>100</v>
      </c>
      <c r="BU37" s="163">
        <f t="shared" si="21"/>
        <v>100</v>
      </c>
      <c r="BV37" s="163">
        <f t="shared" ref="BV37:DA37" si="22" xml:space="preserve"> BV33 + SUM(BV35:BV36)</f>
        <v>100</v>
      </c>
      <c r="BW37" s="163">
        <f t="shared" si="22"/>
        <v>100</v>
      </c>
      <c r="BX37" s="163">
        <f t="shared" si="22"/>
        <v>100</v>
      </c>
      <c r="BY37" s="163">
        <f t="shared" si="22"/>
        <v>100</v>
      </c>
      <c r="BZ37" s="163">
        <f t="shared" si="22"/>
        <v>100</v>
      </c>
      <c r="CA37" s="163">
        <f t="shared" si="22"/>
        <v>100</v>
      </c>
      <c r="CB37" s="163">
        <f t="shared" si="22"/>
        <v>100</v>
      </c>
      <c r="CC37" s="163">
        <f t="shared" si="22"/>
        <v>100</v>
      </c>
      <c r="CD37" s="163">
        <f t="shared" si="22"/>
        <v>100</v>
      </c>
      <c r="CE37" s="163">
        <f t="shared" si="22"/>
        <v>100</v>
      </c>
      <c r="CF37" s="163">
        <f t="shared" si="22"/>
        <v>100</v>
      </c>
      <c r="CG37" s="163">
        <f t="shared" si="22"/>
        <v>100</v>
      </c>
      <c r="CH37" s="163">
        <f t="shared" si="22"/>
        <v>100</v>
      </c>
      <c r="CI37" s="163">
        <f t="shared" si="22"/>
        <v>100</v>
      </c>
      <c r="CJ37" s="163">
        <f t="shared" si="22"/>
        <v>100</v>
      </c>
      <c r="CK37" s="163">
        <f t="shared" si="22"/>
        <v>100</v>
      </c>
      <c r="CL37" s="163">
        <f t="shared" si="22"/>
        <v>100</v>
      </c>
      <c r="CM37" s="163">
        <f t="shared" si="22"/>
        <v>100</v>
      </c>
      <c r="CN37" s="163">
        <f t="shared" si="22"/>
        <v>100</v>
      </c>
      <c r="CO37" s="163">
        <f t="shared" si="22"/>
        <v>100</v>
      </c>
      <c r="CP37" s="163">
        <f t="shared" si="22"/>
        <v>100</v>
      </c>
      <c r="CQ37" s="163">
        <f t="shared" si="22"/>
        <v>100</v>
      </c>
      <c r="CR37" s="163">
        <f t="shared" si="22"/>
        <v>100</v>
      </c>
      <c r="CS37" s="163">
        <f t="shared" si="22"/>
        <v>100</v>
      </c>
      <c r="CT37" s="163">
        <f t="shared" si="22"/>
        <v>100</v>
      </c>
      <c r="CU37" s="163">
        <f t="shared" si="22"/>
        <v>100</v>
      </c>
      <c r="CV37" s="163">
        <f t="shared" si="22"/>
        <v>100</v>
      </c>
      <c r="CW37" s="163">
        <f t="shared" si="22"/>
        <v>100</v>
      </c>
      <c r="CX37" s="163">
        <f t="shared" si="22"/>
        <v>100</v>
      </c>
      <c r="CY37" s="163">
        <f t="shared" si="22"/>
        <v>100</v>
      </c>
      <c r="CZ37" s="163">
        <f t="shared" si="22"/>
        <v>100</v>
      </c>
      <c r="DA37" s="163">
        <f t="shared" si="22"/>
        <v>100</v>
      </c>
      <c r="DB37" s="163">
        <f t="shared" ref="DB37:EA37" si="23" xml:space="preserve"> DB33 + SUM(DB35:DB36)</f>
        <v>100</v>
      </c>
      <c r="DC37" s="163">
        <f t="shared" si="23"/>
        <v>100</v>
      </c>
      <c r="DD37" s="163">
        <f t="shared" si="23"/>
        <v>100</v>
      </c>
      <c r="DE37" s="163">
        <f t="shared" si="23"/>
        <v>100</v>
      </c>
      <c r="DF37" s="163">
        <f t="shared" si="23"/>
        <v>100</v>
      </c>
      <c r="DG37" s="163">
        <f t="shared" si="23"/>
        <v>100</v>
      </c>
      <c r="DH37" s="163">
        <f t="shared" si="23"/>
        <v>100</v>
      </c>
      <c r="DI37" s="163">
        <f t="shared" si="23"/>
        <v>0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137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138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125</v>
      </c>
      <c r="F42" s="163"/>
      <c r="G42" s="163" t="str">
        <f>SMU</f>
        <v>$ 000s</v>
      </c>
      <c r="H42" s="163">
        <f xml:space="preserve"> SUM(J42:EA42)</f>
        <v>10000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100</v>
      </c>
      <c r="N42" s="163">
        <f t="shared" si="24"/>
        <v>100</v>
      </c>
      <c r="O42" s="163">
        <f t="shared" si="24"/>
        <v>100</v>
      </c>
      <c r="P42" s="163">
        <f t="shared" si="24"/>
        <v>100</v>
      </c>
      <c r="Q42" s="163">
        <f t="shared" si="24"/>
        <v>100</v>
      </c>
      <c r="R42" s="163">
        <f t="shared" si="24"/>
        <v>100</v>
      </c>
      <c r="S42" s="163">
        <f t="shared" si="24"/>
        <v>100</v>
      </c>
      <c r="T42" s="163">
        <f t="shared" si="24"/>
        <v>100</v>
      </c>
      <c r="U42" s="163">
        <f t="shared" si="24"/>
        <v>100</v>
      </c>
      <c r="V42" s="163">
        <f t="shared" si="24"/>
        <v>100</v>
      </c>
      <c r="W42" s="163">
        <f t="shared" si="24"/>
        <v>100</v>
      </c>
      <c r="X42" s="163">
        <f t="shared" si="24"/>
        <v>100</v>
      </c>
      <c r="Y42" s="163">
        <f t="shared" si="24"/>
        <v>100</v>
      </c>
      <c r="Z42" s="163">
        <f t="shared" si="24"/>
        <v>100</v>
      </c>
      <c r="AA42" s="163">
        <f t="shared" si="24"/>
        <v>100</v>
      </c>
      <c r="AB42" s="163">
        <f t="shared" si="24"/>
        <v>100</v>
      </c>
      <c r="AC42" s="163">
        <f t="shared" si="24"/>
        <v>100</v>
      </c>
      <c r="AD42" s="163">
        <f t="shared" si="24"/>
        <v>100</v>
      </c>
      <c r="AE42" s="163">
        <f t="shared" si="24"/>
        <v>100</v>
      </c>
      <c r="AF42" s="163">
        <f t="shared" si="24"/>
        <v>100</v>
      </c>
      <c r="AG42" s="163">
        <f t="shared" si="24"/>
        <v>100</v>
      </c>
      <c r="AH42" s="163">
        <f t="shared" si="24"/>
        <v>100</v>
      </c>
      <c r="AI42" s="163">
        <f t="shared" si="24"/>
        <v>100</v>
      </c>
      <c r="AJ42" s="163">
        <f t="shared" si="24"/>
        <v>100</v>
      </c>
      <c r="AK42" s="163">
        <f t="shared" si="24"/>
        <v>100</v>
      </c>
      <c r="AL42" s="163">
        <f t="shared" si="24"/>
        <v>100</v>
      </c>
      <c r="AM42" s="163">
        <f t="shared" si="24"/>
        <v>100</v>
      </c>
      <c r="AN42" s="163">
        <f t="shared" si="24"/>
        <v>100</v>
      </c>
      <c r="AO42" s="163">
        <f t="shared" si="24"/>
        <v>100</v>
      </c>
      <c r="AP42" s="163">
        <f t="shared" ref="AP42:BU42" si="25" xml:space="preserve"> AP37 + SUM(AP39:AP41)</f>
        <v>100</v>
      </c>
      <c r="AQ42" s="163">
        <f t="shared" si="25"/>
        <v>100</v>
      </c>
      <c r="AR42" s="163">
        <f t="shared" si="25"/>
        <v>100</v>
      </c>
      <c r="AS42" s="163">
        <f t="shared" si="25"/>
        <v>100</v>
      </c>
      <c r="AT42" s="163">
        <f t="shared" si="25"/>
        <v>100</v>
      </c>
      <c r="AU42" s="163">
        <f t="shared" si="25"/>
        <v>100</v>
      </c>
      <c r="AV42" s="163">
        <f t="shared" si="25"/>
        <v>100</v>
      </c>
      <c r="AW42" s="163">
        <f t="shared" si="25"/>
        <v>100</v>
      </c>
      <c r="AX42" s="163">
        <f t="shared" si="25"/>
        <v>100</v>
      </c>
      <c r="AY42" s="163">
        <f t="shared" si="25"/>
        <v>100</v>
      </c>
      <c r="AZ42" s="163">
        <f t="shared" si="25"/>
        <v>100</v>
      </c>
      <c r="BA42" s="163">
        <f t="shared" si="25"/>
        <v>100</v>
      </c>
      <c r="BB42" s="163">
        <f t="shared" si="25"/>
        <v>100</v>
      </c>
      <c r="BC42" s="163">
        <f t="shared" si="25"/>
        <v>100</v>
      </c>
      <c r="BD42" s="163">
        <f t="shared" si="25"/>
        <v>100</v>
      </c>
      <c r="BE42" s="163">
        <f t="shared" si="25"/>
        <v>100</v>
      </c>
      <c r="BF42" s="163">
        <f t="shared" si="25"/>
        <v>100</v>
      </c>
      <c r="BG42" s="163">
        <f t="shared" si="25"/>
        <v>100</v>
      </c>
      <c r="BH42" s="163">
        <f t="shared" si="25"/>
        <v>100</v>
      </c>
      <c r="BI42" s="163">
        <f t="shared" si="25"/>
        <v>100</v>
      </c>
      <c r="BJ42" s="163">
        <f t="shared" si="25"/>
        <v>100</v>
      </c>
      <c r="BK42" s="163">
        <f t="shared" si="25"/>
        <v>100</v>
      </c>
      <c r="BL42" s="163">
        <f t="shared" si="25"/>
        <v>100</v>
      </c>
      <c r="BM42" s="163">
        <f t="shared" si="25"/>
        <v>100</v>
      </c>
      <c r="BN42" s="163">
        <f t="shared" si="25"/>
        <v>100</v>
      </c>
      <c r="BO42" s="163">
        <f t="shared" si="25"/>
        <v>100</v>
      </c>
      <c r="BP42" s="163">
        <f t="shared" si="25"/>
        <v>100</v>
      </c>
      <c r="BQ42" s="163">
        <f t="shared" si="25"/>
        <v>100</v>
      </c>
      <c r="BR42" s="163">
        <f t="shared" si="25"/>
        <v>100</v>
      </c>
      <c r="BS42" s="163">
        <f t="shared" si="25"/>
        <v>100</v>
      </c>
      <c r="BT42" s="163">
        <f t="shared" si="25"/>
        <v>100</v>
      </c>
      <c r="BU42" s="163">
        <f t="shared" si="25"/>
        <v>100</v>
      </c>
      <c r="BV42" s="163">
        <f t="shared" ref="BV42:DB42" si="26" xml:space="preserve"> BV37 + SUM(BV39:BV41)</f>
        <v>100</v>
      </c>
      <c r="BW42" s="163">
        <f t="shared" si="26"/>
        <v>100</v>
      </c>
      <c r="BX42" s="163">
        <f t="shared" si="26"/>
        <v>100</v>
      </c>
      <c r="BY42" s="163">
        <f t="shared" si="26"/>
        <v>100</v>
      </c>
      <c r="BZ42" s="163">
        <f t="shared" si="26"/>
        <v>100</v>
      </c>
      <c r="CA42" s="163">
        <f t="shared" si="26"/>
        <v>100</v>
      </c>
      <c r="CB42" s="163">
        <f t="shared" si="26"/>
        <v>100</v>
      </c>
      <c r="CC42" s="163">
        <f t="shared" si="26"/>
        <v>100</v>
      </c>
      <c r="CD42" s="163">
        <f t="shared" si="26"/>
        <v>100</v>
      </c>
      <c r="CE42" s="163">
        <f t="shared" si="26"/>
        <v>100</v>
      </c>
      <c r="CF42" s="163">
        <f t="shared" si="26"/>
        <v>100</v>
      </c>
      <c r="CG42" s="163">
        <f t="shared" si="26"/>
        <v>100</v>
      </c>
      <c r="CH42" s="163">
        <f t="shared" si="26"/>
        <v>100</v>
      </c>
      <c r="CI42" s="163">
        <f t="shared" si="26"/>
        <v>100</v>
      </c>
      <c r="CJ42" s="163">
        <f t="shared" si="26"/>
        <v>100</v>
      </c>
      <c r="CK42" s="163">
        <f t="shared" si="26"/>
        <v>100</v>
      </c>
      <c r="CL42" s="163">
        <f t="shared" si="26"/>
        <v>100</v>
      </c>
      <c r="CM42" s="163">
        <f t="shared" si="26"/>
        <v>100</v>
      </c>
      <c r="CN42" s="163">
        <f t="shared" si="26"/>
        <v>100</v>
      </c>
      <c r="CO42" s="163">
        <f t="shared" si="26"/>
        <v>100</v>
      </c>
      <c r="CP42" s="163">
        <f t="shared" si="26"/>
        <v>100</v>
      </c>
      <c r="CQ42" s="163">
        <f t="shared" si="26"/>
        <v>100</v>
      </c>
      <c r="CR42" s="163">
        <f t="shared" si="26"/>
        <v>100</v>
      </c>
      <c r="CS42" s="163">
        <f t="shared" si="26"/>
        <v>100</v>
      </c>
      <c r="CT42" s="163">
        <f t="shared" si="26"/>
        <v>100</v>
      </c>
      <c r="CU42" s="163">
        <f t="shared" si="26"/>
        <v>100</v>
      </c>
      <c r="CV42" s="163">
        <f t="shared" si="26"/>
        <v>100</v>
      </c>
      <c r="CW42" s="163">
        <f t="shared" si="26"/>
        <v>100</v>
      </c>
      <c r="CX42" s="163">
        <f t="shared" si="26"/>
        <v>100</v>
      </c>
      <c r="CY42" s="163">
        <f t="shared" si="26"/>
        <v>100</v>
      </c>
      <c r="CZ42" s="163">
        <f t="shared" si="26"/>
        <v>100</v>
      </c>
      <c r="DA42" s="163">
        <f t="shared" si="26"/>
        <v>100</v>
      </c>
      <c r="DB42" s="163">
        <f t="shared" si="26"/>
        <v>100</v>
      </c>
      <c r="DC42" s="163">
        <f t="shared" ref="DC42:EA42" si="27" xml:space="preserve"> DC37 + SUM(DC39:DC41)</f>
        <v>100</v>
      </c>
      <c r="DD42" s="163">
        <f t="shared" si="27"/>
        <v>100</v>
      </c>
      <c r="DE42" s="163">
        <f t="shared" si="27"/>
        <v>100</v>
      </c>
      <c r="DF42" s="163">
        <f t="shared" si="27"/>
        <v>100</v>
      </c>
      <c r="DG42" s="163">
        <f t="shared" si="27"/>
        <v>100</v>
      </c>
      <c r="DH42" s="163">
        <f t="shared" si="27"/>
        <v>100</v>
      </c>
      <c r="DI42" s="163">
        <f t="shared" si="27"/>
        <v>0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139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140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141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124</v>
      </c>
      <c r="F47" s="163"/>
      <c r="G47" s="163" t="str">
        <f xml:space="preserve"> SMU</f>
        <v>$ 000s</v>
      </c>
      <c r="H47" s="163">
        <f xml:space="preserve"> SUM(J47:EA47)</f>
        <v>10000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100</v>
      </c>
      <c r="N47" s="163">
        <f t="shared" si="28"/>
        <v>100</v>
      </c>
      <c r="O47" s="163">
        <f t="shared" si="28"/>
        <v>100</v>
      </c>
      <c r="P47" s="163">
        <f t="shared" si="28"/>
        <v>100</v>
      </c>
      <c r="Q47" s="163">
        <f t="shared" si="28"/>
        <v>100</v>
      </c>
      <c r="R47" s="163">
        <f t="shared" si="28"/>
        <v>100</v>
      </c>
      <c r="S47" s="163">
        <f t="shared" si="28"/>
        <v>100</v>
      </c>
      <c r="T47" s="163">
        <f t="shared" si="28"/>
        <v>100</v>
      </c>
      <c r="U47" s="163">
        <f t="shared" si="28"/>
        <v>100</v>
      </c>
      <c r="V47" s="163">
        <f t="shared" si="28"/>
        <v>100</v>
      </c>
      <c r="W47" s="163">
        <f t="shared" si="28"/>
        <v>100</v>
      </c>
      <c r="X47" s="163">
        <f t="shared" si="28"/>
        <v>100</v>
      </c>
      <c r="Y47" s="163">
        <f t="shared" si="28"/>
        <v>100</v>
      </c>
      <c r="Z47" s="163">
        <f t="shared" si="28"/>
        <v>100</v>
      </c>
      <c r="AA47" s="163">
        <f t="shared" si="28"/>
        <v>100</v>
      </c>
      <c r="AB47" s="163">
        <f t="shared" si="28"/>
        <v>100</v>
      </c>
      <c r="AC47" s="163">
        <f t="shared" si="28"/>
        <v>100</v>
      </c>
      <c r="AD47" s="163">
        <f t="shared" si="28"/>
        <v>100</v>
      </c>
      <c r="AE47" s="163">
        <f t="shared" si="28"/>
        <v>100</v>
      </c>
      <c r="AF47" s="163">
        <f t="shared" si="28"/>
        <v>100</v>
      </c>
      <c r="AG47" s="163">
        <f t="shared" si="28"/>
        <v>100</v>
      </c>
      <c r="AH47" s="163">
        <f t="shared" si="28"/>
        <v>100</v>
      </c>
      <c r="AI47" s="163">
        <f t="shared" si="28"/>
        <v>100</v>
      </c>
      <c r="AJ47" s="163">
        <f t="shared" si="28"/>
        <v>100</v>
      </c>
      <c r="AK47" s="163">
        <f t="shared" si="28"/>
        <v>100</v>
      </c>
      <c r="AL47" s="163">
        <f t="shared" si="28"/>
        <v>100</v>
      </c>
      <c r="AM47" s="163">
        <f t="shared" si="28"/>
        <v>100</v>
      </c>
      <c r="AN47" s="163">
        <f t="shared" si="28"/>
        <v>100</v>
      </c>
      <c r="AO47" s="163">
        <f t="shared" si="28"/>
        <v>100</v>
      </c>
      <c r="AP47" s="163">
        <f t="shared" ref="AP47:BU47" si="29" xml:space="preserve"> AP42 + SUM(AP44:AP46)</f>
        <v>100</v>
      </c>
      <c r="AQ47" s="163">
        <f t="shared" si="29"/>
        <v>100</v>
      </c>
      <c r="AR47" s="163">
        <f t="shared" si="29"/>
        <v>100</v>
      </c>
      <c r="AS47" s="163">
        <f t="shared" si="29"/>
        <v>100</v>
      </c>
      <c r="AT47" s="163">
        <f t="shared" si="29"/>
        <v>100</v>
      </c>
      <c r="AU47" s="163">
        <f t="shared" si="29"/>
        <v>100</v>
      </c>
      <c r="AV47" s="163">
        <f t="shared" si="29"/>
        <v>100</v>
      </c>
      <c r="AW47" s="163">
        <f t="shared" si="29"/>
        <v>100</v>
      </c>
      <c r="AX47" s="163">
        <f t="shared" si="29"/>
        <v>100</v>
      </c>
      <c r="AY47" s="163">
        <f t="shared" si="29"/>
        <v>100</v>
      </c>
      <c r="AZ47" s="163">
        <f t="shared" si="29"/>
        <v>100</v>
      </c>
      <c r="BA47" s="163">
        <f t="shared" si="29"/>
        <v>100</v>
      </c>
      <c r="BB47" s="163">
        <f t="shared" si="29"/>
        <v>100</v>
      </c>
      <c r="BC47" s="163">
        <f t="shared" si="29"/>
        <v>100</v>
      </c>
      <c r="BD47" s="163">
        <f t="shared" si="29"/>
        <v>100</v>
      </c>
      <c r="BE47" s="163">
        <f t="shared" si="29"/>
        <v>100</v>
      </c>
      <c r="BF47" s="163">
        <f t="shared" si="29"/>
        <v>100</v>
      </c>
      <c r="BG47" s="163">
        <f t="shared" si="29"/>
        <v>100</v>
      </c>
      <c r="BH47" s="163">
        <f t="shared" si="29"/>
        <v>100</v>
      </c>
      <c r="BI47" s="163">
        <f t="shared" si="29"/>
        <v>100</v>
      </c>
      <c r="BJ47" s="163">
        <f t="shared" si="29"/>
        <v>100</v>
      </c>
      <c r="BK47" s="163">
        <f t="shared" si="29"/>
        <v>100</v>
      </c>
      <c r="BL47" s="163">
        <f t="shared" si="29"/>
        <v>100</v>
      </c>
      <c r="BM47" s="163">
        <f t="shared" si="29"/>
        <v>100</v>
      </c>
      <c r="BN47" s="163">
        <f t="shared" si="29"/>
        <v>100</v>
      </c>
      <c r="BO47" s="163">
        <f t="shared" si="29"/>
        <v>100</v>
      </c>
      <c r="BP47" s="163">
        <f t="shared" si="29"/>
        <v>100</v>
      </c>
      <c r="BQ47" s="163">
        <f t="shared" si="29"/>
        <v>100</v>
      </c>
      <c r="BR47" s="163">
        <f t="shared" si="29"/>
        <v>100</v>
      </c>
      <c r="BS47" s="163">
        <f t="shared" si="29"/>
        <v>100</v>
      </c>
      <c r="BT47" s="163">
        <f t="shared" si="29"/>
        <v>100</v>
      </c>
      <c r="BU47" s="163">
        <f t="shared" si="29"/>
        <v>100</v>
      </c>
      <c r="BV47" s="163">
        <f t="shared" ref="BV47:DA47" si="30" xml:space="preserve"> BV42 + SUM(BV44:BV46)</f>
        <v>100</v>
      </c>
      <c r="BW47" s="163">
        <f t="shared" si="30"/>
        <v>100</v>
      </c>
      <c r="BX47" s="163">
        <f t="shared" si="30"/>
        <v>100</v>
      </c>
      <c r="BY47" s="163">
        <f t="shared" si="30"/>
        <v>100</v>
      </c>
      <c r="BZ47" s="163">
        <f t="shared" si="30"/>
        <v>100</v>
      </c>
      <c r="CA47" s="163">
        <f t="shared" si="30"/>
        <v>100</v>
      </c>
      <c r="CB47" s="163">
        <f t="shared" si="30"/>
        <v>100</v>
      </c>
      <c r="CC47" s="163">
        <f t="shared" si="30"/>
        <v>100</v>
      </c>
      <c r="CD47" s="163">
        <f t="shared" si="30"/>
        <v>100</v>
      </c>
      <c r="CE47" s="163">
        <f t="shared" si="30"/>
        <v>100</v>
      </c>
      <c r="CF47" s="163">
        <f t="shared" si="30"/>
        <v>100</v>
      </c>
      <c r="CG47" s="163">
        <f t="shared" si="30"/>
        <v>100</v>
      </c>
      <c r="CH47" s="163">
        <f t="shared" si="30"/>
        <v>100</v>
      </c>
      <c r="CI47" s="163">
        <f t="shared" si="30"/>
        <v>100</v>
      </c>
      <c r="CJ47" s="163">
        <f t="shared" si="30"/>
        <v>100</v>
      </c>
      <c r="CK47" s="163">
        <f t="shared" si="30"/>
        <v>100</v>
      </c>
      <c r="CL47" s="163">
        <f t="shared" si="30"/>
        <v>100</v>
      </c>
      <c r="CM47" s="163">
        <f t="shared" si="30"/>
        <v>100</v>
      </c>
      <c r="CN47" s="163">
        <f t="shared" si="30"/>
        <v>100</v>
      </c>
      <c r="CO47" s="163">
        <f t="shared" si="30"/>
        <v>100</v>
      </c>
      <c r="CP47" s="163">
        <f t="shared" si="30"/>
        <v>100</v>
      </c>
      <c r="CQ47" s="163">
        <f t="shared" si="30"/>
        <v>100</v>
      </c>
      <c r="CR47" s="163">
        <f t="shared" si="30"/>
        <v>100</v>
      </c>
      <c r="CS47" s="163">
        <f t="shared" si="30"/>
        <v>100</v>
      </c>
      <c r="CT47" s="163">
        <f t="shared" si="30"/>
        <v>100</v>
      </c>
      <c r="CU47" s="163">
        <f t="shared" si="30"/>
        <v>100</v>
      </c>
      <c r="CV47" s="163">
        <f t="shared" si="30"/>
        <v>100</v>
      </c>
      <c r="CW47" s="163">
        <f t="shared" si="30"/>
        <v>100</v>
      </c>
      <c r="CX47" s="163">
        <f t="shared" si="30"/>
        <v>100</v>
      </c>
      <c r="CY47" s="163">
        <f t="shared" si="30"/>
        <v>100</v>
      </c>
      <c r="CZ47" s="163">
        <f t="shared" si="30"/>
        <v>100</v>
      </c>
      <c r="DA47" s="163">
        <f t="shared" si="30"/>
        <v>100</v>
      </c>
      <c r="DB47" s="163">
        <f t="shared" ref="DB47:EA47" si="31" xml:space="preserve"> DB42 + SUM(DB44:DB46)</f>
        <v>100</v>
      </c>
      <c r="DC47" s="163">
        <f t="shared" si="31"/>
        <v>100</v>
      </c>
      <c r="DD47" s="163">
        <f t="shared" si="31"/>
        <v>100</v>
      </c>
      <c r="DE47" s="163">
        <f t="shared" si="31"/>
        <v>100</v>
      </c>
      <c r="DF47" s="163">
        <f t="shared" si="31"/>
        <v>100</v>
      </c>
      <c r="DG47" s="163">
        <f t="shared" si="31"/>
        <v>100</v>
      </c>
      <c r="DH47" s="163">
        <f t="shared" si="31"/>
        <v>100</v>
      </c>
      <c r="DI47" s="163">
        <f t="shared" si="31"/>
        <v>0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142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10000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100</v>
      </c>
      <c r="N50" s="163">
        <f t="shared" si="32"/>
        <v>100</v>
      </c>
      <c r="O50" s="163">
        <f t="shared" si="32"/>
        <v>100</v>
      </c>
      <c r="P50" s="163">
        <f t="shared" si="32"/>
        <v>100</v>
      </c>
      <c r="Q50" s="163">
        <f t="shared" si="32"/>
        <v>100</v>
      </c>
      <c r="R50" s="163">
        <f t="shared" si="32"/>
        <v>100</v>
      </c>
      <c r="S50" s="163">
        <f t="shared" si="32"/>
        <v>100</v>
      </c>
      <c r="T50" s="163">
        <f t="shared" si="32"/>
        <v>100</v>
      </c>
      <c r="U50" s="163">
        <f t="shared" si="32"/>
        <v>100</v>
      </c>
      <c r="V50" s="163">
        <f t="shared" si="32"/>
        <v>100</v>
      </c>
      <c r="W50" s="163">
        <f t="shared" si="32"/>
        <v>100</v>
      </c>
      <c r="X50" s="163">
        <f t="shared" si="32"/>
        <v>100</v>
      </c>
      <c r="Y50" s="163">
        <f t="shared" si="32"/>
        <v>100</v>
      </c>
      <c r="Z50" s="163">
        <f t="shared" si="32"/>
        <v>100</v>
      </c>
      <c r="AA50" s="163">
        <f t="shared" si="32"/>
        <v>100</v>
      </c>
      <c r="AB50" s="163">
        <f t="shared" si="32"/>
        <v>100</v>
      </c>
      <c r="AC50" s="163">
        <f t="shared" si="32"/>
        <v>100</v>
      </c>
      <c r="AD50" s="163">
        <f t="shared" si="32"/>
        <v>100</v>
      </c>
      <c r="AE50" s="163">
        <f t="shared" si="32"/>
        <v>100</v>
      </c>
      <c r="AF50" s="163">
        <f t="shared" si="32"/>
        <v>100</v>
      </c>
      <c r="AG50" s="163">
        <f t="shared" si="32"/>
        <v>100</v>
      </c>
      <c r="AH50" s="163">
        <f t="shared" si="32"/>
        <v>100</v>
      </c>
      <c r="AI50" s="163">
        <f t="shared" si="32"/>
        <v>100</v>
      </c>
      <c r="AJ50" s="163">
        <f t="shared" si="32"/>
        <v>100</v>
      </c>
      <c r="AK50" s="163">
        <f t="shared" si="32"/>
        <v>100</v>
      </c>
      <c r="AL50" s="163">
        <f t="shared" si="32"/>
        <v>100</v>
      </c>
      <c r="AM50" s="163">
        <f t="shared" si="32"/>
        <v>100</v>
      </c>
      <c r="AN50" s="163">
        <f t="shared" si="32"/>
        <v>100</v>
      </c>
      <c r="AO50" s="163">
        <f t="shared" si="32"/>
        <v>100</v>
      </c>
      <c r="AP50" s="163">
        <f t="shared" ref="AP50:BU50" si="33" xml:space="preserve"> AP47 + AP49</f>
        <v>100</v>
      </c>
      <c r="AQ50" s="163">
        <f t="shared" si="33"/>
        <v>100</v>
      </c>
      <c r="AR50" s="163">
        <f t="shared" si="33"/>
        <v>100</v>
      </c>
      <c r="AS50" s="163">
        <f t="shared" si="33"/>
        <v>100</v>
      </c>
      <c r="AT50" s="163">
        <f t="shared" si="33"/>
        <v>100</v>
      </c>
      <c r="AU50" s="163">
        <f t="shared" si="33"/>
        <v>100</v>
      </c>
      <c r="AV50" s="163">
        <f t="shared" si="33"/>
        <v>100</v>
      </c>
      <c r="AW50" s="163">
        <f t="shared" si="33"/>
        <v>100</v>
      </c>
      <c r="AX50" s="163">
        <f t="shared" si="33"/>
        <v>100</v>
      </c>
      <c r="AY50" s="163">
        <f t="shared" si="33"/>
        <v>100</v>
      </c>
      <c r="AZ50" s="163">
        <f t="shared" si="33"/>
        <v>100</v>
      </c>
      <c r="BA50" s="163">
        <f t="shared" si="33"/>
        <v>100</v>
      </c>
      <c r="BB50" s="163">
        <f t="shared" si="33"/>
        <v>100</v>
      </c>
      <c r="BC50" s="163">
        <f t="shared" si="33"/>
        <v>100</v>
      </c>
      <c r="BD50" s="163">
        <f t="shared" si="33"/>
        <v>100</v>
      </c>
      <c r="BE50" s="163">
        <f t="shared" si="33"/>
        <v>100</v>
      </c>
      <c r="BF50" s="163">
        <f t="shared" si="33"/>
        <v>100</v>
      </c>
      <c r="BG50" s="163">
        <f t="shared" si="33"/>
        <v>100</v>
      </c>
      <c r="BH50" s="163">
        <f t="shared" si="33"/>
        <v>100</v>
      </c>
      <c r="BI50" s="163">
        <f t="shared" si="33"/>
        <v>100</v>
      </c>
      <c r="BJ50" s="163">
        <f t="shared" si="33"/>
        <v>100</v>
      </c>
      <c r="BK50" s="163">
        <f t="shared" si="33"/>
        <v>100</v>
      </c>
      <c r="BL50" s="163">
        <f t="shared" si="33"/>
        <v>100</v>
      </c>
      <c r="BM50" s="163">
        <f t="shared" si="33"/>
        <v>100</v>
      </c>
      <c r="BN50" s="163">
        <f t="shared" si="33"/>
        <v>100</v>
      </c>
      <c r="BO50" s="163">
        <f t="shared" si="33"/>
        <v>100</v>
      </c>
      <c r="BP50" s="163">
        <f t="shared" si="33"/>
        <v>100</v>
      </c>
      <c r="BQ50" s="163">
        <f t="shared" si="33"/>
        <v>100</v>
      </c>
      <c r="BR50" s="163">
        <f t="shared" si="33"/>
        <v>100</v>
      </c>
      <c r="BS50" s="163">
        <f t="shared" si="33"/>
        <v>100</v>
      </c>
      <c r="BT50" s="163">
        <f t="shared" si="33"/>
        <v>100</v>
      </c>
      <c r="BU50" s="163">
        <f t="shared" si="33"/>
        <v>100</v>
      </c>
      <c r="BV50" s="163">
        <f t="shared" ref="BV50:DA50" si="34" xml:space="preserve"> BV47 + BV49</f>
        <v>100</v>
      </c>
      <c r="BW50" s="163">
        <f t="shared" si="34"/>
        <v>100</v>
      </c>
      <c r="BX50" s="163">
        <f t="shared" si="34"/>
        <v>100</v>
      </c>
      <c r="BY50" s="163">
        <f t="shared" si="34"/>
        <v>100</v>
      </c>
      <c r="BZ50" s="163">
        <f t="shared" si="34"/>
        <v>100</v>
      </c>
      <c r="CA50" s="163">
        <f t="shared" si="34"/>
        <v>100</v>
      </c>
      <c r="CB50" s="163">
        <f t="shared" si="34"/>
        <v>100</v>
      </c>
      <c r="CC50" s="163">
        <f t="shared" si="34"/>
        <v>100</v>
      </c>
      <c r="CD50" s="163">
        <f t="shared" si="34"/>
        <v>100</v>
      </c>
      <c r="CE50" s="163">
        <f t="shared" si="34"/>
        <v>100</v>
      </c>
      <c r="CF50" s="163">
        <f t="shared" si="34"/>
        <v>100</v>
      </c>
      <c r="CG50" s="163">
        <f t="shared" si="34"/>
        <v>100</v>
      </c>
      <c r="CH50" s="163">
        <f t="shared" si="34"/>
        <v>100</v>
      </c>
      <c r="CI50" s="163">
        <f t="shared" si="34"/>
        <v>100</v>
      </c>
      <c r="CJ50" s="163">
        <f t="shared" si="34"/>
        <v>100</v>
      </c>
      <c r="CK50" s="163">
        <f t="shared" si="34"/>
        <v>100</v>
      </c>
      <c r="CL50" s="163">
        <f t="shared" si="34"/>
        <v>100</v>
      </c>
      <c r="CM50" s="163">
        <f t="shared" si="34"/>
        <v>100</v>
      </c>
      <c r="CN50" s="163">
        <f t="shared" si="34"/>
        <v>100</v>
      </c>
      <c r="CO50" s="163">
        <f t="shared" si="34"/>
        <v>100</v>
      </c>
      <c r="CP50" s="163">
        <f t="shared" si="34"/>
        <v>100</v>
      </c>
      <c r="CQ50" s="163">
        <f t="shared" si="34"/>
        <v>100</v>
      </c>
      <c r="CR50" s="163">
        <f t="shared" si="34"/>
        <v>100</v>
      </c>
      <c r="CS50" s="163">
        <f t="shared" si="34"/>
        <v>100</v>
      </c>
      <c r="CT50" s="163">
        <f t="shared" si="34"/>
        <v>100</v>
      </c>
      <c r="CU50" s="163">
        <f t="shared" si="34"/>
        <v>100</v>
      </c>
      <c r="CV50" s="163">
        <f t="shared" si="34"/>
        <v>100</v>
      </c>
      <c r="CW50" s="163">
        <f t="shared" si="34"/>
        <v>100</v>
      </c>
      <c r="CX50" s="163">
        <f t="shared" si="34"/>
        <v>100</v>
      </c>
      <c r="CY50" s="163">
        <f t="shared" si="34"/>
        <v>100</v>
      </c>
      <c r="CZ50" s="163">
        <f t="shared" si="34"/>
        <v>100</v>
      </c>
      <c r="DA50" s="163">
        <f t="shared" si="34"/>
        <v>100</v>
      </c>
      <c r="DB50" s="163">
        <f t="shared" ref="DB50:EA50" si="35" xml:space="preserve"> DB47 + DB49</f>
        <v>100</v>
      </c>
      <c r="DC50" s="163">
        <f t="shared" si="35"/>
        <v>100</v>
      </c>
      <c r="DD50" s="163">
        <f t="shared" si="35"/>
        <v>100</v>
      </c>
      <c r="DE50" s="163">
        <f t="shared" si="35"/>
        <v>100</v>
      </c>
      <c r="DF50" s="163">
        <f t="shared" si="35"/>
        <v>100</v>
      </c>
      <c r="DG50" s="163">
        <f t="shared" si="35"/>
        <v>100</v>
      </c>
      <c r="DH50" s="163">
        <f t="shared" si="35"/>
        <v>100</v>
      </c>
      <c r="DI50" s="163">
        <f t="shared" si="35"/>
        <v>0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10000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100</v>
      </c>
      <c r="N53" s="163">
        <f t="shared" si="36"/>
        <v>100</v>
      </c>
      <c r="O53" s="163">
        <f t="shared" si="36"/>
        <v>100</v>
      </c>
      <c r="P53" s="163">
        <f t="shared" si="36"/>
        <v>100</v>
      </c>
      <c r="Q53" s="163">
        <f t="shared" si="36"/>
        <v>100</v>
      </c>
      <c r="R53" s="163">
        <f t="shared" si="36"/>
        <v>100</v>
      </c>
      <c r="S53" s="163">
        <f t="shared" si="36"/>
        <v>100</v>
      </c>
      <c r="T53" s="163">
        <f t="shared" si="36"/>
        <v>100</v>
      </c>
      <c r="U53" s="163">
        <f t="shared" si="36"/>
        <v>100</v>
      </c>
      <c r="V53" s="163">
        <f t="shared" si="36"/>
        <v>100</v>
      </c>
      <c r="W53" s="163">
        <f t="shared" si="36"/>
        <v>100</v>
      </c>
      <c r="X53" s="163">
        <f t="shared" si="36"/>
        <v>100</v>
      </c>
      <c r="Y53" s="163">
        <f t="shared" si="36"/>
        <v>100</v>
      </c>
      <c r="Z53" s="163">
        <f t="shared" si="36"/>
        <v>100</v>
      </c>
      <c r="AA53" s="163">
        <f t="shared" si="36"/>
        <v>100</v>
      </c>
      <c r="AB53" s="163">
        <f t="shared" si="36"/>
        <v>100</v>
      </c>
      <c r="AC53" s="163">
        <f t="shared" si="36"/>
        <v>100</v>
      </c>
      <c r="AD53" s="163">
        <f t="shared" si="36"/>
        <v>100</v>
      </c>
      <c r="AE53" s="163">
        <f t="shared" si="36"/>
        <v>100</v>
      </c>
      <c r="AF53" s="163">
        <f t="shared" si="36"/>
        <v>100</v>
      </c>
      <c r="AG53" s="163">
        <f t="shared" si="36"/>
        <v>100</v>
      </c>
      <c r="AH53" s="163">
        <f t="shared" si="36"/>
        <v>100</v>
      </c>
      <c r="AI53" s="163">
        <f t="shared" si="36"/>
        <v>100</v>
      </c>
      <c r="AJ53" s="163">
        <f t="shared" si="36"/>
        <v>100</v>
      </c>
      <c r="AK53" s="163">
        <f t="shared" si="36"/>
        <v>100</v>
      </c>
      <c r="AL53" s="163">
        <f t="shared" si="36"/>
        <v>100</v>
      </c>
      <c r="AM53" s="163">
        <f t="shared" si="36"/>
        <v>100</v>
      </c>
      <c r="AN53" s="163">
        <f t="shared" si="36"/>
        <v>100</v>
      </c>
      <c r="AO53" s="163">
        <f t="shared" si="36"/>
        <v>100</v>
      </c>
      <c r="AP53" s="163">
        <f t="shared" si="36"/>
        <v>100</v>
      </c>
      <c r="AQ53" s="163">
        <f t="shared" si="36"/>
        <v>100</v>
      </c>
      <c r="AR53" s="163">
        <f t="shared" si="36"/>
        <v>100</v>
      </c>
      <c r="AS53" s="163">
        <f t="shared" si="36"/>
        <v>100</v>
      </c>
      <c r="AT53" s="163">
        <f t="shared" si="36"/>
        <v>100</v>
      </c>
      <c r="AU53" s="163">
        <f t="shared" si="36"/>
        <v>100</v>
      </c>
      <c r="AV53" s="163">
        <f t="shared" si="36"/>
        <v>100</v>
      </c>
      <c r="AW53" s="163">
        <f t="shared" si="36"/>
        <v>100</v>
      </c>
      <c r="AX53" s="163">
        <f t="shared" si="36"/>
        <v>100</v>
      </c>
      <c r="AY53" s="163">
        <f t="shared" si="36"/>
        <v>100</v>
      </c>
      <c r="AZ53" s="163">
        <f t="shared" si="36"/>
        <v>100</v>
      </c>
      <c r="BA53" s="163">
        <f t="shared" si="36"/>
        <v>100</v>
      </c>
      <c r="BB53" s="163">
        <f t="shared" si="36"/>
        <v>100</v>
      </c>
      <c r="BC53" s="163">
        <f t="shared" si="36"/>
        <v>100</v>
      </c>
      <c r="BD53" s="163">
        <f t="shared" si="36"/>
        <v>100</v>
      </c>
      <c r="BE53" s="163">
        <f t="shared" si="36"/>
        <v>100</v>
      </c>
      <c r="BF53" s="163">
        <f t="shared" si="36"/>
        <v>100</v>
      </c>
      <c r="BG53" s="163">
        <f t="shared" si="36"/>
        <v>100</v>
      </c>
      <c r="BH53" s="163">
        <f t="shared" si="36"/>
        <v>100</v>
      </c>
      <c r="BI53" s="163">
        <f t="shared" si="36"/>
        <v>100</v>
      </c>
      <c r="BJ53" s="163">
        <f t="shared" si="36"/>
        <v>100</v>
      </c>
      <c r="BK53" s="163">
        <f t="shared" si="36"/>
        <v>100</v>
      </c>
      <c r="BL53" s="163">
        <f t="shared" si="36"/>
        <v>100</v>
      </c>
      <c r="BM53" s="163">
        <f t="shared" si="36"/>
        <v>100</v>
      </c>
      <c r="BN53" s="163">
        <f t="shared" si="36"/>
        <v>100</v>
      </c>
      <c r="BO53" s="163">
        <f t="shared" si="36"/>
        <v>100</v>
      </c>
      <c r="BP53" s="163">
        <f t="shared" si="36"/>
        <v>100</v>
      </c>
      <c r="BQ53" s="163">
        <f t="shared" si="36"/>
        <v>100</v>
      </c>
      <c r="BR53" s="163">
        <f t="shared" si="36"/>
        <v>100</v>
      </c>
      <c r="BS53" s="163">
        <f t="shared" si="36"/>
        <v>100</v>
      </c>
      <c r="BT53" s="163">
        <f t="shared" si="36"/>
        <v>100</v>
      </c>
      <c r="BU53" s="163">
        <f t="shared" si="36"/>
        <v>100</v>
      </c>
      <c r="BV53" s="163">
        <f t="shared" si="36"/>
        <v>100</v>
      </c>
      <c r="BW53" s="163">
        <f t="shared" ref="BW53:EA53" si="37" xml:space="preserve"> BW50 + BW52</f>
        <v>100</v>
      </c>
      <c r="BX53" s="163">
        <f t="shared" si="37"/>
        <v>100</v>
      </c>
      <c r="BY53" s="163">
        <f t="shared" si="37"/>
        <v>100</v>
      </c>
      <c r="BZ53" s="163">
        <f t="shared" si="37"/>
        <v>100</v>
      </c>
      <c r="CA53" s="163">
        <f t="shared" si="37"/>
        <v>100</v>
      </c>
      <c r="CB53" s="163">
        <f t="shared" si="37"/>
        <v>100</v>
      </c>
      <c r="CC53" s="163">
        <f t="shared" si="37"/>
        <v>100</v>
      </c>
      <c r="CD53" s="163">
        <f t="shared" si="37"/>
        <v>100</v>
      </c>
      <c r="CE53" s="163">
        <f t="shared" si="37"/>
        <v>100</v>
      </c>
      <c r="CF53" s="163">
        <f t="shared" si="37"/>
        <v>100</v>
      </c>
      <c r="CG53" s="163">
        <f t="shared" si="37"/>
        <v>100</v>
      </c>
      <c r="CH53" s="163">
        <f t="shared" si="37"/>
        <v>100</v>
      </c>
      <c r="CI53" s="163">
        <f t="shared" si="37"/>
        <v>100</v>
      </c>
      <c r="CJ53" s="163">
        <f t="shared" si="37"/>
        <v>100</v>
      </c>
      <c r="CK53" s="163">
        <f t="shared" si="37"/>
        <v>100</v>
      </c>
      <c r="CL53" s="163">
        <f t="shared" si="37"/>
        <v>100</v>
      </c>
      <c r="CM53" s="163">
        <f t="shared" si="37"/>
        <v>100</v>
      </c>
      <c r="CN53" s="163">
        <f t="shared" si="37"/>
        <v>100</v>
      </c>
      <c r="CO53" s="163">
        <f t="shared" si="37"/>
        <v>100</v>
      </c>
      <c r="CP53" s="163">
        <f t="shared" si="37"/>
        <v>100</v>
      </c>
      <c r="CQ53" s="163">
        <f t="shared" si="37"/>
        <v>100</v>
      </c>
      <c r="CR53" s="163">
        <f t="shared" si="37"/>
        <v>100</v>
      </c>
      <c r="CS53" s="163">
        <f t="shared" si="37"/>
        <v>100</v>
      </c>
      <c r="CT53" s="163">
        <f t="shared" si="37"/>
        <v>100</v>
      </c>
      <c r="CU53" s="163">
        <f t="shared" si="37"/>
        <v>100</v>
      </c>
      <c r="CV53" s="163">
        <f t="shared" si="37"/>
        <v>100</v>
      </c>
      <c r="CW53" s="163">
        <f t="shared" si="37"/>
        <v>100</v>
      </c>
      <c r="CX53" s="163">
        <f t="shared" si="37"/>
        <v>100</v>
      </c>
      <c r="CY53" s="163">
        <f t="shared" si="37"/>
        <v>100</v>
      </c>
      <c r="CZ53" s="163">
        <f t="shared" si="37"/>
        <v>100</v>
      </c>
      <c r="DA53" s="163">
        <f t="shared" si="37"/>
        <v>100</v>
      </c>
      <c r="DB53" s="163">
        <f t="shared" si="37"/>
        <v>100</v>
      </c>
      <c r="DC53" s="163">
        <f t="shared" si="37"/>
        <v>100</v>
      </c>
      <c r="DD53" s="163">
        <f t="shared" si="37"/>
        <v>100</v>
      </c>
      <c r="DE53" s="163">
        <f t="shared" si="37"/>
        <v>100</v>
      </c>
      <c r="DF53" s="163">
        <f t="shared" si="37"/>
        <v>100</v>
      </c>
      <c r="DG53" s="163">
        <f t="shared" si="37"/>
        <v>100</v>
      </c>
      <c r="DH53" s="163">
        <f t="shared" si="37"/>
        <v>100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143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473" t="s">
        <v>189</v>
      </c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  <c r="AL63" s="473"/>
      <c r="AM63" s="473"/>
      <c r="AN63" s="473"/>
      <c r="AO63" s="473"/>
      <c r="AP63" s="473"/>
      <c r="AQ63" s="473"/>
      <c r="AR63" s="473"/>
      <c r="AS63" s="473"/>
      <c r="AT63" s="473"/>
      <c r="AU63" s="473"/>
      <c r="AV63" s="473"/>
      <c r="AW63" s="473"/>
      <c r="AX63" s="473"/>
      <c r="AY63" s="473"/>
      <c r="AZ63" s="473"/>
      <c r="BA63" s="473"/>
      <c r="BB63" s="473"/>
      <c r="BC63" s="473"/>
      <c r="BD63" s="473"/>
      <c r="BE63" s="473"/>
      <c r="BF63" s="473"/>
      <c r="BG63" s="473"/>
      <c r="BH63" s="473"/>
      <c r="BI63" s="473"/>
      <c r="BJ63" s="473"/>
      <c r="BK63" s="473"/>
      <c r="BL63" s="473"/>
      <c r="BM63" s="473"/>
      <c r="BN63" s="473"/>
      <c r="BO63" s="473"/>
      <c r="BP63" s="473"/>
      <c r="BQ63" s="473"/>
      <c r="BR63" s="473"/>
      <c r="BS63" s="473"/>
      <c r="BT63" s="473"/>
      <c r="BU63" s="473"/>
      <c r="BV63" s="473"/>
      <c r="BW63" s="473"/>
      <c r="BX63" s="473"/>
      <c r="BY63" s="473"/>
      <c r="BZ63" s="473"/>
      <c r="CA63" s="473"/>
      <c r="CB63" s="473"/>
      <c r="CC63" s="473"/>
      <c r="CD63" s="473"/>
      <c r="CE63" s="473"/>
      <c r="CF63" s="473"/>
      <c r="CG63" s="473"/>
      <c r="CH63" s="473"/>
      <c r="CI63" s="473"/>
      <c r="CJ63" s="473"/>
      <c r="CK63" s="473"/>
      <c r="CL63" s="473"/>
      <c r="CM63" s="473"/>
      <c r="CN63" s="473"/>
      <c r="CO63" s="473"/>
      <c r="CP63" s="473"/>
      <c r="CQ63" s="473"/>
      <c r="CR63" s="473"/>
      <c r="CS63" s="473"/>
      <c r="CT63" s="473"/>
      <c r="CU63" s="473"/>
      <c r="CV63" s="473"/>
      <c r="CW63" s="473"/>
      <c r="CX63" s="473"/>
      <c r="CY63" s="473"/>
      <c r="CZ63" s="473"/>
      <c r="DA63" s="473"/>
      <c r="DB63" s="473"/>
      <c r="DC63" s="473"/>
      <c r="DD63" s="473"/>
      <c r="DE63" s="473"/>
      <c r="DF63" s="473"/>
      <c r="DG63" s="473"/>
      <c r="DH63" s="473"/>
      <c r="DI63" s="473"/>
      <c r="DJ63" s="473"/>
      <c r="DK63" s="473"/>
      <c r="DL63" s="473"/>
      <c r="DM63" s="473"/>
      <c r="DN63" s="473"/>
      <c r="DO63" s="473"/>
      <c r="DP63" s="473"/>
      <c r="DQ63" s="473"/>
      <c r="DR63" s="473"/>
      <c r="DS63" s="473"/>
      <c r="DT63" s="473"/>
      <c r="DU63" s="473"/>
      <c r="DV63" s="473"/>
      <c r="DW63" s="473"/>
      <c r="DX63" s="473"/>
      <c r="DY63" s="473"/>
      <c r="DZ63" s="473"/>
      <c r="EA63" s="473"/>
    </row>
    <row r="64" spans="1:131" outlineLevel="1" x14ac:dyDescent="0.35">
      <c r="A64" s="160"/>
      <c r="D64" s="164"/>
      <c r="E64" s="341" t="s">
        <v>144</v>
      </c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  <c r="BJ64" s="341"/>
      <c r="BK64" s="341"/>
      <c r="BL64" s="341"/>
      <c r="BM64" s="341"/>
      <c r="BN64" s="341"/>
      <c r="BO64" s="341"/>
      <c r="BP64" s="341"/>
      <c r="BQ64" s="341"/>
      <c r="BR64" s="341"/>
      <c r="BS64" s="341"/>
      <c r="BT64" s="341"/>
      <c r="BU64" s="341"/>
      <c r="BV64" s="341"/>
      <c r="BW64" s="341"/>
      <c r="BX64" s="341"/>
      <c r="BY64" s="341"/>
      <c r="BZ64" s="341"/>
      <c r="CA64" s="341"/>
      <c r="CB64" s="341"/>
      <c r="CC64" s="341"/>
      <c r="CD64" s="341"/>
      <c r="CE64" s="341"/>
      <c r="CF64" s="341"/>
      <c r="CG64" s="341"/>
      <c r="CH64" s="341"/>
      <c r="CI64" s="341"/>
      <c r="CJ64" s="341"/>
      <c r="CK64" s="341"/>
      <c r="CL64" s="341"/>
      <c r="CM64" s="341"/>
      <c r="CN64" s="341"/>
      <c r="CO64" s="341"/>
      <c r="CP64" s="341"/>
      <c r="CQ64" s="341"/>
      <c r="CR64" s="341"/>
      <c r="CS64" s="341"/>
      <c r="CT64" s="341"/>
      <c r="CU64" s="341"/>
      <c r="CV64" s="341"/>
      <c r="CW64" s="341"/>
      <c r="CX64" s="341"/>
      <c r="CY64" s="341"/>
      <c r="CZ64" s="341"/>
      <c r="DA64" s="341"/>
      <c r="DB64" s="341"/>
      <c r="DC64" s="341"/>
      <c r="DD64" s="341"/>
      <c r="DE64" s="341"/>
      <c r="DF64" s="341"/>
      <c r="DG64" s="341"/>
      <c r="DH64" s="341"/>
      <c r="DI64" s="341"/>
      <c r="DJ64" s="341"/>
      <c r="DK64" s="341"/>
      <c r="DL64" s="341"/>
      <c r="DM64" s="341"/>
      <c r="DN64" s="341"/>
      <c r="DO64" s="341"/>
      <c r="DP64" s="341"/>
      <c r="DQ64" s="341"/>
      <c r="DR64" s="341"/>
      <c r="DS64" s="341"/>
      <c r="DT64" s="341"/>
      <c r="DU64" s="341"/>
      <c r="DV64" s="341"/>
      <c r="DW64" s="341"/>
      <c r="DX64" s="341"/>
      <c r="DY64" s="341"/>
      <c r="DZ64" s="341"/>
      <c r="EA64" s="341"/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0</v>
      </c>
      <c r="N65" s="188">
        <f t="shared" si="42"/>
        <v>0</v>
      </c>
      <c r="O65" s="188">
        <f t="shared" si="42"/>
        <v>0</v>
      </c>
      <c r="P65" s="188">
        <f t="shared" si="42"/>
        <v>0</v>
      </c>
      <c r="Q65" s="188">
        <f t="shared" si="42"/>
        <v>0</v>
      </c>
      <c r="R65" s="188">
        <f t="shared" si="42"/>
        <v>0</v>
      </c>
      <c r="S65" s="188">
        <f t="shared" si="42"/>
        <v>0</v>
      </c>
      <c r="T65" s="188">
        <f t="shared" si="42"/>
        <v>0</v>
      </c>
      <c r="U65" s="188">
        <f t="shared" si="42"/>
        <v>0</v>
      </c>
      <c r="V65" s="188">
        <f t="shared" si="42"/>
        <v>0</v>
      </c>
      <c r="W65" s="188">
        <f t="shared" si="42"/>
        <v>0</v>
      </c>
      <c r="X65" s="188">
        <f t="shared" si="42"/>
        <v>0</v>
      </c>
      <c r="Y65" s="188">
        <f t="shared" si="42"/>
        <v>0</v>
      </c>
      <c r="Z65" s="188">
        <f t="shared" si="42"/>
        <v>0</v>
      </c>
      <c r="AA65" s="188">
        <f t="shared" si="42"/>
        <v>0</v>
      </c>
      <c r="AB65" s="188">
        <f t="shared" si="42"/>
        <v>0</v>
      </c>
      <c r="AC65" s="188">
        <f t="shared" si="42"/>
        <v>0</v>
      </c>
      <c r="AD65" s="188">
        <f t="shared" si="42"/>
        <v>0</v>
      </c>
      <c r="AE65" s="188">
        <f t="shared" si="42"/>
        <v>0</v>
      </c>
      <c r="AF65" s="188">
        <f t="shared" si="42"/>
        <v>0</v>
      </c>
      <c r="AG65" s="188">
        <f t="shared" si="42"/>
        <v>0</v>
      </c>
      <c r="AH65" s="188">
        <f t="shared" si="42"/>
        <v>0</v>
      </c>
      <c r="AI65" s="188">
        <f t="shared" si="42"/>
        <v>0</v>
      </c>
      <c r="AJ65" s="188">
        <f t="shared" si="42"/>
        <v>0</v>
      </c>
      <c r="AK65" s="188">
        <f t="shared" si="42"/>
        <v>0</v>
      </c>
      <c r="AL65" s="188">
        <f t="shared" si="42"/>
        <v>0</v>
      </c>
      <c r="AM65" s="188">
        <f t="shared" si="42"/>
        <v>0</v>
      </c>
      <c r="AN65" s="188">
        <f t="shared" si="42"/>
        <v>0</v>
      </c>
      <c r="AO65" s="188">
        <f t="shared" si="42"/>
        <v>0</v>
      </c>
      <c r="AP65" s="188">
        <f t="shared" ref="AP65:BU65" si="43">SUM(AP63:AP64)</f>
        <v>0</v>
      </c>
      <c r="AQ65" s="188">
        <f t="shared" si="43"/>
        <v>0</v>
      </c>
      <c r="AR65" s="188">
        <f t="shared" si="43"/>
        <v>0</v>
      </c>
      <c r="AS65" s="188">
        <f t="shared" si="43"/>
        <v>0</v>
      </c>
      <c r="AT65" s="188">
        <f t="shared" si="43"/>
        <v>0</v>
      </c>
      <c r="AU65" s="188">
        <f t="shared" si="43"/>
        <v>0</v>
      </c>
      <c r="AV65" s="188">
        <f t="shared" si="43"/>
        <v>0</v>
      </c>
      <c r="AW65" s="188">
        <f t="shared" si="43"/>
        <v>0</v>
      </c>
      <c r="AX65" s="188">
        <f t="shared" si="43"/>
        <v>0</v>
      </c>
      <c r="AY65" s="188">
        <f t="shared" si="43"/>
        <v>0</v>
      </c>
      <c r="AZ65" s="188">
        <f t="shared" si="43"/>
        <v>0</v>
      </c>
      <c r="BA65" s="188">
        <f t="shared" si="43"/>
        <v>0</v>
      </c>
      <c r="BB65" s="188">
        <f t="shared" si="43"/>
        <v>0</v>
      </c>
      <c r="BC65" s="188">
        <f t="shared" si="43"/>
        <v>0</v>
      </c>
      <c r="BD65" s="188">
        <f t="shared" si="43"/>
        <v>0</v>
      </c>
      <c r="BE65" s="188">
        <f t="shared" si="43"/>
        <v>0</v>
      </c>
      <c r="BF65" s="188">
        <f t="shared" si="43"/>
        <v>0</v>
      </c>
      <c r="BG65" s="188">
        <f t="shared" si="43"/>
        <v>0</v>
      </c>
      <c r="BH65" s="188">
        <f t="shared" si="43"/>
        <v>0</v>
      </c>
      <c r="BI65" s="188">
        <f t="shared" si="43"/>
        <v>0</v>
      </c>
      <c r="BJ65" s="188">
        <f t="shared" si="43"/>
        <v>0</v>
      </c>
      <c r="BK65" s="188">
        <f t="shared" si="43"/>
        <v>0</v>
      </c>
      <c r="BL65" s="188">
        <f t="shared" si="43"/>
        <v>0</v>
      </c>
      <c r="BM65" s="188">
        <f t="shared" si="43"/>
        <v>0</v>
      </c>
      <c r="BN65" s="188">
        <f t="shared" si="43"/>
        <v>0</v>
      </c>
      <c r="BO65" s="188">
        <f t="shared" si="43"/>
        <v>0</v>
      </c>
      <c r="BP65" s="188">
        <f t="shared" si="43"/>
        <v>0</v>
      </c>
      <c r="BQ65" s="188">
        <f t="shared" si="43"/>
        <v>0</v>
      </c>
      <c r="BR65" s="188">
        <f t="shared" si="43"/>
        <v>0</v>
      </c>
      <c r="BS65" s="188">
        <f t="shared" si="43"/>
        <v>0</v>
      </c>
      <c r="BT65" s="188">
        <f t="shared" si="43"/>
        <v>0</v>
      </c>
      <c r="BU65" s="188">
        <f t="shared" si="43"/>
        <v>0</v>
      </c>
      <c r="BV65" s="188">
        <f t="shared" ref="BV65:DA65" si="44">SUM(BV63:BV64)</f>
        <v>0</v>
      </c>
      <c r="BW65" s="188">
        <f t="shared" si="44"/>
        <v>0</v>
      </c>
      <c r="BX65" s="188">
        <f t="shared" si="44"/>
        <v>0</v>
      </c>
      <c r="BY65" s="188">
        <f t="shared" si="44"/>
        <v>0</v>
      </c>
      <c r="BZ65" s="188">
        <f t="shared" si="44"/>
        <v>0</v>
      </c>
      <c r="CA65" s="188">
        <f t="shared" si="44"/>
        <v>0</v>
      </c>
      <c r="CB65" s="188">
        <f t="shared" si="44"/>
        <v>0</v>
      </c>
      <c r="CC65" s="188">
        <f t="shared" si="44"/>
        <v>0</v>
      </c>
      <c r="CD65" s="188">
        <f t="shared" si="44"/>
        <v>0</v>
      </c>
      <c r="CE65" s="188">
        <f t="shared" si="44"/>
        <v>0</v>
      </c>
      <c r="CF65" s="188">
        <f t="shared" si="44"/>
        <v>0</v>
      </c>
      <c r="CG65" s="188">
        <f t="shared" si="44"/>
        <v>0</v>
      </c>
      <c r="CH65" s="188">
        <f t="shared" si="44"/>
        <v>0</v>
      </c>
      <c r="CI65" s="188">
        <f t="shared" si="44"/>
        <v>0</v>
      </c>
      <c r="CJ65" s="188">
        <f t="shared" si="44"/>
        <v>0</v>
      </c>
      <c r="CK65" s="188">
        <f t="shared" si="44"/>
        <v>0</v>
      </c>
      <c r="CL65" s="188">
        <f t="shared" si="44"/>
        <v>0</v>
      </c>
      <c r="CM65" s="188">
        <f t="shared" si="44"/>
        <v>0</v>
      </c>
      <c r="CN65" s="188">
        <f t="shared" si="44"/>
        <v>0</v>
      </c>
      <c r="CO65" s="188">
        <f t="shared" si="44"/>
        <v>0</v>
      </c>
      <c r="CP65" s="188">
        <f t="shared" si="44"/>
        <v>0</v>
      </c>
      <c r="CQ65" s="188">
        <f t="shared" si="44"/>
        <v>0</v>
      </c>
      <c r="CR65" s="188">
        <f t="shared" si="44"/>
        <v>0</v>
      </c>
      <c r="CS65" s="188">
        <f t="shared" si="44"/>
        <v>0</v>
      </c>
      <c r="CT65" s="188">
        <f t="shared" si="44"/>
        <v>0</v>
      </c>
      <c r="CU65" s="188">
        <f t="shared" si="44"/>
        <v>0</v>
      </c>
      <c r="CV65" s="188">
        <f t="shared" si="44"/>
        <v>0</v>
      </c>
      <c r="CW65" s="188">
        <f t="shared" si="44"/>
        <v>0</v>
      </c>
      <c r="CX65" s="188">
        <f t="shared" si="44"/>
        <v>0</v>
      </c>
      <c r="CY65" s="188">
        <f t="shared" si="44"/>
        <v>0</v>
      </c>
      <c r="CZ65" s="188">
        <f t="shared" si="44"/>
        <v>0</v>
      </c>
      <c r="DA65" s="188">
        <f t="shared" si="44"/>
        <v>0</v>
      </c>
      <c r="DB65" s="188">
        <f t="shared" ref="DB65:EA65" si="45">SUM(DB63:DB64)</f>
        <v>0</v>
      </c>
      <c r="DC65" s="188">
        <f t="shared" si="45"/>
        <v>0</v>
      </c>
      <c r="DD65" s="188">
        <f t="shared" si="45"/>
        <v>0</v>
      </c>
      <c r="DE65" s="188">
        <f t="shared" si="45"/>
        <v>0</v>
      </c>
      <c r="DF65" s="188">
        <f t="shared" si="45"/>
        <v>0</v>
      </c>
      <c r="DG65" s="188">
        <f t="shared" si="45"/>
        <v>0</v>
      </c>
      <c r="DH65" s="188">
        <f t="shared" si="45"/>
        <v>0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0</v>
      </c>
      <c r="N67" s="163">
        <f t="shared" si="46"/>
        <v>0</v>
      </c>
      <c r="O67" s="163">
        <f t="shared" si="46"/>
        <v>0</v>
      </c>
      <c r="P67" s="163">
        <f t="shared" si="46"/>
        <v>0</v>
      </c>
      <c r="Q67" s="163">
        <f t="shared" si="46"/>
        <v>0</v>
      </c>
      <c r="R67" s="163">
        <f t="shared" si="46"/>
        <v>0</v>
      </c>
      <c r="S67" s="163">
        <f t="shared" si="46"/>
        <v>0</v>
      </c>
      <c r="T67" s="163">
        <f t="shared" si="46"/>
        <v>0</v>
      </c>
      <c r="U67" s="163">
        <f t="shared" si="46"/>
        <v>0</v>
      </c>
      <c r="V67" s="163">
        <f t="shared" si="46"/>
        <v>0</v>
      </c>
      <c r="W67" s="163">
        <f t="shared" si="46"/>
        <v>0</v>
      </c>
      <c r="X67" s="163">
        <f t="shared" si="46"/>
        <v>0</v>
      </c>
      <c r="Y67" s="163">
        <f t="shared" si="46"/>
        <v>0</v>
      </c>
      <c r="Z67" s="163">
        <f t="shared" si="46"/>
        <v>0</v>
      </c>
      <c r="AA67" s="163">
        <f t="shared" si="46"/>
        <v>0</v>
      </c>
      <c r="AB67" s="163">
        <f t="shared" si="46"/>
        <v>0</v>
      </c>
      <c r="AC67" s="163">
        <f t="shared" si="46"/>
        <v>0</v>
      </c>
      <c r="AD67" s="163">
        <f t="shared" si="46"/>
        <v>0</v>
      </c>
      <c r="AE67" s="163">
        <f t="shared" si="46"/>
        <v>0</v>
      </c>
      <c r="AF67" s="163">
        <f t="shared" si="46"/>
        <v>0</v>
      </c>
      <c r="AG67" s="163">
        <f t="shared" si="46"/>
        <v>0</v>
      </c>
      <c r="AH67" s="163">
        <f t="shared" si="46"/>
        <v>0</v>
      </c>
      <c r="AI67" s="163">
        <f t="shared" si="46"/>
        <v>0</v>
      </c>
      <c r="AJ67" s="163">
        <f t="shared" si="46"/>
        <v>0</v>
      </c>
      <c r="AK67" s="163">
        <f t="shared" si="46"/>
        <v>0</v>
      </c>
      <c r="AL67" s="163">
        <f t="shared" si="46"/>
        <v>0</v>
      </c>
      <c r="AM67" s="163">
        <f t="shared" si="46"/>
        <v>0</v>
      </c>
      <c r="AN67" s="163">
        <f t="shared" si="46"/>
        <v>0</v>
      </c>
      <c r="AO67" s="163">
        <f t="shared" si="46"/>
        <v>0</v>
      </c>
      <c r="AP67" s="163">
        <f t="shared" ref="AP67:BU67" si="47" xml:space="preserve"> AP65 + AP60</f>
        <v>0</v>
      </c>
      <c r="AQ67" s="163">
        <f t="shared" si="47"/>
        <v>0</v>
      </c>
      <c r="AR67" s="163">
        <f t="shared" si="47"/>
        <v>0</v>
      </c>
      <c r="AS67" s="163">
        <f t="shared" si="47"/>
        <v>0</v>
      </c>
      <c r="AT67" s="163">
        <f t="shared" si="47"/>
        <v>0</v>
      </c>
      <c r="AU67" s="163">
        <f t="shared" si="47"/>
        <v>0</v>
      </c>
      <c r="AV67" s="163">
        <f t="shared" si="47"/>
        <v>0</v>
      </c>
      <c r="AW67" s="163">
        <f t="shared" si="47"/>
        <v>0</v>
      </c>
      <c r="AX67" s="163">
        <f t="shared" si="47"/>
        <v>0</v>
      </c>
      <c r="AY67" s="163">
        <f t="shared" si="47"/>
        <v>0</v>
      </c>
      <c r="AZ67" s="163">
        <f t="shared" si="47"/>
        <v>0</v>
      </c>
      <c r="BA67" s="163">
        <f t="shared" si="47"/>
        <v>0</v>
      </c>
      <c r="BB67" s="163">
        <f t="shared" si="47"/>
        <v>0</v>
      </c>
      <c r="BC67" s="163">
        <f t="shared" si="47"/>
        <v>0</v>
      </c>
      <c r="BD67" s="163">
        <f t="shared" si="47"/>
        <v>0</v>
      </c>
      <c r="BE67" s="163">
        <f t="shared" si="47"/>
        <v>0</v>
      </c>
      <c r="BF67" s="163">
        <f t="shared" si="47"/>
        <v>0</v>
      </c>
      <c r="BG67" s="163">
        <f t="shared" si="47"/>
        <v>0</v>
      </c>
      <c r="BH67" s="163">
        <f t="shared" si="47"/>
        <v>0</v>
      </c>
      <c r="BI67" s="163">
        <f t="shared" si="47"/>
        <v>0</v>
      </c>
      <c r="BJ67" s="163">
        <f t="shared" si="47"/>
        <v>0</v>
      </c>
      <c r="BK67" s="163">
        <f t="shared" si="47"/>
        <v>0</v>
      </c>
      <c r="BL67" s="163">
        <f t="shared" si="47"/>
        <v>0</v>
      </c>
      <c r="BM67" s="163">
        <f t="shared" si="47"/>
        <v>0</v>
      </c>
      <c r="BN67" s="163">
        <f t="shared" si="47"/>
        <v>0</v>
      </c>
      <c r="BO67" s="163">
        <f t="shared" si="47"/>
        <v>0</v>
      </c>
      <c r="BP67" s="163">
        <f t="shared" si="47"/>
        <v>0</v>
      </c>
      <c r="BQ67" s="163">
        <f t="shared" si="47"/>
        <v>0</v>
      </c>
      <c r="BR67" s="163">
        <f t="shared" si="47"/>
        <v>0</v>
      </c>
      <c r="BS67" s="163">
        <f t="shared" si="47"/>
        <v>0</v>
      </c>
      <c r="BT67" s="163">
        <f t="shared" si="47"/>
        <v>0</v>
      </c>
      <c r="BU67" s="163">
        <f t="shared" si="47"/>
        <v>0</v>
      </c>
      <c r="BV67" s="163">
        <f t="shared" ref="BV67:DA67" si="48" xml:space="preserve"> BV65 + BV60</f>
        <v>0</v>
      </c>
      <c r="BW67" s="163">
        <f t="shared" si="48"/>
        <v>0</v>
      </c>
      <c r="BX67" s="163">
        <f t="shared" si="48"/>
        <v>0</v>
      </c>
      <c r="BY67" s="163">
        <f t="shared" si="48"/>
        <v>0</v>
      </c>
      <c r="BZ67" s="163">
        <f t="shared" si="48"/>
        <v>0</v>
      </c>
      <c r="CA67" s="163">
        <f t="shared" si="48"/>
        <v>0</v>
      </c>
      <c r="CB67" s="163">
        <f t="shared" si="48"/>
        <v>0</v>
      </c>
      <c r="CC67" s="163">
        <f t="shared" si="48"/>
        <v>0</v>
      </c>
      <c r="CD67" s="163">
        <f t="shared" si="48"/>
        <v>0</v>
      </c>
      <c r="CE67" s="163">
        <f t="shared" si="48"/>
        <v>0</v>
      </c>
      <c r="CF67" s="163">
        <f t="shared" si="48"/>
        <v>0</v>
      </c>
      <c r="CG67" s="163">
        <f t="shared" si="48"/>
        <v>0</v>
      </c>
      <c r="CH67" s="163">
        <f t="shared" si="48"/>
        <v>0</v>
      </c>
      <c r="CI67" s="163">
        <f t="shared" si="48"/>
        <v>0</v>
      </c>
      <c r="CJ67" s="163">
        <f t="shared" si="48"/>
        <v>0</v>
      </c>
      <c r="CK67" s="163">
        <f t="shared" si="48"/>
        <v>0</v>
      </c>
      <c r="CL67" s="163">
        <f t="shared" si="48"/>
        <v>0</v>
      </c>
      <c r="CM67" s="163">
        <f t="shared" si="48"/>
        <v>0</v>
      </c>
      <c r="CN67" s="163">
        <f t="shared" si="48"/>
        <v>0</v>
      </c>
      <c r="CO67" s="163">
        <f t="shared" si="48"/>
        <v>0</v>
      </c>
      <c r="CP67" s="163">
        <f t="shared" si="48"/>
        <v>0</v>
      </c>
      <c r="CQ67" s="163">
        <f t="shared" si="48"/>
        <v>0</v>
      </c>
      <c r="CR67" s="163">
        <f t="shared" si="48"/>
        <v>0</v>
      </c>
      <c r="CS67" s="163">
        <f t="shared" si="48"/>
        <v>0</v>
      </c>
      <c r="CT67" s="163">
        <f t="shared" si="48"/>
        <v>0</v>
      </c>
      <c r="CU67" s="163">
        <f t="shared" si="48"/>
        <v>0</v>
      </c>
      <c r="CV67" s="163">
        <f t="shared" si="48"/>
        <v>0</v>
      </c>
      <c r="CW67" s="163">
        <f t="shared" si="48"/>
        <v>0</v>
      </c>
      <c r="CX67" s="163">
        <f t="shared" si="48"/>
        <v>0</v>
      </c>
      <c r="CY67" s="163">
        <f t="shared" si="48"/>
        <v>0</v>
      </c>
      <c r="CZ67" s="163">
        <f t="shared" si="48"/>
        <v>0</v>
      </c>
      <c r="DA67" s="163">
        <f t="shared" si="48"/>
        <v>0</v>
      </c>
      <c r="DB67" s="163">
        <f t="shared" ref="DB67:EA67" si="49" xml:space="preserve"> DB65 + DB60</f>
        <v>0</v>
      </c>
      <c r="DC67" s="163">
        <f t="shared" si="49"/>
        <v>0</v>
      </c>
      <c r="DD67" s="163">
        <f t="shared" si="49"/>
        <v>0</v>
      </c>
      <c r="DE67" s="163">
        <f t="shared" si="49"/>
        <v>0</v>
      </c>
      <c r="DF67" s="163">
        <f t="shared" si="49"/>
        <v>0</v>
      </c>
      <c r="DG67" s="163">
        <f t="shared" si="49"/>
        <v>0</v>
      </c>
      <c r="DH67" s="163">
        <f t="shared" si="49"/>
        <v>0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145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146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148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149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473" t="s">
        <v>190</v>
      </c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  <c r="AL74" s="473"/>
      <c r="AM74" s="473"/>
      <c r="AN74" s="473"/>
      <c r="AO74" s="473"/>
      <c r="AP74" s="473"/>
      <c r="AQ74" s="473"/>
      <c r="AR74" s="473"/>
      <c r="AS74" s="473"/>
      <c r="AT74" s="473"/>
      <c r="AU74" s="473"/>
      <c r="AV74" s="473"/>
      <c r="AW74" s="473"/>
      <c r="AX74" s="473"/>
      <c r="AY74" s="473"/>
      <c r="AZ74" s="473"/>
      <c r="BA74" s="473"/>
      <c r="BB74" s="473"/>
      <c r="BC74" s="473"/>
      <c r="BD74" s="473"/>
      <c r="BE74" s="473"/>
      <c r="BF74" s="473"/>
      <c r="BG74" s="473"/>
      <c r="BH74" s="473"/>
      <c r="BI74" s="473"/>
      <c r="BJ74" s="473"/>
      <c r="BK74" s="473"/>
      <c r="BL74" s="473"/>
      <c r="BM74" s="473"/>
      <c r="BN74" s="473"/>
      <c r="BO74" s="473"/>
      <c r="BP74" s="473"/>
      <c r="BQ74" s="473"/>
      <c r="BR74" s="473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473"/>
      <c r="CF74" s="473"/>
      <c r="CG74" s="473"/>
      <c r="CH74" s="473"/>
      <c r="CI74" s="473"/>
      <c r="CJ74" s="473"/>
      <c r="CK74" s="473"/>
      <c r="CL74" s="473"/>
      <c r="CM74" s="473"/>
      <c r="CN74" s="473"/>
      <c r="CO74" s="473"/>
      <c r="CP74" s="473"/>
      <c r="CQ74" s="473"/>
      <c r="CR74" s="473"/>
      <c r="CS74" s="473"/>
      <c r="CT74" s="473"/>
      <c r="CU74" s="473"/>
      <c r="CV74" s="473"/>
      <c r="CW74" s="473"/>
      <c r="CX74" s="473"/>
      <c r="CY74" s="473"/>
      <c r="CZ74" s="473"/>
      <c r="DA74" s="473"/>
      <c r="DB74" s="473"/>
      <c r="DC74" s="473"/>
      <c r="DD74" s="473"/>
      <c r="DE74" s="473"/>
      <c r="DF74" s="473"/>
      <c r="DG74" s="473"/>
      <c r="DH74" s="473"/>
      <c r="DI74" s="473"/>
      <c r="DJ74" s="473"/>
      <c r="DK74" s="473"/>
      <c r="DL74" s="473"/>
      <c r="DM74" s="473"/>
      <c r="DN74" s="473"/>
      <c r="DO74" s="473"/>
      <c r="DP74" s="473"/>
      <c r="DQ74" s="473"/>
      <c r="DR74" s="473"/>
      <c r="DS74" s="473"/>
      <c r="DT74" s="473"/>
      <c r="DU74" s="473"/>
      <c r="DV74" s="473"/>
      <c r="DW74" s="473"/>
      <c r="DX74" s="473"/>
      <c r="DY74" s="473"/>
      <c r="DZ74" s="473"/>
      <c r="EA74" s="473"/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0</v>
      </c>
      <c r="N75" s="163">
        <f t="shared" si="50"/>
        <v>0</v>
      </c>
      <c r="O75" s="163">
        <f t="shared" si="50"/>
        <v>0</v>
      </c>
      <c r="P75" s="163">
        <f t="shared" si="50"/>
        <v>0</v>
      </c>
      <c r="Q75" s="163">
        <f t="shared" si="50"/>
        <v>0</v>
      </c>
      <c r="R75" s="163">
        <f t="shared" si="50"/>
        <v>0</v>
      </c>
      <c r="S75" s="163">
        <f t="shared" si="50"/>
        <v>0</v>
      </c>
      <c r="T75" s="163">
        <f t="shared" si="50"/>
        <v>0</v>
      </c>
      <c r="U75" s="163">
        <f t="shared" si="50"/>
        <v>0</v>
      </c>
      <c r="V75" s="163">
        <f t="shared" si="50"/>
        <v>0</v>
      </c>
      <c r="W75" s="163">
        <f t="shared" si="50"/>
        <v>0</v>
      </c>
      <c r="X75" s="163">
        <f t="shared" si="50"/>
        <v>0</v>
      </c>
      <c r="Y75" s="163">
        <f t="shared" si="50"/>
        <v>0</v>
      </c>
      <c r="Z75" s="163">
        <f t="shared" si="50"/>
        <v>0</v>
      </c>
      <c r="AA75" s="163">
        <f t="shared" si="50"/>
        <v>0</v>
      </c>
      <c r="AB75" s="163">
        <f t="shared" si="50"/>
        <v>0</v>
      </c>
      <c r="AC75" s="163">
        <f t="shared" si="50"/>
        <v>0</v>
      </c>
      <c r="AD75" s="163">
        <f t="shared" si="50"/>
        <v>0</v>
      </c>
      <c r="AE75" s="163">
        <f t="shared" si="50"/>
        <v>0</v>
      </c>
      <c r="AF75" s="163">
        <f t="shared" si="50"/>
        <v>0</v>
      </c>
      <c r="AG75" s="163">
        <f t="shared" si="50"/>
        <v>0</v>
      </c>
      <c r="AH75" s="163">
        <f t="shared" si="50"/>
        <v>0</v>
      </c>
      <c r="AI75" s="163">
        <f t="shared" si="50"/>
        <v>0</v>
      </c>
      <c r="AJ75" s="163">
        <f t="shared" si="50"/>
        <v>0</v>
      </c>
      <c r="AK75" s="163">
        <f t="shared" si="50"/>
        <v>0</v>
      </c>
      <c r="AL75" s="163">
        <f t="shared" si="50"/>
        <v>0</v>
      </c>
      <c r="AM75" s="163">
        <f t="shared" si="50"/>
        <v>0</v>
      </c>
      <c r="AN75" s="163">
        <f t="shared" si="50"/>
        <v>0</v>
      </c>
      <c r="AO75" s="163">
        <f t="shared" si="50"/>
        <v>0</v>
      </c>
      <c r="AP75" s="163">
        <f t="shared" ref="AP75:BU75" si="51" xml:space="preserve"> SUM(AP69:AP74)</f>
        <v>0</v>
      </c>
      <c r="AQ75" s="163">
        <f t="shared" si="51"/>
        <v>0</v>
      </c>
      <c r="AR75" s="163">
        <f t="shared" si="51"/>
        <v>0</v>
      </c>
      <c r="AS75" s="163">
        <f t="shared" si="51"/>
        <v>0</v>
      </c>
      <c r="AT75" s="163">
        <f t="shared" si="51"/>
        <v>0</v>
      </c>
      <c r="AU75" s="163">
        <f t="shared" si="51"/>
        <v>0</v>
      </c>
      <c r="AV75" s="163">
        <f t="shared" si="51"/>
        <v>0</v>
      </c>
      <c r="AW75" s="163">
        <f t="shared" si="51"/>
        <v>0</v>
      </c>
      <c r="AX75" s="163">
        <f t="shared" si="51"/>
        <v>0</v>
      </c>
      <c r="AY75" s="163">
        <f t="shared" si="51"/>
        <v>0</v>
      </c>
      <c r="AZ75" s="163">
        <f t="shared" si="51"/>
        <v>0</v>
      </c>
      <c r="BA75" s="163">
        <f t="shared" si="51"/>
        <v>0</v>
      </c>
      <c r="BB75" s="163">
        <f t="shared" si="51"/>
        <v>0</v>
      </c>
      <c r="BC75" s="163">
        <f t="shared" si="51"/>
        <v>0</v>
      </c>
      <c r="BD75" s="163">
        <f t="shared" si="51"/>
        <v>0</v>
      </c>
      <c r="BE75" s="163">
        <f t="shared" si="51"/>
        <v>0</v>
      </c>
      <c r="BF75" s="163">
        <f t="shared" si="51"/>
        <v>0</v>
      </c>
      <c r="BG75" s="163">
        <f t="shared" si="51"/>
        <v>0</v>
      </c>
      <c r="BH75" s="163">
        <f t="shared" si="51"/>
        <v>0</v>
      </c>
      <c r="BI75" s="163">
        <f t="shared" si="51"/>
        <v>0</v>
      </c>
      <c r="BJ75" s="163">
        <f t="shared" si="51"/>
        <v>0</v>
      </c>
      <c r="BK75" s="163">
        <f t="shared" si="51"/>
        <v>0</v>
      </c>
      <c r="BL75" s="163">
        <f t="shared" si="51"/>
        <v>0</v>
      </c>
      <c r="BM75" s="163">
        <f t="shared" si="51"/>
        <v>0</v>
      </c>
      <c r="BN75" s="163">
        <f t="shared" si="51"/>
        <v>0</v>
      </c>
      <c r="BO75" s="163">
        <f t="shared" si="51"/>
        <v>0</v>
      </c>
      <c r="BP75" s="163">
        <f t="shared" si="51"/>
        <v>0</v>
      </c>
      <c r="BQ75" s="163">
        <f t="shared" si="51"/>
        <v>0</v>
      </c>
      <c r="BR75" s="163">
        <f t="shared" si="51"/>
        <v>0</v>
      </c>
      <c r="BS75" s="163">
        <f t="shared" si="51"/>
        <v>0</v>
      </c>
      <c r="BT75" s="163">
        <f t="shared" si="51"/>
        <v>0</v>
      </c>
      <c r="BU75" s="163">
        <f t="shared" si="51"/>
        <v>0</v>
      </c>
      <c r="BV75" s="163">
        <f t="shared" ref="BV75:DA75" si="52" xml:space="preserve"> SUM(BV69:BV74)</f>
        <v>0</v>
      </c>
      <c r="BW75" s="163">
        <f t="shared" si="52"/>
        <v>0</v>
      </c>
      <c r="BX75" s="163">
        <f t="shared" si="52"/>
        <v>0</v>
      </c>
      <c r="BY75" s="163">
        <f t="shared" si="52"/>
        <v>0</v>
      </c>
      <c r="BZ75" s="163">
        <f t="shared" si="52"/>
        <v>0</v>
      </c>
      <c r="CA75" s="163">
        <f t="shared" si="52"/>
        <v>0</v>
      </c>
      <c r="CB75" s="163">
        <f t="shared" si="52"/>
        <v>0</v>
      </c>
      <c r="CC75" s="163">
        <f t="shared" si="52"/>
        <v>0</v>
      </c>
      <c r="CD75" s="163">
        <f t="shared" si="52"/>
        <v>0</v>
      </c>
      <c r="CE75" s="163">
        <f t="shared" si="52"/>
        <v>0</v>
      </c>
      <c r="CF75" s="163">
        <f t="shared" si="52"/>
        <v>0</v>
      </c>
      <c r="CG75" s="163">
        <f t="shared" si="52"/>
        <v>0</v>
      </c>
      <c r="CH75" s="163">
        <f t="shared" si="52"/>
        <v>0</v>
      </c>
      <c r="CI75" s="163">
        <f t="shared" si="52"/>
        <v>0</v>
      </c>
      <c r="CJ75" s="163">
        <f t="shared" si="52"/>
        <v>0</v>
      </c>
      <c r="CK75" s="163">
        <f t="shared" si="52"/>
        <v>0</v>
      </c>
      <c r="CL75" s="163">
        <f t="shared" si="52"/>
        <v>0</v>
      </c>
      <c r="CM75" s="163">
        <f t="shared" si="52"/>
        <v>0</v>
      </c>
      <c r="CN75" s="163">
        <f t="shared" si="52"/>
        <v>0</v>
      </c>
      <c r="CO75" s="163">
        <f t="shared" si="52"/>
        <v>0</v>
      </c>
      <c r="CP75" s="163">
        <f t="shared" si="52"/>
        <v>0</v>
      </c>
      <c r="CQ75" s="163">
        <f t="shared" si="52"/>
        <v>0</v>
      </c>
      <c r="CR75" s="163">
        <f t="shared" si="52"/>
        <v>0</v>
      </c>
      <c r="CS75" s="163">
        <f t="shared" si="52"/>
        <v>0</v>
      </c>
      <c r="CT75" s="163">
        <f t="shared" si="52"/>
        <v>0</v>
      </c>
      <c r="CU75" s="163">
        <f t="shared" si="52"/>
        <v>0</v>
      </c>
      <c r="CV75" s="163">
        <f t="shared" si="52"/>
        <v>0</v>
      </c>
      <c r="CW75" s="163">
        <f t="shared" si="52"/>
        <v>0</v>
      </c>
      <c r="CX75" s="163">
        <f t="shared" si="52"/>
        <v>0</v>
      </c>
      <c r="CY75" s="163">
        <f t="shared" si="52"/>
        <v>0</v>
      </c>
      <c r="CZ75" s="163">
        <f t="shared" si="52"/>
        <v>0</v>
      </c>
      <c r="DA75" s="163">
        <f t="shared" si="52"/>
        <v>0</v>
      </c>
      <c r="DB75" s="163">
        <f t="shared" ref="DB75:EA75" si="53" xml:space="preserve"> SUM(DB69:DB74)</f>
        <v>0</v>
      </c>
      <c r="DC75" s="163">
        <f t="shared" si="53"/>
        <v>0</v>
      </c>
      <c r="DD75" s="163">
        <f t="shared" si="53"/>
        <v>0</v>
      </c>
      <c r="DE75" s="163">
        <f t="shared" si="53"/>
        <v>0</v>
      </c>
      <c r="DF75" s="163">
        <f t="shared" si="53"/>
        <v>0</v>
      </c>
      <c r="DG75" s="163">
        <f t="shared" si="53"/>
        <v>0</v>
      </c>
      <c r="DH75" s="163">
        <f t="shared" si="53"/>
        <v>0</v>
      </c>
      <c r="DI75" s="163">
        <f t="shared" si="53"/>
        <v>0</v>
      </c>
      <c r="DJ75" s="163">
        <f t="shared" si="53"/>
        <v>0</v>
      </c>
      <c r="DK75" s="163">
        <f t="shared" si="53"/>
        <v>0</v>
      </c>
      <c r="DL75" s="163">
        <f t="shared" si="53"/>
        <v>0</v>
      </c>
      <c r="DM75" s="163">
        <f t="shared" si="53"/>
        <v>0</v>
      </c>
      <c r="DN75" s="163">
        <f t="shared" si="53"/>
        <v>0</v>
      </c>
      <c r="DO75" s="163">
        <f t="shared" si="53"/>
        <v>0</v>
      </c>
      <c r="DP75" s="163">
        <f t="shared" si="53"/>
        <v>0</v>
      </c>
      <c r="DQ75" s="163">
        <f t="shared" si="53"/>
        <v>0</v>
      </c>
      <c r="DR75" s="163">
        <f t="shared" si="53"/>
        <v>0</v>
      </c>
      <c r="DS75" s="163">
        <f t="shared" si="53"/>
        <v>0</v>
      </c>
      <c r="DT75" s="163">
        <f t="shared" si="53"/>
        <v>0</v>
      </c>
      <c r="DU75" s="163">
        <f t="shared" si="53"/>
        <v>0</v>
      </c>
      <c r="DV75" s="163">
        <f t="shared" si="53"/>
        <v>0</v>
      </c>
      <c r="DW75" s="163">
        <f t="shared" si="53"/>
        <v>0</v>
      </c>
      <c r="DX75" s="163">
        <f t="shared" si="53"/>
        <v>0</v>
      </c>
      <c r="DY75" s="163">
        <f t="shared" si="53"/>
        <v>0</v>
      </c>
      <c r="DZ75" s="163">
        <f t="shared" si="53"/>
        <v>0</v>
      </c>
      <c r="EA75" s="163">
        <f t="shared" si="53"/>
        <v>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0</v>
      </c>
      <c r="N80" s="190">
        <f t="shared" si="54"/>
        <v>0</v>
      </c>
      <c r="O80" s="190">
        <f t="shared" si="54"/>
        <v>0</v>
      </c>
      <c r="P80" s="190">
        <f t="shared" si="54"/>
        <v>0</v>
      </c>
      <c r="Q80" s="190">
        <f t="shared" si="54"/>
        <v>0</v>
      </c>
      <c r="R80" s="190">
        <f t="shared" si="54"/>
        <v>0</v>
      </c>
      <c r="S80" s="190">
        <f t="shared" si="54"/>
        <v>0</v>
      </c>
      <c r="T80" s="190">
        <f t="shared" si="54"/>
        <v>0</v>
      </c>
      <c r="U80" s="190">
        <f t="shared" si="54"/>
        <v>0</v>
      </c>
      <c r="V80" s="190">
        <f t="shared" si="54"/>
        <v>0</v>
      </c>
      <c r="W80" s="190">
        <f t="shared" si="54"/>
        <v>0</v>
      </c>
      <c r="X80" s="190">
        <f t="shared" si="54"/>
        <v>0</v>
      </c>
      <c r="Y80" s="190">
        <f t="shared" si="54"/>
        <v>0</v>
      </c>
      <c r="Z80" s="190">
        <f t="shared" si="54"/>
        <v>0</v>
      </c>
      <c r="AA80" s="190">
        <f t="shared" si="54"/>
        <v>0</v>
      </c>
      <c r="AB80" s="190">
        <f t="shared" si="54"/>
        <v>0</v>
      </c>
      <c r="AC80" s="190">
        <f t="shared" si="54"/>
        <v>0</v>
      </c>
      <c r="AD80" s="190">
        <f t="shared" si="54"/>
        <v>0</v>
      </c>
      <c r="AE80" s="190">
        <f t="shared" si="54"/>
        <v>0</v>
      </c>
      <c r="AF80" s="190">
        <f t="shared" si="54"/>
        <v>0</v>
      </c>
      <c r="AG80" s="190">
        <f t="shared" si="54"/>
        <v>0</v>
      </c>
      <c r="AH80" s="190">
        <f t="shared" si="54"/>
        <v>0</v>
      </c>
      <c r="AI80" s="190">
        <f t="shared" si="54"/>
        <v>0</v>
      </c>
      <c r="AJ80" s="190">
        <f t="shared" si="54"/>
        <v>0</v>
      </c>
      <c r="AK80" s="190">
        <f t="shared" si="54"/>
        <v>0</v>
      </c>
      <c r="AL80" s="190">
        <f t="shared" si="54"/>
        <v>0</v>
      </c>
      <c r="AM80" s="190">
        <f t="shared" si="54"/>
        <v>0</v>
      </c>
      <c r="AN80" s="190">
        <f t="shared" si="54"/>
        <v>0</v>
      </c>
      <c r="AO80" s="190">
        <f t="shared" si="54"/>
        <v>0</v>
      </c>
      <c r="AP80" s="190">
        <f t="shared" si="54"/>
        <v>0</v>
      </c>
      <c r="AQ80" s="190">
        <f t="shared" si="54"/>
        <v>0</v>
      </c>
      <c r="AR80" s="190">
        <f t="shared" si="54"/>
        <v>0</v>
      </c>
      <c r="AS80" s="190">
        <f t="shared" si="54"/>
        <v>0</v>
      </c>
      <c r="AT80" s="190">
        <f t="shared" si="54"/>
        <v>0</v>
      </c>
      <c r="AU80" s="190">
        <f t="shared" si="54"/>
        <v>0</v>
      </c>
      <c r="AV80" s="190">
        <f t="shared" si="54"/>
        <v>0</v>
      </c>
      <c r="AW80" s="190">
        <f t="shared" si="54"/>
        <v>0</v>
      </c>
      <c r="AX80" s="190">
        <f t="shared" si="54"/>
        <v>0</v>
      </c>
      <c r="AY80" s="190">
        <f t="shared" si="54"/>
        <v>0</v>
      </c>
      <c r="AZ80" s="190">
        <f t="shared" si="54"/>
        <v>0</v>
      </c>
      <c r="BA80" s="190">
        <f t="shared" si="54"/>
        <v>0</v>
      </c>
      <c r="BB80" s="190">
        <f t="shared" si="54"/>
        <v>0</v>
      </c>
      <c r="BC80" s="190">
        <f t="shared" si="54"/>
        <v>0</v>
      </c>
      <c r="BD80" s="190">
        <f t="shared" si="54"/>
        <v>0</v>
      </c>
      <c r="BE80" s="190">
        <f t="shared" si="54"/>
        <v>0</v>
      </c>
      <c r="BF80" s="190">
        <f t="shared" si="54"/>
        <v>0</v>
      </c>
      <c r="BG80" s="190">
        <f t="shared" si="54"/>
        <v>0</v>
      </c>
      <c r="BH80" s="190">
        <f t="shared" si="54"/>
        <v>0</v>
      </c>
      <c r="BI80" s="190">
        <f t="shared" si="54"/>
        <v>0</v>
      </c>
      <c r="BJ80" s="190">
        <f t="shared" si="54"/>
        <v>0</v>
      </c>
      <c r="BK80" s="190">
        <f t="shared" si="54"/>
        <v>0</v>
      </c>
      <c r="BL80" s="190">
        <f t="shared" si="54"/>
        <v>0</v>
      </c>
      <c r="BM80" s="190">
        <f t="shared" si="54"/>
        <v>0</v>
      </c>
      <c r="BN80" s="190">
        <f t="shared" si="54"/>
        <v>0</v>
      </c>
      <c r="BO80" s="190">
        <f t="shared" si="54"/>
        <v>0</v>
      </c>
      <c r="BP80" s="190">
        <f t="shared" si="54"/>
        <v>0</v>
      </c>
      <c r="BQ80" s="190">
        <f t="shared" si="54"/>
        <v>0</v>
      </c>
      <c r="BR80" s="190">
        <f t="shared" ref="BR80:EA80" si="55" xml:space="preserve"> BR$67</f>
        <v>0</v>
      </c>
      <c r="BS80" s="190">
        <f t="shared" si="55"/>
        <v>0</v>
      </c>
      <c r="BT80" s="190">
        <f t="shared" si="55"/>
        <v>0</v>
      </c>
      <c r="BU80" s="190">
        <f t="shared" si="55"/>
        <v>0</v>
      </c>
      <c r="BV80" s="190">
        <f t="shared" si="55"/>
        <v>0</v>
      </c>
      <c r="BW80" s="190">
        <f t="shared" si="55"/>
        <v>0</v>
      </c>
      <c r="BX80" s="190">
        <f t="shared" si="55"/>
        <v>0</v>
      </c>
      <c r="BY80" s="190">
        <f t="shared" si="55"/>
        <v>0</v>
      </c>
      <c r="BZ80" s="190">
        <f t="shared" si="55"/>
        <v>0</v>
      </c>
      <c r="CA80" s="190">
        <f t="shared" si="55"/>
        <v>0</v>
      </c>
      <c r="CB80" s="190">
        <f t="shared" si="55"/>
        <v>0</v>
      </c>
      <c r="CC80" s="190">
        <f t="shared" si="55"/>
        <v>0</v>
      </c>
      <c r="CD80" s="190">
        <f t="shared" si="55"/>
        <v>0</v>
      </c>
      <c r="CE80" s="190">
        <f t="shared" si="55"/>
        <v>0</v>
      </c>
      <c r="CF80" s="190">
        <f t="shared" si="55"/>
        <v>0</v>
      </c>
      <c r="CG80" s="190">
        <f t="shared" si="55"/>
        <v>0</v>
      </c>
      <c r="CH80" s="190">
        <f t="shared" si="55"/>
        <v>0</v>
      </c>
      <c r="CI80" s="190">
        <f t="shared" si="55"/>
        <v>0</v>
      </c>
      <c r="CJ80" s="190">
        <f t="shared" si="55"/>
        <v>0</v>
      </c>
      <c r="CK80" s="190">
        <f t="shared" si="55"/>
        <v>0</v>
      </c>
      <c r="CL80" s="190">
        <f t="shared" si="55"/>
        <v>0</v>
      </c>
      <c r="CM80" s="190">
        <f t="shared" si="55"/>
        <v>0</v>
      </c>
      <c r="CN80" s="190">
        <f t="shared" si="55"/>
        <v>0</v>
      </c>
      <c r="CO80" s="190">
        <f t="shared" si="55"/>
        <v>0</v>
      </c>
      <c r="CP80" s="190">
        <f t="shared" si="55"/>
        <v>0</v>
      </c>
      <c r="CQ80" s="190">
        <f t="shared" si="55"/>
        <v>0</v>
      </c>
      <c r="CR80" s="190">
        <f t="shared" si="55"/>
        <v>0</v>
      </c>
      <c r="CS80" s="190">
        <f t="shared" si="55"/>
        <v>0</v>
      </c>
      <c r="CT80" s="190">
        <f t="shared" si="55"/>
        <v>0</v>
      </c>
      <c r="CU80" s="190">
        <f t="shared" si="55"/>
        <v>0</v>
      </c>
      <c r="CV80" s="190">
        <f t="shared" si="55"/>
        <v>0</v>
      </c>
      <c r="CW80" s="190">
        <f t="shared" si="55"/>
        <v>0</v>
      </c>
      <c r="CX80" s="190">
        <f t="shared" si="55"/>
        <v>0</v>
      </c>
      <c r="CY80" s="190">
        <f t="shared" si="55"/>
        <v>0</v>
      </c>
      <c r="CZ80" s="190">
        <f t="shared" si="55"/>
        <v>0</v>
      </c>
      <c r="DA80" s="190">
        <f t="shared" si="55"/>
        <v>0</v>
      </c>
      <c r="DB80" s="190">
        <f t="shared" si="55"/>
        <v>0</v>
      </c>
      <c r="DC80" s="190">
        <f t="shared" si="55"/>
        <v>0</v>
      </c>
      <c r="DD80" s="190">
        <f t="shared" si="55"/>
        <v>0</v>
      </c>
      <c r="DE80" s="190">
        <f t="shared" si="55"/>
        <v>0</v>
      </c>
      <c r="DF80" s="190">
        <f t="shared" si="55"/>
        <v>0</v>
      </c>
      <c r="DG80" s="190">
        <f t="shared" si="55"/>
        <v>0</v>
      </c>
      <c r="DH80" s="190">
        <f t="shared" si="55"/>
        <v>0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0</v>
      </c>
      <c r="N81" s="190">
        <f t="shared" ref="N81:AS81" si="57" xml:space="preserve"> N$75</f>
        <v>0</v>
      </c>
      <c r="O81" s="190">
        <f t="shared" si="57"/>
        <v>0</v>
      </c>
      <c r="P81" s="190">
        <f t="shared" si="57"/>
        <v>0</v>
      </c>
      <c r="Q81" s="190">
        <f t="shared" si="57"/>
        <v>0</v>
      </c>
      <c r="R81" s="190">
        <f t="shared" si="57"/>
        <v>0</v>
      </c>
      <c r="S81" s="190">
        <f t="shared" si="57"/>
        <v>0</v>
      </c>
      <c r="T81" s="190">
        <f t="shared" si="57"/>
        <v>0</v>
      </c>
      <c r="U81" s="190">
        <f t="shared" si="57"/>
        <v>0</v>
      </c>
      <c r="V81" s="190">
        <f t="shared" si="57"/>
        <v>0</v>
      </c>
      <c r="W81" s="190">
        <f t="shared" si="57"/>
        <v>0</v>
      </c>
      <c r="X81" s="190">
        <f t="shared" si="57"/>
        <v>0</v>
      </c>
      <c r="Y81" s="190">
        <f t="shared" si="57"/>
        <v>0</v>
      </c>
      <c r="Z81" s="190">
        <f t="shared" si="57"/>
        <v>0</v>
      </c>
      <c r="AA81" s="190">
        <f t="shared" si="57"/>
        <v>0</v>
      </c>
      <c r="AB81" s="190">
        <f t="shared" si="57"/>
        <v>0</v>
      </c>
      <c r="AC81" s="190">
        <f t="shared" si="57"/>
        <v>0</v>
      </c>
      <c r="AD81" s="190">
        <f t="shared" si="57"/>
        <v>0</v>
      </c>
      <c r="AE81" s="190">
        <f t="shared" si="57"/>
        <v>0</v>
      </c>
      <c r="AF81" s="190">
        <f t="shared" si="57"/>
        <v>0</v>
      </c>
      <c r="AG81" s="190">
        <f t="shared" si="57"/>
        <v>0</v>
      </c>
      <c r="AH81" s="190">
        <f t="shared" si="57"/>
        <v>0</v>
      </c>
      <c r="AI81" s="190">
        <f t="shared" si="57"/>
        <v>0</v>
      </c>
      <c r="AJ81" s="190">
        <f t="shared" si="57"/>
        <v>0</v>
      </c>
      <c r="AK81" s="190">
        <f t="shared" si="57"/>
        <v>0</v>
      </c>
      <c r="AL81" s="190">
        <f t="shared" si="57"/>
        <v>0</v>
      </c>
      <c r="AM81" s="190">
        <f t="shared" si="57"/>
        <v>0</v>
      </c>
      <c r="AN81" s="190">
        <f t="shared" si="57"/>
        <v>0</v>
      </c>
      <c r="AO81" s="190">
        <f t="shared" si="57"/>
        <v>0</v>
      </c>
      <c r="AP81" s="190">
        <f t="shared" si="57"/>
        <v>0</v>
      </c>
      <c r="AQ81" s="190">
        <f t="shared" si="57"/>
        <v>0</v>
      </c>
      <c r="AR81" s="190">
        <f t="shared" si="57"/>
        <v>0</v>
      </c>
      <c r="AS81" s="190">
        <f t="shared" si="57"/>
        <v>0</v>
      </c>
      <c r="AT81" s="190">
        <f t="shared" ref="AT81:BY81" si="58" xml:space="preserve"> AT$75</f>
        <v>0</v>
      </c>
      <c r="AU81" s="190">
        <f t="shared" si="58"/>
        <v>0</v>
      </c>
      <c r="AV81" s="190">
        <f t="shared" si="58"/>
        <v>0</v>
      </c>
      <c r="AW81" s="190">
        <f t="shared" si="58"/>
        <v>0</v>
      </c>
      <c r="AX81" s="190">
        <f t="shared" si="58"/>
        <v>0</v>
      </c>
      <c r="AY81" s="190">
        <f t="shared" si="58"/>
        <v>0</v>
      </c>
      <c r="AZ81" s="190">
        <f t="shared" si="58"/>
        <v>0</v>
      </c>
      <c r="BA81" s="190">
        <f t="shared" si="58"/>
        <v>0</v>
      </c>
      <c r="BB81" s="190">
        <f t="shared" si="58"/>
        <v>0</v>
      </c>
      <c r="BC81" s="190">
        <f t="shared" si="58"/>
        <v>0</v>
      </c>
      <c r="BD81" s="190">
        <f t="shared" si="58"/>
        <v>0</v>
      </c>
      <c r="BE81" s="190">
        <f t="shared" si="58"/>
        <v>0</v>
      </c>
      <c r="BF81" s="190">
        <f t="shared" si="58"/>
        <v>0</v>
      </c>
      <c r="BG81" s="190">
        <f t="shared" si="58"/>
        <v>0</v>
      </c>
      <c r="BH81" s="190">
        <f t="shared" si="58"/>
        <v>0</v>
      </c>
      <c r="BI81" s="190">
        <f t="shared" si="58"/>
        <v>0</v>
      </c>
      <c r="BJ81" s="190">
        <f t="shared" si="58"/>
        <v>0</v>
      </c>
      <c r="BK81" s="190">
        <f t="shared" si="58"/>
        <v>0</v>
      </c>
      <c r="BL81" s="190">
        <f t="shared" si="58"/>
        <v>0</v>
      </c>
      <c r="BM81" s="190">
        <f t="shared" si="58"/>
        <v>0</v>
      </c>
      <c r="BN81" s="190">
        <f t="shared" si="58"/>
        <v>0</v>
      </c>
      <c r="BO81" s="190">
        <f t="shared" si="58"/>
        <v>0</v>
      </c>
      <c r="BP81" s="190">
        <f t="shared" si="58"/>
        <v>0</v>
      </c>
      <c r="BQ81" s="190">
        <f t="shared" si="58"/>
        <v>0</v>
      </c>
      <c r="BR81" s="190">
        <f t="shared" si="58"/>
        <v>0</v>
      </c>
      <c r="BS81" s="190">
        <f t="shared" si="58"/>
        <v>0</v>
      </c>
      <c r="BT81" s="190">
        <f t="shared" si="58"/>
        <v>0</v>
      </c>
      <c r="BU81" s="190">
        <f t="shared" si="58"/>
        <v>0</v>
      </c>
      <c r="BV81" s="190">
        <f t="shared" si="58"/>
        <v>0</v>
      </c>
      <c r="BW81" s="190">
        <f t="shared" si="58"/>
        <v>0</v>
      </c>
      <c r="BX81" s="190">
        <f t="shared" si="58"/>
        <v>0</v>
      </c>
      <c r="BY81" s="190">
        <f t="shared" si="58"/>
        <v>0</v>
      </c>
      <c r="BZ81" s="190">
        <f t="shared" ref="BZ81:DE81" si="59" xml:space="preserve"> BZ$75</f>
        <v>0</v>
      </c>
      <c r="CA81" s="190">
        <f t="shared" si="59"/>
        <v>0</v>
      </c>
      <c r="CB81" s="190">
        <f t="shared" si="59"/>
        <v>0</v>
      </c>
      <c r="CC81" s="190">
        <f t="shared" si="59"/>
        <v>0</v>
      </c>
      <c r="CD81" s="190">
        <f t="shared" si="59"/>
        <v>0</v>
      </c>
      <c r="CE81" s="190">
        <f t="shared" si="59"/>
        <v>0</v>
      </c>
      <c r="CF81" s="190">
        <f t="shared" si="59"/>
        <v>0</v>
      </c>
      <c r="CG81" s="190">
        <f t="shared" si="59"/>
        <v>0</v>
      </c>
      <c r="CH81" s="190">
        <f t="shared" si="59"/>
        <v>0</v>
      </c>
      <c r="CI81" s="190">
        <f t="shared" si="59"/>
        <v>0</v>
      </c>
      <c r="CJ81" s="190">
        <f t="shared" si="59"/>
        <v>0</v>
      </c>
      <c r="CK81" s="190">
        <f t="shared" si="59"/>
        <v>0</v>
      </c>
      <c r="CL81" s="190">
        <f t="shared" si="59"/>
        <v>0</v>
      </c>
      <c r="CM81" s="190">
        <f t="shared" si="59"/>
        <v>0</v>
      </c>
      <c r="CN81" s="190">
        <f t="shared" si="59"/>
        <v>0</v>
      </c>
      <c r="CO81" s="190">
        <f t="shared" si="59"/>
        <v>0</v>
      </c>
      <c r="CP81" s="190">
        <f t="shared" si="59"/>
        <v>0</v>
      </c>
      <c r="CQ81" s="190">
        <f t="shared" si="59"/>
        <v>0</v>
      </c>
      <c r="CR81" s="190">
        <f t="shared" si="59"/>
        <v>0</v>
      </c>
      <c r="CS81" s="190">
        <f t="shared" si="59"/>
        <v>0</v>
      </c>
      <c r="CT81" s="190">
        <f t="shared" si="59"/>
        <v>0</v>
      </c>
      <c r="CU81" s="190">
        <f t="shared" si="59"/>
        <v>0</v>
      </c>
      <c r="CV81" s="190">
        <f t="shared" si="59"/>
        <v>0</v>
      </c>
      <c r="CW81" s="190">
        <f t="shared" si="59"/>
        <v>0</v>
      </c>
      <c r="CX81" s="190">
        <f t="shared" si="59"/>
        <v>0</v>
      </c>
      <c r="CY81" s="190">
        <f t="shared" si="59"/>
        <v>0</v>
      </c>
      <c r="CZ81" s="190">
        <f t="shared" si="59"/>
        <v>0</v>
      </c>
      <c r="DA81" s="190">
        <f t="shared" si="59"/>
        <v>0</v>
      </c>
      <c r="DB81" s="190">
        <f t="shared" si="59"/>
        <v>0</v>
      </c>
      <c r="DC81" s="190">
        <f t="shared" si="59"/>
        <v>0</v>
      </c>
      <c r="DD81" s="190">
        <f t="shared" si="59"/>
        <v>0</v>
      </c>
      <c r="DE81" s="190">
        <f t="shared" si="59"/>
        <v>0</v>
      </c>
      <c r="DF81" s="190">
        <f t="shared" ref="DF81:EA81" si="60" xml:space="preserve"> DF$75</f>
        <v>0</v>
      </c>
      <c r="DG81" s="190">
        <f t="shared" si="60"/>
        <v>0</v>
      </c>
      <c r="DH81" s="190">
        <f t="shared" si="60"/>
        <v>0</v>
      </c>
      <c r="DI81" s="190">
        <f t="shared" si="60"/>
        <v>0</v>
      </c>
      <c r="DJ81" s="190">
        <f t="shared" si="60"/>
        <v>0</v>
      </c>
      <c r="DK81" s="190">
        <f t="shared" si="60"/>
        <v>0</v>
      </c>
      <c r="DL81" s="190">
        <f t="shared" si="60"/>
        <v>0</v>
      </c>
      <c r="DM81" s="190">
        <f t="shared" si="60"/>
        <v>0</v>
      </c>
      <c r="DN81" s="190">
        <f t="shared" si="60"/>
        <v>0</v>
      </c>
      <c r="DO81" s="190">
        <f t="shared" si="60"/>
        <v>0</v>
      </c>
      <c r="DP81" s="190">
        <f t="shared" si="60"/>
        <v>0</v>
      </c>
      <c r="DQ81" s="190">
        <f t="shared" si="60"/>
        <v>0</v>
      </c>
      <c r="DR81" s="190">
        <f t="shared" si="60"/>
        <v>0</v>
      </c>
      <c r="DS81" s="190">
        <f t="shared" si="60"/>
        <v>0</v>
      </c>
      <c r="DT81" s="190">
        <f t="shared" si="60"/>
        <v>0</v>
      </c>
      <c r="DU81" s="190">
        <f t="shared" si="60"/>
        <v>0</v>
      </c>
      <c r="DV81" s="190">
        <f t="shared" si="60"/>
        <v>0</v>
      </c>
      <c r="DW81" s="190">
        <f t="shared" si="60"/>
        <v>0</v>
      </c>
      <c r="DX81" s="190">
        <f t="shared" si="60"/>
        <v>0</v>
      </c>
      <c r="DY81" s="190">
        <f t="shared" si="60"/>
        <v>0</v>
      </c>
      <c r="DZ81" s="190">
        <f t="shared" si="60"/>
        <v>0</v>
      </c>
      <c r="EA81" s="190">
        <f t="shared" si="60"/>
        <v>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5" priority="1" stopIfTrue="1" operator="notEqual">
      <formula>0</formula>
    </cfRule>
    <cfRule type="cellIs" dxfId="34" priority="2" stopIfTrue="1" operator="equal">
      <formula>""</formula>
    </cfRule>
  </conditionalFormatting>
  <conditionalFormatting sqref="F82">
    <cfRule type="cellIs" dxfId="33" priority="3" stopIfTrue="1" operator="notEqual">
      <formula>0</formula>
    </cfRule>
    <cfRule type="cellIs" dxfId="32" priority="4" stopIfTrue="1" operator="equal">
      <formula>""</formula>
    </cfRule>
  </conditionalFormatting>
  <conditionalFormatting sqref="J3:EA3">
    <cfRule type="cellIs" dxfId="31" priority="25" operator="equal">
      <formula>"Fin Close"</formula>
    </cfRule>
    <cfRule type="cellIs" dxfId="30" priority="27" stopIfTrue="1" operator="equal">
      <formula>"Operations"</formula>
    </cfRule>
  </conditionalFormatting>
  <conditionalFormatting sqref="J82:EA82">
    <cfRule type="cellIs" dxfId="29" priority="7" stopIfTrue="1" operator="notEqual">
      <formula>0</formula>
    </cfRule>
    <cfRule type="cellIs" dxfId="28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6" sqref="H16"/>
    </sheetView>
  </sheetViews>
  <sheetFormatPr defaultColWidth="0" defaultRowHeight="13.15" outlineLevelRow="1" x14ac:dyDescent="0.35"/>
  <cols>
    <col min="1" max="2" width="1.1328125" style="8" customWidth="1"/>
    <col min="3" max="3" width="1.1328125" style="13" customWidth="1"/>
    <col min="4" max="4" width="1.132812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371409.67882059264</v>
      </c>
      <c r="I11" s="50"/>
      <c r="J11" s="50">
        <f t="shared" ref="J11:AN11" si="1">SUM(J9:J10)</f>
        <v>0</v>
      </c>
      <c r="K11" s="50">
        <f t="shared" si="1"/>
        <v>15762.499999999998</v>
      </c>
      <c r="L11" s="50">
        <f t="shared" si="1"/>
        <v>15684.07960199005</v>
      </c>
      <c r="M11" s="50">
        <f t="shared" si="1"/>
        <v>15606.049355213985</v>
      </c>
      <c r="N11" s="50">
        <f t="shared" si="1"/>
        <v>15528.407318620881</v>
      </c>
      <c r="O11" s="50">
        <f t="shared" si="1"/>
        <v>15451.151560816799</v>
      </c>
      <c r="P11" s="50">
        <f t="shared" si="1"/>
        <v>15374.280160016717</v>
      </c>
      <c r="Q11" s="50">
        <f t="shared" si="1"/>
        <v>15297.79120399674</v>
      </c>
      <c r="R11" s="50">
        <f t="shared" si="1"/>
        <v>15221.682790046505</v>
      </c>
      <c r="S11" s="50">
        <f t="shared" si="1"/>
        <v>15145.953024921899</v>
      </c>
      <c r="T11" s="50">
        <f t="shared" si="1"/>
        <v>15070.600024797912</v>
      </c>
      <c r="U11" s="50">
        <f t="shared" si="1"/>
        <v>14995.621915221804</v>
      </c>
      <c r="V11" s="50">
        <f t="shared" si="1"/>
        <v>14921.016831066472</v>
      </c>
      <c r="W11" s="50">
        <f t="shared" si="1"/>
        <v>14846.782916484057</v>
      </c>
      <c r="X11" s="50">
        <f t="shared" si="1"/>
        <v>14772.91832485976</v>
      </c>
      <c r="Y11" s="50">
        <f t="shared" si="1"/>
        <v>14699.421218765932</v>
      </c>
      <c r="Z11" s="50">
        <f t="shared" si="1"/>
        <v>14626.289769916357</v>
      </c>
      <c r="AA11" s="50">
        <f t="shared" si="1"/>
        <v>14553.52215912075</v>
      </c>
      <c r="AB11" s="50">
        <f t="shared" si="1"/>
        <v>14481.116576239556</v>
      </c>
      <c r="AC11" s="50">
        <f t="shared" si="1"/>
        <v>14409.071220138867</v>
      </c>
      <c r="AD11" s="50">
        <f t="shared" si="1"/>
        <v>14337.384298645638</v>
      </c>
      <c r="AE11" s="50">
        <f t="shared" si="1"/>
        <v>14266.054028503122</v>
      </c>
      <c r="AF11" s="50">
        <f t="shared" si="1"/>
        <v>14195.078635326496</v>
      </c>
      <c r="AG11" s="50">
        <f t="shared" si="1"/>
        <v>14124.456353558704</v>
      </c>
      <c r="AH11" s="50">
        <f t="shared" si="1"/>
        <v>14054.185426426575</v>
      </c>
      <c r="AI11" s="50">
        <f t="shared" si="1"/>
        <v>13984.264105897088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371409.67882059264</v>
      </c>
      <c r="I14" s="50"/>
      <c r="J14" s="50">
        <f t="shared" ref="J14:AN14" si="2" xml:space="preserve"> J11 + J13</f>
        <v>0</v>
      </c>
      <c r="K14" s="50">
        <f t="shared" si="2"/>
        <v>15762.499999999998</v>
      </c>
      <c r="L14" s="50">
        <f t="shared" si="2"/>
        <v>15684.07960199005</v>
      </c>
      <c r="M14" s="50">
        <f t="shared" si="2"/>
        <v>15606.049355213985</v>
      </c>
      <c r="N14" s="50">
        <f t="shared" si="2"/>
        <v>15528.407318620881</v>
      </c>
      <c r="O14" s="50">
        <f t="shared" si="2"/>
        <v>15451.151560816799</v>
      </c>
      <c r="P14" s="50">
        <f t="shared" si="2"/>
        <v>15374.280160016717</v>
      </c>
      <c r="Q14" s="50">
        <f t="shared" si="2"/>
        <v>15297.79120399674</v>
      </c>
      <c r="R14" s="50">
        <f t="shared" si="2"/>
        <v>15221.682790046505</v>
      </c>
      <c r="S14" s="50">
        <f t="shared" si="2"/>
        <v>15145.953024921899</v>
      </c>
      <c r="T14" s="50">
        <f t="shared" si="2"/>
        <v>15070.600024797912</v>
      </c>
      <c r="U14" s="50">
        <f t="shared" si="2"/>
        <v>14995.621915221804</v>
      </c>
      <c r="V14" s="50">
        <f t="shared" si="2"/>
        <v>14921.016831066472</v>
      </c>
      <c r="W14" s="50">
        <f t="shared" si="2"/>
        <v>14846.782916484057</v>
      </c>
      <c r="X14" s="50">
        <f t="shared" si="2"/>
        <v>14772.91832485976</v>
      </c>
      <c r="Y14" s="50">
        <f t="shared" si="2"/>
        <v>14699.421218765932</v>
      </c>
      <c r="Z14" s="50">
        <f t="shared" si="2"/>
        <v>14626.289769916357</v>
      </c>
      <c r="AA14" s="50">
        <f t="shared" si="2"/>
        <v>14553.52215912075</v>
      </c>
      <c r="AB14" s="50">
        <f t="shared" si="2"/>
        <v>14481.116576239556</v>
      </c>
      <c r="AC14" s="50">
        <f t="shared" si="2"/>
        <v>14409.071220138867</v>
      </c>
      <c r="AD14" s="50">
        <f t="shared" si="2"/>
        <v>14337.384298645638</v>
      </c>
      <c r="AE14" s="50">
        <f t="shared" si="2"/>
        <v>14266.054028503122</v>
      </c>
      <c r="AF14" s="50">
        <f t="shared" si="2"/>
        <v>14195.078635326496</v>
      </c>
      <c r="AG14" s="50">
        <f t="shared" si="2"/>
        <v>14124.456353558704</v>
      </c>
      <c r="AH14" s="50">
        <f t="shared" si="2"/>
        <v>14054.185426426575</v>
      </c>
      <c r="AI14" s="50">
        <f t="shared" si="2"/>
        <v>13984.264105897088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371409.67882059264</v>
      </c>
      <c r="I19" s="50"/>
      <c r="J19" s="50">
        <f t="shared" ref="J19:AN19" si="3" xml:space="preserve"> J14 + SUM(J16:J18)</f>
        <v>0</v>
      </c>
      <c r="K19" s="50">
        <f t="shared" si="3"/>
        <v>15762.499999999998</v>
      </c>
      <c r="L19" s="50">
        <f t="shared" si="3"/>
        <v>15684.07960199005</v>
      </c>
      <c r="M19" s="50">
        <f t="shared" si="3"/>
        <v>15606.049355213985</v>
      </c>
      <c r="N19" s="50">
        <f t="shared" si="3"/>
        <v>15528.407318620881</v>
      </c>
      <c r="O19" s="50">
        <f t="shared" si="3"/>
        <v>15451.151560816799</v>
      </c>
      <c r="P19" s="50">
        <f t="shared" si="3"/>
        <v>15374.280160016717</v>
      </c>
      <c r="Q19" s="50">
        <f t="shared" si="3"/>
        <v>15297.79120399674</v>
      </c>
      <c r="R19" s="50">
        <f t="shared" si="3"/>
        <v>15221.682790046505</v>
      </c>
      <c r="S19" s="50">
        <f t="shared" si="3"/>
        <v>15145.953024921899</v>
      </c>
      <c r="T19" s="50">
        <f t="shared" si="3"/>
        <v>15070.600024797912</v>
      </c>
      <c r="U19" s="50">
        <f t="shared" si="3"/>
        <v>14995.621915221804</v>
      </c>
      <c r="V19" s="50">
        <f t="shared" si="3"/>
        <v>14921.016831066472</v>
      </c>
      <c r="W19" s="50">
        <f t="shared" si="3"/>
        <v>14846.782916484057</v>
      </c>
      <c r="X19" s="50">
        <f t="shared" si="3"/>
        <v>14772.91832485976</v>
      </c>
      <c r="Y19" s="50">
        <f t="shared" si="3"/>
        <v>14699.421218765932</v>
      </c>
      <c r="Z19" s="50">
        <f t="shared" si="3"/>
        <v>14626.289769916357</v>
      </c>
      <c r="AA19" s="50">
        <f t="shared" si="3"/>
        <v>14553.52215912075</v>
      </c>
      <c r="AB19" s="50">
        <f t="shared" si="3"/>
        <v>14481.116576239556</v>
      </c>
      <c r="AC19" s="50">
        <f t="shared" si="3"/>
        <v>14409.071220138867</v>
      </c>
      <c r="AD19" s="50">
        <f t="shared" si="3"/>
        <v>14337.384298645638</v>
      </c>
      <c r="AE19" s="50">
        <f t="shared" si="3"/>
        <v>14266.054028503122</v>
      </c>
      <c r="AF19" s="50">
        <f t="shared" si="3"/>
        <v>14195.078635326496</v>
      </c>
      <c r="AG19" s="50">
        <f t="shared" si="3"/>
        <v>14124.456353558704</v>
      </c>
      <c r="AH19" s="50">
        <f t="shared" si="3"/>
        <v>14054.185426426575</v>
      </c>
      <c r="AI19" s="50">
        <f t="shared" si="3"/>
        <v>13984.264105897088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371409.67882059264</v>
      </c>
      <c r="I22" s="188"/>
      <c r="J22" s="188">
        <f t="shared" ref="J22:AN22" si="4" xml:space="preserve"> J19 + J21</f>
        <v>0</v>
      </c>
      <c r="K22" s="188">
        <f t="shared" si="4"/>
        <v>15762.499999999998</v>
      </c>
      <c r="L22" s="188">
        <f t="shared" si="4"/>
        <v>15684.07960199005</v>
      </c>
      <c r="M22" s="188">
        <f t="shared" si="4"/>
        <v>15606.049355213985</v>
      </c>
      <c r="N22" s="188">
        <f t="shared" si="4"/>
        <v>15528.407318620881</v>
      </c>
      <c r="O22" s="188">
        <f t="shared" si="4"/>
        <v>15451.151560816799</v>
      </c>
      <c r="P22" s="188">
        <f t="shared" si="4"/>
        <v>15374.280160016717</v>
      </c>
      <c r="Q22" s="188">
        <f t="shared" si="4"/>
        <v>15297.79120399674</v>
      </c>
      <c r="R22" s="188">
        <f t="shared" si="4"/>
        <v>15221.682790046505</v>
      </c>
      <c r="S22" s="188">
        <f t="shared" si="4"/>
        <v>15145.953024921899</v>
      </c>
      <c r="T22" s="188">
        <f t="shared" si="4"/>
        <v>15070.600024797912</v>
      </c>
      <c r="U22" s="188">
        <f t="shared" si="4"/>
        <v>14995.621915221804</v>
      </c>
      <c r="V22" s="188">
        <f t="shared" si="4"/>
        <v>14921.016831066472</v>
      </c>
      <c r="W22" s="188">
        <f t="shared" si="4"/>
        <v>14846.782916484057</v>
      </c>
      <c r="X22" s="188">
        <f t="shared" si="4"/>
        <v>14772.91832485976</v>
      </c>
      <c r="Y22" s="188">
        <f t="shared" si="4"/>
        <v>14699.421218765932</v>
      </c>
      <c r="Z22" s="188">
        <f t="shared" si="4"/>
        <v>14626.289769916357</v>
      </c>
      <c r="AA22" s="188">
        <f t="shared" si="4"/>
        <v>14553.52215912075</v>
      </c>
      <c r="AB22" s="188">
        <f t="shared" si="4"/>
        <v>14481.116576239556</v>
      </c>
      <c r="AC22" s="188">
        <f t="shared" si="4"/>
        <v>14409.071220138867</v>
      </c>
      <c r="AD22" s="188">
        <f t="shared" si="4"/>
        <v>14337.384298645638</v>
      </c>
      <c r="AE22" s="188">
        <f t="shared" si="4"/>
        <v>14266.054028503122</v>
      </c>
      <c r="AF22" s="188">
        <f t="shared" si="4"/>
        <v>14195.078635326496</v>
      </c>
      <c r="AG22" s="188">
        <f t="shared" si="4"/>
        <v>14124.456353558704</v>
      </c>
      <c r="AH22" s="188">
        <f t="shared" si="4"/>
        <v>14054.185426426575</v>
      </c>
      <c r="AI22" s="188">
        <f t="shared" si="4"/>
        <v>13984.264105897088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371409.67882059264</v>
      </c>
      <c r="I25" s="50"/>
      <c r="J25" s="50">
        <f t="shared" ref="J25:AN25" si="5" xml:space="preserve"> J22 + J24</f>
        <v>0</v>
      </c>
      <c r="K25" s="50">
        <f t="shared" si="5"/>
        <v>15762.499999999998</v>
      </c>
      <c r="L25" s="50">
        <f t="shared" si="5"/>
        <v>15684.07960199005</v>
      </c>
      <c r="M25" s="50">
        <f t="shared" si="5"/>
        <v>15606.049355213985</v>
      </c>
      <c r="N25" s="50">
        <f t="shared" si="5"/>
        <v>15528.407318620881</v>
      </c>
      <c r="O25" s="50">
        <f t="shared" si="5"/>
        <v>15451.151560816799</v>
      </c>
      <c r="P25" s="50">
        <f t="shared" si="5"/>
        <v>15374.280160016717</v>
      </c>
      <c r="Q25" s="50">
        <f t="shared" si="5"/>
        <v>15297.79120399674</v>
      </c>
      <c r="R25" s="50">
        <f t="shared" si="5"/>
        <v>15221.682790046505</v>
      </c>
      <c r="S25" s="50">
        <f t="shared" si="5"/>
        <v>15145.953024921899</v>
      </c>
      <c r="T25" s="50">
        <f t="shared" si="5"/>
        <v>15070.600024797912</v>
      </c>
      <c r="U25" s="50">
        <f t="shared" si="5"/>
        <v>14995.621915221804</v>
      </c>
      <c r="V25" s="50">
        <f t="shared" si="5"/>
        <v>14921.016831066472</v>
      </c>
      <c r="W25" s="50">
        <f t="shared" si="5"/>
        <v>14846.782916484057</v>
      </c>
      <c r="X25" s="50">
        <f t="shared" si="5"/>
        <v>14772.91832485976</v>
      </c>
      <c r="Y25" s="50">
        <f t="shared" si="5"/>
        <v>14699.421218765932</v>
      </c>
      <c r="Z25" s="50">
        <f t="shared" si="5"/>
        <v>14626.289769916357</v>
      </c>
      <c r="AA25" s="50">
        <f t="shared" si="5"/>
        <v>14553.52215912075</v>
      </c>
      <c r="AB25" s="50">
        <f t="shared" si="5"/>
        <v>14481.116576239556</v>
      </c>
      <c r="AC25" s="50">
        <f t="shared" si="5"/>
        <v>14409.071220138867</v>
      </c>
      <c r="AD25" s="50">
        <f t="shared" si="5"/>
        <v>14337.384298645638</v>
      </c>
      <c r="AE25" s="50">
        <f t="shared" si="5"/>
        <v>14266.054028503122</v>
      </c>
      <c r="AF25" s="50">
        <f t="shared" si="5"/>
        <v>14195.078635326496</v>
      </c>
      <c r="AG25" s="50">
        <f t="shared" si="5"/>
        <v>14124.456353558704</v>
      </c>
      <c r="AH25" s="50">
        <f t="shared" si="5"/>
        <v>14054.185426426575</v>
      </c>
      <c r="AI25" s="50">
        <f t="shared" si="5"/>
        <v>13984.264105897088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2">
        <f xml:space="preserve"> 'FS Qtr'!G30</f>
        <v>0</v>
      </c>
      <c r="H30" s="9">
        <f xml:space="preserve"> SUM(J30:AN30)</f>
        <v>10000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400</v>
      </c>
      <c r="L30" s="9">
        <f xml:space="preserve"> SUMIFS('FS Qtr'!$J30:$EA30, 'FS Qtr'!$J$4:$EA$4, 'FS Ann'!L$4)</f>
        <v>400</v>
      </c>
      <c r="M30" s="9">
        <f xml:space="preserve"> SUMIFS('FS Qtr'!$J30:$EA30, 'FS Qtr'!$J$4:$EA$4, 'FS Ann'!M$4)</f>
        <v>400</v>
      </c>
      <c r="N30" s="9">
        <f xml:space="preserve"> SUMIFS('FS Qtr'!$J30:$EA30, 'FS Qtr'!$J$4:$EA$4, 'FS Ann'!N$4)</f>
        <v>400</v>
      </c>
      <c r="O30" s="9">
        <f xml:space="preserve"> SUMIFS('FS Qtr'!$J30:$EA30, 'FS Qtr'!$J$4:$EA$4, 'FS Ann'!O$4)</f>
        <v>400</v>
      </c>
      <c r="P30" s="9">
        <f xml:space="preserve"> SUMIFS('FS Qtr'!$J30:$EA30, 'FS Qtr'!$J$4:$EA$4, 'FS Ann'!P$4)</f>
        <v>400</v>
      </c>
      <c r="Q30" s="9">
        <f xml:space="preserve"> SUMIFS('FS Qtr'!$J30:$EA30, 'FS Qtr'!$J$4:$EA$4, 'FS Ann'!Q$4)</f>
        <v>400</v>
      </c>
      <c r="R30" s="9">
        <f xml:space="preserve"> SUMIFS('FS Qtr'!$J30:$EA30, 'FS Qtr'!$J$4:$EA$4, 'FS Ann'!R$4)</f>
        <v>400</v>
      </c>
      <c r="S30" s="9">
        <f xml:space="preserve"> SUMIFS('FS Qtr'!$J30:$EA30, 'FS Qtr'!$J$4:$EA$4, 'FS Ann'!S$4)</f>
        <v>400</v>
      </c>
      <c r="T30" s="9">
        <f xml:space="preserve"> SUMIFS('FS Qtr'!$J30:$EA30, 'FS Qtr'!$J$4:$EA$4, 'FS Ann'!T$4)</f>
        <v>400</v>
      </c>
      <c r="U30" s="9">
        <f xml:space="preserve"> SUMIFS('FS Qtr'!$J30:$EA30, 'FS Qtr'!$J$4:$EA$4, 'FS Ann'!U$4)</f>
        <v>400</v>
      </c>
      <c r="V30" s="9">
        <f xml:space="preserve"> SUMIFS('FS Qtr'!$J30:$EA30, 'FS Qtr'!$J$4:$EA$4, 'FS Ann'!V$4)</f>
        <v>400</v>
      </c>
      <c r="W30" s="9">
        <f xml:space="preserve"> SUMIFS('FS Qtr'!$J30:$EA30, 'FS Qtr'!$J$4:$EA$4, 'FS Ann'!W$4)</f>
        <v>400</v>
      </c>
      <c r="X30" s="9">
        <f xml:space="preserve"> SUMIFS('FS Qtr'!$J30:$EA30, 'FS Qtr'!$J$4:$EA$4, 'FS Ann'!X$4)</f>
        <v>400</v>
      </c>
      <c r="Y30" s="9">
        <f xml:space="preserve"> SUMIFS('FS Qtr'!$J30:$EA30, 'FS Qtr'!$J$4:$EA$4, 'FS Ann'!Y$4)</f>
        <v>400</v>
      </c>
      <c r="Z30" s="9">
        <f xml:space="preserve"> SUMIFS('FS Qtr'!$J30:$EA30, 'FS Qtr'!$J$4:$EA$4, 'FS Ann'!Z$4)</f>
        <v>400</v>
      </c>
      <c r="AA30" s="9">
        <f xml:space="preserve"> SUMIFS('FS Qtr'!$J30:$EA30, 'FS Qtr'!$J$4:$EA$4, 'FS Ann'!AA$4)</f>
        <v>400</v>
      </c>
      <c r="AB30" s="9">
        <f xml:space="preserve"> SUMIFS('FS Qtr'!$J30:$EA30, 'FS Qtr'!$J$4:$EA$4, 'FS Ann'!AB$4)</f>
        <v>400</v>
      </c>
      <c r="AC30" s="9">
        <f xml:space="preserve"> SUMIFS('FS Qtr'!$J30:$EA30, 'FS Qtr'!$J$4:$EA$4, 'FS Ann'!AC$4)</f>
        <v>400</v>
      </c>
      <c r="AD30" s="9">
        <f xml:space="preserve"> SUMIFS('FS Qtr'!$J30:$EA30, 'FS Qtr'!$J$4:$EA$4, 'FS Ann'!AD$4)</f>
        <v>400</v>
      </c>
      <c r="AE30" s="9">
        <f xml:space="preserve"> SUMIFS('FS Qtr'!$J30:$EA30, 'FS Qtr'!$J$4:$EA$4, 'FS Ann'!AE$4)</f>
        <v>400</v>
      </c>
      <c r="AF30" s="9">
        <f xml:space="preserve"> SUMIFS('FS Qtr'!$J30:$EA30, 'FS Qtr'!$J$4:$EA$4, 'FS Ann'!AF$4)</f>
        <v>400</v>
      </c>
      <c r="AG30" s="9">
        <f xml:space="preserve"> SUMIFS('FS Qtr'!$J30:$EA30, 'FS Qtr'!$J$4:$EA$4, 'FS Ann'!AG$4)</f>
        <v>400</v>
      </c>
      <c r="AH30" s="9">
        <f xml:space="preserve"> SUMIFS('FS Qtr'!$J30:$EA30, 'FS Qtr'!$J$4:$EA$4, 'FS Ann'!AH$4)</f>
        <v>400</v>
      </c>
      <c r="AI30" s="9">
        <f xml:space="preserve"> SUMIFS('FS Qtr'!$J30:$EA30, 'FS Qtr'!$J$4:$EA$4, 'FS Ann'!AI$4)</f>
        <v>400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10000</v>
      </c>
      <c r="I33" s="50"/>
      <c r="J33" s="50">
        <f t="shared" ref="J33:AN33" si="6">SUM(J30:J32)</f>
        <v>0</v>
      </c>
      <c r="K33" s="50">
        <f t="shared" si="6"/>
        <v>400</v>
      </c>
      <c r="L33" s="50">
        <f t="shared" si="6"/>
        <v>400</v>
      </c>
      <c r="M33" s="50">
        <f t="shared" si="6"/>
        <v>400</v>
      </c>
      <c r="N33" s="50">
        <f t="shared" si="6"/>
        <v>400</v>
      </c>
      <c r="O33" s="50">
        <f t="shared" si="6"/>
        <v>400</v>
      </c>
      <c r="P33" s="50">
        <f t="shared" si="6"/>
        <v>400</v>
      </c>
      <c r="Q33" s="50">
        <f t="shared" si="6"/>
        <v>400</v>
      </c>
      <c r="R33" s="50">
        <f t="shared" si="6"/>
        <v>400</v>
      </c>
      <c r="S33" s="50">
        <f t="shared" si="6"/>
        <v>400</v>
      </c>
      <c r="T33" s="50">
        <f t="shared" si="6"/>
        <v>400</v>
      </c>
      <c r="U33" s="50">
        <f t="shared" si="6"/>
        <v>400</v>
      </c>
      <c r="V33" s="50">
        <f t="shared" si="6"/>
        <v>400</v>
      </c>
      <c r="W33" s="50">
        <f t="shared" si="6"/>
        <v>400</v>
      </c>
      <c r="X33" s="50">
        <f t="shared" si="6"/>
        <v>400</v>
      </c>
      <c r="Y33" s="50">
        <f t="shared" si="6"/>
        <v>400</v>
      </c>
      <c r="Z33" s="50">
        <f t="shared" si="6"/>
        <v>400</v>
      </c>
      <c r="AA33" s="50">
        <f t="shared" si="6"/>
        <v>400</v>
      </c>
      <c r="AB33" s="50">
        <f t="shared" si="6"/>
        <v>400</v>
      </c>
      <c r="AC33" s="50">
        <f t="shared" si="6"/>
        <v>400</v>
      </c>
      <c r="AD33" s="50">
        <f t="shared" si="6"/>
        <v>400</v>
      </c>
      <c r="AE33" s="50">
        <f t="shared" si="6"/>
        <v>400</v>
      </c>
      <c r="AF33" s="50">
        <f t="shared" si="6"/>
        <v>400</v>
      </c>
      <c r="AG33" s="50">
        <f t="shared" si="6"/>
        <v>400</v>
      </c>
      <c r="AH33" s="50">
        <f t="shared" si="6"/>
        <v>400</v>
      </c>
      <c r="AI33" s="50">
        <f t="shared" si="6"/>
        <v>400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126</v>
      </c>
      <c r="F37" s="50"/>
      <c r="G37" s="284" t="str">
        <f>SMU</f>
        <v>$ 000s</v>
      </c>
      <c r="H37" s="50">
        <f xml:space="preserve"> SUM(J37:AN37)</f>
        <v>10000</v>
      </c>
      <c r="I37" s="50"/>
      <c r="J37" s="50">
        <f t="shared" ref="J37:AN37" si="7" xml:space="preserve"> J33 + SUM(J35:J36)</f>
        <v>0</v>
      </c>
      <c r="K37" s="50">
        <f t="shared" si="7"/>
        <v>400</v>
      </c>
      <c r="L37" s="50">
        <f t="shared" si="7"/>
        <v>400</v>
      </c>
      <c r="M37" s="50">
        <f t="shared" si="7"/>
        <v>400</v>
      </c>
      <c r="N37" s="50">
        <f t="shared" si="7"/>
        <v>400</v>
      </c>
      <c r="O37" s="50">
        <f t="shared" si="7"/>
        <v>400</v>
      </c>
      <c r="P37" s="50">
        <f t="shared" si="7"/>
        <v>400</v>
      </c>
      <c r="Q37" s="50">
        <f t="shared" si="7"/>
        <v>400</v>
      </c>
      <c r="R37" s="50">
        <f t="shared" si="7"/>
        <v>400</v>
      </c>
      <c r="S37" s="50">
        <f t="shared" si="7"/>
        <v>400</v>
      </c>
      <c r="T37" s="50">
        <f t="shared" si="7"/>
        <v>400</v>
      </c>
      <c r="U37" s="50">
        <f t="shared" si="7"/>
        <v>400</v>
      </c>
      <c r="V37" s="50">
        <f t="shared" si="7"/>
        <v>400</v>
      </c>
      <c r="W37" s="50">
        <f t="shared" si="7"/>
        <v>400</v>
      </c>
      <c r="X37" s="50">
        <f t="shared" si="7"/>
        <v>400</v>
      </c>
      <c r="Y37" s="50">
        <f t="shared" si="7"/>
        <v>400</v>
      </c>
      <c r="Z37" s="50">
        <f t="shared" si="7"/>
        <v>400</v>
      </c>
      <c r="AA37" s="50">
        <f t="shared" si="7"/>
        <v>400</v>
      </c>
      <c r="AB37" s="50">
        <f t="shared" si="7"/>
        <v>400</v>
      </c>
      <c r="AC37" s="50">
        <f t="shared" si="7"/>
        <v>400</v>
      </c>
      <c r="AD37" s="50">
        <f t="shared" si="7"/>
        <v>400</v>
      </c>
      <c r="AE37" s="50">
        <f t="shared" si="7"/>
        <v>400</v>
      </c>
      <c r="AF37" s="50">
        <f t="shared" si="7"/>
        <v>400</v>
      </c>
      <c r="AG37" s="50">
        <f t="shared" si="7"/>
        <v>400</v>
      </c>
      <c r="AH37" s="50">
        <f t="shared" si="7"/>
        <v>400</v>
      </c>
      <c r="AI37" s="50">
        <f t="shared" si="7"/>
        <v>400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125</v>
      </c>
      <c r="F41" s="50"/>
      <c r="G41" s="284" t="str">
        <f>SMU</f>
        <v>$ 000s</v>
      </c>
      <c r="H41" s="189">
        <f xml:space="preserve"> SUM(J41:AN41)</f>
        <v>10000</v>
      </c>
      <c r="I41" s="50"/>
      <c r="J41" s="50">
        <f t="shared" ref="J41:AN41" si="8" xml:space="preserve"> J37 + SUM(J39:J40)</f>
        <v>0</v>
      </c>
      <c r="K41" s="50">
        <f t="shared" si="8"/>
        <v>400</v>
      </c>
      <c r="L41" s="50">
        <f t="shared" si="8"/>
        <v>400</v>
      </c>
      <c r="M41" s="50">
        <f t="shared" si="8"/>
        <v>400</v>
      </c>
      <c r="N41" s="50">
        <f t="shared" si="8"/>
        <v>400</v>
      </c>
      <c r="O41" s="50">
        <f t="shared" si="8"/>
        <v>400</v>
      </c>
      <c r="P41" s="50">
        <f t="shared" si="8"/>
        <v>400</v>
      </c>
      <c r="Q41" s="50">
        <f t="shared" si="8"/>
        <v>400</v>
      </c>
      <c r="R41" s="50">
        <f t="shared" si="8"/>
        <v>400</v>
      </c>
      <c r="S41" s="50">
        <f t="shared" si="8"/>
        <v>400</v>
      </c>
      <c r="T41" s="50">
        <f t="shared" si="8"/>
        <v>400</v>
      </c>
      <c r="U41" s="50">
        <f t="shared" si="8"/>
        <v>400</v>
      </c>
      <c r="V41" s="50">
        <f t="shared" si="8"/>
        <v>400</v>
      </c>
      <c r="W41" s="50">
        <f t="shared" si="8"/>
        <v>400</v>
      </c>
      <c r="X41" s="50">
        <f t="shared" si="8"/>
        <v>400</v>
      </c>
      <c r="Y41" s="50">
        <f t="shared" si="8"/>
        <v>400</v>
      </c>
      <c r="Z41" s="50">
        <f t="shared" si="8"/>
        <v>400</v>
      </c>
      <c r="AA41" s="50">
        <f t="shared" si="8"/>
        <v>400</v>
      </c>
      <c r="AB41" s="50">
        <f t="shared" si="8"/>
        <v>400</v>
      </c>
      <c r="AC41" s="50">
        <f t="shared" si="8"/>
        <v>400</v>
      </c>
      <c r="AD41" s="50">
        <f t="shared" si="8"/>
        <v>400</v>
      </c>
      <c r="AE41" s="50">
        <f t="shared" si="8"/>
        <v>400</v>
      </c>
      <c r="AF41" s="50">
        <f t="shared" si="8"/>
        <v>400</v>
      </c>
      <c r="AG41" s="50">
        <f t="shared" si="8"/>
        <v>400</v>
      </c>
      <c r="AH41" s="50">
        <f t="shared" si="8"/>
        <v>400</v>
      </c>
      <c r="AI41" s="50">
        <f t="shared" si="8"/>
        <v>400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124</v>
      </c>
      <c r="F46" s="50"/>
      <c r="G46" s="343" t="str">
        <f xml:space="preserve"> SMU</f>
        <v>$ 000s</v>
      </c>
      <c r="H46" s="50">
        <f xml:space="preserve"> SUM(J46:AN46)</f>
        <v>10000</v>
      </c>
      <c r="I46" s="50"/>
      <c r="J46" s="50">
        <f t="shared" ref="J46:AN46" si="9" xml:space="preserve"> J41 + SUM(J43:J45)</f>
        <v>0</v>
      </c>
      <c r="K46" s="50">
        <f t="shared" si="9"/>
        <v>400</v>
      </c>
      <c r="L46" s="50">
        <f t="shared" si="9"/>
        <v>400</v>
      </c>
      <c r="M46" s="50">
        <f t="shared" si="9"/>
        <v>400</v>
      </c>
      <c r="N46" s="50">
        <f t="shared" si="9"/>
        <v>400</v>
      </c>
      <c r="O46" s="50">
        <f t="shared" si="9"/>
        <v>400</v>
      </c>
      <c r="P46" s="50">
        <f t="shared" si="9"/>
        <v>400</v>
      </c>
      <c r="Q46" s="50">
        <f t="shared" si="9"/>
        <v>400</v>
      </c>
      <c r="R46" s="50">
        <f t="shared" si="9"/>
        <v>400</v>
      </c>
      <c r="S46" s="50">
        <f t="shared" si="9"/>
        <v>400</v>
      </c>
      <c r="T46" s="50">
        <f t="shared" si="9"/>
        <v>400</v>
      </c>
      <c r="U46" s="50">
        <f t="shared" si="9"/>
        <v>400</v>
      </c>
      <c r="V46" s="50">
        <f t="shared" si="9"/>
        <v>400</v>
      </c>
      <c r="W46" s="50">
        <f t="shared" si="9"/>
        <v>400</v>
      </c>
      <c r="X46" s="50">
        <f t="shared" si="9"/>
        <v>400</v>
      </c>
      <c r="Y46" s="50">
        <f t="shared" si="9"/>
        <v>400</v>
      </c>
      <c r="Z46" s="50">
        <f t="shared" si="9"/>
        <v>400</v>
      </c>
      <c r="AA46" s="50">
        <f t="shared" si="9"/>
        <v>400</v>
      </c>
      <c r="AB46" s="50">
        <f t="shared" si="9"/>
        <v>400</v>
      </c>
      <c r="AC46" s="50">
        <f t="shared" si="9"/>
        <v>400</v>
      </c>
      <c r="AD46" s="50">
        <f t="shared" si="9"/>
        <v>400</v>
      </c>
      <c r="AE46" s="50">
        <f t="shared" si="9"/>
        <v>400</v>
      </c>
      <c r="AF46" s="50">
        <f t="shared" si="9"/>
        <v>400</v>
      </c>
      <c r="AG46" s="50">
        <f t="shared" si="9"/>
        <v>400</v>
      </c>
      <c r="AH46" s="50">
        <f t="shared" si="9"/>
        <v>400</v>
      </c>
      <c r="AI46" s="50">
        <f t="shared" si="9"/>
        <v>400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10000</v>
      </c>
      <c r="I49" s="50"/>
      <c r="J49" s="50">
        <f t="shared" ref="J49:AN49" si="10" xml:space="preserve"> J46 + J48</f>
        <v>0</v>
      </c>
      <c r="K49" s="50">
        <f t="shared" si="10"/>
        <v>400</v>
      </c>
      <c r="L49" s="50">
        <f t="shared" si="10"/>
        <v>400</v>
      </c>
      <c r="M49" s="50">
        <f t="shared" si="10"/>
        <v>400</v>
      </c>
      <c r="N49" s="50">
        <f t="shared" si="10"/>
        <v>400</v>
      </c>
      <c r="O49" s="50">
        <f t="shared" si="10"/>
        <v>400</v>
      </c>
      <c r="P49" s="50">
        <f t="shared" si="10"/>
        <v>400</v>
      </c>
      <c r="Q49" s="50">
        <f t="shared" si="10"/>
        <v>400</v>
      </c>
      <c r="R49" s="50">
        <f t="shared" si="10"/>
        <v>400</v>
      </c>
      <c r="S49" s="50">
        <f t="shared" si="10"/>
        <v>400</v>
      </c>
      <c r="T49" s="50">
        <f t="shared" si="10"/>
        <v>400</v>
      </c>
      <c r="U49" s="50">
        <f t="shared" si="10"/>
        <v>400</v>
      </c>
      <c r="V49" s="50">
        <f t="shared" si="10"/>
        <v>400</v>
      </c>
      <c r="W49" s="50">
        <f t="shared" si="10"/>
        <v>400</v>
      </c>
      <c r="X49" s="50">
        <f t="shared" si="10"/>
        <v>400</v>
      </c>
      <c r="Y49" s="50">
        <f t="shared" si="10"/>
        <v>400</v>
      </c>
      <c r="Z49" s="50">
        <f t="shared" si="10"/>
        <v>400</v>
      </c>
      <c r="AA49" s="50">
        <f t="shared" si="10"/>
        <v>400</v>
      </c>
      <c r="AB49" s="50">
        <f t="shared" si="10"/>
        <v>400</v>
      </c>
      <c r="AC49" s="50">
        <f t="shared" si="10"/>
        <v>400</v>
      </c>
      <c r="AD49" s="50">
        <f t="shared" si="10"/>
        <v>400</v>
      </c>
      <c r="AE49" s="50">
        <f t="shared" si="10"/>
        <v>400</v>
      </c>
      <c r="AF49" s="50">
        <f t="shared" si="10"/>
        <v>400</v>
      </c>
      <c r="AG49" s="50">
        <f t="shared" si="10"/>
        <v>400</v>
      </c>
      <c r="AH49" s="50">
        <f t="shared" si="10"/>
        <v>400</v>
      </c>
      <c r="AI49" s="50">
        <f t="shared" si="10"/>
        <v>400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10000</v>
      </c>
      <c r="I52" s="50"/>
      <c r="J52" s="50">
        <f xml:space="preserve"> J49 + J51</f>
        <v>0</v>
      </c>
      <c r="K52" s="50">
        <f t="shared" ref="K52:AN52" si="11" xml:space="preserve"> K49 + K51</f>
        <v>400</v>
      </c>
      <c r="L52" s="50">
        <f t="shared" si="11"/>
        <v>400</v>
      </c>
      <c r="M52" s="50">
        <f t="shared" si="11"/>
        <v>400</v>
      </c>
      <c r="N52" s="50">
        <f t="shared" si="11"/>
        <v>400</v>
      </c>
      <c r="O52" s="50">
        <f t="shared" si="11"/>
        <v>400</v>
      </c>
      <c r="P52" s="50">
        <f t="shared" si="11"/>
        <v>400</v>
      </c>
      <c r="Q52" s="50">
        <f t="shared" si="11"/>
        <v>400</v>
      </c>
      <c r="R52" s="50">
        <f t="shared" si="11"/>
        <v>400</v>
      </c>
      <c r="S52" s="50">
        <f t="shared" si="11"/>
        <v>400</v>
      </c>
      <c r="T52" s="50">
        <f t="shared" si="11"/>
        <v>400</v>
      </c>
      <c r="U52" s="50">
        <f t="shared" si="11"/>
        <v>400</v>
      </c>
      <c r="V52" s="50">
        <f t="shared" si="11"/>
        <v>400</v>
      </c>
      <c r="W52" s="50">
        <f t="shared" si="11"/>
        <v>400</v>
      </c>
      <c r="X52" s="50">
        <f t="shared" si="11"/>
        <v>400</v>
      </c>
      <c r="Y52" s="50">
        <f t="shared" si="11"/>
        <v>400</v>
      </c>
      <c r="Z52" s="50">
        <f t="shared" si="11"/>
        <v>400</v>
      </c>
      <c r="AA52" s="50">
        <f t="shared" si="11"/>
        <v>400</v>
      </c>
      <c r="AB52" s="50">
        <f t="shared" si="11"/>
        <v>400</v>
      </c>
      <c r="AC52" s="50">
        <f t="shared" si="11"/>
        <v>400</v>
      </c>
      <c r="AD52" s="50">
        <f t="shared" si="11"/>
        <v>400</v>
      </c>
      <c r="AE52" s="50">
        <f t="shared" si="11"/>
        <v>400</v>
      </c>
      <c r="AF52" s="50">
        <f t="shared" si="11"/>
        <v>400</v>
      </c>
      <c r="AG52" s="50">
        <f t="shared" si="11"/>
        <v>400</v>
      </c>
      <c r="AH52" s="50">
        <f t="shared" si="11"/>
        <v>400</v>
      </c>
      <c r="AI52" s="50">
        <f t="shared" si="11"/>
        <v>400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[Retained cash balance]</v>
      </c>
      <c r="F63" s="9">
        <f xml:space="preserve"> 'FS Qtr'!F63</f>
        <v>0</v>
      </c>
      <c r="G63" s="342">
        <f xml:space="preserve"> 'FS Qtr'!G63</f>
        <v>0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2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0</v>
      </c>
      <c r="M65" s="50">
        <f t="shared" si="13"/>
        <v>0</v>
      </c>
      <c r="N65" s="50">
        <f t="shared" si="13"/>
        <v>0</v>
      </c>
      <c r="O65" s="50">
        <f t="shared" si="13"/>
        <v>0</v>
      </c>
      <c r="P65" s="50">
        <f t="shared" si="13"/>
        <v>0</v>
      </c>
      <c r="Q65" s="50">
        <f t="shared" si="13"/>
        <v>0</v>
      </c>
      <c r="R65" s="50">
        <f t="shared" si="13"/>
        <v>0</v>
      </c>
      <c r="S65" s="50">
        <f t="shared" si="13"/>
        <v>0</v>
      </c>
      <c r="T65" s="50">
        <f t="shared" si="13"/>
        <v>0</v>
      </c>
      <c r="U65" s="50">
        <f t="shared" si="13"/>
        <v>0</v>
      </c>
      <c r="V65" s="50">
        <f t="shared" si="13"/>
        <v>0</v>
      </c>
      <c r="W65" s="50">
        <f t="shared" si="13"/>
        <v>0</v>
      </c>
      <c r="X65" s="50">
        <f t="shared" si="13"/>
        <v>0</v>
      </c>
      <c r="Y65" s="50">
        <f t="shared" si="13"/>
        <v>0</v>
      </c>
      <c r="Z65" s="50">
        <f t="shared" si="13"/>
        <v>0</v>
      </c>
      <c r="AA65" s="50">
        <f t="shared" si="13"/>
        <v>0</v>
      </c>
      <c r="AB65" s="50">
        <f t="shared" si="13"/>
        <v>0</v>
      </c>
      <c r="AC65" s="50">
        <f t="shared" si="13"/>
        <v>0</v>
      </c>
      <c r="AD65" s="50">
        <f t="shared" si="13"/>
        <v>0</v>
      </c>
      <c r="AE65" s="50">
        <f t="shared" si="13"/>
        <v>0</v>
      </c>
      <c r="AF65" s="50">
        <f t="shared" si="13"/>
        <v>0</v>
      </c>
      <c r="AG65" s="50">
        <f t="shared" si="13"/>
        <v>0</v>
      </c>
      <c r="AH65" s="50">
        <f t="shared" si="13"/>
        <v>0</v>
      </c>
      <c r="AI65" s="50">
        <f t="shared" si="13"/>
        <v>0</v>
      </c>
      <c r="AJ65" s="50">
        <f t="shared" si="13"/>
        <v>0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0</v>
      </c>
      <c r="M67" s="50">
        <f t="shared" si="14"/>
        <v>0</v>
      </c>
      <c r="N67" s="50">
        <f t="shared" si="14"/>
        <v>0</v>
      </c>
      <c r="O67" s="50">
        <f t="shared" si="14"/>
        <v>0</v>
      </c>
      <c r="P67" s="50">
        <f t="shared" si="14"/>
        <v>0</v>
      </c>
      <c r="Q67" s="50">
        <f t="shared" si="14"/>
        <v>0</v>
      </c>
      <c r="R67" s="50">
        <f t="shared" si="14"/>
        <v>0</v>
      </c>
      <c r="S67" s="50">
        <f t="shared" si="14"/>
        <v>0</v>
      </c>
      <c r="T67" s="50">
        <f t="shared" si="14"/>
        <v>0</v>
      </c>
      <c r="U67" s="50">
        <f t="shared" si="14"/>
        <v>0</v>
      </c>
      <c r="V67" s="50">
        <f t="shared" si="14"/>
        <v>0</v>
      </c>
      <c r="W67" s="50">
        <f t="shared" si="14"/>
        <v>0</v>
      </c>
      <c r="X67" s="50">
        <f t="shared" si="14"/>
        <v>0</v>
      </c>
      <c r="Y67" s="50">
        <f t="shared" si="14"/>
        <v>0</v>
      </c>
      <c r="Z67" s="50">
        <f t="shared" si="14"/>
        <v>0</v>
      </c>
      <c r="AA67" s="50">
        <f t="shared" si="14"/>
        <v>0</v>
      </c>
      <c r="AB67" s="50">
        <f t="shared" si="14"/>
        <v>0</v>
      </c>
      <c r="AC67" s="50">
        <f t="shared" si="14"/>
        <v>0</v>
      </c>
      <c r="AD67" s="50">
        <f t="shared" si="14"/>
        <v>0</v>
      </c>
      <c r="AE67" s="50">
        <f t="shared" si="14"/>
        <v>0</v>
      </c>
      <c r="AF67" s="50">
        <f t="shared" si="14"/>
        <v>0</v>
      </c>
      <c r="AG67" s="50">
        <f t="shared" si="14"/>
        <v>0</v>
      </c>
      <c r="AH67" s="50">
        <f t="shared" si="14"/>
        <v>0</v>
      </c>
      <c r="AI67" s="50">
        <f t="shared" si="14"/>
        <v>0</v>
      </c>
      <c r="AJ67" s="50">
        <f t="shared" si="14"/>
        <v>0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[Retained earnings balance]</v>
      </c>
      <c r="F74" s="9">
        <f xml:space="preserve"> 'FS Qtr'!F74</f>
        <v>0</v>
      </c>
      <c r="G74" s="342">
        <f xml:space="preserve"> 'FS Qtr'!G74</f>
        <v>0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0</v>
      </c>
      <c r="M75" s="50">
        <f t="shared" si="15"/>
        <v>0</v>
      </c>
      <c r="N75" s="50">
        <f t="shared" si="15"/>
        <v>0</v>
      </c>
      <c r="O75" s="50">
        <f t="shared" si="15"/>
        <v>0</v>
      </c>
      <c r="P75" s="50">
        <f t="shared" si="15"/>
        <v>0</v>
      </c>
      <c r="Q75" s="50">
        <f t="shared" si="15"/>
        <v>0</v>
      </c>
      <c r="R75" s="50">
        <f t="shared" si="15"/>
        <v>0</v>
      </c>
      <c r="S75" s="50">
        <f t="shared" si="15"/>
        <v>0</v>
      </c>
      <c r="T75" s="50">
        <f t="shared" si="15"/>
        <v>0</v>
      </c>
      <c r="U75" s="50">
        <f t="shared" si="15"/>
        <v>0</v>
      </c>
      <c r="V75" s="50">
        <f t="shared" si="15"/>
        <v>0</v>
      </c>
      <c r="W75" s="50">
        <f t="shared" si="15"/>
        <v>0</v>
      </c>
      <c r="X75" s="50">
        <f t="shared" si="15"/>
        <v>0</v>
      </c>
      <c r="Y75" s="50">
        <f t="shared" si="15"/>
        <v>0</v>
      </c>
      <c r="Z75" s="50">
        <f t="shared" si="15"/>
        <v>0</v>
      </c>
      <c r="AA75" s="50">
        <f t="shared" si="15"/>
        <v>0</v>
      </c>
      <c r="AB75" s="50">
        <f t="shared" si="15"/>
        <v>0</v>
      </c>
      <c r="AC75" s="50">
        <f t="shared" si="15"/>
        <v>0</v>
      </c>
      <c r="AD75" s="50">
        <f t="shared" si="15"/>
        <v>0</v>
      </c>
      <c r="AE75" s="50">
        <f t="shared" si="15"/>
        <v>0</v>
      </c>
      <c r="AF75" s="50">
        <f t="shared" si="15"/>
        <v>0</v>
      </c>
      <c r="AG75" s="50">
        <f t="shared" si="15"/>
        <v>0</v>
      </c>
      <c r="AH75" s="50">
        <f t="shared" si="15"/>
        <v>0</v>
      </c>
      <c r="AI75" s="50">
        <f t="shared" si="15"/>
        <v>0</v>
      </c>
      <c r="AJ75" s="50">
        <f t="shared" si="15"/>
        <v>0</v>
      </c>
      <c r="AK75" s="50">
        <f t="shared" si="15"/>
        <v>0</v>
      </c>
      <c r="AL75" s="50">
        <f t="shared" si="15"/>
        <v>0</v>
      </c>
      <c r="AM75" s="50">
        <f t="shared" si="15"/>
        <v>0</v>
      </c>
      <c r="AN75" s="50">
        <f t="shared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0</v>
      </c>
      <c r="M80" s="113">
        <f t="shared" si="16"/>
        <v>0</v>
      </c>
      <c r="N80" s="113">
        <f t="shared" si="16"/>
        <v>0</v>
      </c>
      <c r="O80" s="113">
        <f t="shared" si="16"/>
        <v>0</v>
      </c>
      <c r="P80" s="113">
        <f t="shared" si="16"/>
        <v>0</v>
      </c>
      <c r="Q80" s="113">
        <f t="shared" si="16"/>
        <v>0</v>
      </c>
      <c r="R80" s="113">
        <f t="shared" si="16"/>
        <v>0</v>
      </c>
      <c r="S80" s="113">
        <f t="shared" si="16"/>
        <v>0</v>
      </c>
      <c r="T80" s="113">
        <f t="shared" si="16"/>
        <v>0</v>
      </c>
      <c r="U80" s="113">
        <f t="shared" si="16"/>
        <v>0</v>
      </c>
      <c r="V80" s="113">
        <f t="shared" si="16"/>
        <v>0</v>
      </c>
      <c r="W80" s="113">
        <f t="shared" si="16"/>
        <v>0</v>
      </c>
      <c r="X80" s="113">
        <f t="shared" si="16"/>
        <v>0</v>
      </c>
      <c r="Y80" s="113">
        <f t="shared" si="16"/>
        <v>0</v>
      </c>
      <c r="Z80" s="113">
        <f t="shared" si="16"/>
        <v>0</v>
      </c>
      <c r="AA80" s="113">
        <f t="shared" si="16"/>
        <v>0</v>
      </c>
      <c r="AB80" s="113">
        <f t="shared" si="16"/>
        <v>0</v>
      </c>
      <c r="AC80" s="113">
        <f t="shared" si="16"/>
        <v>0</v>
      </c>
      <c r="AD80" s="113">
        <f t="shared" si="16"/>
        <v>0</v>
      </c>
      <c r="AE80" s="113">
        <f t="shared" si="16"/>
        <v>0</v>
      </c>
      <c r="AF80" s="113">
        <f t="shared" si="16"/>
        <v>0</v>
      </c>
      <c r="AG80" s="113">
        <f t="shared" si="16"/>
        <v>0</v>
      </c>
      <c r="AH80" s="113">
        <f t="shared" si="16"/>
        <v>0</v>
      </c>
      <c r="AI80" s="113">
        <f t="shared" si="16"/>
        <v>0</v>
      </c>
      <c r="AJ80" s="113">
        <f t="shared" si="16"/>
        <v>0</v>
      </c>
      <c r="AK80" s="113">
        <f t="shared" ref="AK80:AN80" si="17" xml:space="preserve"> AK$67</f>
        <v>0</v>
      </c>
      <c r="AL80" s="113">
        <f t="shared" si="17"/>
        <v>0</v>
      </c>
      <c r="AM80" s="113">
        <f t="shared" si="17"/>
        <v>0</v>
      </c>
      <c r="AN80" s="113">
        <f t="shared" si="17"/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0</v>
      </c>
      <c r="M81" s="113">
        <f t="shared" si="18"/>
        <v>0</v>
      </c>
      <c r="N81" s="113">
        <f t="shared" si="18"/>
        <v>0</v>
      </c>
      <c r="O81" s="113">
        <f t="shared" si="18"/>
        <v>0</v>
      </c>
      <c r="P81" s="113">
        <f t="shared" si="18"/>
        <v>0</v>
      </c>
      <c r="Q81" s="113">
        <f t="shared" si="18"/>
        <v>0</v>
      </c>
      <c r="R81" s="113">
        <f t="shared" si="18"/>
        <v>0</v>
      </c>
      <c r="S81" s="113">
        <f t="shared" si="18"/>
        <v>0</v>
      </c>
      <c r="T81" s="113">
        <f t="shared" si="18"/>
        <v>0</v>
      </c>
      <c r="U81" s="113">
        <f t="shared" si="18"/>
        <v>0</v>
      </c>
      <c r="V81" s="113">
        <f t="shared" si="18"/>
        <v>0</v>
      </c>
      <c r="W81" s="113">
        <f t="shared" si="18"/>
        <v>0</v>
      </c>
      <c r="X81" s="113">
        <f t="shared" si="18"/>
        <v>0</v>
      </c>
      <c r="Y81" s="113">
        <f t="shared" si="18"/>
        <v>0</v>
      </c>
      <c r="Z81" s="113">
        <f t="shared" si="18"/>
        <v>0</v>
      </c>
      <c r="AA81" s="113">
        <f t="shared" si="18"/>
        <v>0</v>
      </c>
      <c r="AB81" s="113">
        <f t="shared" si="18"/>
        <v>0</v>
      </c>
      <c r="AC81" s="113">
        <f t="shared" si="18"/>
        <v>0</v>
      </c>
      <c r="AD81" s="113">
        <f t="shared" si="18"/>
        <v>0</v>
      </c>
      <c r="AE81" s="113">
        <f t="shared" si="18"/>
        <v>0</v>
      </c>
      <c r="AF81" s="113">
        <f t="shared" si="18"/>
        <v>0</v>
      </c>
      <c r="AG81" s="113">
        <f t="shared" si="18"/>
        <v>0</v>
      </c>
      <c r="AH81" s="113">
        <f t="shared" si="18"/>
        <v>0</v>
      </c>
      <c r="AI81" s="113">
        <f t="shared" si="18"/>
        <v>0</v>
      </c>
      <c r="AJ81" s="113">
        <f t="shared" si="18"/>
        <v>0</v>
      </c>
      <c r="AK81" s="113">
        <f t="shared" ref="AK81:AN81" si="19" xml:space="preserve"> AK$75</f>
        <v>0</v>
      </c>
      <c r="AL81" s="113">
        <f t="shared" si="19"/>
        <v>0</v>
      </c>
      <c r="AM81" s="113">
        <f t="shared" si="19"/>
        <v>0</v>
      </c>
      <c r="AN81" s="113">
        <f t="shared" si="19"/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7" priority="1" stopIfTrue="1" operator="notEqual">
      <formula>0</formula>
    </cfRule>
    <cfRule type="cellIs" dxfId="26" priority="2" stopIfTrue="1" operator="equal">
      <formula>""</formula>
    </cfRule>
  </conditionalFormatting>
  <conditionalFormatting sqref="F82">
    <cfRule type="cellIs" dxfId="25" priority="5" stopIfTrue="1" operator="notEqual">
      <formula>0</formula>
    </cfRule>
    <cfRule type="cellIs" dxfId="24" priority="6" stopIfTrue="1" operator="equal">
      <formula>""</formula>
    </cfRule>
  </conditionalFormatting>
  <conditionalFormatting sqref="J3:AN3">
    <cfRule type="cellIs" dxfId="23" priority="33" operator="equal">
      <formula>"PPA ext."</formula>
    </cfRule>
    <cfRule type="cellIs" dxfId="22" priority="34" operator="equal">
      <formula>"Delay"</formula>
    </cfRule>
    <cfRule type="cellIs" dxfId="21" priority="39" operator="equal">
      <formula>"Fin Close"</formula>
    </cfRule>
    <cfRule type="cellIs" dxfId="20" priority="40" stopIfTrue="1" operator="equal">
      <formula>"Construction"</formula>
    </cfRule>
    <cfRule type="cellIs" dxfId="19" priority="41" stopIfTrue="1" operator="equal">
      <formula>"Operations"</formula>
    </cfRule>
  </conditionalFormatting>
  <conditionalFormatting sqref="J82:AN82">
    <cfRule type="cellIs" dxfId="18" priority="9" stopIfTrue="1" operator="notEqual">
      <formula>0</formula>
    </cfRule>
    <cfRule type="cellIs" dxfId="17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S79"/>
  <sheetViews>
    <sheetView showGridLines="0" defaultGridColor="0" colorId="22" zoomScale="90" zoomScaleNormal="90" workbookViewId="0">
      <pane xSplit="9" ySplit="5" topLeftCell="J48" activePane="bottomRight" state="frozen"/>
      <selection activeCell="E45" sqref="E45"/>
      <selection pane="topRight" activeCell="E45" sqref="E45"/>
      <selection pane="bottomLeft" activeCell="E45" sqref="E45"/>
      <selection pane="bottomRight" activeCell="H81" sqref="A81:XFD8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46484375" style="80" customWidth="1"/>
    <col min="6" max="6" width="12.46484375" style="80" customWidth="1"/>
    <col min="7" max="7" width="11.46484375" style="80" customWidth="1"/>
    <col min="8" max="8" width="12.46484375" style="80" customWidth="1"/>
    <col min="9" max="9" width="2.46484375" style="66" customWidth="1"/>
    <col min="10" max="10" width="4.46484375" style="317" customWidth="1"/>
    <col min="11" max="11" width="11.46484375" style="21" customWidth="1"/>
    <col min="12" max="12" width="11.46484375" style="236" customWidth="1"/>
    <col min="13" max="13" width="0.46484375" style="114" customWidth="1"/>
    <col min="14" max="17" width="12.46484375" style="67" customWidth="1"/>
    <col min="18" max="18" width="0.46484375" style="114" customWidth="1"/>
    <col min="19" max="19" width="0" hidden="1" customWidth="1"/>
    <col min="20" max="16384" width="9.1328125" hidden="1"/>
  </cols>
  <sheetData>
    <row r="1" spans="1:18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</row>
    <row r="2" spans="1:18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COUNTIF(J6:J76, "tu")</f>
        <v>0</v>
      </c>
      <c r="N2" s="219">
        <v>44564</v>
      </c>
      <c r="O2" s="219">
        <v>44564</v>
      </c>
      <c r="P2" s="219">
        <v>44564</v>
      </c>
      <c r="Q2" s="219">
        <v>44564</v>
      </c>
    </row>
    <row r="3" spans="1:18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139"/>
    </row>
    <row r="4" spans="1:18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115"/>
    </row>
    <row r="5" spans="1:18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4</v>
      </c>
      <c r="I5" s="72"/>
      <c r="J5" s="314">
        <f xml:space="preserve"> MATCH($H$5, M5:R5, 0)</f>
        <v>2</v>
      </c>
      <c r="K5" s="261" t="s">
        <v>65</v>
      </c>
      <c r="L5" s="259" t="s">
        <v>66</v>
      </c>
      <c r="M5" s="116"/>
      <c r="N5" s="220">
        <v>4</v>
      </c>
      <c r="O5" s="220">
        <v>3</v>
      </c>
      <c r="P5" s="220">
        <v>2</v>
      </c>
      <c r="Q5" s="220">
        <v>1</v>
      </c>
      <c r="R5" s="116"/>
    </row>
    <row r="6" spans="1:18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16"/>
    </row>
    <row r="7" spans="1:18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116"/>
    </row>
    <row r="8" spans="1:18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116"/>
    </row>
    <row r="9" spans="1:18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</row>
    <row r="10" spans="1:18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INDEX(M10:R10, $J$5)</f>
        <v>0</v>
      </c>
      <c r="L10" s="81">
        <f xml:space="preserve"> IF(ABS(K10) &gt; TRK_TOL, IF(INDEX(M10:R10, $J$5) = 0, 0, H10 / INDEX(M10:R10, $J$5) - 1), 0)</f>
        <v>0</v>
      </c>
      <c r="M10" s="239"/>
      <c r="N10" s="257"/>
      <c r="O10" s="257"/>
      <c r="P10" s="257"/>
      <c r="Q10" s="257"/>
      <c r="R10" s="239"/>
    </row>
    <row r="11" spans="1:18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INDEX(M11:R11, $J$5)</f>
        <v>0</v>
      </c>
      <c r="L11" s="81">
        <f xml:space="preserve"> IF(ABS(K11) &gt; TRK_TOL, IF(INDEX(M11:R11, $J$5) = 0, 0, H11 / INDEX(M11:R11, $J$5) - 1), 0)</f>
        <v>0</v>
      </c>
      <c r="M11" s="271"/>
      <c r="N11" s="267"/>
      <c r="O11" s="267"/>
      <c r="P11" s="267"/>
      <c r="Q11" s="267"/>
      <c r="R11" s="271"/>
    </row>
    <row r="12" spans="1:18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INDEX(M12:R12, $J$5)</f>
        <v>0</v>
      </c>
      <c r="L12" s="81">
        <f xml:space="preserve"> IF(ABS(K12) &gt; TRK_TOL, IF(INDEX(M12:R12, $J$5) = 0, 0, H12 / INDEX(M12:R12, $J$5) - 1), 0)</f>
        <v>0</v>
      </c>
      <c r="M12" s="271"/>
      <c r="N12" s="267"/>
      <c r="O12" s="267"/>
      <c r="P12" s="267"/>
      <c r="Q12" s="267"/>
      <c r="R12" s="271"/>
    </row>
    <row r="13" spans="1:18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INDEX(M13:R13, $J$5)</f>
        <v>0</v>
      </c>
      <c r="L13" s="81">
        <f xml:space="preserve"> IF(ABS(K13) &gt; TRK_TOL, IF(INDEX(M13:R13, $J$5) = 0, 0, H13 / INDEX(M13:R13, $J$5) - 1), 0)</f>
        <v>0</v>
      </c>
      <c r="M13" s="239"/>
      <c r="N13" s="257"/>
      <c r="O13" s="257"/>
      <c r="P13" s="257"/>
      <c r="Q13" s="257"/>
      <c r="R13" s="239"/>
    </row>
    <row r="14" spans="1:18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136"/>
    </row>
    <row r="15" spans="1:18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131"/>
    </row>
    <row r="16" spans="1:18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131"/>
    </row>
    <row r="17" spans="1:18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131"/>
    </row>
    <row r="18" spans="1:18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</row>
    <row r="19" spans="1:18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INDEX(M19:R19, $J$5)</f>
        <v>0</v>
      </c>
      <c r="L19" s="274">
        <f xml:space="preserve"> IF(ABS(K19) &gt; TRK_TOL, IF(INDEX(M19:R19, $J$5) = 0, 0, H19 / INDEX(M19:R19, $J$5) - 1), 0)</f>
        <v>0</v>
      </c>
      <c r="M19" s="280"/>
      <c r="N19" s="281">
        <v>371409.67882059288</v>
      </c>
      <c r="O19" s="281">
        <v>0</v>
      </c>
      <c r="P19" s="281">
        <v>0</v>
      </c>
      <c r="Q19" s="281">
        <v>0</v>
      </c>
      <c r="R19" s="280"/>
    </row>
    <row r="20" spans="1:18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0</v>
      </c>
      <c r="I20" s="279"/>
      <c r="J20" s="316" t="str">
        <f xml:space="preserve"> IF(ABS(K20) &gt; TRK_TOL, "tu", "vw")</f>
        <v>vw</v>
      </c>
      <c r="K20" s="149">
        <f xml:space="preserve"> H20 - INDEX(M20:R20, $J$5)</f>
        <v>0</v>
      </c>
      <c r="L20" s="274">
        <f xml:space="preserve"> IF(ABS(K20) &gt; TRK_TOL, IF(INDEX(M20:R20, $J$5) = 0, 0, H20 / INDEX(M20:R20, $J$5) - 1), 0)</f>
        <v>0</v>
      </c>
      <c r="M20" s="282"/>
      <c r="N20" s="281">
        <v>0</v>
      </c>
      <c r="O20" s="281">
        <v>0</v>
      </c>
      <c r="P20" s="281">
        <v>0</v>
      </c>
      <c r="Q20" s="281">
        <v>0</v>
      </c>
      <c r="R20" s="282"/>
    </row>
    <row r="21" spans="1:18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371409.67882059288</v>
      </c>
      <c r="I21" s="283"/>
      <c r="J21" s="318" t="str">
        <f xml:space="preserve"> IF(ABS(K21) &gt; TRK_TOL, "tu", "vw")</f>
        <v>vw</v>
      </c>
      <c r="K21" s="284">
        <f xml:space="preserve"> H21 - INDEX(M21:R21, $J$5)</f>
        <v>0</v>
      </c>
      <c r="L21" s="285">
        <f xml:space="preserve"> IF(ABS(K21) &gt; TRK_TOL, IF(INDEX(M21:R21, $J$5) = 0, 0, H21 / INDEX(M21:R21, $J$5) - 1), 0)</f>
        <v>0</v>
      </c>
      <c r="M21" s="286"/>
      <c r="N21" s="287">
        <v>371409.67882059288</v>
      </c>
      <c r="O21" s="287">
        <v>10000</v>
      </c>
      <c r="P21" s="287">
        <v>10000</v>
      </c>
      <c r="Q21" s="287">
        <v>10000</v>
      </c>
      <c r="R21" s="286"/>
    </row>
    <row r="22" spans="1:18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0"/>
    </row>
    <row r="23" spans="1:18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INDEX(M23:R23, $J$5)</f>
        <v>0</v>
      </c>
      <c r="L23" s="274">
        <f xml:space="preserve"> IF(ABS(K23) &gt; TRK_TOL, IF(INDEX(M23:R23, $J$5) = 0, 0, H23 / INDEX(M23:R23,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0"/>
    </row>
    <row r="24" spans="1:18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371409.67882059288</v>
      </c>
      <c r="I24" s="283"/>
      <c r="J24" s="318" t="str">
        <f xml:space="preserve"> IF(ABS(K24) &gt; TRK_TOL, "tu", "vw")</f>
        <v>vw</v>
      </c>
      <c r="K24" s="284">
        <f xml:space="preserve"> H24 - INDEX(M24:R24, $J$5)</f>
        <v>0</v>
      </c>
      <c r="L24" s="285">
        <f xml:space="preserve"> IF(ABS(K24) &gt; TRK_TOL, IF(INDEX(M24:R24, $J$5) = 0, 0, H24 / INDEX(M24:R24, $J$5) - 1), 0)</f>
        <v>0</v>
      </c>
      <c r="M24" s="288"/>
      <c r="N24" s="287">
        <v>371409.67882059288</v>
      </c>
      <c r="O24" s="287">
        <v>10000</v>
      </c>
      <c r="P24" s="287">
        <v>10000</v>
      </c>
      <c r="Q24" s="287">
        <v>10000</v>
      </c>
      <c r="R24" s="288"/>
    </row>
    <row r="25" spans="1:18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0"/>
    </row>
    <row r="26" spans="1:18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INDEX(M26:R26, $J$5)</f>
        <v>0</v>
      </c>
      <c r="L26" s="274">
        <f xml:space="preserve"> IF(ABS(K26) &gt; TRK_TOL, IF(INDEX(M26:R26, $J$5) = 0, 0, H26 / INDEX(M26:R26,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9"/>
    </row>
    <row r="27" spans="1:18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INDEX(M27:R27, $J$5)</f>
        <v>0</v>
      </c>
      <c r="L27" s="274">
        <f xml:space="preserve"> IF(ABS(K27) &gt; TRK_TOL, IF(INDEX(M27:R27, $J$5) = 0, 0, H27 / INDEX(M27:R27,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9"/>
    </row>
    <row r="28" spans="1:18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INDEX(M28:R28, $J$5)</f>
        <v>0</v>
      </c>
      <c r="L28" s="274">
        <f xml:space="preserve"> IF(ABS(K28) &gt; TRK_TOL, IF(INDEX(M28:R28, $J$5) = 0, 0, H28 / INDEX(M28:R28,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91"/>
    </row>
    <row r="29" spans="1:18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371409.67882059288</v>
      </c>
      <c r="I29" s="321"/>
      <c r="J29" s="318" t="str">
        <f xml:space="preserve"> IF(ABS(K29) &gt; TRK_TOL, "tu", "vw")</f>
        <v>vw</v>
      </c>
      <c r="K29" s="284">
        <f xml:space="preserve"> H29 - INDEX(M29:R29, $J$5)</f>
        <v>0</v>
      </c>
      <c r="L29" s="285">
        <f xml:space="preserve"> IF(ABS(K29) &gt; TRK_TOL, IF(INDEX(M29:R29, $J$5) = 0, 0, H29 / INDEX(M29:R29, $J$5) - 1), 0)</f>
        <v>0</v>
      </c>
      <c r="M29" s="286"/>
      <c r="N29" s="287">
        <v>371409.67882059288</v>
      </c>
      <c r="O29" s="287">
        <v>10000</v>
      </c>
      <c r="P29" s="287">
        <v>10000</v>
      </c>
      <c r="Q29" s="287">
        <v>10000</v>
      </c>
      <c r="R29" s="286"/>
    </row>
    <row r="30" spans="1:18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91"/>
    </row>
    <row r="31" spans="1:18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INDEX(M31:R31, $J$5)</f>
        <v>0</v>
      </c>
      <c r="L31" s="274">
        <f xml:space="preserve"> IF(ABS(K31) &gt; TRK_TOL, IF(INDEX(M31:R31, $J$5) = 0, 0, H31 / INDEX(M31:R31,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91"/>
    </row>
    <row r="32" spans="1:18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371409.67882059288</v>
      </c>
      <c r="I32" s="321"/>
      <c r="J32" s="318" t="str">
        <f xml:space="preserve"> IF(ABS(K32) &gt; TRK_TOL, "tu", "vw")</f>
        <v>vw</v>
      </c>
      <c r="K32" s="284">
        <f xml:space="preserve"> H32 - INDEX(M32:R32, $J$5)</f>
        <v>0</v>
      </c>
      <c r="L32" s="285">
        <f xml:space="preserve"> IF(ABS(K32) &gt; TRK_TOL, IF(INDEX(M32:R32, $J$5) = 0, 0, H32 / INDEX(M32:R32, $J$5) - 1), 0)</f>
        <v>0</v>
      </c>
      <c r="M32" s="286"/>
      <c r="N32" s="287">
        <v>371409.67882059288</v>
      </c>
      <c r="O32" s="287">
        <v>10000</v>
      </c>
      <c r="P32" s="287">
        <v>10000</v>
      </c>
      <c r="Q32" s="287">
        <v>10000</v>
      </c>
      <c r="R32" s="286"/>
    </row>
    <row r="33" spans="1:18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91"/>
    </row>
    <row r="34" spans="1:18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INDEX(M34:R34, $J$5)</f>
        <v>0</v>
      </c>
      <c r="L34" s="274">
        <f xml:space="preserve"> IF(ABS(K34) &gt; TRK_TOL, IF(INDEX(M34:R34, $J$5) = 0, 0, H34 / INDEX(M34:R34,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91"/>
    </row>
    <row r="35" spans="1:18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371409.67882059288</v>
      </c>
      <c r="I35" s="283"/>
      <c r="J35" s="318" t="str">
        <f xml:space="preserve"> IF(ABS(K35) &gt; TRK_TOL, "tu", "vw")</f>
        <v>vw</v>
      </c>
      <c r="K35" s="284">
        <f xml:space="preserve"> H35 - INDEX(M35:R35, $J$5)</f>
        <v>0</v>
      </c>
      <c r="L35" s="285">
        <f xml:space="preserve"> IF(ABS(K35) &gt; TRK_TOL, IF(INDEX(M35:R35, $J$5) = 0, 0, H35 / INDEX(M35:R35, $J$5) - 1), 0)</f>
        <v>0</v>
      </c>
      <c r="M35" s="288"/>
      <c r="N35" s="344">
        <v>371409.67882059288</v>
      </c>
      <c r="O35" s="344">
        <v>10000</v>
      </c>
      <c r="P35" s="344">
        <v>10000</v>
      </c>
      <c r="Q35" s="344">
        <v>10000</v>
      </c>
      <c r="R35" s="288"/>
    </row>
    <row r="36" spans="1:18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80"/>
    </row>
    <row r="37" spans="1:18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80"/>
    </row>
    <row r="38" spans="1:18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80"/>
    </row>
    <row r="39" spans="1:18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80"/>
    </row>
    <row r="40" spans="1:18" outlineLevel="1" x14ac:dyDescent="0.35">
      <c r="A40" s="73"/>
      <c r="B40" s="75"/>
      <c r="C40" s="63"/>
      <c r="D40" s="72"/>
      <c r="E40" s="279" t="str">
        <f xml:space="preserve"> 'FS Qtr'!E30</f>
        <v>[Cash received from invoices]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0</v>
      </c>
      <c r="I40" s="279"/>
      <c r="J40" s="316" t="str">
        <f xml:space="preserve"> IF(ABS(K40) &gt; TRK_TOL, "tu", "vw")</f>
        <v>vw</v>
      </c>
      <c r="K40" s="149">
        <f xml:space="preserve"> H40 - INDEX(M40:R40, $J$5)</f>
        <v>0</v>
      </c>
      <c r="L40" s="274">
        <f xml:space="preserve"> IF(ABS(K40) &gt; TRK_TOL, IF(INDEX(M40:R40, $J$5) = 0, 0, H40 / INDEX(M40:R40, $J$5) - 1), 0)</f>
        <v>0</v>
      </c>
      <c r="M40" s="289"/>
      <c r="N40" s="281">
        <v>0</v>
      </c>
      <c r="O40" s="281">
        <v>0</v>
      </c>
      <c r="P40" s="281">
        <v>0</v>
      </c>
      <c r="Q40" s="281">
        <v>0</v>
      </c>
      <c r="R40" s="289"/>
    </row>
    <row r="41" spans="1:18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INDEX(M41:R41, $J$5)</f>
        <v>0</v>
      </c>
      <c r="L41" s="274">
        <f xml:space="preserve"> IF(ABS(K41) &gt; TRK_TOL, IF(INDEX(M41:R41, $J$5) = 0, 0, H41 / INDEX(M41:R41, $J$5) - 1), 0)</f>
        <v>0</v>
      </c>
      <c r="M41" s="289"/>
      <c r="N41" s="281">
        <v>0</v>
      </c>
      <c r="O41" s="281">
        <v>0</v>
      </c>
      <c r="P41" s="281">
        <v>0</v>
      </c>
      <c r="Q41" s="281">
        <v>0</v>
      </c>
      <c r="R41" s="289"/>
    </row>
    <row r="42" spans="1:18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INDEX(M42:R42, $J$5)</f>
        <v>0</v>
      </c>
      <c r="L42" s="274">
        <f xml:space="preserve"> IF(ABS(K42) &gt; TRK_TOL, IF(INDEX(M42:R42, $J$5) = 0, 0, H42 / INDEX(M42:R42,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9"/>
    </row>
    <row r="43" spans="1:18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10000</v>
      </c>
      <c r="I43" s="283"/>
      <c r="J43" s="318" t="str">
        <f xml:space="preserve"> IF(ABS(K43) &gt; TRK_TOL, "tu", "vw")</f>
        <v>vw</v>
      </c>
      <c r="K43" s="284">
        <f xml:space="preserve"> H43 - INDEX(M43:R43, $J$5)</f>
        <v>0</v>
      </c>
      <c r="L43" s="285">
        <f xml:space="preserve"> IF(ABS(K43) &gt; TRK_TOL, IF(INDEX(M43:R43, $J$5) = 0, 0, H43 / INDEX(M43:R43, $J$5) - 1), 0)</f>
        <v>0</v>
      </c>
      <c r="M43" s="286"/>
      <c r="N43" s="287">
        <v>10000</v>
      </c>
      <c r="O43" s="287">
        <v>10000</v>
      </c>
      <c r="P43" s="287">
        <v>10000</v>
      </c>
      <c r="Q43" s="287">
        <v>10000</v>
      </c>
      <c r="R43" s="286"/>
    </row>
    <row r="44" spans="1:18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9"/>
    </row>
    <row r="45" spans="1:18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INDEX(M45:R45, $J$5)</f>
        <v>0</v>
      </c>
      <c r="L45" s="274">
        <f xml:space="preserve"> IF(ABS(K45) &gt; TRK_TOL, IF(INDEX(M45:R45, $J$5) = 0, 0, H45 / INDEX(M45:R45,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9"/>
    </row>
    <row r="46" spans="1:18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INDEX(M46:R46, $J$5)</f>
        <v>0</v>
      </c>
      <c r="L46" s="274">
        <f xml:space="preserve"> IF(ABS(K46) &gt; TRK_TOL, IF(INDEX(M46:R46, $J$5) = 0, 0, H46 / INDEX(M46:R46,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9"/>
    </row>
    <row r="47" spans="1:18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10000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10000</v>
      </c>
      <c r="O47" s="287">
        <v>10000</v>
      </c>
      <c r="P47" s="287">
        <v>10000</v>
      </c>
      <c r="Q47" s="287">
        <v>10000</v>
      </c>
      <c r="R47" s="286"/>
    </row>
    <row r="48" spans="1:18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9"/>
    </row>
    <row r="49" spans="1:18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INDEX(M49:R49, $J$5)</f>
        <v>0</v>
      </c>
      <c r="L49" s="274">
        <f xml:space="preserve"> IF(ABS(K49) &gt; TRK_TOL, IF(INDEX(M49:R49, $J$5) = 0, 0, H49 / INDEX(M49:R49,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91"/>
    </row>
    <row r="50" spans="1:18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INDEX(M50:R50, $J$5)</f>
        <v>0</v>
      </c>
      <c r="L50" s="274">
        <f xml:space="preserve"> IF(ABS(K50) &gt; TRK_TOL, IF(INDEX(M50:R50, $J$5) = 0, 0, H50 / INDEX(M50:R50,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91"/>
    </row>
    <row r="51" spans="1:18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INDEX(M51:R51, $J$5)</f>
        <v>0</v>
      </c>
      <c r="L51" s="274">
        <f xml:space="preserve"> IF(ABS(K51) &gt; TRK_TOL, IF(INDEX(M51:R51, $J$5) = 0, 0, H51 / INDEX(M51:R51,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91"/>
    </row>
    <row r="52" spans="1:18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10000</v>
      </c>
      <c r="I52" s="283"/>
      <c r="J52" s="318" t="str">
        <f xml:space="preserve"> IF(ABS(K52) &gt; TRK_TOL, "tu", "vw")</f>
        <v>vw</v>
      </c>
      <c r="K52" s="284">
        <f xml:space="preserve"> H52 - INDEX(M52:R52, $J$5)</f>
        <v>0</v>
      </c>
      <c r="L52" s="285">
        <f xml:space="preserve"> IF(ABS(K52) &gt; TRK_TOL, IF(INDEX(M52:R52, $J$5) = 0, 0, H52 / INDEX(M52:R52, $J$5) - 1), 0)</f>
        <v>0</v>
      </c>
      <c r="M52" s="286"/>
      <c r="N52" s="287">
        <v>10000</v>
      </c>
      <c r="O52" s="287">
        <v>10000</v>
      </c>
      <c r="P52" s="287">
        <v>10000</v>
      </c>
      <c r="Q52" s="287">
        <v>10000</v>
      </c>
      <c r="R52" s="286"/>
    </row>
    <row r="53" spans="1:18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91"/>
    </row>
    <row r="54" spans="1:18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INDEX(M54:R54, $J$5)</f>
        <v>0</v>
      </c>
      <c r="L54" s="274">
        <f xml:space="preserve"> IF(ABS(K54) &gt; TRK_TOL, IF(INDEX(M54:R54, $J$5) = 0, 0, H54 / INDEX(M54:R54,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91"/>
    </row>
    <row r="55" spans="1:18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INDEX(M55:R55, $J$5)</f>
        <v>0</v>
      </c>
      <c r="L55" s="274">
        <f xml:space="preserve"> IF(ABS(K55) &gt; TRK_TOL, IF(INDEX(M55:R55, $J$5) = 0, 0, H55 / INDEX(M55:R55,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91"/>
    </row>
    <row r="56" spans="1:18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INDEX(M56:R56, $J$5)</f>
        <v>0</v>
      </c>
      <c r="L56" s="274">
        <f xml:space="preserve"> IF(ABS(K56) &gt; TRK_TOL, IF(INDEX(M56:R56, $J$5) = 0, 0, H56 / INDEX(M56:R56,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91"/>
    </row>
    <row r="57" spans="1:18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10000</v>
      </c>
      <c r="I57" s="283"/>
      <c r="J57" s="318" t="str">
        <f xml:space="preserve"> IF(ABS(K57) &gt; TRK_TOL, "tu", "vw")</f>
        <v>vw</v>
      </c>
      <c r="K57" s="284">
        <f xml:space="preserve"> H57 - INDEX(M57:R57, $J$5)</f>
        <v>0</v>
      </c>
      <c r="L57" s="285">
        <f xml:space="preserve"> IF(ABS(K57) &gt; TRK_TOL, IF(INDEX(M57:R57, $J$5) = 0, 0, H57 / INDEX(M57:R57, $J$5) - 1), 0)</f>
        <v>0</v>
      </c>
      <c r="M57" s="286"/>
      <c r="N57" s="287">
        <v>10000</v>
      </c>
      <c r="O57" s="287">
        <v>10000</v>
      </c>
      <c r="P57" s="287">
        <v>10000</v>
      </c>
      <c r="Q57" s="287">
        <v>10000</v>
      </c>
      <c r="R57" s="286"/>
    </row>
    <row r="58" spans="1:18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91"/>
    </row>
    <row r="59" spans="1:18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INDEX(M59:R59, $J$5)</f>
        <v>0</v>
      </c>
      <c r="L59" s="274">
        <f xml:space="preserve"> IF(ABS(K59) &gt; TRK_TOL, IF(INDEX(M59:R59, $J$5) = 0, 0, H59 / INDEX(M59:R59,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91"/>
    </row>
    <row r="60" spans="1:18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10000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10000</v>
      </c>
      <c r="O60" s="287">
        <v>10000</v>
      </c>
      <c r="P60" s="287">
        <v>10000</v>
      </c>
      <c r="Q60" s="287">
        <v>10000</v>
      </c>
      <c r="R60" s="286"/>
    </row>
    <row r="61" spans="1:18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91"/>
    </row>
    <row r="62" spans="1:18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INDEX(M62:R62, $J$5)</f>
        <v>0</v>
      </c>
      <c r="L62" s="274">
        <f xml:space="preserve"> IF(ABS(K62) &gt; TRK_TOL, IF(INDEX(M62:R62, $J$5) = 0, 0, H62 / INDEX(M62:R62,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91"/>
    </row>
    <row r="63" spans="1:18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10000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10000</v>
      </c>
      <c r="O63" s="287">
        <v>10000</v>
      </c>
      <c r="P63" s="287">
        <v>10000</v>
      </c>
      <c r="Q63" s="287">
        <v>10000</v>
      </c>
      <c r="R63" s="286"/>
    </row>
    <row r="64" spans="1:18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91"/>
    </row>
    <row r="65" spans="1:18" x14ac:dyDescent="0.35">
      <c r="A65" s="62" t="s">
        <v>191</v>
      </c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9"/>
    </row>
    <row r="66" spans="1:18" outlineLevel="1" x14ac:dyDescent="0.35">
      <c r="A66" s="73"/>
      <c r="B66" s="75"/>
      <c r="C66" s="82"/>
      <c r="D66" s="72"/>
      <c r="E66" s="279" t="s">
        <v>192</v>
      </c>
      <c r="F66" s="279"/>
      <c r="G66" s="279"/>
      <c r="H66" s="279"/>
      <c r="I66" s="279"/>
      <c r="J66" s="319" t="str">
        <f xml:space="preserve"> IF(ABS(K66) &gt; TRK_TOL, "tu", "vw")</f>
        <v>vw</v>
      </c>
      <c r="K66" s="149">
        <f xml:space="preserve"> H66 - INDEX(M66:R66, $J$5)</f>
        <v>0</v>
      </c>
      <c r="L66" s="274">
        <f xml:space="preserve"> IF(ABS(K66) &gt; TRK_TOL, IF(INDEX(M66:R66, $J$5) = 0, 0, H66 / INDEX(M66:R66, $J$5) - 1), 0)</f>
        <v>0</v>
      </c>
      <c r="M66" s="291"/>
      <c r="N66" s="281">
        <v>0</v>
      </c>
      <c r="O66" s="281">
        <v>0</v>
      </c>
      <c r="P66" s="281">
        <v>0</v>
      </c>
      <c r="Q66" s="281">
        <v>0</v>
      </c>
      <c r="R66" s="291"/>
    </row>
    <row r="67" spans="1:18" x14ac:dyDescent="0.35">
      <c r="A67" s="73"/>
      <c r="B67" s="75"/>
      <c r="C67" s="72"/>
      <c r="D67" s="72"/>
      <c r="E67" s="279"/>
      <c r="F67" s="279"/>
      <c r="G67" s="279"/>
      <c r="H67" s="279"/>
      <c r="I67" s="279"/>
      <c r="K67" s="150"/>
      <c r="L67" s="275"/>
      <c r="M67" s="289"/>
      <c r="N67" s="281"/>
      <c r="O67" s="281"/>
      <c r="P67" s="281"/>
      <c r="Q67" s="281"/>
      <c r="R67" s="289"/>
    </row>
    <row r="68" spans="1:18" x14ac:dyDescent="0.35">
      <c r="A68" s="73"/>
      <c r="B68" s="75"/>
      <c r="C68" s="72"/>
      <c r="D68" s="72"/>
      <c r="E68" s="279"/>
      <c r="F68" s="279"/>
      <c r="G68" s="279"/>
      <c r="H68" s="279"/>
      <c r="I68" s="279"/>
      <c r="K68" s="150"/>
      <c r="L68" s="275"/>
      <c r="M68" s="289"/>
      <c r="N68" s="281"/>
      <c r="O68" s="281"/>
      <c r="P68" s="281"/>
      <c r="Q68" s="281"/>
      <c r="R68" s="289"/>
    </row>
    <row r="69" spans="1:18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9"/>
    </row>
    <row r="70" spans="1:18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89"/>
    </row>
    <row r="71" spans="1:18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44572.684798842594</v>
      </c>
      <c r="I71" s="292"/>
      <c r="K71" s="151"/>
      <c r="L71" s="276"/>
      <c r="M71" s="289"/>
      <c r="N71" s="300">
        <v>44564.437968171296</v>
      </c>
      <c r="O71" s="300">
        <v>44564.41158414352</v>
      </c>
      <c r="P71" s="300">
        <v>44564.41158414352</v>
      </c>
      <c r="Q71" s="300">
        <v>44564.41158414352</v>
      </c>
      <c r="R71" s="289"/>
    </row>
    <row r="72" spans="1:18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skill 12 BEG 01a.xlsx</v>
      </c>
      <c r="I72" s="292"/>
      <c r="K72" s="151"/>
      <c r="L72" s="276"/>
      <c r="M72" s="289"/>
      <c r="N72" s="303" t="s">
        <v>188</v>
      </c>
      <c r="O72" s="303" t="s">
        <v>166</v>
      </c>
      <c r="P72" s="303" t="s">
        <v>166</v>
      </c>
      <c r="Q72" s="303" t="s">
        <v>166</v>
      </c>
      <c r="R72" s="289"/>
    </row>
    <row r="73" spans="1:18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89"/>
    </row>
    <row r="74" spans="1:18" x14ac:dyDescent="0.35">
      <c r="A74" s="62"/>
      <c r="B74" s="62"/>
      <c r="C74" s="63"/>
      <c r="D74" s="73"/>
      <c r="E74" s="304"/>
      <c r="F74" s="295"/>
      <c r="G74" s="292"/>
      <c r="H74" s="292"/>
      <c r="I74" s="292"/>
      <c r="J74" s="314"/>
      <c r="K74" s="151"/>
      <c r="L74" s="276"/>
      <c r="M74" s="289"/>
      <c r="N74" s="292"/>
      <c r="O74" s="292"/>
      <c r="P74" s="292"/>
      <c r="Q74" s="292"/>
      <c r="R74" s="289"/>
    </row>
    <row r="76" spans="1:18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289"/>
    </row>
    <row r="79" spans="1:18" x14ac:dyDescent="0.35">
      <c r="A79" s="91" t="s">
        <v>63</v>
      </c>
    </row>
  </sheetData>
  <conditionalFormatting sqref="J8">
    <cfRule type="cellIs" dxfId="16" priority="20" operator="equal">
      <formula>"tu"</formula>
    </cfRule>
  </conditionalFormatting>
  <conditionalFormatting sqref="J10:J13">
    <cfRule type="cellIs" dxfId="15" priority="19" operator="equal">
      <formula>"tu"</formula>
    </cfRule>
  </conditionalFormatting>
  <conditionalFormatting sqref="J19:J35">
    <cfRule type="cellIs" dxfId="14" priority="3" operator="equal">
      <formula>"tu"</formula>
    </cfRule>
  </conditionalFormatting>
  <conditionalFormatting sqref="J40:J63">
    <cfRule type="cellIs" dxfId="13" priority="6" operator="equal">
      <formula>"tu"</formula>
    </cfRule>
  </conditionalFormatting>
  <conditionalFormatting sqref="J66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328125" style="45" customWidth="1"/>
    <col min="2" max="2" width="1.1328125" style="22" customWidth="1"/>
    <col min="3" max="3" width="1.1328125" style="19" customWidth="1"/>
    <col min="4" max="4" width="1.132812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showGridLines="0"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328125" style="8" customWidth="1"/>
    <col min="3" max="3" width="1.1328125" style="13" customWidth="1"/>
    <col min="4" max="4" width="1.132812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InpC</vt:lpstr>
      <vt:lpstr>Time</vt:lpstr>
      <vt:lpstr>Ops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2023-09-21T09:33:45Z</dcterms:modified>
</cp:coreProperties>
</file>