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defaultThemeVersion="166925"/>
  <mc:AlternateContent xmlns:mc="http://schemas.openxmlformats.org/markup-compatibility/2006">
    <mc:Choice Requires="x15">
      <x15ac:absPath xmlns:x15ac="http://schemas.microsoft.com/office/spreadsheetml/2010/11/ac" url="C:\Users\timothylages\Desktop\"/>
    </mc:Choice>
  </mc:AlternateContent>
  <xr:revisionPtr revIDLastSave="0" documentId="8_{58977DB9-1AEA-4111-8B0D-03EBD1DA5381}" xr6:coauthVersionLast="40" xr6:coauthVersionMax="40" xr10:uidLastSave="{00000000-0000-0000-0000-000000000000}"/>
  <bookViews>
    <workbookView xWindow="0" yWindow="0" windowWidth="20490" windowHeight="7380" activeTab="1" xr2:uid="{F6EC433A-5957-4E92-90EF-55F376C91BFC}"/>
  </bookViews>
  <sheets>
    <sheet name="Instructions Sheet" sheetId="4" r:id="rId1"/>
    <sheet name="Income" sheetId="1" r:id="rId2"/>
    <sheet name="Expenditure" sheetId="3" r:id="rId3"/>
    <sheet name="Cash Flow" sheetId="2" r:id="rId4"/>
    <sheet name="Project Milestone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Q3" i="2" l="1"/>
  <c r="R3" i="2"/>
  <c r="S3" i="2"/>
  <c r="T3" i="2"/>
  <c r="U3" i="2"/>
  <c r="V3" i="2"/>
  <c r="W3" i="2"/>
  <c r="X3" i="2"/>
  <c r="Y3" i="2"/>
  <c r="Z3" i="2"/>
  <c r="AA3" i="2"/>
  <c r="AB3" i="2"/>
  <c r="AC3" i="2"/>
  <c r="AD3" i="2"/>
  <c r="AE3" i="2"/>
  <c r="AF3" i="2"/>
  <c r="AG3" i="2"/>
  <c r="AH3" i="2"/>
  <c r="AI3" i="2"/>
  <c r="AJ3" i="2"/>
  <c r="AK3" i="2"/>
  <c r="AL3" i="2"/>
  <c r="AM3" i="2"/>
  <c r="AN3" i="2"/>
  <c r="AO3" i="2"/>
  <c r="AP3" i="2"/>
  <c r="AQ3" i="2"/>
  <c r="AR3" i="2"/>
  <c r="AS3" i="2"/>
  <c r="AT3" i="2"/>
  <c r="AU3" i="2"/>
  <c r="AV3" i="2"/>
  <c r="V5" i="2"/>
  <c r="Z5" i="2"/>
  <c r="AA5" i="2"/>
  <c r="AE5" i="2"/>
  <c r="AJ5" i="2"/>
  <c r="AL5" i="2"/>
  <c r="AN5" i="2"/>
  <c r="AV5" i="2"/>
  <c r="T6" i="2"/>
  <c r="AA6" i="2"/>
  <c r="AE6" i="2"/>
  <c r="AF6" i="2"/>
  <c r="AI6" i="2"/>
  <c r="AJ6" i="2"/>
  <c r="AQ6" i="2"/>
  <c r="AU6" i="2"/>
  <c r="AV6" i="2"/>
  <c r="T7" i="2"/>
  <c r="V7" i="2"/>
  <c r="X7" i="2"/>
  <c r="AF7" i="2"/>
  <c r="AL7" i="2"/>
  <c r="AP7" i="2"/>
  <c r="AQ7" i="2"/>
  <c r="AT7" i="2"/>
  <c r="AU7" i="2"/>
  <c r="AV7" i="2"/>
  <c r="V8" i="2"/>
  <c r="Z8" i="2"/>
  <c r="AA8" i="2"/>
  <c r="AL8" i="2"/>
  <c r="AP8" i="2"/>
  <c r="V9" i="2"/>
  <c r="Z9" i="2"/>
  <c r="AA9" i="2"/>
  <c r="AD9" i="2"/>
  <c r="AE9" i="2"/>
  <c r="AJ9" i="2"/>
  <c r="AN9" i="2"/>
  <c r="AV9" i="2"/>
  <c r="S10" i="2"/>
  <c r="T10" i="2"/>
  <c r="AA10" i="2"/>
  <c r="AE10" i="2"/>
  <c r="AF10" i="2"/>
  <c r="AI10" i="2"/>
  <c r="AJ10" i="2"/>
  <c r="AQ10" i="2"/>
  <c r="AU10" i="2"/>
  <c r="AV10" i="2"/>
  <c r="Q16" i="2"/>
  <c r="R16" i="2"/>
  <c r="S16" i="2"/>
  <c r="T16" i="2"/>
  <c r="U16" i="2"/>
  <c r="V16" i="2"/>
  <c r="W16" i="2"/>
  <c r="X16" i="2"/>
  <c r="Y16" i="2"/>
  <c r="Z16" i="2"/>
  <c r="AA16" i="2"/>
  <c r="AB16" i="2"/>
  <c r="AC16" i="2"/>
  <c r="AD16" i="2"/>
  <c r="AE16" i="2"/>
  <c r="AF16" i="2"/>
  <c r="AG16" i="2"/>
  <c r="AH16" i="2"/>
  <c r="AI16" i="2"/>
  <c r="AJ16" i="2"/>
  <c r="AK16" i="2"/>
  <c r="AL16" i="2"/>
  <c r="AM16" i="2"/>
  <c r="AN16" i="2"/>
  <c r="AO16" i="2"/>
  <c r="AP16" i="2"/>
  <c r="AQ16" i="2"/>
  <c r="AR16" i="2"/>
  <c r="AS16" i="2"/>
  <c r="AT16" i="2"/>
  <c r="AU16" i="2"/>
  <c r="AV16" i="2"/>
  <c r="Q17" i="2"/>
  <c r="R17" i="2"/>
  <c r="S17" i="2"/>
  <c r="T17" i="2"/>
  <c r="U17" i="2"/>
  <c r="V17" i="2"/>
  <c r="W17" i="2"/>
  <c r="X17" i="2"/>
  <c r="Y17" i="2"/>
  <c r="Z17" i="2"/>
  <c r="AA17" i="2"/>
  <c r="AB17" i="2"/>
  <c r="AC17" i="2"/>
  <c r="AD17" i="2"/>
  <c r="AE17" i="2"/>
  <c r="AF17" i="2"/>
  <c r="AG17" i="2"/>
  <c r="AH17" i="2"/>
  <c r="AI17" i="2"/>
  <c r="AJ17" i="2"/>
  <c r="AK17" i="2"/>
  <c r="AL17" i="2"/>
  <c r="AM17" i="2"/>
  <c r="AN17" i="2"/>
  <c r="AO17" i="2"/>
  <c r="AP17" i="2"/>
  <c r="AQ17" i="2"/>
  <c r="AR17" i="2"/>
  <c r="AS17" i="2"/>
  <c r="AT17" i="2"/>
  <c r="AU17" i="2"/>
  <c r="AV17" i="2"/>
  <c r="Q18" i="2"/>
  <c r="R18" i="2"/>
  <c r="S18" i="2"/>
  <c r="T18" i="2"/>
  <c r="U18" i="2"/>
  <c r="V18" i="2"/>
  <c r="W18" i="2"/>
  <c r="X18" i="2"/>
  <c r="Y18" i="2"/>
  <c r="Z18" i="2"/>
  <c r="AA18" i="2"/>
  <c r="AB18" i="2"/>
  <c r="AC18" i="2"/>
  <c r="AD18" i="2"/>
  <c r="AE18" i="2"/>
  <c r="AF18" i="2"/>
  <c r="AG18" i="2"/>
  <c r="AH18" i="2"/>
  <c r="AI18" i="2"/>
  <c r="AJ18" i="2"/>
  <c r="AK18" i="2"/>
  <c r="AL18" i="2"/>
  <c r="AM18" i="2"/>
  <c r="AN18" i="2"/>
  <c r="AO18" i="2"/>
  <c r="AP18" i="2"/>
  <c r="AQ18" i="2"/>
  <c r="AR18" i="2"/>
  <c r="AS18" i="2"/>
  <c r="AT18" i="2"/>
  <c r="AU18" i="2"/>
  <c r="AV18" i="2"/>
  <c r="Q19" i="2"/>
  <c r="R19" i="2"/>
  <c r="S19" i="2"/>
  <c r="T19" i="2"/>
  <c r="U19" i="2"/>
  <c r="V19" i="2"/>
  <c r="W19" i="2"/>
  <c r="X19" i="2"/>
  <c r="Y19" i="2"/>
  <c r="Z19" i="2"/>
  <c r="AA19" i="2"/>
  <c r="AB19" i="2"/>
  <c r="AC19" i="2"/>
  <c r="AD19" i="2"/>
  <c r="AE19" i="2"/>
  <c r="AF19" i="2"/>
  <c r="AG19" i="2"/>
  <c r="AH19" i="2"/>
  <c r="AI19" i="2"/>
  <c r="AJ19" i="2"/>
  <c r="AK19" i="2"/>
  <c r="AL19" i="2"/>
  <c r="AM19" i="2"/>
  <c r="AN19" i="2"/>
  <c r="AO19" i="2"/>
  <c r="AP19" i="2"/>
  <c r="AQ19" i="2"/>
  <c r="AR19" i="2"/>
  <c r="AS19" i="2"/>
  <c r="AT19" i="2"/>
  <c r="AU19" i="2"/>
  <c r="AV19" i="2"/>
  <c r="Q20" i="2"/>
  <c r="R20" i="2"/>
  <c r="S20" i="2"/>
  <c r="T20" i="2"/>
  <c r="U20" i="2"/>
  <c r="V20" i="2"/>
  <c r="W20" i="2"/>
  <c r="X20" i="2"/>
  <c r="Y20" i="2"/>
  <c r="Z20" i="2"/>
  <c r="AA20" i="2"/>
  <c r="AB20" i="2"/>
  <c r="AC20" i="2"/>
  <c r="AD20" i="2"/>
  <c r="AE20" i="2"/>
  <c r="AF20" i="2"/>
  <c r="AG20" i="2"/>
  <c r="AH20" i="2"/>
  <c r="AI20" i="2"/>
  <c r="AJ20" i="2"/>
  <c r="AK20" i="2"/>
  <c r="AL20" i="2"/>
  <c r="AM20" i="2"/>
  <c r="AN20" i="2"/>
  <c r="AO20" i="2"/>
  <c r="AP20" i="2"/>
  <c r="AQ20" i="2"/>
  <c r="AR20" i="2"/>
  <c r="AS20" i="2"/>
  <c r="AT20" i="2"/>
  <c r="AU20" i="2"/>
  <c r="AV20" i="2"/>
  <c r="Q21" i="2"/>
  <c r="R21" i="2"/>
  <c r="S21" i="2"/>
  <c r="T21" i="2"/>
  <c r="U21" i="2"/>
  <c r="V21" i="2"/>
  <c r="W21" i="2"/>
  <c r="X21" i="2"/>
  <c r="Y21" i="2"/>
  <c r="Z21" i="2"/>
  <c r="AA21" i="2"/>
  <c r="AB21" i="2"/>
  <c r="AC21" i="2"/>
  <c r="AD21" i="2"/>
  <c r="AE21" i="2"/>
  <c r="AF21" i="2"/>
  <c r="AG21" i="2"/>
  <c r="AH21" i="2"/>
  <c r="AI21" i="2"/>
  <c r="AJ21" i="2"/>
  <c r="AK21" i="2"/>
  <c r="AL21" i="2"/>
  <c r="AM21" i="2"/>
  <c r="AN21" i="2"/>
  <c r="AO21" i="2"/>
  <c r="AP21" i="2"/>
  <c r="AQ21" i="2"/>
  <c r="AR21" i="2"/>
  <c r="AS21" i="2"/>
  <c r="AT21" i="2"/>
  <c r="AU21" i="2"/>
  <c r="AV21" i="2"/>
  <c r="Q22" i="2"/>
  <c r="R22" i="2"/>
  <c r="S22" i="2"/>
  <c r="T22" i="2"/>
  <c r="U22" i="2"/>
  <c r="V22" i="2"/>
  <c r="W22" i="2"/>
  <c r="X22" i="2"/>
  <c r="Y22" i="2"/>
  <c r="Z22" i="2"/>
  <c r="AA22" i="2"/>
  <c r="AB22" i="2"/>
  <c r="AC22" i="2"/>
  <c r="AD22" i="2"/>
  <c r="AE22" i="2"/>
  <c r="AF22" i="2"/>
  <c r="AG22" i="2"/>
  <c r="AH22" i="2"/>
  <c r="AI22" i="2"/>
  <c r="AJ22" i="2"/>
  <c r="AK22" i="2"/>
  <c r="AL22" i="2"/>
  <c r="AM22" i="2"/>
  <c r="AN22" i="2"/>
  <c r="AO22" i="2"/>
  <c r="AP22" i="2"/>
  <c r="AQ22" i="2"/>
  <c r="AR22" i="2"/>
  <c r="AS22" i="2"/>
  <c r="AT22" i="2"/>
  <c r="AU22" i="2"/>
  <c r="AV22" i="2"/>
  <c r="Q23" i="2"/>
  <c r="R23" i="2"/>
  <c r="S23" i="2"/>
  <c r="T23" i="2"/>
  <c r="U23" i="2"/>
  <c r="V23" i="2"/>
  <c r="W23" i="2"/>
  <c r="X23" i="2"/>
  <c r="Y23" i="2"/>
  <c r="Z23" i="2"/>
  <c r="AA23" i="2"/>
  <c r="AB23" i="2"/>
  <c r="AC23" i="2"/>
  <c r="AD23" i="2"/>
  <c r="AE23" i="2"/>
  <c r="AF23" i="2"/>
  <c r="AG23" i="2"/>
  <c r="AH23" i="2"/>
  <c r="AI23" i="2"/>
  <c r="AJ23" i="2"/>
  <c r="AK23" i="2"/>
  <c r="AL23" i="2"/>
  <c r="AM23" i="2"/>
  <c r="AN23" i="2"/>
  <c r="AO23" i="2"/>
  <c r="AP23" i="2"/>
  <c r="AQ23" i="2"/>
  <c r="AR23" i="2"/>
  <c r="AS23" i="2"/>
  <c r="AT23" i="2"/>
  <c r="AU23" i="2"/>
  <c r="AV23" i="2"/>
  <c r="Q24" i="2"/>
  <c r="R24" i="2"/>
  <c r="S24" i="2"/>
  <c r="T24" i="2"/>
  <c r="U24" i="2"/>
  <c r="V24" i="2"/>
  <c r="W24" i="2"/>
  <c r="X24" i="2"/>
  <c r="Y24" i="2"/>
  <c r="Z24" i="2"/>
  <c r="AA24" i="2"/>
  <c r="AB24" i="2"/>
  <c r="AC24" i="2"/>
  <c r="AD24" i="2"/>
  <c r="AE24" i="2"/>
  <c r="AF24" i="2"/>
  <c r="AG24" i="2"/>
  <c r="AH24" i="2"/>
  <c r="AI24" i="2"/>
  <c r="AJ24" i="2"/>
  <c r="AK24" i="2"/>
  <c r="AL24" i="2"/>
  <c r="AM24" i="2"/>
  <c r="AN24" i="2"/>
  <c r="AO24" i="2"/>
  <c r="AP24" i="2"/>
  <c r="AQ24" i="2"/>
  <c r="AR24" i="2"/>
  <c r="AS24" i="2"/>
  <c r="AT24" i="2"/>
  <c r="AU24" i="2"/>
  <c r="AV24" i="2"/>
  <c r="Q25" i="2"/>
  <c r="R25" i="2"/>
  <c r="S25" i="2"/>
  <c r="T25" i="2"/>
  <c r="U25" i="2"/>
  <c r="V25" i="2"/>
  <c r="W25" i="2"/>
  <c r="X25" i="2"/>
  <c r="Y25" i="2"/>
  <c r="Z25" i="2"/>
  <c r="AA25" i="2"/>
  <c r="AB25" i="2"/>
  <c r="AC25" i="2"/>
  <c r="AD25" i="2"/>
  <c r="AE25" i="2"/>
  <c r="AF25" i="2"/>
  <c r="AG25" i="2"/>
  <c r="AH25" i="2"/>
  <c r="AI25" i="2"/>
  <c r="AJ25" i="2"/>
  <c r="AK25" i="2"/>
  <c r="AL25" i="2"/>
  <c r="AM25" i="2"/>
  <c r="AN25" i="2"/>
  <c r="AO25" i="2"/>
  <c r="AP25" i="2"/>
  <c r="AQ25" i="2"/>
  <c r="AR25" i="2"/>
  <c r="AS25" i="2"/>
  <c r="AT25" i="2"/>
  <c r="AU25" i="2"/>
  <c r="AV25" i="2"/>
  <c r="Q26" i="2"/>
  <c r="R26" i="2"/>
  <c r="S26" i="2"/>
  <c r="T26" i="2"/>
  <c r="U26" i="2"/>
  <c r="V26" i="2"/>
  <c r="W26" i="2"/>
  <c r="X26" i="2"/>
  <c r="Y26" i="2"/>
  <c r="Z26" i="2"/>
  <c r="AA26" i="2"/>
  <c r="AB26" i="2"/>
  <c r="AC26" i="2"/>
  <c r="AD26" i="2"/>
  <c r="AE26" i="2"/>
  <c r="AF26" i="2"/>
  <c r="AG26" i="2"/>
  <c r="AH26" i="2"/>
  <c r="AI26" i="2"/>
  <c r="AJ26" i="2"/>
  <c r="AK26" i="2"/>
  <c r="AL26" i="2"/>
  <c r="AM26" i="2"/>
  <c r="AN26" i="2"/>
  <c r="AO26" i="2"/>
  <c r="AP26" i="2"/>
  <c r="AQ26" i="2"/>
  <c r="AR26" i="2"/>
  <c r="AS26" i="2"/>
  <c r="AT26" i="2"/>
  <c r="AU26" i="2"/>
  <c r="AV26" i="2"/>
  <c r="Q27" i="2"/>
  <c r="R27" i="2"/>
  <c r="S27" i="2"/>
  <c r="T27" i="2"/>
  <c r="U27" i="2"/>
  <c r="V27" i="2"/>
  <c r="W27" i="2"/>
  <c r="X27" i="2"/>
  <c r="Y27" i="2"/>
  <c r="Z27" i="2"/>
  <c r="AA27" i="2"/>
  <c r="AB27" i="2"/>
  <c r="AC27" i="2"/>
  <c r="AD27" i="2"/>
  <c r="AE27" i="2"/>
  <c r="AF27" i="2"/>
  <c r="AG27" i="2"/>
  <c r="AH27" i="2"/>
  <c r="AI27" i="2"/>
  <c r="AJ27" i="2"/>
  <c r="AK27" i="2"/>
  <c r="AL27" i="2"/>
  <c r="AM27" i="2"/>
  <c r="AN27" i="2"/>
  <c r="AO27" i="2"/>
  <c r="AP27" i="2"/>
  <c r="AQ27" i="2"/>
  <c r="AR27" i="2"/>
  <c r="AS27" i="2"/>
  <c r="AT27" i="2"/>
  <c r="AU27" i="2"/>
  <c r="AV27" i="2"/>
  <c r="V29" i="2"/>
  <c r="Z29" i="2"/>
  <c r="AA29" i="2"/>
  <c r="AD29" i="2"/>
  <c r="AE29" i="2"/>
  <c r="AJ29" i="2"/>
  <c r="AL29" i="2"/>
  <c r="AP29" i="2"/>
  <c r="AQ29" i="2"/>
  <c r="AT29" i="2"/>
  <c r="AU29" i="2"/>
  <c r="K29" i="2"/>
  <c r="J29" i="2"/>
  <c r="F29" i="2"/>
  <c r="C29" i="2"/>
  <c r="Q3" i="3"/>
  <c r="R3" i="3"/>
  <c r="S3" i="3"/>
  <c r="T3" i="3"/>
  <c r="U3" i="3"/>
  <c r="V3" i="3"/>
  <c r="W3" i="3"/>
  <c r="X3" i="3"/>
  <c r="Y3" i="3"/>
  <c r="Z3" i="3"/>
  <c r="AA3" i="3"/>
  <c r="AB3" i="3"/>
  <c r="AC3" i="3"/>
  <c r="AD3" i="3"/>
  <c r="AE3" i="3"/>
  <c r="AF3" i="3"/>
  <c r="AG3" i="3"/>
  <c r="AH3" i="3"/>
  <c r="AI3" i="3"/>
  <c r="AJ3" i="3"/>
  <c r="AK3" i="3"/>
  <c r="AL3" i="3"/>
  <c r="AM3" i="3"/>
  <c r="AN3" i="3"/>
  <c r="AO3" i="3"/>
  <c r="AP3" i="3"/>
  <c r="AQ3" i="3"/>
  <c r="AR3" i="3"/>
  <c r="AS3" i="3"/>
  <c r="AT3" i="3"/>
  <c r="AU3" i="3"/>
  <c r="AV3" i="3"/>
  <c r="Q17" i="3"/>
  <c r="Q29" i="2" s="1"/>
  <c r="R17" i="3"/>
  <c r="R29" i="2" s="1"/>
  <c r="S17" i="3"/>
  <c r="S29" i="2" s="1"/>
  <c r="T17" i="3"/>
  <c r="T29" i="2" s="1"/>
  <c r="U17" i="3"/>
  <c r="V17" i="3"/>
  <c r="W17" i="3"/>
  <c r="W29" i="2" s="1"/>
  <c r="X17" i="3"/>
  <c r="X29" i="2" s="1"/>
  <c r="Y17" i="3"/>
  <c r="Y29" i="2" s="1"/>
  <c r="Z17" i="3"/>
  <c r="AA17" i="3"/>
  <c r="AB17" i="3"/>
  <c r="AB29" i="2" s="1"/>
  <c r="AC17" i="3"/>
  <c r="AD17" i="3"/>
  <c r="AE17" i="3"/>
  <c r="AF17" i="3"/>
  <c r="AF29" i="2" s="1"/>
  <c r="AG17" i="3"/>
  <c r="AG29" i="2" s="1"/>
  <c r="AH17" i="3"/>
  <c r="AH29" i="2" s="1"/>
  <c r="AI17" i="3"/>
  <c r="AI29" i="2" s="1"/>
  <c r="AJ17" i="3"/>
  <c r="AK17" i="3"/>
  <c r="AL17" i="3"/>
  <c r="AM17" i="3"/>
  <c r="AM29" i="2" s="1"/>
  <c r="AN17" i="3"/>
  <c r="AN29" i="2" s="1"/>
  <c r="AO17" i="3"/>
  <c r="AO29" i="2" s="1"/>
  <c r="AP17" i="3"/>
  <c r="AQ17" i="3"/>
  <c r="AR17" i="3"/>
  <c r="AR29" i="2" s="1"/>
  <c r="AS17" i="3"/>
  <c r="AT17" i="3"/>
  <c r="AU17" i="3"/>
  <c r="AV17" i="3"/>
  <c r="AV29" i="2" s="1"/>
  <c r="AJ15" i="1"/>
  <c r="AK15" i="1"/>
  <c r="AL15" i="1"/>
  <c r="AM15" i="1"/>
  <c r="AN15" i="1"/>
  <c r="AO15" i="1"/>
  <c r="AP15" i="1"/>
  <c r="AQ15" i="1"/>
  <c r="AR15" i="1"/>
  <c r="AS15" i="1"/>
  <c r="AT15" i="1"/>
  <c r="AU15" i="1"/>
  <c r="AV15" i="1"/>
  <c r="AJ16" i="1"/>
  <c r="AK16" i="1"/>
  <c r="AK5" i="2" s="1"/>
  <c r="AL16" i="1"/>
  <c r="AM16" i="1"/>
  <c r="AN16" i="1"/>
  <c r="AO16" i="1"/>
  <c r="AO5" i="2" s="1"/>
  <c r="AP16" i="1"/>
  <c r="AQ16" i="1"/>
  <c r="AR16" i="1"/>
  <c r="AR5" i="2" s="1"/>
  <c r="AS16" i="1"/>
  <c r="AS5" i="2" s="1"/>
  <c r="AT16" i="1"/>
  <c r="AU16" i="1"/>
  <c r="AV16" i="1"/>
  <c r="AJ17" i="1"/>
  <c r="AK17" i="1"/>
  <c r="AK6" i="2" s="1"/>
  <c r="AL17" i="1"/>
  <c r="AL6" i="2" s="1"/>
  <c r="AM17" i="1"/>
  <c r="AM6" i="2" s="1"/>
  <c r="AN17" i="1"/>
  <c r="AN6" i="2" s="1"/>
  <c r="AO17" i="1"/>
  <c r="AO6" i="2" s="1"/>
  <c r="AP17" i="1"/>
  <c r="AP6" i="2" s="1"/>
  <c r="AQ17" i="1"/>
  <c r="AR17" i="1"/>
  <c r="AR6" i="2" s="1"/>
  <c r="AS17" i="1"/>
  <c r="AS6" i="2" s="1"/>
  <c r="AT17" i="1"/>
  <c r="AT6" i="2" s="1"/>
  <c r="AU17" i="1"/>
  <c r="AV17" i="1"/>
  <c r="AJ18" i="1"/>
  <c r="AJ7" i="2" s="1"/>
  <c r="AK18" i="1"/>
  <c r="AK7" i="2" s="1"/>
  <c r="AL18" i="1"/>
  <c r="AM18" i="1"/>
  <c r="AM7" i="2" s="1"/>
  <c r="AN18" i="1"/>
  <c r="AN7" i="2" s="1"/>
  <c r="AO18" i="1"/>
  <c r="AO7" i="2" s="1"/>
  <c r="AP18" i="1"/>
  <c r="AQ18" i="1"/>
  <c r="AR18" i="1"/>
  <c r="AR7" i="2" s="1"/>
  <c r="AS18" i="1"/>
  <c r="AS7" i="2" s="1"/>
  <c r="AT18" i="1"/>
  <c r="AU18" i="1"/>
  <c r="AV18" i="1"/>
  <c r="AJ19" i="1"/>
  <c r="AK19" i="1"/>
  <c r="AK8" i="2" s="1"/>
  <c r="AL19" i="1"/>
  <c r="AM19" i="1"/>
  <c r="AM8" i="2" s="1"/>
  <c r="AN19" i="1"/>
  <c r="AN8" i="2" s="1"/>
  <c r="AO19" i="1"/>
  <c r="AO8" i="2" s="1"/>
  <c r="AP19" i="1"/>
  <c r="AQ19" i="1"/>
  <c r="AQ8" i="2" s="1"/>
  <c r="AR19" i="1"/>
  <c r="AS19" i="1"/>
  <c r="AS8" i="2" s="1"/>
  <c r="AT19" i="1"/>
  <c r="AT8" i="2" s="1"/>
  <c r="AU19" i="1"/>
  <c r="AU8" i="2" s="1"/>
  <c r="AV19" i="1"/>
  <c r="AV8" i="2" s="1"/>
  <c r="AJ20" i="1"/>
  <c r="AK20" i="1"/>
  <c r="AK9" i="2" s="1"/>
  <c r="AL20" i="1"/>
  <c r="AL9" i="2" s="1"/>
  <c r="AM20" i="1"/>
  <c r="AM9" i="2" s="1"/>
  <c r="AN20" i="1"/>
  <c r="AO20" i="1"/>
  <c r="AO9" i="2" s="1"/>
  <c r="AP20" i="1"/>
  <c r="AP9" i="2" s="1"/>
  <c r="AQ20" i="1"/>
  <c r="AQ9" i="2" s="1"/>
  <c r="AR20" i="1"/>
  <c r="AR9" i="2" s="1"/>
  <c r="AS20" i="1"/>
  <c r="AS9" i="2" s="1"/>
  <c r="AT20" i="1"/>
  <c r="AT9" i="2" s="1"/>
  <c r="AU20" i="1"/>
  <c r="AU9" i="2" s="1"/>
  <c r="AV20" i="1"/>
  <c r="AJ21" i="1"/>
  <c r="AK21" i="1"/>
  <c r="AK10" i="2" s="1"/>
  <c r="AL21" i="1"/>
  <c r="AL10" i="2" s="1"/>
  <c r="AM21" i="1"/>
  <c r="AM10" i="2" s="1"/>
  <c r="AN21" i="1"/>
  <c r="AN10" i="2" s="1"/>
  <c r="AO21" i="1"/>
  <c r="AO10" i="2" s="1"/>
  <c r="AP21" i="1"/>
  <c r="AP10" i="2" s="1"/>
  <c r="AQ21" i="1"/>
  <c r="AR21" i="1"/>
  <c r="AR10" i="2" s="1"/>
  <c r="AS21" i="1"/>
  <c r="AS10" i="2" s="1"/>
  <c r="AT21" i="1"/>
  <c r="AT10" i="2" s="1"/>
  <c r="AU21" i="1"/>
  <c r="AV21" i="1"/>
  <c r="AS23" i="1"/>
  <c r="Q15" i="1"/>
  <c r="R15" i="1"/>
  <c r="S15" i="1"/>
  <c r="T15" i="1"/>
  <c r="U15" i="1"/>
  <c r="V15" i="1"/>
  <c r="W15" i="1"/>
  <c r="X15" i="1"/>
  <c r="Y15" i="1"/>
  <c r="Z15" i="1"/>
  <c r="AA15" i="1"/>
  <c r="AB15" i="1"/>
  <c r="AC15" i="1"/>
  <c r="AD15" i="1"/>
  <c r="AE15" i="1"/>
  <c r="AF15" i="1"/>
  <c r="AG15" i="1"/>
  <c r="AH15" i="1"/>
  <c r="AI15" i="1"/>
  <c r="Q16" i="1"/>
  <c r="R16" i="1"/>
  <c r="R5" i="2" s="1"/>
  <c r="S16" i="1"/>
  <c r="S5" i="2" s="1"/>
  <c r="T16" i="1"/>
  <c r="U16" i="1"/>
  <c r="V16" i="1"/>
  <c r="W16" i="1"/>
  <c r="W5" i="2" s="1"/>
  <c r="X16" i="1"/>
  <c r="Y16" i="1"/>
  <c r="Z16" i="1"/>
  <c r="AA16" i="1"/>
  <c r="AB16" i="1"/>
  <c r="AC16" i="1"/>
  <c r="AC5" i="2" s="1"/>
  <c r="AD16" i="1"/>
  <c r="AD5" i="2" s="1"/>
  <c r="AE16" i="1"/>
  <c r="AF16" i="1"/>
  <c r="AG16" i="1"/>
  <c r="AH16" i="1"/>
  <c r="AH5" i="2" s="1"/>
  <c r="AI16" i="1"/>
  <c r="AI5" i="2" s="1"/>
  <c r="Q17" i="1"/>
  <c r="Q6" i="2" s="1"/>
  <c r="R17" i="1"/>
  <c r="S17" i="1"/>
  <c r="S6" i="2" s="1"/>
  <c r="T17" i="1"/>
  <c r="U17" i="1"/>
  <c r="U6" i="2" s="1"/>
  <c r="V17" i="1"/>
  <c r="V6" i="2" s="1"/>
  <c r="W17" i="1"/>
  <c r="W6" i="2" s="1"/>
  <c r="X17" i="1"/>
  <c r="X6" i="2" s="1"/>
  <c r="Y17" i="1"/>
  <c r="Y6" i="2" s="1"/>
  <c r="Z17" i="1"/>
  <c r="AA17" i="1"/>
  <c r="AB17" i="1"/>
  <c r="AB6" i="2" s="1"/>
  <c r="AC17" i="1"/>
  <c r="AC6" i="2" s="1"/>
  <c r="AD17" i="1"/>
  <c r="AE17" i="1"/>
  <c r="AF17" i="1"/>
  <c r="AG17" i="1"/>
  <c r="AG6" i="2" s="1"/>
  <c r="AH17" i="1"/>
  <c r="AH6" i="2" s="1"/>
  <c r="AI17" i="1"/>
  <c r="Q18" i="1"/>
  <c r="Q7" i="2" s="1"/>
  <c r="R18" i="1"/>
  <c r="R7" i="2" s="1"/>
  <c r="S18" i="1"/>
  <c r="T18" i="1"/>
  <c r="U18" i="1"/>
  <c r="U7" i="2" s="1"/>
  <c r="V18" i="1"/>
  <c r="W18" i="1"/>
  <c r="X18" i="1"/>
  <c r="Y18" i="1"/>
  <c r="Y7" i="2" s="1"/>
  <c r="Z18" i="1"/>
  <c r="Z7" i="2" s="1"/>
  <c r="AA18" i="1"/>
  <c r="AB18" i="1"/>
  <c r="AB7" i="2" s="1"/>
  <c r="AC18" i="1"/>
  <c r="AC7" i="2" s="1"/>
  <c r="AD18" i="1"/>
  <c r="AD7" i="2" s="1"/>
  <c r="AE18" i="1"/>
  <c r="AF18" i="1"/>
  <c r="AG18" i="1"/>
  <c r="AG7" i="2" s="1"/>
  <c r="AH18" i="1"/>
  <c r="AH7" i="2" s="1"/>
  <c r="AI18" i="1"/>
  <c r="Q19" i="1"/>
  <c r="Q8" i="2" s="1"/>
  <c r="R19" i="1"/>
  <c r="R8" i="2" s="1"/>
  <c r="S19" i="1"/>
  <c r="S8" i="2" s="1"/>
  <c r="T19" i="1"/>
  <c r="T8" i="2" s="1"/>
  <c r="U19" i="1"/>
  <c r="U8" i="2" s="1"/>
  <c r="V19" i="1"/>
  <c r="W19" i="1"/>
  <c r="W8" i="2" s="1"/>
  <c r="X19" i="1"/>
  <c r="X8" i="2" s="1"/>
  <c r="Y19" i="1"/>
  <c r="Y8" i="2" s="1"/>
  <c r="Z19" i="1"/>
  <c r="AA19" i="1"/>
  <c r="AB19" i="1"/>
  <c r="AB8" i="2" s="1"/>
  <c r="AC19" i="1"/>
  <c r="AC8" i="2" s="1"/>
  <c r="AD19" i="1"/>
  <c r="AD8" i="2" s="1"/>
  <c r="AE19" i="1"/>
  <c r="AE8" i="2" s="1"/>
  <c r="AF19" i="1"/>
  <c r="AF8" i="2" s="1"/>
  <c r="AG19" i="1"/>
  <c r="AG8" i="2" s="1"/>
  <c r="AH19" i="1"/>
  <c r="AH8" i="2" s="1"/>
  <c r="AI19" i="1"/>
  <c r="AI8" i="2" s="1"/>
  <c r="Q20" i="1"/>
  <c r="Q9" i="2" s="1"/>
  <c r="R20" i="1"/>
  <c r="R9" i="2" s="1"/>
  <c r="S20" i="1"/>
  <c r="S9" i="2" s="1"/>
  <c r="T20" i="1"/>
  <c r="T9" i="2" s="1"/>
  <c r="U20" i="1"/>
  <c r="U9" i="2" s="1"/>
  <c r="V20" i="1"/>
  <c r="W20" i="1"/>
  <c r="W9" i="2" s="1"/>
  <c r="X20" i="1"/>
  <c r="X9" i="2" s="1"/>
  <c r="Y20" i="1"/>
  <c r="Y9" i="2" s="1"/>
  <c r="Z20" i="1"/>
  <c r="AA20" i="1"/>
  <c r="AB20" i="1"/>
  <c r="AB9" i="2" s="1"/>
  <c r="AC20" i="1"/>
  <c r="AC9" i="2" s="1"/>
  <c r="AD20" i="1"/>
  <c r="AE20" i="1"/>
  <c r="AF20" i="1"/>
  <c r="AF9" i="2" s="1"/>
  <c r="AG20" i="1"/>
  <c r="AG9" i="2" s="1"/>
  <c r="AH20" i="1"/>
  <c r="AH9" i="2" s="1"/>
  <c r="AI20" i="1"/>
  <c r="AI9" i="2" s="1"/>
  <c r="Q21" i="1"/>
  <c r="Q10" i="2" s="1"/>
  <c r="R21" i="1"/>
  <c r="R10" i="2" s="1"/>
  <c r="S21" i="1"/>
  <c r="T21" i="1"/>
  <c r="U21" i="1"/>
  <c r="U10" i="2" s="1"/>
  <c r="V21" i="1"/>
  <c r="V10" i="2" s="1"/>
  <c r="W21" i="1"/>
  <c r="W10" i="2" s="1"/>
  <c r="X21" i="1"/>
  <c r="X10" i="2" s="1"/>
  <c r="Y21" i="1"/>
  <c r="Y10" i="2" s="1"/>
  <c r="Z21" i="1"/>
  <c r="Z10" i="2" s="1"/>
  <c r="AA21" i="1"/>
  <c r="AB21" i="1"/>
  <c r="AB10" i="2" s="1"/>
  <c r="AC21" i="1"/>
  <c r="AC10" i="2" s="1"/>
  <c r="AD21" i="1"/>
  <c r="AD10" i="2" s="1"/>
  <c r="AE21" i="1"/>
  <c r="AF21" i="1"/>
  <c r="AG21" i="1"/>
  <c r="AG10" i="2" s="1"/>
  <c r="AH21" i="1"/>
  <c r="AH10" i="2" s="1"/>
  <c r="AI21" i="1"/>
  <c r="V23" i="1"/>
  <c r="AC23" i="1"/>
  <c r="AH23" i="1"/>
  <c r="P3" i="5"/>
  <c r="P5" i="5" s="1"/>
  <c r="C3" i="5"/>
  <c r="C5" i="5"/>
  <c r="O3" i="5"/>
  <c r="O5" i="5" s="1"/>
  <c r="D3" i="5"/>
  <c r="D5" i="5" s="1"/>
  <c r="E3" i="5"/>
  <c r="E5" i="5" s="1"/>
  <c r="F3" i="5"/>
  <c r="F5" i="5"/>
  <c r="G3" i="5"/>
  <c r="G5" i="5" s="1"/>
  <c r="H3" i="5"/>
  <c r="H5" i="5"/>
  <c r="I3" i="5"/>
  <c r="I5" i="5" s="1"/>
  <c r="J3" i="5"/>
  <c r="J5" i="5"/>
  <c r="K3" i="5"/>
  <c r="K5" i="5" s="1"/>
  <c r="L3" i="5"/>
  <c r="L5" i="5" s="1"/>
  <c r="M3" i="5"/>
  <c r="M5" i="5" s="1"/>
  <c r="N3" i="5"/>
  <c r="N5" i="5"/>
  <c r="C15" i="1"/>
  <c r="C16" i="2"/>
  <c r="D16" i="2"/>
  <c r="E16" i="2"/>
  <c r="F16" i="2"/>
  <c r="G16" i="2"/>
  <c r="H16" i="2"/>
  <c r="I16" i="2"/>
  <c r="J16" i="2"/>
  <c r="K16" i="2"/>
  <c r="L16" i="2"/>
  <c r="M16" i="2"/>
  <c r="N16" i="2"/>
  <c r="O16" i="2"/>
  <c r="P16" i="2"/>
  <c r="C17" i="2"/>
  <c r="D17" i="2"/>
  <c r="E17" i="2"/>
  <c r="F17" i="2"/>
  <c r="G17" i="2"/>
  <c r="H17" i="2"/>
  <c r="I17" i="2"/>
  <c r="J17" i="2"/>
  <c r="K17" i="2"/>
  <c r="L17" i="2"/>
  <c r="M17" i="2"/>
  <c r="N17" i="2"/>
  <c r="O17" i="2"/>
  <c r="P17" i="2"/>
  <c r="C18" i="2"/>
  <c r="D18" i="2"/>
  <c r="E18" i="2"/>
  <c r="F18" i="2"/>
  <c r="G18" i="2"/>
  <c r="H18" i="2"/>
  <c r="I18" i="2"/>
  <c r="J18" i="2"/>
  <c r="K18" i="2"/>
  <c r="L18" i="2"/>
  <c r="M18" i="2"/>
  <c r="N18" i="2"/>
  <c r="O18" i="2"/>
  <c r="P18" i="2"/>
  <c r="C19" i="2"/>
  <c r="D19" i="2"/>
  <c r="E19" i="2"/>
  <c r="F19" i="2"/>
  <c r="G19" i="2"/>
  <c r="H19" i="2"/>
  <c r="I19" i="2"/>
  <c r="J19" i="2"/>
  <c r="K19" i="2"/>
  <c r="L19" i="2"/>
  <c r="M19" i="2"/>
  <c r="N19" i="2"/>
  <c r="O19" i="2"/>
  <c r="P19" i="2"/>
  <c r="C20" i="2"/>
  <c r="D20" i="2"/>
  <c r="E20" i="2"/>
  <c r="F20" i="2"/>
  <c r="G20" i="2"/>
  <c r="H20" i="2"/>
  <c r="I20" i="2"/>
  <c r="J20" i="2"/>
  <c r="K20" i="2"/>
  <c r="L20" i="2"/>
  <c r="M20" i="2"/>
  <c r="N20" i="2"/>
  <c r="O20" i="2"/>
  <c r="P20" i="2"/>
  <c r="C21" i="2"/>
  <c r="D21" i="2"/>
  <c r="E21" i="2"/>
  <c r="F21" i="2"/>
  <c r="G21" i="2"/>
  <c r="H21" i="2"/>
  <c r="I21" i="2"/>
  <c r="J21" i="2"/>
  <c r="K21" i="2"/>
  <c r="L21" i="2"/>
  <c r="M21" i="2"/>
  <c r="N21" i="2"/>
  <c r="O21" i="2"/>
  <c r="P21" i="2"/>
  <c r="C22" i="2"/>
  <c r="D22" i="2"/>
  <c r="E22" i="2"/>
  <c r="F22" i="2"/>
  <c r="G22" i="2"/>
  <c r="H22" i="2"/>
  <c r="I22" i="2"/>
  <c r="J22" i="2"/>
  <c r="K22" i="2"/>
  <c r="L22" i="2"/>
  <c r="M22" i="2"/>
  <c r="N22" i="2"/>
  <c r="O22" i="2"/>
  <c r="P22" i="2"/>
  <c r="C23" i="2"/>
  <c r="D23" i="2"/>
  <c r="E23" i="2"/>
  <c r="F23" i="2"/>
  <c r="G23" i="2"/>
  <c r="H23" i="2"/>
  <c r="I23" i="2"/>
  <c r="J23" i="2"/>
  <c r="K23" i="2"/>
  <c r="L23" i="2"/>
  <c r="M23" i="2"/>
  <c r="N23" i="2"/>
  <c r="O23" i="2"/>
  <c r="P23" i="2"/>
  <c r="C24" i="2"/>
  <c r="D24" i="2"/>
  <c r="E24" i="2"/>
  <c r="F24" i="2"/>
  <c r="G24" i="2"/>
  <c r="H24" i="2"/>
  <c r="I24" i="2"/>
  <c r="J24" i="2"/>
  <c r="K24" i="2"/>
  <c r="L24" i="2"/>
  <c r="M24" i="2"/>
  <c r="N24" i="2"/>
  <c r="O24" i="2"/>
  <c r="P24" i="2"/>
  <c r="C25" i="2"/>
  <c r="D25" i="2"/>
  <c r="E25" i="2"/>
  <c r="F25" i="2"/>
  <c r="G25" i="2"/>
  <c r="H25" i="2"/>
  <c r="I25" i="2"/>
  <c r="J25" i="2"/>
  <c r="K25" i="2"/>
  <c r="L25" i="2"/>
  <c r="M25" i="2"/>
  <c r="N25" i="2"/>
  <c r="O25" i="2"/>
  <c r="P25" i="2"/>
  <c r="C26" i="2"/>
  <c r="D26" i="2"/>
  <c r="E26" i="2"/>
  <c r="F26" i="2"/>
  <c r="G26" i="2"/>
  <c r="H26" i="2"/>
  <c r="I26" i="2"/>
  <c r="J26" i="2"/>
  <c r="K26" i="2"/>
  <c r="L26" i="2"/>
  <c r="M26" i="2"/>
  <c r="N26" i="2"/>
  <c r="O26" i="2"/>
  <c r="P26" i="2"/>
  <c r="C27" i="2"/>
  <c r="D27" i="2"/>
  <c r="E27" i="2"/>
  <c r="F27" i="2"/>
  <c r="G27" i="2"/>
  <c r="H27" i="2"/>
  <c r="I27" i="2"/>
  <c r="J27" i="2"/>
  <c r="K27" i="2"/>
  <c r="L27" i="2"/>
  <c r="M27" i="2"/>
  <c r="N27" i="2"/>
  <c r="O27" i="2"/>
  <c r="P27" i="2"/>
  <c r="J17" i="3"/>
  <c r="N17" i="3"/>
  <c r="N29" i="2" s="1"/>
  <c r="B12" i="2"/>
  <c r="B13" i="2"/>
  <c r="B17" i="2"/>
  <c r="B18" i="2"/>
  <c r="B19" i="2"/>
  <c r="B20" i="2"/>
  <c r="B21" i="2"/>
  <c r="B22" i="2"/>
  <c r="B23" i="2"/>
  <c r="B24" i="2"/>
  <c r="B25" i="2"/>
  <c r="B26" i="2"/>
  <c r="B27" i="2"/>
  <c r="B29" i="2"/>
  <c r="B30" i="2"/>
  <c r="B16" i="2"/>
  <c r="E19" i="1"/>
  <c r="E8" i="2" s="1"/>
  <c r="F19" i="1"/>
  <c r="F8" i="2"/>
  <c r="I19" i="1"/>
  <c r="I8" i="2" s="1"/>
  <c r="J19" i="1"/>
  <c r="J8" i="2"/>
  <c r="M19" i="1"/>
  <c r="M8" i="2" s="1"/>
  <c r="N19" i="1"/>
  <c r="N8" i="2"/>
  <c r="D20" i="1"/>
  <c r="D9" i="2" s="1"/>
  <c r="H20" i="1"/>
  <c r="H9" i="2"/>
  <c r="L20" i="1"/>
  <c r="L9" i="2" s="1"/>
  <c r="P20" i="1"/>
  <c r="P9" i="2"/>
  <c r="F21" i="1"/>
  <c r="G21" i="1"/>
  <c r="G10" i="2"/>
  <c r="J21" i="1"/>
  <c r="J10" i="2" s="1"/>
  <c r="K21" i="1"/>
  <c r="K10" i="2"/>
  <c r="N21" i="1"/>
  <c r="N10" i="2" s="1"/>
  <c r="O21" i="1"/>
  <c r="O10" i="2"/>
  <c r="B6" i="2"/>
  <c r="B7" i="2"/>
  <c r="B8" i="2"/>
  <c r="B9" i="2"/>
  <c r="B10" i="2"/>
  <c r="B5" i="2"/>
  <c r="O3" i="2"/>
  <c r="P3" i="2"/>
  <c r="D3" i="2"/>
  <c r="E3" i="2"/>
  <c r="F3" i="2"/>
  <c r="G3" i="2"/>
  <c r="H3" i="2"/>
  <c r="I3" i="2"/>
  <c r="J3" i="2"/>
  <c r="K3" i="2"/>
  <c r="L3" i="2"/>
  <c r="M3" i="2"/>
  <c r="N3" i="2"/>
  <c r="C3" i="2"/>
  <c r="D17" i="3"/>
  <c r="E17" i="3"/>
  <c r="F17" i="3"/>
  <c r="G17" i="3"/>
  <c r="H17" i="3"/>
  <c r="I17" i="3"/>
  <c r="I29" i="2" s="1"/>
  <c r="K17" i="3"/>
  <c r="L17" i="3"/>
  <c r="L29" i="2" s="1"/>
  <c r="M17" i="3"/>
  <c r="M29" i="2" s="1"/>
  <c r="O17" i="3"/>
  <c r="O29" i="2" s="1"/>
  <c r="P17" i="3"/>
  <c r="P29" i="2" s="1"/>
  <c r="C17" i="3"/>
  <c r="C18" i="3"/>
  <c r="C30" i="2" s="1"/>
  <c r="O3" i="3"/>
  <c r="P3" i="3"/>
  <c r="D3" i="3"/>
  <c r="E3" i="3"/>
  <c r="F3" i="3"/>
  <c r="G3" i="3"/>
  <c r="H3" i="3"/>
  <c r="I3" i="3"/>
  <c r="J3" i="3"/>
  <c r="K3" i="3"/>
  <c r="L3" i="3"/>
  <c r="M3" i="3"/>
  <c r="N3" i="3"/>
  <c r="C3" i="3"/>
  <c r="D17" i="1"/>
  <c r="D6" i="2"/>
  <c r="E17" i="1"/>
  <c r="E23" i="1" s="1"/>
  <c r="E12" i="2" s="1"/>
  <c r="E6" i="2"/>
  <c r="F17" i="1"/>
  <c r="F6" i="2"/>
  <c r="G17" i="1"/>
  <c r="G6" i="2"/>
  <c r="H17" i="1"/>
  <c r="H6" i="2"/>
  <c r="I17" i="1"/>
  <c r="I6" i="2"/>
  <c r="J17" i="1"/>
  <c r="J6" i="2"/>
  <c r="K17" i="1"/>
  <c r="K23" i="1" s="1"/>
  <c r="K6" i="2"/>
  <c r="L17" i="1"/>
  <c r="L6" i="2"/>
  <c r="M17" i="1"/>
  <c r="M6" i="2"/>
  <c r="N17" i="1"/>
  <c r="N6" i="2"/>
  <c r="O17" i="1"/>
  <c r="O23" i="1" s="1"/>
  <c r="O6" i="2"/>
  <c r="P17" i="1"/>
  <c r="P6" i="2"/>
  <c r="D18" i="1"/>
  <c r="D23" i="1" s="1"/>
  <c r="D7" i="2"/>
  <c r="E18" i="1"/>
  <c r="E7" i="2"/>
  <c r="F18" i="1"/>
  <c r="F7" i="2"/>
  <c r="G18" i="1"/>
  <c r="G7" i="2"/>
  <c r="H18" i="1"/>
  <c r="H7" i="2"/>
  <c r="I18" i="1"/>
  <c r="I7" i="2"/>
  <c r="J18" i="1"/>
  <c r="J7" i="2"/>
  <c r="K18" i="1"/>
  <c r="K7" i="2"/>
  <c r="L18" i="1"/>
  <c r="L7" i="2"/>
  <c r="M18" i="1"/>
  <c r="M7" i="2"/>
  <c r="N18" i="1"/>
  <c r="N7" i="2"/>
  <c r="O18" i="1"/>
  <c r="O7" i="2"/>
  <c r="P18" i="1"/>
  <c r="P7" i="2"/>
  <c r="D19" i="1"/>
  <c r="D8" i="2"/>
  <c r="G19" i="1"/>
  <c r="G8" i="2"/>
  <c r="H19" i="1"/>
  <c r="H8" i="2"/>
  <c r="K19" i="1"/>
  <c r="K8" i="2"/>
  <c r="L19" i="1"/>
  <c r="L8" i="2"/>
  <c r="O19" i="1"/>
  <c r="O8" i="2"/>
  <c r="P19" i="1"/>
  <c r="P8" i="2"/>
  <c r="E20" i="1"/>
  <c r="E9" i="2"/>
  <c r="F20" i="1"/>
  <c r="F9" i="2"/>
  <c r="G20" i="1"/>
  <c r="G9" i="2"/>
  <c r="I20" i="1"/>
  <c r="I9" i="2"/>
  <c r="J20" i="1"/>
  <c r="J9" i="2"/>
  <c r="K20" i="1"/>
  <c r="K9" i="2"/>
  <c r="M20" i="1"/>
  <c r="M9" i="2"/>
  <c r="N20" i="1"/>
  <c r="N9" i="2"/>
  <c r="O20" i="1"/>
  <c r="O9" i="2"/>
  <c r="D21" i="1"/>
  <c r="D10" i="2"/>
  <c r="E21" i="1"/>
  <c r="E10" i="2"/>
  <c r="H21" i="1"/>
  <c r="H10" i="2"/>
  <c r="I21" i="1"/>
  <c r="I10" i="2"/>
  <c r="L21" i="1"/>
  <c r="L10" i="2"/>
  <c r="M21" i="1"/>
  <c r="M10" i="2"/>
  <c r="P21" i="1"/>
  <c r="P10" i="2"/>
  <c r="C21" i="1"/>
  <c r="C10" i="2"/>
  <c r="C20" i="1"/>
  <c r="C9" i="2"/>
  <c r="C19" i="1"/>
  <c r="C8" i="2"/>
  <c r="C18" i="1"/>
  <c r="C7" i="2"/>
  <c r="C17" i="1"/>
  <c r="C23" i="1" s="1"/>
  <c r="C6" i="2"/>
  <c r="D16" i="1"/>
  <c r="E16" i="1"/>
  <c r="E5" i="2" s="1"/>
  <c r="F16" i="1"/>
  <c r="G16" i="1"/>
  <c r="H16" i="1"/>
  <c r="I16" i="1"/>
  <c r="I23" i="1" s="1"/>
  <c r="I12" i="2" s="1"/>
  <c r="I32" i="2" s="1"/>
  <c r="J16" i="1"/>
  <c r="K16" i="1"/>
  <c r="L16" i="1"/>
  <c r="L5" i="2" s="1"/>
  <c r="M16" i="1"/>
  <c r="M5" i="2" s="1"/>
  <c r="N16" i="1"/>
  <c r="O16" i="1"/>
  <c r="P16" i="1"/>
  <c r="P5" i="2" s="1"/>
  <c r="C16" i="1"/>
  <c r="D15" i="1"/>
  <c r="E15" i="1"/>
  <c r="F15" i="1"/>
  <c r="G15" i="1"/>
  <c r="H15" i="1"/>
  <c r="I15" i="1"/>
  <c r="J15" i="1"/>
  <c r="K15" i="1"/>
  <c r="L15" i="1"/>
  <c r="M15" i="1"/>
  <c r="N15" i="1"/>
  <c r="O15" i="1"/>
  <c r="P15" i="1"/>
  <c r="M23" i="1"/>
  <c r="M12" i="2" s="1"/>
  <c r="P23" i="1"/>
  <c r="O5" i="2"/>
  <c r="K5" i="2"/>
  <c r="C5" i="2"/>
  <c r="N5" i="2"/>
  <c r="F5" i="2"/>
  <c r="I5" i="2"/>
  <c r="H5" i="2"/>
  <c r="D5" i="2"/>
  <c r="D12" i="2" l="1"/>
  <c r="O12" i="2"/>
  <c r="O32" i="2" s="1"/>
  <c r="K12" i="2"/>
  <c r="K32" i="2" s="1"/>
  <c r="AC12" i="2"/>
  <c r="AC32" i="2" s="1"/>
  <c r="D29" i="2"/>
  <c r="D18" i="3"/>
  <c r="D30" i="2" s="1"/>
  <c r="V12" i="2"/>
  <c r="V32" i="2" s="1"/>
  <c r="AS12" i="2"/>
  <c r="AQ23" i="1"/>
  <c r="AQ5" i="2"/>
  <c r="AS29" i="2"/>
  <c r="AK29" i="2"/>
  <c r="AC29" i="2"/>
  <c r="U29" i="2"/>
  <c r="P12" i="2"/>
  <c r="P32" i="2" s="1"/>
  <c r="F10" i="2"/>
  <c r="F23" i="1"/>
  <c r="AK23" i="1"/>
  <c r="AV23" i="1"/>
  <c r="C24" i="1"/>
  <c r="C13" i="2" s="1"/>
  <c r="C12" i="2"/>
  <c r="C32" i="2" s="1"/>
  <c r="C33" i="2" s="1"/>
  <c r="N23" i="1"/>
  <c r="H29" i="2"/>
  <c r="AR8" i="2"/>
  <c r="AR23" i="1"/>
  <c r="AJ8" i="2"/>
  <c r="AJ23" i="1"/>
  <c r="AU23" i="1"/>
  <c r="AU5" i="2"/>
  <c r="AM5" i="2"/>
  <c r="AM23" i="1"/>
  <c r="M32" i="2"/>
  <c r="G23" i="1"/>
  <c r="G5" i="2"/>
  <c r="AH12" i="2"/>
  <c r="AH32" i="2" s="1"/>
  <c r="AI7" i="2"/>
  <c r="AI23" i="1"/>
  <c r="AE7" i="2"/>
  <c r="AE23" i="1"/>
  <c r="AA7" i="2"/>
  <c r="AA23" i="1"/>
  <c r="W7" i="2"/>
  <c r="W23" i="1"/>
  <c r="S7" i="2"/>
  <c r="S23" i="1"/>
  <c r="AD6" i="2"/>
  <c r="AD23" i="1"/>
  <c r="Z6" i="2"/>
  <c r="Z23" i="1"/>
  <c r="R6" i="2"/>
  <c r="R23" i="1"/>
  <c r="AG5" i="2"/>
  <c r="AG23" i="1"/>
  <c r="Y5" i="2"/>
  <c r="Y23" i="1"/>
  <c r="U5" i="2"/>
  <c r="U23" i="1"/>
  <c r="Q5" i="2"/>
  <c r="Q23" i="1"/>
  <c r="J23" i="1"/>
  <c r="AF23" i="1"/>
  <c r="T23" i="1"/>
  <c r="AP23" i="1"/>
  <c r="AO23" i="1"/>
  <c r="G29" i="2"/>
  <c r="AP5" i="2"/>
  <c r="AF5" i="2"/>
  <c r="AB5" i="2"/>
  <c r="AB23" i="1"/>
  <c r="X23" i="1"/>
  <c r="X5" i="2"/>
  <c r="AT23" i="1"/>
  <c r="AT5" i="2"/>
  <c r="AL23" i="1"/>
  <c r="J5" i="2"/>
  <c r="L23" i="1"/>
  <c r="H23" i="1"/>
  <c r="E18" i="3"/>
  <c r="E29" i="2"/>
  <c r="E32" i="2" s="1"/>
  <c r="AN23" i="1"/>
  <c r="T5" i="2"/>
  <c r="AT12" i="2" l="1"/>
  <c r="AT32" i="2" s="1"/>
  <c r="AO12" i="2"/>
  <c r="AO32" i="2" s="1"/>
  <c r="U12" i="2"/>
  <c r="U32" i="2" s="1"/>
  <c r="Z12" i="2"/>
  <c r="Z32" i="2" s="1"/>
  <c r="AA12" i="2"/>
  <c r="AA32" i="2" s="1"/>
  <c r="AK12" i="2"/>
  <c r="AK32" i="2" s="1"/>
  <c r="AQ12" i="2"/>
  <c r="AQ32" i="2" s="1"/>
  <c r="AR12" i="2"/>
  <c r="AR32" i="2" s="1"/>
  <c r="H12" i="2"/>
  <c r="H32" i="2" s="1"/>
  <c r="AL12" i="2"/>
  <c r="AL32" i="2" s="1"/>
  <c r="X12" i="2"/>
  <c r="X32" i="2" s="1"/>
  <c r="T12" i="2"/>
  <c r="T32" i="2" s="1"/>
  <c r="Q12" i="2"/>
  <c r="Q32" i="2" s="1"/>
  <c r="Y12" i="2"/>
  <c r="Y32" i="2" s="1"/>
  <c r="R12" i="2"/>
  <c r="R32" i="2" s="1"/>
  <c r="AD12" i="2"/>
  <c r="AD32" i="2" s="1"/>
  <c r="W12" i="2"/>
  <c r="W32" i="2" s="1"/>
  <c r="AE12" i="2"/>
  <c r="AE32" i="2" s="1"/>
  <c r="AU12" i="2"/>
  <c r="AU32" i="2" s="1"/>
  <c r="AS32" i="2"/>
  <c r="D32" i="2"/>
  <c r="D33" i="2" s="1"/>
  <c r="E33" i="2" s="1"/>
  <c r="J12" i="2"/>
  <c r="J32" i="2" s="1"/>
  <c r="AG12" i="2"/>
  <c r="AG32" i="2" s="1"/>
  <c r="S12" i="2"/>
  <c r="S32" i="2" s="1"/>
  <c r="AI12" i="2"/>
  <c r="AI32" i="2" s="1"/>
  <c r="F18" i="3"/>
  <c r="E30" i="2"/>
  <c r="AP12" i="2"/>
  <c r="AP32" i="2" s="1"/>
  <c r="G12" i="2"/>
  <c r="G32" i="2" s="1"/>
  <c r="N12" i="2"/>
  <c r="N32" i="2" s="1"/>
  <c r="F12" i="2"/>
  <c r="F32" i="2" s="1"/>
  <c r="AN12" i="2"/>
  <c r="AN32" i="2" s="1"/>
  <c r="L12" i="2"/>
  <c r="L32" i="2" s="1"/>
  <c r="AB12" i="2"/>
  <c r="AB32" i="2" s="1"/>
  <c r="AF12" i="2"/>
  <c r="AF32" i="2" s="1"/>
  <c r="AM12" i="2"/>
  <c r="AM32" i="2" s="1"/>
  <c r="AJ12" i="2"/>
  <c r="AJ32" i="2" s="1"/>
  <c r="AV12" i="2"/>
  <c r="AV32" i="2" s="1"/>
  <c r="D24" i="1"/>
  <c r="F33" i="2" l="1"/>
  <c r="G33" i="2" s="1"/>
  <c r="H33" i="2" s="1"/>
  <c r="I33" i="2" s="1"/>
  <c r="J33" i="2" s="1"/>
  <c r="K33" i="2" s="1"/>
  <c r="L33" i="2" s="1"/>
  <c r="M33" i="2" s="1"/>
  <c r="N33" i="2" s="1"/>
  <c r="O33" i="2" s="1"/>
  <c r="P33" i="2" s="1"/>
  <c r="Q33" i="2" s="1"/>
  <c r="R33" i="2" s="1"/>
  <c r="S33" i="2" s="1"/>
  <c r="T33" i="2" s="1"/>
  <c r="U33" i="2" s="1"/>
  <c r="V33" i="2" s="1"/>
  <c r="W33" i="2" s="1"/>
  <c r="X33" i="2" s="1"/>
  <c r="Y33" i="2" s="1"/>
  <c r="Z33" i="2" s="1"/>
  <c r="AA33" i="2" s="1"/>
  <c r="AB33" i="2" s="1"/>
  <c r="AC33" i="2" s="1"/>
  <c r="AD33" i="2" s="1"/>
  <c r="AE33" i="2" s="1"/>
  <c r="AF33" i="2" s="1"/>
  <c r="AG33" i="2" s="1"/>
  <c r="AH33" i="2" s="1"/>
  <c r="AI33" i="2" s="1"/>
  <c r="AJ33" i="2" s="1"/>
  <c r="AK33" i="2" s="1"/>
  <c r="AL33" i="2" s="1"/>
  <c r="AM33" i="2" s="1"/>
  <c r="AN33" i="2" s="1"/>
  <c r="AO33" i="2" s="1"/>
  <c r="AP33" i="2" s="1"/>
  <c r="AQ33" i="2" s="1"/>
  <c r="AR33" i="2" s="1"/>
  <c r="AS33" i="2" s="1"/>
  <c r="AT33" i="2" s="1"/>
  <c r="AU33" i="2" s="1"/>
  <c r="AV33" i="2" s="1"/>
  <c r="F30" i="2"/>
  <c r="G18" i="3"/>
  <c r="D13" i="2"/>
  <c r="E24" i="1"/>
  <c r="E13" i="2" l="1"/>
  <c r="F24" i="1"/>
  <c r="G30" i="2"/>
  <c r="H18" i="3"/>
  <c r="H30" i="2" l="1"/>
  <c r="I18" i="3"/>
  <c r="F13" i="2"/>
  <c r="G24" i="1"/>
  <c r="G13" i="2" l="1"/>
  <c r="H24" i="1"/>
  <c r="J18" i="3"/>
  <c r="I30" i="2"/>
  <c r="J30" i="2" l="1"/>
  <c r="K18" i="3"/>
  <c r="H13" i="2"/>
  <c r="I24" i="1"/>
  <c r="I13" i="2" l="1"/>
  <c r="J24" i="1"/>
  <c r="K30" i="2"/>
  <c r="L18" i="3"/>
  <c r="L30" i="2" l="1"/>
  <c r="M18" i="3"/>
  <c r="J13" i="2"/>
  <c r="K24" i="1"/>
  <c r="K13" i="2" l="1"/>
  <c r="L24" i="1"/>
  <c r="N18" i="3"/>
  <c r="M30" i="2"/>
  <c r="O18" i="3" l="1"/>
  <c r="N30" i="2"/>
  <c r="L13" i="2"/>
  <c r="M24" i="1"/>
  <c r="M13" i="2" l="1"/>
  <c r="N24" i="1"/>
  <c r="P18" i="3"/>
  <c r="O30" i="2"/>
  <c r="P30" i="2" l="1"/>
  <c r="Q18" i="3"/>
  <c r="N13" i="2"/>
  <c r="O24" i="1"/>
  <c r="O13" i="2" l="1"/>
  <c r="P24" i="1"/>
  <c r="Q30" i="2"/>
  <c r="R18" i="3"/>
  <c r="R30" i="2" l="1"/>
  <c r="S18" i="3"/>
  <c r="P13" i="2"/>
  <c r="Q24" i="1"/>
  <c r="Q13" i="2" l="1"/>
  <c r="R24" i="1"/>
  <c r="S30" i="2"/>
  <c r="T18" i="3"/>
  <c r="T30" i="2" l="1"/>
  <c r="U18" i="3"/>
  <c r="R13" i="2"/>
  <c r="S24" i="1"/>
  <c r="S13" i="2" l="1"/>
  <c r="T24" i="1"/>
  <c r="U30" i="2"/>
  <c r="V18" i="3"/>
  <c r="W18" i="3" l="1"/>
  <c r="V30" i="2"/>
  <c r="T13" i="2"/>
  <c r="U24" i="1"/>
  <c r="U13" i="2" l="1"/>
  <c r="V24" i="1"/>
  <c r="W30" i="2"/>
  <c r="X18" i="3"/>
  <c r="X30" i="2" l="1"/>
  <c r="Y18" i="3"/>
  <c r="V13" i="2"/>
  <c r="W24" i="1"/>
  <c r="W13" i="2" l="1"/>
  <c r="X24" i="1"/>
  <c r="Y30" i="2"/>
  <c r="Z18" i="3"/>
  <c r="AA18" i="3" l="1"/>
  <c r="Z30" i="2"/>
  <c r="X13" i="2"/>
  <c r="Y24" i="1"/>
  <c r="Y13" i="2" l="1"/>
  <c r="Z24" i="1"/>
  <c r="AA30" i="2"/>
  <c r="AB18" i="3"/>
  <c r="AB30" i="2" l="1"/>
  <c r="AC18" i="3"/>
  <c r="Z13" i="2"/>
  <c r="AA24" i="1"/>
  <c r="AA13" i="2" l="1"/>
  <c r="AB24" i="1"/>
  <c r="AC30" i="2"/>
  <c r="AD18" i="3"/>
  <c r="AE18" i="3" l="1"/>
  <c r="AD30" i="2"/>
  <c r="AB13" i="2"/>
  <c r="AC24" i="1"/>
  <c r="AC13" i="2" l="1"/>
  <c r="AD24" i="1"/>
  <c r="AE30" i="2"/>
  <c r="AF18" i="3"/>
  <c r="AF30" i="2" l="1"/>
  <c r="AG18" i="3"/>
  <c r="AD13" i="2"/>
  <c r="AE24" i="1"/>
  <c r="AE13" i="2" l="1"/>
  <c r="AF24" i="1"/>
  <c r="AG30" i="2"/>
  <c r="AH18" i="3"/>
  <c r="AH30" i="2" l="1"/>
  <c r="AI18" i="3"/>
  <c r="AF13" i="2"/>
  <c r="AG24" i="1"/>
  <c r="AG13" i="2" l="1"/>
  <c r="AH24" i="1"/>
  <c r="AI30" i="2"/>
  <c r="AJ18" i="3"/>
  <c r="AJ30" i="2" l="1"/>
  <c r="AK18" i="3"/>
  <c r="AH13" i="2"/>
  <c r="AI24" i="1"/>
  <c r="AI13" i="2" l="1"/>
  <c r="AJ24" i="1"/>
  <c r="AK30" i="2"/>
  <c r="AL18" i="3"/>
  <c r="AM18" i="3" l="1"/>
  <c r="AL30" i="2"/>
  <c r="AJ13" i="2"/>
  <c r="AK24" i="1"/>
  <c r="AK13" i="2" l="1"/>
  <c r="AL24" i="1"/>
  <c r="AM30" i="2"/>
  <c r="AN18" i="3"/>
  <c r="AN30" i="2" l="1"/>
  <c r="AO18" i="3"/>
  <c r="AL13" i="2"/>
  <c r="AM24" i="1"/>
  <c r="AM13" i="2" l="1"/>
  <c r="AN24" i="1"/>
  <c r="AO30" i="2"/>
  <c r="AP18" i="3"/>
  <c r="AQ18" i="3" l="1"/>
  <c r="AP30" i="2"/>
  <c r="AN13" i="2"/>
  <c r="AO24" i="1"/>
  <c r="AO13" i="2" l="1"/>
  <c r="AP24" i="1"/>
  <c r="AQ30" i="2"/>
  <c r="AR18" i="3"/>
  <c r="AR30" i="2" l="1"/>
  <c r="AS18" i="3"/>
  <c r="AP13" i="2"/>
  <c r="AQ24" i="1"/>
  <c r="AQ13" i="2" l="1"/>
  <c r="AR24" i="1"/>
  <c r="AS30" i="2"/>
  <c r="AT18" i="3"/>
  <c r="AT30" i="2" l="1"/>
  <c r="AU18" i="3"/>
  <c r="AR13" i="2"/>
  <c r="AS24" i="1"/>
  <c r="AS13" i="2" l="1"/>
  <c r="AT24" i="1"/>
  <c r="AU30" i="2"/>
  <c r="AV18" i="3"/>
  <c r="AV30" i="2" s="1"/>
  <c r="AT13" i="2" l="1"/>
  <c r="AU24" i="1"/>
  <c r="AU13" i="2" l="1"/>
  <c r="AV24" i="1"/>
  <c r="AV13" i="2" s="1"/>
</calcChain>
</file>

<file path=xl/sharedStrings.xml><?xml version="1.0" encoding="utf-8"?>
<sst xmlns="http://schemas.openxmlformats.org/spreadsheetml/2006/main" count="69" uniqueCount="62">
  <si>
    <t>Unit Price Income 1</t>
  </si>
  <si>
    <t>Unit Price Income 2</t>
  </si>
  <si>
    <t>Unit Price Income 3</t>
  </si>
  <si>
    <t>Unit Price Income 4</t>
  </si>
  <si>
    <t>Unit Price Income 5</t>
  </si>
  <si>
    <t>Unit Price Income 6</t>
  </si>
  <si>
    <t>Income 4</t>
  </si>
  <si>
    <t>Income 5</t>
  </si>
  <si>
    <t>Income 6</t>
  </si>
  <si>
    <t>Activity 1</t>
  </si>
  <si>
    <t>Activity 2</t>
  </si>
  <si>
    <t>Activity 3</t>
  </si>
  <si>
    <t>Activity 4</t>
  </si>
  <si>
    <t>Activity 5</t>
  </si>
  <si>
    <t>Activity 6</t>
  </si>
  <si>
    <t>Running Total</t>
  </si>
  <si>
    <t>Total</t>
  </si>
  <si>
    <t>Instructions for using this financial projections document</t>
  </si>
  <si>
    <t>Service/Product Delivery</t>
  </si>
  <si>
    <t>Income from Activity</t>
  </si>
  <si>
    <t>Outgoing 2</t>
  </si>
  <si>
    <t>Outgoing 3</t>
  </si>
  <si>
    <t>Outgoing 4</t>
  </si>
  <si>
    <t>Outgoing 5</t>
  </si>
  <si>
    <t>Outgoing 6</t>
  </si>
  <si>
    <t>Outgoing 7</t>
  </si>
  <si>
    <t>Outgoing 8</t>
  </si>
  <si>
    <t>Outgoing 9</t>
  </si>
  <si>
    <t>Outgoing 10</t>
  </si>
  <si>
    <t>Outgoing 11</t>
  </si>
  <si>
    <t>Outgoing 12</t>
  </si>
  <si>
    <t>Opening Balance</t>
  </si>
  <si>
    <t>Income</t>
  </si>
  <si>
    <t>Expenditure</t>
  </si>
  <si>
    <t>Opening Total</t>
  </si>
  <si>
    <t xml:space="preserve"> </t>
  </si>
  <si>
    <t>Figure 1</t>
  </si>
  <si>
    <t>Cash Flow</t>
  </si>
  <si>
    <t>I have started the model off with a 1 year forward look.  If you need to model beyond this (which you should) please drag across the formula and the worksheet should perform as expected</t>
  </si>
  <si>
    <t>This document should be used to create a high level financial projection for the income generated and the costs incurred in delivering programmes or products in the South West as part of the transform Ageing Programme.  Please develop this model as you feel fit.</t>
  </si>
  <si>
    <t>Milestones</t>
  </si>
  <si>
    <t>Partnerships Formalised</t>
  </si>
  <si>
    <t>Training</t>
  </si>
  <si>
    <t>Marketing</t>
  </si>
  <si>
    <t>Lead Generation</t>
  </si>
  <si>
    <t>Sales</t>
  </si>
  <si>
    <t>Events</t>
  </si>
  <si>
    <t>Comments</t>
  </si>
  <si>
    <t>Partnership with Charity A formalised and training booked in</t>
  </si>
  <si>
    <t>Partnership with Charity B formalised</t>
  </si>
  <si>
    <t>Training Begins with both Charities</t>
  </si>
  <si>
    <t>Training ends and marketing begins with support of local charities</t>
  </si>
  <si>
    <t>General and Project Milestones</t>
  </si>
  <si>
    <t xml:space="preserve">The project milestones page can be used or deleted.  If you think it would be helpful to explain your work visually then please feel free to use it.  </t>
  </si>
  <si>
    <t>This sheet should be used to record any outgoing that you'll incur.  The titles that you give each expenditure will feed through automatically into the cash flow forecast (please note if you change the title of an expenditure in the cash flow sheet this will not feed that title back into the expenditure sheet)</t>
  </si>
  <si>
    <t>The information that you put into the income and expenditure sheets will automatically feed into the cash flow sheet.  But please do check everything is coming through correctly!</t>
  </si>
  <si>
    <t>Salaries</t>
  </si>
  <si>
    <t>Full Package</t>
  </si>
  <si>
    <t>App Download</t>
  </si>
  <si>
    <t>Consultancy</t>
  </si>
  <si>
    <t>I've included some examples throughout just to make it clearer how this workbook is put together</t>
  </si>
  <si>
    <t>The income sheet allows you to input the price of each product/service in the section "unit price income #" (e.g. £300 p/h). Jointly the activity represents the amount of sales you are making in each income stream (e.g. 2 hours). This is then multiplied into the income coloumn (e.g. 2 hours * £300 = £600) (as figure 1 shows).  Please feel free to name the Unit price, activities and income sections as you feel fit.  The titles you give each income will feed through to the cash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</si>
</sst>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b/>
      <i/>
      <sz val="11"/>
      <color theme="1"/>
      <name val="Calibri"/>
      <family val="2"/>
      <scheme val="minor"/>
    </font>
    <font>
      <u/>
      <sz val="11"/>
      <color theme="1"/>
      <name val="Calibri"/>
      <family val="2"/>
      <scheme val="minor"/>
    </font>
    <font>
      <b/>
      <i/>
      <u/>
      <sz val="11"/>
      <color theme="1"/>
      <name val="Calibri"/>
      <family val="2"/>
      <scheme val="minor"/>
    </font>
    <font>
      <i/>
      <u/>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rgb="FF7030A0"/>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51">
    <xf numFmtId="0" fontId="0" fillId="0" borderId="0" xfId="0"/>
    <xf numFmtId="0" fontId="2" fillId="0" borderId="0" xfId="0" applyFont="1"/>
    <xf numFmtId="0" fontId="2" fillId="0" borderId="0" xfId="0" applyFont="1" applyAlignment="1">
      <alignment horizontal="center"/>
    </xf>
    <xf numFmtId="17" fontId="2" fillId="0" borderId="0" xfId="0" applyNumberFormat="1" applyFont="1" applyAlignment="1">
      <alignment horizontal="center"/>
    </xf>
    <xf numFmtId="44" fontId="0" fillId="0" borderId="0" xfId="1" applyFont="1"/>
    <xf numFmtId="0" fontId="0" fillId="0" borderId="0" xfId="0" applyAlignment="1">
      <alignment horizontal="center"/>
    </xf>
    <xf numFmtId="0" fontId="0" fillId="2" borderId="0" xfId="0" applyFill="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2" borderId="1" xfId="0" applyFont="1" applyFill="1" applyBorder="1"/>
    <xf numFmtId="44" fontId="0" fillId="0" borderId="10" xfId="1" applyFont="1" applyBorder="1"/>
    <xf numFmtId="44" fontId="0" fillId="0" borderId="11" xfId="1" applyFont="1" applyBorder="1"/>
    <xf numFmtId="44" fontId="0" fillId="0" borderId="12" xfId="1" applyFont="1" applyBorder="1"/>
    <xf numFmtId="17" fontId="4" fillId="0" borderId="0" xfId="0" applyNumberFormat="1" applyFont="1" applyAlignment="1">
      <alignment horizontal="center"/>
    </xf>
    <xf numFmtId="0" fontId="4" fillId="0" borderId="0" xfId="0" applyFont="1" applyAlignment="1">
      <alignment horizontal="center"/>
    </xf>
    <xf numFmtId="44" fontId="2" fillId="0" borderId="0" xfId="1" applyFont="1"/>
    <xf numFmtId="44" fontId="4" fillId="0" borderId="0" xfId="1" applyFont="1"/>
    <xf numFmtId="0" fontId="0" fillId="0" borderId="0" xfId="0" applyAlignment="1">
      <alignment horizontal="right"/>
    </xf>
    <xf numFmtId="0" fontId="4" fillId="0" borderId="0" xfId="0" applyFont="1" applyAlignment="1">
      <alignment horizontal="right"/>
    </xf>
    <xf numFmtId="0" fontId="2" fillId="0" borderId="0" xfId="0" applyFont="1" applyAlignment="1">
      <alignment horizontal="left"/>
    </xf>
    <xf numFmtId="0" fontId="3" fillId="0" borderId="0" xfId="0" applyFont="1"/>
    <xf numFmtId="0" fontId="6" fillId="0" borderId="0" xfId="0" applyFont="1"/>
    <xf numFmtId="0" fontId="6" fillId="0" borderId="0" xfId="0" applyFont="1" applyAlignment="1">
      <alignment horizontal="right"/>
    </xf>
    <xf numFmtId="44" fontId="6" fillId="0" borderId="0" xfId="1" applyFont="1"/>
    <xf numFmtId="44" fontId="5" fillId="0" borderId="0" xfId="1" applyFont="1"/>
    <xf numFmtId="44" fontId="7" fillId="0" borderId="0" xfId="1" applyFont="1"/>
    <xf numFmtId="0" fontId="3" fillId="2" borderId="0" xfId="0" applyFont="1" applyFill="1"/>
    <xf numFmtId="0" fontId="0" fillId="3" borderId="0" xfId="0" applyFill="1"/>
    <xf numFmtId="0" fontId="0" fillId="4" borderId="0" xfId="0" applyFill="1"/>
    <xf numFmtId="0" fontId="0" fillId="0" borderId="0" xfId="0" applyFill="1"/>
    <xf numFmtId="0" fontId="0" fillId="5" borderId="0" xfId="0" applyFill="1"/>
    <xf numFmtId="0" fontId="0" fillId="6" borderId="0" xfId="0" applyFill="1"/>
    <xf numFmtId="17" fontId="0" fillId="0" borderId="0" xfId="0" applyNumberFormat="1" applyFont="1" applyAlignment="1">
      <alignment horizontal="center" wrapText="1"/>
    </xf>
    <xf numFmtId="0" fontId="0" fillId="0" borderId="0" xfId="0" applyFont="1" applyAlignment="1">
      <alignment horizontal="center" wrapText="1"/>
    </xf>
    <xf numFmtId="0" fontId="2" fillId="2" borderId="4" xfId="0" applyFont="1" applyFill="1" applyBorder="1"/>
    <xf numFmtId="0" fontId="0" fillId="2" borderId="4" xfId="0" applyFill="1" applyBorder="1" applyAlignment="1">
      <alignment horizontal="left" wrapText="1"/>
    </xf>
    <xf numFmtId="0" fontId="0" fillId="2" borderId="0" xfId="0" applyFill="1" applyBorder="1" applyAlignment="1">
      <alignment horizontal="left" wrapText="1"/>
    </xf>
    <xf numFmtId="0" fontId="0" fillId="2" borderId="5" xfId="0" applyFill="1" applyBorder="1" applyAlignment="1">
      <alignment horizontal="left" wrapText="1"/>
    </xf>
    <xf numFmtId="0" fontId="0" fillId="2" borderId="4" xfId="0" applyFill="1" applyBorder="1" applyAlignment="1">
      <alignment horizontal="left" vertical="top" wrapText="1"/>
    </xf>
    <xf numFmtId="0" fontId="0" fillId="2" borderId="0" xfId="0" applyFill="1" applyBorder="1" applyAlignment="1">
      <alignment horizontal="left" vertical="top" wrapText="1"/>
    </xf>
    <xf numFmtId="0" fontId="0" fillId="2" borderId="5" xfId="0" applyFill="1" applyBorder="1" applyAlignment="1">
      <alignment horizontal="left" vertical="top" wrapText="1"/>
    </xf>
    <xf numFmtId="0" fontId="2" fillId="0" borderId="13" xfId="0" applyFont="1" applyBorder="1" applyAlignment="1">
      <alignment horizontal="center"/>
    </xf>
    <xf numFmtId="0" fontId="2" fillId="0" borderId="10" xfId="0" applyFont="1" applyBorder="1" applyAlignment="1">
      <alignment horizontal="center"/>
    </xf>
    <xf numFmtId="0" fontId="2" fillId="0" borderId="0" xfId="0" applyFont="1" applyAlignment="1">
      <alignment horizontal="center" vertical="center" textRotation="90" wrapText="1"/>
    </xf>
    <xf numFmtId="0" fontId="2" fillId="0" borderId="9" xfId="0" applyFont="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600075</xdr:colOff>
      <xdr:row>3</xdr:row>
      <xdr:rowOff>104775</xdr:rowOff>
    </xdr:from>
    <xdr:to>
      <xdr:col>18</xdr:col>
      <xdr:colOff>598938</xdr:colOff>
      <xdr:row>15</xdr:row>
      <xdr:rowOff>314325</xdr:rowOff>
    </xdr:to>
    <xdr:pic>
      <xdr:nvPicPr>
        <xdr:cNvPr id="2" name="Picture 1">
          <a:extLst>
            <a:ext uri="{FF2B5EF4-FFF2-40B4-BE49-F238E27FC236}">
              <a16:creationId xmlns:a16="http://schemas.microsoft.com/office/drawing/2014/main" id="{B79E4C15-F38A-47EE-B8B6-9F9D04AA4594}"/>
            </a:ext>
          </a:extLst>
        </xdr:cNvPr>
        <xdr:cNvPicPr>
          <a:picLocks noChangeAspect="1"/>
        </xdr:cNvPicPr>
      </xdr:nvPicPr>
      <xdr:blipFill rotWithShape="1">
        <a:blip xmlns:r="http://schemas.openxmlformats.org/officeDocument/2006/relationships" r:embed="rId1"/>
        <a:srcRect l="5931" t="35160" r="63100" b="12490"/>
        <a:stretch/>
      </xdr:blipFill>
      <xdr:spPr>
        <a:xfrm>
          <a:off x="8143875" y="685800"/>
          <a:ext cx="3046863" cy="289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4EBE5-0A46-411C-92A6-0A61ED0FC5B4}">
  <dimension ref="B1:O34"/>
  <sheetViews>
    <sheetView workbookViewId="0">
      <selection activeCell="G5" sqref="G5"/>
    </sheetView>
  </sheetViews>
  <sheetFormatPr defaultRowHeight="15" x14ac:dyDescent="0.25"/>
  <cols>
    <col min="1" max="1" width="3.42578125" style="6" customWidth="1"/>
    <col min="2" max="12" width="9.140625" style="6"/>
    <col min="13" max="13" width="12" style="6" customWidth="1"/>
    <col min="14" max="16384" width="9.140625" style="6"/>
  </cols>
  <sheetData>
    <row r="1" spans="2:15" ht="15.75" thickBot="1" x14ac:dyDescent="0.3"/>
    <row r="2" spans="2:15" x14ac:dyDescent="0.25">
      <c r="B2" s="15" t="s">
        <v>17</v>
      </c>
      <c r="C2" s="7"/>
      <c r="D2" s="7"/>
      <c r="E2" s="7"/>
      <c r="F2" s="7"/>
      <c r="G2" s="7"/>
      <c r="H2" s="7"/>
      <c r="I2" s="7"/>
      <c r="J2" s="7"/>
      <c r="K2" s="7"/>
      <c r="L2" s="7"/>
      <c r="M2" s="8"/>
    </row>
    <row r="3" spans="2:15" x14ac:dyDescent="0.25">
      <c r="B3" s="9"/>
      <c r="C3" s="10"/>
      <c r="D3" s="10"/>
      <c r="E3" s="10"/>
      <c r="F3" s="10"/>
      <c r="G3" s="10"/>
      <c r="H3" s="10"/>
      <c r="I3" s="10"/>
      <c r="J3" s="10"/>
      <c r="K3" s="10"/>
      <c r="L3" s="10"/>
      <c r="M3" s="11"/>
      <c r="O3" s="32" t="s">
        <v>36</v>
      </c>
    </row>
    <row r="4" spans="2:15" ht="46.5" customHeight="1" x14ac:dyDescent="0.25">
      <c r="B4" s="41" t="s">
        <v>39</v>
      </c>
      <c r="C4" s="42"/>
      <c r="D4" s="42"/>
      <c r="E4" s="42"/>
      <c r="F4" s="42"/>
      <c r="G4" s="42"/>
      <c r="H4" s="42"/>
      <c r="I4" s="42"/>
      <c r="J4" s="42"/>
      <c r="K4" s="42"/>
      <c r="L4" s="42"/>
      <c r="M4" s="43"/>
    </row>
    <row r="5" spans="2:15" x14ac:dyDescent="0.25">
      <c r="B5" s="9"/>
      <c r="C5" s="10"/>
      <c r="D5" s="10"/>
      <c r="E5" s="10"/>
      <c r="F5" s="10"/>
      <c r="G5" s="10"/>
      <c r="H5" s="10"/>
      <c r="I5" s="10"/>
      <c r="J5" s="10"/>
      <c r="K5" s="10"/>
      <c r="L5" s="10"/>
      <c r="M5" s="11"/>
    </row>
    <row r="6" spans="2:15" x14ac:dyDescent="0.25">
      <c r="B6" s="40" t="s">
        <v>32</v>
      </c>
      <c r="C6" s="10"/>
      <c r="D6" s="10"/>
      <c r="E6" s="10"/>
      <c r="F6" s="10"/>
      <c r="G6" s="10"/>
      <c r="H6" s="10"/>
      <c r="I6" s="10"/>
      <c r="J6" s="10"/>
      <c r="K6" s="10"/>
      <c r="L6" s="10"/>
      <c r="M6" s="11"/>
    </row>
    <row r="7" spans="2:15" x14ac:dyDescent="0.25">
      <c r="B7" s="9"/>
      <c r="C7" s="10"/>
      <c r="D7" s="10"/>
      <c r="E7" s="10"/>
      <c r="F7" s="10"/>
      <c r="G7" s="10"/>
      <c r="H7" s="10"/>
      <c r="I7" s="10"/>
      <c r="J7" s="10"/>
      <c r="K7" s="10"/>
      <c r="L7" s="10"/>
      <c r="M7" s="11"/>
    </row>
    <row r="8" spans="2:15" ht="15" customHeight="1" x14ac:dyDescent="0.25">
      <c r="B8" s="44" t="s">
        <v>61</v>
      </c>
      <c r="C8" s="45"/>
      <c r="D8" s="45"/>
      <c r="E8" s="45"/>
      <c r="F8" s="45"/>
      <c r="G8" s="45"/>
      <c r="H8" s="45"/>
      <c r="I8" s="45"/>
      <c r="J8" s="45"/>
      <c r="K8" s="45"/>
      <c r="L8" s="45"/>
      <c r="M8" s="46"/>
    </row>
    <row r="9" spans="2:15" x14ac:dyDescent="0.25">
      <c r="B9" s="44"/>
      <c r="C9" s="45"/>
      <c r="D9" s="45"/>
      <c r="E9" s="45"/>
      <c r="F9" s="45"/>
      <c r="G9" s="45"/>
      <c r="H9" s="45"/>
      <c r="I9" s="45"/>
      <c r="J9" s="45"/>
      <c r="K9" s="45"/>
      <c r="L9" s="45"/>
      <c r="M9" s="46"/>
    </row>
    <row r="10" spans="2:15" ht="15" customHeight="1" x14ac:dyDescent="0.25">
      <c r="B10" s="44"/>
      <c r="C10" s="45"/>
      <c r="D10" s="45"/>
      <c r="E10" s="45"/>
      <c r="F10" s="45"/>
      <c r="G10" s="45"/>
      <c r="H10" s="45"/>
      <c r="I10" s="45"/>
      <c r="J10" s="45"/>
      <c r="K10" s="45"/>
      <c r="L10" s="45"/>
      <c r="M10" s="46"/>
    </row>
    <row r="11" spans="2:15" x14ac:dyDescent="0.25">
      <c r="B11" s="44"/>
      <c r="C11" s="45"/>
      <c r="D11" s="45"/>
      <c r="E11" s="45"/>
      <c r="F11" s="45"/>
      <c r="G11" s="45"/>
      <c r="H11" s="45"/>
      <c r="I11" s="45"/>
      <c r="J11" s="45"/>
      <c r="K11" s="45"/>
      <c r="L11" s="45"/>
      <c r="M11" s="46"/>
    </row>
    <row r="12" spans="2:15" x14ac:dyDescent="0.25">
      <c r="B12" s="9"/>
      <c r="C12" s="10"/>
      <c r="D12" s="10"/>
      <c r="E12" s="10"/>
      <c r="F12" s="10"/>
      <c r="G12" s="10"/>
      <c r="H12" s="10"/>
      <c r="I12" s="10"/>
      <c r="J12" s="10"/>
      <c r="K12" s="10"/>
      <c r="L12" s="10"/>
      <c r="M12" s="11"/>
    </row>
    <row r="13" spans="2:15" x14ac:dyDescent="0.25">
      <c r="B13" s="40" t="s">
        <v>33</v>
      </c>
      <c r="C13" s="10"/>
      <c r="D13" s="10"/>
      <c r="E13" s="10"/>
      <c r="F13" s="10"/>
      <c r="G13" s="10"/>
      <c r="H13" s="10"/>
      <c r="I13" s="10"/>
      <c r="J13" s="10"/>
      <c r="K13" s="10"/>
      <c r="L13" s="10"/>
      <c r="M13" s="11"/>
    </row>
    <row r="14" spans="2:15" x14ac:dyDescent="0.25">
      <c r="B14" s="9"/>
      <c r="C14" s="10"/>
      <c r="D14" s="10"/>
      <c r="E14" s="10"/>
      <c r="F14" s="10"/>
      <c r="G14" s="10"/>
      <c r="H14" s="10"/>
      <c r="I14" s="10"/>
      <c r="J14" s="10"/>
      <c r="K14" s="10"/>
      <c r="L14" s="10"/>
      <c r="M14" s="11"/>
    </row>
    <row r="15" spans="2:15" x14ac:dyDescent="0.25">
      <c r="B15" s="44" t="s">
        <v>54</v>
      </c>
      <c r="C15" s="45"/>
      <c r="D15" s="45"/>
      <c r="E15" s="45"/>
      <c r="F15" s="45"/>
      <c r="G15" s="45"/>
      <c r="H15" s="45"/>
      <c r="I15" s="45"/>
      <c r="J15" s="45"/>
      <c r="K15" s="45"/>
      <c r="L15" s="45"/>
      <c r="M15" s="46"/>
    </row>
    <row r="16" spans="2:15" ht="31.5" customHeight="1" x14ac:dyDescent="0.25">
      <c r="B16" s="44"/>
      <c r="C16" s="45"/>
      <c r="D16" s="45"/>
      <c r="E16" s="45"/>
      <c r="F16" s="45"/>
      <c r="G16" s="45"/>
      <c r="H16" s="45"/>
      <c r="I16" s="45"/>
      <c r="J16" s="45"/>
      <c r="K16" s="45"/>
      <c r="L16" s="45"/>
      <c r="M16" s="46"/>
    </row>
    <row r="17" spans="2:13" x14ac:dyDescent="0.25">
      <c r="B17" s="9"/>
      <c r="C17" s="10"/>
      <c r="D17" s="10"/>
      <c r="E17" s="10"/>
      <c r="F17" s="10"/>
      <c r="G17" s="10"/>
      <c r="H17" s="10"/>
      <c r="I17" s="10"/>
      <c r="J17" s="10"/>
      <c r="K17" s="10"/>
      <c r="L17" s="10"/>
      <c r="M17" s="11"/>
    </row>
    <row r="18" spans="2:13" x14ac:dyDescent="0.25">
      <c r="B18" s="40" t="s">
        <v>37</v>
      </c>
      <c r="C18" s="10"/>
      <c r="D18" s="10"/>
      <c r="E18" s="10"/>
      <c r="F18" s="10"/>
      <c r="G18" s="10"/>
      <c r="H18" s="10"/>
      <c r="I18" s="10"/>
      <c r="J18" s="10"/>
      <c r="K18" s="10"/>
      <c r="L18" s="10"/>
      <c r="M18" s="11"/>
    </row>
    <row r="19" spans="2:13" x14ac:dyDescent="0.25">
      <c r="B19" s="9"/>
      <c r="C19" s="10"/>
      <c r="D19" s="10"/>
      <c r="E19" s="10"/>
      <c r="F19" s="10"/>
      <c r="G19" s="10"/>
      <c r="H19" s="10"/>
      <c r="I19" s="10"/>
      <c r="J19" s="10"/>
      <c r="K19" s="10"/>
      <c r="L19" s="10"/>
      <c r="M19" s="11"/>
    </row>
    <row r="20" spans="2:13" x14ac:dyDescent="0.25">
      <c r="B20" s="41" t="s">
        <v>55</v>
      </c>
      <c r="C20" s="42"/>
      <c r="D20" s="42"/>
      <c r="E20" s="42"/>
      <c r="F20" s="42"/>
      <c r="G20" s="42"/>
      <c r="H20" s="42"/>
      <c r="I20" s="42"/>
      <c r="J20" s="42"/>
      <c r="K20" s="42"/>
      <c r="L20" s="42"/>
      <c r="M20" s="43"/>
    </row>
    <row r="21" spans="2:13" x14ac:dyDescent="0.25">
      <c r="B21" s="41"/>
      <c r="C21" s="42"/>
      <c r="D21" s="42"/>
      <c r="E21" s="42"/>
      <c r="F21" s="42"/>
      <c r="G21" s="42"/>
      <c r="H21" s="42"/>
      <c r="I21" s="42"/>
      <c r="J21" s="42"/>
      <c r="K21" s="42"/>
      <c r="L21" s="42"/>
      <c r="M21" s="43"/>
    </row>
    <row r="22" spans="2:13" x14ac:dyDescent="0.25">
      <c r="B22" s="9"/>
      <c r="C22" s="10"/>
      <c r="D22" s="10"/>
      <c r="E22" s="10"/>
      <c r="F22" s="10"/>
      <c r="G22" s="10"/>
      <c r="H22" s="10"/>
      <c r="I22" s="10"/>
      <c r="J22" s="10"/>
      <c r="K22" s="10"/>
      <c r="L22" s="10"/>
      <c r="M22" s="11"/>
    </row>
    <row r="23" spans="2:13" x14ac:dyDescent="0.25">
      <c r="B23" s="40" t="s">
        <v>52</v>
      </c>
      <c r="C23" s="10"/>
      <c r="D23" s="10"/>
      <c r="E23" s="10"/>
      <c r="F23" s="10"/>
      <c r="G23" s="10"/>
      <c r="H23" s="10"/>
      <c r="I23" s="10"/>
      <c r="J23" s="10"/>
      <c r="K23" s="10"/>
      <c r="L23" s="10"/>
      <c r="M23" s="11"/>
    </row>
    <row r="24" spans="2:13" x14ac:dyDescent="0.25">
      <c r="B24" s="9"/>
      <c r="C24" s="10"/>
      <c r="D24" s="10"/>
      <c r="E24" s="10"/>
      <c r="F24" s="10"/>
      <c r="G24" s="10"/>
      <c r="H24" s="10"/>
      <c r="I24" s="10"/>
      <c r="J24" s="10"/>
      <c r="K24" s="10"/>
      <c r="L24" s="10"/>
      <c r="M24" s="11"/>
    </row>
    <row r="25" spans="2:13" x14ac:dyDescent="0.25">
      <c r="B25" s="41" t="s">
        <v>38</v>
      </c>
      <c r="C25" s="42"/>
      <c r="D25" s="42"/>
      <c r="E25" s="42"/>
      <c r="F25" s="42"/>
      <c r="G25" s="42"/>
      <c r="H25" s="42"/>
      <c r="I25" s="42"/>
      <c r="J25" s="42"/>
      <c r="K25" s="42"/>
      <c r="L25" s="42"/>
      <c r="M25" s="43"/>
    </row>
    <row r="26" spans="2:13" x14ac:dyDescent="0.25">
      <c r="B26" s="41"/>
      <c r="C26" s="42"/>
      <c r="D26" s="42"/>
      <c r="E26" s="42"/>
      <c r="F26" s="42"/>
      <c r="G26" s="42"/>
      <c r="H26" s="42"/>
      <c r="I26" s="42"/>
      <c r="J26" s="42"/>
      <c r="K26" s="42"/>
      <c r="L26" s="42"/>
      <c r="M26" s="43"/>
    </row>
    <row r="27" spans="2:13" x14ac:dyDescent="0.25">
      <c r="B27" s="9"/>
      <c r="C27" s="10"/>
      <c r="D27" s="10"/>
      <c r="E27" s="10"/>
      <c r="F27" s="10"/>
      <c r="G27" s="10"/>
      <c r="H27" s="10"/>
      <c r="I27" s="10"/>
      <c r="J27" s="10"/>
      <c r="K27" s="10"/>
      <c r="L27" s="10"/>
      <c r="M27" s="11"/>
    </row>
    <row r="28" spans="2:13" x14ac:dyDescent="0.25">
      <c r="B28" s="41" t="s">
        <v>53</v>
      </c>
      <c r="C28" s="42"/>
      <c r="D28" s="42"/>
      <c r="E28" s="42"/>
      <c r="F28" s="42"/>
      <c r="G28" s="42"/>
      <c r="H28" s="42"/>
      <c r="I28" s="42"/>
      <c r="J28" s="42"/>
      <c r="K28" s="42"/>
      <c r="L28" s="42"/>
      <c r="M28" s="43"/>
    </row>
    <row r="29" spans="2:13" x14ac:dyDescent="0.25">
      <c r="B29" s="41"/>
      <c r="C29" s="42"/>
      <c r="D29" s="42"/>
      <c r="E29" s="42"/>
      <c r="F29" s="42"/>
      <c r="G29" s="42"/>
      <c r="H29" s="42"/>
      <c r="I29" s="42"/>
      <c r="J29" s="42"/>
      <c r="K29" s="42"/>
      <c r="L29" s="42"/>
      <c r="M29" s="43"/>
    </row>
    <row r="30" spans="2:13" x14ac:dyDescent="0.25">
      <c r="B30" s="9"/>
      <c r="C30" s="10"/>
      <c r="D30" s="10"/>
      <c r="E30" s="10"/>
      <c r="F30" s="10"/>
      <c r="G30" s="10"/>
      <c r="H30" s="10"/>
      <c r="I30" s="10"/>
      <c r="J30" s="10"/>
      <c r="K30" s="10"/>
      <c r="L30" s="10"/>
      <c r="M30" s="11"/>
    </row>
    <row r="31" spans="2:13" x14ac:dyDescent="0.25">
      <c r="B31" s="9" t="s">
        <v>60</v>
      </c>
      <c r="C31" s="10"/>
      <c r="D31" s="10"/>
      <c r="E31" s="10"/>
      <c r="F31" s="10"/>
      <c r="G31" s="10"/>
      <c r="H31" s="10"/>
      <c r="I31" s="10"/>
      <c r="J31" s="10"/>
      <c r="K31" s="10"/>
      <c r="L31" s="10"/>
      <c r="M31" s="11"/>
    </row>
    <row r="32" spans="2:13" x14ac:dyDescent="0.25">
      <c r="B32" s="9"/>
      <c r="C32" s="10"/>
      <c r="D32" s="10"/>
      <c r="E32" s="10"/>
      <c r="F32" s="10"/>
      <c r="G32" s="10"/>
      <c r="H32" s="10"/>
      <c r="I32" s="10"/>
      <c r="J32" s="10"/>
      <c r="K32" s="10"/>
      <c r="L32" s="10"/>
      <c r="M32" s="11"/>
    </row>
    <row r="33" spans="2:13" x14ac:dyDescent="0.25">
      <c r="B33" s="9"/>
      <c r="C33" s="10"/>
      <c r="D33" s="10"/>
      <c r="E33" s="10"/>
      <c r="F33" s="10"/>
      <c r="G33" s="10"/>
      <c r="H33" s="10"/>
      <c r="I33" s="10"/>
      <c r="J33" s="10"/>
      <c r="K33" s="10"/>
      <c r="L33" s="10"/>
      <c r="M33" s="11"/>
    </row>
    <row r="34" spans="2:13" ht="15.75" thickBot="1" x14ac:dyDescent="0.3">
      <c r="B34" s="12"/>
      <c r="C34" s="13"/>
      <c r="D34" s="13"/>
      <c r="E34" s="13"/>
      <c r="F34" s="13"/>
      <c r="G34" s="13"/>
      <c r="H34" s="13"/>
      <c r="I34" s="13"/>
      <c r="J34" s="13"/>
      <c r="K34" s="13"/>
      <c r="L34" s="13"/>
      <c r="M34" s="14"/>
    </row>
  </sheetData>
  <mergeCells count="6">
    <mergeCell ref="B4:M4"/>
    <mergeCell ref="B25:M26"/>
    <mergeCell ref="B28:M29"/>
    <mergeCell ref="B15:M16"/>
    <mergeCell ref="B20:M21"/>
    <mergeCell ref="B8:M1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6600-3FB6-44C4-9ADE-641E4296A249}">
  <dimension ref="A2:BA24"/>
  <sheetViews>
    <sheetView tabSelected="1" workbookViewId="0">
      <selection activeCell="B16" sqref="B16"/>
    </sheetView>
  </sheetViews>
  <sheetFormatPr defaultRowHeight="15" x14ac:dyDescent="0.25"/>
  <cols>
    <col min="2" max="2" width="14.140625" bestFit="1" customWidth="1"/>
    <col min="3" max="3" width="7.28515625" bestFit="1" customWidth="1"/>
    <col min="4" max="4" width="10.5703125" bestFit="1" customWidth="1"/>
    <col min="5" max="6" width="11.140625" bestFit="1" customWidth="1"/>
    <col min="7" max="16" width="12.140625" bestFit="1" customWidth="1"/>
  </cols>
  <sheetData>
    <row r="2" spans="1:53" ht="15.75" thickBot="1" x14ac:dyDescent="0.3"/>
    <row r="3" spans="1:53" ht="15.75" thickBot="1" x14ac:dyDescent="0.3">
      <c r="B3" s="50" t="s">
        <v>0</v>
      </c>
      <c r="C3" s="48"/>
      <c r="D3" s="16">
        <v>1000</v>
      </c>
      <c r="E3" s="47" t="s">
        <v>1</v>
      </c>
      <c r="F3" s="48"/>
      <c r="G3" s="18">
        <v>25</v>
      </c>
      <c r="H3" s="48" t="s">
        <v>2</v>
      </c>
      <c r="I3" s="48"/>
      <c r="J3" s="16">
        <v>400</v>
      </c>
      <c r="K3" s="47" t="s">
        <v>3</v>
      </c>
      <c r="L3" s="48"/>
      <c r="M3" s="18">
        <v>0</v>
      </c>
      <c r="N3" s="48" t="s">
        <v>4</v>
      </c>
      <c r="O3" s="48"/>
      <c r="P3" s="16">
        <v>0</v>
      </c>
      <c r="Q3" s="47" t="s">
        <v>5</v>
      </c>
      <c r="R3" s="48"/>
      <c r="S3" s="17">
        <v>0</v>
      </c>
    </row>
    <row r="6" spans="1:53" s="2" customFormat="1" x14ac:dyDescent="0.25">
      <c r="C6" s="3">
        <v>43160</v>
      </c>
      <c r="D6" s="3">
        <v>43191</v>
      </c>
      <c r="E6" s="3">
        <v>43221</v>
      </c>
      <c r="F6" s="3">
        <v>43252</v>
      </c>
      <c r="G6" s="3">
        <v>43282</v>
      </c>
      <c r="H6" s="3">
        <v>43313</v>
      </c>
      <c r="I6" s="3">
        <v>43344</v>
      </c>
      <c r="J6" s="3">
        <v>43374</v>
      </c>
      <c r="K6" s="3">
        <v>43405</v>
      </c>
      <c r="L6" s="3">
        <v>43435</v>
      </c>
      <c r="M6" s="3">
        <v>43466</v>
      </c>
      <c r="N6" s="3">
        <v>43497</v>
      </c>
      <c r="O6" s="3">
        <v>43525</v>
      </c>
      <c r="P6" s="3">
        <v>43556</v>
      </c>
      <c r="Q6" s="3">
        <v>43586</v>
      </c>
      <c r="R6" s="3">
        <v>43617</v>
      </c>
      <c r="S6" s="3">
        <v>43647</v>
      </c>
      <c r="T6" s="3">
        <v>43678</v>
      </c>
      <c r="U6" s="3">
        <v>43709</v>
      </c>
      <c r="V6" s="3">
        <v>43739</v>
      </c>
      <c r="W6" s="3">
        <v>43770</v>
      </c>
      <c r="X6" s="3">
        <v>43800</v>
      </c>
      <c r="Y6" s="3">
        <v>43831</v>
      </c>
      <c r="Z6" s="3">
        <v>43862</v>
      </c>
      <c r="AA6" s="3">
        <v>43891</v>
      </c>
      <c r="AB6" s="3">
        <v>43922</v>
      </c>
      <c r="AC6" s="3">
        <v>43952</v>
      </c>
      <c r="AD6" s="3">
        <v>43983</v>
      </c>
      <c r="AE6" s="3">
        <v>44013</v>
      </c>
      <c r="AF6" s="3">
        <v>44044</v>
      </c>
      <c r="AG6" s="3">
        <v>44075</v>
      </c>
      <c r="AH6" s="3">
        <v>44105</v>
      </c>
      <c r="AI6" s="3">
        <v>44136</v>
      </c>
      <c r="AJ6" s="3">
        <v>44166</v>
      </c>
      <c r="AK6" s="3">
        <v>44197</v>
      </c>
      <c r="AL6" s="3">
        <v>44228</v>
      </c>
      <c r="AM6" s="3">
        <v>44256</v>
      </c>
      <c r="AN6" s="3">
        <v>44287</v>
      </c>
      <c r="AO6" s="3">
        <v>44317</v>
      </c>
      <c r="AP6" s="3">
        <v>44348</v>
      </c>
      <c r="AQ6" s="3">
        <v>44378</v>
      </c>
      <c r="AR6" s="3">
        <v>44409</v>
      </c>
      <c r="AS6" s="3">
        <v>44440</v>
      </c>
      <c r="AT6" s="3">
        <v>44470</v>
      </c>
      <c r="AU6" s="3">
        <v>44501</v>
      </c>
      <c r="AV6" s="3">
        <v>44531</v>
      </c>
      <c r="AW6" s="3"/>
      <c r="AX6" s="3"/>
      <c r="AY6" s="3"/>
      <c r="AZ6" s="3"/>
      <c r="BA6" s="3"/>
    </row>
    <row r="7" spans="1:53" x14ac:dyDescent="0.25">
      <c r="A7" s="49" t="s">
        <v>18</v>
      </c>
      <c r="B7" s="5" t="s">
        <v>9</v>
      </c>
      <c r="E7">
        <v>4</v>
      </c>
      <c r="F7">
        <v>4</v>
      </c>
      <c r="G7">
        <v>4</v>
      </c>
      <c r="H7">
        <v>5</v>
      </c>
    </row>
    <row r="8" spans="1:53" x14ac:dyDescent="0.25">
      <c r="A8" s="49"/>
      <c r="B8" s="5" t="s">
        <v>10</v>
      </c>
      <c r="E8">
        <v>4</v>
      </c>
      <c r="F8">
        <v>8</v>
      </c>
      <c r="G8">
        <v>12</v>
      </c>
      <c r="H8">
        <v>17</v>
      </c>
      <c r="I8">
        <v>17</v>
      </c>
      <c r="J8">
        <v>17</v>
      </c>
      <c r="K8">
        <v>17</v>
      </c>
      <c r="L8">
        <v>17</v>
      </c>
      <c r="M8">
        <v>17</v>
      </c>
      <c r="N8">
        <v>17</v>
      </c>
      <c r="O8">
        <v>17</v>
      </c>
      <c r="P8">
        <v>17</v>
      </c>
      <c r="Q8">
        <v>17</v>
      </c>
      <c r="R8">
        <v>17</v>
      </c>
      <c r="S8">
        <v>17</v>
      </c>
      <c r="T8">
        <v>17</v>
      </c>
      <c r="U8">
        <v>17</v>
      </c>
      <c r="V8">
        <v>17</v>
      </c>
      <c r="W8">
        <v>17</v>
      </c>
      <c r="X8">
        <v>17</v>
      </c>
      <c r="Y8">
        <v>17</v>
      </c>
      <c r="Z8">
        <v>17</v>
      </c>
      <c r="AA8">
        <v>17</v>
      </c>
      <c r="AB8">
        <v>17</v>
      </c>
      <c r="AC8">
        <v>17</v>
      </c>
      <c r="AD8">
        <v>17</v>
      </c>
      <c r="AE8">
        <v>17</v>
      </c>
      <c r="AF8">
        <v>17</v>
      </c>
      <c r="AG8">
        <v>17</v>
      </c>
      <c r="AH8">
        <v>17</v>
      </c>
      <c r="AI8">
        <v>17</v>
      </c>
      <c r="AJ8">
        <v>17</v>
      </c>
      <c r="AK8">
        <v>17</v>
      </c>
      <c r="AL8">
        <v>17</v>
      </c>
      <c r="AM8">
        <v>17</v>
      </c>
      <c r="AN8">
        <v>17</v>
      </c>
      <c r="AO8">
        <v>17</v>
      </c>
      <c r="AP8">
        <v>17</v>
      </c>
      <c r="AQ8">
        <v>17</v>
      </c>
      <c r="AR8">
        <v>17</v>
      </c>
      <c r="AS8">
        <v>17</v>
      </c>
      <c r="AT8">
        <v>17</v>
      </c>
      <c r="AU8">
        <v>17</v>
      </c>
      <c r="AV8">
        <v>17</v>
      </c>
    </row>
    <row r="9" spans="1:53" x14ac:dyDescent="0.25">
      <c r="A9" s="49"/>
      <c r="B9" s="5" t="s">
        <v>11</v>
      </c>
      <c r="I9">
        <v>1</v>
      </c>
      <c r="M9">
        <v>1</v>
      </c>
      <c r="P9">
        <v>2</v>
      </c>
      <c r="Q9">
        <v>2</v>
      </c>
      <c r="R9">
        <v>2</v>
      </c>
      <c r="S9">
        <v>2</v>
      </c>
      <c r="T9">
        <v>2</v>
      </c>
      <c r="U9">
        <v>2</v>
      </c>
      <c r="V9">
        <v>2</v>
      </c>
      <c r="W9">
        <v>2</v>
      </c>
      <c r="X9">
        <v>2</v>
      </c>
      <c r="Y9">
        <v>2</v>
      </c>
      <c r="Z9">
        <v>2</v>
      </c>
      <c r="AA9">
        <v>2</v>
      </c>
      <c r="AB9">
        <v>2</v>
      </c>
      <c r="AC9">
        <v>2</v>
      </c>
      <c r="AD9">
        <v>2</v>
      </c>
      <c r="AE9">
        <v>2</v>
      </c>
      <c r="AF9">
        <v>2</v>
      </c>
      <c r="AG9">
        <v>2</v>
      </c>
      <c r="AH9">
        <v>2</v>
      </c>
      <c r="AI9">
        <v>2</v>
      </c>
      <c r="AJ9">
        <v>2</v>
      </c>
      <c r="AK9">
        <v>2</v>
      </c>
      <c r="AL9">
        <v>2</v>
      </c>
      <c r="AM9">
        <v>2</v>
      </c>
      <c r="AN9">
        <v>2</v>
      </c>
      <c r="AO9">
        <v>2</v>
      </c>
      <c r="AP9">
        <v>2</v>
      </c>
      <c r="AQ9">
        <v>2</v>
      </c>
      <c r="AR9">
        <v>2</v>
      </c>
      <c r="AS9">
        <v>2</v>
      </c>
      <c r="AT9">
        <v>2</v>
      </c>
      <c r="AU9">
        <v>2</v>
      </c>
      <c r="AV9">
        <v>2</v>
      </c>
    </row>
    <row r="10" spans="1:53" x14ac:dyDescent="0.25">
      <c r="A10" s="49"/>
      <c r="B10" s="5" t="s">
        <v>12</v>
      </c>
    </row>
    <row r="11" spans="1:53" x14ac:dyDescent="0.25">
      <c r="A11" s="49"/>
      <c r="B11" s="5" t="s">
        <v>13</v>
      </c>
    </row>
    <row r="12" spans="1:53" x14ac:dyDescent="0.25">
      <c r="A12" s="49"/>
      <c r="B12" s="5" t="s">
        <v>14</v>
      </c>
    </row>
    <row r="13" spans="1:53" x14ac:dyDescent="0.25">
      <c r="A13" s="1"/>
      <c r="B13" s="5"/>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row>
    <row r="14" spans="1:53" x14ac:dyDescent="0.25">
      <c r="A14" s="1"/>
      <c r="B14" s="5"/>
    </row>
    <row r="15" spans="1:53" s="2" customFormat="1" x14ac:dyDescent="0.25">
      <c r="B15" s="2" t="s">
        <v>35</v>
      </c>
      <c r="C15" s="3">
        <f>C6</f>
        <v>43160</v>
      </c>
      <c r="D15" s="3">
        <f t="shared" ref="D15:P15" si="0">D6</f>
        <v>43191</v>
      </c>
      <c r="E15" s="3">
        <f t="shared" si="0"/>
        <v>43221</v>
      </c>
      <c r="F15" s="3">
        <f t="shared" si="0"/>
        <v>43252</v>
      </c>
      <c r="G15" s="3">
        <f t="shared" si="0"/>
        <v>43282</v>
      </c>
      <c r="H15" s="3">
        <f t="shared" si="0"/>
        <v>43313</v>
      </c>
      <c r="I15" s="3">
        <f t="shared" si="0"/>
        <v>43344</v>
      </c>
      <c r="J15" s="3">
        <f t="shared" si="0"/>
        <v>43374</v>
      </c>
      <c r="K15" s="3">
        <f t="shared" si="0"/>
        <v>43405</v>
      </c>
      <c r="L15" s="3">
        <f t="shared" si="0"/>
        <v>43435</v>
      </c>
      <c r="M15" s="3">
        <f t="shared" si="0"/>
        <v>43466</v>
      </c>
      <c r="N15" s="3">
        <f t="shared" si="0"/>
        <v>43497</v>
      </c>
      <c r="O15" s="3">
        <f t="shared" si="0"/>
        <v>43525</v>
      </c>
      <c r="P15" s="3">
        <f t="shared" si="0"/>
        <v>43556</v>
      </c>
      <c r="Q15" s="3">
        <f t="shared" ref="Q15:AJ15" si="1">Q6</f>
        <v>43586</v>
      </c>
      <c r="R15" s="3">
        <f t="shared" si="1"/>
        <v>43617</v>
      </c>
      <c r="S15" s="3">
        <f t="shared" si="1"/>
        <v>43647</v>
      </c>
      <c r="T15" s="3">
        <f t="shared" si="1"/>
        <v>43678</v>
      </c>
      <c r="U15" s="3">
        <f t="shared" si="1"/>
        <v>43709</v>
      </c>
      <c r="V15" s="3">
        <f t="shared" si="1"/>
        <v>43739</v>
      </c>
      <c r="W15" s="3">
        <f t="shared" si="1"/>
        <v>43770</v>
      </c>
      <c r="X15" s="3">
        <f t="shared" si="1"/>
        <v>43800</v>
      </c>
      <c r="Y15" s="3">
        <f t="shared" si="1"/>
        <v>43831</v>
      </c>
      <c r="Z15" s="3">
        <f t="shared" si="1"/>
        <v>43862</v>
      </c>
      <c r="AA15" s="3">
        <f t="shared" si="1"/>
        <v>43891</v>
      </c>
      <c r="AB15" s="3">
        <f t="shared" si="1"/>
        <v>43922</v>
      </c>
      <c r="AC15" s="3">
        <f t="shared" si="1"/>
        <v>43952</v>
      </c>
      <c r="AD15" s="3">
        <f t="shared" si="1"/>
        <v>43983</v>
      </c>
      <c r="AE15" s="3">
        <f t="shared" si="1"/>
        <v>44013</v>
      </c>
      <c r="AF15" s="3">
        <f t="shared" si="1"/>
        <v>44044</v>
      </c>
      <c r="AG15" s="3">
        <f t="shared" si="1"/>
        <v>44075</v>
      </c>
      <c r="AH15" s="3">
        <f t="shared" si="1"/>
        <v>44105</v>
      </c>
      <c r="AI15" s="3">
        <f t="shared" si="1"/>
        <v>44136</v>
      </c>
      <c r="AJ15" s="3">
        <f t="shared" si="1"/>
        <v>44166</v>
      </c>
      <c r="AK15" s="3">
        <f t="shared" ref="AK15:AV15" si="2">AK6</f>
        <v>44197</v>
      </c>
      <c r="AL15" s="3">
        <f t="shared" si="2"/>
        <v>44228</v>
      </c>
      <c r="AM15" s="3">
        <f t="shared" si="2"/>
        <v>44256</v>
      </c>
      <c r="AN15" s="3">
        <f t="shared" si="2"/>
        <v>44287</v>
      </c>
      <c r="AO15" s="3">
        <f t="shared" si="2"/>
        <v>44317</v>
      </c>
      <c r="AP15" s="3">
        <f t="shared" si="2"/>
        <v>44348</v>
      </c>
      <c r="AQ15" s="3">
        <f t="shared" si="2"/>
        <v>44378</v>
      </c>
      <c r="AR15" s="3">
        <f t="shared" si="2"/>
        <v>44409</v>
      </c>
      <c r="AS15" s="3">
        <f t="shared" si="2"/>
        <v>44440</v>
      </c>
      <c r="AT15" s="3">
        <f t="shared" si="2"/>
        <v>44470</v>
      </c>
      <c r="AU15" s="3">
        <f t="shared" si="2"/>
        <v>44501</v>
      </c>
      <c r="AV15" s="3">
        <f t="shared" si="2"/>
        <v>44531</v>
      </c>
      <c r="AW15" s="3"/>
      <c r="AX15" s="3"/>
      <c r="AY15" s="3"/>
      <c r="AZ15" s="3"/>
      <c r="BA15" s="3"/>
    </row>
    <row r="16" spans="1:53" x14ac:dyDescent="0.25">
      <c r="A16" s="49" t="s">
        <v>19</v>
      </c>
      <c r="B16" s="5" t="s">
        <v>57</v>
      </c>
      <c r="C16" s="4">
        <f>C7*$D$3</f>
        <v>0</v>
      </c>
      <c r="D16" s="4">
        <f t="shared" ref="D16:P16" si="3">D7*$D$3</f>
        <v>0</v>
      </c>
      <c r="E16" s="4">
        <f t="shared" si="3"/>
        <v>4000</v>
      </c>
      <c r="F16" s="4">
        <f t="shared" si="3"/>
        <v>4000</v>
      </c>
      <c r="G16" s="4">
        <f t="shared" si="3"/>
        <v>4000</v>
      </c>
      <c r="H16" s="4">
        <f t="shared" si="3"/>
        <v>5000</v>
      </c>
      <c r="I16" s="4">
        <f t="shared" si="3"/>
        <v>0</v>
      </c>
      <c r="J16" s="4">
        <f t="shared" si="3"/>
        <v>0</v>
      </c>
      <c r="K16" s="4">
        <f t="shared" si="3"/>
        <v>0</v>
      </c>
      <c r="L16" s="4">
        <f t="shared" si="3"/>
        <v>0</v>
      </c>
      <c r="M16" s="4">
        <f t="shared" si="3"/>
        <v>0</v>
      </c>
      <c r="N16" s="4">
        <f t="shared" si="3"/>
        <v>0</v>
      </c>
      <c r="O16" s="4">
        <f t="shared" si="3"/>
        <v>0</v>
      </c>
      <c r="P16" s="4">
        <f t="shared" si="3"/>
        <v>0</v>
      </c>
      <c r="Q16" s="4">
        <f t="shared" ref="Q16:AJ16" si="4">Q7*$D$3</f>
        <v>0</v>
      </c>
      <c r="R16" s="4">
        <f t="shared" si="4"/>
        <v>0</v>
      </c>
      <c r="S16" s="4">
        <f t="shared" si="4"/>
        <v>0</v>
      </c>
      <c r="T16" s="4">
        <f t="shared" si="4"/>
        <v>0</v>
      </c>
      <c r="U16" s="4">
        <f t="shared" si="4"/>
        <v>0</v>
      </c>
      <c r="V16" s="4">
        <f t="shared" si="4"/>
        <v>0</v>
      </c>
      <c r="W16" s="4">
        <f t="shared" si="4"/>
        <v>0</v>
      </c>
      <c r="X16" s="4">
        <f t="shared" si="4"/>
        <v>0</v>
      </c>
      <c r="Y16" s="4">
        <f t="shared" si="4"/>
        <v>0</v>
      </c>
      <c r="Z16" s="4">
        <f t="shared" si="4"/>
        <v>0</v>
      </c>
      <c r="AA16" s="4">
        <f t="shared" si="4"/>
        <v>0</v>
      </c>
      <c r="AB16" s="4">
        <f t="shared" si="4"/>
        <v>0</v>
      </c>
      <c r="AC16" s="4">
        <f t="shared" si="4"/>
        <v>0</v>
      </c>
      <c r="AD16" s="4">
        <f t="shared" si="4"/>
        <v>0</v>
      </c>
      <c r="AE16" s="4">
        <f t="shared" si="4"/>
        <v>0</v>
      </c>
      <c r="AF16" s="4">
        <f t="shared" si="4"/>
        <v>0</v>
      </c>
      <c r="AG16" s="4">
        <f t="shared" si="4"/>
        <v>0</v>
      </c>
      <c r="AH16" s="4">
        <f t="shared" si="4"/>
        <v>0</v>
      </c>
      <c r="AI16" s="4">
        <f t="shared" si="4"/>
        <v>0</v>
      </c>
      <c r="AJ16" s="4">
        <f t="shared" si="4"/>
        <v>0</v>
      </c>
      <c r="AK16" s="4">
        <f t="shared" ref="AK16:AV16" si="5">AK7*$D$3</f>
        <v>0</v>
      </c>
      <c r="AL16" s="4">
        <f t="shared" si="5"/>
        <v>0</v>
      </c>
      <c r="AM16" s="4">
        <f t="shared" si="5"/>
        <v>0</v>
      </c>
      <c r="AN16" s="4">
        <f t="shared" si="5"/>
        <v>0</v>
      </c>
      <c r="AO16" s="4">
        <f t="shared" si="5"/>
        <v>0</v>
      </c>
      <c r="AP16" s="4">
        <f t="shared" si="5"/>
        <v>0</v>
      </c>
      <c r="AQ16" s="4">
        <f t="shared" si="5"/>
        <v>0</v>
      </c>
      <c r="AR16" s="4">
        <f t="shared" si="5"/>
        <v>0</v>
      </c>
      <c r="AS16" s="4">
        <f t="shared" si="5"/>
        <v>0</v>
      </c>
      <c r="AT16" s="4">
        <f t="shared" si="5"/>
        <v>0</v>
      </c>
      <c r="AU16" s="4">
        <f t="shared" si="5"/>
        <v>0</v>
      </c>
      <c r="AV16" s="4">
        <f t="shared" si="5"/>
        <v>0</v>
      </c>
      <c r="AW16" s="4"/>
      <c r="AX16" s="4"/>
      <c r="AY16" s="4"/>
      <c r="AZ16" s="4"/>
      <c r="BA16" s="4"/>
    </row>
    <row r="17" spans="1:53" x14ac:dyDescent="0.25">
      <c r="A17" s="49"/>
      <c r="B17" s="5" t="s">
        <v>58</v>
      </c>
      <c r="C17" s="4">
        <f>C8*$G$3</f>
        <v>0</v>
      </c>
      <c r="D17" s="4">
        <f t="shared" ref="D17:P17" si="6">D8*$G$3</f>
        <v>0</v>
      </c>
      <c r="E17" s="4">
        <f t="shared" si="6"/>
        <v>100</v>
      </c>
      <c r="F17" s="4">
        <f t="shared" si="6"/>
        <v>200</v>
      </c>
      <c r="G17" s="4">
        <f t="shared" si="6"/>
        <v>300</v>
      </c>
      <c r="H17" s="4">
        <f t="shared" si="6"/>
        <v>425</v>
      </c>
      <c r="I17" s="4">
        <f t="shared" si="6"/>
        <v>425</v>
      </c>
      <c r="J17" s="4">
        <f t="shared" si="6"/>
        <v>425</v>
      </c>
      <c r="K17" s="4">
        <f t="shared" si="6"/>
        <v>425</v>
      </c>
      <c r="L17" s="4">
        <f t="shared" si="6"/>
        <v>425</v>
      </c>
      <c r="M17" s="4">
        <f t="shared" si="6"/>
        <v>425</v>
      </c>
      <c r="N17" s="4">
        <f t="shared" si="6"/>
        <v>425</v>
      </c>
      <c r="O17" s="4">
        <f t="shared" si="6"/>
        <v>425</v>
      </c>
      <c r="P17" s="4">
        <f t="shared" si="6"/>
        <v>425</v>
      </c>
      <c r="Q17" s="4">
        <f t="shared" ref="Q17:AJ17" si="7">Q8*$G$3</f>
        <v>425</v>
      </c>
      <c r="R17" s="4">
        <f t="shared" si="7"/>
        <v>425</v>
      </c>
      <c r="S17" s="4">
        <f t="shared" si="7"/>
        <v>425</v>
      </c>
      <c r="T17" s="4">
        <f t="shared" si="7"/>
        <v>425</v>
      </c>
      <c r="U17" s="4">
        <f t="shared" si="7"/>
        <v>425</v>
      </c>
      <c r="V17" s="4">
        <f t="shared" si="7"/>
        <v>425</v>
      </c>
      <c r="W17" s="4">
        <f t="shared" si="7"/>
        <v>425</v>
      </c>
      <c r="X17" s="4">
        <f t="shared" si="7"/>
        <v>425</v>
      </c>
      <c r="Y17" s="4">
        <f t="shared" si="7"/>
        <v>425</v>
      </c>
      <c r="Z17" s="4">
        <f t="shared" si="7"/>
        <v>425</v>
      </c>
      <c r="AA17" s="4">
        <f t="shared" si="7"/>
        <v>425</v>
      </c>
      <c r="AB17" s="4">
        <f t="shared" si="7"/>
        <v>425</v>
      </c>
      <c r="AC17" s="4">
        <f t="shared" si="7"/>
        <v>425</v>
      </c>
      <c r="AD17" s="4">
        <f t="shared" si="7"/>
        <v>425</v>
      </c>
      <c r="AE17" s="4">
        <f t="shared" si="7"/>
        <v>425</v>
      </c>
      <c r="AF17" s="4">
        <f t="shared" si="7"/>
        <v>425</v>
      </c>
      <c r="AG17" s="4">
        <f t="shared" si="7"/>
        <v>425</v>
      </c>
      <c r="AH17" s="4">
        <f t="shared" si="7"/>
        <v>425</v>
      </c>
      <c r="AI17" s="4">
        <f t="shared" si="7"/>
        <v>425</v>
      </c>
      <c r="AJ17" s="4">
        <f t="shared" si="7"/>
        <v>425</v>
      </c>
      <c r="AK17" s="4">
        <f t="shared" ref="AK17:AV17" si="8">AK8*$G$3</f>
        <v>425</v>
      </c>
      <c r="AL17" s="4">
        <f t="shared" si="8"/>
        <v>425</v>
      </c>
      <c r="AM17" s="4">
        <f t="shared" si="8"/>
        <v>425</v>
      </c>
      <c r="AN17" s="4">
        <f t="shared" si="8"/>
        <v>425</v>
      </c>
      <c r="AO17" s="4">
        <f t="shared" si="8"/>
        <v>425</v>
      </c>
      <c r="AP17" s="4">
        <f t="shared" si="8"/>
        <v>425</v>
      </c>
      <c r="AQ17" s="4">
        <f t="shared" si="8"/>
        <v>425</v>
      </c>
      <c r="AR17" s="4">
        <f t="shared" si="8"/>
        <v>425</v>
      </c>
      <c r="AS17" s="4">
        <f t="shared" si="8"/>
        <v>425</v>
      </c>
      <c r="AT17" s="4">
        <f t="shared" si="8"/>
        <v>425</v>
      </c>
      <c r="AU17" s="4">
        <f t="shared" si="8"/>
        <v>425</v>
      </c>
      <c r="AV17" s="4">
        <f t="shared" si="8"/>
        <v>425</v>
      </c>
      <c r="AW17" s="4"/>
      <c r="AX17" s="4"/>
      <c r="AY17" s="4"/>
      <c r="AZ17" s="4"/>
      <c r="BA17" s="4"/>
    </row>
    <row r="18" spans="1:53" x14ac:dyDescent="0.25">
      <c r="A18" s="49"/>
      <c r="B18" s="5" t="s">
        <v>59</v>
      </c>
      <c r="C18" s="4">
        <f>C9*$J$3</f>
        <v>0</v>
      </c>
      <c r="D18" s="4">
        <f t="shared" ref="D18:P18" si="9">D9*$J$3</f>
        <v>0</v>
      </c>
      <c r="E18" s="4">
        <f t="shared" si="9"/>
        <v>0</v>
      </c>
      <c r="F18" s="4">
        <f t="shared" si="9"/>
        <v>0</v>
      </c>
      <c r="G18" s="4">
        <f t="shared" si="9"/>
        <v>0</v>
      </c>
      <c r="H18" s="4">
        <f t="shared" si="9"/>
        <v>0</v>
      </c>
      <c r="I18" s="4">
        <f t="shared" si="9"/>
        <v>400</v>
      </c>
      <c r="J18" s="4">
        <f t="shared" si="9"/>
        <v>0</v>
      </c>
      <c r="K18" s="4">
        <f t="shared" si="9"/>
        <v>0</v>
      </c>
      <c r="L18" s="4">
        <f t="shared" si="9"/>
        <v>0</v>
      </c>
      <c r="M18" s="4">
        <f t="shared" si="9"/>
        <v>400</v>
      </c>
      <c r="N18" s="4">
        <f t="shared" si="9"/>
        <v>0</v>
      </c>
      <c r="O18" s="4">
        <f t="shared" si="9"/>
        <v>0</v>
      </c>
      <c r="P18" s="4">
        <f t="shared" si="9"/>
        <v>800</v>
      </c>
      <c r="Q18" s="4">
        <f t="shared" ref="Q18:AJ18" si="10">Q9*$J$3</f>
        <v>800</v>
      </c>
      <c r="R18" s="4">
        <f t="shared" si="10"/>
        <v>800</v>
      </c>
      <c r="S18" s="4">
        <f t="shared" si="10"/>
        <v>800</v>
      </c>
      <c r="T18" s="4">
        <f t="shared" si="10"/>
        <v>800</v>
      </c>
      <c r="U18" s="4">
        <f t="shared" si="10"/>
        <v>800</v>
      </c>
      <c r="V18" s="4">
        <f t="shared" si="10"/>
        <v>800</v>
      </c>
      <c r="W18" s="4">
        <f t="shared" si="10"/>
        <v>800</v>
      </c>
      <c r="X18" s="4">
        <f t="shared" si="10"/>
        <v>800</v>
      </c>
      <c r="Y18" s="4">
        <f t="shared" si="10"/>
        <v>800</v>
      </c>
      <c r="Z18" s="4">
        <f t="shared" si="10"/>
        <v>800</v>
      </c>
      <c r="AA18" s="4">
        <f t="shared" si="10"/>
        <v>800</v>
      </c>
      <c r="AB18" s="4">
        <f t="shared" si="10"/>
        <v>800</v>
      </c>
      <c r="AC18" s="4">
        <f t="shared" si="10"/>
        <v>800</v>
      </c>
      <c r="AD18" s="4">
        <f t="shared" si="10"/>
        <v>800</v>
      </c>
      <c r="AE18" s="4">
        <f t="shared" si="10"/>
        <v>800</v>
      </c>
      <c r="AF18" s="4">
        <f t="shared" si="10"/>
        <v>800</v>
      </c>
      <c r="AG18" s="4">
        <f t="shared" si="10"/>
        <v>800</v>
      </c>
      <c r="AH18" s="4">
        <f t="shared" si="10"/>
        <v>800</v>
      </c>
      <c r="AI18" s="4">
        <f t="shared" si="10"/>
        <v>800</v>
      </c>
      <c r="AJ18" s="4">
        <f t="shared" si="10"/>
        <v>800</v>
      </c>
      <c r="AK18" s="4">
        <f t="shared" ref="AK18:AV18" si="11">AK9*$J$3</f>
        <v>800</v>
      </c>
      <c r="AL18" s="4">
        <f t="shared" si="11"/>
        <v>800</v>
      </c>
      <c r="AM18" s="4">
        <f t="shared" si="11"/>
        <v>800</v>
      </c>
      <c r="AN18" s="4">
        <f t="shared" si="11"/>
        <v>800</v>
      </c>
      <c r="AO18" s="4">
        <f t="shared" si="11"/>
        <v>800</v>
      </c>
      <c r="AP18" s="4">
        <f t="shared" si="11"/>
        <v>800</v>
      </c>
      <c r="AQ18" s="4">
        <f t="shared" si="11"/>
        <v>800</v>
      </c>
      <c r="AR18" s="4">
        <f t="shared" si="11"/>
        <v>800</v>
      </c>
      <c r="AS18" s="4">
        <f t="shared" si="11"/>
        <v>800</v>
      </c>
      <c r="AT18" s="4">
        <f t="shared" si="11"/>
        <v>800</v>
      </c>
      <c r="AU18" s="4">
        <f t="shared" si="11"/>
        <v>800</v>
      </c>
      <c r="AV18" s="4">
        <f t="shared" si="11"/>
        <v>800</v>
      </c>
      <c r="AW18" s="4"/>
      <c r="AX18" s="4"/>
      <c r="AY18" s="4"/>
      <c r="AZ18" s="4"/>
      <c r="BA18" s="4"/>
    </row>
    <row r="19" spans="1:53" x14ac:dyDescent="0.25">
      <c r="A19" s="49"/>
      <c r="B19" s="5" t="s">
        <v>6</v>
      </c>
      <c r="C19" s="4">
        <f>C10*$M$3</f>
        <v>0</v>
      </c>
      <c r="D19" s="4">
        <f t="shared" ref="D19:P19" si="12">D10*$M$3</f>
        <v>0</v>
      </c>
      <c r="E19" s="4">
        <f t="shared" si="12"/>
        <v>0</v>
      </c>
      <c r="F19" s="4">
        <f t="shared" si="12"/>
        <v>0</v>
      </c>
      <c r="G19" s="4">
        <f t="shared" si="12"/>
        <v>0</v>
      </c>
      <c r="H19" s="4">
        <f t="shared" si="12"/>
        <v>0</v>
      </c>
      <c r="I19" s="4">
        <f t="shared" si="12"/>
        <v>0</v>
      </c>
      <c r="J19" s="4">
        <f t="shared" si="12"/>
        <v>0</v>
      </c>
      <c r="K19" s="4">
        <f t="shared" si="12"/>
        <v>0</v>
      </c>
      <c r="L19" s="4">
        <f t="shared" si="12"/>
        <v>0</v>
      </c>
      <c r="M19" s="4">
        <f t="shared" si="12"/>
        <v>0</v>
      </c>
      <c r="N19" s="4">
        <f t="shared" si="12"/>
        <v>0</v>
      </c>
      <c r="O19" s="4">
        <f t="shared" si="12"/>
        <v>0</v>
      </c>
      <c r="P19" s="4">
        <f t="shared" si="12"/>
        <v>0</v>
      </c>
      <c r="Q19" s="4">
        <f t="shared" ref="Q19:AJ19" si="13">Q10*$M$3</f>
        <v>0</v>
      </c>
      <c r="R19" s="4">
        <f t="shared" si="13"/>
        <v>0</v>
      </c>
      <c r="S19" s="4">
        <f t="shared" si="13"/>
        <v>0</v>
      </c>
      <c r="T19" s="4">
        <f t="shared" si="13"/>
        <v>0</v>
      </c>
      <c r="U19" s="4">
        <f t="shared" si="13"/>
        <v>0</v>
      </c>
      <c r="V19" s="4">
        <f t="shared" si="13"/>
        <v>0</v>
      </c>
      <c r="W19" s="4">
        <f t="shared" si="13"/>
        <v>0</v>
      </c>
      <c r="X19" s="4">
        <f t="shared" si="13"/>
        <v>0</v>
      </c>
      <c r="Y19" s="4">
        <f t="shared" si="13"/>
        <v>0</v>
      </c>
      <c r="Z19" s="4">
        <f t="shared" si="13"/>
        <v>0</v>
      </c>
      <c r="AA19" s="4">
        <f t="shared" si="13"/>
        <v>0</v>
      </c>
      <c r="AB19" s="4">
        <f t="shared" si="13"/>
        <v>0</v>
      </c>
      <c r="AC19" s="4">
        <f t="shared" si="13"/>
        <v>0</v>
      </c>
      <c r="AD19" s="4">
        <f t="shared" si="13"/>
        <v>0</v>
      </c>
      <c r="AE19" s="4">
        <f t="shared" si="13"/>
        <v>0</v>
      </c>
      <c r="AF19" s="4">
        <f t="shared" si="13"/>
        <v>0</v>
      </c>
      <c r="AG19" s="4">
        <f t="shared" si="13"/>
        <v>0</v>
      </c>
      <c r="AH19" s="4">
        <f t="shared" si="13"/>
        <v>0</v>
      </c>
      <c r="AI19" s="4">
        <f t="shared" si="13"/>
        <v>0</v>
      </c>
      <c r="AJ19" s="4">
        <f t="shared" si="13"/>
        <v>0</v>
      </c>
      <c r="AK19" s="4">
        <f t="shared" ref="AK19:AV19" si="14">AK10*$M$3</f>
        <v>0</v>
      </c>
      <c r="AL19" s="4">
        <f t="shared" si="14"/>
        <v>0</v>
      </c>
      <c r="AM19" s="4">
        <f t="shared" si="14"/>
        <v>0</v>
      </c>
      <c r="AN19" s="4">
        <f t="shared" si="14"/>
        <v>0</v>
      </c>
      <c r="AO19" s="4">
        <f t="shared" si="14"/>
        <v>0</v>
      </c>
      <c r="AP19" s="4">
        <f t="shared" si="14"/>
        <v>0</v>
      </c>
      <c r="AQ19" s="4">
        <f t="shared" si="14"/>
        <v>0</v>
      </c>
      <c r="AR19" s="4">
        <f t="shared" si="14"/>
        <v>0</v>
      </c>
      <c r="AS19" s="4">
        <f t="shared" si="14"/>
        <v>0</v>
      </c>
      <c r="AT19" s="4">
        <f t="shared" si="14"/>
        <v>0</v>
      </c>
      <c r="AU19" s="4">
        <f t="shared" si="14"/>
        <v>0</v>
      </c>
      <c r="AV19" s="4">
        <f t="shared" si="14"/>
        <v>0</v>
      </c>
      <c r="AW19" s="4"/>
      <c r="AX19" s="4"/>
      <c r="AY19" s="4"/>
      <c r="AZ19" s="4"/>
      <c r="BA19" s="4"/>
    </row>
    <row r="20" spans="1:53" x14ac:dyDescent="0.25">
      <c r="A20" s="49"/>
      <c r="B20" s="5" t="s">
        <v>7</v>
      </c>
      <c r="C20" s="4">
        <f>C11*$P$3</f>
        <v>0</v>
      </c>
      <c r="D20" s="4">
        <f t="shared" ref="D20:P20" si="15">D11*$P$3</f>
        <v>0</v>
      </c>
      <c r="E20" s="4">
        <f t="shared" si="15"/>
        <v>0</v>
      </c>
      <c r="F20" s="4">
        <f t="shared" si="15"/>
        <v>0</v>
      </c>
      <c r="G20" s="4">
        <f t="shared" si="15"/>
        <v>0</v>
      </c>
      <c r="H20" s="4">
        <f t="shared" si="15"/>
        <v>0</v>
      </c>
      <c r="I20" s="4">
        <f t="shared" si="15"/>
        <v>0</v>
      </c>
      <c r="J20" s="4">
        <f t="shared" si="15"/>
        <v>0</v>
      </c>
      <c r="K20" s="4">
        <f t="shared" si="15"/>
        <v>0</v>
      </c>
      <c r="L20" s="4">
        <f t="shared" si="15"/>
        <v>0</v>
      </c>
      <c r="M20" s="4">
        <f t="shared" si="15"/>
        <v>0</v>
      </c>
      <c r="N20" s="4">
        <f t="shared" si="15"/>
        <v>0</v>
      </c>
      <c r="O20" s="4">
        <f t="shared" si="15"/>
        <v>0</v>
      </c>
      <c r="P20" s="4">
        <f t="shared" si="15"/>
        <v>0</v>
      </c>
      <c r="Q20" s="4">
        <f t="shared" ref="Q20:AJ20" si="16">Q11*$P$3</f>
        <v>0</v>
      </c>
      <c r="R20" s="4">
        <f t="shared" si="16"/>
        <v>0</v>
      </c>
      <c r="S20" s="4">
        <f t="shared" si="16"/>
        <v>0</v>
      </c>
      <c r="T20" s="4">
        <f t="shared" si="16"/>
        <v>0</v>
      </c>
      <c r="U20" s="4">
        <f t="shared" si="16"/>
        <v>0</v>
      </c>
      <c r="V20" s="4">
        <f t="shared" si="16"/>
        <v>0</v>
      </c>
      <c r="W20" s="4">
        <f t="shared" si="16"/>
        <v>0</v>
      </c>
      <c r="X20" s="4">
        <f t="shared" si="16"/>
        <v>0</v>
      </c>
      <c r="Y20" s="4">
        <f t="shared" si="16"/>
        <v>0</v>
      </c>
      <c r="Z20" s="4">
        <f t="shared" si="16"/>
        <v>0</v>
      </c>
      <c r="AA20" s="4">
        <f t="shared" si="16"/>
        <v>0</v>
      </c>
      <c r="AB20" s="4">
        <f t="shared" si="16"/>
        <v>0</v>
      </c>
      <c r="AC20" s="4">
        <f t="shared" si="16"/>
        <v>0</v>
      </c>
      <c r="AD20" s="4">
        <f t="shared" si="16"/>
        <v>0</v>
      </c>
      <c r="AE20" s="4">
        <f t="shared" si="16"/>
        <v>0</v>
      </c>
      <c r="AF20" s="4">
        <f t="shared" si="16"/>
        <v>0</v>
      </c>
      <c r="AG20" s="4">
        <f t="shared" si="16"/>
        <v>0</v>
      </c>
      <c r="AH20" s="4">
        <f t="shared" si="16"/>
        <v>0</v>
      </c>
      <c r="AI20" s="4">
        <f t="shared" si="16"/>
        <v>0</v>
      </c>
      <c r="AJ20" s="4">
        <f t="shared" si="16"/>
        <v>0</v>
      </c>
      <c r="AK20" s="4">
        <f t="shared" ref="AK20:AV20" si="17">AK11*$P$3</f>
        <v>0</v>
      </c>
      <c r="AL20" s="4">
        <f t="shared" si="17"/>
        <v>0</v>
      </c>
      <c r="AM20" s="4">
        <f t="shared" si="17"/>
        <v>0</v>
      </c>
      <c r="AN20" s="4">
        <f t="shared" si="17"/>
        <v>0</v>
      </c>
      <c r="AO20" s="4">
        <f t="shared" si="17"/>
        <v>0</v>
      </c>
      <c r="AP20" s="4">
        <f t="shared" si="17"/>
        <v>0</v>
      </c>
      <c r="AQ20" s="4">
        <f t="shared" si="17"/>
        <v>0</v>
      </c>
      <c r="AR20" s="4">
        <f t="shared" si="17"/>
        <v>0</v>
      </c>
      <c r="AS20" s="4">
        <f t="shared" si="17"/>
        <v>0</v>
      </c>
      <c r="AT20" s="4">
        <f t="shared" si="17"/>
        <v>0</v>
      </c>
      <c r="AU20" s="4">
        <f t="shared" si="17"/>
        <v>0</v>
      </c>
      <c r="AV20" s="4">
        <f t="shared" si="17"/>
        <v>0</v>
      </c>
      <c r="AW20" s="4"/>
      <c r="AX20" s="4"/>
      <c r="AY20" s="4"/>
      <c r="AZ20" s="4"/>
      <c r="BA20" s="4"/>
    </row>
    <row r="21" spans="1:53" x14ac:dyDescent="0.25">
      <c r="A21" s="49"/>
      <c r="B21" s="5" t="s">
        <v>8</v>
      </c>
      <c r="C21" s="4">
        <f>C12*$S$3</f>
        <v>0</v>
      </c>
      <c r="D21" s="4">
        <f t="shared" ref="D21:P21" si="18">D12*$S$3</f>
        <v>0</v>
      </c>
      <c r="E21" s="4">
        <f t="shared" si="18"/>
        <v>0</v>
      </c>
      <c r="F21" s="4">
        <f t="shared" si="18"/>
        <v>0</v>
      </c>
      <c r="G21" s="4">
        <f t="shared" si="18"/>
        <v>0</v>
      </c>
      <c r="H21" s="4">
        <f t="shared" si="18"/>
        <v>0</v>
      </c>
      <c r="I21" s="4">
        <f t="shared" si="18"/>
        <v>0</v>
      </c>
      <c r="J21" s="4">
        <f t="shared" si="18"/>
        <v>0</v>
      </c>
      <c r="K21" s="4">
        <f t="shared" si="18"/>
        <v>0</v>
      </c>
      <c r="L21" s="4">
        <f t="shared" si="18"/>
        <v>0</v>
      </c>
      <c r="M21" s="4">
        <f t="shared" si="18"/>
        <v>0</v>
      </c>
      <c r="N21" s="4">
        <f t="shared" si="18"/>
        <v>0</v>
      </c>
      <c r="O21" s="4">
        <f t="shared" si="18"/>
        <v>0</v>
      </c>
      <c r="P21" s="4">
        <f t="shared" si="18"/>
        <v>0</v>
      </c>
      <c r="Q21" s="4">
        <f t="shared" ref="Q21:AJ21" si="19">Q12*$S$3</f>
        <v>0</v>
      </c>
      <c r="R21" s="4">
        <f t="shared" si="19"/>
        <v>0</v>
      </c>
      <c r="S21" s="4">
        <f t="shared" si="19"/>
        <v>0</v>
      </c>
      <c r="T21" s="4">
        <f t="shared" si="19"/>
        <v>0</v>
      </c>
      <c r="U21" s="4">
        <f t="shared" si="19"/>
        <v>0</v>
      </c>
      <c r="V21" s="4">
        <f t="shared" si="19"/>
        <v>0</v>
      </c>
      <c r="W21" s="4">
        <f t="shared" si="19"/>
        <v>0</v>
      </c>
      <c r="X21" s="4">
        <f t="shared" si="19"/>
        <v>0</v>
      </c>
      <c r="Y21" s="4">
        <f t="shared" si="19"/>
        <v>0</v>
      </c>
      <c r="Z21" s="4">
        <f t="shared" si="19"/>
        <v>0</v>
      </c>
      <c r="AA21" s="4">
        <f t="shared" si="19"/>
        <v>0</v>
      </c>
      <c r="AB21" s="4">
        <f t="shared" si="19"/>
        <v>0</v>
      </c>
      <c r="AC21" s="4">
        <f t="shared" si="19"/>
        <v>0</v>
      </c>
      <c r="AD21" s="4">
        <f t="shared" si="19"/>
        <v>0</v>
      </c>
      <c r="AE21" s="4">
        <f t="shared" si="19"/>
        <v>0</v>
      </c>
      <c r="AF21" s="4">
        <f t="shared" si="19"/>
        <v>0</v>
      </c>
      <c r="AG21" s="4">
        <f t="shared" si="19"/>
        <v>0</v>
      </c>
      <c r="AH21" s="4">
        <f t="shared" si="19"/>
        <v>0</v>
      </c>
      <c r="AI21" s="4">
        <f t="shared" si="19"/>
        <v>0</v>
      </c>
      <c r="AJ21" s="4">
        <f t="shared" si="19"/>
        <v>0</v>
      </c>
      <c r="AK21" s="4">
        <f t="shared" ref="AK21:AV21" si="20">AK12*$S$3</f>
        <v>0</v>
      </c>
      <c r="AL21" s="4">
        <f t="shared" si="20"/>
        <v>0</v>
      </c>
      <c r="AM21" s="4">
        <f t="shared" si="20"/>
        <v>0</v>
      </c>
      <c r="AN21" s="4">
        <f t="shared" si="20"/>
        <v>0</v>
      </c>
      <c r="AO21" s="4">
        <f t="shared" si="20"/>
        <v>0</v>
      </c>
      <c r="AP21" s="4">
        <f t="shared" si="20"/>
        <v>0</v>
      </c>
      <c r="AQ21" s="4">
        <f t="shared" si="20"/>
        <v>0</v>
      </c>
      <c r="AR21" s="4">
        <f t="shared" si="20"/>
        <v>0</v>
      </c>
      <c r="AS21" s="4">
        <f t="shared" si="20"/>
        <v>0</v>
      </c>
      <c r="AT21" s="4">
        <f t="shared" si="20"/>
        <v>0</v>
      </c>
      <c r="AU21" s="4">
        <f t="shared" si="20"/>
        <v>0</v>
      </c>
      <c r="AV21" s="4">
        <f t="shared" si="20"/>
        <v>0</v>
      </c>
      <c r="AW21" s="4"/>
      <c r="AX21" s="4"/>
      <c r="AY21" s="4"/>
      <c r="AZ21" s="4"/>
      <c r="BA21" s="4"/>
    </row>
    <row r="22" spans="1:53" x14ac:dyDescent="0.25">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row>
    <row r="23" spans="1:53" x14ac:dyDescent="0.25">
      <c r="B23" s="28" t="s">
        <v>16</v>
      </c>
      <c r="C23" s="29">
        <f>SUM(C16:C21)</f>
        <v>0</v>
      </c>
      <c r="D23" s="29">
        <f t="shared" ref="D23:P23" si="21">SUM(D16:D21)</f>
        <v>0</v>
      </c>
      <c r="E23" s="29">
        <f t="shared" si="21"/>
        <v>4100</v>
      </c>
      <c r="F23" s="29">
        <f t="shared" si="21"/>
        <v>4200</v>
      </c>
      <c r="G23" s="29">
        <f t="shared" si="21"/>
        <v>4300</v>
      </c>
      <c r="H23" s="29">
        <f t="shared" si="21"/>
        <v>5425</v>
      </c>
      <c r="I23" s="29">
        <f t="shared" si="21"/>
        <v>825</v>
      </c>
      <c r="J23" s="29">
        <f t="shared" si="21"/>
        <v>425</v>
      </c>
      <c r="K23" s="29">
        <f t="shared" si="21"/>
        <v>425</v>
      </c>
      <c r="L23" s="29">
        <f t="shared" si="21"/>
        <v>425</v>
      </c>
      <c r="M23" s="29">
        <f t="shared" si="21"/>
        <v>825</v>
      </c>
      <c r="N23" s="29">
        <f t="shared" si="21"/>
        <v>425</v>
      </c>
      <c r="O23" s="29">
        <f t="shared" si="21"/>
        <v>425</v>
      </c>
      <c r="P23" s="29">
        <f t="shared" si="21"/>
        <v>1225</v>
      </c>
      <c r="Q23" s="29">
        <f t="shared" ref="Q23:AJ23" si="22">SUM(Q16:Q21)</f>
        <v>1225</v>
      </c>
      <c r="R23" s="29">
        <f t="shared" si="22"/>
        <v>1225</v>
      </c>
      <c r="S23" s="29">
        <f t="shared" si="22"/>
        <v>1225</v>
      </c>
      <c r="T23" s="29">
        <f t="shared" si="22"/>
        <v>1225</v>
      </c>
      <c r="U23" s="29">
        <f t="shared" si="22"/>
        <v>1225</v>
      </c>
      <c r="V23" s="29">
        <f t="shared" si="22"/>
        <v>1225</v>
      </c>
      <c r="W23" s="29">
        <f t="shared" si="22"/>
        <v>1225</v>
      </c>
      <c r="X23" s="29">
        <f t="shared" si="22"/>
        <v>1225</v>
      </c>
      <c r="Y23" s="29">
        <f t="shared" si="22"/>
        <v>1225</v>
      </c>
      <c r="Z23" s="29">
        <f t="shared" si="22"/>
        <v>1225</v>
      </c>
      <c r="AA23" s="29">
        <f t="shared" si="22"/>
        <v>1225</v>
      </c>
      <c r="AB23" s="29">
        <f t="shared" si="22"/>
        <v>1225</v>
      </c>
      <c r="AC23" s="29">
        <f t="shared" si="22"/>
        <v>1225</v>
      </c>
      <c r="AD23" s="29">
        <f t="shared" si="22"/>
        <v>1225</v>
      </c>
      <c r="AE23" s="29">
        <f t="shared" si="22"/>
        <v>1225</v>
      </c>
      <c r="AF23" s="29">
        <f t="shared" si="22"/>
        <v>1225</v>
      </c>
      <c r="AG23" s="29">
        <f t="shared" si="22"/>
        <v>1225</v>
      </c>
      <c r="AH23" s="29">
        <f t="shared" si="22"/>
        <v>1225</v>
      </c>
      <c r="AI23" s="29">
        <f t="shared" si="22"/>
        <v>1225</v>
      </c>
      <c r="AJ23" s="29">
        <f t="shared" si="22"/>
        <v>1225</v>
      </c>
      <c r="AK23" s="29">
        <f t="shared" ref="AK23:AV23" si="23">SUM(AK16:AK21)</f>
        <v>1225</v>
      </c>
      <c r="AL23" s="29">
        <f t="shared" si="23"/>
        <v>1225</v>
      </c>
      <c r="AM23" s="29">
        <f t="shared" si="23"/>
        <v>1225</v>
      </c>
      <c r="AN23" s="29">
        <f t="shared" si="23"/>
        <v>1225</v>
      </c>
      <c r="AO23" s="29">
        <f t="shared" si="23"/>
        <v>1225</v>
      </c>
      <c r="AP23" s="29">
        <f t="shared" si="23"/>
        <v>1225</v>
      </c>
      <c r="AQ23" s="29">
        <f t="shared" si="23"/>
        <v>1225</v>
      </c>
      <c r="AR23" s="29">
        <f t="shared" si="23"/>
        <v>1225</v>
      </c>
      <c r="AS23" s="29">
        <f t="shared" si="23"/>
        <v>1225</v>
      </c>
      <c r="AT23" s="29">
        <f t="shared" si="23"/>
        <v>1225</v>
      </c>
      <c r="AU23" s="29">
        <f t="shared" si="23"/>
        <v>1225</v>
      </c>
      <c r="AV23" s="29">
        <f t="shared" si="23"/>
        <v>1225</v>
      </c>
      <c r="AW23" s="29"/>
      <c r="AX23" s="29"/>
      <c r="AY23" s="29"/>
      <c r="AZ23" s="29"/>
      <c r="BA23" s="29"/>
    </row>
    <row r="24" spans="1:53" x14ac:dyDescent="0.25">
      <c r="B24" s="28" t="s">
        <v>15</v>
      </c>
      <c r="C24" s="29">
        <f>C23</f>
        <v>0</v>
      </c>
      <c r="D24" s="29">
        <f>D23+C24</f>
        <v>0</v>
      </c>
      <c r="E24" s="29">
        <f t="shared" ref="E24:P24" si="24">E23+D24</f>
        <v>4100</v>
      </c>
      <c r="F24" s="29">
        <f t="shared" si="24"/>
        <v>8300</v>
      </c>
      <c r="G24" s="29">
        <f t="shared" si="24"/>
        <v>12600</v>
      </c>
      <c r="H24" s="29">
        <f t="shared" si="24"/>
        <v>18025</v>
      </c>
      <c r="I24" s="29">
        <f t="shared" si="24"/>
        <v>18850</v>
      </c>
      <c r="J24" s="29">
        <f t="shared" si="24"/>
        <v>19275</v>
      </c>
      <c r="K24" s="29">
        <f t="shared" si="24"/>
        <v>19700</v>
      </c>
      <c r="L24" s="29">
        <f t="shared" si="24"/>
        <v>20125</v>
      </c>
      <c r="M24" s="29">
        <f t="shared" si="24"/>
        <v>20950</v>
      </c>
      <c r="N24" s="29">
        <f t="shared" si="24"/>
        <v>21375</v>
      </c>
      <c r="O24" s="29">
        <f t="shared" si="24"/>
        <v>21800</v>
      </c>
      <c r="P24" s="29">
        <f t="shared" si="24"/>
        <v>23025</v>
      </c>
      <c r="Q24" s="29">
        <f t="shared" ref="Q24" si="25">Q23+P24</f>
        <v>24250</v>
      </c>
      <c r="R24" s="29">
        <f t="shared" ref="R24" si="26">R23+Q24</f>
        <v>25475</v>
      </c>
      <c r="S24" s="29">
        <f t="shared" ref="S24" si="27">S23+R24</f>
        <v>26700</v>
      </c>
      <c r="T24" s="29">
        <f t="shared" ref="T24" si="28">T23+S24</f>
        <v>27925</v>
      </c>
      <c r="U24" s="29">
        <f t="shared" ref="U24" si="29">U23+T24</f>
        <v>29150</v>
      </c>
      <c r="V24" s="29">
        <f t="shared" ref="V24" si="30">V23+U24</f>
        <v>30375</v>
      </c>
      <c r="W24" s="29">
        <f t="shared" ref="W24" si="31">W23+V24</f>
        <v>31600</v>
      </c>
      <c r="X24" s="29">
        <f t="shared" ref="X24" si="32">X23+W24</f>
        <v>32825</v>
      </c>
      <c r="Y24" s="29">
        <f t="shared" ref="Y24" si="33">Y23+X24</f>
        <v>34050</v>
      </c>
      <c r="Z24" s="29">
        <f t="shared" ref="Z24" si="34">Z23+Y24</f>
        <v>35275</v>
      </c>
      <c r="AA24" s="29">
        <f t="shared" ref="AA24" si="35">AA23+Z24</f>
        <v>36500</v>
      </c>
      <c r="AB24" s="29">
        <f t="shared" ref="AB24" si="36">AB23+AA24</f>
        <v>37725</v>
      </c>
      <c r="AC24" s="29">
        <f t="shared" ref="AC24" si="37">AC23+AB24</f>
        <v>38950</v>
      </c>
      <c r="AD24" s="29">
        <f t="shared" ref="AD24" si="38">AD23+AC24</f>
        <v>40175</v>
      </c>
      <c r="AE24" s="29">
        <f t="shared" ref="AE24" si="39">AE23+AD24</f>
        <v>41400</v>
      </c>
      <c r="AF24" s="29">
        <f t="shared" ref="AF24" si="40">AF23+AE24</f>
        <v>42625</v>
      </c>
      <c r="AG24" s="29">
        <f t="shared" ref="AG24" si="41">AG23+AF24</f>
        <v>43850</v>
      </c>
      <c r="AH24" s="29">
        <f t="shared" ref="AH24" si="42">AH23+AG24</f>
        <v>45075</v>
      </c>
      <c r="AI24" s="29">
        <f t="shared" ref="AI24" si="43">AI23+AH24</f>
        <v>46300</v>
      </c>
      <c r="AJ24" s="29">
        <f t="shared" ref="AJ24" si="44">AJ23+AI24</f>
        <v>47525</v>
      </c>
      <c r="AK24" s="29">
        <f t="shared" ref="AK24" si="45">AK23+AJ24</f>
        <v>48750</v>
      </c>
      <c r="AL24" s="29">
        <f t="shared" ref="AL24" si="46">AL23+AK24</f>
        <v>49975</v>
      </c>
      <c r="AM24" s="29">
        <f t="shared" ref="AM24" si="47">AM23+AL24</f>
        <v>51200</v>
      </c>
      <c r="AN24" s="29">
        <f t="shared" ref="AN24" si="48">AN23+AM24</f>
        <v>52425</v>
      </c>
      <c r="AO24" s="29">
        <f t="shared" ref="AO24" si="49">AO23+AN24</f>
        <v>53650</v>
      </c>
      <c r="AP24" s="29">
        <f t="shared" ref="AP24" si="50">AP23+AO24</f>
        <v>54875</v>
      </c>
      <c r="AQ24" s="29">
        <f t="shared" ref="AQ24" si="51">AQ23+AP24</f>
        <v>56100</v>
      </c>
      <c r="AR24" s="29">
        <f t="shared" ref="AR24" si="52">AR23+AQ24</f>
        <v>57325</v>
      </c>
      <c r="AS24" s="29">
        <f t="shared" ref="AS24" si="53">AS23+AR24</f>
        <v>58550</v>
      </c>
      <c r="AT24" s="29">
        <f t="shared" ref="AT24" si="54">AT23+AS24</f>
        <v>59775</v>
      </c>
      <c r="AU24" s="29">
        <f t="shared" ref="AU24" si="55">AU23+AT24</f>
        <v>61000</v>
      </c>
      <c r="AV24" s="29">
        <f t="shared" ref="AV24" si="56">AV23+AU24</f>
        <v>62225</v>
      </c>
      <c r="AW24" s="29"/>
      <c r="AX24" s="29"/>
      <c r="AY24" s="29"/>
      <c r="AZ24" s="29"/>
      <c r="BA24" s="29"/>
    </row>
  </sheetData>
  <mergeCells count="8">
    <mergeCell ref="K3:L3"/>
    <mergeCell ref="N3:O3"/>
    <mergeCell ref="Q3:R3"/>
    <mergeCell ref="A7:A12"/>
    <mergeCell ref="A16:A21"/>
    <mergeCell ref="B3:C3"/>
    <mergeCell ref="E3:F3"/>
    <mergeCell ref="H3:I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9E09A-ADF9-46DB-8EDA-AFC4847D0AE9}">
  <dimension ref="B3:AV19"/>
  <sheetViews>
    <sheetView workbookViewId="0">
      <selection activeCell="C9" sqref="C9"/>
    </sheetView>
  </sheetViews>
  <sheetFormatPr defaultRowHeight="15" x14ac:dyDescent="0.25"/>
  <cols>
    <col min="2" max="2" width="16" bestFit="1" customWidth="1"/>
    <col min="3" max="8" width="11.140625" bestFit="1" customWidth="1"/>
    <col min="9" max="48" width="12.140625" bestFit="1" customWidth="1"/>
  </cols>
  <sheetData>
    <row r="3" spans="2:48" s="20" customFormat="1" x14ac:dyDescent="0.25">
      <c r="C3" s="19">
        <f>Income!C6</f>
        <v>43160</v>
      </c>
      <c r="D3" s="19">
        <f>Income!D6</f>
        <v>43191</v>
      </c>
      <c r="E3" s="19">
        <f>Income!E6</f>
        <v>43221</v>
      </c>
      <c r="F3" s="19">
        <f>Income!F6</f>
        <v>43252</v>
      </c>
      <c r="G3" s="19">
        <f>Income!G6</f>
        <v>43282</v>
      </c>
      <c r="H3" s="19">
        <f>Income!H6</f>
        <v>43313</v>
      </c>
      <c r="I3" s="19">
        <f>Income!I6</f>
        <v>43344</v>
      </c>
      <c r="J3" s="19">
        <f>Income!J6</f>
        <v>43374</v>
      </c>
      <c r="K3" s="19">
        <f>Income!K6</f>
        <v>43405</v>
      </c>
      <c r="L3" s="19">
        <f>Income!L6</f>
        <v>43435</v>
      </c>
      <c r="M3" s="19">
        <f>Income!M6</f>
        <v>43466</v>
      </c>
      <c r="N3" s="19">
        <f>Income!N6</f>
        <v>43497</v>
      </c>
      <c r="O3" s="19">
        <f>Income!O6</f>
        <v>43525</v>
      </c>
      <c r="P3" s="19">
        <f>Income!P6</f>
        <v>43556</v>
      </c>
      <c r="Q3" s="19">
        <f>Income!Q6</f>
        <v>43586</v>
      </c>
      <c r="R3" s="19">
        <f>Income!R6</f>
        <v>43617</v>
      </c>
      <c r="S3" s="19">
        <f>Income!S6</f>
        <v>43647</v>
      </c>
      <c r="T3" s="19">
        <f>Income!T6</f>
        <v>43678</v>
      </c>
      <c r="U3" s="19">
        <f>Income!U6</f>
        <v>43709</v>
      </c>
      <c r="V3" s="19">
        <f>Income!V6</f>
        <v>43739</v>
      </c>
      <c r="W3" s="19">
        <f>Income!W6</f>
        <v>43770</v>
      </c>
      <c r="X3" s="19">
        <f>Income!X6</f>
        <v>43800</v>
      </c>
      <c r="Y3" s="19">
        <f>Income!Y6</f>
        <v>43831</v>
      </c>
      <c r="Z3" s="19">
        <f>Income!Z6</f>
        <v>43862</v>
      </c>
      <c r="AA3" s="19">
        <f>Income!AA6</f>
        <v>43891</v>
      </c>
      <c r="AB3" s="19">
        <f>Income!AB6</f>
        <v>43922</v>
      </c>
      <c r="AC3" s="19">
        <f>Income!AC6</f>
        <v>43952</v>
      </c>
      <c r="AD3" s="19">
        <f>Income!AD6</f>
        <v>43983</v>
      </c>
      <c r="AE3" s="19">
        <f>Income!AE6</f>
        <v>44013</v>
      </c>
      <c r="AF3" s="19">
        <f>Income!AF6</f>
        <v>44044</v>
      </c>
      <c r="AG3" s="19">
        <f>Income!AG6</f>
        <v>44075</v>
      </c>
      <c r="AH3" s="19">
        <f>Income!AH6</f>
        <v>44105</v>
      </c>
      <c r="AI3" s="19">
        <f>Income!AI6</f>
        <v>44136</v>
      </c>
      <c r="AJ3" s="19">
        <f>Income!AJ6</f>
        <v>44166</v>
      </c>
      <c r="AK3" s="19">
        <f>Income!AK6</f>
        <v>44197</v>
      </c>
      <c r="AL3" s="19">
        <f>Income!AL6</f>
        <v>44228</v>
      </c>
      <c r="AM3" s="19">
        <f>Income!AM6</f>
        <v>44256</v>
      </c>
      <c r="AN3" s="19">
        <f>Income!AN6</f>
        <v>44287</v>
      </c>
      <c r="AO3" s="19">
        <f>Income!AO6</f>
        <v>44317</v>
      </c>
      <c r="AP3" s="19">
        <f>Income!AP6</f>
        <v>44348</v>
      </c>
      <c r="AQ3" s="19">
        <f>Income!AQ6</f>
        <v>44378</v>
      </c>
      <c r="AR3" s="19">
        <f>Income!AR6</f>
        <v>44409</v>
      </c>
      <c r="AS3" s="19">
        <f>Income!AS6</f>
        <v>44440</v>
      </c>
      <c r="AT3" s="19">
        <f>Income!AT6</f>
        <v>44470</v>
      </c>
      <c r="AU3" s="19">
        <f>Income!AU6</f>
        <v>44501</v>
      </c>
      <c r="AV3" s="19">
        <f>Income!AV6</f>
        <v>44531</v>
      </c>
    </row>
    <row r="4" spans="2:48" x14ac:dyDescent="0.25">
      <c r="B4" s="5" t="s">
        <v>56</v>
      </c>
      <c r="C4" s="4">
        <v>1500</v>
      </c>
      <c r="D4" s="4">
        <v>1500</v>
      </c>
      <c r="E4" s="4">
        <v>1500</v>
      </c>
      <c r="F4" s="4">
        <v>1500</v>
      </c>
      <c r="G4" s="4">
        <v>1500</v>
      </c>
      <c r="H4" s="4">
        <v>1500</v>
      </c>
      <c r="I4" s="4">
        <v>1500</v>
      </c>
      <c r="J4" s="4">
        <v>1500</v>
      </c>
      <c r="K4" s="4">
        <v>1500</v>
      </c>
      <c r="L4" s="4">
        <v>1500</v>
      </c>
      <c r="M4" s="4">
        <v>1500</v>
      </c>
      <c r="N4" s="4">
        <v>1500</v>
      </c>
      <c r="O4" s="4">
        <v>1500</v>
      </c>
      <c r="P4" s="4">
        <v>1500</v>
      </c>
      <c r="Q4" s="4">
        <v>1501</v>
      </c>
      <c r="R4" s="4">
        <v>1502</v>
      </c>
      <c r="S4" s="4">
        <v>1503</v>
      </c>
      <c r="T4" s="4">
        <v>1504</v>
      </c>
      <c r="U4" s="4">
        <v>1505</v>
      </c>
      <c r="V4" s="4">
        <v>1506</v>
      </c>
      <c r="W4" s="4">
        <v>1507</v>
      </c>
      <c r="X4" s="4">
        <v>1508</v>
      </c>
      <c r="Y4" s="4">
        <v>1509</v>
      </c>
      <c r="Z4" s="4">
        <v>1510</v>
      </c>
      <c r="AA4" s="4">
        <v>1511</v>
      </c>
      <c r="AB4" s="4">
        <v>1512</v>
      </c>
      <c r="AC4" s="4">
        <v>1513</v>
      </c>
      <c r="AD4" s="4">
        <v>1514</v>
      </c>
      <c r="AE4" s="4">
        <v>1515</v>
      </c>
      <c r="AF4" s="4">
        <v>1516</v>
      </c>
      <c r="AG4" s="4">
        <v>1517</v>
      </c>
      <c r="AH4" s="4">
        <v>1518</v>
      </c>
      <c r="AI4" s="4">
        <v>1519</v>
      </c>
      <c r="AJ4" s="4">
        <v>1520</v>
      </c>
      <c r="AK4" s="4">
        <v>1521</v>
      </c>
      <c r="AL4" s="4">
        <v>1522</v>
      </c>
      <c r="AM4" s="4">
        <v>1523</v>
      </c>
      <c r="AN4" s="4">
        <v>1524</v>
      </c>
      <c r="AO4" s="4">
        <v>1525</v>
      </c>
      <c r="AP4" s="4">
        <v>1526</v>
      </c>
      <c r="AQ4" s="4">
        <v>1527</v>
      </c>
      <c r="AR4" s="4">
        <v>1528</v>
      </c>
      <c r="AS4" s="4">
        <v>1529</v>
      </c>
      <c r="AT4" s="4">
        <v>1530</v>
      </c>
      <c r="AU4" s="4">
        <v>1531</v>
      </c>
      <c r="AV4" s="4">
        <v>1532</v>
      </c>
    </row>
    <row r="5" spans="2:48" x14ac:dyDescent="0.25">
      <c r="B5" s="5" t="s">
        <v>20</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row>
    <row r="6" spans="2:48" x14ac:dyDescent="0.25">
      <c r="B6" s="5" t="s">
        <v>21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row>
    <row r="7" spans="2:48" x14ac:dyDescent="0.25">
      <c r="B7" s="5" t="s">
        <v>22</v>
      </c>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row>
    <row r="8" spans="2:48" x14ac:dyDescent="0.25">
      <c r="B8" s="5" t="s">
        <v>23</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row>
    <row r="9" spans="2:48" x14ac:dyDescent="0.25">
      <c r="B9" s="5" t="s">
        <v>24</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row>
    <row r="10" spans="2:48" x14ac:dyDescent="0.25">
      <c r="B10" s="5" t="s">
        <v>25</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row>
    <row r="11" spans="2:48" x14ac:dyDescent="0.25">
      <c r="B11" s="5" t="s">
        <v>26</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row>
    <row r="12" spans="2:48" x14ac:dyDescent="0.25">
      <c r="B12" s="5" t="s">
        <v>27</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row>
    <row r="13" spans="2:48" x14ac:dyDescent="0.25">
      <c r="B13" s="5" t="s">
        <v>28</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row>
    <row r="14" spans="2:48" x14ac:dyDescent="0.25">
      <c r="B14" s="5" t="s">
        <v>29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row>
    <row r="15" spans="2:48" x14ac:dyDescent="0.25">
      <c r="B15" s="5" t="s">
        <v>30</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2:48" x14ac:dyDescent="0.25">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row>
    <row r="17" spans="2:48" x14ac:dyDescent="0.25">
      <c r="B17" s="28" t="s">
        <v>16</v>
      </c>
      <c r="C17" s="29">
        <f>SUM(C4:C15)</f>
        <v>1500</v>
      </c>
      <c r="D17" s="29">
        <f t="shared" ref="D17:P17" si="0">SUM(D4:D15)</f>
        <v>1500</v>
      </c>
      <c r="E17" s="29">
        <f t="shared" si="0"/>
        <v>1500</v>
      </c>
      <c r="F17" s="29">
        <f t="shared" si="0"/>
        <v>1500</v>
      </c>
      <c r="G17" s="29">
        <f t="shared" si="0"/>
        <v>1500</v>
      </c>
      <c r="H17" s="29">
        <f t="shared" si="0"/>
        <v>1500</v>
      </c>
      <c r="I17" s="29">
        <f t="shared" si="0"/>
        <v>1500</v>
      </c>
      <c r="J17" s="29">
        <f t="shared" si="0"/>
        <v>1500</v>
      </c>
      <c r="K17" s="29">
        <f t="shared" si="0"/>
        <v>1500</v>
      </c>
      <c r="L17" s="29">
        <f t="shared" si="0"/>
        <v>1500</v>
      </c>
      <c r="M17" s="29">
        <f t="shared" si="0"/>
        <v>1500</v>
      </c>
      <c r="N17" s="29">
        <f t="shared" si="0"/>
        <v>1500</v>
      </c>
      <c r="O17" s="29">
        <f t="shared" si="0"/>
        <v>1500</v>
      </c>
      <c r="P17" s="29">
        <f t="shared" si="0"/>
        <v>1500</v>
      </c>
      <c r="Q17" s="29">
        <f t="shared" ref="Q17:AV17" si="1">SUM(Q4:Q15)</f>
        <v>1501</v>
      </c>
      <c r="R17" s="29">
        <f t="shared" si="1"/>
        <v>1502</v>
      </c>
      <c r="S17" s="29">
        <f t="shared" si="1"/>
        <v>1503</v>
      </c>
      <c r="T17" s="29">
        <f t="shared" si="1"/>
        <v>1504</v>
      </c>
      <c r="U17" s="29">
        <f t="shared" si="1"/>
        <v>1505</v>
      </c>
      <c r="V17" s="29">
        <f t="shared" si="1"/>
        <v>1506</v>
      </c>
      <c r="W17" s="29">
        <f t="shared" si="1"/>
        <v>1507</v>
      </c>
      <c r="X17" s="29">
        <f t="shared" si="1"/>
        <v>1508</v>
      </c>
      <c r="Y17" s="29">
        <f t="shared" si="1"/>
        <v>1509</v>
      </c>
      <c r="Z17" s="29">
        <f t="shared" si="1"/>
        <v>1510</v>
      </c>
      <c r="AA17" s="29">
        <f t="shared" si="1"/>
        <v>1511</v>
      </c>
      <c r="AB17" s="29">
        <f t="shared" si="1"/>
        <v>1512</v>
      </c>
      <c r="AC17" s="29">
        <f t="shared" si="1"/>
        <v>1513</v>
      </c>
      <c r="AD17" s="29">
        <f t="shared" si="1"/>
        <v>1514</v>
      </c>
      <c r="AE17" s="29">
        <f t="shared" si="1"/>
        <v>1515</v>
      </c>
      <c r="AF17" s="29">
        <f t="shared" si="1"/>
        <v>1516</v>
      </c>
      <c r="AG17" s="29">
        <f t="shared" si="1"/>
        <v>1517</v>
      </c>
      <c r="AH17" s="29">
        <f t="shared" si="1"/>
        <v>1518</v>
      </c>
      <c r="AI17" s="29">
        <f t="shared" si="1"/>
        <v>1519</v>
      </c>
      <c r="AJ17" s="29">
        <f t="shared" si="1"/>
        <v>1520</v>
      </c>
      <c r="AK17" s="29">
        <f t="shared" si="1"/>
        <v>1521</v>
      </c>
      <c r="AL17" s="29">
        <f t="shared" si="1"/>
        <v>1522</v>
      </c>
      <c r="AM17" s="29">
        <f t="shared" si="1"/>
        <v>1523</v>
      </c>
      <c r="AN17" s="29">
        <f t="shared" si="1"/>
        <v>1524</v>
      </c>
      <c r="AO17" s="29">
        <f t="shared" si="1"/>
        <v>1525</v>
      </c>
      <c r="AP17" s="29">
        <f t="shared" si="1"/>
        <v>1526</v>
      </c>
      <c r="AQ17" s="29">
        <f t="shared" si="1"/>
        <v>1527</v>
      </c>
      <c r="AR17" s="29">
        <f t="shared" si="1"/>
        <v>1528</v>
      </c>
      <c r="AS17" s="29">
        <f t="shared" si="1"/>
        <v>1529</v>
      </c>
      <c r="AT17" s="29">
        <f t="shared" si="1"/>
        <v>1530</v>
      </c>
      <c r="AU17" s="29">
        <f t="shared" si="1"/>
        <v>1531</v>
      </c>
      <c r="AV17" s="29">
        <f t="shared" si="1"/>
        <v>1532</v>
      </c>
    </row>
    <row r="18" spans="2:48" x14ac:dyDescent="0.25">
      <c r="B18" s="28" t="s">
        <v>15</v>
      </c>
      <c r="C18" s="29">
        <f>C17+C19</f>
        <v>2000</v>
      </c>
      <c r="D18" s="29">
        <f>D17+C18</f>
        <v>3500</v>
      </c>
      <c r="E18" s="29">
        <f t="shared" ref="E18:P18" si="2">E17+D18</f>
        <v>5000</v>
      </c>
      <c r="F18" s="29">
        <f t="shared" si="2"/>
        <v>6500</v>
      </c>
      <c r="G18" s="29">
        <f t="shared" si="2"/>
        <v>8000</v>
      </c>
      <c r="H18" s="29">
        <f t="shared" si="2"/>
        <v>9500</v>
      </c>
      <c r="I18" s="29">
        <f t="shared" si="2"/>
        <v>11000</v>
      </c>
      <c r="J18" s="29">
        <f t="shared" si="2"/>
        <v>12500</v>
      </c>
      <c r="K18" s="29">
        <f t="shared" si="2"/>
        <v>14000</v>
      </c>
      <c r="L18" s="29">
        <f t="shared" si="2"/>
        <v>15500</v>
      </c>
      <c r="M18" s="29">
        <f t="shared" si="2"/>
        <v>17000</v>
      </c>
      <c r="N18" s="29">
        <f t="shared" si="2"/>
        <v>18500</v>
      </c>
      <c r="O18" s="29">
        <f t="shared" si="2"/>
        <v>20000</v>
      </c>
      <c r="P18" s="29">
        <f t="shared" si="2"/>
        <v>21500</v>
      </c>
      <c r="Q18" s="29">
        <f t="shared" ref="Q18" si="3">Q17+P18</f>
        <v>23001</v>
      </c>
      <c r="R18" s="29">
        <f t="shared" ref="R18" si="4">R17+Q18</f>
        <v>24503</v>
      </c>
      <c r="S18" s="29">
        <f t="shared" ref="S18" si="5">S17+R18</f>
        <v>26006</v>
      </c>
      <c r="T18" s="29">
        <f t="shared" ref="T18" si="6">T17+S18</f>
        <v>27510</v>
      </c>
      <c r="U18" s="29">
        <f t="shared" ref="U18" si="7">U17+T18</f>
        <v>29015</v>
      </c>
      <c r="V18" s="29">
        <f t="shared" ref="V18" si="8">V17+U18</f>
        <v>30521</v>
      </c>
      <c r="W18" s="29">
        <f t="shared" ref="W18" si="9">W17+V18</f>
        <v>32028</v>
      </c>
      <c r="X18" s="29">
        <f t="shared" ref="X18" si="10">X17+W18</f>
        <v>33536</v>
      </c>
      <c r="Y18" s="29">
        <f t="shared" ref="Y18" si="11">Y17+X18</f>
        <v>35045</v>
      </c>
      <c r="Z18" s="29">
        <f t="shared" ref="Z18" si="12">Z17+Y18</f>
        <v>36555</v>
      </c>
      <c r="AA18" s="29">
        <f t="shared" ref="AA18" si="13">AA17+Z18</f>
        <v>38066</v>
      </c>
      <c r="AB18" s="29">
        <f t="shared" ref="AB18" si="14">AB17+AA18</f>
        <v>39578</v>
      </c>
      <c r="AC18" s="29">
        <f t="shared" ref="AC18" si="15">AC17+AB18</f>
        <v>41091</v>
      </c>
      <c r="AD18" s="29">
        <f t="shared" ref="AD18" si="16">AD17+AC18</f>
        <v>42605</v>
      </c>
      <c r="AE18" s="29">
        <f t="shared" ref="AE18" si="17">AE17+AD18</f>
        <v>44120</v>
      </c>
      <c r="AF18" s="29">
        <f t="shared" ref="AF18" si="18">AF17+AE18</f>
        <v>45636</v>
      </c>
      <c r="AG18" s="29">
        <f t="shared" ref="AG18" si="19">AG17+AF18</f>
        <v>47153</v>
      </c>
      <c r="AH18" s="29">
        <f t="shared" ref="AH18" si="20">AH17+AG18</f>
        <v>48671</v>
      </c>
      <c r="AI18" s="29">
        <f t="shared" ref="AI18" si="21">AI17+AH18</f>
        <v>50190</v>
      </c>
      <c r="AJ18" s="29">
        <f t="shared" ref="AJ18" si="22">AJ17+AI18</f>
        <v>51710</v>
      </c>
      <c r="AK18" s="29">
        <f t="shared" ref="AK18" si="23">AK17+AJ18</f>
        <v>53231</v>
      </c>
      <c r="AL18" s="29">
        <f t="shared" ref="AL18" si="24">AL17+AK18</f>
        <v>54753</v>
      </c>
      <c r="AM18" s="29">
        <f t="shared" ref="AM18" si="25">AM17+AL18</f>
        <v>56276</v>
      </c>
      <c r="AN18" s="29">
        <f t="shared" ref="AN18" si="26">AN17+AM18</f>
        <v>57800</v>
      </c>
      <c r="AO18" s="29">
        <f t="shared" ref="AO18" si="27">AO17+AN18</f>
        <v>59325</v>
      </c>
      <c r="AP18" s="29">
        <f t="shared" ref="AP18" si="28">AP17+AO18</f>
        <v>60851</v>
      </c>
      <c r="AQ18" s="29">
        <f t="shared" ref="AQ18" si="29">AQ17+AP18</f>
        <v>62378</v>
      </c>
      <c r="AR18" s="29">
        <f t="shared" ref="AR18" si="30">AR17+AQ18</f>
        <v>63906</v>
      </c>
      <c r="AS18" s="29">
        <f t="shared" ref="AS18" si="31">AS17+AR18</f>
        <v>65435</v>
      </c>
      <c r="AT18" s="29">
        <f t="shared" ref="AT18" si="32">AT17+AS18</f>
        <v>66965</v>
      </c>
      <c r="AU18" s="29">
        <f t="shared" ref="AU18" si="33">AU17+AT18</f>
        <v>68496</v>
      </c>
      <c r="AV18" s="29">
        <f t="shared" ref="AV18" si="34">AV17+AU18</f>
        <v>70028</v>
      </c>
    </row>
    <row r="19" spans="2:48" x14ac:dyDescent="0.25">
      <c r="B19" s="28" t="s">
        <v>31</v>
      </c>
      <c r="C19" s="29">
        <v>500</v>
      </c>
      <c r="D19" s="22"/>
      <c r="E19" s="22"/>
      <c r="F19" s="22"/>
      <c r="G19" s="22"/>
      <c r="H19" s="22"/>
      <c r="I19" s="22"/>
      <c r="J19" s="22"/>
      <c r="K19" s="22"/>
      <c r="L19" s="22"/>
      <c r="M19" s="22"/>
      <c r="N19" s="22"/>
      <c r="O19" s="22"/>
      <c r="P19"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5C97-D5DA-419E-A595-311F37F8F26F}">
  <dimension ref="B3:AV34"/>
  <sheetViews>
    <sheetView workbookViewId="0">
      <selection activeCell="B3" sqref="B3"/>
    </sheetView>
  </sheetViews>
  <sheetFormatPr defaultRowHeight="15" x14ac:dyDescent="0.25"/>
  <cols>
    <col min="2" max="2" width="14.140625" bestFit="1" customWidth="1"/>
    <col min="3" max="6" width="11.140625" bestFit="1" customWidth="1"/>
    <col min="7" max="48" width="12.140625" bestFit="1" customWidth="1"/>
  </cols>
  <sheetData>
    <row r="3" spans="2:48" x14ac:dyDescent="0.25">
      <c r="C3" s="3">
        <f>Income!C6</f>
        <v>43160</v>
      </c>
      <c r="D3" s="3">
        <f>Income!D6</f>
        <v>43191</v>
      </c>
      <c r="E3" s="3">
        <f>Income!E6</f>
        <v>43221</v>
      </c>
      <c r="F3" s="3">
        <f>Income!F6</f>
        <v>43252</v>
      </c>
      <c r="G3" s="3">
        <f>Income!G6</f>
        <v>43282</v>
      </c>
      <c r="H3" s="3">
        <f>Income!H6</f>
        <v>43313</v>
      </c>
      <c r="I3" s="3">
        <f>Income!I6</f>
        <v>43344</v>
      </c>
      <c r="J3" s="3">
        <f>Income!J6</f>
        <v>43374</v>
      </c>
      <c r="K3" s="3">
        <f>Income!K6</f>
        <v>43405</v>
      </c>
      <c r="L3" s="3">
        <f>Income!L6</f>
        <v>43435</v>
      </c>
      <c r="M3" s="3">
        <f>Income!M6</f>
        <v>43466</v>
      </c>
      <c r="N3" s="3">
        <f>Income!N6</f>
        <v>43497</v>
      </c>
      <c r="O3" s="3">
        <f>Income!O6</f>
        <v>43525</v>
      </c>
      <c r="P3" s="3">
        <f>Income!P6</f>
        <v>43556</v>
      </c>
      <c r="Q3" s="3">
        <f>Income!Q6</f>
        <v>43586</v>
      </c>
      <c r="R3" s="3">
        <f>Income!R6</f>
        <v>43617</v>
      </c>
      <c r="S3" s="3">
        <f>Income!S6</f>
        <v>43647</v>
      </c>
      <c r="T3" s="3">
        <f>Income!T6</f>
        <v>43678</v>
      </c>
      <c r="U3" s="3">
        <f>Income!U6</f>
        <v>43709</v>
      </c>
      <c r="V3" s="3">
        <f>Income!V6</f>
        <v>43739</v>
      </c>
      <c r="W3" s="3">
        <f>Income!W6</f>
        <v>43770</v>
      </c>
      <c r="X3" s="3">
        <f>Income!X6</f>
        <v>43800</v>
      </c>
      <c r="Y3" s="3">
        <f>Income!Y6</f>
        <v>43831</v>
      </c>
      <c r="Z3" s="3">
        <f>Income!Z6</f>
        <v>43862</v>
      </c>
      <c r="AA3" s="3">
        <f>Income!AA6</f>
        <v>43891</v>
      </c>
      <c r="AB3" s="3">
        <f>Income!AB6</f>
        <v>43922</v>
      </c>
      <c r="AC3" s="3">
        <f>Income!AC6</f>
        <v>43952</v>
      </c>
      <c r="AD3" s="3">
        <f>Income!AD6</f>
        <v>43983</v>
      </c>
      <c r="AE3" s="3">
        <f>Income!AE6</f>
        <v>44013</v>
      </c>
      <c r="AF3" s="3">
        <f>Income!AF6</f>
        <v>44044</v>
      </c>
      <c r="AG3" s="3">
        <f>Income!AG6</f>
        <v>44075</v>
      </c>
      <c r="AH3" s="3">
        <f>Income!AH6</f>
        <v>44105</v>
      </c>
      <c r="AI3" s="3">
        <f>Income!AI6</f>
        <v>44136</v>
      </c>
      <c r="AJ3" s="3">
        <f>Income!AJ6</f>
        <v>44166</v>
      </c>
      <c r="AK3" s="3">
        <f>Income!AK6</f>
        <v>44197</v>
      </c>
      <c r="AL3" s="3">
        <f>Income!AL6</f>
        <v>44228</v>
      </c>
      <c r="AM3" s="3">
        <f>Income!AM6</f>
        <v>44256</v>
      </c>
      <c r="AN3" s="3">
        <f>Income!AN6</f>
        <v>44287</v>
      </c>
      <c r="AO3" s="3">
        <f>Income!AO6</f>
        <v>44317</v>
      </c>
      <c r="AP3" s="3">
        <f>Income!AP6</f>
        <v>44348</v>
      </c>
      <c r="AQ3" s="3">
        <f>Income!AQ6</f>
        <v>44378</v>
      </c>
      <c r="AR3" s="3">
        <f>Income!AR6</f>
        <v>44409</v>
      </c>
      <c r="AS3" s="3">
        <f>Income!AS6</f>
        <v>44440</v>
      </c>
      <c r="AT3" s="3">
        <f>Income!AT6</f>
        <v>44470</v>
      </c>
      <c r="AU3" s="3">
        <f>Income!AU6</f>
        <v>44501</v>
      </c>
      <c r="AV3" s="3">
        <f>Income!AV6</f>
        <v>44531</v>
      </c>
    </row>
    <row r="4" spans="2:48" x14ac:dyDescent="0.25">
      <c r="B4" s="25" t="s">
        <v>32</v>
      </c>
    </row>
    <row r="5" spans="2:48" x14ac:dyDescent="0.25">
      <c r="B5" s="23" t="str">
        <f>Income!B16</f>
        <v>Full Package</v>
      </c>
      <c r="C5" s="21">
        <f>Income!C16</f>
        <v>0</v>
      </c>
      <c r="D5" s="21">
        <f>Income!D16</f>
        <v>0</v>
      </c>
      <c r="E5" s="21">
        <f>Income!E16</f>
        <v>4000</v>
      </c>
      <c r="F5" s="21">
        <f>Income!F16</f>
        <v>4000</v>
      </c>
      <c r="G5" s="21">
        <f>Income!G16</f>
        <v>4000</v>
      </c>
      <c r="H5" s="21">
        <f>Income!H16</f>
        <v>5000</v>
      </c>
      <c r="I5" s="21">
        <f>Income!I16</f>
        <v>0</v>
      </c>
      <c r="J5" s="21">
        <f>Income!J16</f>
        <v>0</v>
      </c>
      <c r="K5" s="21">
        <f>Income!K16</f>
        <v>0</v>
      </c>
      <c r="L5" s="21">
        <f>Income!L16</f>
        <v>0</v>
      </c>
      <c r="M5" s="21">
        <f>Income!M16</f>
        <v>0</v>
      </c>
      <c r="N5" s="21">
        <f>Income!N16</f>
        <v>0</v>
      </c>
      <c r="O5" s="21">
        <f>Income!O16</f>
        <v>0</v>
      </c>
      <c r="P5" s="21">
        <f>Income!P16</f>
        <v>0</v>
      </c>
      <c r="Q5" s="21">
        <f>Income!Q16</f>
        <v>0</v>
      </c>
      <c r="R5" s="21">
        <f>Income!R16</f>
        <v>0</v>
      </c>
      <c r="S5" s="21">
        <f>Income!S16</f>
        <v>0</v>
      </c>
      <c r="T5" s="21">
        <f>Income!T16</f>
        <v>0</v>
      </c>
      <c r="U5" s="21">
        <f>Income!U16</f>
        <v>0</v>
      </c>
      <c r="V5" s="21">
        <f>Income!V16</f>
        <v>0</v>
      </c>
      <c r="W5" s="21">
        <f>Income!W16</f>
        <v>0</v>
      </c>
      <c r="X5" s="21">
        <f>Income!X16</f>
        <v>0</v>
      </c>
      <c r="Y5" s="21">
        <f>Income!Y16</f>
        <v>0</v>
      </c>
      <c r="Z5" s="21">
        <f>Income!Z16</f>
        <v>0</v>
      </c>
      <c r="AA5" s="21">
        <f>Income!AA16</f>
        <v>0</v>
      </c>
      <c r="AB5" s="21">
        <f>Income!AB16</f>
        <v>0</v>
      </c>
      <c r="AC5" s="21">
        <f>Income!AC16</f>
        <v>0</v>
      </c>
      <c r="AD5" s="21">
        <f>Income!AD16</f>
        <v>0</v>
      </c>
      <c r="AE5" s="21">
        <f>Income!AE16</f>
        <v>0</v>
      </c>
      <c r="AF5" s="21">
        <f>Income!AF16</f>
        <v>0</v>
      </c>
      <c r="AG5" s="21">
        <f>Income!AG16</f>
        <v>0</v>
      </c>
      <c r="AH5" s="21">
        <f>Income!AH16</f>
        <v>0</v>
      </c>
      <c r="AI5" s="21">
        <f>Income!AI16</f>
        <v>0</v>
      </c>
      <c r="AJ5" s="21">
        <f>Income!AJ16</f>
        <v>0</v>
      </c>
      <c r="AK5" s="21">
        <f>Income!AK16</f>
        <v>0</v>
      </c>
      <c r="AL5" s="21">
        <f>Income!AL16</f>
        <v>0</v>
      </c>
      <c r="AM5" s="21">
        <f>Income!AM16</f>
        <v>0</v>
      </c>
      <c r="AN5" s="21">
        <f>Income!AN16</f>
        <v>0</v>
      </c>
      <c r="AO5" s="21">
        <f>Income!AO16</f>
        <v>0</v>
      </c>
      <c r="AP5" s="21">
        <f>Income!AP16</f>
        <v>0</v>
      </c>
      <c r="AQ5" s="21">
        <f>Income!AQ16</f>
        <v>0</v>
      </c>
      <c r="AR5" s="21">
        <f>Income!AR16</f>
        <v>0</v>
      </c>
      <c r="AS5" s="21">
        <f>Income!AS16</f>
        <v>0</v>
      </c>
      <c r="AT5" s="21">
        <f>Income!AT16</f>
        <v>0</v>
      </c>
      <c r="AU5" s="21">
        <f>Income!AU16</f>
        <v>0</v>
      </c>
      <c r="AV5" s="21">
        <f>Income!AV16</f>
        <v>0</v>
      </c>
    </row>
    <row r="6" spans="2:48" x14ac:dyDescent="0.25">
      <c r="B6" s="23" t="str">
        <f>Income!B17</f>
        <v>App Download</v>
      </c>
      <c r="C6" s="21">
        <f>Income!C17</f>
        <v>0</v>
      </c>
      <c r="D6" s="21">
        <f>Income!D17</f>
        <v>0</v>
      </c>
      <c r="E6" s="21">
        <f>Income!E17</f>
        <v>100</v>
      </c>
      <c r="F6" s="21">
        <f>Income!F17</f>
        <v>200</v>
      </c>
      <c r="G6" s="21">
        <f>Income!G17</f>
        <v>300</v>
      </c>
      <c r="H6" s="21">
        <f>Income!H17</f>
        <v>425</v>
      </c>
      <c r="I6" s="21">
        <f>Income!I17</f>
        <v>425</v>
      </c>
      <c r="J6" s="21">
        <f>Income!J17</f>
        <v>425</v>
      </c>
      <c r="K6" s="21">
        <f>Income!K17</f>
        <v>425</v>
      </c>
      <c r="L6" s="21">
        <f>Income!L17</f>
        <v>425</v>
      </c>
      <c r="M6" s="21">
        <f>Income!M17</f>
        <v>425</v>
      </c>
      <c r="N6" s="21">
        <f>Income!N17</f>
        <v>425</v>
      </c>
      <c r="O6" s="21">
        <f>Income!O17</f>
        <v>425</v>
      </c>
      <c r="P6" s="21">
        <f>Income!P17</f>
        <v>425</v>
      </c>
      <c r="Q6" s="21">
        <f>Income!Q17</f>
        <v>425</v>
      </c>
      <c r="R6" s="21">
        <f>Income!R17</f>
        <v>425</v>
      </c>
      <c r="S6" s="21">
        <f>Income!S17</f>
        <v>425</v>
      </c>
      <c r="T6" s="21">
        <f>Income!T17</f>
        <v>425</v>
      </c>
      <c r="U6" s="21">
        <f>Income!U17</f>
        <v>425</v>
      </c>
      <c r="V6" s="21">
        <f>Income!V17</f>
        <v>425</v>
      </c>
      <c r="W6" s="21">
        <f>Income!W17</f>
        <v>425</v>
      </c>
      <c r="X6" s="21">
        <f>Income!X17</f>
        <v>425</v>
      </c>
      <c r="Y6" s="21">
        <f>Income!Y17</f>
        <v>425</v>
      </c>
      <c r="Z6" s="21">
        <f>Income!Z17</f>
        <v>425</v>
      </c>
      <c r="AA6" s="21">
        <f>Income!AA17</f>
        <v>425</v>
      </c>
      <c r="AB6" s="21">
        <f>Income!AB17</f>
        <v>425</v>
      </c>
      <c r="AC6" s="21">
        <f>Income!AC17</f>
        <v>425</v>
      </c>
      <c r="AD6" s="21">
        <f>Income!AD17</f>
        <v>425</v>
      </c>
      <c r="AE6" s="21">
        <f>Income!AE17</f>
        <v>425</v>
      </c>
      <c r="AF6" s="21">
        <f>Income!AF17</f>
        <v>425</v>
      </c>
      <c r="AG6" s="21">
        <f>Income!AG17</f>
        <v>425</v>
      </c>
      <c r="AH6" s="21">
        <f>Income!AH17</f>
        <v>425</v>
      </c>
      <c r="AI6" s="21">
        <f>Income!AI17</f>
        <v>425</v>
      </c>
      <c r="AJ6" s="21">
        <f>Income!AJ17</f>
        <v>425</v>
      </c>
      <c r="AK6" s="21">
        <f>Income!AK17</f>
        <v>425</v>
      </c>
      <c r="AL6" s="21">
        <f>Income!AL17</f>
        <v>425</v>
      </c>
      <c r="AM6" s="21">
        <f>Income!AM17</f>
        <v>425</v>
      </c>
      <c r="AN6" s="21">
        <f>Income!AN17</f>
        <v>425</v>
      </c>
      <c r="AO6" s="21">
        <f>Income!AO17</f>
        <v>425</v>
      </c>
      <c r="AP6" s="21">
        <f>Income!AP17</f>
        <v>425</v>
      </c>
      <c r="AQ6" s="21">
        <f>Income!AQ17</f>
        <v>425</v>
      </c>
      <c r="AR6" s="21">
        <f>Income!AR17</f>
        <v>425</v>
      </c>
      <c r="AS6" s="21">
        <f>Income!AS17</f>
        <v>425</v>
      </c>
      <c r="AT6" s="21">
        <f>Income!AT17</f>
        <v>425</v>
      </c>
      <c r="AU6" s="21">
        <f>Income!AU17</f>
        <v>425</v>
      </c>
      <c r="AV6" s="21">
        <f>Income!AV17</f>
        <v>425</v>
      </c>
    </row>
    <row r="7" spans="2:48" x14ac:dyDescent="0.25">
      <c r="B7" s="23" t="str">
        <f>Income!B18</f>
        <v>Consultancy</v>
      </c>
      <c r="C7" s="21">
        <f>Income!C18</f>
        <v>0</v>
      </c>
      <c r="D7" s="21">
        <f>Income!D18</f>
        <v>0</v>
      </c>
      <c r="E7" s="21">
        <f>Income!E18</f>
        <v>0</v>
      </c>
      <c r="F7" s="21">
        <f>Income!F18</f>
        <v>0</v>
      </c>
      <c r="G7" s="21">
        <f>Income!G18</f>
        <v>0</v>
      </c>
      <c r="H7" s="21">
        <f>Income!H18</f>
        <v>0</v>
      </c>
      <c r="I7" s="21">
        <f>Income!I18</f>
        <v>400</v>
      </c>
      <c r="J7" s="21">
        <f>Income!J18</f>
        <v>0</v>
      </c>
      <c r="K7" s="21">
        <f>Income!K18</f>
        <v>0</v>
      </c>
      <c r="L7" s="21">
        <f>Income!L18</f>
        <v>0</v>
      </c>
      <c r="M7" s="21">
        <f>Income!M18</f>
        <v>400</v>
      </c>
      <c r="N7" s="21">
        <f>Income!N18</f>
        <v>0</v>
      </c>
      <c r="O7" s="21">
        <f>Income!O18</f>
        <v>0</v>
      </c>
      <c r="P7" s="21">
        <f>Income!P18</f>
        <v>800</v>
      </c>
      <c r="Q7" s="21">
        <f>Income!Q18</f>
        <v>800</v>
      </c>
      <c r="R7" s="21">
        <f>Income!R18</f>
        <v>800</v>
      </c>
      <c r="S7" s="21">
        <f>Income!S18</f>
        <v>800</v>
      </c>
      <c r="T7" s="21">
        <f>Income!T18</f>
        <v>800</v>
      </c>
      <c r="U7" s="21">
        <f>Income!U18</f>
        <v>800</v>
      </c>
      <c r="V7" s="21">
        <f>Income!V18</f>
        <v>800</v>
      </c>
      <c r="W7" s="21">
        <f>Income!W18</f>
        <v>800</v>
      </c>
      <c r="X7" s="21">
        <f>Income!X18</f>
        <v>800</v>
      </c>
      <c r="Y7" s="21">
        <f>Income!Y18</f>
        <v>800</v>
      </c>
      <c r="Z7" s="21">
        <f>Income!Z18</f>
        <v>800</v>
      </c>
      <c r="AA7" s="21">
        <f>Income!AA18</f>
        <v>800</v>
      </c>
      <c r="AB7" s="21">
        <f>Income!AB18</f>
        <v>800</v>
      </c>
      <c r="AC7" s="21">
        <f>Income!AC18</f>
        <v>800</v>
      </c>
      <c r="AD7" s="21">
        <f>Income!AD18</f>
        <v>800</v>
      </c>
      <c r="AE7" s="21">
        <f>Income!AE18</f>
        <v>800</v>
      </c>
      <c r="AF7" s="21">
        <f>Income!AF18</f>
        <v>800</v>
      </c>
      <c r="AG7" s="21">
        <f>Income!AG18</f>
        <v>800</v>
      </c>
      <c r="AH7" s="21">
        <f>Income!AH18</f>
        <v>800</v>
      </c>
      <c r="AI7" s="21">
        <f>Income!AI18</f>
        <v>800</v>
      </c>
      <c r="AJ7" s="21">
        <f>Income!AJ18</f>
        <v>800</v>
      </c>
      <c r="AK7" s="21">
        <f>Income!AK18</f>
        <v>800</v>
      </c>
      <c r="AL7" s="21">
        <f>Income!AL18</f>
        <v>800</v>
      </c>
      <c r="AM7" s="21">
        <f>Income!AM18</f>
        <v>800</v>
      </c>
      <c r="AN7" s="21">
        <f>Income!AN18</f>
        <v>800</v>
      </c>
      <c r="AO7" s="21">
        <f>Income!AO18</f>
        <v>800</v>
      </c>
      <c r="AP7" s="21">
        <f>Income!AP18</f>
        <v>800</v>
      </c>
      <c r="AQ7" s="21">
        <f>Income!AQ18</f>
        <v>800</v>
      </c>
      <c r="AR7" s="21">
        <f>Income!AR18</f>
        <v>800</v>
      </c>
      <c r="AS7" s="21">
        <f>Income!AS18</f>
        <v>800</v>
      </c>
      <c r="AT7" s="21">
        <f>Income!AT18</f>
        <v>800</v>
      </c>
      <c r="AU7" s="21">
        <f>Income!AU18</f>
        <v>800</v>
      </c>
      <c r="AV7" s="21">
        <f>Income!AV18</f>
        <v>800</v>
      </c>
    </row>
    <row r="8" spans="2:48" x14ac:dyDescent="0.25">
      <c r="B8" s="23" t="str">
        <f>Income!B19</f>
        <v>Income 4</v>
      </c>
      <c r="C8" s="21">
        <f>Income!C19</f>
        <v>0</v>
      </c>
      <c r="D8" s="21">
        <f>Income!D19</f>
        <v>0</v>
      </c>
      <c r="E8" s="21">
        <f>Income!E19</f>
        <v>0</v>
      </c>
      <c r="F8" s="21">
        <f>Income!F19</f>
        <v>0</v>
      </c>
      <c r="G8" s="21">
        <f>Income!G19</f>
        <v>0</v>
      </c>
      <c r="H8" s="21">
        <f>Income!H19</f>
        <v>0</v>
      </c>
      <c r="I8" s="21">
        <f>Income!I19</f>
        <v>0</v>
      </c>
      <c r="J8" s="21">
        <f>Income!J19</f>
        <v>0</v>
      </c>
      <c r="K8" s="21">
        <f>Income!K19</f>
        <v>0</v>
      </c>
      <c r="L8" s="21">
        <f>Income!L19</f>
        <v>0</v>
      </c>
      <c r="M8" s="21">
        <f>Income!M19</f>
        <v>0</v>
      </c>
      <c r="N8" s="21">
        <f>Income!N19</f>
        <v>0</v>
      </c>
      <c r="O8" s="21">
        <f>Income!O19</f>
        <v>0</v>
      </c>
      <c r="P8" s="21">
        <f>Income!P19</f>
        <v>0</v>
      </c>
      <c r="Q8" s="21">
        <f>Income!Q19</f>
        <v>0</v>
      </c>
      <c r="R8" s="21">
        <f>Income!R19</f>
        <v>0</v>
      </c>
      <c r="S8" s="21">
        <f>Income!S19</f>
        <v>0</v>
      </c>
      <c r="T8" s="21">
        <f>Income!T19</f>
        <v>0</v>
      </c>
      <c r="U8" s="21">
        <f>Income!U19</f>
        <v>0</v>
      </c>
      <c r="V8" s="21">
        <f>Income!V19</f>
        <v>0</v>
      </c>
      <c r="W8" s="21">
        <f>Income!W19</f>
        <v>0</v>
      </c>
      <c r="X8" s="21">
        <f>Income!X19</f>
        <v>0</v>
      </c>
      <c r="Y8" s="21">
        <f>Income!Y19</f>
        <v>0</v>
      </c>
      <c r="Z8" s="21">
        <f>Income!Z19</f>
        <v>0</v>
      </c>
      <c r="AA8" s="21">
        <f>Income!AA19</f>
        <v>0</v>
      </c>
      <c r="AB8" s="21">
        <f>Income!AB19</f>
        <v>0</v>
      </c>
      <c r="AC8" s="21">
        <f>Income!AC19</f>
        <v>0</v>
      </c>
      <c r="AD8" s="21">
        <f>Income!AD19</f>
        <v>0</v>
      </c>
      <c r="AE8" s="21">
        <f>Income!AE19</f>
        <v>0</v>
      </c>
      <c r="AF8" s="21">
        <f>Income!AF19</f>
        <v>0</v>
      </c>
      <c r="AG8" s="21">
        <f>Income!AG19</f>
        <v>0</v>
      </c>
      <c r="AH8" s="21">
        <f>Income!AH19</f>
        <v>0</v>
      </c>
      <c r="AI8" s="21">
        <f>Income!AI19</f>
        <v>0</v>
      </c>
      <c r="AJ8" s="21">
        <f>Income!AJ19</f>
        <v>0</v>
      </c>
      <c r="AK8" s="21">
        <f>Income!AK19</f>
        <v>0</v>
      </c>
      <c r="AL8" s="21">
        <f>Income!AL19</f>
        <v>0</v>
      </c>
      <c r="AM8" s="21">
        <f>Income!AM19</f>
        <v>0</v>
      </c>
      <c r="AN8" s="21">
        <f>Income!AN19</f>
        <v>0</v>
      </c>
      <c r="AO8" s="21">
        <f>Income!AO19</f>
        <v>0</v>
      </c>
      <c r="AP8" s="21">
        <f>Income!AP19</f>
        <v>0</v>
      </c>
      <c r="AQ8" s="21">
        <f>Income!AQ19</f>
        <v>0</v>
      </c>
      <c r="AR8" s="21">
        <f>Income!AR19</f>
        <v>0</v>
      </c>
      <c r="AS8" s="21">
        <f>Income!AS19</f>
        <v>0</v>
      </c>
      <c r="AT8" s="21">
        <f>Income!AT19</f>
        <v>0</v>
      </c>
      <c r="AU8" s="21">
        <f>Income!AU19</f>
        <v>0</v>
      </c>
      <c r="AV8" s="21">
        <f>Income!AV19</f>
        <v>0</v>
      </c>
    </row>
    <row r="9" spans="2:48" x14ac:dyDescent="0.25">
      <c r="B9" s="23" t="str">
        <f>Income!B20</f>
        <v>Income 5</v>
      </c>
      <c r="C9" s="21">
        <f>Income!C20</f>
        <v>0</v>
      </c>
      <c r="D9" s="21">
        <f>Income!D20</f>
        <v>0</v>
      </c>
      <c r="E9" s="21">
        <f>Income!E20</f>
        <v>0</v>
      </c>
      <c r="F9" s="21">
        <f>Income!F20</f>
        <v>0</v>
      </c>
      <c r="G9" s="21">
        <f>Income!G20</f>
        <v>0</v>
      </c>
      <c r="H9" s="21">
        <f>Income!H20</f>
        <v>0</v>
      </c>
      <c r="I9" s="21">
        <f>Income!I20</f>
        <v>0</v>
      </c>
      <c r="J9" s="21">
        <f>Income!J20</f>
        <v>0</v>
      </c>
      <c r="K9" s="21">
        <f>Income!K20</f>
        <v>0</v>
      </c>
      <c r="L9" s="21">
        <f>Income!L20</f>
        <v>0</v>
      </c>
      <c r="M9" s="21">
        <f>Income!M20</f>
        <v>0</v>
      </c>
      <c r="N9" s="21">
        <f>Income!N20</f>
        <v>0</v>
      </c>
      <c r="O9" s="21">
        <f>Income!O20</f>
        <v>0</v>
      </c>
      <c r="P9" s="21">
        <f>Income!P20</f>
        <v>0</v>
      </c>
      <c r="Q9" s="21">
        <f>Income!Q20</f>
        <v>0</v>
      </c>
      <c r="R9" s="21">
        <f>Income!R20</f>
        <v>0</v>
      </c>
      <c r="S9" s="21">
        <f>Income!S20</f>
        <v>0</v>
      </c>
      <c r="T9" s="21">
        <f>Income!T20</f>
        <v>0</v>
      </c>
      <c r="U9" s="21">
        <f>Income!U20</f>
        <v>0</v>
      </c>
      <c r="V9" s="21">
        <f>Income!V20</f>
        <v>0</v>
      </c>
      <c r="W9" s="21">
        <f>Income!W20</f>
        <v>0</v>
      </c>
      <c r="X9" s="21">
        <f>Income!X20</f>
        <v>0</v>
      </c>
      <c r="Y9" s="21">
        <f>Income!Y20</f>
        <v>0</v>
      </c>
      <c r="Z9" s="21">
        <f>Income!Z20</f>
        <v>0</v>
      </c>
      <c r="AA9" s="21">
        <f>Income!AA20</f>
        <v>0</v>
      </c>
      <c r="AB9" s="21">
        <f>Income!AB20</f>
        <v>0</v>
      </c>
      <c r="AC9" s="21">
        <f>Income!AC20</f>
        <v>0</v>
      </c>
      <c r="AD9" s="21">
        <f>Income!AD20</f>
        <v>0</v>
      </c>
      <c r="AE9" s="21">
        <f>Income!AE20</f>
        <v>0</v>
      </c>
      <c r="AF9" s="21">
        <f>Income!AF20</f>
        <v>0</v>
      </c>
      <c r="AG9" s="21">
        <f>Income!AG20</f>
        <v>0</v>
      </c>
      <c r="AH9" s="21">
        <f>Income!AH20</f>
        <v>0</v>
      </c>
      <c r="AI9" s="21">
        <f>Income!AI20</f>
        <v>0</v>
      </c>
      <c r="AJ9" s="21">
        <f>Income!AJ20</f>
        <v>0</v>
      </c>
      <c r="AK9" s="21">
        <f>Income!AK20</f>
        <v>0</v>
      </c>
      <c r="AL9" s="21">
        <f>Income!AL20</f>
        <v>0</v>
      </c>
      <c r="AM9" s="21">
        <f>Income!AM20</f>
        <v>0</v>
      </c>
      <c r="AN9" s="21">
        <f>Income!AN20</f>
        <v>0</v>
      </c>
      <c r="AO9" s="21">
        <f>Income!AO20</f>
        <v>0</v>
      </c>
      <c r="AP9" s="21">
        <f>Income!AP20</f>
        <v>0</v>
      </c>
      <c r="AQ9" s="21">
        <f>Income!AQ20</f>
        <v>0</v>
      </c>
      <c r="AR9" s="21">
        <f>Income!AR20</f>
        <v>0</v>
      </c>
      <c r="AS9" s="21">
        <f>Income!AS20</f>
        <v>0</v>
      </c>
      <c r="AT9" s="21">
        <f>Income!AT20</f>
        <v>0</v>
      </c>
      <c r="AU9" s="21">
        <f>Income!AU20</f>
        <v>0</v>
      </c>
      <c r="AV9" s="21">
        <f>Income!AV20</f>
        <v>0</v>
      </c>
    </row>
    <row r="10" spans="2:48" x14ac:dyDescent="0.25">
      <c r="B10" s="23" t="str">
        <f>Income!B21</f>
        <v>Income 6</v>
      </c>
      <c r="C10" s="21">
        <f>Income!C21</f>
        <v>0</v>
      </c>
      <c r="D10" s="21">
        <f>Income!D21</f>
        <v>0</v>
      </c>
      <c r="E10" s="21">
        <f>Income!E21</f>
        <v>0</v>
      </c>
      <c r="F10" s="21">
        <f>Income!F21</f>
        <v>0</v>
      </c>
      <c r="G10" s="21">
        <f>Income!G21</f>
        <v>0</v>
      </c>
      <c r="H10" s="21">
        <f>Income!H21</f>
        <v>0</v>
      </c>
      <c r="I10" s="21">
        <f>Income!I21</f>
        <v>0</v>
      </c>
      <c r="J10" s="21">
        <f>Income!J21</f>
        <v>0</v>
      </c>
      <c r="K10" s="21">
        <f>Income!K21</f>
        <v>0</v>
      </c>
      <c r="L10" s="21">
        <f>Income!L21</f>
        <v>0</v>
      </c>
      <c r="M10" s="21">
        <f>Income!M21</f>
        <v>0</v>
      </c>
      <c r="N10" s="21">
        <f>Income!N21</f>
        <v>0</v>
      </c>
      <c r="O10" s="21">
        <f>Income!O21</f>
        <v>0</v>
      </c>
      <c r="P10" s="21">
        <f>Income!P21</f>
        <v>0</v>
      </c>
      <c r="Q10" s="21">
        <f>Income!Q21</f>
        <v>0</v>
      </c>
      <c r="R10" s="21">
        <f>Income!R21</f>
        <v>0</v>
      </c>
      <c r="S10" s="21">
        <f>Income!S21</f>
        <v>0</v>
      </c>
      <c r="T10" s="21">
        <f>Income!T21</f>
        <v>0</v>
      </c>
      <c r="U10" s="21">
        <f>Income!U21</f>
        <v>0</v>
      </c>
      <c r="V10" s="21">
        <f>Income!V21</f>
        <v>0</v>
      </c>
      <c r="W10" s="21">
        <f>Income!W21</f>
        <v>0</v>
      </c>
      <c r="X10" s="21">
        <f>Income!X21</f>
        <v>0</v>
      </c>
      <c r="Y10" s="21">
        <f>Income!Y21</f>
        <v>0</v>
      </c>
      <c r="Z10" s="21">
        <f>Income!Z21</f>
        <v>0</v>
      </c>
      <c r="AA10" s="21">
        <f>Income!AA21</f>
        <v>0</v>
      </c>
      <c r="AB10" s="21">
        <f>Income!AB21</f>
        <v>0</v>
      </c>
      <c r="AC10" s="21">
        <f>Income!AC21</f>
        <v>0</v>
      </c>
      <c r="AD10" s="21">
        <f>Income!AD21</f>
        <v>0</v>
      </c>
      <c r="AE10" s="21">
        <f>Income!AE21</f>
        <v>0</v>
      </c>
      <c r="AF10" s="21">
        <f>Income!AF21</f>
        <v>0</v>
      </c>
      <c r="AG10" s="21">
        <f>Income!AG21</f>
        <v>0</v>
      </c>
      <c r="AH10" s="21">
        <f>Income!AH21</f>
        <v>0</v>
      </c>
      <c r="AI10" s="21">
        <f>Income!AI21</f>
        <v>0</v>
      </c>
      <c r="AJ10" s="21">
        <f>Income!AJ21</f>
        <v>0</v>
      </c>
      <c r="AK10" s="21">
        <f>Income!AK21</f>
        <v>0</v>
      </c>
      <c r="AL10" s="21">
        <f>Income!AL21</f>
        <v>0</v>
      </c>
      <c r="AM10" s="21">
        <f>Income!AM21</f>
        <v>0</v>
      </c>
      <c r="AN10" s="21">
        <f>Income!AN21</f>
        <v>0</v>
      </c>
      <c r="AO10" s="21">
        <f>Income!AO21</f>
        <v>0</v>
      </c>
      <c r="AP10" s="21">
        <f>Income!AP21</f>
        <v>0</v>
      </c>
      <c r="AQ10" s="21">
        <f>Income!AQ21</f>
        <v>0</v>
      </c>
      <c r="AR10" s="21">
        <f>Income!AR21</f>
        <v>0</v>
      </c>
      <c r="AS10" s="21">
        <f>Income!AS21</f>
        <v>0</v>
      </c>
      <c r="AT10" s="21">
        <f>Income!AT21</f>
        <v>0</v>
      </c>
      <c r="AU10" s="21">
        <f>Income!AU21</f>
        <v>0</v>
      </c>
      <c r="AV10" s="21">
        <f>Income!AV21</f>
        <v>0</v>
      </c>
    </row>
    <row r="11" spans="2:48" x14ac:dyDescent="0.25">
      <c r="B11" s="23"/>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row>
    <row r="12" spans="2:48" x14ac:dyDescent="0.25">
      <c r="B12" s="24" t="str">
        <f>Income!B23</f>
        <v>Total</v>
      </c>
      <c r="C12" s="22">
        <f>Income!C23</f>
        <v>0</v>
      </c>
      <c r="D12" s="22">
        <f>Income!D23</f>
        <v>0</v>
      </c>
      <c r="E12" s="22">
        <f>Income!E23</f>
        <v>4100</v>
      </c>
      <c r="F12" s="22">
        <f>Income!F23</f>
        <v>4200</v>
      </c>
      <c r="G12" s="22">
        <f>Income!G23</f>
        <v>4300</v>
      </c>
      <c r="H12" s="22">
        <f>Income!H23</f>
        <v>5425</v>
      </c>
      <c r="I12" s="22">
        <f>Income!I23</f>
        <v>825</v>
      </c>
      <c r="J12" s="22">
        <f>Income!J23</f>
        <v>425</v>
      </c>
      <c r="K12" s="22">
        <f>Income!K23</f>
        <v>425</v>
      </c>
      <c r="L12" s="22">
        <f>Income!L23</f>
        <v>425</v>
      </c>
      <c r="M12" s="22">
        <f>Income!M23</f>
        <v>825</v>
      </c>
      <c r="N12" s="22">
        <f>Income!N23</f>
        <v>425</v>
      </c>
      <c r="O12" s="22">
        <f>Income!O23</f>
        <v>425</v>
      </c>
      <c r="P12" s="22">
        <f>Income!P23</f>
        <v>1225</v>
      </c>
      <c r="Q12" s="22">
        <f>Income!Q23</f>
        <v>1225</v>
      </c>
      <c r="R12" s="22">
        <f>Income!R23</f>
        <v>1225</v>
      </c>
      <c r="S12" s="22">
        <f>Income!S23</f>
        <v>1225</v>
      </c>
      <c r="T12" s="22">
        <f>Income!T23</f>
        <v>1225</v>
      </c>
      <c r="U12" s="22">
        <f>Income!U23</f>
        <v>1225</v>
      </c>
      <c r="V12" s="22">
        <f>Income!V23</f>
        <v>1225</v>
      </c>
      <c r="W12" s="22">
        <f>Income!W23</f>
        <v>1225</v>
      </c>
      <c r="X12" s="22">
        <f>Income!X23</f>
        <v>1225</v>
      </c>
      <c r="Y12" s="22">
        <f>Income!Y23</f>
        <v>1225</v>
      </c>
      <c r="Z12" s="22">
        <f>Income!Z23</f>
        <v>1225</v>
      </c>
      <c r="AA12" s="22">
        <f>Income!AA23</f>
        <v>1225</v>
      </c>
      <c r="AB12" s="22">
        <f>Income!AB23</f>
        <v>1225</v>
      </c>
      <c r="AC12" s="22">
        <f>Income!AC23</f>
        <v>1225</v>
      </c>
      <c r="AD12" s="22">
        <f>Income!AD23</f>
        <v>1225</v>
      </c>
      <c r="AE12" s="22">
        <f>Income!AE23</f>
        <v>1225</v>
      </c>
      <c r="AF12" s="22">
        <f>Income!AF23</f>
        <v>1225</v>
      </c>
      <c r="AG12" s="22">
        <f>Income!AG23</f>
        <v>1225</v>
      </c>
      <c r="AH12" s="22">
        <f>Income!AH23</f>
        <v>1225</v>
      </c>
      <c r="AI12" s="22">
        <f>Income!AI23</f>
        <v>1225</v>
      </c>
      <c r="AJ12" s="22">
        <f>Income!AJ23</f>
        <v>1225</v>
      </c>
      <c r="AK12" s="22">
        <f>Income!AK23</f>
        <v>1225</v>
      </c>
      <c r="AL12" s="22">
        <f>Income!AL23</f>
        <v>1225</v>
      </c>
      <c r="AM12" s="22">
        <f>Income!AM23</f>
        <v>1225</v>
      </c>
      <c r="AN12" s="22">
        <f>Income!AN23</f>
        <v>1225</v>
      </c>
      <c r="AO12" s="22">
        <f>Income!AO23</f>
        <v>1225</v>
      </c>
      <c r="AP12" s="22">
        <f>Income!AP23</f>
        <v>1225</v>
      </c>
      <c r="AQ12" s="22">
        <f>Income!AQ23</f>
        <v>1225</v>
      </c>
      <c r="AR12" s="22">
        <f>Income!AR23</f>
        <v>1225</v>
      </c>
      <c r="AS12" s="22">
        <f>Income!AS23</f>
        <v>1225</v>
      </c>
      <c r="AT12" s="22">
        <f>Income!AT23</f>
        <v>1225</v>
      </c>
      <c r="AU12" s="22">
        <f>Income!AU23</f>
        <v>1225</v>
      </c>
      <c r="AV12" s="22">
        <f>Income!AV23</f>
        <v>1225</v>
      </c>
    </row>
    <row r="13" spans="2:48" x14ac:dyDescent="0.25">
      <c r="B13" s="24" t="str">
        <f>Income!B24</f>
        <v>Running Total</v>
      </c>
      <c r="C13" s="22">
        <f>Income!C24</f>
        <v>0</v>
      </c>
      <c r="D13" s="22">
        <f>Income!D24</f>
        <v>0</v>
      </c>
      <c r="E13" s="22">
        <f>Income!E24</f>
        <v>4100</v>
      </c>
      <c r="F13" s="22">
        <f>Income!F24</f>
        <v>8300</v>
      </c>
      <c r="G13" s="22">
        <f>Income!G24</f>
        <v>12600</v>
      </c>
      <c r="H13" s="22">
        <f>Income!H24</f>
        <v>18025</v>
      </c>
      <c r="I13" s="22">
        <f>Income!I24</f>
        <v>18850</v>
      </c>
      <c r="J13" s="22">
        <f>Income!J24</f>
        <v>19275</v>
      </c>
      <c r="K13" s="22">
        <f>Income!K24</f>
        <v>19700</v>
      </c>
      <c r="L13" s="22">
        <f>Income!L24</f>
        <v>20125</v>
      </c>
      <c r="M13" s="22">
        <f>Income!M24</f>
        <v>20950</v>
      </c>
      <c r="N13" s="22">
        <f>Income!N24</f>
        <v>21375</v>
      </c>
      <c r="O13" s="22">
        <f>Income!O24</f>
        <v>21800</v>
      </c>
      <c r="P13" s="22">
        <f>Income!P24</f>
        <v>23025</v>
      </c>
      <c r="Q13" s="22">
        <f>Income!Q24</f>
        <v>24250</v>
      </c>
      <c r="R13" s="22">
        <f>Income!R24</f>
        <v>25475</v>
      </c>
      <c r="S13" s="22">
        <f>Income!S24</f>
        <v>26700</v>
      </c>
      <c r="T13" s="22">
        <f>Income!T24</f>
        <v>27925</v>
      </c>
      <c r="U13" s="22">
        <f>Income!U24</f>
        <v>29150</v>
      </c>
      <c r="V13" s="22">
        <f>Income!V24</f>
        <v>30375</v>
      </c>
      <c r="W13" s="22">
        <f>Income!W24</f>
        <v>31600</v>
      </c>
      <c r="X13" s="22">
        <f>Income!X24</f>
        <v>32825</v>
      </c>
      <c r="Y13" s="22">
        <f>Income!Y24</f>
        <v>34050</v>
      </c>
      <c r="Z13" s="22">
        <f>Income!Z24</f>
        <v>35275</v>
      </c>
      <c r="AA13" s="22">
        <f>Income!AA24</f>
        <v>36500</v>
      </c>
      <c r="AB13" s="22">
        <f>Income!AB24</f>
        <v>37725</v>
      </c>
      <c r="AC13" s="22">
        <f>Income!AC24</f>
        <v>38950</v>
      </c>
      <c r="AD13" s="22">
        <f>Income!AD24</f>
        <v>40175</v>
      </c>
      <c r="AE13" s="22">
        <f>Income!AE24</f>
        <v>41400</v>
      </c>
      <c r="AF13" s="22">
        <f>Income!AF24</f>
        <v>42625</v>
      </c>
      <c r="AG13" s="22">
        <f>Income!AG24</f>
        <v>43850</v>
      </c>
      <c r="AH13" s="22">
        <f>Income!AH24</f>
        <v>45075</v>
      </c>
      <c r="AI13" s="22">
        <f>Income!AI24</f>
        <v>46300</v>
      </c>
      <c r="AJ13" s="22">
        <f>Income!AJ24</f>
        <v>47525</v>
      </c>
      <c r="AK13" s="22">
        <f>Income!AK24</f>
        <v>48750</v>
      </c>
      <c r="AL13" s="22">
        <f>Income!AL24</f>
        <v>49975</v>
      </c>
      <c r="AM13" s="22">
        <f>Income!AM24</f>
        <v>51200</v>
      </c>
      <c r="AN13" s="22">
        <f>Income!AN24</f>
        <v>52425</v>
      </c>
      <c r="AO13" s="22">
        <f>Income!AO24</f>
        <v>53650</v>
      </c>
      <c r="AP13" s="22">
        <f>Income!AP24</f>
        <v>54875</v>
      </c>
      <c r="AQ13" s="22">
        <f>Income!AQ24</f>
        <v>56100</v>
      </c>
      <c r="AR13" s="22">
        <f>Income!AR24</f>
        <v>57325</v>
      </c>
      <c r="AS13" s="22">
        <f>Income!AS24</f>
        <v>58550</v>
      </c>
      <c r="AT13" s="22">
        <f>Income!AT24</f>
        <v>59775</v>
      </c>
      <c r="AU13" s="22">
        <f>Income!AU24</f>
        <v>61000</v>
      </c>
      <c r="AV13" s="22">
        <f>Income!AV24</f>
        <v>62225</v>
      </c>
    </row>
    <row r="14" spans="2:48" x14ac:dyDescent="0.25">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row>
    <row r="15" spans="2:48" x14ac:dyDescent="0.25">
      <c r="B15" s="1" t="s">
        <v>33</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row>
    <row r="16" spans="2:48" x14ac:dyDescent="0.25">
      <c r="B16" s="23" t="str">
        <f>Expenditure!B4</f>
        <v>Salaries</v>
      </c>
      <c r="C16" s="4">
        <f>Expenditure!C4</f>
        <v>1500</v>
      </c>
      <c r="D16" s="4">
        <f>Expenditure!D4</f>
        <v>1500</v>
      </c>
      <c r="E16" s="4">
        <f>Expenditure!E4</f>
        <v>1500</v>
      </c>
      <c r="F16" s="4">
        <f>Expenditure!F4</f>
        <v>1500</v>
      </c>
      <c r="G16" s="4">
        <f>Expenditure!G4</f>
        <v>1500</v>
      </c>
      <c r="H16" s="4">
        <f>Expenditure!H4</f>
        <v>1500</v>
      </c>
      <c r="I16" s="4">
        <f>Expenditure!I4</f>
        <v>1500</v>
      </c>
      <c r="J16" s="4">
        <f>Expenditure!J4</f>
        <v>1500</v>
      </c>
      <c r="K16" s="4">
        <f>Expenditure!K4</f>
        <v>1500</v>
      </c>
      <c r="L16" s="4">
        <f>Expenditure!L4</f>
        <v>1500</v>
      </c>
      <c r="M16" s="4">
        <f>Expenditure!M4</f>
        <v>1500</v>
      </c>
      <c r="N16" s="4">
        <f>Expenditure!N4</f>
        <v>1500</v>
      </c>
      <c r="O16" s="4">
        <f>Expenditure!O4</f>
        <v>1500</v>
      </c>
      <c r="P16" s="4">
        <f>Expenditure!P4</f>
        <v>1500</v>
      </c>
      <c r="Q16" s="4">
        <f>Expenditure!Q4</f>
        <v>1501</v>
      </c>
      <c r="R16" s="4">
        <f>Expenditure!R4</f>
        <v>1502</v>
      </c>
      <c r="S16" s="4">
        <f>Expenditure!S4</f>
        <v>1503</v>
      </c>
      <c r="T16" s="4">
        <f>Expenditure!T4</f>
        <v>1504</v>
      </c>
      <c r="U16" s="4">
        <f>Expenditure!U4</f>
        <v>1505</v>
      </c>
      <c r="V16" s="4">
        <f>Expenditure!V4</f>
        <v>1506</v>
      </c>
      <c r="W16" s="4">
        <f>Expenditure!W4</f>
        <v>1507</v>
      </c>
      <c r="X16" s="4">
        <f>Expenditure!X4</f>
        <v>1508</v>
      </c>
      <c r="Y16" s="4">
        <f>Expenditure!Y4</f>
        <v>1509</v>
      </c>
      <c r="Z16" s="4">
        <f>Expenditure!Z4</f>
        <v>1510</v>
      </c>
      <c r="AA16" s="4">
        <f>Expenditure!AA4</f>
        <v>1511</v>
      </c>
      <c r="AB16" s="4">
        <f>Expenditure!AB4</f>
        <v>1512</v>
      </c>
      <c r="AC16" s="4">
        <f>Expenditure!AC4</f>
        <v>1513</v>
      </c>
      <c r="AD16" s="4">
        <f>Expenditure!AD4</f>
        <v>1514</v>
      </c>
      <c r="AE16" s="4">
        <f>Expenditure!AE4</f>
        <v>1515</v>
      </c>
      <c r="AF16" s="4">
        <f>Expenditure!AF4</f>
        <v>1516</v>
      </c>
      <c r="AG16" s="4">
        <f>Expenditure!AG4</f>
        <v>1517</v>
      </c>
      <c r="AH16" s="4">
        <f>Expenditure!AH4</f>
        <v>1518</v>
      </c>
      <c r="AI16" s="4">
        <f>Expenditure!AI4</f>
        <v>1519</v>
      </c>
      <c r="AJ16" s="4">
        <f>Expenditure!AJ4</f>
        <v>1520</v>
      </c>
      <c r="AK16" s="4">
        <f>Expenditure!AK4</f>
        <v>1521</v>
      </c>
      <c r="AL16" s="4">
        <f>Expenditure!AL4</f>
        <v>1522</v>
      </c>
      <c r="AM16" s="4">
        <f>Expenditure!AM4</f>
        <v>1523</v>
      </c>
      <c r="AN16" s="4">
        <f>Expenditure!AN4</f>
        <v>1524</v>
      </c>
      <c r="AO16" s="4">
        <f>Expenditure!AO4</f>
        <v>1525</v>
      </c>
      <c r="AP16" s="4">
        <f>Expenditure!AP4</f>
        <v>1526</v>
      </c>
      <c r="AQ16" s="4">
        <f>Expenditure!AQ4</f>
        <v>1527</v>
      </c>
      <c r="AR16" s="4">
        <f>Expenditure!AR4</f>
        <v>1528</v>
      </c>
      <c r="AS16" s="4">
        <f>Expenditure!AS4</f>
        <v>1529</v>
      </c>
      <c r="AT16" s="4">
        <f>Expenditure!AT4</f>
        <v>1530</v>
      </c>
      <c r="AU16" s="4">
        <f>Expenditure!AU4</f>
        <v>1531</v>
      </c>
      <c r="AV16" s="4">
        <f>Expenditure!AV4</f>
        <v>1532</v>
      </c>
    </row>
    <row r="17" spans="2:48" x14ac:dyDescent="0.25">
      <c r="B17" s="23" t="str">
        <f>Expenditure!B5</f>
        <v>Outgoing 2</v>
      </c>
      <c r="C17" s="4">
        <f>Expenditure!C5</f>
        <v>0</v>
      </c>
      <c r="D17" s="4">
        <f>Expenditure!D5</f>
        <v>0</v>
      </c>
      <c r="E17" s="4">
        <f>Expenditure!E5</f>
        <v>0</v>
      </c>
      <c r="F17" s="4">
        <f>Expenditure!F5</f>
        <v>0</v>
      </c>
      <c r="G17" s="4">
        <f>Expenditure!G5</f>
        <v>0</v>
      </c>
      <c r="H17" s="4">
        <f>Expenditure!H5</f>
        <v>0</v>
      </c>
      <c r="I17" s="4">
        <f>Expenditure!I5</f>
        <v>0</v>
      </c>
      <c r="J17" s="4">
        <f>Expenditure!J5</f>
        <v>0</v>
      </c>
      <c r="K17" s="4">
        <f>Expenditure!K5</f>
        <v>0</v>
      </c>
      <c r="L17" s="4">
        <f>Expenditure!L5</f>
        <v>0</v>
      </c>
      <c r="M17" s="4">
        <f>Expenditure!M5</f>
        <v>0</v>
      </c>
      <c r="N17" s="4">
        <f>Expenditure!N5</f>
        <v>0</v>
      </c>
      <c r="O17" s="4">
        <f>Expenditure!O5</f>
        <v>0</v>
      </c>
      <c r="P17" s="4">
        <f>Expenditure!P5</f>
        <v>0</v>
      </c>
      <c r="Q17" s="4">
        <f>Expenditure!Q5</f>
        <v>0</v>
      </c>
      <c r="R17" s="4">
        <f>Expenditure!R5</f>
        <v>0</v>
      </c>
      <c r="S17" s="4">
        <f>Expenditure!S5</f>
        <v>0</v>
      </c>
      <c r="T17" s="4">
        <f>Expenditure!T5</f>
        <v>0</v>
      </c>
      <c r="U17" s="4">
        <f>Expenditure!U5</f>
        <v>0</v>
      </c>
      <c r="V17" s="4">
        <f>Expenditure!V5</f>
        <v>0</v>
      </c>
      <c r="W17" s="4">
        <f>Expenditure!W5</f>
        <v>0</v>
      </c>
      <c r="X17" s="4">
        <f>Expenditure!X5</f>
        <v>0</v>
      </c>
      <c r="Y17" s="4">
        <f>Expenditure!Y5</f>
        <v>0</v>
      </c>
      <c r="Z17" s="4">
        <f>Expenditure!Z5</f>
        <v>0</v>
      </c>
      <c r="AA17" s="4">
        <f>Expenditure!AA5</f>
        <v>0</v>
      </c>
      <c r="AB17" s="4">
        <f>Expenditure!AB5</f>
        <v>0</v>
      </c>
      <c r="AC17" s="4">
        <f>Expenditure!AC5</f>
        <v>0</v>
      </c>
      <c r="AD17" s="4">
        <f>Expenditure!AD5</f>
        <v>0</v>
      </c>
      <c r="AE17" s="4">
        <f>Expenditure!AE5</f>
        <v>0</v>
      </c>
      <c r="AF17" s="4">
        <f>Expenditure!AF5</f>
        <v>0</v>
      </c>
      <c r="AG17" s="4">
        <f>Expenditure!AG5</f>
        <v>0</v>
      </c>
      <c r="AH17" s="4">
        <f>Expenditure!AH5</f>
        <v>0</v>
      </c>
      <c r="AI17" s="4">
        <f>Expenditure!AI5</f>
        <v>0</v>
      </c>
      <c r="AJ17" s="4">
        <f>Expenditure!AJ5</f>
        <v>0</v>
      </c>
      <c r="AK17" s="4">
        <f>Expenditure!AK5</f>
        <v>0</v>
      </c>
      <c r="AL17" s="4">
        <f>Expenditure!AL5</f>
        <v>0</v>
      </c>
      <c r="AM17" s="4">
        <f>Expenditure!AM5</f>
        <v>0</v>
      </c>
      <c r="AN17" s="4">
        <f>Expenditure!AN5</f>
        <v>0</v>
      </c>
      <c r="AO17" s="4">
        <f>Expenditure!AO5</f>
        <v>0</v>
      </c>
      <c r="AP17" s="4">
        <f>Expenditure!AP5</f>
        <v>0</v>
      </c>
      <c r="AQ17" s="4">
        <f>Expenditure!AQ5</f>
        <v>0</v>
      </c>
      <c r="AR17" s="4">
        <f>Expenditure!AR5</f>
        <v>0</v>
      </c>
      <c r="AS17" s="4">
        <f>Expenditure!AS5</f>
        <v>0</v>
      </c>
      <c r="AT17" s="4">
        <f>Expenditure!AT5</f>
        <v>0</v>
      </c>
      <c r="AU17" s="4">
        <f>Expenditure!AU5</f>
        <v>0</v>
      </c>
      <c r="AV17" s="4">
        <f>Expenditure!AV5</f>
        <v>0</v>
      </c>
    </row>
    <row r="18" spans="2:48" x14ac:dyDescent="0.25">
      <c r="B18" s="23" t="str">
        <f>Expenditure!B6</f>
        <v>Outgoing 3</v>
      </c>
      <c r="C18" s="4">
        <f>Expenditure!C6</f>
        <v>0</v>
      </c>
      <c r="D18" s="4">
        <f>Expenditure!D6</f>
        <v>0</v>
      </c>
      <c r="E18" s="4">
        <f>Expenditure!E6</f>
        <v>0</v>
      </c>
      <c r="F18" s="4">
        <f>Expenditure!F6</f>
        <v>0</v>
      </c>
      <c r="G18" s="4">
        <f>Expenditure!G6</f>
        <v>0</v>
      </c>
      <c r="H18" s="4">
        <f>Expenditure!H6</f>
        <v>0</v>
      </c>
      <c r="I18" s="4">
        <f>Expenditure!I6</f>
        <v>0</v>
      </c>
      <c r="J18" s="4">
        <f>Expenditure!J6</f>
        <v>0</v>
      </c>
      <c r="K18" s="4">
        <f>Expenditure!K6</f>
        <v>0</v>
      </c>
      <c r="L18" s="4">
        <f>Expenditure!L6</f>
        <v>0</v>
      </c>
      <c r="M18" s="4">
        <f>Expenditure!M6</f>
        <v>0</v>
      </c>
      <c r="N18" s="4">
        <f>Expenditure!N6</f>
        <v>0</v>
      </c>
      <c r="O18" s="4">
        <f>Expenditure!O6</f>
        <v>0</v>
      </c>
      <c r="P18" s="4">
        <f>Expenditure!P6</f>
        <v>0</v>
      </c>
      <c r="Q18" s="4">
        <f>Expenditure!Q6</f>
        <v>0</v>
      </c>
      <c r="R18" s="4">
        <f>Expenditure!R6</f>
        <v>0</v>
      </c>
      <c r="S18" s="4">
        <f>Expenditure!S6</f>
        <v>0</v>
      </c>
      <c r="T18" s="4">
        <f>Expenditure!T6</f>
        <v>0</v>
      </c>
      <c r="U18" s="4">
        <f>Expenditure!U6</f>
        <v>0</v>
      </c>
      <c r="V18" s="4">
        <f>Expenditure!V6</f>
        <v>0</v>
      </c>
      <c r="W18" s="4">
        <f>Expenditure!W6</f>
        <v>0</v>
      </c>
      <c r="X18" s="4">
        <f>Expenditure!X6</f>
        <v>0</v>
      </c>
      <c r="Y18" s="4">
        <f>Expenditure!Y6</f>
        <v>0</v>
      </c>
      <c r="Z18" s="4">
        <f>Expenditure!Z6</f>
        <v>0</v>
      </c>
      <c r="AA18" s="4">
        <f>Expenditure!AA6</f>
        <v>0</v>
      </c>
      <c r="AB18" s="4">
        <f>Expenditure!AB6</f>
        <v>0</v>
      </c>
      <c r="AC18" s="4">
        <f>Expenditure!AC6</f>
        <v>0</v>
      </c>
      <c r="AD18" s="4">
        <f>Expenditure!AD6</f>
        <v>0</v>
      </c>
      <c r="AE18" s="4">
        <f>Expenditure!AE6</f>
        <v>0</v>
      </c>
      <c r="AF18" s="4">
        <f>Expenditure!AF6</f>
        <v>0</v>
      </c>
      <c r="AG18" s="4">
        <f>Expenditure!AG6</f>
        <v>0</v>
      </c>
      <c r="AH18" s="4">
        <f>Expenditure!AH6</f>
        <v>0</v>
      </c>
      <c r="AI18" s="4">
        <f>Expenditure!AI6</f>
        <v>0</v>
      </c>
      <c r="AJ18" s="4">
        <f>Expenditure!AJ6</f>
        <v>0</v>
      </c>
      <c r="AK18" s="4">
        <f>Expenditure!AK6</f>
        <v>0</v>
      </c>
      <c r="AL18" s="4">
        <f>Expenditure!AL6</f>
        <v>0</v>
      </c>
      <c r="AM18" s="4">
        <f>Expenditure!AM6</f>
        <v>0</v>
      </c>
      <c r="AN18" s="4">
        <f>Expenditure!AN6</f>
        <v>0</v>
      </c>
      <c r="AO18" s="4">
        <f>Expenditure!AO6</f>
        <v>0</v>
      </c>
      <c r="AP18" s="4">
        <f>Expenditure!AP6</f>
        <v>0</v>
      </c>
      <c r="AQ18" s="4">
        <f>Expenditure!AQ6</f>
        <v>0</v>
      </c>
      <c r="AR18" s="4">
        <f>Expenditure!AR6</f>
        <v>0</v>
      </c>
      <c r="AS18" s="4">
        <f>Expenditure!AS6</f>
        <v>0</v>
      </c>
      <c r="AT18" s="4">
        <f>Expenditure!AT6</f>
        <v>0</v>
      </c>
      <c r="AU18" s="4">
        <f>Expenditure!AU6</f>
        <v>0</v>
      </c>
      <c r="AV18" s="4">
        <f>Expenditure!AV6</f>
        <v>0</v>
      </c>
    </row>
    <row r="19" spans="2:48" x14ac:dyDescent="0.25">
      <c r="B19" s="23" t="str">
        <f>Expenditure!B7</f>
        <v>Outgoing 4</v>
      </c>
      <c r="C19" s="4">
        <f>Expenditure!C7</f>
        <v>0</v>
      </c>
      <c r="D19" s="4">
        <f>Expenditure!D7</f>
        <v>0</v>
      </c>
      <c r="E19" s="4">
        <f>Expenditure!E7</f>
        <v>0</v>
      </c>
      <c r="F19" s="4">
        <f>Expenditure!F7</f>
        <v>0</v>
      </c>
      <c r="G19" s="4">
        <f>Expenditure!G7</f>
        <v>0</v>
      </c>
      <c r="H19" s="4">
        <f>Expenditure!H7</f>
        <v>0</v>
      </c>
      <c r="I19" s="4">
        <f>Expenditure!I7</f>
        <v>0</v>
      </c>
      <c r="J19" s="4">
        <f>Expenditure!J7</f>
        <v>0</v>
      </c>
      <c r="K19" s="4">
        <f>Expenditure!K7</f>
        <v>0</v>
      </c>
      <c r="L19" s="4">
        <f>Expenditure!L7</f>
        <v>0</v>
      </c>
      <c r="M19" s="4">
        <f>Expenditure!M7</f>
        <v>0</v>
      </c>
      <c r="N19" s="4">
        <f>Expenditure!N7</f>
        <v>0</v>
      </c>
      <c r="O19" s="4">
        <f>Expenditure!O7</f>
        <v>0</v>
      </c>
      <c r="P19" s="4">
        <f>Expenditure!P7</f>
        <v>0</v>
      </c>
      <c r="Q19" s="4">
        <f>Expenditure!Q7</f>
        <v>0</v>
      </c>
      <c r="R19" s="4">
        <f>Expenditure!R7</f>
        <v>0</v>
      </c>
      <c r="S19" s="4">
        <f>Expenditure!S7</f>
        <v>0</v>
      </c>
      <c r="T19" s="4">
        <f>Expenditure!T7</f>
        <v>0</v>
      </c>
      <c r="U19" s="4">
        <f>Expenditure!U7</f>
        <v>0</v>
      </c>
      <c r="V19" s="4">
        <f>Expenditure!V7</f>
        <v>0</v>
      </c>
      <c r="W19" s="4">
        <f>Expenditure!W7</f>
        <v>0</v>
      </c>
      <c r="X19" s="4">
        <f>Expenditure!X7</f>
        <v>0</v>
      </c>
      <c r="Y19" s="4">
        <f>Expenditure!Y7</f>
        <v>0</v>
      </c>
      <c r="Z19" s="4">
        <f>Expenditure!Z7</f>
        <v>0</v>
      </c>
      <c r="AA19" s="4">
        <f>Expenditure!AA7</f>
        <v>0</v>
      </c>
      <c r="AB19" s="4">
        <f>Expenditure!AB7</f>
        <v>0</v>
      </c>
      <c r="AC19" s="4">
        <f>Expenditure!AC7</f>
        <v>0</v>
      </c>
      <c r="AD19" s="4">
        <f>Expenditure!AD7</f>
        <v>0</v>
      </c>
      <c r="AE19" s="4">
        <f>Expenditure!AE7</f>
        <v>0</v>
      </c>
      <c r="AF19" s="4">
        <f>Expenditure!AF7</f>
        <v>0</v>
      </c>
      <c r="AG19" s="4">
        <f>Expenditure!AG7</f>
        <v>0</v>
      </c>
      <c r="AH19" s="4">
        <f>Expenditure!AH7</f>
        <v>0</v>
      </c>
      <c r="AI19" s="4">
        <f>Expenditure!AI7</f>
        <v>0</v>
      </c>
      <c r="AJ19" s="4">
        <f>Expenditure!AJ7</f>
        <v>0</v>
      </c>
      <c r="AK19" s="4">
        <f>Expenditure!AK7</f>
        <v>0</v>
      </c>
      <c r="AL19" s="4">
        <f>Expenditure!AL7</f>
        <v>0</v>
      </c>
      <c r="AM19" s="4">
        <f>Expenditure!AM7</f>
        <v>0</v>
      </c>
      <c r="AN19" s="4">
        <f>Expenditure!AN7</f>
        <v>0</v>
      </c>
      <c r="AO19" s="4">
        <f>Expenditure!AO7</f>
        <v>0</v>
      </c>
      <c r="AP19" s="4">
        <f>Expenditure!AP7</f>
        <v>0</v>
      </c>
      <c r="AQ19" s="4">
        <f>Expenditure!AQ7</f>
        <v>0</v>
      </c>
      <c r="AR19" s="4">
        <f>Expenditure!AR7</f>
        <v>0</v>
      </c>
      <c r="AS19" s="4">
        <f>Expenditure!AS7</f>
        <v>0</v>
      </c>
      <c r="AT19" s="4">
        <f>Expenditure!AT7</f>
        <v>0</v>
      </c>
      <c r="AU19" s="4">
        <f>Expenditure!AU7</f>
        <v>0</v>
      </c>
      <c r="AV19" s="4">
        <f>Expenditure!AV7</f>
        <v>0</v>
      </c>
    </row>
    <row r="20" spans="2:48" x14ac:dyDescent="0.25">
      <c r="B20" s="23" t="str">
        <f>Expenditure!B8</f>
        <v>Outgoing 5</v>
      </c>
      <c r="C20" s="4">
        <f>Expenditure!C8</f>
        <v>0</v>
      </c>
      <c r="D20" s="4">
        <f>Expenditure!D8</f>
        <v>0</v>
      </c>
      <c r="E20" s="4">
        <f>Expenditure!E8</f>
        <v>0</v>
      </c>
      <c r="F20" s="4">
        <f>Expenditure!F8</f>
        <v>0</v>
      </c>
      <c r="G20" s="4">
        <f>Expenditure!G8</f>
        <v>0</v>
      </c>
      <c r="H20" s="4">
        <f>Expenditure!H8</f>
        <v>0</v>
      </c>
      <c r="I20" s="4">
        <f>Expenditure!I8</f>
        <v>0</v>
      </c>
      <c r="J20" s="4">
        <f>Expenditure!J8</f>
        <v>0</v>
      </c>
      <c r="K20" s="4">
        <f>Expenditure!K8</f>
        <v>0</v>
      </c>
      <c r="L20" s="4">
        <f>Expenditure!L8</f>
        <v>0</v>
      </c>
      <c r="M20" s="4">
        <f>Expenditure!M8</f>
        <v>0</v>
      </c>
      <c r="N20" s="4">
        <f>Expenditure!N8</f>
        <v>0</v>
      </c>
      <c r="O20" s="4">
        <f>Expenditure!O8</f>
        <v>0</v>
      </c>
      <c r="P20" s="4">
        <f>Expenditure!P8</f>
        <v>0</v>
      </c>
      <c r="Q20" s="4">
        <f>Expenditure!Q8</f>
        <v>0</v>
      </c>
      <c r="R20" s="4">
        <f>Expenditure!R8</f>
        <v>0</v>
      </c>
      <c r="S20" s="4">
        <f>Expenditure!S8</f>
        <v>0</v>
      </c>
      <c r="T20" s="4">
        <f>Expenditure!T8</f>
        <v>0</v>
      </c>
      <c r="U20" s="4">
        <f>Expenditure!U8</f>
        <v>0</v>
      </c>
      <c r="V20" s="4">
        <f>Expenditure!V8</f>
        <v>0</v>
      </c>
      <c r="W20" s="4">
        <f>Expenditure!W8</f>
        <v>0</v>
      </c>
      <c r="X20" s="4">
        <f>Expenditure!X8</f>
        <v>0</v>
      </c>
      <c r="Y20" s="4">
        <f>Expenditure!Y8</f>
        <v>0</v>
      </c>
      <c r="Z20" s="4">
        <f>Expenditure!Z8</f>
        <v>0</v>
      </c>
      <c r="AA20" s="4">
        <f>Expenditure!AA8</f>
        <v>0</v>
      </c>
      <c r="AB20" s="4">
        <f>Expenditure!AB8</f>
        <v>0</v>
      </c>
      <c r="AC20" s="4">
        <f>Expenditure!AC8</f>
        <v>0</v>
      </c>
      <c r="AD20" s="4">
        <f>Expenditure!AD8</f>
        <v>0</v>
      </c>
      <c r="AE20" s="4">
        <f>Expenditure!AE8</f>
        <v>0</v>
      </c>
      <c r="AF20" s="4">
        <f>Expenditure!AF8</f>
        <v>0</v>
      </c>
      <c r="AG20" s="4">
        <f>Expenditure!AG8</f>
        <v>0</v>
      </c>
      <c r="AH20" s="4">
        <f>Expenditure!AH8</f>
        <v>0</v>
      </c>
      <c r="AI20" s="4">
        <f>Expenditure!AI8</f>
        <v>0</v>
      </c>
      <c r="AJ20" s="4">
        <f>Expenditure!AJ8</f>
        <v>0</v>
      </c>
      <c r="AK20" s="4">
        <f>Expenditure!AK8</f>
        <v>0</v>
      </c>
      <c r="AL20" s="4">
        <f>Expenditure!AL8</f>
        <v>0</v>
      </c>
      <c r="AM20" s="4">
        <f>Expenditure!AM8</f>
        <v>0</v>
      </c>
      <c r="AN20" s="4">
        <f>Expenditure!AN8</f>
        <v>0</v>
      </c>
      <c r="AO20" s="4">
        <f>Expenditure!AO8</f>
        <v>0</v>
      </c>
      <c r="AP20" s="4">
        <f>Expenditure!AP8</f>
        <v>0</v>
      </c>
      <c r="AQ20" s="4">
        <f>Expenditure!AQ8</f>
        <v>0</v>
      </c>
      <c r="AR20" s="4">
        <f>Expenditure!AR8</f>
        <v>0</v>
      </c>
      <c r="AS20" s="4">
        <f>Expenditure!AS8</f>
        <v>0</v>
      </c>
      <c r="AT20" s="4">
        <f>Expenditure!AT8</f>
        <v>0</v>
      </c>
      <c r="AU20" s="4">
        <f>Expenditure!AU8</f>
        <v>0</v>
      </c>
      <c r="AV20" s="4">
        <f>Expenditure!AV8</f>
        <v>0</v>
      </c>
    </row>
    <row r="21" spans="2:48" x14ac:dyDescent="0.25">
      <c r="B21" s="23" t="str">
        <f>Expenditure!B9</f>
        <v>Outgoing 6</v>
      </c>
      <c r="C21" s="4">
        <f>Expenditure!C9</f>
        <v>0</v>
      </c>
      <c r="D21" s="4">
        <f>Expenditure!D9</f>
        <v>0</v>
      </c>
      <c r="E21" s="4">
        <f>Expenditure!E9</f>
        <v>0</v>
      </c>
      <c r="F21" s="4">
        <f>Expenditure!F9</f>
        <v>0</v>
      </c>
      <c r="G21" s="4">
        <f>Expenditure!G9</f>
        <v>0</v>
      </c>
      <c r="H21" s="4">
        <f>Expenditure!H9</f>
        <v>0</v>
      </c>
      <c r="I21" s="4">
        <f>Expenditure!I9</f>
        <v>0</v>
      </c>
      <c r="J21" s="4">
        <f>Expenditure!J9</f>
        <v>0</v>
      </c>
      <c r="K21" s="4">
        <f>Expenditure!K9</f>
        <v>0</v>
      </c>
      <c r="L21" s="4">
        <f>Expenditure!L9</f>
        <v>0</v>
      </c>
      <c r="M21" s="4">
        <f>Expenditure!M9</f>
        <v>0</v>
      </c>
      <c r="N21" s="4">
        <f>Expenditure!N9</f>
        <v>0</v>
      </c>
      <c r="O21" s="4">
        <f>Expenditure!O9</f>
        <v>0</v>
      </c>
      <c r="P21" s="4">
        <f>Expenditure!P9</f>
        <v>0</v>
      </c>
      <c r="Q21" s="4">
        <f>Expenditure!Q9</f>
        <v>0</v>
      </c>
      <c r="R21" s="4">
        <f>Expenditure!R9</f>
        <v>0</v>
      </c>
      <c r="S21" s="4">
        <f>Expenditure!S9</f>
        <v>0</v>
      </c>
      <c r="T21" s="4">
        <f>Expenditure!T9</f>
        <v>0</v>
      </c>
      <c r="U21" s="4">
        <f>Expenditure!U9</f>
        <v>0</v>
      </c>
      <c r="V21" s="4">
        <f>Expenditure!V9</f>
        <v>0</v>
      </c>
      <c r="W21" s="4">
        <f>Expenditure!W9</f>
        <v>0</v>
      </c>
      <c r="X21" s="4">
        <f>Expenditure!X9</f>
        <v>0</v>
      </c>
      <c r="Y21" s="4">
        <f>Expenditure!Y9</f>
        <v>0</v>
      </c>
      <c r="Z21" s="4">
        <f>Expenditure!Z9</f>
        <v>0</v>
      </c>
      <c r="AA21" s="4">
        <f>Expenditure!AA9</f>
        <v>0</v>
      </c>
      <c r="AB21" s="4">
        <f>Expenditure!AB9</f>
        <v>0</v>
      </c>
      <c r="AC21" s="4">
        <f>Expenditure!AC9</f>
        <v>0</v>
      </c>
      <c r="AD21" s="4">
        <f>Expenditure!AD9</f>
        <v>0</v>
      </c>
      <c r="AE21" s="4">
        <f>Expenditure!AE9</f>
        <v>0</v>
      </c>
      <c r="AF21" s="4">
        <f>Expenditure!AF9</f>
        <v>0</v>
      </c>
      <c r="AG21" s="4">
        <f>Expenditure!AG9</f>
        <v>0</v>
      </c>
      <c r="AH21" s="4">
        <f>Expenditure!AH9</f>
        <v>0</v>
      </c>
      <c r="AI21" s="4">
        <f>Expenditure!AI9</f>
        <v>0</v>
      </c>
      <c r="AJ21" s="4">
        <f>Expenditure!AJ9</f>
        <v>0</v>
      </c>
      <c r="AK21" s="4">
        <f>Expenditure!AK9</f>
        <v>0</v>
      </c>
      <c r="AL21" s="4">
        <f>Expenditure!AL9</f>
        <v>0</v>
      </c>
      <c r="AM21" s="4">
        <f>Expenditure!AM9</f>
        <v>0</v>
      </c>
      <c r="AN21" s="4">
        <f>Expenditure!AN9</f>
        <v>0</v>
      </c>
      <c r="AO21" s="4">
        <f>Expenditure!AO9</f>
        <v>0</v>
      </c>
      <c r="AP21" s="4">
        <f>Expenditure!AP9</f>
        <v>0</v>
      </c>
      <c r="AQ21" s="4">
        <f>Expenditure!AQ9</f>
        <v>0</v>
      </c>
      <c r="AR21" s="4">
        <f>Expenditure!AR9</f>
        <v>0</v>
      </c>
      <c r="AS21" s="4">
        <f>Expenditure!AS9</f>
        <v>0</v>
      </c>
      <c r="AT21" s="4">
        <f>Expenditure!AT9</f>
        <v>0</v>
      </c>
      <c r="AU21" s="4">
        <f>Expenditure!AU9</f>
        <v>0</v>
      </c>
      <c r="AV21" s="4">
        <f>Expenditure!AV9</f>
        <v>0</v>
      </c>
    </row>
    <row r="22" spans="2:48" x14ac:dyDescent="0.25">
      <c r="B22" s="23" t="str">
        <f>Expenditure!B10</f>
        <v>Outgoing 7</v>
      </c>
      <c r="C22" s="4">
        <f>Expenditure!C10</f>
        <v>0</v>
      </c>
      <c r="D22" s="4">
        <f>Expenditure!D10</f>
        <v>0</v>
      </c>
      <c r="E22" s="4">
        <f>Expenditure!E10</f>
        <v>0</v>
      </c>
      <c r="F22" s="4">
        <f>Expenditure!F10</f>
        <v>0</v>
      </c>
      <c r="G22" s="4">
        <f>Expenditure!G10</f>
        <v>0</v>
      </c>
      <c r="H22" s="4">
        <f>Expenditure!H10</f>
        <v>0</v>
      </c>
      <c r="I22" s="4">
        <f>Expenditure!I10</f>
        <v>0</v>
      </c>
      <c r="J22" s="4">
        <f>Expenditure!J10</f>
        <v>0</v>
      </c>
      <c r="K22" s="4">
        <f>Expenditure!K10</f>
        <v>0</v>
      </c>
      <c r="L22" s="4">
        <f>Expenditure!L10</f>
        <v>0</v>
      </c>
      <c r="M22" s="4">
        <f>Expenditure!M10</f>
        <v>0</v>
      </c>
      <c r="N22" s="4">
        <f>Expenditure!N10</f>
        <v>0</v>
      </c>
      <c r="O22" s="4">
        <f>Expenditure!O10</f>
        <v>0</v>
      </c>
      <c r="P22" s="4">
        <f>Expenditure!P10</f>
        <v>0</v>
      </c>
      <c r="Q22" s="4">
        <f>Expenditure!Q10</f>
        <v>0</v>
      </c>
      <c r="R22" s="4">
        <f>Expenditure!R10</f>
        <v>0</v>
      </c>
      <c r="S22" s="4">
        <f>Expenditure!S10</f>
        <v>0</v>
      </c>
      <c r="T22" s="4">
        <f>Expenditure!T10</f>
        <v>0</v>
      </c>
      <c r="U22" s="4">
        <f>Expenditure!U10</f>
        <v>0</v>
      </c>
      <c r="V22" s="4">
        <f>Expenditure!V10</f>
        <v>0</v>
      </c>
      <c r="W22" s="4">
        <f>Expenditure!W10</f>
        <v>0</v>
      </c>
      <c r="X22" s="4">
        <f>Expenditure!X10</f>
        <v>0</v>
      </c>
      <c r="Y22" s="4">
        <f>Expenditure!Y10</f>
        <v>0</v>
      </c>
      <c r="Z22" s="4">
        <f>Expenditure!Z10</f>
        <v>0</v>
      </c>
      <c r="AA22" s="4">
        <f>Expenditure!AA10</f>
        <v>0</v>
      </c>
      <c r="AB22" s="4">
        <f>Expenditure!AB10</f>
        <v>0</v>
      </c>
      <c r="AC22" s="4">
        <f>Expenditure!AC10</f>
        <v>0</v>
      </c>
      <c r="AD22" s="4">
        <f>Expenditure!AD10</f>
        <v>0</v>
      </c>
      <c r="AE22" s="4">
        <f>Expenditure!AE10</f>
        <v>0</v>
      </c>
      <c r="AF22" s="4">
        <f>Expenditure!AF10</f>
        <v>0</v>
      </c>
      <c r="AG22" s="4">
        <f>Expenditure!AG10</f>
        <v>0</v>
      </c>
      <c r="AH22" s="4">
        <f>Expenditure!AH10</f>
        <v>0</v>
      </c>
      <c r="AI22" s="4">
        <f>Expenditure!AI10</f>
        <v>0</v>
      </c>
      <c r="AJ22" s="4">
        <f>Expenditure!AJ10</f>
        <v>0</v>
      </c>
      <c r="AK22" s="4">
        <f>Expenditure!AK10</f>
        <v>0</v>
      </c>
      <c r="AL22" s="4">
        <f>Expenditure!AL10</f>
        <v>0</v>
      </c>
      <c r="AM22" s="4">
        <f>Expenditure!AM10</f>
        <v>0</v>
      </c>
      <c r="AN22" s="4">
        <f>Expenditure!AN10</f>
        <v>0</v>
      </c>
      <c r="AO22" s="4">
        <f>Expenditure!AO10</f>
        <v>0</v>
      </c>
      <c r="AP22" s="4">
        <f>Expenditure!AP10</f>
        <v>0</v>
      </c>
      <c r="AQ22" s="4">
        <f>Expenditure!AQ10</f>
        <v>0</v>
      </c>
      <c r="AR22" s="4">
        <f>Expenditure!AR10</f>
        <v>0</v>
      </c>
      <c r="AS22" s="4">
        <f>Expenditure!AS10</f>
        <v>0</v>
      </c>
      <c r="AT22" s="4">
        <f>Expenditure!AT10</f>
        <v>0</v>
      </c>
      <c r="AU22" s="4">
        <f>Expenditure!AU10</f>
        <v>0</v>
      </c>
      <c r="AV22" s="4">
        <f>Expenditure!AV10</f>
        <v>0</v>
      </c>
    </row>
    <row r="23" spans="2:48" x14ac:dyDescent="0.25">
      <c r="B23" s="23" t="str">
        <f>Expenditure!B11</f>
        <v>Outgoing 8</v>
      </c>
      <c r="C23" s="4">
        <f>Expenditure!C11</f>
        <v>0</v>
      </c>
      <c r="D23" s="4">
        <f>Expenditure!D11</f>
        <v>0</v>
      </c>
      <c r="E23" s="4">
        <f>Expenditure!E11</f>
        <v>0</v>
      </c>
      <c r="F23" s="4">
        <f>Expenditure!F11</f>
        <v>0</v>
      </c>
      <c r="G23" s="4">
        <f>Expenditure!G11</f>
        <v>0</v>
      </c>
      <c r="H23" s="4">
        <f>Expenditure!H11</f>
        <v>0</v>
      </c>
      <c r="I23" s="4">
        <f>Expenditure!I11</f>
        <v>0</v>
      </c>
      <c r="J23" s="4">
        <f>Expenditure!J11</f>
        <v>0</v>
      </c>
      <c r="K23" s="4">
        <f>Expenditure!K11</f>
        <v>0</v>
      </c>
      <c r="L23" s="4">
        <f>Expenditure!L11</f>
        <v>0</v>
      </c>
      <c r="M23" s="4">
        <f>Expenditure!M11</f>
        <v>0</v>
      </c>
      <c r="N23" s="4">
        <f>Expenditure!N11</f>
        <v>0</v>
      </c>
      <c r="O23" s="4">
        <f>Expenditure!O11</f>
        <v>0</v>
      </c>
      <c r="P23" s="4">
        <f>Expenditure!P11</f>
        <v>0</v>
      </c>
      <c r="Q23" s="4">
        <f>Expenditure!Q11</f>
        <v>0</v>
      </c>
      <c r="R23" s="4">
        <f>Expenditure!R11</f>
        <v>0</v>
      </c>
      <c r="S23" s="4">
        <f>Expenditure!S11</f>
        <v>0</v>
      </c>
      <c r="T23" s="4">
        <f>Expenditure!T11</f>
        <v>0</v>
      </c>
      <c r="U23" s="4">
        <f>Expenditure!U11</f>
        <v>0</v>
      </c>
      <c r="V23" s="4">
        <f>Expenditure!V11</f>
        <v>0</v>
      </c>
      <c r="W23" s="4">
        <f>Expenditure!W11</f>
        <v>0</v>
      </c>
      <c r="X23" s="4">
        <f>Expenditure!X11</f>
        <v>0</v>
      </c>
      <c r="Y23" s="4">
        <f>Expenditure!Y11</f>
        <v>0</v>
      </c>
      <c r="Z23" s="4">
        <f>Expenditure!Z11</f>
        <v>0</v>
      </c>
      <c r="AA23" s="4">
        <f>Expenditure!AA11</f>
        <v>0</v>
      </c>
      <c r="AB23" s="4">
        <f>Expenditure!AB11</f>
        <v>0</v>
      </c>
      <c r="AC23" s="4">
        <f>Expenditure!AC11</f>
        <v>0</v>
      </c>
      <c r="AD23" s="4">
        <f>Expenditure!AD11</f>
        <v>0</v>
      </c>
      <c r="AE23" s="4">
        <f>Expenditure!AE11</f>
        <v>0</v>
      </c>
      <c r="AF23" s="4">
        <f>Expenditure!AF11</f>
        <v>0</v>
      </c>
      <c r="AG23" s="4">
        <f>Expenditure!AG11</f>
        <v>0</v>
      </c>
      <c r="AH23" s="4">
        <f>Expenditure!AH11</f>
        <v>0</v>
      </c>
      <c r="AI23" s="4">
        <f>Expenditure!AI11</f>
        <v>0</v>
      </c>
      <c r="AJ23" s="4">
        <f>Expenditure!AJ11</f>
        <v>0</v>
      </c>
      <c r="AK23" s="4">
        <f>Expenditure!AK11</f>
        <v>0</v>
      </c>
      <c r="AL23" s="4">
        <f>Expenditure!AL11</f>
        <v>0</v>
      </c>
      <c r="AM23" s="4">
        <f>Expenditure!AM11</f>
        <v>0</v>
      </c>
      <c r="AN23" s="4">
        <f>Expenditure!AN11</f>
        <v>0</v>
      </c>
      <c r="AO23" s="4">
        <f>Expenditure!AO11</f>
        <v>0</v>
      </c>
      <c r="AP23" s="4">
        <f>Expenditure!AP11</f>
        <v>0</v>
      </c>
      <c r="AQ23" s="4">
        <f>Expenditure!AQ11</f>
        <v>0</v>
      </c>
      <c r="AR23" s="4">
        <f>Expenditure!AR11</f>
        <v>0</v>
      </c>
      <c r="AS23" s="4">
        <f>Expenditure!AS11</f>
        <v>0</v>
      </c>
      <c r="AT23" s="4">
        <f>Expenditure!AT11</f>
        <v>0</v>
      </c>
      <c r="AU23" s="4">
        <f>Expenditure!AU11</f>
        <v>0</v>
      </c>
      <c r="AV23" s="4">
        <f>Expenditure!AV11</f>
        <v>0</v>
      </c>
    </row>
    <row r="24" spans="2:48" x14ac:dyDescent="0.25">
      <c r="B24" s="23" t="str">
        <f>Expenditure!B12</f>
        <v>Outgoing 9</v>
      </c>
      <c r="C24" s="4">
        <f>Expenditure!C12</f>
        <v>0</v>
      </c>
      <c r="D24" s="4">
        <f>Expenditure!D12</f>
        <v>0</v>
      </c>
      <c r="E24" s="4">
        <f>Expenditure!E12</f>
        <v>0</v>
      </c>
      <c r="F24" s="4">
        <f>Expenditure!F12</f>
        <v>0</v>
      </c>
      <c r="G24" s="4">
        <f>Expenditure!G12</f>
        <v>0</v>
      </c>
      <c r="H24" s="4">
        <f>Expenditure!H12</f>
        <v>0</v>
      </c>
      <c r="I24" s="4">
        <f>Expenditure!I12</f>
        <v>0</v>
      </c>
      <c r="J24" s="4">
        <f>Expenditure!J12</f>
        <v>0</v>
      </c>
      <c r="K24" s="4">
        <f>Expenditure!K12</f>
        <v>0</v>
      </c>
      <c r="L24" s="4">
        <f>Expenditure!L12</f>
        <v>0</v>
      </c>
      <c r="M24" s="4">
        <f>Expenditure!M12</f>
        <v>0</v>
      </c>
      <c r="N24" s="4">
        <f>Expenditure!N12</f>
        <v>0</v>
      </c>
      <c r="O24" s="4">
        <f>Expenditure!O12</f>
        <v>0</v>
      </c>
      <c r="P24" s="4">
        <f>Expenditure!P12</f>
        <v>0</v>
      </c>
      <c r="Q24" s="4">
        <f>Expenditure!Q12</f>
        <v>0</v>
      </c>
      <c r="R24" s="4">
        <f>Expenditure!R12</f>
        <v>0</v>
      </c>
      <c r="S24" s="4">
        <f>Expenditure!S12</f>
        <v>0</v>
      </c>
      <c r="T24" s="4">
        <f>Expenditure!T12</f>
        <v>0</v>
      </c>
      <c r="U24" s="4">
        <f>Expenditure!U12</f>
        <v>0</v>
      </c>
      <c r="V24" s="4">
        <f>Expenditure!V12</f>
        <v>0</v>
      </c>
      <c r="W24" s="4">
        <f>Expenditure!W12</f>
        <v>0</v>
      </c>
      <c r="X24" s="4">
        <f>Expenditure!X12</f>
        <v>0</v>
      </c>
      <c r="Y24" s="4">
        <f>Expenditure!Y12</f>
        <v>0</v>
      </c>
      <c r="Z24" s="4">
        <f>Expenditure!Z12</f>
        <v>0</v>
      </c>
      <c r="AA24" s="4">
        <f>Expenditure!AA12</f>
        <v>0</v>
      </c>
      <c r="AB24" s="4">
        <f>Expenditure!AB12</f>
        <v>0</v>
      </c>
      <c r="AC24" s="4">
        <f>Expenditure!AC12</f>
        <v>0</v>
      </c>
      <c r="AD24" s="4">
        <f>Expenditure!AD12</f>
        <v>0</v>
      </c>
      <c r="AE24" s="4">
        <f>Expenditure!AE12</f>
        <v>0</v>
      </c>
      <c r="AF24" s="4">
        <f>Expenditure!AF12</f>
        <v>0</v>
      </c>
      <c r="AG24" s="4">
        <f>Expenditure!AG12</f>
        <v>0</v>
      </c>
      <c r="AH24" s="4">
        <f>Expenditure!AH12</f>
        <v>0</v>
      </c>
      <c r="AI24" s="4">
        <f>Expenditure!AI12</f>
        <v>0</v>
      </c>
      <c r="AJ24" s="4">
        <f>Expenditure!AJ12</f>
        <v>0</v>
      </c>
      <c r="AK24" s="4">
        <f>Expenditure!AK12</f>
        <v>0</v>
      </c>
      <c r="AL24" s="4">
        <f>Expenditure!AL12</f>
        <v>0</v>
      </c>
      <c r="AM24" s="4">
        <f>Expenditure!AM12</f>
        <v>0</v>
      </c>
      <c r="AN24" s="4">
        <f>Expenditure!AN12</f>
        <v>0</v>
      </c>
      <c r="AO24" s="4">
        <f>Expenditure!AO12</f>
        <v>0</v>
      </c>
      <c r="AP24" s="4">
        <f>Expenditure!AP12</f>
        <v>0</v>
      </c>
      <c r="AQ24" s="4">
        <f>Expenditure!AQ12</f>
        <v>0</v>
      </c>
      <c r="AR24" s="4">
        <f>Expenditure!AR12</f>
        <v>0</v>
      </c>
      <c r="AS24" s="4">
        <f>Expenditure!AS12</f>
        <v>0</v>
      </c>
      <c r="AT24" s="4">
        <f>Expenditure!AT12</f>
        <v>0</v>
      </c>
      <c r="AU24" s="4">
        <f>Expenditure!AU12</f>
        <v>0</v>
      </c>
      <c r="AV24" s="4">
        <f>Expenditure!AV12</f>
        <v>0</v>
      </c>
    </row>
    <row r="25" spans="2:48" x14ac:dyDescent="0.25">
      <c r="B25" s="23" t="str">
        <f>Expenditure!B13</f>
        <v>Outgoing 10</v>
      </c>
      <c r="C25" s="4">
        <f>Expenditure!C13</f>
        <v>0</v>
      </c>
      <c r="D25" s="4">
        <f>Expenditure!D13</f>
        <v>0</v>
      </c>
      <c r="E25" s="4">
        <f>Expenditure!E13</f>
        <v>0</v>
      </c>
      <c r="F25" s="4">
        <f>Expenditure!F13</f>
        <v>0</v>
      </c>
      <c r="G25" s="4">
        <f>Expenditure!G13</f>
        <v>0</v>
      </c>
      <c r="H25" s="4">
        <f>Expenditure!H13</f>
        <v>0</v>
      </c>
      <c r="I25" s="4">
        <f>Expenditure!I13</f>
        <v>0</v>
      </c>
      <c r="J25" s="4">
        <f>Expenditure!J13</f>
        <v>0</v>
      </c>
      <c r="K25" s="4">
        <f>Expenditure!K13</f>
        <v>0</v>
      </c>
      <c r="L25" s="4">
        <f>Expenditure!L13</f>
        <v>0</v>
      </c>
      <c r="M25" s="4">
        <f>Expenditure!M13</f>
        <v>0</v>
      </c>
      <c r="N25" s="4">
        <f>Expenditure!N13</f>
        <v>0</v>
      </c>
      <c r="O25" s="4">
        <f>Expenditure!O13</f>
        <v>0</v>
      </c>
      <c r="P25" s="4">
        <f>Expenditure!P13</f>
        <v>0</v>
      </c>
      <c r="Q25" s="4">
        <f>Expenditure!Q13</f>
        <v>0</v>
      </c>
      <c r="R25" s="4">
        <f>Expenditure!R13</f>
        <v>0</v>
      </c>
      <c r="S25" s="4">
        <f>Expenditure!S13</f>
        <v>0</v>
      </c>
      <c r="T25" s="4">
        <f>Expenditure!T13</f>
        <v>0</v>
      </c>
      <c r="U25" s="4">
        <f>Expenditure!U13</f>
        <v>0</v>
      </c>
      <c r="V25" s="4">
        <f>Expenditure!V13</f>
        <v>0</v>
      </c>
      <c r="W25" s="4">
        <f>Expenditure!W13</f>
        <v>0</v>
      </c>
      <c r="X25" s="4">
        <f>Expenditure!X13</f>
        <v>0</v>
      </c>
      <c r="Y25" s="4">
        <f>Expenditure!Y13</f>
        <v>0</v>
      </c>
      <c r="Z25" s="4">
        <f>Expenditure!Z13</f>
        <v>0</v>
      </c>
      <c r="AA25" s="4">
        <f>Expenditure!AA13</f>
        <v>0</v>
      </c>
      <c r="AB25" s="4">
        <f>Expenditure!AB13</f>
        <v>0</v>
      </c>
      <c r="AC25" s="4">
        <f>Expenditure!AC13</f>
        <v>0</v>
      </c>
      <c r="AD25" s="4">
        <f>Expenditure!AD13</f>
        <v>0</v>
      </c>
      <c r="AE25" s="4">
        <f>Expenditure!AE13</f>
        <v>0</v>
      </c>
      <c r="AF25" s="4">
        <f>Expenditure!AF13</f>
        <v>0</v>
      </c>
      <c r="AG25" s="4">
        <f>Expenditure!AG13</f>
        <v>0</v>
      </c>
      <c r="AH25" s="4">
        <f>Expenditure!AH13</f>
        <v>0</v>
      </c>
      <c r="AI25" s="4">
        <f>Expenditure!AI13</f>
        <v>0</v>
      </c>
      <c r="AJ25" s="4">
        <f>Expenditure!AJ13</f>
        <v>0</v>
      </c>
      <c r="AK25" s="4">
        <f>Expenditure!AK13</f>
        <v>0</v>
      </c>
      <c r="AL25" s="4">
        <f>Expenditure!AL13</f>
        <v>0</v>
      </c>
      <c r="AM25" s="4">
        <f>Expenditure!AM13</f>
        <v>0</v>
      </c>
      <c r="AN25" s="4">
        <f>Expenditure!AN13</f>
        <v>0</v>
      </c>
      <c r="AO25" s="4">
        <f>Expenditure!AO13</f>
        <v>0</v>
      </c>
      <c r="AP25" s="4">
        <f>Expenditure!AP13</f>
        <v>0</v>
      </c>
      <c r="AQ25" s="4">
        <f>Expenditure!AQ13</f>
        <v>0</v>
      </c>
      <c r="AR25" s="4">
        <f>Expenditure!AR13</f>
        <v>0</v>
      </c>
      <c r="AS25" s="4">
        <f>Expenditure!AS13</f>
        <v>0</v>
      </c>
      <c r="AT25" s="4">
        <f>Expenditure!AT13</f>
        <v>0</v>
      </c>
      <c r="AU25" s="4">
        <f>Expenditure!AU13</f>
        <v>0</v>
      </c>
      <c r="AV25" s="4">
        <f>Expenditure!AV13</f>
        <v>0</v>
      </c>
    </row>
    <row r="26" spans="2:48" x14ac:dyDescent="0.25">
      <c r="B26" s="23" t="str">
        <f>Expenditure!B14</f>
        <v>Outgoing 11</v>
      </c>
      <c r="C26" s="4">
        <f>Expenditure!C14</f>
        <v>0</v>
      </c>
      <c r="D26" s="4">
        <f>Expenditure!D14</f>
        <v>0</v>
      </c>
      <c r="E26" s="4">
        <f>Expenditure!E14</f>
        <v>0</v>
      </c>
      <c r="F26" s="4">
        <f>Expenditure!F14</f>
        <v>0</v>
      </c>
      <c r="G26" s="4">
        <f>Expenditure!G14</f>
        <v>0</v>
      </c>
      <c r="H26" s="4">
        <f>Expenditure!H14</f>
        <v>0</v>
      </c>
      <c r="I26" s="4">
        <f>Expenditure!I14</f>
        <v>0</v>
      </c>
      <c r="J26" s="4">
        <f>Expenditure!J14</f>
        <v>0</v>
      </c>
      <c r="K26" s="4">
        <f>Expenditure!K14</f>
        <v>0</v>
      </c>
      <c r="L26" s="4">
        <f>Expenditure!L14</f>
        <v>0</v>
      </c>
      <c r="M26" s="4">
        <f>Expenditure!M14</f>
        <v>0</v>
      </c>
      <c r="N26" s="4">
        <f>Expenditure!N14</f>
        <v>0</v>
      </c>
      <c r="O26" s="4">
        <f>Expenditure!O14</f>
        <v>0</v>
      </c>
      <c r="P26" s="4">
        <f>Expenditure!P14</f>
        <v>0</v>
      </c>
      <c r="Q26" s="4">
        <f>Expenditure!Q14</f>
        <v>0</v>
      </c>
      <c r="R26" s="4">
        <f>Expenditure!R14</f>
        <v>0</v>
      </c>
      <c r="S26" s="4">
        <f>Expenditure!S14</f>
        <v>0</v>
      </c>
      <c r="T26" s="4">
        <f>Expenditure!T14</f>
        <v>0</v>
      </c>
      <c r="U26" s="4">
        <f>Expenditure!U14</f>
        <v>0</v>
      </c>
      <c r="V26" s="4">
        <f>Expenditure!V14</f>
        <v>0</v>
      </c>
      <c r="W26" s="4">
        <f>Expenditure!W14</f>
        <v>0</v>
      </c>
      <c r="X26" s="4">
        <f>Expenditure!X14</f>
        <v>0</v>
      </c>
      <c r="Y26" s="4">
        <f>Expenditure!Y14</f>
        <v>0</v>
      </c>
      <c r="Z26" s="4">
        <f>Expenditure!Z14</f>
        <v>0</v>
      </c>
      <c r="AA26" s="4">
        <f>Expenditure!AA14</f>
        <v>0</v>
      </c>
      <c r="AB26" s="4">
        <f>Expenditure!AB14</f>
        <v>0</v>
      </c>
      <c r="AC26" s="4">
        <f>Expenditure!AC14</f>
        <v>0</v>
      </c>
      <c r="AD26" s="4">
        <f>Expenditure!AD14</f>
        <v>0</v>
      </c>
      <c r="AE26" s="4">
        <f>Expenditure!AE14</f>
        <v>0</v>
      </c>
      <c r="AF26" s="4">
        <f>Expenditure!AF14</f>
        <v>0</v>
      </c>
      <c r="AG26" s="4">
        <f>Expenditure!AG14</f>
        <v>0</v>
      </c>
      <c r="AH26" s="4">
        <f>Expenditure!AH14</f>
        <v>0</v>
      </c>
      <c r="AI26" s="4">
        <f>Expenditure!AI14</f>
        <v>0</v>
      </c>
      <c r="AJ26" s="4">
        <f>Expenditure!AJ14</f>
        <v>0</v>
      </c>
      <c r="AK26" s="4">
        <f>Expenditure!AK14</f>
        <v>0</v>
      </c>
      <c r="AL26" s="4">
        <f>Expenditure!AL14</f>
        <v>0</v>
      </c>
      <c r="AM26" s="4">
        <f>Expenditure!AM14</f>
        <v>0</v>
      </c>
      <c r="AN26" s="4">
        <f>Expenditure!AN14</f>
        <v>0</v>
      </c>
      <c r="AO26" s="4">
        <f>Expenditure!AO14</f>
        <v>0</v>
      </c>
      <c r="AP26" s="4">
        <f>Expenditure!AP14</f>
        <v>0</v>
      </c>
      <c r="AQ26" s="4">
        <f>Expenditure!AQ14</f>
        <v>0</v>
      </c>
      <c r="AR26" s="4">
        <f>Expenditure!AR14</f>
        <v>0</v>
      </c>
      <c r="AS26" s="4">
        <f>Expenditure!AS14</f>
        <v>0</v>
      </c>
      <c r="AT26" s="4">
        <f>Expenditure!AT14</f>
        <v>0</v>
      </c>
      <c r="AU26" s="4">
        <f>Expenditure!AU14</f>
        <v>0</v>
      </c>
      <c r="AV26" s="4">
        <f>Expenditure!AV14</f>
        <v>0</v>
      </c>
    </row>
    <row r="27" spans="2:48" x14ac:dyDescent="0.25">
      <c r="B27" s="23" t="str">
        <f>Expenditure!B15</f>
        <v>Outgoing 12</v>
      </c>
      <c r="C27" s="4">
        <f>Expenditure!C15</f>
        <v>0</v>
      </c>
      <c r="D27" s="4">
        <f>Expenditure!D15</f>
        <v>0</v>
      </c>
      <c r="E27" s="4">
        <f>Expenditure!E15</f>
        <v>0</v>
      </c>
      <c r="F27" s="4">
        <f>Expenditure!F15</f>
        <v>0</v>
      </c>
      <c r="G27" s="4">
        <f>Expenditure!G15</f>
        <v>0</v>
      </c>
      <c r="H27" s="4">
        <f>Expenditure!H15</f>
        <v>0</v>
      </c>
      <c r="I27" s="4">
        <f>Expenditure!I15</f>
        <v>0</v>
      </c>
      <c r="J27" s="4">
        <f>Expenditure!J15</f>
        <v>0</v>
      </c>
      <c r="K27" s="4">
        <f>Expenditure!K15</f>
        <v>0</v>
      </c>
      <c r="L27" s="4">
        <f>Expenditure!L15</f>
        <v>0</v>
      </c>
      <c r="M27" s="4">
        <f>Expenditure!M15</f>
        <v>0</v>
      </c>
      <c r="N27" s="4">
        <f>Expenditure!N15</f>
        <v>0</v>
      </c>
      <c r="O27" s="4">
        <f>Expenditure!O15</f>
        <v>0</v>
      </c>
      <c r="P27" s="4">
        <f>Expenditure!P15</f>
        <v>0</v>
      </c>
      <c r="Q27" s="4">
        <f>Expenditure!Q15</f>
        <v>0</v>
      </c>
      <c r="R27" s="4">
        <f>Expenditure!R15</f>
        <v>0</v>
      </c>
      <c r="S27" s="4">
        <f>Expenditure!S15</f>
        <v>0</v>
      </c>
      <c r="T27" s="4">
        <f>Expenditure!T15</f>
        <v>0</v>
      </c>
      <c r="U27" s="4">
        <f>Expenditure!U15</f>
        <v>0</v>
      </c>
      <c r="V27" s="4">
        <f>Expenditure!V15</f>
        <v>0</v>
      </c>
      <c r="W27" s="4">
        <f>Expenditure!W15</f>
        <v>0</v>
      </c>
      <c r="X27" s="4">
        <f>Expenditure!X15</f>
        <v>0</v>
      </c>
      <c r="Y27" s="4">
        <f>Expenditure!Y15</f>
        <v>0</v>
      </c>
      <c r="Z27" s="4">
        <f>Expenditure!Z15</f>
        <v>0</v>
      </c>
      <c r="AA27" s="4">
        <f>Expenditure!AA15</f>
        <v>0</v>
      </c>
      <c r="AB27" s="4">
        <f>Expenditure!AB15</f>
        <v>0</v>
      </c>
      <c r="AC27" s="4">
        <f>Expenditure!AC15</f>
        <v>0</v>
      </c>
      <c r="AD27" s="4">
        <f>Expenditure!AD15</f>
        <v>0</v>
      </c>
      <c r="AE27" s="4">
        <f>Expenditure!AE15</f>
        <v>0</v>
      </c>
      <c r="AF27" s="4">
        <f>Expenditure!AF15</f>
        <v>0</v>
      </c>
      <c r="AG27" s="4">
        <f>Expenditure!AG15</f>
        <v>0</v>
      </c>
      <c r="AH27" s="4">
        <f>Expenditure!AH15</f>
        <v>0</v>
      </c>
      <c r="AI27" s="4">
        <f>Expenditure!AI15</f>
        <v>0</v>
      </c>
      <c r="AJ27" s="4">
        <f>Expenditure!AJ15</f>
        <v>0</v>
      </c>
      <c r="AK27" s="4">
        <f>Expenditure!AK15</f>
        <v>0</v>
      </c>
      <c r="AL27" s="4">
        <f>Expenditure!AL15</f>
        <v>0</v>
      </c>
      <c r="AM27" s="4">
        <f>Expenditure!AM15</f>
        <v>0</v>
      </c>
      <c r="AN27" s="4">
        <f>Expenditure!AN15</f>
        <v>0</v>
      </c>
      <c r="AO27" s="4">
        <f>Expenditure!AO15</f>
        <v>0</v>
      </c>
      <c r="AP27" s="4">
        <f>Expenditure!AP15</f>
        <v>0</v>
      </c>
      <c r="AQ27" s="4">
        <f>Expenditure!AQ15</f>
        <v>0</v>
      </c>
      <c r="AR27" s="4">
        <f>Expenditure!AR15</f>
        <v>0</v>
      </c>
      <c r="AS27" s="4">
        <f>Expenditure!AS15</f>
        <v>0</v>
      </c>
      <c r="AT27" s="4">
        <f>Expenditure!AT15</f>
        <v>0</v>
      </c>
      <c r="AU27" s="4">
        <f>Expenditure!AU15</f>
        <v>0</v>
      </c>
      <c r="AV27" s="4">
        <f>Expenditure!AV15</f>
        <v>0</v>
      </c>
    </row>
    <row r="28" spans="2:48" x14ac:dyDescent="0.25">
      <c r="B28" s="23"/>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row>
    <row r="29" spans="2:48" x14ac:dyDescent="0.25">
      <c r="B29" s="24" t="str">
        <f>Expenditure!B17</f>
        <v>Total</v>
      </c>
      <c r="C29" s="22">
        <f>Expenditure!C17</f>
        <v>1500</v>
      </c>
      <c r="D29" s="22">
        <f>Expenditure!D17</f>
        <v>1500</v>
      </c>
      <c r="E29" s="22">
        <f>Expenditure!E17</f>
        <v>1500</v>
      </c>
      <c r="F29" s="22">
        <f>Expenditure!F17</f>
        <v>1500</v>
      </c>
      <c r="G29" s="22">
        <f>Expenditure!G17</f>
        <v>1500</v>
      </c>
      <c r="H29" s="22">
        <f>Expenditure!H17</f>
        <v>1500</v>
      </c>
      <c r="I29" s="22">
        <f>Expenditure!I17</f>
        <v>1500</v>
      </c>
      <c r="J29" s="22">
        <f>Expenditure!J17</f>
        <v>1500</v>
      </c>
      <c r="K29" s="22">
        <f>Expenditure!K17</f>
        <v>1500</v>
      </c>
      <c r="L29" s="22">
        <f>Expenditure!L17</f>
        <v>1500</v>
      </c>
      <c r="M29" s="22">
        <f>Expenditure!M17</f>
        <v>1500</v>
      </c>
      <c r="N29" s="22">
        <f>Expenditure!N17</f>
        <v>1500</v>
      </c>
      <c r="O29" s="22">
        <f>Expenditure!O17</f>
        <v>1500</v>
      </c>
      <c r="P29" s="22">
        <f>Expenditure!P17</f>
        <v>1500</v>
      </c>
      <c r="Q29" s="22">
        <f>Expenditure!Q17</f>
        <v>1501</v>
      </c>
      <c r="R29" s="22">
        <f>Expenditure!R17</f>
        <v>1502</v>
      </c>
      <c r="S29" s="22">
        <f>Expenditure!S17</f>
        <v>1503</v>
      </c>
      <c r="T29" s="22">
        <f>Expenditure!T17</f>
        <v>1504</v>
      </c>
      <c r="U29" s="22">
        <f>Expenditure!U17</f>
        <v>1505</v>
      </c>
      <c r="V29" s="22">
        <f>Expenditure!V17</f>
        <v>1506</v>
      </c>
      <c r="W29" s="22">
        <f>Expenditure!W17</f>
        <v>1507</v>
      </c>
      <c r="X29" s="22">
        <f>Expenditure!X17</f>
        <v>1508</v>
      </c>
      <c r="Y29" s="22">
        <f>Expenditure!Y17</f>
        <v>1509</v>
      </c>
      <c r="Z29" s="22">
        <f>Expenditure!Z17</f>
        <v>1510</v>
      </c>
      <c r="AA29" s="22">
        <f>Expenditure!AA17</f>
        <v>1511</v>
      </c>
      <c r="AB29" s="22">
        <f>Expenditure!AB17</f>
        <v>1512</v>
      </c>
      <c r="AC29" s="22">
        <f>Expenditure!AC17</f>
        <v>1513</v>
      </c>
      <c r="AD29" s="22">
        <f>Expenditure!AD17</f>
        <v>1514</v>
      </c>
      <c r="AE29" s="22">
        <f>Expenditure!AE17</f>
        <v>1515</v>
      </c>
      <c r="AF29" s="22">
        <f>Expenditure!AF17</f>
        <v>1516</v>
      </c>
      <c r="AG29" s="22">
        <f>Expenditure!AG17</f>
        <v>1517</v>
      </c>
      <c r="AH29" s="22">
        <f>Expenditure!AH17</f>
        <v>1518</v>
      </c>
      <c r="AI29" s="22">
        <f>Expenditure!AI17</f>
        <v>1519</v>
      </c>
      <c r="AJ29" s="22">
        <f>Expenditure!AJ17</f>
        <v>1520</v>
      </c>
      <c r="AK29" s="22">
        <f>Expenditure!AK17</f>
        <v>1521</v>
      </c>
      <c r="AL29" s="22">
        <f>Expenditure!AL17</f>
        <v>1522</v>
      </c>
      <c r="AM29" s="22">
        <f>Expenditure!AM17</f>
        <v>1523</v>
      </c>
      <c r="AN29" s="22">
        <f>Expenditure!AN17</f>
        <v>1524</v>
      </c>
      <c r="AO29" s="22">
        <f>Expenditure!AO17</f>
        <v>1525</v>
      </c>
      <c r="AP29" s="22">
        <f>Expenditure!AP17</f>
        <v>1526</v>
      </c>
      <c r="AQ29" s="22">
        <f>Expenditure!AQ17</f>
        <v>1527</v>
      </c>
      <c r="AR29" s="22">
        <f>Expenditure!AR17</f>
        <v>1528</v>
      </c>
      <c r="AS29" s="22">
        <f>Expenditure!AS17</f>
        <v>1529</v>
      </c>
      <c r="AT29" s="22">
        <f>Expenditure!AT17</f>
        <v>1530</v>
      </c>
      <c r="AU29" s="22">
        <f>Expenditure!AU17</f>
        <v>1531</v>
      </c>
      <c r="AV29" s="22">
        <f>Expenditure!AV17</f>
        <v>1532</v>
      </c>
    </row>
    <row r="30" spans="2:48" x14ac:dyDescent="0.25">
      <c r="B30" s="24" t="str">
        <f>Expenditure!B18</f>
        <v>Running Total</v>
      </c>
      <c r="C30" s="22">
        <f>Expenditure!C18</f>
        <v>2000</v>
      </c>
      <c r="D30" s="22">
        <f>Expenditure!D18</f>
        <v>3500</v>
      </c>
      <c r="E30" s="22">
        <f>Expenditure!E18</f>
        <v>5000</v>
      </c>
      <c r="F30" s="22">
        <f>Expenditure!F18</f>
        <v>6500</v>
      </c>
      <c r="G30" s="22">
        <f>Expenditure!G18</f>
        <v>8000</v>
      </c>
      <c r="H30" s="22">
        <f>Expenditure!H18</f>
        <v>9500</v>
      </c>
      <c r="I30" s="22">
        <f>Expenditure!I18</f>
        <v>11000</v>
      </c>
      <c r="J30" s="22">
        <f>Expenditure!J18</f>
        <v>12500</v>
      </c>
      <c r="K30" s="22">
        <f>Expenditure!K18</f>
        <v>14000</v>
      </c>
      <c r="L30" s="22">
        <f>Expenditure!L18</f>
        <v>15500</v>
      </c>
      <c r="M30" s="22">
        <f>Expenditure!M18</f>
        <v>17000</v>
      </c>
      <c r="N30" s="22">
        <f>Expenditure!N18</f>
        <v>18500</v>
      </c>
      <c r="O30" s="22">
        <f>Expenditure!O18</f>
        <v>20000</v>
      </c>
      <c r="P30" s="22">
        <f>Expenditure!P18</f>
        <v>21500</v>
      </c>
      <c r="Q30" s="22">
        <f>Expenditure!Q18</f>
        <v>23001</v>
      </c>
      <c r="R30" s="22">
        <f>Expenditure!R18</f>
        <v>24503</v>
      </c>
      <c r="S30" s="22">
        <f>Expenditure!S18</f>
        <v>26006</v>
      </c>
      <c r="T30" s="22">
        <f>Expenditure!T18</f>
        <v>27510</v>
      </c>
      <c r="U30" s="22">
        <f>Expenditure!U18</f>
        <v>29015</v>
      </c>
      <c r="V30" s="22">
        <f>Expenditure!V18</f>
        <v>30521</v>
      </c>
      <c r="W30" s="22">
        <f>Expenditure!W18</f>
        <v>32028</v>
      </c>
      <c r="X30" s="22">
        <f>Expenditure!X18</f>
        <v>33536</v>
      </c>
      <c r="Y30" s="22">
        <f>Expenditure!Y18</f>
        <v>35045</v>
      </c>
      <c r="Z30" s="22">
        <f>Expenditure!Z18</f>
        <v>36555</v>
      </c>
      <c r="AA30" s="22">
        <f>Expenditure!AA18</f>
        <v>38066</v>
      </c>
      <c r="AB30" s="22">
        <f>Expenditure!AB18</f>
        <v>39578</v>
      </c>
      <c r="AC30" s="22">
        <f>Expenditure!AC18</f>
        <v>41091</v>
      </c>
      <c r="AD30" s="22">
        <f>Expenditure!AD18</f>
        <v>42605</v>
      </c>
      <c r="AE30" s="22">
        <f>Expenditure!AE18</f>
        <v>44120</v>
      </c>
      <c r="AF30" s="22">
        <f>Expenditure!AF18</f>
        <v>45636</v>
      </c>
      <c r="AG30" s="22">
        <f>Expenditure!AG18</f>
        <v>47153</v>
      </c>
      <c r="AH30" s="22">
        <f>Expenditure!AH18</f>
        <v>48671</v>
      </c>
      <c r="AI30" s="22">
        <f>Expenditure!AI18</f>
        <v>50190</v>
      </c>
      <c r="AJ30" s="22">
        <f>Expenditure!AJ18</f>
        <v>51710</v>
      </c>
      <c r="AK30" s="22">
        <f>Expenditure!AK18</f>
        <v>53231</v>
      </c>
      <c r="AL30" s="22">
        <f>Expenditure!AL18</f>
        <v>54753</v>
      </c>
      <c r="AM30" s="22">
        <f>Expenditure!AM18</f>
        <v>56276</v>
      </c>
      <c r="AN30" s="22">
        <f>Expenditure!AN18</f>
        <v>57800</v>
      </c>
      <c r="AO30" s="22">
        <f>Expenditure!AO18</f>
        <v>59325</v>
      </c>
      <c r="AP30" s="22">
        <f>Expenditure!AP18</f>
        <v>60851</v>
      </c>
      <c r="AQ30" s="22">
        <f>Expenditure!AQ18</f>
        <v>62378</v>
      </c>
      <c r="AR30" s="22">
        <f>Expenditure!AR18</f>
        <v>63906</v>
      </c>
      <c r="AS30" s="22">
        <f>Expenditure!AS18</f>
        <v>65435</v>
      </c>
      <c r="AT30" s="22">
        <f>Expenditure!AT18</f>
        <v>66965</v>
      </c>
      <c r="AU30" s="22">
        <f>Expenditure!AU18</f>
        <v>68496</v>
      </c>
      <c r="AV30" s="22">
        <f>Expenditure!AV18</f>
        <v>70028</v>
      </c>
    </row>
    <row r="31" spans="2:48" x14ac:dyDescent="0.25">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row>
    <row r="32" spans="2:48" x14ac:dyDescent="0.25">
      <c r="B32" s="27" t="s">
        <v>16</v>
      </c>
      <c r="C32" s="31">
        <f>C12-C29</f>
        <v>-1500</v>
      </c>
      <c r="D32" s="31">
        <f t="shared" ref="D32:P32" si="0">D12-D29</f>
        <v>-1500</v>
      </c>
      <c r="E32" s="31">
        <f t="shared" si="0"/>
        <v>2600</v>
      </c>
      <c r="F32" s="31">
        <f t="shared" si="0"/>
        <v>2700</v>
      </c>
      <c r="G32" s="31">
        <f t="shared" si="0"/>
        <v>2800</v>
      </c>
      <c r="H32" s="31">
        <f t="shared" si="0"/>
        <v>3925</v>
      </c>
      <c r="I32" s="31">
        <f t="shared" si="0"/>
        <v>-675</v>
      </c>
      <c r="J32" s="31">
        <f t="shared" si="0"/>
        <v>-1075</v>
      </c>
      <c r="K32" s="31">
        <f t="shared" si="0"/>
        <v>-1075</v>
      </c>
      <c r="L32" s="31">
        <f t="shared" si="0"/>
        <v>-1075</v>
      </c>
      <c r="M32" s="31">
        <f t="shared" si="0"/>
        <v>-675</v>
      </c>
      <c r="N32" s="31">
        <f t="shared" si="0"/>
        <v>-1075</v>
      </c>
      <c r="O32" s="31">
        <f t="shared" si="0"/>
        <v>-1075</v>
      </c>
      <c r="P32" s="31">
        <f t="shared" si="0"/>
        <v>-275</v>
      </c>
      <c r="Q32" s="31">
        <f t="shared" ref="Q32:AV32" si="1">Q12-Q29</f>
        <v>-276</v>
      </c>
      <c r="R32" s="31">
        <f t="shared" si="1"/>
        <v>-277</v>
      </c>
      <c r="S32" s="31">
        <f t="shared" si="1"/>
        <v>-278</v>
      </c>
      <c r="T32" s="31">
        <f t="shared" si="1"/>
        <v>-279</v>
      </c>
      <c r="U32" s="31">
        <f t="shared" si="1"/>
        <v>-280</v>
      </c>
      <c r="V32" s="31">
        <f t="shared" si="1"/>
        <v>-281</v>
      </c>
      <c r="W32" s="31">
        <f t="shared" si="1"/>
        <v>-282</v>
      </c>
      <c r="X32" s="31">
        <f t="shared" si="1"/>
        <v>-283</v>
      </c>
      <c r="Y32" s="31">
        <f t="shared" si="1"/>
        <v>-284</v>
      </c>
      <c r="Z32" s="31">
        <f t="shared" si="1"/>
        <v>-285</v>
      </c>
      <c r="AA32" s="31">
        <f t="shared" si="1"/>
        <v>-286</v>
      </c>
      <c r="AB32" s="31">
        <f t="shared" si="1"/>
        <v>-287</v>
      </c>
      <c r="AC32" s="31">
        <f t="shared" si="1"/>
        <v>-288</v>
      </c>
      <c r="AD32" s="31">
        <f t="shared" si="1"/>
        <v>-289</v>
      </c>
      <c r="AE32" s="31">
        <f t="shared" si="1"/>
        <v>-290</v>
      </c>
      <c r="AF32" s="31">
        <f t="shared" si="1"/>
        <v>-291</v>
      </c>
      <c r="AG32" s="31">
        <f t="shared" si="1"/>
        <v>-292</v>
      </c>
      <c r="AH32" s="31">
        <f t="shared" si="1"/>
        <v>-293</v>
      </c>
      <c r="AI32" s="31">
        <f t="shared" si="1"/>
        <v>-294</v>
      </c>
      <c r="AJ32" s="31">
        <f t="shared" si="1"/>
        <v>-295</v>
      </c>
      <c r="AK32" s="31">
        <f t="shared" si="1"/>
        <v>-296</v>
      </c>
      <c r="AL32" s="31">
        <f t="shared" si="1"/>
        <v>-297</v>
      </c>
      <c r="AM32" s="31">
        <f t="shared" si="1"/>
        <v>-298</v>
      </c>
      <c r="AN32" s="31">
        <f t="shared" si="1"/>
        <v>-299</v>
      </c>
      <c r="AO32" s="31">
        <f t="shared" si="1"/>
        <v>-300</v>
      </c>
      <c r="AP32" s="31">
        <f t="shared" si="1"/>
        <v>-301</v>
      </c>
      <c r="AQ32" s="31">
        <f t="shared" si="1"/>
        <v>-302</v>
      </c>
      <c r="AR32" s="31">
        <f t="shared" si="1"/>
        <v>-303</v>
      </c>
      <c r="AS32" s="31">
        <f t="shared" si="1"/>
        <v>-304</v>
      </c>
      <c r="AT32" s="31">
        <f t="shared" si="1"/>
        <v>-305</v>
      </c>
      <c r="AU32" s="31">
        <f t="shared" si="1"/>
        <v>-306</v>
      </c>
      <c r="AV32" s="31">
        <f t="shared" si="1"/>
        <v>-307</v>
      </c>
    </row>
    <row r="33" spans="2:48" x14ac:dyDescent="0.25">
      <c r="B33" s="27" t="s">
        <v>15</v>
      </c>
      <c r="C33" s="31">
        <f>C32+C34</f>
        <v>-1500</v>
      </c>
      <c r="D33" s="31">
        <f>D32+C33</f>
        <v>-3000</v>
      </c>
      <c r="E33" s="31">
        <f t="shared" ref="E33:P33" si="2">E32+D33</f>
        <v>-400</v>
      </c>
      <c r="F33" s="31">
        <f t="shared" si="2"/>
        <v>2300</v>
      </c>
      <c r="G33" s="31">
        <f t="shared" si="2"/>
        <v>5100</v>
      </c>
      <c r="H33" s="31">
        <f t="shared" si="2"/>
        <v>9025</v>
      </c>
      <c r="I33" s="31">
        <f t="shared" si="2"/>
        <v>8350</v>
      </c>
      <c r="J33" s="31">
        <f t="shared" si="2"/>
        <v>7275</v>
      </c>
      <c r="K33" s="31">
        <f t="shared" si="2"/>
        <v>6200</v>
      </c>
      <c r="L33" s="31">
        <f t="shared" si="2"/>
        <v>5125</v>
      </c>
      <c r="M33" s="31">
        <f t="shared" si="2"/>
        <v>4450</v>
      </c>
      <c r="N33" s="31">
        <f t="shared" si="2"/>
        <v>3375</v>
      </c>
      <c r="O33" s="31">
        <f t="shared" si="2"/>
        <v>2300</v>
      </c>
      <c r="P33" s="31">
        <f t="shared" si="2"/>
        <v>2025</v>
      </c>
      <c r="Q33" s="31">
        <f t="shared" ref="Q33" si="3">Q32+P33</f>
        <v>1749</v>
      </c>
      <c r="R33" s="31">
        <f t="shared" ref="R33" si="4">R32+Q33</f>
        <v>1472</v>
      </c>
      <c r="S33" s="31">
        <f t="shared" ref="S33" si="5">S32+R33</f>
        <v>1194</v>
      </c>
      <c r="T33" s="31">
        <f t="shared" ref="T33" si="6">T32+S33</f>
        <v>915</v>
      </c>
      <c r="U33" s="31">
        <f t="shared" ref="U33" si="7">U32+T33</f>
        <v>635</v>
      </c>
      <c r="V33" s="31">
        <f t="shared" ref="V33" si="8">V32+U33</f>
        <v>354</v>
      </c>
      <c r="W33" s="31">
        <f t="shared" ref="W33" si="9">W32+V33</f>
        <v>72</v>
      </c>
      <c r="X33" s="31">
        <f t="shared" ref="X33" si="10">X32+W33</f>
        <v>-211</v>
      </c>
      <c r="Y33" s="31">
        <f t="shared" ref="Y33" si="11">Y32+X33</f>
        <v>-495</v>
      </c>
      <c r="Z33" s="31">
        <f t="shared" ref="Z33" si="12">Z32+Y33</f>
        <v>-780</v>
      </c>
      <c r="AA33" s="31">
        <f t="shared" ref="AA33" si="13">AA32+Z33</f>
        <v>-1066</v>
      </c>
      <c r="AB33" s="31">
        <f t="shared" ref="AB33" si="14">AB32+AA33</f>
        <v>-1353</v>
      </c>
      <c r="AC33" s="31">
        <f t="shared" ref="AC33" si="15">AC32+AB33</f>
        <v>-1641</v>
      </c>
      <c r="AD33" s="31">
        <f t="shared" ref="AD33" si="16">AD32+AC33</f>
        <v>-1930</v>
      </c>
      <c r="AE33" s="31">
        <f t="shared" ref="AE33" si="17">AE32+AD33</f>
        <v>-2220</v>
      </c>
      <c r="AF33" s="31">
        <f t="shared" ref="AF33" si="18">AF32+AE33</f>
        <v>-2511</v>
      </c>
      <c r="AG33" s="31">
        <f t="shared" ref="AG33" si="19">AG32+AF33</f>
        <v>-2803</v>
      </c>
      <c r="AH33" s="31">
        <f t="shared" ref="AH33" si="20">AH32+AG33</f>
        <v>-3096</v>
      </c>
      <c r="AI33" s="31">
        <f t="shared" ref="AI33" si="21">AI32+AH33</f>
        <v>-3390</v>
      </c>
      <c r="AJ33" s="31">
        <f t="shared" ref="AJ33" si="22">AJ32+AI33</f>
        <v>-3685</v>
      </c>
      <c r="AK33" s="31">
        <f t="shared" ref="AK33" si="23">AK32+AJ33</f>
        <v>-3981</v>
      </c>
      <c r="AL33" s="31">
        <f t="shared" ref="AL33" si="24">AL32+AK33</f>
        <v>-4278</v>
      </c>
      <c r="AM33" s="31">
        <f t="shared" ref="AM33" si="25">AM32+AL33</f>
        <v>-4576</v>
      </c>
      <c r="AN33" s="31">
        <f t="shared" ref="AN33" si="26">AN32+AM33</f>
        <v>-4875</v>
      </c>
      <c r="AO33" s="31">
        <f t="shared" ref="AO33" si="27">AO32+AN33</f>
        <v>-5175</v>
      </c>
      <c r="AP33" s="31">
        <f t="shared" ref="AP33" si="28">AP32+AO33</f>
        <v>-5476</v>
      </c>
      <c r="AQ33" s="31">
        <f t="shared" ref="AQ33" si="29">AQ32+AP33</f>
        <v>-5778</v>
      </c>
      <c r="AR33" s="31">
        <f t="shared" ref="AR33" si="30">AR32+AQ33</f>
        <v>-6081</v>
      </c>
      <c r="AS33" s="31">
        <f t="shared" ref="AS33" si="31">AS32+AR33</f>
        <v>-6385</v>
      </c>
      <c r="AT33" s="31">
        <f t="shared" ref="AT33" si="32">AT32+AS33</f>
        <v>-6690</v>
      </c>
      <c r="AU33" s="31">
        <f t="shared" ref="AU33" si="33">AU32+AT33</f>
        <v>-6996</v>
      </c>
      <c r="AV33" s="31">
        <f t="shared" ref="AV33" si="34">AV32+AU33</f>
        <v>-7303</v>
      </c>
    </row>
    <row r="34" spans="2:48" x14ac:dyDescent="0.25">
      <c r="B34" s="26" t="s">
        <v>34</v>
      </c>
      <c r="C34" s="30">
        <v>0</v>
      </c>
      <c r="D34" s="4"/>
      <c r="E34" s="4"/>
      <c r="F34" s="4"/>
      <c r="G34" s="4"/>
      <c r="H34" s="4"/>
      <c r="I34" s="4"/>
      <c r="J34" s="4"/>
      <c r="K34" s="4"/>
      <c r="L34" s="4"/>
      <c r="M34" s="4"/>
      <c r="N34" s="4"/>
      <c r="O34" s="4"/>
      <c r="P34"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9681C-EF0C-4574-BF01-9789DC4A7627}">
  <dimension ref="B3:P11"/>
  <sheetViews>
    <sheetView workbookViewId="0">
      <selection activeCell="I12" sqref="I12"/>
    </sheetView>
  </sheetViews>
  <sheetFormatPr defaultRowHeight="15" x14ac:dyDescent="0.25"/>
  <cols>
    <col min="2" max="2" width="22.85546875" bestFit="1" customWidth="1"/>
    <col min="3" max="3" width="20.85546875" customWidth="1"/>
    <col min="4" max="4" width="12.140625" bestFit="1" customWidth="1"/>
    <col min="5" max="5" width="13.5703125" bestFit="1" customWidth="1"/>
    <col min="6" max="6" width="23.140625" bestFit="1" customWidth="1"/>
  </cols>
  <sheetData>
    <row r="3" spans="2:16" s="20" customFormat="1" x14ac:dyDescent="0.25">
      <c r="B3" s="20" t="s">
        <v>47</v>
      </c>
      <c r="C3" s="19">
        <f>Income!C6</f>
        <v>43160</v>
      </c>
      <c r="D3" s="19">
        <f>Income!D6</f>
        <v>43191</v>
      </c>
      <c r="E3" s="19">
        <f>Income!E6</f>
        <v>43221</v>
      </c>
      <c r="F3" s="19">
        <f>Income!F6</f>
        <v>43252</v>
      </c>
      <c r="G3" s="19">
        <f>Income!G6</f>
        <v>43282</v>
      </c>
      <c r="H3" s="19">
        <f>Income!H6</f>
        <v>43313</v>
      </c>
      <c r="I3" s="19">
        <f>Income!I6</f>
        <v>43344</v>
      </c>
      <c r="J3" s="19">
        <f>Income!J6</f>
        <v>43374</v>
      </c>
      <c r="K3" s="19">
        <f>Income!K6</f>
        <v>43405</v>
      </c>
      <c r="L3" s="19">
        <f>Income!L6</f>
        <v>43435</v>
      </c>
      <c r="M3" s="19">
        <f>Income!M6</f>
        <v>43466</v>
      </c>
      <c r="N3" s="19">
        <f>Income!N6</f>
        <v>43497</v>
      </c>
      <c r="O3" s="19">
        <f>Income!O6</f>
        <v>43525</v>
      </c>
      <c r="P3" s="19">
        <f>Income!P6</f>
        <v>43556</v>
      </c>
    </row>
    <row r="4" spans="2:16" s="39" customFormat="1" ht="45.75" customHeight="1" x14ac:dyDescent="0.25">
      <c r="C4" s="38" t="s">
        <v>48</v>
      </c>
      <c r="D4" s="38" t="s">
        <v>49</v>
      </c>
      <c r="E4" s="38" t="s">
        <v>50</v>
      </c>
      <c r="F4" s="38" t="s">
        <v>51</v>
      </c>
      <c r="G4" s="38"/>
      <c r="H4" s="38"/>
      <c r="I4" s="38"/>
      <c r="J4" s="38"/>
      <c r="K4" s="38"/>
      <c r="L4" s="38"/>
      <c r="M4" s="38"/>
      <c r="N4" s="38"/>
      <c r="O4" s="38"/>
      <c r="P4" s="38"/>
    </row>
    <row r="5" spans="2:16" s="20" customFormat="1" x14ac:dyDescent="0.25">
      <c r="B5" s="20" t="s">
        <v>40</v>
      </c>
      <c r="C5" s="19">
        <f>C3</f>
        <v>43160</v>
      </c>
      <c r="D5" s="19">
        <f t="shared" ref="D5:P5" si="0">D3</f>
        <v>43191</v>
      </c>
      <c r="E5" s="19">
        <f t="shared" si="0"/>
        <v>43221</v>
      </c>
      <c r="F5" s="19">
        <f t="shared" si="0"/>
        <v>43252</v>
      </c>
      <c r="G5" s="19">
        <f t="shared" si="0"/>
        <v>43282</v>
      </c>
      <c r="H5" s="19">
        <f t="shared" si="0"/>
        <v>43313</v>
      </c>
      <c r="I5" s="19">
        <f t="shared" si="0"/>
        <v>43344</v>
      </c>
      <c r="J5" s="19">
        <f t="shared" si="0"/>
        <v>43374</v>
      </c>
      <c r="K5" s="19">
        <f t="shared" si="0"/>
        <v>43405</v>
      </c>
      <c r="L5" s="19">
        <f t="shared" si="0"/>
        <v>43435</v>
      </c>
      <c r="M5" s="19">
        <f t="shared" si="0"/>
        <v>43466</v>
      </c>
      <c r="N5" s="19">
        <f t="shared" si="0"/>
        <v>43497</v>
      </c>
      <c r="O5" s="19">
        <f t="shared" si="0"/>
        <v>43525</v>
      </c>
      <c r="P5" s="19">
        <f t="shared" si="0"/>
        <v>43556</v>
      </c>
    </row>
    <row r="6" spans="2:16" x14ac:dyDescent="0.25">
      <c r="B6" t="s">
        <v>41</v>
      </c>
      <c r="C6" s="34"/>
      <c r="D6" s="34"/>
    </row>
    <row r="7" spans="2:16" x14ac:dyDescent="0.25">
      <c r="B7" t="s">
        <v>42</v>
      </c>
      <c r="E7" s="34"/>
      <c r="F7" s="34"/>
    </row>
    <row r="8" spans="2:16" x14ac:dyDescent="0.25">
      <c r="B8" t="s">
        <v>43</v>
      </c>
      <c r="F8" s="33"/>
      <c r="G8" s="33"/>
      <c r="H8" s="33"/>
      <c r="I8" s="33"/>
      <c r="L8" s="33"/>
      <c r="M8" s="33"/>
    </row>
    <row r="9" spans="2:16" x14ac:dyDescent="0.25">
      <c r="B9" t="s">
        <v>44</v>
      </c>
      <c r="G9" s="36"/>
      <c r="H9" s="36"/>
      <c r="I9" s="36"/>
      <c r="J9" s="36"/>
      <c r="K9" s="35"/>
      <c r="M9" s="36"/>
      <c r="N9" s="36"/>
      <c r="O9" s="36"/>
    </row>
    <row r="10" spans="2:16" x14ac:dyDescent="0.25">
      <c r="B10" t="s">
        <v>45</v>
      </c>
      <c r="I10" s="36" t="s">
        <v>35</v>
      </c>
      <c r="J10" s="36"/>
      <c r="K10" s="36"/>
      <c r="L10" s="36"/>
      <c r="O10" s="36"/>
      <c r="P10" s="36"/>
    </row>
    <row r="11" spans="2:16" x14ac:dyDescent="0.25">
      <c r="B11" t="s">
        <v>46</v>
      </c>
      <c r="G11" s="37"/>
      <c r="M11" s="37"/>
      <c r="N11" s="37"/>
      <c r="P11" s="3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 Sheet</vt:lpstr>
      <vt:lpstr>Income</vt:lpstr>
      <vt:lpstr>Expenditure</vt:lpstr>
      <vt:lpstr>Cash Flow</vt:lpstr>
      <vt:lpstr>Project Milestones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Lages</dc:creator>
  <cp:lastModifiedBy>Tim Lages</cp:lastModifiedBy>
  <dcterms:created xsi:type="dcterms:W3CDTF">2017-12-15T15:44:16Z</dcterms:created>
  <dcterms:modified xsi:type="dcterms:W3CDTF">2019-01-05T20:43:22Z</dcterms:modified>
</cp:coreProperties>
</file>