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5D4E9A8D-BCD3-42C2-9095-071A089347F5}" xr6:coauthVersionLast="47" xr6:coauthVersionMax="47" xr10:uidLastSave="{00000000-0000-0000-0000-000000000000}"/>
  <bookViews>
    <workbookView xWindow="-98" yWindow="277" windowWidth="26116" windowHeight="16020" tabRatio="810" activeTab="7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Chart1" sheetId="289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Output!$E$69:$AF$69</definedName>
    <definedName name="SMU">InpC!$F$75</definedName>
    <definedName name="TrackActive">Output!$H$5</definedName>
    <definedName name="TrackLiveResults">Output!$H$6:$H$76</definedName>
    <definedName name="TrackStoredResults">Output!$M$5:$AF$5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287" l="1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F52" i="48" l="1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29" i="269"/>
  <c r="L57" i="269"/>
  <c r="L58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I51" i="48" l="1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F95" i="273" l="1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23" i="287" l="1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23" i="287" l="1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N11" i="287" l="1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N23" i="287" l="1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11" i="287" l="1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J10" i="287" l="1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R20" i="287" l="1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J60" i="287" l="1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K10" i="287" l="1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7" l="1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L10" i="287" l="1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3" i="287" l="1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W23" i="287" l="1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23" i="287" l="1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11" i="287" l="1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23" i="287" l="1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AA23" i="287" l="1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AB43" i="287" l="1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C23" i="287" l="1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1" i="287" l="1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23" i="287" l="1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Q10" i="287" l="1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23" i="287" l="1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H23" i="287" l="1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I23" i="287" l="1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J43" i="287" l="1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0" i="287" l="1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S10" i="287" l="1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23" i="287" l="1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23" i="287" l="1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T10" i="287" l="1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23" i="287" l="1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Q23" i="287" l="1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R43" i="287" l="1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23" i="287" l="1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U16" i="282" l="1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U23" i="287" l="1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23" i="287" l="1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X20" i="287" l="1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25" i="282" l="1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Y23" i="287" l="1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23" i="287" l="1"/>
  <c r="AZ43" i="287"/>
  <c r="BA11" i="287"/>
  <c r="BA29" i="286"/>
  <c r="BA30" i="286" s="1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23" i="287" l="1"/>
  <c r="BA43" i="287"/>
  <c r="BB20" i="287"/>
  <c r="BB23" i="287" s="1"/>
  <c r="X10" i="287"/>
  <c r="X12" i="287" s="1"/>
  <c r="X15" i="287" s="1"/>
  <c r="X16" i="287" s="1"/>
  <c r="X27" i="286"/>
  <c r="BB11" i="287"/>
  <c r="BB29" i="286"/>
  <c r="BB30" i="286" s="1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X22" i="287" l="1"/>
  <c r="X60" i="287"/>
  <c r="BC11" i="287"/>
  <c r="BC29" i="286"/>
  <c r="BC30" i="286" s="1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Z61" i="281" l="1"/>
  <c r="BD20" i="287"/>
  <c r="BD23" i="287" s="1"/>
  <c r="BD25" i="282"/>
  <c r="BD11" i="287"/>
  <c r="BD29" i="286"/>
  <c r="BD30" i="286" s="1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Y10" i="287" l="1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1" i="287" l="1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BF23" i="287" l="1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20" i="287" l="1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11" i="287" l="1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BI23" i="287" l="1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BK20" i="287" l="1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0" i="287" l="1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I61" i="281" l="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AB10" i="287" l="1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11" i="287" l="1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O23" i="287" l="1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1" i="287" l="1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Q23" i="287" l="1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20" i="287" l="1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1" i="287" l="1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T23" i="287" l="1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V11" i="287" l="1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1" i="287" l="1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X20" i="287" l="1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11" i="287" l="1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AF10" i="287" l="1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Z23" i="287" l="1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CA23" i="287" l="1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G10" i="287" l="1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20" i="287" l="1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11" i="287" l="1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H10" i="287" l="1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0" i="287" l="1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H20" i="287" l="1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AI10" i="287" l="1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I22" i="287" l="1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J23" i="287" l="1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CK23" i="287" l="1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AJ22" i="287" l="1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1" i="287" l="1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CN23" i="287" l="1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20" i="287" l="1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20" i="287" l="1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20" i="287" l="1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25" i="282" l="1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23" i="287" l="1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23" i="287" l="1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20" i="287" l="1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0" i="287" l="1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AN10" i="287" l="1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AN22" i="287" l="1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23" i="287" l="1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CZ23" i="287" l="1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1" i="287" l="1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DC25" i="282" l="1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DC23" i="287" l="1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AP22" i="287" l="1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DF11" i="287" l="1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F23" i="287" l="1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20" i="287" l="1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1" i="287" l="1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DI23" i="287" l="1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DJ23" i="287" l="1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J61" i="281" l="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DM20" i="287" l="1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0" i="287" l="1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DO11" i="287" l="1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20" i="287" l="1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1" i="287" l="1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23" i="287" l="1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AU10" i="287" l="1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1" i="287" l="1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1" i="287" l="1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V20" i="287" l="1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W25" i="282" l="1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23" i="287" l="1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AW10" i="287" l="1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AW22" i="287" l="1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11" i="287" l="1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X10" i="287" l="1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AX22" i="287" l="1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Q11" i="277" l="1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Y76" i="281" l="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AY10" i="287" l="1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AY22" i="287" l="1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H14" i="277" l="1"/>
  <c r="AZ33" i="265"/>
  <c r="T30" i="277"/>
  <c r="T33" i="277" s="1"/>
  <c r="AZ64" i="265"/>
  <c r="U64" i="277" s="1"/>
  <c r="BA60" i="281"/>
  <c r="L26" i="269"/>
  <c r="J26" i="269"/>
  <c r="BB112" i="281"/>
  <c r="BB113" i="281" s="1"/>
  <c r="AZ10" i="287" l="1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AZ22" i="287" l="1"/>
  <c r="AZ60" i="287"/>
  <c r="BA30" i="265"/>
  <c r="BA62" i="281"/>
  <c r="BA63" i="281" s="1"/>
  <c r="BB69" i="265"/>
  <c r="BC121" i="281"/>
  <c r="BC112" i="281" l="1"/>
  <c r="BC113" i="281" s="1"/>
  <c r="BA64" i="265"/>
  <c r="BB60" i="281"/>
  <c r="BA33" i="265"/>
  <c r="BA10" i="287" l="1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BA22" i="287" l="1"/>
  <c r="BA60" i="287"/>
  <c r="BB30" i="265"/>
  <c r="BB62" i="281"/>
  <c r="BB63" i="281" s="1"/>
  <c r="BC69" i="265"/>
  <c r="BD121" i="281"/>
  <c r="BD112" i="281" l="1"/>
  <c r="BD113" i="281" s="1"/>
  <c r="BB64" i="265"/>
  <c r="BC60" i="281"/>
  <c r="BB33" i="265"/>
  <c r="BB10" i="287" l="1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BB22" i="287" l="1"/>
  <c r="BB60" i="287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10" i="287" l="1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BC22" i="287" l="1"/>
  <c r="BC60" i="287"/>
  <c r="BD30" i="265"/>
  <c r="BD62" i="281"/>
  <c r="BD63" i="281" s="1"/>
  <c r="BE69" i="265"/>
  <c r="BF121" i="281"/>
  <c r="BF112" i="281" l="1"/>
  <c r="BF113" i="281" s="1"/>
  <c r="BD64" i="265"/>
  <c r="V64" i="277" s="1"/>
  <c r="BE60" i="281"/>
  <c r="BD33" i="265"/>
  <c r="U30" i="277"/>
  <c r="BD10" i="287" l="1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BD22" i="287" l="1"/>
  <c r="BD60" i="287"/>
  <c r="BF69" i="265"/>
  <c r="BG121" i="281"/>
  <c r="BE30" i="265"/>
  <c r="BE62" i="281"/>
  <c r="BE63" i="281" s="1"/>
  <c r="BE64" i="265" l="1"/>
  <c r="BF60" i="281"/>
  <c r="BG112" i="281"/>
  <c r="BG113" i="281" s="1"/>
  <c r="BE33" i="265"/>
  <c r="BE10" i="287" l="1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BE22" i="287" l="1"/>
  <c r="BE60" i="287"/>
  <c r="BG69" i="265"/>
  <c r="BH121" i="281"/>
  <c r="BF30" i="265"/>
  <c r="BF62" i="281"/>
  <c r="BF63" i="281" s="1"/>
  <c r="BH112" i="281" l="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L75" i="265"/>
  <c r="L81" i="265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M16" i="265" l="1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L82" i="265"/>
  <c r="L83" i="265"/>
  <c r="J97" i="287"/>
  <c r="J98" i="287" s="1"/>
  <c r="J28" i="286" s="1"/>
  <c r="J91" i="287"/>
  <c r="J92" i="287" s="1"/>
  <c r="J69" i="287"/>
  <c r="J36" i="265" s="1"/>
  <c r="K90" i="287" l="1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50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8" i="280" l="1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68" i="287" s="1"/>
  <c r="N15" i="286"/>
  <c r="N28" i="280"/>
  <c r="N29" i="280" s="1"/>
  <c r="N19" i="280"/>
  <c r="M63" i="280"/>
  <c r="M64" i="280" s="1"/>
  <c r="M68" i="280" s="1"/>
  <c r="M50" i="280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K35" i="265" l="1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N97" i="287"/>
  <c r="N98" i="287" s="1"/>
  <c r="N28" i="286" s="1"/>
  <c r="N30" i="286" s="1"/>
  <c r="N69" i="287"/>
  <c r="N36" i="265" s="1"/>
  <c r="N91" i="287"/>
  <c r="N92" i="287" s="1"/>
  <c r="K68" i="287"/>
  <c r="M69" i="280"/>
  <c r="N49" i="265"/>
  <c r="N35" i="265"/>
  <c r="N16" i="265"/>
  <c r="K97" i="287" l="1"/>
  <c r="K98" i="287" s="1"/>
  <c r="K28" i="286" s="1"/>
  <c r="K69" i="287"/>
  <c r="K36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37" i="265"/>
  <c r="N42" i="265" s="1"/>
  <c r="N47" i="265" s="1"/>
  <c r="N50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N70" i="265"/>
  <c r="O90" i="287"/>
  <c r="O79" i="287" s="1"/>
  <c r="O81" i="287" s="1"/>
  <c r="J52" i="265"/>
  <c r="J24" i="265"/>
  <c r="K38" i="280"/>
  <c r="K57" i="280" s="1"/>
  <c r="J74" i="265"/>
  <c r="J75" i="265" s="1"/>
  <c r="J81" i="265" s="1"/>
  <c r="K37" i="265"/>
  <c r="K42" i="265" s="1"/>
  <c r="K47" i="265" s="1"/>
  <c r="K50" i="265" s="1"/>
  <c r="J25" i="265" l="1"/>
  <c r="O61" i="287"/>
  <c r="O62" i="287" s="1"/>
  <c r="O67" i="287" s="1"/>
  <c r="O96" i="287"/>
  <c r="O82" i="287"/>
  <c r="O56" i="287"/>
  <c r="O57" i="287" s="1"/>
  <c r="O66" i="287" s="1"/>
  <c r="O68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97" i="287" l="1"/>
  <c r="O98" i="287" s="1"/>
  <c r="O28" i="286" s="1"/>
  <c r="O30" i="286" s="1"/>
  <c r="O91" i="287"/>
  <c r="O92" i="287" s="1"/>
  <c r="O69" i="287"/>
  <c r="O36" i="265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P73" i="265" l="1"/>
  <c r="L73" i="277" s="1"/>
  <c r="Q26" i="280"/>
  <c r="Q16" i="280" s="1"/>
  <c r="Q18" i="280" s="1"/>
  <c r="O37" i="265"/>
  <c r="O42" i="265" s="1"/>
  <c r="O47" i="265" s="1"/>
  <c r="O50" i="265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70" i="265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P68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J37" i="277" s="1"/>
  <c r="J41" i="277" s="1"/>
  <c r="J46" i="277" s="1"/>
  <c r="J49" i="277" s="1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K25" i="265" l="1"/>
  <c r="N74" i="265"/>
  <c r="N75" i="265" s="1"/>
  <c r="N81" i="265" s="1"/>
  <c r="O38" i="280"/>
  <c r="O57" i="280" s="1"/>
  <c r="O59" i="280" s="1"/>
  <c r="O67" i="280" s="1"/>
  <c r="O69" i="280" s="1"/>
  <c r="N52" i="265"/>
  <c r="N53" i="265" s="1"/>
  <c r="N24" i="265"/>
  <c r="N25" i="265" s="1"/>
  <c r="P97" i="287"/>
  <c r="P98" i="287" s="1"/>
  <c r="P28" i="286" s="1"/>
  <c r="P30" i="286" s="1"/>
  <c r="P91" i="287"/>
  <c r="P92" i="287" s="1"/>
  <c r="P69" i="287"/>
  <c r="P36" i="265" s="1"/>
  <c r="R26" i="280"/>
  <c r="R16" i="280" s="1"/>
  <c r="R18" i="280" s="1"/>
  <c r="Q73" i="265"/>
  <c r="Q49" i="265"/>
  <c r="L59" i="280"/>
  <c r="L67" i="280" s="1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O40" i="280" l="1"/>
  <c r="O41" i="280" s="1"/>
  <c r="O51" i="280"/>
  <c r="O52" i="280" s="1"/>
  <c r="O14" i="286"/>
  <c r="O16" i="286" s="1"/>
  <c r="O18" i="286" s="1"/>
  <c r="O70" i="280"/>
  <c r="Q90" i="287"/>
  <c r="Q79" i="287" s="1"/>
  <c r="Q81" i="287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L70" i="277" l="1"/>
  <c r="P39" i="280"/>
  <c r="P58" i="280"/>
  <c r="Q61" i="287"/>
  <c r="Q62" i="287" s="1"/>
  <c r="Q67" i="287" s="1"/>
  <c r="Q56" i="287"/>
  <c r="Q57" i="287" s="1"/>
  <c r="Q66" i="287" s="1"/>
  <c r="Q82" i="287"/>
  <c r="Q96" i="287"/>
  <c r="O52" i="265"/>
  <c r="O53" i="265" s="1"/>
  <c r="O24" i="265"/>
  <c r="O25" i="265" s="1"/>
  <c r="P49" i="280"/>
  <c r="P62" i="280" s="1"/>
  <c r="O63" i="265"/>
  <c r="O65" i="265" s="1"/>
  <c r="O67" i="265" s="1"/>
  <c r="O80" i="265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Q35" i="265" l="1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37" i="265"/>
  <c r="Q42" i="265" s="1"/>
  <c r="Q47" i="265" s="1"/>
  <c r="Q50" i="265" s="1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68" i="287" s="1"/>
  <c r="R82" i="287"/>
  <c r="R96" i="287"/>
  <c r="Q64" i="280"/>
  <c r="Q68" i="280" s="1"/>
  <c r="Q69" i="280" s="1"/>
  <c r="Q51" i="280" l="1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R69" i="287"/>
  <c r="R36" i="265" s="1"/>
  <c r="R97" i="287"/>
  <c r="R98" i="287" s="1"/>
  <c r="R28" i="286" s="1"/>
  <c r="R30" i="286" s="1"/>
  <c r="R91" i="287"/>
  <c r="R92" i="287" s="1"/>
  <c r="U15" i="286"/>
  <c r="U19" i="280"/>
  <c r="U49" i="265" s="1"/>
  <c r="U28" i="280"/>
  <c r="U29" i="280" s="1"/>
  <c r="S90" i="287" l="1"/>
  <c r="S79" i="287" s="1"/>
  <c r="S81" i="287" s="1"/>
  <c r="R70" i="265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Q83" i="265" l="1"/>
  <c r="Q82" i="265"/>
  <c r="Q25" i="265"/>
  <c r="R39" i="280"/>
  <c r="R58" i="280"/>
  <c r="R59" i="280"/>
  <c r="R67" i="280" s="1"/>
  <c r="R63" i="280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R64" i="280"/>
  <c r="R68" i="280" s="1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64" i="280" s="1"/>
  <c r="S68" i="280" s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T91" i="287" l="1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s="1"/>
  <c r="S70" i="280" l="1"/>
  <c r="S51" i="280"/>
  <c r="S52" i="280" s="1"/>
  <c r="S40" i="280"/>
  <c r="S41" i="280" s="1"/>
  <c r="S14" i="286"/>
  <c r="S16" i="286" s="1"/>
  <c r="S18" i="286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Y15" i="286" l="1"/>
  <c r="Y19" i="280"/>
  <c r="Y49" i="265" s="1"/>
  <c r="Y28" i="280"/>
  <c r="Y29" i="280" s="1"/>
  <c r="S63" i="265"/>
  <c r="S65" i="265" s="1"/>
  <c r="S67" i="265" s="1"/>
  <c r="S80" i="265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68" i="287" s="1"/>
  <c r="U82" i="287"/>
  <c r="U96" i="287"/>
  <c r="S74" i="265"/>
  <c r="S75" i="265" s="1"/>
  <c r="S81" i="265" s="1"/>
  <c r="T38" i="280"/>
  <c r="T57" i="280" s="1"/>
  <c r="S52" i="265"/>
  <c r="S24" i="265"/>
  <c r="U97" i="287" l="1"/>
  <c r="U98" i="287" s="1"/>
  <c r="U28" i="286" s="1"/>
  <c r="U30" i="286" s="1"/>
  <c r="U69" i="287"/>
  <c r="U36" i="265" s="1"/>
  <c r="U91" i="287"/>
  <c r="U92" i="287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37" i="265" l="1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U70" i="265"/>
  <c r="V61" i="287" l="1"/>
  <c r="V62" i="287" s="1"/>
  <c r="V67" i="287" s="1"/>
  <c r="V56" i="287"/>
  <c r="V57" i="287" s="1"/>
  <c r="V66" i="287" s="1"/>
  <c r="V68" i="287" s="1"/>
  <c r="V82" i="287"/>
  <c r="V96" i="287"/>
  <c r="U39" i="280"/>
  <c r="U58" i="280"/>
  <c r="U59" i="280" s="1"/>
  <c r="U67" i="280" s="1"/>
  <c r="U69" i="280" s="1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64" i="280" s="1"/>
  <c r="U68" i="280" s="1"/>
  <c r="U50" i="280"/>
  <c r="T25" i="265" l="1"/>
  <c r="L24" i="277"/>
  <c r="L25" i="277" s="1"/>
  <c r="T65" i="265"/>
  <c r="T67" i="265" s="1"/>
  <c r="T80" i="265" s="1"/>
  <c r="M63" i="277"/>
  <c r="M65" i="277" s="1"/>
  <c r="M67" i="277" s="1"/>
  <c r="M80" i="277" s="1"/>
  <c r="U70" i="280"/>
  <c r="U40" i="280"/>
  <c r="U41" i="280" s="1"/>
  <c r="U51" i="280"/>
  <c r="U52" i="280" s="1"/>
  <c r="U14" i="286"/>
  <c r="U16" i="286" s="1"/>
  <c r="U18" i="286" s="1"/>
  <c r="V97" i="287"/>
  <c r="V98" i="287" s="1"/>
  <c r="V28" i="286" s="1"/>
  <c r="V30" i="286" s="1"/>
  <c r="V91" i="287"/>
  <c r="V92" i="287" s="1"/>
  <c r="V69" i="287"/>
  <c r="V36" i="265" s="1"/>
  <c r="T53" i="265"/>
  <c r="L51" i="277"/>
  <c r="AA15" i="286"/>
  <c r="AA19" i="280"/>
  <c r="AA49" i="265" s="1"/>
  <c r="AA28" i="280"/>
  <c r="AA29" i="280" s="1"/>
  <c r="V35" i="265"/>
  <c r="V16" i="265"/>
  <c r="V19" i="265" l="1"/>
  <c r="V22" i="265" s="1"/>
  <c r="AB26" i="280"/>
  <c r="AB16" i="280" s="1"/>
  <c r="AB18" i="280" s="1"/>
  <c r="AA73" i="265"/>
  <c r="W90" i="287"/>
  <c r="W79" i="287" s="1"/>
  <c r="W81" i="287" s="1"/>
  <c r="V70" i="265"/>
  <c r="V38" i="280"/>
  <c r="V57" i="280" s="1"/>
  <c r="U74" i="265"/>
  <c r="U75" i="265" s="1"/>
  <c r="U81" i="265" s="1"/>
  <c r="V37" i="265"/>
  <c r="V42" i="265" s="1"/>
  <c r="V47" i="265" s="1"/>
  <c r="V50" i="265" s="1"/>
  <c r="V49" i="280"/>
  <c r="V62" i="280" s="1"/>
  <c r="U63" i="265"/>
  <c r="U65" i="265" s="1"/>
  <c r="U67" i="265" s="1"/>
  <c r="U80" i="265" s="1"/>
  <c r="U24" i="265"/>
  <c r="U52" i="265"/>
  <c r="T83" i="265"/>
  <c r="T82" i="265"/>
  <c r="U53" i="265" l="1"/>
  <c r="U83" i="265"/>
  <c r="U82" i="265"/>
  <c r="V63" i="280"/>
  <c r="V64" i="280" s="1"/>
  <c r="V68" i="280" s="1"/>
  <c r="V50" i="280"/>
  <c r="W61" i="287"/>
  <c r="W62" i="287" s="1"/>
  <c r="W67" i="287" s="1"/>
  <c r="W56" i="287"/>
  <c r="W57" i="287" s="1"/>
  <c r="W66" i="287" s="1"/>
  <c r="W68" i="287" s="1"/>
  <c r="W96" i="287"/>
  <c r="W82" i="287"/>
  <c r="U25" i="265"/>
  <c r="AB15" i="286"/>
  <c r="AB28" i="280"/>
  <c r="AB29" i="280" s="1"/>
  <c r="AB19" i="280"/>
  <c r="AB49" i="265" s="1"/>
  <c r="V39" i="280"/>
  <c r="V58" i="280"/>
  <c r="V59" i="280" s="1"/>
  <c r="V67" i="280" s="1"/>
  <c r="W97" i="287" l="1"/>
  <c r="W98" i="287" s="1"/>
  <c r="W28" i="286" s="1"/>
  <c r="W30" i="286" s="1"/>
  <c r="W91" i="287"/>
  <c r="W92" i="287" s="1"/>
  <c r="W69" i="287"/>
  <c r="W36" i="265" s="1"/>
  <c r="V69" i="280"/>
  <c r="AC26" i="280"/>
  <c r="AC16" i="280" s="1"/>
  <c r="AC18" i="280" s="1"/>
  <c r="AB73" i="265"/>
  <c r="O73" i="277" s="1"/>
  <c r="W35" i="265"/>
  <c r="W16" i="265"/>
  <c r="W19" i="265" l="1"/>
  <c r="W22" i="265" s="1"/>
  <c r="V14" i="286"/>
  <c r="V16" i="286" s="1"/>
  <c r="V18" i="286" s="1"/>
  <c r="V40" i="280"/>
  <c r="V41" i="280" s="1"/>
  <c r="V70" i="280"/>
  <c r="V51" i="280"/>
  <c r="V52" i="280" s="1"/>
  <c r="W70" i="265"/>
  <c r="X90" i="287"/>
  <c r="X79" i="287" s="1"/>
  <c r="X81" i="287" s="1"/>
  <c r="W37" i="265"/>
  <c r="W42" i="265" s="1"/>
  <c r="W47" i="265" s="1"/>
  <c r="W50" i="265" s="1"/>
  <c r="AC15" i="286"/>
  <c r="AC28" i="280"/>
  <c r="AC29" i="280" s="1"/>
  <c r="AC19" i="280"/>
  <c r="AC49" i="265" s="1"/>
  <c r="X61" i="287" l="1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V82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64" i="280" s="1"/>
  <c r="W68" i="280" s="1"/>
  <c r="W50" i="280"/>
  <c r="V52" i="265"/>
  <c r="V24" i="265"/>
  <c r="W58" i="280"/>
  <c r="W59" i="280" s="1"/>
  <c r="W67" i="280" s="1"/>
  <c r="W69" i="280" s="1"/>
  <c r="W39" i="280"/>
  <c r="W40" i="280" l="1"/>
  <c r="W41" i="280" s="1"/>
  <c r="W14" i="286"/>
  <c r="W16" i="286" s="1"/>
  <c r="W18" i="286" s="1"/>
  <c r="W70" i="280"/>
  <c r="W51" i="280"/>
  <c r="W52" i="280" s="1"/>
  <c r="V53" i="265"/>
  <c r="AD15" i="286"/>
  <c r="AD19" i="280"/>
  <c r="AD49" i="265" s="1"/>
  <c r="AD28" i="280"/>
  <c r="AD29" i="280" s="1"/>
  <c r="V25" i="265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X37" i="265" l="1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W63" i="265"/>
  <c r="W65" i="265" s="1"/>
  <c r="W67" i="265" s="1"/>
  <c r="W80" i="265" s="1"/>
  <c r="X49" i="280"/>
  <c r="X62" i="280" s="1"/>
  <c r="W52" i="265"/>
  <c r="W24" i="265"/>
  <c r="W74" i="265"/>
  <c r="W75" i="265" s="1"/>
  <c r="W81" i="265" s="1"/>
  <c r="X38" i="280"/>
  <c r="X57" i="280" s="1"/>
  <c r="W82" i="265" l="1"/>
  <c r="W83" i="265"/>
  <c r="Y61" i="287"/>
  <c r="Y62" i="287" s="1"/>
  <c r="Y67" i="287" s="1"/>
  <c r="Y56" i="287"/>
  <c r="Y57" i="287" s="1"/>
  <c r="Y66" i="287" s="1"/>
  <c r="Y82" i="287"/>
  <c r="Y96" i="287"/>
  <c r="W53" i="265"/>
  <c r="W25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64" i="280" s="1"/>
  <c r="X68" i="280" s="1"/>
  <c r="X50" i="280"/>
  <c r="AF26" i="280" l="1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69" i="280" s="1"/>
  <c r="Z39" i="280"/>
  <c r="Z70" i="265"/>
  <c r="AA90" i="287"/>
  <c r="AA79" i="287" s="1"/>
  <c r="AA81" i="287" s="1"/>
  <c r="AH73" i="265"/>
  <c r="AI26" i="280"/>
  <c r="AI16" i="280" s="1"/>
  <c r="AI18" i="280" s="1"/>
  <c r="AI19" i="280" l="1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68" i="287" s="1"/>
  <c r="AA82" i="287"/>
  <c r="AA96" i="287"/>
  <c r="Z14" i="286"/>
  <c r="Z16" i="286" s="1"/>
  <c r="Z18" i="286" s="1"/>
  <c r="Z70" i="280"/>
  <c r="Z51" i="280"/>
  <c r="Z52" i="280" s="1"/>
  <c r="Z40" i="280"/>
  <c r="Z41" i="280" s="1"/>
  <c r="AA97" i="287" l="1"/>
  <c r="AA98" i="287" s="1"/>
  <c r="AA28" i="286" s="1"/>
  <c r="AA30" i="286" s="1"/>
  <c r="AA91" i="287"/>
  <c r="AA92" i="287" s="1"/>
  <c r="AA69" i="287"/>
  <c r="AA36" i="265" s="1"/>
  <c r="AJ26" i="280"/>
  <c r="AJ16" i="280" s="1"/>
  <c r="AJ18" i="280" s="1"/>
  <c r="AI73" i="265"/>
  <c r="AA49" i="280"/>
  <c r="AA62" i="280" s="1"/>
  <c r="Z63" i="265"/>
  <c r="Z65" i="265" s="1"/>
  <c r="Z67" i="265" s="1"/>
  <c r="Z80" i="265" s="1"/>
  <c r="AA16" i="265"/>
  <c r="AA35" i="265"/>
  <c r="Z74" i="265"/>
  <c r="Z75" i="265" s="1"/>
  <c r="Z81" i="265" s="1"/>
  <c r="AA38" i="280"/>
  <c r="AA57" i="280" s="1"/>
  <c r="Z24" i="265"/>
  <c r="Z52" i="265"/>
  <c r="Z25" i="265" l="1"/>
  <c r="AA19" i="265"/>
  <c r="AA22" i="265" s="1"/>
  <c r="AJ19" i="280"/>
  <c r="AJ49" i="265" s="1"/>
  <c r="AJ15" i="286"/>
  <c r="AJ28" i="280"/>
  <c r="AJ29" i="280" s="1"/>
  <c r="AA70" i="265"/>
  <c r="AB90" i="287"/>
  <c r="AB79" i="287" s="1"/>
  <c r="AB81" i="287" s="1"/>
  <c r="Z53" i="265"/>
  <c r="AA37" i="265"/>
  <c r="AA42" i="265" s="1"/>
  <c r="AA47" i="265" s="1"/>
  <c r="AA50" i="265" s="1"/>
  <c r="Z83" i="265"/>
  <c r="Z82" i="265"/>
  <c r="AA50" i="280" l="1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69" i="280" s="1"/>
  <c r="AA39" i="280"/>
  <c r="AA70" i="280" l="1"/>
  <c r="AA14" i="286"/>
  <c r="AA16" i="286" s="1"/>
  <c r="AA18" i="286" s="1"/>
  <c r="AA51" i="280"/>
  <c r="AA52" i="280" s="1"/>
  <c r="AA40" i="280"/>
  <c r="AA41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B37" i="265" l="1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B38" i="280"/>
  <c r="AB57" i="280" s="1"/>
  <c r="AA74" i="265"/>
  <c r="AA75" i="265" s="1"/>
  <c r="AA81" i="265" s="1"/>
  <c r="AL26" i="280"/>
  <c r="AL16" i="280" s="1"/>
  <c r="AL18" i="280" s="1"/>
  <c r="AK73" i="265"/>
  <c r="AB49" i="280"/>
  <c r="AB62" i="280" s="1"/>
  <c r="AA63" i="265"/>
  <c r="AA65" i="265" s="1"/>
  <c r="AA67" i="265" s="1"/>
  <c r="AA80" i="265" s="1"/>
  <c r="AA24" i="265"/>
  <c r="AA52" i="265"/>
  <c r="O70" i="277" l="1"/>
  <c r="AA25" i="265"/>
  <c r="AA53" i="265"/>
  <c r="AA83" i="265"/>
  <c r="AA82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D69" i="280"/>
  <c r="AE16" i="265"/>
  <c r="AE35" i="265"/>
  <c r="AC25" i="265"/>
  <c r="AD64" i="280"/>
  <c r="AD68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AF37" i="265"/>
  <c r="AF42" i="265" s="1"/>
  <c r="AF47" i="265" s="1"/>
  <c r="AF50" i="265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91" i="287"/>
  <c r="AG92" i="287" s="1"/>
  <c r="AG37" i="265"/>
  <c r="AG42" i="265" s="1"/>
  <c r="AG47" i="265" s="1"/>
  <c r="AG50" i="265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59" i="280" s="1"/>
  <c r="AG67" i="280" s="1"/>
  <c r="AG39" i="280"/>
  <c r="AF63" i="265"/>
  <c r="AG49" i="280"/>
  <c r="AG62" i="280" s="1"/>
  <c r="AG69" i="280" l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H35" i="265" l="1"/>
  <c r="AH16" i="265"/>
  <c r="P82" i="277"/>
  <c r="P83" i="277"/>
  <c r="AG40" i="280"/>
  <c r="AG41" i="280" s="1"/>
  <c r="AG51" i="280"/>
  <c r="AG52" i="280" s="1"/>
  <c r="AG14" i="286"/>
  <c r="AG16" i="286" s="1"/>
  <c r="AG18" i="286" s="1"/>
  <c r="AG70" i="280"/>
  <c r="AU19" i="280"/>
  <c r="AU49" i="265" s="1"/>
  <c r="AU15" i="286"/>
  <c r="AU28" i="280"/>
  <c r="AU29" i="280" s="1"/>
  <c r="AH68" i="287"/>
  <c r="AF82" i="265"/>
  <c r="AF83" i="265"/>
  <c r="AV26" i="280" l="1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24" i="265"/>
  <c r="AH49" i="280"/>
  <c r="AH62" i="280" s="1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69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J61" i="287" l="1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40" i="280"/>
  <c r="AI41" i="280" s="1"/>
  <c r="AI51" i="280"/>
  <c r="AI52" i="280" s="1"/>
  <c r="AI14" i="286"/>
  <c r="AI16" i="286" s="1"/>
  <c r="AI18" i="286" s="1"/>
  <c r="AI70" i="280"/>
  <c r="AI52" i="265" l="1"/>
  <c r="AI24" i="265"/>
  <c r="AI63" i="265"/>
  <c r="AI65" i="265" s="1"/>
  <c r="AI67" i="265" s="1"/>
  <c r="AI80" i="265" s="1"/>
  <c r="AJ49" i="280"/>
  <c r="AJ62" i="280" s="1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J19" i="265" l="1"/>
  <c r="AJ22" i="265" s="1"/>
  <c r="P16" i="277"/>
  <c r="P19" i="277" s="1"/>
  <c r="P22" i="277" s="1"/>
  <c r="AJ70" i="265"/>
  <c r="AK90" i="287"/>
  <c r="AK79" i="287" s="1"/>
  <c r="AK81" i="287" s="1"/>
  <c r="AI83" i="265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69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70" i="280" l="1"/>
  <c r="AK14" i="286"/>
  <c r="AK16" i="286" s="1"/>
  <c r="AK18" i="286" s="1"/>
  <c r="AK40" i="280"/>
  <c r="AK41" i="280" s="1"/>
  <c r="AK51" i="280"/>
  <c r="AK52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L70" i="265" l="1"/>
  <c r="AM90" i="287"/>
  <c r="AM79" i="287" s="1"/>
  <c r="AM81" i="287" s="1"/>
  <c r="AL19" i="265"/>
  <c r="AL22" i="265" s="1"/>
  <c r="AL49" i="280"/>
  <c r="AL62" i="280" s="1"/>
  <c r="AK63" i="265"/>
  <c r="AK65" i="265" s="1"/>
  <c r="AK67" i="265" s="1"/>
  <c r="AK80" i="265" s="1"/>
  <c r="BB73" i="265"/>
  <c r="BC26" i="280"/>
  <c r="BC16" i="280" s="1"/>
  <c r="BC18" i="280" s="1"/>
  <c r="AL37" i="265"/>
  <c r="AL42" i="265" s="1"/>
  <c r="AL47" i="265" s="1"/>
  <c r="AL50" i="265" s="1"/>
  <c r="AL38" i="280"/>
  <c r="AL57" i="280" s="1"/>
  <c r="AK74" i="265"/>
  <c r="AK75" i="265" s="1"/>
  <c r="AK81" i="265" s="1"/>
  <c r="AK24" i="265"/>
  <c r="AK52" i="265"/>
  <c r="AK25" i="265" l="1"/>
  <c r="AL63" i="280"/>
  <c r="AL64" i="280" s="1"/>
  <c r="AL68" i="280" s="1"/>
  <c r="AL50" i="280"/>
  <c r="AK83" i="265"/>
  <c r="AK82" i="265"/>
  <c r="AM61" i="287"/>
  <c r="AM62" i="287" s="1"/>
  <c r="AM67" i="287" s="1"/>
  <c r="AM56" i="287"/>
  <c r="AM57" i="287" s="1"/>
  <c r="AM66" i="287" s="1"/>
  <c r="AM68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69" i="280" s="1"/>
  <c r="AL39" i="280"/>
  <c r="BC73" i="265" l="1"/>
  <c r="BD26" i="280"/>
  <c r="BD16" i="280" s="1"/>
  <c r="BD18" i="280" s="1"/>
  <c r="AL70" i="280"/>
  <c r="AL40" i="280"/>
  <c r="AL41" i="280" s="1"/>
  <c r="AL14" i="286"/>
  <c r="AL16" i="286" s="1"/>
  <c r="AL18" i="286" s="1"/>
  <c r="AL51" i="280"/>
  <c r="AL52" i="280" s="1"/>
  <c r="AM35" i="265"/>
  <c r="AM16" i="265"/>
  <c r="AM91" i="287"/>
  <c r="AM92" i="287" s="1"/>
  <c r="AM97" i="287"/>
  <c r="AM98" i="287" s="1"/>
  <c r="AM28" i="286" s="1"/>
  <c r="AM30" i="286" s="1"/>
  <c r="AM69" i="287"/>
  <c r="AM36" i="265" s="1"/>
  <c r="AM49" i="280" l="1"/>
  <c r="AM62" i="280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M37" i="265"/>
  <c r="AM42" i="265" s="1"/>
  <c r="AM47" i="265" s="1"/>
  <c r="AM50" i="265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AN64" i="280" s="1"/>
  <c r="AN68" i="280" s="1"/>
  <c r="BF28" i="280"/>
  <c r="BF29" i="280" s="1"/>
  <c r="BF15" i="286"/>
  <c r="BF19" i="280"/>
  <c r="BF49" i="265" s="1"/>
  <c r="AN58" i="280"/>
  <c r="AN59" i="280" s="1"/>
  <c r="AN67" i="280" s="1"/>
  <c r="AN69" i="280" s="1"/>
  <c r="AN39" i="280"/>
  <c r="BG26" i="280" l="1"/>
  <c r="BG16" i="280" s="1"/>
  <c r="BG18" i="280" s="1"/>
  <c r="BF73" i="265"/>
  <c r="AM25" i="265"/>
  <c r="AO16" i="265"/>
  <c r="AO35" i="265"/>
  <c r="AN70" i="280"/>
  <c r="AN40" i="280"/>
  <c r="AN41" i="280" s="1"/>
  <c r="AN14" i="286"/>
  <c r="AN16" i="286" s="1"/>
  <c r="AN18" i="286" s="1"/>
  <c r="AN51" i="280"/>
  <c r="AN52" i="280" s="1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O49" i="280" l="1"/>
  <c r="AO62" i="280" s="1"/>
  <c r="AN63" i="265"/>
  <c r="AO70" i="265"/>
  <c r="AP90" i="287"/>
  <c r="AP79" i="287" s="1"/>
  <c r="AP81" i="287" s="1"/>
  <c r="AN24" i="265"/>
  <c r="AN52" i="265"/>
  <c r="AO19" i="265"/>
  <c r="AO22" i="265" s="1"/>
  <c r="BG19" i="280"/>
  <c r="BG49" i="265" s="1"/>
  <c r="BG15" i="286"/>
  <c r="BG28" i="280"/>
  <c r="BG29" i="280" s="1"/>
  <c r="AN74" i="265"/>
  <c r="AO38" i="280"/>
  <c r="AO57" i="280" s="1"/>
  <c r="AO37" i="265"/>
  <c r="AO42" i="265" s="1"/>
  <c r="AO47" i="265" s="1"/>
  <c r="AO50" i="265" s="1"/>
  <c r="BH26" i="280" l="1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R63" i="277"/>
  <c r="R65" i="277" s="1"/>
  <c r="R67" i="277" s="1"/>
  <c r="R80" i="277" s="1"/>
  <c r="AN65" i="265"/>
  <c r="AN67" i="265" s="1"/>
  <c r="AN80" i="265" s="1"/>
  <c r="AO58" i="280"/>
  <c r="AO59" i="280" s="1"/>
  <c r="AO67" i="280" s="1"/>
  <c r="AO69" i="280" s="1"/>
  <c r="AO39" i="280"/>
  <c r="AN25" i="265"/>
  <c r="Q24" i="277"/>
  <c r="Q25" i="277" s="1"/>
  <c r="R83" i="277" l="1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N83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69" i="280" s="1"/>
  <c r="AP39" i="280"/>
  <c r="AQ61" i="287"/>
  <c r="AQ62" i="287" s="1"/>
  <c r="AQ67" i="287" s="1"/>
  <c r="AQ56" i="287"/>
  <c r="AQ57" i="287" s="1"/>
  <c r="AQ66" i="287" s="1"/>
  <c r="AQ68" i="287" s="1"/>
  <c r="AQ96" i="287"/>
  <c r="AQ82" i="287"/>
  <c r="AO25" i="265"/>
  <c r="BI28" i="280"/>
  <c r="BI29" i="280" s="1"/>
  <c r="BI15" i="286"/>
  <c r="BI19" i="280"/>
  <c r="BI49" i="265" s="1"/>
  <c r="AO53" i="265"/>
  <c r="AQ16" i="265" l="1"/>
  <c r="AQ35" i="265"/>
  <c r="AQ97" i="287"/>
  <c r="AQ98" i="287" s="1"/>
  <c r="AQ28" i="286" s="1"/>
  <c r="AQ30" i="286" s="1"/>
  <c r="AQ91" i="287"/>
  <c r="AQ92" i="287" s="1"/>
  <c r="AQ69" i="287"/>
  <c r="AQ36" i="265" s="1"/>
  <c r="AP14" i="286"/>
  <c r="AP16" i="286" s="1"/>
  <c r="AP18" i="286" s="1"/>
  <c r="AP51" i="280"/>
  <c r="AP52" i="280" s="1"/>
  <c r="AP70" i="280"/>
  <c r="AP40" i="280"/>
  <c r="AP41" i="280" s="1"/>
  <c r="BJ26" i="280"/>
  <c r="BJ16" i="280" s="1"/>
  <c r="BJ18" i="280" s="1"/>
  <c r="BI73" i="265"/>
  <c r="AP24" i="265" l="1"/>
  <c r="AP52" i="265"/>
  <c r="AR90" i="287"/>
  <c r="AR79" i="287" s="1"/>
  <c r="AR81" i="287" s="1"/>
  <c r="AQ70" i="265"/>
  <c r="AQ37" i="265"/>
  <c r="AQ42" i="265" s="1"/>
  <c r="AQ47" i="265" s="1"/>
  <c r="AQ50" i="265" s="1"/>
  <c r="BJ28" i="280"/>
  <c r="BJ29" i="280" s="1"/>
  <c r="BJ15" i="286"/>
  <c r="BJ19" i="280"/>
  <c r="BJ49" i="265" s="1"/>
  <c r="AP74" i="265"/>
  <c r="AP75" i="265" s="1"/>
  <c r="AP81" i="265" s="1"/>
  <c r="AQ38" i="280"/>
  <c r="AQ57" i="280" s="1"/>
  <c r="AQ49" i="280"/>
  <c r="AQ62" i="280" s="1"/>
  <c r="AP63" i="265"/>
  <c r="AP65" i="265" s="1"/>
  <c r="AP67" i="265" s="1"/>
  <c r="AP80" i="265" s="1"/>
  <c r="AQ19" i="265"/>
  <c r="AQ22" i="265" s="1"/>
  <c r="AP82" i="265" l="1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AR64" i="280" s="1"/>
  <c r="AR68" i="280" s="1"/>
  <c r="BL15" i="286"/>
  <c r="BL28" i="280"/>
  <c r="BL29" i="280" s="1"/>
  <c r="BL19" i="280"/>
  <c r="BL49" i="265" s="1"/>
  <c r="S70" i="277"/>
  <c r="BL73" i="265" l="1"/>
  <c r="X73" i="277" s="1"/>
  <c r="BM26" i="280"/>
  <c r="BM16" i="280" s="1"/>
  <c r="BM18" i="280" s="1"/>
  <c r="AQ25" i="265"/>
  <c r="AS16" i="265"/>
  <c r="AS35" i="265"/>
  <c r="AQ53" i="265"/>
  <c r="AQ83" i="265"/>
  <c r="AQ82" i="265"/>
  <c r="AR69" i="280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S59" i="280" s="1"/>
  <c r="AS67" i="280" s="1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BN15" i="286" l="1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S69" i="280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68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59" i="280" s="1"/>
  <c r="AT67" i="280" s="1"/>
  <c r="AT69" i="280" s="1"/>
  <c r="AT39" i="280"/>
  <c r="AS83" i="265" l="1"/>
  <c r="AS82" i="265"/>
  <c r="AS25" i="265"/>
  <c r="BO73" i="265"/>
  <c r="BP26" i="280"/>
  <c r="BP16" i="280" s="1"/>
  <c r="BP18" i="280" s="1"/>
  <c r="AT40" i="280"/>
  <c r="AT41" i="280" s="1"/>
  <c r="AT51" i="280"/>
  <c r="AT52" i="280" s="1"/>
  <c r="AT70" i="280"/>
  <c r="AT14" i="286"/>
  <c r="AT16" i="286" s="1"/>
  <c r="AT18" i="286" s="1"/>
  <c r="AS53" i="265"/>
  <c r="AU16" i="265"/>
  <c r="AU35" i="265"/>
  <c r="AU97" i="287"/>
  <c r="AU98" i="287" s="1"/>
  <c r="AU28" i="286" s="1"/>
  <c r="AU30" i="286" s="1"/>
  <c r="AU91" i="287"/>
  <c r="AU92" i="287" s="1"/>
  <c r="AU69" i="287"/>
  <c r="AU36" i="265" s="1"/>
  <c r="AV90" i="287" l="1"/>
  <c r="AV79" i="287" s="1"/>
  <c r="AV81" i="287" s="1"/>
  <c r="AU70" i="265"/>
  <c r="AU37" i="265"/>
  <c r="AU42" i="265" s="1"/>
  <c r="AU47" i="265" s="1"/>
  <c r="AU50" i="265" s="1"/>
  <c r="AU19" i="265"/>
  <c r="AU22" i="265" s="1"/>
  <c r="AT24" i="265"/>
  <c r="AT52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9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V16" i="265" l="1"/>
  <c r="AV35" i="265"/>
  <c r="AU40" i="280"/>
  <c r="AU41" i="280" s="1"/>
  <c r="AU51" i="280"/>
  <c r="AU52" i="280" s="1"/>
  <c r="AU14" i="286"/>
  <c r="AU16" i="286" s="1"/>
  <c r="AU18" i="286" s="1"/>
  <c r="AU70" i="280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BQ73" i="265" l="1"/>
  <c r="BR26" i="280"/>
  <c r="BR16" i="280" s="1"/>
  <c r="BR18" i="280" s="1"/>
  <c r="AU24" i="265"/>
  <c r="AU52" i="265"/>
  <c r="AV49" i="280"/>
  <c r="AV62" i="280" s="1"/>
  <c r="AU63" i="265"/>
  <c r="AU65" i="265" s="1"/>
  <c r="AU67" i="265" s="1"/>
  <c r="AU80" i="265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82" i="265" l="1"/>
  <c r="AU83" i="265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W35" i="265" l="1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59" i="280" s="1"/>
  <c r="AW67" i="280" s="1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T74" i="277" l="1"/>
  <c r="T75" i="277" s="1"/>
  <c r="T81" i="277" s="1"/>
  <c r="AV75" i="265"/>
  <c r="AV81" i="265" s="1"/>
  <c r="AW64" i="280"/>
  <c r="AW68" i="280" s="1"/>
  <c r="AW69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51" i="280" l="1"/>
  <c r="AW52" i="280" s="1"/>
  <c r="AW70" i="280"/>
  <c r="AW14" i="286"/>
  <c r="AW16" i="286" s="1"/>
  <c r="AW18" i="286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X38" i="280" l="1"/>
  <c r="AX57" i="280" s="1"/>
  <c r="AW74" i="265"/>
  <c r="AW75" i="265" s="1"/>
  <c r="AW81" i="265" s="1"/>
  <c r="AW24" i="265"/>
  <c r="AW52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Y59" i="280"/>
  <c r="AY67" i="280" s="1"/>
  <c r="AX24" i="265"/>
  <c r="AX52" i="265"/>
  <c r="AY38" i="280"/>
  <c r="AY5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F31" i="286" l="1"/>
  <c r="H11" i="269" s="1"/>
  <c r="K11" i="269" s="1"/>
  <c r="F32" i="286"/>
  <c r="H12" i="269" s="1"/>
  <c r="K12" i="269" s="1"/>
  <c r="AY24" i="265"/>
  <c r="AY52" i="265"/>
  <c r="AY74" i="265"/>
  <c r="AY75" i="265" s="1"/>
  <c r="AY81" i="265" s="1"/>
  <c r="AZ38" i="280"/>
  <c r="AZ57" i="280" s="1"/>
  <c r="AZ63" i="280"/>
  <c r="AZ64" i="280" s="1"/>
  <c r="AZ68" i="280" s="1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Z69" i="280" s="1"/>
  <c r="AY63" i="265"/>
  <c r="AY65" i="265" s="1"/>
  <c r="AY67" i="265" s="1"/>
  <c r="AY80" i="265" s="1"/>
  <c r="AZ49" i="280"/>
  <c r="AZ62" i="280" s="1"/>
  <c r="AY25" i="265" l="1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J12" i="269"/>
  <c r="L12" i="269"/>
  <c r="AY83" i="265"/>
  <c r="AY82" i="265"/>
  <c r="AZ70" i="280"/>
  <c r="AZ40" i="280"/>
  <c r="AZ41" i="280" s="1"/>
  <c r="AZ14" i="286"/>
  <c r="AZ16" i="286" s="1"/>
  <c r="AZ18" i="286" s="1"/>
  <c r="AZ51" i="280"/>
  <c r="AZ52" i="280" s="1"/>
  <c r="U70" i="277"/>
  <c r="J11" i="269"/>
  <c r="L11" i="269"/>
  <c r="AZ24" i="265" l="1"/>
  <c r="AZ52" i="265"/>
  <c r="BA35" i="265"/>
  <c r="BA16" i="265"/>
  <c r="BA49" i="280"/>
  <c r="BA62" i="280" s="1"/>
  <c r="AZ63" i="265"/>
  <c r="BA38" i="280"/>
  <c r="BA57" i="280" s="1"/>
  <c r="AZ74" i="265"/>
  <c r="BZ26" i="280"/>
  <c r="BZ16" i="280" s="1"/>
  <c r="BZ18" i="280" s="1"/>
  <c r="BY73" i="265"/>
  <c r="BA97" i="287"/>
  <c r="BA98" i="287" s="1"/>
  <c r="BA28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BC53" i="265" l="1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BD39" i="280" l="1"/>
  <c r="BD58" i="280"/>
  <c r="BD59" i="280" s="1"/>
  <c r="BD67" i="280" s="1"/>
  <c r="BE61" i="287"/>
  <c r="BE62" i="287" s="1"/>
  <c r="BE67" i="287" s="1"/>
  <c r="BE56" i="287"/>
  <c r="BE57" i="287" s="1"/>
  <c r="BE66" i="287" s="1"/>
  <c r="BE68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16" i="265" l="1"/>
  <c r="BE35" i="265"/>
  <c r="BD69" i="280"/>
  <c r="CG26" i="280"/>
  <c r="CG16" i="280" s="1"/>
  <c r="CG18" i="280" s="1"/>
  <c r="CF73" i="265"/>
  <c r="AC73" i="277" s="1"/>
  <c r="BE69" i="287"/>
  <c r="BE36" i="265" s="1"/>
  <c r="BE97" i="287"/>
  <c r="BE98" i="287" s="1"/>
  <c r="BE28" i="286" s="1"/>
  <c r="BE91" i="287"/>
  <c r="BE92" i="287" s="1"/>
  <c r="BE70" i="265" l="1"/>
  <c r="BF90" i="287"/>
  <c r="BF79" i="287" s="1"/>
  <c r="BF81" i="287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CH26" i="280" l="1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61" i="287"/>
  <c r="BF62" i="287" s="1"/>
  <c r="BF67" i="287" s="1"/>
  <c r="BF56" i="287"/>
  <c r="BF57" i="287" s="1"/>
  <c r="BF66" i="287" s="1"/>
  <c r="BF82" i="287"/>
  <c r="BF96" i="287"/>
  <c r="BE49" i="280"/>
  <c r="BE62" i="280" s="1"/>
  <c r="BD63" i="265"/>
  <c r="V63" i="277" l="1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E69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CI26" i="280" l="1"/>
  <c r="CI16" i="280" s="1"/>
  <c r="CI18" i="280" s="1"/>
  <c r="CH73" i="265"/>
  <c r="BF19" i="265"/>
  <c r="BF22" i="265" s="1"/>
  <c r="BD83" i="265"/>
  <c r="BD82" i="265"/>
  <c r="BE40" i="280"/>
  <c r="BE41" i="280" s="1"/>
  <c r="BE14" i="286"/>
  <c r="BE16" i="286" s="1"/>
  <c r="BE18" i="286" s="1"/>
  <c r="BE70" i="280"/>
  <c r="BE51" i="280"/>
  <c r="BE52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F50" i="280" l="1"/>
  <c r="BF63" i="280"/>
  <c r="BF70" i="265"/>
  <c r="BG90" i="287"/>
  <c r="BG79" i="287" s="1"/>
  <c r="BG81" i="287" s="1"/>
  <c r="BE63" i="265"/>
  <c r="BE65" i="265" s="1"/>
  <c r="BE67" i="265" s="1"/>
  <c r="BE80" i="265" s="1"/>
  <c r="BF49" i="280"/>
  <c r="BF62" i="280" s="1"/>
  <c r="BF64" i="280" s="1"/>
  <c r="BF68" i="280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BF69" i="280" s="1"/>
  <c r="CI15" i="286"/>
  <c r="CI28" i="280"/>
  <c r="CI29" i="280" s="1"/>
  <c r="CI19" i="280"/>
  <c r="CI49" i="265" s="1"/>
  <c r="BF70" i="280" l="1"/>
  <c r="BF14" i="286"/>
  <c r="BF16" i="286" s="1"/>
  <c r="BF18" i="286" s="1"/>
  <c r="BF40" i="280"/>
  <c r="BF41" i="280" s="1"/>
  <c r="BF51" i="280"/>
  <c r="BF52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G16" i="265" l="1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BG49" i="280"/>
  <c r="BG62" i="280" s="1"/>
  <c r="CJ19" i="280"/>
  <c r="CJ49" i="265" s="1"/>
  <c r="CJ15" i="286"/>
  <c r="CJ28" i="280"/>
  <c r="CJ29" i="280" s="1"/>
  <c r="BG38" i="280"/>
  <c r="BG57" i="280" s="1"/>
  <c r="BF74" i="265"/>
  <c r="BF75" i="265" s="1"/>
  <c r="BF81" i="265" s="1"/>
  <c r="BF52" i="265"/>
  <c r="BF24" i="265"/>
  <c r="BF25" i="265" l="1"/>
  <c r="CJ73" i="265"/>
  <c r="AD73" i="277" s="1"/>
  <c r="CK26" i="280"/>
  <c r="CK16" i="280" s="1"/>
  <c r="CK18" i="280" s="1"/>
  <c r="BF83" i="265"/>
  <c r="BF82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G69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H97" i="287" l="1"/>
  <c r="BH98" i="287" s="1"/>
  <c r="BH28" i="286" s="1"/>
  <c r="BH69" i="287"/>
  <c r="BH36" i="265" s="1"/>
  <c r="BH91" i="287"/>
  <c r="BH92" i="287" s="1"/>
  <c r="BG70" i="280"/>
  <c r="BG40" i="280"/>
  <c r="BG41" i="280" s="1"/>
  <c r="BG51" i="280"/>
  <c r="BG52" i="280" s="1"/>
  <c r="BG14" i="286"/>
  <c r="BG16" i="286" s="1"/>
  <c r="BG18" i="286" s="1"/>
  <c r="BH35" i="265"/>
  <c r="BH16" i="265"/>
  <c r="CK73" i="265"/>
  <c r="CL26" i="280"/>
  <c r="CL16" i="280" s="1"/>
  <c r="CL18" i="280" s="1"/>
  <c r="BH37" i="265" l="1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64" i="280" s="1"/>
  <c r="BI68" i="280" s="1"/>
  <c r="BI50" i="280"/>
  <c r="CO26" i="280" l="1"/>
  <c r="CO16" i="280" s="1"/>
  <c r="CO18" i="280" s="1"/>
  <c r="CN73" i="265"/>
  <c r="AE73" i="277" s="1"/>
  <c r="BI59" i="280"/>
  <c r="BI67" i="280" s="1"/>
  <c r="BI69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H83" i="265" l="1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BI70" i="280"/>
  <c r="BI51" i="280"/>
  <c r="BI52" i="280" s="1"/>
  <c r="BI40" i="280"/>
  <c r="BI41" i="280" s="1"/>
  <c r="BI14" i="286"/>
  <c r="BI16" i="286" s="1"/>
  <c r="BI18" i="286" s="1"/>
  <c r="CO19" i="280"/>
  <c r="CO49" i="265" s="1"/>
  <c r="CO15" i="286"/>
  <c r="CO28" i="280"/>
  <c r="CO29" i="280" s="1"/>
  <c r="BI63" i="265" l="1"/>
  <c r="BI65" i="265" s="1"/>
  <c r="BI67" i="265" s="1"/>
  <c r="BI80" i="265" s="1"/>
  <c r="BJ49" i="280"/>
  <c r="BJ62" i="280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64" i="280" s="1"/>
  <c r="BJ68" i="280" s="1"/>
  <c r="BJ50" i="280"/>
  <c r="BJ39" i="280"/>
  <c r="BJ58" i="280"/>
  <c r="BI53" i="265" l="1"/>
  <c r="CP15" i="286"/>
  <c r="CP28" i="280"/>
  <c r="CP29" i="280" s="1"/>
  <c r="CP19" i="280"/>
  <c r="CP49" i="265" s="1"/>
  <c r="BJ59" i="280"/>
  <c r="BJ67" i="280" s="1"/>
  <c r="BJ69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L90" i="287" l="1"/>
  <c r="BL79" i="287" s="1"/>
  <c r="BL81" i="287" s="1"/>
  <c r="BK70" i="265"/>
  <c r="BK19" i="265"/>
  <c r="BK22" i="265" s="1"/>
  <c r="BK37" i="265"/>
  <c r="BK42" i="265" s="1"/>
  <c r="BK47" i="265" s="1"/>
  <c r="BK50" i="265" s="1"/>
  <c r="BJ14" i="286"/>
  <c r="BJ16" i="286" s="1"/>
  <c r="BJ18" i="286" s="1"/>
  <c r="BJ40" i="280"/>
  <c r="BJ41" i="280" s="1"/>
  <c r="BJ70" i="280"/>
  <c r="BJ51" i="280"/>
  <c r="BJ52" i="280" s="1"/>
  <c r="CP73" i="265"/>
  <c r="CQ26" i="280"/>
  <c r="CQ16" i="280" s="1"/>
  <c r="CQ18" i="280" s="1"/>
  <c r="CQ15" i="286" l="1"/>
  <c r="CQ28" i="280"/>
  <c r="CQ29" i="280" s="1"/>
  <c r="CQ19" i="280"/>
  <c r="CQ49" i="265" s="1"/>
  <c r="BJ63" i="265"/>
  <c r="BJ65" i="265" s="1"/>
  <c r="BJ67" i="265" s="1"/>
  <c r="BJ80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64" i="280" s="1"/>
  <c r="BK68" i="280" s="1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L35" i="265" l="1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64" i="280" s="1"/>
  <c r="BL68" i="280" s="1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L69" i="280" s="1"/>
  <c r="BK52" i="265"/>
  <c r="BK24" i="265"/>
  <c r="CR73" i="265"/>
  <c r="AF73" i="277" s="1"/>
  <c r="CS26" i="280"/>
  <c r="CS16" i="280" s="1"/>
  <c r="CS18" i="280" s="1"/>
  <c r="BL51" i="280" l="1"/>
  <c r="BL52" i="280" s="1"/>
  <c r="BL40" i="280"/>
  <c r="BL41" i="280" s="1"/>
  <c r="BL70" i="280"/>
  <c r="BL14" i="286"/>
  <c r="BL16" i="286" s="1"/>
  <c r="BL18" i="286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M38" i="280" l="1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L52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68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L82" i="265" l="1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64" i="280" s="1"/>
  <c r="BN68" i="280" s="1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O69" i="287" l="1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68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35" i="265" l="1"/>
  <c r="BP16" i="265"/>
  <c r="BP97" i="287"/>
  <c r="BP98" i="287" s="1"/>
  <c r="BP28" i="286" s="1"/>
  <c r="BP91" i="287"/>
  <c r="BP92" i="287" s="1"/>
  <c r="BP69" i="287"/>
  <c r="BP36" i="265" s="1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O69" i="280" l="1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70" i="265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68" i="287" s="1"/>
  <c r="BR82" i="287"/>
  <c r="BR96" i="287"/>
  <c r="BQ58" i="280"/>
  <c r="BQ39" i="280"/>
  <c r="BR16" i="265" l="1"/>
  <c r="BR35" i="265"/>
  <c r="BP63" i="265"/>
  <c r="BQ49" i="280"/>
  <c r="BQ62" i="280" s="1"/>
  <c r="DA26" i="280"/>
  <c r="DA16" i="280" s="1"/>
  <c r="DA18" i="280" s="1"/>
  <c r="CZ73" i="265"/>
  <c r="AH73" i="277" s="1"/>
  <c r="BR97" i="287"/>
  <c r="BR98" i="287" s="1"/>
  <c r="BR28" i="286" s="1"/>
  <c r="BR91" i="287"/>
  <c r="BR92" i="287" s="1"/>
  <c r="BR69" i="287"/>
  <c r="BR36" i="265" s="1"/>
  <c r="BQ64" i="280"/>
  <c r="BQ68" i="280" s="1"/>
  <c r="BP24" i="265"/>
  <c r="BP52" i="265"/>
  <c r="BP74" i="265"/>
  <c r="BQ38" i="280"/>
  <c r="BQ57" i="280" s="1"/>
  <c r="BQ59" i="280" s="1"/>
  <c r="BQ67" i="280" s="1"/>
  <c r="BQ69" i="280" s="1"/>
  <c r="BQ14" i="286" l="1"/>
  <c r="BQ16" i="286" s="1"/>
  <c r="BQ18" i="286" s="1"/>
  <c r="BQ40" i="280"/>
  <c r="BQ41" i="280" s="1"/>
  <c r="BQ70" i="280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P82" i="265" s="1"/>
  <c r="BR19" i="265"/>
  <c r="BR22" i="265" s="1"/>
  <c r="BR37" i="265"/>
  <c r="BR42" i="265" s="1"/>
  <c r="BR47" i="265" s="1"/>
  <c r="BR50" i="265" s="1"/>
  <c r="BR50" i="280" l="1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R38" i="280"/>
  <c r="BR57" i="280" s="1"/>
  <c r="BS61" i="287"/>
  <c r="BS62" i="287" s="1"/>
  <c r="BS67" i="287" s="1"/>
  <c r="BS56" i="287"/>
  <c r="BS57" i="287" s="1"/>
  <c r="BS66" i="287" s="1"/>
  <c r="BS68" i="287" s="1"/>
  <c r="BS82" i="287"/>
  <c r="BS96" i="287"/>
  <c r="BQ52" i="265"/>
  <c r="BQ24" i="265"/>
  <c r="BQ53" i="265" l="1"/>
  <c r="BS16" i="265"/>
  <c r="BS35" i="265"/>
  <c r="BQ82" i="265"/>
  <c r="BQ83" i="265"/>
  <c r="BR59" i="280"/>
  <c r="BR67" i="280" s="1"/>
  <c r="BR64" i="280"/>
  <c r="BR68" i="280" s="1"/>
  <c r="BQ25" i="265"/>
  <c r="BS69" i="287"/>
  <c r="BS36" i="265" s="1"/>
  <c r="BS97" i="287"/>
  <c r="BS98" i="287" s="1"/>
  <c r="BS28" i="286" s="1"/>
  <c r="BS91" i="287"/>
  <c r="BS92" i="287" s="1"/>
  <c r="DB15" i="286"/>
  <c r="DB28" i="280"/>
  <c r="DB29" i="280" s="1"/>
  <c r="DB19" i="280"/>
  <c r="DB49" i="265" s="1"/>
  <c r="BS37" i="265" l="1"/>
  <c r="BS42" i="265" s="1"/>
  <c r="BS47" i="265" s="1"/>
  <c r="BS50" i="265" s="1"/>
  <c r="DB73" i="265"/>
  <c r="DC26" i="280"/>
  <c r="DC16" i="280" s="1"/>
  <c r="DC18" i="280" s="1"/>
  <c r="BS70" i="265"/>
  <c r="BT90" i="287"/>
  <c r="BT79" i="287" s="1"/>
  <c r="BT81" i="287" s="1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T16" i="265"/>
  <c r="BT35" i="265"/>
  <c r="BS59" i="280"/>
  <c r="BS67" i="280" s="1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68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DE15" i="286" l="1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U97" i="287"/>
  <c r="BU98" i="287" s="1"/>
  <c r="BU28" i="286" s="1"/>
  <c r="BU69" i="287"/>
  <c r="BU36" i="265" s="1"/>
  <c r="BU91" i="287"/>
  <c r="BU92" i="287" s="1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S25" i="265" l="1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T74" i="265"/>
  <c r="BV35" i="265"/>
  <c r="BV16" i="265"/>
  <c r="BU49" i="280"/>
  <c r="BU62" i="280" s="1"/>
  <c r="BT63" i="265"/>
  <c r="BV97" i="287"/>
  <c r="BV98" i="287" s="1"/>
  <c r="BV28" i="286" s="1"/>
  <c r="BV91" i="287"/>
  <c r="BV92" i="287" s="1"/>
  <c r="BV69" i="287"/>
  <c r="BV36" i="265" s="1"/>
  <c r="BU59" i="280"/>
  <c r="BU67" i="280" s="1"/>
  <c r="BU64" i="280"/>
  <c r="BU68" i="280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68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35" i="265" l="1"/>
  <c r="BW16" i="265"/>
  <c r="BU24" i="265"/>
  <c r="BU52" i="265"/>
  <c r="DH15" i="286"/>
  <c r="DH28" i="280"/>
  <c r="DH29" i="280" s="1"/>
  <c r="DH19" i="280"/>
  <c r="DH49" i="265" s="1"/>
  <c r="BV59" i="280"/>
  <c r="BV67" i="280" s="1"/>
  <c r="BV38" i="280"/>
  <c r="BV57" i="280" s="1"/>
  <c r="BU74" i="265"/>
  <c r="BU75" i="265" s="1"/>
  <c r="BU81" i="265" s="1"/>
  <c r="BV49" i="280"/>
  <c r="BV62" i="280" s="1"/>
  <c r="BV64" i="280" s="1"/>
  <c r="BV68" i="280" s="1"/>
  <c r="BV69" i="280" s="1"/>
  <c r="BU63" i="265"/>
  <c r="BU65" i="265" s="1"/>
  <c r="BU67" i="265" s="1"/>
  <c r="BU80" i="265" s="1"/>
  <c r="BW69" i="287"/>
  <c r="BW36" i="265" s="1"/>
  <c r="BW97" i="287"/>
  <c r="BW98" i="287" s="1"/>
  <c r="BW28" i="286" s="1"/>
  <c r="BW91" i="287"/>
  <c r="BW92" i="287" s="1"/>
  <c r="BV51" i="280" l="1"/>
  <c r="BV52" i="280" s="1"/>
  <c r="BV14" i="286"/>
  <c r="BV16" i="286" s="1"/>
  <c r="BV18" i="286" s="1"/>
  <c r="BV70" i="280"/>
  <c r="BV40" i="280"/>
  <c r="BV41" i="280" s="1"/>
  <c r="BX90" i="287"/>
  <c r="BX79" i="287" s="1"/>
  <c r="BX81" i="287" s="1"/>
  <c r="BW70" i="265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W39" i="280" l="1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V74" i="265"/>
  <c r="BV75" i="265" s="1"/>
  <c r="BV81" i="265" s="1"/>
  <c r="BW50" i="280"/>
  <c r="BW63" i="280"/>
  <c r="BW64" i="280" s="1"/>
  <c r="BW68" i="280" s="1"/>
  <c r="BW69" i="280" s="1"/>
  <c r="BX61" i="287"/>
  <c r="BX62" i="287" s="1"/>
  <c r="BX67" i="287" s="1"/>
  <c r="BX56" i="287"/>
  <c r="BX57" i="287" s="1"/>
  <c r="BX66" i="287" s="1"/>
  <c r="BX96" i="287"/>
  <c r="BX82" i="287"/>
  <c r="BV24" i="265"/>
  <c r="BV52" i="265"/>
  <c r="BV63" i="265"/>
  <c r="BV65" i="265" s="1"/>
  <c r="BV67" i="265" s="1"/>
  <c r="BV80" i="265" s="1"/>
  <c r="BW49" i="280"/>
  <c r="BW62" i="280" s="1"/>
  <c r="BV25" i="265" l="1"/>
  <c r="BW70" i="280"/>
  <c r="BW40" i="280"/>
  <c r="BW41" i="280" s="1"/>
  <c r="BW14" i="286"/>
  <c r="BW16" i="286" s="1"/>
  <c r="BW18" i="286" s="1"/>
  <c r="BW51" i="280"/>
  <c r="BW52" i="280" s="1"/>
  <c r="BV83" i="265"/>
  <c r="BV82" i="265"/>
  <c r="BV53" i="265"/>
  <c r="BX35" i="265"/>
  <c r="BX16" i="265"/>
  <c r="BX68" i="287"/>
  <c r="DI73" i="265"/>
  <c r="DJ26" i="280"/>
  <c r="DJ16" i="280" s="1"/>
  <c r="DJ18" i="280" s="1"/>
  <c r="DJ19" i="280" l="1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68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DK73" i="265" l="1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Y97" i="287"/>
  <c r="BY69" i="287"/>
  <c r="BY36" i="265" s="1"/>
  <c r="BY91" i="287"/>
  <c r="BY92" i="287" s="1"/>
  <c r="BX24" i="265"/>
  <c r="BX52" i="265"/>
  <c r="BY98" i="287"/>
  <c r="BY28" i="286" s="1"/>
  <c r="BY37" i="265" l="1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Z90" i="287"/>
  <c r="BZ79" i="287" s="1"/>
  <c r="BZ81" i="287" s="1"/>
  <c r="BY70" i="265"/>
  <c r="BY19" i="265"/>
  <c r="BY22" i="265" s="1"/>
  <c r="DL73" i="265" l="1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68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s="1"/>
  <c r="BY40" i="280" l="1"/>
  <c r="BY41" i="280" s="1"/>
  <c r="BY51" i="280"/>
  <c r="BY52" i="280" s="1"/>
  <c r="BY14" i="286"/>
  <c r="BY16" i="286" s="1"/>
  <c r="BY18" i="286" s="1"/>
  <c r="BY70" i="280"/>
  <c r="BZ35" i="265"/>
  <c r="BZ16" i="265"/>
  <c r="BZ91" i="287"/>
  <c r="BZ92" i="287" s="1"/>
  <c r="BZ97" i="287"/>
  <c r="BZ98" i="287" s="1"/>
  <c r="BZ28" i="286" s="1"/>
  <c r="BZ69" i="287"/>
  <c r="BZ36" i="265" s="1"/>
  <c r="DM15" i="286"/>
  <c r="DM19" i="280"/>
  <c r="DM49" i="265" s="1"/>
  <c r="DM28" i="280"/>
  <c r="DM29" i="280" s="1"/>
  <c r="DM73" i="265" l="1"/>
  <c r="DN26" i="280"/>
  <c r="DN16" i="280" s="1"/>
  <c r="DN18" i="280" s="1"/>
  <c r="BZ19" i="265"/>
  <c r="BZ22" i="265" s="1"/>
  <c r="BY52" i="265"/>
  <c r="BY24" i="265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DN15" i="286" l="1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CA59" i="280" s="1"/>
  <c r="CA67" i="280" s="1"/>
  <c r="BZ74" i="265"/>
  <c r="BZ75" i="265" s="1"/>
  <c r="BZ81" i="265" s="1"/>
  <c r="BZ24" i="265"/>
  <c r="BZ52" i="265"/>
  <c r="CA49" i="280"/>
  <c r="CA62" i="280" s="1"/>
  <c r="CA64" i="280" s="1"/>
  <c r="CA68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B35" i="265" l="1"/>
  <c r="CB16" i="265"/>
  <c r="BZ25" i="265"/>
  <c r="CA69" i="280"/>
  <c r="DP15" i="286"/>
  <c r="DP19" i="280"/>
  <c r="DP49" i="265" s="1"/>
  <c r="DP28" i="280"/>
  <c r="DP29" i="280" s="1"/>
  <c r="CB68" i="287"/>
  <c r="BZ83" i="265"/>
  <c r="BZ82" i="265"/>
  <c r="BZ53" i="265"/>
  <c r="DP73" i="265" l="1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70" i="280"/>
  <c r="CA14" i="286"/>
  <c r="CA16" i="286" s="1"/>
  <c r="CA18" i="286" s="1"/>
  <c r="CA51" i="280"/>
  <c r="CA52" i="280" s="1"/>
  <c r="CB37" i="265"/>
  <c r="CB42" i="265" s="1"/>
  <c r="CB47" i="265" s="1"/>
  <c r="CB50" i="265" s="1"/>
  <c r="AA35" i="277"/>
  <c r="CB50" i="280" l="1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63" i="265"/>
  <c r="CA65" i="265" s="1"/>
  <c r="CA67" i="265" s="1"/>
  <c r="CA80" i="265" s="1"/>
  <c r="CA24" i="265"/>
  <c r="CA52" i="265"/>
  <c r="CB70" i="265"/>
  <c r="CC90" i="287"/>
  <c r="CC79" i="287" s="1"/>
  <c r="CC81" i="287" s="1"/>
  <c r="CB39" i="280"/>
  <c r="CB58" i="280"/>
  <c r="CB59" i="280" s="1"/>
  <c r="CB67" i="280" s="1"/>
  <c r="CB64" i="280" l="1"/>
  <c r="CB68" i="280" s="1"/>
  <c r="CB69" i="280"/>
  <c r="CC61" i="287"/>
  <c r="CC62" i="287" s="1"/>
  <c r="CC67" i="287" s="1"/>
  <c r="CC56" i="287"/>
  <c r="CC57" i="287" s="1"/>
  <c r="CC66" i="287" s="1"/>
  <c r="CC68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DR19" i="280" l="1"/>
  <c r="DR49" i="265" s="1"/>
  <c r="DR15" i="286"/>
  <c r="DR28" i="280"/>
  <c r="DR29" i="280" s="1"/>
  <c r="CC16" i="265"/>
  <c r="CC35" i="265"/>
  <c r="CC69" i="287"/>
  <c r="CC36" i="265" s="1"/>
  <c r="CC97" i="287"/>
  <c r="CC98" i="287" s="1"/>
  <c r="CC28" i="286" s="1"/>
  <c r="CC91" i="287"/>
  <c r="CC92" i="287" s="1"/>
  <c r="CB70" i="280"/>
  <c r="CB51" i="280"/>
  <c r="CB52" i="280" s="1"/>
  <c r="CB14" i="286"/>
  <c r="CB16" i="286" s="1"/>
  <c r="CB18" i="286" s="1"/>
  <c r="CB40" i="280"/>
  <c r="CB41" i="280" s="1"/>
  <c r="CB52" i="265" l="1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B74" i="265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s="1"/>
  <c r="CD67" i="280" s="1"/>
  <c r="CC53" i="265" l="1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CG68" i="287" s="1"/>
  <c r="DZ26" i="280"/>
  <c r="DZ16" i="280" s="1"/>
  <c r="DZ18" i="280" s="1"/>
  <c r="DY73" i="265"/>
  <c r="CF42" i="265"/>
  <c r="AB37" i="277"/>
  <c r="CF47" i="265" l="1"/>
  <c r="DZ15" i="286"/>
  <c r="DZ19" i="280"/>
  <c r="DZ49" i="265" s="1"/>
  <c r="DZ28" i="280"/>
  <c r="DZ29" i="280" s="1"/>
  <c r="CG91" i="287"/>
  <c r="CG92" i="287" s="1"/>
  <c r="CG97" i="287"/>
  <c r="CG98" i="287" s="1"/>
  <c r="CG69" i="287"/>
  <c r="CG19" i="265"/>
  <c r="AB41" i="277"/>
  <c r="AB46" i="277" l="1"/>
  <c r="CG22" i="265"/>
  <c r="CG36" i="265"/>
  <c r="CH90" i="287"/>
  <c r="CH79" i="287" s="1"/>
  <c r="CH81" i="287" s="1"/>
  <c r="CG70" i="265"/>
  <c r="CG28" i="286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68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L14" i="286" l="1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N97" i="287"/>
  <c r="CN98" i="287" s="1"/>
  <c r="CN28" i="286" s="1"/>
  <c r="CN69" i="287"/>
  <c r="CN36" i="265" s="1"/>
  <c r="CK53" i="265"/>
  <c r="CO90" i="287" l="1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N25" i="265"/>
  <c r="AD24" i="277"/>
  <c r="CO69" i="280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P69" i="280" l="1"/>
  <c r="CO53" i="265"/>
  <c r="CP64" i="280"/>
  <c r="CP68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59" i="280" s="1"/>
  <c r="CQ67" i="280" s="1"/>
  <c r="CQ39" i="280"/>
  <c r="CQ63" i="280"/>
  <c r="CQ50" i="280"/>
  <c r="CP52" i="265"/>
  <c r="CP24" i="265"/>
  <c r="CP53" i="265" l="1"/>
  <c r="CP25" i="265"/>
  <c r="CR16" i="265"/>
  <c r="CR35" i="265"/>
  <c r="CR68" i="287"/>
  <c r="CP82" i="265"/>
  <c r="CP83" i="265"/>
  <c r="CQ69" i="280"/>
  <c r="CQ64" i="280"/>
  <c r="CQ68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S64" i="280" s="1"/>
  <c r="CS68" i="280" s="1"/>
  <c r="CR63" i="265"/>
  <c r="CS49" i="280"/>
  <c r="CS62" i="280" s="1"/>
  <c r="CR65" i="265" l="1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CS69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T19" i="265" l="1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51" i="280"/>
  <c r="CS52" i="280" s="1"/>
  <c r="CS70" i="280"/>
  <c r="CS40" i="280"/>
  <c r="CS41" i="280" s="1"/>
  <c r="CR82" i="265"/>
  <c r="CR83" i="265"/>
  <c r="CS74" i="265" l="1"/>
  <c r="CS75" i="265" s="1"/>
  <c r="CS81" i="265" s="1"/>
  <c r="CT38" i="280"/>
  <c r="CT57" i="280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68" i="287" s="1"/>
  <c r="CU82" i="287"/>
  <c r="CU96" i="287"/>
  <c r="CT39" i="280"/>
  <c r="CT58" i="280"/>
  <c r="CT59" i="280" s="1"/>
  <c r="CT67" i="280" s="1"/>
  <c r="CT69" i="280" s="1"/>
  <c r="CU97" i="287" l="1"/>
  <c r="CU98" i="287" s="1"/>
  <c r="CU28" i="286" s="1"/>
  <c r="CU91" i="287"/>
  <c r="CU92" i="287" s="1"/>
  <c r="CU69" i="287"/>
  <c r="CU36" i="265" s="1"/>
  <c r="CS25" i="265"/>
  <c r="CU35" i="265"/>
  <c r="CU16" i="265"/>
  <c r="CS53" i="265"/>
  <c r="CT70" i="280"/>
  <c r="CT40" i="280"/>
  <c r="CT41" i="280" s="1"/>
  <c r="CT51" i="280"/>
  <c r="CT52" i="280" s="1"/>
  <c r="CT14" i="286"/>
  <c r="CT16" i="286" s="1"/>
  <c r="CT18" i="286" s="1"/>
  <c r="CS82" i="265"/>
  <c r="CS83" i="265"/>
  <c r="CU49" i="280" l="1"/>
  <c r="CU62" i="280" s="1"/>
  <c r="CT63" i="265"/>
  <c r="CT65" i="265" s="1"/>
  <c r="CT67" i="265" s="1"/>
  <c r="CT80" i="265" s="1"/>
  <c r="CT24" i="265"/>
  <c r="CT52" i="265"/>
  <c r="CU37" i="265"/>
  <c r="CU42" i="265" s="1"/>
  <c r="CU47" i="265" s="1"/>
  <c r="CU50" i="265" s="1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53" i="265" l="1"/>
  <c r="CT83" i="265"/>
  <c r="CT82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97" i="287"/>
  <c r="CV98" i="287" s="1"/>
  <c r="CV28" i="286" s="1"/>
  <c r="CV91" i="287"/>
  <c r="CV92" i="287" s="1"/>
  <c r="CV37" i="265"/>
  <c r="CV42" i="265" s="1"/>
  <c r="CV47" i="265" s="1"/>
  <c r="CV50" i="265" s="1"/>
  <c r="AF35" i="277"/>
  <c r="CV63" i="280" l="1"/>
  <c r="CV64" i="280" s="1"/>
  <c r="CV68" i="280" s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V59" i="280" s="1"/>
  <c r="CV67" i="280" s="1"/>
  <c r="CV69" i="280" s="1"/>
  <c r="CU63" i="265"/>
  <c r="CU65" i="265" s="1"/>
  <c r="CU67" i="265" s="1"/>
  <c r="CU80" i="265" s="1"/>
  <c r="CV49" i="280"/>
  <c r="CV62" i="280" s="1"/>
  <c r="CU24" i="265"/>
  <c r="CU52" i="265"/>
  <c r="CU25" i="265" l="1"/>
  <c r="CV51" i="280"/>
  <c r="CV52" i="280" s="1"/>
  <c r="CV40" i="280"/>
  <c r="CV41" i="280" s="1"/>
  <c r="CV70" i="280"/>
  <c r="CV14" i="286"/>
  <c r="CV16" i="286" s="1"/>
  <c r="CV18" i="286" s="1"/>
  <c r="AG70" i="277"/>
  <c r="CU53" i="265"/>
  <c r="CW61" i="287"/>
  <c r="CW62" i="287" s="1"/>
  <c r="CW67" i="287" s="1"/>
  <c r="CW56" i="287"/>
  <c r="CW57" i="287" s="1"/>
  <c r="CW66" i="287" s="1"/>
  <c r="CW68" i="287" s="1"/>
  <c r="CW82" i="287"/>
  <c r="CW96" i="287"/>
  <c r="AF22" i="277"/>
  <c r="CU82" i="265"/>
  <c r="CU83" i="265"/>
  <c r="CW97" i="287" l="1"/>
  <c r="CW98" i="287" s="1"/>
  <c r="CW28" i="286" s="1"/>
  <c r="CW91" i="287"/>
  <c r="CW92" i="287" s="1"/>
  <c r="CW69" i="287"/>
  <c r="CW36" i="265" s="1"/>
  <c r="CW38" i="280"/>
  <c r="CW57" i="280" s="1"/>
  <c r="CV74" i="265"/>
  <c r="CW16" i="265"/>
  <c r="CW35" i="265"/>
  <c r="CV24" i="265"/>
  <c r="CV52" i="265"/>
  <c r="CV63" i="265"/>
  <c r="CW49" i="280"/>
  <c r="CW62" i="280" s="1"/>
  <c r="AG63" i="277" l="1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AG74" i="277"/>
  <c r="AG75" i="277" s="1"/>
  <c r="AG81" i="277" s="1"/>
  <c r="CV75" i="265"/>
  <c r="CV81" i="265" s="1"/>
  <c r="CV53" i="265"/>
  <c r="AF51" i="277"/>
  <c r="CW37" i="265"/>
  <c r="CW42" i="265" s="1"/>
  <c r="CW47" i="265" s="1"/>
  <c r="CW50" i="265" s="1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Y69" i="280" s="1"/>
  <c r="CZ61" i="287"/>
  <c r="CZ62" i="287" s="1"/>
  <c r="CZ67" i="287" s="1"/>
  <c r="CZ82" i="287"/>
  <c r="CZ56" i="287"/>
  <c r="CZ57" i="287" s="1"/>
  <c r="CZ66" i="287" s="1"/>
  <c r="CZ68" i="287" s="1"/>
  <c r="CZ96" i="287"/>
  <c r="CZ97" i="287" l="1"/>
  <c r="CZ98" i="287" s="1"/>
  <c r="CZ28" i="286" s="1"/>
  <c r="CZ69" i="287"/>
  <c r="CZ36" i="265" s="1"/>
  <c r="CZ91" i="287"/>
  <c r="CZ92" i="287" s="1"/>
  <c r="CY14" i="286"/>
  <c r="CY16" i="286" s="1"/>
  <c r="CY18" i="286" s="1"/>
  <c r="CY51" i="280"/>
  <c r="CY52" i="280" s="1"/>
  <c r="CY70" i="280"/>
  <c r="CY40" i="280"/>
  <c r="CY41" i="280" s="1"/>
  <c r="CZ35" i="265"/>
  <c r="CZ16" i="265"/>
  <c r="CZ19" i="265" l="1"/>
  <c r="CZ22" i="265" s="1"/>
  <c r="AG16" i="277"/>
  <c r="AG19" i="277" s="1"/>
  <c r="AG22" i="277" s="1"/>
  <c r="CY74" i="265"/>
  <c r="CY75" i="265" s="1"/>
  <c r="CY81" i="265" s="1"/>
  <c r="CZ38" i="280"/>
  <c r="CZ57" i="280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Y24" i="265"/>
  <c r="CZ49" i="280"/>
  <c r="CZ62" i="280" s="1"/>
  <c r="CY63" i="265"/>
  <c r="CY65" i="265" s="1"/>
  <c r="CY67" i="265" s="1"/>
  <c r="CY80" i="265" s="1"/>
  <c r="CY82" i="265" l="1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68" i="287" s="1"/>
  <c r="DB96" i="287"/>
  <c r="DB82" i="287"/>
  <c r="DB97" i="287" l="1"/>
  <c r="DB98" i="287" s="1"/>
  <c r="DB28" i="286" s="1"/>
  <c r="DB69" i="287"/>
  <c r="DB36" i="265" s="1"/>
  <c r="DB91" i="287"/>
  <c r="DB92" i="287" s="1"/>
  <c r="DA69" i="280"/>
  <c r="CZ82" i="265"/>
  <c r="CZ83" i="265"/>
  <c r="DB35" i="265"/>
  <c r="DB16" i="265"/>
  <c r="AH82" i="277"/>
  <c r="AH83" i="277"/>
  <c r="DB19" i="265" l="1"/>
  <c r="DB22" i="265" s="1"/>
  <c r="DA70" i="280"/>
  <c r="DA40" i="280"/>
  <c r="DA41" i="280" s="1"/>
  <c r="DA51" i="280"/>
  <c r="DA52" i="280" s="1"/>
  <c r="DA14" i="286"/>
  <c r="DA16" i="286" s="1"/>
  <c r="DA18" i="286" s="1"/>
  <c r="DB37" i="265"/>
  <c r="DB42" i="265" s="1"/>
  <c r="DB47" i="265" s="1"/>
  <c r="DB50" i="265" s="1"/>
  <c r="DC90" i="287"/>
  <c r="DC79" i="287" s="1"/>
  <c r="DC81" i="287" s="1"/>
  <c r="DB70" i="265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68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A25" i="265" l="1"/>
  <c r="DC97" i="287"/>
  <c r="DC98" i="287" s="1"/>
  <c r="DC28" i="286" s="1"/>
  <c r="DC91" i="287"/>
  <c r="DC92" i="287" s="1"/>
  <c r="DC69" i="287"/>
  <c r="DC36" i="265" s="1"/>
  <c r="DA83" i="265"/>
  <c r="DA82" i="265"/>
  <c r="DA53" i="265"/>
  <c r="DB64" i="280"/>
  <c r="DB68" i="280" s="1"/>
  <c r="DB69" i="280" s="1"/>
  <c r="DC35" i="265"/>
  <c r="DC16" i="265"/>
  <c r="DB70" i="280" l="1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68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C59" i="280" l="1"/>
  <c r="DC67" i="280" s="1"/>
  <c r="DD69" i="287"/>
  <c r="DD36" i="265" s="1"/>
  <c r="DD97" i="287"/>
  <c r="DD98" i="287" s="1"/>
  <c r="DD28" i="286" s="1"/>
  <c r="DD91" i="287"/>
  <c r="DD92" i="287" s="1"/>
  <c r="DB53" i="265"/>
  <c r="DB82" i="265"/>
  <c r="DB83" i="265"/>
  <c r="DB25" i="265"/>
  <c r="DC64" i="280"/>
  <c r="DC68" i="280" s="1"/>
  <c r="DD16" i="265"/>
  <c r="DD35" i="265"/>
  <c r="DD19" i="265" l="1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D69" i="280" s="1"/>
  <c r="DC74" i="265"/>
  <c r="DC75" i="265" s="1"/>
  <c r="DC81" i="265" s="1"/>
  <c r="DD70" i="280" l="1"/>
  <c r="DD14" i="286"/>
  <c r="DD16" i="286" s="1"/>
  <c r="DD18" i="286" s="1"/>
  <c r="DD51" i="280"/>
  <c r="DD52" i="280" s="1"/>
  <c r="DD40" i="280"/>
  <c r="DD41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E58" i="280" l="1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E38" i="280"/>
  <c r="DE57" i="280" s="1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G74" i="265"/>
  <c r="DG75" i="265" s="1"/>
  <c r="DG81" i="265" s="1"/>
  <c r="DI35" i="265"/>
  <c r="DI16" i="265"/>
  <c r="DH59" i="280"/>
  <c r="DH67" i="280" s="1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68" i="287" s="1"/>
  <c r="DJ96" i="287"/>
  <c r="DJ82" i="287"/>
  <c r="DJ35" i="265" l="1"/>
  <c r="DJ16" i="265"/>
  <c r="DJ97" i="287"/>
  <c r="DJ98" i="287" s="1"/>
  <c r="DJ28" i="286" s="1"/>
  <c r="DJ91" i="287"/>
  <c r="DJ92" i="287" s="1"/>
  <c r="DJ69" i="287"/>
  <c r="DJ36" i="265" s="1"/>
  <c r="DI38" i="280"/>
  <c r="DI57" i="280" s="1"/>
  <c r="DI59" i="280" s="1"/>
  <c r="DI67" i="280" s="1"/>
  <c r="DH74" i="265"/>
  <c r="DH63" i="265"/>
  <c r="DI49" i="280"/>
  <c r="DI62" i="280" s="1"/>
  <c r="DI64" i="280"/>
  <c r="DI68" i="280" s="1"/>
  <c r="DH52" i="265"/>
  <c r="DH24" i="265"/>
  <c r="DH25" i="265" l="1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70" i="265"/>
  <c r="DK90" i="287"/>
  <c r="DK79" i="287" s="1"/>
  <c r="DK81" i="287" s="1"/>
  <c r="DJ19" i="265"/>
  <c r="DJ22" i="265" s="1"/>
  <c r="DH53" i="265"/>
  <c r="AI51" i="277"/>
  <c r="AJ74" i="277"/>
  <c r="AJ75" i="277" s="1"/>
  <c r="AJ81" i="277" s="1"/>
  <c r="DH75" i="265"/>
  <c r="DH81" i="265" s="1"/>
  <c r="DJ37" i="265"/>
  <c r="DJ42" i="265" s="1"/>
  <c r="DJ47" i="265" s="1"/>
  <c r="DJ50" i="265" s="1"/>
  <c r="AJ83" i="277" l="1"/>
  <c r="AJ82" i="277"/>
  <c r="DJ58" i="280"/>
  <c r="DJ39" i="280"/>
  <c r="DJ50" i="280"/>
  <c r="DJ63" i="280"/>
  <c r="DK61" i="287"/>
  <c r="DK62" i="287" s="1"/>
  <c r="DK67" i="287" s="1"/>
  <c r="DK56" i="287"/>
  <c r="DK57" i="287" s="1"/>
  <c r="DK66" i="287" s="1"/>
  <c r="DK82" i="287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35" i="265" l="1"/>
  <c r="DK16" i="265"/>
  <c r="DJ59" i="280"/>
  <c r="DJ67" i="280" s="1"/>
  <c r="DJ38" i="280"/>
  <c r="DJ5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L61" i="287"/>
  <c r="DL62" i="287" s="1"/>
  <c r="DL67" i="287" s="1"/>
  <c r="DL56" i="287"/>
  <c r="DL57" i="287" s="1"/>
  <c r="DL66" i="287" s="1"/>
  <c r="DL68" i="287" s="1"/>
  <c r="DL96" i="287"/>
  <c r="DL82" i="287"/>
  <c r="DK59" i="280"/>
  <c r="DK67" i="280" s="1"/>
  <c r="DK69" i="280" s="1"/>
  <c r="DL69" i="287" l="1"/>
  <c r="DL36" i="265" s="1"/>
  <c r="DL97" i="287"/>
  <c r="DL98" i="287" s="1"/>
  <c r="DL28" i="286" s="1"/>
  <c r="DL91" i="287"/>
  <c r="DL92" i="287" s="1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70" i="265" l="1"/>
  <c r="DM90" i="287"/>
  <c r="DM79" i="287" s="1"/>
  <c r="DM81" i="287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K25" i="265" l="1"/>
  <c r="DM61" i="287"/>
  <c r="DM62" i="287" s="1"/>
  <c r="DM67" i="287" s="1"/>
  <c r="DM82" i="287"/>
  <c r="DM56" i="287"/>
  <c r="DM57" i="287" s="1"/>
  <c r="DM66" i="287" s="1"/>
  <c r="DM68" i="287" s="1"/>
  <c r="DM96" i="287"/>
  <c r="DL63" i="280"/>
  <c r="DL64" i="280" s="1"/>
  <c r="DL68" i="280" s="1"/>
  <c r="DL50" i="280"/>
  <c r="DK83" i="265"/>
  <c r="DK82" i="265"/>
  <c r="DL39" i="280"/>
  <c r="DL58" i="280"/>
  <c r="DL59" i="280" s="1"/>
  <c r="DL67" i="280" s="1"/>
  <c r="DL69" i="280" s="1"/>
  <c r="DK53" i="265"/>
  <c r="AK70" i="277"/>
  <c r="DL14" i="286" l="1"/>
  <c r="DL16" i="286" s="1"/>
  <c r="DL18" i="286" s="1"/>
  <c r="DL51" i="280"/>
  <c r="DL52" i="280" s="1"/>
  <c r="DL40" i="280"/>
  <c r="DL41" i="280" s="1"/>
  <c r="DL70" i="280"/>
  <c r="DM35" i="265"/>
  <c r="DM16" i="265"/>
  <c r="DM91" i="287"/>
  <c r="DM92" i="287" s="1"/>
  <c r="DM97" i="287"/>
  <c r="DM98" i="287" s="1"/>
  <c r="DM28" i="286" s="1"/>
  <c r="DM69" i="287"/>
  <c r="DM36" i="265" s="1"/>
  <c r="DM70" i="265" l="1"/>
  <c r="DN90" i="287"/>
  <c r="DN79" i="287" s="1"/>
  <c r="DN81" i="287" s="1"/>
  <c r="DM37" i="265"/>
  <c r="DM42" i="265" s="1"/>
  <c r="DM47" i="265" s="1"/>
  <c r="DM50" i="265" s="1"/>
  <c r="DM19" i="265"/>
  <c r="DM22" i="265" s="1"/>
  <c r="DL52" i="265"/>
  <c r="DL24" i="265"/>
  <c r="DL63" i="265"/>
  <c r="DM49" i="280"/>
  <c r="DM62" i="280" s="1"/>
  <c r="DL74" i="265"/>
  <c r="DM38" i="280"/>
  <c r="DM57" i="280" s="1"/>
  <c r="AJ24" i="277" l="1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69" i="280" s="1"/>
  <c r="DM39" i="280"/>
  <c r="DM63" i="280"/>
  <c r="DM64" i="280" s="1"/>
  <c r="DM68" i="280" s="1"/>
  <c r="DM50" i="280"/>
  <c r="DM70" i="280" l="1"/>
  <c r="DM51" i="280"/>
  <c r="DM52" i="280" s="1"/>
  <c r="DM40" i="280"/>
  <c r="DM41" i="280" s="1"/>
  <c r="DM14" i="286"/>
  <c r="DM16" i="286" s="1"/>
  <c r="DM18" i="286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N37" i="265" l="1"/>
  <c r="DN42" i="265" s="1"/>
  <c r="DN47" i="265" s="1"/>
  <c r="DN50" i="265" s="1"/>
  <c r="DN38" i="280"/>
  <c r="DN57" i="280" s="1"/>
  <c r="DM74" i="265"/>
  <c r="DM75" i="265" s="1"/>
  <c r="DM81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49" i="280"/>
  <c r="DN62" i="280" s="1"/>
  <c r="DM83" i="265" l="1"/>
  <c r="DM82" i="265"/>
  <c r="DN58" i="280"/>
  <c r="DN59" i="280" s="1"/>
  <c r="DN67" i="280" s="1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O16" i="265" l="1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68" i="287" s="1"/>
  <c r="DP96" i="287"/>
  <c r="DP82" i="287"/>
  <c r="DO50" i="280"/>
  <c r="DO63" i="280"/>
  <c r="DO64" i="280" s="1"/>
  <c r="DO68" i="280" s="1"/>
  <c r="DN74" i="265"/>
  <c r="DN75" i="265" s="1"/>
  <c r="DN81" i="265" s="1"/>
  <c r="DO38" i="280"/>
  <c r="DO57" i="280" s="1"/>
  <c r="DP16" i="265" l="1"/>
  <c r="DP35" i="265"/>
  <c r="DN53" i="265"/>
  <c r="DO59" i="280"/>
  <c r="DO67" i="280" s="1"/>
  <c r="DO69" i="280" s="1"/>
  <c r="DP69" i="287"/>
  <c r="DP36" i="265" s="1"/>
  <c r="DP91" i="287"/>
  <c r="DP92" i="287" s="1"/>
  <c r="DP97" i="287"/>
  <c r="DP98" i="287" s="1"/>
  <c r="DP28" i="286" s="1"/>
  <c r="DN25" i="265"/>
  <c r="DN82" i="265"/>
  <c r="DN83" i="265"/>
  <c r="DP37" i="265" l="1"/>
  <c r="DP42" i="265" s="1"/>
  <c r="DP47" i="265" s="1"/>
  <c r="DP50" i="265" s="1"/>
  <c r="AK35" i="277"/>
  <c r="DQ90" i="287"/>
  <c r="DQ79" i="287" s="1"/>
  <c r="DQ81" i="287" s="1"/>
  <c r="DP70" i="265"/>
  <c r="DO51" i="280"/>
  <c r="DO52" i="280" s="1"/>
  <c r="DO40" i="280"/>
  <c r="DO41" i="280" s="1"/>
  <c r="DO70" i="280"/>
  <c r="DO14" i="286"/>
  <c r="DO16" i="286" s="1"/>
  <c r="DO18" i="286" s="1"/>
  <c r="DP19" i="265"/>
  <c r="DP22" i="265" s="1"/>
  <c r="AK16" i="277"/>
  <c r="AK19" i="277" s="1"/>
  <c r="AK22" i="277" s="1"/>
  <c r="DP38" i="280" l="1"/>
  <c r="DP57" i="280" s="1"/>
  <c r="DO74" i="265"/>
  <c r="DO75" i="265" s="1"/>
  <c r="DO81" i="265" s="1"/>
  <c r="AL70" i="277"/>
  <c r="DP39" i="280"/>
  <c r="DP58" i="280"/>
  <c r="DO24" i="265"/>
  <c r="DO52" i="265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Q16" i="265" l="1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68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91" i="287" l="1"/>
  <c r="DR92" i="287" s="1"/>
  <c r="DR97" i="287"/>
  <c r="DR98" i="287" s="1"/>
  <c r="DR28" i="286" s="1"/>
  <c r="DR69" i="287"/>
  <c r="DR36" i="265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Q69" i="280" s="1"/>
  <c r="AL83" i="277" l="1"/>
  <c r="AL82" i="277"/>
  <c r="DR37" i="265"/>
  <c r="DR42" i="265" s="1"/>
  <c r="DR47" i="265" s="1"/>
  <c r="DR50" i="265" s="1"/>
  <c r="DP82" i="265"/>
  <c r="DP83" i="265"/>
  <c r="DQ70" i="280"/>
  <c r="DQ40" i="280"/>
  <c r="DQ41" i="280" s="1"/>
  <c r="DQ14" i="286"/>
  <c r="DQ16" i="286" s="1"/>
  <c r="DQ18" i="286" s="1"/>
  <c r="DQ51" i="280"/>
  <c r="DQ52" i="280" s="1"/>
  <c r="DR19" i="265"/>
  <c r="DR22" i="265" s="1"/>
  <c r="DR70" i="265"/>
  <c r="DS90" i="287"/>
  <c r="DS79" i="287" s="1"/>
  <c r="DS81" i="287" s="1"/>
  <c r="DR49" i="280" l="1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69" i="280" s="1"/>
  <c r="DR39" i="280"/>
  <c r="DQ52" i="265"/>
  <c r="DQ24" i="265"/>
  <c r="DR50" i="280"/>
  <c r="DR63" i="280"/>
  <c r="DR64" i="280" s="1"/>
  <c r="DR68" i="280" s="1"/>
  <c r="DQ53" i="265" l="1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51" i="280"/>
  <c r="DR52" i="280" s="1"/>
  <c r="DR14" i="286"/>
  <c r="DR16" i="286" s="1"/>
  <c r="DR18" i="286" s="1"/>
  <c r="DR40" i="280"/>
  <c r="DR41" i="280" s="1"/>
  <c r="DR24" i="265" l="1"/>
  <c r="DR52" i="265"/>
  <c r="DS37" i="265"/>
  <c r="DS42" i="265" s="1"/>
  <c r="DS47" i="265" s="1"/>
  <c r="DS50" i="265" s="1"/>
  <c r="DR74" i="265"/>
  <c r="DR75" i="265" s="1"/>
  <c r="DR81" i="265" s="1"/>
  <c r="DS38" i="280"/>
  <c r="DS57" i="280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68" i="287" s="1"/>
  <c r="DT96" i="287"/>
  <c r="DT82" i="287"/>
  <c r="DT35" i="265" l="1"/>
  <c r="DT16" i="265"/>
  <c r="DT91" i="287"/>
  <c r="DT92" i="287" s="1"/>
  <c r="DT97" i="287"/>
  <c r="DT98" i="287" s="1"/>
  <c r="DT28" i="286" s="1"/>
  <c r="DT69" i="287"/>
  <c r="DT36" i="265" s="1"/>
  <c r="DS69" i="280"/>
  <c r="DS14" i="286" l="1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DU90" i="287"/>
  <c r="DU79" i="287" s="1"/>
  <c r="DU81" i="287" s="1"/>
  <c r="DT70" i="265"/>
  <c r="DT37" i="265"/>
  <c r="DT42" i="265" s="1"/>
  <c r="DT47" i="265" s="1"/>
  <c r="DT50" i="265" s="1"/>
  <c r="AL35" i="277"/>
  <c r="DS74" i="265" l="1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AM70" i="277"/>
  <c r="DT63" i="280"/>
  <c r="DT64" i="280" s="1"/>
  <c r="DT68" i="280" s="1"/>
  <c r="DT50" i="280"/>
  <c r="DU61" i="287"/>
  <c r="DU62" i="287" s="1"/>
  <c r="DU67" i="287" s="1"/>
  <c r="DU56" i="287"/>
  <c r="DU57" i="287" s="1"/>
  <c r="DU66" i="287" s="1"/>
  <c r="DU68" i="287" s="1"/>
  <c r="DU96" i="287"/>
  <c r="DU82" i="287"/>
  <c r="DT39" i="280"/>
  <c r="DT58" i="280"/>
  <c r="DT59" i="280" s="1"/>
  <c r="DT67" i="280" s="1"/>
  <c r="DT69" i="280" s="1"/>
  <c r="DS52" i="265"/>
  <c r="DS24" i="265"/>
  <c r="DS25" i="265" l="1"/>
  <c r="DS53" i="265"/>
  <c r="DT40" i="280"/>
  <c r="DT41" i="280" s="1"/>
  <c r="DT70" i="280"/>
  <c r="DT14" i="286"/>
  <c r="DT16" i="286" s="1"/>
  <c r="DT18" i="286" s="1"/>
  <c r="DT51" i="280"/>
  <c r="DT52" i="280" s="1"/>
  <c r="DU35" i="265"/>
  <c r="DU16" i="265"/>
  <c r="DU69" i="287"/>
  <c r="DU36" i="265" s="1"/>
  <c r="DU97" i="287"/>
  <c r="DU98" i="287" s="1"/>
  <c r="DU28" i="286" s="1"/>
  <c r="DU91" i="287"/>
  <c r="DU92" i="287" s="1"/>
  <c r="DS82" i="265"/>
  <c r="DS83" i="265"/>
  <c r="DU19" i="265" l="1"/>
  <c r="DU22" i="265" s="1"/>
  <c r="DU49" i="280"/>
  <c r="DU62" i="280" s="1"/>
  <c r="DT63" i="265"/>
  <c r="DT52" i="265"/>
  <c r="DT24" i="265"/>
  <c r="DV90" i="287"/>
  <c r="DV79" i="287" s="1"/>
  <c r="DV81" i="287" s="1"/>
  <c r="DU70" i="265"/>
  <c r="DU37" i="265"/>
  <c r="DU42" i="265" s="1"/>
  <c r="DU47" i="265" s="1"/>
  <c r="DU50" i="265" s="1"/>
  <c r="DU38" i="280"/>
  <c r="DU57" i="280" s="1"/>
  <c r="DT74" i="265"/>
  <c r="DU63" i="280" l="1"/>
  <c r="DU64" i="280" s="1"/>
  <c r="DU68" i="280" s="1"/>
  <c r="DU50" i="280"/>
  <c r="DT25" i="265"/>
  <c r="AL24" i="277"/>
  <c r="AL25" i="277" s="1"/>
  <c r="DT65" i="265"/>
  <c r="DT67" i="265" s="1"/>
  <c r="DT80" i="265" s="1"/>
  <c r="AM63" i="277"/>
  <c r="AM65" i="277" s="1"/>
  <c r="AM67" i="277" s="1"/>
  <c r="AM80" i="277" s="1"/>
  <c r="AM74" i="277"/>
  <c r="AM75" i="277" s="1"/>
  <c r="AM81" i="277" s="1"/>
  <c r="DT75" i="265"/>
  <c r="DT81" i="265" s="1"/>
  <c r="DV61" i="287"/>
  <c r="DV62" i="287" s="1"/>
  <c r="DV67" i="287" s="1"/>
  <c r="DV56" i="287"/>
  <c r="DV57" i="287" s="1"/>
  <c r="DV66" i="287" s="1"/>
  <c r="DV68" i="287" s="1"/>
  <c r="DV82" i="287"/>
  <c r="DV96" i="287"/>
  <c r="DT53" i="265"/>
  <c r="AL51" i="277"/>
  <c r="DU39" i="280"/>
  <c r="DU58" i="280"/>
  <c r="DU59" i="280" s="1"/>
  <c r="DU67" i="280" s="1"/>
  <c r="DU69" i="280" s="1"/>
  <c r="DV69" i="287" l="1"/>
  <c r="DV36" i="265" s="1"/>
  <c r="DV97" i="287"/>
  <c r="DV98" i="287" s="1"/>
  <c r="DV28" i="286" s="1"/>
  <c r="DV91" i="287"/>
  <c r="DV92" i="287" s="1"/>
  <c r="DV35" i="265"/>
  <c r="DV16" i="265"/>
  <c r="DT82" i="265"/>
  <c r="DT83" i="265"/>
  <c r="DU70" i="280"/>
  <c r="DU14" i="286"/>
  <c r="DU16" i="286" s="1"/>
  <c r="DU18" i="286" s="1"/>
  <c r="DU51" i="280"/>
  <c r="DU52" i="280" s="1"/>
  <c r="DU40" i="280"/>
  <c r="DU41" i="280" s="1"/>
  <c r="AM82" i="277"/>
  <c r="AM83" i="277"/>
  <c r="DU74" i="265" l="1"/>
  <c r="DU75" i="265" s="1"/>
  <c r="DU81" i="265" s="1"/>
  <c r="DV38" i="280"/>
  <c r="DV57" i="280" s="1"/>
  <c r="DV19" i="265"/>
  <c r="DV22" i="265" s="1"/>
  <c r="DV70" i="265"/>
  <c r="DW90" i="287"/>
  <c r="DW79" i="287" s="1"/>
  <c r="DW81" i="287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U25" i="265" l="1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s="1"/>
  <c r="DV14" i="286" l="1"/>
  <c r="DV16" i="286" s="1"/>
  <c r="DV18" i="286" s="1"/>
  <c r="DV70" i="280"/>
  <c r="DV51" i="280"/>
  <c r="DV52" i="280" s="1"/>
  <c r="DV40" i="280"/>
  <c r="DV41" i="280" s="1"/>
  <c r="DW16" i="265"/>
  <c r="DW35" i="265"/>
  <c r="DW91" i="287"/>
  <c r="DW92" i="287" s="1"/>
  <c r="DW97" i="287"/>
  <c r="DW98" i="287" s="1"/>
  <c r="DW28" i="286" s="1"/>
  <c r="DW69" i="287"/>
  <c r="DW36" i="265" s="1"/>
  <c r="DW70" i="265" l="1"/>
  <c r="DX90" i="287"/>
  <c r="DX79" i="287" s="1"/>
  <c r="DX81" i="287" s="1"/>
  <c r="DW49" i="280"/>
  <c r="DW62" i="280" s="1"/>
  <c r="DV63" i="265"/>
  <c r="DV65" i="265" s="1"/>
  <c r="DV67" i="265" s="1"/>
  <c r="DV80" i="265" s="1"/>
  <c r="DW37" i="265"/>
  <c r="DW42" i="265" s="1"/>
  <c r="DW47" i="265" s="1"/>
  <c r="DW50" i="265" s="1"/>
  <c r="DV74" i="265"/>
  <c r="DV75" i="265" s="1"/>
  <c r="DV81" i="265" s="1"/>
  <c r="DW38" i="280"/>
  <c r="DW57" i="280" s="1"/>
  <c r="DV24" i="265"/>
  <c r="DV52" i="265"/>
  <c r="DW19" i="265"/>
  <c r="DW22" i="265" s="1"/>
  <c r="DV83" i="265" l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X59" i="280" s="1"/>
  <c r="DX67" i="280" s="1"/>
  <c r="DY61" i="287"/>
  <c r="DY62" i="287" s="1"/>
  <c r="DY67" i="287" s="1"/>
  <c r="DY56" i="287"/>
  <c r="DY57" i="287" s="1"/>
  <c r="DY66" i="287" s="1"/>
  <c r="DY68" i="287" s="1"/>
  <c r="DY96" i="287"/>
  <c r="DY82" i="287"/>
  <c r="DX50" i="280"/>
  <c r="DX63" i="280"/>
  <c r="DX64" i="280" s="1"/>
  <c r="DX68" i="280" s="1"/>
  <c r="DY16" i="265" l="1"/>
  <c r="DY35" i="265"/>
  <c r="DY69" i="287"/>
  <c r="DY36" i="265" s="1"/>
  <c r="DY97" i="287"/>
  <c r="DY98" i="287" s="1"/>
  <c r="DY28" i="286" s="1"/>
  <c r="DY91" i="287"/>
  <c r="DY92" i="287" s="1"/>
  <c r="DW25" i="265"/>
  <c r="DX69" i="280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69" i="280" s="1"/>
  <c r="DZ50" i="280"/>
  <c r="DZ63" i="280"/>
  <c r="DZ64" i="280" s="1"/>
  <c r="DZ68" i="280" s="1"/>
  <c r="DY25" i="265" l="1"/>
  <c r="DY53" i="265"/>
  <c r="DY83" i="265"/>
  <c r="DY82" i="265"/>
  <c r="EA66" i="287"/>
  <c r="H57" i="287"/>
  <c r="H66" i="287" s="1"/>
  <c r="DZ70" i="280"/>
  <c r="DZ14" i="286"/>
  <c r="DZ16" i="286" s="1"/>
  <c r="DZ18" i="286" s="1"/>
  <c r="DZ40" i="280"/>
  <c r="DZ41" i="280" s="1"/>
  <c r="DZ51" i="280"/>
  <c r="DZ52" i="280" s="1"/>
  <c r="H61" i="287"/>
  <c r="H56" i="287"/>
  <c r="H96" i="287"/>
  <c r="EA16" i="265"/>
  <c r="EA35" i="265"/>
  <c r="H82" i="287"/>
  <c r="EA67" i="287"/>
  <c r="H62" i="287"/>
  <c r="H67" i="287" s="1"/>
  <c r="H35" i="265" l="1"/>
  <c r="H47" i="269" s="1"/>
  <c r="K47" i="269" s="1"/>
  <c r="H16" i="265"/>
  <c r="H28" i="269" s="1"/>
  <c r="K28" i="269" s="1"/>
  <c r="EA19" i="265"/>
  <c r="AN16" i="277"/>
  <c r="EA49" i="280"/>
  <c r="EA62" i="280" s="1"/>
  <c r="DZ63" i="265"/>
  <c r="DZ65" i="265" s="1"/>
  <c r="DZ67" i="265" s="1"/>
  <c r="DZ80" i="265" s="1"/>
  <c r="AN35" i="277"/>
  <c r="EA38" i="280"/>
  <c r="EA57" i="280" s="1"/>
  <c r="DZ74" i="265"/>
  <c r="DZ75" i="265" s="1"/>
  <c r="DZ81" i="265" s="1"/>
  <c r="DZ24" i="265"/>
  <c r="DZ52" i="265"/>
  <c r="EA68" i="287"/>
  <c r="DZ53" i="265" l="1"/>
  <c r="AN19" i="277"/>
  <c r="H16" i="277"/>
  <c r="J28" i="269"/>
  <c r="L28" i="269"/>
  <c r="H35" i="277"/>
  <c r="DZ83" i="265"/>
  <c r="DZ82" i="265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EA28" i="286" l="1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82" i="265" s="1"/>
  <c r="F82" i="265" s="1"/>
  <c r="F12" i="264" s="1"/>
  <c r="F9" i="264" s="1"/>
  <c r="EA14" i="286"/>
  <c r="EA16" i="286" s="1"/>
  <c r="EA70" i="280"/>
  <c r="H69" i="280"/>
  <c r="EA52" i="265" l="1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64"/>
  <c r="F2" i="286"/>
  <c r="F2" i="273"/>
  <c r="F2" i="265"/>
  <c r="F2" i="281"/>
  <c r="F2" i="287"/>
  <c r="F2" i="277"/>
  <c r="F2" i="282"/>
  <c r="F2" i="275"/>
  <c r="F2" i="280"/>
  <c r="L10" i="269" l="1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J2" i="269" s="1"/>
  <c r="H24" i="277"/>
  <c r="AN25" i="277"/>
  <c r="H25" i="277" s="1"/>
  <c r="H51" i="277"/>
  <c r="AN52" i="277"/>
  <c r="H52" i="277" s="1"/>
  <c r="L64" i="269"/>
  <c r="J64" i="269"/>
  <c r="F3" i="287" l="1"/>
  <c r="F3" i="281"/>
  <c r="F3" i="273"/>
  <c r="F3" i="275"/>
  <c r="F3" i="264"/>
  <c r="F3" i="277"/>
  <c r="F3" i="265"/>
  <c r="F3" i="286"/>
  <c r="F3" i="280"/>
  <c r="F3" i="28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<sst xmlns="http://schemas.openxmlformats.org/spreadsheetml/2006/main" count="500" uniqueCount="301">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</sst>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35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0" fillId="6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Qtr'!$J$33:$EA$33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1519.3516483516487</c:v>
                </c:pt>
                <c:pt idx="4">
                  <c:v>5023.8865989309606</c:v>
                </c:pt>
                <c:pt idx="5">
                  <c:v>4170.5295879755431</c:v>
                </c:pt>
                <c:pt idx="6">
                  <c:v>2028.6153260439305</c:v>
                </c:pt>
                <c:pt idx="7">
                  <c:v>3006.71803994626</c:v>
                </c:pt>
                <c:pt idx="8">
                  <c:v>4989.357079414217</c:v>
                </c:pt>
                <c:pt idx="9">
                  <c:v>4140.2320518402594</c:v>
                </c:pt>
                <c:pt idx="10">
                  <c:v>2008.9959885590401</c:v>
                </c:pt>
                <c:pt idx="11">
                  <c:v>2982.0798495086847</c:v>
                </c:pt>
                <c:pt idx="12">
                  <c:v>4954.807212342962</c:v>
                </c:pt>
                <c:pt idx="13">
                  <c:v>4109.8928399861561</c:v>
                </c:pt>
                <c:pt idx="14">
                  <c:v>2005.5450977648127</c:v>
                </c:pt>
                <c:pt idx="15">
                  <c:v>2941.1063861909197</c:v>
                </c:pt>
                <c:pt idx="16">
                  <c:v>4920.2332273080128</c:v>
                </c:pt>
                <c:pt idx="17">
                  <c:v>4079.5082826027474</c:v>
                </c:pt>
                <c:pt idx="18">
                  <c:v>1969.4708359471479</c:v>
                </c:pt>
                <c:pt idx="19">
                  <c:v>2932.5824991845047</c:v>
                </c:pt>
                <c:pt idx="20">
                  <c:v>4885.6312946429462</c:v>
                </c:pt>
                <c:pt idx="21">
                  <c:v>4049.0746500107443</c:v>
                </c:pt>
                <c:pt idx="22">
                  <c:v>1949.5581621709948</c:v>
                </c:pt>
                <c:pt idx="23">
                  <c:v>2907.71613842746</c:v>
                </c:pt>
                <c:pt idx="24">
                  <c:v>4850.9975241468455</c:v>
                </c:pt>
                <c:pt idx="25">
                  <c:v>4018.5881513856307</c:v>
                </c:pt>
                <c:pt idx="26">
                  <c:v>1929.5407479852247</c:v>
                </c:pt>
                <c:pt idx="27">
                  <c:v>2882.7664163421891</c:v>
                </c:pt>
                <c:pt idx="28">
                  <c:v>4816.327963781755</c:v>
                </c:pt>
                <c:pt idx="29">
                  <c:v>3988.0449334558452</c:v>
                </c:pt>
                <c:pt idx="30">
                  <c:v>1925.2066305179528</c:v>
                </c:pt>
                <c:pt idx="31">
                  <c:v>2841.9379521318856</c:v>
                </c:pt>
                <c:pt idx="32">
                  <c:v>4781.6185983442665</c:v>
                </c:pt>
                <c:pt idx="33">
                  <c:v>3957.4410791751011</c:v>
                </c:pt>
                <c:pt idx="34">
                  <c:v>1889.1772904874442</c:v>
                </c:pt>
                <c:pt idx="35">
                  <c:v>2832.6017911092231</c:v>
                </c:pt>
                <c:pt idx="36">
                  <c:v>4746.8653481107795</c:v>
                </c:pt>
                <c:pt idx="37">
                  <c:v>3926.7726063682762</c:v>
                </c:pt>
                <c:pt idx="38">
                  <c:v>1868.823879593665</c:v>
                </c:pt>
                <c:pt idx="39">
                  <c:v>2807.3791745912417</c:v>
                </c:pt>
                <c:pt idx="40">
                  <c:v>4712.0640674558335</c:v>
                </c:pt>
                <c:pt idx="41">
                  <c:v>3896.0354663503745</c:v>
                </c:pt>
                <c:pt idx="42">
                  <c:v>1848.3509904106313</c:v>
                </c:pt>
                <c:pt idx="43">
                  <c:v>2782.0577672391714</c:v>
                </c:pt>
                <c:pt idx="44">
                  <c:v>4677.2105434430441</c:v>
                </c:pt>
                <c:pt idx="45">
                  <c:v>3865.225542517991</c:v>
                </c:pt>
                <c:pt idx="46">
                  <c:v>1843.0720590969331</c:v>
                </c:pt>
                <c:pt idx="47">
                  <c:v>2741.3162515247823</c:v>
                </c:pt>
                <c:pt idx="48">
                  <c:v>4642.3004943880223</c:v>
                </c:pt>
                <c:pt idx="49">
                  <c:v>3834.3386489127424</c:v>
                </c:pt>
                <c:pt idx="50">
                  <c:v>1807.0312923881415</c:v>
                </c:pt>
                <c:pt idx="51">
                  <c:v>2731.1023978583507</c:v>
                </c:pt>
                <c:pt idx="52">
                  <c:v>4607.3295683927436</c:v>
                </c:pt>
                <c:pt idx="53">
                  <c:v>3803.3705287560883</c:v>
                </c:pt>
                <c:pt idx="54">
                  <c:v>1786.1765635552633</c:v>
                </c:pt>
                <c:pt idx="55">
                  <c:v>2705.4601656930258</c:v>
                </c:pt>
                <c:pt idx="56">
                  <c:v>4572.2933418507855</c:v>
                </c:pt>
                <c:pt idx="57">
                  <c:v>3772.3168529549539</c:v>
                </c:pt>
                <c:pt idx="58">
                  <c:v>1765.1865135060509</c:v>
                </c:pt>
                <c:pt idx="59">
                  <c:v>2679.7025994275532</c:v>
                </c:pt>
                <c:pt idx="60">
                  <c:v>4537.1873179228514</c:v>
                </c:pt>
                <c:pt idx="61">
                  <c:v>3741.1732185775827</c:v>
                </c:pt>
                <c:pt idx="62">
                  <c:v>1758.8958323021477</c:v>
                </c:pt>
                <c:pt idx="63">
                  <c:v>2638.9865438332372</c:v>
                </c:pt>
                <c:pt idx="64">
                  <c:v>4502.0069249819471</c:v>
                </c:pt>
                <c:pt idx="65">
                  <c:v>3709.9351472990134</c:v>
                </c:pt>
                <c:pt idx="66">
                  <c:v>1722.7837962499902</c:v>
                </c:pt>
                <c:pt idx="67">
                  <c:v>2627.8241038459855</c:v>
                </c:pt>
                <c:pt idx="68">
                  <c:v>4466.7475150276478</c:v>
                </c:pt>
                <c:pt idx="69">
                  <c:v>3678.5980838155601</c:v>
                </c:pt>
                <c:pt idx="70">
                  <c:v>1701.3626095709205</c:v>
                </c:pt>
                <c:pt idx="71">
                  <c:v>2601.6942997167585</c:v>
                </c:pt>
                <c:pt idx="72">
                  <c:v>4431.4043620687899</c:v>
                </c:pt>
                <c:pt idx="73">
                  <c:v>3647.1573942276741</c:v>
                </c:pt>
                <c:pt idx="74">
                  <c:v>1679.7890595480376</c:v>
                </c:pt>
                <c:pt idx="75">
                  <c:v>2575.4314086216336</c:v>
                </c:pt>
                <c:pt idx="76">
                  <c:v>4395.9726604739562</c:v>
                </c:pt>
                <c:pt idx="77">
                  <c:v>3615.6083643905404</c:v>
                </c:pt>
                <c:pt idx="78">
                  <c:v>1672.4139038003891</c:v>
                </c:pt>
                <c:pt idx="79">
                  <c:v>2534.6755740795943</c:v>
                </c:pt>
                <c:pt idx="80">
                  <c:v>4360.4475232891255</c:v>
                </c:pt>
                <c:pt idx="81">
                  <c:v>3583.9461982317816</c:v>
                </c:pt>
                <c:pt idx="82">
                  <c:v>1636.1669478320509</c:v>
                </c:pt>
                <c:pt idx="83">
                  <c:v>2522.4877250291902</c:v>
                </c:pt>
                <c:pt idx="84">
                  <c:v>4324.8239805218018</c:v>
                </c:pt>
                <c:pt idx="85">
                  <c:v>3552.1660160355682</c:v>
                </c:pt>
                <c:pt idx="86">
                  <c:v>1614.109216234112</c:v>
                </c:pt>
                <c:pt idx="87">
                  <c:v>2495.79740118472</c:v>
                </c:pt>
                <c:pt idx="88">
                  <c:v>4289.0969773909501</c:v>
                </c:pt>
                <c:pt idx="89">
                  <c:v>3520.2628526924959</c:v>
                </c:pt>
                <c:pt idx="90">
                  <c:v>1591.8807780366615</c:v>
                </c:pt>
                <c:pt idx="91">
                  <c:v>2468.9549241734603</c:v>
                </c:pt>
                <c:pt idx="92">
                  <c:v>4253.2613725420415</c:v>
                </c:pt>
                <c:pt idx="93">
                  <c:v>3488.2316559144965</c:v>
                </c:pt>
                <c:pt idx="94">
                  <c:v>1583.3421581221173</c:v>
                </c:pt>
                <c:pt idx="95">
                  <c:v>2428.0899825412234</c:v>
                </c:pt>
                <c:pt idx="96">
                  <c:v>4217.3119362265334</c:v>
                </c:pt>
                <c:pt idx="97">
                  <c:v>3456.0672844141181</c:v>
                </c:pt>
                <c:pt idx="98">
                  <c:v>1546.8924844518847</c:v>
                </c:pt>
                <c:pt idx="99">
                  <c:v>2414.7934808728296</c:v>
                </c:pt>
                <c:pt idx="100">
                  <c:v>4181.2433484450221</c:v>
                </c:pt>
                <c:pt idx="101">
                  <c:v>3423.7645060474233</c:v>
                </c:pt>
                <c:pt idx="102">
                  <c:v>1524.1227535633093</c:v>
                </c:pt>
                <c:pt idx="103">
                  <c:v>1239.2070627614662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6-4305-B002-45A8439711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Debt!$J$98:$EA$98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1168.7320371935759</c:v>
                </c:pt>
                <c:pt idx="4">
                  <c:v>3864.5281530238158</c:v>
                </c:pt>
                <c:pt idx="5">
                  <c:v>3208.0996830581098</c:v>
                </c:pt>
                <c:pt idx="6">
                  <c:v>1560.4733277261003</c:v>
                </c:pt>
                <c:pt idx="7">
                  <c:v>2312.8600307278921</c:v>
                </c:pt>
                <c:pt idx="8">
                  <c:v>3837.9669841647819</c:v>
                </c:pt>
                <c:pt idx="9">
                  <c:v>3184.7938860309687</c:v>
                </c:pt>
                <c:pt idx="10">
                  <c:v>1545.3815296608</c:v>
                </c:pt>
                <c:pt idx="11">
                  <c:v>2293.9075765451421</c:v>
                </c:pt>
                <c:pt idx="12">
                  <c:v>3811.3901633407399</c:v>
                </c:pt>
                <c:pt idx="13">
                  <c:v>3161.4560307585816</c:v>
                </c:pt>
                <c:pt idx="14">
                  <c:v>1542.7269982806251</c:v>
                </c:pt>
                <c:pt idx="15">
                  <c:v>2262.3895278391687</c:v>
                </c:pt>
                <c:pt idx="16">
                  <c:v>3784.7947902369324</c:v>
                </c:pt>
                <c:pt idx="17">
                  <c:v>3138.0832943098058</c:v>
                </c:pt>
                <c:pt idx="18">
                  <c:v>1514.9775661131905</c:v>
                </c:pt>
                <c:pt idx="19">
                  <c:v>2255.8326916803881</c:v>
                </c:pt>
                <c:pt idx="20">
                  <c:v>3758.1779189561121</c:v>
                </c:pt>
                <c:pt idx="21">
                  <c:v>3114.6728077005723</c:v>
                </c:pt>
                <c:pt idx="22">
                  <c:v>1499.6601247469191</c:v>
                </c:pt>
                <c:pt idx="23">
                  <c:v>2236.7047218672769</c:v>
                </c:pt>
                <c:pt idx="24">
                  <c:v>3731.536557036035</c:v>
                </c:pt>
                <c:pt idx="25">
                  <c:v>3091.221654912023</c:v>
                </c:pt>
                <c:pt idx="26">
                  <c:v>1484.2621138347881</c:v>
                </c:pt>
                <c:pt idx="27">
                  <c:v>2217.5126279555302</c:v>
                </c:pt>
                <c:pt idx="28">
                  <c:v>3704.8676644475036</c:v>
                </c:pt>
                <c:pt idx="29">
                  <c:v>3067.7268718891114</c:v>
                </c:pt>
                <c:pt idx="30">
                  <c:v>1480.9281773215021</c:v>
                </c:pt>
                <c:pt idx="31">
                  <c:v>2186.1061170245275</c:v>
                </c:pt>
                <c:pt idx="32">
                  <c:v>3678.1681525725126</c:v>
                </c:pt>
                <c:pt idx="33">
                  <c:v>3044.1854455193088</c:v>
                </c:pt>
                <c:pt idx="34">
                  <c:v>1453.213300374957</c:v>
                </c:pt>
                <c:pt idx="35">
                  <c:v>2178.9244546994023</c:v>
                </c:pt>
                <c:pt idx="36">
                  <c:v>3651.4348831621378</c:v>
                </c:pt>
                <c:pt idx="37">
                  <c:v>3020.5943125909816</c:v>
                </c:pt>
                <c:pt idx="38">
                  <c:v>1437.5568304566652</c:v>
                </c:pt>
                <c:pt idx="39">
                  <c:v>2159.5224419932629</c:v>
                </c:pt>
                <c:pt idx="40">
                  <c:v>3624.6646672737179</c:v>
                </c:pt>
                <c:pt idx="41">
                  <c:v>2996.9503587310573</c:v>
                </c:pt>
                <c:pt idx="42">
                  <c:v>1421.808454162024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6-4305-B002-45A84397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959208"/>
        <c:axId val="546951992"/>
      </c:lineChart>
      <c:catAx>
        <c:axId val="546959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51992"/>
        <c:crosses val="autoZero"/>
        <c:auto val="1"/>
        <c:lblAlgn val="ctr"/>
        <c:lblOffset val="100"/>
        <c:noMultiLvlLbl val="0"/>
      </c:catAx>
      <c:valAx>
        <c:axId val="54695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5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4F4C9D-B566-4BAC-B930-C0996AF9E6DA}">
  <sheetPr/>
  <sheetViews>
    <sheetView tabSelected="1"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D4072-53BA-4670-AB6F-39C73E907E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29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533"/>
      <c r="L53" s="533"/>
      <c r="M53" s="533"/>
      <c r="N53" s="265"/>
      <c r="O53" s="534"/>
      <c r="P53" s="534"/>
      <c r="Q53" s="534"/>
      <c r="R53" s="534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60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60</v>
      </c>
      <c r="L57" s="241">
        <v>60</v>
      </c>
      <c r="M57" s="241">
        <v>60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77" priority="145" operator="equal">
      <formula>"tu"</formula>
    </cfRule>
  </conditionalFormatting>
  <conditionalFormatting sqref="I18">
    <cfRule type="cellIs" dxfId="76" priority="168" operator="equal">
      <formula>"tu"</formula>
    </cfRule>
  </conditionalFormatting>
  <conditionalFormatting sqref="I20:I21">
    <cfRule type="cellIs" dxfId="75" priority="259" operator="equal">
      <formula>"tu"</formula>
    </cfRule>
  </conditionalFormatting>
  <conditionalFormatting sqref="I24:I27">
    <cfRule type="cellIs" dxfId="74" priority="97" operator="equal">
      <formula>"tu"</formula>
    </cfRule>
  </conditionalFormatting>
  <conditionalFormatting sqref="I29:I31">
    <cfRule type="cellIs" dxfId="73" priority="87" operator="equal">
      <formula>"tu"</formula>
    </cfRule>
  </conditionalFormatting>
  <conditionalFormatting sqref="I33">
    <cfRule type="cellIs" dxfId="72" priority="82" operator="equal">
      <formula>"tu"</formula>
    </cfRule>
  </conditionalFormatting>
  <conditionalFormatting sqref="I37">
    <cfRule type="cellIs" dxfId="71" priority="60" operator="equal">
      <formula>"tu"</formula>
    </cfRule>
  </conditionalFormatting>
  <conditionalFormatting sqref="I41">
    <cfRule type="cellIs" dxfId="70" priority="31" operator="equal">
      <formula>"tu"</formula>
    </cfRule>
  </conditionalFormatting>
  <conditionalFormatting sqref="I45:I53">
    <cfRule type="cellIs" dxfId="69" priority="1" operator="equal">
      <formula>"tu"</formula>
    </cfRule>
  </conditionalFormatting>
  <conditionalFormatting sqref="I57:I58">
    <cfRule type="cellIs" dxfId="68" priority="52" operator="equal">
      <formula>"tu"</formula>
    </cfRule>
  </conditionalFormatting>
  <conditionalFormatting sqref="I61:I67">
    <cfRule type="cellIs" dxfId="67" priority="47" operator="equal">
      <formula>"tu"</formula>
    </cfRule>
  </conditionalFormatting>
  <conditionalFormatting sqref="I77">
    <cfRule type="cellIs" dxfId="66" priority="77" operator="equal">
      <formula>"tu"</formula>
    </cfRule>
  </conditionalFormatting>
  <conditionalFormatting sqref="I78:I81">
    <cfRule type="cellIs" dxfId="65" priority="260" operator="equal">
      <formula>1</formula>
    </cfRule>
  </conditionalFormatting>
  <conditionalFormatting sqref="I87:I91">
    <cfRule type="cellIs" dxfId="64" priority="174" operator="equal">
      <formula>"tu"</formula>
    </cfRule>
  </conditionalFormatting>
  <conditionalFormatting sqref="O14:R16">
    <cfRule type="cellIs" dxfId="63" priority="460" operator="equal">
      <formula>""</formula>
    </cfRule>
  </conditionalFormatting>
  <conditionalFormatting sqref="O20:R67">
    <cfRule type="cellIs" dxfId="62" priority="32" operator="equal">
      <formula>""</formula>
    </cfRule>
  </conditionalFormatting>
  <conditionalFormatting sqref="O76:R76">
    <cfRule type="cellIs" dxfId="61" priority="310" operator="equal">
      <formula>""</formula>
    </cfRule>
  </conditionalFormatting>
  <conditionalFormatting sqref="O78:R78">
    <cfRule type="cellIs" dxfId="60" priority="306" operator="equal">
      <formula>""</formula>
    </cfRule>
  </conditionalFormatting>
  <conditionalFormatting sqref="P13:R13 O18:R18 O74:R74">
    <cfRule type="cellIs" dxfId="59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60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60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DQ6" activePane="bottomRight" state="frozen"/>
      <selection activeCell="E45" sqref="E45"/>
      <selection pane="topRight" activeCell="E45" sqref="E45"/>
      <selection pane="bottomLeft" activeCell="E45" sqref="E45"/>
      <selection pane="bottomRight" activeCell="F27" sqref="F2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322667.04122730857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1519.3516483516487</v>
      </c>
      <c r="N10" s="146">
        <f xml:space="preserve"> 'FS Qtr'!N$33</f>
        <v>5023.8865989309606</v>
      </c>
      <c r="O10" s="146">
        <f xml:space="preserve"> 'FS Qtr'!O$33</f>
        <v>4170.5295879755431</v>
      </c>
      <c r="P10" s="146">
        <f xml:space="preserve"> 'FS Qtr'!P$33</f>
        <v>2028.6153260439305</v>
      </c>
      <c r="Q10" s="146">
        <f xml:space="preserve"> 'FS Qtr'!Q$33</f>
        <v>3006.71803994626</v>
      </c>
      <c r="R10" s="146">
        <f xml:space="preserve"> 'FS Qtr'!R$33</f>
        <v>4989.357079414217</v>
      </c>
      <c r="S10" s="146">
        <f xml:space="preserve"> 'FS Qtr'!S$33</f>
        <v>4140.2320518402594</v>
      </c>
      <c r="T10" s="146">
        <f xml:space="preserve"> 'FS Qtr'!T$33</f>
        <v>2008.9959885590401</v>
      </c>
      <c r="U10" s="146">
        <f xml:space="preserve"> 'FS Qtr'!U$33</f>
        <v>2982.0798495086847</v>
      </c>
      <c r="V10" s="146">
        <f xml:space="preserve"> 'FS Qtr'!V$33</f>
        <v>4954.807212342962</v>
      </c>
      <c r="W10" s="146">
        <f xml:space="preserve"> 'FS Qtr'!W$33</f>
        <v>4109.8928399861561</v>
      </c>
      <c r="X10" s="146">
        <f xml:space="preserve"> 'FS Qtr'!X$33</f>
        <v>2005.5450977648127</v>
      </c>
      <c r="Y10" s="146">
        <f xml:space="preserve"> 'FS Qtr'!Y$33</f>
        <v>2941.1063861909197</v>
      </c>
      <c r="Z10" s="146">
        <f xml:space="preserve"> 'FS Qtr'!Z$33</f>
        <v>4920.2332273080128</v>
      </c>
      <c r="AA10" s="146">
        <f xml:space="preserve"> 'FS Qtr'!AA$33</f>
        <v>4079.5082826027474</v>
      </c>
      <c r="AB10" s="146">
        <f xml:space="preserve"> 'FS Qtr'!AB$33</f>
        <v>1969.4708359471479</v>
      </c>
      <c r="AC10" s="146">
        <f xml:space="preserve"> 'FS Qtr'!AC$33</f>
        <v>2932.5824991845047</v>
      </c>
      <c r="AD10" s="146">
        <f xml:space="preserve"> 'FS Qtr'!AD$33</f>
        <v>4885.6312946429462</v>
      </c>
      <c r="AE10" s="146">
        <f xml:space="preserve"> 'FS Qtr'!AE$33</f>
        <v>4049.0746500107443</v>
      </c>
      <c r="AF10" s="146">
        <f xml:space="preserve"> 'FS Qtr'!AF$33</f>
        <v>1949.5581621709948</v>
      </c>
      <c r="AG10" s="146">
        <f xml:space="preserve"> 'FS Qtr'!AG$33</f>
        <v>2907.71613842746</v>
      </c>
      <c r="AH10" s="146">
        <f xml:space="preserve"> 'FS Qtr'!AH$33</f>
        <v>4850.9975241468455</v>
      </c>
      <c r="AI10" s="146">
        <f xml:space="preserve"> 'FS Qtr'!AI$33</f>
        <v>4018.5881513856307</v>
      </c>
      <c r="AJ10" s="146">
        <f xml:space="preserve"> 'FS Qtr'!AJ$33</f>
        <v>1929.5407479852247</v>
      </c>
      <c r="AK10" s="146">
        <f xml:space="preserve"> 'FS Qtr'!AK$33</f>
        <v>2882.7664163421891</v>
      </c>
      <c r="AL10" s="146">
        <f xml:space="preserve"> 'FS Qtr'!AL$33</f>
        <v>4816.327963781755</v>
      </c>
      <c r="AM10" s="146">
        <f xml:space="preserve"> 'FS Qtr'!AM$33</f>
        <v>3988.0449334558452</v>
      </c>
      <c r="AN10" s="146">
        <f xml:space="preserve"> 'FS Qtr'!AN$33</f>
        <v>1925.2066305179528</v>
      </c>
      <c r="AO10" s="146">
        <f xml:space="preserve"> 'FS Qtr'!AO$33</f>
        <v>2841.9379521318856</v>
      </c>
      <c r="AP10" s="146">
        <f xml:space="preserve"> 'FS Qtr'!AP$33</f>
        <v>4781.6185983442665</v>
      </c>
      <c r="AQ10" s="146">
        <f xml:space="preserve"> 'FS Qtr'!AQ$33</f>
        <v>3957.4410791751011</v>
      </c>
      <c r="AR10" s="146">
        <f xml:space="preserve"> 'FS Qtr'!AR$33</f>
        <v>1889.1772904874442</v>
      </c>
      <c r="AS10" s="146">
        <f xml:space="preserve"> 'FS Qtr'!AS$33</f>
        <v>2832.6017911092231</v>
      </c>
      <c r="AT10" s="146">
        <f xml:space="preserve"> 'FS Qtr'!AT$33</f>
        <v>4746.8653481107795</v>
      </c>
      <c r="AU10" s="146">
        <f xml:space="preserve"> 'FS Qtr'!AU$33</f>
        <v>3926.7726063682762</v>
      </c>
      <c r="AV10" s="146">
        <f xml:space="preserve"> 'FS Qtr'!AV$33</f>
        <v>1868.823879593665</v>
      </c>
      <c r="AW10" s="146">
        <f xml:space="preserve"> 'FS Qtr'!AW$33</f>
        <v>2807.3791745912417</v>
      </c>
      <c r="AX10" s="146">
        <f xml:space="preserve"> 'FS Qtr'!AX$33</f>
        <v>4712.0640674558335</v>
      </c>
      <c r="AY10" s="146">
        <f xml:space="preserve"> 'FS Qtr'!AY$33</f>
        <v>3896.0354663503745</v>
      </c>
      <c r="AZ10" s="146">
        <f xml:space="preserve"> 'FS Qtr'!AZ$33</f>
        <v>1848.3509904106313</v>
      </c>
      <c r="BA10" s="146">
        <f xml:space="preserve"> 'FS Qtr'!BA$33</f>
        <v>2782.0577672391714</v>
      </c>
      <c r="BB10" s="146">
        <f xml:space="preserve"> 'FS Qtr'!BB$33</f>
        <v>4677.2105434430441</v>
      </c>
      <c r="BC10" s="146">
        <f xml:space="preserve"> 'FS Qtr'!BC$33</f>
        <v>3865.225542517991</v>
      </c>
      <c r="BD10" s="146">
        <f xml:space="preserve"> 'FS Qtr'!BD$33</f>
        <v>1843.0720590969331</v>
      </c>
      <c r="BE10" s="146">
        <f xml:space="preserve"> 'FS Qtr'!BE$33</f>
        <v>2741.3162515247823</v>
      </c>
      <c r="BF10" s="146">
        <f xml:space="preserve"> 'FS Qtr'!BF$33</f>
        <v>4642.3004943880223</v>
      </c>
      <c r="BG10" s="146">
        <f xml:space="preserve"> 'FS Qtr'!BG$33</f>
        <v>3834.3386489127424</v>
      </c>
      <c r="BH10" s="146">
        <f xml:space="preserve"> 'FS Qtr'!BH$33</f>
        <v>1807.0312923881415</v>
      </c>
      <c r="BI10" s="146">
        <f xml:space="preserve"> 'FS Qtr'!BI$33</f>
        <v>2731.1023978583507</v>
      </c>
      <c r="BJ10" s="146">
        <f xml:space="preserve"> 'FS Qtr'!BJ$33</f>
        <v>4607.3295683927436</v>
      </c>
      <c r="BK10" s="146">
        <f xml:space="preserve"> 'FS Qtr'!BK$33</f>
        <v>3803.3705287560883</v>
      </c>
      <c r="BL10" s="146">
        <f xml:space="preserve"> 'FS Qtr'!BL$33</f>
        <v>1786.1765635552633</v>
      </c>
      <c r="BM10" s="146">
        <f xml:space="preserve"> 'FS Qtr'!BM$33</f>
        <v>2705.4601656930258</v>
      </c>
      <c r="BN10" s="146">
        <f xml:space="preserve"> 'FS Qtr'!BN$33</f>
        <v>4572.2933418507855</v>
      </c>
      <c r="BO10" s="146">
        <f xml:space="preserve"> 'FS Qtr'!BO$33</f>
        <v>3772.3168529549539</v>
      </c>
      <c r="BP10" s="146">
        <f xml:space="preserve"> 'FS Qtr'!BP$33</f>
        <v>1765.1865135060509</v>
      </c>
      <c r="BQ10" s="146">
        <f xml:space="preserve"> 'FS Qtr'!BQ$33</f>
        <v>2679.7025994275532</v>
      </c>
      <c r="BR10" s="146">
        <f xml:space="preserve"> 'FS Qtr'!BR$33</f>
        <v>4537.1873179228514</v>
      </c>
      <c r="BS10" s="146">
        <f xml:space="preserve"> 'FS Qtr'!BS$33</f>
        <v>3741.1732185775827</v>
      </c>
      <c r="BT10" s="146">
        <f xml:space="preserve"> 'FS Qtr'!BT$33</f>
        <v>1758.8958323021477</v>
      </c>
      <c r="BU10" s="146">
        <f xml:space="preserve"> 'FS Qtr'!BU$33</f>
        <v>2638.9865438332372</v>
      </c>
      <c r="BV10" s="146">
        <f xml:space="preserve"> 'FS Qtr'!BV$33</f>
        <v>4502.0069249819471</v>
      </c>
      <c r="BW10" s="146">
        <f xml:space="preserve"> 'FS Qtr'!BW$33</f>
        <v>3709.9351472990134</v>
      </c>
      <c r="BX10" s="146">
        <f xml:space="preserve"> 'FS Qtr'!BX$33</f>
        <v>1722.7837962499902</v>
      </c>
      <c r="BY10" s="146">
        <f xml:space="preserve"> 'FS Qtr'!BY$33</f>
        <v>2627.8241038459855</v>
      </c>
      <c r="BZ10" s="146">
        <f xml:space="preserve"> 'FS Qtr'!BZ$33</f>
        <v>4466.7475150276478</v>
      </c>
      <c r="CA10" s="146">
        <f xml:space="preserve"> 'FS Qtr'!CA$33</f>
        <v>3678.5980838155601</v>
      </c>
      <c r="CB10" s="146">
        <f xml:space="preserve"> 'FS Qtr'!CB$33</f>
        <v>1701.3626095709205</v>
      </c>
      <c r="CC10" s="146">
        <f xml:space="preserve"> 'FS Qtr'!CC$33</f>
        <v>2601.6942997167585</v>
      </c>
      <c r="CD10" s="146">
        <f xml:space="preserve"> 'FS Qtr'!CD$33</f>
        <v>4431.4043620687899</v>
      </c>
      <c r="CE10" s="146">
        <f xml:space="preserve"> 'FS Qtr'!CE$33</f>
        <v>3647.1573942276741</v>
      </c>
      <c r="CF10" s="146">
        <f xml:space="preserve"> 'FS Qtr'!CF$33</f>
        <v>1679.7890595480376</v>
      </c>
      <c r="CG10" s="146">
        <f xml:space="preserve"> 'FS Qtr'!CG$33</f>
        <v>2575.4314086216336</v>
      </c>
      <c r="CH10" s="146">
        <f xml:space="preserve"> 'FS Qtr'!CH$33</f>
        <v>4395.9726604739562</v>
      </c>
      <c r="CI10" s="146">
        <f xml:space="preserve"> 'FS Qtr'!CI$33</f>
        <v>3615.6083643905404</v>
      </c>
      <c r="CJ10" s="146">
        <f xml:space="preserve"> 'FS Qtr'!CJ$33</f>
        <v>1672.4139038003891</v>
      </c>
      <c r="CK10" s="146">
        <f xml:space="preserve"> 'FS Qtr'!CK$33</f>
        <v>2534.6755740795943</v>
      </c>
      <c r="CL10" s="146">
        <f xml:space="preserve"> 'FS Qtr'!CL$33</f>
        <v>4360.4475232891255</v>
      </c>
      <c r="CM10" s="146">
        <f xml:space="preserve"> 'FS Qtr'!CM$33</f>
        <v>3583.9461982317816</v>
      </c>
      <c r="CN10" s="146">
        <f xml:space="preserve"> 'FS Qtr'!CN$33</f>
        <v>1636.1669478320509</v>
      </c>
      <c r="CO10" s="146">
        <f xml:space="preserve"> 'FS Qtr'!CO$33</f>
        <v>2522.4877250291902</v>
      </c>
      <c r="CP10" s="146">
        <f xml:space="preserve"> 'FS Qtr'!CP$33</f>
        <v>4324.8239805218018</v>
      </c>
      <c r="CQ10" s="146">
        <f xml:space="preserve"> 'FS Qtr'!CQ$33</f>
        <v>3552.1660160355682</v>
      </c>
      <c r="CR10" s="146">
        <f xml:space="preserve"> 'FS Qtr'!CR$33</f>
        <v>1614.109216234112</v>
      </c>
      <c r="CS10" s="146">
        <f xml:space="preserve"> 'FS Qtr'!CS$33</f>
        <v>2495.79740118472</v>
      </c>
      <c r="CT10" s="146">
        <f xml:space="preserve"> 'FS Qtr'!CT$33</f>
        <v>4289.0969773909501</v>
      </c>
      <c r="CU10" s="146">
        <f xml:space="preserve"> 'FS Qtr'!CU$33</f>
        <v>3520.2628526924959</v>
      </c>
      <c r="CV10" s="146">
        <f xml:space="preserve"> 'FS Qtr'!CV$33</f>
        <v>1591.8807780366615</v>
      </c>
      <c r="CW10" s="146">
        <f xml:space="preserve"> 'FS Qtr'!CW$33</f>
        <v>2468.9549241734603</v>
      </c>
      <c r="CX10" s="146">
        <f xml:space="preserve"> 'FS Qtr'!CX$33</f>
        <v>4253.2613725420415</v>
      </c>
      <c r="CY10" s="146">
        <f xml:space="preserve"> 'FS Qtr'!CY$33</f>
        <v>3488.2316559144965</v>
      </c>
      <c r="CZ10" s="146">
        <f xml:space="preserve"> 'FS Qtr'!CZ$33</f>
        <v>1583.3421581221173</v>
      </c>
      <c r="DA10" s="146">
        <f xml:space="preserve"> 'FS Qtr'!DA$33</f>
        <v>2428.0899825412234</v>
      </c>
      <c r="DB10" s="146">
        <f xml:space="preserve"> 'FS Qtr'!DB$33</f>
        <v>4217.3119362265334</v>
      </c>
      <c r="DC10" s="146">
        <f xml:space="preserve"> 'FS Qtr'!DC$33</f>
        <v>3456.0672844141181</v>
      </c>
      <c r="DD10" s="146">
        <f xml:space="preserve"> 'FS Qtr'!DD$33</f>
        <v>1546.8924844518847</v>
      </c>
      <c r="DE10" s="146">
        <f xml:space="preserve"> 'FS Qtr'!DE$33</f>
        <v>2414.7934808728296</v>
      </c>
      <c r="DF10" s="146">
        <f xml:space="preserve"> 'FS Qtr'!DF$33</f>
        <v>4181.2433484450221</v>
      </c>
      <c r="DG10" s="146">
        <f xml:space="preserve"> 'FS Qtr'!DG$33</f>
        <v>3423.7645060474233</v>
      </c>
      <c r="DH10" s="146">
        <f xml:space="preserve"> 'FS Qtr'!DH$33</f>
        <v>1524.1227535633093</v>
      </c>
      <c r="DI10" s="146">
        <f xml:space="preserve"> 'FS Qtr'!DI$33</f>
        <v>1239.2070627614662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136095.43340889414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1519.3516483516487</v>
      </c>
      <c r="N12" s="7">
        <f t="shared" si="0"/>
        <v>5023.8865989309606</v>
      </c>
      <c r="O12" s="7">
        <f t="shared" si="0"/>
        <v>4170.5295879755431</v>
      </c>
      <c r="P12" s="7">
        <f t="shared" si="0"/>
        <v>2028.6153260439305</v>
      </c>
      <c r="Q12" s="7">
        <f t="shared" si="0"/>
        <v>3006.71803994626</v>
      </c>
      <c r="R12" s="7">
        <f t="shared" si="0"/>
        <v>4989.357079414217</v>
      </c>
      <c r="S12" s="7">
        <f t="shared" si="0"/>
        <v>4140.2320518402594</v>
      </c>
      <c r="T12" s="7">
        <f t="shared" si="0"/>
        <v>2008.9959885590401</v>
      </c>
      <c r="U12" s="7">
        <f t="shared" si="0"/>
        <v>2982.0798495086847</v>
      </c>
      <c r="V12" s="7">
        <f t="shared" si="0"/>
        <v>4954.807212342962</v>
      </c>
      <c r="W12" s="7">
        <f t="shared" si="0"/>
        <v>4109.8928399861561</v>
      </c>
      <c r="X12" s="7">
        <f t="shared" si="0"/>
        <v>2005.5450977648127</v>
      </c>
      <c r="Y12" s="7">
        <f t="shared" si="0"/>
        <v>2941.1063861909197</v>
      </c>
      <c r="Z12" s="7">
        <f t="shared" si="0"/>
        <v>4920.2332273080128</v>
      </c>
      <c r="AA12" s="7">
        <f t="shared" si="0"/>
        <v>4079.5082826027474</v>
      </c>
      <c r="AB12" s="7">
        <f t="shared" si="0"/>
        <v>1969.4708359471479</v>
      </c>
      <c r="AC12" s="7">
        <f t="shared" si="0"/>
        <v>2932.5824991845047</v>
      </c>
      <c r="AD12" s="7">
        <f t="shared" si="0"/>
        <v>4885.6312946429462</v>
      </c>
      <c r="AE12" s="7">
        <f t="shared" si="0"/>
        <v>4049.0746500107443</v>
      </c>
      <c r="AF12" s="7">
        <f t="shared" si="0"/>
        <v>1949.5581621709948</v>
      </c>
      <c r="AG12" s="7">
        <f t="shared" si="0"/>
        <v>2907.71613842746</v>
      </c>
      <c r="AH12" s="7">
        <f t="shared" si="0"/>
        <v>4850.9975241468455</v>
      </c>
      <c r="AI12" s="7">
        <f t="shared" si="0"/>
        <v>4018.5881513856307</v>
      </c>
      <c r="AJ12" s="7">
        <f t="shared" si="0"/>
        <v>1929.5407479852247</v>
      </c>
      <c r="AK12" s="7">
        <f t="shared" si="0"/>
        <v>2882.7664163421891</v>
      </c>
      <c r="AL12" s="7">
        <f t="shared" si="0"/>
        <v>4816.327963781755</v>
      </c>
      <c r="AM12" s="7">
        <f t="shared" si="0"/>
        <v>3988.0449334558452</v>
      </c>
      <c r="AN12" s="7">
        <f t="shared" si="0"/>
        <v>1925.2066305179528</v>
      </c>
      <c r="AO12" s="7">
        <f t="shared" si="0"/>
        <v>2841.9379521318856</v>
      </c>
      <c r="AP12" s="7">
        <f t="shared" ref="AP12:BU12" si="1" xml:space="preserve"> AP10 * AP11</f>
        <v>4781.6185983442665</v>
      </c>
      <c r="AQ12" s="7">
        <f t="shared" si="1"/>
        <v>3957.4410791751011</v>
      </c>
      <c r="AR12" s="7">
        <f t="shared" si="1"/>
        <v>1889.1772904874442</v>
      </c>
      <c r="AS12" s="7">
        <f t="shared" si="1"/>
        <v>2832.6017911092231</v>
      </c>
      <c r="AT12" s="7">
        <f t="shared" si="1"/>
        <v>4746.8653481107795</v>
      </c>
      <c r="AU12" s="7">
        <f t="shared" si="1"/>
        <v>3926.7726063682762</v>
      </c>
      <c r="AV12" s="7">
        <f t="shared" si="1"/>
        <v>1868.823879593665</v>
      </c>
      <c r="AW12" s="7">
        <f t="shared" si="1"/>
        <v>2807.3791745912417</v>
      </c>
      <c r="AX12" s="7">
        <f t="shared" si="1"/>
        <v>4712.0640674558335</v>
      </c>
      <c r="AY12" s="7">
        <f t="shared" si="1"/>
        <v>3896.0354663503745</v>
      </c>
      <c r="AZ12" s="7">
        <f t="shared" si="1"/>
        <v>1848.3509904106313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136095.43340889414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1519.3516483516487</v>
      </c>
      <c r="N15" s="7">
        <f t="shared" si="4"/>
        <v>5023.8865989309606</v>
      </c>
      <c r="O15" s="7">
        <f t="shared" si="4"/>
        <v>4170.5295879755431</v>
      </c>
      <c r="P15" s="7">
        <f t="shared" si="4"/>
        <v>2028.6153260439305</v>
      </c>
      <c r="Q15" s="7">
        <f t="shared" si="4"/>
        <v>3006.71803994626</v>
      </c>
      <c r="R15" s="7">
        <f t="shared" si="4"/>
        <v>4989.357079414217</v>
      </c>
      <c r="S15" s="7">
        <f t="shared" si="4"/>
        <v>4140.2320518402594</v>
      </c>
      <c r="T15" s="7">
        <f t="shared" si="4"/>
        <v>2008.9959885590401</v>
      </c>
      <c r="U15" s="7">
        <f t="shared" si="4"/>
        <v>2982.0798495086847</v>
      </c>
      <c r="V15" s="7">
        <f t="shared" si="4"/>
        <v>4954.807212342962</v>
      </c>
      <c r="W15" s="7">
        <f t="shared" si="4"/>
        <v>4109.8928399861561</v>
      </c>
      <c r="X15" s="7">
        <f t="shared" si="4"/>
        <v>2005.5450977648127</v>
      </c>
      <c r="Y15" s="7">
        <f t="shared" si="4"/>
        <v>2941.1063861909197</v>
      </c>
      <c r="Z15" s="7">
        <f t="shared" si="4"/>
        <v>4920.2332273080128</v>
      </c>
      <c r="AA15" s="7">
        <f t="shared" si="4"/>
        <v>4079.5082826027474</v>
      </c>
      <c r="AB15" s="7">
        <f t="shared" si="4"/>
        <v>1969.4708359471479</v>
      </c>
      <c r="AC15" s="7">
        <f t="shared" si="4"/>
        <v>2932.5824991845047</v>
      </c>
      <c r="AD15" s="7">
        <f t="shared" si="4"/>
        <v>4885.6312946429462</v>
      </c>
      <c r="AE15" s="7">
        <f t="shared" si="4"/>
        <v>4049.0746500107443</v>
      </c>
      <c r="AF15" s="7">
        <f t="shared" si="4"/>
        <v>1949.5581621709948</v>
      </c>
      <c r="AG15" s="7">
        <f t="shared" si="4"/>
        <v>2907.71613842746</v>
      </c>
      <c r="AH15" s="7">
        <f t="shared" si="4"/>
        <v>4850.9975241468455</v>
      </c>
      <c r="AI15" s="7">
        <f t="shared" si="4"/>
        <v>4018.5881513856307</v>
      </c>
      <c r="AJ15" s="7">
        <f t="shared" si="4"/>
        <v>1929.5407479852247</v>
      </c>
      <c r="AK15" s="7">
        <f t="shared" ref="AK15:BP15" si="5" xml:space="preserve"> AK$12</f>
        <v>2882.7664163421891</v>
      </c>
      <c r="AL15" s="7">
        <f t="shared" si="5"/>
        <v>4816.327963781755</v>
      </c>
      <c r="AM15" s="7">
        <f t="shared" si="5"/>
        <v>3988.0449334558452</v>
      </c>
      <c r="AN15" s="7">
        <f t="shared" si="5"/>
        <v>1925.2066305179528</v>
      </c>
      <c r="AO15" s="7">
        <f t="shared" si="5"/>
        <v>2841.9379521318856</v>
      </c>
      <c r="AP15" s="7">
        <f t="shared" si="5"/>
        <v>4781.6185983442665</v>
      </c>
      <c r="AQ15" s="7">
        <f t="shared" si="5"/>
        <v>3957.4410791751011</v>
      </c>
      <c r="AR15" s="7">
        <f t="shared" si="5"/>
        <v>1889.1772904874442</v>
      </c>
      <c r="AS15" s="7">
        <f t="shared" si="5"/>
        <v>2832.6017911092231</v>
      </c>
      <c r="AT15" s="7">
        <f t="shared" si="5"/>
        <v>4746.8653481107795</v>
      </c>
      <c r="AU15" s="7">
        <f t="shared" si="5"/>
        <v>3926.7726063682762</v>
      </c>
      <c r="AV15" s="7">
        <f t="shared" si="5"/>
        <v>1868.823879593665</v>
      </c>
      <c r="AW15" s="7">
        <f t="shared" si="5"/>
        <v>2807.3791745912417</v>
      </c>
      <c r="AX15" s="7">
        <f t="shared" si="5"/>
        <v>4712.0640674558335</v>
      </c>
      <c r="AY15" s="7">
        <f t="shared" si="5"/>
        <v>3896.0354663503745</v>
      </c>
      <c r="AZ15" s="7">
        <f t="shared" si="5"/>
        <v>1848.3509904106313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104688.79492991856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1168.7320371935759</v>
      </c>
      <c r="N16" s="7">
        <f t="shared" si="8"/>
        <v>3864.5281530238158</v>
      </c>
      <c r="O16" s="7">
        <f t="shared" si="8"/>
        <v>3208.0996830581098</v>
      </c>
      <c r="P16" s="7">
        <f t="shared" si="8"/>
        <v>1560.4733277261003</v>
      </c>
      <c r="Q16" s="7">
        <f t="shared" si="8"/>
        <v>2312.8600307278921</v>
      </c>
      <c r="R16" s="7">
        <f t="shared" si="8"/>
        <v>3837.9669841647819</v>
      </c>
      <c r="S16" s="7">
        <f t="shared" si="8"/>
        <v>3184.7938860309687</v>
      </c>
      <c r="T16" s="7">
        <f t="shared" si="8"/>
        <v>1545.3815296608</v>
      </c>
      <c r="U16" s="7">
        <f t="shared" si="8"/>
        <v>2293.9075765451421</v>
      </c>
      <c r="V16" s="7">
        <f t="shared" si="8"/>
        <v>3811.3901633407399</v>
      </c>
      <c r="W16" s="7">
        <f t="shared" si="8"/>
        <v>3161.4560307585816</v>
      </c>
      <c r="X16" s="7">
        <f t="shared" si="8"/>
        <v>1542.7269982806251</v>
      </c>
      <c r="Y16" s="7">
        <f t="shared" si="8"/>
        <v>2262.3895278391687</v>
      </c>
      <c r="Z16" s="7">
        <f t="shared" si="8"/>
        <v>3784.7947902369328</v>
      </c>
      <c r="AA16" s="7">
        <f t="shared" si="8"/>
        <v>3138.0832943098058</v>
      </c>
      <c r="AB16" s="7">
        <f t="shared" si="8"/>
        <v>1514.9775661131905</v>
      </c>
      <c r="AC16" s="7">
        <f t="shared" si="8"/>
        <v>2255.8326916803881</v>
      </c>
      <c r="AD16" s="7">
        <f t="shared" si="8"/>
        <v>3758.1779189561121</v>
      </c>
      <c r="AE16" s="7">
        <f t="shared" si="8"/>
        <v>3114.6728077005723</v>
      </c>
      <c r="AF16" s="7">
        <f t="shared" si="8"/>
        <v>1499.6601247469191</v>
      </c>
      <c r="AG16" s="7">
        <f t="shared" si="8"/>
        <v>2236.7047218672769</v>
      </c>
      <c r="AH16" s="7">
        <f t="shared" si="8"/>
        <v>3731.536557036035</v>
      </c>
      <c r="AI16" s="7">
        <f t="shared" si="8"/>
        <v>3091.2216549120235</v>
      </c>
      <c r="AJ16" s="7">
        <f t="shared" si="8"/>
        <v>1484.2621138347881</v>
      </c>
      <c r="AK16" s="7">
        <f t="shared" si="8"/>
        <v>2217.5126279555302</v>
      </c>
      <c r="AL16" s="7">
        <f t="shared" si="8"/>
        <v>3704.8676644475036</v>
      </c>
      <c r="AM16" s="7">
        <f t="shared" si="8"/>
        <v>3067.7268718891114</v>
      </c>
      <c r="AN16" s="7">
        <f t="shared" si="8"/>
        <v>1480.9281773215021</v>
      </c>
      <c r="AO16" s="7">
        <f t="shared" si="8"/>
        <v>2186.1061170245275</v>
      </c>
      <c r="AP16" s="7">
        <f t="shared" ref="AP16:BU16" si="9" xml:space="preserve"> AP15 / $F14</f>
        <v>3678.1681525725126</v>
      </c>
      <c r="AQ16" s="7">
        <f t="shared" si="9"/>
        <v>3044.1854455193084</v>
      </c>
      <c r="AR16" s="7">
        <f t="shared" si="9"/>
        <v>1453.213300374957</v>
      </c>
      <c r="AS16" s="7">
        <f t="shared" si="9"/>
        <v>2178.9244546994023</v>
      </c>
      <c r="AT16" s="7">
        <f t="shared" si="9"/>
        <v>3651.4348831621378</v>
      </c>
      <c r="AU16" s="7">
        <f t="shared" si="9"/>
        <v>3020.5943125909816</v>
      </c>
      <c r="AV16" s="7">
        <f t="shared" si="9"/>
        <v>1437.5568304566652</v>
      </c>
      <c r="AW16" s="7">
        <f t="shared" si="9"/>
        <v>2159.5224419932629</v>
      </c>
      <c r="AX16" s="7">
        <f t="shared" si="9"/>
        <v>3624.6646672737179</v>
      </c>
      <c r="AY16" s="7">
        <f t="shared" si="9"/>
        <v>2996.9503587310573</v>
      </c>
      <c r="AZ16" s="7">
        <f t="shared" si="9"/>
        <v>1421.808454162024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104688.79492991856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1168.7320371935759</v>
      </c>
      <c r="N22" s="7">
        <f t="shared" si="20"/>
        <v>3864.5281530238158</v>
      </c>
      <c r="O22" s="7">
        <f t="shared" si="20"/>
        <v>3208.0996830581098</v>
      </c>
      <c r="P22" s="7">
        <f t="shared" si="20"/>
        <v>1560.4733277261003</v>
      </c>
      <c r="Q22" s="7">
        <f t="shared" si="20"/>
        <v>2312.8600307278921</v>
      </c>
      <c r="R22" s="7">
        <f t="shared" si="20"/>
        <v>3837.9669841647819</v>
      </c>
      <c r="S22" s="7">
        <f t="shared" si="20"/>
        <v>3184.7938860309687</v>
      </c>
      <c r="T22" s="7">
        <f t="shared" si="20"/>
        <v>1545.3815296608</v>
      </c>
      <c r="U22" s="7">
        <f t="shared" si="20"/>
        <v>2293.9075765451421</v>
      </c>
      <c r="V22" s="7">
        <f t="shared" si="20"/>
        <v>3811.3901633407399</v>
      </c>
      <c r="W22" s="7">
        <f t="shared" si="20"/>
        <v>3161.4560307585816</v>
      </c>
      <c r="X22" s="7">
        <f t="shared" si="20"/>
        <v>1542.7269982806251</v>
      </c>
      <c r="Y22" s="7">
        <f t="shared" si="20"/>
        <v>2262.3895278391687</v>
      </c>
      <c r="Z22" s="7">
        <f t="shared" si="20"/>
        <v>3784.7947902369328</v>
      </c>
      <c r="AA22" s="7">
        <f t="shared" si="20"/>
        <v>3138.0832943098058</v>
      </c>
      <c r="AB22" s="7">
        <f t="shared" si="20"/>
        <v>1514.9775661131905</v>
      </c>
      <c r="AC22" s="7">
        <f t="shared" si="20"/>
        <v>2255.8326916803881</v>
      </c>
      <c r="AD22" s="7">
        <f t="shared" si="20"/>
        <v>3758.1779189561121</v>
      </c>
      <c r="AE22" s="7">
        <f t="shared" si="20"/>
        <v>3114.6728077005723</v>
      </c>
      <c r="AF22" s="7">
        <f t="shared" si="20"/>
        <v>1499.6601247469191</v>
      </c>
      <c r="AG22" s="7">
        <f t="shared" si="20"/>
        <v>2236.7047218672769</v>
      </c>
      <c r="AH22" s="7">
        <f t="shared" si="20"/>
        <v>3731.536557036035</v>
      </c>
      <c r="AI22" s="7">
        <f t="shared" si="20"/>
        <v>3091.2216549120235</v>
      </c>
      <c r="AJ22" s="7">
        <f t="shared" si="20"/>
        <v>1484.2621138347881</v>
      </c>
      <c r="AK22" s="7">
        <f t="shared" ref="AK22:BP22" si="21" xml:space="preserve"> AK$16</f>
        <v>2217.5126279555302</v>
      </c>
      <c r="AL22" s="7">
        <f t="shared" si="21"/>
        <v>3704.8676644475036</v>
      </c>
      <c r="AM22" s="7">
        <f t="shared" si="21"/>
        <v>3067.7268718891114</v>
      </c>
      <c r="AN22" s="7">
        <f t="shared" si="21"/>
        <v>1480.9281773215021</v>
      </c>
      <c r="AO22" s="7">
        <f t="shared" si="21"/>
        <v>2186.1061170245275</v>
      </c>
      <c r="AP22" s="7">
        <f t="shared" si="21"/>
        <v>3678.1681525725126</v>
      </c>
      <c r="AQ22" s="7">
        <f t="shared" si="21"/>
        <v>3044.1854455193084</v>
      </c>
      <c r="AR22" s="7">
        <f t="shared" si="21"/>
        <v>1453.213300374957</v>
      </c>
      <c r="AS22" s="7">
        <f t="shared" si="21"/>
        <v>2178.9244546994023</v>
      </c>
      <c r="AT22" s="7">
        <f t="shared" si="21"/>
        <v>3651.4348831621378</v>
      </c>
      <c r="AU22" s="7">
        <f t="shared" si="21"/>
        <v>3020.5943125909816</v>
      </c>
      <c r="AV22" s="7">
        <f t="shared" si="21"/>
        <v>1437.5568304566652</v>
      </c>
      <c r="AW22" s="7">
        <f t="shared" si="21"/>
        <v>2159.5224419932629</v>
      </c>
      <c r="AX22" s="7">
        <f t="shared" si="21"/>
        <v>3624.6646672737179</v>
      </c>
      <c r="AY22" s="7">
        <f t="shared" si="21"/>
        <v>2996.9503587310573</v>
      </c>
      <c r="AZ22" s="7">
        <f t="shared" si="21"/>
        <v>1421.808454162024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78175.932587748117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78175.932587748117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78175.932587748117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78175.932587748117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78175.932587748161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1954.398314693703</v>
      </c>
      <c r="N40" s="7">
        <f t="shared" si="29"/>
        <v>1954.398314693703</v>
      </c>
      <c r="O40" s="7">
        <f t="shared" si="29"/>
        <v>1954.398314693703</v>
      </c>
      <c r="P40" s="7">
        <f t="shared" si="29"/>
        <v>1954.398314693703</v>
      </c>
      <c r="Q40" s="7">
        <f t="shared" si="29"/>
        <v>1954.398314693703</v>
      </c>
      <c r="R40" s="7">
        <f t="shared" si="29"/>
        <v>1954.398314693703</v>
      </c>
      <c r="S40" s="7">
        <f t="shared" si="29"/>
        <v>1954.398314693703</v>
      </c>
      <c r="T40" s="7">
        <f t="shared" si="29"/>
        <v>1954.398314693703</v>
      </c>
      <c r="U40" s="7">
        <f t="shared" si="29"/>
        <v>1954.398314693703</v>
      </c>
      <c r="V40" s="7">
        <f t="shared" si="29"/>
        <v>1954.398314693703</v>
      </c>
      <c r="W40" s="7">
        <f t="shared" si="29"/>
        <v>1954.398314693703</v>
      </c>
      <c r="X40" s="7">
        <f t="shared" si="29"/>
        <v>1954.398314693703</v>
      </c>
      <c r="Y40" s="7">
        <f t="shared" si="29"/>
        <v>1954.398314693703</v>
      </c>
      <c r="Z40" s="7">
        <f t="shared" si="29"/>
        <v>1954.398314693703</v>
      </c>
      <c r="AA40" s="7">
        <f t="shared" si="29"/>
        <v>1954.398314693703</v>
      </c>
      <c r="AB40" s="7">
        <f t="shared" si="29"/>
        <v>1954.398314693703</v>
      </c>
      <c r="AC40" s="7">
        <f t="shared" si="29"/>
        <v>1954.398314693703</v>
      </c>
      <c r="AD40" s="7">
        <f t="shared" si="29"/>
        <v>1954.398314693703</v>
      </c>
      <c r="AE40" s="7">
        <f t="shared" si="29"/>
        <v>1954.398314693703</v>
      </c>
      <c r="AF40" s="7">
        <f t="shared" si="29"/>
        <v>1954.398314693703</v>
      </c>
      <c r="AG40" s="7">
        <f t="shared" si="29"/>
        <v>1954.398314693703</v>
      </c>
      <c r="AH40" s="7">
        <f t="shared" si="29"/>
        <v>1954.398314693703</v>
      </c>
      <c r="AI40" s="7">
        <f t="shared" si="29"/>
        <v>1954.398314693703</v>
      </c>
      <c r="AJ40" s="7">
        <f t="shared" si="29"/>
        <v>1954.398314693703</v>
      </c>
      <c r="AK40" s="7">
        <f t="shared" si="29"/>
        <v>1954.398314693703</v>
      </c>
      <c r="AL40" s="7">
        <f t="shared" si="29"/>
        <v>1954.398314693703</v>
      </c>
      <c r="AM40" s="7">
        <f t="shared" si="29"/>
        <v>1954.398314693703</v>
      </c>
      <c r="AN40" s="7">
        <f t="shared" si="29"/>
        <v>1954.398314693703</v>
      </c>
      <c r="AO40" s="7">
        <f t="shared" si="29"/>
        <v>1954.398314693703</v>
      </c>
      <c r="AP40" s="7">
        <f t="shared" si="29"/>
        <v>1954.398314693703</v>
      </c>
      <c r="AQ40" s="7">
        <f t="shared" si="29"/>
        <v>1954.398314693703</v>
      </c>
      <c r="AR40" s="7">
        <f t="shared" si="29"/>
        <v>1954.398314693703</v>
      </c>
      <c r="AS40" s="7">
        <f t="shared" si="29"/>
        <v>1954.398314693703</v>
      </c>
      <c r="AT40" s="7">
        <f t="shared" si="29"/>
        <v>1954.398314693703</v>
      </c>
      <c r="AU40" s="7">
        <f t="shared" si="29"/>
        <v>1954.398314693703</v>
      </c>
      <c r="AV40" s="7">
        <f t="shared" si="29"/>
        <v>1954.398314693703</v>
      </c>
      <c r="AW40" s="7">
        <f t="shared" si="29"/>
        <v>1954.398314693703</v>
      </c>
      <c r="AX40" s="7">
        <f t="shared" si="29"/>
        <v>1954.398314693703</v>
      </c>
      <c r="AY40" s="7">
        <f t="shared" si="29"/>
        <v>1954.398314693703</v>
      </c>
      <c r="AZ40" s="7">
        <f t="shared" si="29"/>
        <v>1954.398314693703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78175.932587748117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2623.7010389590773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2623.7010389590773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104948.04155836304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2623.7010389590773</v>
      </c>
      <c r="N53" s="7">
        <f t="shared" si="37"/>
        <v>2623.7010389590773</v>
      </c>
      <c r="O53" s="7">
        <f t="shared" si="37"/>
        <v>2623.7010389590773</v>
      </c>
      <c r="P53" s="7">
        <f t="shared" si="37"/>
        <v>2623.7010389590773</v>
      </c>
      <c r="Q53" s="7">
        <f t="shared" si="37"/>
        <v>2623.7010389590773</v>
      </c>
      <c r="R53" s="7">
        <f t="shared" si="37"/>
        <v>2623.7010389590773</v>
      </c>
      <c r="S53" s="7">
        <f t="shared" si="37"/>
        <v>2623.7010389590773</v>
      </c>
      <c r="T53" s="7">
        <f t="shared" si="37"/>
        <v>2623.7010389590773</v>
      </c>
      <c r="U53" s="7">
        <f t="shared" si="37"/>
        <v>2623.7010389590773</v>
      </c>
      <c r="V53" s="7">
        <f t="shared" si="37"/>
        <v>2623.7010389590773</v>
      </c>
      <c r="W53" s="7">
        <f t="shared" si="37"/>
        <v>2623.7010389590773</v>
      </c>
      <c r="X53" s="7">
        <f t="shared" si="37"/>
        <v>2623.7010389590773</v>
      </c>
      <c r="Y53" s="7">
        <f t="shared" si="37"/>
        <v>2623.7010389590773</v>
      </c>
      <c r="Z53" s="7">
        <f t="shared" si="37"/>
        <v>2623.7010389590773</v>
      </c>
      <c r="AA53" s="7">
        <f t="shared" si="37"/>
        <v>2623.7010389590773</v>
      </c>
      <c r="AB53" s="7">
        <f t="shared" si="37"/>
        <v>2623.7010389590773</v>
      </c>
      <c r="AC53" s="7">
        <f t="shared" si="37"/>
        <v>2623.7010389590773</v>
      </c>
      <c r="AD53" s="7">
        <f t="shared" si="37"/>
        <v>2623.7010389590773</v>
      </c>
      <c r="AE53" s="7">
        <f t="shared" si="37"/>
        <v>2623.7010389590773</v>
      </c>
      <c r="AF53" s="7">
        <f t="shared" si="37"/>
        <v>2623.7010389590773</v>
      </c>
      <c r="AG53" s="7">
        <f t="shared" si="37"/>
        <v>2623.7010389590773</v>
      </c>
      <c r="AH53" s="7">
        <f t="shared" si="37"/>
        <v>2623.7010389590773</v>
      </c>
      <c r="AI53" s="7">
        <f t="shared" si="37"/>
        <v>2623.7010389590773</v>
      </c>
      <c r="AJ53" s="7">
        <f t="shared" si="37"/>
        <v>2623.7010389590773</v>
      </c>
      <c r="AK53" s="7">
        <f t="shared" si="37"/>
        <v>2623.7010389590773</v>
      </c>
      <c r="AL53" s="7">
        <f t="shared" si="37"/>
        <v>2623.7010389590773</v>
      </c>
      <c r="AM53" s="7">
        <f t="shared" si="37"/>
        <v>2623.7010389590773</v>
      </c>
      <c r="AN53" s="7">
        <f t="shared" si="37"/>
        <v>2623.7010389590773</v>
      </c>
      <c r="AO53" s="7">
        <f t="shared" si="37"/>
        <v>2623.7010389590773</v>
      </c>
      <c r="AP53" s="7">
        <f t="shared" ref="AP53:BU53" si="38" xml:space="preserve"> $F51 * AP52</f>
        <v>2623.7010389590773</v>
      </c>
      <c r="AQ53" s="7">
        <f t="shared" si="38"/>
        <v>2623.7010389590773</v>
      </c>
      <c r="AR53" s="7">
        <f t="shared" si="38"/>
        <v>2623.7010389590773</v>
      </c>
      <c r="AS53" s="7">
        <f t="shared" si="38"/>
        <v>2623.7010389590773</v>
      </c>
      <c r="AT53" s="7">
        <f t="shared" si="38"/>
        <v>2623.7010389590773</v>
      </c>
      <c r="AU53" s="7">
        <f t="shared" si="38"/>
        <v>2623.7010389590773</v>
      </c>
      <c r="AV53" s="7">
        <f t="shared" si="38"/>
        <v>2623.7010389590773</v>
      </c>
      <c r="AW53" s="7">
        <f t="shared" si="38"/>
        <v>2623.7010389590773</v>
      </c>
      <c r="AX53" s="7">
        <f t="shared" si="38"/>
        <v>2623.7010389590773</v>
      </c>
      <c r="AY53" s="7">
        <f t="shared" si="38"/>
        <v>2623.7010389590773</v>
      </c>
      <c r="AZ53" s="7">
        <f t="shared" si="38"/>
        <v>2623.7010389590773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104948.04155836304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2623.7010389590773</v>
      </c>
      <c r="N55" s="7">
        <f t="shared" si="41"/>
        <v>2623.7010389590773</v>
      </c>
      <c r="O55" s="7">
        <f t="shared" si="41"/>
        <v>2623.7010389590773</v>
      </c>
      <c r="P55" s="7">
        <f t="shared" si="41"/>
        <v>2623.7010389590773</v>
      </c>
      <c r="Q55" s="7">
        <f t="shared" si="41"/>
        <v>2623.7010389590773</v>
      </c>
      <c r="R55" s="7">
        <f t="shared" si="41"/>
        <v>2623.7010389590773</v>
      </c>
      <c r="S55" s="7">
        <f t="shared" si="41"/>
        <v>2623.7010389590773</v>
      </c>
      <c r="T55" s="7">
        <f t="shared" si="41"/>
        <v>2623.7010389590773</v>
      </c>
      <c r="U55" s="7">
        <f t="shared" si="41"/>
        <v>2623.7010389590773</v>
      </c>
      <c r="V55" s="7">
        <f t="shared" si="41"/>
        <v>2623.7010389590773</v>
      </c>
      <c r="W55" s="7">
        <f t="shared" si="41"/>
        <v>2623.7010389590773</v>
      </c>
      <c r="X55" s="7">
        <f t="shared" si="41"/>
        <v>2623.7010389590773</v>
      </c>
      <c r="Y55" s="7">
        <f t="shared" si="41"/>
        <v>2623.7010389590773</v>
      </c>
      <c r="Z55" s="7">
        <f t="shared" si="41"/>
        <v>2623.7010389590773</v>
      </c>
      <c r="AA55" s="7">
        <f t="shared" si="41"/>
        <v>2623.7010389590773</v>
      </c>
      <c r="AB55" s="7">
        <f t="shared" si="41"/>
        <v>2623.7010389590773</v>
      </c>
      <c r="AC55" s="7">
        <f t="shared" si="41"/>
        <v>2623.7010389590773</v>
      </c>
      <c r="AD55" s="7">
        <f t="shared" si="41"/>
        <v>2623.7010389590773</v>
      </c>
      <c r="AE55" s="7">
        <f t="shared" si="41"/>
        <v>2623.7010389590773</v>
      </c>
      <c r="AF55" s="7">
        <f t="shared" si="41"/>
        <v>2623.7010389590773</v>
      </c>
      <c r="AG55" s="7">
        <f t="shared" si="41"/>
        <v>2623.7010389590773</v>
      </c>
      <c r="AH55" s="7">
        <f t="shared" si="41"/>
        <v>2623.7010389590773</v>
      </c>
      <c r="AI55" s="7">
        <f t="shared" si="41"/>
        <v>2623.7010389590773</v>
      </c>
      <c r="AJ55" s="7">
        <f t="shared" si="41"/>
        <v>2623.7010389590773</v>
      </c>
      <c r="AK55" s="7">
        <f t="shared" ref="AK55:BP55" si="42" xml:space="preserve"> AK$53</f>
        <v>2623.7010389590773</v>
      </c>
      <c r="AL55" s="7">
        <f t="shared" si="42"/>
        <v>2623.7010389590773</v>
      </c>
      <c r="AM55" s="7">
        <f t="shared" si="42"/>
        <v>2623.7010389590773</v>
      </c>
      <c r="AN55" s="7">
        <f t="shared" si="42"/>
        <v>2623.7010389590773</v>
      </c>
      <c r="AO55" s="7">
        <f t="shared" si="42"/>
        <v>2623.7010389590773</v>
      </c>
      <c r="AP55" s="7">
        <f t="shared" si="42"/>
        <v>2623.7010389590773</v>
      </c>
      <c r="AQ55" s="7">
        <f t="shared" si="42"/>
        <v>2623.7010389590773</v>
      </c>
      <c r="AR55" s="7">
        <f t="shared" si="42"/>
        <v>2623.7010389590773</v>
      </c>
      <c r="AS55" s="7">
        <f t="shared" si="42"/>
        <v>2623.7010389590773</v>
      </c>
      <c r="AT55" s="7">
        <f t="shared" si="42"/>
        <v>2623.7010389590773</v>
      </c>
      <c r="AU55" s="7">
        <f t="shared" si="42"/>
        <v>2623.7010389590773</v>
      </c>
      <c r="AV55" s="7">
        <f t="shared" si="42"/>
        <v>2623.7010389590773</v>
      </c>
      <c r="AW55" s="7">
        <f t="shared" si="42"/>
        <v>2623.7010389590773</v>
      </c>
      <c r="AX55" s="7">
        <f t="shared" si="42"/>
        <v>2623.7010389590773</v>
      </c>
      <c r="AY55" s="7">
        <f t="shared" si="42"/>
        <v>2623.7010389590773</v>
      </c>
      <c r="AZ55" s="7">
        <f t="shared" si="42"/>
        <v>2623.7010389590773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26512.86234216993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1185.66831091418</v>
      </c>
      <c r="N56" s="7">
        <f t="shared" si="45"/>
        <v>1198.9573225425206</v>
      </c>
      <c r="O56" s="7">
        <f t="shared" si="45"/>
        <v>1158.0852364751406</v>
      </c>
      <c r="P56" s="7">
        <f t="shared" si="45"/>
        <v>1102.159253766067</v>
      </c>
      <c r="Q56" s="7">
        <f t="shared" si="45"/>
        <v>1107.4543709084073</v>
      </c>
      <c r="R56" s="7">
        <f t="shared" si="45"/>
        <v>1101.1413123762493</v>
      </c>
      <c r="S56" s="7">
        <f t="shared" si="45"/>
        <v>1059.1766520754916</v>
      </c>
      <c r="T56" s="7">
        <f t="shared" si="45"/>
        <v>1004.2668141732139</v>
      </c>
      <c r="U56" s="7">
        <f t="shared" si="45"/>
        <v>1007.2184278124658</v>
      </c>
      <c r="V56" s="7">
        <f t="shared" si="45"/>
        <v>998.55752857013033</v>
      </c>
      <c r="W56" s="7">
        <f t="shared" si="45"/>
        <v>955.42742817031433</v>
      </c>
      <c r="X56" s="7">
        <f t="shared" si="45"/>
        <v>911.58424695674387</v>
      </c>
      <c r="Y56" s="7">
        <f t="shared" si="45"/>
        <v>902.01191522833165</v>
      </c>
      <c r="Z56" s="7">
        <f t="shared" si="45"/>
        <v>891.06501068362854</v>
      </c>
      <c r="AA56" s="7">
        <f t="shared" si="45"/>
        <v>846.6944873971446</v>
      </c>
      <c r="AB56" s="7">
        <f t="shared" si="45"/>
        <v>793.91725339351672</v>
      </c>
      <c r="AC56" s="7">
        <f t="shared" si="45"/>
        <v>791.80247479941852</v>
      </c>
      <c r="AD56" s="7">
        <f t="shared" si="45"/>
        <v>778.05513757060726</v>
      </c>
      <c r="AE56" s="7">
        <f t="shared" si="45"/>
        <v>732.35992158936278</v>
      </c>
      <c r="AF56" s="7">
        <f t="shared" si="45"/>
        <v>680.70436043705615</v>
      </c>
      <c r="AG56" s="7">
        <f t="shared" si="45"/>
        <v>675.84691312765733</v>
      </c>
      <c r="AH56" s="7">
        <f t="shared" si="45"/>
        <v>659.34064921556558</v>
      </c>
      <c r="AI56" s="7">
        <f t="shared" si="45"/>
        <v>612.23364529565174</v>
      </c>
      <c r="AJ56" s="7">
        <f t="shared" si="45"/>
        <v>561.73939807976149</v>
      </c>
      <c r="AK56" s="7">
        <f t="shared" ref="AK56:BP56" si="46" xml:space="preserve"> AK$81</f>
        <v>553.98935242502989</v>
      </c>
      <c r="AL56" s="7">
        <f t="shared" si="46"/>
        <v>534.56979061515597</v>
      </c>
      <c r="AM56" s="7">
        <f t="shared" si="46"/>
        <v>485.95855654972667</v>
      </c>
      <c r="AN56" s="7">
        <f t="shared" si="46"/>
        <v>441.51957887704606</v>
      </c>
      <c r="AO56" s="7">
        <f t="shared" si="46"/>
        <v>425.75521513397177</v>
      </c>
      <c r="AP56" s="7">
        <f t="shared" si="46"/>
        <v>403.44179670938587</v>
      </c>
      <c r="AQ56" s="7">
        <f t="shared" si="46"/>
        <v>353.22932591948461</v>
      </c>
      <c r="AR56" s="7">
        <f t="shared" si="46"/>
        <v>305.18608573593315</v>
      </c>
      <c r="AS56" s="7">
        <f t="shared" si="46"/>
        <v>291.16529615541833</v>
      </c>
      <c r="AT56" s="7">
        <f t="shared" si="46"/>
        <v>265.41927436348112</v>
      </c>
      <c r="AU56" s="7">
        <f t="shared" si="46"/>
        <v>213.50036836190174</v>
      </c>
      <c r="AV56" s="7">
        <f t="shared" si="46"/>
        <v>166.75264684277201</v>
      </c>
      <c r="AW56" s="7">
        <f t="shared" si="46"/>
        <v>149.33159057843653</v>
      </c>
      <c r="AX56" s="7">
        <f t="shared" si="46"/>
        <v>120.1496706799488</v>
      </c>
      <c r="AY56" s="7">
        <f t="shared" si="46"/>
        <v>66.413774065511006</v>
      </c>
      <c r="AZ56" s="7">
        <f t="shared" si="46"/>
        <v>21.011947598451471</v>
      </c>
      <c r="BA56" s="7">
        <f t="shared" si="46"/>
        <v>-2.1415189621620815E-12</v>
      </c>
      <c r="BB56" s="7">
        <f t="shared" si="46"/>
        <v>-2.1978887616569411E-12</v>
      </c>
      <c r="BC56" s="7">
        <f t="shared" si="46"/>
        <v>-2.2315897226690144E-12</v>
      </c>
      <c r="BD56" s="7">
        <f t="shared" si="46"/>
        <v>-2.2411790901004832E-12</v>
      </c>
      <c r="BE56" s="7">
        <f t="shared" si="46"/>
        <v>-2.2751703063003407E-12</v>
      </c>
      <c r="BF56" s="7">
        <f t="shared" si="46"/>
        <v>-2.3350581224947519E-12</v>
      </c>
      <c r="BG56" s="7">
        <f t="shared" si="46"/>
        <v>-2.3708623470396712E-12</v>
      </c>
      <c r="BH56" s="7">
        <f t="shared" si="46"/>
        <v>-2.3548847964400559E-12</v>
      </c>
      <c r="BI56" s="7">
        <f t="shared" si="46"/>
        <v>-2.4167659358131753E-12</v>
      </c>
      <c r="BJ56" s="7">
        <f t="shared" si="46"/>
        <v>-2.4803808809221625E-12</v>
      </c>
      <c r="BK56" s="7">
        <f t="shared" si="46"/>
        <v>-2.518413387762969E-12</v>
      </c>
      <c r="BL56" s="7">
        <f t="shared" si="46"/>
        <v>-2.5014414714541315E-12</v>
      </c>
      <c r="BM56" s="7">
        <f t="shared" si="46"/>
        <v>-2.5671737945651209E-12</v>
      </c>
      <c r="BN56" s="7">
        <f t="shared" si="46"/>
        <v>-2.6347478271209632E-12</v>
      </c>
      <c r="BO56" s="7">
        <f t="shared" si="46"/>
        <v>-2.6751472938034846E-12</v>
      </c>
      <c r="BP56" s="7">
        <f t="shared" si="46"/>
        <v>-2.6571191272582873E-12</v>
      </c>
      <c r="BQ56" s="7">
        <f t="shared" ref="BQ56:CV56" si="47" xml:space="preserve"> BQ$81</f>
        <v>-2.7269423132134637E-12</v>
      </c>
      <c r="BR56" s="7">
        <f t="shared" si="47"/>
        <v>-2.7987218277290387E-12</v>
      </c>
      <c r="BS56" s="7">
        <f t="shared" si="47"/>
        <v>-2.8416355624208842E-12</v>
      </c>
      <c r="BT56" s="7">
        <f t="shared" si="47"/>
        <v>-2.8538463587144753E-12</v>
      </c>
      <c r="BU56" s="7">
        <f t="shared" si="47"/>
        <v>-2.8971296951549782E-12</v>
      </c>
      <c r="BV56" s="7">
        <f t="shared" si="47"/>
        <v>-2.973388940537336E-12</v>
      </c>
      <c r="BW56" s="7">
        <f t="shared" si="47"/>
        <v>-3.0189809042922421E-12</v>
      </c>
      <c r="BX56" s="7">
        <f t="shared" si="47"/>
        <v>-2.9986355981980982E-12</v>
      </c>
      <c r="BY56" s="7">
        <f t="shared" si="47"/>
        <v>-3.0774330780840822E-12</v>
      </c>
      <c r="BZ56" s="7">
        <f t="shared" si="47"/>
        <v>-3.1584383311943835E-12</v>
      </c>
      <c r="CA56" s="7">
        <f t="shared" si="47"/>
        <v>-3.2068677189393639E-12</v>
      </c>
      <c r="CB56" s="7">
        <f t="shared" si="47"/>
        <v>-3.1852562190943375E-12</v>
      </c>
      <c r="CC56" s="7">
        <f t="shared" si="47"/>
        <v>-3.2689576741849833E-12</v>
      </c>
      <c r="CD56" s="7">
        <f t="shared" si="47"/>
        <v>-3.3550043036600507E-12</v>
      </c>
      <c r="CE56" s="7">
        <f t="shared" si="47"/>
        <v>-3.4064477029828381E-12</v>
      </c>
      <c r="CF56" s="7">
        <f t="shared" si="47"/>
        <v>-3.3834912075931711E-12</v>
      </c>
      <c r="CG56" s="7">
        <f t="shared" si="47"/>
        <v>-3.4724018376593695E-12</v>
      </c>
      <c r="CH56" s="7">
        <f t="shared" si="47"/>
        <v>-3.5638035944557806E-12</v>
      </c>
      <c r="CI56" s="7">
        <f t="shared" si="47"/>
        <v>-3.6184485829041027E-12</v>
      </c>
      <c r="CJ56" s="7">
        <f t="shared" si="47"/>
        <v>-3.633997423553828E-12</v>
      </c>
      <c r="CK56" s="7">
        <f t="shared" si="47"/>
        <v>-3.6891130511443946E-12</v>
      </c>
      <c r="CL56" s="7">
        <f t="shared" si="47"/>
        <v>-3.7862191551206712E-12</v>
      </c>
      <c r="CM56" s="7">
        <f t="shared" si="47"/>
        <v>-3.8442745154991888E-12</v>
      </c>
      <c r="CN56" s="7">
        <f t="shared" si="47"/>
        <v>-3.8183674481121288E-12</v>
      </c>
      <c r="CO56" s="7">
        <f t="shared" si="47"/>
        <v>-3.9187056593875196E-12</v>
      </c>
      <c r="CP56" s="7">
        <f t="shared" si="47"/>
        <v>-4.0218551790518376E-12</v>
      </c>
      <c r="CQ56" s="7">
        <f t="shared" si="47"/>
        <v>-4.083523625130632E-12</v>
      </c>
      <c r="CR56" s="7">
        <f t="shared" si="47"/>
        <v>-4.0560042267873601E-12</v>
      </c>
      <c r="CS56" s="7">
        <f t="shared" si="47"/>
        <v>-4.1625870045246059E-12</v>
      </c>
      <c r="CT56" s="7">
        <f t="shared" si="47"/>
        <v>-4.2721560529294189E-12</v>
      </c>
      <c r="CU56" s="7">
        <f t="shared" si="47"/>
        <v>-4.337662445741003E-12</v>
      </c>
      <c r="CV56" s="7">
        <f t="shared" si="47"/>
        <v>-4.3084303727370966E-12</v>
      </c>
      <c r="CW56" s="7">
        <f t="shared" ref="CW56:EA56" si="48" xml:space="preserve"> CW$81</f>
        <v>-4.4216463486429106E-12</v>
      </c>
      <c r="CX56" s="7">
        <f t="shared" si="48"/>
        <v>-4.5380344463035261E-12</v>
      </c>
      <c r="CY56" s="7">
        <f t="shared" si="48"/>
        <v>-4.607617641146847E-12</v>
      </c>
      <c r="CZ56" s="7">
        <f t="shared" si="48"/>
        <v>-4.6274170415903257E-12</v>
      </c>
      <c r="DA56" s="7">
        <f t="shared" si="48"/>
        <v>-4.6975995333877789E-12</v>
      </c>
      <c r="DB56" s="7">
        <f t="shared" si="48"/>
        <v>-4.8212513657940964E-12</v>
      </c>
      <c r="DC56" s="7">
        <f t="shared" si="48"/>
        <v>-4.8951772200696055E-12</v>
      </c>
      <c r="DD56" s="7">
        <f t="shared" si="48"/>
        <v>-4.8621879822821794E-12</v>
      </c>
      <c r="DE56" s="7">
        <f t="shared" si="48"/>
        <v>-4.9899554775943725E-12</v>
      </c>
      <c r="DF56" s="7">
        <f t="shared" si="48"/>
        <v>-5.1213028038287799E-12</v>
      </c>
      <c r="DG56" s="7">
        <f t="shared" si="48"/>
        <v>-5.1998294468208207E-12</v>
      </c>
      <c r="DH56" s="7">
        <f t="shared" si="48"/>
        <v>-5.1647871179400714E-12</v>
      </c>
      <c r="DI56" s="7">
        <f t="shared" si="48"/>
        <v>-5.3005062460948297E-12</v>
      </c>
      <c r="DJ56" s="7">
        <f t="shared" si="48"/>
        <v>-5.4400279965872744E-12</v>
      </c>
      <c r="DK56" s="7">
        <f t="shared" si="48"/>
        <v>-5.5234417592016132E-12</v>
      </c>
      <c r="DL56" s="7">
        <f t="shared" si="48"/>
        <v>-5.4862185647374278E-12</v>
      </c>
      <c r="DM56" s="7">
        <f t="shared" si="48"/>
        <v>-5.6303841970219176E-12</v>
      </c>
      <c r="DN56" s="7">
        <f t="shared" si="48"/>
        <v>-5.7785891085230152E-12</v>
      </c>
      <c r="DO56" s="7">
        <f t="shared" si="48"/>
        <v>-5.8671941415203677E-12</v>
      </c>
      <c r="DP56" s="7">
        <f t="shared" si="48"/>
        <v>-5.8924060699690751E-12</v>
      </c>
      <c r="DQ56" s="7">
        <f t="shared" si="48"/>
        <v>-5.981774228696939E-12</v>
      </c>
      <c r="DR56" s="7">
        <f t="shared" si="48"/>
        <v>-6.1392285496032262E-12</v>
      </c>
      <c r="DS56" s="7">
        <f t="shared" si="48"/>
        <v>-6.2333633873638092E-12</v>
      </c>
      <c r="DT56" s="7">
        <f t="shared" si="48"/>
        <v>-6.1913559384489657E-12</v>
      </c>
      <c r="DU56" s="7">
        <f t="shared" si="48"/>
        <v>-6.3540510139426528E-12</v>
      </c>
      <c r="DV56" s="7">
        <f t="shared" si="48"/>
        <v>-6.5213045325733925E-12</v>
      </c>
      <c r="DW56" s="7">
        <f t="shared" si="48"/>
        <v>-6.6212978687395183E-12</v>
      </c>
      <c r="DX56" s="7">
        <f t="shared" si="48"/>
        <v>-6.5766760787545336E-12</v>
      </c>
      <c r="DY56" s="7">
        <f t="shared" si="48"/>
        <v>-6.7494965112684725E-12</v>
      </c>
      <c r="DZ56" s="7">
        <f t="shared" si="48"/>
        <v>-6.9271590824405433E-12</v>
      </c>
      <c r="EA56" s="7">
        <f t="shared" si="48"/>
        <v>-7.0333755217046319E-12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78435.179216192832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1438.0327280448973</v>
      </c>
      <c r="N57" s="7">
        <f t="shared" si="49"/>
        <v>1424.7437164165567</v>
      </c>
      <c r="O57" s="7">
        <f t="shared" si="49"/>
        <v>1465.6158024839367</v>
      </c>
      <c r="P57" s="7">
        <f t="shared" si="49"/>
        <v>1521.5417851930104</v>
      </c>
      <c r="Q57" s="7">
        <f t="shared" si="49"/>
        <v>1516.24666805067</v>
      </c>
      <c r="R57" s="7">
        <f t="shared" si="49"/>
        <v>1522.559726582828</v>
      </c>
      <c r="S57" s="7">
        <f t="shared" si="49"/>
        <v>1564.5243868835857</v>
      </c>
      <c r="T57" s="7">
        <f t="shared" si="49"/>
        <v>1619.4342247858635</v>
      </c>
      <c r="U57" s="7">
        <f t="shared" si="49"/>
        <v>1616.4826111466114</v>
      </c>
      <c r="V57" s="7">
        <f t="shared" si="49"/>
        <v>1625.1435103889471</v>
      </c>
      <c r="W57" s="7">
        <f t="shared" si="49"/>
        <v>1668.2736107887631</v>
      </c>
      <c r="X57" s="7">
        <f t="shared" si="49"/>
        <v>1712.1167920023336</v>
      </c>
      <c r="Y57" s="7">
        <f t="shared" si="49"/>
        <v>1721.6891237307457</v>
      </c>
      <c r="Z57" s="7">
        <f t="shared" si="49"/>
        <v>1732.6360282754488</v>
      </c>
      <c r="AA57" s="7">
        <f t="shared" si="49"/>
        <v>1777.0065515619326</v>
      </c>
      <c r="AB57" s="7">
        <f t="shared" si="49"/>
        <v>1829.7837855655607</v>
      </c>
      <c r="AC57" s="7">
        <f t="shared" si="49"/>
        <v>1831.8985641596587</v>
      </c>
      <c r="AD57" s="7">
        <f t="shared" si="49"/>
        <v>1845.6459013884701</v>
      </c>
      <c r="AE57" s="7">
        <f t="shared" si="49"/>
        <v>1891.3411173697145</v>
      </c>
      <c r="AF57" s="7">
        <f t="shared" si="49"/>
        <v>1942.9966785220213</v>
      </c>
      <c r="AG57" s="7">
        <f t="shared" si="49"/>
        <v>1947.8541258314199</v>
      </c>
      <c r="AH57" s="7">
        <f t="shared" si="49"/>
        <v>1964.3603897435119</v>
      </c>
      <c r="AI57" s="7">
        <f t="shared" si="49"/>
        <v>2011.4673936634256</v>
      </c>
      <c r="AJ57" s="7">
        <f t="shared" si="49"/>
        <v>2061.9616408793158</v>
      </c>
      <c r="AK57" s="7">
        <f t="shared" si="49"/>
        <v>2069.7116865340477</v>
      </c>
      <c r="AL57" s="7">
        <f t="shared" si="49"/>
        <v>2089.1312483439215</v>
      </c>
      <c r="AM57" s="7">
        <f t="shared" si="49"/>
        <v>2137.7424824093505</v>
      </c>
      <c r="AN57" s="7">
        <f t="shared" si="49"/>
        <v>2182.1814600820312</v>
      </c>
      <c r="AO57" s="7">
        <f t="shared" si="49"/>
        <v>2197.9458238251054</v>
      </c>
      <c r="AP57" s="7">
        <f t="shared" ref="AP57:BU57" si="50" xml:space="preserve"> AP55 - AP56</f>
        <v>2220.2592422496914</v>
      </c>
      <c r="AQ57" s="7">
        <f t="shared" si="50"/>
        <v>2270.4717130395929</v>
      </c>
      <c r="AR57" s="7">
        <f t="shared" si="50"/>
        <v>2318.5149532231444</v>
      </c>
      <c r="AS57" s="7">
        <f t="shared" si="50"/>
        <v>2332.5357428036591</v>
      </c>
      <c r="AT57" s="7">
        <f t="shared" si="50"/>
        <v>2358.2817645955961</v>
      </c>
      <c r="AU57" s="7">
        <f t="shared" si="50"/>
        <v>2410.2006705971758</v>
      </c>
      <c r="AV57" s="7">
        <f t="shared" si="50"/>
        <v>2456.9483921163055</v>
      </c>
      <c r="AW57" s="7">
        <f t="shared" si="50"/>
        <v>2474.3694483806407</v>
      </c>
      <c r="AX57" s="7">
        <f t="shared" si="50"/>
        <v>2503.5513682791284</v>
      </c>
      <c r="AY57" s="7">
        <f t="shared" si="50"/>
        <v>2557.2872648935663</v>
      </c>
      <c r="AZ57" s="7">
        <f t="shared" si="50"/>
        <v>2602.6890913606258</v>
      </c>
      <c r="BA57" s="7">
        <f t="shared" si="50"/>
        <v>2.1415189621620815E-12</v>
      </c>
      <c r="BB57" s="7">
        <f t="shared" si="50"/>
        <v>2.1978887616569411E-12</v>
      </c>
      <c r="BC57" s="7">
        <f t="shared" si="50"/>
        <v>2.2315897226690144E-12</v>
      </c>
      <c r="BD57" s="7">
        <f t="shared" si="50"/>
        <v>2.2411790901004832E-12</v>
      </c>
      <c r="BE57" s="7">
        <f t="shared" si="50"/>
        <v>2.2751703063003407E-12</v>
      </c>
      <c r="BF57" s="7">
        <f t="shared" si="50"/>
        <v>2.3350581224947519E-12</v>
      </c>
      <c r="BG57" s="7">
        <f t="shared" si="50"/>
        <v>2.3708623470396712E-12</v>
      </c>
      <c r="BH57" s="7">
        <f t="shared" si="50"/>
        <v>2.3548847964400559E-12</v>
      </c>
      <c r="BI57" s="7">
        <f t="shared" si="50"/>
        <v>2.4167659358131753E-12</v>
      </c>
      <c r="BJ57" s="7">
        <f t="shared" si="50"/>
        <v>2.4803808809221625E-12</v>
      </c>
      <c r="BK57" s="7">
        <f t="shared" si="50"/>
        <v>2.518413387762969E-12</v>
      </c>
      <c r="BL57" s="7">
        <f t="shared" si="50"/>
        <v>2.5014414714541315E-12</v>
      </c>
      <c r="BM57" s="7">
        <f t="shared" si="50"/>
        <v>2.5671737945651209E-12</v>
      </c>
      <c r="BN57" s="7">
        <f t="shared" si="50"/>
        <v>2.6347478271209632E-12</v>
      </c>
      <c r="BO57" s="7">
        <f t="shared" si="50"/>
        <v>2.6751472938034846E-12</v>
      </c>
      <c r="BP57" s="7">
        <f t="shared" si="50"/>
        <v>2.6571191272582873E-12</v>
      </c>
      <c r="BQ57" s="7">
        <f t="shared" si="50"/>
        <v>2.7269423132134637E-12</v>
      </c>
      <c r="BR57" s="7">
        <f t="shared" si="50"/>
        <v>2.7987218277290387E-12</v>
      </c>
      <c r="BS57" s="7">
        <f t="shared" si="50"/>
        <v>2.8416355624208842E-12</v>
      </c>
      <c r="BT57" s="7">
        <f t="shared" si="50"/>
        <v>2.8538463587144753E-12</v>
      </c>
      <c r="BU57" s="7">
        <f t="shared" si="50"/>
        <v>2.8971296951549782E-12</v>
      </c>
      <c r="BV57" s="7">
        <f t="shared" ref="BV57:DA57" si="51" xml:space="preserve"> BV55 - BV56</f>
        <v>2.973388940537336E-12</v>
      </c>
      <c r="BW57" s="7">
        <f t="shared" si="51"/>
        <v>3.0189809042922421E-12</v>
      </c>
      <c r="BX57" s="7">
        <f t="shared" si="51"/>
        <v>2.9986355981980982E-12</v>
      </c>
      <c r="BY57" s="7">
        <f t="shared" si="51"/>
        <v>3.0774330780840822E-12</v>
      </c>
      <c r="BZ57" s="7">
        <f t="shared" si="51"/>
        <v>3.1584383311943835E-12</v>
      </c>
      <c r="CA57" s="7">
        <f t="shared" si="51"/>
        <v>3.2068677189393639E-12</v>
      </c>
      <c r="CB57" s="7">
        <f t="shared" si="51"/>
        <v>3.1852562190943375E-12</v>
      </c>
      <c r="CC57" s="7">
        <f t="shared" si="51"/>
        <v>3.2689576741849833E-12</v>
      </c>
      <c r="CD57" s="7">
        <f t="shared" si="51"/>
        <v>3.3550043036600507E-12</v>
      </c>
      <c r="CE57" s="7">
        <f t="shared" si="51"/>
        <v>3.4064477029828381E-12</v>
      </c>
      <c r="CF57" s="7">
        <f t="shared" si="51"/>
        <v>3.3834912075931711E-12</v>
      </c>
      <c r="CG57" s="7">
        <f t="shared" si="51"/>
        <v>3.4724018376593695E-12</v>
      </c>
      <c r="CH57" s="7">
        <f t="shared" si="51"/>
        <v>3.5638035944557806E-12</v>
      </c>
      <c r="CI57" s="7">
        <f t="shared" si="51"/>
        <v>3.6184485829041027E-12</v>
      </c>
      <c r="CJ57" s="7">
        <f t="shared" si="51"/>
        <v>3.633997423553828E-12</v>
      </c>
      <c r="CK57" s="7">
        <f t="shared" si="51"/>
        <v>3.6891130511443946E-12</v>
      </c>
      <c r="CL57" s="7">
        <f t="shared" si="51"/>
        <v>3.7862191551206712E-12</v>
      </c>
      <c r="CM57" s="7">
        <f t="shared" si="51"/>
        <v>3.8442745154991888E-12</v>
      </c>
      <c r="CN57" s="7">
        <f t="shared" si="51"/>
        <v>3.8183674481121288E-12</v>
      </c>
      <c r="CO57" s="7">
        <f t="shared" si="51"/>
        <v>3.9187056593875196E-12</v>
      </c>
      <c r="CP57" s="7">
        <f t="shared" si="51"/>
        <v>4.0218551790518376E-12</v>
      </c>
      <c r="CQ57" s="7">
        <f t="shared" si="51"/>
        <v>4.083523625130632E-12</v>
      </c>
      <c r="CR57" s="7">
        <f t="shared" si="51"/>
        <v>4.0560042267873601E-12</v>
      </c>
      <c r="CS57" s="7">
        <f t="shared" si="51"/>
        <v>4.1625870045246059E-12</v>
      </c>
      <c r="CT57" s="7">
        <f t="shared" si="51"/>
        <v>4.2721560529294189E-12</v>
      </c>
      <c r="CU57" s="7">
        <f t="shared" si="51"/>
        <v>4.337662445741003E-12</v>
      </c>
      <c r="CV57" s="7">
        <f t="shared" si="51"/>
        <v>4.3084303727370966E-12</v>
      </c>
      <c r="CW57" s="7">
        <f t="shared" si="51"/>
        <v>4.4216463486429106E-12</v>
      </c>
      <c r="CX57" s="7">
        <f t="shared" si="51"/>
        <v>4.5380344463035261E-12</v>
      </c>
      <c r="CY57" s="7">
        <f t="shared" si="51"/>
        <v>4.607617641146847E-12</v>
      </c>
      <c r="CZ57" s="7">
        <f t="shared" si="51"/>
        <v>4.6274170415903257E-12</v>
      </c>
      <c r="DA57" s="7">
        <f t="shared" si="51"/>
        <v>4.6975995333877789E-12</v>
      </c>
      <c r="DB57" s="7">
        <f t="shared" ref="DB57:EA57" si="52" xml:space="preserve"> DB55 - DB56</f>
        <v>4.8212513657940964E-12</v>
      </c>
      <c r="DC57" s="7">
        <f t="shared" si="52"/>
        <v>4.8951772200696055E-12</v>
      </c>
      <c r="DD57" s="7">
        <f t="shared" si="52"/>
        <v>4.8621879822821794E-12</v>
      </c>
      <c r="DE57" s="7">
        <f t="shared" si="52"/>
        <v>4.9899554775943725E-12</v>
      </c>
      <c r="DF57" s="7">
        <f t="shared" si="52"/>
        <v>5.1213028038287799E-12</v>
      </c>
      <c r="DG57" s="7">
        <f t="shared" si="52"/>
        <v>5.1998294468208207E-12</v>
      </c>
      <c r="DH57" s="7">
        <f t="shared" si="52"/>
        <v>5.1647871179400714E-12</v>
      </c>
      <c r="DI57" s="7">
        <f t="shared" si="52"/>
        <v>5.3005062460948297E-12</v>
      </c>
      <c r="DJ57" s="7">
        <f t="shared" si="52"/>
        <v>5.4400279965872744E-12</v>
      </c>
      <c r="DK57" s="7">
        <f t="shared" si="52"/>
        <v>5.5234417592016132E-12</v>
      </c>
      <c r="DL57" s="7">
        <f t="shared" si="52"/>
        <v>5.4862185647374278E-12</v>
      </c>
      <c r="DM57" s="7">
        <f t="shared" si="52"/>
        <v>5.6303841970219176E-12</v>
      </c>
      <c r="DN57" s="7">
        <f t="shared" si="52"/>
        <v>5.7785891085230152E-12</v>
      </c>
      <c r="DO57" s="7">
        <f t="shared" si="52"/>
        <v>5.8671941415203677E-12</v>
      </c>
      <c r="DP57" s="7">
        <f t="shared" si="52"/>
        <v>5.8924060699690751E-12</v>
      </c>
      <c r="DQ57" s="7">
        <f t="shared" si="52"/>
        <v>5.981774228696939E-12</v>
      </c>
      <c r="DR57" s="7">
        <f t="shared" si="52"/>
        <v>6.1392285496032262E-12</v>
      </c>
      <c r="DS57" s="7">
        <f t="shared" si="52"/>
        <v>6.2333633873638092E-12</v>
      </c>
      <c r="DT57" s="7">
        <f t="shared" si="52"/>
        <v>6.1913559384489657E-12</v>
      </c>
      <c r="DU57" s="7">
        <f t="shared" si="52"/>
        <v>6.3540510139426528E-12</v>
      </c>
      <c r="DV57" s="7">
        <f t="shared" si="52"/>
        <v>6.5213045325733925E-12</v>
      </c>
      <c r="DW57" s="7">
        <f t="shared" si="52"/>
        <v>6.6212978687395183E-12</v>
      </c>
      <c r="DX57" s="7">
        <f t="shared" si="52"/>
        <v>6.5766760787545336E-12</v>
      </c>
      <c r="DY57" s="7">
        <f t="shared" si="52"/>
        <v>6.7494965112684725E-12</v>
      </c>
      <c r="DZ57" s="7">
        <f t="shared" si="52"/>
        <v>6.9271590824405433E-12</v>
      </c>
      <c r="EA57" s="7">
        <f t="shared" si="52"/>
        <v>7.0333755217046319E-12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104688.79492991856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1168.7320371935759</v>
      </c>
      <c r="N60" s="7">
        <f t="shared" si="53"/>
        <v>3864.5281530238158</v>
      </c>
      <c r="O60" s="7">
        <f t="shared" si="53"/>
        <v>3208.0996830581098</v>
      </c>
      <c r="P60" s="7">
        <f t="shared" si="53"/>
        <v>1560.4733277261003</v>
      </c>
      <c r="Q60" s="7">
        <f t="shared" si="53"/>
        <v>2312.8600307278921</v>
      </c>
      <c r="R60" s="7">
        <f t="shared" si="53"/>
        <v>3837.9669841647819</v>
      </c>
      <c r="S60" s="7">
        <f t="shared" si="53"/>
        <v>3184.7938860309687</v>
      </c>
      <c r="T60" s="7">
        <f t="shared" si="53"/>
        <v>1545.3815296608</v>
      </c>
      <c r="U60" s="7">
        <f t="shared" si="53"/>
        <v>2293.9075765451421</v>
      </c>
      <c r="V60" s="7">
        <f t="shared" si="53"/>
        <v>3811.3901633407399</v>
      </c>
      <c r="W60" s="7">
        <f t="shared" si="53"/>
        <v>3161.4560307585816</v>
      </c>
      <c r="X60" s="7">
        <f t="shared" si="53"/>
        <v>1542.7269982806251</v>
      </c>
      <c r="Y60" s="7">
        <f t="shared" si="53"/>
        <v>2262.3895278391687</v>
      </c>
      <c r="Z60" s="7">
        <f t="shared" si="53"/>
        <v>3784.7947902369328</v>
      </c>
      <c r="AA60" s="7">
        <f t="shared" si="53"/>
        <v>3138.0832943098058</v>
      </c>
      <c r="AB60" s="7">
        <f t="shared" si="53"/>
        <v>1514.9775661131905</v>
      </c>
      <c r="AC60" s="7">
        <f t="shared" si="53"/>
        <v>2255.8326916803881</v>
      </c>
      <c r="AD60" s="7">
        <f t="shared" si="53"/>
        <v>3758.1779189561121</v>
      </c>
      <c r="AE60" s="7">
        <f t="shared" si="53"/>
        <v>3114.6728077005723</v>
      </c>
      <c r="AF60" s="7">
        <f t="shared" si="53"/>
        <v>1499.6601247469191</v>
      </c>
      <c r="AG60" s="7">
        <f t="shared" si="53"/>
        <v>2236.7047218672769</v>
      </c>
      <c r="AH60" s="7">
        <f t="shared" si="53"/>
        <v>3731.536557036035</v>
      </c>
      <c r="AI60" s="7">
        <f t="shared" si="53"/>
        <v>3091.2216549120235</v>
      </c>
      <c r="AJ60" s="7">
        <f t="shared" si="53"/>
        <v>1484.2621138347881</v>
      </c>
      <c r="AK60" s="7">
        <f t="shared" ref="AK60:BP60" si="54" xml:space="preserve"> AK$16</f>
        <v>2217.5126279555302</v>
      </c>
      <c r="AL60" s="7">
        <f t="shared" si="54"/>
        <v>3704.8676644475036</v>
      </c>
      <c r="AM60" s="7">
        <f t="shared" si="54"/>
        <v>3067.7268718891114</v>
      </c>
      <c r="AN60" s="7">
        <f t="shared" si="54"/>
        <v>1480.9281773215021</v>
      </c>
      <c r="AO60" s="7">
        <f t="shared" si="54"/>
        <v>2186.1061170245275</v>
      </c>
      <c r="AP60" s="7">
        <f t="shared" si="54"/>
        <v>3678.1681525725126</v>
      </c>
      <c r="AQ60" s="7">
        <f t="shared" si="54"/>
        <v>3044.1854455193084</v>
      </c>
      <c r="AR60" s="7">
        <f t="shared" si="54"/>
        <v>1453.213300374957</v>
      </c>
      <c r="AS60" s="7">
        <f t="shared" si="54"/>
        <v>2178.9244546994023</v>
      </c>
      <c r="AT60" s="7">
        <f t="shared" si="54"/>
        <v>3651.4348831621378</v>
      </c>
      <c r="AU60" s="7">
        <f t="shared" si="54"/>
        <v>3020.5943125909816</v>
      </c>
      <c r="AV60" s="7">
        <f t="shared" si="54"/>
        <v>1437.5568304566652</v>
      </c>
      <c r="AW60" s="7">
        <f t="shared" si="54"/>
        <v>2159.5224419932629</v>
      </c>
      <c r="AX60" s="7">
        <f t="shared" si="54"/>
        <v>3624.6646672737179</v>
      </c>
      <c r="AY60" s="7">
        <f t="shared" si="54"/>
        <v>2996.9503587310573</v>
      </c>
      <c r="AZ60" s="7">
        <f t="shared" si="54"/>
        <v>1421.808454162024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26512.86234216993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1185.66831091418</v>
      </c>
      <c r="N61" s="7">
        <f t="shared" si="57"/>
        <v>1198.9573225425206</v>
      </c>
      <c r="O61" s="7">
        <f t="shared" si="57"/>
        <v>1158.0852364751406</v>
      </c>
      <c r="P61" s="7">
        <f t="shared" si="57"/>
        <v>1102.159253766067</v>
      </c>
      <c r="Q61" s="7">
        <f t="shared" si="57"/>
        <v>1107.4543709084073</v>
      </c>
      <c r="R61" s="7">
        <f t="shared" si="57"/>
        <v>1101.1413123762493</v>
      </c>
      <c r="S61" s="7">
        <f t="shared" si="57"/>
        <v>1059.1766520754916</v>
      </c>
      <c r="T61" s="7">
        <f t="shared" si="57"/>
        <v>1004.2668141732139</v>
      </c>
      <c r="U61" s="7">
        <f t="shared" si="57"/>
        <v>1007.2184278124658</v>
      </c>
      <c r="V61" s="7">
        <f t="shared" si="57"/>
        <v>998.55752857013033</v>
      </c>
      <c r="W61" s="7">
        <f t="shared" si="57"/>
        <v>955.42742817031433</v>
      </c>
      <c r="X61" s="7">
        <f t="shared" si="57"/>
        <v>911.58424695674387</v>
      </c>
      <c r="Y61" s="7">
        <f t="shared" si="57"/>
        <v>902.01191522833165</v>
      </c>
      <c r="Z61" s="7">
        <f t="shared" si="57"/>
        <v>891.06501068362854</v>
      </c>
      <c r="AA61" s="7">
        <f t="shared" si="57"/>
        <v>846.6944873971446</v>
      </c>
      <c r="AB61" s="7">
        <f t="shared" si="57"/>
        <v>793.91725339351672</v>
      </c>
      <c r="AC61" s="7">
        <f t="shared" si="57"/>
        <v>791.80247479941852</v>
      </c>
      <c r="AD61" s="7">
        <f t="shared" si="57"/>
        <v>778.05513757060726</v>
      </c>
      <c r="AE61" s="7">
        <f t="shared" si="57"/>
        <v>732.35992158936278</v>
      </c>
      <c r="AF61" s="7">
        <f t="shared" si="57"/>
        <v>680.70436043705615</v>
      </c>
      <c r="AG61" s="7">
        <f t="shared" si="57"/>
        <v>675.84691312765733</v>
      </c>
      <c r="AH61" s="7">
        <f t="shared" si="57"/>
        <v>659.34064921556558</v>
      </c>
      <c r="AI61" s="7">
        <f t="shared" si="57"/>
        <v>612.23364529565174</v>
      </c>
      <c r="AJ61" s="7">
        <f t="shared" si="57"/>
        <v>561.73939807976149</v>
      </c>
      <c r="AK61" s="7">
        <f t="shared" si="57"/>
        <v>553.98935242502989</v>
      </c>
      <c r="AL61" s="7">
        <f t="shared" si="57"/>
        <v>534.56979061515597</v>
      </c>
      <c r="AM61" s="7">
        <f t="shared" si="57"/>
        <v>485.95855654972667</v>
      </c>
      <c r="AN61" s="7">
        <f t="shared" si="57"/>
        <v>441.51957887704606</v>
      </c>
      <c r="AO61" s="7">
        <f t="shared" si="57"/>
        <v>425.75521513397177</v>
      </c>
      <c r="AP61" s="7">
        <f t="shared" si="57"/>
        <v>403.44179670938587</v>
      </c>
      <c r="AQ61" s="7">
        <f t="shared" si="57"/>
        <v>353.22932591948461</v>
      </c>
      <c r="AR61" s="7">
        <f t="shared" si="57"/>
        <v>305.18608573593315</v>
      </c>
      <c r="AS61" s="7">
        <f t="shared" si="57"/>
        <v>291.16529615541833</v>
      </c>
      <c r="AT61" s="7">
        <f t="shared" si="57"/>
        <v>265.41927436348112</v>
      </c>
      <c r="AU61" s="7">
        <f t="shared" si="57"/>
        <v>213.50036836190174</v>
      </c>
      <c r="AV61" s="7">
        <f t="shared" si="57"/>
        <v>166.75264684277201</v>
      </c>
      <c r="AW61" s="7">
        <f t="shared" si="57"/>
        <v>149.33159057843653</v>
      </c>
      <c r="AX61" s="7">
        <f t="shared" si="57"/>
        <v>120.1496706799488</v>
      </c>
      <c r="AY61" s="7">
        <f t="shared" si="57"/>
        <v>66.413774065511006</v>
      </c>
      <c r="AZ61" s="7">
        <f t="shared" si="57"/>
        <v>21.011947598451471</v>
      </c>
      <c r="BA61" s="7">
        <f t="shared" si="57"/>
        <v>-2.1415189621620815E-12</v>
      </c>
      <c r="BB61" s="7">
        <f t="shared" si="57"/>
        <v>-2.1978887616569411E-12</v>
      </c>
      <c r="BC61" s="7">
        <f t="shared" si="57"/>
        <v>-2.2315897226690144E-12</v>
      </c>
      <c r="BD61" s="7">
        <f t="shared" si="57"/>
        <v>-2.2411790901004832E-12</v>
      </c>
      <c r="BE61" s="7">
        <f t="shared" si="57"/>
        <v>-2.2751703063003407E-12</v>
      </c>
      <c r="BF61" s="7">
        <f t="shared" si="57"/>
        <v>-2.3350581224947519E-12</v>
      </c>
      <c r="BG61" s="7">
        <f t="shared" si="57"/>
        <v>-2.3708623470396712E-12</v>
      </c>
      <c r="BH61" s="7">
        <f t="shared" si="57"/>
        <v>-2.3548847964400559E-12</v>
      </c>
      <c r="BI61" s="7">
        <f t="shared" si="57"/>
        <v>-2.4167659358131753E-12</v>
      </c>
      <c r="BJ61" s="7">
        <f t="shared" si="57"/>
        <v>-2.4803808809221625E-12</v>
      </c>
      <c r="BK61" s="7">
        <f t="shared" si="57"/>
        <v>-2.518413387762969E-12</v>
      </c>
      <c r="BL61" s="7">
        <f t="shared" si="57"/>
        <v>-2.5014414714541315E-12</v>
      </c>
      <c r="BM61" s="7">
        <f t="shared" si="57"/>
        <v>-2.5671737945651209E-12</v>
      </c>
      <c r="BN61" s="7">
        <f t="shared" si="57"/>
        <v>-2.6347478271209632E-12</v>
      </c>
      <c r="BO61" s="7">
        <f t="shared" si="57"/>
        <v>-2.6751472938034846E-12</v>
      </c>
      <c r="BP61" s="7">
        <f t="shared" si="57"/>
        <v>-2.6571191272582873E-12</v>
      </c>
      <c r="BQ61" s="7">
        <f t="shared" ref="BQ61:EA61" si="58" xml:space="preserve"> BQ$81</f>
        <v>-2.7269423132134637E-12</v>
      </c>
      <c r="BR61" s="7">
        <f t="shared" si="58"/>
        <v>-2.7987218277290387E-12</v>
      </c>
      <c r="BS61" s="7">
        <f t="shared" si="58"/>
        <v>-2.8416355624208842E-12</v>
      </c>
      <c r="BT61" s="7">
        <f t="shared" si="58"/>
        <v>-2.8538463587144753E-12</v>
      </c>
      <c r="BU61" s="7">
        <f t="shared" si="58"/>
        <v>-2.8971296951549782E-12</v>
      </c>
      <c r="BV61" s="7">
        <f t="shared" si="58"/>
        <v>-2.973388940537336E-12</v>
      </c>
      <c r="BW61" s="7">
        <f t="shared" si="58"/>
        <v>-3.0189809042922421E-12</v>
      </c>
      <c r="BX61" s="7">
        <f t="shared" si="58"/>
        <v>-2.9986355981980982E-12</v>
      </c>
      <c r="BY61" s="7">
        <f t="shared" si="58"/>
        <v>-3.0774330780840822E-12</v>
      </c>
      <c r="BZ61" s="7">
        <f t="shared" si="58"/>
        <v>-3.1584383311943835E-12</v>
      </c>
      <c r="CA61" s="7">
        <f t="shared" si="58"/>
        <v>-3.2068677189393639E-12</v>
      </c>
      <c r="CB61" s="7">
        <f t="shared" si="58"/>
        <v>-3.1852562190943375E-12</v>
      </c>
      <c r="CC61" s="7">
        <f t="shared" si="58"/>
        <v>-3.2689576741849833E-12</v>
      </c>
      <c r="CD61" s="7">
        <f t="shared" si="58"/>
        <v>-3.3550043036600507E-12</v>
      </c>
      <c r="CE61" s="7">
        <f t="shared" si="58"/>
        <v>-3.4064477029828381E-12</v>
      </c>
      <c r="CF61" s="7">
        <f t="shared" si="58"/>
        <v>-3.3834912075931711E-12</v>
      </c>
      <c r="CG61" s="7">
        <f t="shared" si="58"/>
        <v>-3.4724018376593695E-12</v>
      </c>
      <c r="CH61" s="7">
        <f t="shared" si="58"/>
        <v>-3.5638035944557806E-12</v>
      </c>
      <c r="CI61" s="7">
        <f t="shared" si="58"/>
        <v>-3.6184485829041027E-12</v>
      </c>
      <c r="CJ61" s="7">
        <f t="shared" si="58"/>
        <v>-3.633997423553828E-12</v>
      </c>
      <c r="CK61" s="7">
        <f t="shared" si="58"/>
        <v>-3.6891130511443946E-12</v>
      </c>
      <c r="CL61" s="7">
        <f t="shared" si="58"/>
        <v>-3.7862191551206712E-12</v>
      </c>
      <c r="CM61" s="7">
        <f t="shared" si="58"/>
        <v>-3.8442745154991888E-12</v>
      </c>
      <c r="CN61" s="7">
        <f t="shared" si="58"/>
        <v>-3.8183674481121288E-12</v>
      </c>
      <c r="CO61" s="7">
        <f t="shared" si="58"/>
        <v>-3.9187056593875196E-12</v>
      </c>
      <c r="CP61" s="7">
        <f t="shared" si="58"/>
        <v>-4.0218551790518376E-12</v>
      </c>
      <c r="CQ61" s="7">
        <f t="shared" si="58"/>
        <v>-4.083523625130632E-12</v>
      </c>
      <c r="CR61" s="7">
        <f t="shared" si="58"/>
        <v>-4.0560042267873601E-12</v>
      </c>
      <c r="CS61" s="7">
        <f t="shared" si="58"/>
        <v>-4.1625870045246059E-12</v>
      </c>
      <c r="CT61" s="7">
        <f t="shared" si="58"/>
        <v>-4.2721560529294189E-12</v>
      </c>
      <c r="CU61" s="7">
        <f t="shared" si="58"/>
        <v>-4.337662445741003E-12</v>
      </c>
      <c r="CV61" s="7">
        <f t="shared" si="58"/>
        <v>-4.3084303727370966E-12</v>
      </c>
      <c r="CW61" s="7">
        <f t="shared" si="58"/>
        <v>-4.4216463486429106E-12</v>
      </c>
      <c r="CX61" s="7">
        <f t="shared" si="58"/>
        <v>-4.5380344463035261E-12</v>
      </c>
      <c r="CY61" s="7">
        <f t="shared" si="58"/>
        <v>-4.607617641146847E-12</v>
      </c>
      <c r="CZ61" s="7">
        <f t="shared" si="58"/>
        <v>-4.6274170415903257E-12</v>
      </c>
      <c r="DA61" s="7">
        <f t="shared" si="58"/>
        <v>-4.6975995333877789E-12</v>
      </c>
      <c r="DB61" s="7">
        <f t="shared" si="58"/>
        <v>-4.8212513657940964E-12</v>
      </c>
      <c r="DC61" s="7">
        <f t="shared" si="58"/>
        <v>-4.8951772200696055E-12</v>
      </c>
      <c r="DD61" s="7">
        <f t="shared" si="58"/>
        <v>-4.8621879822821794E-12</v>
      </c>
      <c r="DE61" s="7">
        <f t="shared" si="58"/>
        <v>-4.9899554775943725E-12</v>
      </c>
      <c r="DF61" s="7">
        <f t="shared" si="58"/>
        <v>-5.1213028038287799E-12</v>
      </c>
      <c r="DG61" s="7">
        <f t="shared" si="58"/>
        <v>-5.1998294468208207E-12</v>
      </c>
      <c r="DH61" s="7">
        <f t="shared" si="58"/>
        <v>-5.1647871179400714E-12</v>
      </c>
      <c r="DI61" s="7">
        <f t="shared" si="58"/>
        <v>-5.3005062460948297E-12</v>
      </c>
      <c r="DJ61" s="7">
        <f t="shared" si="58"/>
        <v>-5.4400279965872744E-12</v>
      </c>
      <c r="DK61" s="7">
        <f t="shared" si="58"/>
        <v>-5.5234417592016132E-12</v>
      </c>
      <c r="DL61" s="7">
        <f t="shared" si="58"/>
        <v>-5.4862185647374278E-12</v>
      </c>
      <c r="DM61" s="7">
        <f t="shared" si="58"/>
        <v>-5.6303841970219176E-12</v>
      </c>
      <c r="DN61" s="7">
        <f t="shared" si="58"/>
        <v>-5.7785891085230152E-12</v>
      </c>
      <c r="DO61" s="7">
        <f t="shared" si="58"/>
        <v>-5.8671941415203677E-12</v>
      </c>
      <c r="DP61" s="7">
        <f t="shared" si="58"/>
        <v>-5.8924060699690751E-12</v>
      </c>
      <c r="DQ61" s="7">
        <f t="shared" si="58"/>
        <v>-5.981774228696939E-12</v>
      </c>
      <c r="DR61" s="7">
        <f t="shared" si="58"/>
        <v>-6.1392285496032262E-12</v>
      </c>
      <c r="DS61" s="7">
        <f t="shared" si="58"/>
        <v>-6.2333633873638092E-12</v>
      </c>
      <c r="DT61" s="7">
        <f t="shared" si="58"/>
        <v>-6.1913559384489657E-12</v>
      </c>
      <c r="DU61" s="7">
        <f t="shared" si="58"/>
        <v>-6.3540510139426528E-12</v>
      </c>
      <c r="DV61" s="7">
        <f t="shared" si="58"/>
        <v>-6.5213045325733925E-12</v>
      </c>
      <c r="DW61" s="7">
        <f t="shared" si="58"/>
        <v>-6.6212978687395183E-12</v>
      </c>
      <c r="DX61" s="7">
        <f t="shared" si="58"/>
        <v>-6.5766760787545336E-12</v>
      </c>
      <c r="DY61" s="7">
        <f t="shared" si="58"/>
        <v>-6.7494965112684725E-12</v>
      </c>
      <c r="DZ61" s="7">
        <f t="shared" si="58"/>
        <v>-6.9271590824405433E-12</v>
      </c>
      <c r="EA61" s="7">
        <f t="shared" si="58"/>
        <v>-7.0333755217046319E-12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78175.932587748233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-16.936273720604049</v>
      </c>
      <c r="N62" s="7">
        <f t="shared" si="59"/>
        <v>2665.5708304812952</v>
      </c>
      <c r="O62" s="7">
        <f t="shared" si="59"/>
        <v>2050.014446582969</v>
      </c>
      <c r="P62" s="7">
        <f t="shared" si="59"/>
        <v>458.31407396003328</v>
      </c>
      <c r="Q62" s="7">
        <f t="shared" si="59"/>
        <v>1205.4056598194848</v>
      </c>
      <c r="R62" s="7">
        <f t="shared" si="59"/>
        <v>2736.8256717885324</v>
      </c>
      <c r="S62" s="7">
        <f t="shared" si="59"/>
        <v>2125.6172339554769</v>
      </c>
      <c r="T62" s="7">
        <f t="shared" si="59"/>
        <v>541.11471548758607</v>
      </c>
      <c r="U62" s="7">
        <f t="shared" si="59"/>
        <v>1286.6891487326761</v>
      </c>
      <c r="V62" s="7">
        <f t="shared" si="59"/>
        <v>2812.8326347706097</v>
      </c>
      <c r="W62" s="7">
        <f t="shared" si="59"/>
        <v>2206.0286025882674</v>
      </c>
      <c r="X62" s="7">
        <f t="shared" si="59"/>
        <v>631.14275132388127</v>
      </c>
      <c r="Y62" s="7">
        <f t="shared" si="59"/>
        <v>1360.3776126108371</v>
      </c>
      <c r="Z62" s="7">
        <f t="shared" si="59"/>
        <v>2893.7297795533041</v>
      </c>
      <c r="AA62" s="7">
        <f t="shared" si="59"/>
        <v>2291.388806912661</v>
      </c>
      <c r="AB62" s="7">
        <f t="shared" si="59"/>
        <v>721.06031271967379</v>
      </c>
      <c r="AC62" s="7">
        <f t="shared" si="59"/>
        <v>1464.0302168809694</v>
      </c>
      <c r="AD62" s="7">
        <f t="shared" si="59"/>
        <v>2980.1227813855048</v>
      </c>
      <c r="AE62" s="7">
        <f t="shared" si="59"/>
        <v>2382.3128861112095</v>
      </c>
      <c r="AF62" s="7">
        <f t="shared" si="59"/>
        <v>818.95576430986296</v>
      </c>
      <c r="AG62" s="7">
        <f t="shared" si="59"/>
        <v>1560.8578087396195</v>
      </c>
      <c r="AH62" s="7">
        <f t="shared" si="59"/>
        <v>3072.1959078204695</v>
      </c>
      <c r="AI62" s="7">
        <f t="shared" si="59"/>
        <v>2478.9880096163715</v>
      </c>
      <c r="AJ62" s="7">
        <f t="shared" si="59"/>
        <v>922.52271575502664</v>
      </c>
      <c r="AK62" s="7">
        <f t="shared" si="59"/>
        <v>1663.5232755305003</v>
      </c>
      <c r="AL62" s="7">
        <f t="shared" si="59"/>
        <v>3170.2978738323477</v>
      </c>
      <c r="AM62" s="7">
        <f t="shared" si="59"/>
        <v>2581.7683153393846</v>
      </c>
      <c r="AN62" s="7">
        <f t="shared" si="59"/>
        <v>1039.4085984444559</v>
      </c>
      <c r="AO62" s="7">
        <f t="shared" si="59"/>
        <v>1760.3509018905556</v>
      </c>
      <c r="AP62" s="7">
        <f t="shared" ref="AP62:BU62" si="60" xml:space="preserve"> AP60 - AP61</f>
        <v>3274.7263558631266</v>
      </c>
      <c r="AQ62" s="7">
        <f t="shared" si="60"/>
        <v>2690.956119599824</v>
      </c>
      <c r="AR62" s="7">
        <f t="shared" si="60"/>
        <v>1148.0272146390239</v>
      </c>
      <c r="AS62" s="7">
        <f t="shared" si="60"/>
        <v>1887.7591585439841</v>
      </c>
      <c r="AT62" s="7">
        <f t="shared" si="60"/>
        <v>3386.0156087986566</v>
      </c>
      <c r="AU62" s="7">
        <f t="shared" si="60"/>
        <v>2807.0939442290801</v>
      </c>
      <c r="AV62" s="7">
        <f t="shared" si="60"/>
        <v>1270.8041836138932</v>
      </c>
      <c r="AW62" s="7">
        <f t="shared" si="60"/>
        <v>2010.1908514148263</v>
      </c>
      <c r="AX62" s="7">
        <f t="shared" si="60"/>
        <v>3504.514996593769</v>
      </c>
      <c r="AY62" s="7">
        <f t="shared" si="60"/>
        <v>2930.5365846655463</v>
      </c>
      <c r="AZ62" s="7">
        <f t="shared" si="60"/>
        <v>1400.7965065635724</v>
      </c>
      <c r="BA62" s="7">
        <f t="shared" si="60"/>
        <v>2.1415189621620815E-12</v>
      </c>
      <c r="BB62" s="7">
        <f t="shared" si="60"/>
        <v>2.1978887616569411E-12</v>
      </c>
      <c r="BC62" s="7">
        <f t="shared" si="60"/>
        <v>2.2315897226690144E-12</v>
      </c>
      <c r="BD62" s="7">
        <f t="shared" si="60"/>
        <v>2.2411790901004832E-12</v>
      </c>
      <c r="BE62" s="7">
        <f t="shared" si="60"/>
        <v>2.2751703063003407E-12</v>
      </c>
      <c r="BF62" s="7">
        <f t="shared" si="60"/>
        <v>2.3350581224947519E-12</v>
      </c>
      <c r="BG62" s="7">
        <f t="shared" si="60"/>
        <v>2.3708623470396712E-12</v>
      </c>
      <c r="BH62" s="7">
        <f t="shared" si="60"/>
        <v>2.3548847964400559E-12</v>
      </c>
      <c r="BI62" s="7">
        <f t="shared" si="60"/>
        <v>2.4167659358131753E-12</v>
      </c>
      <c r="BJ62" s="7">
        <f t="shared" si="60"/>
        <v>2.4803808809221625E-12</v>
      </c>
      <c r="BK62" s="7">
        <f t="shared" si="60"/>
        <v>2.518413387762969E-12</v>
      </c>
      <c r="BL62" s="7">
        <f t="shared" si="60"/>
        <v>2.5014414714541315E-12</v>
      </c>
      <c r="BM62" s="7">
        <f t="shared" si="60"/>
        <v>2.5671737945651209E-12</v>
      </c>
      <c r="BN62" s="7">
        <f t="shared" si="60"/>
        <v>2.6347478271209632E-12</v>
      </c>
      <c r="BO62" s="7">
        <f t="shared" si="60"/>
        <v>2.6751472938034846E-12</v>
      </c>
      <c r="BP62" s="7">
        <f t="shared" si="60"/>
        <v>2.6571191272582873E-12</v>
      </c>
      <c r="BQ62" s="7">
        <f t="shared" si="60"/>
        <v>2.7269423132134637E-12</v>
      </c>
      <c r="BR62" s="7">
        <f t="shared" si="60"/>
        <v>2.7987218277290387E-12</v>
      </c>
      <c r="BS62" s="7">
        <f t="shared" si="60"/>
        <v>2.8416355624208842E-12</v>
      </c>
      <c r="BT62" s="7">
        <f t="shared" si="60"/>
        <v>2.8538463587144753E-12</v>
      </c>
      <c r="BU62" s="7">
        <f t="shared" si="60"/>
        <v>2.8971296951549782E-12</v>
      </c>
      <c r="BV62" s="7">
        <f t="shared" ref="BV62:DA62" si="61" xml:space="preserve"> BV60 - BV61</f>
        <v>2.973388940537336E-12</v>
      </c>
      <c r="BW62" s="7">
        <f t="shared" si="61"/>
        <v>3.0189809042922421E-12</v>
      </c>
      <c r="BX62" s="7">
        <f t="shared" si="61"/>
        <v>2.9986355981980982E-12</v>
      </c>
      <c r="BY62" s="7">
        <f t="shared" si="61"/>
        <v>3.0774330780840822E-12</v>
      </c>
      <c r="BZ62" s="7">
        <f t="shared" si="61"/>
        <v>3.1584383311943835E-12</v>
      </c>
      <c r="CA62" s="7">
        <f t="shared" si="61"/>
        <v>3.2068677189393639E-12</v>
      </c>
      <c r="CB62" s="7">
        <f t="shared" si="61"/>
        <v>3.1852562190943375E-12</v>
      </c>
      <c r="CC62" s="7">
        <f t="shared" si="61"/>
        <v>3.2689576741849833E-12</v>
      </c>
      <c r="CD62" s="7">
        <f t="shared" si="61"/>
        <v>3.3550043036600507E-12</v>
      </c>
      <c r="CE62" s="7">
        <f t="shared" si="61"/>
        <v>3.4064477029828381E-12</v>
      </c>
      <c r="CF62" s="7">
        <f t="shared" si="61"/>
        <v>3.3834912075931711E-12</v>
      </c>
      <c r="CG62" s="7">
        <f t="shared" si="61"/>
        <v>3.4724018376593695E-12</v>
      </c>
      <c r="CH62" s="7">
        <f t="shared" si="61"/>
        <v>3.5638035944557806E-12</v>
      </c>
      <c r="CI62" s="7">
        <f t="shared" si="61"/>
        <v>3.6184485829041027E-12</v>
      </c>
      <c r="CJ62" s="7">
        <f t="shared" si="61"/>
        <v>3.633997423553828E-12</v>
      </c>
      <c r="CK62" s="7">
        <f t="shared" si="61"/>
        <v>3.6891130511443946E-12</v>
      </c>
      <c r="CL62" s="7">
        <f t="shared" si="61"/>
        <v>3.7862191551206712E-12</v>
      </c>
      <c r="CM62" s="7">
        <f t="shared" si="61"/>
        <v>3.8442745154991888E-12</v>
      </c>
      <c r="CN62" s="7">
        <f t="shared" si="61"/>
        <v>3.8183674481121288E-12</v>
      </c>
      <c r="CO62" s="7">
        <f t="shared" si="61"/>
        <v>3.9187056593875196E-12</v>
      </c>
      <c r="CP62" s="7">
        <f t="shared" si="61"/>
        <v>4.0218551790518376E-12</v>
      </c>
      <c r="CQ62" s="7">
        <f t="shared" si="61"/>
        <v>4.083523625130632E-12</v>
      </c>
      <c r="CR62" s="7">
        <f t="shared" si="61"/>
        <v>4.0560042267873601E-12</v>
      </c>
      <c r="CS62" s="7">
        <f t="shared" si="61"/>
        <v>4.1625870045246059E-12</v>
      </c>
      <c r="CT62" s="7">
        <f t="shared" si="61"/>
        <v>4.2721560529294189E-12</v>
      </c>
      <c r="CU62" s="7">
        <f t="shared" si="61"/>
        <v>4.337662445741003E-12</v>
      </c>
      <c r="CV62" s="7">
        <f t="shared" si="61"/>
        <v>4.3084303727370966E-12</v>
      </c>
      <c r="CW62" s="7">
        <f t="shared" si="61"/>
        <v>4.4216463486429106E-12</v>
      </c>
      <c r="CX62" s="7">
        <f t="shared" si="61"/>
        <v>4.5380344463035261E-12</v>
      </c>
      <c r="CY62" s="7">
        <f t="shared" si="61"/>
        <v>4.607617641146847E-12</v>
      </c>
      <c r="CZ62" s="7">
        <f t="shared" si="61"/>
        <v>4.6274170415903257E-12</v>
      </c>
      <c r="DA62" s="7">
        <f t="shared" si="61"/>
        <v>4.6975995333877789E-12</v>
      </c>
      <c r="DB62" s="7">
        <f t="shared" ref="DB62:EA62" si="62" xml:space="preserve"> DB60 - DB61</f>
        <v>4.8212513657940964E-12</v>
      </c>
      <c r="DC62" s="7">
        <f t="shared" si="62"/>
        <v>4.8951772200696055E-12</v>
      </c>
      <c r="DD62" s="7">
        <f t="shared" si="62"/>
        <v>4.8621879822821794E-12</v>
      </c>
      <c r="DE62" s="7">
        <f t="shared" si="62"/>
        <v>4.9899554775943725E-12</v>
      </c>
      <c r="DF62" s="7">
        <f t="shared" si="62"/>
        <v>5.1213028038287799E-12</v>
      </c>
      <c r="DG62" s="7">
        <f t="shared" si="62"/>
        <v>5.1998294468208207E-12</v>
      </c>
      <c r="DH62" s="7">
        <f t="shared" si="62"/>
        <v>5.1647871179400714E-12</v>
      </c>
      <c r="DI62" s="7">
        <f t="shared" si="62"/>
        <v>5.3005062460948297E-12</v>
      </c>
      <c r="DJ62" s="7">
        <f t="shared" si="62"/>
        <v>5.4400279965872744E-12</v>
      </c>
      <c r="DK62" s="7">
        <f t="shared" si="62"/>
        <v>5.5234417592016132E-12</v>
      </c>
      <c r="DL62" s="7">
        <f t="shared" si="62"/>
        <v>5.4862185647374278E-12</v>
      </c>
      <c r="DM62" s="7">
        <f t="shared" si="62"/>
        <v>5.6303841970219176E-12</v>
      </c>
      <c r="DN62" s="7">
        <f t="shared" si="62"/>
        <v>5.7785891085230152E-12</v>
      </c>
      <c r="DO62" s="7">
        <f t="shared" si="62"/>
        <v>5.8671941415203677E-12</v>
      </c>
      <c r="DP62" s="7">
        <f t="shared" si="62"/>
        <v>5.8924060699690751E-12</v>
      </c>
      <c r="DQ62" s="7">
        <f t="shared" si="62"/>
        <v>5.981774228696939E-12</v>
      </c>
      <c r="DR62" s="7">
        <f t="shared" si="62"/>
        <v>6.1392285496032262E-12</v>
      </c>
      <c r="DS62" s="7">
        <f t="shared" si="62"/>
        <v>6.2333633873638092E-12</v>
      </c>
      <c r="DT62" s="7">
        <f t="shared" si="62"/>
        <v>6.1913559384489657E-12</v>
      </c>
      <c r="DU62" s="7">
        <f t="shared" si="62"/>
        <v>6.3540510139426528E-12</v>
      </c>
      <c r="DV62" s="7">
        <f t="shared" si="62"/>
        <v>6.5213045325733925E-12</v>
      </c>
      <c r="DW62" s="7">
        <f t="shared" si="62"/>
        <v>6.6212978687395183E-12</v>
      </c>
      <c r="DX62" s="7">
        <f t="shared" si="62"/>
        <v>6.5766760787545336E-12</v>
      </c>
      <c r="DY62" s="7">
        <f t="shared" si="62"/>
        <v>6.7494965112684725E-12</v>
      </c>
      <c r="DZ62" s="7">
        <f t="shared" si="62"/>
        <v>6.9271590824405433E-12</v>
      </c>
      <c r="EA62" s="7">
        <f t="shared" si="62"/>
        <v>7.0333755217046319E-12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78175.932587748161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1954.398314693703</v>
      </c>
      <c r="N65" s="7">
        <f t="shared" si="63"/>
        <v>1954.398314693703</v>
      </c>
      <c r="O65" s="7">
        <f t="shared" si="63"/>
        <v>1954.398314693703</v>
      </c>
      <c r="P65" s="7">
        <f t="shared" si="63"/>
        <v>1954.398314693703</v>
      </c>
      <c r="Q65" s="7">
        <f t="shared" si="63"/>
        <v>1954.398314693703</v>
      </c>
      <c r="R65" s="7">
        <f t="shared" si="63"/>
        <v>1954.398314693703</v>
      </c>
      <c r="S65" s="7">
        <f t="shared" si="63"/>
        <v>1954.398314693703</v>
      </c>
      <c r="T65" s="7">
        <f t="shared" si="63"/>
        <v>1954.398314693703</v>
      </c>
      <c r="U65" s="7">
        <f t="shared" si="63"/>
        <v>1954.398314693703</v>
      </c>
      <c r="V65" s="7">
        <f t="shared" si="63"/>
        <v>1954.398314693703</v>
      </c>
      <c r="W65" s="7">
        <f t="shared" si="63"/>
        <v>1954.398314693703</v>
      </c>
      <c r="X65" s="7">
        <f t="shared" si="63"/>
        <v>1954.398314693703</v>
      </c>
      <c r="Y65" s="7">
        <f t="shared" si="63"/>
        <v>1954.398314693703</v>
      </c>
      <c r="Z65" s="7">
        <f t="shared" si="63"/>
        <v>1954.398314693703</v>
      </c>
      <c r="AA65" s="7">
        <f t="shared" si="63"/>
        <v>1954.398314693703</v>
      </c>
      <c r="AB65" s="7">
        <f t="shared" si="63"/>
        <v>1954.398314693703</v>
      </c>
      <c r="AC65" s="7">
        <f t="shared" si="63"/>
        <v>1954.398314693703</v>
      </c>
      <c r="AD65" s="7">
        <f t="shared" si="63"/>
        <v>1954.398314693703</v>
      </c>
      <c r="AE65" s="7">
        <f t="shared" si="63"/>
        <v>1954.398314693703</v>
      </c>
      <c r="AF65" s="7">
        <f t="shared" si="63"/>
        <v>1954.398314693703</v>
      </c>
      <c r="AG65" s="7">
        <f t="shared" si="63"/>
        <v>1954.398314693703</v>
      </c>
      <c r="AH65" s="7">
        <f t="shared" si="63"/>
        <v>1954.398314693703</v>
      </c>
      <c r="AI65" s="7">
        <f t="shared" si="63"/>
        <v>1954.398314693703</v>
      </c>
      <c r="AJ65" s="7">
        <f t="shared" si="63"/>
        <v>1954.398314693703</v>
      </c>
      <c r="AK65" s="7">
        <f t="shared" ref="AK65:BP65" si="64" xml:space="preserve"> AK$40</f>
        <v>1954.398314693703</v>
      </c>
      <c r="AL65" s="7">
        <f t="shared" si="64"/>
        <v>1954.398314693703</v>
      </c>
      <c r="AM65" s="7">
        <f t="shared" si="64"/>
        <v>1954.398314693703</v>
      </c>
      <c r="AN65" s="7">
        <f t="shared" si="64"/>
        <v>1954.398314693703</v>
      </c>
      <c r="AO65" s="7">
        <f t="shared" si="64"/>
        <v>1954.398314693703</v>
      </c>
      <c r="AP65" s="7">
        <f t="shared" si="64"/>
        <v>1954.398314693703</v>
      </c>
      <c r="AQ65" s="7">
        <f t="shared" si="64"/>
        <v>1954.398314693703</v>
      </c>
      <c r="AR65" s="7">
        <f t="shared" si="64"/>
        <v>1954.398314693703</v>
      </c>
      <c r="AS65" s="7">
        <f t="shared" si="64"/>
        <v>1954.398314693703</v>
      </c>
      <c r="AT65" s="7">
        <f t="shared" si="64"/>
        <v>1954.398314693703</v>
      </c>
      <c r="AU65" s="7">
        <f t="shared" si="64"/>
        <v>1954.398314693703</v>
      </c>
      <c r="AV65" s="7">
        <f t="shared" si="64"/>
        <v>1954.398314693703</v>
      </c>
      <c r="AW65" s="7">
        <f t="shared" si="64"/>
        <v>1954.398314693703</v>
      </c>
      <c r="AX65" s="7">
        <f t="shared" si="64"/>
        <v>1954.398314693703</v>
      </c>
      <c r="AY65" s="7">
        <f t="shared" si="64"/>
        <v>1954.398314693703</v>
      </c>
      <c r="AZ65" s="7">
        <f t="shared" si="64"/>
        <v>1954.398314693703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78435.179216192832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1438.0327280448973</v>
      </c>
      <c r="N66" s="6">
        <f t="shared" si="67"/>
        <v>1424.7437164165567</v>
      </c>
      <c r="O66" s="6">
        <f t="shared" si="67"/>
        <v>1465.6158024839367</v>
      </c>
      <c r="P66" s="6">
        <f t="shared" si="67"/>
        <v>1521.5417851930104</v>
      </c>
      <c r="Q66" s="6">
        <f t="shared" si="67"/>
        <v>1516.24666805067</v>
      </c>
      <c r="R66" s="6">
        <f t="shared" si="67"/>
        <v>1522.559726582828</v>
      </c>
      <c r="S66" s="6">
        <f t="shared" si="67"/>
        <v>1564.5243868835857</v>
      </c>
      <c r="T66" s="6">
        <f t="shared" si="67"/>
        <v>1619.4342247858635</v>
      </c>
      <c r="U66" s="6">
        <f t="shared" si="67"/>
        <v>1616.4826111466114</v>
      </c>
      <c r="V66" s="6">
        <f t="shared" si="67"/>
        <v>1625.1435103889471</v>
      </c>
      <c r="W66" s="6">
        <f t="shared" si="67"/>
        <v>1668.2736107887631</v>
      </c>
      <c r="X66" s="6">
        <f t="shared" si="67"/>
        <v>1712.1167920023336</v>
      </c>
      <c r="Y66" s="6">
        <f t="shared" si="67"/>
        <v>1721.6891237307457</v>
      </c>
      <c r="Z66" s="6">
        <f t="shared" si="67"/>
        <v>1732.6360282754488</v>
      </c>
      <c r="AA66" s="6">
        <f t="shared" si="67"/>
        <v>1777.0065515619326</v>
      </c>
      <c r="AB66" s="6">
        <f t="shared" si="67"/>
        <v>1829.7837855655607</v>
      </c>
      <c r="AC66" s="6">
        <f t="shared" si="67"/>
        <v>1831.8985641596587</v>
      </c>
      <c r="AD66" s="6">
        <f t="shared" si="67"/>
        <v>1845.6459013884701</v>
      </c>
      <c r="AE66" s="6">
        <f t="shared" si="67"/>
        <v>1891.3411173697145</v>
      </c>
      <c r="AF66" s="6">
        <f t="shared" si="67"/>
        <v>1942.9966785220213</v>
      </c>
      <c r="AG66" s="6">
        <f t="shared" si="67"/>
        <v>1947.8541258314199</v>
      </c>
      <c r="AH66" s="6">
        <f t="shared" si="67"/>
        <v>1964.3603897435119</v>
      </c>
      <c r="AI66" s="6">
        <f t="shared" si="67"/>
        <v>2011.4673936634256</v>
      </c>
      <c r="AJ66" s="6">
        <f t="shared" si="67"/>
        <v>2061.9616408793158</v>
      </c>
      <c r="AK66" s="6">
        <f t="shared" ref="AK66:BP66" si="68" xml:space="preserve"> AK$57</f>
        <v>2069.7116865340477</v>
      </c>
      <c r="AL66" s="6">
        <f t="shared" si="68"/>
        <v>2089.1312483439215</v>
      </c>
      <c r="AM66" s="6">
        <f t="shared" si="68"/>
        <v>2137.7424824093505</v>
      </c>
      <c r="AN66" s="6">
        <f t="shared" si="68"/>
        <v>2182.1814600820312</v>
      </c>
      <c r="AO66" s="6">
        <f t="shared" si="68"/>
        <v>2197.9458238251054</v>
      </c>
      <c r="AP66" s="6">
        <f t="shared" si="68"/>
        <v>2220.2592422496914</v>
      </c>
      <c r="AQ66" s="6">
        <f t="shared" si="68"/>
        <v>2270.4717130395929</v>
      </c>
      <c r="AR66" s="6">
        <f t="shared" si="68"/>
        <v>2318.5149532231444</v>
      </c>
      <c r="AS66" s="6">
        <f t="shared" si="68"/>
        <v>2332.5357428036591</v>
      </c>
      <c r="AT66" s="6">
        <f t="shared" si="68"/>
        <v>2358.2817645955961</v>
      </c>
      <c r="AU66" s="6">
        <f t="shared" si="68"/>
        <v>2410.2006705971758</v>
      </c>
      <c r="AV66" s="6">
        <f t="shared" si="68"/>
        <v>2456.9483921163055</v>
      </c>
      <c r="AW66" s="6">
        <f t="shared" si="68"/>
        <v>2474.3694483806407</v>
      </c>
      <c r="AX66" s="6">
        <f t="shared" si="68"/>
        <v>2503.5513682791284</v>
      </c>
      <c r="AY66" s="6">
        <f t="shared" si="68"/>
        <v>2557.2872648935663</v>
      </c>
      <c r="AZ66" s="6">
        <f t="shared" si="68"/>
        <v>2602.6890913606258</v>
      </c>
      <c r="BA66" s="6">
        <f t="shared" si="68"/>
        <v>2.1415189621620815E-12</v>
      </c>
      <c r="BB66" s="6">
        <f t="shared" si="68"/>
        <v>2.1978887616569411E-12</v>
      </c>
      <c r="BC66" s="6">
        <f t="shared" si="68"/>
        <v>2.2315897226690144E-12</v>
      </c>
      <c r="BD66" s="6">
        <f t="shared" si="68"/>
        <v>2.2411790901004832E-12</v>
      </c>
      <c r="BE66" s="6">
        <f t="shared" si="68"/>
        <v>2.2751703063003407E-12</v>
      </c>
      <c r="BF66" s="6">
        <f t="shared" si="68"/>
        <v>2.3350581224947519E-12</v>
      </c>
      <c r="BG66" s="6">
        <f t="shared" si="68"/>
        <v>2.3708623470396712E-12</v>
      </c>
      <c r="BH66" s="6">
        <f t="shared" si="68"/>
        <v>2.3548847964400559E-12</v>
      </c>
      <c r="BI66" s="6">
        <f t="shared" si="68"/>
        <v>2.4167659358131753E-12</v>
      </c>
      <c r="BJ66" s="6">
        <f t="shared" si="68"/>
        <v>2.4803808809221625E-12</v>
      </c>
      <c r="BK66" s="6">
        <f t="shared" si="68"/>
        <v>2.518413387762969E-12</v>
      </c>
      <c r="BL66" s="6">
        <f t="shared" si="68"/>
        <v>2.5014414714541315E-12</v>
      </c>
      <c r="BM66" s="6">
        <f t="shared" si="68"/>
        <v>2.5671737945651209E-12</v>
      </c>
      <c r="BN66" s="6">
        <f t="shared" si="68"/>
        <v>2.6347478271209632E-12</v>
      </c>
      <c r="BO66" s="6">
        <f t="shared" si="68"/>
        <v>2.6751472938034846E-12</v>
      </c>
      <c r="BP66" s="6">
        <f t="shared" si="68"/>
        <v>2.6571191272582873E-12</v>
      </c>
      <c r="BQ66" s="6">
        <f t="shared" ref="BQ66:CV66" si="69" xml:space="preserve"> BQ$57</f>
        <v>2.7269423132134637E-12</v>
      </c>
      <c r="BR66" s="6">
        <f t="shared" si="69"/>
        <v>2.7987218277290387E-12</v>
      </c>
      <c r="BS66" s="6">
        <f t="shared" si="69"/>
        <v>2.8416355624208842E-12</v>
      </c>
      <c r="BT66" s="6">
        <f t="shared" si="69"/>
        <v>2.8538463587144753E-12</v>
      </c>
      <c r="BU66" s="6">
        <f t="shared" si="69"/>
        <v>2.8971296951549782E-12</v>
      </c>
      <c r="BV66" s="6">
        <f t="shared" si="69"/>
        <v>2.973388940537336E-12</v>
      </c>
      <c r="BW66" s="6">
        <f t="shared" si="69"/>
        <v>3.0189809042922421E-12</v>
      </c>
      <c r="BX66" s="6">
        <f t="shared" si="69"/>
        <v>2.9986355981980982E-12</v>
      </c>
      <c r="BY66" s="6">
        <f t="shared" si="69"/>
        <v>3.0774330780840822E-12</v>
      </c>
      <c r="BZ66" s="6">
        <f t="shared" si="69"/>
        <v>3.1584383311943835E-12</v>
      </c>
      <c r="CA66" s="6">
        <f t="shared" si="69"/>
        <v>3.2068677189393639E-12</v>
      </c>
      <c r="CB66" s="6">
        <f t="shared" si="69"/>
        <v>3.1852562190943375E-12</v>
      </c>
      <c r="CC66" s="6">
        <f t="shared" si="69"/>
        <v>3.2689576741849833E-12</v>
      </c>
      <c r="CD66" s="6">
        <f t="shared" si="69"/>
        <v>3.3550043036600507E-12</v>
      </c>
      <c r="CE66" s="6">
        <f t="shared" si="69"/>
        <v>3.4064477029828381E-12</v>
      </c>
      <c r="CF66" s="6">
        <f t="shared" si="69"/>
        <v>3.3834912075931711E-12</v>
      </c>
      <c r="CG66" s="6">
        <f t="shared" si="69"/>
        <v>3.4724018376593695E-12</v>
      </c>
      <c r="CH66" s="6">
        <f t="shared" si="69"/>
        <v>3.5638035944557806E-12</v>
      </c>
      <c r="CI66" s="6">
        <f t="shared" si="69"/>
        <v>3.6184485829041027E-12</v>
      </c>
      <c r="CJ66" s="6">
        <f t="shared" si="69"/>
        <v>3.633997423553828E-12</v>
      </c>
      <c r="CK66" s="6">
        <f t="shared" si="69"/>
        <v>3.6891130511443946E-12</v>
      </c>
      <c r="CL66" s="6">
        <f t="shared" si="69"/>
        <v>3.7862191551206712E-12</v>
      </c>
      <c r="CM66" s="6">
        <f t="shared" si="69"/>
        <v>3.8442745154991888E-12</v>
      </c>
      <c r="CN66" s="6">
        <f t="shared" si="69"/>
        <v>3.8183674481121288E-12</v>
      </c>
      <c r="CO66" s="6">
        <f t="shared" si="69"/>
        <v>3.9187056593875196E-12</v>
      </c>
      <c r="CP66" s="6">
        <f t="shared" si="69"/>
        <v>4.0218551790518376E-12</v>
      </c>
      <c r="CQ66" s="6">
        <f t="shared" si="69"/>
        <v>4.083523625130632E-12</v>
      </c>
      <c r="CR66" s="6">
        <f t="shared" si="69"/>
        <v>4.0560042267873601E-12</v>
      </c>
      <c r="CS66" s="6">
        <f t="shared" si="69"/>
        <v>4.1625870045246059E-12</v>
      </c>
      <c r="CT66" s="6">
        <f t="shared" si="69"/>
        <v>4.2721560529294189E-12</v>
      </c>
      <c r="CU66" s="6">
        <f t="shared" si="69"/>
        <v>4.337662445741003E-12</v>
      </c>
      <c r="CV66" s="6">
        <f t="shared" si="69"/>
        <v>4.3084303727370966E-12</v>
      </c>
      <c r="CW66" s="6">
        <f t="shared" ref="CW66:EA66" si="70" xml:space="preserve"> CW$57</f>
        <v>4.4216463486429106E-12</v>
      </c>
      <c r="CX66" s="6">
        <f t="shared" si="70"/>
        <v>4.5380344463035261E-12</v>
      </c>
      <c r="CY66" s="6">
        <f t="shared" si="70"/>
        <v>4.607617641146847E-12</v>
      </c>
      <c r="CZ66" s="6">
        <f t="shared" si="70"/>
        <v>4.6274170415903257E-12</v>
      </c>
      <c r="DA66" s="6">
        <f t="shared" si="70"/>
        <v>4.6975995333877789E-12</v>
      </c>
      <c r="DB66" s="6">
        <f t="shared" si="70"/>
        <v>4.8212513657940964E-12</v>
      </c>
      <c r="DC66" s="6">
        <f t="shared" si="70"/>
        <v>4.8951772200696055E-12</v>
      </c>
      <c r="DD66" s="6">
        <f t="shared" si="70"/>
        <v>4.8621879822821794E-12</v>
      </c>
      <c r="DE66" s="6">
        <f t="shared" si="70"/>
        <v>4.9899554775943725E-12</v>
      </c>
      <c r="DF66" s="6">
        <f t="shared" si="70"/>
        <v>5.1213028038287799E-12</v>
      </c>
      <c r="DG66" s="6">
        <f t="shared" si="70"/>
        <v>5.1998294468208207E-12</v>
      </c>
      <c r="DH66" s="6">
        <f t="shared" si="70"/>
        <v>5.1647871179400714E-12</v>
      </c>
      <c r="DI66" s="6">
        <f t="shared" si="70"/>
        <v>5.3005062460948297E-12</v>
      </c>
      <c r="DJ66" s="6">
        <f t="shared" si="70"/>
        <v>5.4400279965872744E-12</v>
      </c>
      <c r="DK66" s="6">
        <f t="shared" si="70"/>
        <v>5.5234417592016132E-12</v>
      </c>
      <c r="DL66" s="6">
        <f t="shared" si="70"/>
        <v>5.4862185647374278E-12</v>
      </c>
      <c r="DM66" s="6">
        <f t="shared" si="70"/>
        <v>5.6303841970219176E-12</v>
      </c>
      <c r="DN66" s="6">
        <f t="shared" si="70"/>
        <v>5.7785891085230152E-12</v>
      </c>
      <c r="DO66" s="6">
        <f t="shared" si="70"/>
        <v>5.8671941415203677E-12</v>
      </c>
      <c r="DP66" s="6">
        <f t="shared" si="70"/>
        <v>5.8924060699690751E-12</v>
      </c>
      <c r="DQ66" s="6">
        <f t="shared" si="70"/>
        <v>5.981774228696939E-12</v>
      </c>
      <c r="DR66" s="6">
        <f t="shared" si="70"/>
        <v>6.1392285496032262E-12</v>
      </c>
      <c r="DS66" s="6">
        <f t="shared" si="70"/>
        <v>6.2333633873638092E-12</v>
      </c>
      <c r="DT66" s="6">
        <f t="shared" si="70"/>
        <v>6.1913559384489657E-12</v>
      </c>
      <c r="DU66" s="6">
        <f t="shared" si="70"/>
        <v>6.3540510139426528E-12</v>
      </c>
      <c r="DV66" s="6">
        <f t="shared" si="70"/>
        <v>6.5213045325733925E-12</v>
      </c>
      <c r="DW66" s="6">
        <f t="shared" si="70"/>
        <v>6.6212978687395183E-12</v>
      </c>
      <c r="DX66" s="6">
        <f t="shared" si="70"/>
        <v>6.5766760787545336E-12</v>
      </c>
      <c r="DY66" s="6">
        <f t="shared" si="70"/>
        <v>6.7494965112684725E-12</v>
      </c>
      <c r="DZ66" s="6">
        <f t="shared" si="70"/>
        <v>6.9271590824405433E-12</v>
      </c>
      <c r="EA66" s="6">
        <f t="shared" si="70"/>
        <v>7.0333755217046319E-12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78175.932587748233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-16.936273720604049</v>
      </c>
      <c r="N67" s="6">
        <f t="shared" si="71"/>
        <v>2665.5708304812952</v>
      </c>
      <c r="O67" s="6">
        <f t="shared" si="71"/>
        <v>2050.014446582969</v>
      </c>
      <c r="P67" s="6">
        <f t="shared" si="71"/>
        <v>458.31407396003328</v>
      </c>
      <c r="Q67" s="6">
        <f t="shared" si="71"/>
        <v>1205.4056598194848</v>
      </c>
      <c r="R67" s="6">
        <f t="shared" si="71"/>
        <v>2736.8256717885324</v>
      </c>
      <c r="S67" s="6">
        <f t="shared" si="71"/>
        <v>2125.6172339554769</v>
      </c>
      <c r="T67" s="6">
        <f t="shared" si="71"/>
        <v>541.11471548758607</v>
      </c>
      <c r="U67" s="6">
        <f t="shared" si="71"/>
        <v>1286.6891487326761</v>
      </c>
      <c r="V67" s="6">
        <f t="shared" si="71"/>
        <v>2812.8326347706097</v>
      </c>
      <c r="W67" s="6">
        <f t="shared" si="71"/>
        <v>2206.0286025882674</v>
      </c>
      <c r="X67" s="6">
        <f t="shared" si="71"/>
        <v>631.14275132388127</v>
      </c>
      <c r="Y67" s="6">
        <f t="shared" si="71"/>
        <v>1360.3776126108371</v>
      </c>
      <c r="Z67" s="6">
        <f t="shared" si="71"/>
        <v>2893.7297795533041</v>
      </c>
      <c r="AA67" s="6">
        <f t="shared" si="71"/>
        <v>2291.388806912661</v>
      </c>
      <c r="AB67" s="6">
        <f t="shared" si="71"/>
        <v>721.06031271967379</v>
      </c>
      <c r="AC67" s="6">
        <f t="shared" si="71"/>
        <v>1464.0302168809694</v>
      </c>
      <c r="AD67" s="6">
        <f t="shared" si="71"/>
        <v>2980.1227813855048</v>
      </c>
      <c r="AE67" s="6">
        <f t="shared" si="71"/>
        <v>2382.3128861112095</v>
      </c>
      <c r="AF67" s="6">
        <f t="shared" si="71"/>
        <v>818.95576430986296</v>
      </c>
      <c r="AG67" s="6">
        <f t="shared" si="71"/>
        <v>1560.8578087396195</v>
      </c>
      <c r="AH67" s="6">
        <f t="shared" si="71"/>
        <v>3072.1959078204695</v>
      </c>
      <c r="AI67" s="6">
        <f t="shared" si="71"/>
        <v>2478.9880096163715</v>
      </c>
      <c r="AJ67" s="6">
        <f t="shared" si="71"/>
        <v>922.52271575502664</v>
      </c>
      <c r="AK67" s="6">
        <f t="shared" ref="AK67:BP67" si="72" xml:space="preserve"> AK$62</f>
        <v>1663.5232755305003</v>
      </c>
      <c r="AL67" s="6">
        <f t="shared" si="72"/>
        <v>3170.2978738323477</v>
      </c>
      <c r="AM67" s="6">
        <f t="shared" si="72"/>
        <v>2581.7683153393846</v>
      </c>
      <c r="AN67" s="6">
        <f t="shared" si="72"/>
        <v>1039.4085984444559</v>
      </c>
      <c r="AO67" s="6">
        <f t="shared" si="72"/>
        <v>1760.3509018905556</v>
      </c>
      <c r="AP67" s="6">
        <f t="shared" si="72"/>
        <v>3274.7263558631266</v>
      </c>
      <c r="AQ67" s="6">
        <f t="shared" si="72"/>
        <v>2690.956119599824</v>
      </c>
      <c r="AR67" s="6">
        <f t="shared" si="72"/>
        <v>1148.0272146390239</v>
      </c>
      <c r="AS67" s="6">
        <f t="shared" si="72"/>
        <v>1887.7591585439841</v>
      </c>
      <c r="AT67" s="6">
        <f t="shared" si="72"/>
        <v>3386.0156087986566</v>
      </c>
      <c r="AU67" s="6">
        <f t="shared" si="72"/>
        <v>2807.0939442290801</v>
      </c>
      <c r="AV67" s="6">
        <f t="shared" si="72"/>
        <v>1270.8041836138932</v>
      </c>
      <c r="AW67" s="6">
        <f t="shared" si="72"/>
        <v>2010.1908514148263</v>
      </c>
      <c r="AX67" s="6">
        <f t="shared" si="72"/>
        <v>3504.514996593769</v>
      </c>
      <c r="AY67" s="6">
        <f t="shared" si="72"/>
        <v>2930.5365846655463</v>
      </c>
      <c r="AZ67" s="6">
        <f t="shared" si="72"/>
        <v>1400.7965065635724</v>
      </c>
      <c r="BA67" s="6">
        <f t="shared" si="72"/>
        <v>2.1415189621620815E-12</v>
      </c>
      <c r="BB67" s="6">
        <f t="shared" si="72"/>
        <v>2.1978887616569411E-12</v>
      </c>
      <c r="BC67" s="6">
        <f t="shared" si="72"/>
        <v>2.2315897226690144E-12</v>
      </c>
      <c r="BD67" s="6">
        <f t="shared" si="72"/>
        <v>2.2411790901004832E-12</v>
      </c>
      <c r="BE67" s="6">
        <f t="shared" si="72"/>
        <v>2.2751703063003407E-12</v>
      </c>
      <c r="BF67" s="6">
        <f t="shared" si="72"/>
        <v>2.3350581224947519E-12</v>
      </c>
      <c r="BG67" s="6">
        <f t="shared" si="72"/>
        <v>2.3708623470396712E-12</v>
      </c>
      <c r="BH67" s="6">
        <f t="shared" si="72"/>
        <v>2.3548847964400559E-12</v>
      </c>
      <c r="BI67" s="6">
        <f t="shared" si="72"/>
        <v>2.4167659358131753E-12</v>
      </c>
      <c r="BJ67" s="6">
        <f t="shared" si="72"/>
        <v>2.4803808809221625E-12</v>
      </c>
      <c r="BK67" s="6">
        <f t="shared" si="72"/>
        <v>2.518413387762969E-12</v>
      </c>
      <c r="BL67" s="6">
        <f t="shared" si="72"/>
        <v>2.5014414714541315E-12</v>
      </c>
      <c r="BM67" s="6">
        <f t="shared" si="72"/>
        <v>2.5671737945651209E-12</v>
      </c>
      <c r="BN67" s="6">
        <f t="shared" si="72"/>
        <v>2.6347478271209632E-12</v>
      </c>
      <c r="BO67" s="6">
        <f t="shared" si="72"/>
        <v>2.6751472938034846E-12</v>
      </c>
      <c r="BP67" s="6">
        <f t="shared" si="72"/>
        <v>2.6571191272582873E-12</v>
      </c>
      <c r="BQ67" s="6">
        <f t="shared" ref="BQ67:CV67" si="73" xml:space="preserve"> BQ$62</f>
        <v>2.7269423132134637E-12</v>
      </c>
      <c r="BR67" s="6">
        <f t="shared" si="73"/>
        <v>2.7987218277290387E-12</v>
      </c>
      <c r="BS67" s="6">
        <f t="shared" si="73"/>
        <v>2.8416355624208842E-12</v>
      </c>
      <c r="BT67" s="6">
        <f t="shared" si="73"/>
        <v>2.8538463587144753E-12</v>
      </c>
      <c r="BU67" s="6">
        <f t="shared" si="73"/>
        <v>2.8971296951549782E-12</v>
      </c>
      <c r="BV67" s="6">
        <f t="shared" si="73"/>
        <v>2.973388940537336E-12</v>
      </c>
      <c r="BW67" s="6">
        <f t="shared" si="73"/>
        <v>3.0189809042922421E-12</v>
      </c>
      <c r="BX67" s="6">
        <f t="shared" si="73"/>
        <v>2.9986355981980982E-12</v>
      </c>
      <c r="BY67" s="6">
        <f t="shared" si="73"/>
        <v>3.0774330780840822E-12</v>
      </c>
      <c r="BZ67" s="6">
        <f t="shared" si="73"/>
        <v>3.1584383311943835E-12</v>
      </c>
      <c r="CA67" s="6">
        <f t="shared" si="73"/>
        <v>3.2068677189393639E-12</v>
      </c>
      <c r="CB67" s="6">
        <f t="shared" si="73"/>
        <v>3.1852562190943375E-12</v>
      </c>
      <c r="CC67" s="6">
        <f t="shared" si="73"/>
        <v>3.2689576741849833E-12</v>
      </c>
      <c r="CD67" s="6">
        <f t="shared" si="73"/>
        <v>3.3550043036600507E-12</v>
      </c>
      <c r="CE67" s="6">
        <f t="shared" si="73"/>
        <v>3.4064477029828381E-12</v>
      </c>
      <c r="CF67" s="6">
        <f t="shared" si="73"/>
        <v>3.3834912075931711E-12</v>
      </c>
      <c r="CG67" s="6">
        <f t="shared" si="73"/>
        <v>3.4724018376593695E-12</v>
      </c>
      <c r="CH67" s="6">
        <f t="shared" si="73"/>
        <v>3.5638035944557806E-12</v>
      </c>
      <c r="CI67" s="6">
        <f t="shared" si="73"/>
        <v>3.6184485829041027E-12</v>
      </c>
      <c r="CJ67" s="6">
        <f t="shared" si="73"/>
        <v>3.633997423553828E-12</v>
      </c>
      <c r="CK67" s="6">
        <f t="shared" si="73"/>
        <v>3.6891130511443946E-12</v>
      </c>
      <c r="CL67" s="6">
        <f t="shared" si="73"/>
        <v>3.7862191551206712E-12</v>
      </c>
      <c r="CM67" s="6">
        <f t="shared" si="73"/>
        <v>3.8442745154991888E-12</v>
      </c>
      <c r="CN67" s="6">
        <f t="shared" si="73"/>
        <v>3.8183674481121288E-12</v>
      </c>
      <c r="CO67" s="6">
        <f t="shared" si="73"/>
        <v>3.9187056593875196E-12</v>
      </c>
      <c r="CP67" s="6">
        <f t="shared" si="73"/>
        <v>4.0218551790518376E-12</v>
      </c>
      <c r="CQ67" s="6">
        <f t="shared" si="73"/>
        <v>4.083523625130632E-12</v>
      </c>
      <c r="CR67" s="6">
        <f t="shared" si="73"/>
        <v>4.0560042267873601E-12</v>
      </c>
      <c r="CS67" s="6">
        <f t="shared" si="73"/>
        <v>4.1625870045246059E-12</v>
      </c>
      <c r="CT67" s="6">
        <f t="shared" si="73"/>
        <v>4.2721560529294189E-12</v>
      </c>
      <c r="CU67" s="6">
        <f t="shared" si="73"/>
        <v>4.337662445741003E-12</v>
      </c>
      <c r="CV67" s="6">
        <f t="shared" si="73"/>
        <v>4.3084303727370966E-12</v>
      </c>
      <c r="CW67" s="6">
        <f t="shared" ref="CW67:EA67" si="74" xml:space="preserve"> CW$62</f>
        <v>4.4216463486429106E-12</v>
      </c>
      <c r="CX67" s="6">
        <f t="shared" si="74"/>
        <v>4.5380344463035261E-12</v>
      </c>
      <c r="CY67" s="6">
        <f t="shared" si="74"/>
        <v>4.607617641146847E-12</v>
      </c>
      <c r="CZ67" s="6">
        <f t="shared" si="74"/>
        <v>4.6274170415903257E-12</v>
      </c>
      <c r="DA67" s="6">
        <f t="shared" si="74"/>
        <v>4.6975995333877789E-12</v>
      </c>
      <c r="DB67" s="6">
        <f t="shared" si="74"/>
        <v>4.8212513657940964E-12</v>
      </c>
      <c r="DC67" s="6">
        <f t="shared" si="74"/>
        <v>4.8951772200696055E-12</v>
      </c>
      <c r="DD67" s="6">
        <f t="shared" si="74"/>
        <v>4.8621879822821794E-12</v>
      </c>
      <c r="DE67" s="6">
        <f t="shared" si="74"/>
        <v>4.9899554775943725E-12</v>
      </c>
      <c r="DF67" s="6">
        <f t="shared" si="74"/>
        <v>5.1213028038287799E-12</v>
      </c>
      <c r="DG67" s="6">
        <f t="shared" si="74"/>
        <v>5.1998294468208207E-12</v>
      </c>
      <c r="DH67" s="6">
        <f t="shared" si="74"/>
        <v>5.1647871179400714E-12</v>
      </c>
      <c r="DI67" s="6">
        <f t="shared" si="74"/>
        <v>5.3005062460948297E-12</v>
      </c>
      <c r="DJ67" s="6">
        <f t="shared" si="74"/>
        <v>5.4400279965872744E-12</v>
      </c>
      <c r="DK67" s="6">
        <f t="shared" si="74"/>
        <v>5.5234417592016132E-12</v>
      </c>
      <c r="DL67" s="6">
        <f t="shared" si="74"/>
        <v>5.4862185647374278E-12</v>
      </c>
      <c r="DM67" s="6">
        <f t="shared" si="74"/>
        <v>5.6303841970219176E-12</v>
      </c>
      <c r="DN67" s="6">
        <f t="shared" si="74"/>
        <v>5.7785891085230152E-12</v>
      </c>
      <c r="DO67" s="6">
        <f t="shared" si="74"/>
        <v>5.8671941415203677E-12</v>
      </c>
      <c r="DP67" s="6">
        <f t="shared" si="74"/>
        <v>5.8924060699690751E-12</v>
      </c>
      <c r="DQ67" s="6">
        <f t="shared" si="74"/>
        <v>5.981774228696939E-12</v>
      </c>
      <c r="DR67" s="6">
        <f t="shared" si="74"/>
        <v>6.1392285496032262E-12</v>
      </c>
      <c r="DS67" s="6">
        <f t="shared" si="74"/>
        <v>6.2333633873638092E-12</v>
      </c>
      <c r="DT67" s="6">
        <f t="shared" si="74"/>
        <v>6.1913559384489657E-12</v>
      </c>
      <c r="DU67" s="6">
        <f t="shared" si="74"/>
        <v>6.3540510139426528E-12</v>
      </c>
      <c r="DV67" s="6">
        <f t="shared" si="74"/>
        <v>6.5213045325733925E-12</v>
      </c>
      <c r="DW67" s="6">
        <f t="shared" si="74"/>
        <v>6.6212978687395183E-12</v>
      </c>
      <c r="DX67" s="6">
        <f t="shared" si="74"/>
        <v>6.5766760787545336E-12</v>
      </c>
      <c r="DY67" s="6">
        <f t="shared" si="74"/>
        <v>6.7494965112684725E-12</v>
      </c>
      <c r="DZ67" s="6">
        <f t="shared" si="74"/>
        <v>6.9271590824405433E-12</v>
      </c>
      <c r="EA67" s="6">
        <f t="shared" si="74"/>
        <v>7.0333755217046319E-12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78175.932587748233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-16.936273720604049</v>
      </c>
      <c r="N68" s="7">
        <f t="shared" si="75"/>
        <v>2665.5708304812952</v>
      </c>
      <c r="O68" s="7">
        <f t="shared" si="75"/>
        <v>2050.014446582969</v>
      </c>
      <c r="P68" s="7">
        <f t="shared" si="75"/>
        <v>458.31407396003328</v>
      </c>
      <c r="Q68" s="7">
        <f t="shared" si="75"/>
        <v>1205.4056598194848</v>
      </c>
      <c r="R68" s="7">
        <f t="shared" si="75"/>
        <v>2736.8256717885324</v>
      </c>
      <c r="S68" s="7">
        <f t="shared" si="75"/>
        <v>2125.6172339554769</v>
      </c>
      <c r="T68" s="7">
        <f t="shared" si="75"/>
        <v>541.11471548758607</v>
      </c>
      <c r="U68" s="7">
        <f t="shared" si="75"/>
        <v>1286.6891487326761</v>
      </c>
      <c r="V68" s="7">
        <f t="shared" si="75"/>
        <v>2812.8326347706097</v>
      </c>
      <c r="W68" s="7">
        <f t="shared" si="75"/>
        <v>2206.0286025882674</v>
      </c>
      <c r="X68" s="7">
        <f t="shared" si="75"/>
        <v>631.14275132388127</v>
      </c>
      <c r="Y68" s="7">
        <f t="shared" si="75"/>
        <v>1360.3776126108371</v>
      </c>
      <c r="Z68" s="7">
        <f t="shared" si="75"/>
        <v>2893.7297795533041</v>
      </c>
      <c r="AA68" s="7">
        <f t="shared" si="75"/>
        <v>2291.388806912661</v>
      </c>
      <c r="AB68" s="7">
        <f t="shared" si="75"/>
        <v>721.06031271967379</v>
      </c>
      <c r="AC68" s="7">
        <f t="shared" si="75"/>
        <v>1464.0302168809694</v>
      </c>
      <c r="AD68" s="7">
        <f t="shared" si="75"/>
        <v>2980.1227813855048</v>
      </c>
      <c r="AE68" s="7">
        <f t="shared" si="75"/>
        <v>2382.3128861112095</v>
      </c>
      <c r="AF68" s="7">
        <f t="shared" si="75"/>
        <v>818.95576430986296</v>
      </c>
      <c r="AG68" s="7">
        <f t="shared" si="75"/>
        <v>1560.8578087396195</v>
      </c>
      <c r="AH68" s="7">
        <f t="shared" si="75"/>
        <v>3072.1959078204695</v>
      </c>
      <c r="AI68" s="7">
        <f t="shared" si="75"/>
        <v>2478.9880096163715</v>
      </c>
      <c r="AJ68" s="7">
        <f t="shared" si="75"/>
        <v>922.52271575502664</v>
      </c>
      <c r="AK68" s="7">
        <f t="shared" si="75"/>
        <v>1663.5232755305003</v>
      </c>
      <c r="AL68" s="7">
        <f t="shared" si="75"/>
        <v>3170.2978738323477</v>
      </c>
      <c r="AM68" s="7">
        <f t="shared" si="75"/>
        <v>2581.7683153393846</v>
      </c>
      <c r="AN68" s="7">
        <f t="shared" si="75"/>
        <v>1039.4085984444559</v>
      </c>
      <c r="AO68" s="7">
        <f t="shared" si="75"/>
        <v>1760.3509018905556</v>
      </c>
      <c r="AP68" s="7">
        <f t="shared" ref="AP68:BU68" si="76" xml:space="preserve"> INDEX(AP65:AP67, $F64)</f>
        <v>3274.7263558631266</v>
      </c>
      <c r="AQ68" s="7">
        <f t="shared" si="76"/>
        <v>2690.956119599824</v>
      </c>
      <c r="AR68" s="7">
        <f t="shared" si="76"/>
        <v>1148.0272146390239</v>
      </c>
      <c r="AS68" s="7">
        <f t="shared" si="76"/>
        <v>1887.7591585439841</v>
      </c>
      <c r="AT68" s="7">
        <f t="shared" si="76"/>
        <v>3386.0156087986566</v>
      </c>
      <c r="AU68" s="7">
        <f t="shared" si="76"/>
        <v>2807.0939442290801</v>
      </c>
      <c r="AV68" s="7">
        <f t="shared" si="76"/>
        <v>1270.8041836138932</v>
      </c>
      <c r="AW68" s="7">
        <f t="shared" si="76"/>
        <v>2010.1908514148263</v>
      </c>
      <c r="AX68" s="7">
        <f t="shared" si="76"/>
        <v>3504.514996593769</v>
      </c>
      <c r="AY68" s="7">
        <f t="shared" si="76"/>
        <v>2930.5365846655463</v>
      </c>
      <c r="AZ68" s="7">
        <f t="shared" si="76"/>
        <v>1400.7965065635724</v>
      </c>
      <c r="BA68" s="7">
        <f t="shared" si="76"/>
        <v>2.1415189621620815E-12</v>
      </c>
      <c r="BB68" s="7">
        <f t="shared" si="76"/>
        <v>2.1978887616569411E-12</v>
      </c>
      <c r="BC68" s="7">
        <f t="shared" si="76"/>
        <v>2.2315897226690144E-12</v>
      </c>
      <c r="BD68" s="7">
        <f t="shared" si="76"/>
        <v>2.2411790901004832E-12</v>
      </c>
      <c r="BE68" s="7">
        <f t="shared" si="76"/>
        <v>2.2751703063003407E-12</v>
      </c>
      <c r="BF68" s="7">
        <f t="shared" si="76"/>
        <v>2.3350581224947519E-12</v>
      </c>
      <c r="BG68" s="7">
        <f t="shared" si="76"/>
        <v>2.3708623470396712E-12</v>
      </c>
      <c r="BH68" s="7">
        <f t="shared" si="76"/>
        <v>2.3548847964400559E-12</v>
      </c>
      <c r="BI68" s="7">
        <f t="shared" si="76"/>
        <v>2.4167659358131753E-12</v>
      </c>
      <c r="BJ68" s="7">
        <f t="shared" si="76"/>
        <v>2.4803808809221625E-12</v>
      </c>
      <c r="BK68" s="7">
        <f t="shared" si="76"/>
        <v>2.518413387762969E-12</v>
      </c>
      <c r="BL68" s="7">
        <f t="shared" si="76"/>
        <v>2.5014414714541315E-12</v>
      </c>
      <c r="BM68" s="7">
        <f t="shared" si="76"/>
        <v>2.5671737945651209E-12</v>
      </c>
      <c r="BN68" s="7">
        <f t="shared" si="76"/>
        <v>2.6347478271209632E-12</v>
      </c>
      <c r="BO68" s="7">
        <f t="shared" si="76"/>
        <v>2.6751472938034846E-12</v>
      </c>
      <c r="BP68" s="7">
        <f t="shared" si="76"/>
        <v>2.6571191272582873E-12</v>
      </c>
      <c r="BQ68" s="7">
        <f t="shared" si="76"/>
        <v>2.7269423132134637E-12</v>
      </c>
      <c r="BR68" s="7">
        <f t="shared" si="76"/>
        <v>2.7987218277290387E-12</v>
      </c>
      <c r="BS68" s="7">
        <f t="shared" si="76"/>
        <v>2.8416355624208842E-12</v>
      </c>
      <c r="BT68" s="7">
        <f t="shared" si="76"/>
        <v>2.8538463587144753E-12</v>
      </c>
      <c r="BU68" s="7">
        <f t="shared" si="76"/>
        <v>2.8971296951549782E-12</v>
      </c>
      <c r="BV68" s="7">
        <f t="shared" ref="BV68:DA68" si="77" xml:space="preserve"> INDEX(BV65:BV67, $F64)</f>
        <v>2.973388940537336E-12</v>
      </c>
      <c r="BW68" s="7">
        <f t="shared" si="77"/>
        <v>3.0189809042922421E-12</v>
      </c>
      <c r="BX68" s="7">
        <f t="shared" si="77"/>
        <v>2.9986355981980982E-12</v>
      </c>
      <c r="BY68" s="7">
        <f t="shared" si="77"/>
        <v>3.0774330780840822E-12</v>
      </c>
      <c r="BZ68" s="7">
        <f t="shared" si="77"/>
        <v>3.1584383311943835E-12</v>
      </c>
      <c r="CA68" s="7">
        <f t="shared" si="77"/>
        <v>3.2068677189393639E-12</v>
      </c>
      <c r="CB68" s="7">
        <f t="shared" si="77"/>
        <v>3.1852562190943375E-12</v>
      </c>
      <c r="CC68" s="7">
        <f t="shared" si="77"/>
        <v>3.2689576741849833E-12</v>
      </c>
      <c r="CD68" s="7">
        <f t="shared" si="77"/>
        <v>3.3550043036600507E-12</v>
      </c>
      <c r="CE68" s="7">
        <f t="shared" si="77"/>
        <v>3.4064477029828381E-12</v>
      </c>
      <c r="CF68" s="7">
        <f t="shared" si="77"/>
        <v>3.3834912075931711E-12</v>
      </c>
      <c r="CG68" s="7">
        <f t="shared" si="77"/>
        <v>3.4724018376593695E-12</v>
      </c>
      <c r="CH68" s="7">
        <f t="shared" si="77"/>
        <v>3.5638035944557806E-12</v>
      </c>
      <c r="CI68" s="7">
        <f t="shared" si="77"/>
        <v>3.6184485829041027E-12</v>
      </c>
      <c r="CJ68" s="7">
        <f t="shared" si="77"/>
        <v>3.633997423553828E-12</v>
      </c>
      <c r="CK68" s="7">
        <f t="shared" si="77"/>
        <v>3.6891130511443946E-12</v>
      </c>
      <c r="CL68" s="7">
        <f t="shared" si="77"/>
        <v>3.7862191551206712E-12</v>
      </c>
      <c r="CM68" s="7">
        <f t="shared" si="77"/>
        <v>3.8442745154991888E-12</v>
      </c>
      <c r="CN68" s="7">
        <f t="shared" si="77"/>
        <v>3.8183674481121288E-12</v>
      </c>
      <c r="CO68" s="7">
        <f t="shared" si="77"/>
        <v>3.9187056593875196E-12</v>
      </c>
      <c r="CP68" s="7">
        <f t="shared" si="77"/>
        <v>4.0218551790518376E-12</v>
      </c>
      <c r="CQ68" s="7">
        <f t="shared" si="77"/>
        <v>4.083523625130632E-12</v>
      </c>
      <c r="CR68" s="7">
        <f t="shared" si="77"/>
        <v>4.0560042267873601E-12</v>
      </c>
      <c r="CS68" s="7">
        <f t="shared" si="77"/>
        <v>4.1625870045246059E-12</v>
      </c>
      <c r="CT68" s="7">
        <f t="shared" si="77"/>
        <v>4.2721560529294189E-12</v>
      </c>
      <c r="CU68" s="7">
        <f t="shared" si="77"/>
        <v>4.337662445741003E-12</v>
      </c>
      <c r="CV68" s="7">
        <f t="shared" si="77"/>
        <v>4.3084303727370966E-12</v>
      </c>
      <c r="CW68" s="7">
        <f t="shared" si="77"/>
        <v>4.4216463486429106E-12</v>
      </c>
      <c r="CX68" s="7">
        <f t="shared" si="77"/>
        <v>4.5380344463035261E-12</v>
      </c>
      <c r="CY68" s="7">
        <f t="shared" si="77"/>
        <v>4.607617641146847E-12</v>
      </c>
      <c r="CZ68" s="7">
        <f t="shared" si="77"/>
        <v>4.6274170415903257E-12</v>
      </c>
      <c r="DA68" s="7">
        <f t="shared" si="77"/>
        <v>4.6975995333877789E-12</v>
      </c>
      <c r="DB68" s="7">
        <f t="shared" ref="DB68:EA68" si="78" xml:space="preserve"> INDEX(DB65:DB67, $F64)</f>
        <v>4.8212513657940964E-12</v>
      </c>
      <c r="DC68" s="7">
        <f t="shared" si="78"/>
        <v>4.8951772200696055E-12</v>
      </c>
      <c r="DD68" s="7">
        <f t="shared" si="78"/>
        <v>4.8621879822821794E-12</v>
      </c>
      <c r="DE68" s="7">
        <f t="shared" si="78"/>
        <v>4.9899554775943725E-12</v>
      </c>
      <c r="DF68" s="7">
        <f t="shared" si="78"/>
        <v>5.1213028038287799E-12</v>
      </c>
      <c r="DG68" s="7">
        <f t="shared" si="78"/>
        <v>5.1998294468208207E-12</v>
      </c>
      <c r="DH68" s="7">
        <f t="shared" si="78"/>
        <v>5.1647871179400714E-12</v>
      </c>
      <c r="DI68" s="7">
        <f t="shared" si="78"/>
        <v>5.3005062460948297E-12</v>
      </c>
      <c r="DJ68" s="7">
        <f t="shared" si="78"/>
        <v>5.4400279965872744E-12</v>
      </c>
      <c r="DK68" s="7">
        <f t="shared" si="78"/>
        <v>5.5234417592016132E-12</v>
      </c>
      <c r="DL68" s="7">
        <f t="shared" si="78"/>
        <v>5.4862185647374278E-12</v>
      </c>
      <c r="DM68" s="7">
        <f t="shared" si="78"/>
        <v>5.6303841970219176E-12</v>
      </c>
      <c r="DN68" s="7">
        <f t="shared" si="78"/>
        <v>5.7785891085230152E-12</v>
      </c>
      <c r="DO68" s="7">
        <f t="shared" si="78"/>
        <v>5.8671941415203677E-12</v>
      </c>
      <c r="DP68" s="7">
        <f t="shared" si="78"/>
        <v>5.8924060699690751E-12</v>
      </c>
      <c r="DQ68" s="7">
        <f t="shared" si="78"/>
        <v>5.981774228696939E-12</v>
      </c>
      <c r="DR68" s="7">
        <f t="shared" si="78"/>
        <v>6.1392285496032262E-12</v>
      </c>
      <c r="DS68" s="7">
        <f t="shared" si="78"/>
        <v>6.2333633873638092E-12</v>
      </c>
      <c r="DT68" s="7">
        <f t="shared" si="78"/>
        <v>6.1913559384489657E-12</v>
      </c>
      <c r="DU68" s="7">
        <f t="shared" si="78"/>
        <v>6.3540510139426528E-12</v>
      </c>
      <c r="DV68" s="7">
        <f t="shared" si="78"/>
        <v>6.5213045325733925E-12</v>
      </c>
      <c r="DW68" s="7">
        <f t="shared" si="78"/>
        <v>6.6212978687395183E-12</v>
      </c>
      <c r="DX68" s="7">
        <f t="shared" si="78"/>
        <v>6.5766760787545336E-12</v>
      </c>
      <c r="DY68" s="7">
        <f t="shared" si="78"/>
        <v>6.7494965112684725E-12</v>
      </c>
      <c r="DZ68" s="7">
        <f t="shared" si="78"/>
        <v>6.9271590824405433E-12</v>
      </c>
      <c r="EA68" s="7">
        <f t="shared" si="78"/>
        <v>7.0333755217046319E-12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-78175.932587748233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16.936273720604049</v>
      </c>
      <c r="N69" s="147">
        <f t="shared" si="79"/>
        <v>-2665.5708304812952</v>
      </c>
      <c r="O69" s="147">
        <f t="shared" si="79"/>
        <v>-2050.014446582969</v>
      </c>
      <c r="P69" s="147">
        <f t="shared" si="79"/>
        <v>-458.31407396003328</v>
      </c>
      <c r="Q69" s="147">
        <f t="shared" si="79"/>
        <v>-1205.4056598194848</v>
      </c>
      <c r="R69" s="147">
        <f t="shared" si="79"/>
        <v>-2736.8256717885324</v>
      </c>
      <c r="S69" s="147">
        <f t="shared" si="79"/>
        <v>-2125.6172339554769</v>
      </c>
      <c r="T69" s="147">
        <f t="shared" si="79"/>
        <v>-541.11471548758607</v>
      </c>
      <c r="U69" s="147">
        <f t="shared" si="79"/>
        <v>-1286.6891487326761</v>
      </c>
      <c r="V69" s="147">
        <f t="shared" si="79"/>
        <v>-2812.8326347706097</v>
      </c>
      <c r="W69" s="147">
        <f t="shared" si="79"/>
        <v>-2206.0286025882674</v>
      </c>
      <c r="X69" s="147">
        <f t="shared" si="79"/>
        <v>-631.14275132388127</v>
      </c>
      <c r="Y69" s="147">
        <f t="shared" si="79"/>
        <v>-1360.3776126108371</v>
      </c>
      <c r="Z69" s="147">
        <f t="shared" si="79"/>
        <v>-2893.7297795533041</v>
      </c>
      <c r="AA69" s="147">
        <f t="shared" si="79"/>
        <v>-2291.388806912661</v>
      </c>
      <c r="AB69" s="147">
        <f t="shared" si="79"/>
        <v>-721.06031271967379</v>
      </c>
      <c r="AC69" s="147">
        <f t="shared" si="79"/>
        <v>-1464.0302168809694</v>
      </c>
      <c r="AD69" s="147">
        <f t="shared" si="79"/>
        <v>-2980.1227813855048</v>
      </c>
      <c r="AE69" s="147">
        <f t="shared" si="79"/>
        <v>-2382.3128861112095</v>
      </c>
      <c r="AF69" s="147">
        <f t="shared" si="79"/>
        <v>-818.95576430986296</v>
      </c>
      <c r="AG69" s="147">
        <f t="shared" si="79"/>
        <v>-1560.8578087396195</v>
      </c>
      <c r="AH69" s="147">
        <f t="shared" si="79"/>
        <v>-3072.1959078204695</v>
      </c>
      <c r="AI69" s="147">
        <f t="shared" si="79"/>
        <v>-2478.9880096163715</v>
      </c>
      <c r="AJ69" s="147">
        <f t="shared" si="79"/>
        <v>-922.52271575502664</v>
      </c>
      <c r="AK69" s="147">
        <f t="shared" si="79"/>
        <v>-1663.5232755305003</v>
      </c>
      <c r="AL69" s="147">
        <f t="shared" si="79"/>
        <v>-3170.2978738323477</v>
      </c>
      <c r="AM69" s="147">
        <f t="shared" si="79"/>
        <v>-2581.7683153393846</v>
      </c>
      <c r="AN69" s="147">
        <f t="shared" si="79"/>
        <v>-1039.4085984444559</v>
      </c>
      <c r="AO69" s="147">
        <f t="shared" si="79"/>
        <v>-1760.3509018905556</v>
      </c>
      <c r="AP69" s="147">
        <f t="shared" si="79"/>
        <v>-3274.7263558631266</v>
      </c>
      <c r="AQ69" s="147">
        <f t="shared" si="79"/>
        <v>-2690.956119599824</v>
      </c>
      <c r="AR69" s="147">
        <f t="shared" si="79"/>
        <v>-1148.0272146390239</v>
      </c>
      <c r="AS69" s="147">
        <f t="shared" si="79"/>
        <v>-1887.7591585439841</v>
      </c>
      <c r="AT69" s="147">
        <f t="shared" si="79"/>
        <v>-3386.0156087986566</v>
      </c>
      <c r="AU69" s="147">
        <f t="shared" si="79"/>
        <v>-2807.0939442290801</v>
      </c>
      <c r="AV69" s="147">
        <f t="shared" si="79"/>
        <v>-1270.8041836138932</v>
      </c>
      <c r="AW69" s="147">
        <f t="shared" si="79"/>
        <v>-2010.1908514148263</v>
      </c>
      <c r="AX69" s="147">
        <f t="shared" si="79"/>
        <v>-3504.514996593769</v>
      </c>
      <c r="AY69" s="147">
        <f t="shared" si="79"/>
        <v>-2930.5365846655463</v>
      </c>
      <c r="AZ69" s="147">
        <f t="shared" si="79"/>
        <v>-1400.7965065635724</v>
      </c>
      <c r="BA69" s="147">
        <f t="shared" si="79"/>
        <v>-2.1415189621620815E-12</v>
      </c>
      <c r="BB69" s="147">
        <f t="shared" si="79"/>
        <v>-2.1978887616569411E-12</v>
      </c>
      <c r="BC69" s="147">
        <f t="shared" si="79"/>
        <v>-2.2315897226690144E-12</v>
      </c>
      <c r="BD69" s="147">
        <f t="shared" si="79"/>
        <v>-2.2411790901004832E-12</v>
      </c>
      <c r="BE69" s="147">
        <f t="shared" si="79"/>
        <v>-2.2751703063003407E-12</v>
      </c>
      <c r="BF69" s="147">
        <f t="shared" si="79"/>
        <v>-2.3350581224947519E-12</v>
      </c>
      <c r="BG69" s="147">
        <f t="shared" si="79"/>
        <v>-2.3708623470396712E-12</v>
      </c>
      <c r="BH69" s="147">
        <f t="shared" si="79"/>
        <v>-2.3548847964400559E-12</v>
      </c>
      <c r="BI69" s="147">
        <f t="shared" si="79"/>
        <v>-2.4167659358131753E-12</v>
      </c>
      <c r="BJ69" s="147">
        <f t="shared" si="79"/>
        <v>-2.4803808809221625E-12</v>
      </c>
      <c r="BK69" s="147">
        <f t="shared" si="79"/>
        <v>-2.518413387762969E-12</v>
      </c>
      <c r="BL69" s="147">
        <f t="shared" si="79"/>
        <v>-2.5014414714541315E-12</v>
      </c>
      <c r="BM69" s="147">
        <f t="shared" si="79"/>
        <v>-2.5671737945651209E-12</v>
      </c>
      <c r="BN69" s="147">
        <f t="shared" si="79"/>
        <v>-2.6347478271209632E-12</v>
      </c>
      <c r="BO69" s="147">
        <f t="shared" si="79"/>
        <v>-2.6751472938034846E-12</v>
      </c>
      <c r="BP69" s="147">
        <f t="shared" si="79"/>
        <v>-2.6571191272582873E-12</v>
      </c>
      <c r="BQ69" s="147">
        <f t="shared" si="79"/>
        <v>-2.7269423132134637E-12</v>
      </c>
      <c r="BR69" s="147">
        <f t="shared" si="79"/>
        <v>-2.7987218277290387E-12</v>
      </c>
      <c r="BS69" s="147">
        <f t="shared" si="79"/>
        <v>-2.8416355624208842E-12</v>
      </c>
      <c r="BT69" s="147">
        <f t="shared" si="79"/>
        <v>-2.8538463587144753E-12</v>
      </c>
      <c r="BU69" s="147">
        <f t="shared" si="79"/>
        <v>-2.8971296951549782E-12</v>
      </c>
      <c r="BV69" s="147">
        <f t="shared" ref="BV69:EA69" si="80" xml:space="preserve"> -1 * BV68</f>
        <v>-2.973388940537336E-12</v>
      </c>
      <c r="BW69" s="147">
        <f t="shared" si="80"/>
        <v>-3.0189809042922421E-12</v>
      </c>
      <c r="BX69" s="147">
        <f t="shared" si="80"/>
        <v>-2.9986355981980982E-12</v>
      </c>
      <c r="BY69" s="147">
        <f t="shared" si="80"/>
        <v>-3.0774330780840822E-12</v>
      </c>
      <c r="BZ69" s="147">
        <f t="shared" si="80"/>
        <v>-3.1584383311943835E-12</v>
      </c>
      <c r="CA69" s="147">
        <f t="shared" si="80"/>
        <v>-3.2068677189393639E-12</v>
      </c>
      <c r="CB69" s="147">
        <f t="shared" si="80"/>
        <v>-3.1852562190943375E-12</v>
      </c>
      <c r="CC69" s="147">
        <f t="shared" si="80"/>
        <v>-3.2689576741849833E-12</v>
      </c>
      <c r="CD69" s="147">
        <f t="shared" si="80"/>
        <v>-3.3550043036600507E-12</v>
      </c>
      <c r="CE69" s="147">
        <f t="shared" si="80"/>
        <v>-3.4064477029828381E-12</v>
      </c>
      <c r="CF69" s="147">
        <f t="shared" si="80"/>
        <v>-3.3834912075931711E-12</v>
      </c>
      <c r="CG69" s="147">
        <f t="shared" si="80"/>
        <v>-3.4724018376593695E-12</v>
      </c>
      <c r="CH69" s="147">
        <f t="shared" si="80"/>
        <v>-3.5638035944557806E-12</v>
      </c>
      <c r="CI69" s="147">
        <f t="shared" si="80"/>
        <v>-3.6184485829041027E-12</v>
      </c>
      <c r="CJ69" s="147">
        <f t="shared" si="80"/>
        <v>-3.633997423553828E-12</v>
      </c>
      <c r="CK69" s="147">
        <f t="shared" si="80"/>
        <v>-3.6891130511443946E-12</v>
      </c>
      <c r="CL69" s="147">
        <f t="shared" si="80"/>
        <v>-3.7862191551206712E-12</v>
      </c>
      <c r="CM69" s="147">
        <f t="shared" si="80"/>
        <v>-3.8442745154991888E-12</v>
      </c>
      <c r="CN69" s="147">
        <f t="shared" si="80"/>
        <v>-3.8183674481121288E-12</v>
      </c>
      <c r="CO69" s="147">
        <f t="shared" si="80"/>
        <v>-3.9187056593875196E-12</v>
      </c>
      <c r="CP69" s="147">
        <f t="shared" si="80"/>
        <v>-4.0218551790518376E-12</v>
      </c>
      <c r="CQ69" s="147">
        <f t="shared" si="80"/>
        <v>-4.083523625130632E-12</v>
      </c>
      <c r="CR69" s="147">
        <f t="shared" si="80"/>
        <v>-4.0560042267873601E-12</v>
      </c>
      <c r="CS69" s="147">
        <f t="shared" si="80"/>
        <v>-4.1625870045246059E-12</v>
      </c>
      <c r="CT69" s="147">
        <f t="shared" si="80"/>
        <v>-4.2721560529294189E-12</v>
      </c>
      <c r="CU69" s="147">
        <f t="shared" si="80"/>
        <v>-4.337662445741003E-12</v>
      </c>
      <c r="CV69" s="147">
        <f t="shared" si="80"/>
        <v>-4.3084303727370966E-12</v>
      </c>
      <c r="CW69" s="147">
        <f t="shared" si="80"/>
        <v>-4.4216463486429106E-12</v>
      </c>
      <c r="CX69" s="147">
        <f t="shared" si="80"/>
        <v>-4.5380344463035261E-12</v>
      </c>
      <c r="CY69" s="147">
        <f t="shared" si="80"/>
        <v>-4.607617641146847E-12</v>
      </c>
      <c r="CZ69" s="147">
        <f t="shared" si="80"/>
        <v>-4.6274170415903257E-12</v>
      </c>
      <c r="DA69" s="147">
        <f t="shared" si="80"/>
        <v>-4.6975995333877789E-12</v>
      </c>
      <c r="DB69" s="147">
        <f t="shared" si="80"/>
        <v>-4.8212513657940964E-12</v>
      </c>
      <c r="DC69" s="147">
        <f t="shared" si="80"/>
        <v>-4.8951772200696055E-12</v>
      </c>
      <c r="DD69" s="147">
        <f t="shared" si="80"/>
        <v>-4.8621879822821794E-12</v>
      </c>
      <c r="DE69" s="147">
        <f t="shared" si="80"/>
        <v>-4.9899554775943725E-12</v>
      </c>
      <c r="DF69" s="147">
        <f t="shared" si="80"/>
        <v>-5.1213028038287799E-12</v>
      </c>
      <c r="DG69" s="147">
        <f t="shared" si="80"/>
        <v>-5.1998294468208207E-12</v>
      </c>
      <c r="DH69" s="147">
        <f t="shared" si="80"/>
        <v>-5.1647871179400714E-12</v>
      </c>
      <c r="DI69" s="147">
        <f t="shared" si="80"/>
        <v>-5.3005062460948297E-12</v>
      </c>
      <c r="DJ69" s="147">
        <f t="shared" si="80"/>
        <v>-5.4400279965872744E-12</v>
      </c>
      <c r="DK69" s="147">
        <f t="shared" si="80"/>
        <v>-5.5234417592016132E-12</v>
      </c>
      <c r="DL69" s="147">
        <f t="shared" si="80"/>
        <v>-5.4862185647374278E-12</v>
      </c>
      <c r="DM69" s="147">
        <f t="shared" si="80"/>
        <v>-5.6303841970219176E-12</v>
      </c>
      <c r="DN69" s="147">
        <f t="shared" si="80"/>
        <v>-5.7785891085230152E-12</v>
      </c>
      <c r="DO69" s="147">
        <f t="shared" si="80"/>
        <v>-5.8671941415203677E-12</v>
      </c>
      <c r="DP69" s="147">
        <f t="shared" si="80"/>
        <v>-5.8924060699690751E-12</v>
      </c>
      <c r="DQ69" s="147">
        <f t="shared" si="80"/>
        <v>-5.981774228696939E-12</v>
      </c>
      <c r="DR69" s="147">
        <f t="shared" si="80"/>
        <v>-6.1392285496032262E-12</v>
      </c>
      <c r="DS69" s="147">
        <f t="shared" si="80"/>
        <v>-6.2333633873638092E-12</v>
      </c>
      <c r="DT69" s="147">
        <f t="shared" si="80"/>
        <v>-6.1913559384489657E-12</v>
      </c>
      <c r="DU69" s="147">
        <f t="shared" si="80"/>
        <v>-6.3540510139426528E-12</v>
      </c>
      <c r="DV69" s="147">
        <f t="shared" si="80"/>
        <v>-6.5213045325733925E-12</v>
      </c>
      <c r="DW69" s="147">
        <f t="shared" si="80"/>
        <v>-6.6212978687395183E-12</v>
      </c>
      <c r="DX69" s="147">
        <f t="shared" si="80"/>
        <v>-6.5766760787545336E-12</v>
      </c>
      <c r="DY69" s="147">
        <f t="shared" si="80"/>
        <v>-6.7494965112684725E-12</v>
      </c>
      <c r="DZ69" s="147">
        <f t="shared" si="80"/>
        <v>-6.9271590824405433E-12</v>
      </c>
      <c r="EA69" s="147">
        <f t="shared" si="80"/>
        <v>-7.0333755217046319E-12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78175.932587748117</v>
      </c>
      <c r="N79" s="7">
        <f t="shared" si="85"/>
        <v>78192.868861468727</v>
      </c>
      <c r="O79" s="7">
        <f t="shared" si="85"/>
        <v>75527.298030987426</v>
      </c>
      <c r="P79" s="7">
        <f t="shared" si="85"/>
        <v>73477.28358440446</v>
      </c>
      <c r="Q79" s="7">
        <f t="shared" si="85"/>
        <v>73018.969510444425</v>
      </c>
      <c r="R79" s="7">
        <f t="shared" si="85"/>
        <v>71813.563850624938</v>
      </c>
      <c r="S79" s="7">
        <f t="shared" si="85"/>
        <v>69076.7381788364</v>
      </c>
      <c r="T79" s="7">
        <f t="shared" si="85"/>
        <v>66951.120944880924</v>
      </c>
      <c r="U79" s="7">
        <f t="shared" si="85"/>
        <v>66410.006229393344</v>
      </c>
      <c r="V79" s="7">
        <f t="shared" si="85"/>
        <v>65123.317080660665</v>
      </c>
      <c r="W79" s="7">
        <f t="shared" si="85"/>
        <v>62310.484445890055</v>
      </c>
      <c r="X79" s="7">
        <f t="shared" si="85"/>
        <v>60104.455843301788</v>
      </c>
      <c r="Y79" s="7">
        <f t="shared" si="85"/>
        <v>59473.313091977907</v>
      </c>
      <c r="Z79" s="7">
        <f t="shared" si="85"/>
        <v>58112.935479367072</v>
      </c>
      <c r="AA79" s="7">
        <f t="shared" si="85"/>
        <v>55219.20569981377</v>
      </c>
      <c r="AB79" s="7">
        <f t="shared" si="85"/>
        <v>52927.816892901108</v>
      </c>
      <c r="AC79" s="7">
        <f t="shared" si="85"/>
        <v>52206.756580181434</v>
      </c>
      <c r="AD79" s="7">
        <f t="shared" si="85"/>
        <v>50742.726363300462</v>
      </c>
      <c r="AE79" s="7">
        <f t="shared" si="85"/>
        <v>47762.603581914955</v>
      </c>
      <c r="AF79" s="7">
        <f t="shared" si="85"/>
        <v>45380.290695803742</v>
      </c>
      <c r="AG79" s="7">
        <f t="shared" si="85"/>
        <v>44561.334931493882</v>
      </c>
      <c r="AH79" s="7">
        <f t="shared" si="85"/>
        <v>43000.477122754266</v>
      </c>
      <c r="AI79" s="7">
        <f t="shared" si="85"/>
        <v>39928.281214933799</v>
      </c>
      <c r="AJ79" s="7">
        <f t="shared" si="85"/>
        <v>37449.29320531743</v>
      </c>
      <c r="AK79" s="7">
        <f t="shared" ref="AK79:BP79" si="86" xml:space="preserve"> AK$90</f>
        <v>36526.770489562405</v>
      </c>
      <c r="AL79" s="7">
        <f t="shared" si="86"/>
        <v>34863.247214031908</v>
      </c>
      <c r="AM79" s="7">
        <f t="shared" si="86"/>
        <v>31692.949340199561</v>
      </c>
      <c r="AN79" s="7">
        <f t="shared" si="86"/>
        <v>29111.181024860176</v>
      </c>
      <c r="AO79" s="7">
        <f t="shared" si="86"/>
        <v>28071.772426415719</v>
      </c>
      <c r="AP79" s="7">
        <f t="shared" si="86"/>
        <v>26311.421524525162</v>
      </c>
      <c r="AQ79" s="7">
        <f t="shared" si="86"/>
        <v>23036.695168662034</v>
      </c>
      <c r="AR79" s="7">
        <f t="shared" si="86"/>
        <v>20345.739049062209</v>
      </c>
      <c r="AS79" s="7">
        <f t="shared" si="86"/>
        <v>19197.711834423186</v>
      </c>
      <c r="AT79" s="7">
        <f t="shared" si="86"/>
        <v>17309.952675879202</v>
      </c>
      <c r="AU79" s="7">
        <f t="shared" si="86"/>
        <v>13923.937067080546</v>
      </c>
      <c r="AV79" s="7">
        <f t="shared" si="86"/>
        <v>11116.843122851466</v>
      </c>
      <c r="AW79" s="7">
        <f t="shared" si="86"/>
        <v>9846.0389392375728</v>
      </c>
      <c r="AX79" s="7">
        <f t="shared" si="86"/>
        <v>7835.8480878227465</v>
      </c>
      <c r="AY79" s="7">
        <f t="shared" si="86"/>
        <v>4331.3330912289775</v>
      </c>
      <c r="AZ79" s="7">
        <f t="shared" si="86"/>
        <v>1400.7965065634312</v>
      </c>
      <c r="BA79" s="7">
        <f t="shared" si="86"/>
        <v>-1.4119905245024711E-10</v>
      </c>
      <c r="BB79" s="7">
        <f t="shared" si="86"/>
        <v>-1.4334057141240919E-10</v>
      </c>
      <c r="BC79" s="7">
        <f t="shared" si="86"/>
        <v>-1.4553846017406614E-10</v>
      </c>
      <c r="BD79" s="7">
        <f t="shared" si="86"/>
        <v>-1.4777004989673515E-10</v>
      </c>
      <c r="BE79" s="7">
        <f t="shared" si="86"/>
        <v>-1.5001122898683564E-10</v>
      </c>
      <c r="BF79" s="7">
        <f t="shared" si="86"/>
        <v>-1.5228639929313598E-10</v>
      </c>
      <c r="BG79" s="7">
        <f t="shared" si="86"/>
        <v>-1.5462145741563071E-10</v>
      </c>
      <c r="BH79" s="7">
        <f t="shared" si="86"/>
        <v>-1.5699231976267039E-10</v>
      </c>
      <c r="BI79" s="7">
        <f t="shared" si="86"/>
        <v>-1.5934720455911044E-10</v>
      </c>
      <c r="BJ79" s="7">
        <f t="shared" si="86"/>
        <v>-1.6176397049492361E-10</v>
      </c>
      <c r="BK79" s="7">
        <f t="shared" si="86"/>
        <v>-1.6424435137584577E-10</v>
      </c>
      <c r="BL79" s="7">
        <f t="shared" si="86"/>
        <v>-1.6676276476360875E-10</v>
      </c>
      <c r="BM79" s="7">
        <f t="shared" si="86"/>
        <v>-1.6926420623506289E-10</v>
      </c>
      <c r="BN79" s="7">
        <f t="shared" si="86"/>
        <v>-1.7183138002962802E-10</v>
      </c>
      <c r="BO79" s="7">
        <f t="shared" si="86"/>
        <v>-1.7446612785674897E-10</v>
      </c>
      <c r="BP79" s="7">
        <f t="shared" si="86"/>
        <v>-1.7714127515055247E-10</v>
      </c>
      <c r="BQ79" s="7">
        <f t="shared" ref="BQ79:CV79" si="87" xml:space="preserve"> BQ$90</f>
        <v>-1.7979839427781076E-10</v>
      </c>
      <c r="BR79" s="7">
        <f t="shared" si="87"/>
        <v>-1.8252533659102423E-10</v>
      </c>
      <c r="BS79" s="7">
        <f t="shared" si="87"/>
        <v>-1.8532405841875327E-10</v>
      </c>
      <c r="BT79" s="7">
        <f t="shared" si="87"/>
        <v>-1.8816569398117416E-10</v>
      </c>
      <c r="BU79" s="7">
        <f t="shared" si="87"/>
        <v>-1.9101954033988864E-10</v>
      </c>
      <c r="BV79" s="7">
        <f t="shared" si="87"/>
        <v>-1.9391667003504363E-10</v>
      </c>
      <c r="BW79" s="7">
        <f t="shared" si="87"/>
        <v>-1.9689005897558098E-10</v>
      </c>
      <c r="BX79" s="7">
        <f t="shared" si="87"/>
        <v>-1.9990903987987321E-10</v>
      </c>
      <c r="BY79" s="7">
        <f t="shared" si="87"/>
        <v>-2.0290767547807132E-10</v>
      </c>
      <c r="BZ79" s="7">
        <f t="shared" si="87"/>
        <v>-2.059851085561554E-10</v>
      </c>
      <c r="CA79" s="7">
        <f t="shared" si="87"/>
        <v>-2.0914354688734979E-10</v>
      </c>
      <c r="CB79" s="7">
        <f t="shared" si="87"/>
        <v>-2.1235041460628915E-10</v>
      </c>
      <c r="CC79" s="7">
        <f t="shared" si="87"/>
        <v>-2.1553567082538349E-10</v>
      </c>
      <c r="CD79" s="7">
        <f t="shared" si="87"/>
        <v>-2.1880462849956849E-10</v>
      </c>
      <c r="CE79" s="7">
        <f t="shared" si="87"/>
        <v>-2.2215963280322854E-10</v>
      </c>
      <c r="CF79" s="7">
        <f t="shared" si="87"/>
        <v>-2.2556608050621139E-10</v>
      </c>
      <c r="CG79" s="7">
        <f t="shared" si="87"/>
        <v>-2.2894957171380456E-10</v>
      </c>
      <c r="CH79" s="7">
        <f t="shared" si="87"/>
        <v>-2.3242197355146392E-10</v>
      </c>
      <c r="CI79" s="7">
        <f t="shared" si="87"/>
        <v>-2.3598577714591969E-10</v>
      </c>
      <c r="CJ79" s="7">
        <f t="shared" si="87"/>
        <v>-2.396042257288238E-10</v>
      </c>
      <c r="CK79" s="7">
        <f t="shared" si="87"/>
        <v>-2.4323822315237762E-10</v>
      </c>
      <c r="CL79" s="7">
        <f t="shared" si="87"/>
        <v>-2.4692733620352201E-10</v>
      </c>
      <c r="CM79" s="7">
        <f t="shared" si="87"/>
        <v>-2.5071355535864269E-10</v>
      </c>
      <c r="CN79" s="7">
        <f t="shared" si="87"/>
        <v>-2.5455782987414188E-10</v>
      </c>
      <c r="CO79" s="7">
        <f t="shared" si="87"/>
        <v>-2.5837619732225399E-10</v>
      </c>
      <c r="CP79" s="7">
        <f t="shared" si="87"/>
        <v>-2.6229490298164153E-10</v>
      </c>
      <c r="CQ79" s="7">
        <f t="shared" si="87"/>
        <v>-2.6631675816069335E-10</v>
      </c>
      <c r="CR79" s="7">
        <f t="shared" si="87"/>
        <v>-2.7040028178582398E-10</v>
      </c>
      <c r="CS79" s="7">
        <f t="shared" si="87"/>
        <v>-2.7445628601261134E-10</v>
      </c>
      <c r="CT79" s="7">
        <f t="shared" si="87"/>
        <v>-2.7861887301713596E-10</v>
      </c>
      <c r="CU79" s="7">
        <f t="shared" si="87"/>
        <v>-2.8289102907006539E-10</v>
      </c>
      <c r="CV79" s="7">
        <f t="shared" si="87"/>
        <v>-2.8722869151580641E-10</v>
      </c>
      <c r="CW79" s="7">
        <f t="shared" ref="CW79:EA79" si="88" xml:space="preserve"> CW$90</f>
        <v>-2.915371218885435E-10</v>
      </c>
      <c r="CX79" s="7">
        <f t="shared" si="88"/>
        <v>-2.9595876823718643E-10</v>
      </c>
      <c r="CY79" s="7">
        <f t="shared" si="88"/>
        <v>-3.0049680268348998E-10</v>
      </c>
      <c r="CZ79" s="7">
        <f t="shared" si="88"/>
        <v>-3.0510442032463681E-10</v>
      </c>
      <c r="DA79" s="7">
        <f t="shared" si="88"/>
        <v>-3.0973183736622715E-10</v>
      </c>
      <c r="DB79" s="7">
        <f t="shared" si="88"/>
        <v>-3.1442943689961494E-10</v>
      </c>
      <c r="DC79" s="7">
        <f t="shared" si="88"/>
        <v>-3.1925068826540901E-10</v>
      </c>
      <c r="DD79" s="7">
        <f t="shared" si="88"/>
        <v>-3.2414586548547861E-10</v>
      </c>
      <c r="DE79" s="7">
        <f t="shared" si="88"/>
        <v>-3.2900805346776078E-10</v>
      </c>
      <c r="DF79" s="7">
        <f t="shared" si="88"/>
        <v>-3.3399800894535517E-10</v>
      </c>
      <c r="DG79" s="7">
        <f t="shared" si="88"/>
        <v>-3.3911931174918393E-10</v>
      </c>
      <c r="DH79" s="7">
        <f t="shared" si="88"/>
        <v>-3.4431914119600473E-10</v>
      </c>
      <c r="DI79" s="7">
        <f t="shared" si="88"/>
        <v>-3.4948392831394478E-10</v>
      </c>
      <c r="DJ79" s="7">
        <f t="shared" si="88"/>
        <v>-3.5478443456003959E-10</v>
      </c>
      <c r="DK79" s="7">
        <f t="shared" si="88"/>
        <v>-3.6022446255662687E-10</v>
      </c>
      <c r="DL79" s="7">
        <f t="shared" si="88"/>
        <v>-3.657479043158285E-10</v>
      </c>
      <c r="DM79" s="7">
        <f t="shared" si="88"/>
        <v>-3.7123412288056593E-10</v>
      </c>
      <c r="DN79" s="7">
        <f t="shared" si="88"/>
        <v>-3.7686450707758786E-10</v>
      </c>
      <c r="DO79" s="7">
        <f t="shared" si="88"/>
        <v>-3.8264309618611089E-10</v>
      </c>
      <c r="DP79" s="7">
        <f t="shared" si="88"/>
        <v>-3.8851029032763128E-10</v>
      </c>
      <c r="DQ79" s="7">
        <f t="shared" si="88"/>
        <v>-3.9440269639760034E-10</v>
      </c>
      <c r="DR79" s="7">
        <f t="shared" si="88"/>
        <v>-4.0038447062629729E-10</v>
      </c>
      <c r="DS79" s="7">
        <f t="shared" si="88"/>
        <v>-4.0652369917590053E-10</v>
      </c>
      <c r="DT79" s="7">
        <f t="shared" si="88"/>
        <v>-4.1275706256326435E-10</v>
      </c>
      <c r="DU79" s="7">
        <f t="shared" si="88"/>
        <v>-4.1894841850171331E-10</v>
      </c>
      <c r="DV79" s="7">
        <f t="shared" si="88"/>
        <v>-4.2530246951565598E-10</v>
      </c>
      <c r="DW79" s="7">
        <f t="shared" si="88"/>
        <v>-4.3182377404822937E-10</v>
      </c>
      <c r="DX79" s="7">
        <f t="shared" si="88"/>
        <v>-4.3844507191696887E-10</v>
      </c>
      <c r="DY79" s="7">
        <f t="shared" si="88"/>
        <v>-4.450217479957234E-10</v>
      </c>
      <c r="DZ79" s="7">
        <f t="shared" si="88"/>
        <v>-4.5177124450699187E-10</v>
      </c>
      <c r="EA79" s="7">
        <f t="shared" si="88"/>
        <v>-4.5869840358943243E-10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outlineLevel="2" x14ac:dyDescent="0.35">
      <c r="E81" s="7" t="s">
        <v>273</v>
      </c>
      <c r="G81" s="7" t="str">
        <f xml:space="preserve"> SMU</f>
        <v>$ 000s</v>
      </c>
      <c r="H81" s="7">
        <f xml:space="preserve"> SUM(J81:EA81)</f>
        <v>26512.86234216993</v>
      </c>
      <c r="J81" s="7">
        <f t="shared" ref="J81:AO81" si="93" xml:space="preserve"> J79 * J80</f>
        <v>0</v>
      </c>
      <c r="K81" s="7">
        <f t="shared" si="93"/>
        <v>0</v>
      </c>
      <c r="L81" s="7">
        <f t="shared" si="93"/>
        <v>0</v>
      </c>
      <c r="M81" s="7">
        <f t="shared" si="93"/>
        <v>1185.66831091418</v>
      </c>
      <c r="N81" s="7">
        <f t="shared" si="93"/>
        <v>1198.9573225425206</v>
      </c>
      <c r="O81" s="7">
        <f t="shared" si="93"/>
        <v>1158.0852364751406</v>
      </c>
      <c r="P81" s="7">
        <f t="shared" si="93"/>
        <v>1102.159253766067</v>
      </c>
      <c r="Q81" s="7">
        <f t="shared" si="93"/>
        <v>1107.4543709084073</v>
      </c>
      <c r="R81" s="7">
        <f t="shared" si="93"/>
        <v>1101.1413123762493</v>
      </c>
      <c r="S81" s="7">
        <f t="shared" si="93"/>
        <v>1059.1766520754916</v>
      </c>
      <c r="T81" s="7">
        <f t="shared" si="93"/>
        <v>1004.2668141732139</v>
      </c>
      <c r="U81" s="7">
        <f t="shared" si="93"/>
        <v>1007.2184278124658</v>
      </c>
      <c r="V81" s="7">
        <f t="shared" si="93"/>
        <v>998.55752857013033</v>
      </c>
      <c r="W81" s="7">
        <f t="shared" si="93"/>
        <v>955.42742817031433</v>
      </c>
      <c r="X81" s="7">
        <f t="shared" si="93"/>
        <v>911.58424695674387</v>
      </c>
      <c r="Y81" s="7">
        <f t="shared" si="93"/>
        <v>902.01191522833165</v>
      </c>
      <c r="Z81" s="7">
        <f t="shared" si="93"/>
        <v>891.06501068362854</v>
      </c>
      <c r="AA81" s="7">
        <f t="shared" si="93"/>
        <v>846.6944873971446</v>
      </c>
      <c r="AB81" s="7">
        <f t="shared" si="93"/>
        <v>793.91725339351672</v>
      </c>
      <c r="AC81" s="7">
        <f t="shared" si="93"/>
        <v>791.80247479941852</v>
      </c>
      <c r="AD81" s="7">
        <f t="shared" si="93"/>
        <v>778.05513757060726</v>
      </c>
      <c r="AE81" s="7">
        <f t="shared" si="93"/>
        <v>732.35992158936278</v>
      </c>
      <c r="AF81" s="7">
        <f t="shared" si="93"/>
        <v>680.70436043705615</v>
      </c>
      <c r="AG81" s="7">
        <f t="shared" si="93"/>
        <v>675.84691312765733</v>
      </c>
      <c r="AH81" s="7">
        <f t="shared" si="93"/>
        <v>659.34064921556558</v>
      </c>
      <c r="AI81" s="7">
        <f t="shared" si="93"/>
        <v>612.23364529565174</v>
      </c>
      <c r="AJ81" s="7">
        <f t="shared" si="93"/>
        <v>561.73939807976149</v>
      </c>
      <c r="AK81" s="7">
        <f t="shared" si="93"/>
        <v>553.98935242502989</v>
      </c>
      <c r="AL81" s="7">
        <f t="shared" si="93"/>
        <v>534.56979061515597</v>
      </c>
      <c r="AM81" s="7">
        <f t="shared" si="93"/>
        <v>485.95855654972667</v>
      </c>
      <c r="AN81" s="7">
        <f t="shared" si="93"/>
        <v>441.51957887704606</v>
      </c>
      <c r="AO81" s="7">
        <f t="shared" si="93"/>
        <v>425.75521513397177</v>
      </c>
      <c r="AP81" s="7">
        <f t="shared" ref="AP81:BU81" si="94" xml:space="preserve"> AP79 * AP80</f>
        <v>403.44179670938587</v>
      </c>
      <c r="AQ81" s="7">
        <f t="shared" si="94"/>
        <v>353.22932591948461</v>
      </c>
      <c r="AR81" s="7">
        <f t="shared" si="94"/>
        <v>305.18608573593315</v>
      </c>
      <c r="AS81" s="7">
        <f t="shared" si="94"/>
        <v>291.16529615541833</v>
      </c>
      <c r="AT81" s="7">
        <f t="shared" si="94"/>
        <v>265.41927436348112</v>
      </c>
      <c r="AU81" s="7">
        <f t="shared" si="94"/>
        <v>213.50036836190174</v>
      </c>
      <c r="AV81" s="7">
        <f t="shared" si="94"/>
        <v>166.75264684277201</v>
      </c>
      <c r="AW81" s="7">
        <f t="shared" si="94"/>
        <v>149.33159057843653</v>
      </c>
      <c r="AX81" s="7">
        <f t="shared" si="94"/>
        <v>120.1496706799488</v>
      </c>
      <c r="AY81" s="7">
        <f t="shared" si="94"/>
        <v>66.413774065511006</v>
      </c>
      <c r="AZ81" s="7">
        <f t="shared" si="94"/>
        <v>21.011947598451471</v>
      </c>
      <c r="BA81" s="7">
        <f t="shared" si="94"/>
        <v>-2.1415189621620815E-12</v>
      </c>
      <c r="BB81" s="7">
        <f t="shared" si="94"/>
        <v>-2.1978887616569411E-12</v>
      </c>
      <c r="BC81" s="7">
        <f t="shared" si="94"/>
        <v>-2.2315897226690144E-12</v>
      </c>
      <c r="BD81" s="7">
        <f t="shared" si="94"/>
        <v>-2.2411790901004832E-12</v>
      </c>
      <c r="BE81" s="7">
        <f t="shared" si="94"/>
        <v>-2.2751703063003407E-12</v>
      </c>
      <c r="BF81" s="7">
        <f t="shared" si="94"/>
        <v>-2.3350581224947519E-12</v>
      </c>
      <c r="BG81" s="7">
        <f t="shared" si="94"/>
        <v>-2.3708623470396712E-12</v>
      </c>
      <c r="BH81" s="7">
        <f t="shared" si="94"/>
        <v>-2.3548847964400559E-12</v>
      </c>
      <c r="BI81" s="7">
        <f t="shared" si="94"/>
        <v>-2.4167659358131753E-12</v>
      </c>
      <c r="BJ81" s="7">
        <f t="shared" si="94"/>
        <v>-2.4803808809221625E-12</v>
      </c>
      <c r="BK81" s="7">
        <f t="shared" si="94"/>
        <v>-2.518413387762969E-12</v>
      </c>
      <c r="BL81" s="7">
        <f t="shared" si="94"/>
        <v>-2.5014414714541315E-12</v>
      </c>
      <c r="BM81" s="7">
        <f t="shared" si="94"/>
        <v>-2.5671737945651209E-12</v>
      </c>
      <c r="BN81" s="7">
        <f t="shared" si="94"/>
        <v>-2.6347478271209632E-12</v>
      </c>
      <c r="BO81" s="7">
        <f t="shared" si="94"/>
        <v>-2.6751472938034846E-12</v>
      </c>
      <c r="BP81" s="7">
        <f t="shared" si="94"/>
        <v>-2.6571191272582873E-12</v>
      </c>
      <c r="BQ81" s="7">
        <f t="shared" si="94"/>
        <v>-2.7269423132134637E-12</v>
      </c>
      <c r="BR81" s="7">
        <f t="shared" si="94"/>
        <v>-2.7987218277290387E-12</v>
      </c>
      <c r="BS81" s="7">
        <f t="shared" si="94"/>
        <v>-2.8416355624208842E-12</v>
      </c>
      <c r="BT81" s="7">
        <f t="shared" si="94"/>
        <v>-2.8538463587144753E-12</v>
      </c>
      <c r="BU81" s="7">
        <f t="shared" si="94"/>
        <v>-2.8971296951549782E-12</v>
      </c>
      <c r="BV81" s="7">
        <f t="shared" ref="BV81:DA81" si="95" xml:space="preserve"> BV79 * BV80</f>
        <v>-2.973388940537336E-12</v>
      </c>
      <c r="BW81" s="7">
        <f t="shared" si="95"/>
        <v>-3.0189809042922421E-12</v>
      </c>
      <c r="BX81" s="7">
        <f t="shared" si="95"/>
        <v>-2.9986355981980982E-12</v>
      </c>
      <c r="BY81" s="7">
        <f t="shared" si="95"/>
        <v>-3.0774330780840822E-12</v>
      </c>
      <c r="BZ81" s="7">
        <f t="shared" si="95"/>
        <v>-3.1584383311943835E-12</v>
      </c>
      <c r="CA81" s="7">
        <f t="shared" si="95"/>
        <v>-3.2068677189393639E-12</v>
      </c>
      <c r="CB81" s="7">
        <f t="shared" si="95"/>
        <v>-3.1852562190943375E-12</v>
      </c>
      <c r="CC81" s="7">
        <f t="shared" si="95"/>
        <v>-3.2689576741849833E-12</v>
      </c>
      <c r="CD81" s="7">
        <f t="shared" si="95"/>
        <v>-3.3550043036600507E-12</v>
      </c>
      <c r="CE81" s="7">
        <f t="shared" si="95"/>
        <v>-3.4064477029828381E-12</v>
      </c>
      <c r="CF81" s="7">
        <f t="shared" si="95"/>
        <v>-3.3834912075931711E-12</v>
      </c>
      <c r="CG81" s="7">
        <f t="shared" si="95"/>
        <v>-3.4724018376593695E-12</v>
      </c>
      <c r="CH81" s="7">
        <f t="shared" si="95"/>
        <v>-3.5638035944557806E-12</v>
      </c>
      <c r="CI81" s="7">
        <f t="shared" si="95"/>
        <v>-3.6184485829041027E-12</v>
      </c>
      <c r="CJ81" s="7">
        <f t="shared" si="95"/>
        <v>-3.633997423553828E-12</v>
      </c>
      <c r="CK81" s="7">
        <f t="shared" si="95"/>
        <v>-3.6891130511443946E-12</v>
      </c>
      <c r="CL81" s="7">
        <f t="shared" si="95"/>
        <v>-3.7862191551206712E-12</v>
      </c>
      <c r="CM81" s="7">
        <f t="shared" si="95"/>
        <v>-3.8442745154991888E-12</v>
      </c>
      <c r="CN81" s="7">
        <f t="shared" si="95"/>
        <v>-3.8183674481121288E-12</v>
      </c>
      <c r="CO81" s="7">
        <f t="shared" si="95"/>
        <v>-3.9187056593875196E-12</v>
      </c>
      <c r="CP81" s="7">
        <f t="shared" si="95"/>
        <v>-4.0218551790518376E-12</v>
      </c>
      <c r="CQ81" s="7">
        <f t="shared" si="95"/>
        <v>-4.083523625130632E-12</v>
      </c>
      <c r="CR81" s="7">
        <f t="shared" si="95"/>
        <v>-4.0560042267873601E-12</v>
      </c>
      <c r="CS81" s="7">
        <f t="shared" si="95"/>
        <v>-4.1625870045246059E-12</v>
      </c>
      <c r="CT81" s="7">
        <f t="shared" si="95"/>
        <v>-4.2721560529294189E-12</v>
      </c>
      <c r="CU81" s="7">
        <f t="shared" si="95"/>
        <v>-4.337662445741003E-12</v>
      </c>
      <c r="CV81" s="7">
        <f t="shared" si="95"/>
        <v>-4.3084303727370966E-12</v>
      </c>
      <c r="CW81" s="7">
        <f t="shared" si="95"/>
        <v>-4.4216463486429106E-12</v>
      </c>
      <c r="CX81" s="7">
        <f t="shared" si="95"/>
        <v>-4.5380344463035261E-12</v>
      </c>
      <c r="CY81" s="7">
        <f t="shared" si="95"/>
        <v>-4.607617641146847E-12</v>
      </c>
      <c r="CZ81" s="7">
        <f t="shared" si="95"/>
        <v>-4.6274170415903257E-12</v>
      </c>
      <c r="DA81" s="7">
        <f t="shared" si="95"/>
        <v>-4.6975995333877789E-12</v>
      </c>
      <c r="DB81" s="7">
        <f t="shared" ref="DB81:EA81" si="96" xml:space="preserve"> DB79 * DB80</f>
        <v>-4.8212513657940964E-12</v>
      </c>
      <c r="DC81" s="7">
        <f t="shared" si="96"/>
        <v>-4.8951772200696055E-12</v>
      </c>
      <c r="DD81" s="7">
        <f t="shared" si="96"/>
        <v>-4.8621879822821794E-12</v>
      </c>
      <c r="DE81" s="7">
        <f t="shared" si="96"/>
        <v>-4.9899554775943725E-12</v>
      </c>
      <c r="DF81" s="7">
        <f t="shared" si="96"/>
        <v>-5.1213028038287799E-12</v>
      </c>
      <c r="DG81" s="7">
        <f t="shared" si="96"/>
        <v>-5.1998294468208207E-12</v>
      </c>
      <c r="DH81" s="7">
        <f t="shared" si="96"/>
        <v>-5.1647871179400714E-12</v>
      </c>
      <c r="DI81" s="7">
        <f t="shared" si="96"/>
        <v>-5.3005062460948297E-12</v>
      </c>
      <c r="DJ81" s="7">
        <f t="shared" si="96"/>
        <v>-5.4400279965872744E-12</v>
      </c>
      <c r="DK81" s="7">
        <f t="shared" si="96"/>
        <v>-5.5234417592016132E-12</v>
      </c>
      <c r="DL81" s="7">
        <f t="shared" si="96"/>
        <v>-5.4862185647374278E-12</v>
      </c>
      <c r="DM81" s="7">
        <f t="shared" si="96"/>
        <v>-5.6303841970219176E-12</v>
      </c>
      <c r="DN81" s="7">
        <f t="shared" si="96"/>
        <v>-5.7785891085230152E-12</v>
      </c>
      <c r="DO81" s="7">
        <f t="shared" si="96"/>
        <v>-5.8671941415203677E-12</v>
      </c>
      <c r="DP81" s="7">
        <f t="shared" si="96"/>
        <v>-5.8924060699690751E-12</v>
      </c>
      <c r="DQ81" s="7">
        <f t="shared" si="96"/>
        <v>-5.981774228696939E-12</v>
      </c>
      <c r="DR81" s="7">
        <f t="shared" si="96"/>
        <v>-6.1392285496032262E-12</v>
      </c>
      <c r="DS81" s="7">
        <f t="shared" si="96"/>
        <v>-6.2333633873638092E-12</v>
      </c>
      <c r="DT81" s="7">
        <f t="shared" si="96"/>
        <v>-6.1913559384489657E-12</v>
      </c>
      <c r="DU81" s="7">
        <f t="shared" si="96"/>
        <v>-6.3540510139426528E-12</v>
      </c>
      <c r="DV81" s="7">
        <f t="shared" si="96"/>
        <v>-6.5213045325733925E-12</v>
      </c>
      <c r="DW81" s="7">
        <f t="shared" si="96"/>
        <v>-6.6212978687395183E-12</v>
      </c>
      <c r="DX81" s="7">
        <f t="shared" si="96"/>
        <v>-6.5766760787545336E-12</v>
      </c>
      <c r="DY81" s="7">
        <f t="shared" si="96"/>
        <v>-6.7494965112684725E-12</v>
      </c>
      <c r="DZ81" s="7">
        <f t="shared" si="96"/>
        <v>-6.9271590824405433E-12</v>
      </c>
      <c r="EA81" s="7">
        <f t="shared" si="96"/>
        <v>-7.0333755217046319E-12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-26512.86234216993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-1185.66831091418</v>
      </c>
      <c r="N82" s="147">
        <f t="shared" si="97"/>
        <v>-1198.9573225425206</v>
      </c>
      <c r="O82" s="147">
        <f t="shared" si="97"/>
        <v>-1158.0852364751406</v>
      </c>
      <c r="P82" s="147">
        <f t="shared" si="97"/>
        <v>-1102.159253766067</v>
      </c>
      <c r="Q82" s="147">
        <f t="shared" si="97"/>
        <v>-1107.4543709084073</v>
      </c>
      <c r="R82" s="147">
        <f t="shared" si="97"/>
        <v>-1101.1413123762493</v>
      </c>
      <c r="S82" s="147">
        <f t="shared" si="97"/>
        <v>-1059.1766520754916</v>
      </c>
      <c r="T82" s="147">
        <f t="shared" si="97"/>
        <v>-1004.2668141732139</v>
      </c>
      <c r="U82" s="147">
        <f t="shared" si="97"/>
        <v>-1007.2184278124658</v>
      </c>
      <c r="V82" s="147">
        <f t="shared" si="97"/>
        <v>-998.55752857013033</v>
      </c>
      <c r="W82" s="147">
        <f t="shared" si="97"/>
        <v>-955.42742817031433</v>
      </c>
      <c r="X82" s="147">
        <f t="shared" si="97"/>
        <v>-911.58424695674387</v>
      </c>
      <c r="Y82" s="147">
        <f t="shared" si="97"/>
        <v>-902.01191522833165</v>
      </c>
      <c r="Z82" s="147">
        <f t="shared" si="97"/>
        <v>-891.06501068362854</v>
      </c>
      <c r="AA82" s="147">
        <f t="shared" si="97"/>
        <v>-846.6944873971446</v>
      </c>
      <c r="AB82" s="147">
        <f t="shared" si="97"/>
        <v>-793.91725339351672</v>
      </c>
      <c r="AC82" s="147">
        <f t="shared" si="97"/>
        <v>-791.80247479941852</v>
      </c>
      <c r="AD82" s="147">
        <f t="shared" si="97"/>
        <v>-778.05513757060726</v>
      </c>
      <c r="AE82" s="147">
        <f t="shared" si="97"/>
        <v>-732.35992158936278</v>
      </c>
      <c r="AF82" s="147">
        <f t="shared" si="97"/>
        <v>-680.70436043705615</v>
      </c>
      <c r="AG82" s="147">
        <f t="shared" si="97"/>
        <v>-675.84691312765733</v>
      </c>
      <c r="AH82" s="147">
        <f t="shared" si="97"/>
        <v>-659.34064921556558</v>
      </c>
      <c r="AI82" s="147">
        <f t="shared" si="97"/>
        <v>-612.23364529565174</v>
      </c>
      <c r="AJ82" s="147">
        <f t="shared" si="97"/>
        <v>-561.73939807976149</v>
      </c>
      <c r="AK82" s="147">
        <f t="shared" si="97"/>
        <v>-553.98935242502989</v>
      </c>
      <c r="AL82" s="147">
        <f t="shared" si="97"/>
        <v>-534.56979061515597</v>
      </c>
      <c r="AM82" s="147">
        <f t="shared" si="97"/>
        <v>-485.95855654972667</v>
      </c>
      <c r="AN82" s="147">
        <f t="shared" si="97"/>
        <v>-441.51957887704606</v>
      </c>
      <c r="AO82" s="147">
        <f t="shared" si="97"/>
        <v>-425.75521513397177</v>
      </c>
      <c r="AP82" s="147">
        <f t="shared" si="97"/>
        <v>-403.44179670938587</v>
      </c>
      <c r="AQ82" s="147">
        <f t="shared" si="97"/>
        <v>-353.22932591948461</v>
      </c>
      <c r="AR82" s="147">
        <f t="shared" si="97"/>
        <v>-305.18608573593315</v>
      </c>
      <c r="AS82" s="147">
        <f t="shared" si="97"/>
        <v>-291.16529615541833</v>
      </c>
      <c r="AT82" s="147">
        <f t="shared" si="97"/>
        <v>-265.41927436348112</v>
      </c>
      <c r="AU82" s="147">
        <f t="shared" si="97"/>
        <v>-213.50036836190174</v>
      </c>
      <c r="AV82" s="147">
        <f t="shared" si="97"/>
        <v>-166.75264684277201</v>
      </c>
      <c r="AW82" s="147">
        <f t="shared" si="97"/>
        <v>-149.33159057843653</v>
      </c>
      <c r="AX82" s="147">
        <f t="shared" si="97"/>
        <v>-120.1496706799488</v>
      </c>
      <c r="AY82" s="147">
        <f t="shared" si="97"/>
        <v>-66.413774065511006</v>
      </c>
      <c r="AZ82" s="147">
        <f t="shared" si="97"/>
        <v>-21.011947598451471</v>
      </c>
      <c r="BA82" s="147">
        <f t="shared" si="97"/>
        <v>2.1415189621620815E-12</v>
      </c>
      <c r="BB82" s="147">
        <f t="shared" si="97"/>
        <v>2.1978887616569411E-12</v>
      </c>
      <c r="BC82" s="147">
        <f t="shared" si="97"/>
        <v>2.2315897226690144E-12</v>
      </c>
      <c r="BD82" s="147">
        <f t="shared" si="97"/>
        <v>2.2411790901004832E-12</v>
      </c>
      <c r="BE82" s="147">
        <f t="shared" si="97"/>
        <v>2.2751703063003407E-12</v>
      </c>
      <c r="BF82" s="147">
        <f t="shared" si="97"/>
        <v>2.3350581224947519E-12</v>
      </c>
      <c r="BG82" s="147">
        <f t="shared" si="97"/>
        <v>2.3708623470396712E-12</v>
      </c>
      <c r="BH82" s="147">
        <f t="shared" si="97"/>
        <v>2.3548847964400559E-12</v>
      </c>
      <c r="BI82" s="147">
        <f t="shared" si="97"/>
        <v>2.4167659358131753E-12</v>
      </c>
      <c r="BJ82" s="147">
        <f t="shared" si="97"/>
        <v>2.4803808809221625E-12</v>
      </c>
      <c r="BK82" s="147">
        <f t="shared" si="97"/>
        <v>2.518413387762969E-12</v>
      </c>
      <c r="BL82" s="147">
        <f t="shared" si="97"/>
        <v>2.5014414714541315E-12</v>
      </c>
      <c r="BM82" s="147">
        <f t="shared" si="97"/>
        <v>2.5671737945651209E-12</v>
      </c>
      <c r="BN82" s="147">
        <f t="shared" si="97"/>
        <v>2.6347478271209632E-12</v>
      </c>
      <c r="BO82" s="147">
        <f t="shared" si="97"/>
        <v>2.6751472938034846E-12</v>
      </c>
      <c r="BP82" s="147">
        <f t="shared" si="97"/>
        <v>2.6571191272582873E-12</v>
      </c>
      <c r="BQ82" s="147">
        <f t="shared" si="97"/>
        <v>2.7269423132134637E-12</v>
      </c>
      <c r="BR82" s="147">
        <f t="shared" si="97"/>
        <v>2.7987218277290387E-12</v>
      </c>
      <c r="BS82" s="147">
        <f t="shared" si="97"/>
        <v>2.8416355624208842E-12</v>
      </c>
      <c r="BT82" s="147">
        <f t="shared" si="97"/>
        <v>2.8538463587144753E-12</v>
      </c>
      <c r="BU82" s="147">
        <f t="shared" si="97"/>
        <v>2.8971296951549782E-12</v>
      </c>
      <c r="BV82" s="147">
        <f t="shared" ref="BV82:EA82" si="98" xml:space="preserve"> -1 * BV81</f>
        <v>2.973388940537336E-12</v>
      </c>
      <c r="BW82" s="147">
        <f t="shared" si="98"/>
        <v>3.0189809042922421E-12</v>
      </c>
      <c r="BX82" s="147">
        <f t="shared" si="98"/>
        <v>2.9986355981980982E-12</v>
      </c>
      <c r="BY82" s="147">
        <f t="shared" si="98"/>
        <v>3.0774330780840822E-12</v>
      </c>
      <c r="BZ82" s="147">
        <f t="shared" si="98"/>
        <v>3.1584383311943835E-12</v>
      </c>
      <c r="CA82" s="147">
        <f t="shared" si="98"/>
        <v>3.2068677189393639E-12</v>
      </c>
      <c r="CB82" s="147">
        <f t="shared" si="98"/>
        <v>3.1852562190943375E-12</v>
      </c>
      <c r="CC82" s="147">
        <f t="shared" si="98"/>
        <v>3.2689576741849833E-12</v>
      </c>
      <c r="CD82" s="147">
        <f t="shared" si="98"/>
        <v>3.3550043036600507E-12</v>
      </c>
      <c r="CE82" s="147">
        <f t="shared" si="98"/>
        <v>3.4064477029828381E-12</v>
      </c>
      <c r="CF82" s="147">
        <f t="shared" si="98"/>
        <v>3.3834912075931711E-12</v>
      </c>
      <c r="CG82" s="147">
        <f t="shared" si="98"/>
        <v>3.4724018376593695E-12</v>
      </c>
      <c r="CH82" s="147">
        <f t="shared" si="98"/>
        <v>3.5638035944557806E-12</v>
      </c>
      <c r="CI82" s="147">
        <f t="shared" si="98"/>
        <v>3.6184485829041027E-12</v>
      </c>
      <c r="CJ82" s="147">
        <f t="shared" si="98"/>
        <v>3.633997423553828E-12</v>
      </c>
      <c r="CK82" s="147">
        <f t="shared" si="98"/>
        <v>3.6891130511443946E-12</v>
      </c>
      <c r="CL82" s="147">
        <f t="shared" si="98"/>
        <v>3.7862191551206712E-12</v>
      </c>
      <c r="CM82" s="147">
        <f t="shared" si="98"/>
        <v>3.8442745154991888E-12</v>
      </c>
      <c r="CN82" s="147">
        <f t="shared" si="98"/>
        <v>3.8183674481121288E-12</v>
      </c>
      <c r="CO82" s="147">
        <f t="shared" si="98"/>
        <v>3.9187056593875196E-12</v>
      </c>
      <c r="CP82" s="147">
        <f t="shared" si="98"/>
        <v>4.0218551790518376E-12</v>
      </c>
      <c r="CQ82" s="147">
        <f t="shared" si="98"/>
        <v>4.083523625130632E-12</v>
      </c>
      <c r="CR82" s="147">
        <f t="shared" si="98"/>
        <v>4.0560042267873601E-12</v>
      </c>
      <c r="CS82" s="147">
        <f t="shared" si="98"/>
        <v>4.1625870045246059E-12</v>
      </c>
      <c r="CT82" s="147">
        <f t="shared" si="98"/>
        <v>4.2721560529294189E-12</v>
      </c>
      <c r="CU82" s="147">
        <f t="shared" si="98"/>
        <v>4.337662445741003E-12</v>
      </c>
      <c r="CV82" s="147">
        <f t="shared" si="98"/>
        <v>4.3084303727370966E-12</v>
      </c>
      <c r="CW82" s="147">
        <f t="shared" si="98"/>
        <v>4.4216463486429106E-12</v>
      </c>
      <c r="CX82" s="147">
        <f t="shared" si="98"/>
        <v>4.5380344463035261E-12</v>
      </c>
      <c r="CY82" s="147">
        <f t="shared" si="98"/>
        <v>4.607617641146847E-12</v>
      </c>
      <c r="CZ82" s="147">
        <f t="shared" si="98"/>
        <v>4.6274170415903257E-12</v>
      </c>
      <c r="DA82" s="147">
        <f t="shared" si="98"/>
        <v>4.6975995333877789E-12</v>
      </c>
      <c r="DB82" s="147">
        <f t="shared" si="98"/>
        <v>4.8212513657940964E-12</v>
      </c>
      <c r="DC82" s="147">
        <f t="shared" si="98"/>
        <v>4.8951772200696055E-12</v>
      </c>
      <c r="DD82" s="147">
        <f t="shared" si="98"/>
        <v>4.8621879822821794E-12</v>
      </c>
      <c r="DE82" s="147">
        <f t="shared" si="98"/>
        <v>4.9899554775943725E-12</v>
      </c>
      <c r="DF82" s="147">
        <f t="shared" si="98"/>
        <v>5.1213028038287799E-12</v>
      </c>
      <c r="DG82" s="147">
        <f t="shared" si="98"/>
        <v>5.1998294468208207E-12</v>
      </c>
      <c r="DH82" s="147">
        <f t="shared" si="98"/>
        <v>5.1647871179400714E-12</v>
      </c>
      <c r="DI82" s="147">
        <f t="shared" si="98"/>
        <v>5.3005062460948297E-12</v>
      </c>
      <c r="DJ82" s="147">
        <f t="shared" si="98"/>
        <v>5.4400279965872744E-12</v>
      </c>
      <c r="DK82" s="147">
        <f t="shared" si="98"/>
        <v>5.5234417592016132E-12</v>
      </c>
      <c r="DL82" s="147">
        <f t="shared" si="98"/>
        <v>5.4862185647374278E-12</v>
      </c>
      <c r="DM82" s="147">
        <f t="shared" si="98"/>
        <v>5.6303841970219176E-12</v>
      </c>
      <c r="DN82" s="147">
        <f t="shared" si="98"/>
        <v>5.7785891085230152E-12</v>
      </c>
      <c r="DO82" s="147">
        <f t="shared" si="98"/>
        <v>5.8671941415203677E-12</v>
      </c>
      <c r="DP82" s="147">
        <f t="shared" si="98"/>
        <v>5.8924060699690751E-12</v>
      </c>
      <c r="DQ82" s="147">
        <f t="shared" si="98"/>
        <v>5.981774228696939E-12</v>
      </c>
      <c r="DR82" s="147">
        <f t="shared" si="98"/>
        <v>6.1392285496032262E-12</v>
      </c>
      <c r="DS82" s="147">
        <f t="shared" si="98"/>
        <v>6.2333633873638092E-12</v>
      </c>
      <c r="DT82" s="147">
        <f t="shared" si="98"/>
        <v>6.1913559384489657E-12</v>
      </c>
      <c r="DU82" s="147">
        <f t="shared" si="98"/>
        <v>6.3540510139426528E-12</v>
      </c>
      <c r="DV82" s="147">
        <f t="shared" si="98"/>
        <v>6.5213045325733925E-12</v>
      </c>
      <c r="DW82" s="147">
        <f t="shared" si="98"/>
        <v>6.6212978687395183E-12</v>
      </c>
      <c r="DX82" s="147">
        <f t="shared" si="98"/>
        <v>6.5766760787545336E-12</v>
      </c>
      <c r="DY82" s="147">
        <f t="shared" si="98"/>
        <v>6.7494965112684725E-12</v>
      </c>
      <c r="DZ82" s="147">
        <f t="shared" si="98"/>
        <v>6.9271590824405433E-12</v>
      </c>
      <c r="EA82" s="147">
        <f t="shared" si="98"/>
        <v>7.0333755217046319E-12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78175.932587748117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outlineLevel="2" x14ac:dyDescent="0.35">
      <c r="E90" s="169" t="s">
        <v>252</v>
      </c>
      <c r="F90" s="169"/>
      <c r="G90" s="169" t="str">
        <f xml:space="preserve"> SMU</f>
        <v>$ 000s</v>
      </c>
      <c r="H90" s="169"/>
      <c r="I90" s="26"/>
      <c r="J90" s="169">
        <f t="shared" ref="J90:BU90" si="100">I92</f>
        <v>0</v>
      </c>
      <c r="K90" s="169">
        <f t="shared" si="100"/>
        <v>0</v>
      </c>
      <c r="L90" s="169">
        <f t="shared" si="100"/>
        <v>0</v>
      </c>
      <c r="M90" s="169">
        <f t="shared" si="100"/>
        <v>78175.932587748117</v>
      </c>
      <c r="N90" s="169">
        <f t="shared" si="100"/>
        <v>78192.868861468727</v>
      </c>
      <c r="O90" s="169">
        <f t="shared" si="100"/>
        <v>75527.298030987426</v>
      </c>
      <c r="P90" s="169">
        <f t="shared" si="100"/>
        <v>73477.28358440446</v>
      </c>
      <c r="Q90" s="169">
        <f t="shared" si="100"/>
        <v>73018.969510444425</v>
      </c>
      <c r="R90" s="169">
        <f t="shared" si="100"/>
        <v>71813.563850624938</v>
      </c>
      <c r="S90" s="169">
        <f t="shared" si="100"/>
        <v>69076.7381788364</v>
      </c>
      <c r="T90" s="169">
        <f t="shared" si="100"/>
        <v>66951.120944880924</v>
      </c>
      <c r="U90" s="169">
        <f t="shared" si="100"/>
        <v>66410.006229393344</v>
      </c>
      <c r="V90" s="169">
        <f t="shared" si="100"/>
        <v>65123.317080660665</v>
      </c>
      <c r="W90" s="169">
        <f t="shared" si="100"/>
        <v>62310.484445890055</v>
      </c>
      <c r="X90" s="169">
        <f t="shared" si="100"/>
        <v>60104.455843301788</v>
      </c>
      <c r="Y90" s="169">
        <f t="shared" si="100"/>
        <v>59473.313091977907</v>
      </c>
      <c r="Z90" s="169">
        <f t="shared" si="100"/>
        <v>58112.935479367072</v>
      </c>
      <c r="AA90" s="169">
        <f t="shared" si="100"/>
        <v>55219.20569981377</v>
      </c>
      <c r="AB90" s="169">
        <f t="shared" si="100"/>
        <v>52927.816892901108</v>
      </c>
      <c r="AC90" s="169">
        <f t="shared" si="100"/>
        <v>52206.756580181434</v>
      </c>
      <c r="AD90" s="169">
        <f t="shared" si="100"/>
        <v>50742.726363300462</v>
      </c>
      <c r="AE90" s="169">
        <f t="shared" si="100"/>
        <v>47762.603581914955</v>
      </c>
      <c r="AF90" s="169">
        <f t="shared" si="100"/>
        <v>45380.290695803742</v>
      </c>
      <c r="AG90" s="169">
        <f t="shared" si="100"/>
        <v>44561.334931493882</v>
      </c>
      <c r="AH90" s="169">
        <f t="shared" si="100"/>
        <v>43000.477122754266</v>
      </c>
      <c r="AI90" s="169">
        <f t="shared" si="100"/>
        <v>39928.281214933799</v>
      </c>
      <c r="AJ90" s="169">
        <f t="shared" si="100"/>
        <v>37449.29320531743</v>
      </c>
      <c r="AK90" s="169">
        <f t="shared" si="100"/>
        <v>36526.770489562405</v>
      </c>
      <c r="AL90" s="169">
        <f t="shared" si="100"/>
        <v>34863.247214031908</v>
      </c>
      <c r="AM90" s="169">
        <f t="shared" si="100"/>
        <v>31692.949340199561</v>
      </c>
      <c r="AN90" s="169">
        <f t="shared" si="100"/>
        <v>29111.181024860176</v>
      </c>
      <c r="AO90" s="169">
        <f t="shared" si="100"/>
        <v>28071.772426415719</v>
      </c>
      <c r="AP90" s="169">
        <f t="shared" si="100"/>
        <v>26311.421524525162</v>
      </c>
      <c r="AQ90" s="169">
        <f t="shared" si="100"/>
        <v>23036.695168662034</v>
      </c>
      <c r="AR90" s="169">
        <f t="shared" si="100"/>
        <v>20345.739049062209</v>
      </c>
      <c r="AS90" s="169">
        <f t="shared" si="100"/>
        <v>19197.711834423186</v>
      </c>
      <c r="AT90" s="169">
        <f t="shared" si="100"/>
        <v>17309.952675879202</v>
      </c>
      <c r="AU90" s="169">
        <f t="shared" si="100"/>
        <v>13923.937067080546</v>
      </c>
      <c r="AV90" s="169">
        <f t="shared" si="100"/>
        <v>11116.843122851466</v>
      </c>
      <c r="AW90" s="169">
        <f t="shared" si="100"/>
        <v>9846.0389392375728</v>
      </c>
      <c r="AX90" s="169">
        <f t="shared" si="100"/>
        <v>7835.8480878227465</v>
      </c>
      <c r="AY90" s="169">
        <f t="shared" si="100"/>
        <v>4331.3330912289775</v>
      </c>
      <c r="AZ90" s="169">
        <f t="shared" si="100"/>
        <v>1400.7965065634312</v>
      </c>
      <c r="BA90" s="169">
        <f t="shared" si="100"/>
        <v>-1.4119905245024711E-10</v>
      </c>
      <c r="BB90" s="169">
        <f t="shared" si="100"/>
        <v>-1.4334057141240919E-10</v>
      </c>
      <c r="BC90" s="169">
        <f t="shared" si="100"/>
        <v>-1.4553846017406614E-10</v>
      </c>
      <c r="BD90" s="169">
        <f t="shared" si="100"/>
        <v>-1.4777004989673515E-10</v>
      </c>
      <c r="BE90" s="169">
        <f t="shared" si="100"/>
        <v>-1.5001122898683564E-10</v>
      </c>
      <c r="BF90" s="169">
        <f t="shared" si="100"/>
        <v>-1.5228639929313598E-10</v>
      </c>
      <c r="BG90" s="169">
        <f t="shared" si="100"/>
        <v>-1.5462145741563071E-10</v>
      </c>
      <c r="BH90" s="169">
        <f t="shared" si="100"/>
        <v>-1.5699231976267039E-10</v>
      </c>
      <c r="BI90" s="169">
        <f t="shared" si="100"/>
        <v>-1.5934720455911044E-10</v>
      </c>
      <c r="BJ90" s="169">
        <f t="shared" si="100"/>
        <v>-1.6176397049492361E-10</v>
      </c>
      <c r="BK90" s="169">
        <f t="shared" si="100"/>
        <v>-1.6424435137584577E-10</v>
      </c>
      <c r="BL90" s="169">
        <f t="shared" si="100"/>
        <v>-1.6676276476360875E-10</v>
      </c>
      <c r="BM90" s="169">
        <f t="shared" si="100"/>
        <v>-1.6926420623506289E-10</v>
      </c>
      <c r="BN90" s="169">
        <f t="shared" si="100"/>
        <v>-1.7183138002962802E-10</v>
      </c>
      <c r="BO90" s="169">
        <f t="shared" si="100"/>
        <v>-1.7446612785674897E-10</v>
      </c>
      <c r="BP90" s="169">
        <f t="shared" si="100"/>
        <v>-1.7714127515055247E-10</v>
      </c>
      <c r="BQ90" s="169">
        <f t="shared" si="100"/>
        <v>-1.7979839427781076E-10</v>
      </c>
      <c r="BR90" s="169">
        <f t="shared" si="100"/>
        <v>-1.8252533659102423E-10</v>
      </c>
      <c r="BS90" s="169">
        <f t="shared" si="100"/>
        <v>-1.8532405841875327E-10</v>
      </c>
      <c r="BT90" s="169">
        <f t="shared" si="100"/>
        <v>-1.8816569398117416E-10</v>
      </c>
      <c r="BU90" s="169">
        <f t="shared" si="100"/>
        <v>-1.9101954033988864E-10</v>
      </c>
      <c r="BV90" s="169">
        <f t="shared" ref="BV90:EA90" si="101">BU92</f>
        <v>-1.9391667003504363E-10</v>
      </c>
      <c r="BW90" s="169">
        <f t="shared" si="101"/>
        <v>-1.9689005897558098E-10</v>
      </c>
      <c r="BX90" s="169">
        <f t="shared" si="101"/>
        <v>-1.9990903987987321E-10</v>
      </c>
      <c r="BY90" s="169">
        <f t="shared" si="101"/>
        <v>-2.0290767547807132E-10</v>
      </c>
      <c r="BZ90" s="169">
        <f t="shared" si="101"/>
        <v>-2.059851085561554E-10</v>
      </c>
      <c r="CA90" s="169">
        <f t="shared" si="101"/>
        <v>-2.0914354688734979E-10</v>
      </c>
      <c r="CB90" s="169">
        <f t="shared" si="101"/>
        <v>-2.1235041460628915E-10</v>
      </c>
      <c r="CC90" s="169">
        <f t="shared" si="101"/>
        <v>-2.1553567082538349E-10</v>
      </c>
      <c r="CD90" s="169">
        <f t="shared" si="101"/>
        <v>-2.1880462849956849E-10</v>
      </c>
      <c r="CE90" s="169">
        <f t="shared" si="101"/>
        <v>-2.2215963280322854E-10</v>
      </c>
      <c r="CF90" s="169">
        <f t="shared" si="101"/>
        <v>-2.2556608050621139E-10</v>
      </c>
      <c r="CG90" s="169">
        <f t="shared" si="101"/>
        <v>-2.2894957171380456E-10</v>
      </c>
      <c r="CH90" s="169">
        <f t="shared" si="101"/>
        <v>-2.3242197355146392E-10</v>
      </c>
      <c r="CI90" s="169">
        <f t="shared" si="101"/>
        <v>-2.3598577714591969E-10</v>
      </c>
      <c r="CJ90" s="169">
        <f t="shared" si="101"/>
        <v>-2.396042257288238E-10</v>
      </c>
      <c r="CK90" s="169">
        <f t="shared" si="101"/>
        <v>-2.4323822315237762E-10</v>
      </c>
      <c r="CL90" s="169">
        <f t="shared" si="101"/>
        <v>-2.4692733620352201E-10</v>
      </c>
      <c r="CM90" s="169">
        <f t="shared" si="101"/>
        <v>-2.5071355535864269E-10</v>
      </c>
      <c r="CN90" s="169">
        <f t="shared" si="101"/>
        <v>-2.5455782987414188E-10</v>
      </c>
      <c r="CO90" s="169">
        <f t="shared" si="101"/>
        <v>-2.5837619732225399E-10</v>
      </c>
      <c r="CP90" s="169">
        <f t="shared" si="101"/>
        <v>-2.6229490298164153E-10</v>
      </c>
      <c r="CQ90" s="169">
        <f t="shared" si="101"/>
        <v>-2.6631675816069335E-10</v>
      </c>
      <c r="CR90" s="169">
        <f t="shared" si="101"/>
        <v>-2.7040028178582398E-10</v>
      </c>
      <c r="CS90" s="169">
        <f t="shared" si="101"/>
        <v>-2.7445628601261134E-10</v>
      </c>
      <c r="CT90" s="169">
        <f t="shared" si="101"/>
        <v>-2.7861887301713596E-10</v>
      </c>
      <c r="CU90" s="169">
        <f t="shared" si="101"/>
        <v>-2.8289102907006539E-10</v>
      </c>
      <c r="CV90" s="169">
        <f t="shared" si="101"/>
        <v>-2.8722869151580641E-10</v>
      </c>
      <c r="CW90" s="169">
        <f t="shared" si="101"/>
        <v>-2.915371218885435E-10</v>
      </c>
      <c r="CX90" s="169">
        <f t="shared" si="101"/>
        <v>-2.9595876823718643E-10</v>
      </c>
      <c r="CY90" s="169">
        <f t="shared" si="101"/>
        <v>-3.0049680268348998E-10</v>
      </c>
      <c r="CZ90" s="169">
        <f t="shared" si="101"/>
        <v>-3.0510442032463681E-10</v>
      </c>
      <c r="DA90" s="169">
        <f t="shared" si="101"/>
        <v>-3.0973183736622715E-10</v>
      </c>
      <c r="DB90" s="169">
        <f t="shared" si="101"/>
        <v>-3.1442943689961494E-10</v>
      </c>
      <c r="DC90" s="169">
        <f t="shared" si="101"/>
        <v>-3.1925068826540901E-10</v>
      </c>
      <c r="DD90" s="169">
        <f t="shared" si="101"/>
        <v>-3.2414586548547861E-10</v>
      </c>
      <c r="DE90" s="169">
        <f t="shared" si="101"/>
        <v>-3.2900805346776078E-10</v>
      </c>
      <c r="DF90" s="169">
        <f t="shared" si="101"/>
        <v>-3.3399800894535517E-10</v>
      </c>
      <c r="DG90" s="169">
        <f t="shared" si="101"/>
        <v>-3.3911931174918393E-10</v>
      </c>
      <c r="DH90" s="169">
        <f t="shared" si="101"/>
        <v>-3.4431914119600473E-10</v>
      </c>
      <c r="DI90" s="169">
        <f t="shared" si="101"/>
        <v>-3.4948392831394478E-10</v>
      </c>
      <c r="DJ90" s="169">
        <f t="shared" si="101"/>
        <v>-3.5478443456003959E-10</v>
      </c>
      <c r="DK90" s="169">
        <f t="shared" si="101"/>
        <v>-3.6022446255662687E-10</v>
      </c>
      <c r="DL90" s="169">
        <f t="shared" si="101"/>
        <v>-3.657479043158285E-10</v>
      </c>
      <c r="DM90" s="169">
        <f t="shared" si="101"/>
        <v>-3.7123412288056593E-10</v>
      </c>
      <c r="DN90" s="169">
        <f t="shared" si="101"/>
        <v>-3.7686450707758786E-10</v>
      </c>
      <c r="DO90" s="169">
        <f t="shared" si="101"/>
        <v>-3.8264309618611089E-10</v>
      </c>
      <c r="DP90" s="169">
        <f t="shared" si="101"/>
        <v>-3.8851029032763128E-10</v>
      </c>
      <c r="DQ90" s="169">
        <f t="shared" si="101"/>
        <v>-3.9440269639760034E-10</v>
      </c>
      <c r="DR90" s="169">
        <f t="shared" si="101"/>
        <v>-4.0038447062629729E-10</v>
      </c>
      <c r="DS90" s="169">
        <f t="shared" si="101"/>
        <v>-4.0652369917590053E-10</v>
      </c>
      <c r="DT90" s="169">
        <f t="shared" si="101"/>
        <v>-4.1275706256326435E-10</v>
      </c>
      <c r="DU90" s="169">
        <f t="shared" si="101"/>
        <v>-4.1894841850171331E-10</v>
      </c>
      <c r="DV90" s="169">
        <f t="shared" si="101"/>
        <v>-4.2530246951565598E-10</v>
      </c>
      <c r="DW90" s="169">
        <f t="shared" si="101"/>
        <v>-4.3182377404822937E-10</v>
      </c>
      <c r="DX90" s="169">
        <f t="shared" si="101"/>
        <v>-4.3844507191696887E-10</v>
      </c>
      <c r="DY90" s="169">
        <f t="shared" si="101"/>
        <v>-4.450217479957234E-10</v>
      </c>
      <c r="DZ90" s="169">
        <f t="shared" si="101"/>
        <v>-4.5177124450699187E-10</v>
      </c>
      <c r="EA90" s="169">
        <f t="shared" si="101"/>
        <v>-4.5869840358943243E-10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78175.932587748233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-16.936273720604049</v>
      </c>
      <c r="N91" s="26">
        <f t="shared" si="102"/>
        <v>2665.5708304812952</v>
      </c>
      <c r="O91" s="26">
        <f t="shared" si="102"/>
        <v>2050.014446582969</v>
      </c>
      <c r="P91" s="26">
        <f t="shared" si="102"/>
        <v>458.31407396003328</v>
      </c>
      <c r="Q91" s="26">
        <f t="shared" si="102"/>
        <v>1205.4056598194848</v>
      </c>
      <c r="R91" s="26">
        <f t="shared" si="102"/>
        <v>2736.8256717885324</v>
      </c>
      <c r="S91" s="26">
        <f t="shared" si="102"/>
        <v>2125.6172339554769</v>
      </c>
      <c r="T91" s="26">
        <f t="shared" si="102"/>
        <v>541.11471548758607</v>
      </c>
      <c r="U91" s="26">
        <f t="shared" si="102"/>
        <v>1286.6891487326761</v>
      </c>
      <c r="V91" s="26">
        <f t="shared" si="102"/>
        <v>2812.8326347706097</v>
      </c>
      <c r="W91" s="26">
        <f t="shared" si="102"/>
        <v>2206.0286025882674</v>
      </c>
      <c r="X91" s="26">
        <f t="shared" si="102"/>
        <v>631.14275132388127</v>
      </c>
      <c r="Y91" s="26">
        <f t="shared" si="102"/>
        <v>1360.3776126108371</v>
      </c>
      <c r="Z91" s="26">
        <f t="shared" si="102"/>
        <v>2893.7297795533041</v>
      </c>
      <c r="AA91" s="26">
        <f t="shared" si="102"/>
        <v>2291.388806912661</v>
      </c>
      <c r="AB91" s="26">
        <f t="shared" si="102"/>
        <v>721.06031271967379</v>
      </c>
      <c r="AC91" s="26">
        <f t="shared" si="102"/>
        <v>1464.0302168809694</v>
      </c>
      <c r="AD91" s="26">
        <f t="shared" si="102"/>
        <v>2980.1227813855048</v>
      </c>
      <c r="AE91" s="26">
        <f t="shared" si="102"/>
        <v>2382.3128861112095</v>
      </c>
      <c r="AF91" s="26">
        <f t="shared" si="102"/>
        <v>818.95576430986296</v>
      </c>
      <c r="AG91" s="26">
        <f t="shared" si="102"/>
        <v>1560.8578087396195</v>
      </c>
      <c r="AH91" s="26">
        <f t="shared" si="102"/>
        <v>3072.1959078204695</v>
      </c>
      <c r="AI91" s="26">
        <f t="shared" si="102"/>
        <v>2478.9880096163715</v>
      </c>
      <c r="AJ91" s="26">
        <f t="shared" si="102"/>
        <v>922.52271575502664</v>
      </c>
      <c r="AK91" s="26">
        <f t="shared" ref="AK91:BP91" si="103" xml:space="preserve"> AK$68</f>
        <v>1663.5232755305003</v>
      </c>
      <c r="AL91" s="26">
        <f t="shared" si="103"/>
        <v>3170.2978738323477</v>
      </c>
      <c r="AM91" s="26">
        <f t="shared" si="103"/>
        <v>2581.7683153393846</v>
      </c>
      <c r="AN91" s="26">
        <f t="shared" si="103"/>
        <v>1039.4085984444559</v>
      </c>
      <c r="AO91" s="26">
        <f t="shared" si="103"/>
        <v>1760.3509018905556</v>
      </c>
      <c r="AP91" s="26">
        <f t="shared" si="103"/>
        <v>3274.7263558631266</v>
      </c>
      <c r="AQ91" s="26">
        <f t="shared" si="103"/>
        <v>2690.956119599824</v>
      </c>
      <c r="AR91" s="26">
        <f t="shared" si="103"/>
        <v>1148.0272146390239</v>
      </c>
      <c r="AS91" s="26">
        <f t="shared" si="103"/>
        <v>1887.7591585439841</v>
      </c>
      <c r="AT91" s="26">
        <f t="shared" si="103"/>
        <v>3386.0156087986566</v>
      </c>
      <c r="AU91" s="26">
        <f t="shared" si="103"/>
        <v>2807.0939442290801</v>
      </c>
      <c r="AV91" s="26">
        <f t="shared" si="103"/>
        <v>1270.8041836138932</v>
      </c>
      <c r="AW91" s="26">
        <f t="shared" si="103"/>
        <v>2010.1908514148263</v>
      </c>
      <c r="AX91" s="26">
        <f t="shared" si="103"/>
        <v>3504.514996593769</v>
      </c>
      <c r="AY91" s="26">
        <f t="shared" si="103"/>
        <v>2930.5365846655463</v>
      </c>
      <c r="AZ91" s="26">
        <f t="shared" si="103"/>
        <v>1400.7965065635724</v>
      </c>
      <c r="BA91" s="26">
        <f t="shared" si="103"/>
        <v>2.1415189621620815E-12</v>
      </c>
      <c r="BB91" s="26">
        <f t="shared" si="103"/>
        <v>2.1978887616569411E-12</v>
      </c>
      <c r="BC91" s="26">
        <f t="shared" si="103"/>
        <v>2.2315897226690144E-12</v>
      </c>
      <c r="BD91" s="26">
        <f t="shared" si="103"/>
        <v>2.2411790901004832E-12</v>
      </c>
      <c r="BE91" s="26">
        <f t="shared" si="103"/>
        <v>2.2751703063003407E-12</v>
      </c>
      <c r="BF91" s="26">
        <f t="shared" si="103"/>
        <v>2.3350581224947519E-12</v>
      </c>
      <c r="BG91" s="26">
        <f t="shared" si="103"/>
        <v>2.3708623470396712E-12</v>
      </c>
      <c r="BH91" s="26">
        <f t="shared" si="103"/>
        <v>2.3548847964400559E-12</v>
      </c>
      <c r="BI91" s="26">
        <f t="shared" si="103"/>
        <v>2.4167659358131753E-12</v>
      </c>
      <c r="BJ91" s="26">
        <f t="shared" si="103"/>
        <v>2.4803808809221625E-12</v>
      </c>
      <c r="BK91" s="26">
        <f t="shared" si="103"/>
        <v>2.518413387762969E-12</v>
      </c>
      <c r="BL91" s="26">
        <f t="shared" si="103"/>
        <v>2.5014414714541315E-12</v>
      </c>
      <c r="BM91" s="26">
        <f t="shared" si="103"/>
        <v>2.5671737945651209E-12</v>
      </c>
      <c r="BN91" s="26">
        <f t="shared" si="103"/>
        <v>2.6347478271209632E-12</v>
      </c>
      <c r="BO91" s="26">
        <f t="shared" si="103"/>
        <v>2.6751472938034846E-12</v>
      </c>
      <c r="BP91" s="26">
        <f t="shared" si="103"/>
        <v>2.6571191272582873E-12</v>
      </c>
      <c r="BQ91" s="26">
        <f t="shared" ref="BQ91:CV91" si="104" xml:space="preserve"> BQ$68</f>
        <v>2.7269423132134637E-12</v>
      </c>
      <c r="BR91" s="26">
        <f t="shared" si="104"/>
        <v>2.7987218277290387E-12</v>
      </c>
      <c r="BS91" s="26">
        <f t="shared" si="104"/>
        <v>2.8416355624208842E-12</v>
      </c>
      <c r="BT91" s="26">
        <f t="shared" si="104"/>
        <v>2.8538463587144753E-12</v>
      </c>
      <c r="BU91" s="26">
        <f t="shared" si="104"/>
        <v>2.8971296951549782E-12</v>
      </c>
      <c r="BV91" s="26">
        <f t="shared" si="104"/>
        <v>2.973388940537336E-12</v>
      </c>
      <c r="BW91" s="26">
        <f t="shared" si="104"/>
        <v>3.0189809042922421E-12</v>
      </c>
      <c r="BX91" s="26">
        <f t="shared" si="104"/>
        <v>2.9986355981980982E-12</v>
      </c>
      <c r="BY91" s="26">
        <f t="shared" si="104"/>
        <v>3.0774330780840822E-12</v>
      </c>
      <c r="BZ91" s="26">
        <f t="shared" si="104"/>
        <v>3.1584383311943835E-12</v>
      </c>
      <c r="CA91" s="26">
        <f t="shared" si="104"/>
        <v>3.2068677189393639E-12</v>
      </c>
      <c r="CB91" s="26">
        <f t="shared" si="104"/>
        <v>3.1852562190943375E-12</v>
      </c>
      <c r="CC91" s="26">
        <f t="shared" si="104"/>
        <v>3.2689576741849833E-12</v>
      </c>
      <c r="CD91" s="26">
        <f t="shared" si="104"/>
        <v>3.3550043036600507E-12</v>
      </c>
      <c r="CE91" s="26">
        <f t="shared" si="104"/>
        <v>3.4064477029828381E-12</v>
      </c>
      <c r="CF91" s="26">
        <f t="shared" si="104"/>
        <v>3.3834912075931711E-12</v>
      </c>
      <c r="CG91" s="26">
        <f t="shared" si="104"/>
        <v>3.4724018376593695E-12</v>
      </c>
      <c r="CH91" s="26">
        <f t="shared" si="104"/>
        <v>3.5638035944557806E-12</v>
      </c>
      <c r="CI91" s="26">
        <f t="shared" si="104"/>
        <v>3.6184485829041027E-12</v>
      </c>
      <c r="CJ91" s="26">
        <f t="shared" si="104"/>
        <v>3.633997423553828E-12</v>
      </c>
      <c r="CK91" s="26">
        <f t="shared" si="104"/>
        <v>3.6891130511443946E-12</v>
      </c>
      <c r="CL91" s="26">
        <f t="shared" si="104"/>
        <v>3.7862191551206712E-12</v>
      </c>
      <c r="CM91" s="26">
        <f t="shared" si="104"/>
        <v>3.8442745154991888E-12</v>
      </c>
      <c r="CN91" s="26">
        <f t="shared" si="104"/>
        <v>3.8183674481121288E-12</v>
      </c>
      <c r="CO91" s="26">
        <f t="shared" si="104"/>
        <v>3.9187056593875196E-12</v>
      </c>
      <c r="CP91" s="26">
        <f t="shared" si="104"/>
        <v>4.0218551790518376E-12</v>
      </c>
      <c r="CQ91" s="26">
        <f t="shared" si="104"/>
        <v>4.083523625130632E-12</v>
      </c>
      <c r="CR91" s="26">
        <f t="shared" si="104"/>
        <v>4.0560042267873601E-12</v>
      </c>
      <c r="CS91" s="26">
        <f t="shared" si="104"/>
        <v>4.1625870045246059E-12</v>
      </c>
      <c r="CT91" s="26">
        <f t="shared" si="104"/>
        <v>4.2721560529294189E-12</v>
      </c>
      <c r="CU91" s="26">
        <f t="shared" si="104"/>
        <v>4.337662445741003E-12</v>
      </c>
      <c r="CV91" s="26">
        <f t="shared" si="104"/>
        <v>4.3084303727370966E-12</v>
      </c>
      <c r="CW91" s="26">
        <f t="shared" ref="CW91:EA91" si="105" xml:space="preserve"> CW$68</f>
        <v>4.4216463486429106E-12</v>
      </c>
      <c r="CX91" s="26">
        <f t="shared" si="105"/>
        <v>4.5380344463035261E-12</v>
      </c>
      <c r="CY91" s="26">
        <f t="shared" si="105"/>
        <v>4.607617641146847E-12</v>
      </c>
      <c r="CZ91" s="26">
        <f t="shared" si="105"/>
        <v>4.6274170415903257E-12</v>
      </c>
      <c r="DA91" s="26">
        <f t="shared" si="105"/>
        <v>4.6975995333877789E-12</v>
      </c>
      <c r="DB91" s="26">
        <f t="shared" si="105"/>
        <v>4.8212513657940964E-12</v>
      </c>
      <c r="DC91" s="26">
        <f t="shared" si="105"/>
        <v>4.8951772200696055E-12</v>
      </c>
      <c r="DD91" s="26">
        <f t="shared" si="105"/>
        <v>4.8621879822821794E-12</v>
      </c>
      <c r="DE91" s="26">
        <f t="shared" si="105"/>
        <v>4.9899554775943725E-12</v>
      </c>
      <c r="DF91" s="26">
        <f t="shared" si="105"/>
        <v>5.1213028038287799E-12</v>
      </c>
      <c r="DG91" s="26">
        <f t="shared" si="105"/>
        <v>5.1998294468208207E-12</v>
      </c>
      <c r="DH91" s="26">
        <f t="shared" si="105"/>
        <v>5.1647871179400714E-12</v>
      </c>
      <c r="DI91" s="26">
        <f t="shared" si="105"/>
        <v>5.3005062460948297E-12</v>
      </c>
      <c r="DJ91" s="26">
        <f t="shared" si="105"/>
        <v>5.4400279965872744E-12</v>
      </c>
      <c r="DK91" s="26">
        <f t="shared" si="105"/>
        <v>5.5234417592016132E-12</v>
      </c>
      <c r="DL91" s="26">
        <f t="shared" si="105"/>
        <v>5.4862185647374278E-12</v>
      </c>
      <c r="DM91" s="26">
        <f t="shared" si="105"/>
        <v>5.6303841970219176E-12</v>
      </c>
      <c r="DN91" s="26">
        <f t="shared" si="105"/>
        <v>5.7785891085230152E-12</v>
      </c>
      <c r="DO91" s="26">
        <f t="shared" si="105"/>
        <v>5.8671941415203677E-12</v>
      </c>
      <c r="DP91" s="26">
        <f t="shared" si="105"/>
        <v>5.8924060699690751E-12</v>
      </c>
      <c r="DQ91" s="26">
        <f t="shared" si="105"/>
        <v>5.981774228696939E-12</v>
      </c>
      <c r="DR91" s="26">
        <f t="shared" si="105"/>
        <v>6.1392285496032262E-12</v>
      </c>
      <c r="DS91" s="26">
        <f t="shared" si="105"/>
        <v>6.2333633873638092E-12</v>
      </c>
      <c r="DT91" s="26">
        <f t="shared" si="105"/>
        <v>6.1913559384489657E-12</v>
      </c>
      <c r="DU91" s="26">
        <f t="shared" si="105"/>
        <v>6.3540510139426528E-12</v>
      </c>
      <c r="DV91" s="26">
        <f t="shared" si="105"/>
        <v>6.5213045325733925E-12</v>
      </c>
      <c r="DW91" s="26">
        <f t="shared" si="105"/>
        <v>6.6212978687395183E-12</v>
      </c>
      <c r="DX91" s="26">
        <f t="shared" si="105"/>
        <v>6.5766760787545336E-12</v>
      </c>
      <c r="DY91" s="26">
        <f t="shared" si="105"/>
        <v>6.7494965112684725E-12</v>
      </c>
      <c r="DZ91" s="26">
        <f t="shared" si="105"/>
        <v>6.9271590824405433E-12</v>
      </c>
      <c r="EA91" s="26">
        <f t="shared" si="105"/>
        <v>7.0333755217046319E-12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78175.932587748117</v>
      </c>
      <c r="M92" s="432">
        <f t="shared" si="106"/>
        <v>78192.868861468727</v>
      </c>
      <c r="N92" s="432">
        <f t="shared" si="106"/>
        <v>75527.298030987426</v>
      </c>
      <c r="O92" s="432">
        <f t="shared" si="106"/>
        <v>73477.28358440446</v>
      </c>
      <c r="P92" s="432">
        <f t="shared" si="106"/>
        <v>73018.969510444425</v>
      </c>
      <c r="Q92" s="432">
        <f t="shared" si="106"/>
        <v>71813.563850624938</v>
      </c>
      <c r="R92" s="432">
        <f t="shared" si="106"/>
        <v>69076.7381788364</v>
      </c>
      <c r="S92" s="432">
        <f t="shared" si="106"/>
        <v>66951.120944880924</v>
      </c>
      <c r="T92" s="432">
        <f t="shared" si="106"/>
        <v>66410.006229393344</v>
      </c>
      <c r="U92" s="432">
        <f t="shared" si="106"/>
        <v>65123.317080660665</v>
      </c>
      <c r="V92" s="432">
        <f t="shared" si="106"/>
        <v>62310.484445890055</v>
      </c>
      <c r="W92" s="432">
        <f t="shared" si="106"/>
        <v>60104.455843301788</v>
      </c>
      <c r="X92" s="432">
        <f t="shared" si="106"/>
        <v>59473.313091977907</v>
      </c>
      <c r="Y92" s="432">
        <f t="shared" si="106"/>
        <v>58112.935479367072</v>
      </c>
      <c r="Z92" s="432">
        <f t="shared" si="106"/>
        <v>55219.20569981377</v>
      </c>
      <c r="AA92" s="432">
        <f t="shared" si="106"/>
        <v>52927.816892901108</v>
      </c>
      <c r="AB92" s="432">
        <f t="shared" si="106"/>
        <v>52206.756580181434</v>
      </c>
      <c r="AC92" s="432">
        <f t="shared" si="106"/>
        <v>50742.726363300462</v>
      </c>
      <c r="AD92" s="432">
        <f t="shared" si="106"/>
        <v>47762.603581914955</v>
      </c>
      <c r="AE92" s="432">
        <f t="shared" si="106"/>
        <v>45380.290695803742</v>
      </c>
      <c r="AF92" s="432">
        <f t="shared" si="106"/>
        <v>44561.334931493882</v>
      </c>
      <c r="AG92" s="432">
        <f t="shared" si="106"/>
        <v>43000.477122754266</v>
      </c>
      <c r="AH92" s="432">
        <f t="shared" si="106"/>
        <v>39928.281214933799</v>
      </c>
      <c r="AI92" s="432">
        <f t="shared" si="106"/>
        <v>37449.29320531743</v>
      </c>
      <c r="AJ92" s="432">
        <f t="shared" si="106"/>
        <v>36526.770489562405</v>
      </c>
      <c r="AK92" s="432">
        <f t="shared" si="106"/>
        <v>34863.247214031908</v>
      </c>
      <c r="AL92" s="432">
        <f t="shared" si="106"/>
        <v>31692.949340199561</v>
      </c>
      <c r="AM92" s="432">
        <f t="shared" si="106"/>
        <v>29111.181024860176</v>
      </c>
      <c r="AN92" s="432">
        <f t="shared" si="106"/>
        <v>28071.772426415719</v>
      </c>
      <c r="AO92" s="432">
        <f t="shared" si="106"/>
        <v>26311.421524525162</v>
      </c>
      <c r="AP92" s="432">
        <f t="shared" ref="AP92:BU92" si="107" xml:space="preserve"> IF( AP88 = 1, $F87, AP90 - AP91)</f>
        <v>23036.695168662034</v>
      </c>
      <c r="AQ92" s="432">
        <f t="shared" si="107"/>
        <v>20345.739049062209</v>
      </c>
      <c r="AR92" s="432">
        <f t="shared" si="107"/>
        <v>19197.711834423186</v>
      </c>
      <c r="AS92" s="432">
        <f t="shared" si="107"/>
        <v>17309.952675879202</v>
      </c>
      <c r="AT92" s="432">
        <f t="shared" si="107"/>
        <v>13923.937067080546</v>
      </c>
      <c r="AU92" s="432">
        <f t="shared" si="107"/>
        <v>11116.843122851466</v>
      </c>
      <c r="AV92" s="432">
        <f t="shared" si="107"/>
        <v>9846.0389392375728</v>
      </c>
      <c r="AW92" s="432">
        <f t="shared" si="107"/>
        <v>7835.8480878227465</v>
      </c>
      <c r="AX92" s="432">
        <f t="shared" si="107"/>
        <v>4331.3330912289775</v>
      </c>
      <c r="AY92" s="432">
        <f t="shared" si="107"/>
        <v>1400.7965065634312</v>
      </c>
      <c r="AZ92" s="432">
        <f t="shared" si="107"/>
        <v>-1.4119905245024711E-10</v>
      </c>
      <c r="BA92" s="432">
        <f t="shared" si="107"/>
        <v>-1.4334057141240919E-10</v>
      </c>
      <c r="BB92" s="432">
        <f t="shared" si="107"/>
        <v>-1.4553846017406614E-10</v>
      </c>
      <c r="BC92" s="432">
        <f t="shared" si="107"/>
        <v>-1.4777004989673515E-10</v>
      </c>
      <c r="BD92" s="432">
        <f t="shared" si="107"/>
        <v>-1.5001122898683564E-10</v>
      </c>
      <c r="BE92" s="432">
        <f t="shared" si="107"/>
        <v>-1.5228639929313598E-10</v>
      </c>
      <c r="BF92" s="432">
        <f t="shared" si="107"/>
        <v>-1.5462145741563071E-10</v>
      </c>
      <c r="BG92" s="432">
        <f t="shared" si="107"/>
        <v>-1.5699231976267039E-10</v>
      </c>
      <c r="BH92" s="432">
        <f t="shared" si="107"/>
        <v>-1.5934720455911044E-10</v>
      </c>
      <c r="BI92" s="432">
        <f t="shared" si="107"/>
        <v>-1.6176397049492361E-10</v>
      </c>
      <c r="BJ92" s="432">
        <f t="shared" si="107"/>
        <v>-1.6424435137584577E-10</v>
      </c>
      <c r="BK92" s="432">
        <f t="shared" si="107"/>
        <v>-1.6676276476360875E-10</v>
      </c>
      <c r="BL92" s="432">
        <f t="shared" si="107"/>
        <v>-1.6926420623506289E-10</v>
      </c>
      <c r="BM92" s="432">
        <f t="shared" si="107"/>
        <v>-1.7183138002962802E-10</v>
      </c>
      <c r="BN92" s="432">
        <f t="shared" si="107"/>
        <v>-1.7446612785674897E-10</v>
      </c>
      <c r="BO92" s="432">
        <f t="shared" si="107"/>
        <v>-1.7714127515055247E-10</v>
      </c>
      <c r="BP92" s="432">
        <f t="shared" si="107"/>
        <v>-1.7979839427781076E-10</v>
      </c>
      <c r="BQ92" s="432">
        <f t="shared" si="107"/>
        <v>-1.8252533659102423E-10</v>
      </c>
      <c r="BR92" s="432">
        <f t="shared" si="107"/>
        <v>-1.8532405841875327E-10</v>
      </c>
      <c r="BS92" s="432">
        <f t="shared" si="107"/>
        <v>-1.8816569398117416E-10</v>
      </c>
      <c r="BT92" s="432">
        <f t="shared" si="107"/>
        <v>-1.9101954033988864E-10</v>
      </c>
      <c r="BU92" s="432">
        <f t="shared" si="107"/>
        <v>-1.9391667003504363E-10</v>
      </c>
      <c r="BV92" s="432">
        <f t="shared" ref="BV92:DA92" si="108" xml:space="preserve"> IF( BV88 = 1, $F87, BV90 - BV91)</f>
        <v>-1.9689005897558098E-10</v>
      </c>
      <c r="BW92" s="432">
        <f t="shared" si="108"/>
        <v>-1.9990903987987321E-10</v>
      </c>
      <c r="BX92" s="432">
        <f t="shared" si="108"/>
        <v>-2.0290767547807132E-10</v>
      </c>
      <c r="BY92" s="432">
        <f t="shared" si="108"/>
        <v>-2.059851085561554E-10</v>
      </c>
      <c r="BZ92" s="432">
        <f t="shared" si="108"/>
        <v>-2.0914354688734979E-10</v>
      </c>
      <c r="CA92" s="432">
        <f t="shared" si="108"/>
        <v>-2.1235041460628915E-10</v>
      </c>
      <c r="CB92" s="432">
        <f t="shared" si="108"/>
        <v>-2.1553567082538349E-10</v>
      </c>
      <c r="CC92" s="432">
        <f t="shared" si="108"/>
        <v>-2.1880462849956849E-10</v>
      </c>
      <c r="CD92" s="432">
        <f t="shared" si="108"/>
        <v>-2.2215963280322854E-10</v>
      </c>
      <c r="CE92" s="432">
        <f t="shared" si="108"/>
        <v>-2.2556608050621139E-10</v>
      </c>
      <c r="CF92" s="432">
        <f t="shared" si="108"/>
        <v>-2.2894957171380456E-10</v>
      </c>
      <c r="CG92" s="432">
        <f t="shared" si="108"/>
        <v>-2.3242197355146392E-10</v>
      </c>
      <c r="CH92" s="432">
        <f t="shared" si="108"/>
        <v>-2.3598577714591969E-10</v>
      </c>
      <c r="CI92" s="432">
        <f t="shared" si="108"/>
        <v>-2.396042257288238E-10</v>
      </c>
      <c r="CJ92" s="432">
        <f t="shared" si="108"/>
        <v>-2.4323822315237762E-10</v>
      </c>
      <c r="CK92" s="432">
        <f t="shared" si="108"/>
        <v>-2.4692733620352201E-10</v>
      </c>
      <c r="CL92" s="432">
        <f t="shared" si="108"/>
        <v>-2.5071355535864269E-10</v>
      </c>
      <c r="CM92" s="432">
        <f t="shared" si="108"/>
        <v>-2.5455782987414188E-10</v>
      </c>
      <c r="CN92" s="432">
        <f t="shared" si="108"/>
        <v>-2.5837619732225399E-10</v>
      </c>
      <c r="CO92" s="432">
        <f t="shared" si="108"/>
        <v>-2.6229490298164153E-10</v>
      </c>
      <c r="CP92" s="432">
        <f t="shared" si="108"/>
        <v>-2.6631675816069335E-10</v>
      </c>
      <c r="CQ92" s="432">
        <f t="shared" si="108"/>
        <v>-2.7040028178582398E-10</v>
      </c>
      <c r="CR92" s="432">
        <f t="shared" si="108"/>
        <v>-2.7445628601261134E-10</v>
      </c>
      <c r="CS92" s="432">
        <f t="shared" si="108"/>
        <v>-2.7861887301713596E-10</v>
      </c>
      <c r="CT92" s="432">
        <f t="shared" si="108"/>
        <v>-2.8289102907006539E-10</v>
      </c>
      <c r="CU92" s="432">
        <f t="shared" si="108"/>
        <v>-2.8722869151580641E-10</v>
      </c>
      <c r="CV92" s="432">
        <f t="shared" si="108"/>
        <v>-2.915371218885435E-10</v>
      </c>
      <c r="CW92" s="432">
        <f t="shared" si="108"/>
        <v>-2.9595876823718643E-10</v>
      </c>
      <c r="CX92" s="432">
        <f t="shared" si="108"/>
        <v>-3.0049680268348998E-10</v>
      </c>
      <c r="CY92" s="432">
        <f t="shared" si="108"/>
        <v>-3.0510442032463681E-10</v>
      </c>
      <c r="CZ92" s="432">
        <f t="shared" si="108"/>
        <v>-3.0973183736622715E-10</v>
      </c>
      <c r="DA92" s="432">
        <f t="shared" si="108"/>
        <v>-3.1442943689961494E-10</v>
      </c>
      <c r="DB92" s="432">
        <f t="shared" ref="DB92:EA92" si="109" xml:space="preserve"> IF( DB88 = 1, $F87, DB90 - DB91)</f>
        <v>-3.1925068826540901E-10</v>
      </c>
      <c r="DC92" s="432">
        <f t="shared" si="109"/>
        <v>-3.2414586548547861E-10</v>
      </c>
      <c r="DD92" s="432">
        <f t="shared" si="109"/>
        <v>-3.2900805346776078E-10</v>
      </c>
      <c r="DE92" s="432">
        <f t="shared" si="109"/>
        <v>-3.3399800894535517E-10</v>
      </c>
      <c r="DF92" s="432">
        <f t="shared" si="109"/>
        <v>-3.3911931174918393E-10</v>
      </c>
      <c r="DG92" s="432">
        <f t="shared" si="109"/>
        <v>-3.4431914119600473E-10</v>
      </c>
      <c r="DH92" s="432">
        <f t="shared" si="109"/>
        <v>-3.4948392831394478E-10</v>
      </c>
      <c r="DI92" s="432">
        <f t="shared" si="109"/>
        <v>-3.5478443456003959E-10</v>
      </c>
      <c r="DJ92" s="432">
        <f t="shared" si="109"/>
        <v>-3.6022446255662687E-10</v>
      </c>
      <c r="DK92" s="432">
        <f t="shared" si="109"/>
        <v>-3.657479043158285E-10</v>
      </c>
      <c r="DL92" s="432">
        <f t="shared" si="109"/>
        <v>-3.7123412288056593E-10</v>
      </c>
      <c r="DM92" s="432">
        <f t="shared" si="109"/>
        <v>-3.7686450707758786E-10</v>
      </c>
      <c r="DN92" s="432">
        <f t="shared" si="109"/>
        <v>-3.8264309618611089E-10</v>
      </c>
      <c r="DO92" s="432">
        <f t="shared" si="109"/>
        <v>-3.8851029032763128E-10</v>
      </c>
      <c r="DP92" s="432">
        <f t="shared" si="109"/>
        <v>-3.9440269639760034E-10</v>
      </c>
      <c r="DQ92" s="432">
        <f t="shared" si="109"/>
        <v>-4.0038447062629729E-10</v>
      </c>
      <c r="DR92" s="432">
        <f t="shared" si="109"/>
        <v>-4.0652369917590053E-10</v>
      </c>
      <c r="DS92" s="432">
        <f t="shared" si="109"/>
        <v>-4.1275706256326435E-10</v>
      </c>
      <c r="DT92" s="432">
        <f t="shared" si="109"/>
        <v>-4.1894841850171331E-10</v>
      </c>
      <c r="DU92" s="432">
        <f t="shared" si="109"/>
        <v>-4.2530246951565598E-10</v>
      </c>
      <c r="DV92" s="432">
        <f t="shared" si="109"/>
        <v>-4.3182377404822937E-10</v>
      </c>
      <c r="DW92" s="432">
        <f t="shared" si="109"/>
        <v>-4.3844507191696887E-10</v>
      </c>
      <c r="DX92" s="432">
        <f t="shared" si="109"/>
        <v>-4.450217479957234E-10</v>
      </c>
      <c r="DY92" s="432">
        <f t="shared" si="109"/>
        <v>-4.5177124450699187E-10</v>
      </c>
      <c r="DZ92" s="432">
        <f t="shared" si="109"/>
        <v>-4.5869840358943243E-10</v>
      </c>
      <c r="EA92" s="432">
        <f t="shared" si="109"/>
        <v>-4.6573177911113702E-10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26512.86234216993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1185.66831091418</v>
      </c>
      <c r="N96" s="7">
        <f t="shared" si="110"/>
        <v>1198.9573225425206</v>
      </c>
      <c r="O96" s="7">
        <f t="shared" si="110"/>
        <v>1158.0852364751406</v>
      </c>
      <c r="P96" s="7">
        <f t="shared" si="110"/>
        <v>1102.159253766067</v>
      </c>
      <c r="Q96" s="7">
        <f t="shared" si="110"/>
        <v>1107.4543709084073</v>
      </c>
      <c r="R96" s="7">
        <f t="shared" si="110"/>
        <v>1101.1413123762493</v>
      </c>
      <c r="S96" s="7">
        <f t="shared" si="110"/>
        <v>1059.1766520754916</v>
      </c>
      <c r="T96" s="7">
        <f t="shared" si="110"/>
        <v>1004.2668141732139</v>
      </c>
      <c r="U96" s="7">
        <f t="shared" si="110"/>
        <v>1007.2184278124658</v>
      </c>
      <c r="V96" s="7">
        <f t="shared" si="110"/>
        <v>998.55752857013033</v>
      </c>
      <c r="W96" s="7">
        <f t="shared" si="110"/>
        <v>955.42742817031433</v>
      </c>
      <c r="X96" s="7">
        <f t="shared" si="110"/>
        <v>911.58424695674387</v>
      </c>
      <c r="Y96" s="7">
        <f t="shared" si="110"/>
        <v>902.01191522833165</v>
      </c>
      <c r="Z96" s="7">
        <f t="shared" si="110"/>
        <v>891.06501068362854</v>
      </c>
      <c r="AA96" s="7">
        <f t="shared" si="110"/>
        <v>846.6944873971446</v>
      </c>
      <c r="AB96" s="7">
        <f t="shared" si="110"/>
        <v>793.91725339351672</v>
      </c>
      <c r="AC96" s="7">
        <f t="shared" si="110"/>
        <v>791.80247479941852</v>
      </c>
      <c r="AD96" s="7">
        <f t="shared" si="110"/>
        <v>778.05513757060726</v>
      </c>
      <c r="AE96" s="7">
        <f t="shared" si="110"/>
        <v>732.35992158936278</v>
      </c>
      <c r="AF96" s="7">
        <f t="shared" si="110"/>
        <v>680.70436043705615</v>
      </c>
      <c r="AG96" s="7">
        <f t="shared" si="110"/>
        <v>675.84691312765733</v>
      </c>
      <c r="AH96" s="7">
        <f t="shared" si="110"/>
        <v>659.34064921556558</v>
      </c>
      <c r="AI96" s="7">
        <f t="shared" si="110"/>
        <v>612.23364529565174</v>
      </c>
      <c r="AJ96" s="7">
        <f t="shared" si="110"/>
        <v>561.73939807976149</v>
      </c>
      <c r="AK96" s="7">
        <f t="shared" ref="AK96:BP96" si="111" xml:space="preserve"> AK$81</f>
        <v>553.98935242502989</v>
      </c>
      <c r="AL96" s="7">
        <f t="shared" si="111"/>
        <v>534.56979061515597</v>
      </c>
      <c r="AM96" s="7">
        <f t="shared" si="111"/>
        <v>485.95855654972667</v>
      </c>
      <c r="AN96" s="7">
        <f t="shared" si="111"/>
        <v>441.51957887704606</v>
      </c>
      <c r="AO96" s="7">
        <f t="shared" si="111"/>
        <v>425.75521513397177</v>
      </c>
      <c r="AP96" s="7">
        <f t="shared" si="111"/>
        <v>403.44179670938587</v>
      </c>
      <c r="AQ96" s="7">
        <f t="shared" si="111"/>
        <v>353.22932591948461</v>
      </c>
      <c r="AR96" s="7">
        <f t="shared" si="111"/>
        <v>305.18608573593315</v>
      </c>
      <c r="AS96" s="7">
        <f t="shared" si="111"/>
        <v>291.16529615541833</v>
      </c>
      <c r="AT96" s="7">
        <f t="shared" si="111"/>
        <v>265.41927436348112</v>
      </c>
      <c r="AU96" s="7">
        <f t="shared" si="111"/>
        <v>213.50036836190174</v>
      </c>
      <c r="AV96" s="7">
        <f t="shared" si="111"/>
        <v>166.75264684277201</v>
      </c>
      <c r="AW96" s="7">
        <f t="shared" si="111"/>
        <v>149.33159057843653</v>
      </c>
      <c r="AX96" s="7">
        <f t="shared" si="111"/>
        <v>120.1496706799488</v>
      </c>
      <c r="AY96" s="7">
        <f t="shared" si="111"/>
        <v>66.413774065511006</v>
      </c>
      <c r="AZ96" s="7">
        <f t="shared" si="111"/>
        <v>21.011947598451471</v>
      </c>
      <c r="BA96" s="7">
        <f t="shared" si="111"/>
        <v>-2.1415189621620815E-12</v>
      </c>
      <c r="BB96" s="7">
        <f t="shared" si="111"/>
        <v>-2.1978887616569411E-12</v>
      </c>
      <c r="BC96" s="7">
        <f t="shared" si="111"/>
        <v>-2.2315897226690144E-12</v>
      </c>
      <c r="BD96" s="7">
        <f t="shared" si="111"/>
        <v>-2.2411790901004832E-12</v>
      </c>
      <c r="BE96" s="7">
        <f t="shared" si="111"/>
        <v>-2.2751703063003407E-12</v>
      </c>
      <c r="BF96" s="7">
        <f t="shared" si="111"/>
        <v>-2.3350581224947519E-12</v>
      </c>
      <c r="BG96" s="7">
        <f t="shared" si="111"/>
        <v>-2.3708623470396712E-12</v>
      </c>
      <c r="BH96" s="7">
        <f t="shared" si="111"/>
        <v>-2.3548847964400559E-12</v>
      </c>
      <c r="BI96" s="7">
        <f t="shared" si="111"/>
        <v>-2.4167659358131753E-12</v>
      </c>
      <c r="BJ96" s="7">
        <f t="shared" si="111"/>
        <v>-2.4803808809221625E-12</v>
      </c>
      <c r="BK96" s="7">
        <f t="shared" si="111"/>
        <v>-2.518413387762969E-12</v>
      </c>
      <c r="BL96" s="7">
        <f t="shared" si="111"/>
        <v>-2.5014414714541315E-12</v>
      </c>
      <c r="BM96" s="7">
        <f t="shared" si="111"/>
        <v>-2.5671737945651209E-12</v>
      </c>
      <c r="BN96" s="7">
        <f t="shared" si="111"/>
        <v>-2.6347478271209632E-12</v>
      </c>
      <c r="BO96" s="7">
        <f t="shared" si="111"/>
        <v>-2.6751472938034846E-12</v>
      </c>
      <c r="BP96" s="7">
        <f t="shared" si="111"/>
        <v>-2.6571191272582873E-12</v>
      </c>
      <c r="BQ96" s="7">
        <f t="shared" ref="BQ96:CV96" si="112" xml:space="preserve"> BQ$81</f>
        <v>-2.7269423132134637E-12</v>
      </c>
      <c r="BR96" s="7">
        <f t="shared" si="112"/>
        <v>-2.7987218277290387E-12</v>
      </c>
      <c r="BS96" s="7">
        <f t="shared" si="112"/>
        <v>-2.8416355624208842E-12</v>
      </c>
      <c r="BT96" s="7">
        <f t="shared" si="112"/>
        <v>-2.8538463587144753E-12</v>
      </c>
      <c r="BU96" s="7">
        <f t="shared" si="112"/>
        <v>-2.8971296951549782E-12</v>
      </c>
      <c r="BV96" s="7">
        <f t="shared" si="112"/>
        <v>-2.973388940537336E-12</v>
      </c>
      <c r="BW96" s="7">
        <f t="shared" si="112"/>
        <v>-3.0189809042922421E-12</v>
      </c>
      <c r="BX96" s="7">
        <f t="shared" si="112"/>
        <v>-2.9986355981980982E-12</v>
      </c>
      <c r="BY96" s="7">
        <f t="shared" si="112"/>
        <v>-3.0774330780840822E-12</v>
      </c>
      <c r="BZ96" s="7">
        <f t="shared" si="112"/>
        <v>-3.1584383311943835E-12</v>
      </c>
      <c r="CA96" s="7">
        <f t="shared" si="112"/>
        <v>-3.2068677189393639E-12</v>
      </c>
      <c r="CB96" s="7">
        <f t="shared" si="112"/>
        <v>-3.1852562190943375E-12</v>
      </c>
      <c r="CC96" s="7">
        <f t="shared" si="112"/>
        <v>-3.2689576741849833E-12</v>
      </c>
      <c r="CD96" s="7">
        <f t="shared" si="112"/>
        <v>-3.3550043036600507E-12</v>
      </c>
      <c r="CE96" s="7">
        <f t="shared" si="112"/>
        <v>-3.4064477029828381E-12</v>
      </c>
      <c r="CF96" s="7">
        <f t="shared" si="112"/>
        <v>-3.3834912075931711E-12</v>
      </c>
      <c r="CG96" s="7">
        <f t="shared" si="112"/>
        <v>-3.4724018376593695E-12</v>
      </c>
      <c r="CH96" s="7">
        <f t="shared" si="112"/>
        <v>-3.5638035944557806E-12</v>
      </c>
      <c r="CI96" s="7">
        <f t="shared" si="112"/>
        <v>-3.6184485829041027E-12</v>
      </c>
      <c r="CJ96" s="7">
        <f t="shared" si="112"/>
        <v>-3.633997423553828E-12</v>
      </c>
      <c r="CK96" s="7">
        <f t="shared" si="112"/>
        <v>-3.6891130511443946E-12</v>
      </c>
      <c r="CL96" s="7">
        <f t="shared" si="112"/>
        <v>-3.7862191551206712E-12</v>
      </c>
      <c r="CM96" s="7">
        <f t="shared" si="112"/>
        <v>-3.8442745154991888E-12</v>
      </c>
      <c r="CN96" s="7">
        <f t="shared" si="112"/>
        <v>-3.8183674481121288E-12</v>
      </c>
      <c r="CO96" s="7">
        <f t="shared" si="112"/>
        <v>-3.9187056593875196E-12</v>
      </c>
      <c r="CP96" s="7">
        <f t="shared" si="112"/>
        <v>-4.0218551790518376E-12</v>
      </c>
      <c r="CQ96" s="7">
        <f t="shared" si="112"/>
        <v>-4.083523625130632E-12</v>
      </c>
      <c r="CR96" s="7">
        <f t="shared" si="112"/>
        <v>-4.0560042267873601E-12</v>
      </c>
      <c r="CS96" s="7">
        <f t="shared" si="112"/>
        <v>-4.1625870045246059E-12</v>
      </c>
      <c r="CT96" s="7">
        <f t="shared" si="112"/>
        <v>-4.2721560529294189E-12</v>
      </c>
      <c r="CU96" s="7">
        <f t="shared" si="112"/>
        <v>-4.337662445741003E-12</v>
      </c>
      <c r="CV96" s="7">
        <f t="shared" si="112"/>
        <v>-4.3084303727370966E-12</v>
      </c>
      <c r="CW96" s="7">
        <f t="shared" ref="CW96:EA96" si="113" xml:space="preserve"> CW$81</f>
        <v>-4.4216463486429106E-12</v>
      </c>
      <c r="CX96" s="7">
        <f t="shared" si="113"/>
        <v>-4.5380344463035261E-12</v>
      </c>
      <c r="CY96" s="7">
        <f t="shared" si="113"/>
        <v>-4.607617641146847E-12</v>
      </c>
      <c r="CZ96" s="7">
        <f t="shared" si="113"/>
        <v>-4.6274170415903257E-12</v>
      </c>
      <c r="DA96" s="7">
        <f t="shared" si="113"/>
        <v>-4.6975995333877789E-12</v>
      </c>
      <c r="DB96" s="7">
        <f t="shared" si="113"/>
        <v>-4.8212513657940964E-12</v>
      </c>
      <c r="DC96" s="7">
        <f t="shared" si="113"/>
        <v>-4.8951772200696055E-12</v>
      </c>
      <c r="DD96" s="7">
        <f t="shared" si="113"/>
        <v>-4.8621879822821794E-12</v>
      </c>
      <c r="DE96" s="7">
        <f t="shared" si="113"/>
        <v>-4.9899554775943725E-12</v>
      </c>
      <c r="DF96" s="7">
        <f t="shared" si="113"/>
        <v>-5.1213028038287799E-12</v>
      </c>
      <c r="DG96" s="7">
        <f t="shared" si="113"/>
        <v>-5.1998294468208207E-12</v>
      </c>
      <c r="DH96" s="7">
        <f t="shared" si="113"/>
        <v>-5.1647871179400714E-12</v>
      </c>
      <c r="DI96" s="7">
        <f t="shared" si="113"/>
        <v>-5.3005062460948297E-12</v>
      </c>
      <c r="DJ96" s="7">
        <f t="shared" si="113"/>
        <v>-5.4400279965872744E-12</v>
      </c>
      <c r="DK96" s="7">
        <f t="shared" si="113"/>
        <v>-5.5234417592016132E-12</v>
      </c>
      <c r="DL96" s="7">
        <f t="shared" si="113"/>
        <v>-5.4862185647374278E-12</v>
      </c>
      <c r="DM96" s="7">
        <f t="shared" si="113"/>
        <v>-5.6303841970219176E-12</v>
      </c>
      <c r="DN96" s="7">
        <f t="shared" si="113"/>
        <v>-5.7785891085230152E-12</v>
      </c>
      <c r="DO96" s="7">
        <f t="shared" si="113"/>
        <v>-5.8671941415203677E-12</v>
      </c>
      <c r="DP96" s="7">
        <f t="shared" si="113"/>
        <v>-5.8924060699690751E-12</v>
      </c>
      <c r="DQ96" s="7">
        <f t="shared" si="113"/>
        <v>-5.981774228696939E-12</v>
      </c>
      <c r="DR96" s="7">
        <f t="shared" si="113"/>
        <v>-6.1392285496032262E-12</v>
      </c>
      <c r="DS96" s="7">
        <f t="shared" si="113"/>
        <v>-6.2333633873638092E-12</v>
      </c>
      <c r="DT96" s="7">
        <f t="shared" si="113"/>
        <v>-6.1913559384489657E-12</v>
      </c>
      <c r="DU96" s="7">
        <f t="shared" si="113"/>
        <v>-6.3540510139426528E-12</v>
      </c>
      <c r="DV96" s="7">
        <f t="shared" si="113"/>
        <v>-6.5213045325733925E-12</v>
      </c>
      <c r="DW96" s="7">
        <f t="shared" si="113"/>
        <v>-6.6212978687395183E-12</v>
      </c>
      <c r="DX96" s="7">
        <f t="shared" si="113"/>
        <v>-6.5766760787545336E-12</v>
      </c>
      <c r="DY96" s="7">
        <f t="shared" si="113"/>
        <v>-6.7494965112684725E-12</v>
      </c>
      <c r="DZ96" s="7">
        <f t="shared" si="113"/>
        <v>-6.9271590824405433E-12</v>
      </c>
      <c r="EA96" s="7">
        <f t="shared" si="113"/>
        <v>-7.0333755217046319E-12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78175.932587748233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-16.936273720604049</v>
      </c>
      <c r="N97" s="26">
        <f t="shared" si="114"/>
        <v>2665.5708304812952</v>
      </c>
      <c r="O97" s="26">
        <f t="shared" si="114"/>
        <v>2050.014446582969</v>
      </c>
      <c r="P97" s="26">
        <f t="shared" si="114"/>
        <v>458.31407396003328</v>
      </c>
      <c r="Q97" s="26">
        <f t="shared" si="114"/>
        <v>1205.4056598194848</v>
      </c>
      <c r="R97" s="26">
        <f t="shared" si="114"/>
        <v>2736.8256717885324</v>
      </c>
      <c r="S97" s="26">
        <f t="shared" si="114"/>
        <v>2125.6172339554769</v>
      </c>
      <c r="T97" s="26">
        <f t="shared" si="114"/>
        <v>541.11471548758607</v>
      </c>
      <c r="U97" s="26">
        <f t="shared" si="114"/>
        <v>1286.6891487326761</v>
      </c>
      <c r="V97" s="26">
        <f t="shared" si="114"/>
        <v>2812.8326347706097</v>
      </c>
      <c r="W97" s="26">
        <f t="shared" si="114"/>
        <v>2206.0286025882674</v>
      </c>
      <c r="X97" s="26">
        <f t="shared" si="114"/>
        <v>631.14275132388127</v>
      </c>
      <c r="Y97" s="26">
        <f t="shared" si="114"/>
        <v>1360.3776126108371</v>
      </c>
      <c r="Z97" s="26">
        <f t="shared" si="114"/>
        <v>2893.7297795533041</v>
      </c>
      <c r="AA97" s="26">
        <f t="shared" si="114"/>
        <v>2291.388806912661</v>
      </c>
      <c r="AB97" s="26">
        <f t="shared" si="114"/>
        <v>721.06031271967379</v>
      </c>
      <c r="AC97" s="26">
        <f t="shared" si="114"/>
        <v>1464.0302168809694</v>
      </c>
      <c r="AD97" s="26">
        <f t="shared" si="114"/>
        <v>2980.1227813855048</v>
      </c>
      <c r="AE97" s="26">
        <f t="shared" si="114"/>
        <v>2382.3128861112095</v>
      </c>
      <c r="AF97" s="26">
        <f t="shared" si="114"/>
        <v>818.95576430986296</v>
      </c>
      <c r="AG97" s="26">
        <f t="shared" si="114"/>
        <v>1560.8578087396195</v>
      </c>
      <c r="AH97" s="26">
        <f t="shared" si="114"/>
        <v>3072.1959078204695</v>
      </c>
      <c r="AI97" s="26">
        <f t="shared" si="114"/>
        <v>2478.9880096163715</v>
      </c>
      <c r="AJ97" s="26">
        <f t="shared" si="114"/>
        <v>922.52271575502664</v>
      </c>
      <c r="AK97" s="26">
        <f t="shared" si="114"/>
        <v>1663.5232755305003</v>
      </c>
      <c r="AL97" s="26">
        <f t="shared" si="114"/>
        <v>3170.2978738323477</v>
      </c>
      <c r="AM97" s="26">
        <f t="shared" si="114"/>
        <v>2581.7683153393846</v>
      </c>
      <c r="AN97" s="26">
        <f t="shared" si="114"/>
        <v>1039.4085984444559</v>
      </c>
      <c r="AO97" s="26">
        <f t="shared" si="114"/>
        <v>1760.3509018905556</v>
      </c>
      <c r="AP97" s="26">
        <f t="shared" si="114"/>
        <v>3274.7263558631266</v>
      </c>
      <c r="AQ97" s="26">
        <f t="shared" si="114"/>
        <v>2690.956119599824</v>
      </c>
      <c r="AR97" s="26">
        <f t="shared" si="114"/>
        <v>1148.0272146390239</v>
      </c>
      <c r="AS97" s="26">
        <f t="shared" si="114"/>
        <v>1887.7591585439841</v>
      </c>
      <c r="AT97" s="26">
        <f t="shared" si="114"/>
        <v>3386.0156087986566</v>
      </c>
      <c r="AU97" s="26">
        <f t="shared" si="114"/>
        <v>2807.0939442290801</v>
      </c>
      <c r="AV97" s="26">
        <f t="shared" si="114"/>
        <v>1270.8041836138932</v>
      </c>
      <c r="AW97" s="26">
        <f t="shared" si="114"/>
        <v>2010.1908514148263</v>
      </c>
      <c r="AX97" s="26">
        <f t="shared" si="114"/>
        <v>3504.514996593769</v>
      </c>
      <c r="AY97" s="26">
        <f t="shared" si="114"/>
        <v>2930.5365846655463</v>
      </c>
      <c r="AZ97" s="26">
        <f t="shared" si="114"/>
        <v>1400.7965065635724</v>
      </c>
      <c r="BA97" s="26">
        <f t="shared" si="114"/>
        <v>2.1415189621620815E-12</v>
      </c>
      <c r="BB97" s="26">
        <f t="shared" si="114"/>
        <v>2.1978887616569411E-12</v>
      </c>
      <c r="BC97" s="26">
        <f t="shared" si="114"/>
        <v>2.2315897226690144E-12</v>
      </c>
      <c r="BD97" s="26">
        <f t="shared" si="114"/>
        <v>2.2411790901004832E-12</v>
      </c>
      <c r="BE97" s="26">
        <f t="shared" si="114"/>
        <v>2.2751703063003407E-12</v>
      </c>
      <c r="BF97" s="26">
        <f t="shared" si="114"/>
        <v>2.3350581224947519E-12</v>
      </c>
      <c r="BG97" s="26">
        <f t="shared" si="114"/>
        <v>2.3708623470396712E-12</v>
      </c>
      <c r="BH97" s="26">
        <f t="shared" si="114"/>
        <v>2.3548847964400559E-12</v>
      </c>
      <c r="BI97" s="26">
        <f t="shared" si="114"/>
        <v>2.4167659358131753E-12</v>
      </c>
      <c r="BJ97" s="26">
        <f t="shared" si="114"/>
        <v>2.4803808809221625E-12</v>
      </c>
      <c r="BK97" s="26">
        <f t="shared" si="114"/>
        <v>2.518413387762969E-12</v>
      </c>
      <c r="BL97" s="26">
        <f t="shared" si="114"/>
        <v>2.5014414714541315E-12</v>
      </c>
      <c r="BM97" s="26">
        <f t="shared" si="114"/>
        <v>2.5671737945651209E-12</v>
      </c>
      <c r="BN97" s="26">
        <f t="shared" si="114"/>
        <v>2.6347478271209632E-12</v>
      </c>
      <c r="BO97" s="26">
        <f t="shared" si="114"/>
        <v>2.6751472938034846E-12</v>
      </c>
      <c r="BP97" s="26">
        <f t="shared" si="114"/>
        <v>2.6571191272582873E-12</v>
      </c>
      <c r="BQ97" s="26">
        <f t="shared" ref="BQ97:EA97" si="115" xml:space="preserve"> BQ$68</f>
        <v>2.7269423132134637E-12</v>
      </c>
      <c r="BR97" s="26">
        <f t="shared" si="115"/>
        <v>2.7987218277290387E-12</v>
      </c>
      <c r="BS97" s="26">
        <f t="shared" si="115"/>
        <v>2.8416355624208842E-12</v>
      </c>
      <c r="BT97" s="26">
        <f t="shared" si="115"/>
        <v>2.8538463587144753E-12</v>
      </c>
      <c r="BU97" s="26">
        <f t="shared" si="115"/>
        <v>2.8971296951549782E-12</v>
      </c>
      <c r="BV97" s="26">
        <f t="shared" si="115"/>
        <v>2.973388940537336E-12</v>
      </c>
      <c r="BW97" s="26">
        <f t="shared" si="115"/>
        <v>3.0189809042922421E-12</v>
      </c>
      <c r="BX97" s="26">
        <f t="shared" si="115"/>
        <v>2.9986355981980982E-12</v>
      </c>
      <c r="BY97" s="26">
        <f t="shared" si="115"/>
        <v>3.0774330780840822E-12</v>
      </c>
      <c r="BZ97" s="26">
        <f t="shared" si="115"/>
        <v>3.1584383311943835E-12</v>
      </c>
      <c r="CA97" s="26">
        <f t="shared" si="115"/>
        <v>3.2068677189393639E-12</v>
      </c>
      <c r="CB97" s="26">
        <f t="shared" si="115"/>
        <v>3.1852562190943375E-12</v>
      </c>
      <c r="CC97" s="26">
        <f t="shared" si="115"/>
        <v>3.2689576741849833E-12</v>
      </c>
      <c r="CD97" s="26">
        <f t="shared" si="115"/>
        <v>3.3550043036600507E-12</v>
      </c>
      <c r="CE97" s="26">
        <f t="shared" si="115"/>
        <v>3.4064477029828381E-12</v>
      </c>
      <c r="CF97" s="26">
        <f t="shared" si="115"/>
        <v>3.3834912075931711E-12</v>
      </c>
      <c r="CG97" s="26">
        <f t="shared" si="115"/>
        <v>3.4724018376593695E-12</v>
      </c>
      <c r="CH97" s="26">
        <f t="shared" si="115"/>
        <v>3.5638035944557806E-12</v>
      </c>
      <c r="CI97" s="26">
        <f t="shared" si="115"/>
        <v>3.6184485829041027E-12</v>
      </c>
      <c r="CJ97" s="26">
        <f t="shared" si="115"/>
        <v>3.633997423553828E-12</v>
      </c>
      <c r="CK97" s="26">
        <f t="shared" si="115"/>
        <v>3.6891130511443946E-12</v>
      </c>
      <c r="CL97" s="26">
        <f t="shared" si="115"/>
        <v>3.7862191551206712E-12</v>
      </c>
      <c r="CM97" s="26">
        <f t="shared" si="115"/>
        <v>3.8442745154991888E-12</v>
      </c>
      <c r="CN97" s="26">
        <f t="shared" si="115"/>
        <v>3.8183674481121288E-12</v>
      </c>
      <c r="CO97" s="26">
        <f t="shared" si="115"/>
        <v>3.9187056593875196E-12</v>
      </c>
      <c r="CP97" s="26">
        <f t="shared" si="115"/>
        <v>4.0218551790518376E-12</v>
      </c>
      <c r="CQ97" s="26">
        <f t="shared" si="115"/>
        <v>4.083523625130632E-12</v>
      </c>
      <c r="CR97" s="26">
        <f t="shared" si="115"/>
        <v>4.0560042267873601E-12</v>
      </c>
      <c r="CS97" s="26">
        <f t="shared" si="115"/>
        <v>4.1625870045246059E-12</v>
      </c>
      <c r="CT97" s="26">
        <f t="shared" si="115"/>
        <v>4.2721560529294189E-12</v>
      </c>
      <c r="CU97" s="26">
        <f t="shared" si="115"/>
        <v>4.337662445741003E-12</v>
      </c>
      <c r="CV97" s="26">
        <f t="shared" si="115"/>
        <v>4.3084303727370966E-12</v>
      </c>
      <c r="CW97" s="26">
        <f t="shared" si="115"/>
        <v>4.4216463486429106E-12</v>
      </c>
      <c r="CX97" s="26">
        <f t="shared" si="115"/>
        <v>4.5380344463035261E-12</v>
      </c>
      <c r="CY97" s="26">
        <f t="shared" si="115"/>
        <v>4.607617641146847E-12</v>
      </c>
      <c r="CZ97" s="26">
        <f t="shared" si="115"/>
        <v>4.6274170415903257E-12</v>
      </c>
      <c r="DA97" s="26">
        <f t="shared" si="115"/>
        <v>4.6975995333877789E-12</v>
      </c>
      <c r="DB97" s="26">
        <f t="shared" si="115"/>
        <v>4.8212513657940964E-12</v>
      </c>
      <c r="DC97" s="26">
        <f t="shared" si="115"/>
        <v>4.8951772200696055E-12</v>
      </c>
      <c r="DD97" s="26">
        <f t="shared" si="115"/>
        <v>4.8621879822821794E-12</v>
      </c>
      <c r="DE97" s="26">
        <f t="shared" si="115"/>
        <v>4.9899554775943725E-12</v>
      </c>
      <c r="DF97" s="26">
        <f t="shared" si="115"/>
        <v>5.1213028038287799E-12</v>
      </c>
      <c r="DG97" s="26">
        <f t="shared" si="115"/>
        <v>5.1998294468208207E-12</v>
      </c>
      <c r="DH97" s="26">
        <f t="shared" si="115"/>
        <v>5.1647871179400714E-12</v>
      </c>
      <c r="DI97" s="26">
        <f t="shared" si="115"/>
        <v>5.3005062460948297E-12</v>
      </c>
      <c r="DJ97" s="26">
        <f t="shared" si="115"/>
        <v>5.4400279965872744E-12</v>
      </c>
      <c r="DK97" s="26">
        <f t="shared" si="115"/>
        <v>5.5234417592016132E-12</v>
      </c>
      <c r="DL97" s="26">
        <f t="shared" si="115"/>
        <v>5.4862185647374278E-12</v>
      </c>
      <c r="DM97" s="26">
        <f t="shared" si="115"/>
        <v>5.6303841970219176E-12</v>
      </c>
      <c r="DN97" s="26">
        <f t="shared" si="115"/>
        <v>5.7785891085230152E-12</v>
      </c>
      <c r="DO97" s="26">
        <f t="shared" si="115"/>
        <v>5.8671941415203677E-12</v>
      </c>
      <c r="DP97" s="26">
        <f t="shared" si="115"/>
        <v>5.8924060699690751E-12</v>
      </c>
      <c r="DQ97" s="26">
        <f t="shared" si="115"/>
        <v>5.981774228696939E-12</v>
      </c>
      <c r="DR97" s="26">
        <f t="shared" si="115"/>
        <v>6.1392285496032262E-12</v>
      </c>
      <c r="DS97" s="26">
        <f t="shared" si="115"/>
        <v>6.2333633873638092E-12</v>
      </c>
      <c r="DT97" s="26">
        <f t="shared" si="115"/>
        <v>6.1913559384489657E-12</v>
      </c>
      <c r="DU97" s="26">
        <f t="shared" si="115"/>
        <v>6.3540510139426528E-12</v>
      </c>
      <c r="DV97" s="26">
        <f t="shared" si="115"/>
        <v>6.5213045325733925E-12</v>
      </c>
      <c r="DW97" s="26">
        <f t="shared" si="115"/>
        <v>6.6212978687395183E-12</v>
      </c>
      <c r="DX97" s="26">
        <f t="shared" si="115"/>
        <v>6.5766760787545336E-12</v>
      </c>
      <c r="DY97" s="26">
        <f t="shared" si="115"/>
        <v>6.7494965112684725E-12</v>
      </c>
      <c r="DZ97" s="26">
        <f t="shared" si="115"/>
        <v>6.9271590824405433E-12</v>
      </c>
      <c r="EA97" s="26">
        <f t="shared" si="115"/>
        <v>7.0333755217046319E-12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104688.79492991856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1168.7320371935759</v>
      </c>
      <c r="N98" s="511">
        <f t="shared" si="116"/>
        <v>3864.5281530238158</v>
      </c>
      <c r="O98" s="511">
        <f t="shared" si="116"/>
        <v>3208.0996830581098</v>
      </c>
      <c r="P98" s="511">
        <f t="shared" si="116"/>
        <v>1560.4733277261003</v>
      </c>
      <c r="Q98" s="511">
        <f t="shared" si="116"/>
        <v>2312.8600307278921</v>
      </c>
      <c r="R98" s="511">
        <f t="shared" si="116"/>
        <v>3837.9669841647819</v>
      </c>
      <c r="S98" s="511">
        <f t="shared" si="116"/>
        <v>3184.7938860309687</v>
      </c>
      <c r="T98" s="511">
        <f t="shared" si="116"/>
        <v>1545.3815296608</v>
      </c>
      <c r="U98" s="511">
        <f t="shared" si="116"/>
        <v>2293.9075765451421</v>
      </c>
      <c r="V98" s="511">
        <f t="shared" si="116"/>
        <v>3811.3901633407399</v>
      </c>
      <c r="W98" s="511">
        <f t="shared" si="116"/>
        <v>3161.4560307585816</v>
      </c>
      <c r="X98" s="511">
        <f t="shared" si="116"/>
        <v>1542.7269982806251</v>
      </c>
      <c r="Y98" s="511">
        <f t="shared" si="116"/>
        <v>2262.3895278391687</v>
      </c>
      <c r="Z98" s="511">
        <f t="shared" si="116"/>
        <v>3784.7947902369324</v>
      </c>
      <c r="AA98" s="511">
        <f t="shared" si="116"/>
        <v>3138.0832943098058</v>
      </c>
      <c r="AB98" s="511">
        <f t="shared" si="116"/>
        <v>1514.9775661131905</v>
      </c>
      <c r="AC98" s="511">
        <f t="shared" si="116"/>
        <v>2255.8326916803881</v>
      </c>
      <c r="AD98" s="511">
        <f t="shared" si="116"/>
        <v>3758.1779189561121</v>
      </c>
      <c r="AE98" s="511">
        <f t="shared" si="116"/>
        <v>3114.6728077005723</v>
      </c>
      <c r="AF98" s="511">
        <f t="shared" si="116"/>
        <v>1499.6601247469191</v>
      </c>
      <c r="AG98" s="511">
        <f t="shared" si="116"/>
        <v>2236.7047218672769</v>
      </c>
      <c r="AH98" s="511">
        <f t="shared" si="116"/>
        <v>3731.536557036035</v>
      </c>
      <c r="AI98" s="511">
        <f t="shared" si="116"/>
        <v>3091.221654912023</v>
      </c>
      <c r="AJ98" s="511">
        <f t="shared" si="116"/>
        <v>1484.2621138347881</v>
      </c>
      <c r="AK98" s="511">
        <f t="shared" si="116"/>
        <v>2217.5126279555302</v>
      </c>
      <c r="AL98" s="511">
        <f t="shared" si="116"/>
        <v>3704.8676644475036</v>
      </c>
      <c r="AM98" s="511">
        <f t="shared" si="116"/>
        <v>3067.7268718891114</v>
      </c>
      <c r="AN98" s="511">
        <f t="shared" si="116"/>
        <v>1480.9281773215021</v>
      </c>
      <c r="AO98" s="511">
        <f t="shared" si="116"/>
        <v>2186.1061170245275</v>
      </c>
      <c r="AP98" s="511">
        <f t="shared" ref="AP98:BU98" si="117">SUM(AP96:AP97)</f>
        <v>3678.1681525725126</v>
      </c>
      <c r="AQ98" s="511">
        <f t="shared" si="117"/>
        <v>3044.1854455193088</v>
      </c>
      <c r="AR98" s="511">
        <f t="shared" si="117"/>
        <v>1453.213300374957</v>
      </c>
      <c r="AS98" s="511">
        <f t="shared" si="117"/>
        <v>2178.9244546994023</v>
      </c>
      <c r="AT98" s="511">
        <f t="shared" si="117"/>
        <v>3651.4348831621378</v>
      </c>
      <c r="AU98" s="511">
        <f t="shared" si="117"/>
        <v>3020.5943125909816</v>
      </c>
      <c r="AV98" s="511">
        <f t="shared" si="117"/>
        <v>1437.5568304566652</v>
      </c>
      <c r="AW98" s="511">
        <f t="shared" si="117"/>
        <v>2159.5224419932629</v>
      </c>
      <c r="AX98" s="511">
        <f t="shared" si="117"/>
        <v>3624.6646672737179</v>
      </c>
      <c r="AY98" s="511">
        <f t="shared" si="117"/>
        <v>2996.9503587310573</v>
      </c>
      <c r="AZ98" s="511">
        <f t="shared" si="117"/>
        <v>1421.808454162024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78175.932587748117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21824.067412251883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21824.067412251883</v>
      </c>
      <c r="N16" s="7">
        <f t="shared" si="0"/>
        <v>21824.067412251883</v>
      </c>
      <c r="O16" s="7">
        <f t="shared" si="0"/>
        <v>21824.067412251883</v>
      </c>
      <c r="P16" s="7">
        <f t="shared" si="0"/>
        <v>21824.067412251883</v>
      </c>
      <c r="Q16" s="7">
        <f t="shared" si="0"/>
        <v>21824.067412251883</v>
      </c>
      <c r="R16" s="7">
        <f t="shared" si="0"/>
        <v>21824.067412251883</v>
      </c>
      <c r="S16" s="7">
        <f t="shared" si="0"/>
        <v>21824.067412251883</v>
      </c>
      <c r="T16" s="7">
        <f t="shared" si="0"/>
        <v>21824.067412251883</v>
      </c>
      <c r="U16" s="7">
        <f t="shared" si="0"/>
        <v>21824.067412251883</v>
      </c>
      <c r="V16" s="7">
        <f t="shared" si="0"/>
        <v>21824.067412251883</v>
      </c>
      <c r="W16" s="7">
        <f t="shared" si="0"/>
        <v>21824.067412251883</v>
      </c>
      <c r="X16" s="7">
        <f t="shared" si="0"/>
        <v>21824.067412251883</v>
      </c>
      <c r="Y16" s="7">
        <f t="shared" si="0"/>
        <v>21824.067412251883</v>
      </c>
      <c r="Z16" s="7">
        <f t="shared" si="0"/>
        <v>21824.067412251883</v>
      </c>
      <c r="AA16" s="7">
        <f t="shared" si="0"/>
        <v>21824.067412251883</v>
      </c>
      <c r="AB16" s="7">
        <f t="shared" si="0"/>
        <v>21824.067412251883</v>
      </c>
      <c r="AC16" s="7">
        <f t="shared" si="0"/>
        <v>21824.067412251883</v>
      </c>
      <c r="AD16" s="7">
        <f t="shared" si="0"/>
        <v>21824.067412251883</v>
      </c>
      <c r="AE16" s="7">
        <f t="shared" si="0"/>
        <v>21824.067412251883</v>
      </c>
      <c r="AF16" s="7">
        <f t="shared" si="0"/>
        <v>21824.067412251883</v>
      </c>
      <c r="AG16" s="7">
        <f t="shared" si="0"/>
        <v>21824.067412251883</v>
      </c>
      <c r="AH16" s="7">
        <f t="shared" si="0"/>
        <v>21824.067412251883</v>
      </c>
      <c r="AI16" s="7">
        <f t="shared" si="0"/>
        <v>21824.067412251883</v>
      </c>
      <c r="AJ16" s="7">
        <f t="shared" si="0"/>
        <v>21824.067412251883</v>
      </c>
      <c r="AK16" s="7">
        <f t="shared" ref="AK16:BP16" si="1" xml:space="preserve"> AK$26</f>
        <v>21824.067412251883</v>
      </c>
      <c r="AL16" s="7">
        <f t="shared" si="1"/>
        <v>21824.067412251883</v>
      </c>
      <c r="AM16" s="7">
        <f t="shared" si="1"/>
        <v>21824.067412251883</v>
      </c>
      <c r="AN16" s="7">
        <f t="shared" si="1"/>
        <v>21824.067412251883</v>
      </c>
      <c r="AO16" s="7">
        <f t="shared" si="1"/>
        <v>21824.067412251883</v>
      </c>
      <c r="AP16" s="7">
        <f t="shared" si="1"/>
        <v>21824.067412251883</v>
      </c>
      <c r="AQ16" s="7">
        <f t="shared" si="1"/>
        <v>21824.067412251883</v>
      </c>
      <c r="AR16" s="7">
        <f t="shared" si="1"/>
        <v>21824.067412251883</v>
      </c>
      <c r="AS16" s="7">
        <f t="shared" si="1"/>
        <v>21824.067412251883</v>
      </c>
      <c r="AT16" s="7">
        <f t="shared" si="1"/>
        <v>21824.067412251883</v>
      </c>
      <c r="AU16" s="7">
        <f t="shared" si="1"/>
        <v>21824.067412251883</v>
      </c>
      <c r="AV16" s="7">
        <f t="shared" si="1"/>
        <v>21824.067412251883</v>
      </c>
      <c r="AW16" s="7">
        <f t="shared" si="1"/>
        <v>21824.067412251883</v>
      </c>
      <c r="AX16" s="7">
        <f t="shared" si="1"/>
        <v>21824.067412251883</v>
      </c>
      <c r="AY16" s="7">
        <f t="shared" si="1"/>
        <v>21824.067412251883</v>
      </c>
      <c r="AZ16" s="7">
        <f t="shared" si="1"/>
        <v>21824.067412251883</v>
      </c>
      <c r="BA16" s="7">
        <f t="shared" si="1"/>
        <v>21824.067412251883</v>
      </c>
      <c r="BB16" s="7">
        <f t="shared" si="1"/>
        <v>21824.067412251883</v>
      </c>
      <c r="BC16" s="7">
        <f t="shared" si="1"/>
        <v>21824.067412251883</v>
      </c>
      <c r="BD16" s="7">
        <f t="shared" si="1"/>
        <v>21824.067412251883</v>
      </c>
      <c r="BE16" s="7">
        <f t="shared" si="1"/>
        <v>21824.067412251883</v>
      </c>
      <c r="BF16" s="7">
        <f t="shared" si="1"/>
        <v>21824.067412251883</v>
      </c>
      <c r="BG16" s="7">
        <f t="shared" si="1"/>
        <v>21824.067412251883</v>
      </c>
      <c r="BH16" s="7">
        <f t="shared" si="1"/>
        <v>21824.067412251883</v>
      </c>
      <c r="BI16" s="7">
        <f t="shared" si="1"/>
        <v>21824.067412251883</v>
      </c>
      <c r="BJ16" s="7">
        <f t="shared" si="1"/>
        <v>21824.067412251883</v>
      </c>
      <c r="BK16" s="7">
        <f t="shared" si="1"/>
        <v>21824.067412251883</v>
      </c>
      <c r="BL16" s="7">
        <f t="shared" si="1"/>
        <v>21824.067412251883</v>
      </c>
      <c r="BM16" s="7">
        <f t="shared" si="1"/>
        <v>21824.067412251883</v>
      </c>
      <c r="BN16" s="7">
        <f t="shared" si="1"/>
        <v>21824.067412251883</v>
      </c>
      <c r="BO16" s="7">
        <f t="shared" si="1"/>
        <v>21824.067412251883</v>
      </c>
      <c r="BP16" s="7">
        <f t="shared" si="1"/>
        <v>21824.067412251883</v>
      </c>
      <c r="BQ16" s="7">
        <f t="shared" ref="BQ16:CV16" si="2" xml:space="preserve"> BQ$26</f>
        <v>21824.067412251883</v>
      </c>
      <c r="BR16" s="7">
        <f t="shared" si="2"/>
        <v>21824.067412251883</v>
      </c>
      <c r="BS16" s="7">
        <f t="shared" si="2"/>
        <v>21824.067412251883</v>
      </c>
      <c r="BT16" s="7">
        <f t="shared" si="2"/>
        <v>21824.067412251883</v>
      </c>
      <c r="BU16" s="7">
        <f t="shared" si="2"/>
        <v>21824.067412251883</v>
      </c>
      <c r="BV16" s="7">
        <f t="shared" si="2"/>
        <v>21824.067412251883</v>
      </c>
      <c r="BW16" s="7">
        <f t="shared" si="2"/>
        <v>21824.067412251883</v>
      </c>
      <c r="BX16" s="7">
        <f t="shared" si="2"/>
        <v>21824.067412251883</v>
      </c>
      <c r="BY16" s="7">
        <f t="shared" si="2"/>
        <v>21824.067412251883</v>
      </c>
      <c r="BZ16" s="7">
        <f t="shared" si="2"/>
        <v>21824.067412251883</v>
      </c>
      <c r="CA16" s="7">
        <f t="shared" si="2"/>
        <v>21824.067412251883</v>
      </c>
      <c r="CB16" s="7">
        <f t="shared" si="2"/>
        <v>21824.067412251883</v>
      </c>
      <c r="CC16" s="7">
        <f t="shared" si="2"/>
        <v>21824.067412251883</v>
      </c>
      <c r="CD16" s="7">
        <f t="shared" si="2"/>
        <v>21824.067412251883</v>
      </c>
      <c r="CE16" s="7">
        <f t="shared" si="2"/>
        <v>21824.067412251883</v>
      </c>
      <c r="CF16" s="7">
        <f t="shared" si="2"/>
        <v>21824.067412251883</v>
      </c>
      <c r="CG16" s="7">
        <f t="shared" si="2"/>
        <v>21824.067412251883</v>
      </c>
      <c r="CH16" s="7">
        <f t="shared" si="2"/>
        <v>21824.067412251883</v>
      </c>
      <c r="CI16" s="7">
        <f t="shared" si="2"/>
        <v>21824.067412251883</v>
      </c>
      <c r="CJ16" s="7">
        <f t="shared" si="2"/>
        <v>21824.067412251883</v>
      </c>
      <c r="CK16" s="7">
        <f t="shared" si="2"/>
        <v>21824.067412251883</v>
      </c>
      <c r="CL16" s="7">
        <f t="shared" si="2"/>
        <v>21824.067412251883</v>
      </c>
      <c r="CM16" s="7">
        <f t="shared" si="2"/>
        <v>21824.067412251883</v>
      </c>
      <c r="CN16" s="7">
        <f t="shared" si="2"/>
        <v>21824.067412251883</v>
      </c>
      <c r="CO16" s="7">
        <f t="shared" si="2"/>
        <v>21824.067412251883</v>
      </c>
      <c r="CP16" s="7">
        <f t="shared" si="2"/>
        <v>21824.067412251883</v>
      </c>
      <c r="CQ16" s="7">
        <f t="shared" si="2"/>
        <v>21824.067412251883</v>
      </c>
      <c r="CR16" s="7">
        <f t="shared" si="2"/>
        <v>21824.067412251883</v>
      </c>
      <c r="CS16" s="7">
        <f t="shared" si="2"/>
        <v>21824.067412251883</v>
      </c>
      <c r="CT16" s="7">
        <f t="shared" si="2"/>
        <v>21824.067412251883</v>
      </c>
      <c r="CU16" s="7">
        <f t="shared" si="2"/>
        <v>21824.067412251883</v>
      </c>
      <c r="CV16" s="7">
        <f t="shared" si="2"/>
        <v>21824.067412251883</v>
      </c>
      <c r="CW16" s="7">
        <f t="shared" ref="CW16:EA16" si="3" xml:space="preserve"> CW$26</f>
        <v>21824.067412251883</v>
      </c>
      <c r="CX16" s="7">
        <f t="shared" si="3"/>
        <v>21824.067412251883</v>
      </c>
      <c r="CY16" s="7">
        <f t="shared" si="3"/>
        <v>21824.067412251883</v>
      </c>
      <c r="CZ16" s="7">
        <f t="shared" si="3"/>
        <v>21824.067412251883</v>
      </c>
      <c r="DA16" s="7">
        <f t="shared" si="3"/>
        <v>21824.067412251883</v>
      </c>
      <c r="DB16" s="7">
        <f t="shared" si="3"/>
        <v>21824.067412251883</v>
      </c>
      <c r="DC16" s="7">
        <f t="shared" si="3"/>
        <v>21824.067412251883</v>
      </c>
      <c r="DD16" s="7">
        <f t="shared" si="3"/>
        <v>21824.067412251883</v>
      </c>
      <c r="DE16" s="7">
        <f t="shared" si="3"/>
        <v>21824.067412251883</v>
      </c>
      <c r="DF16" s="7">
        <f t="shared" si="3"/>
        <v>21824.067412251883</v>
      </c>
      <c r="DG16" s="7">
        <f t="shared" si="3"/>
        <v>21824.067412251883</v>
      </c>
      <c r="DH16" s="7">
        <f t="shared" si="3"/>
        <v>21824.067412251883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21824.067412251883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21824.067412251883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-21824.067412251883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-21824.067412251883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21824.067412251883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21824.067412251883</v>
      </c>
      <c r="N26" s="169">
        <f t="shared" si="11"/>
        <v>21824.067412251883</v>
      </c>
      <c r="O26" s="169">
        <f t="shared" si="11"/>
        <v>21824.067412251883</v>
      </c>
      <c r="P26" s="169">
        <f t="shared" si="11"/>
        <v>21824.067412251883</v>
      </c>
      <c r="Q26" s="169">
        <f t="shared" si="11"/>
        <v>21824.067412251883</v>
      </c>
      <c r="R26" s="169">
        <f t="shared" si="11"/>
        <v>21824.067412251883</v>
      </c>
      <c r="S26" s="169">
        <f t="shared" si="11"/>
        <v>21824.067412251883</v>
      </c>
      <c r="T26" s="169">
        <f t="shared" si="11"/>
        <v>21824.067412251883</v>
      </c>
      <c r="U26" s="169">
        <f t="shared" si="11"/>
        <v>21824.067412251883</v>
      </c>
      <c r="V26" s="169">
        <f t="shared" si="11"/>
        <v>21824.067412251883</v>
      </c>
      <c r="W26" s="169">
        <f t="shared" si="11"/>
        <v>21824.067412251883</v>
      </c>
      <c r="X26" s="169">
        <f t="shared" si="11"/>
        <v>21824.067412251883</v>
      </c>
      <c r="Y26" s="169">
        <f t="shared" si="11"/>
        <v>21824.067412251883</v>
      </c>
      <c r="Z26" s="169">
        <f t="shared" si="11"/>
        <v>21824.067412251883</v>
      </c>
      <c r="AA26" s="169">
        <f t="shared" si="11"/>
        <v>21824.067412251883</v>
      </c>
      <c r="AB26" s="169">
        <f t="shared" si="11"/>
        <v>21824.067412251883</v>
      </c>
      <c r="AC26" s="169">
        <f t="shared" si="11"/>
        <v>21824.067412251883</v>
      </c>
      <c r="AD26" s="169">
        <f t="shared" si="11"/>
        <v>21824.067412251883</v>
      </c>
      <c r="AE26" s="169">
        <f t="shared" si="11"/>
        <v>21824.067412251883</v>
      </c>
      <c r="AF26" s="169">
        <f t="shared" si="11"/>
        <v>21824.067412251883</v>
      </c>
      <c r="AG26" s="169">
        <f t="shared" si="11"/>
        <v>21824.067412251883</v>
      </c>
      <c r="AH26" s="169">
        <f t="shared" si="11"/>
        <v>21824.067412251883</v>
      </c>
      <c r="AI26" s="169">
        <f t="shared" si="11"/>
        <v>21824.067412251883</v>
      </c>
      <c r="AJ26" s="169">
        <f t="shared" si="11"/>
        <v>21824.067412251883</v>
      </c>
      <c r="AK26" s="169">
        <f t="shared" si="11"/>
        <v>21824.067412251883</v>
      </c>
      <c r="AL26" s="169">
        <f t="shared" si="11"/>
        <v>21824.067412251883</v>
      </c>
      <c r="AM26" s="169">
        <f t="shared" si="11"/>
        <v>21824.067412251883</v>
      </c>
      <c r="AN26" s="169">
        <f t="shared" si="11"/>
        <v>21824.067412251883</v>
      </c>
      <c r="AO26" s="169">
        <f t="shared" si="11"/>
        <v>21824.067412251883</v>
      </c>
      <c r="AP26" s="169">
        <f t="shared" ref="AP26:BU26" si="12">AO29</f>
        <v>21824.067412251883</v>
      </c>
      <c r="AQ26" s="169">
        <f t="shared" si="12"/>
        <v>21824.067412251883</v>
      </c>
      <c r="AR26" s="169">
        <f t="shared" si="12"/>
        <v>21824.067412251883</v>
      </c>
      <c r="AS26" s="169">
        <f t="shared" si="12"/>
        <v>21824.067412251883</v>
      </c>
      <c r="AT26" s="169">
        <f t="shared" si="12"/>
        <v>21824.067412251883</v>
      </c>
      <c r="AU26" s="169">
        <f t="shared" si="12"/>
        <v>21824.067412251883</v>
      </c>
      <c r="AV26" s="169">
        <f t="shared" si="12"/>
        <v>21824.067412251883</v>
      </c>
      <c r="AW26" s="169">
        <f t="shared" si="12"/>
        <v>21824.067412251883</v>
      </c>
      <c r="AX26" s="169">
        <f t="shared" si="12"/>
        <v>21824.067412251883</v>
      </c>
      <c r="AY26" s="169">
        <f t="shared" si="12"/>
        <v>21824.067412251883</v>
      </c>
      <c r="AZ26" s="169">
        <f t="shared" si="12"/>
        <v>21824.067412251883</v>
      </c>
      <c r="BA26" s="169">
        <f t="shared" si="12"/>
        <v>21824.067412251883</v>
      </c>
      <c r="BB26" s="169">
        <f t="shared" si="12"/>
        <v>21824.067412251883</v>
      </c>
      <c r="BC26" s="169">
        <f t="shared" si="12"/>
        <v>21824.067412251883</v>
      </c>
      <c r="BD26" s="169">
        <f t="shared" si="12"/>
        <v>21824.067412251883</v>
      </c>
      <c r="BE26" s="169">
        <f t="shared" si="12"/>
        <v>21824.067412251883</v>
      </c>
      <c r="BF26" s="169">
        <f t="shared" si="12"/>
        <v>21824.067412251883</v>
      </c>
      <c r="BG26" s="169">
        <f t="shared" si="12"/>
        <v>21824.067412251883</v>
      </c>
      <c r="BH26" s="169">
        <f t="shared" si="12"/>
        <v>21824.067412251883</v>
      </c>
      <c r="BI26" s="169">
        <f t="shared" si="12"/>
        <v>21824.067412251883</v>
      </c>
      <c r="BJ26" s="169">
        <f t="shared" si="12"/>
        <v>21824.067412251883</v>
      </c>
      <c r="BK26" s="169">
        <f t="shared" si="12"/>
        <v>21824.067412251883</v>
      </c>
      <c r="BL26" s="169">
        <f t="shared" si="12"/>
        <v>21824.067412251883</v>
      </c>
      <c r="BM26" s="169">
        <f t="shared" si="12"/>
        <v>21824.067412251883</v>
      </c>
      <c r="BN26" s="169">
        <f t="shared" si="12"/>
        <v>21824.067412251883</v>
      </c>
      <c r="BO26" s="169">
        <f t="shared" si="12"/>
        <v>21824.067412251883</v>
      </c>
      <c r="BP26" s="169">
        <f t="shared" si="12"/>
        <v>21824.067412251883</v>
      </c>
      <c r="BQ26" s="169">
        <f t="shared" si="12"/>
        <v>21824.067412251883</v>
      </c>
      <c r="BR26" s="169">
        <f t="shared" si="12"/>
        <v>21824.067412251883</v>
      </c>
      <c r="BS26" s="169">
        <f t="shared" si="12"/>
        <v>21824.067412251883</v>
      </c>
      <c r="BT26" s="169">
        <f t="shared" si="12"/>
        <v>21824.067412251883</v>
      </c>
      <c r="BU26" s="169">
        <f t="shared" si="12"/>
        <v>21824.067412251883</v>
      </c>
      <c r="BV26" s="169">
        <f t="shared" ref="BV26:DA26" si="13">BU29</f>
        <v>21824.067412251883</v>
      </c>
      <c r="BW26" s="169">
        <f t="shared" si="13"/>
        <v>21824.067412251883</v>
      </c>
      <c r="BX26" s="169">
        <f t="shared" si="13"/>
        <v>21824.067412251883</v>
      </c>
      <c r="BY26" s="169">
        <f t="shared" si="13"/>
        <v>21824.067412251883</v>
      </c>
      <c r="BZ26" s="169">
        <f t="shared" si="13"/>
        <v>21824.067412251883</v>
      </c>
      <c r="CA26" s="169">
        <f t="shared" si="13"/>
        <v>21824.067412251883</v>
      </c>
      <c r="CB26" s="169">
        <f t="shared" si="13"/>
        <v>21824.067412251883</v>
      </c>
      <c r="CC26" s="169">
        <f t="shared" si="13"/>
        <v>21824.067412251883</v>
      </c>
      <c r="CD26" s="169">
        <f t="shared" si="13"/>
        <v>21824.067412251883</v>
      </c>
      <c r="CE26" s="169">
        <f t="shared" si="13"/>
        <v>21824.067412251883</v>
      </c>
      <c r="CF26" s="169">
        <f t="shared" si="13"/>
        <v>21824.067412251883</v>
      </c>
      <c r="CG26" s="169">
        <f t="shared" si="13"/>
        <v>21824.067412251883</v>
      </c>
      <c r="CH26" s="169">
        <f t="shared" si="13"/>
        <v>21824.067412251883</v>
      </c>
      <c r="CI26" s="169">
        <f t="shared" si="13"/>
        <v>21824.067412251883</v>
      </c>
      <c r="CJ26" s="169">
        <f t="shared" si="13"/>
        <v>21824.067412251883</v>
      </c>
      <c r="CK26" s="169">
        <f t="shared" si="13"/>
        <v>21824.067412251883</v>
      </c>
      <c r="CL26" s="169">
        <f t="shared" si="13"/>
        <v>21824.067412251883</v>
      </c>
      <c r="CM26" s="169">
        <f t="shared" si="13"/>
        <v>21824.067412251883</v>
      </c>
      <c r="CN26" s="169">
        <f t="shared" si="13"/>
        <v>21824.067412251883</v>
      </c>
      <c r="CO26" s="169">
        <f t="shared" si="13"/>
        <v>21824.067412251883</v>
      </c>
      <c r="CP26" s="169">
        <f t="shared" si="13"/>
        <v>21824.067412251883</v>
      </c>
      <c r="CQ26" s="169">
        <f t="shared" si="13"/>
        <v>21824.067412251883</v>
      </c>
      <c r="CR26" s="169">
        <f t="shared" si="13"/>
        <v>21824.067412251883</v>
      </c>
      <c r="CS26" s="169">
        <f t="shared" si="13"/>
        <v>21824.067412251883</v>
      </c>
      <c r="CT26" s="169">
        <f t="shared" si="13"/>
        <v>21824.067412251883</v>
      </c>
      <c r="CU26" s="169">
        <f t="shared" si="13"/>
        <v>21824.067412251883</v>
      </c>
      <c r="CV26" s="169">
        <f t="shared" si="13"/>
        <v>21824.067412251883</v>
      </c>
      <c r="CW26" s="169">
        <f t="shared" si="13"/>
        <v>21824.067412251883</v>
      </c>
      <c r="CX26" s="169">
        <f t="shared" si="13"/>
        <v>21824.067412251883</v>
      </c>
      <c r="CY26" s="169">
        <f t="shared" si="13"/>
        <v>21824.067412251883</v>
      </c>
      <c r="CZ26" s="169">
        <f t="shared" si="13"/>
        <v>21824.067412251883</v>
      </c>
      <c r="DA26" s="169">
        <f t="shared" si="13"/>
        <v>21824.067412251883</v>
      </c>
      <c r="DB26" s="169">
        <f t="shared" ref="DB26:EA26" si="14">DA29</f>
        <v>21824.067412251883</v>
      </c>
      <c r="DC26" s="169">
        <f t="shared" si="14"/>
        <v>21824.067412251883</v>
      </c>
      <c r="DD26" s="169">
        <f t="shared" si="14"/>
        <v>21824.067412251883</v>
      </c>
      <c r="DE26" s="169">
        <f t="shared" si="14"/>
        <v>21824.067412251883</v>
      </c>
      <c r="DF26" s="169">
        <f t="shared" si="14"/>
        <v>21824.067412251883</v>
      </c>
      <c r="DG26" s="169">
        <f t="shared" si="14"/>
        <v>21824.067412251883</v>
      </c>
      <c r="DH26" s="169">
        <f t="shared" si="14"/>
        <v>21824.067412251883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21824.067412251883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21824.067412251883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21824.067412251883</v>
      </c>
      <c r="M29" s="432">
        <f t="shared" si="19"/>
        <v>21824.067412251883</v>
      </c>
      <c r="N29" s="432">
        <f t="shared" si="19"/>
        <v>21824.067412251883</v>
      </c>
      <c r="O29" s="432">
        <f t="shared" si="19"/>
        <v>21824.067412251883</v>
      </c>
      <c r="P29" s="432">
        <f t="shared" si="19"/>
        <v>21824.067412251883</v>
      </c>
      <c r="Q29" s="432">
        <f t="shared" si="19"/>
        <v>21824.067412251883</v>
      </c>
      <c r="R29" s="432">
        <f t="shared" si="19"/>
        <v>21824.067412251883</v>
      </c>
      <c r="S29" s="432">
        <f t="shared" si="19"/>
        <v>21824.067412251883</v>
      </c>
      <c r="T29" s="432">
        <f t="shared" si="19"/>
        <v>21824.067412251883</v>
      </c>
      <c r="U29" s="432">
        <f t="shared" si="19"/>
        <v>21824.067412251883</v>
      </c>
      <c r="V29" s="432">
        <f t="shared" si="19"/>
        <v>21824.067412251883</v>
      </c>
      <c r="W29" s="432">
        <f t="shared" si="19"/>
        <v>21824.067412251883</v>
      </c>
      <c r="X29" s="432">
        <f t="shared" si="19"/>
        <v>21824.067412251883</v>
      </c>
      <c r="Y29" s="432">
        <f t="shared" si="19"/>
        <v>21824.067412251883</v>
      </c>
      <c r="Z29" s="432">
        <f t="shared" si="19"/>
        <v>21824.067412251883</v>
      </c>
      <c r="AA29" s="432">
        <f t="shared" si="19"/>
        <v>21824.067412251883</v>
      </c>
      <c r="AB29" s="432">
        <f t="shared" si="19"/>
        <v>21824.067412251883</v>
      </c>
      <c r="AC29" s="432">
        <f t="shared" si="19"/>
        <v>21824.067412251883</v>
      </c>
      <c r="AD29" s="432">
        <f t="shared" si="19"/>
        <v>21824.067412251883</v>
      </c>
      <c r="AE29" s="432">
        <f t="shared" si="19"/>
        <v>21824.067412251883</v>
      </c>
      <c r="AF29" s="432">
        <f t="shared" si="19"/>
        <v>21824.067412251883</v>
      </c>
      <c r="AG29" s="432">
        <f t="shared" si="19"/>
        <v>21824.067412251883</v>
      </c>
      <c r="AH29" s="432">
        <f t="shared" si="19"/>
        <v>21824.067412251883</v>
      </c>
      <c r="AI29" s="432">
        <f t="shared" si="19"/>
        <v>21824.067412251883</v>
      </c>
      <c r="AJ29" s="432">
        <f t="shared" si="19"/>
        <v>21824.067412251883</v>
      </c>
      <c r="AK29" s="432">
        <f t="shared" si="19"/>
        <v>21824.067412251883</v>
      </c>
      <c r="AL29" s="432">
        <f t="shared" si="19"/>
        <v>21824.067412251883</v>
      </c>
      <c r="AM29" s="432">
        <f t="shared" si="19"/>
        <v>21824.067412251883</v>
      </c>
      <c r="AN29" s="432">
        <f t="shared" si="19"/>
        <v>21824.067412251883</v>
      </c>
      <c r="AO29" s="432">
        <f t="shared" si="19"/>
        <v>21824.067412251883</v>
      </c>
      <c r="AP29" s="432">
        <f t="shared" ref="AP29:BU29" si="20" xml:space="preserve"> IF( AP24 = 1, $F23, AP26 + AP27 - AP28)</f>
        <v>21824.067412251883</v>
      </c>
      <c r="AQ29" s="432">
        <f t="shared" si="20"/>
        <v>21824.067412251883</v>
      </c>
      <c r="AR29" s="432">
        <f t="shared" si="20"/>
        <v>21824.067412251883</v>
      </c>
      <c r="AS29" s="432">
        <f t="shared" si="20"/>
        <v>21824.067412251883</v>
      </c>
      <c r="AT29" s="432">
        <f t="shared" si="20"/>
        <v>21824.067412251883</v>
      </c>
      <c r="AU29" s="432">
        <f t="shared" si="20"/>
        <v>21824.067412251883</v>
      </c>
      <c r="AV29" s="432">
        <f t="shared" si="20"/>
        <v>21824.067412251883</v>
      </c>
      <c r="AW29" s="432">
        <f t="shared" si="20"/>
        <v>21824.067412251883</v>
      </c>
      <c r="AX29" s="432">
        <f t="shared" si="20"/>
        <v>21824.067412251883</v>
      </c>
      <c r="AY29" s="432">
        <f t="shared" si="20"/>
        <v>21824.067412251883</v>
      </c>
      <c r="AZ29" s="432">
        <f t="shared" si="20"/>
        <v>21824.067412251883</v>
      </c>
      <c r="BA29" s="432">
        <f t="shared" si="20"/>
        <v>21824.067412251883</v>
      </c>
      <c r="BB29" s="432">
        <f t="shared" si="20"/>
        <v>21824.067412251883</v>
      </c>
      <c r="BC29" s="432">
        <f t="shared" si="20"/>
        <v>21824.067412251883</v>
      </c>
      <c r="BD29" s="432">
        <f t="shared" si="20"/>
        <v>21824.067412251883</v>
      </c>
      <c r="BE29" s="432">
        <f t="shared" si="20"/>
        <v>21824.067412251883</v>
      </c>
      <c r="BF29" s="432">
        <f t="shared" si="20"/>
        <v>21824.067412251883</v>
      </c>
      <c r="BG29" s="432">
        <f t="shared" si="20"/>
        <v>21824.067412251883</v>
      </c>
      <c r="BH29" s="432">
        <f t="shared" si="20"/>
        <v>21824.067412251883</v>
      </c>
      <c r="BI29" s="432">
        <f t="shared" si="20"/>
        <v>21824.067412251883</v>
      </c>
      <c r="BJ29" s="432">
        <f t="shared" si="20"/>
        <v>21824.067412251883</v>
      </c>
      <c r="BK29" s="432">
        <f t="shared" si="20"/>
        <v>21824.067412251883</v>
      </c>
      <c r="BL29" s="432">
        <f t="shared" si="20"/>
        <v>21824.067412251883</v>
      </c>
      <c r="BM29" s="432">
        <f t="shared" si="20"/>
        <v>21824.067412251883</v>
      </c>
      <c r="BN29" s="432">
        <f t="shared" si="20"/>
        <v>21824.067412251883</v>
      </c>
      <c r="BO29" s="432">
        <f t="shared" si="20"/>
        <v>21824.067412251883</v>
      </c>
      <c r="BP29" s="432">
        <f t="shared" si="20"/>
        <v>21824.067412251883</v>
      </c>
      <c r="BQ29" s="432">
        <f t="shared" si="20"/>
        <v>21824.067412251883</v>
      </c>
      <c r="BR29" s="432">
        <f t="shared" si="20"/>
        <v>21824.067412251883</v>
      </c>
      <c r="BS29" s="432">
        <f t="shared" si="20"/>
        <v>21824.067412251883</v>
      </c>
      <c r="BT29" s="432">
        <f t="shared" si="20"/>
        <v>21824.067412251883</v>
      </c>
      <c r="BU29" s="432">
        <f t="shared" si="20"/>
        <v>21824.067412251883</v>
      </c>
      <c r="BV29" s="432">
        <f t="shared" ref="BV29:DA29" si="21" xml:space="preserve"> IF( BV24 = 1, $F23, BV26 + BV27 - BV28)</f>
        <v>21824.067412251883</v>
      </c>
      <c r="BW29" s="432">
        <f t="shared" si="21"/>
        <v>21824.067412251883</v>
      </c>
      <c r="BX29" s="432">
        <f t="shared" si="21"/>
        <v>21824.067412251883</v>
      </c>
      <c r="BY29" s="432">
        <f t="shared" si="21"/>
        <v>21824.067412251883</v>
      </c>
      <c r="BZ29" s="432">
        <f t="shared" si="21"/>
        <v>21824.067412251883</v>
      </c>
      <c r="CA29" s="432">
        <f t="shared" si="21"/>
        <v>21824.067412251883</v>
      </c>
      <c r="CB29" s="432">
        <f t="shared" si="21"/>
        <v>21824.067412251883</v>
      </c>
      <c r="CC29" s="432">
        <f t="shared" si="21"/>
        <v>21824.067412251883</v>
      </c>
      <c r="CD29" s="432">
        <f t="shared" si="21"/>
        <v>21824.067412251883</v>
      </c>
      <c r="CE29" s="432">
        <f t="shared" si="21"/>
        <v>21824.067412251883</v>
      </c>
      <c r="CF29" s="432">
        <f t="shared" si="21"/>
        <v>21824.067412251883</v>
      </c>
      <c r="CG29" s="432">
        <f t="shared" si="21"/>
        <v>21824.067412251883</v>
      </c>
      <c r="CH29" s="432">
        <f t="shared" si="21"/>
        <v>21824.067412251883</v>
      </c>
      <c r="CI29" s="432">
        <f t="shared" si="21"/>
        <v>21824.067412251883</v>
      </c>
      <c r="CJ29" s="432">
        <f t="shared" si="21"/>
        <v>21824.067412251883</v>
      </c>
      <c r="CK29" s="432">
        <f t="shared" si="21"/>
        <v>21824.067412251883</v>
      </c>
      <c r="CL29" s="432">
        <f t="shared" si="21"/>
        <v>21824.067412251883</v>
      </c>
      <c r="CM29" s="432">
        <f t="shared" si="21"/>
        <v>21824.067412251883</v>
      </c>
      <c r="CN29" s="432">
        <f t="shared" si="21"/>
        <v>21824.067412251883</v>
      </c>
      <c r="CO29" s="432">
        <f t="shared" si="21"/>
        <v>21824.067412251883</v>
      </c>
      <c r="CP29" s="432">
        <f t="shared" si="21"/>
        <v>21824.067412251883</v>
      </c>
      <c r="CQ29" s="432">
        <f t="shared" si="21"/>
        <v>21824.067412251883</v>
      </c>
      <c r="CR29" s="432">
        <f t="shared" si="21"/>
        <v>21824.067412251883</v>
      </c>
      <c r="CS29" s="432">
        <f t="shared" si="21"/>
        <v>21824.067412251883</v>
      </c>
      <c r="CT29" s="432">
        <f t="shared" si="21"/>
        <v>21824.067412251883</v>
      </c>
      <c r="CU29" s="432">
        <f t="shared" si="21"/>
        <v>21824.067412251883</v>
      </c>
      <c r="CV29" s="432">
        <f t="shared" si="21"/>
        <v>21824.067412251883</v>
      </c>
      <c r="CW29" s="432">
        <f t="shared" si="21"/>
        <v>21824.067412251883</v>
      </c>
      <c r="CX29" s="432">
        <f t="shared" si="21"/>
        <v>21824.067412251883</v>
      </c>
      <c r="CY29" s="432">
        <f t="shared" si="21"/>
        <v>21824.067412251883</v>
      </c>
      <c r="CZ29" s="432">
        <f t="shared" si="21"/>
        <v>21824.067412251883</v>
      </c>
      <c r="DA29" s="432">
        <f t="shared" si="21"/>
        <v>21824.067412251883</v>
      </c>
      <c r="DB29" s="432">
        <f t="shared" ref="DB29:EA29" si="22" xml:space="preserve"> IF( DB24 = 1, $F23, DB26 + DB27 - DB28)</f>
        <v>21824.067412251883</v>
      </c>
      <c r="DC29" s="432">
        <f t="shared" si="22"/>
        <v>21824.067412251883</v>
      </c>
      <c r="DD29" s="432">
        <f t="shared" si="22"/>
        <v>21824.067412251883</v>
      </c>
      <c r="DE29" s="432">
        <f t="shared" si="22"/>
        <v>21824.067412251883</v>
      </c>
      <c r="DF29" s="432">
        <f t="shared" si="22"/>
        <v>21824.067412251883</v>
      </c>
      <c r="DG29" s="432">
        <f t="shared" si="22"/>
        <v>21824.067412251883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2288.4620779277475</v>
      </c>
      <c r="O38" s="169">
        <f t="shared" si="23"/>
        <v>4225.8869344780833</v>
      </c>
      <c r="P38" s="169">
        <f t="shared" si="23"/>
        <v>3167.906121210508</v>
      </c>
      <c r="Q38" s="169">
        <f t="shared" si="23"/>
        <v>2658.2359313922361</v>
      </c>
      <c r="R38" s="169">
        <f t="shared" si="23"/>
        <v>4648.2005999991325</v>
      </c>
      <c r="S38" s="169">
        <f t="shared" si="23"/>
        <v>6655.5462830672041</v>
      </c>
      <c r="T38" s="169">
        <f t="shared" si="23"/>
        <v>5683.6402796381035</v>
      </c>
      <c r="U38" s="169">
        <f t="shared" si="23"/>
        <v>5256.5262034030675</v>
      </c>
      <c r="V38" s="169">
        <f t="shared" si="23"/>
        <v>7318.9153226682756</v>
      </c>
      <c r="W38" s="169">
        <f t="shared" si="23"/>
        <v>9400.9409634576605</v>
      </c>
      <c r="X38" s="169">
        <f t="shared" si="23"/>
        <v>8519.8659388550659</v>
      </c>
      <c r="Y38" s="169">
        <f t="shared" si="23"/>
        <v>8166.2720630231161</v>
      </c>
      <c r="Z38" s="169">
        <f t="shared" si="23"/>
        <v>10309.797879241492</v>
      </c>
      <c r="AA38" s="169">
        <f t="shared" si="23"/>
        <v>12471.400641717137</v>
      </c>
      <c r="AB38" s="169">
        <f t="shared" si="23"/>
        <v>11686.053273817755</v>
      </c>
      <c r="AC38" s="169">
        <f t="shared" si="23"/>
        <v>11438.394203248008</v>
      </c>
      <c r="AD38" s="169">
        <f t="shared" si="23"/>
        <v>13660.539495876867</v>
      </c>
      <c r="AE38" s="169">
        <f t="shared" si="23"/>
        <v>15907.222192175639</v>
      </c>
      <c r="AF38" s="169">
        <f t="shared" si="23"/>
        <v>15223.114451103182</v>
      </c>
      <c r="AG38" s="169">
        <f t="shared" si="23"/>
        <v>15073.104703723629</v>
      </c>
      <c r="AH38" s="169">
        <f t="shared" si="23"/>
        <v>17383.351306189055</v>
      </c>
      <c r="AI38" s="169">
        <f t="shared" si="23"/>
        <v>19720.800989213189</v>
      </c>
      <c r="AJ38" s="169">
        <f t="shared" si="23"/>
        <v>19143.632266199733</v>
      </c>
      <c r="AK38" s="169">
        <f t="shared" si="23"/>
        <v>19096.942742695108</v>
      </c>
      <c r="AL38" s="169">
        <f t="shared" si="23"/>
        <v>21501.172358544936</v>
      </c>
      <c r="AM38" s="169">
        <f t="shared" si="23"/>
        <v>23935.42476967366</v>
      </c>
      <c r="AN38" s="169">
        <f t="shared" si="23"/>
        <v>23471.248844154197</v>
      </c>
      <c r="AO38" s="169">
        <f t="shared" si="23"/>
        <v>23525.406219957589</v>
      </c>
      <c r="AP38" s="169">
        <f t="shared" si="23"/>
        <v>26033.616250545285</v>
      </c>
      <c r="AQ38" s="169">
        <f t="shared" si="23"/>
        <v>28571.004781395131</v>
      </c>
      <c r="AR38" s="169">
        <f t="shared" si="23"/>
        <v>28226.177998035877</v>
      </c>
      <c r="AS38" s="169">
        <f t="shared" si="23"/>
        <v>28404.497585122277</v>
      </c>
      <c r="AT38" s="169">
        <f t="shared" si="23"/>
        <v>31015.728825411265</v>
      </c>
      <c r="AU38" s="169">
        <f t="shared" si="23"/>
        <v>33663.121096574177</v>
      </c>
      <c r="AV38" s="169">
        <f t="shared" si="23"/>
        <v>33444.542569408542</v>
      </c>
      <c r="AW38" s="169">
        <f t="shared" si="23"/>
        <v>33745.390395482886</v>
      </c>
      <c r="AX38" s="169">
        <f t="shared" si="23"/>
        <v>36470.501107696953</v>
      </c>
      <c r="AY38" s="169">
        <f t="shared" si="23"/>
        <v>39235.114078105355</v>
      </c>
      <c r="AZ38" s="169">
        <f t="shared" si="23"/>
        <v>39150.037962769129</v>
      </c>
      <c r="BA38" s="169">
        <f t="shared" si="23"/>
        <v>39580.628644083197</v>
      </c>
      <c r="BB38" s="169">
        <f t="shared" si="23"/>
        <v>40287.039280991259</v>
      </c>
      <c r="BC38" s="169">
        <f t="shared" si="23"/>
        <v>39545.865365012731</v>
      </c>
      <c r="BD38" s="169">
        <f t="shared" si="23"/>
        <v>36540.262021028706</v>
      </c>
      <c r="BE38" s="169">
        <f t="shared" si="23"/>
        <v>35554.488664474105</v>
      </c>
      <c r="BF38" s="169">
        <f t="shared" si="23"/>
        <v>36267.750159412637</v>
      </c>
      <c r="BG38" s="169">
        <f t="shared" si="23"/>
        <v>35525.311127380977</v>
      </c>
      <c r="BH38" s="169">
        <f t="shared" si="23"/>
        <v>32529.666967471829</v>
      </c>
      <c r="BI38" s="169">
        <f t="shared" si="23"/>
        <v>31558.959848488223</v>
      </c>
      <c r="BJ38" s="169">
        <f t="shared" si="23"/>
        <v>32248.48021048179</v>
      </c>
      <c r="BK38" s="169">
        <f t="shared" si="23"/>
        <v>31504.782811422549</v>
      </c>
      <c r="BL38" s="169">
        <f t="shared" si="23"/>
        <v>28519.047905717725</v>
      </c>
      <c r="BM38" s="169">
        <f t="shared" si="23"/>
        <v>27548.088886568712</v>
      </c>
      <c r="BN38" s="169">
        <f t="shared" si="23"/>
        <v>28229.227791392383</v>
      </c>
      <c r="BO38" s="169">
        <f t="shared" si="23"/>
        <v>27484.27874992065</v>
      </c>
      <c r="BP38" s="169">
        <f t="shared" si="23"/>
        <v>24508.403409265644</v>
      </c>
      <c r="BQ38" s="169">
        <f t="shared" si="23"/>
        <v>23537.191603919277</v>
      </c>
      <c r="BR38" s="169">
        <f t="shared" si="23"/>
        <v>24209.991236329937</v>
      </c>
      <c r="BS38" s="169">
        <f t="shared" si="23"/>
        <v>23463.797252956501</v>
      </c>
      <c r="BT38" s="169">
        <f t="shared" si="23"/>
        <v>20497.732027560287</v>
      </c>
      <c r="BU38" s="169">
        <f t="shared" si="23"/>
        <v>19511.427676960873</v>
      </c>
      <c r="BV38" s="169">
        <f t="shared" ref="BV38:EA38" si="24">BU41</f>
        <v>20190.768855958017</v>
      </c>
      <c r="BW38" s="169">
        <f t="shared" si="24"/>
        <v>19443.33660739773</v>
      </c>
      <c r="BX38" s="169">
        <f t="shared" si="24"/>
        <v>16487.032285483783</v>
      </c>
      <c r="BY38" s="169">
        <f t="shared" si="24"/>
        <v>15515.3120941741</v>
      </c>
      <c r="BZ38" s="169">
        <f t="shared" si="24"/>
        <v>16171.558936894253</v>
      </c>
      <c r="CA38" s="169">
        <f t="shared" si="24"/>
        <v>15422.895076376644</v>
      </c>
      <c r="CB38" s="169">
        <f t="shared" si="24"/>
        <v>12476.302682837504</v>
      </c>
      <c r="CC38" s="169">
        <f t="shared" si="24"/>
        <v>11504.326812321067</v>
      </c>
      <c r="CD38" s="169">
        <f t="shared" si="24"/>
        <v>12152.359741176082</v>
      </c>
      <c r="CE38" s="169">
        <f t="shared" si="24"/>
        <v>11402.470898758316</v>
      </c>
      <c r="CF38" s="169">
        <f t="shared" si="24"/>
        <v>8465.5416938135804</v>
      </c>
      <c r="CG38" s="169">
        <f t="shared" si="24"/>
        <v>7493.3090991483105</v>
      </c>
      <c r="CH38" s="169">
        <f t="shared" si="24"/>
        <v>8133.1695057159695</v>
      </c>
      <c r="CI38" s="169">
        <f t="shared" si="24"/>
        <v>7382.0622885981893</v>
      </c>
      <c r="CJ38" s="169">
        <f t="shared" si="24"/>
        <v>4454.7477664558864</v>
      </c>
      <c r="CK38" s="169">
        <f t="shared" si="24"/>
        <v>3467.9021439193689</v>
      </c>
      <c r="CL38" s="169">
        <f t="shared" si="24"/>
        <v>4113.9864417458957</v>
      </c>
      <c r="CM38" s="169">
        <f t="shared" si="24"/>
        <v>3361.6674345890251</v>
      </c>
      <c r="CN38" s="169">
        <f t="shared" si="24"/>
        <v>443.9193221102405</v>
      </c>
      <c r="CO38" s="169">
        <f t="shared" si="24"/>
        <v>0</v>
      </c>
      <c r="CP38" s="169">
        <f t="shared" si="24"/>
        <v>94.808734250883845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550.06025187035596</v>
      </c>
      <c r="DJ38" s="169">
        <f t="shared" si="24"/>
        <v>3.510649548843503E-10</v>
      </c>
      <c r="DK38" s="169">
        <f t="shared" si="24"/>
        <v>3.5650498288093758E-10</v>
      </c>
      <c r="DL38" s="169">
        <f t="shared" si="24"/>
        <v>3.6202842464013921E-10</v>
      </c>
      <c r="DM38" s="169">
        <f t="shared" si="24"/>
        <v>3.6751464320487664E-10</v>
      </c>
      <c r="DN38" s="169">
        <f t="shared" si="24"/>
        <v>3.7314502740189858E-10</v>
      </c>
      <c r="DO38" s="169">
        <f t="shared" si="24"/>
        <v>3.7892361651042161E-10</v>
      </c>
      <c r="DP38" s="169">
        <f t="shared" si="24"/>
        <v>3.84790810651942E-10</v>
      </c>
      <c r="DQ38" s="169">
        <f t="shared" si="24"/>
        <v>3.9068321672191106E-10</v>
      </c>
      <c r="DR38" s="169">
        <f t="shared" si="24"/>
        <v>3.9666499095060801E-10</v>
      </c>
      <c r="DS38" s="169">
        <f t="shared" si="24"/>
        <v>4.0280421950021124E-10</v>
      </c>
      <c r="DT38" s="169">
        <f t="shared" si="24"/>
        <v>4.0903758288757506E-10</v>
      </c>
      <c r="DU38" s="169">
        <f t="shared" si="24"/>
        <v>4.1522893882602402E-10</v>
      </c>
      <c r="DV38" s="169">
        <f t="shared" si="24"/>
        <v>4.215829898399667E-10</v>
      </c>
      <c r="DW38" s="169">
        <f t="shared" si="24"/>
        <v>4.2810429437254008E-10</v>
      </c>
      <c r="DX38" s="169">
        <f t="shared" si="24"/>
        <v>4.3472559224127959E-10</v>
      </c>
      <c r="DY38" s="169">
        <f t="shared" si="24"/>
        <v>4.4130226832003412E-10</v>
      </c>
      <c r="DZ38" s="169">
        <f t="shared" si="24"/>
        <v>4.4805176483130259E-10</v>
      </c>
      <c r="EA38" s="169">
        <f t="shared" si="24"/>
        <v>4.5497892391374315E-10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196154.17888513833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2639.08168908582</v>
      </c>
      <c r="N39" s="428">
        <f xml:space="preserve"> 'FS Qtr'!N$22</f>
        <v>3096.7833024574797</v>
      </c>
      <c r="O39" s="428">
        <f xml:space="preserve"> 'FS Qtr'!O$22</f>
        <v>-95.550908350141754</v>
      </c>
      <c r="P39" s="428">
        <f xml:space="preserve"> 'FS Qtr'!P$22</f>
        <v>-41.528191500441835</v>
      </c>
      <c r="Q39" s="428">
        <f xml:space="preserve"> 'FS Qtr'!Q$22</f>
        <v>2683.8226778252638</v>
      </c>
      <c r="R39" s="428">
        <f xml:space="preserve"> 'FS Qtr'!R$22</f>
        <v>3158.7357783175066</v>
      </c>
      <c r="S39" s="428">
        <f xml:space="preserve"> 'FS Qtr'!S$22</f>
        <v>-16.467837619810098</v>
      </c>
      <c r="T39" s="428">
        <f xml:space="preserve"> 'FS Qtr'!T$22</f>
        <v>36.500382663204959</v>
      </c>
      <c r="U39" s="428">
        <f xml:space="preserve"> 'FS Qtr'!U$22</f>
        <v>2750.5613922287503</v>
      </c>
      <c r="V39" s="428">
        <f xml:space="preserve"> 'FS Qtr'!V$22</f>
        <v>3225.4426897916078</v>
      </c>
      <c r="W39" s="428">
        <f xml:space="preserve"> 'FS Qtr'!W$22</f>
        <v>67.361784624979805</v>
      </c>
      <c r="X39" s="428">
        <f xml:space="preserve"> 'FS Qtr'!X$22</f>
        <v>109.22422365223736</v>
      </c>
      <c r="Y39" s="428">
        <f xml:space="preserve"> 'FS Qtr'!Y$22</f>
        <v>2822.2426745701268</v>
      </c>
      <c r="Z39" s="428">
        <f xml:space="preserve"> 'FS Qtr'!Z$22</f>
        <v>3297.0411995467248</v>
      </c>
      <c r="AA39" s="428">
        <f xml:space="preserve"> 'FS Qtr'!AA$22</f>
        <v>156.0776203935601</v>
      </c>
      <c r="AB39" s="428">
        <f xml:space="preserve"> 'FS Qtr'!AB$22</f>
        <v>206.83419926421163</v>
      </c>
      <c r="AC39" s="428">
        <f xml:space="preserve"> 'FS Qtr'!AC$22</f>
        <v>2898.8951001329751</v>
      </c>
      <c r="AD39" s="428">
        <f xml:space="preserve"> 'FS Qtr'!AD$22</f>
        <v>3374.1360719856048</v>
      </c>
      <c r="AE39" s="428">
        <f xml:space="preserve"> 'FS Qtr'!AE$22</f>
        <v>250.29410123771459</v>
      </c>
      <c r="AF39" s="428">
        <f xml:space="preserve"> 'FS Qtr'!AF$22</f>
        <v>299.88829004452498</v>
      </c>
      <c r="AG39" s="428">
        <f xml:space="preserve"> 'FS Qtr'!AG$22</f>
        <v>2981.2580190256117</v>
      </c>
      <c r="AH39" s="428">
        <f xml:space="preserve"> 'FS Qtr'!AH$22</f>
        <v>3456.9106501349443</v>
      </c>
      <c r="AI39" s="428">
        <f xml:space="preserve"> 'FS Qtr'!AI$22</f>
        <v>350.19777346015189</v>
      </c>
      <c r="AJ39" s="428">
        <f xml:space="preserve"> 'FS Qtr'!AJ$22</f>
        <v>398.5891106458098</v>
      </c>
      <c r="AK39" s="428">
        <f xml:space="preserve"> 'FS Qtr'!AK$22</f>
        <v>3069.4834042364892</v>
      </c>
      <c r="AL39" s="428">
        <f xml:space="preserve"> 'FS Qtr'!AL$22</f>
        <v>3545.7127104629776</v>
      </c>
      <c r="AM39" s="428">
        <f xml:space="preserve"> 'FS Qtr'!AM$22</f>
        <v>456.14213604727064</v>
      </c>
      <c r="AN39" s="428">
        <f xml:space="preserve"> 'FS Qtr'!AN$22</f>
        <v>498.43582899984023</v>
      </c>
      <c r="AO39" s="428">
        <f xml:space="preserve"> 'FS Qtr'!AO$22</f>
        <v>3164.0418656950537</v>
      </c>
      <c r="AP39" s="428">
        <f xml:space="preserve"> 'FS Qtr'!AP$22</f>
        <v>3640.8389766216033</v>
      </c>
      <c r="AQ39" s="428">
        <f xml:space="preserve"> 'FS Qtr'!AQ$22</f>
        <v>568.42885029654076</v>
      </c>
      <c r="AR39" s="428">
        <f xml:space="preserve"> 'FS Qtr'!AR$22</f>
        <v>614.28357719888777</v>
      </c>
      <c r="AS39" s="428">
        <f xml:space="preserve"> 'FS Qtr'!AS$22</f>
        <v>3264.9085766988101</v>
      </c>
      <c r="AT39" s="428">
        <f xml:space="preserve"> 'FS Qtr'!AT$22</f>
        <v>3742.8227361115532</v>
      </c>
      <c r="AU39" s="428">
        <f xml:space="preserve"> 'FS Qtr'!AU$22</f>
        <v>687.59976661165797</v>
      </c>
      <c r="AV39" s="428">
        <f xml:space="preserve"> 'FS Qtr'!AV$22</f>
        <v>732.114875211342</v>
      </c>
      <c r="AW39" s="428">
        <f xml:space="preserve"> 'FS Qtr'!AW$22</f>
        <v>3372.9674448120513</v>
      </c>
      <c r="AX39" s="428">
        <f xml:space="preserve"> 'FS Qtr'!AX$22</f>
        <v>3852.0123705905116</v>
      </c>
      <c r="AY39" s="428">
        <f xml:space="preserve"> 'FS Qtr'!AY$22</f>
        <v>814.00899228309163</v>
      </c>
      <c r="AZ39" s="428">
        <f xml:space="preserve"> 'FS Qtr'!AZ$22</f>
        <v>857.13321756267726</v>
      </c>
      <c r="BA39" s="428">
        <f xml:space="preserve"> 'FS Qtr'!BA$22</f>
        <v>3488.4684041472387</v>
      </c>
      <c r="BB39" s="428">
        <f xml:space="preserve"> 'FS Qtr'!BB$22</f>
        <v>3936.0366274645125</v>
      </c>
      <c r="BC39" s="428">
        <f xml:space="preserve"> 'FS Qtr'!BC$22</f>
        <v>859.62219853396414</v>
      </c>
      <c r="BD39" s="428">
        <f xml:space="preserve"> 'FS Qtr'!BD$22</f>
        <v>857.29870254233856</v>
      </c>
      <c r="BE39" s="428">
        <f xml:space="preserve"> 'FS Qtr'!BE$22</f>
        <v>3454.5777464633106</v>
      </c>
      <c r="BF39" s="428">
        <f xml:space="preserve"> 'FS Qtr'!BF$22</f>
        <v>3899.8614623563603</v>
      </c>
      <c r="BG39" s="428">
        <f xml:space="preserve"> 'FS Qtr'!BG$22</f>
        <v>838.69448900359441</v>
      </c>
      <c r="BH39" s="428">
        <f xml:space="preserve"> 'FS Qtr'!BH$22</f>
        <v>836.32417340453765</v>
      </c>
      <c r="BI39" s="428">
        <f xml:space="preserve"> 'FS Qtr'!BI$22</f>
        <v>3420.6227598519195</v>
      </c>
      <c r="BJ39" s="428">
        <f xml:space="preserve"> 'FS Qtr'!BJ$22</f>
        <v>3863.6321693335017</v>
      </c>
      <c r="BK39" s="428">
        <f xml:space="preserve"> 'FS Qtr'!BK$22</f>
        <v>817.63562305126538</v>
      </c>
      <c r="BL39" s="428">
        <f xml:space="preserve"> 'FS Qtr'!BL$22</f>
        <v>815.21754440624795</v>
      </c>
      <c r="BM39" s="428">
        <f xml:space="preserve"> 'FS Qtr'!BM$22</f>
        <v>3386.599070516696</v>
      </c>
      <c r="BN39" s="428">
        <f xml:space="preserve"> 'FS Qtr'!BN$22</f>
        <v>3827.3443003790544</v>
      </c>
      <c r="BO39" s="428">
        <f xml:space="preserve"> 'FS Qtr'!BO$22</f>
        <v>796.44151229994941</v>
      </c>
      <c r="BP39" s="428">
        <f xml:space="preserve"> 'FS Qtr'!BP$22</f>
        <v>793.97470815968416</v>
      </c>
      <c r="BQ39" s="428">
        <f xml:space="preserve"> 'FS Qtr'!BQ$22</f>
        <v>3352.5022318382125</v>
      </c>
      <c r="BR39" s="428">
        <f xml:space="preserve"> 'FS Qtr'!BR$22</f>
        <v>3790.9933345494164</v>
      </c>
      <c r="BS39" s="428">
        <f xml:space="preserve"> 'FS Qtr'!BS$22</f>
        <v>775.10799318136822</v>
      </c>
      <c r="BT39" s="428">
        <f xml:space="preserve"> 'FS Qtr'!BT$22</f>
        <v>772.59148170273249</v>
      </c>
      <c r="BU39" s="428">
        <f xml:space="preserve"> 'FS Qtr'!BU$22</f>
        <v>3318.3277228303805</v>
      </c>
      <c r="BV39" s="428">
        <f xml:space="preserve"> 'FS Qtr'!BV$22</f>
        <v>3754.5746764216606</v>
      </c>
      <c r="BW39" s="428">
        <f xml:space="preserve"> 'FS Qtr'!BW$22</f>
        <v>753.63082538506558</v>
      </c>
      <c r="BX39" s="428">
        <f xml:space="preserve"> 'FS Qtr'!BX$22</f>
        <v>751.06360494030719</v>
      </c>
      <c r="BY39" s="428">
        <f xml:space="preserve"> 'FS Qtr'!BY$22</f>
        <v>3284.0709465661371</v>
      </c>
      <c r="BZ39" s="428">
        <f xml:space="preserve"> 'FS Qtr'!BZ$22</f>
        <v>3718.0836545100406</v>
      </c>
      <c r="CA39" s="428">
        <f xml:space="preserve"> 'FS Qtr'!CA$22</f>
        <v>732.00569027641814</v>
      </c>
      <c r="CB39" s="428">
        <f xml:space="preserve"> 'FS Qtr'!CB$22</f>
        <v>729.38673905448286</v>
      </c>
      <c r="CC39" s="428">
        <f xml:space="preserve"> 'FS Qtr'!CC$22</f>
        <v>3249.727228571774</v>
      </c>
      <c r="CD39" s="428">
        <f xml:space="preserve"> 'FS Qtr'!CD$22</f>
        <v>3681.5155196510245</v>
      </c>
      <c r="CE39" s="428">
        <f xml:space="preserve"> 'FS Qtr'!CE$22</f>
        <v>710.22818928293805</v>
      </c>
      <c r="CF39" s="428">
        <f xml:space="preserve"> 'FS Qtr'!CF$22</f>
        <v>707.5564648827683</v>
      </c>
      <c r="CG39" s="428">
        <f xml:space="preserve"> 'FS Qtr'!CG$22</f>
        <v>3215.2918151892918</v>
      </c>
      <c r="CH39" s="428">
        <f xml:space="preserve"> 'FS Qtr'!CH$22</f>
        <v>3644.8654433561751</v>
      </c>
      <c r="CI39" s="428">
        <f xml:space="preserve"> 'FS Qtr'!CI$22</f>
        <v>688.29384224823752</v>
      </c>
      <c r="CJ39" s="428">
        <f xml:space="preserve"> 'FS Qtr'!CJ$22</f>
        <v>685.568281263872</v>
      </c>
      <c r="CK39" s="428">
        <f xml:space="preserve"> 'FS Qtr'!CK$22</f>
        <v>3180.7598719061207</v>
      </c>
      <c r="CL39" s="428">
        <f xml:space="preserve"> 'FS Qtr'!CL$22</f>
        <v>3608.1285161322548</v>
      </c>
      <c r="CM39" s="428">
        <f xml:space="preserve"> 'FS Qtr'!CM$22</f>
        <v>666.19808575299703</v>
      </c>
      <c r="CN39" s="428">
        <f xml:space="preserve"> 'FS Qtr'!CN$22</f>
        <v>663.4176033503129</v>
      </c>
      <c r="CO39" s="428">
        <f xml:space="preserve"> 'FS Qtr'!CO$22</f>
        <v>3146.1264816515718</v>
      </c>
      <c r="CP39" s="428">
        <f xml:space="preserve"> 'FS Qtr'!CP$22</f>
        <v>3571.2997457678916</v>
      </c>
      <c r="CQ39" s="428">
        <f xml:space="preserve"> 'FS Qtr'!CQ$22</f>
        <v>643.936271402285</v>
      </c>
      <c r="CR39" s="428">
        <f xml:space="preserve"> 'FS Qtr'!CR$22</f>
        <v>641.09976088720759</v>
      </c>
      <c r="CS39" s="428">
        <f xml:space="preserve"> 'FS Qtr'!CS$22</f>
        <v>3111.3866430593139</v>
      </c>
      <c r="CT39" s="428">
        <f xml:space="preserve"> 'FS Qtr'!CT$22</f>
        <v>3534.3740555861154</v>
      </c>
      <c r="CU39" s="428">
        <f xml:space="preserve"> 'FS Qtr'!CU$22</f>
        <v>621.5036640785263</v>
      </c>
      <c r="CV39" s="428">
        <f xml:space="preserve"> 'FS Qtr'!CV$22</f>
        <v>618.60999645654169</v>
      </c>
      <c r="CW39" s="428">
        <f xml:space="preserve"> 'FS Qtr'!CW$22</f>
        <v>3076.5352686952128</v>
      </c>
      <c r="CX39" s="428">
        <f xml:space="preserve"> 'FS Qtr'!CX$22</f>
        <v>3497.346282662078</v>
      </c>
      <c r="CY39" s="428">
        <f xml:space="preserve"> 'FS Qtr'!CY$22</f>
        <v>598.89544015944705</v>
      </c>
      <c r="CZ39" s="428">
        <f xml:space="preserve"> 'FS Qtr'!CZ$22</f>
        <v>595.94346368623758</v>
      </c>
      <c r="DA39" s="428">
        <f xml:space="preserve"> 'FS Qtr'!DA$22</f>
        <v>3041.5671832498315</v>
      </c>
      <c r="DB39" s="428">
        <f xml:space="preserve"> 'FS Qtr'!DB$22</f>
        <v>3460.2111760052744</v>
      </c>
      <c r="DC39" s="428">
        <f xml:space="preserve"> 'FS Qtr'!DC$22</f>
        <v>576.10668570028395</v>
      </c>
      <c r="DD39" s="428">
        <f xml:space="preserve"> 'FS Qtr'!DD$22</f>
        <v>573.09522542330558</v>
      </c>
      <c r="DE39" s="428">
        <f xml:space="preserve"> 'FS Qtr'!DE$22</f>
        <v>3006.477121694862</v>
      </c>
      <c r="DF39" s="428">
        <f xml:space="preserve"> 'FS Qtr'!DF$22</f>
        <v>3422.9633947055186</v>
      </c>
      <c r="DG39" s="428">
        <f xml:space="preserve"> 'FS Qtr'!DG$22</f>
        <v>553.13239457952727</v>
      </c>
      <c r="DH39" s="428">
        <f xml:space="preserve"> 'FS Qtr'!DH$22</f>
        <v>550.06025187035596</v>
      </c>
      <c r="DI39" s="428">
        <f xml:space="preserve"> 'FS Qtr'!DI$22</f>
        <v>5.3005062460948297E-12</v>
      </c>
      <c r="DJ39" s="428">
        <f xml:space="preserve"> 'FS Qtr'!DJ$22</f>
        <v>5.4400279965872744E-12</v>
      </c>
      <c r="DK39" s="428">
        <f xml:space="preserve"> 'FS Qtr'!DK$22</f>
        <v>5.5234417592016132E-12</v>
      </c>
      <c r="DL39" s="428">
        <f xml:space="preserve"> 'FS Qtr'!DL$22</f>
        <v>5.4862185647374278E-12</v>
      </c>
      <c r="DM39" s="428">
        <f xml:space="preserve"> 'FS Qtr'!DM$22</f>
        <v>5.6303841970219176E-12</v>
      </c>
      <c r="DN39" s="428">
        <f xml:space="preserve"> 'FS Qtr'!DN$22</f>
        <v>5.7785891085230152E-12</v>
      </c>
      <c r="DO39" s="428">
        <f xml:space="preserve"> 'FS Qtr'!DO$22</f>
        <v>5.8671941415203677E-12</v>
      </c>
      <c r="DP39" s="428">
        <f xml:space="preserve"> 'FS Qtr'!DP$22</f>
        <v>5.8924060699690751E-12</v>
      </c>
      <c r="DQ39" s="428">
        <f xml:space="preserve"> 'FS Qtr'!DQ$22</f>
        <v>5.981774228696939E-12</v>
      </c>
      <c r="DR39" s="428">
        <f xml:space="preserve"> 'FS Qtr'!DR$22</f>
        <v>6.1392285496032262E-12</v>
      </c>
      <c r="DS39" s="428">
        <f xml:space="preserve"> 'FS Qtr'!DS$22</f>
        <v>6.2333633873638092E-12</v>
      </c>
      <c r="DT39" s="428">
        <f xml:space="preserve"> 'FS Qtr'!DT$22</f>
        <v>6.1913559384489657E-12</v>
      </c>
      <c r="DU39" s="428">
        <f xml:space="preserve"> 'FS Qtr'!DU$22</f>
        <v>6.3540510139426528E-12</v>
      </c>
      <c r="DV39" s="428">
        <f xml:space="preserve"> 'FS Qtr'!DV$22</f>
        <v>6.5213045325733925E-12</v>
      </c>
      <c r="DW39" s="428">
        <f xml:space="preserve"> 'FS Qtr'!DW$22</f>
        <v>6.6212978687395183E-12</v>
      </c>
      <c r="DX39" s="428">
        <f xml:space="preserve"> 'FS Qtr'!DX$22</f>
        <v>6.5766760787545336E-12</v>
      </c>
      <c r="DY39" s="428">
        <f xml:space="preserve"> 'FS Qtr'!DY$22</f>
        <v>6.7494965112684725E-12</v>
      </c>
      <c r="DZ39" s="428">
        <f xml:space="preserve"> 'FS Qtr'!DZ$22</f>
        <v>6.9271590824405433E-12</v>
      </c>
      <c r="EA39" s="428">
        <f xml:space="preserve"> 'FS Qtr'!EA$22</f>
        <v>7.0333755217046319E-12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196154.17888513798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350.61961115807276</v>
      </c>
      <c r="N40" s="26">
        <f t="shared" si="25"/>
        <v>1159.3584459071449</v>
      </c>
      <c r="O40" s="26">
        <f t="shared" si="25"/>
        <v>962.4299049174333</v>
      </c>
      <c r="P40" s="26">
        <f t="shared" si="25"/>
        <v>468.14199831783026</v>
      </c>
      <c r="Q40" s="26">
        <f t="shared" si="25"/>
        <v>693.8580092183679</v>
      </c>
      <c r="R40" s="26">
        <f t="shared" si="25"/>
        <v>1151.390095249435</v>
      </c>
      <c r="S40" s="26">
        <f t="shared" si="25"/>
        <v>955.43816580929069</v>
      </c>
      <c r="T40" s="26">
        <f t="shared" si="25"/>
        <v>463.61445889824017</v>
      </c>
      <c r="U40" s="26">
        <f t="shared" si="25"/>
        <v>688.17227296354258</v>
      </c>
      <c r="V40" s="26">
        <f t="shared" si="25"/>
        <v>1143.417049002222</v>
      </c>
      <c r="W40" s="26">
        <f t="shared" si="25"/>
        <v>948.43680922757449</v>
      </c>
      <c r="X40" s="26">
        <f t="shared" si="25"/>
        <v>462.81809948418754</v>
      </c>
      <c r="Y40" s="26">
        <f t="shared" si="25"/>
        <v>678.71685835175094</v>
      </c>
      <c r="Z40" s="26">
        <f t="shared" si="25"/>
        <v>1135.4384370710804</v>
      </c>
      <c r="AA40" s="26">
        <f t="shared" si="25"/>
        <v>941.42498829294163</v>
      </c>
      <c r="AB40" s="26">
        <f t="shared" si="25"/>
        <v>454.49326983395736</v>
      </c>
      <c r="AC40" s="26">
        <f t="shared" si="25"/>
        <v>676.74980750411669</v>
      </c>
      <c r="AD40" s="26">
        <f t="shared" si="25"/>
        <v>1127.4533756868341</v>
      </c>
      <c r="AE40" s="26">
        <f t="shared" si="25"/>
        <v>934.40184231017201</v>
      </c>
      <c r="AF40" s="26">
        <f t="shared" si="25"/>
        <v>449.89803742407571</v>
      </c>
      <c r="AG40" s="26">
        <f t="shared" si="25"/>
        <v>671.01141656018308</v>
      </c>
      <c r="AH40" s="26">
        <f t="shared" si="25"/>
        <v>1119.4609671108105</v>
      </c>
      <c r="AI40" s="26">
        <f t="shared" si="25"/>
        <v>927.36649647360764</v>
      </c>
      <c r="AJ40" s="26">
        <f t="shared" si="25"/>
        <v>445.27863415043657</v>
      </c>
      <c r="AK40" s="26">
        <f t="shared" si="25"/>
        <v>665.25378838665893</v>
      </c>
      <c r="AL40" s="26">
        <f t="shared" si="25"/>
        <v>1111.4602993342514</v>
      </c>
      <c r="AM40" s="26">
        <f t="shared" si="25"/>
        <v>920.31806156673383</v>
      </c>
      <c r="AN40" s="26">
        <f t="shared" si="25"/>
        <v>444.27845319645076</v>
      </c>
      <c r="AO40" s="26">
        <f t="shared" si="25"/>
        <v>655.83183510735807</v>
      </c>
      <c r="AP40" s="26">
        <f t="shared" si="25"/>
        <v>1103.4504457717539</v>
      </c>
      <c r="AQ40" s="26">
        <f t="shared" si="25"/>
        <v>913.25563365579228</v>
      </c>
      <c r="AR40" s="26">
        <f t="shared" si="25"/>
        <v>435.96399011248718</v>
      </c>
      <c r="AS40" s="26">
        <f t="shared" si="25"/>
        <v>653.67733640982078</v>
      </c>
      <c r="AT40" s="26">
        <f t="shared" si="25"/>
        <v>1095.4304649486417</v>
      </c>
      <c r="AU40" s="26">
        <f t="shared" si="25"/>
        <v>906.17829377729458</v>
      </c>
      <c r="AV40" s="26">
        <f t="shared" si="25"/>
        <v>431.26704913699973</v>
      </c>
      <c r="AW40" s="26">
        <f t="shared" si="25"/>
        <v>647.85673259797886</v>
      </c>
      <c r="AX40" s="26">
        <f t="shared" si="25"/>
        <v>1087.3994001821156</v>
      </c>
      <c r="AY40" s="26">
        <f t="shared" si="25"/>
        <v>899.08510761931711</v>
      </c>
      <c r="AZ40" s="26">
        <f t="shared" si="25"/>
        <v>426.54253624860735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1679.7890595480376</v>
      </c>
      <c r="CG40" s="26">
        <f t="shared" si="26"/>
        <v>2575.4314086216336</v>
      </c>
      <c r="CH40" s="26">
        <f t="shared" si="26"/>
        <v>4395.9726604739562</v>
      </c>
      <c r="CI40" s="26">
        <f t="shared" si="26"/>
        <v>3615.6083643905404</v>
      </c>
      <c r="CJ40" s="26">
        <f t="shared" si="26"/>
        <v>1672.4139038003891</v>
      </c>
      <c r="CK40" s="26">
        <f t="shared" si="26"/>
        <v>2534.6755740795943</v>
      </c>
      <c r="CL40" s="26">
        <f t="shared" si="26"/>
        <v>4360.4475232891255</v>
      </c>
      <c r="CM40" s="26">
        <f t="shared" si="26"/>
        <v>3583.9461982317816</v>
      </c>
      <c r="CN40" s="26">
        <f t="shared" si="26"/>
        <v>1107.3369254605534</v>
      </c>
      <c r="CO40" s="26">
        <f t="shared" si="26"/>
        <v>3051.3177474006879</v>
      </c>
      <c r="CP40" s="26">
        <f t="shared" si="26"/>
        <v>3666.1084800187755</v>
      </c>
      <c r="CQ40" s="26">
        <f t="shared" si="26"/>
        <v>643.936271402285</v>
      </c>
      <c r="CR40" s="26">
        <f t="shared" si="26"/>
        <v>641.09976088720759</v>
      </c>
      <c r="CS40" s="26">
        <f t="shared" si="26"/>
        <v>3111.3866430593139</v>
      </c>
      <c r="CT40" s="26">
        <f t="shared" si="26"/>
        <v>3534.3740555861154</v>
      </c>
      <c r="CU40" s="26">
        <f t="shared" si="26"/>
        <v>621.5036640785263</v>
      </c>
      <c r="CV40" s="26">
        <f t="shared" si="26"/>
        <v>618.60999645654169</v>
      </c>
      <c r="CW40" s="26">
        <f t="shared" si="26"/>
        <v>3076.5352686952128</v>
      </c>
      <c r="CX40" s="26">
        <f t="shared" si="26"/>
        <v>3497.346282662078</v>
      </c>
      <c r="CY40" s="26">
        <f t="shared" si="26"/>
        <v>598.89544015944705</v>
      </c>
      <c r="CZ40" s="26">
        <f t="shared" si="26"/>
        <v>595.94346368623758</v>
      </c>
      <c r="DA40" s="26">
        <f t="shared" si="26"/>
        <v>3041.5671832498315</v>
      </c>
      <c r="DB40" s="26">
        <f t="shared" si="26"/>
        <v>3460.2111760052744</v>
      </c>
      <c r="DC40" s="26">
        <f t="shared" si="26"/>
        <v>576.10668570028395</v>
      </c>
      <c r="DD40" s="26">
        <f t="shared" si="26"/>
        <v>573.09522542330558</v>
      </c>
      <c r="DE40" s="26">
        <f t="shared" si="26"/>
        <v>3006.477121694862</v>
      </c>
      <c r="DF40" s="26">
        <f t="shared" si="26"/>
        <v>3422.9633947055186</v>
      </c>
      <c r="DG40" s="26">
        <f t="shared" si="26"/>
        <v>553.13239457952727</v>
      </c>
      <c r="DH40" s="26">
        <f t="shared" si="26"/>
        <v>0</v>
      </c>
      <c r="DI40" s="26">
        <f t="shared" si="26"/>
        <v>550.06025187001023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2288.4620779277475</v>
      </c>
      <c r="N41" s="432">
        <f t="shared" si="27"/>
        <v>4225.8869344780833</v>
      </c>
      <c r="O41" s="432">
        <f t="shared" si="27"/>
        <v>3167.906121210508</v>
      </c>
      <c r="P41" s="432">
        <f t="shared" si="27"/>
        <v>2658.2359313922361</v>
      </c>
      <c r="Q41" s="432">
        <f t="shared" si="27"/>
        <v>4648.2005999991325</v>
      </c>
      <c r="R41" s="432">
        <f t="shared" si="27"/>
        <v>6655.5462830672041</v>
      </c>
      <c r="S41" s="432">
        <f t="shared" si="27"/>
        <v>5683.6402796381035</v>
      </c>
      <c r="T41" s="432">
        <f t="shared" si="27"/>
        <v>5256.5262034030675</v>
      </c>
      <c r="U41" s="432">
        <f t="shared" si="27"/>
        <v>7318.9153226682756</v>
      </c>
      <c r="V41" s="432">
        <f t="shared" si="27"/>
        <v>9400.9409634576605</v>
      </c>
      <c r="W41" s="432">
        <f t="shared" si="27"/>
        <v>8519.8659388550659</v>
      </c>
      <c r="X41" s="432">
        <f t="shared" si="27"/>
        <v>8166.2720630231161</v>
      </c>
      <c r="Y41" s="432">
        <f t="shared" si="27"/>
        <v>10309.797879241492</v>
      </c>
      <c r="Z41" s="432">
        <f t="shared" si="27"/>
        <v>12471.400641717137</v>
      </c>
      <c r="AA41" s="432">
        <f t="shared" si="27"/>
        <v>11686.053273817755</v>
      </c>
      <c r="AB41" s="432">
        <f t="shared" si="27"/>
        <v>11438.394203248008</v>
      </c>
      <c r="AC41" s="432">
        <f t="shared" si="27"/>
        <v>13660.539495876867</v>
      </c>
      <c r="AD41" s="432">
        <f t="shared" si="27"/>
        <v>15907.222192175639</v>
      </c>
      <c r="AE41" s="432">
        <f t="shared" si="27"/>
        <v>15223.114451103182</v>
      </c>
      <c r="AF41" s="432">
        <f t="shared" si="27"/>
        <v>15073.104703723629</v>
      </c>
      <c r="AG41" s="432">
        <f t="shared" si="27"/>
        <v>17383.351306189055</v>
      </c>
      <c r="AH41" s="432">
        <f t="shared" si="27"/>
        <v>19720.800989213189</v>
      </c>
      <c r="AI41" s="432">
        <f t="shared" si="27"/>
        <v>19143.632266199733</v>
      </c>
      <c r="AJ41" s="432">
        <f t="shared" si="27"/>
        <v>19096.942742695108</v>
      </c>
      <c r="AK41" s="432">
        <f t="shared" si="27"/>
        <v>21501.172358544936</v>
      </c>
      <c r="AL41" s="432">
        <f t="shared" si="27"/>
        <v>23935.42476967366</v>
      </c>
      <c r="AM41" s="432">
        <f t="shared" si="27"/>
        <v>23471.248844154197</v>
      </c>
      <c r="AN41" s="432">
        <f t="shared" si="27"/>
        <v>23525.406219957589</v>
      </c>
      <c r="AO41" s="432">
        <f t="shared" si="27"/>
        <v>26033.616250545285</v>
      </c>
      <c r="AP41" s="432">
        <f t="shared" si="27"/>
        <v>28571.004781395131</v>
      </c>
      <c r="AQ41" s="432">
        <f t="shared" si="27"/>
        <v>28226.177998035877</v>
      </c>
      <c r="AR41" s="432">
        <f t="shared" si="27"/>
        <v>28404.497585122277</v>
      </c>
      <c r="AS41" s="432">
        <f t="shared" si="27"/>
        <v>31015.728825411265</v>
      </c>
      <c r="AT41" s="432">
        <f t="shared" si="27"/>
        <v>33663.121096574177</v>
      </c>
      <c r="AU41" s="432">
        <f t="shared" si="27"/>
        <v>33444.542569408542</v>
      </c>
      <c r="AV41" s="432">
        <f t="shared" si="27"/>
        <v>33745.390395482886</v>
      </c>
      <c r="AW41" s="432">
        <f t="shared" si="27"/>
        <v>36470.501107696953</v>
      </c>
      <c r="AX41" s="432">
        <f t="shared" si="27"/>
        <v>39235.114078105355</v>
      </c>
      <c r="AY41" s="432">
        <f t="shared" si="27"/>
        <v>39150.037962769129</v>
      </c>
      <c r="AZ41" s="432">
        <f t="shared" si="27"/>
        <v>39580.628644083197</v>
      </c>
      <c r="BA41" s="432">
        <f t="shared" si="27"/>
        <v>40287.039280991259</v>
      </c>
      <c r="BB41" s="432">
        <f t="shared" si="27"/>
        <v>39545.865365012731</v>
      </c>
      <c r="BC41" s="432">
        <f t="shared" si="27"/>
        <v>36540.262021028706</v>
      </c>
      <c r="BD41" s="432">
        <f t="shared" si="27"/>
        <v>35554.488664474105</v>
      </c>
      <c r="BE41" s="432">
        <f t="shared" si="27"/>
        <v>36267.750159412637</v>
      </c>
      <c r="BF41" s="432">
        <f t="shared" si="27"/>
        <v>35525.311127380977</v>
      </c>
      <c r="BG41" s="432">
        <f t="shared" si="27"/>
        <v>32529.666967471829</v>
      </c>
      <c r="BH41" s="432">
        <f t="shared" si="27"/>
        <v>31558.959848488223</v>
      </c>
      <c r="BI41" s="432">
        <f t="shared" si="27"/>
        <v>32248.48021048179</v>
      </c>
      <c r="BJ41" s="432">
        <f t="shared" si="27"/>
        <v>31504.782811422549</v>
      </c>
      <c r="BK41" s="432">
        <f t="shared" si="27"/>
        <v>28519.047905717725</v>
      </c>
      <c r="BL41" s="432">
        <f t="shared" si="27"/>
        <v>27548.088886568712</v>
      </c>
      <c r="BM41" s="432">
        <f t="shared" si="27"/>
        <v>28229.227791392383</v>
      </c>
      <c r="BN41" s="432">
        <f t="shared" si="27"/>
        <v>27484.27874992065</v>
      </c>
      <c r="BO41" s="432">
        <f t="shared" si="27"/>
        <v>24508.403409265644</v>
      </c>
      <c r="BP41" s="432">
        <f t="shared" si="27"/>
        <v>23537.191603919277</v>
      </c>
      <c r="BQ41" s="432">
        <f t="shared" si="27"/>
        <v>24209.991236329937</v>
      </c>
      <c r="BR41" s="432">
        <f t="shared" si="27"/>
        <v>23463.797252956501</v>
      </c>
      <c r="BS41" s="432">
        <f t="shared" si="27"/>
        <v>20497.732027560287</v>
      </c>
      <c r="BT41" s="432">
        <f t="shared" si="27"/>
        <v>19511.427676960873</v>
      </c>
      <c r="BU41" s="432">
        <f t="shared" si="27"/>
        <v>20190.768855958017</v>
      </c>
      <c r="BV41" s="432">
        <f t="shared" ref="BV41:EA41" si="28" xml:space="preserve"> IF( BV36 = 1, $F35, BV38 + BV39 - BV40)</f>
        <v>19443.33660739773</v>
      </c>
      <c r="BW41" s="432">
        <f t="shared" si="28"/>
        <v>16487.032285483783</v>
      </c>
      <c r="BX41" s="432">
        <f t="shared" si="28"/>
        <v>15515.3120941741</v>
      </c>
      <c r="BY41" s="432">
        <f t="shared" si="28"/>
        <v>16171.558936894253</v>
      </c>
      <c r="BZ41" s="432">
        <f t="shared" si="28"/>
        <v>15422.895076376644</v>
      </c>
      <c r="CA41" s="432">
        <f t="shared" si="28"/>
        <v>12476.302682837504</v>
      </c>
      <c r="CB41" s="432">
        <f t="shared" si="28"/>
        <v>11504.326812321067</v>
      </c>
      <c r="CC41" s="432">
        <f t="shared" si="28"/>
        <v>12152.359741176082</v>
      </c>
      <c r="CD41" s="432">
        <f t="shared" si="28"/>
        <v>11402.470898758316</v>
      </c>
      <c r="CE41" s="432">
        <f t="shared" si="28"/>
        <v>8465.5416938135804</v>
      </c>
      <c r="CF41" s="432">
        <f t="shared" si="28"/>
        <v>7493.3090991483105</v>
      </c>
      <c r="CG41" s="432">
        <f t="shared" si="28"/>
        <v>8133.1695057159695</v>
      </c>
      <c r="CH41" s="432">
        <f t="shared" si="28"/>
        <v>7382.0622885981893</v>
      </c>
      <c r="CI41" s="432">
        <f t="shared" si="28"/>
        <v>4454.7477664558864</v>
      </c>
      <c r="CJ41" s="432">
        <f t="shared" si="28"/>
        <v>3467.9021439193689</v>
      </c>
      <c r="CK41" s="432">
        <f t="shared" si="28"/>
        <v>4113.9864417458957</v>
      </c>
      <c r="CL41" s="432">
        <f t="shared" si="28"/>
        <v>3361.6674345890251</v>
      </c>
      <c r="CM41" s="432">
        <f t="shared" si="28"/>
        <v>443.9193221102405</v>
      </c>
      <c r="CN41" s="432">
        <f t="shared" si="28"/>
        <v>0</v>
      </c>
      <c r="CO41" s="432">
        <f t="shared" si="28"/>
        <v>94.808734250883845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550.06025187035596</v>
      </c>
      <c r="DI41" s="432">
        <f t="shared" si="28"/>
        <v>3.510649548843503E-10</v>
      </c>
      <c r="DJ41" s="432">
        <f t="shared" si="28"/>
        <v>3.5650498288093758E-10</v>
      </c>
      <c r="DK41" s="432">
        <f t="shared" si="28"/>
        <v>3.6202842464013921E-10</v>
      </c>
      <c r="DL41" s="432">
        <f t="shared" si="28"/>
        <v>3.6751464320487664E-10</v>
      </c>
      <c r="DM41" s="432">
        <f t="shared" si="28"/>
        <v>3.7314502740189858E-10</v>
      </c>
      <c r="DN41" s="432">
        <f t="shared" si="28"/>
        <v>3.7892361651042161E-10</v>
      </c>
      <c r="DO41" s="432">
        <f t="shared" si="28"/>
        <v>3.84790810651942E-10</v>
      </c>
      <c r="DP41" s="432">
        <f t="shared" si="28"/>
        <v>3.9068321672191106E-10</v>
      </c>
      <c r="DQ41" s="432">
        <f t="shared" si="28"/>
        <v>3.9666499095060801E-10</v>
      </c>
      <c r="DR41" s="432">
        <f t="shared" si="28"/>
        <v>4.0280421950021124E-10</v>
      </c>
      <c r="DS41" s="432">
        <f t="shared" si="28"/>
        <v>4.0903758288757506E-10</v>
      </c>
      <c r="DT41" s="432">
        <f t="shared" si="28"/>
        <v>4.1522893882602402E-10</v>
      </c>
      <c r="DU41" s="432">
        <f t="shared" si="28"/>
        <v>4.215829898399667E-10</v>
      </c>
      <c r="DV41" s="432">
        <f t="shared" si="28"/>
        <v>4.2810429437254008E-10</v>
      </c>
      <c r="DW41" s="432">
        <f t="shared" si="28"/>
        <v>4.3472559224127959E-10</v>
      </c>
      <c r="DX41" s="432">
        <f t="shared" si="28"/>
        <v>4.4130226832003412E-10</v>
      </c>
      <c r="DY41" s="432">
        <f t="shared" si="28"/>
        <v>4.4805176483130259E-10</v>
      </c>
      <c r="DZ41" s="432">
        <f t="shared" si="28"/>
        <v>4.5497892391374315E-10</v>
      </c>
      <c r="EA41" s="432">
        <f t="shared" si="28"/>
        <v>4.6201229943544778E-10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528.83002237149753</v>
      </c>
      <c r="CP49" s="169">
        <f t="shared" si="31"/>
        <v>0</v>
      </c>
      <c r="CQ49" s="169">
        <f t="shared" si="31"/>
        <v>658.71550050302631</v>
      </c>
      <c r="CR49" s="169">
        <f t="shared" si="31"/>
        <v>3566.9452451363099</v>
      </c>
      <c r="CS49" s="169">
        <f t="shared" si="31"/>
        <v>4539.9547004832148</v>
      </c>
      <c r="CT49" s="169">
        <f t="shared" si="31"/>
        <v>3924.3654586086209</v>
      </c>
      <c r="CU49" s="169">
        <f t="shared" si="31"/>
        <v>4679.0883804134555</v>
      </c>
      <c r="CV49" s="169">
        <f t="shared" si="31"/>
        <v>7577.8475690274254</v>
      </c>
      <c r="CW49" s="169">
        <f t="shared" si="31"/>
        <v>8551.1183506075449</v>
      </c>
      <c r="CX49" s="169">
        <f t="shared" si="31"/>
        <v>7943.5380060857924</v>
      </c>
      <c r="CY49" s="169">
        <f t="shared" si="31"/>
        <v>8699.4530959657568</v>
      </c>
      <c r="CZ49" s="169">
        <f t="shared" si="31"/>
        <v>11588.789311720806</v>
      </c>
      <c r="DA49" s="169">
        <f t="shared" si="31"/>
        <v>12576.188006156686</v>
      </c>
      <c r="DB49" s="169">
        <f t="shared" ref="DB49:EA49" si="32">DA52</f>
        <v>11962.710805448078</v>
      </c>
      <c r="DC49" s="169">
        <f t="shared" si="32"/>
        <v>12719.811565669337</v>
      </c>
      <c r="DD49" s="169">
        <f t="shared" si="32"/>
        <v>15599.772164383172</v>
      </c>
      <c r="DE49" s="169">
        <f t="shared" si="32"/>
        <v>16573.569423411751</v>
      </c>
      <c r="DF49" s="169">
        <f t="shared" si="32"/>
        <v>15981.885782589718</v>
      </c>
      <c r="DG49" s="169">
        <f t="shared" si="32"/>
        <v>16740.165736329222</v>
      </c>
      <c r="DH49" s="169">
        <f t="shared" si="32"/>
        <v>19610.797847797119</v>
      </c>
      <c r="DI49" s="169">
        <f t="shared" si="32"/>
        <v>-689.14681089145597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196154.17888513784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350.61961115807276</v>
      </c>
      <c r="N50" s="428">
        <f xml:space="preserve"> 'FS Qtr'!N$50</f>
        <v>1159.3584459071449</v>
      </c>
      <c r="O50" s="428">
        <f xml:space="preserve"> 'FS Qtr'!O$50</f>
        <v>962.4299049174333</v>
      </c>
      <c r="P50" s="428">
        <f xml:space="preserve"> 'FS Qtr'!P$50</f>
        <v>468.14199831783026</v>
      </c>
      <c r="Q50" s="428">
        <f xml:space="preserve"> 'FS Qtr'!Q$50</f>
        <v>693.8580092183679</v>
      </c>
      <c r="R50" s="428">
        <f xml:space="preserve"> 'FS Qtr'!R$50</f>
        <v>1151.390095249435</v>
      </c>
      <c r="S50" s="428">
        <f xml:space="preserve"> 'FS Qtr'!S$50</f>
        <v>955.43816580929069</v>
      </c>
      <c r="T50" s="428">
        <f xml:space="preserve"> 'FS Qtr'!T$50</f>
        <v>463.61445889824017</v>
      </c>
      <c r="U50" s="428">
        <f xml:space="preserve"> 'FS Qtr'!U$50</f>
        <v>688.17227296354258</v>
      </c>
      <c r="V50" s="428">
        <f xml:space="preserve"> 'FS Qtr'!V$50</f>
        <v>1143.417049002222</v>
      </c>
      <c r="W50" s="428">
        <f xml:space="preserve"> 'FS Qtr'!W$50</f>
        <v>948.43680922757449</v>
      </c>
      <c r="X50" s="428">
        <f xml:space="preserve"> 'FS Qtr'!X$50</f>
        <v>462.81809948418754</v>
      </c>
      <c r="Y50" s="428">
        <f xml:space="preserve"> 'FS Qtr'!Y$50</f>
        <v>678.71685835175094</v>
      </c>
      <c r="Z50" s="428">
        <f xml:space="preserve"> 'FS Qtr'!Z$50</f>
        <v>1135.4384370710804</v>
      </c>
      <c r="AA50" s="428">
        <f xml:space="preserve"> 'FS Qtr'!AA$50</f>
        <v>941.42498829294163</v>
      </c>
      <c r="AB50" s="428">
        <f xml:space="preserve"> 'FS Qtr'!AB$50</f>
        <v>454.49326983395736</v>
      </c>
      <c r="AC50" s="428">
        <f xml:space="preserve"> 'FS Qtr'!AC$50</f>
        <v>676.74980750411669</v>
      </c>
      <c r="AD50" s="428">
        <f xml:space="preserve"> 'FS Qtr'!AD$50</f>
        <v>1127.4533756868341</v>
      </c>
      <c r="AE50" s="428">
        <f xml:space="preserve"> 'FS Qtr'!AE$50</f>
        <v>934.40184231017201</v>
      </c>
      <c r="AF50" s="428">
        <f xml:space="preserve"> 'FS Qtr'!AF$50</f>
        <v>449.89803742407571</v>
      </c>
      <c r="AG50" s="428">
        <f xml:space="preserve"> 'FS Qtr'!AG$50</f>
        <v>671.01141656018308</v>
      </c>
      <c r="AH50" s="428">
        <f xml:space="preserve"> 'FS Qtr'!AH$50</f>
        <v>1119.4609671108105</v>
      </c>
      <c r="AI50" s="428">
        <f xml:space="preserve"> 'FS Qtr'!AI$50</f>
        <v>927.36649647360764</v>
      </c>
      <c r="AJ50" s="428">
        <f xml:space="preserve"> 'FS Qtr'!AJ$50</f>
        <v>445.27863415043657</v>
      </c>
      <c r="AK50" s="428">
        <f xml:space="preserve"> 'FS Qtr'!AK$50</f>
        <v>665.25378838665893</v>
      </c>
      <c r="AL50" s="428">
        <f xml:space="preserve"> 'FS Qtr'!AL$50</f>
        <v>1111.4602993342514</v>
      </c>
      <c r="AM50" s="428">
        <f xml:space="preserve"> 'FS Qtr'!AM$50</f>
        <v>920.31806156673383</v>
      </c>
      <c r="AN50" s="428">
        <f xml:space="preserve"> 'FS Qtr'!AN$50</f>
        <v>444.27845319645076</v>
      </c>
      <c r="AO50" s="428">
        <f xml:space="preserve"> 'FS Qtr'!AO$50</f>
        <v>655.83183510735807</v>
      </c>
      <c r="AP50" s="428">
        <f xml:space="preserve"> 'FS Qtr'!AP$50</f>
        <v>1103.4504457717539</v>
      </c>
      <c r="AQ50" s="428">
        <f xml:space="preserve"> 'FS Qtr'!AQ$50</f>
        <v>913.25563365579228</v>
      </c>
      <c r="AR50" s="428">
        <f xml:space="preserve"> 'FS Qtr'!AR$50</f>
        <v>435.96399011248718</v>
      </c>
      <c r="AS50" s="428">
        <f xml:space="preserve"> 'FS Qtr'!AS$50</f>
        <v>653.67733640982078</v>
      </c>
      <c r="AT50" s="428">
        <f xml:space="preserve"> 'FS Qtr'!AT$50</f>
        <v>1095.4304649486417</v>
      </c>
      <c r="AU50" s="428">
        <f xml:space="preserve"> 'FS Qtr'!AU$50</f>
        <v>906.17829377729458</v>
      </c>
      <c r="AV50" s="428">
        <f xml:space="preserve"> 'FS Qtr'!AV$50</f>
        <v>431.26704913699973</v>
      </c>
      <c r="AW50" s="428">
        <f xml:space="preserve"> 'FS Qtr'!AW$50</f>
        <v>647.85673259797886</v>
      </c>
      <c r="AX50" s="428">
        <f xml:space="preserve"> 'FS Qtr'!AX$50</f>
        <v>1087.3994001821156</v>
      </c>
      <c r="AY50" s="428">
        <f xml:space="preserve"> 'FS Qtr'!AY$50</f>
        <v>899.08510761931711</v>
      </c>
      <c r="AZ50" s="428">
        <f xml:space="preserve"> 'FS Qtr'!AZ$50</f>
        <v>426.54253624860735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-20299.944658688575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196154.17888513798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350.61961115807276</v>
      </c>
      <c r="N51" s="26">
        <f t="shared" si="33"/>
        <v>1159.3584459071449</v>
      </c>
      <c r="O51" s="26">
        <f t="shared" si="33"/>
        <v>962.4299049174333</v>
      </c>
      <c r="P51" s="26">
        <f t="shared" si="33"/>
        <v>468.14199831783026</v>
      </c>
      <c r="Q51" s="26">
        <f t="shared" si="33"/>
        <v>693.8580092183679</v>
      </c>
      <c r="R51" s="26">
        <f t="shared" si="33"/>
        <v>1151.390095249435</v>
      </c>
      <c r="S51" s="26">
        <f t="shared" si="33"/>
        <v>955.43816580929069</v>
      </c>
      <c r="T51" s="26">
        <f t="shared" si="33"/>
        <v>463.61445889824017</v>
      </c>
      <c r="U51" s="26">
        <f t="shared" si="33"/>
        <v>688.17227296354258</v>
      </c>
      <c r="V51" s="26">
        <f t="shared" si="33"/>
        <v>1143.417049002222</v>
      </c>
      <c r="W51" s="26">
        <f t="shared" si="33"/>
        <v>948.43680922757449</v>
      </c>
      <c r="X51" s="26">
        <f t="shared" si="33"/>
        <v>462.81809948418754</v>
      </c>
      <c r="Y51" s="26">
        <f t="shared" si="33"/>
        <v>678.71685835175094</v>
      </c>
      <c r="Z51" s="26">
        <f t="shared" si="33"/>
        <v>1135.4384370710804</v>
      </c>
      <c r="AA51" s="26">
        <f t="shared" si="33"/>
        <v>941.42498829294163</v>
      </c>
      <c r="AB51" s="26">
        <f t="shared" si="33"/>
        <v>454.49326983395736</v>
      </c>
      <c r="AC51" s="26">
        <f t="shared" si="33"/>
        <v>676.74980750411669</v>
      </c>
      <c r="AD51" s="26">
        <f t="shared" si="33"/>
        <v>1127.4533756868341</v>
      </c>
      <c r="AE51" s="26">
        <f t="shared" si="33"/>
        <v>934.40184231017201</v>
      </c>
      <c r="AF51" s="26">
        <f t="shared" si="33"/>
        <v>449.89803742407571</v>
      </c>
      <c r="AG51" s="26">
        <f t="shared" si="33"/>
        <v>671.01141656018308</v>
      </c>
      <c r="AH51" s="26">
        <f t="shared" si="33"/>
        <v>1119.4609671108105</v>
      </c>
      <c r="AI51" s="26">
        <f t="shared" si="33"/>
        <v>927.36649647360764</v>
      </c>
      <c r="AJ51" s="26">
        <f t="shared" si="33"/>
        <v>445.27863415043657</v>
      </c>
      <c r="AK51" s="26">
        <f t="shared" ref="AK51:BP51" si="34" xml:space="preserve"> AK$69</f>
        <v>665.25378838665893</v>
      </c>
      <c r="AL51" s="26">
        <f t="shared" si="34"/>
        <v>1111.4602993342514</v>
      </c>
      <c r="AM51" s="26">
        <f t="shared" si="34"/>
        <v>920.31806156673383</v>
      </c>
      <c r="AN51" s="26">
        <f t="shared" si="34"/>
        <v>444.27845319645076</v>
      </c>
      <c r="AO51" s="26">
        <f t="shared" si="34"/>
        <v>655.83183510735807</v>
      </c>
      <c r="AP51" s="26">
        <f t="shared" si="34"/>
        <v>1103.4504457717539</v>
      </c>
      <c r="AQ51" s="26">
        <f t="shared" si="34"/>
        <v>913.25563365579228</v>
      </c>
      <c r="AR51" s="26">
        <f t="shared" si="34"/>
        <v>435.96399011248718</v>
      </c>
      <c r="AS51" s="26">
        <f t="shared" si="34"/>
        <v>653.67733640982078</v>
      </c>
      <c r="AT51" s="26">
        <f t="shared" si="34"/>
        <v>1095.4304649486417</v>
      </c>
      <c r="AU51" s="26">
        <f t="shared" si="34"/>
        <v>906.17829377729458</v>
      </c>
      <c r="AV51" s="26">
        <f t="shared" si="34"/>
        <v>431.26704913699973</v>
      </c>
      <c r="AW51" s="26">
        <f t="shared" si="34"/>
        <v>647.85673259797886</v>
      </c>
      <c r="AX51" s="26">
        <f t="shared" si="34"/>
        <v>1087.3994001821156</v>
      </c>
      <c r="AY51" s="26">
        <f t="shared" si="34"/>
        <v>899.08510761931711</v>
      </c>
      <c r="AZ51" s="26">
        <f t="shared" si="34"/>
        <v>426.54253624860735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1679.7890595480376</v>
      </c>
      <c r="CG51" s="26">
        <f t="shared" si="35"/>
        <v>2575.4314086216336</v>
      </c>
      <c r="CH51" s="26">
        <f t="shared" si="35"/>
        <v>4395.9726604739562</v>
      </c>
      <c r="CI51" s="26">
        <f t="shared" si="35"/>
        <v>3615.6083643905404</v>
      </c>
      <c r="CJ51" s="26">
        <f t="shared" si="35"/>
        <v>1672.4139038003891</v>
      </c>
      <c r="CK51" s="26">
        <f t="shared" si="35"/>
        <v>2534.6755740795943</v>
      </c>
      <c r="CL51" s="26">
        <f t="shared" si="35"/>
        <v>4360.4475232891255</v>
      </c>
      <c r="CM51" s="26">
        <f t="shared" si="35"/>
        <v>3583.9461982317816</v>
      </c>
      <c r="CN51" s="26">
        <f t="shared" si="35"/>
        <v>1107.3369254605534</v>
      </c>
      <c r="CO51" s="26">
        <f t="shared" si="35"/>
        <v>3051.3177474006879</v>
      </c>
      <c r="CP51" s="26">
        <f t="shared" si="35"/>
        <v>3666.1084800187755</v>
      </c>
      <c r="CQ51" s="26">
        <f t="shared" si="35"/>
        <v>643.936271402285</v>
      </c>
      <c r="CR51" s="26">
        <f t="shared" si="35"/>
        <v>641.09976088720759</v>
      </c>
      <c r="CS51" s="26">
        <f t="shared" si="35"/>
        <v>3111.3866430593139</v>
      </c>
      <c r="CT51" s="26">
        <f t="shared" si="35"/>
        <v>3534.3740555861154</v>
      </c>
      <c r="CU51" s="26">
        <f t="shared" si="35"/>
        <v>621.5036640785263</v>
      </c>
      <c r="CV51" s="26">
        <f t="shared" si="35"/>
        <v>618.60999645654169</v>
      </c>
      <c r="CW51" s="26">
        <f t="shared" ref="CW51:EA51" si="36" xml:space="preserve"> CW$69</f>
        <v>3076.5352686952128</v>
      </c>
      <c r="CX51" s="26">
        <f t="shared" si="36"/>
        <v>3497.346282662078</v>
      </c>
      <c r="CY51" s="26">
        <f t="shared" si="36"/>
        <v>598.89544015944705</v>
      </c>
      <c r="CZ51" s="26">
        <f t="shared" si="36"/>
        <v>595.94346368623758</v>
      </c>
      <c r="DA51" s="26">
        <f t="shared" si="36"/>
        <v>3041.5671832498315</v>
      </c>
      <c r="DB51" s="26">
        <f t="shared" si="36"/>
        <v>3460.2111760052744</v>
      </c>
      <c r="DC51" s="26">
        <f t="shared" si="36"/>
        <v>576.10668570028395</v>
      </c>
      <c r="DD51" s="26">
        <f t="shared" si="36"/>
        <v>573.09522542330558</v>
      </c>
      <c r="DE51" s="26">
        <f t="shared" si="36"/>
        <v>3006.477121694862</v>
      </c>
      <c r="DF51" s="26">
        <f t="shared" si="36"/>
        <v>3422.9633947055186</v>
      </c>
      <c r="DG51" s="26">
        <f t="shared" si="36"/>
        <v>553.13239457952727</v>
      </c>
      <c r="DH51" s="26">
        <f t="shared" si="36"/>
        <v>0</v>
      </c>
      <c r="DI51" s="26">
        <f t="shared" si="36"/>
        <v>550.06025187001023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528.83002237149753</v>
      </c>
      <c r="CO52" s="432">
        <f t="shared" si="39"/>
        <v>0</v>
      </c>
      <c r="CP52" s="432">
        <f t="shared" si="39"/>
        <v>658.71550050302631</v>
      </c>
      <c r="CQ52" s="432">
        <f t="shared" si="39"/>
        <v>3566.9452451363099</v>
      </c>
      <c r="CR52" s="432">
        <f t="shared" si="39"/>
        <v>4539.9547004832148</v>
      </c>
      <c r="CS52" s="432">
        <f t="shared" si="39"/>
        <v>3924.3654586086209</v>
      </c>
      <c r="CT52" s="432">
        <f t="shared" si="39"/>
        <v>4679.0883804134555</v>
      </c>
      <c r="CU52" s="432">
        <f t="shared" si="39"/>
        <v>7577.8475690274254</v>
      </c>
      <c r="CV52" s="432">
        <f t="shared" si="39"/>
        <v>8551.1183506075449</v>
      </c>
      <c r="CW52" s="432">
        <f t="shared" si="39"/>
        <v>7943.5380060857924</v>
      </c>
      <c r="CX52" s="432">
        <f t="shared" si="39"/>
        <v>8699.4530959657568</v>
      </c>
      <c r="CY52" s="432">
        <f t="shared" si="39"/>
        <v>11588.789311720806</v>
      </c>
      <c r="CZ52" s="432">
        <f t="shared" si="39"/>
        <v>12576.188006156686</v>
      </c>
      <c r="DA52" s="432">
        <f t="shared" si="39"/>
        <v>11962.710805448078</v>
      </c>
      <c r="DB52" s="432">
        <f t="shared" ref="DB52:EA52" si="40" xml:space="preserve"> IF( DB47 = 1, $F46, DB49 + DB50 - DB51)</f>
        <v>12719.811565669337</v>
      </c>
      <c r="DC52" s="432">
        <f t="shared" si="40"/>
        <v>15599.772164383172</v>
      </c>
      <c r="DD52" s="432">
        <f t="shared" si="40"/>
        <v>16573.569423411751</v>
      </c>
      <c r="DE52" s="432">
        <f t="shared" si="40"/>
        <v>15981.885782589718</v>
      </c>
      <c r="DF52" s="432">
        <f t="shared" si="40"/>
        <v>16740.165736329222</v>
      </c>
      <c r="DG52" s="432">
        <f t="shared" si="40"/>
        <v>19610.797847797119</v>
      </c>
      <c r="DH52" s="432">
        <f t="shared" si="40"/>
        <v>-689.14681089145597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2288.4620779277475</v>
      </c>
      <c r="O57" s="7">
        <f t="shared" si="41"/>
        <v>4225.8869344780833</v>
      </c>
      <c r="P57" s="7">
        <f t="shared" si="41"/>
        <v>3167.906121210508</v>
      </c>
      <c r="Q57" s="7">
        <f t="shared" si="41"/>
        <v>2658.2359313922361</v>
      </c>
      <c r="R57" s="7">
        <f t="shared" si="41"/>
        <v>4648.2005999991325</v>
      </c>
      <c r="S57" s="7">
        <f t="shared" si="41"/>
        <v>6655.5462830672041</v>
      </c>
      <c r="T57" s="7">
        <f t="shared" si="41"/>
        <v>5683.6402796381035</v>
      </c>
      <c r="U57" s="7">
        <f t="shared" si="41"/>
        <v>5256.5262034030675</v>
      </c>
      <c r="V57" s="7">
        <f t="shared" si="41"/>
        <v>7318.9153226682756</v>
      </c>
      <c r="W57" s="7">
        <f t="shared" si="41"/>
        <v>9400.9409634576605</v>
      </c>
      <c r="X57" s="7">
        <f t="shared" si="41"/>
        <v>8519.8659388550659</v>
      </c>
      <c r="Y57" s="7">
        <f t="shared" si="41"/>
        <v>8166.2720630231161</v>
      </c>
      <c r="Z57" s="7">
        <f t="shared" si="41"/>
        <v>10309.797879241492</v>
      </c>
      <c r="AA57" s="7">
        <f t="shared" si="41"/>
        <v>12471.400641717137</v>
      </c>
      <c r="AB57" s="7">
        <f t="shared" si="41"/>
        <v>11686.053273817755</v>
      </c>
      <c r="AC57" s="7">
        <f t="shared" si="41"/>
        <v>11438.394203248008</v>
      </c>
      <c r="AD57" s="7">
        <f t="shared" si="41"/>
        <v>13660.539495876867</v>
      </c>
      <c r="AE57" s="7">
        <f t="shared" si="41"/>
        <v>15907.222192175639</v>
      </c>
      <c r="AF57" s="7">
        <f t="shared" si="41"/>
        <v>15223.114451103182</v>
      </c>
      <c r="AG57" s="7">
        <f t="shared" si="41"/>
        <v>15073.104703723629</v>
      </c>
      <c r="AH57" s="7">
        <f t="shared" si="41"/>
        <v>17383.351306189055</v>
      </c>
      <c r="AI57" s="7">
        <f t="shared" si="41"/>
        <v>19720.800989213189</v>
      </c>
      <c r="AJ57" s="7">
        <f t="shared" si="41"/>
        <v>19143.632266199733</v>
      </c>
      <c r="AK57" s="7">
        <f t="shared" ref="AK57:BP57" si="42" xml:space="preserve"> AK$38</f>
        <v>19096.942742695108</v>
      </c>
      <c r="AL57" s="7">
        <f t="shared" si="42"/>
        <v>21501.172358544936</v>
      </c>
      <c r="AM57" s="7">
        <f t="shared" si="42"/>
        <v>23935.42476967366</v>
      </c>
      <c r="AN57" s="7">
        <f t="shared" si="42"/>
        <v>23471.248844154197</v>
      </c>
      <c r="AO57" s="7">
        <f t="shared" si="42"/>
        <v>23525.406219957589</v>
      </c>
      <c r="AP57" s="7">
        <f t="shared" si="42"/>
        <v>26033.616250545285</v>
      </c>
      <c r="AQ57" s="7">
        <f t="shared" si="42"/>
        <v>28571.004781395131</v>
      </c>
      <c r="AR57" s="7">
        <f t="shared" si="42"/>
        <v>28226.177998035877</v>
      </c>
      <c r="AS57" s="7">
        <f t="shared" si="42"/>
        <v>28404.497585122277</v>
      </c>
      <c r="AT57" s="7">
        <f t="shared" si="42"/>
        <v>31015.728825411265</v>
      </c>
      <c r="AU57" s="7">
        <f t="shared" si="42"/>
        <v>33663.121096574177</v>
      </c>
      <c r="AV57" s="7">
        <f t="shared" si="42"/>
        <v>33444.542569408542</v>
      </c>
      <c r="AW57" s="7">
        <f t="shared" si="42"/>
        <v>33745.390395482886</v>
      </c>
      <c r="AX57" s="7">
        <f t="shared" si="42"/>
        <v>36470.501107696953</v>
      </c>
      <c r="AY57" s="7">
        <f t="shared" si="42"/>
        <v>39235.114078105355</v>
      </c>
      <c r="AZ57" s="7">
        <f t="shared" si="42"/>
        <v>39150.037962769129</v>
      </c>
      <c r="BA57" s="7">
        <f t="shared" si="42"/>
        <v>39580.628644083197</v>
      </c>
      <c r="BB57" s="7">
        <f t="shared" si="42"/>
        <v>40287.039280991259</v>
      </c>
      <c r="BC57" s="7">
        <f t="shared" si="42"/>
        <v>39545.865365012731</v>
      </c>
      <c r="BD57" s="7">
        <f t="shared" si="42"/>
        <v>36540.262021028706</v>
      </c>
      <c r="BE57" s="7">
        <f t="shared" si="42"/>
        <v>35554.488664474105</v>
      </c>
      <c r="BF57" s="7">
        <f t="shared" si="42"/>
        <v>36267.750159412637</v>
      </c>
      <c r="BG57" s="7">
        <f t="shared" si="42"/>
        <v>35525.311127380977</v>
      </c>
      <c r="BH57" s="7">
        <f t="shared" si="42"/>
        <v>32529.666967471829</v>
      </c>
      <c r="BI57" s="7">
        <f t="shared" si="42"/>
        <v>31558.959848488223</v>
      </c>
      <c r="BJ57" s="7">
        <f t="shared" si="42"/>
        <v>32248.48021048179</v>
      </c>
      <c r="BK57" s="7">
        <f t="shared" si="42"/>
        <v>31504.782811422549</v>
      </c>
      <c r="BL57" s="7">
        <f t="shared" si="42"/>
        <v>28519.047905717725</v>
      </c>
      <c r="BM57" s="7">
        <f t="shared" si="42"/>
        <v>27548.088886568712</v>
      </c>
      <c r="BN57" s="7">
        <f t="shared" si="42"/>
        <v>28229.227791392383</v>
      </c>
      <c r="BO57" s="7">
        <f t="shared" si="42"/>
        <v>27484.27874992065</v>
      </c>
      <c r="BP57" s="7">
        <f t="shared" si="42"/>
        <v>24508.403409265644</v>
      </c>
      <c r="BQ57" s="7">
        <f t="shared" ref="BQ57:CV57" si="43" xml:space="preserve"> BQ$38</f>
        <v>23537.191603919277</v>
      </c>
      <c r="BR57" s="7">
        <f t="shared" si="43"/>
        <v>24209.991236329937</v>
      </c>
      <c r="BS57" s="7">
        <f t="shared" si="43"/>
        <v>23463.797252956501</v>
      </c>
      <c r="BT57" s="7">
        <f t="shared" si="43"/>
        <v>20497.732027560287</v>
      </c>
      <c r="BU57" s="7">
        <f t="shared" si="43"/>
        <v>19511.427676960873</v>
      </c>
      <c r="BV57" s="7">
        <f t="shared" si="43"/>
        <v>20190.768855958017</v>
      </c>
      <c r="BW57" s="7">
        <f t="shared" si="43"/>
        <v>19443.33660739773</v>
      </c>
      <c r="BX57" s="7">
        <f t="shared" si="43"/>
        <v>16487.032285483783</v>
      </c>
      <c r="BY57" s="7">
        <f t="shared" si="43"/>
        <v>15515.3120941741</v>
      </c>
      <c r="BZ57" s="7">
        <f t="shared" si="43"/>
        <v>16171.558936894253</v>
      </c>
      <c r="CA57" s="7">
        <f t="shared" si="43"/>
        <v>15422.895076376644</v>
      </c>
      <c r="CB57" s="7">
        <f t="shared" si="43"/>
        <v>12476.302682837504</v>
      </c>
      <c r="CC57" s="7">
        <f t="shared" si="43"/>
        <v>11504.326812321067</v>
      </c>
      <c r="CD57" s="7">
        <f t="shared" si="43"/>
        <v>12152.359741176082</v>
      </c>
      <c r="CE57" s="7">
        <f t="shared" si="43"/>
        <v>11402.470898758316</v>
      </c>
      <c r="CF57" s="7">
        <f t="shared" si="43"/>
        <v>8465.5416938135804</v>
      </c>
      <c r="CG57" s="7">
        <f t="shared" si="43"/>
        <v>7493.3090991483105</v>
      </c>
      <c r="CH57" s="7">
        <f t="shared" si="43"/>
        <v>8133.1695057159695</v>
      </c>
      <c r="CI57" s="7">
        <f t="shared" si="43"/>
        <v>7382.0622885981893</v>
      </c>
      <c r="CJ57" s="7">
        <f t="shared" si="43"/>
        <v>4454.7477664558864</v>
      </c>
      <c r="CK57" s="7">
        <f t="shared" si="43"/>
        <v>3467.9021439193689</v>
      </c>
      <c r="CL57" s="7">
        <f t="shared" si="43"/>
        <v>4113.9864417458957</v>
      </c>
      <c r="CM57" s="7">
        <f t="shared" si="43"/>
        <v>3361.6674345890251</v>
      </c>
      <c r="CN57" s="7">
        <f t="shared" si="43"/>
        <v>443.9193221102405</v>
      </c>
      <c r="CO57" s="7">
        <f t="shared" si="43"/>
        <v>0</v>
      </c>
      <c r="CP57" s="7">
        <f t="shared" si="43"/>
        <v>94.808734250883845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550.06025187035596</v>
      </c>
      <c r="DJ57" s="7">
        <f t="shared" si="44"/>
        <v>3.510649548843503E-10</v>
      </c>
      <c r="DK57" s="7">
        <f t="shared" si="44"/>
        <v>3.5650498288093758E-10</v>
      </c>
      <c r="DL57" s="7">
        <f t="shared" si="44"/>
        <v>3.6202842464013921E-10</v>
      </c>
      <c r="DM57" s="7">
        <f t="shared" si="44"/>
        <v>3.6751464320487664E-10</v>
      </c>
      <c r="DN57" s="7">
        <f t="shared" si="44"/>
        <v>3.7314502740189858E-10</v>
      </c>
      <c r="DO57" s="7">
        <f t="shared" si="44"/>
        <v>3.7892361651042161E-10</v>
      </c>
      <c r="DP57" s="7">
        <f t="shared" si="44"/>
        <v>3.84790810651942E-10</v>
      </c>
      <c r="DQ57" s="7">
        <f t="shared" si="44"/>
        <v>3.9068321672191106E-10</v>
      </c>
      <c r="DR57" s="7">
        <f t="shared" si="44"/>
        <v>3.9666499095060801E-10</v>
      </c>
      <c r="DS57" s="7">
        <f t="shared" si="44"/>
        <v>4.0280421950021124E-10</v>
      </c>
      <c r="DT57" s="7">
        <f t="shared" si="44"/>
        <v>4.0903758288757506E-10</v>
      </c>
      <c r="DU57" s="7">
        <f t="shared" si="44"/>
        <v>4.1522893882602402E-10</v>
      </c>
      <c r="DV57" s="7">
        <f t="shared" si="44"/>
        <v>4.215829898399667E-10</v>
      </c>
      <c r="DW57" s="7">
        <f t="shared" si="44"/>
        <v>4.2810429437254008E-10</v>
      </c>
      <c r="DX57" s="7">
        <f t="shared" si="44"/>
        <v>4.3472559224127959E-10</v>
      </c>
      <c r="DY57" s="7">
        <f t="shared" si="44"/>
        <v>4.4130226832003412E-10</v>
      </c>
      <c r="DZ57" s="7">
        <f t="shared" si="44"/>
        <v>4.4805176483130259E-10</v>
      </c>
      <c r="EA57" s="7">
        <f t="shared" si="44"/>
        <v>4.5497892391374315E-10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196154.17888513833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2639.08168908582</v>
      </c>
      <c r="N58" s="428">
        <f xml:space="preserve"> 'FS Qtr'!N$22</f>
        <v>3096.7833024574797</v>
      </c>
      <c r="O58" s="428">
        <f xml:space="preserve"> 'FS Qtr'!O$22</f>
        <v>-95.550908350141754</v>
      </c>
      <c r="P58" s="428">
        <f xml:space="preserve"> 'FS Qtr'!P$22</f>
        <v>-41.528191500441835</v>
      </c>
      <c r="Q58" s="428">
        <f xml:space="preserve"> 'FS Qtr'!Q$22</f>
        <v>2683.8226778252638</v>
      </c>
      <c r="R58" s="428">
        <f xml:space="preserve"> 'FS Qtr'!R$22</f>
        <v>3158.7357783175066</v>
      </c>
      <c r="S58" s="428">
        <f xml:space="preserve"> 'FS Qtr'!S$22</f>
        <v>-16.467837619810098</v>
      </c>
      <c r="T58" s="428">
        <f xml:space="preserve"> 'FS Qtr'!T$22</f>
        <v>36.500382663204959</v>
      </c>
      <c r="U58" s="428">
        <f xml:space="preserve"> 'FS Qtr'!U$22</f>
        <v>2750.5613922287503</v>
      </c>
      <c r="V58" s="428">
        <f xml:space="preserve"> 'FS Qtr'!V$22</f>
        <v>3225.4426897916078</v>
      </c>
      <c r="W58" s="428">
        <f xml:space="preserve"> 'FS Qtr'!W$22</f>
        <v>67.361784624979805</v>
      </c>
      <c r="X58" s="428">
        <f xml:space="preserve"> 'FS Qtr'!X$22</f>
        <v>109.22422365223736</v>
      </c>
      <c r="Y58" s="428">
        <f xml:space="preserve"> 'FS Qtr'!Y$22</f>
        <v>2822.2426745701268</v>
      </c>
      <c r="Z58" s="428">
        <f xml:space="preserve"> 'FS Qtr'!Z$22</f>
        <v>3297.0411995467248</v>
      </c>
      <c r="AA58" s="428">
        <f xml:space="preserve"> 'FS Qtr'!AA$22</f>
        <v>156.0776203935601</v>
      </c>
      <c r="AB58" s="428">
        <f xml:space="preserve"> 'FS Qtr'!AB$22</f>
        <v>206.83419926421163</v>
      </c>
      <c r="AC58" s="428">
        <f xml:space="preserve"> 'FS Qtr'!AC$22</f>
        <v>2898.8951001329751</v>
      </c>
      <c r="AD58" s="428">
        <f xml:space="preserve"> 'FS Qtr'!AD$22</f>
        <v>3374.1360719856048</v>
      </c>
      <c r="AE58" s="428">
        <f xml:space="preserve"> 'FS Qtr'!AE$22</f>
        <v>250.29410123771459</v>
      </c>
      <c r="AF58" s="428">
        <f xml:space="preserve"> 'FS Qtr'!AF$22</f>
        <v>299.88829004452498</v>
      </c>
      <c r="AG58" s="428">
        <f xml:space="preserve"> 'FS Qtr'!AG$22</f>
        <v>2981.2580190256117</v>
      </c>
      <c r="AH58" s="428">
        <f xml:space="preserve"> 'FS Qtr'!AH$22</f>
        <v>3456.9106501349443</v>
      </c>
      <c r="AI58" s="428">
        <f xml:space="preserve"> 'FS Qtr'!AI$22</f>
        <v>350.19777346015189</v>
      </c>
      <c r="AJ58" s="428">
        <f xml:space="preserve"> 'FS Qtr'!AJ$22</f>
        <v>398.5891106458098</v>
      </c>
      <c r="AK58" s="428">
        <f xml:space="preserve"> 'FS Qtr'!AK$22</f>
        <v>3069.4834042364892</v>
      </c>
      <c r="AL58" s="428">
        <f xml:space="preserve"> 'FS Qtr'!AL$22</f>
        <v>3545.7127104629776</v>
      </c>
      <c r="AM58" s="428">
        <f xml:space="preserve"> 'FS Qtr'!AM$22</f>
        <v>456.14213604727064</v>
      </c>
      <c r="AN58" s="428">
        <f xml:space="preserve"> 'FS Qtr'!AN$22</f>
        <v>498.43582899984023</v>
      </c>
      <c r="AO58" s="428">
        <f xml:space="preserve"> 'FS Qtr'!AO$22</f>
        <v>3164.0418656950537</v>
      </c>
      <c r="AP58" s="428">
        <f xml:space="preserve"> 'FS Qtr'!AP$22</f>
        <v>3640.8389766216033</v>
      </c>
      <c r="AQ58" s="428">
        <f xml:space="preserve"> 'FS Qtr'!AQ$22</f>
        <v>568.42885029654076</v>
      </c>
      <c r="AR58" s="428">
        <f xml:space="preserve"> 'FS Qtr'!AR$22</f>
        <v>614.28357719888777</v>
      </c>
      <c r="AS58" s="428">
        <f xml:space="preserve"> 'FS Qtr'!AS$22</f>
        <v>3264.9085766988101</v>
      </c>
      <c r="AT58" s="428">
        <f xml:space="preserve"> 'FS Qtr'!AT$22</f>
        <v>3742.8227361115532</v>
      </c>
      <c r="AU58" s="428">
        <f xml:space="preserve"> 'FS Qtr'!AU$22</f>
        <v>687.59976661165797</v>
      </c>
      <c r="AV58" s="428">
        <f xml:space="preserve"> 'FS Qtr'!AV$22</f>
        <v>732.114875211342</v>
      </c>
      <c r="AW58" s="428">
        <f xml:space="preserve"> 'FS Qtr'!AW$22</f>
        <v>3372.9674448120513</v>
      </c>
      <c r="AX58" s="428">
        <f xml:space="preserve"> 'FS Qtr'!AX$22</f>
        <v>3852.0123705905116</v>
      </c>
      <c r="AY58" s="428">
        <f xml:space="preserve"> 'FS Qtr'!AY$22</f>
        <v>814.00899228309163</v>
      </c>
      <c r="AZ58" s="428">
        <f xml:space="preserve"> 'FS Qtr'!AZ$22</f>
        <v>857.13321756267726</v>
      </c>
      <c r="BA58" s="428">
        <f xml:space="preserve"> 'FS Qtr'!BA$22</f>
        <v>3488.4684041472387</v>
      </c>
      <c r="BB58" s="428">
        <f xml:space="preserve"> 'FS Qtr'!BB$22</f>
        <v>3936.0366274645125</v>
      </c>
      <c r="BC58" s="428">
        <f xml:space="preserve"> 'FS Qtr'!BC$22</f>
        <v>859.62219853396414</v>
      </c>
      <c r="BD58" s="428">
        <f xml:space="preserve"> 'FS Qtr'!BD$22</f>
        <v>857.29870254233856</v>
      </c>
      <c r="BE58" s="428">
        <f xml:space="preserve"> 'FS Qtr'!BE$22</f>
        <v>3454.5777464633106</v>
      </c>
      <c r="BF58" s="428">
        <f xml:space="preserve"> 'FS Qtr'!BF$22</f>
        <v>3899.8614623563603</v>
      </c>
      <c r="BG58" s="428">
        <f xml:space="preserve"> 'FS Qtr'!BG$22</f>
        <v>838.69448900359441</v>
      </c>
      <c r="BH58" s="428">
        <f xml:space="preserve"> 'FS Qtr'!BH$22</f>
        <v>836.32417340453765</v>
      </c>
      <c r="BI58" s="428">
        <f xml:space="preserve"> 'FS Qtr'!BI$22</f>
        <v>3420.6227598519195</v>
      </c>
      <c r="BJ58" s="428">
        <f xml:space="preserve"> 'FS Qtr'!BJ$22</f>
        <v>3863.6321693335017</v>
      </c>
      <c r="BK58" s="428">
        <f xml:space="preserve"> 'FS Qtr'!BK$22</f>
        <v>817.63562305126538</v>
      </c>
      <c r="BL58" s="428">
        <f xml:space="preserve"> 'FS Qtr'!BL$22</f>
        <v>815.21754440624795</v>
      </c>
      <c r="BM58" s="428">
        <f xml:space="preserve"> 'FS Qtr'!BM$22</f>
        <v>3386.599070516696</v>
      </c>
      <c r="BN58" s="428">
        <f xml:space="preserve"> 'FS Qtr'!BN$22</f>
        <v>3827.3443003790544</v>
      </c>
      <c r="BO58" s="428">
        <f xml:space="preserve"> 'FS Qtr'!BO$22</f>
        <v>796.44151229994941</v>
      </c>
      <c r="BP58" s="428">
        <f xml:space="preserve"> 'FS Qtr'!BP$22</f>
        <v>793.97470815968416</v>
      </c>
      <c r="BQ58" s="428">
        <f xml:space="preserve"> 'FS Qtr'!BQ$22</f>
        <v>3352.5022318382125</v>
      </c>
      <c r="BR58" s="428">
        <f xml:space="preserve"> 'FS Qtr'!BR$22</f>
        <v>3790.9933345494164</v>
      </c>
      <c r="BS58" s="428">
        <f xml:space="preserve"> 'FS Qtr'!BS$22</f>
        <v>775.10799318136822</v>
      </c>
      <c r="BT58" s="428">
        <f xml:space="preserve"> 'FS Qtr'!BT$22</f>
        <v>772.59148170273249</v>
      </c>
      <c r="BU58" s="428">
        <f xml:space="preserve"> 'FS Qtr'!BU$22</f>
        <v>3318.3277228303805</v>
      </c>
      <c r="BV58" s="428">
        <f xml:space="preserve"> 'FS Qtr'!BV$22</f>
        <v>3754.5746764216606</v>
      </c>
      <c r="BW58" s="428">
        <f xml:space="preserve"> 'FS Qtr'!BW$22</f>
        <v>753.63082538506558</v>
      </c>
      <c r="BX58" s="428">
        <f xml:space="preserve"> 'FS Qtr'!BX$22</f>
        <v>751.06360494030719</v>
      </c>
      <c r="BY58" s="428">
        <f xml:space="preserve"> 'FS Qtr'!BY$22</f>
        <v>3284.0709465661371</v>
      </c>
      <c r="BZ58" s="428">
        <f xml:space="preserve"> 'FS Qtr'!BZ$22</f>
        <v>3718.0836545100406</v>
      </c>
      <c r="CA58" s="428">
        <f xml:space="preserve"> 'FS Qtr'!CA$22</f>
        <v>732.00569027641814</v>
      </c>
      <c r="CB58" s="428">
        <f xml:space="preserve"> 'FS Qtr'!CB$22</f>
        <v>729.38673905448286</v>
      </c>
      <c r="CC58" s="428">
        <f xml:space="preserve"> 'FS Qtr'!CC$22</f>
        <v>3249.727228571774</v>
      </c>
      <c r="CD58" s="428">
        <f xml:space="preserve"> 'FS Qtr'!CD$22</f>
        <v>3681.5155196510245</v>
      </c>
      <c r="CE58" s="428">
        <f xml:space="preserve"> 'FS Qtr'!CE$22</f>
        <v>710.22818928293805</v>
      </c>
      <c r="CF58" s="428">
        <f xml:space="preserve"> 'FS Qtr'!CF$22</f>
        <v>707.5564648827683</v>
      </c>
      <c r="CG58" s="428">
        <f xml:space="preserve"> 'FS Qtr'!CG$22</f>
        <v>3215.2918151892918</v>
      </c>
      <c r="CH58" s="428">
        <f xml:space="preserve"> 'FS Qtr'!CH$22</f>
        <v>3644.8654433561751</v>
      </c>
      <c r="CI58" s="428">
        <f xml:space="preserve"> 'FS Qtr'!CI$22</f>
        <v>688.29384224823752</v>
      </c>
      <c r="CJ58" s="428">
        <f xml:space="preserve"> 'FS Qtr'!CJ$22</f>
        <v>685.568281263872</v>
      </c>
      <c r="CK58" s="428">
        <f xml:space="preserve"> 'FS Qtr'!CK$22</f>
        <v>3180.7598719061207</v>
      </c>
      <c r="CL58" s="428">
        <f xml:space="preserve"> 'FS Qtr'!CL$22</f>
        <v>3608.1285161322548</v>
      </c>
      <c r="CM58" s="428">
        <f xml:space="preserve"> 'FS Qtr'!CM$22</f>
        <v>666.19808575299703</v>
      </c>
      <c r="CN58" s="428">
        <f xml:space="preserve"> 'FS Qtr'!CN$22</f>
        <v>663.4176033503129</v>
      </c>
      <c r="CO58" s="428">
        <f xml:space="preserve"> 'FS Qtr'!CO$22</f>
        <v>3146.1264816515718</v>
      </c>
      <c r="CP58" s="428">
        <f xml:space="preserve"> 'FS Qtr'!CP$22</f>
        <v>3571.2997457678916</v>
      </c>
      <c r="CQ58" s="428">
        <f xml:space="preserve"> 'FS Qtr'!CQ$22</f>
        <v>643.936271402285</v>
      </c>
      <c r="CR58" s="428">
        <f xml:space="preserve"> 'FS Qtr'!CR$22</f>
        <v>641.09976088720759</v>
      </c>
      <c r="CS58" s="428">
        <f xml:space="preserve"> 'FS Qtr'!CS$22</f>
        <v>3111.3866430593139</v>
      </c>
      <c r="CT58" s="428">
        <f xml:space="preserve"> 'FS Qtr'!CT$22</f>
        <v>3534.3740555861154</v>
      </c>
      <c r="CU58" s="428">
        <f xml:space="preserve"> 'FS Qtr'!CU$22</f>
        <v>621.5036640785263</v>
      </c>
      <c r="CV58" s="428">
        <f xml:space="preserve"> 'FS Qtr'!CV$22</f>
        <v>618.60999645654169</v>
      </c>
      <c r="CW58" s="428">
        <f xml:space="preserve"> 'FS Qtr'!CW$22</f>
        <v>3076.5352686952128</v>
      </c>
      <c r="CX58" s="428">
        <f xml:space="preserve"> 'FS Qtr'!CX$22</f>
        <v>3497.346282662078</v>
      </c>
      <c r="CY58" s="428">
        <f xml:space="preserve"> 'FS Qtr'!CY$22</f>
        <v>598.89544015944705</v>
      </c>
      <c r="CZ58" s="428">
        <f xml:space="preserve"> 'FS Qtr'!CZ$22</f>
        <v>595.94346368623758</v>
      </c>
      <c r="DA58" s="428">
        <f xml:space="preserve"> 'FS Qtr'!DA$22</f>
        <v>3041.5671832498315</v>
      </c>
      <c r="DB58" s="428">
        <f xml:space="preserve"> 'FS Qtr'!DB$22</f>
        <v>3460.2111760052744</v>
      </c>
      <c r="DC58" s="428">
        <f xml:space="preserve"> 'FS Qtr'!DC$22</f>
        <v>576.10668570028395</v>
      </c>
      <c r="DD58" s="428">
        <f xml:space="preserve"> 'FS Qtr'!DD$22</f>
        <v>573.09522542330558</v>
      </c>
      <c r="DE58" s="428">
        <f xml:space="preserve"> 'FS Qtr'!DE$22</f>
        <v>3006.477121694862</v>
      </c>
      <c r="DF58" s="428">
        <f xml:space="preserve"> 'FS Qtr'!DF$22</f>
        <v>3422.9633947055186</v>
      </c>
      <c r="DG58" s="428">
        <f xml:space="preserve"> 'FS Qtr'!DG$22</f>
        <v>553.13239457952727</v>
      </c>
      <c r="DH58" s="428">
        <f xml:space="preserve"> 'FS Qtr'!DH$22</f>
        <v>550.06025187035596</v>
      </c>
      <c r="DI58" s="428">
        <f xml:space="preserve"> 'FS Qtr'!DI$22</f>
        <v>5.3005062460948297E-12</v>
      </c>
      <c r="DJ58" s="428">
        <f xml:space="preserve"> 'FS Qtr'!DJ$22</f>
        <v>5.4400279965872744E-12</v>
      </c>
      <c r="DK58" s="428">
        <f xml:space="preserve"> 'FS Qtr'!DK$22</f>
        <v>5.5234417592016132E-12</v>
      </c>
      <c r="DL58" s="428">
        <f xml:space="preserve"> 'FS Qtr'!DL$22</f>
        <v>5.4862185647374278E-12</v>
      </c>
      <c r="DM58" s="428">
        <f xml:space="preserve"> 'FS Qtr'!DM$22</f>
        <v>5.6303841970219176E-12</v>
      </c>
      <c r="DN58" s="428">
        <f xml:space="preserve"> 'FS Qtr'!DN$22</f>
        <v>5.7785891085230152E-12</v>
      </c>
      <c r="DO58" s="428">
        <f xml:space="preserve"> 'FS Qtr'!DO$22</f>
        <v>5.8671941415203677E-12</v>
      </c>
      <c r="DP58" s="428">
        <f xml:space="preserve"> 'FS Qtr'!DP$22</f>
        <v>5.8924060699690751E-12</v>
      </c>
      <c r="DQ58" s="428">
        <f xml:space="preserve"> 'FS Qtr'!DQ$22</f>
        <v>5.981774228696939E-12</v>
      </c>
      <c r="DR58" s="428">
        <f xml:space="preserve"> 'FS Qtr'!DR$22</f>
        <v>6.1392285496032262E-12</v>
      </c>
      <c r="DS58" s="428">
        <f xml:space="preserve"> 'FS Qtr'!DS$22</f>
        <v>6.2333633873638092E-12</v>
      </c>
      <c r="DT58" s="428">
        <f xml:space="preserve"> 'FS Qtr'!DT$22</f>
        <v>6.1913559384489657E-12</v>
      </c>
      <c r="DU58" s="428">
        <f xml:space="preserve"> 'FS Qtr'!DU$22</f>
        <v>6.3540510139426528E-12</v>
      </c>
      <c r="DV58" s="428">
        <f xml:space="preserve"> 'FS Qtr'!DV$22</f>
        <v>6.5213045325733925E-12</v>
      </c>
      <c r="DW58" s="428">
        <f xml:space="preserve"> 'FS Qtr'!DW$22</f>
        <v>6.6212978687395183E-12</v>
      </c>
      <c r="DX58" s="428">
        <f xml:space="preserve"> 'FS Qtr'!DX$22</f>
        <v>6.5766760787545336E-12</v>
      </c>
      <c r="DY58" s="428">
        <f xml:space="preserve"> 'FS Qtr'!DY$22</f>
        <v>6.7494965112684725E-12</v>
      </c>
      <c r="DZ58" s="428">
        <f xml:space="preserve"> 'FS Qtr'!DZ$22</f>
        <v>6.9271590824405433E-12</v>
      </c>
      <c r="EA58" s="428">
        <f xml:space="preserve"> 'FS Qtr'!EA$22</f>
        <v>7.0333755217046319E-12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2639.08168908582</v>
      </c>
      <c r="N59" s="7">
        <f t="shared" si="45"/>
        <v>5385.2453803852277</v>
      </c>
      <c r="O59" s="7">
        <f t="shared" si="45"/>
        <v>4130.3360261279413</v>
      </c>
      <c r="P59" s="7">
        <f t="shared" si="45"/>
        <v>3126.3779297100664</v>
      </c>
      <c r="Q59" s="7">
        <f t="shared" si="45"/>
        <v>5342.0586092174999</v>
      </c>
      <c r="R59" s="7">
        <f t="shared" si="45"/>
        <v>7806.9363783166391</v>
      </c>
      <c r="S59" s="7">
        <f t="shared" si="45"/>
        <v>6639.0784454473942</v>
      </c>
      <c r="T59" s="7">
        <f t="shared" si="45"/>
        <v>5720.1406623013081</v>
      </c>
      <c r="U59" s="7">
        <f t="shared" si="45"/>
        <v>8007.0875956318177</v>
      </c>
      <c r="V59" s="7">
        <f t="shared" si="45"/>
        <v>10544.358012459883</v>
      </c>
      <c r="W59" s="7">
        <f t="shared" si="45"/>
        <v>9468.3027480826404</v>
      </c>
      <c r="X59" s="7">
        <f t="shared" si="45"/>
        <v>8629.0901625073038</v>
      </c>
      <c r="Y59" s="7">
        <f t="shared" si="45"/>
        <v>10988.514737593243</v>
      </c>
      <c r="Z59" s="7">
        <f t="shared" si="45"/>
        <v>13606.839078788216</v>
      </c>
      <c r="AA59" s="7">
        <f t="shared" si="45"/>
        <v>12627.478262110697</v>
      </c>
      <c r="AB59" s="7">
        <f t="shared" si="45"/>
        <v>11892.887473081966</v>
      </c>
      <c r="AC59" s="7">
        <f t="shared" si="45"/>
        <v>14337.289303380983</v>
      </c>
      <c r="AD59" s="7">
        <f t="shared" si="45"/>
        <v>17034.675567862472</v>
      </c>
      <c r="AE59" s="7">
        <f t="shared" si="45"/>
        <v>16157.516293413353</v>
      </c>
      <c r="AF59" s="7">
        <f t="shared" si="45"/>
        <v>15523.002741147706</v>
      </c>
      <c r="AG59" s="7">
        <f t="shared" si="45"/>
        <v>18054.36272274924</v>
      </c>
      <c r="AH59" s="7">
        <f t="shared" si="45"/>
        <v>20840.261956324</v>
      </c>
      <c r="AI59" s="7">
        <f t="shared" si="45"/>
        <v>20070.998762673342</v>
      </c>
      <c r="AJ59" s="7">
        <f t="shared" si="45"/>
        <v>19542.221376845544</v>
      </c>
      <c r="AK59" s="7">
        <f t="shared" si="45"/>
        <v>22166.426146931597</v>
      </c>
      <c r="AL59" s="7">
        <f t="shared" si="45"/>
        <v>25046.885069007913</v>
      </c>
      <c r="AM59" s="7">
        <f t="shared" si="45"/>
        <v>24391.566905720931</v>
      </c>
      <c r="AN59" s="7">
        <f t="shared" si="45"/>
        <v>23969.684673154039</v>
      </c>
      <c r="AO59" s="7">
        <f t="shared" si="45"/>
        <v>26689.448085652642</v>
      </c>
      <c r="AP59" s="7">
        <f t="shared" ref="AP59:BU59" si="46">SUM(AP57:AP58)</f>
        <v>29674.455227166887</v>
      </c>
      <c r="AQ59" s="7">
        <f t="shared" si="46"/>
        <v>29139.433631691671</v>
      </c>
      <c r="AR59" s="7">
        <f t="shared" si="46"/>
        <v>28840.461575234764</v>
      </c>
      <c r="AS59" s="7">
        <f t="shared" si="46"/>
        <v>31669.406161821087</v>
      </c>
      <c r="AT59" s="7">
        <f t="shared" si="46"/>
        <v>34758.551561522821</v>
      </c>
      <c r="AU59" s="7">
        <f t="shared" si="46"/>
        <v>34350.720863185838</v>
      </c>
      <c r="AV59" s="7">
        <f t="shared" si="46"/>
        <v>34176.657444619887</v>
      </c>
      <c r="AW59" s="7">
        <f t="shared" si="46"/>
        <v>37118.357840294935</v>
      </c>
      <c r="AX59" s="7">
        <f t="shared" si="46"/>
        <v>40322.513478287467</v>
      </c>
      <c r="AY59" s="7">
        <f t="shared" si="46"/>
        <v>40049.123070388443</v>
      </c>
      <c r="AZ59" s="7">
        <f t="shared" si="46"/>
        <v>40007.171180331803</v>
      </c>
      <c r="BA59" s="7">
        <f t="shared" si="46"/>
        <v>43069.097048230433</v>
      </c>
      <c r="BB59" s="7">
        <f t="shared" si="46"/>
        <v>44223.075908455772</v>
      </c>
      <c r="BC59" s="7">
        <f t="shared" si="46"/>
        <v>40405.487563546696</v>
      </c>
      <c r="BD59" s="7">
        <f t="shared" si="46"/>
        <v>37397.560723571041</v>
      </c>
      <c r="BE59" s="7">
        <f t="shared" si="46"/>
        <v>39009.066410937419</v>
      </c>
      <c r="BF59" s="7">
        <f t="shared" si="46"/>
        <v>40167.611621769</v>
      </c>
      <c r="BG59" s="7">
        <f t="shared" si="46"/>
        <v>36364.005616384573</v>
      </c>
      <c r="BH59" s="7">
        <f t="shared" si="46"/>
        <v>33365.991140876366</v>
      </c>
      <c r="BI59" s="7">
        <f t="shared" si="46"/>
        <v>34979.582608340141</v>
      </c>
      <c r="BJ59" s="7">
        <f t="shared" si="46"/>
        <v>36112.112379815291</v>
      </c>
      <c r="BK59" s="7">
        <f t="shared" si="46"/>
        <v>32322.418434473813</v>
      </c>
      <c r="BL59" s="7">
        <f t="shared" si="46"/>
        <v>29334.265450123974</v>
      </c>
      <c r="BM59" s="7">
        <f t="shared" si="46"/>
        <v>30934.687957085407</v>
      </c>
      <c r="BN59" s="7">
        <f t="shared" si="46"/>
        <v>32056.572091771435</v>
      </c>
      <c r="BO59" s="7">
        <f t="shared" si="46"/>
        <v>28280.720262220599</v>
      </c>
      <c r="BP59" s="7">
        <f t="shared" si="46"/>
        <v>25302.378117425327</v>
      </c>
      <c r="BQ59" s="7">
        <f t="shared" si="46"/>
        <v>26889.693835757491</v>
      </c>
      <c r="BR59" s="7">
        <f t="shared" si="46"/>
        <v>28000.984570879355</v>
      </c>
      <c r="BS59" s="7">
        <f t="shared" si="46"/>
        <v>24238.905246137871</v>
      </c>
      <c r="BT59" s="7">
        <f t="shared" si="46"/>
        <v>21270.32350926302</v>
      </c>
      <c r="BU59" s="7">
        <f t="shared" si="46"/>
        <v>22829.755399791255</v>
      </c>
      <c r="BV59" s="7">
        <f t="shared" ref="BV59:DA59" si="47">SUM(BV57:BV58)</f>
        <v>23945.343532379677</v>
      </c>
      <c r="BW59" s="7">
        <f t="shared" si="47"/>
        <v>20196.967432782796</v>
      </c>
      <c r="BX59" s="7">
        <f t="shared" si="47"/>
        <v>17238.095890424091</v>
      </c>
      <c r="BY59" s="7">
        <f t="shared" si="47"/>
        <v>18799.383040740238</v>
      </c>
      <c r="BZ59" s="7">
        <f t="shared" si="47"/>
        <v>19889.642591404292</v>
      </c>
      <c r="CA59" s="7">
        <f t="shared" si="47"/>
        <v>16154.900766653063</v>
      </c>
      <c r="CB59" s="7">
        <f t="shared" si="47"/>
        <v>13205.689421891988</v>
      </c>
      <c r="CC59" s="7">
        <f t="shared" si="47"/>
        <v>14754.054040892841</v>
      </c>
      <c r="CD59" s="7">
        <f t="shared" si="47"/>
        <v>15833.875260827106</v>
      </c>
      <c r="CE59" s="7">
        <f t="shared" si="47"/>
        <v>12112.699088041254</v>
      </c>
      <c r="CF59" s="7">
        <f t="shared" si="47"/>
        <v>9173.098158696348</v>
      </c>
      <c r="CG59" s="7">
        <f t="shared" si="47"/>
        <v>10708.600914337603</v>
      </c>
      <c r="CH59" s="7">
        <f t="shared" si="47"/>
        <v>11778.034949072146</v>
      </c>
      <c r="CI59" s="7">
        <f t="shared" si="47"/>
        <v>8070.3561308464268</v>
      </c>
      <c r="CJ59" s="7">
        <f t="shared" si="47"/>
        <v>5140.316047719758</v>
      </c>
      <c r="CK59" s="7">
        <f t="shared" si="47"/>
        <v>6648.66201582549</v>
      </c>
      <c r="CL59" s="7">
        <f t="shared" si="47"/>
        <v>7722.1149578781506</v>
      </c>
      <c r="CM59" s="7">
        <f t="shared" si="47"/>
        <v>4027.8655203420221</v>
      </c>
      <c r="CN59" s="7">
        <f t="shared" si="47"/>
        <v>1107.3369254605534</v>
      </c>
      <c r="CO59" s="7">
        <f t="shared" si="47"/>
        <v>3146.1264816515718</v>
      </c>
      <c r="CP59" s="7">
        <f t="shared" si="47"/>
        <v>3666.1084800187755</v>
      </c>
      <c r="CQ59" s="7">
        <f t="shared" si="47"/>
        <v>643.936271402285</v>
      </c>
      <c r="CR59" s="7">
        <f t="shared" si="47"/>
        <v>641.09976088720759</v>
      </c>
      <c r="CS59" s="7">
        <f t="shared" si="47"/>
        <v>3111.3866430593139</v>
      </c>
      <c r="CT59" s="7">
        <f t="shared" si="47"/>
        <v>3534.3740555861154</v>
      </c>
      <c r="CU59" s="7">
        <f t="shared" si="47"/>
        <v>621.5036640785263</v>
      </c>
      <c r="CV59" s="7">
        <f t="shared" si="47"/>
        <v>618.60999645654169</v>
      </c>
      <c r="CW59" s="7">
        <f t="shared" si="47"/>
        <v>3076.5352686952128</v>
      </c>
      <c r="CX59" s="7">
        <f t="shared" si="47"/>
        <v>3497.346282662078</v>
      </c>
      <c r="CY59" s="7">
        <f t="shared" si="47"/>
        <v>598.89544015944705</v>
      </c>
      <c r="CZ59" s="7">
        <f t="shared" si="47"/>
        <v>595.94346368623758</v>
      </c>
      <c r="DA59" s="7">
        <f t="shared" si="47"/>
        <v>3041.5671832498315</v>
      </c>
      <c r="DB59" s="7">
        <f t="shared" ref="DB59:EA59" si="48">SUM(DB57:DB58)</f>
        <v>3460.2111760052744</v>
      </c>
      <c r="DC59" s="7">
        <f t="shared" si="48"/>
        <v>576.10668570028395</v>
      </c>
      <c r="DD59" s="7">
        <f t="shared" si="48"/>
        <v>573.09522542330558</v>
      </c>
      <c r="DE59" s="7">
        <f t="shared" si="48"/>
        <v>3006.477121694862</v>
      </c>
      <c r="DF59" s="7">
        <f t="shared" si="48"/>
        <v>3422.9633947055186</v>
      </c>
      <c r="DG59" s="7">
        <f t="shared" si="48"/>
        <v>553.13239457952727</v>
      </c>
      <c r="DH59" s="7">
        <f t="shared" si="48"/>
        <v>550.06025187035596</v>
      </c>
      <c r="DI59" s="7">
        <f t="shared" si="48"/>
        <v>550.0602518703613</v>
      </c>
      <c r="DJ59" s="7">
        <f t="shared" si="48"/>
        <v>3.5650498288093758E-10</v>
      </c>
      <c r="DK59" s="7">
        <f t="shared" si="48"/>
        <v>3.6202842464013921E-10</v>
      </c>
      <c r="DL59" s="7">
        <f t="shared" si="48"/>
        <v>3.6751464320487664E-10</v>
      </c>
      <c r="DM59" s="7">
        <f t="shared" si="48"/>
        <v>3.7314502740189858E-10</v>
      </c>
      <c r="DN59" s="7">
        <f t="shared" si="48"/>
        <v>3.7892361651042161E-10</v>
      </c>
      <c r="DO59" s="7">
        <f t="shared" si="48"/>
        <v>3.84790810651942E-10</v>
      </c>
      <c r="DP59" s="7">
        <f t="shared" si="48"/>
        <v>3.9068321672191106E-10</v>
      </c>
      <c r="DQ59" s="7">
        <f t="shared" si="48"/>
        <v>3.9666499095060801E-10</v>
      </c>
      <c r="DR59" s="7">
        <f t="shared" si="48"/>
        <v>4.0280421950021124E-10</v>
      </c>
      <c r="DS59" s="7">
        <f t="shared" si="48"/>
        <v>4.0903758288757506E-10</v>
      </c>
      <c r="DT59" s="7">
        <f t="shared" si="48"/>
        <v>4.1522893882602402E-10</v>
      </c>
      <c r="DU59" s="7">
        <f t="shared" si="48"/>
        <v>4.215829898399667E-10</v>
      </c>
      <c r="DV59" s="7">
        <f t="shared" si="48"/>
        <v>4.2810429437254008E-10</v>
      </c>
      <c r="DW59" s="7">
        <f t="shared" si="48"/>
        <v>4.3472559224127959E-10</v>
      </c>
      <c r="DX59" s="7">
        <f t="shared" si="48"/>
        <v>4.4130226832003412E-10</v>
      </c>
      <c r="DY59" s="7">
        <f t="shared" si="48"/>
        <v>4.4805176483130259E-10</v>
      </c>
      <c r="DZ59" s="7">
        <f t="shared" si="48"/>
        <v>4.5497892391374315E-10</v>
      </c>
      <c r="EA59" s="7">
        <f t="shared" si="48"/>
        <v>4.6201229943544778E-10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528.83002237149753</v>
      </c>
      <c r="CP62" s="7">
        <f t="shared" si="51"/>
        <v>0</v>
      </c>
      <c r="CQ62" s="7">
        <f t="shared" si="51"/>
        <v>658.71550050302631</v>
      </c>
      <c r="CR62" s="7">
        <f t="shared" si="51"/>
        <v>3566.9452451363099</v>
      </c>
      <c r="CS62" s="7">
        <f t="shared" si="51"/>
        <v>4539.9547004832148</v>
      </c>
      <c r="CT62" s="7">
        <f t="shared" si="51"/>
        <v>3924.3654586086209</v>
      </c>
      <c r="CU62" s="7">
        <f t="shared" si="51"/>
        <v>4679.0883804134555</v>
      </c>
      <c r="CV62" s="7">
        <f t="shared" si="51"/>
        <v>7577.8475690274254</v>
      </c>
      <c r="CW62" s="7">
        <f t="shared" ref="CW62:EA62" si="52" xml:space="preserve"> CW$49</f>
        <v>8551.1183506075449</v>
      </c>
      <c r="CX62" s="7">
        <f t="shared" si="52"/>
        <v>7943.5380060857924</v>
      </c>
      <c r="CY62" s="7">
        <f t="shared" si="52"/>
        <v>8699.4530959657568</v>
      </c>
      <c r="CZ62" s="7">
        <f t="shared" si="52"/>
        <v>11588.789311720806</v>
      </c>
      <c r="DA62" s="7">
        <f t="shared" si="52"/>
        <v>12576.188006156686</v>
      </c>
      <c r="DB62" s="7">
        <f t="shared" si="52"/>
        <v>11962.710805448078</v>
      </c>
      <c r="DC62" s="7">
        <f t="shared" si="52"/>
        <v>12719.811565669337</v>
      </c>
      <c r="DD62" s="7">
        <f t="shared" si="52"/>
        <v>15599.772164383172</v>
      </c>
      <c r="DE62" s="7">
        <f t="shared" si="52"/>
        <v>16573.569423411751</v>
      </c>
      <c r="DF62" s="7">
        <f t="shared" si="52"/>
        <v>15981.885782589718</v>
      </c>
      <c r="DG62" s="7">
        <f t="shared" si="52"/>
        <v>16740.165736329222</v>
      </c>
      <c r="DH62" s="7">
        <f t="shared" si="52"/>
        <v>19610.797847797119</v>
      </c>
      <c r="DI62" s="7">
        <f t="shared" si="52"/>
        <v>-689.14681089145597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196154.17888513784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350.61961115807276</v>
      </c>
      <c r="N63" s="428">
        <f xml:space="preserve"> 'FS Qtr'!N$50</f>
        <v>1159.3584459071449</v>
      </c>
      <c r="O63" s="428">
        <f xml:space="preserve"> 'FS Qtr'!O$50</f>
        <v>962.4299049174333</v>
      </c>
      <c r="P63" s="428">
        <f xml:space="preserve"> 'FS Qtr'!P$50</f>
        <v>468.14199831783026</v>
      </c>
      <c r="Q63" s="428">
        <f xml:space="preserve"> 'FS Qtr'!Q$50</f>
        <v>693.8580092183679</v>
      </c>
      <c r="R63" s="428">
        <f xml:space="preserve"> 'FS Qtr'!R$50</f>
        <v>1151.390095249435</v>
      </c>
      <c r="S63" s="428">
        <f xml:space="preserve"> 'FS Qtr'!S$50</f>
        <v>955.43816580929069</v>
      </c>
      <c r="T63" s="428">
        <f xml:space="preserve"> 'FS Qtr'!T$50</f>
        <v>463.61445889824017</v>
      </c>
      <c r="U63" s="428">
        <f xml:space="preserve"> 'FS Qtr'!U$50</f>
        <v>688.17227296354258</v>
      </c>
      <c r="V63" s="428">
        <f xml:space="preserve"> 'FS Qtr'!V$50</f>
        <v>1143.417049002222</v>
      </c>
      <c r="W63" s="428">
        <f xml:space="preserve"> 'FS Qtr'!W$50</f>
        <v>948.43680922757449</v>
      </c>
      <c r="X63" s="428">
        <f xml:space="preserve"> 'FS Qtr'!X$50</f>
        <v>462.81809948418754</v>
      </c>
      <c r="Y63" s="428">
        <f xml:space="preserve"> 'FS Qtr'!Y$50</f>
        <v>678.71685835175094</v>
      </c>
      <c r="Z63" s="428">
        <f xml:space="preserve"> 'FS Qtr'!Z$50</f>
        <v>1135.4384370710804</v>
      </c>
      <c r="AA63" s="428">
        <f xml:space="preserve"> 'FS Qtr'!AA$50</f>
        <v>941.42498829294163</v>
      </c>
      <c r="AB63" s="428">
        <f xml:space="preserve"> 'FS Qtr'!AB$50</f>
        <v>454.49326983395736</v>
      </c>
      <c r="AC63" s="428">
        <f xml:space="preserve"> 'FS Qtr'!AC$50</f>
        <v>676.74980750411669</v>
      </c>
      <c r="AD63" s="428">
        <f xml:space="preserve"> 'FS Qtr'!AD$50</f>
        <v>1127.4533756868341</v>
      </c>
      <c r="AE63" s="428">
        <f xml:space="preserve"> 'FS Qtr'!AE$50</f>
        <v>934.40184231017201</v>
      </c>
      <c r="AF63" s="428">
        <f xml:space="preserve"> 'FS Qtr'!AF$50</f>
        <v>449.89803742407571</v>
      </c>
      <c r="AG63" s="428">
        <f xml:space="preserve"> 'FS Qtr'!AG$50</f>
        <v>671.01141656018308</v>
      </c>
      <c r="AH63" s="428">
        <f xml:space="preserve"> 'FS Qtr'!AH$50</f>
        <v>1119.4609671108105</v>
      </c>
      <c r="AI63" s="428">
        <f xml:space="preserve"> 'FS Qtr'!AI$50</f>
        <v>927.36649647360764</v>
      </c>
      <c r="AJ63" s="428">
        <f xml:space="preserve"> 'FS Qtr'!AJ$50</f>
        <v>445.27863415043657</v>
      </c>
      <c r="AK63" s="428">
        <f xml:space="preserve"> 'FS Qtr'!AK$50</f>
        <v>665.25378838665893</v>
      </c>
      <c r="AL63" s="428">
        <f xml:space="preserve"> 'FS Qtr'!AL$50</f>
        <v>1111.4602993342514</v>
      </c>
      <c r="AM63" s="428">
        <f xml:space="preserve"> 'FS Qtr'!AM$50</f>
        <v>920.31806156673383</v>
      </c>
      <c r="AN63" s="428">
        <f xml:space="preserve"> 'FS Qtr'!AN$50</f>
        <v>444.27845319645076</v>
      </c>
      <c r="AO63" s="428">
        <f xml:space="preserve"> 'FS Qtr'!AO$50</f>
        <v>655.83183510735807</v>
      </c>
      <c r="AP63" s="428">
        <f xml:space="preserve"> 'FS Qtr'!AP$50</f>
        <v>1103.4504457717539</v>
      </c>
      <c r="AQ63" s="428">
        <f xml:space="preserve"> 'FS Qtr'!AQ$50</f>
        <v>913.25563365579228</v>
      </c>
      <c r="AR63" s="428">
        <f xml:space="preserve"> 'FS Qtr'!AR$50</f>
        <v>435.96399011248718</v>
      </c>
      <c r="AS63" s="428">
        <f xml:space="preserve"> 'FS Qtr'!AS$50</f>
        <v>653.67733640982078</v>
      </c>
      <c r="AT63" s="428">
        <f xml:space="preserve"> 'FS Qtr'!AT$50</f>
        <v>1095.4304649486417</v>
      </c>
      <c r="AU63" s="428">
        <f xml:space="preserve"> 'FS Qtr'!AU$50</f>
        <v>906.17829377729458</v>
      </c>
      <c r="AV63" s="428">
        <f xml:space="preserve"> 'FS Qtr'!AV$50</f>
        <v>431.26704913699973</v>
      </c>
      <c r="AW63" s="428">
        <f xml:space="preserve"> 'FS Qtr'!AW$50</f>
        <v>647.85673259797886</v>
      </c>
      <c r="AX63" s="428">
        <f xml:space="preserve"> 'FS Qtr'!AX$50</f>
        <v>1087.3994001821156</v>
      </c>
      <c r="AY63" s="428">
        <f xml:space="preserve"> 'FS Qtr'!AY$50</f>
        <v>899.08510761931711</v>
      </c>
      <c r="AZ63" s="428">
        <f xml:space="preserve"> 'FS Qtr'!AZ$50</f>
        <v>426.54253624860735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-20299.944658688575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350.61961115807276</v>
      </c>
      <c r="N64" s="7">
        <f t="shared" si="53"/>
        <v>1159.3584459071449</v>
      </c>
      <c r="O64" s="7">
        <f t="shared" si="53"/>
        <v>962.4299049174333</v>
      </c>
      <c r="P64" s="7">
        <f t="shared" si="53"/>
        <v>468.14199831783026</v>
      </c>
      <c r="Q64" s="7">
        <f t="shared" si="53"/>
        <v>693.8580092183679</v>
      </c>
      <c r="R64" s="7">
        <f t="shared" si="53"/>
        <v>1151.390095249435</v>
      </c>
      <c r="S64" s="7">
        <f t="shared" si="53"/>
        <v>955.43816580929069</v>
      </c>
      <c r="T64" s="7">
        <f t="shared" si="53"/>
        <v>463.61445889824017</v>
      </c>
      <c r="U64" s="7">
        <f t="shared" si="53"/>
        <v>688.17227296354258</v>
      </c>
      <c r="V64" s="7">
        <f t="shared" si="53"/>
        <v>1143.417049002222</v>
      </c>
      <c r="W64" s="7">
        <f t="shared" si="53"/>
        <v>948.43680922757449</v>
      </c>
      <c r="X64" s="7">
        <f t="shared" si="53"/>
        <v>462.81809948418754</v>
      </c>
      <c r="Y64" s="7">
        <f t="shared" si="53"/>
        <v>678.71685835175094</v>
      </c>
      <c r="Z64" s="7">
        <f t="shared" si="53"/>
        <v>1135.4384370710804</v>
      </c>
      <c r="AA64" s="7">
        <f t="shared" si="53"/>
        <v>941.42498829294163</v>
      </c>
      <c r="AB64" s="7">
        <f t="shared" si="53"/>
        <v>454.49326983395736</v>
      </c>
      <c r="AC64" s="7">
        <f t="shared" si="53"/>
        <v>676.74980750411669</v>
      </c>
      <c r="AD64" s="7">
        <f t="shared" si="53"/>
        <v>1127.4533756868341</v>
      </c>
      <c r="AE64" s="7">
        <f t="shared" si="53"/>
        <v>934.40184231017201</v>
      </c>
      <c r="AF64" s="7">
        <f t="shared" si="53"/>
        <v>449.89803742407571</v>
      </c>
      <c r="AG64" s="7">
        <f t="shared" si="53"/>
        <v>671.01141656018308</v>
      </c>
      <c r="AH64" s="7">
        <f t="shared" si="53"/>
        <v>1119.4609671108105</v>
      </c>
      <c r="AI64" s="7">
        <f t="shared" si="53"/>
        <v>927.36649647360764</v>
      </c>
      <c r="AJ64" s="7">
        <f t="shared" si="53"/>
        <v>445.27863415043657</v>
      </c>
      <c r="AK64" s="7">
        <f t="shared" si="53"/>
        <v>665.25378838665893</v>
      </c>
      <c r="AL64" s="7">
        <f t="shared" si="53"/>
        <v>1111.4602993342514</v>
      </c>
      <c r="AM64" s="7">
        <f t="shared" si="53"/>
        <v>920.31806156673383</v>
      </c>
      <c r="AN64" s="7">
        <f t="shared" si="53"/>
        <v>444.27845319645076</v>
      </c>
      <c r="AO64" s="7">
        <f t="shared" si="53"/>
        <v>655.83183510735807</v>
      </c>
      <c r="AP64" s="7">
        <f t="shared" ref="AP64:BU64" si="54">SUM(AP62:AP63)</f>
        <v>1103.4504457717539</v>
      </c>
      <c r="AQ64" s="7">
        <f t="shared" si="54"/>
        <v>913.25563365579228</v>
      </c>
      <c r="AR64" s="7">
        <f t="shared" si="54"/>
        <v>435.96399011248718</v>
      </c>
      <c r="AS64" s="7">
        <f t="shared" si="54"/>
        <v>653.67733640982078</v>
      </c>
      <c r="AT64" s="7">
        <f t="shared" si="54"/>
        <v>1095.4304649486417</v>
      </c>
      <c r="AU64" s="7">
        <f t="shared" si="54"/>
        <v>906.17829377729458</v>
      </c>
      <c r="AV64" s="7">
        <f t="shared" si="54"/>
        <v>431.26704913699973</v>
      </c>
      <c r="AW64" s="7">
        <f t="shared" si="54"/>
        <v>647.85673259797886</v>
      </c>
      <c r="AX64" s="7">
        <f t="shared" si="54"/>
        <v>1087.3994001821156</v>
      </c>
      <c r="AY64" s="7">
        <f t="shared" si="54"/>
        <v>899.08510761931711</v>
      </c>
      <c r="AZ64" s="7">
        <f t="shared" si="54"/>
        <v>426.54253624860735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2575.4314086216336</v>
      </c>
      <c r="CH64" s="7">
        <f t="shared" si="55"/>
        <v>4395.9726604739562</v>
      </c>
      <c r="CI64" s="7">
        <f t="shared" si="55"/>
        <v>3615.6083643905404</v>
      </c>
      <c r="CJ64" s="7">
        <f t="shared" si="55"/>
        <v>1672.4139038003891</v>
      </c>
      <c r="CK64" s="7">
        <f t="shared" si="55"/>
        <v>2534.6755740795943</v>
      </c>
      <c r="CL64" s="7">
        <f t="shared" si="55"/>
        <v>4360.4475232891255</v>
      </c>
      <c r="CM64" s="7">
        <f t="shared" si="55"/>
        <v>3583.9461982317816</v>
      </c>
      <c r="CN64" s="7">
        <f t="shared" si="55"/>
        <v>1636.1669478320509</v>
      </c>
      <c r="CO64" s="7">
        <f t="shared" si="55"/>
        <v>3051.3177474006879</v>
      </c>
      <c r="CP64" s="7">
        <f t="shared" si="55"/>
        <v>4324.8239805218018</v>
      </c>
      <c r="CQ64" s="7">
        <f t="shared" si="55"/>
        <v>4210.881516538595</v>
      </c>
      <c r="CR64" s="7">
        <f t="shared" si="55"/>
        <v>5181.0544613704224</v>
      </c>
      <c r="CS64" s="7">
        <f t="shared" si="55"/>
        <v>7035.7521016679348</v>
      </c>
      <c r="CT64" s="7">
        <f t="shared" si="55"/>
        <v>8213.4624359995705</v>
      </c>
      <c r="CU64" s="7">
        <f t="shared" si="55"/>
        <v>8199.3512331059519</v>
      </c>
      <c r="CV64" s="7">
        <f t="shared" si="55"/>
        <v>9169.7283470640868</v>
      </c>
      <c r="CW64" s="7">
        <f t="shared" si="55"/>
        <v>11020.073274781005</v>
      </c>
      <c r="CX64" s="7">
        <f t="shared" si="55"/>
        <v>12196.799378627835</v>
      </c>
      <c r="CY64" s="7">
        <f t="shared" si="55"/>
        <v>12187.684751880253</v>
      </c>
      <c r="CZ64" s="7">
        <f t="shared" si="55"/>
        <v>13172.131469842923</v>
      </c>
      <c r="DA64" s="7">
        <f t="shared" si="55"/>
        <v>15004.27798869791</v>
      </c>
      <c r="DB64" s="7">
        <f t="shared" ref="DB64:EA64" si="56">SUM(DB62:DB63)</f>
        <v>16180.022741674611</v>
      </c>
      <c r="DC64" s="7">
        <f t="shared" si="56"/>
        <v>16175.878850083456</v>
      </c>
      <c r="DD64" s="7">
        <f t="shared" si="56"/>
        <v>17146.664648835056</v>
      </c>
      <c r="DE64" s="7">
        <f t="shared" si="56"/>
        <v>18988.362904284579</v>
      </c>
      <c r="DF64" s="7">
        <f t="shared" si="56"/>
        <v>20163.129131034741</v>
      </c>
      <c r="DG64" s="7">
        <f t="shared" si="56"/>
        <v>20163.930242376646</v>
      </c>
      <c r="DH64" s="7">
        <f t="shared" si="56"/>
        <v>-689.14681089145597</v>
      </c>
      <c r="DI64" s="7">
        <f t="shared" si="56"/>
        <v>550.06025187001023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2639.08168908582</v>
      </c>
      <c r="N67" s="7">
        <f t="shared" si="57"/>
        <v>5385.2453803852277</v>
      </c>
      <c r="O67" s="7">
        <f t="shared" si="57"/>
        <v>4130.3360261279413</v>
      </c>
      <c r="P67" s="7">
        <f t="shared" si="57"/>
        <v>3126.3779297100664</v>
      </c>
      <c r="Q67" s="7">
        <f t="shared" si="57"/>
        <v>5342.0586092174999</v>
      </c>
      <c r="R67" s="7">
        <f t="shared" si="57"/>
        <v>7806.9363783166391</v>
      </c>
      <c r="S67" s="7">
        <f t="shared" si="57"/>
        <v>6639.0784454473942</v>
      </c>
      <c r="T67" s="7">
        <f t="shared" si="57"/>
        <v>5720.1406623013081</v>
      </c>
      <c r="U67" s="7">
        <f t="shared" si="57"/>
        <v>8007.0875956318177</v>
      </c>
      <c r="V67" s="7">
        <f t="shared" si="57"/>
        <v>10544.358012459883</v>
      </c>
      <c r="W67" s="7">
        <f t="shared" si="57"/>
        <v>9468.3027480826404</v>
      </c>
      <c r="X67" s="7">
        <f t="shared" si="57"/>
        <v>8629.0901625073038</v>
      </c>
      <c r="Y67" s="7">
        <f t="shared" si="57"/>
        <v>10988.514737593243</v>
      </c>
      <c r="Z67" s="7">
        <f t="shared" si="57"/>
        <v>13606.839078788216</v>
      </c>
      <c r="AA67" s="7">
        <f t="shared" si="57"/>
        <v>12627.478262110697</v>
      </c>
      <c r="AB67" s="7">
        <f t="shared" si="57"/>
        <v>11892.887473081966</v>
      </c>
      <c r="AC67" s="7">
        <f t="shared" si="57"/>
        <v>14337.289303380983</v>
      </c>
      <c r="AD67" s="7">
        <f t="shared" si="57"/>
        <v>17034.675567862472</v>
      </c>
      <c r="AE67" s="7">
        <f t="shared" si="57"/>
        <v>16157.516293413353</v>
      </c>
      <c r="AF67" s="7">
        <f t="shared" si="57"/>
        <v>15523.002741147706</v>
      </c>
      <c r="AG67" s="7">
        <f t="shared" si="57"/>
        <v>18054.36272274924</v>
      </c>
      <c r="AH67" s="7">
        <f t="shared" si="57"/>
        <v>20840.261956324</v>
      </c>
      <c r="AI67" s="7">
        <f t="shared" si="57"/>
        <v>20070.998762673342</v>
      </c>
      <c r="AJ67" s="7">
        <f t="shared" si="57"/>
        <v>19542.221376845544</v>
      </c>
      <c r="AK67" s="7">
        <f t="shared" ref="AK67:BP67" si="58" xml:space="preserve"> AK$59</f>
        <v>22166.426146931597</v>
      </c>
      <c r="AL67" s="7">
        <f t="shared" si="58"/>
        <v>25046.885069007913</v>
      </c>
      <c r="AM67" s="7">
        <f t="shared" si="58"/>
        <v>24391.566905720931</v>
      </c>
      <c r="AN67" s="7">
        <f t="shared" si="58"/>
        <v>23969.684673154039</v>
      </c>
      <c r="AO67" s="7">
        <f t="shared" si="58"/>
        <v>26689.448085652642</v>
      </c>
      <c r="AP67" s="7">
        <f t="shared" si="58"/>
        <v>29674.455227166887</v>
      </c>
      <c r="AQ67" s="7">
        <f t="shared" si="58"/>
        <v>29139.433631691671</v>
      </c>
      <c r="AR67" s="7">
        <f t="shared" si="58"/>
        <v>28840.461575234764</v>
      </c>
      <c r="AS67" s="7">
        <f t="shared" si="58"/>
        <v>31669.406161821087</v>
      </c>
      <c r="AT67" s="7">
        <f t="shared" si="58"/>
        <v>34758.551561522821</v>
      </c>
      <c r="AU67" s="7">
        <f t="shared" si="58"/>
        <v>34350.720863185838</v>
      </c>
      <c r="AV67" s="7">
        <f t="shared" si="58"/>
        <v>34176.657444619887</v>
      </c>
      <c r="AW67" s="7">
        <f t="shared" si="58"/>
        <v>37118.357840294935</v>
      </c>
      <c r="AX67" s="7">
        <f t="shared" si="58"/>
        <v>40322.513478287467</v>
      </c>
      <c r="AY67" s="7">
        <f t="shared" si="58"/>
        <v>40049.123070388443</v>
      </c>
      <c r="AZ67" s="7">
        <f t="shared" si="58"/>
        <v>40007.171180331803</v>
      </c>
      <c r="BA67" s="7">
        <f t="shared" si="58"/>
        <v>43069.097048230433</v>
      </c>
      <c r="BB67" s="7">
        <f t="shared" si="58"/>
        <v>44223.075908455772</v>
      </c>
      <c r="BC67" s="7">
        <f t="shared" si="58"/>
        <v>40405.487563546696</v>
      </c>
      <c r="BD67" s="7">
        <f t="shared" si="58"/>
        <v>37397.560723571041</v>
      </c>
      <c r="BE67" s="7">
        <f t="shared" si="58"/>
        <v>39009.066410937419</v>
      </c>
      <c r="BF67" s="7">
        <f t="shared" si="58"/>
        <v>40167.611621769</v>
      </c>
      <c r="BG67" s="7">
        <f t="shared" si="58"/>
        <v>36364.005616384573</v>
      </c>
      <c r="BH67" s="7">
        <f t="shared" si="58"/>
        <v>33365.991140876366</v>
      </c>
      <c r="BI67" s="7">
        <f t="shared" si="58"/>
        <v>34979.582608340141</v>
      </c>
      <c r="BJ67" s="7">
        <f t="shared" si="58"/>
        <v>36112.112379815291</v>
      </c>
      <c r="BK67" s="7">
        <f t="shared" si="58"/>
        <v>32322.418434473813</v>
      </c>
      <c r="BL67" s="7">
        <f t="shared" si="58"/>
        <v>29334.265450123974</v>
      </c>
      <c r="BM67" s="7">
        <f t="shared" si="58"/>
        <v>30934.687957085407</v>
      </c>
      <c r="BN67" s="7">
        <f t="shared" si="58"/>
        <v>32056.572091771435</v>
      </c>
      <c r="BO67" s="7">
        <f t="shared" si="58"/>
        <v>28280.720262220599</v>
      </c>
      <c r="BP67" s="7">
        <f t="shared" si="58"/>
        <v>25302.378117425327</v>
      </c>
      <c r="BQ67" s="7">
        <f t="shared" ref="BQ67:CV67" si="59" xml:space="preserve"> BQ$59</f>
        <v>26889.693835757491</v>
      </c>
      <c r="BR67" s="7">
        <f t="shared" si="59"/>
        <v>28000.984570879355</v>
      </c>
      <c r="BS67" s="7">
        <f t="shared" si="59"/>
        <v>24238.905246137871</v>
      </c>
      <c r="BT67" s="7">
        <f t="shared" si="59"/>
        <v>21270.32350926302</v>
      </c>
      <c r="BU67" s="7">
        <f t="shared" si="59"/>
        <v>22829.755399791255</v>
      </c>
      <c r="BV67" s="7">
        <f t="shared" si="59"/>
        <v>23945.343532379677</v>
      </c>
      <c r="BW67" s="7">
        <f t="shared" si="59"/>
        <v>20196.967432782796</v>
      </c>
      <c r="BX67" s="7">
        <f t="shared" si="59"/>
        <v>17238.095890424091</v>
      </c>
      <c r="BY67" s="7">
        <f t="shared" si="59"/>
        <v>18799.383040740238</v>
      </c>
      <c r="BZ67" s="7">
        <f t="shared" si="59"/>
        <v>19889.642591404292</v>
      </c>
      <c r="CA67" s="7">
        <f t="shared" si="59"/>
        <v>16154.900766653063</v>
      </c>
      <c r="CB67" s="7">
        <f t="shared" si="59"/>
        <v>13205.689421891988</v>
      </c>
      <c r="CC67" s="7">
        <f t="shared" si="59"/>
        <v>14754.054040892841</v>
      </c>
      <c r="CD67" s="7">
        <f t="shared" si="59"/>
        <v>15833.875260827106</v>
      </c>
      <c r="CE67" s="7">
        <f t="shared" si="59"/>
        <v>12112.699088041254</v>
      </c>
      <c r="CF67" s="7">
        <f t="shared" si="59"/>
        <v>9173.098158696348</v>
      </c>
      <c r="CG67" s="7">
        <f t="shared" si="59"/>
        <v>10708.600914337603</v>
      </c>
      <c r="CH67" s="7">
        <f t="shared" si="59"/>
        <v>11778.034949072146</v>
      </c>
      <c r="CI67" s="7">
        <f t="shared" si="59"/>
        <v>8070.3561308464268</v>
      </c>
      <c r="CJ67" s="7">
        <f t="shared" si="59"/>
        <v>5140.316047719758</v>
      </c>
      <c r="CK67" s="7">
        <f t="shared" si="59"/>
        <v>6648.66201582549</v>
      </c>
      <c r="CL67" s="7">
        <f t="shared" si="59"/>
        <v>7722.1149578781506</v>
      </c>
      <c r="CM67" s="7">
        <f t="shared" si="59"/>
        <v>4027.8655203420221</v>
      </c>
      <c r="CN67" s="7">
        <f t="shared" si="59"/>
        <v>1107.3369254605534</v>
      </c>
      <c r="CO67" s="7">
        <f t="shared" si="59"/>
        <v>3146.1264816515718</v>
      </c>
      <c r="CP67" s="7">
        <f t="shared" si="59"/>
        <v>3666.1084800187755</v>
      </c>
      <c r="CQ67" s="7">
        <f t="shared" si="59"/>
        <v>643.936271402285</v>
      </c>
      <c r="CR67" s="7">
        <f t="shared" si="59"/>
        <v>641.09976088720759</v>
      </c>
      <c r="CS67" s="7">
        <f t="shared" si="59"/>
        <v>3111.3866430593139</v>
      </c>
      <c r="CT67" s="7">
        <f t="shared" si="59"/>
        <v>3534.3740555861154</v>
      </c>
      <c r="CU67" s="7">
        <f t="shared" si="59"/>
        <v>621.5036640785263</v>
      </c>
      <c r="CV67" s="7">
        <f t="shared" si="59"/>
        <v>618.60999645654169</v>
      </c>
      <c r="CW67" s="7">
        <f t="shared" ref="CW67:EA67" si="60" xml:space="preserve"> CW$59</f>
        <v>3076.5352686952128</v>
      </c>
      <c r="CX67" s="7">
        <f t="shared" si="60"/>
        <v>3497.346282662078</v>
      </c>
      <c r="CY67" s="7">
        <f t="shared" si="60"/>
        <v>598.89544015944705</v>
      </c>
      <c r="CZ67" s="7">
        <f t="shared" si="60"/>
        <v>595.94346368623758</v>
      </c>
      <c r="DA67" s="7">
        <f t="shared" si="60"/>
        <v>3041.5671832498315</v>
      </c>
      <c r="DB67" s="7">
        <f t="shared" si="60"/>
        <v>3460.2111760052744</v>
      </c>
      <c r="DC67" s="7">
        <f t="shared" si="60"/>
        <v>576.10668570028395</v>
      </c>
      <c r="DD67" s="7">
        <f t="shared" si="60"/>
        <v>573.09522542330558</v>
      </c>
      <c r="DE67" s="7">
        <f t="shared" si="60"/>
        <v>3006.477121694862</v>
      </c>
      <c r="DF67" s="7">
        <f t="shared" si="60"/>
        <v>3422.9633947055186</v>
      </c>
      <c r="DG67" s="7">
        <f t="shared" si="60"/>
        <v>553.13239457952727</v>
      </c>
      <c r="DH67" s="7">
        <f t="shared" si="60"/>
        <v>550.06025187035596</v>
      </c>
      <c r="DI67" s="7">
        <f t="shared" si="60"/>
        <v>550.0602518703613</v>
      </c>
      <c r="DJ67" s="7">
        <f t="shared" si="60"/>
        <v>3.5650498288093758E-10</v>
      </c>
      <c r="DK67" s="7">
        <f t="shared" si="60"/>
        <v>3.6202842464013921E-10</v>
      </c>
      <c r="DL67" s="7">
        <f t="shared" si="60"/>
        <v>3.6751464320487664E-10</v>
      </c>
      <c r="DM67" s="7">
        <f t="shared" si="60"/>
        <v>3.7314502740189858E-10</v>
      </c>
      <c r="DN67" s="7">
        <f t="shared" si="60"/>
        <v>3.7892361651042161E-10</v>
      </c>
      <c r="DO67" s="7">
        <f t="shared" si="60"/>
        <v>3.84790810651942E-10</v>
      </c>
      <c r="DP67" s="7">
        <f t="shared" si="60"/>
        <v>3.9068321672191106E-10</v>
      </c>
      <c r="DQ67" s="7">
        <f t="shared" si="60"/>
        <v>3.9666499095060801E-10</v>
      </c>
      <c r="DR67" s="7">
        <f t="shared" si="60"/>
        <v>4.0280421950021124E-10</v>
      </c>
      <c r="DS67" s="7">
        <f t="shared" si="60"/>
        <v>4.0903758288757506E-10</v>
      </c>
      <c r="DT67" s="7">
        <f t="shared" si="60"/>
        <v>4.1522893882602402E-10</v>
      </c>
      <c r="DU67" s="7">
        <f t="shared" si="60"/>
        <v>4.215829898399667E-10</v>
      </c>
      <c r="DV67" s="7">
        <f t="shared" si="60"/>
        <v>4.2810429437254008E-10</v>
      </c>
      <c r="DW67" s="7">
        <f t="shared" si="60"/>
        <v>4.3472559224127959E-10</v>
      </c>
      <c r="DX67" s="7">
        <f t="shared" si="60"/>
        <v>4.4130226832003412E-10</v>
      </c>
      <c r="DY67" s="7">
        <f t="shared" si="60"/>
        <v>4.4805176483130259E-10</v>
      </c>
      <c r="DZ67" s="7">
        <f t="shared" si="60"/>
        <v>4.5497892391374315E-10</v>
      </c>
      <c r="EA67" s="7">
        <f t="shared" si="60"/>
        <v>4.6201229943544778E-10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350.61961115807276</v>
      </c>
      <c r="N68" s="7">
        <f t="shared" si="61"/>
        <v>1159.3584459071449</v>
      </c>
      <c r="O68" s="7">
        <f t="shared" si="61"/>
        <v>962.4299049174333</v>
      </c>
      <c r="P68" s="7">
        <f t="shared" si="61"/>
        <v>468.14199831783026</v>
      </c>
      <c r="Q68" s="7">
        <f t="shared" si="61"/>
        <v>693.8580092183679</v>
      </c>
      <c r="R68" s="7">
        <f t="shared" si="61"/>
        <v>1151.390095249435</v>
      </c>
      <c r="S68" s="7">
        <f t="shared" si="61"/>
        <v>955.43816580929069</v>
      </c>
      <c r="T68" s="7">
        <f t="shared" si="61"/>
        <v>463.61445889824017</v>
      </c>
      <c r="U68" s="7">
        <f t="shared" si="61"/>
        <v>688.17227296354258</v>
      </c>
      <c r="V68" s="7">
        <f t="shared" si="61"/>
        <v>1143.417049002222</v>
      </c>
      <c r="W68" s="7">
        <f t="shared" si="61"/>
        <v>948.43680922757449</v>
      </c>
      <c r="X68" s="7">
        <f t="shared" si="61"/>
        <v>462.81809948418754</v>
      </c>
      <c r="Y68" s="7">
        <f t="shared" si="61"/>
        <v>678.71685835175094</v>
      </c>
      <c r="Z68" s="7">
        <f t="shared" si="61"/>
        <v>1135.4384370710804</v>
      </c>
      <c r="AA68" s="7">
        <f t="shared" si="61"/>
        <v>941.42498829294163</v>
      </c>
      <c r="AB68" s="7">
        <f t="shared" si="61"/>
        <v>454.49326983395736</v>
      </c>
      <c r="AC68" s="7">
        <f t="shared" si="61"/>
        <v>676.74980750411669</v>
      </c>
      <c r="AD68" s="7">
        <f t="shared" si="61"/>
        <v>1127.4533756868341</v>
      </c>
      <c r="AE68" s="7">
        <f t="shared" si="61"/>
        <v>934.40184231017201</v>
      </c>
      <c r="AF68" s="7">
        <f t="shared" si="61"/>
        <v>449.89803742407571</v>
      </c>
      <c r="AG68" s="7">
        <f t="shared" si="61"/>
        <v>671.01141656018308</v>
      </c>
      <c r="AH68" s="7">
        <f t="shared" si="61"/>
        <v>1119.4609671108105</v>
      </c>
      <c r="AI68" s="7">
        <f t="shared" si="61"/>
        <v>927.36649647360764</v>
      </c>
      <c r="AJ68" s="7">
        <f t="shared" si="61"/>
        <v>445.27863415043657</v>
      </c>
      <c r="AK68" s="7">
        <f t="shared" ref="AK68:BP68" si="62" xml:space="preserve"> AK$64</f>
        <v>665.25378838665893</v>
      </c>
      <c r="AL68" s="7">
        <f t="shared" si="62"/>
        <v>1111.4602993342514</v>
      </c>
      <c r="AM68" s="7">
        <f t="shared" si="62"/>
        <v>920.31806156673383</v>
      </c>
      <c r="AN68" s="7">
        <f t="shared" si="62"/>
        <v>444.27845319645076</v>
      </c>
      <c r="AO68" s="7">
        <f t="shared" si="62"/>
        <v>655.83183510735807</v>
      </c>
      <c r="AP68" s="7">
        <f t="shared" si="62"/>
        <v>1103.4504457717539</v>
      </c>
      <c r="AQ68" s="7">
        <f t="shared" si="62"/>
        <v>913.25563365579228</v>
      </c>
      <c r="AR68" s="7">
        <f t="shared" si="62"/>
        <v>435.96399011248718</v>
      </c>
      <c r="AS68" s="7">
        <f t="shared" si="62"/>
        <v>653.67733640982078</v>
      </c>
      <c r="AT68" s="7">
        <f t="shared" si="62"/>
        <v>1095.4304649486417</v>
      </c>
      <c r="AU68" s="7">
        <f t="shared" si="62"/>
        <v>906.17829377729458</v>
      </c>
      <c r="AV68" s="7">
        <f t="shared" si="62"/>
        <v>431.26704913699973</v>
      </c>
      <c r="AW68" s="7">
        <f t="shared" si="62"/>
        <v>647.85673259797886</v>
      </c>
      <c r="AX68" s="7">
        <f t="shared" si="62"/>
        <v>1087.3994001821156</v>
      </c>
      <c r="AY68" s="7">
        <f t="shared" si="62"/>
        <v>899.08510761931711</v>
      </c>
      <c r="AZ68" s="7">
        <f t="shared" si="62"/>
        <v>426.54253624860735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2575.4314086216336</v>
      </c>
      <c r="CH68" s="7">
        <f t="shared" si="63"/>
        <v>4395.9726604739562</v>
      </c>
      <c r="CI68" s="7">
        <f t="shared" si="63"/>
        <v>3615.6083643905404</v>
      </c>
      <c r="CJ68" s="7">
        <f t="shared" si="63"/>
        <v>1672.4139038003891</v>
      </c>
      <c r="CK68" s="7">
        <f t="shared" si="63"/>
        <v>2534.6755740795943</v>
      </c>
      <c r="CL68" s="7">
        <f t="shared" si="63"/>
        <v>4360.4475232891255</v>
      </c>
      <c r="CM68" s="7">
        <f t="shared" si="63"/>
        <v>3583.9461982317816</v>
      </c>
      <c r="CN68" s="7">
        <f t="shared" si="63"/>
        <v>1636.1669478320509</v>
      </c>
      <c r="CO68" s="7">
        <f t="shared" si="63"/>
        <v>3051.3177474006879</v>
      </c>
      <c r="CP68" s="7">
        <f t="shared" si="63"/>
        <v>4324.8239805218018</v>
      </c>
      <c r="CQ68" s="7">
        <f t="shared" si="63"/>
        <v>4210.881516538595</v>
      </c>
      <c r="CR68" s="7">
        <f t="shared" si="63"/>
        <v>5181.0544613704224</v>
      </c>
      <c r="CS68" s="7">
        <f t="shared" si="63"/>
        <v>7035.7521016679348</v>
      </c>
      <c r="CT68" s="7">
        <f t="shared" si="63"/>
        <v>8213.4624359995705</v>
      </c>
      <c r="CU68" s="7">
        <f t="shared" si="63"/>
        <v>8199.3512331059519</v>
      </c>
      <c r="CV68" s="7">
        <f t="shared" si="63"/>
        <v>9169.7283470640868</v>
      </c>
      <c r="CW68" s="7">
        <f t="shared" ref="CW68:EA68" si="64" xml:space="preserve"> CW$64</f>
        <v>11020.073274781005</v>
      </c>
      <c r="CX68" s="7">
        <f t="shared" si="64"/>
        <v>12196.799378627835</v>
      </c>
      <c r="CY68" s="7">
        <f t="shared" si="64"/>
        <v>12187.684751880253</v>
      </c>
      <c r="CZ68" s="7">
        <f t="shared" si="64"/>
        <v>13172.131469842923</v>
      </c>
      <c r="DA68" s="7">
        <f t="shared" si="64"/>
        <v>15004.27798869791</v>
      </c>
      <c r="DB68" s="7">
        <f t="shared" si="64"/>
        <v>16180.022741674611</v>
      </c>
      <c r="DC68" s="7">
        <f t="shared" si="64"/>
        <v>16175.878850083456</v>
      </c>
      <c r="DD68" s="7">
        <f t="shared" si="64"/>
        <v>17146.664648835056</v>
      </c>
      <c r="DE68" s="7">
        <f t="shared" si="64"/>
        <v>18988.362904284579</v>
      </c>
      <c r="DF68" s="7">
        <f t="shared" si="64"/>
        <v>20163.129131034741</v>
      </c>
      <c r="DG68" s="7">
        <f t="shared" si="64"/>
        <v>20163.930242376646</v>
      </c>
      <c r="DH68" s="7">
        <f t="shared" si="64"/>
        <v>-689.14681089145597</v>
      </c>
      <c r="DI68" s="7">
        <f t="shared" si="64"/>
        <v>550.06025187001023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196154.17888513798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350.61961115807276</v>
      </c>
      <c r="N69" s="147">
        <f t="shared" si="65"/>
        <v>1159.3584459071449</v>
      </c>
      <c r="O69" s="147">
        <f t="shared" si="65"/>
        <v>962.4299049174333</v>
      </c>
      <c r="P69" s="147">
        <f t="shared" si="65"/>
        <v>468.14199831783026</v>
      </c>
      <c r="Q69" s="147">
        <f t="shared" si="65"/>
        <v>693.8580092183679</v>
      </c>
      <c r="R69" s="147">
        <f t="shared" si="65"/>
        <v>1151.390095249435</v>
      </c>
      <c r="S69" s="147">
        <f t="shared" si="65"/>
        <v>955.43816580929069</v>
      </c>
      <c r="T69" s="147">
        <f t="shared" si="65"/>
        <v>463.61445889824017</v>
      </c>
      <c r="U69" s="147">
        <f t="shared" si="65"/>
        <v>688.17227296354258</v>
      </c>
      <c r="V69" s="147">
        <f t="shared" si="65"/>
        <v>1143.417049002222</v>
      </c>
      <c r="W69" s="147">
        <f t="shared" si="65"/>
        <v>948.43680922757449</v>
      </c>
      <c r="X69" s="147">
        <f t="shared" si="65"/>
        <v>462.81809948418754</v>
      </c>
      <c r="Y69" s="147">
        <f t="shared" si="65"/>
        <v>678.71685835175094</v>
      </c>
      <c r="Z69" s="147">
        <f t="shared" si="65"/>
        <v>1135.4384370710804</v>
      </c>
      <c r="AA69" s="147">
        <f t="shared" si="65"/>
        <v>941.42498829294163</v>
      </c>
      <c r="AB69" s="147">
        <f t="shared" si="65"/>
        <v>454.49326983395736</v>
      </c>
      <c r="AC69" s="147">
        <f t="shared" si="65"/>
        <v>676.74980750411669</v>
      </c>
      <c r="AD69" s="147">
        <f t="shared" si="65"/>
        <v>1127.4533756868341</v>
      </c>
      <c r="AE69" s="147">
        <f t="shared" si="65"/>
        <v>934.40184231017201</v>
      </c>
      <c r="AF69" s="147">
        <f t="shared" si="65"/>
        <v>449.89803742407571</v>
      </c>
      <c r="AG69" s="147">
        <f t="shared" si="65"/>
        <v>671.01141656018308</v>
      </c>
      <c r="AH69" s="147">
        <f t="shared" si="65"/>
        <v>1119.4609671108105</v>
      </c>
      <c r="AI69" s="147">
        <f t="shared" si="65"/>
        <v>927.36649647360764</v>
      </c>
      <c r="AJ69" s="147">
        <f t="shared" si="65"/>
        <v>445.27863415043657</v>
      </c>
      <c r="AK69" s="147">
        <f t="shared" si="65"/>
        <v>665.25378838665893</v>
      </c>
      <c r="AL69" s="147">
        <f t="shared" si="65"/>
        <v>1111.4602993342514</v>
      </c>
      <c r="AM69" s="147">
        <f t="shared" si="65"/>
        <v>920.31806156673383</v>
      </c>
      <c r="AN69" s="147">
        <f t="shared" si="65"/>
        <v>444.27845319645076</v>
      </c>
      <c r="AO69" s="147">
        <f t="shared" si="65"/>
        <v>655.83183510735807</v>
      </c>
      <c r="AP69" s="147">
        <f t="shared" ref="AP69:BU69" si="66" xml:space="preserve"> MAX(0, MIN(AP67:AP68))</f>
        <v>1103.4504457717539</v>
      </c>
      <c r="AQ69" s="147">
        <f t="shared" si="66"/>
        <v>913.25563365579228</v>
      </c>
      <c r="AR69" s="147">
        <f t="shared" si="66"/>
        <v>435.96399011248718</v>
      </c>
      <c r="AS69" s="147">
        <f t="shared" si="66"/>
        <v>653.67733640982078</v>
      </c>
      <c r="AT69" s="147">
        <f t="shared" si="66"/>
        <v>1095.4304649486417</v>
      </c>
      <c r="AU69" s="147">
        <f t="shared" si="66"/>
        <v>906.17829377729458</v>
      </c>
      <c r="AV69" s="147">
        <f t="shared" si="66"/>
        <v>431.26704913699973</v>
      </c>
      <c r="AW69" s="147">
        <f t="shared" si="66"/>
        <v>647.85673259797886</v>
      </c>
      <c r="AX69" s="147">
        <f t="shared" si="66"/>
        <v>1087.3994001821156</v>
      </c>
      <c r="AY69" s="147">
        <f t="shared" si="66"/>
        <v>899.08510761931711</v>
      </c>
      <c r="AZ69" s="147">
        <f t="shared" si="66"/>
        <v>426.54253624860735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1679.7890595480376</v>
      </c>
      <c r="CG69" s="147">
        <f t="shared" si="67"/>
        <v>2575.4314086216336</v>
      </c>
      <c r="CH69" s="147">
        <f t="shared" si="67"/>
        <v>4395.9726604739562</v>
      </c>
      <c r="CI69" s="147">
        <f t="shared" si="67"/>
        <v>3615.6083643905404</v>
      </c>
      <c r="CJ69" s="147">
        <f t="shared" si="67"/>
        <v>1672.4139038003891</v>
      </c>
      <c r="CK69" s="147">
        <f t="shared" si="67"/>
        <v>2534.6755740795943</v>
      </c>
      <c r="CL69" s="147">
        <f t="shared" si="67"/>
        <v>4360.4475232891255</v>
      </c>
      <c r="CM69" s="147">
        <f t="shared" si="67"/>
        <v>3583.9461982317816</v>
      </c>
      <c r="CN69" s="147">
        <f t="shared" si="67"/>
        <v>1107.3369254605534</v>
      </c>
      <c r="CO69" s="147">
        <f t="shared" si="67"/>
        <v>3051.3177474006879</v>
      </c>
      <c r="CP69" s="147">
        <f t="shared" si="67"/>
        <v>3666.1084800187755</v>
      </c>
      <c r="CQ69" s="147">
        <f t="shared" si="67"/>
        <v>643.936271402285</v>
      </c>
      <c r="CR69" s="147">
        <f t="shared" si="67"/>
        <v>641.09976088720759</v>
      </c>
      <c r="CS69" s="147">
        <f t="shared" si="67"/>
        <v>3111.3866430593139</v>
      </c>
      <c r="CT69" s="147">
        <f t="shared" si="67"/>
        <v>3534.3740555861154</v>
      </c>
      <c r="CU69" s="147">
        <f t="shared" si="67"/>
        <v>621.5036640785263</v>
      </c>
      <c r="CV69" s="147">
        <f t="shared" si="67"/>
        <v>618.60999645654169</v>
      </c>
      <c r="CW69" s="147">
        <f t="shared" si="67"/>
        <v>3076.5352686952128</v>
      </c>
      <c r="CX69" s="147">
        <f t="shared" si="67"/>
        <v>3497.346282662078</v>
      </c>
      <c r="CY69" s="147">
        <f t="shared" si="67"/>
        <v>598.89544015944705</v>
      </c>
      <c r="CZ69" s="147">
        <f t="shared" si="67"/>
        <v>595.94346368623758</v>
      </c>
      <c r="DA69" s="147">
        <f t="shared" si="67"/>
        <v>3041.5671832498315</v>
      </c>
      <c r="DB69" s="147">
        <f t="shared" ref="DB69:EA69" si="68" xml:space="preserve"> MAX(0, MIN(DB67:DB68))</f>
        <v>3460.2111760052744</v>
      </c>
      <c r="DC69" s="147">
        <f t="shared" si="68"/>
        <v>576.10668570028395</v>
      </c>
      <c r="DD69" s="147">
        <f t="shared" si="68"/>
        <v>573.09522542330558</v>
      </c>
      <c r="DE69" s="147">
        <f t="shared" si="68"/>
        <v>3006.477121694862</v>
      </c>
      <c r="DF69" s="147">
        <f t="shared" si="68"/>
        <v>3422.9633947055186</v>
      </c>
      <c r="DG69" s="147">
        <f t="shared" si="68"/>
        <v>553.13239457952727</v>
      </c>
      <c r="DH69" s="147">
        <f t="shared" si="68"/>
        <v>0</v>
      </c>
      <c r="DI69" s="147">
        <f t="shared" si="68"/>
        <v>550.06025187001023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-196154.17888513798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-350.61961115807276</v>
      </c>
      <c r="N70" s="147">
        <f t="shared" si="69"/>
        <v>-1159.3584459071449</v>
      </c>
      <c r="O70" s="147">
        <f t="shared" si="69"/>
        <v>-962.4299049174333</v>
      </c>
      <c r="P70" s="147">
        <f t="shared" si="69"/>
        <v>-468.14199831783026</v>
      </c>
      <c r="Q70" s="147">
        <f t="shared" si="69"/>
        <v>-693.8580092183679</v>
      </c>
      <c r="R70" s="147">
        <f t="shared" si="69"/>
        <v>-1151.390095249435</v>
      </c>
      <c r="S70" s="147">
        <f t="shared" si="69"/>
        <v>-955.43816580929069</v>
      </c>
      <c r="T70" s="147">
        <f t="shared" si="69"/>
        <v>-463.61445889824017</v>
      </c>
      <c r="U70" s="147">
        <f t="shared" si="69"/>
        <v>-688.17227296354258</v>
      </c>
      <c r="V70" s="147">
        <f t="shared" si="69"/>
        <v>-1143.417049002222</v>
      </c>
      <c r="W70" s="147">
        <f t="shared" si="69"/>
        <v>-948.43680922757449</v>
      </c>
      <c r="X70" s="147">
        <f t="shared" si="69"/>
        <v>-462.81809948418754</v>
      </c>
      <c r="Y70" s="147">
        <f t="shared" si="69"/>
        <v>-678.71685835175094</v>
      </c>
      <c r="Z70" s="147">
        <f t="shared" si="69"/>
        <v>-1135.4384370710804</v>
      </c>
      <c r="AA70" s="147">
        <f t="shared" si="69"/>
        <v>-941.42498829294163</v>
      </c>
      <c r="AB70" s="147">
        <f t="shared" si="69"/>
        <v>-454.49326983395736</v>
      </c>
      <c r="AC70" s="147">
        <f t="shared" si="69"/>
        <v>-676.74980750411669</v>
      </c>
      <c r="AD70" s="147">
        <f t="shared" si="69"/>
        <v>-1127.4533756868341</v>
      </c>
      <c r="AE70" s="147">
        <f t="shared" si="69"/>
        <v>-934.40184231017201</v>
      </c>
      <c r="AF70" s="147">
        <f t="shared" si="69"/>
        <v>-449.89803742407571</v>
      </c>
      <c r="AG70" s="147">
        <f t="shared" si="69"/>
        <v>-671.01141656018308</v>
      </c>
      <c r="AH70" s="147">
        <f t="shared" si="69"/>
        <v>-1119.4609671108105</v>
      </c>
      <c r="AI70" s="147">
        <f t="shared" si="69"/>
        <v>-927.36649647360764</v>
      </c>
      <c r="AJ70" s="147">
        <f t="shared" si="69"/>
        <v>-445.27863415043657</v>
      </c>
      <c r="AK70" s="147">
        <f t="shared" si="69"/>
        <v>-665.25378838665893</v>
      </c>
      <c r="AL70" s="147">
        <f t="shared" si="69"/>
        <v>-1111.4602993342514</v>
      </c>
      <c r="AM70" s="147">
        <f t="shared" si="69"/>
        <v>-920.31806156673383</v>
      </c>
      <c r="AN70" s="147">
        <f t="shared" si="69"/>
        <v>-444.27845319645076</v>
      </c>
      <c r="AO70" s="147">
        <f t="shared" si="69"/>
        <v>-655.83183510735807</v>
      </c>
      <c r="AP70" s="147">
        <f t="shared" si="69"/>
        <v>-1103.4504457717539</v>
      </c>
      <c r="AQ70" s="147">
        <f t="shared" si="69"/>
        <v>-913.25563365579228</v>
      </c>
      <c r="AR70" s="147">
        <f t="shared" si="69"/>
        <v>-435.96399011248718</v>
      </c>
      <c r="AS70" s="147">
        <f t="shared" si="69"/>
        <v>-653.67733640982078</v>
      </c>
      <c r="AT70" s="147">
        <f t="shared" si="69"/>
        <v>-1095.4304649486417</v>
      </c>
      <c r="AU70" s="147">
        <f t="shared" si="69"/>
        <v>-906.17829377729458</v>
      </c>
      <c r="AV70" s="147">
        <f t="shared" si="69"/>
        <v>-431.26704913699973</v>
      </c>
      <c r="AW70" s="147">
        <f t="shared" si="69"/>
        <v>-647.85673259797886</v>
      </c>
      <c r="AX70" s="147">
        <f t="shared" si="69"/>
        <v>-1087.3994001821156</v>
      </c>
      <c r="AY70" s="147">
        <f t="shared" si="69"/>
        <v>-899.08510761931711</v>
      </c>
      <c r="AZ70" s="147">
        <f t="shared" si="69"/>
        <v>-426.54253624860735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-1679.7890595480376</v>
      </c>
      <c r="CG70" s="147">
        <f t="shared" si="70"/>
        <v>-2575.4314086216336</v>
      </c>
      <c r="CH70" s="147">
        <f t="shared" si="70"/>
        <v>-4395.9726604739562</v>
      </c>
      <c r="CI70" s="147">
        <f t="shared" si="70"/>
        <v>-3615.6083643905404</v>
      </c>
      <c r="CJ70" s="147">
        <f t="shared" si="70"/>
        <v>-1672.4139038003891</v>
      </c>
      <c r="CK70" s="147">
        <f t="shared" si="70"/>
        <v>-2534.6755740795943</v>
      </c>
      <c r="CL70" s="147">
        <f t="shared" si="70"/>
        <v>-4360.4475232891255</v>
      </c>
      <c r="CM70" s="147">
        <f t="shared" si="70"/>
        <v>-3583.9461982317816</v>
      </c>
      <c r="CN70" s="147">
        <f t="shared" si="70"/>
        <v>-1107.3369254605534</v>
      </c>
      <c r="CO70" s="147">
        <f t="shared" si="70"/>
        <v>-3051.3177474006879</v>
      </c>
      <c r="CP70" s="147">
        <f t="shared" si="70"/>
        <v>-3666.1084800187755</v>
      </c>
      <c r="CQ70" s="147">
        <f t="shared" si="70"/>
        <v>-643.936271402285</v>
      </c>
      <c r="CR70" s="147">
        <f t="shared" si="70"/>
        <v>-641.09976088720759</v>
      </c>
      <c r="CS70" s="147">
        <f t="shared" si="70"/>
        <v>-3111.3866430593139</v>
      </c>
      <c r="CT70" s="147">
        <f t="shared" si="70"/>
        <v>-3534.3740555861154</v>
      </c>
      <c r="CU70" s="147">
        <f t="shared" si="70"/>
        <v>-621.5036640785263</v>
      </c>
      <c r="CV70" s="147">
        <f t="shared" si="70"/>
        <v>-618.60999645654169</v>
      </c>
      <c r="CW70" s="147">
        <f t="shared" si="70"/>
        <v>-3076.5352686952128</v>
      </c>
      <c r="CX70" s="147">
        <f t="shared" si="70"/>
        <v>-3497.346282662078</v>
      </c>
      <c r="CY70" s="147">
        <f t="shared" si="70"/>
        <v>-598.89544015944705</v>
      </c>
      <c r="CZ70" s="147">
        <f t="shared" si="70"/>
        <v>-595.94346368623758</v>
      </c>
      <c r="DA70" s="147">
        <f t="shared" si="70"/>
        <v>-3041.5671832498315</v>
      </c>
      <c r="DB70" s="147">
        <f t="shared" si="70"/>
        <v>-3460.2111760052744</v>
      </c>
      <c r="DC70" s="147">
        <f t="shared" si="70"/>
        <v>-576.10668570028395</v>
      </c>
      <c r="DD70" s="147">
        <f t="shared" si="70"/>
        <v>-573.09522542330558</v>
      </c>
      <c r="DE70" s="147">
        <f t="shared" si="70"/>
        <v>-3006.477121694862</v>
      </c>
      <c r="DF70" s="147">
        <f t="shared" si="70"/>
        <v>-3422.9633947055186</v>
      </c>
      <c r="DG70" s="147">
        <f t="shared" si="70"/>
        <v>-553.13239457952727</v>
      </c>
      <c r="DH70" s="147">
        <f t="shared" si="70"/>
        <v>0</v>
      </c>
      <c r="DI70" s="147">
        <f t="shared" si="70"/>
        <v>-550.06025187001023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J30" sqref="J3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21824.067412251883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196154.17888513798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350.61961115807276</v>
      </c>
      <c r="N14" s="146">
        <f xml:space="preserve"> Equity!N$69</f>
        <v>1159.3584459071449</v>
      </c>
      <c r="O14" s="146">
        <f xml:space="preserve"> Equity!O$69</f>
        <v>962.4299049174333</v>
      </c>
      <c r="P14" s="146">
        <f xml:space="preserve"> Equity!P$69</f>
        <v>468.14199831783026</v>
      </c>
      <c r="Q14" s="146">
        <f xml:space="preserve"> Equity!Q$69</f>
        <v>693.8580092183679</v>
      </c>
      <c r="R14" s="146">
        <f xml:space="preserve"> Equity!R$69</f>
        <v>1151.390095249435</v>
      </c>
      <c r="S14" s="146">
        <f xml:space="preserve"> Equity!S$69</f>
        <v>955.43816580929069</v>
      </c>
      <c r="T14" s="146">
        <f xml:space="preserve"> Equity!T$69</f>
        <v>463.61445889824017</v>
      </c>
      <c r="U14" s="146">
        <f xml:space="preserve"> Equity!U$69</f>
        <v>688.17227296354258</v>
      </c>
      <c r="V14" s="146">
        <f xml:space="preserve"> Equity!V$69</f>
        <v>1143.417049002222</v>
      </c>
      <c r="W14" s="146">
        <f xml:space="preserve"> Equity!W$69</f>
        <v>948.43680922757449</v>
      </c>
      <c r="X14" s="146">
        <f xml:space="preserve"> Equity!X$69</f>
        <v>462.81809948418754</v>
      </c>
      <c r="Y14" s="146">
        <f xml:space="preserve"> Equity!Y$69</f>
        <v>678.71685835175094</v>
      </c>
      <c r="Z14" s="146">
        <f xml:space="preserve"> Equity!Z$69</f>
        <v>1135.4384370710804</v>
      </c>
      <c r="AA14" s="146">
        <f xml:space="preserve"> Equity!AA$69</f>
        <v>941.42498829294163</v>
      </c>
      <c r="AB14" s="146">
        <f xml:space="preserve"> Equity!AB$69</f>
        <v>454.49326983395736</v>
      </c>
      <c r="AC14" s="146">
        <f xml:space="preserve"> Equity!AC$69</f>
        <v>676.74980750411669</v>
      </c>
      <c r="AD14" s="146">
        <f xml:space="preserve"> Equity!AD$69</f>
        <v>1127.4533756868341</v>
      </c>
      <c r="AE14" s="146">
        <f xml:space="preserve"> Equity!AE$69</f>
        <v>934.40184231017201</v>
      </c>
      <c r="AF14" s="146">
        <f xml:space="preserve"> Equity!AF$69</f>
        <v>449.89803742407571</v>
      </c>
      <c r="AG14" s="146">
        <f xml:space="preserve"> Equity!AG$69</f>
        <v>671.01141656018308</v>
      </c>
      <c r="AH14" s="146">
        <f xml:space="preserve"> Equity!AH$69</f>
        <v>1119.4609671108105</v>
      </c>
      <c r="AI14" s="146">
        <f xml:space="preserve"> Equity!AI$69</f>
        <v>927.36649647360764</v>
      </c>
      <c r="AJ14" s="146">
        <f xml:space="preserve"> Equity!AJ$69</f>
        <v>445.27863415043657</v>
      </c>
      <c r="AK14" s="146">
        <f xml:space="preserve"> Equity!AK$69</f>
        <v>665.25378838665893</v>
      </c>
      <c r="AL14" s="146">
        <f xml:space="preserve"> Equity!AL$69</f>
        <v>1111.4602993342514</v>
      </c>
      <c r="AM14" s="146">
        <f xml:space="preserve"> Equity!AM$69</f>
        <v>920.31806156673383</v>
      </c>
      <c r="AN14" s="146">
        <f xml:space="preserve"> Equity!AN$69</f>
        <v>444.27845319645076</v>
      </c>
      <c r="AO14" s="146">
        <f xml:space="preserve"> Equity!AO$69</f>
        <v>655.83183510735807</v>
      </c>
      <c r="AP14" s="146">
        <f xml:space="preserve"> Equity!AP$69</f>
        <v>1103.4504457717539</v>
      </c>
      <c r="AQ14" s="146">
        <f xml:space="preserve"> Equity!AQ$69</f>
        <v>913.25563365579228</v>
      </c>
      <c r="AR14" s="146">
        <f xml:space="preserve"> Equity!AR$69</f>
        <v>435.96399011248718</v>
      </c>
      <c r="AS14" s="146">
        <f xml:space="preserve"> Equity!AS$69</f>
        <v>653.67733640982078</v>
      </c>
      <c r="AT14" s="146">
        <f xml:space="preserve"> Equity!AT$69</f>
        <v>1095.4304649486417</v>
      </c>
      <c r="AU14" s="146">
        <f xml:space="preserve"> Equity!AU$69</f>
        <v>906.17829377729458</v>
      </c>
      <c r="AV14" s="146">
        <f xml:space="preserve"> Equity!AV$69</f>
        <v>431.26704913699973</v>
      </c>
      <c r="AW14" s="146">
        <f xml:space="preserve"> Equity!AW$69</f>
        <v>647.85673259797886</v>
      </c>
      <c r="AX14" s="146">
        <f xml:space="preserve"> Equity!AX$69</f>
        <v>1087.3994001821156</v>
      </c>
      <c r="AY14" s="146">
        <f xml:space="preserve"> Equity!AY$69</f>
        <v>899.08510761931711</v>
      </c>
      <c r="AZ14" s="146">
        <f xml:space="preserve"> Equity!AZ$69</f>
        <v>426.54253624860735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1679.7890595480376</v>
      </c>
      <c r="CG14" s="146">
        <f xml:space="preserve"> Equity!CG$69</f>
        <v>2575.4314086216336</v>
      </c>
      <c r="CH14" s="146">
        <f xml:space="preserve"> Equity!CH$69</f>
        <v>4395.9726604739562</v>
      </c>
      <c r="CI14" s="146">
        <f xml:space="preserve"> Equity!CI$69</f>
        <v>3615.6083643905404</v>
      </c>
      <c r="CJ14" s="146">
        <f xml:space="preserve"> Equity!CJ$69</f>
        <v>1672.4139038003891</v>
      </c>
      <c r="CK14" s="146">
        <f xml:space="preserve"> Equity!CK$69</f>
        <v>2534.6755740795943</v>
      </c>
      <c r="CL14" s="146">
        <f xml:space="preserve"> Equity!CL$69</f>
        <v>4360.4475232891255</v>
      </c>
      <c r="CM14" s="146">
        <f xml:space="preserve"> Equity!CM$69</f>
        <v>3583.9461982317816</v>
      </c>
      <c r="CN14" s="146">
        <f xml:space="preserve"> Equity!CN$69</f>
        <v>1107.3369254605534</v>
      </c>
      <c r="CO14" s="146">
        <f xml:space="preserve"> Equity!CO$69</f>
        <v>3051.3177474006879</v>
      </c>
      <c r="CP14" s="146">
        <f xml:space="preserve"> Equity!CP$69</f>
        <v>3666.1084800187755</v>
      </c>
      <c r="CQ14" s="146">
        <f xml:space="preserve"> Equity!CQ$69</f>
        <v>643.936271402285</v>
      </c>
      <c r="CR14" s="146">
        <f xml:space="preserve"> Equity!CR$69</f>
        <v>641.09976088720759</v>
      </c>
      <c r="CS14" s="146">
        <f xml:space="preserve"> Equity!CS$69</f>
        <v>3111.3866430593139</v>
      </c>
      <c r="CT14" s="146">
        <f xml:space="preserve"> Equity!CT$69</f>
        <v>3534.3740555861154</v>
      </c>
      <c r="CU14" s="146">
        <f xml:space="preserve"> Equity!CU$69</f>
        <v>621.5036640785263</v>
      </c>
      <c r="CV14" s="146">
        <f xml:space="preserve"> Equity!CV$69</f>
        <v>618.60999645654169</v>
      </c>
      <c r="CW14" s="146">
        <f xml:space="preserve"> Equity!CW$69</f>
        <v>3076.5352686952128</v>
      </c>
      <c r="CX14" s="146">
        <f xml:space="preserve"> Equity!CX$69</f>
        <v>3497.346282662078</v>
      </c>
      <c r="CY14" s="146">
        <f xml:space="preserve"> Equity!CY$69</f>
        <v>598.89544015944705</v>
      </c>
      <c r="CZ14" s="146">
        <f xml:space="preserve"> Equity!CZ$69</f>
        <v>595.94346368623758</v>
      </c>
      <c r="DA14" s="146">
        <f xml:space="preserve"> Equity!DA$69</f>
        <v>3041.5671832498315</v>
      </c>
      <c r="DB14" s="146">
        <f xml:space="preserve"> Equity!DB$69</f>
        <v>3460.2111760052744</v>
      </c>
      <c r="DC14" s="146">
        <f xml:space="preserve"> Equity!DC$69</f>
        <v>576.10668570028395</v>
      </c>
      <c r="DD14" s="146">
        <f xml:space="preserve"> Equity!DD$69</f>
        <v>573.09522542330558</v>
      </c>
      <c r="DE14" s="146">
        <f xml:space="preserve"> Equity!DE$69</f>
        <v>3006.477121694862</v>
      </c>
      <c r="DF14" s="146">
        <f xml:space="preserve"> Equity!DF$69</f>
        <v>3422.9633947055186</v>
      </c>
      <c r="DG14" s="146">
        <f xml:space="preserve"> Equity!DG$69</f>
        <v>553.13239457952727</v>
      </c>
      <c r="DH14" s="146">
        <f xml:space="preserve"> Equity!DH$69</f>
        <v>0</v>
      </c>
      <c r="DI14" s="146">
        <f xml:space="preserve"> Equity!DI$69</f>
        <v>550.06025187001023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21824.067412251883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21824.067412251883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196154.17888503801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-21824.067412251883</v>
      </c>
      <c r="M16" s="6">
        <f t="shared" si="0"/>
        <v>350.61961115807276</v>
      </c>
      <c r="N16" s="6">
        <f t="shared" si="0"/>
        <v>1159.3584459071449</v>
      </c>
      <c r="O16" s="6">
        <f t="shared" si="0"/>
        <v>962.4299049174333</v>
      </c>
      <c r="P16" s="6">
        <f t="shared" si="0"/>
        <v>468.14199831783026</v>
      </c>
      <c r="Q16" s="6">
        <f t="shared" si="0"/>
        <v>693.8580092183679</v>
      </c>
      <c r="R16" s="6">
        <f t="shared" si="0"/>
        <v>1151.390095249435</v>
      </c>
      <c r="S16" s="6">
        <f t="shared" si="0"/>
        <v>955.43816580929069</v>
      </c>
      <c r="T16" s="6">
        <f t="shared" si="0"/>
        <v>463.61445889824017</v>
      </c>
      <c r="U16" s="6">
        <f t="shared" si="0"/>
        <v>688.17227296354258</v>
      </c>
      <c r="V16" s="6">
        <f t="shared" si="0"/>
        <v>1143.417049002222</v>
      </c>
      <c r="W16" s="6">
        <f t="shared" si="0"/>
        <v>948.43680922757449</v>
      </c>
      <c r="X16" s="6">
        <f t="shared" si="0"/>
        <v>462.81809948418754</v>
      </c>
      <c r="Y16" s="6">
        <f t="shared" si="0"/>
        <v>678.71685835175094</v>
      </c>
      <c r="Z16" s="6">
        <f t="shared" si="0"/>
        <v>1135.4384370710804</v>
      </c>
      <c r="AA16" s="6">
        <f t="shared" si="0"/>
        <v>941.42498829294163</v>
      </c>
      <c r="AB16" s="6">
        <f t="shared" si="0"/>
        <v>454.49326983395736</v>
      </c>
      <c r="AC16" s="6">
        <f t="shared" si="0"/>
        <v>676.74980750411669</v>
      </c>
      <c r="AD16" s="6">
        <f t="shared" si="0"/>
        <v>1127.4533756868341</v>
      </c>
      <c r="AE16" s="6">
        <f t="shared" si="0"/>
        <v>934.40184231017201</v>
      </c>
      <c r="AF16" s="6">
        <f t="shared" si="0"/>
        <v>449.89803742407571</v>
      </c>
      <c r="AG16" s="6">
        <f t="shared" si="0"/>
        <v>671.01141656018308</v>
      </c>
      <c r="AH16" s="6">
        <f t="shared" si="0"/>
        <v>1119.4609671108105</v>
      </c>
      <c r="AI16" s="6">
        <f t="shared" si="0"/>
        <v>927.36649647360764</v>
      </c>
      <c r="AJ16" s="6">
        <f t="shared" si="0"/>
        <v>445.27863415043657</v>
      </c>
      <c r="AK16" s="6">
        <f t="shared" si="0"/>
        <v>665.25378838665893</v>
      </c>
      <c r="AL16" s="6">
        <f t="shared" si="0"/>
        <v>1111.4602993342514</v>
      </c>
      <c r="AM16" s="6">
        <f t="shared" si="0"/>
        <v>920.31806156673383</v>
      </c>
      <c r="AN16" s="6">
        <f t="shared" si="0"/>
        <v>444.27845319645076</v>
      </c>
      <c r="AO16" s="6">
        <f t="shared" si="0"/>
        <v>655.83183510735807</v>
      </c>
      <c r="AP16" s="6">
        <f t="shared" ref="AP16:BU16" si="1" xml:space="preserve"> $F11 * AP13 + -1 * $F10 * AP12 + AP14 + AP15</f>
        <v>1103.4504457717539</v>
      </c>
      <c r="AQ16" s="6">
        <f t="shared" si="1"/>
        <v>913.25563365579228</v>
      </c>
      <c r="AR16" s="6">
        <f t="shared" si="1"/>
        <v>435.96399011248718</v>
      </c>
      <c r="AS16" s="6">
        <f t="shared" si="1"/>
        <v>653.67733640982078</v>
      </c>
      <c r="AT16" s="6">
        <f t="shared" si="1"/>
        <v>1095.4304649486417</v>
      </c>
      <c r="AU16" s="6">
        <f t="shared" si="1"/>
        <v>906.17829377729458</v>
      </c>
      <c r="AV16" s="6">
        <f t="shared" si="1"/>
        <v>431.26704913699973</v>
      </c>
      <c r="AW16" s="6">
        <f t="shared" si="1"/>
        <v>647.85673259797886</v>
      </c>
      <c r="AX16" s="6">
        <f t="shared" si="1"/>
        <v>1087.3994001821156</v>
      </c>
      <c r="AY16" s="6">
        <f t="shared" si="1"/>
        <v>899.08510761931711</v>
      </c>
      <c r="AZ16" s="6">
        <f t="shared" si="1"/>
        <v>426.54253624860735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1679.7890595480376</v>
      </c>
      <c r="CG16" s="6">
        <f t="shared" si="2"/>
        <v>2575.4314086216336</v>
      </c>
      <c r="CH16" s="6">
        <f t="shared" si="2"/>
        <v>4395.9726604739562</v>
      </c>
      <c r="CI16" s="6">
        <f t="shared" si="2"/>
        <v>3615.6083643905404</v>
      </c>
      <c r="CJ16" s="6">
        <f t="shared" si="2"/>
        <v>1672.4139038003891</v>
      </c>
      <c r="CK16" s="6">
        <f t="shared" si="2"/>
        <v>2534.6755740795943</v>
      </c>
      <c r="CL16" s="6">
        <f t="shared" si="2"/>
        <v>4360.4475232891255</v>
      </c>
      <c r="CM16" s="6">
        <f t="shared" si="2"/>
        <v>3583.9461982317816</v>
      </c>
      <c r="CN16" s="6">
        <f t="shared" si="2"/>
        <v>1107.3369254605534</v>
      </c>
      <c r="CO16" s="6">
        <f t="shared" si="2"/>
        <v>3051.3177474006879</v>
      </c>
      <c r="CP16" s="6">
        <f t="shared" si="2"/>
        <v>3666.1084800187755</v>
      </c>
      <c r="CQ16" s="6">
        <f t="shared" si="2"/>
        <v>643.936271402285</v>
      </c>
      <c r="CR16" s="6">
        <f t="shared" si="2"/>
        <v>641.09976088720759</v>
      </c>
      <c r="CS16" s="6">
        <f t="shared" si="2"/>
        <v>3111.3866430593139</v>
      </c>
      <c r="CT16" s="6">
        <f t="shared" si="2"/>
        <v>3534.3740555861154</v>
      </c>
      <c r="CU16" s="6">
        <f t="shared" si="2"/>
        <v>621.5036640785263</v>
      </c>
      <c r="CV16" s="6">
        <f t="shared" si="2"/>
        <v>618.60999645654169</v>
      </c>
      <c r="CW16" s="6">
        <f t="shared" si="2"/>
        <v>3076.5352686952128</v>
      </c>
      <c r="CX16" s="6">
        <f t="shared" si="2"/>
        <v>3497.346282662078</v>
      </c>
      <c r="CY16" s="6">
        <f t="shared" si="2"/>
        <v>598.89544015944705</v>
      </c>
      <c r="CZ16" s="6">
        <f t="shared" si="2"/>
        <v>595.94346368623758</v>
      </c>
      <c r="DA16" s="6">
        <f t="shared" si="2"/>
        <v>3041.5671832498315</v>
      </c>
      <c r="DB16" s="6">
        <f t="shared" ref="DB16:EA16" si="3" xml:space="preserve"> $F11 * DB13 + -1 * $F10 * DB12 + DB14 + DB15</f>
        <v>3460.2111760052744</v>
      </c>
      <c r="DC16" s="6">
        <f t="shared" si="3"/>
        <v>576.10668570028395</v>
      </c>
      <c r="DD16" s="6">
        <f t="shared" si="3"/>
        <v>573.09522542330558</v>
      </c>
      <c r="DE16" s="6">
        <f t="shared" si="3"/>
        <v>3006.477121694862</v>
      </c>
      <c r="DF16" s="6">
        <f t="shared" si="3"/>
        <v>3422.9633947055186</v>
      </c>
      <c r="DG16" s="6">
        <f t="shared" si="3"/>
        <v>553.13239457952727</v>
      </c>
      <c r="DH16" s="6">
        <f t="shared" si="3"/>
        <v>21824.067412251883</v>
      </c>
      <c r="DI16" s="6">
        <f t="shared" si="3"/>
        <v>550.06025187001023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196154.17888503801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-21824.067412251883</v>
      </c>
      <c r="M18" s="7">
        <f t="shared" si="4"/>
        <v>350.61961115807276</v>
      </c>
      <c r="N18" s="7">
        <f t="shared" si="4"/>
        <v>1159.3584459071449</v>
      </c>
      <c r="O18" s="7">
        <f t="shared" si="4"/>
        <v>962.4299049174333</v>
      </c>
      <c r="P18" s="7">
        <f t="shared" si="4"/>
        <v>468.14199831783026</v>
      </c>
      <c r="Q18" s="7">
        <f t="shared" si="4"/>
        <v>693.8580092183679</v>
      </c>
      <c r="R18" s="7">
        <f t="shared" si="4"/>
        <v>1151.390095249435</v>
      </c>
      <c r="S18" s="7">
        <f t="shared" si="4"/>
        <v>955.43816580929069</v>
      </c>
      <c r="T18" s="7">
        <f t="shared" si="4"/>
        <v>463.61445889824017</v>
      </c>
      <c r="U18" s="7">
        <f t="shared" si="4"/>
        <v>688.17227296354258</v>
      </c>
      <c r="V18" s="7">
        <f t="shared" si="4"/>
        <v>1143.417049002222</v>
      </c>
      <c r="W18" s="7">
        <f t="shared" si="4"/>
        <v>948.43680922757449</v>
      </c>
      <c r="X18" s="7">
        <f t="shared" si="4"/>
        <v>462.81809948418754</v>
      </c>
      <c r="Y18" s="7">
        <f t="shared" si="4"/>
        <v>678.71685835175094</v>
      </c>
      <c r="Z18" s="7">
        <f t="shared" si="4"/>
        <v>1135.4384370710804</v>
      </c>
      <c r="AA18" s="7">
        <f t="shared" si="4"/>
        <v>941.42498829294163</v>
      </c>
      <c r="AB18" s="7">
        <f t="shared" si="4"/>
        <v>454.49326983395736</v>
      </c>
      <c r="AC18" s="7">
        <f t="shared" si="4"/>
        <v>676.74980750411669</v>
      </c>
      <c r="AD18" s="7">
        <f t="shared" si="4"/>
        <v>1127.4533756868341</v>
      </c>
      <c r="AE18" s="7">
        <f t="shared" si="4"/>
        <v>934.40184231017201</v>
      </c>
      <c r="AF18" s="7">
        <f t="shared" si="4"/>
        <v>449.89803742407571</v>
      </c>
      <c r="AG18" s="7">
        <f t="shared" si="4"/>
        <v>671.01141656018308</v>
      </c>
      <c r="AH18" s="7">
        <f t="shared" si="4"/>
        <v>1119.4609671108105</v>
      </c>
      <c r="AI18" s="7">
        <f t="shared" si="4"/>
        <v>927.36649647360764</v>
      </c>
      <c r="AJ18" s="7">
        <f t="shared" si="4"/>
        <v>445.27863415043657</v>
      </c>
      <c r="AK18" s="7">
        <f t="shared" ref="AK18:BP18" si="5" xml:space="preserve"> AK$16</f>
        <v>665.25378838665893</v>
      </c>
      <c r="AL18" s="7">
        <f t="shared" si="5"/>
        <v>1111.4602993342514</v>
      </c>
      <c r="AM18" s="7">
        <f t="shared" si="5"/>
        <v>920.31806156673383</v>
      </c>
      <c r="AN18" s="7">
        <f t="shared" si="5"/>
        <v>444.27845319645076</v>
      </c>
      <c r="AO18" s="7">
        <f t="shared" si="5"/>
        <v>655.83183510735807</v>
      </c>
      <c r="AP18" s="7">
        <f t="shared" si="5"/>
        <v>1103.4504457717539</v>
      </c>
      <c r="AQ18" s="7">
        <f t="shared" si="5"/>
        <v>913.25563365579228</v>
      </c>
      <c r="AR18" s="7">
        <f t="shared" si="5"/>
        <v>435.96399011248718</v>
      </c>
      <c r="AS18" s="7">
        <f t="shared" si="5"/>
        <v>653.67733640982078</v>
      </c>
      <c r="AT18" s="7">
        <f t="shared" si="5"/>
        <v>1095.4304649486417</v>
      </c>
      <c r="AU18" s="7">
        <f t="shared" si="5"/>
        <v>906.17829377729458</v>
      </c>
      <c r="AV18" s="7">
        <f t="shared" si="5"/>
        <v>431.26704913699973</v>
      </c>
      <c r="AW18" s="7">
        <f t="shared" si="5"/>
        <v>647.85673259797886</v>
      </c>
      <c r="AX18" s="7">
        <f t="shared" si="5"/>
        <v>1087.3994001821156</v>
      </c>
      <c r="AY18" s="7">
        <f t="shared" si="5"/>
        <v>899.08510761931711</v>
      </c>
      <c r="AZ18" s="7">
        <f t="shared" si="5"/>
        <v>426.54253624860735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1679.7890595480376</v>
      </c>
      <c r="CG18" s="7">
        <f t="shared" si="6"/>
        <v>2575.4314086216336</v>
      </c>
      <c r="CH18" s="7">
        <f t="shared" si="6"/>
        <v>4395.9726604739562</v>
      </c>
      <c r="CI18" s="7">
        <f t="shared" si="6"/>
        <v>3615.6083643905404</v>
      </c>
      <c r="CJ18" s="7">
        <f t="shared" si="6"/>
        <v>1672.4139038003891</v>
      </c>
      <c r="CK18" s="7">
        <f t="shared" si="6"/>
        <v>2534.6755740795943</v>
      </c>
      <c r="CL18" s="7">
        <f t="shared" si="6"/>
        <v>4360.4475232891255</v>
      </c>
      <c r="CM18" s="7">
        <f t="shared" si="6"/>
        <v>3583.9461982317816</v>
      </c>
      <c r="CN18" s="7">
        <f t="shared" si="6"/>
        <v>1107.3369254605534</v>
      </c>
      <c r="CO18" s="7">
        <f t="shared" si="6"/>
        <v>3051.3177474006879</v>
      </c>
      <c r="CP18" s="7">
        <f t="shared" si="6"/>
        <v>3666.1084800187755</v>
      </c>
      <c r="CQ18" s="7">
        <f t="shared" si="6"/>
        <v>643.936271402285</v>
      </c>
      <c r="CR18" s="7">
        <f t="shared" si="6"/>
        <v>641.09976088720759</v>
      </c>
      <c r="CS18" s="7">
        <f t="shared" si="6"/>
        <v>3111.3866430593139</v>
      </c>
      <c r="CT18" s="7">
        <f t="shared" si="6"/>
        <v>3534.3740555861154</v>
      </c>
      <c r="CU18" s="7">
        <f t="shared" si="6"/>
        <v>621.5036640785263</v>
      </c>
      <c r="CV18" s="7">
        <f t="shared" si="6"/>
        <v>618.60999645654169</v>
      </c>
      <c r="CW18" s="7">
        <f t="shared" ref="CW18:EA18" si="7" xml:space="preserve"> CW$16</f>
        <v>3076.5352686952128</v>
      </c>
      <c r="CX18" s="7">
        <f t="shared" si="7"/>
        <v>3497.346282662078</v>
      </c>
      <c r="CY18" s="7">
        <f t="shared" si="7"/>
        <v>598.89544015944705</v>
      </c>
      <c r="CZ18" s="7">
        <f t="shared" si="7"/>
        <v>595.94346368623758</v>
      </c>
      <c r="DA18" s="7">
        <f t="shared" si="7"/>
        <v>3041.5671832498315</v>
      </c>
      <c r="DB18" s="7">
        <f t="shared" si="7"/>
        <v>3460.2111760052744</v>
      </c>
      <c r="DC18" s="7">
        <f t="shared" si="7"/>
        <v>576.10668570028395</v>
      </c>
      <c r="DD18" s="7">
        <f t="shared" si="7"/>
        <v>573.09522542330558</v>
      </c>
      <c r="DE18" s="7">
        <f t="shared" si="7"/>
        <v>3006.477121694862</v>
      </c>
      <c r="DF18" s="7">
        <f t="shared" si="7"/>
        <v>3422.9633947055186</v>
      </c>
      <c r="DG18" s="7">
        <f t="shared" si="7"/>
        <v>553.13239457952727</v>
      </c>
      <c r="DH18" s="7">
        <f t="shared" si="7"/>
        <v>21824.067412251883</v>
      </c>
      <c r="DI18" s="7">
        <f t="shared" si="7"/>
        <v>550.06025187001023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0.21705926060676575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322667.04122730857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1519.3516483516487</v>
      </c>
      <c r="N27" s="146">
        <f xml:space="preserve"> 'FS Qtr'!N$33</f>
        <v>5023.8865989309606</v>
      </c>
      <c r="O27" s="146">
        <f xml:space="preserve"> 'FS Qtr'!O$33</f>
        <v>4170.5295879755431</v>
      </c>
      <c r="P27" s="146">
        <f xml:space="preserve"> 'FS Qtr'!P$33</f>
        <v>2028.6153260439305</v>
      </c>
      <c r="Q27" s="146">
        <f xml:space="preserve"> 'FS Qtr'!Q$33</f>
        <v>3006.71803994626</v>
      </c>
      <c r="R27" s="146">
        <f xml:space="preserve"> 'FS Qtr'!R$33</f>
        <v>4989.357079414217</v>
      </c>
      <c r="S27" s="146">
        <f xml:space="preserve"> 'FS Qtr'!S$33</f>
        <v>4140.2320518402594</v>
      </c>
      <c r="T27" s="146">
        <f xml:space="preserve"> 'FS Qtr'!T$33</f>
        <v>2008.9959885590401</v>
      </c>
      <c r="U27" s="146">
        <f xml:space="preserve"> 'FS Qtr'!U$33</f>
        <v>2982.0798495086847</v>
      </c>
      <c r="V27" s="146">
        <f xml:space="preserve"> 'FS Qtr'!V$33</f>
        <v>4954.807212342962</v>
      </c>
      <c r="W27" s="146">
        <f xml:space="preserve"> 'FS Qtr'!W$33</f>
        <v>4109.8928399861561</v>
      </c>
      <c r="X27" s="146">
        <f xml:space="preserve"> 'FS Qtr'!X$33</f>
        <v>2005.5450977648127</v>
      </c>
      <c r="Y27" s="146">
        <f xml:space="preserve"> 'FS Qtr'!Y$33</f>
        <v>2941.1063861909197</v>
      </c>
      <c r="Z27" s="146">
        <f xml:space="preserve"> 'FS Qtr'!Z$33</f>
        <v>4920.2332273080128</v>
      </c>
      <c r="AA27" s="146">
        <f xml:space="preserve"> 'FS Qtr'!AA$33</f>
        <v>4079.5082826027474</v>
      </c>
      <c r="AB27" s="146">
        <f xml:space="preserve"> 'FS Qtr'!AB$33</f>
        <v>1969.4708359471479</v>
      </c>
      <c r="AC27" s="146">
        <f xml:space="preserve"> 'FS Qtr'!AC$33</f>
        <v>2932.5824991845047</v>
      </c>
      <c r="AD27" s="146">
        <f xml:space="preserve"> 'FS Qtr'!AD$33</f>
        <v>4885.6312946429462</v>
      </c>
      <c r="AE27" s="146">
        <f xml:space="preserve"> 'FS Qtr'!AE$33</f>
        <v>4049.0746500107443</v>
      </c>
      <c r="AF27" s="146">
        <f xml:space="preserve"> 'FS Qtr'!AF$33</f>
        <v>1949.5581621709948</v>
      </c>
      <c r="AG27" s="146">
        <f xml:space="preserve"> 'FS Qtr'!AG$33</f>
        <v>2907.71613842746</v>
      </c>
      <c r="AH27" s="146">
        <f xml:space="preserve"> 'FS Qtr'!AH$33</f>
        <v>4850.9975241468455</v>
      </c>
      <c r="AI27" s="146">
        <f xml:space="preserve"> 'FS Qtr'!AI$33</f>
        <v>4018.5881513856307</v>
      </c>
      <c r="AJ27" s="146">
        <f xml:space="preserve"> 'FS Qtr'!AJ$33</f>
        <v>1929.5407479852247</v>
      </c>
      <c r="AK27" s="146">
        <f xml:space="preserve"> 'FS Qtr'!AK$33</f>
        <v>2882.7664163421891</v>
      </c>
      <c r="AL27" s="146">
        <f xml:space="preserve"> 'FS Qtr'!AL$33</f>
        <v>4816.327963781755</v>
      </c>
      <c r="AM27" s="146">
        <f xml:space="preserve"> 'FS Qtr'!AM$33</f>
        <v>3988.0449334558452</v>
      </c>
      <c r="AN27" s="146">
        <f xml:space="preserve"> 'FS Qtr'!AN$33</f>
        <v>1925.2066305179528</v>
      </c>
      <c r="AO27" s="146">
        <f xml:space="preserve"> 'FS Qtr'!AO$33</f>
        <v>2841.9379521318856</v>
      </c>
      <c r="AP27" s="146">
        <f xml:space="preserve"> 'FS Qtr'!AP$33</f>
        <v>4781.6185983442665</v>
      </c>
      <c r="AQ27" s="146">
        <f xml:space="preserve"> 'FS Qtr'!AQ$33</f>
        <v>3957.4410791751011</v>
      </c>
      <c r="AR27" s="146">
        <f xml:space="preserve"> 'FS Qtr'!AR$33</f>
        <v>1889.1772904874442</v>
      </c>
      <c r="AS27" s="146">
        <f xml:space="preserve"> 'FS Qtr'!AS$33</f>
        <v>2832.6017911092231</v>
      </c>
      <c r="AT27" s="146">
        <f xml:space="preserve"> 'FS Qtr'!AT$33</f>
        <v>4746.8653481107795</v>
      </c>
      <c r="AU27" s="146">
        <f xml:space="preserve"> 'FS Qtr'!AU$33</f>
        <v>3926.7726063682762</v>
      </c>
      <c r="AV27" s="146">
        <f xml:space="preserve"> 'FS Qtr'!AV$33</f>
        <v>1868.823879593665</v>
      </c>
      <c r="AW27" s="146">
        <f xml:space="preserve"> 'FS Qtr'!AW$33</f>
        <v>2807.3791745912417</v>
      </c>
      <c r="AX27" s="146">
        <f xml:space="preserve"> 'FS Qtr'!AX$33</f>
        <v>4712.0640674558335</v>
      </c>
      <c r="AY27" s="146">
        <f xml:space="preserve"> 'FS Qtr'!AY$33</f>
        <v>3896.0354663503745</v>
      </c>
      <c r="AZ27" s="146">
        <f xml:space="preserve"> 'FS Qtr'!AZ$33</f>
        <v>1848.3509904106313</v>
      </c>
      <c r="BA27" s="146">
        <f xml:space="preserve"> 'FS Qtr'!BA$33</f>
        <v>2782.0577672391714</v>
      </c>
      <c r="BB27" s="146">
        <f xml:space="preserve"> 'FS Qtr'!BB$33</f>
        <v>4677.2105434430441</v>
      </c>
      <c r="BC27" s="146">
        <f xml:space="preserve"> 'FS Qtr'!BC$33</f>
        <v>3865.225542517991</v>
      </c>
      <c r="BD27" s="146">
        <f xml:space="preserve"> 'FS Qtr'!BD$33</f>
        <v>1843.0720590969331</v>
      </c>
      <c r="BE27" s="146">
        <f xml:space="preserve"> 'FS Qtr'!BE$33</f>
        <v>2741.3162515247823</v>
      </c>
      <c r="BF27" s="146">
        <f xml:space="preserve"> 'FS Qtr'!BF$33</f>
        <v>4642.3004943880223</v>
      </c>
      <c r="BG27" s="146">
        <f xml:space="preserve"> 'FS Qtr'!BG$33</f>
        <v>3834.3386489127424</v>
      </c>
      <c r="BH27" s="146">
        <f xml:space="preserve"> 'FS Qtr'!BH$33</f>
        <v>1807.0312923881415</v>
      </c>
      <c r="BI27" s="146">
        <f xml:space="preserve"> 'FS Qtr'!BI$33</f>
        <v>2731.1023978583507</v>
      </c>
      <c r="BJ27" s="146">
        <f xml:space="preserve"> 'FS Qtr'!BJ$33</f>
        <v>4607.3295683927436</v>
      </c>
      <c r="BK27" s="146">
        <f xml:space="preserve"> 'FS Qtr'!BK$33</f>
        <v>3803.3705287560883</v>
      </c>
      <c r="BL27" s="146">
        <f xml:space="preserve"> 'FS Qtr'!BL$33</f>
        <v>1786.1765635552633</v>
      </c>
      <c r="BM27" s="146">
        <f xml:space="preserve"> 'FS Qtr'!BM$33</f>
        <v>2705.4601656930258</v>
      </c>
      <c r="BN27" s="146">
        <f xml:space="preserve"> 'FS Qtr'!BN$33</f>
        <v>4572.2933418507855</v>
      </c>
      <c r="BO27" s="146">
        <f xml:space="preserve"> 'FS Qtr'!BO$33</f>
        <v>3772.3168529549539</v>
      </c>
      <c r="BP27" s="146">
        <f xml:space="preserve"> 'FS Qtr'!BP$33</f>
        <v>1765.1865135060509</v>
      </c>
      <c r="BQ27" s="146">
        <f xml:space="preserve"> 'FS Qtr'!BQ$33</f>
        <v>2679.7025994275532</v>
      </c>
      <c r="BR27" s="146">
        <f xml:space="preserve"> 'FS Qtr'!BR$33</f>
        <v>4537.1873179228514</v>
      </c>
      <c r="BS27" s="146">
        <f xml:space="preserve"> 'FS Qtr'!BS$33</f>
        <v>3741.1732185775827</v>
      </c>
      <c r="BT27" s="146">
        <f xml:space="preserve"> 'FS Qtr'!BT$33</f>
        <v>1758.8958323021477</v>
      </c>
      <c r="BU27" s="146">
        <f xml:space="preserve"> 'FS Qtr'!BU$33</f>
        <v>2638.9865438332372</v>
      </c>
      <c r="BV27" s="146">
        <f xml:space="preserve"> 'FS Qtr'!BV$33</f>
        <v>4502.0069249819471</v>
      </c>
      <c r="BW27" s="146">
        <f xml:space="preserve"> 'FS Qtr'!BW$33</f>
        <v>3709.9351472990134</v>
      </c>
      <c r="BX27" s="146">
        <f xml:space="preserve"> 'FS Qtr'!BX$33</f>
        <v>1722.7837962499902</v>
      </c>
      <c r="BY27" s="146">
        <f xml:space="preserve"> 'FS Qtr'!BY$33</f>
        <v>2627.8241038459855</v>
      </c>
      <c r="BZ27" s="146">
        <f xml:space="preserve"> 'FS Qtr'!BZ$33</f>
        <v>4466.7475150276478</v>
      </c>
      <c r="CA27" s="146">
        <f xml:space="preserve"> 'FS Qtr'!CA$33</f>
        <v>3678.5980838155601</v>
      </c>
      <c r="CB27" s="146">
        <f xml:space="preserve"> 'FS Qtr'!CB$33</f>
        <v>1701.3626095709205</v>
      </c>
      <c r="CC27" s="146">
        <f xml:space="preserve"> 'FS Qtr'!CC$33</f>
        <v>2601.6942997167585</v>
      </c>
      <c r="CD27" s="146">
        <f xml:space="preserve"> 'FS Qtr'!CD$33</f>
        <v>4431.4043620687899</v>
      </c>
      <c r="CE27" s="146">
        <f xml:space="preserve"> 'FS Qtr'!CE$33</f>
        <v>3647.1573942276741</v>
      </c>
      <c r="CF27" s="146">
        <f xml:space="preserve"> 'FS Qtr'!CF$33</f>
        <v>1679.7890595480376</v>
      </c>
      <c r="CG27" s="146">
        <f xml:space="preserve"> 'FS Qtr'!CG$33</f>
        <v>2575.4314086216336</v>
      </c>
      <c r="CH27" s="146">
        <f xml:space="preserve"> 'FS Qtr'!CH$33</f>
        <v>4395.9726604739562</v>
      </c>
      <c r="CI27" s="146">
        <f xml:space="preserve"> 'FS Qtr'!CI$33</f>
        <v>3615.6083643905404</v>
      </c>
      <c r="CJ27" s="146">
        <f xml:space="preserve"> 'FS Qtr'!CJ$33</f>
        <v>1672.4139038003891</v>
      </c>
      <c r="CK27" s="146">
        <f xml:space="preserve"> 'FS Qtr'!CK$33</f>
        <v>2534.6755740795943</v>
      </c>
      <c r="CL27" s="146">
        <f xml:space="preserve"> 'FS Qtr'!CL$33</f>
        <v>4360.4475232891255</v>
      </c>
      <c r="CM27" s="146">
        <f xml:space="preserve"> 'FS Qtr'!CM$33</f>
        <v>3583.9461982317816</v>
      </c>
      <c r="CN27" s="146">
        <f xml:space="preserve"> 'FS Qtr'!CN$33</f>
        <v>1636.1669478320509</v>
      </c>
      <c r="CO27" s="146">
        <f xml:space="preserve"> 'FS Qtr'!CO$33</f>
        <v>2522.4877250291902</v>
      </c>
      <c r="CP27" s="146">
        <f xml:space="preserve"> 'FS Qtr'!CP$33</f>
        <v>4324.8239805218018</v>
      </c>
      <c r="CQ27" s="146">
        <f xml:space="preserve"> 'FS Qtr'!CQ$33</f>
        <v>3552.1660160355682</v>
      </c>
      <c r="CR27" s="146">
        <f xml:space="preserve"> 'FS Qtr'!CR$33</f>
        <v>1614.109216234112</v>
      </c>
      <c r="CS27" s="146">
        <f xml:space="preserve"> 'FS Qtr'!CS$33</f>
        <v>2495.79740118472</v>
      </c>
      <c r="CT27" s="146">
        <f xml:space="preserve"> 'FS Qtr'!CT$33</f>
        <v>4289.0969773909501</v>
      </c>
      <c r="CU27" s="146">
        <f xml:space="preserve"> 'FS Qtr'!CU$33</f>
        <v>3520.2628526924959</v>
      </c>
      <c r="CV27" s="146">
        <f xml:space="preserve"> 'FS Qtr'!CV$33</f>
        <v>1591.8807780366615</v>
      </c>
      <c r="CW27" s="146">
        <f xml:space="preserve"> 'FS Qtr'!CW$33</f>
        <v>2468.9549241734603</v>
      </c>
      <c r="CX27" s="146">
        <f xml:space="preserve"> 'FS Qtr'!CX$33</f>
        <v>4253.2613725420415</v>
      </c>
      <c r="CY27" s="146">
        <f xml:space="preserve"> 'FS Qtr'!CY$33</f>
        <v>3488.2316559144965</v>
      </c>
      <c r="CZ27" s="146">
        <f xml:space="preserve"> 'FS Qtr'!CZ$33</f>
        <v>1583.3421581221173</v>
      </c>
      <c r="DA27" s="146">
        <f xml:space="preserve"> 'FS Qtr'!DA$33</f>
        <v>2428.0899825412234</v>
      </c>
      <c r="DB27" s="146">
        <f xml:space="preserve"> 'FS Qtr'!DB$33</f>
        <v>4217.3119362265334</v>
      </c>
      <c r="DC27" s="146">
        <f xml:space="preserve"> 'FS Qtr'!DC$33</f>
        <v>3456.0672844141181</v>
      </c>
      <c r="DD27" s="146">
        <f xml:space="preserve"> 'FS Qtr'!DD$33</f>
        <v>1546.8924844518847</v>
      </c>
      <c r="DE27" s="146">
        <f xml:space="preserve"> 'FS Qtr'!DE$33</f>
        <v>2414.7934808728296</v>
      </c>
      <c r="DF27" s="146">
        <f xml:space="preserve"> 'FS Qtr'!DF$33</f>
        <v>4181.2433484450221</v>
      </c>
      <c r="DG27" s="146">
        <f xml:space="preserve"> 'FS Qtr'!DG$33</f>
        <v>3423.7645060474233</v>
      </c>
      <c r="DH27" s="146">
        <f xml:space="preserve"> 'FS Qtr'!DH$33</f>
        <v>1524.1227535633093</v>
      </c>
      <c r="DI27" s="146">
        <f xml:space="preserve"> 'FS Qtr'!DI$33</f>
        <v>1239.2070627614662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104688.79492991856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1168.7320371935759</v>
      </c>
      <c r="N28" s="146">
        <f xml:space="preserve"> Debt!N$98</f>
        <v>3864.5281530238158</v>
      </c>
      <c r="O28" s="146">
        <f xml:space="preserve"> Debt!O$98</f>
        <v>3208.0996830581098</v>
      </c>
      <c r="P28" s="146">
        <f xml:space="preserve"> Debt!P$98</f>
        <v>1560.4733277261003</v>
      </c>
      <c r="Q28" s="146">
        <f xml:space="preserve"> Debt!Q$98</f>
        <v>2312.8600307278921</v>
      </c>
      <c r="R28" s="146">
        <f xml:space="preserve"> Debt!R$98</f>
        <v>3837.9669841647819</v>
      </c>
      <c r="S28" s="146">
        <f xml:space="preserve"> Debt!S$98</f>
        <v>3184.7938860309687</v>
      </c>
      <c r="T28" s="146">
        <f xml:space="preserve"> Debt!T$98</f>
        <v>1545.3815296608</v>
      </c>
      <c r="U28" s="146">
        <f xml:space="preserve"> Debt!U$98</f>
        <v>2293.9075765451421</v>
      </c>
      <c r="V28" s="146">
        <f xml:space="preserve"> Debt!V$98</f>
        <v>3811.3901633407399</v>
      </c>
      <c r="W28" s="146">
        <f xml:space="preserve"> Debt!W$98</f>
        <v>3161.4560307585816</v>
      </c>
      <c r="X28" s="146">
        <f xml:space="preserve"> Debt!X$98</f>
        <v>1542.7269982806251</v>
      </c>
      <c r="Y28" s="146">
        <f xml:space="preserve"> Debt!Y$98</f>
        <v>2262.3895278391687</v>
      </c>
      <c r="Z28" s="146">
        <f xml:space="preserve"> Debt!Z$98</f>
        <v>3784.7947902369324</v>
      </c>
      <c r="AA28" s="146">
        <f xml:space="preserve"> Debt!AA$98</f>
        <v>3138.0832943098058</v>
      </c>
      <c r="AB28" s="146">
        <f xml:space="preserve"> Debt!AB$98</f>
        <v>1514.9775661131905</v>
      </c>
      <c r="AC28" s="146">
        <f xml:space="preserve"> Debt!AC$98</f>
        <v>2255.8326916803881</v>
      </c>
      <c r="AD28" s="146">
        <f xml:space="preserve"> Debt!AD$98</f>
        <v>3758.1779189561121</v>
      </c>
      <c r="AE28" s="146">
        <f xml:space="preserve"> Debt!AE$98</f>
        <v>3114.6728077005723</v>
      </c>
      <c r="AF28" s="146">
        <f xml:space="preserve"> Debt!AF$98</f>
        <v>1499.6601247469191</v>
      </c>
      <c r="AG28" s="146">
        <f xml:space="preserve"> Debt!AG$98</f>
        <v>2236.7047218672769</v>
      </c>
      <c r="AH28" s="146">
        <f xml:space="preserve"> Debt!AH$98</f>
        <v>3731.536557036035</v>
      </c>
      <c r="AI28" s="146">
        <f xml:space="preserve"> Debt!AI$98</f>
        <v>3091.221654912023</v>
      </c>
      <c r="AJ28" s="146">
        <f xml:space="preserve"> Debt!AJ$98</f>
        <v>1484.2621138347881</v>
      </c>
      <c r="AK28" s="146">
        <f xml:space="preserve"> Debt!AK$98</f>
        <v>2217.5126279555302</v>
      </c>
      <c r="AL28" s="146">
        <f xml:space="preserve"> Debt!AL$98</f>
        <v>3704.8676644475036</v>
      </c>
      <c r="AM28" s="146">
        <f xml:space="preserve"> Debt!AM$98</f>
        <v>3067.7268718891114</v>
      </c>
      <c r="AN28" s="146">
        <f xml:space="preserve"> Debt!AN$98</f>
        <v>1480.9281773215021</v>
      </c>
      <c r="AO28" s="146">
        <f xml:space="preserve"> Debt!AO$98</f>
        <v>2186.1061170245275</v>
      </c>
      <c r="AP28" s="146">
        <f xml:space="preserve"> Debt!AP$98</f>
        <v>3678.1681525725126</v>
      </c>
      <c r="AQ28" s="146">
        <f xml:space="preserve"> Debt!AQ$98</f>
        <v>3044.1854455193088</v>
      </c>
      <c r="AR28" s="146">
        <f xml:space="preserve"> Debt!AR$98</f>
        <v>1453.213300374957</v>
      </c>
      <c r="AS28" s="146">
        <f xml:space="preserve"> Debt!AS$98</f>
        <v>2178.9244546994023</v>
      </c>
      <c r="AT28" s="146">
        <f xml:space="preserve"> Debt!AT$98</f>
        <v>3651.4348831621378</v>
      </c>
      <c r="AU28" s="146">
        <f xml:space="preserve"> Debt!AU$98</f>
        <v>3020.5943125909816</v>
      </c>
      <c r="AV28" s="146">
        <f xml:space="preserve"> Debt!AV$98</f>
        <v>1437.5568304566652</v>
      </c>
      <c r="AW28" s="146">
        <f xml:space="preserve"> Debt!AW$98</f>
        <v>2159.5224419932629</v>
      </c>
      <c r="AX28" s="146">
        <f xml:space="preserve"> Debt!AX$98</f>
        <v>3624.6646672737179</v>
      </c>
      <c r="AY28" s="146">
        <f xml:space="preserve"> Debt!AY$98</f>
        <v>2996.9503587310573</v>
      </c>
      <c r="AZ28" s="146">
        <f xml:space="preserve"> Debt!AZ$98</f>
        <v>1421.808454162024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1.3000000000000003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</v>
      </c>
      <c r="AH30" s="48">
        <f t="shared" si="8"/>
        <v>1.3</v>
      </c>
      <c r="AI30" s="48">
        <f t="shared" si="8"/>
        <v>1.3000000000000003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1.2999999999999998</v>
      </c>
      <c r="AP30" s="48">
        <f t="shared" ref="AP30:BU30" si="9" xml:space="preserve"> IF( AP29 = 1, AP27 / AP28, "na")</f>
        <v>1.3</v>
      </c>
      <c r="AQ30" s="48">
        <f t="shared" si="9"/>
        <v>1.2999999999999998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1.3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H38" sqref="H38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-26512.86234216993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-1185.66831091418</v>
      </c>
      <c r="N16" s="191">
        <f xml:space="preserve"> Debt!N$82</f>
        <v>-1198.9573225425206</v>
      </c>
      <c r="O16" s="191">
        <f xml:space="preserve"> Debt!O$82</f>
        <v>-1158.0852364751406</v>
      </c>
      <c r="P16" s="191">
        <f xml:space="preserve"> Debt!P$82</f>
        <v>-1102.159253766067</v>
      </c>
      <c r="Q16" s="191">
        <f xml:space="preserve"> Debt!Q$82</f>
        <v>-1107.4543709084073</v>
      </c>
      <c r="R16" s="191">
        <f xml:space="preserve"> Debt!R$82</f>
        <v>-1101.1413123762493</v>
      </c>
      <c r="S16" s="191">
        <f xml:space="preserve"> Debt!S$82</f>
        <v>-1059.1766520754916</v>
      </c>
      <c r="T16" s="191">
        <f xml:space="preserve"> Debt!T$82</f>
        <v>-1004.2668141732139</v>
      </c>
      <c r="U16" s="191">
        <f xml:space="preserve"> Debt!U$82</f>
        <v>-1007.2184278124658</v>
      </c>
      <c r="V16" s="191">
        <f xml:space="preserve"> Debt!V$82</f>
        <v>-998.55752857013033</v>
      </c>
      <c r="W16" s="191">
        <f xml:space="preserve"> Debt!W$82</f>
        <v>-955.42742817031433</v>
      </c>
      <c r="X16" s="191">
        <f xml:space="preserve"> Debt!X$82</f>
        <v>-911.58424695674387</v>
      </c>
      <c r="Y16" s="191">
        <f xml:space="preserve"> Debt!Y$82</f>
        <v>-902.01191522833165</v>
      </c>
      <c r="Z16" s="191">
        <f xml:space="preserve"> Debt!Z$82</f>
        <v>-891.06501068362854</v>
      </c>
      <c r="AA16" s="191">
        <f xml:space="preserve"> Debt!AA$82</f>
        <v>-846.6944873971446</v>
      </c>
      <c r="AB16" s="191">
        <f xml:space="preserve"> Debt!AB$82</f>
        <v>-793.91725339351672</v>
      </c>
      <c r="AC16" s="191">
        <f xml:space="preserve"> Debt!AC$82</f>
        <v>-791.80247479941852</v>
      </c>
      <c r="AD16" s="191">
        <f xml:space="preserve"> Debt!AD$82</f>
        <v>-778.05513757060726</v>
      </c>
      <c r="AE16" s="191">
        <f xml:space="preserve"> Debt!AE$82</f>
        <v>-732.35992158936278</v>
      </c>
      <c r="AF16" s="191">
        <f xml:space="preserve"> Debt!AF$82</f>
        <v>-680.70436043705615</v>
      </c>
      <c r="AG16" s="191">
        <f xml:space="preserve"> Debt!AG$82</f>
        <v>-675.84691312765733</v>
      </c>
      <c r="AH16" s="191">
        <f xml:space="preserve"> Debt!AH$82</f>
        <v>-659.34064921556558</v>
      </c>
      <c r="AI16" s="191">
        <f xml:space="preserve"> Debt!AI$82</f>
        <v>-612.23364529565174</v>
      </c>
      <c r="AJ16" s="191">
        <f xml:space="preserve"> Debt!AJ$82</f>
        <v>-561.73939807976149</v>
      </c>
      <c r="AK16" s="191">
        <f xml:space="preserve"> Debt!AK$82</f>
        <v>-553.98935242502989</v>
      </c>
      <c r="AL16" s="191">
        <f xml:space="preserve"> Debt!AL$82</f>
        <v>-534.56979061515597</v>
      </c>
      <c r="AM16" s="191">
        <f xml:space="preserve"> Debt!AM$82</f>
        <v>-485.95855654972667</v>
      </c>
      <c r="AN16" s="191">
        <f xml:space="preserve"> Debt!AN$82</f>
        <v>-441.51957887704606</v>
      </c>
      <c r="AO16" s="191">
        <f xml:space="preserve"> Debt!AO$82</f>
        <v>-425.75521513397177</v>
      </c>
      <c r="AP16" s="191">
        <f xml:space="preserve"> Debt!AP$82</f>
        <v>-403.44179670938587</v>
      </c>
      <c r="AQ16" s="191">
        <f xml:space="preserve"> Debt!AQ$82</f>
        <v>-353.22932591948461</v>
      </c>
      <c r="AR16" s="191">
        <f xml:space="preserve"> Debt!AR$82</f>
        <v>-305.18608573593315</v>
      </c>
      <c r="AS16" s="191">
        <f xml:space="preserve"> Debt!AS$82</f>
        <v>-291.16529615541833</v>
      </c>
      <c r="AT16" s="191">
        <f xml:space="preserve"> Debt!AT$82</f>
        <v>-265.41927436348112</v>
      </c>
      <c r="AU16" s="191">
        <f xml:space="preserve"> Debt!AU$82</f>
        <v>-213.50036836190174</v>
      </c>
      <c r="AV16" s="191">
        <f xml:space="preserve"> Debt!AV$82</f>
        <v>-166.75264684277201</v>
      </c>
      <c r="AW16" s="191">
        <f xml:space="preserve"> Debt!AW$82</f>
        <v>-149.33159057843653</v>
      </c>
      <c r="AX16" s="191">
        <f xml:space="preserve"> Debt!AX$82</f>
        <v>-120.1496706799488</v>
      </c>
      <c r="AY16" s="191">
        <f xml:space="preserve"> Debt!AY$82</f>
        <v>-66.413774065511006</v>
      </c>
      <c r="AZ16" s="191">
        <f xml:space="preserve"> Debt!AZ$82</f>
        <v>-21.011947598451471</v>
      </c>
      <c r="BA16" s="191">
        <f xml:space="preserve"> Debt!BA$82</f>
        <v>2.1415189621620815E-12</v>
      </c>
      <c r="BB16" s="191">
        <f xml:space="preserve"> Debt!BB$82</f>
        <v>2.1978887616569411E-12</v>
      </c>
      <c r="BC16" s="191">
        <f xml:space="preserve"> Debt!BC$82</f>
        <v>2.2315897226690144E-12</v>
      </c>
      <c r="BD16" s="191">
        <f xml:space="preserve"> Debt!BD$82</f>
        <v>2.2411790901004832E-12</v>
      </c>
      <c r="BE16" s="191">
        <f xml:space="preserve"> Debt!BE$82</f>
        <v>2.2751703063003407E-12</v>
      </c>
      <c r="BF16" s="191">
        <f xml:space="preserve"> Debt!BF$82</f>
        <v>2.3350581224947519E-12</v>
      </c>
      <c r="BG16" s="191">
        <f xml:space="preserve"> Debt!BG$82</f>
        <v>2.3708623470396712E-12</v>
      </c>
      <c r="BH16" s="191">
        <f xml:space="preserve"> Debt!BH$82</f>
        <v>2.3548847964400559E-12</v>
      </c>
      <c r="BI16" s="191">
        <f xml:space="preserve"> Debt!BI$82</f>
        <v>2.4167659358131753E-12</v>
      </c>
      <c r="BJ16" s="191">
        <f xml:space="preserve"> Debt!BJ$82</f>
        <v>2.4803808809221625E-12</v>
      </c>
      <c r="BK16" s="191">
        <f xml:space="preserve"> Debt!BK$82</f>
        <v>2.518413387762969E-12</v>
      </c>
      <c r="BL16" s="191">
        <f xml:space="preserve"> Debt!BL$82</f>
        <v>2.5014414714541315E-12</v>
      </c>
      <c r="BM16" s="191">
        <f xml:space="preserve"> Debt!BM$82</f>
        <v>2.5671737945651209E-12</v>
      </c>
      <c r="BN16" s="191">
        <f xml:space="preserve"> Debt!BN$82</f>
        <v>2.6347478271209632E-12</v>
      </c>
      <c r="BO16" s="191">
        <f xml:space="preserve"> Debt!BO$82</f>
        <v>2.6751472938034846E-12</v>
      </c>
      <c r="BP16" s="191">
        <f xml:space="preserve"> Debt!BP$82</f>
        <v>2.6571191272582873E-12</v>
      </c>
      <c r="BQ16" s="191">
        <f xml:space="preserve"> Debt!BQ$82</f>
        <v>2.7269423132134637E-12</v>
      </c>
      <c r="BR16" s="191">
        <f xml:space="preserve"> Debt!BR$82</f>
        <v>2.7987218277290387E-12</v>
      </c>
      <c r="BS16" s="191">
        <f xml:space="preserve"> Debt!BS$82</f>
        <v>2.8416355624208842E-12</v>
      </c>
      <c r="BT16" s="191">
        <f xml:space="preserve"> Debt!BT$82</f>
        <v>2.8538463587144753E-12</v>
      </c>
      <c r="BU16" s="191">
        <f xml:space="preserve"> Debt!BU$82</f>
        <v>2.8971296951549782E-12</v>
      </c>
      <c r="BV16" s="191">
        <f xml:space="preserve"> Debt!BV$82</f>
        <v>2.973388940537336E-12</v>
      </c>
      <c r="BW16" s="191">
        <f xml:space="preserve"> Debt!BW$82</f>
        <v>3.0189809042922421E-12</v>
      </c>
      <c r="BX16" s="191">
        <f xml:space="preserve"> Debt!BX$82</f>
        <v>2.9986355981980982E-12</v>
      </c>
      <c r="BY16" s="191">
        <f xml:space="preserve"> Debt!BY$82</f>
        <v>3.0774330780840822E-12</v>
      </c>
      <c r="BZ16" s="191">
        <f xml:space="preserve"> Debt!BZ$82</f>
        <v>3.1584383311943835E-12</v>
      </c>
      <c r="CA16" s="191">
        <f xml:space="preserve"> Debt!CA$82</f>
        <v>3.2068677189393639E-12</v>
      </c>
      <c r="CB16" s="191">
        <f xml:space="preserve"> Debt!CB$82</f>
        <v>3.1852562190943375E-12</v>
      </c>
      <c r="CC16" s="191">
        <f xml:space="preserve"> Debt!CC$82</f>
        <v>3.2689576741849833E-12</v>
      </c>
      <c r="CD16" s="191">
        <f xml:space="preserve"> Debt!CD$82</f>
        <v>3.3550043036600507E-12</v>
      </c>
      <c r="CE16" s="191">
        <f xml:space="preserve"> Debt!CE$82</f>
        <v>3.4064477029828381E-12</v>
      </c>
      <c r="CF16" s="191">
        <f xml:space="preserve"> Debt!CF$82</f>
        <v>3.3834912075931711E-12</v>
      </c>
      <c r="CG16" s="191">
        <f xml:space="preserve"> Debt!CG$82</f>
        <v>3.4724018376593695E-12</v>
      </c>
      <c r="CH16" s="191">
        <f xml:space="preserve"> Debt!CH$82</f>
        <v>3.5638035944557806E-12</v>
      </c>
      <c r="CI16" s="191">
        <f xml:space="preserve"> Debt!CI$82</f>
        <v>3.6184485829041027E-12</v>
      </c>
      <c r="CJ16" s="191">
        <f xml:space="preserve"> Debt!CJ$82</f>
        <v>3.633997423553828E-12</v>
      </c>
      <c r="CK16" s="191">
        <f xml:space="preserve"> Debt!CK$82</f>
        <v>3.6891130511443946E-12</v>
      </c>
      <c r="CL16" s="191">
        <f xml:space="preserve"> Debt!CL$82</f>
        <v>3.7862191551206712E-12</v>
      </c>
      <c r="CM16" s="191">
        <f xml:space="preserve"> Debt!CM$82</f>
        <v>3.8442745154991888E-12</v>
      </c>
      <c r="CN16" s="191">
        <f xml:space="preserve"> Debt!CN$82</f>
        <v>3.8183674481121288E-12</v>
      </c>
      <c r="CO16" s="191">
        <f xml:space="preserve"> Debt!CO$82</f>
        <v>3.9187056593875196E-12</v>
      </c>
      <c r="CP16" s="191">
        <f xml:space="preserve"> Debt!CP$82</f>
        <v>4.0218551790518376E-12</v>
      </c>
      <c r="CQ16" s="191">
        <f xml:space="preserve"> Debt!CQ$82</f>
        <v>4.083523625130632E-12</v>
      </c>
      <c r="CR16" s="191">
        <f xml:space="preserve"> Debt!CR$82</f>
        <v>4.0560042267873601E-12</v>
      </c>
      <c r="CS16" s="191">
        <f xml:space="preserve"> Debt!CS$82</f>
        <v>4.1625870045246059E-12</v>
      </c>
      <c r="CT16" s="191">
        <f xml:space="preserve"> Debt!CT$82</f>
        <v>4.2721560529294189E-12</v>
      </c>
      <c r="CU16" s="191">
        <f xml:space="preserve"> Debt!CU$82</f>
        <v>4.337662445741003E-12</v>
      </c>
      <c r="CV16" s="191">
        <f xml:space="preserve"> Debt!CV$82</f>
        <v>4.3084303727370966E-12</v>
      </c>
      <c r="CW16" s="191">
        <f xml:space="preserve"> Debt!CW$82</f>
        <v>4.4216463486429106E-12</v>
      </c>
      <c r="CX16" s="191">
        <f xml:space="preserve"> Debt!CX$82</f>
        <v>4.5380344463035261E-12</v>
      </c>
      <c r="CY16" s="191">
        <f xml:space="preserve"> Debt!CY$82</f>
        <v>4.607617641146847E-12</v>
      </c>
      <c r="CZ16" s="191">
        <f xml:space="preserve"> Debt!CZ$82</f>
        <v>4.6274170415903257E-12</v>
      </c>
      <c r="DA16" s="191">
        <f xml:space="preserve"> Debt!DA$82</f>
        <v>4.6975995333877789E-12</v>
      </c>
      <c r="DB16" s="191">
        <f xml:space="preserve"> Debt!DB$82</f>
        <v>4.8212513657940964E-12</v>
      </c>
      <c r="DC16" s="191">
        <f xml:space="preserve"> Debt!DC$82</f>
        <v>4.8951772200696055E-12</v>
      </c>
      <c r="DD16" s="191">
        <f xml:space="preserve"> Debt!DD$82</f>
        <v>4.8621879822821794E-12</v>
      </c>
      <c r="DE16" s="191">
        <f xml:space="preserve"> Debt!DE$82</f>
        <v>4.9899554775943725E-12</v>
      </c>
      <c r="DF16" s="191">
        <f xml:space="preserve"> Debt!DF$82</f>
        <v>5.1213028038287799E-12</v>
      </c>
      <c r="DG16" s="191">
        <f xml:space="preserve"> Debt!DG$82</f>
        <v>5.1998294468208207E-12</v>
      </c>
      <c r="DH16" s="191">
        <f xml:space="preserve"> Debt!DH$82</f>
        <v>5.1647871179400714E-12</v>
      </c>
      <c r="DI16" s="191">
        <f xml:space="preserve"> Debt!DI$82</f>
        <v>5.3005062460948297E-12</v>
      </c>
      <c r="DJ16" s="191">
        <f xml:space="preserve"> Debt!DJ$82</f>
        <v>5.4400279965872744E-12</v>
      </c>
      <c r="DK16" s="191">
        <f xml:space="preserve"> Debt!DK$82</f>
        <v>5.5234417592016132E-12</v>
      </c>
      <c r="DL16" s="191">
        <f xml:space="preserve"> Debt!DL$82</f>
        <v>5.4862185647374278E-12</v>
      </c>
      <c r="DM16" s="191">
        <f xml:space="preserve"> Debt!DM$82</f>
        <v>5.6303841970219176E-12</v>
      </c>
      <c r="DN16" s="191">
        <f xml:space="preserve"> Debt!DN$82</f>
        <v>5.7785891085230152E-12</v>
      </c>
      <c r="DO16" s="191">
        <f xml:space="preserve"> Debt!DO$82</f>
        <v>5.8671941415203677E-12</v>
      </c>
      <c r="DP16" s="191">
        <f xml:space="preserve"> Debt!DP$82</f>
        <v>5.8924060699690751E-12</v>
      </c>
      <c r="DQ16" s="191">
        <f xml:space="preserve"> Debt!DQ$82</f>
        <v>5.981774228696939E-12</v>
      </c>
      <c r="DR16" s="191">
        <f xml:space="preserve"> Debt!DR$82</f>
        <v>6.1392285496032262E-12</v>
      </c>
      <c r="DS16" s="191">
        <f xml:space="preserve"> Debt!DS$82</f>
        <v>6.2333633873638092E-12</v>
      </c>
      <c r="DT16" s="191">
        <f xml:space="preserve"> Debt!DT$82</f>
        <v>6.1913559384489657E-12</v>
      </c>
      <c r="DU16" s="191">
        <f xml:space="preserve"> Debt!DU$82</f>
        <v>6.3540510139426528E-12</v>
      </c>
      <c r="DV16" s="191">
        <f xml:space="preserve"> Debt!DV$82</f>
        <v>6.5213045325733925E-12</v>
      </c>
      <c r="DW16" s="191">
        <f xml:space="preserve"> Debt!DW$82</f>
        <v>6.6212978687395183E-12</v>
      </c>
      <c r="DX16" s="191">
        <f xml:space="preserve"> Debt!DX$82</f>
        <v>6.5766760787545336E-12</v>
      </c>
      <c r="DY16" s="191">
        <f xml:space="preserve"> Debt!DY$82</f>
        <v>6.7494965112684725E-12</v>
      </c>
      <c r="DZ16" s="191">
        <f xml:space="preserve"> Debt!DZ$82</f>
        <v>6.9271590824405433E-12</v>
      </c>
      <c r="EA16" s="191">
        <f xml:space="preserve"> Debt!EA$82</f>
        <v>7.0333755217046319E-12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196154.17888513833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2639.08168908582</v>
      </c>
      <c r="N19" s="163">
        <f t="shared" si="8"/>
        <v>3096.7833024574797</v>
      </c>
      <c r="O19" s="163">
        <f t="shared" si="8"/>
        <v>-95.550908350141754</v>
      </c>
      <c r="P19" s="163">
        <f t="shared" si="8"/>
        <v>-41.528191500441835</v>
      </c>
      <c r="Q19" s="163">
        <f t="shared" si="8"/>
        <v>2683.8226778252638</v>
      </c>
      <c r="R19" s="163">
        <f t="shared" si="8"/>
        <v>3158.7357783175066</v>
      </c>
      <c r="S19" s="163">
        <f t="shared" si="8"/>
        <v>-16.467837619810098</v>
      </c>
      <c r="T19" s="163">
        <f t="shared" si="8"/>
        <v>36.500382663204959</v>
      </c>
      <c r="U19" s="163">
        <f t="shared" si="8"/>
        <v>2750.5613922287503</v>
      </c>
      <c r="V19" s="163">
        <f t="shared" si="8"/>
        <v>3225.4426897916078</v>
      </c>
      <c r="W19" s="163">
        <f t="shared" si="8"/>
        <v>67.361784624979805</v>
      </c>
      <c r="X19" s="163">
        <f t="shared" si="8"/>
        <v>109.22422365223736</v>
      </c>
      <c r="Y19" s="163">
        <f t="shared" si="8"/>
        <v>2822.2426745701268</v>
      </c>
      <c r="Z19" s="163">
        <f t="shared" si="8"/>
        <v>3297.0411995467248</v>
      </c>
      <c r="AA19" s="163">
        <f t="shared" si="8"/>
        <v>156.0776203935601</v>
      </c>
      <c r="AB19" s="163">
        <f t="shared" si="8"/>
        <v>206.83419926421163</v>
      </c>
      <c r="AC19" s="163">
        <f t="shared" si="8"/>
        <v>2898.8951001329751</v>
      </c>
      <c r="AD19" s="163">
        <f t="shared" si="8"/>
        <v>3374.1360719856048</v>
      </c>
      <c r="AE19" s="163">
        <f t="shared" si="8"/>
        <v>250.29410123771459</v>
      </c>
      <c r="AF19" s="163">
        <f t="shared" si="8"/>
        <v>299.88829004452498</v>
      </c>
      <c r="AG19" s="163">
        <f t="shared" si="8"/>
        <v>2981.2580190256117</v>
      </c>
      <c r="AH19" s="163">
        <f t="shared" si="8"/>
        <v>3456.9106501349443</v>
      </c>
      <c r="AI19" s="163">
        <f t="shared" si="8"/>
        <v>350.19777346015189</v>
      </c>
      <c r="AJ19" s="163">
        <f t="shared" si="8"/>
        <v>398.5891106458098</v>
      </c>
      <c r="AK19" s="163">
        <f t="shared" si="8"/>
        <v>3069.4834042364892</v>
      </c>
      <c r="AL19" s="163">
        <f t="shared" si="8"/>
        <v>3545.7127104629776</v>
      </c>
      <c r="AM19" s="163">
        <f t="shared" si="8"/>
        <v>456.14213604727064</v>
      </c>
      <c r="AN19" s="163">
        <f t="shared" si="8"/>
        <v>498.43582899984023</v>
      </c>
      <c r="AO19" s="163">
        <f t="shared" si="8"/>
        <v>3164.0418656950537</v>
      </c>
      <c r="AP19" s="163">
        <f t="shared" ref="AP19:BU19" si="9" xml:space="preserve"> AP14 + SUM(AP16:AP18)</f>
        <v>3640.8389766216033</v>
      </c>
      <c r="AQ19" s="163">
        <f t="shared" si="9"/>
        <v>568.42885029654076</v>
      </c>
      <c r="AR19" s="163">
        <f t="shared" si="9"/>
        <v>614.28357719888777</v>
      </c>
      <c r="AS19" s="163">
        <f t="shared" si="9"/>
        <v>3264.9085766988101</v>
      </c>
      <c r="AT19" s="163">
        <f t="shared" si="9"/>
        <v>3742.8227361115532</v>
      </c>
      <c r="AU19" s="163">
        <f t="shared" si="9"/>
        <v>687.59976661165797</v>
      </c>
      <c r="AV19" s="163">
        <f t="shared" si="9"/>
        <v>732.114875211342</v>
      </c>
      <c r="AW19" s="163">
        <f t="shared" si="9"/>
        <v>3372.9674448120513</v>
      </c>
      <c r="AX19" s="163">
        <f t="shared" si="9"/>
        <v>3852.0123705905116</v>
      </c>
      <c r="AY19" s="163">
        <f t="shared" si="9"/>
        <v>814.00899228309163</v>
      </c>
      <c r="AZ19" s="163">
        <f t="shared" si="9"/>
        <v>857.13321756267726</v>
      </c>
      <c r="BA19" s="163">
        <f t="shared" si="9"/>
        <v>3488.4684041472387</v>
      </c>
      <c r="BB19" s="163">
        <f t="shared" si="9"/>
        <v>3936.0366274645125</v>
      </c>
      <c r="BC19" s="163">
        <f t="shared" si="9"/>
        <v>859.62219853396414</v>
      </c>
      <c r="BD19" s="163">
        <f t="shared" si="9"/>
        <v>857.29870254233856</v>
      </c>
      <c r="BE19" s="163">
        <f t="shared" si="9"/>
        <v>3454.5777464633106</v>
      </c>
      <c r="BF19" s="163">
        <f t="shared" si="9"/>
        <v>3899.8614623563603</v>
      </c>
      <c r="BG19" s="163">
        <f t="shared" si="9"/>
        <v>838.69448900359441</v>
      </c>
      <c r="BH19" s="163">
        <f t="shared" si="9"/>
        <v>836.32417340453765</v>
      </c>
      <c r="BI19" s="163">
        <f t="shared" si="9"/>
        <v>3420.6227598519195</v>
      </c>
      <c r="BJ19" s="163">
        <f t="shared" si="9"/>
        <v>3863.6321693335017</v>
      </c>
      <c r="BK19" s="163">
        <f t="shared" si="9"/>
        <v>817.63562305126538</v>
      </c>
      <c r="BL19" s="163">
        <f t="shared" si="9"/>
        <v>815.21754440624795</v>
      </c>
      <c r="BM19" s="163">
        <f t="shared" si="9"/>
        <v>3386.599070516696</v>
      </c>
      <c r="BN19" s="163">
        <f t="shared" si="9"/>
        <v>3827.3443003790544</v>
      </c>
      <c r="BO19" s="163">
        <f t="shared" si="9"/>
        <v>796.44151229994941</v>
      </c>
      <c r="BP19" s="163">
        <f t="shared" si="9"/>
        <v>793.97470815968416</v>
      </c>
      <c r="BQ19" s="163">
        <f t="shared" si="9"/>
        <v>3352.5022318382125</v>
      </c>
      <c r="BR19" s="163">
        <f t="shared" si="9"/>
        <v>3790.9933345494164</v>
      </c>
      <c r="BS19" s="163">
        <f t="shared" si="9"/>
        <v>775.10799318136822</v>
      </c>
      <c r="BT19" s="163">
        <f t="shared" si="9"/>
        <v>772.59148170273249</v>
      </c>
      <c r="BU19" s="163">
        <f t="shared" si="9"/>
        <v>3318.3277228303805</v>
      </c>
      <c r="BV19" s="163">
        <f t="shared" ref="BV19:DA19" si="10" xml:space="preserve"> BV14 + SUM(BV16:BV18)</f>
        <v>3754.5746764216606</v>
      </c>
      <c r="BW19" s="163">
        <f t="shared" si="10"/>
        <v>753.63082538506558</v>
      </c>
      <c r="BX19" s="163">
        <f t="shared" si="10"/>
        <v>751.06360494030719</v>
      </c>
      <c r="BY19" s="163">
        <f t="shared" si="10"/>
        <v>3284.0709465661371</v>
      </c>
      <c r="BZ19" s="163">
        <f t="shared" si="10"/>
        <v>3718.0836545100406</v>
      </c>
      <c r="CA19" s="163">
        <f t="shared" si="10"/>
        <v>732.00569027641814</v>
      </c>
      <c r="CB19" s="163">
        <f t="shared" si="10"/>
        <v>729.38673905448286</v>
      </c>
      <c r="CC19" s="163">
        <f t="shared" si="10"/>
        <v>3249.727228571774</v>
      </c>
      <c r="CD19" s="163">
        <f t="shared" si="10"/>
        <v>3681.5155196510245</v>
      </c>
      <c r="CE19" s="163">
        <f t="shared" si="10"/>
        <v>710.22818928293805</v>
      </c>
      <c r="CF19" s="163">
        <f t="shared" si="10"/>
        <v>707.5564648827683</v>
      </c>
      <c r="CG19" s="163">
        <f t="shared" si="10"/>
        <v>3215.2918151892918</v>
      </c>
      <c r="CH19" s="163">
        <f t="shared" si="10"/>
        <v>3644.8654433561751</v>
      </c>
      <c r="CI19" s="163">
        <f t="shared" si="10"/>
        <v>688.29384224823752</v>
      </c>
      <c r="CJ19" s="163">
        <f t="shared" si="10"/>
        <v>685.568281263872</v>
      </c>
      <c r="CK19" s="163">
        <f t="shared" si="10"/>
        <v>3180.7598719061207</v>
      </c>
      <c r="CL19" s="163">
        <f t="shared" si="10"/>
        <v>3608.1285161322548</v>
      </c>
      <c r="CM19" s="163">
        <f t="shared" si="10"/>
        <v>666.19808575299703</v>
      </c>
      <c r="CN19" s="163">
        <f t="shared" si="10"/>
        <v>663.4176033503129</v>
      </c>
      <c r="CO19" s="163">
        <f t="shared" si="10"/>
        <v>3146.1264816515718</v>
      </c>
      <c r="CP19" s="163">
        <f t="shared" si="10"/>
        <v>3571.2997457678916</v>
      </c>
      <c r="CQ19" s="163">
        <f t="shared" si="10"/>
        <v>643.936271402285</v>
      </c>
      <c r="CR19" s="163">
        <f t="shared" si="10"/>
        <v>641.09976088720759</v>
      </c>
      <c r="CS19" s="163">
        <f t="shared" si="10"/>
        <v>3111.3866430593139</v>
      </c>
      <c r="CT19" s="163">
        <f t="shared" si="10"/>
        <v>3534.3740555861154</v>
      </c>
      <c r="CU19" s="163">
        <f t="shared" si="10"/>
        <v>621.5036640785263</v>
      </c>
      <c r="CV19" s="163">
        <f t="shared" si="10"/>
        <v>618.60999645654169</v>
      </c>
      <c r="CW19" s="163">
        <f t="shared" si="10"/>
        <v>3076.5352686952128</v>
      </c>
      <c r="CX19" s="163">
        <f t="shared" si="10"/>
        <v>3497.346282662078</v>
      </c>
      <c r="CY19" s="163">
        <f t="shared" si="10"/>
        <v>598.89544015944705</v>
      </c>
      <c r="CZ19" s="163">
        <f t="shared" si="10"/>
        <v>595.94346368623758</v>
      </c>
      <c r="DA19" s="163">
        <f t="shared" si="10"/>
        <v>3041.5671832498315</v>
      </c>
      <c r="DB19" s="163">
        <f t="shared" ref="DB19:EA19" si="11" xml:space="preserve"> DB14 + SUM(DB16:DB18)</f>
        <v>3460.2111760052744</v>
      </c>
      <c r="DC19" s="163">
        <f t="shared" si="11"/>
        <v>576.10668570028395</v>
      </c>
      <c r="DD19" s="163">
        <f t="shared" si="11"/>
        <v>573.09522542330558</v>
      </c>
      <c r="DE19" s="163">
        <f t="shared" si="11"/>
        <v>3006.477121694862</v>
      </c>
      <c r="DF19" s="163">
        <f t="shared" si="11"/>
        <v>3422.9633947055186</v>
      </c>
      <c r="DG19" s="163">
        <f t="shared" si="11"/>
        <v>553.13239457952727</v>
      </c>
      <c r="DH19" s="163">
        <f t="shared" si="11"/>
        <v>550.06025187035596</v>
      </c>
      <c r="DI19" s="163">
        <f t="shared" si="11"/>
        <v>5.3005062460948297E-12</v>
      </c>
      <c r="DJ19" s="163">
        <f t="shared" si="11"/>
        <v>5.4400279965872744E-12</v>
      </c>
      <c r="DK19" s="163">
        <f t="shared" si="11"/>
        <v>5.5234417592016132E-12</v>
      </c>
      <c r="DL19" s="163">
        <f t="shared" si="11"/>
        <v>5.4862185647374278E-12</v>
      </c>
      <c r="DM19" s="163">
        <f t="shared" si="11"/>
        <v>5.6303841970219176E-12</v>
      </c>
      <c r="DN19" s="163">
        <f t="shared" si="11"/>
        <v>5.7785891085230152E-12</v>
      </c>
      <c r="DO19" s="163">
        <f t="shared" si="11"/>
        <v>5.8671941415203677E-12</v>
      </c>
      <c r="DP19" s="163">
        <f t="shared" si="11"/>
        <v>5.8924060699690751E-12</v>
      </c>
      <c r="DQ19" s="163">
        <f t="shared" si="11"/>
        <v>5.981774228696939E-12</v>
      </c>
      <c r="DR19" s="163">
        <f t="shared" si="11"/>
        <v>6.1392285496032262E-12</v>
      </c>
      <c r="DS19" s="163">
        <f t="shared" si="11"/>
        <v>6.2333633873638092E-12</v>
      </c>
      <c r="DT19" s="163">
        <f t="shared" si="11"/>
        <v>6.1913559384489657E-12</v>
      </c>
      <c r="DU19" s="163">
        <f t="shared" si="11"/>
        <v>6.3540510139426528E-12</v>
      </c>
      <c r="DV19" s="163">
        <f t="shared" si="11"/>
        <v>6.5213045325733925E-12</v>
      </c>
      <c r="DW19" s="163">
        <f t="shared" si="11"/>
        <v>6.6212978687395183E-12</v>
      </c>
      <c r="DX19" s="163">
        <f t="shared" si="11"/>
        <v>6.5766760787545336E-12</v>
      </c>
      <c r="DY19" s="163">
        <f t="shared" si="11"/>
        <v>6.7494965112684725E-12</v>
      </c>
      <c r="DZ19" s="163">
        <f t="shared" si="11"/>
        <v>6.9271590824405433E-12</v>
      </c>
      <c r="EA19" s="163">
        <f t="shared" si="11"/>
        <v>7.0333755217046319E-12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196154.17888513833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2639.08168908582</v>
      </c>
      <c r="N22" s="163">
        <f t="shared" si="12"/>
        <v>3096.7833024574797</v>
      </c>
      <c r="O22" s="163">
        <f t="shared" si="12"/>
        <v>-95.550908350141754</v>
      </c>
      <c r="P22" s="163">
        <f t="shared" si="12"/>
        <v>-41.528191500441835</v>
      </c>
      <c r="Q22" s="163">
        <f t="shared" si="12"/>
        <v>2683.8226778252638</v>
      </c>
      <c r="R22" s="163">
        <f t="shared" si="12"/>
        <v>3158.7357783175066</v>
      </c>
      <c r="S22" s="163">
        <f t="shared" si="12"/>
        <v>-16.467837619810098</v>
      </c>
      <c r="T22" s="163">
        <f t="shared" si="12"/>
        <v>36.500382663204959</v>
      </c>
      <c r="U22" s="163">
        <f t="shared" si="12"/>
        <v>2750.5613922287503</v>
      </c>
      <c r="V22" s="163">
        <f t="shared" si="12"/>
        <v>3225.4426897916078</v>
      </c>
      <c r="W22" s="163">
        <f t="shared" si="12"/>
        <v>67.361784624979805</v>
      </c>
      <c r="X22" s="163">
        <f t="shared" si="12"/>
        <v>109.22422365223736</v>
      </c>
      <c r="Y22" s="163">
        <f t="shared" si="12"/>
        <v>2822.2426745701268</v>
      </c>
      <c r="Z22" s="163">
        <f t="shared" si="12"/>
        <v>3297.0411995467248</v>
      </c>
      <c r="AA22" s="163">
        <f t="shared" si="12"/>
        <v>156.0776203935601</v>
      </c>
      <c r="AB22" s="163">
        <f t="shared" si="12"/>
        <v>206.83419926421163</v>
      </c>
      <c r="AC22" s="163">
        <f t="shared" si="12"/>
        <v>2898.8951001329751</v>
      </c>
      <c r="AD22" s="163">
        <f t="shared" si="12"/>
        <v>3374.1360719856048</v>
      </c>
      <c r="AE22" s="163">
        <f t="shared" si="12"/>
        <v>250.29410123771459</v>
      </c>
      <c r="AF22" s="163">
        <f t="shared" si="12"/>
        <v>299.88829004452498</v>
      </c>
      <c r="AG22" s="163">
        <f t="shared" si="12"/>
        <v>2981.2580190256117</v>
      </c>
      <c r="AH22" s="163">
        <f t="shared" si="12"/>
        <v>3456.9106501349443</v>
      </c>
      <c r="AI22" s="163">
        <f t="shared" si="12"/>
        <v>350.19777346015189</v>
      </c>
      <c r="AJ22" s="163">
        <f t="shared" si="12"/>
        <v>398.5891106458098</v>
      </c>
      <c r="AK22" s="163">
        <f t="shared" si="12"/>
        <v>3069.4834042364892</v>
      </c>
      <c r="AL22" s="163">
        <f t="shared" si="12"/>
        <v>3545.7127104629776</v>
      </c>
      <c r="AM22" s="163">
        <f t="shared" si="12"/>
        <v>456.14213604727064</v>
      </c>
      <c r="AN22" s="163">
        <f t="shared" si="12"/>
        <v>498.43582899984023</v>
      </c>
      <c r="AO22" s="163">
        <f t="shared" si="12"/>
        <v>3164.0418656950537</v>
      </c>
      <c r="AP22" s="163">
        <f t="shared" si="12"/>
        <v>3640.8389766216033</v>
      </c>
      <c r="AQ22" s="163">
        <f t="shared" si="12"/>
        <v>568.42885029654076</v>
      </c>
      <c r="AR22" s="163">
        <f t="shared" si="12"/>
        <v>614.28357719888777</v>
      </c>
      <c r="AS22" s="163">
        <f t="shared" si="12"/>
        <v>3264.9085766988101</v>
      </c>
      <c r="AT22" s="163">
        <f t="shared" si="12"/>
        <v>3742.8227361115532</v>
      </c>
      <c r="AU22" s="163">
        <f t="shared" si="12"/>
        <v>687.59976661165797</v>
      </c>
      <c r="AV22" s="163">
        <f t="shared" si="12"/>
        <v>732.114875211342</v>
      </c>
      <c r="AW22" s="163">
        <f t="shared" si="12"/>
        <v>3372.9674448120513</v>
      </c>
      <c r="AX22" s="163">
        <f t="shared" si="12"/>
        <v>3852.0123705905116</v>
      </c>
      <c r="AY22" s="163">
        <f t="shared" si="12"/>
        <v>814.00899228309163</v>
      </c>
      <c r="AZ22" s="163">
        <f t="shared" si="12"/>
        <v>857.13321756267726</v>
      </c>
      <c r="BA22" s="163">
        <f t="shared" si="12"/>
        <v>3488.4684041472387</v>
      </c>
      <c r="BB22" s="163">
        <f t="shared" si="12"/>
        <v>3936.0366274645125</v>
      </c>
      <c r="BC22" s="163">
        <f t="shared" si="12"/>
        <v>859.62219853396414</v>
      </c>
      <c r="BD22" s="163">
        <f t="shared" si="12"/>
        <v>857.29870254233856</v>
      </c>
      <c r="BE22" s="163">
        <f t="shared" si="12"/>
        <v>3454.5777464633106</v>
      </c>
      <c r="BF22" s="163">
        <f t="shared" si="12"/>
        <v>3899.8614623563603</v>
      </c>
      <c r="BG22" s="163">
        <f t="shared" si="12"/>
        <v>838.69448900359441</v>
      </c>
      <c r="BH22" s="163">
        <f t="shared" si="12"/>
        <v>836.32417340453765</v>
      </c>
      <c r="BI22" s="163">
        <f t="shared" si="12"/>
        <v>3420.6227598519195</v>
      </c>
      <c r="BJ22" s="163">
        <f t="shared" si="12"/>
        <v>3863.6321693335017</v>
      </c>
      <c r="BK22" s="163">
        <f t="shared" si="12"/>
        <v>817.63562305126538</v>
      </c>
      <c r="BL22" s="163">
        <f t="shared" si="12"/>
        <v>815.21754440624795</v>
      </c>
      <c r="BM22" s="163">
        <f t="shared" si="12"/>
        <v>3386.599070516696</v>
      </c>
      <c r="BN22" s="163">
        <f t="shared" si="12"/>
        <v>3827.3443003790544</v>
      </c>
      <c r="BO22" s="163">
        <f t="shared" si="12"/>
        <v>796.44151229994941</v>
      </c>
      <c r="BP22" s="163">
        <f t="shared" si="12"/>
        <v>793.97470815968416</v>
      </c>
      <c r="BQ22" s="163">
        <f t="shared" si="12"/>
        <v>3352.5022318382125</v>
      </c>
      <c r="BR22" s="163">
        <f t="shared" si="12"/>
        <v>3790.9933345494164</v>
      </c>
      <c r="BS22" s="163">
        <f t="shared" si="12"/>
        <v>775.10799318136822</v>
      </c>
      <c r="BT22" s="163">
        <f t="shared" si="12"/>
        <v>772.59148170273249</v>
      </c>
      <c r="BU22" s="163">
        <f t="shared" si="12"/>
        <v>3318.3277228303805</v>
      </c>
      <c r="BV22" s="163">
        <f t="shared" si="12"/>
        <v>3754.5746764216606</v>
      </c>
      <c r="BW22" s="163">
        <f t="shared" ref="BW22:EA22" si="13" xml:space="preserve"> BW19 + BW21</f>
        <v>753.63082538506558</v>
      </c>
      <c r="BX22" s="163">
        <f t="shared" si="13"/>
        <v>751.06360494030719</v>
      </c>
      <c r="BY22" s="163">
        <f t="shared" si="13"/>
        <v>3284.0709465661371</v>
      </c>
      <c r="BZ22" s="163">
        <f t="shared" si="13"/>
        <v>3718.0836545100406</v>
      </c>
      <c r="CA22" s="163">
        <f t="shared" si="13"/>
        <v>732.00569027641814</v>
      </c>
      <c r="CB22" s="163">
        <f t="shared" si="13"/>
        <v>729.38673905448286</v>
      </c>
      <c r="CC22" s="163">
        <f t="shared" si="13"/>
        <v>3249.727228571774</v>
      </c>
      <c r="CD22" s="163">
        <f t="shared" si="13"/>
        <v>3681.5155196510245</v>
      </c>
      <c r="CE22" s="163">
        <f t="shared" si="13"/>
        <v>710.22818928293805</v>
      </c>
      <c r="CF22" s="163">
        <f t="shared" si="13"/>
        <v>707.5564648827683</v>
      </c>
      <c r="CG22" s="163">
        <f t="shared" si="13"/>
        <v>3215.2918151892918</v>
      </c>
      <c r="CH22" s="163">
        <f t="shared" si="13"/>
        <v>3644.8654433561751</v>
      </c>
      <c r="CI22" s="163">
        <f t="shared" si="13"/>
        <v>688.29384224823752</v>
      </c>
      <c r="CJ22" s="163">
        <f t="shared" si="13"/>
        <v>685.568281263872</v>
      </c>
      <c r="CK22" s="163">
        <f t="shared" si="13"/>
        <v>3180.7598719061207</v>
      </c>
      <c r="CL22" s="163">
        <f t="shared" si="13"/>
        <v>3608.1285161322548</v>
      </c>
      <c r="CM22" s="163">
        <f t="shared" si="13"/>
        <v>666.19808575299703</v>
      </c>
      <c r="CN22" s="163">
        <f t="shared" si="13"/>
        <v>663.4176033503129</v>
      </c>
      <c r="CO22" s="163">
        <f t="shared" si="13"/>
        <v>3146.1264816515718</v>
      </c>
      <c r="CP22" s="163">
        <f t="shared" si="13"/>
        <v>3571.2997457678916</v>
      </c>
      <c r="CQ22" s="163">
        <f t="shared" si="13"/>
        <v>643.936271402285</v>
      </c>
      <c r="CR22" s="163">
        <f t="shared" si="13"/>
        <v>641.09976088720759</v>
      </c>
      <c r="CS22" s="163">
        <f t="shared" si="13"/>
        <v>3111.3866430593139</v>
      </c>
      <c r="CT22" s="163">
        <f t="shared" si="13"/>
        <v>3534.3740555861154</v>
      </c>
      <c r="CU22" s="163">
        <f t="shared" si="13"/>
        <v>621.5036640785263</v>
      </c>
      <c r="CV22" s="163">
        <f t="shared" si="13"/>
        <v>618.60999645654169</v>
      </c>
      <c r="CW22" s="163">
        <f t="shared" si="13"/>
        <v>3076.5352686952128</v>
      </c>
      <c r="CX22" s="163">
        <f t="shared" si="13"/>
        <v>3497.346282662078</v>
      </c>
      <c r="CY22" s="163">
        <f t="shared" si="13"/>
        <v>598.89544015944705</v>
      </c>
      <c r="CZ22" s="163">
        <f t="shared" si="13"/>
        <v>595.94346368623758</v>
      </c>
      <c r="DA22" s="163">
        <f t="shared" si="13"/>
        <v>3041.5671832498315</v>
      </c>
      <c r="DB22" s="163">
        <f t="shared" si="13"/>
        <v>3460.2111760052744</v>
      </c>
      <c r="DC22" s="163">
        <f t="shared" si="13"/>
        <v>576.10668570028395</v>
      </c>
      <c r="DD22" s="163">
        <f t="shared" si="13"/>
        <v>573.09522542330558</v>
      </c>
      <c r="DE22" s="163">
        <f t="shared" si="13"/>
        <v>3006.477121694862</v>
      </c>
      <c r="DF22" s="163">
        <f t="shared" si="13"/>
        <v>3422.9633947055186</v>
      </c>
      <c r="DG22" s="163">
        <f t="shared" si="13"/>
        <v>553.13239457952727</v>
      </c>
      <c r="DH22" s="163">
        <f t="shared" si="13"/>
        <v>550.06025187035596</v>
      </c>
      <c r="DI22" s="163">
        <f t="shared" si="13"/>
        <v>5.3005062460948297E-12</v>
      </c>
      <c r="DJ22" s="163">
        <f t="shared" si="13"/>
        <v>5.4400279965872744E-12</v>
      </c>
      <c r="DK22" s="163">
        <f t="shared" si="13"/>
        <v>5.5234417592016132E-12</v>
      </c>
      <c r="DL22" s="163">
        <f t="shared" si="13"/>
        <v>5.4862185647374278E-12</v>
      </c>
      <c r="DM22" s="163">
        <f t="shared" si="13"/>
        <v>5.6303841970219176E-12</v>
      </c>
      <c r="DN22" s="163">
        <f t="shared" si="13"/>
        <v>5.7785891085230152E-12</v>
      </c>
      <c r="DO22" s="163">
        <f t="shared" si="13"/>
        <v>5.8671941415203677E-12</v>
      </c>
      <c r="DP22" s="163">
        <f t="shared" si="13"/>
        <v>5.8924060699690751E-12</v>
      </c>
      <c r="DQ22" s="163">
        <f t="shared" si="13"/>
        <v>5.981774228696939E-12</v>
      </c>
      <c r="DR22" s="163">
        <f t="shared" si="13"/>
        <v>6.1392285496032262E-12</v>
      </c>
      <c r="DS22" s="163">
        <f t="shared" si="13"/>
        <v>6.2333633873638092E-12</v>
      </c>
      <c r="DT22" s="163">
        <f t="shared" si="13"/>
        <v>6.1913559384489657E-12</v>
      </c>
      <c r="DU22" s="163">
        <f t="shared" si="13"/>
        <v>6.3540510139426528E-12</v>
      </c>
      <c r="DV22" s="163">
        <f t="shared" si="13"/>
        <v>6.5213045325733925E-12</v>
      </c>
      <c r="DW22" s="163">
        <f t="shared" si="13"/>
        <v>6.6212978687395183E-12</v>
      </c>
      <c r="DX22" s="163">
        <f t="shared" si="13"/>
        <v>6.5766760787545336E-12</v>
      </c>
      <c r="DY22" s="163">
        <f t="shared" si="13"/>
        <v>6.7494965112684725E-12</v>
      </c>
      <c r="DZ22" s="163">
        <f t="shared" si="13"/>
        <v>6.9271590824405433E-12</v>
      </c>
      <c r="EA22" s="163">
        <f t="shared" si="13"/>
        <v>7.0333755217046319E-12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-196154.17888513798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-350.61961115807276</v>
      </c>
      <c r="N24" s="191">
        <f xml:space="preserve"> Equity!N$70</f>
        <v>-1159.3584459071449</v>
      </c>
      <c r="O24" s="191">
        <f xml:space="preserve"> Equity!O$70</f>
        <v>-962.4299049174333</v>
      </c>
      <c r="P24" s="191">
        <f xml:space="preserve"> Equity!P$70</f>
        <v>-468.14199831783026</v>
      </c>
      <c r="Q24" s="191">
        <f xml:space="preserve"> Equity!Q$70</f>
        <v>-693.8580092183679</v>
      </c>
      <c r="R24" s="191">
        <f xml:space="preserve"> Equity!R$70</f>
        <v>-1151.390095249435</v>
      </c>
      <c r="S24" s="191">
        <f xml:space="preserve"> Equity!S$70</f>
        <v>-955.43816580929069</v>
      </c>
      <c r="T24" s="191">
        <f xml:space="preserve"> Equity!T$70</f>
        <v>-463.61445889824017</v>
      </c>
      <c r="U24" s="191">
        <f xml:space="preserve"> Equity!U$70</f>
        <v>-688.17227296354258</v>
      </c>
      <c r="V24" s="191">
        <f xml:space="preserve"> Equity!V$70</f>
        <v>-1143.417049002222</v>
      </c>
      <c r="W24" s="191">
        <f xml:space="preserve"> Equity!W$70</f>
        <v>-948.43680922757449</v>
      </c>
      <c r="X24" s="191">
        <f xml:space="preserve"> Equity!X$70</f>
        <v>-462.81809948418754</v>
      </c>
      <c r="Y24" s="191">
        <f xml:space="preserve"> Equity!Y$70</f>
        <v>-678.71685835175094</v>
      </c>
      <c r="Z24" s="191">
        <f xml:space="preserve"> Equity!Z$70</f>
        <v>-1135.4384370710804</v>
      </c>
      <c r="AA24" s="191">
        <f xml:space="preserve"> Equity!AA$70</f>
        <v>-941.42498829294163</v>
      </c>
      <c r="AB24" s="191">
        <f xml:space="preserve"> Equity!AB$70</f>
        <v>-454.49326983395736</v>
      </c>
      <c r="AC24" s="191">
        <f xml:space="preserve"> Equity!AC$70</f>
        <v>-676.74980750411669</v>
      </c>
      <c r="AD24" s="191">
        <f xml:space="preserve"> Equity!AD$70</f>
        <v>-1127.4533756868341</v>
      </c>
      <c r="AE24" s="191">
        <f xml:space="preserve"> Equity!AE$70</f>
        <v>-934.40184231017201</v>
      </c>
      <c r="AF24" s="191">
        <f xml:space="preserve"> Equity!AF$70</f>
        <v>-449.89803742407571</v>
      </c>
      <c r="AG24" s="191">
        <f xml:space="preserve"> Equity!AG$70</f>
        <v>-671.01141656018308</v>
      </c>
      <c r="AH24" s="191">
        <f xml:space="preserve"> Equity!AH$70</f>
        <v>-1119.4609671108105</v>
      </c>
      <c r="AI24" s="191">
        <f xml:space="preserve"> Equity!AI$70</f>
        <v>-927.36649647360764</v>
      </c>
      <c r="AJ24" s="191">
        <f xml:space="preserve"> Equity!AJ$70</f>
        <v>-445.27863415043657</v>
      </c>
      <c r="AK24" s="191">
        <f xml:space="preserve"> Equity!AK$70</f>
        <v>-665.25378838665893</v>
      </c>
      <c r="AL24" s="191">
        <f xml:space="preserve"> Equity!AL$70</f>
        <v>-1111.4602993342514</v>
      </c>
      <c r="AM24" s="191">
        <f xml:space="preserve"> Equity!AM$70</f>
        <v>-920.31806156673383</v>
      </c>
      <c r="AN24" s="191">
        <f xml:space="preserve"> Equity!AN$70</f>
        <v>-444.27845319645076</v>
      </c>
      <c r="AO24" s="191">
        <f xml:space="preserve"> Equity!AO$70</f>
        <v>-655.83183510735807</v>
      </c>
      <c r="AP24" s="191">
        <f xml:space="preserve"> Equity!AP$70</f>
        <v>-1103.4504457717539</v>
      </c>
      <c r="AQ24" s="191">
        <f xml:space="preserve"> Equity!AQ$70</f>
        <v>-913.25563365579228</v>
      </c>
      <c r="AR24" s="191">
        <f xml:space="preserve"> Equity!AR$70</f>
        <v>-435.96399011248718</v>
      </c>
      <c r="AS24" s="191">
        <f xml:space="preserve"> Equity!AS$70</f>
        <v>-653.67733640982078</v>
      </c>
      <c r="AT24" s="191">
        <f xml:space="preserve"> Equity!AT$70</f>
        <v>-1095.4304649486417</v>
      </c>
      <c r="AU24" s="191">
        <f xml:space="preserve"> Equity!AU$70</f>
        <v>-906.17829377729458</v>
      </c>
      <c r="AV24" s="191">
        <f xml:space="preserve"> Equity!AV$70</f>
        <v>-431.26704913699973</v>
      </c>
      <c r="AW24" s="191">
        <f xml:space="preserve"> Equity!AW$70</f>
        <v>-647.85673259797886</v>
      </c>
      <c r="AX24" s="191">
        <f xml:space="preserve"> Equity!AX$70</f>
        <v>-1087.3994001821156</v>
      </c>
      <c r="AY24" s="191">
        <f xml:space="preserve"> Equity!AY$70</f>
        <v>-899.08510761931711</v>
      </c>
      <c r="AZ24" s="191">
        <f xml:space="preserve"> Equity!AZ$70</f>
        <v>-426.54253624860735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-1679.7890595480376</v>
      </c>
      <c r="CG24" s="191">
        <f xml:space="preserve"> Equity!CG$70</f>
        <v>-2575.4314086216336</v>
      </c>
      <c r="CH24" s="191">
        <f xml:space="preserve"> Equity!CH$70</f>
        <v>-4395.9726604739562</v>
      </c>
      <c r="CI24" s="191">
        <f xml:space="preserve"> Equity!CI$70</f>
        <v>-3615.6083643905404</v>
      </c>
      <c r="CJ24" s="191">
        <f xml:space="preserve"> Equity!CJ$70</f>
        <v>-1672.4139038003891</v>
      </c>
      <c r="CK24" s="191">
        <f xml:space="preserve"> Equity!CK$70</f>
        <v>-2534.6755740795943</v>
      </c>
      <c r="CL24" s="191">
        <f xml:space="preserve"> Equity!CL$70</f>
        <v>-4360.4475232891255</v>
      </c>
      <c r="CM24" s="191">
        <f xml:space="preserve"> Equity!CM$70</f>
        <v>-3583.9461982317816</v>
      </c>
      <c r="CN24" s="191">
        <f xml:space="preserve"> Equity!CN$70</f>
        <v>-1107.3369254605534</v>
      </c>
      <c r="CO24" s="191">
        <f xml:space="preserve"> Equity!CO$70</f>
        <v>-3051.3177474006879</v>
      </c>
      <c r="CP24" s="191">
        <f xml:space="preserve"> Equity!CP$70</f>
        <v>-3666.1084800187755</v>
      </c>
      <c r="CQ24" s="191">
        <f xml:space="preserve"> Equity!CQ$70</f>
        <v>-643.936271402285</v>
      </c>
      <c r="CR24" s="191">
        <f xml:space="preserve"> Equity!CR$70</f>
        <v>-641.09976088720759</v>
      </c>
      <c r="CS24" s="191">
        <f xml:space="preserve"> Equity!CS$70</f>
        <v>-3111.3866430593139</v>
      </c>
      <c r="CT24" s="191">
        <f xml:space="preserve"> Equity!CT$70</f>
        <v>-3534.3740555861154</v>
      </c>
      <c r="CU24" s="191">
        <f xml:space="preserve"> Equity!CU$70</f>
        <v>-621.5036640785263</v>
      </c>
      <c r="CV24" s="191">
        <f xml:space="preserve"> Equity!CV$70</f>
        <v>-618.60999645654169</v>
      </c>
      <c r="CW24" s="191">
        <f xml:space="preserve"> Equity!CW$70</f>
        <v>-3076.5352686952128</v>
      </c>
      <c r="CX24" s="191">
        <f xml:space="preserve"> Equity!CX$70</f>
        <v>-3497.346282662078</v>
      </c>
      <c r="CY24" s="191">
        <f xml:space="preserve"> Equity!CY$70</f>
        <v>-598.89544015944705</v>
      </c>
      <c r="CZ24" s="191">
        <f xml:space="preserve"> Equity!CZ$70</f>
        <v>-595.94346368623758</v>
      </c>
      <c r="DA24" s="191">
        <f xml:space="preserve"> Equity!DA$70</f>
        <v>-3041.5671832498315</v>
      </c>
      <c r="DB24" s="191">
        <f xml:space="preserve"> Equity!DB$70</f>
        <v>-3460.2111760052744</v>
      </c>
      <c r="DC24" s="191">
        <f xml:space="preserve"> Equity!DC$70</f>
        <v>-576.10668570028395</v>
      </c>
      <c r="DD24" s="191">
        <f xml:space="preserve"> Equity!DD$70</f>
        <v>-573.09522542330558</v>
      </c>
      <c r="DE24" s="191">
        <f xml:space="preserve"> Equity!DE$70</f>
        <v>-3006.477121694862</v>
      </c>
      <c r="DF24" s="191">
        <f xml:space="preserve"> Equity!DF$70</f>
        <v>-3422.9633947055186</v>
      </c>
      <c r="DG24" s="191">
        <f xml:space="preserve"> Equity!DG$70</f>
        <v>-553.13239457952727</v>
      </c>
      <c r="DH24" s="191">
        <f xml:space="preserve"> Equity!DH$70</f>
        <v>0</v>
      </c>
      <c r="DI24" s="191">
        <f xml:space="preserve"> Equity!DI$70</f>
        <v>-550.06025187001023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4.865686563833169E-10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2288.4620779277475</v>
      </c>
      <c r="N25" s="163">
        <f t="shared" si="14"/>
        <v>1937.4248565503349</v>
      </c>
      <c r="O25" s="163">
        <f t="shared" si="14"/>
        <v>-1057.9808132675751</v>
      </c>
      <c r="P25" s="163">
        <f t="shared" si="14"/>
        <v>-509.67018981827209</v>
      </c>
      <c r="Q25" s="163">
        <f t="shared" si="14"/>
        <v>1989.9646686068959</v>
      </c>
      <c r="R25" s="163">
        <f t="shared" si="14"/>
        <v>2007.3456830680716</v>
      </c>
      <c r="S25" s="163">
        <f t="shared" si="14"/>
        <v>-971.90600342910079</v>
      </c>
      <c r="T25" s="163">
        <f t="shared" si="14"/>
        <v>-427.11407623503521</v>
      </c>
      <c r="U25" s="163">
        <f t="shared" si="14"/>
        <v>2062.3891192652077</v>
      </c>
      <c r="V25" s="163">
        <f t="shared" si="14"/>
        <v>2082.0256407893858</v>
      </c>
      <c r="W25" s="163">
        <f t="shared" si="14"/>
        <v>-881.07502460259468</v>
      </c>
      <c r="X25" s="163">
        <f t="shared" si="14"/>
        <v>-353.59387583195019</v>
      </c>
      <c r="Y25" s="163">
        <f t="shared" si="14"/>
        <v>2143.5258162183759</v>
      </c>
      <c r="Z25" s="163">
        <f t="shared" si="14"/>
        <v>2161.6027624756443</v>
      </c>
      <c r="AA25" s="163">
        <f t="shared" si="14"/>
        <v>-785.34736789938154</v>
      </c>
      <c r="AB25" s="163">
        <f t="shared" si="14"/>
        <v>-247.65907056974572</v>
      </c>
      <c r="AC25" s="163">
        <f t="shared" si="14"/>
        <v>2222.1452926288584</v>
      </c>
      <c r="AD25" s="163">
        <f t="shared" si="14"/>
        <v>2246.6826962987707</v>
      </c>
      <c r="AE25" s="163">
        <f t="shared" si="14"/>
        <v>-684.10774107245743</v>
      </c>
      <c r="AF25" s="163">
        <f t="shared" si="14"/>
        <v>-150.00974737955073</v>
      </c>
      <c r="AG25" s="163">
        <f t="shared" si="14"/>
        <v>2310.2466024654286</v>
      </c>
      <c r="AH25" s="163">
        <f t="shared" si="14"/>
        <v>2337.4496830241337</v>
      </c>
      <c r="AI25" s="163">
        <f t="shared" si="14"/>
        <v>-577.16872301345575</v>
      </c>
      <c r="AJ25" s="163">
        <f t="shared" si="14"/>
        <v>-46.689523504626777</v>
      </c>
      <c r="AK25" s="163">
        <f t="shared" si="14"/>
        <v>2404.2296158498302</v>
      </c>
      <c r="AL25" s="163">
        <f t="shared" si="14"/>
        <v>2434.2524111287262</v>
      </c>
      <c r="AM25" s="163">
        <f t="shared" si="14"/>
        <v>-464.17592551946319</v>
      </c>
      <c r="AN25" s="163">
        <f t="shared" si="14"/>
        <v>54.157375803389471</v>
      </c>
      <c r="AO25" s="163">
        <f t="shared" si="14"/>
        <v>2508.2100305876957</v>
      </c>
      <c r="AP25" s="163">
        <f t="shared" si="14"/>
        <v>2537.3885308498493</v>
      </c>
      <c r="AQ25" s="163">
        <f t="shared" si="14"/>
        <v>-344.82678335925152</v>
      </c>
      <c r="AR25" s="163">
        <f t="shared" si="14"/>
        <v>178.31958708640059</v>
      </c>
      <c r="AS25" s="163">
        <f t="shared" si="14"/>
        <v>2611.2312402889893</v>
      </c>
      <c r="AT25" s="163">
        <f t="shared" si="14"/>
        <v>2647.3922711629116</v>
      </c>
      <c r="AU25" s="163">
        <f t="shared" si="14"/>
        <v>-218.57852716563661</v>
      </c>
      <c r="AV25" s="163">
        <f t="shared" si="14"/>
        <v>300.84782607434227</v>
      </c>
      <c r="AW25" s="163">
        <f t="shared" si="14"/>
        <v>2725.1107122140725</v>
      </c>
      <c r="AX25" s="163">
        <f t="shared" si="14"/>
        <v>2764.612970408396</v>
      </c>
      <c r="AY25" s="163">
        <f t="shared" si="14"/>
        <v>-85.076115336225484</v>
      </c>
      <c r="AZ25" s="163">
        <f t="shared" si="14"/>
        <v>430.59068131406991</v>
      </c>
      <c r="BA25" s="163">
        <f t="shared" si="14"/>
        <v>706.41063690806732</v>
      </c>
      <c r="BB25" s="163">
        <f t="shared" si="14"/>
        <v>-741.17391597853157</v>
      </c>
      <c r="BC25" s="163">
        <f t="shared" si="14"/>
        <v>-3005.6033439840267</v>
      </c>
      <c r="BD25" s="163">
        <f t="shared" si="14"/>
        <v>-985.77335655459456</v>
      </c>
      <c r="BE25" s="163">
        <f t="shared" si="14"/>
        <v>713.26149493852836</v>
      </c>
      <c r="BF25" s="163">
        <f t="shared" si="14"/>
        <v>-742.43903203166201</v>
      </c>
      <c r="BG25" s="163">
        <f t="shared" si="14"/>
        <v>-2995.6441599091481</v>
      </c>
      <c r="BH25" s="163">
        <f t="shared" si="14"/>
        <v>-970.70711898360389</v>
      </c>
      <c r="BI25" s="163">
        <f t="shared" si="14"/>
        <v>689.52036199356871</v>
      </c>
      <c r="BJ25" s="163">
        <f t="shared" si="14"/>
        <v>-743.69739905924189</v>
      </c>
      <c r="BK25" s="163">
        <f t="shared" si="14"/>
        <v>-2985.7349057048232</v>
      </c>
      <c r="BL25" s="163">
        <f t="shared" si="14"/>
        <v>-970.95901914901538</v>
      </c>
      <c r="BM25" s="163">
        <f t="shared" si="14"/>
        <v>681.13890482367015</v>
      </c>
      <c r="BN25" s="163">
        <f t="shared" si="14"/>
        <v>-744.94904147173111</v>
      </c>
      <c r="BO25" s="163">
        <f t="shared" si="14"/>
        <v>-2975.8753406550045</v>
      </c>
      <c r="BP25" s="163">
        <f t="shared" si="14"/>
        <v>-971.21180534636676</v>
      </c>
      <c r="BQ25" s="163">
        <f t="shared" si="14"/>
        <v>672.79963241065934</v>
      </c>
      <c r="BR25" s="163">
        <f t="shared" si="14"/>
        <v>-746.193983373435</v>
      </c>
      <c r="BS25" s="163">
        <f t="shared" si="14"/>
        <v>-2966.0652253962144</v>
      </c>
      <c r="BT25" s="163">
        <f t="shared" si="14"/>
        <v>-986.30435059941522</v>
      </c>
      <c r="BU25" s="163">
        <f t="shared" si="14"/>
        <v>679.34117899714329</v>
      </c>
      <c r="BV25" s="163">
        <f t="shared" si="14"/>
        <v>-747.43224856028655</v>
      </c>
      <c r="BW25" s="163">
        <f t="shared" ref="BW25:EA25" si="15" xml:space="preserve"> BW22 + BW24</f>
        <v>-2956.3043219139477</v>
      </c>
      <c r="BX25" s="163">
        <f t="shared" si="15"/>
        <v>-971.72019130968306</v>
      </c>
      <c r="BY25" s="163">
        <f t="shared" si="15"/>
        <v>656.24684272015156</v>
      </c>
      <c r="BZ25" s="163">
        <f t="shared" si="15"/>
        <v>-748.66386051760719</v>
      </c>
      <c r="CA25" s="163">
        <f t="shared" si="15"/>
        <v>-2946.592393539142</v>
      </c>
      <c r="CB25" s="163">
        <f t="shared" si="15"/>
        <v>-971.97587051643768</v>
      </c>
      <c r="CC25" s="163">
        <f t="shared" si="15"/>
        <v>648.0329288550156</v>
      </c>
      <c r="CD25" s="163">
        <f t="shared" si="15"/>
        <v>-749.88884241776532</v>
      </c>
      <c r="CE25" s="163">
        <f t="shared" si="15"/>
        <v>-2936.9292049447358</v>
      </c>
      <c r="CF25" s="163">
        <f t="shared" si="15"/>
        <v>-972.23259466526929</v>
      </c>
      <c r="CG25" s="163">
        <f t="shared" si="15"/>
        <v>639.86040656765817</v>
      </c>
      <c r="CH25" s="163">
        <f t="shared" si="15"/>
        <v>-751.10721711778115</v>
      </c>
      <c r="CI25" s="163">
        <f t="shared" si="15"/>
        <v>-2927.3145221423028</v>
      </c>
      <c r="CJ25" s="163">
        <f t="shared" si="15"/>
        <v>-986.84562253651711</v>
      </c>
      <c r="CK25" s="163">
        <f t="shared" si="15"/>
        <v>646.08429782652638</v>
      </c>
      <c r="CL25" s="163">
        <f t="shared" si="15"/>
        <v>-752.31900715687061</v>
      </c>
      <c r="CM25" s="163">
        <f t="shared" si="15"/>
        <v>-2917.7481124787846</v>
      </c>
      <c r="CN25" s="163">
        <f t="shared" si="15"/>
        <v>-443.9193221102405</v>
      </c>
      <c r="CO25" s="163">
        <f t="shared" si="15"/>
        <v>94.808734250883845</v>
      </c>
      <c r="CP25" s="163">
        <f t="shared" si="15"/>
        <v>-94.808734250883845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550.06025187035596</v>
      </c>
      <c r="DI25" s="163">
        <f t="shared" si="15"/>
        <v>-550.06025187000489</v>
      </c>
      <c r="DJ25" s="163">
        <f t="shared" si="15"/>
        <v>5.4400279965872744E-12</v>
      </c>
      <c r="DK25" s="163">
        <f t="shared" si="15"/>
        <v>5.5234417592016132E-12</v>
      </c>
      <c r="DL25" s="163">
        <f t="shared" si="15"/>
        <v>5.4862185647374278E-12</v>
      </c>
      <c r="DM25" s="163">
        <f t="shared" si="15"/>
        <v>5.6303841970219176E-12</v>
      </c>
      <c r="DN25" s="163">
        <f t="shared" si="15"/>
        <v>5.7785891085230152E-12</v>
      </c>
      <c r="DO25" s="163">
        <f t="shared" si="15"/>
        <v>5.8671941415203677E-12</v>
      </c>
      <c r="DP25" s="163">
        <f t="shared" si="15"/>
        <v>5.8924060699690751E-12</v>
      </c>
      <c r="DQ25" s="163">
        <f t="shared" si="15"/>
        <v>5.981774228696939E-12</v>
      </c>
      <c r="DR25" s="163">
        <f t="shared" si="15"/>
        <v>6.1392285496032262E-12</v>
      </c>
      <c r="DS25" s="163">
        <f t="shared" si="15"/>
        <v>6.2333633873638092E-12</v>
      </c>
      <c r="DT25" s="163">
        <f t="shared" si="15"/>
        <v>6.1913559384489657E-12</v>
      </c>
      <c r="DU25" s="163">
        <f t="shared" si="15"/>
        <v>6.3540510139426528E-12</v>
      </c>
      <c r="DV25" s="163">
        <f t="shared" si="15"/>
        <v>6.5213045325733925E-12</v>
      </c>
      <c r="DW25" s="163">
        <f t="shared" si="15"/>
        <v>6.6212978687395183E-12</v>
      </c>
      <c r="DX25" s="163">
        <f t="shared" si="15"/>
        <v>6.5766760787545336E-12</v>
      </c>
      <c r="DY25" s="163">
        <f t="shared" si="15"/>
        <v>6.7494965112684725E-12</v>
      </c>
      <c r="DZ25" s="163">
        <f t="shared" si="15"/>
        <v>6.9271590824405433E-12</v>
      </c>
      <c r="EA25" s="163">
        <f t="shared" si="15"/>
        <v>7.0333755217046319E-12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-26512.86234216993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-1185.66831091418</v>
      </c>
      <c r="N35" s="191">
        <f xml:space="preserve"> Debt!N$82</f>
        <v>-1198.9573225425206</v>
      </c>
      <c r="O35" s="191">
        <f xml:space="preserve"> Debt!O$82</f>
        <v>-1158.0852364751406</v>
      </c>
      <c r="P35" s="191">
        <f xml:space="preserve"> Debt!P$82</f>
        <v>-1102.159253766067</v>
      </c>
      <c r="Q35" s="191">
        <f xml:space="preserve"> Debt!Q$82</f>
        <v>-1107.4543709084073</v>
      </c>
      <c r="R35" s="191">
        <f xml:space="preserve"> Debt!R$82</f>
        <v>-1101.1413123762493</v>
      </c>
      <c r="S35" s="191">
        <f xml:space="preserve"> Debt!S$82</f>
        <v>-1059.1766520754916</v>
      </c>
      <c r="T35" s="191">
        <f xml:space="preserve"> Debt!T$82</f>
        <v>-1004.2668141732139</v>
      </c>
      <c r="U35" s="191">
        <f xml:space="preserve"> Debt!U$82</f>
        <v>-1007.2184278124658</v>
      </c>
      <c r="V35" s="191">
        <f xml:space="preserve"> Debt!V$82</f>
        <v>-998.55752857013033</v>
      </c>
      <c r="W35" s="191">
        <f xml:space="preserve"> Debt!W$82</f>
        <v>-955.42742817031433</v>
      </c>
      <c r="X35" s="191">
        <f xml:space="preserve"> Debt!X$82</f>
        <v>-911.58424695674387</v>
      </c>
      <c r="Y35" s="191">
        <f xml:space="preserve"> Debt!Y$82</f>
        <v>-902.01191522833165</v>
      </c>
      <c r="Z35" s="191">
        <f xml:space="preserve"> Debt!Z$82</f>
        <v>-891.06501068362854</v>
      </c>
      <c r="AA35" s="191">
        <f xml:space="preserve"> Debt!AA$82</f>
        <v>-846.6944873971446</v>
      </c>
      <c r="AB35" s="191">
        <f xml:space="preserve"> Debt!AB$82</f>
        <v>-793.91725339351672</v>
      </c>
      <c r="AC35" s="191">
        <f xml:space="preserve"> Debt!AC$82</f>
        <v>-791.80247479941852</v>
      </c>
      <c r="AD35" s="191">
        <f xml:space="preserve"> Debt!AD$82</f>
        <v>-778.05513757060726</v>
      </c>
      <c r="AE35" s="191">
        <f xml:space="preserve"> Debt!AE$82</f>
        <v>-732.35992158936278</v>
      </c>
      <c r="AF35" s="191">
        <f xml:space="preserve"> Debt!AF$82</f>
        <v>-680.70436043705615</v>
      </c>
      <c r="AG35" s="191">
        <f xml:space="preserve"> Debt!AG$82</f>
        <v>-675.84691312765733</v>
      </c>
      <c r="AH35" s="191">
        <f xml:space="preserve"> Debt!AH$82</f>
        <v>-659.34064921556558</v>
      </c>
      <c r="AI35" s="191">
        <f xml:space="preserve"> Debt!AI$82</f>
        <v>-612.23364529565174</v>
      </c>
      <c r="AJ35" s="191">
        <f xml:space="preserve"> Debt!AJ$82</f>
        <v>-561.73939807976149</v>
      </c>
      <c r="AK35" s="191">
        <f xml:space="preserve"> Debt!AK$82</f>
        <v>-553.98935242502989</v>
      </c>
      <c r="AL35" s="191">
        <f xml:space="preserve"> Debt!AL$82</f>
        <v>-534.56979061515597</v>
      </c>
      <c r="AM35" s="191">
        <f xml:space="preserve"> Debt!AM$82</f>
        <v>-485.95855654972667</v>
      </c>
      <c r="AN35" s="191">
        <f xml:space="preserve"> Debt!AN$82</f>
        <v>-441.51957887704606</v>
      </c>
      <c r="AO35" s="191">
        <f xml:space="preserve"> Debt!AO$82</f>
        <v>-425.75521513397177</v>
      </c>
      <c r="AP35" s="191">
        <f xml:space="preserve"> Debt!AP$82</f>
        <v>-403.44179670938587</v>
      </c>
      <c r="AQ35" s="191">
        <f xml:space="preserve"> Debt!AQ$82</f>
        <v>-353.22932591948461</v>
      </c>
      <c r="AR35" s="191">
        <f xml:space="preserve"> Debt!AR$82</f>
        <v>-305.18608573593315</v>
      </c>
      <c r="AS35" s="191">
        <f xml:space="preserve"> Debt!AS$82</f>
        <v>-291.16529615541833</v>
      </c>
      <c r="AT35" s="191">
        <f xml:space="preserve"> Debt!AT$82</f>
        <v>-265.41927436348112</v>
      </c>
      <c r="AU35" s="191">
        <f xml:space="preserve"> Debt!AU$82</f>
        <v>-213.50036836190174</v>
      </c>
      <c r="AV35" s="191">
        <f xml:space="preserve"> Debt!AV$82</f>
        <v>-166.75264684277201</v>
      </c>
      <c r="AW35" s="191">
        <f xml:space="preserve"> Debt!AW$82</f>
        <v>-149.33159057843653</v>
      </c>
      <c r="AX35" s="191">
        <f xml:space="preserve"> Debt!AX$82</f>
        <v>-120.1496706799488</v>
      </c>
      <c r="AY35" s="191">
        <f xml:space="preserve"> Debt!AY$82</f>
        <v>-66.413774065511006</v>
      </c>
      <c r="AZ35" s="191">
        <f xml:space="preserve"> Debt!AZ$82</f>
        <v>-21.011947598451471</v>
      </c>
      <c r="BA35" s="191">
        <f xml:space="preserve"> Debt!BA$82</f>
        <v>2.1415189621620815E-12</v>
      </c>
      <c r="BB35" s="191">
        <f xml:space="preserve"> Debt!BB$82</f>
        <v>2.1978887616569411E-12</v>
      </c>
      <c r="BC35" s="191">
        <f xml:space="preserve"> Debt!BC$82</f>
        <v>2.2315897226690144E-12</v>
      </c>
      <c r="BD35" s="191">
        <f xml:space="preserve"> Debt!BD$82</f>
        <v>2.2411790901004832E-12</v>
      </c>
      <c r="BE35" s="191">
        <f xml:space="preserve"> Debt!BE$82</f>
        <v>2.2751703063003407E-12</v>
      </c>
      <c r="BF35" s="191">
        <f xml:space="preserve"> Debt!BF$82</f>
        <v>2.3350581224947519E-12</v>
      </c>
      <c r="BG35" s="191">
        <f xml:space="preserve"> Debt!BG$82</f>
        <v>2.3708623470396712E-12</v>
      </c>
      <c r="BH35" s="191">
        <f xml:space="preserve"> Debt!BH$82</f>
        <v>2.3548847964400559E-12</v>
      </c>
      <c r="BI35" s="191">
        <f xml:space="preserve"> Debt!BI$82</f>
        <v>2.4167659358131753E-12</v>
      </c>
      <c r="BJ35" s="191">
        <f xml:space="preserve"> Debt!BJ$82</f>
        <v>2.4803808809221625E-12</v>
      </c>
      <c r="BK35" s="191">
        <f xml:space="preserve"> Debt!BK$82</f>
        <v>2.518413387762969E-12</v>
      </c>
      <c r="BL35" s="191">
        <f xml:space="preserve"> Debt!BL$82</f>
        <v>2.5014414714541315E-12</v>
      </c>
      <c r="BM35" s="191">
        <f xml:space="preserve"> Debt!BM$82</f>
        <v>2.5671737945651209E-12</v>
      </c>
      <c r="BN35" s="191">
        <f xml:space="preserve"> Debt!BN$82</f>
        <v>2.6347478271209632E-12</v>
      </c>
      <c r="BO35" s="191">
        <f xml:space="preserve"> Debt!BO$82</f>
        <v>2.6751472938034846E-12</v>
      </c>
      <c r="BP35" s="191">
        <f xml:space="preserve"> Debt!BP$82</f>
        <v>2.6571191272582873E-12</v>
      </c>
      <c r="BQ35" s="191">
        <f xml:space="preserve"> Debt!BQ$82</f>
        <v>2.7269423132134637E-12</v>
      </c>
      <c r="BR35" s="191">
        <f xml:space="preserve"> Debt!BR$82</f>
        <v>2.7987218277290387E-12</v>
      </c>
      <c r="BS35" s="191">
        <f xml:space="preserve"> Debt!BS$82</f>
        <v>2.8416355624208842E-12</v>
      </c>
      <c r="BT35" s="191">
        <f xml:space="preserve"> Debt!BT$82</f>
        <v>2.8538463587144753E-12</v>
      </c>
      <c r="BU35" s="191">
        <f xml:space="preserve"> Debt!BU$82</f>
        <v>2.8971296951549782E-12</v>
      </c>
      <c r="BV35" s="191">
        <f xml:space="preserve"> Debt!BV$82</f>
        <v>2.973388940537336E-12</v>
      </c>
      <c r="BW35" s="191">
        <f xml:space="preserve"> Debt!BW$82</f>
        <v>3.0189809042922421E-12</v>
      </c>
      <c r="BX35" s="191">
        <f xml:space="preserve"> Debt!BX$82</f>
        <v>2.9986355981980982E-12</v>
      </c>
      <c r="BY35" s="191">
        <f xml:space="preserve"> Debt!BY$82</f>
        <v>3.0774330780840822E-12</v>
      </c>
      <c r="BZ35" s="191">
        <f xml:space="preserve"> Debt!BZ$82</f>
        <v>3.1584383311943835E-12</v>
      </c>
      <c r="CA35" s="191">
        <f xml:space="preserve"> Debt!CA$82</f>
        <v>3.2068677189393639E-12</v>
      </c>
      <c r="CB35" s="191">
        <f xml:space="preserve"> Debt!CB$82</f>
        <v>3.1852562190943375E-12</v>
      </c>
      <c r="CC35" s="191">
        <f xml:space="preserve"> Debt!CC$82</f>
        <v>3.2689576741849833E-12</v>
      </c>
      <c r="CD35" s="191">
        <f xml:space="preserve"> Debt!CD$82</f>
        <v>3.3550043036600507E-12</v>
      </c>
      <c r="CE35" s="191">
        <f xml:space="preserve"> Debt!CE$82</f>
        <v>3.4064477029828381E-12</v>
      </c>
      <c r="CF35" s="191">
        <f xml:space="preserve"> Debt!CF$82</f>
        <v>3.3834912075931711E-12</v>
      </c>
      <c r="CG35" s="191">
        <f xml:space="preserve"> Debt!CG$82</f>
        <v>3.4724018376593695E-12</v>
      </c>
      <c r="CH35" s="191">
        <f xml:space="preserve"> Debt!CH$82</f>
        <v>3.5638035944557806E-12</v>
      </c>
      <c r="CI35" s="191">
        <f xml:space="preserve"> Debt!CI$82</f>
        <v>3.6184485829041027E-12</v>
      </c>
      <c r="CJ35" s="191">
        <f xml:space="preserve"> Debt!CJ$82</f>
        <v>3.633997423553828E-12</v>
      </c>
      <c r="CK35" s="191">
        <f xml:space="preserve"> Debt!CK$82</f>
        <v>3.6891130511443946E-12</v>
      </c>
      <c r="CL35" s="191">
        <f xml:space="preserve"> Debt!CL$82</f>
        <v>3.7862191551206712E-12</v>
      </c>
      <c r="CM35" s="191">
        <f xml:space="preserve"> Debt!CM$82</f>
        <v>3.8442745154991888E-12</v>
      </c>
      <c r="CN35" s="191">
        <f xml:space="preserve"> Debt!CN$82</f>
        <v>3.8183674481121288E-12</v>
      </c>
      <c r="CO35" s="191">
        <f xml:space="preserve"> Debt!CO$82</f>
        <v>3.9187056593875196E-12</v>
      </c>
      <c r="CP35" s="191">
        <f xml:space="preserve"> Debt!CP$82</f>
        <v>4.0218551790518376E-12</v>
      </c>
      <c r="CQ35" s="191">
        <f xml:space="preserve"> Debt!CQ$82</f>
        <v>4.083523625130632E-12</v>
      </c>
      <c r="CR35" s="191">
        <f xml:space="preserve"> Debt!CR$82</f>
        <v>4.0560042267873601E-12</v>
      </c>
      <c r="CS35" s="191">
        <f xml:space="preserve"> Debt!CS$82</f>
        <v>4.1625870045246059E-12</v>
      </c>
      <c r="CT35" s="191">
        <f xml:space="preserve"> Debt!CT$82</f>
        <v>4.2721560529294189E-12</v>
      </c>
      <c r="CU35" s="191">
        <f xml:space="preserve"> Debt!CU$82</f>
        <v>4.337662445741003E-12</v>
      </c>
      <c r="CV35" s="191">
        <f xml:space="preserve"> Debt!CV$82</f>
        <v>4.3084303727370966E-12</v>
      </c>
      <c r="CW35" s="191">
        <f xml:space="preserve"> Debt!CW$82</f>
        <v>4.4216463486429106E-12</v>
      </c>
      <c r="CX35" s="191">
        <f xml:space="preserve"> Debt!CX$82</f>
        <v>4.5380344463035261E-12</v>
      </c>
      <c r="CY35" s="191">
        <f xml:space="preserve"> Debt!CY$82</f>
        <v>4.607617641146847E-12</v>
      </c>
      <c r="CZ35" s="191">
        <f xml:space="preserve"> Debt!CZ$82</f>
        <v>4.6274170415903257E-12</v>
      </c>
      <c r="DA35" s="191">
        <f xml:space="preserve"> Debt!DA$82</f>
        <v>4.6975995333877789E-12</v>
      </c>
      <c r="DB35" s="191">
        <f xml:space="preserve"> Debt!DB$82</f>
        <v>4.8212513657940964E-12</v>
      </c>
      <c r="DC35" s="191">
        <f xml:space="preserve"> Debt!DC$82</f>
        <v>4.8951772200696055E-12</v>
      </c>
      <c r="DD35" s="191">
        <f xml:space="preserve"> Debt!DD$82</f>
        <v>4.8621879822821794E-12</v>
      </c>
      <c r="DE35" s="191">
        <f xml:space="preserve"> Debt!DE$82</f>
        <v>4.9899554775943725E-12</v>
      </c>
      <c r="DF35" s="191">
        <f xml:space="preserve"> Debt!DF$82</f>
        <v>5.1213028038287799E-12</v>
      </c>
      <c r="DG35" s="191">
        <f xml:space="preserve"> Debt!DG$82</f>
        <v>5.1998294468208207E-12</v>
      </c>
      <c r="DH35" s="191">
        <f xml:space="preserve"> Debt!DH$82</f>
        <v>5.1647871179400714E-12</v>
      </c>
      <c r="DI35" s="191">
        <f xml:space="preserve"> Debt!DI$82</f>
        <v>5.3005062460948297E-12</v>
      </c>
      <c r="DJ35" s="191">
        <f xml:space="preserve"> Debt!DJ$82</f>
        <v>5.4400279965872744E-12</v>
      </c>
      <c r="DK35" s="191">
        <f xml:space="preserve"> Debt!DK$82</f>
        <v>5.5234417592016132E-12</v>
      </c>
      <c r="DL35" s="191">
        <f xml:space="preserve"> Debt!DL$82</f>
        <v>5.4862185647374278E-12</v>
      </c>
      <c r="DM35" s="191">
        <f xml:space="preserve"> Debt!DM$82</f>
        <v>5.6303841970219176E-12</v>
      </c>
      <c r="DN35" s="191">
        <f xml:space="preserve"> Debt!DN$82</f>
        <v>5.7785891085230152E-12</v>
      </c>
      <c r="DO35" s="191">
        <f xml:space="preserve"> Debt!DO$82</f>
        <v>5.8671941415203677E-12</v>
      </c>
      <c r="DP35" s="191">
        <f xml:space="preserve"> Debt!DP$82</f>
        <v>5.8924060699690751E-12</v>
      </c>
      <c r="DQ35" s="191">
        <f xml:space="preserve"> Debt!DQ$82</f>
        <v>5.981774228696939E-12</v>
      </c>
      <c r="DR35" s="191">
        <f xml:space="preserve"> Debt!DR$82</f>
        <v>6.1392285496032262E-12</v>
      </c>
      <c r="DS35" s="191">
        <f xml:space="preserve"> Debt!DS$82</f>
        <v>6.2333633873638092E-12</v>
      </c>
      <c r="DT35" s="191">
        <f xml:space="preserve"> Debt!DT$82</f>
        <v>6.1913559384489657E-12</v>
      </c>
      <c r="DU35" s="191">
        <f xml:space="preserve"> Debt!DU$82</f>
        <v>6.3540510139426528E-12</v>
      </c>
      <c r="DV35" s="191">
        <f xml:space="preserve"> Debt!DV$82</f>
        <v>6.5213045325733925E-12</v>
      </c>
      <c r="DW35" s="191">
        <f xml:space="preserve"> Debt!DW$82</f>
        <v>6.6212978687395183E-12</v>
      </c>
      <c r="DX35" s="191">
        <f xml:space="preserve"> Debt!DX$82</f>
        <v>6.5766760787545336E-12</v>
      </c>
      <c r="DY35" s="191">
        <f xml:space="preserve"> Debt!DY$82</f>
        <v>6.7494965112684725E-12</v>
      </c>
      <c r="DZ35" s="191">
        <f xml:space="preserve"> Debt!DZ$82</f>
        <v>6.9271590824405433E-12</v>
      </c>
      <c r="EA35" s="191">
        <f xml:space="preserve"> Debt!EA$82</f>
        <v>7.0333755217046319E-12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-78175.932587748233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16.936273720604049</v>
      </c>
      <c r="N36" s="191">
        <f xml:space="preserve"> Debt!N$69</f>
        <v>-2665.5708304812952</v>
      </c>
      <c r="O36" s="191">
        <f xml:space="preserve"> Debt!O$69</f>
        <v>-2050.014446582969</v>
      </c>
      <c r="P36" s="191">
        <f xml:space="preserve"> Debt!P$69</f>
        <v>-458.31407396003328</v>
      </c>
      <c r="Q36" s="191">
        <f xml:space="preserve"> Debt!Q$69</f>
        <v>-1205.4056598194848</v>
      </c>
      <c r="R36" s="191">
        <f xml:space="preserve"> Debt!R$69</f>
        <v>-2736.8256717885324</v>
      </c>
      <c r="S36" s="191">
        <f xml:space="preserve"> Debt!S$69</f>
        <v>-2125.6172339554769</v>
      </c>
      <c r="T36" s="191">
        <f xml:space="preserve"> Debt!T$69</f>
        <v>-541.11471548758607</v>
      </c>
      <c r="U36" s="191">
        <f xml:space="preserve"> Debt!U$69</f>
        <v>-1286.6891487326761</v>
      </c>
      <c r="V36" s="191">
        <f xml:space="preserve"> Debt!V$69</f>
        <v>-2812.8326347706097</v>
      </c>
      <c r="W36" s="191">
        <f xml:space="preserve"> Debt!W$69</f>
        <v>-2206.0286025882674</v>
      </c>
      <c r="X36" s="191">
        <f xml:space="preserve"> Debt!X$69</f>
        <v>-631.14275132388127</v>
      </c>
      <c r="Y36" s="191">
        <f xml:space="preserve"> Debt!Y$69</f>
        <v>-1360.3776126108371</v>
      </c>
      <c r="Z36" s="191">
        <f xml:space="preserve"> Debt!Z$69</f>
        <v>-2893.7297795533041</v>
      </c>
      <c r="AA36" s="191">
        <f xml:space="preserve"> Debt!AA$69</f>
        <v>-2291.388806912661</v>
      </c>
      <c r="AB36" s="191">
        <f xml:space="preserve"> Debt!AB$69</f>
        <v>-721.06031271967379</v>
      </c>
      <c r="AC36" s="191">
        <f xml:space="preserve"> Debt!AC$69</f>
        <v>-1464.0302168809694</v>
      </c>
      <c r="AD36" s="191">
        <f xml:space="preserve"> Debt!AD$69</f>
        <v>-2980.1227813855048</v>
      </c>
      <c r="AE36" s="191">
        <f xml:space="preserve"> Debt!AE$69</f>
        <v>-2382.3128861112095</v>
      </c>
      <c r="AF36" s="191">
        <f xml:space="preserve"> Debt!AF$69</f>
        <v>-818.95576430986296</v>
      </c>
      <c r="AG36" s="191">
        <f xml:space="preserve"> Debt!AG$69</f>
        <v>-1560.8578087396195</v>
      </c>
      <c r="AH36" s="191">
        <f xml:space="preserve"> Debt!AH$69</f>
        <v>-3072.1959078204695</v>
      </c>
      <c r="AI36" s="191">
        <f xml:space="preserve"> Debt!AI$69</f>
        <v>-2478.9880096163715</v>
      </c>
      <c r="AJ36" s="191">
        <f xml:space="preserve"> Debt!AJ$69</f>
        <v>-922.52271575502664</v>
      </c>
      <c r="AK36" s="191">
        <f xml:space="preserve"> Debt!AK$69</f>
        <v>-1663.5232755305003</v>
      </c>
      <c r="AL36" s="191">
        <f xml:space="preserve"> Debt!AL$69</f>
        <v>-3170.2978738323477</v>
      </c>
      <c r="AM36" s="191">
        <f xml:space="preserve"> Debt!AM$69</f>
        <v>-2581.7683153393846</v>
      </c>
      <c r="AN36" s="191">
        <f xml:space="preserve"> Debt!AN$69</f>
        <v>-1039.4085984444559</v>
      </c>
      <c r="AO36" s="191">
        <f xml:space="preserve"> Debt!AO$69</f>
        <v>-1760.3509018905556</v>
      </c>
      <c r="AP36" s="191">
        <f xml:space="preserve"> Debt!AP$69</f>
        <v>-3274.7263558631266</v>
      </c>
      <c r="AQ36" s="191">
        <f xml:space="preserve"> Debt!AQ$69</f>
        <v>-2690.956119599824</v>
      </c>
      <c r="AR36" s="191">
        <f xml:space="preserve"> Debt!AR$69</f>
        <v>-1148.0272146390239</v>
      </c>
      <c r="AS36" s="191">
        <f xml:space="preserve"> Debt!AS$69</f>
        <v>-1887.7591585439841</v>
      </c>
      <c r="AT36" s="191">
        <f xml:space="preserve"> Debt!AT$69</f>
        <v>-3386.0156087986566</v>
      </c>
      <c r="AU36" s="191">
        <f xml:space="preserve"> Debt!AU$69</f>
        <v>-2807.0939442290801</v>
      </c>
      <c r="AV36" s="191">
        <f xml:space="preserve"> Debt!AV$69</f>
        <v>-1270.8041836138932</v>
      </c>
      <c r="AW36" s="191">
        <f xml:space="preserve"> Debt!AW$69</f>
        <v>-2010.1908514148263</v>
      </c>
      <c r="AX36" s="191">
        <f xml:space="preserve"> Debt!AX$69</f>
        <v>-3504.514996593769</v>
      </c>
      <c r="AY36" s="191">
        <f xml:space="preserve"> Debt!AY$69</f>
        <v>-2930.5365846655463</v>
      </c>
      <c r="AZ36" s="191">
        <f xml:space="preserve"> Debt!AZ$69</f>
        <v>-1400.7965065635724</v>
      </c>
      <c r="BA36" s="191">
        <f xml:space="preserve"> Debt!BA$69</f>
        <v>-2.1415189621620815E-12</v>
      </c>
      <c r="BB36" s="191">
        <f xml:space="preserve"> Debt!BB$69</f>
        <v>-2.1978887616569411E-12</v>
      </c>
      <c r="BC36" s="191">
        <f xml:space="preserve"> Debt!BC$69</f>
        <v>-2.2315897226690144E-12</v>
      </c>
      <c r="BD36" s="191">
        <f xml:space="preserve"> Debt!BD$69</f>
        <v>-2.2411790901004832E-12</v>
      </c>
      <c r="BE36" s="191">
        <f xml:space="preserve"> Debt!BE$69</f>
        <v>-2.2751703063003407E-12</v>
      </c>
      <c r="BF36" s="191">
        <f xml:space="preserve"> Debt!BF$69</f>
        <v>-2.3350581224947519E-12</v>
      </c>
      <c r="BG36" s="191">
        <f xml:space="preserve"> Debt!BG$69</f>
        <v>-2.3708623470396712E-12</v>
      </c>
      <c r="BH36" s="191">
        <f xml:space="preserve"> Debt!BH$69</f>
        <v>-2.3548847964400559E-12</v>
      </c>
      <c r="BI36" s="191">
        <f xml:space="preserve"> Debt!BI$69</f>
        <v>-2.4167659358131753E-12</v>
      </c>
      <c r="BJ36" s="191">
        <f xml:space="preserve"> Debt!BJ$69</f>
        <v>-2.4803808809221625E-12</v>
      </c>
      <c r="BK36" s="191">
        <f xml:space="preserve"> Debt!BK$69</f>
        <v>-2.518413387762969E-12</v>
      </c>
      <c r="BL36" s="191">
        <f xml:space="preserve"> Debt!BL$69</f>
        <v>-2.5014414714541315E-12</v>
      </c>
      <c r="BM36" s="191">
        <f xml:space="preserve"> Debt!BM$69</f>
        <v>-2.5671737945651209E-12</v>
      </c>
      <c r="BN36" s="191">
        <f xml:space="preserve"> Debt!BN$69</f>
        <v>-2.6347478271209632E-12</v>
      </c>
      <c r="BO36" s="191">
        <f xml:space="preserve"> Debt!BO$69</f>
        <v>-2.6751472938034846E-12</v>
      </c>
      <c r="BP36" s="191">
        <f xml:space="preserve"> Debt!BP$69</f>
        <v>-2.6571191272582873E-12</v>
      </c>
      <c r="BQ36" s="191">
        <f xml:space="preserve"> Debt!BQ$69</f>
        <v>-2.7269423132134637E-12</v>
      </c>
      <c r="BR36" s="191">
        <f xml:space="preserve"> Debt!BR$69</f>
        <v>-2.7987218277290387E-12</v>
      </c>
      <c r="BS36" s="191">
        <f xml:space="preserve"> Debt!BS$69</f>
        <v>-2.8416355624208842E-12</v>
      </c>
      <c r="BT36" s="191">
        <f xml:space="preserve"> Debt!BT$69</f>
        <v>-2.8538463587144753E-12</v>
      </c>
      <c r="BU36" s="191">
        <f xml:space="preserve"> Debt!BU$69</f>
        <v>-2.8971296951549782E-12</v>
      </c>
      <c r="BV36" s="191">
        <f xml:space="preserve"> Debt!BV$69</f>
        <v>-2.973388940537336E-12</v>
      </c>
      <c r="BW36" s="191">
        <f xml:space="preserve"> Debt!BW$69</f>
        <v>-3.0189809042922421E-12</v>
      </c>
      <c r="BX36" s="191">
        <f xml:space="preserve"> Debt!BX$69</f>
        <v>-2.9986355981980982E-12</v>
      </c>
      <c r="BY36" s="191">
        <f xml:space="preserve"> Debt!BY$69</f>
        <v>-3.0774330780840822E-12</v>
      </c>
      <c r="BZ36" s="191">
        <f xml:space="preserve"> Debt!BZ$69</f>
        <v>-3.1584383311943835E-12</v>
      </c>
      <c r="CA36" s="191">
        <f xml:space="preserve"> Debt!CA$69</f>
        <v>-3.2068677189393639E-12</v>
      </c>
      <c r="CB36" s="191">
        <f xml:space="preserve"> Debt!CB$69</f>
        <v>-3.1852562190943375E-12</v>
      </c>
      <c r="CC36" s="191">
        <f xml:space="preserve"> Debt!CC$69</f>
        <v>-3.2689576741849833E-12</v>
      </c>
      <c r="CD36" s="191">
        <f xml:space="preserve"> Debt!CD$69</f>
        <v>-3.3550043036600507E-12</v>
      </c>
      <c r="CE36" s="191">
        <f xml:space="preserve"> Debt!CE$69</f>
        <v>-3.4064477029828381E-12</v>
      </c>
      <c r="CF36" s="191">
        <f xml:space="preserve"> Debt!CF$69</f>
        <v>-3.3834912075931711E-12</v>
      </c>
      <c r="CG36" s="191">
        <f xml:space="preserve"> Debt!CG$69</f>
        <v>-3.4724018376593695E-12</v>
      </c>
      <c r="CH36" s="191">
        <f xml:space="preserve"> Debt!CH$69</f>
        <v>-3.5638035944557806E-12</v>
      </c>
      <c r="CI36" s="191">
        <f xml:space="preserve"> Debt!CI$69</f>
        <v>-3.6184485829041027E-12</v>
      </c>
      <c r="CJ36" s="191">
        <f xml:space="preserve"> Debt!CJ$69</f>
        <v>-3.633997423553828E-12</v>
      </c>
      <c r="CK36" s="191">
        <f xml:space="preserve"> Debt!CK$69</f>
        <v>-3.6891130511443946E-12</v>
      </c>
      <c r="CL36" s="191">
        <f xml:space="preserve"> Debt!CL$69</f>
        <v>-3.7862191551206712E-12</v>
      </c>
      <c r="CM36" s="191">
        <f xml:space="preserve"> Debt!CM$69</f>
        <v>-3.8442745154991888E-12</v>
      </c>
      <c r="CN36" s="191">
        <f xml:space="preserve"> Debt!CN$69</f>
        <v>-3.8183674481121288E-12</v>
      </c>
      <c r="CO36" s="191">
        <f xml:space="preserve"> Debt!CO$69</f>
        <v>-3.9187056593875196E-12</v>
      </c>
      <c r="CP36" s="191">
        <f xml:space="preserve"> Debt!CP$69</f>
        <v>-4.0218551790518376E-12</v>
      </c>
      <c r="CQ36" s="191">
        <f xml:space="preserve"> Debt!CQ$69</f>
        <v>-4.083523625130632E-12</v>
      </c>
      <c r="CR36" s="191">
        <f xml:space="preserve"> Debt!CR$69</f>
        <v>-4.0560042267873601E-12</v>
      </c>
      <c r="CS36" s="191">
        <f xml:space="preserve"> Debt!CS$69</f>
        <v>-4.1625870045246059E-12</v>
      </c>
      <c r="CT36" s="191">
        <f xml:space="preserve"> Debt!CT$69</f>
        <v>-4.2721560529294189E-12</v>
      </c>
      <c r="CU36" s="191">
        <f xml:space="preserve"> Debt!CU$69</f>
        <v>-4.337662445741003E-12</v>
      </c>
      <c r="CV36" s="191">
        <f xml:space="preserve"> Debt!CV$69</f>
        <v>-4.3084303727370966E-12</v>
      </c>
      <c r="CW36" s="191">
        <f xml:space="preserve"> Debt!CW$69</f>
        <v>-4.4216463486429106E-12</v>
      </c>
      <c r="CX36" s="191">
        <f xml:space="preserve"> Debt!CX$69</f>
        <v>-4.5380344463035261E-12</v>
      </c>
      <c r="CY36" s="191">
        <f xml:space="preserve"> Debt!CY$69</f>
        <v>-4.607617641146847E-12</v>
      </c>
      <c r="CZ36" s="191">
        <f xml:space="preserve"> Debt!CZ$69</f>
        <v>-4.6274170415903257E-12</v>
      </c>
      <c r="DA36" s="191">
        <f xml:space="preserve"> Debt!DA$69</f>
        <v>-4.6975995333877789E-12</v>
      </c>
      <c r="DB36" s="191">
        <f xml:space="preserve"> Debt!DB$69</f>
        <v>-4.8212513657940964E-12</v>
      </c>
      <c r="DC36" s="191">
        <f xml:space="preserve"> Debt!DC$69</f>
        <v>-4.8951772200696055E-12</v>
      </c>
      <c r="DD36" s="191">
        <f xml:space="preserve"> Debt!DD$69</f>
        <v>-4.8621879822821794E-12</v>
      </c>
      <c r="DE36" s="191">
        <f xml:space="preserve"> Debt!DE$69</f>
        <v>-4.9899554775943725E-12</v>
      </c>
      <c r="DF36" s="191">
        <f xml:space="preserve"> Debt!DF$69</f>
        <v>-5.1213028038287799E-12</v>
      </c>
      <c r="DG36" s="191">
        <f xml:space="preserve"> Debt!DG$69</f>
        <v>-5.1998294468208207E-12</v>
      </c>
      <c r="DH36" s="191">
        <f xml:space="preserve"> Debt!DH$69</f>
        <v>-5.1647871179400714E-12</v>
      </c>
      <c r="DI36" s="191">
        <f xml:space="preserve"> Debt!DI$69</f>
        <v>-5.3005062460948297E-12</v>
      </c>
      <c r="DJ36" s="191">
        <f xml:space="preserve"> Debt!DJ$69</f>
        <v>-5.4400279965872744E-12</v>
      </c>
      <c r="DK36" s="191">
        <f xml:space="preserve"> Debt!DK$69</f>
        <v>-5.5234417592016132E-12</v>
      </c>
      <c r="DL36" s="191">
        <f xml:space="preserve"> Debt!DL$69</f>
        <v>-5.4862185647374278E-12</v>
      </c>
      <c r="DM36" s="191">
        <f xml:space="preserve"> Debt!DM$69</f>
        <v>-5.6303841970219176E-12</v>
      </c>
      <c r="DN36" s="191">
        <f xml:space="preserve"> Debt!DN$69</f>
        <v>-5.7785891085230152E-12</v>
      </c>
      <c r="DO36" s="191">
        <f xml:space="preserve"> Debt!DO$69</f>
        <v>-5.8671941415203677E-12</v>
      </c>
      <c r="DP36" s="191">
        <f xml:space="preserve"> Debt!DP$69</f>
        <v>-5.8924060699690751E-12</v>
      </c>
      <c r="DQ36" s="191">
        <f xml:space="preserve"> Debt!DQ$69</f>
        <v>-5.981774228696939E-12</v>
      </c>
      <c r="DR36" s="191">
        <f xml:space="preserve"> Debt!DR$69</f>
        <v>-6.1392285496032262E-12</v>
      </c>
      <c r="DS36" s="191">
        <f xml:space="preserve"> Debt!DS$69</f>
        <v>-6.2333633873638092E-12</v>
      </c>
      <c r="DT36" s="191">
        <f xml:space="preserve"> Debt!DT$69</f>
        <v>-6.1913559384489657E-12</v>
      </c>
      <c r="DU36" s="191">
        <f xml:space="preserve"> Debt!DU$69</f>
        <v>-6.3540510139426528E-12</v>
      </c>
      <c r="DV36" s="191">
        <f xml:space="preserve"> Debt!DV$69</f>
        <v>-6.5213045325733925E-12</v>
      </c>
      <c r="DW36" s="191">
        <f xml:space="preserve"> Debt!DW$69</f>
        <v>-6.6212978687395183E-12</v>
      </c>
      <c r="DX36" s="191">
        <f xml:space="preserve"> Debt!DX$69</f>
        <v>-6.5766760787545336E-12</v>
      </c>
      <c r="DY36" s="191">
        <f xml:space="preserve"> Debt!DY$69</f>
        <v>-6.7494965112684725E-12</v>
      </c>
      <c r="DZ36" s="191">
        <f xml:space="preserve"> Debt!DZ$69</f>
        <v>-6.9271590824405433E-12</v>
      </c>
      <c r="EA36" s="191">
        <f xml:space="preserve"> Debt!EA$69</f>
        <v>-7.0333755217046319E-12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217978.24629738973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350.61961115807276</v>
      </c>
      <c r="N37" s="163">
        <f t="shared" si="20"/>
        <v>1159.3584459071449</v>
      </c>
      <c r="O37" s="163">
        <f t="shared" si="20"/>
        <v>962.4299049174333</v>
      </c>
      <c r="P37" s="163">
        <f t="shared" si="20"/>
        <v>468.14199831783026</v>
      </c>
      <c r="Q37" s="163">
        <f t="shared" si="20"/>
        <v>693.8580092183679</v>
      </c>
      <c r="R37" s="163">
        <f t="shared" si="20"/>
        <v>1151.390095249435</v>
      </c>
      <c r="S37" s="163">
        <f t="shared" si="20"/>
        <v>955.43816580929069</v>
      </c>
      <c r="T37" s="163">
        <f t="shared" si="20"/>
        <v>463.61445889824017</v>
      </c>
      <c r="U37" s="163">
        <f t="shared" si="20"/>
        <v>688.17227296354258</v>
      </c>
      <c r="V37" s="163">
        <f t="shared" si="20"/>
        <v>1143.417049002222</v>
      </c>
      <c r="W37" s="163">
        <f t="shared" si="20"/>
        <v>948.43680922757449</v>
      </c>
      <c r="X37" s="163">
        <f t="shared" si="20"/>
        <v>462.81809948418754</v>
      </c>
      <c r="Y37" s="163">
        <f t="shared" si="20"/>
        <v>678.71685835175094</v>
      </c>
      <c r="Z37" s="163">
        <f t="shared" si="20"/>
        <v>1135.4384370710804</v>
      </c>
      <c r="AA37" s="163">
        <f t="shared" si="20"/>
        <v>941.42498829294163</v>
      </c>
      <c r="AB37" s="163">
        <f t="shared" si="20"/>
        <v>454.49326983395736</v>
      </c>
      <c r="AC37" s="163">
        <f t="shared" si="20"/>
        <v>676.74980750411669</v>
      </c>
      <c r="AD37" s="163">
        <f t="shared" si="20"/>
        <v>1127.4533756868341</v>
      </c>
      <c r="AE37" s="163">
        <f t="shared" si="20"/>
        <v>934.40184231017201</v>
      </c>
      <c r="AF37" s="163">
        <f t="shared" si="20"/>
        <v>449.89803742407571</v>
      </c>
      <c r="AG37" s="163">
        <f t="shared" si="20"/>
        <v>671.01141656018308</v>
      </c>
      <c r="AH37" s="163">
        <f t="shared" si="20"/>
        <v>1119.4609671108105</v>
      </c>
      <c r="AI37" s="163">
        <f t="shared" si="20"/>
        <v>927.36649647360764</v>
      </c>
      <c r="AJ37" s="163">
        <f t="shared" si="20"/>
        <v>445.27863415043657</v>
      </c>
      <c r="AK37" s="163">
        <f t="shared" si="20"/>
        <v>665.25378838665893</v>
      </c>
      <c r="AL37" s="163">
        <f t="shared" si="20"/>
        <v>1111.4602993342514</v>
      </c>
      <c r="AM37" s="163">
        <f t="shared" si="20"/>
        <v>920.31806156673383</v>
      </c>
      <c r="AN37" s="163">
        <f t="shared" si="20"/>
        <v>444.27845319645076</v>
      </c>
      <c r="AO37" s="163">
        <f t="shared" si="20"/>
        <v>655.83183510735807</v>
      </c>
      <c r="AP37" s="163">
        <f t="shared" ref="AP37:BU37" si="21" xml:space="preserve"> AP33 + SUM(AP35:AP36)</f>
        <v>1103.4504457717539</v>
      </c>
      <c r="AQ37" s="163">
        <f t="shared" si="21"/>
        <v>913.25563365579228</v>
      </c>
      <c r="AR37" s="163">
        <f t="shared" si="21"/>
        <v>435.96399011248718</v>
      </c>
      <c r="AS37" s="163">
        <f t="shared" si="21"/>
        <v>653.67733640982078</v>
      </c>
      <c r="AT37" s="163">
        <f t="shared" si="21"/>
        <v>1095.4304649486417</v>
      </c>
      <c r="AU37" s="163">
        <f t="shared" si="21"/>
        <v>906.17829377729458</v>
      </c>
      <c r="AV37" s="163">
        <f t="shared" si="21"/>
        <v>431.26704913699973</v>
      </c>
      <c r="AW37" s="163">
        <f t="shared" si="21"/>
        <v>647.85673259797886</v>
      </c>
      <c r="AX37" s="163">
        <f t="shared" si="21"/>
        <v>1087.3994001821156</v>
      </c>
      <c r="AY37" s="163">
        <f t="shared" si="21"/>
        <v>899.08510761931711</v>
      </c>
      <c r="AZ37" s="163">
        <f t="shared" si="21"/>
        <v>426.54253624860735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217978.24629738973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350.61961115807276</v>
      </c>
      <c r="N42" s="163">
        <f t="shared" si="24"/>
        <v>1159.3584459071449</v>
      </c>
      <c r="O42" s="163">
        <f t="shared" si="24"/>
        <v>962.4299049174333</v>
      </c>
      <c r="P42" s="163">
        <f t="shared" si="24"/>
        <v>468.14199831783026</v>
      </c>
      <c r="Q42" s="163">
        <f t="shared" si="24"/>
        <v>693.8580092183679</v>
      </c>
      <c r="R42" s="163">
        <f t="shared" si="24"/>
        <v>1151.390095249435</v>
      </c>
      <c r="S42" s="163">
        <f t="shared" si="24"/>
        <v>955.43816580929069</v>
      </c>
      <c r="T42" s="163">
        <f t="shared" si="24"/>
        <v>463.61445889824017</v>
      </c>
      <c r="U42" s="163">
        <f t="shared" si="24"/>
        <v>688.17227296354258</v>
      </c>
      <c r="V42" s="163">
        <f t="shared" si="24"/>
        <v>1143.417049002222</v>
      </c>
      <c r="W42" s="163">
        <f t="shared" si="24"/>
        <v>948.43680922757449</v>
      </c>
      <c r="X42" s="163">
        <f t="shared" si="24"/>
        <v>462.81809948418754</v>
      </c>
      <c r="Y42" s="163">
        <f t="shared" si="24"/>
        <v>678.71685835175094</v>
      </c>
      <c r="Z42" s="163">
        <f t="shared" si="24"/>
        <v>1135.4384370710804</v>
      </c>
      <c r="AA42" s="163">
        <f t="shared" si="24"/>
        <v>941.42498829294163</v>
      </c>
      <c r="AB42" s="163">
        <f t="shared" si="24"/>
        <v>454.49326983395736</v>
      </c>
      <c r="AC42" s="163">
        <f t="shared" si="24"/>
        <v>676.74980750411669</v>
      </c>
      <c r="AD42" s="163">
        <f t="shared" si="24"/>
        <v>1127.4533756868341</v>
      </c>
      <c r="AE42" s="163">
        <f t="shared" si="24"/>
        <v>934.40184231017201</v>
      </c>
      <c r="AF42" s="163">
        <f t="shared" si="24"/>
        <v>449.89803742407571</v>
      </c>
      <c r="AG42" s="163">
        <f t="shared" si="24"/>
        <v>671.01141656018308</v>
      </c>
      <c r="AH42" s="163">
        <f t="shared" si="24"/>
        <v>1119.4609671108105</v>
      </c>
      <c r="AI42" s="163">
        <f t="shared" si="24"/>
        <v>927.36649647360764</v>
      </c>
      <c r="AJ42" s="163">
        <f t="shared" si="24"/>
        <v>445.27863415043657</v>
      </c>
      <c r="AK42" s="163">
        <f t="shared" si="24"/>
        <v>665.25378838665893</v>
      </c>
      <c r="AL42" s="163">
        <f t="shared" si="24"/>
        <v>1111.4602993342514</v>
      </c>
      <c r="AM42" s="163">
        <f t="shared" si="24"/>
        <v>920.31806156673383</v>
      </c>
      <c r="AN42" s="163">
        <f t="shared" si="24"/>
        <v>444.27845319645076</v>
      </c>
      <c r="AO42" s="163">
        <f t="shared" si="24"/>
        <v>655.83183510735807</v>
      </c>
      <c r="AP42" s="163">
        <f t="shared" ref="AP42:BU42" si="25" xml:space="preserve"> AP37 + SUM(AP39:AP41)</f>
        <v>1103.4504457717539</v>
      </c>
      <c r="AQ42" s="163">
        <f t="shared" si="25"/>
        <v>913.25563365579228</v>
      </c>
      <c r="AR42" s="163">
        <f t="shared" si="25"/>
        <v>435.96399011248718</v>
      </c>
      <c r="AS42" s="163">
        <f t="shared" si="25"/>
        <v>653.67733640982078</v>
      </c>
      <c r="AT42" s="163">
        <f t="shared" si="25"/>
        <v>1095.4304649486417</v>
      </c>
      <c r="AU42" s="163">
        <f t="shared" si="25"/>
        <v>906.17829377729458</v>
      </c>
      <c r="AV42" s="163">
        <f t="shared" si="25"/>
        <v>431.26704913699973</v>
      </c>
      <c r="AW42" s="163">
        <f t="shared" si="25"/>
        <v>647.85673259797886</v>
      </c>
      <c r="AX42" s="163">
        <f t="shared" si="25"/>
        <v>1087.3994001821156</v>
      </c>
      <c r="AY42" s="163">
        <f t="shared" si="25"/>
        <v>899.08510761931711</v>
      </c>
      <c r="AZ42" s="163">
        <f t="shared" si="25"/>
        <v>426.54253624860735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217978.24629738973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350.61961115807276</v>
      </c>
      <c r="N47" s="163">
        <f t="shared" si="28"/>
        <v>1159.3584459071449</v>
      </c>
      <c r="O47" s="163">
        <f t="shared" si="28"/>
        <v>962.4299049174333</v>
      </c>
      <c r="P47" s="163">
        <f t="shared" si="28"/>
        <v>468.14199831783026</v>
      </c>
      <c r="Q47" s="163">
        <f t="shared" si="28"/>
        <v>693.8580092183679</v>
      </c>
      <c r="R47" s="163">
        <f t="shared" si="28"/>
        <v>1151.390095249435</v>
      </c>
      <c r="S47" s="163">
        <f t="shared" si="28"/>
        <v>955.43816580929069</v>
      </c>
      <c r="T47" s="163">
        <f t="shared" si="28"/>
        <v>463.61445889824017</v>
      </c>
      <c r="U47" s="163">
        <f t="shared" si="28"/>
        <v>688.17227296354258</v>
      </c>
      <c r="V47" s="163">
        <f t="shared" si="28"/>
        <v>1143.417049002222</v>
      </c>
      <c r="W47" s="163">
        <f t="shared" si="28"/>
        <v>948.43680922757449</v>
      </c>
      <c r="X47" s="163">
        <f t="shared" si="28"/>
        <v>462.81809948418754</v>
      </c>
      <c r="Y47" s="163">
        <f t="shared" si="28"/>
        <v>678.71685835175094</v>
      </c>
      <c r="Z47" s="163">
        <f t="shared" si="28"/>
        <v>1135.4384370710804</v>
      </c>
      <c r="AA47" s="163">
        <f t="shared" si="28"/>
        <v>941.42498829294163</v>
      </c>
      <c r="AB47" s="163">
        <f t="shared" si="28"/>
        <v>454.49326983395736</v>
      </c>
      <c r="AC47" s="163">
        <f t="shared" si="28"/>
        <v>676.74980750411669</v>
      </c>
      <c r="AD47" s="163">
        <f t="shared" si="28"/>
        <v>1127.4533756868341</v>
      </c>
      <c r="AE47" s="163">
        <f t="shared" si="28"/>
        <v>934.40184231017201</v>
      </c>
      <c r="AF47" s="163">
        <f t="shared" si="28"/>
        <v>449.89803742407571</v>
      </c>
      <c r="AG47" s="163">
        <f t="shared" si="28"/>
        <v>671.01141656018308</v>
      </c>
      <c r="AH47" s="163">
        <f t="shared" si="28"/>
        <v>1119.4609671108105</v>
      </c>
      <c r="AI47" s="163">
        <f t="shared" si="28"/>
        <v>927.36649647360764</v>
      </c>
      <c r="AJ47" s="163">
        <f t="shared" si="28"/>
        <v>445.27863415043657</v>
      </c>
      <c r="AK47" s="163">
        <f t="shared" si="28"/>
        <v>665.25378838665893</v>
      </c>
      <c r="AL47" s="163">
        <f t="shared" si="28"/>
        <v>1111.4602993342514</v>
      </c>
      <c r="AM47" s="163">
        <f t="shared" si="28"/>
        <v>920.31806156673383</v>
      </c>
      <c r="AN47" s="163">
        <f t="shared" si="28"/>
        <v>444.27845319645076</v>
      </c>
      <c r="AO47" s="163">
        <f t="shared" si="28"/>
        <v>655.83183510735807</v>
      </c>
      <c r="AP47" s="163">
        <f t="shared" ref="AP47:BU47" si="29" xml:space="preserve"> AP42 + SUM(AP44:AP46)</f>
        <v>1103.4504457717539</v>
      </c>
      <c r="AQ47" s="163">
        <f t="shared" si="29"/>
        <v>913.25563365579228</v>
      </c>
      <c r="AR47" s="163">
        <f t="shared" si="29"/>
        <v>435.96399011248718</v>
      </c>
      <c r="AS47" s="163">
        <f t="shared" si="29"/>
        <v>653.67733640982078</v>
      </c>
      <c r="AT47" s="163">
        <f t="shared" si="29"/>
        <v>1095.4304649486417</v>
      </c>
      <c r="AU47" s="163">
        <f t="shared" si="29"/>
        <v>906.17829377729458</v>
      </c>
      <c r="AV47" s="163">
        <f t="shared" si="29"/>
        <v>431.26704913699973</v>
      </c>
      <c r="AW47" s="163">
        <f t="shared" si="29"/>
        <v>647.85673259797886</v>
      </c>
      <c r="AX47" s="163">
        <f t="shared" si="29"/>
        <v>1087.3994001821156</v>
      </c>
      <c r="AY47" s="163">
        <f t="shared" si="29"/>
        <v>899.08510761931711</v>
      </c>
      <c r="AZ47" s="163">
        <f t="shared" si="29"/>
        <v>426.54253624860735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-21824.067412251883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-21824.067412251883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196154.17888513784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350.61961115807276</v>
      </c>
      <c r="N50" s="163">
        <f t="shared" si="32"/>
        <v>1159.3584459071449</v>
      </c>
      <c r="O50" s="163">
        <f t="shared" si="32"/>
        <v>962.4299049174333</v>
      </c>
      <c r="P50" s="163">
        <f t="shared" si="32"/>
        <v>468.14199831783026</v>
      </c>
      <c r="Q50" s="163">
        <f t="shared" si="32"/>
        <v>693.8580092183679</v>
      </c>
      <c r="R50" s="163">
        <f t="shared" si="32"/>
        <v>1151.390095249435</v>
      </c>
      <c r="S50" s="163">
        <f t="shared" si="32"/>
        <v>955.43816580929069</v>
      </c>
      <c r="T50" s="163">
        <f t="shared" si="32"/>
        <v>463.61445889824017</v>
      </c>
      <c r="U50" s="163">
        <f t="shared" si="32"/>
        <v>688.17227296354258</v>
      </c>
      <c r="V50" s="163">
        <f t="shared" si="32"/>
        <v>1143.417049002222</v>
      </c>
      <c r="W50" s="163">
        <f t="shared" si="32"/>
        <v>948.43680922757449</v>
      </c>
      <c r="X50" s="163">
        <f t="shared" si="32"/>
        <v>462.81809948418754</v>
      </c>
      <c r="Y50" s="163">
        <f t="shared" si="32"/>
        <v>678.71685835175094</v>
      </c>
      <c r="Z50" s="163">
        <f t="shared" si="32"/>
        <v>1135.4384370710804</v>
      </c>
      <c r="AA50" s="163">
        <f t="shared" si="32"/>
        <v>941.42498829294163</v>
      </c>
      <c r="AB50" s="163">
        <f t="shared" si="32"/>
        <v>454.49326983395736</v>
      </c>
      <c r="AC50" s="163">
        <f t="shared" si="32"/>
        <v>676.74980750411669</v>
      </c>
      <c r="AD50" s="163">
        <f t="shared" si="32"/>
        <v>1127.4533756868341</v>
      </c>
      <c r="AE50" s="163">
        <f t="shared" si="32"/>
        <v>934.40184231017201</v>
      </c>
      <c r="AF50" s="163">
        <f t="shared" si="32"/>
        <v>449.89803742407571</v>
      </c>
      <c r="AG50" s="163">
        <f t="shared" si="32"/>
        <v>671.01141656018308</v>
      </c>
      <c r="AH50" s="163">
        <f t="shared" si="32"/>
        <v>1119.4609671108105</v>
      </c>
      <c r="AI50" s="163">
        <f t="shared" si="32"/>
        <v>927.36649647360764</v>
      </c>
      <c r="AJ50" s="163">
        <f t="shared" si="32"/>
        <v>445.27863415043657</v>
      </c>
      <c r="AK50" s="163">
        <f t="shared" si="32"/>
        <v>665.25378838665893</v>
      </c>
      <c r="AL50" s="163">
        <f t="shared" si="32"/>
        <v>1111.4602993342514</v>
      </c>
      <c r="AM50" s="163">
        <f t="shared" si="32"/>
        <v>920.31806156673383</v>
      </c>
      <c r="AN50" s="163">
        <f t="shared" si="32"/>
        <v>444.27845319645076</v>
      </c>
      <c r="AO50" s="163">
        <f t="shared" si="32"/>
        <v>655.83183510735807</v>
      </c>
      <c r="AP50" s="163">
        <f t="shared" ref="AP50:BU50" si="33" xml:space="preserve"> AP47 + AP49</f>
        <v>1103.4504457717539</v>
      </c>
      <c r="AQ50" s="163">
        <f t="shared" si="33"/>
        <v>913.25563365579228</v>
      </c>
      <c r="AR50" s="163">
        <f t="shared" si="33"/>
        <v>435.96399011248718</v>
      </c>
      <c r="AS50" s="163">
        <f t="shared" si="33"/>
        <v>653.67733640982078</v>
      </c>
      <c r="AT50" s="163">
        <f t="shared" si="33"/>
        <v>1095.4304649486417</v>
      </c>
      <c r="AU50" s="163">
        <f t="shared" si="33"/>
        <v>906.17829377729458</v>
      </c>
      <c r="AV50" s="163">
        <f t="shared" si="33"/>
        <v>431.26704913699973</v>
      </c>
      <c r="AW50" s="163">
        <f t="shared" si="33"/>
        <v>647.85673259797886</v>
      </c>
      <c r="AX50" s="163">
        <f t="shared" si="33"/>
        <v>1087.3994001821156</v>
      </c>
      <c r="AY50" s="163">
        <f t="shared" si="33"/>
        <v>899.08510761931711</v>
      </c>
      <c r="AZ50" s="163">
        <f t="shared" si="33"/>
        <v>426.54253624860735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-20299.944658688575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-196154.17888513798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-350.61961115807276</v>
      </c>
      <c r="N52" s="191">
        <f xml:space="preserve"> Equity!N$70</f>
        <v>-1159.3584459071449</v>
      </c>
      <c r="O52" s="191">
        <f xml:space="preserve"> Equity!O$70</f>
        <v>-962.4299049174333</v>
      </c>
      <c r="P52" s="191">
        <f xml:space="preserve"> Equity!P$70</f>
        <v>-468.14199831783026</v>
      </c>
      <c r="Q52" s="191">
        <f xml:space="preserve"> Equity!Q$70</f>
        <v>-693.8580092183679</v>
      </c>
      <c r="R52" s="191">
        <f xml:space="preserve"> Equity!R$70</f>
        <v>-1151.390095249435</v>
      </c>
      <c r="S52" s="191">
        <f xml:space="preserve"> Equity!S$70</f>
        <v>-955.43816580929069</v>
      </c>
      <c r="T52" s="191">
        <f xml:space="preserve"> Equity!T$70</f>
        <v>-463.61445889824017</v>
      </c>
      <c r="U52" s="191">
        <f xml:space="preserve"> Equity!U$70</f>
        <v>-688.17227296354258</v>
      </c>
      <c r="V52" s="191">
        <f xml:space="preserve"> Equity!V$70</f>
        <v>-1143.417049002222</v>
      </c>
      <c r="W52" s="191">
        <f xml:space="preserve"> Equity!W$70</f>
        <v>-948.43680922757449</v>
      </c>
      <c r="X52" s="191">
        <f xml:space="preserve"> Equity!X$70</f>
        <v>-462.81809948418754</v>
      </c>
      <c r="Y52" s="191">
        <f xml:space="preserve"> Equity!Y$70</f>
        <v>-678.71685835175094</v>
      </c>
      <c r="Z52" s="191">
        <f xml:space="preserve"> Equity!Z$70</f>
        <v>-1135.4384370710804</v>
      </c>
      <c r="AA52" s="191">
        <f xml:space="preserve"> Equity!AA$70</f>
        <v>-941.42498829294163</v>
      </c>
      <c r="AB52" s="191">
        <f xml:space="preserve"> Equity!AB$70</f>
        <v>-454.49326983395736</v>
      </c>
      <c r="AC52" s="191">
        <f xml:space="preserve"> Equity!AC$70</f>
        <v>-676.74980750411669</v>
      </c>
      <c r="AD52" s="191">
        <f xml:space="preserve"> Equity!AD$70</f>
        <v>-1127.4533756868341</v>
      </c>
      <c r="AE52" s="191">
        <f xml:space="preserve"> Equity!AE$70</f>
        <v>-934.40184231017201</v>
      </c>
      <c r="AF52" s="191">
        <f xml:space="preserve"> Equity!AF$70</f>
        <v>-449.89803742407571</v>
      </c>
      <c r="AG52" s="191">
        <f xml:space="preserve"> Equity!AG$70</f>
        <v>-671.01141656018308</v>
      </c>
      <c r="AH52" s="191">
        <f xml:space="preserve"> Equity!AH$70</f>
        <v>-1119.4609671108105</v>
      </c>
      <c r="AI52" s="191">
        <f xml:space="preserve"> Equity!AI$70</f>
        <v>-927.36649647360764</v>
      </c>
      <c r="AJ52" s="191">
        <f xml:space="preserve"> Equity!AJ$70</f>
        <v>-445.27863415043657</v>
      </c>
      <c r="AK52" s="191">
        <f xml:space="preserve"> Equity!AK$70</f>
        <v>-665.25378838665893</v>
      </c>
      <c r="AL52" s="191">
        <f xml:space="preserve"> Equity!AL$70</f>
        <v>-1111.4602993342514</v>
      </c>
      <c r="AM52" s="191">
        <f xml:space="preserve"> Equity!AM$70</f>
        <v>-920.31806156673383</v>
      </c>
      <c r="AN52" s="191">
        <f xml:space="preserve"> Equity!AN$70</f>
        <v>-444.27845319645076</v>
      </c>
      <c r="AO52" s="191">
        <f xml:space="preserve"> Equity!AO$70</f>
        <v>-655.83183510735807</v>
      </c>
      <c r="AP52" s="191">
        <f xml:space="preserve"> Equity!AP$70</f>
        <v>-1103.4504457717539</v>
      </c>
      <c r="AQ52" s="191">
        <f xml:space="preserve"> Equity!AQ$70</f>
        <v>-913.25563365579228</v>
      </c>
      <c r="AR52" s="191">
        <f xml:space="preserve"> Equity!AR$70</f>
        <v>-435.96399011248718</v>
      </c>
      <c r="AS52" s="191">
        <f xml:space="preserve"> Equity!AS$70</f>
        <v>-653.67733640982078</v>
      </c>
      <c r="AT52" s="191">
        <f xml:space="preserve"> Equity!AT$70</f>
        <v>-1095.4304649486417</v>
      </c>
      <c r="AU52" s="191">
        <f xml:space="preserve"> Equity!AU$70</f>
        <v>-906.17829377729458</v>
      </c>
      <c r="AV52" s="191">
        <f xml:space="preserve"> Equity!AV$70</f>
        <v>-431.26704913699973</v>
      </c>
      <c r="AW52" s="191">
        <f xml:space="preserve"> Equity!AW$70</f>
        <v>-647.85673259797886</v>
      </c>
      <c r="AX52" s="191">
        <f xml:space="preserve"> Equity!AX$70</f>
        <v>-1087.3994001821156</v>
      </c>
      <c r="AY52" s="191">
        <f xml:space="preserve"> Equity!AY$70</f>
        <v>-899.08510761931711</v>
      </c>
      <c r="AZ52" s="191">
        <f xml:space="preserve"> Equity!AZ$70</f>
        <v>-426.54253624860735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-1679.7890595480376</v>
      </c>
      <c r="CG52" s="191">
        <f xml:space="preserve"> Equity!CG$70</f>
        <v>-2575.4314086216336</v>
      </c>
      <c r="CH52" s="191">
        <f xml:space="preserve"> Equity!CH$70</f>
        <v>-4395.9726604739562</v>
      </c>
      <c r="CI52" s="191">
        <f xml:space="preserve"> Equity!CI$70</f>
        <v>-3615.6083643905404</v>
      </c>
      <c r="CJ52" s="191">
        <f xml:space="preserve"> Equity!CJ$70</f>
        <v>-1672.4139038003891</v>
      </c>
      <c r="CK52" s="191">
        <f xml:space="preserve"> Equity!CK$70</f>
        <v>-2534.6755740795943</v>
      </c>
      <c r="CL52" s="191">
        <f xml:space="preserve"> Equity!CL$70</f>
        <v>-4360.4475232891255</v>
      </c>
      <c r="CM52" s="191">
        <f xml:space="preserve"> Equity!CM$70</f>
        <v>-3583.9461982317816</v>
      </c>
      <c r="CN52" s="191">
        <f xml:space="preserve"> Equity!CN$70</f>
        <v>-1107.3369254605534</v>
      </c>
      <c r="CO52" s="191">
        <f xml:space="preserve"> Equity!CO$70</f>
        <v>-3051.3177474006879</v>
      </c>
      <c r="CP52" s="191">
        <f xml:space="preserve"> Equity!CP$70</f>
        <v>-3666.1084800187755</v>
      </c>
      <c r="CQ52" s="191">
        <f xml:space="preserve"> Equity!CQ$70</f>
        <v>-643.936271402285</v>
      </c>
      <c r="CR52" s="191">
        <f xml:space="preserve"> Equity!CR$70</f>
        <v>-641.09976088720759</v>
      </c>
      <c r="CS52" s="191">
        <f xml:space="preserve"> Equity!CS$70</f>
        <v>-3111.3866430593139</v>
      </c>
      <c r="CT52" s="191">
        <f xml:space="preserve"> Equity!CT$70</f>
        <v>-3534.3740555861154</v>
      </c>
      <c r="CU52" s="191">
        <f xml:space="preserve"> Equity!CU$70</f>
        <v>-621.5036640785263</v>
      </c>
      <c r="CV52" s="191">
        <f xml:space="preserve"> Equity!CV$70</f>
        <v>-618.60999645654169</v>
      </c>
      <c r="CW52" s="191">
        <f xml:space="preserve"> Equity!CW$70</f>
        <v>-3076.5352686952128</v>
      </c>
      <c r="CX52" s="191">
        <f xml:space="preserve"> Equity!CX$70</f>
        <v>-3497.346282662078</v>
      </c>
      <c r="CY52" s="191">
        <f xml:space="preserve"> Equity!CY$70</f>
        <v>-598.89544015944705</v>
      </c>
      <c r="CZ52" s="191">
        <f xml:space="preserve"> Equity!CZ$70</f>
        <v>-595.94346368623758</v>
      </c>
      <c r="DA52" s="191">
        <f xml:space="preserve"> Equity!DA$70</f>
        <v>-3041.5671832498315</v>
      </c>
      <c r="DB52" s="191">
        <f xml:space="preserve"> Equity!DB$70</f>
        <v>-3460.2111760052744</v>
      </c>
      <c r="DC52" s="191">
        <f xml:space="preserve"> Equity!DC$70</f>
        <v>-576.10668570028395</v>
      </c>
      <c r="DD52" s="191">
        <f xml:space="preserve"> Equity!DD$70</f>
        <v>-573.09522542330558</v>
      </c>
      <c r="DE52" s="191">
        <f xml:space="preserve"> Equity!DE$70</f>
        <v>-3006.477121694862</v>
      </c>
      <c r="DF52" s="191">
        <f xml:space="preserve"> Equity!DF$70</f>
        <v>-3422.9633947055186</v>
      </c>
      <c r="DG52" s="191">
        <f xml:space="preserve"> Equity!DG$70</f>
        <v>-553.13239457952727</v>
      </c>
      <c r="DH52" s="191">
        <f xml:space="preserve"> Equity!DH$70</f>
        <v>0</v>
      </c>
      <c r="DI52" s="191">
        <f xml:space="preserve"> Equity!DI$70</f>
        <v>-550.06025187001023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528.83002237149753</v>
      </c>
      <c r="CO53" s="163">
        <f t="shared" si="37"/>
        <v>-528.83002237149776</v>
      </c>
      <c r="CP53" s="163">
        <f t="shared" si="37"/>
        <v>658.71550050302631</v>
      </c>
      <c r="CQ53" s="163">
        <f t="shared" si="37"/>
        <v>2908.2297446332832</v>
      </c>
      <c r="CR53" s="163">
        <f t="shared" si="37"/>
        <v>973.00945534690436</v>
      </c>
      <c r="CS53" s="163">
        <f t="shared" si="37"/>
        <v>-615.58924187459388</v>
      </c>
      <c r="CT53" s="163">
        <f t="shared" si="37"/>
        <v>754.72292180483464</v>
      </c>
      <c r="CU53" s="163">
        <f t="shared" si="37"/>
        <v>2898.7591886139699</v>
      </c>
      <c r="CV53" s="163">
        <f t="shared" si="37"/>
        <v>973.27078158011977</v>
      </c>
      <c r="CW53" s="163">
        <f t="shared" si="37"/>
        <v>-607.58034452175252</v>
      </c>
      <c r="CX53" s="163">
        <f t="shared" si="37"/>
        <v>755.91508987996349</v>
      </c>
      <c r="CY53" s="163">
        <f t="shared" si="37"/>
        <v>2889.3362157550496</v>
      </c>
      <c r="CZ53" s="163">
        <f t="shared" si="37"/>
        <v>987.39869443587975</v>
      </c>
      <c r="DA53" s="163">
        <f t="shared" si="37"/>
        <v>-613.47720070860805</v>
      </c>
      <c r="DB53" s="163">
        <f t="shared" si="37"/>
        <v>757.10076022125895</v>
      </c>
      <c r="DC53" s="163">
        <f t="shared" si="37"/>
        <v>2879.9605987138343</v>
      </c>
      <c r="DD53" s="163">
        <f t="shared" si="37"/>
        <v>973.79725902857911</v>
      </c>
      <c r="DE53" s="163">
        <f t="shared" si="37"/>
        <v>-591.68364082203243</v>
      </c>
      <c r="DF53" s="163">
        <f t="shared" si="37"/>
        <v>758.27995373950353</v>
      </c>
      <c r="DG53" s="163">
        <f t="shared" si="37"/>
        <v>2870.6321114678958</v>
      </c>
      <c r="DH53" s="163">
        <f t="shared" si="37"/>
        <v>-20299.944658688575</v>
      </c>
      <c r="DI53" s="163">
        <f t="shared" si="37"/>
        <v>689.14681089145597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528.83002237149753</v>
      </c>
      <c r="CO63" s="191">
        <f xml:space="preserve"> Equity!CO$52</f>
        <v>0</v>
      </c>
      <c r="CP63" s="191">
        <f xml:space="preserve"> Equity!CP$52</f>
        <v>658.71550050302631</v>
      </c>
      <c r="CQ63" s="191">
        <f xml:space="preserve"> Equity!CQ$52</f>
        <v>3566.9452451363099</v>
      </c>
      <c r="CR63" s="191">
        <f xml:space="preserve"> Equity!CR$52</f>
        <v>4539.9547004832148</v>
      </c>
      <c r="CS63" s="191">
        <f xml:space="preserve"> Equity!CS$52</f>
        <v>3924.3654586086209</v>
      </c>
      <c r="CT63" s="191">
        <f xml:space="preserve"> Equity!CT$52</f>
        <v>4679.0883804134555</v>
      </c>
      <c r="CU63" s="191">
        <f xml:space="preserve"> Equity!CU$52</f>
        <v>7577.8475690274254</v>
      </c>
      <c r="CV63" s="191">
        <f xml:space="preserve"> Equity!CV$52</f>
        <v>8551.1183506075449</v>
      </c>
      <c r="CW63" s="191">
        <f xml:space="preserve"> Equity!CW$52</f>
        <v>7943.5380060857924</v>
      </c>
      <c r="CX63" s="191">
        <f xml:space="preserve"> Equity!CX$52</f>
        <v>8699.4530959657568</v>
      </c>
      <c r="CY63" s="191">
        <f xml:space="preserve"> Equity!CY$52</f>
        <v>11588.789311720806</v>
      </c>
      <c r="CZ63" s="191">
        <f xml:space="preserve"> Equity!CZ$52</f>
        <v>12576.188006156686</v>
      </c>
      <c r="DA63" s="191">
        <f xml:space="preserve"> Equity!DA$52</f>
        <v>11962.710805448078</v>
      </c>
      <c r="DB63" s="191">
        <f xml:space="preserve"> Equity!DB$52</f>
        <v>12719.811565669337</v>
      </c>
      <c r="DC63" s="191">
        <f xml:space="preserve"> Equity!DC$52</f>
        <v>15599.772164383172</v>
      </c>
      <c r="DD63" s="191">
        <f xml:space="preserve"> Equity!DD$52</f>
        <v>16573.569423411751</v>
      </c>
      <c r="DE63" s="191">
        <f xml:space="preserve"> Equity!DE$52</f>
        <v>15981.885782589718</v>
      </c>
      <c r="DF63" s="191">
        <f xml:space="preserve"> Equity!DF$52</f>
        <v>16740.165736329222</v>
      </c>
      <c r="DG63" s="191">
        <f xml:space="preserve"> Equity!DG$52</f>
        <v>19610.797847797119</v>
      </c>
      <c r="DH63" s="191">
        <f xml:space="preserve"> Equity!DH$52</f>
        <v>-689.14681089145597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1496.3820462114209</v>
      </c>
      <c r="CG65" s="188">
        <f t="shared" si="44"/>
        <v>3135.1605511950502</v>
      </c>
      <c r="CH65" s="188">
        <f t="shared" si="44"/>
        <v>3382.9993299456473</v>
      </c>
      <c r="CI65" s="188">
        <f t="shared" si="44"/>
        <v>1456.5691559488196</v>
      </c>
      <c r="CJ65" s="188">
        <f t="shared" si="44"/>
        <v>1472.5754104097964</v>
      </c>
      <c r="CK65" s="188">
        <f t="shared" si="44"/>
        <v>3119.5627375075128</v>
      </c>
      <c r="CL65" s="188">
        <f t="shared" si="44"/>
        <v>3366.1684875081073</v>
      </c>
      <c r="CM65" s="188">
        <f t="shared" si="44"/>
        <v>1449.3225432326562</v>
      </c>
      <c r="CN65" s="188">
        <f t="shared" si="44"/>
        <v>2010.3597332315469</v>
      </c>
      <c r="CO65" s="188">
        <f t="shared" si="44"/>
        <v>3104.042524883097</v>
      </c>
      <c r="CP65" s="188">
        <f t="shared" si="44"/>
        <v>4008.1368811081074</v>
      </c>
      <c r="CQ65" s="188">
        <f t="shared" si="44"/>
        <v>5009.057228452386</v>
      </c>
      <c r="CR65" s="188">
        <f t="shared" si="44"/>
        <v>6014.1136167618706</v>
      </c>
      <c r="CS65" s="188">
        <f t="shared" si="44"/>
        <v>7012.9649858554858</v>
      </c>
      <c r="CT65" s="188">
        <f t="shared" si="44"/>
        <v>8011.8459730553277</v>
      </c>
      <c r="CU65" s="188">
        <f t="shared" si="44"/>
        <v>9012.784865859343</v>
      </c>
      <c r="CV65" s="188">
        <f t="shared" si="44"/>
        <v>10017.943142924616</v>
      </c>
      <c r="CW65" s="188">
        <f t="shared" si="44"/>
        <v>11016.771366530433</v>
      </c>
      <c r="CX65" s="188">
        <f t="shared" si="44"/>
        <v>12015.629805062148</v>
      </c>
      <c r="CY65" s="188">
        <f t="shared" si="44"/>
        <v>13016.587617026196</v>
      </c>
      <c r="CZ65" s="188">
        <f t="shared" si="44"/>
        <v>14019.676402729168</v>
      </c>
      <c r="DA65" s="188">
        <f t="shared" si="44"/>
        <v>15020.654447681552</v>
      </c>
      <c r="DB65" s="188">
        <f t="shared" ref="DB65:EA65" si="45">SUM(DB63:DB64)</f>
        <v>16019.489883178187</v>
      </c>
      <c r="DC65" s="188">
        <f t="shared" si="45"/>
        <v>17020.466995532814</v>
      </c>
      <c r="DD65" s="188">
        <f t="shared" si="45"/>
        <v>18025.835250809163</v>
      </c>
      <c r="DE65" s="188">
        <f t="shared" si="45"/>
        <v>19024.615774861832</v>
      </c>
      <c r="DF65" s="188">
        <f t="shared" si="45"/>
        <v>20023.427743800712</v>
      </c>
      <c r="DG65" s="188">
        <f t="shared" si="45"/>
        <v>21024.424545458452</v>
      </c>
      <c r="DH65" s="188">
        <f t="shared" si="45"/>
        <v>755.89381338457633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102429.64285714286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97628.791666666672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93620.688225538965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89594.903945093291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85604.60208959083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81596.618994617733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77588.675616535067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73563.40063952934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69572.907221638132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65565.081812575256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29496.38204621142</v>
      </c>
      <c r="CG67" s="163">
        <f t="shared" si="48"/>
        <v>30135.160551195051</v>
      </c>
      <c r="CH67" s="163">
        <f t="shared" si="48"/>
        <v>29382.999329945647</v>
      </c>
      <c r="CI67" s="163">
        <f t="shared" si="48"/>
        <v>26456.569155948819</v>
      </c>
      <c r="CJ67" s="163">
        <f t="shared" si="48"/>
        <v>25472.575410409798</v>
      </c>
      <c r="CK67" s="163">
        <f t="shared" si="48"/>
        <v>26119.562737507513</v>
      </c>
      <c r="CL67" s="163">
        <f t="shared" si="48"/>
        <v>25366.168487508108</v>
      </c>
      <c r="CM67" s="163">
        <f t="shared" si="48"/>
        <v>22449.322543232658</v>
      </c>
      <c r="CN67" s="163">
        <f t="shared" si="48"/>
        <v>22010.359733231548</v>
      </c>
      <c r="CO67" s="163">
        <f t="shared" si="48"/>
        <v>22104.042524883098</v>
      </c>
      <c r="CP67" s="163">
        <f t="shared" si="48"/>
        <v>22008.136881108108</v>
      </c>
      <c r="CQ67" s="163">
        <f t="shared" si="48"/>
        <v>22009.057228452388</v>
      </c>
      <c r="CR67" s="163">
        <f t="shared" si="48"/>
        <v>22014.113616761872</v>
      </c>
      <c r="CS67" s="163">
        <f t="shared" si="48"/>
        <v>22012.964985855484</v>
      </c>
      <c r="CT67" s="163">
        <f t="shared" si="48"/>
        <v>22011.84597305533</v>
      </c>
      <c r="CU67" s="163">
        <f t="shared" si="48"/>
        <v>22012.784865859343</v>
      </c>
      <c r="CV67" s="163">
        <f t="shared" si="48"/>
        <v>22017.943142924618</v>
      </c>
      <c r="CW67" s="163">
        <f t="shared" si="48"/>
        <v>22016.771366530433</v>
      </c>
      <c r="CX67" s="163">
        <f t="shared" si="48"/>
        <v>22015.629805062148</v>
      </c>
      <c r="CY67" s="163">
        <f t="shared" si="48"/>
        <v>22016.587617026198</v>
      </c>
      <c r="CZ67" s="163">
        <f t="shared" si="48"/>
        <v>22019.676402729168</v>
      </c>
      <c r="DA67" s="163">
        <f t="shared" si="48"/>
        <v>22020.654447681554</v>
      </c>
      <c r="DB67" s="163">
        <f t="shared" ref="DB67:EA67" si="49" xml:space="preserve"> DB65 + DB60</f>
        <v>22019.489883178187</v>
      </c>
      <c r="DC67" s="163">
        <f t="shared" si="49"/>
        <v>22020.466995532814</v>
      </c>
      <c r="DD67" s="163">
        <f t="shared" si="49"/>
        <v>22025.835250809163</v>
      </c>
      <c r="DE67" s="163">
        <f t="shared" si="49"/>
        <v>22024.615774861832</v>
      </c>
      <c r="DF67" s="163">
        <f t="shared" si="49"/>
        <v>22023.427743800712</v>
      </c>
      <c r="DG67" s="163">
        <f t="shared" si="49"/>
        <v>22024.424545458452</v>
      </c>
      <c r="DH67" s="163">
        <f t="shared" si="49"/>
        <v>755.89381338457633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78175.932587748117</v>
      </c>
      <c r="M70" s="191">
        <f xml:space="preserve"> Debt!M$92</f>
        <v>78192.868861468727</v>
      </c>
      <c r="N70" s="191">
        <f xml:space="preserve"> Debt!N$92</f>
        <v>75527.298030987426</v>
      </c>
      <c r="O70" s="191">
        <f xml:space="preserve"> Debt!O$92</f>
        <v>73477.28358440446</v>
      </c>
      <c r="P70" s="191">
        <f xml:space="preserve"> Debt!P$92</f>
        <v>73018.969510444425</v>
      </c>
      <c r="Q70" s="191">
        <f xml:space="preserve"> Debt!Q$92</f>
        <v>71813.563850624938</v>
      </c>
      <c r="R70" s="191">
        <f xml:space="preserve"> Debt!R$92</f>
        <v>69076.7381788364</v>
      </c>
      <c r="S70" s="191">
        <f xml:space="preserve"> Debt!S$92</f>
        <v>66951.120944880924</v>
      </c>
      <c r="T70" s="191">
        <f xml:space="preserve"> Debt!T$92</f>
        <v>66410.006229393344</v>
      </c>
      <c r="U70" s="191">
        <f xml:space="preserve"> Debt!U$92</f>
        <v>65123.317080660665</v>
      </c>
      <c r="V70" s="191">
        <f xml:space="preserve"> Debt!V$92</f>
        <v>62310.484445890055</v>
      </c>
      <c r="W70" s="191">
        <f xml:space="preserve"> Debt!W$92</f>
        <v>60104.455843301788</v>
      </c>
      <c r="X70" s="191">
        <f xml:space="preserve"> Debt!X$92</f>
        <v>59473.313091977907</v>
      </c>
      <c r="Y70" s="191">
        <f xml:space="preserve"> Debt!Y$92</f>
        <v>58112.935479367072</v>
      </c>
      <c r="Z70" s="191">
        <f xml:space="preserve"> Debt!Z$92</f>
        <v>55219.20569981377</v>
      </c>
      <c r="AA70" s="191">
        <f xml:space="preserve"> Debt!AA$92</f>
        <v>52927.816892901108</v>
      </c>
      <c r="AB70" s="191">
        <f xml:space="preserve"> Debt!AB$92</f>
        <v>52206.756580181434</v>
      </c>
      <c r="AC70" s="191">
        <f xml:space="preserve"> Debt!AC$92</f>
        <v>50742.726363300462</v>
      </c>
      <c r="AD70" s="191">
        <f xml:space="preserve"> Debt!AD$92</f>
        <v>47762.603581914955</v>
      </c>
      <c r="AE70" s="191">
        <f xml:space="preserve"> Debt!AE$92</f>
        <v>45380.290695803742</v>
      </c>
      <c r="AF70" s="191">
        <f xml:space="preserve"> Debt!AF$92</f>
        <v>44561.334931493882</v>
      </c>
      <c r="AG70" s="191">
        <f xml:space="preserve"> Debt!AG$92</f>
        <v>43000.477122754266</v>
      </c>
      <c r="AH70" s="191">
        <f xml:space="preserve"> Debt!AH$92</f>
        <v>39928.281214933799</v>
      </c>
      <c r="AI70" s="191">
        <f xml:space="preserve"> Debt!AI$92</f>
        <v>37449.29320531743</v>
      </c>
      <c r="AJ70" s="191">
        <f xml:space="preserve"> Debt!AJ$92</f>
        <v>36526.770489562405</v>
      </c>
      <c r="AK70" s="191">
        <f xml:space="preserve"> Debt!AK$92</f>
        <v>34863.247214031908</v>
      </c>
      <c r="AL70" s="191">
        <f xml:space="preserve"> Debt!AL$92</f>
        <v>31692.949340199561</v>
      </c>
      <c r="AM70" s="191">
        <f xml:space="preserve"> Debt!AM$92</f>
        <v>29111.181024860176</v>
      </c>
      <c r="AN70" s="191">
        <f xml:space="preserve"> Debt!AN$92</f>
        <v>28071.772426415719</v>
      </c>
      <c r="AO70" s="191">
        <f xml:space="preserve"> Debt!AO$92</f>
        <v>26311.421524525162</v>
      </c>
      <c r="AP70" s="191">
        <f xml:space="preserve"> Debt!AP$92</f>
        <v>23036.695168662034</v>
      </c>
      <c r="AQ70" s="191">
        <f xml:space="preserve"> Debt!AQ$92</f>
        <v>20345.739049062209</v>
      </c>
      <c r="AR70" s="191">
        <f xml:space="preserve"> Debt!AR$92</f>
        <v>19197.711834423186</v>
      </c>
      <c r="AS70" s="191">
        <f xml:space="preserve"> Debt!AS$92</f>
        <v>17309.952675879202</v>
      </c>
      <c r="AT70" s="191">
        <f xml:space="preserve"> Debt!AT$92</f>
        <v>13923.937067080546</v>
      </c>
      <c r="AU70" s="191">
        <f xml:space="preserve"> Debt!AU$92</f>
        <v>11116.843122851466</v>
      </c>
      <c r="AV70" s="191">
        <f xml:space="preserve"> Debt!AV$92</f>
        <v>9846.0389392375728</v>
      </c>
      <c r="AW70" s="191">
        <f xml:space="preserve"> Debt!AW$92</f>
        <v>7835.8480878227465</v>
      </c>
      <c r="AX70" s="191">
        <f xml:space="preserve"> Debt!AX$92</f>
        <v>4331.3330912289775</v>
      </c>
      <c r="AY70" s="191">
        <f xml:space="preserve"> Debt!AY$92</f>
        <v>1400.7965065634312</v>
      </c>
      <c r="AZ70" s="191">
        <f xml:space="preserve"> Debt!AZ$92</f>
        <v>-1.4119905245024711E-10</v>
      </c>
      <c r="BA70" s="191">
        <f xml:space="preserve"> Debt!BA$92</f>
        <v>-1.4334057141240919E-10</v>
      </c>
      <c r="BB70" s="191">
        <f xml:space="preserve"> Debt!BB$92</f>
        <v>-1.4553846017406614E-10</v>
      </c>
      <c r="BC70" s="191">
        <f xml:space="preserve"> Debt!BC$92</f>
        <v>-1.4777004989673515E-10</v>
      </c>
      <c r="BD70" s="191">
        <f xml:space="preserve"> Debt!BD$92</f>
        <v>-1.5001122898683564E-10</v>
      </c>
      <c r="BE70" s="191">
        <f xml:space="preserve"> Debt!BE$92</f>
        <v>-1.5228639929313598E-10</v>
      </c>
      <c r="BF70" s="191">
        <f xml:space="preserve"> Debt!BF$92</f>
        <v>-1.5462145741563071E-10</v>
      </c>
      <c r="BG70" s="191">
        <f xml:space="preserve"> Debt!BG$92</f>
        <v>-1.5699231976267039E-10</v>
      </c>
      <c r="BH70" s="191">
        <f xml:space="preserve"> Debt!BH$92</f>
        <v>-1.5934720455911044E-10</v>
      </c>
      <c r="BI70" s="191">
        <f xml:space="preserve"> Debt!BI$92</f>
        <v>-1.6176397049492361E-10</v>
      </c>
      <c r="BJ70" s="191">
        <f xml:space="preserve"> Debt!BJ$92</f>
        <v>-1.6424435137584577E-10</v>
      </c>
      <c r="BK70" s="191">
        <f xml:space="preserve"> Debt!BK$92</f>
        <v>-1.6676276476360875E-10</v>
      </c>
      <c r="BL70" s="191">
        <f xml:space="preserve"> Debt!BL$92</f>
        <v>-1.6926420623506289E-10</v>
      </c>
      <c r="BM70" s="191">
        <f xml:space="preserve"> Debt!BM$92</f>
        <v>-1.7183138002962802E-10</v>
      </c>
      <c r="BN70" s="191">
        <f xml:space="preserve"> Debt!BN$92</f>
        <v>-1.7446612785674897E-10</v>
      </c>
      <c r="BO70" s="191">
        <f xml:space="preserve"> Debt!BO$92</f>
        <v>-1.7714127515055247E-10</v>
      </c>
      <c r="BP70" s="191">
        <f xml:space="preserve"> Debt!BP$92</f>
        <v>-1.7979839427781076E-10</v>
      </c>
      <c r="BQ70" s="191">
        <f xml:space="preserve"> Debt!BQ$92</f>
        <v>-1.8252533659102423E-10</v>
      </c>
      <c r="BR70" s="191">
        <f xml:space="preserve"> Debt!BR$92</f>
        <v>-1.8532405841875327E-10</v>
      </c>
      <c r="BS70" s="191">
        <f xml:space="preserve"> Debt!BS$92</f>
        <v>-1.8816569398117416E-10</v>
      </c>
      <c r="BT70" s="191">
        <f xml:space="preserve"> Debt!BT$92</f>
        <v>-1.9101954033988864E-10</v>
      </c>
      <c r="BU70" s="191">
        <f xml:space="preserve"> Debt!BU$92</f>
        <v>-1.9391667003504363E-10</v>
      </c>
      <c r="BV70" s="191">
        <f xml:space="preserve"> Debt!BV$92</f>
        <v>-1.9689005897558098E-10</v>
      </c>
      <c r="BW70" s="191">
        <f xml:space="preserve"> Debt!BW$92</f>
        <v>-1.9990903987987321E-10</v>
      </c>
      <c r="BX70" s="191">
        <f xml:space="preserve"> Debt!BX$92</f>
        <v>-2.0290767547807132E-10</v>
      </c>
      <c r="BY70" s="191">
        <f xml:space="preserve"> Debt!BY$92</f>
        <v>-2.059851085561554E-10</v>
      </c>
      <c r="BZ70" s="191">
        <f xml:space="preserve"> Debt!BZ$92</f>
        <v>-2.0914354688734979E-10</v>
      </c>
      <c r="CA70" s="191">
        <f xml:space="preserve"> Debt!CA$92</f>
        <v>-2.1235041460628915E-10</v>
      </c>
      <c r="CB70" s="191">
        <f xml:space="preserve"> Debt!CB$92</f>
        <v>-2.1553567082538349E-10</v>
      </c>
      <c r="CC70" s="191">
        <f xml:space="preserve"> Debt!CC$92</f>
        <v>-2.1880462849956849E-10</v>
      </c>
      <c r="CD70" s="191">
        <f xml:space="preserve"> Debt!CD$92</f>
        <v>-2.2215963280322854E-10</v>
      </c>
      <c r="CE70" s="191">
        <f xml:space="preserve"> Debt!CE$92</f>
        <v>-2.2556608050621139E-10</v>
      </c>
      <c r="CF70" s="191">
        <f xml:space="preserve"> Debt!CF$92</f>
        <v>-2.2894957171380456E-10</v>
      </c>
      <c r="CG70" s="191">
        <f xml:space="preserve"> Debt!CG$92</f>
        <v>-2.3242197355146392E-10</v>
      </c>
      <c r="CH70" s="191">
        <f xml:space="preserve"> Debt!CH$92</f>
        <v>-2.3598577714591969E-10</v>
      </c>
      <c r="CI70" s="191">
        <f xml:space="preserve"> Debt!CI$92</f>
        <v>-2.396042257288238E-10</v>
      </c>
      <c r="CJ70" s="191">
        <f xml:space="preserve"> Debt!CJ$92</f>
        <v>-2.4323822315237762E-10</v>
      </c>
      <c r="CK70" s="191">
        <f xml:space="preserve"> Debt!CK$92</f>
        <v>-2.4692733620352201E-10</v>
      </c>
      <c r="CL70" s="191">
        <f xml:space="preserve"> Debt!CL$92</f>
        <v>-2.5071355535864269E-10</v>
      </c>
      <c r="CM70" s="191">
        <f xml:space="preserve"> Debt!CM$92</f>
        <v>-2.5455782987414188E-10</v>
      </c>
      <c r="CN70" s="191">
        <f xml:space="preserve"> Debt!CN$92</f>
        <v>-2.5837619732225399E-10</v>
      </c>
      <c r="CO70" s="191">
        <f xml:space="preserve"> Debt!CO$92</f>
        <v>-2.6229490298164153E-10</v>
      </c>
      <c r="CP70" s="191">
        <f xml:space="preserve"> Debt!CP$92</f>
        <v>-2.6631675816069335E-10</v>
      </c>
      <c r="CQ70" s="191">
        <f xml:space="preserve"> Debt!CQ$92</f>
        <v>-2.7040028178582398E-10</v>
      </c>
      <c r="CR70" s="191">
        <f xml:space="preserve"> Debt!CR$92</f>
        <v>-2.7445628601261134E-10</v>
      </c>
      <c r="CS70" s="191">
        <f xml:space="preserve"> Debt!CS$92</f>
        <v>-2.7861887301713596E-10</v>
      </c>
      <c r="CT70" s="191">
        <f xml:space="preserve"> Debt!CT$92</f>
        <v>-2.8289102907006539E-10</v>
      </c>
      <c r="CU70" s="191">
        <f xml:space="preserve"> Debt!CU$92</f>
        <v>-2.8722869151580641E-10</v>
      </c>
      <c r="CV70" s="191">
        <f xml:space="preserve"> Debt!CV$92</f>
        <v>-2.915371218885435E-10</v>
      </c>
      <c r="CW70" s="191">
        <f xml:space="preserve"> Debt!CW$92</f>
        <v>-2.9595876823718643E-10</v>
      </c>
      <c r="CX70" s="191">
        <f xml:space="preserve"> Debt!CX$92</f>
        <v>-3.0049680268348998E-10</v>
      </c>
      <c r="CY70" s="191">
        <f xml:space="preserve"> Debt!CY$92</f>
        <v>-3.0510442032463681E-10</v>
      </c>
      <c r="CZ70" s="191">
        <f xml:space="preserve"> Debt!CZ$92</f>
        <v>-3.0973183736622715E-10</v>
      </c>
      <c r="DA70" s="191">
        <f xml:space="preserve"> Debt!DA$92</f>
        <v>-3.1442943689961494E-10</v>
      </c>
      <c r="DB70" s="191">
        <f xml:space="preserve"> Debt!DB$92</f>
        <v>-3.1925068826540901E-10</v>
      </c>
      <c r="DC70" s="191">
        <f xml:space="preserve"> Debt!DC$92</f>
        <v>-3.2414586548547861E-10</v>
      </c>
      <c r="DD70" s="191">
        <f xml:space="preserve"> Debt!DD$92</f>
        <v>-3.2900805346776078E-10</v>
      </c>
      <c r="DE70" s="191">
        <f xml:space="preserve"> Debt!DE$92</f>
        <v>-3.3399800894535517E-10</v>
      </c>
      <c r="DF70" s="191">
        <f xml:space="preserve"> Debt!DF$92</f>
        <v>-3.3911931174918393E-10</v>
      </c>
      <c r="DG70" s="191">
        <f xml:space="preserve"> Debt!DG$92</f>
        <v>-3.4431914119600473E-10</v>
      </c>
      <c r="DH70" s="191">
        <f xml:space="preserve"> Debt!DH$92</f>
        <v>-3.4948392831394478E-10</v>
      </c>
      <c r="DI70" s="191">
        <f xml:space="preserve"> Debt!DI$92</f>
        <v>-3.5478443456003959E-10</v>
      </c>
      <c r="DJ70" s="191">
        <f xml:space="preserve"> Debt!DJ$92</f>
        <v>-3.6022446255662687E-10</v>
      </c>
      <c r="DK70" s="191">
        <f xml:space="preserve"> Debt!DK$92</f>
        <v>-3.657479043158285E-10</v>
      </c>
      <c r="DL70" s="191">
        <f xml:space="preserve"> Debt!DL$92</f>
        <v>-3.7123412288056593E-10</v>
      </c>
      <c r="DM70" s="191">
        <f xml:space="preserve"> Debt!DM$92</f>
        <v>-3.7686450707758786E-10</v>
      </c>
      <c r="DN70" s="191">
        <f xml:space="preserve"> Debt!DN$92</f>
        <v>-3.8264309618611089E-10</v>
      </c>
      <c r="DO70" s="191">
        <f xml:space="preserve"> Debt!DO$92</f>
        <v>-3.8851029032763128E-10</v>
      </c>
      <c r="DP70" s="191">
        <f xml:space="preserve"> Debt!DP$92</f>
        <v>-3.9440269639760034E-10</v>
      </c>
      <c r="DQ70" s="191">
        <f xml:space="preserve"> Debt!DQ$92</f>
        <v>-4.0038447062629729E-10</v>
      </c>
      <c r="DR70" s="191">
        <f xml:space="preserve"> Debt!DR$92</f>
        <v>-4.0652369917590053E-10</v>
      </c>
      <c r="DS70" s="191">
        <f xml:space="preserve"> Debt!DS$92</f>
        <v>-4.1275706256326435E-10</v>
      </c>
      <c r="DT70" s="191">
        <f xml:space="preserve"> Debt!DT$92</f>
        <v>-4.1894841850171331E-10</v>
      </c>
      <c r="DU70" s="191">
        <f xml:space="preserve"> Debt!DU$92</f>
        <v>-4.2530246951565598E-10</v>
      </c>
      <c r="DV70" s="191">
        <f xml:space="preserve"> Debt!DV$92</f>
        <v>-4.3182377404822937E-10</v>
      </c>
      <c r="DW70" s="191">
        <f xml:space="preserve"> Debt!DW$92</f>
        <v>-4.3844507191696887E-10</v>
      </c>
      <c r="DX70" s="191">
        <f xml:space="preserve"> Debt!DX$92</f>
        <v>-4.450217479957234E-10</v>
      </c>
      <c r="DY70" s="191">
        <f xml:space="preserve"> Debt!DY$92</f>
        <v>-4.5177124450699187E-10</v>
      </c>
      <c r="DZ70" s="191">
        <f xml:space="preserve"> Debt!DZ$92</f>
        <v>-4.5869840358943243E-10</v>
      </c>
      <c r="EA70" s="191">
        <f xml:space="preserve"> Debt!EA$92</f>
        <v>-4.6573177911113702E-10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21824.067412251883</v>
      </c>
      <c r="M73" s="191">
        <f xml:space="preserve"> Equity!M$29</f>
        <v>21824.067412251883</v>
      </c>
      <c r="N73" s="191">
        <f xml:space="preserve"> Equity!N$29</f>
        <v>21824.067412251883</v>
      </c>
      <c r="O73" s="191">
        <f xml:space="preserve"> Equity!O$29</f>
        <v>21824.067412251883</v>
      </c>
      <c r="P73" s="191">
        <f xml:space="preserve"> Equity!P$29</f>
        <v>21824.067412251883</v>
      </c>
      <c r="Q73" s="191">
        <f xml:space="preserve"> Equity!Q$29</f>
        <v>21824.067412251883</v>
      </c>
      <c r="R73" s="191">
        <f xml:space="preserve"> Equity!R$29</f>
        <v>21824.067412251883</v>
      </c>
      <c r="S73" s="191">
        <f xml:space="preserve"> Equity!S$29</f>
        <v>21824.067412251883</v>
      </c>
      <c r="T73" s="191">
        <f xml:space="preserve"> Equity!T$29</f>
        <v>21824.067412251883</v>
      </c>
      <c r="U73" s="191">
        <f xml:space="preserve"> Equity!U$29</f>
        <v>21824.067412251883</v>
      </c>
      <c r="V73" s="191">
        <f xml:space="preserve"> Equity!V$29</f>
        <v>21824.067412251883</v>
      </c>
      <c r="W73" s="191">
        <f xml:space="preserve"> Equity!W$29</f>
        <v>21824.067412251883</v>
      </c>
      <c r="X73" s="191">
        <f xml:space="preserve"> Equity!X$29</f>
        <v>21824.067412251883</v>
      </c>
      <c r="Y73" s="191">
        <f xml:space="preserve"> Equity!Y$29</f>
        <v>21824.067412251883</v>
      </c>
      <c r="Z73" s="191">
        <f xml:space="preserve"> Equity!Z$29</f>
        <v>21824.067412251883</v>
      </c>
      <c r="AA73" s="191">
        <f xml:space="preserve"> Equity!AA$29</f>
        <v>21824.067412251883</v>
      </c>
      <c r="AB73" s="191">
        <f xml:space="preserve"> Equity!AB$29</f>
        <v>21824.067412251883</v>
      </c>
      <c r="AC73" s="191">
        <f xml:space="preserve"> Equity!AC$29</f>
        <v>21824.067412251883</v>
      </c>
      <c r="AD73" s="191">
        <f xml:space="preserve"> Equity!AD$29</f>
        <v>21824.067412251883</v>
      </c>
      <c r="AE73" s="191">
        <f xml:space="preserve"> Equity!AE$29</f>
        <v>21824.067412251883</v>
      </c>
      <c r="AF73" s="191">
        <f xml:space="preserve"> Equity!AF$29</f>
        <v>21824.067412251883</v>
      </c>
      <c r="AG73" s="191">
        <f xml:space="preserve"> Equity!AG$29</f>
        <v>21824.067412251883</v>
      </c>
      <c r="AH73" s="191">
        <f xml:space="preserve"> Equity!AH$29</f>
        <v>21824.067412251883</v>
      </c>
      <c r="AI73" s="191">
        <f xml:space="preserve"> Equity!AI$29</f>
        <v>21824.067412251883</v>
      </c>
      <c r="AJ73" s="191">
        <f xml:space="preserve"> Equity!AJ$29</f>
        <v>21824.067412251883</v>
      </c>
      <c r="AK73" s="191">
        <f xml:space="preserve"> Equity!AK$29</f>
        <v>21824.067412251883</v>
      </c>
      <c r="AL73" s="191">
        <f xml:space="preserve"> Equity!AL$29</f>
        <v>21824.067412251883</v>
      </c>
      <c r="AM73" s="191">
        <f xml:space="preserve"> Equity!AM$29</f>
        <v>21824.067412251883</v>
      </c>
      <c r="AN73" s="191">
        <f xml:space="preserve"> Equity!AN$29</f>
        <v>21824.067412251883</v>
      </c>
      <c r="AO73" s="191">
        <f xml:space="preserve"> Equity!AO$29</f>
        <v>21824.067412251883</v>
      </c>
      <c r="AP73" s="191">
        <f xml:space="preserve"> Equity!AP$29</f>
        <v>21824.067412251883</v>
      </c>
      <c r="AQ73" s="191">
        <f xml:space="preserve"> Equity!AQ$29</f>
        <v>21824.067412251883</v>
      </c>
      <c r="AR73" s="191">
        <f xml:space="preserve"> Equity!AR$29</f>
        <v>21824.067412251883</v>
      </c>
      <c r="AS73" s="191">
        <f xml:space="preserve"> Equity!AS$29</f>
        <v>21824.067412251883</v>
      </c>
      <c r="AT73" s="191">
        <f xml:space="preserve"> Equity!AT$29</f>
        <v>21824.067412251883</v>
      </c>
      <c r="AU73" s="191">
        <f xml:space="preserve"> Equity!AU$29</f>
        <v>21824.067412251883</v>
      </c>
      <c r="AV73" s="191">
        <f xml:space="preserve"> Equity!AV$29</f>
        <v>21824.067412251883</v>
      </c>
      <c r="AW73" s="191">
        <f xml:space="preserve"> Equity!AW$29</f>
        <v>21824.067412251883</v>
      </c>
      <c r="AX73" s="191">
        <f xml:space="preserve"> Equity!AX$29</f>
        <v>21824.067412251883</v>
      </c>
      <c r="AY73" s="191">
        <f xml:space="preserve"> Equity!AY$29</f>
        <v>21824.067412251883</v>
      </c>
      <c r="AZ73" s="191">
        <f xml:space="preserve"> Equity!AZ$29</f>
        <v>21824.067412251883</v>
      </c>
      <c r="BA73" s="191">
        <f xml:space="preserve"> Equity!BA$29</f>
        <v>21824.067412251883</v>
      </c>
      <c r="BB73" s="191">
        <f xml:space="preserve"> Equity!BB$29</f>
        <v>21824.067412251883</v>
      </c>
      <c r="BC73" s="191">
        <f xml:space="preserve"> Equity!BC$29</f>
        <v>21824.067412251883</v>
      </c>
      <c r="BD73" s="191">
        <f xml:space="preserve"> Equity!BD$29</f>
        <v>21824.067412251883</v>
      </c>
      <c r="BE73" s="191">
        <f xml:space="preserve"> Equity!BE$29</f>
        <v>21824.067412251883</v>
      </c>
      <c r="BF73" s="191">
        <f xml:space="preserve"> Equity!BF$29</f>
        <v>21824.067412251883</v>
      </c>
      <c r="BG73" s="191">
        <f xml:space="preserve"> Equity!BG$29</f>
        <v>21824.067412251883</v>
      </c>
      <c r="BH73" s="191">
        <f xml:space="preserve"> Equity!BH$29</f>
        <v>21824.067412251883</v>
      </c>
      <c r="BI73" s="191">
        <f xml:space="preserve"> Equity!BI$29</f>
        <v>21824.067412251883</v>
      </c>
      <c r="BJ73" s="191">
        <f xml:space="preserve"> Equity!BJ$29</f>
        <v>21824.067412251883</v>
      </c>
      <c r="BK73" s="191">
        <f xml:space="preserve"> Equity!BK$29</f>
        <v>21824.067412251883</v>
      </c>
      <c r="BL73" s="191">
        <f xml:space="preserve"> Equity!BL$29</f>
        <v>21824.067412251883</v>
      </c>
      <c r="BM73" s="191">
        <f xml:space="preserve"> Equity!BM$29</f>
        <v>21824.067412251883</v>
      </c>
      <c r="BN73" s="191">
        <f xml:space="preserve"> Equity!BN$29</f>
        <v>21824.067412251883</v>
      </c>
      <c r="BO73" s="191">
        <f xml:space="preserve"> Equity!BO$29</f>
        <v>21824.067412251883</v>
      </c>
      <c r="BP73" s="191">
        <f xml:space="preserve"> Equity!BP$29</f>
        <v>21824.067412251883</v>
      </c>
      <c r="BQ73" s="191">
        <f xml:space="preserve"> Equity!BQ$29</f>
        <v>21824.067412251883</v>
      </c>
      <c r="BR73" s="191">
        <f xml:space="preserve"> Equity!BR$29</f>
        <v>21824.067412251883</v>
      </c>
      <c r="BS73" s="191">
        <f xml:space="preserve"> Equity!BS$29</f>
        <v>21824.067412251883</v>
      </c>
      <c r="BT73" s="191">
        <f xml:space="preserve"> Equity!BT$29</f>
        <v>21824.067412251883</v>
      </c>
      <c r="BU73" s="191">
        <f xml:space="preserve"> Equity!BU$29</f>
        <v>21824.067412251883</v>
      </c>
      <c r="BV73" s="191">
        <f xml:space="preserve"> Equity!BV$29</f>
        <v>21824.067412251883</v>
      </c>
      <c r="BW73" s="191">
        <f xml:space="preserve"> Equity!BW$29</f>
        <v>21824.067412251883</v>
      </c>
      <c r="BX73" s="191">
        <f xml:space="preserve"> Equity!BX$29</f>
        <v>21824.067412251883</v>
      </c>
      <c r="BY73" s="191">
        <f xml:space="preserve"> Equity!BY$29</f>
        <v>21824.067412251883</v>
      </c>
      <c r="BZ73" s="191">
        <f xml:space="preserve"> Equity!BZ$29</f>
        <v>21824.067412251883</v>
      </c>
      <c r="CA73" s="191">
        <f xml:space="preserve"> Equity!CA$29</f>
        <v>21824.067412251883</v>
      </c>
      <c r="CB73" s="191">
        <f xml:space="preserve"> Equity!CB$29</f>
        <v>21824.067412251883</v>
      </c>
      <c r="CC73" s="191">
        <f xml:space="preserve"> Equity!CC$29</f>
        <v>21824.067412251883</v>
      </c>
      <c r="CD73" s="191">
        <f xml:space="preserve"> Equity!CD$29</f>
        <v>21824.067412251883</v>
      </c>
      <c r="CE73" s="191">
        <f xml:space="preserve"> Equity!CE$29</f>
        <v>21824.067412251883</v>
      </c>
      <c r="CF73" s="191">
        <f xml:space="preserve"> Equity!CF$29</f>
        <v>21824.067412251883</v>
      </c>
      <c r="CG73" s="191">
        <f xml:space="preserve"> Equity!CG$29</f>
        <v>21824.067412251883</v>
      </c>
      <c r="CH73" s="191">
        <f xml:space="preserve"> Equity!CH$29</f>
        <v>21824.067412251883</v>
      </c>
      <c r="CI73" s="191">
        <f xml:space="preserve"> Equity!CI$29</f>
        <v>21824.067412251883</v>
      </c>
      <c r="CJ73" s="191">
        <f xml:space="preserve"> Equity!CJ$29</f>
        <v>21824.067412251883</v>
      </c>
      <c r="CK73" s="191">
        <f xml:space="preserve"> Equity!CK$29</f>
        <v>21824.067412251883</v>
      </c>
      <c r="CL73" s="191">
        <f xml:space="preserve"> Equity!CL$29</f>
        <v>21824.067412251883</v>
      </c>
      <c r="CM73" s="191">
        <f xml:space="preserve"> Equity!CM$29</f>
        <v>21824.067412251883</v>
      </c>
      <c r="CN73" s="191">
        <f xml:space="preserve"> Equity!CN$29</f>
        <v>21824.067412251883</v>
      </c>
      <c r="CO73" s="191">
        <f xml:space="preserve"> Equity!CO$29</f>
        <v>21824.067412251883</v>
      </c>
      <c r="CP73" s="191">
        <f xml:space="preserve"> Equity!CP$29</f>
        <v>21824.067412251883</v>
      </c>
      <c r="CQ73" s="191">
        <f xml:space="preserve"> Equity!CQ$29</f>
        <v>21824.067412251883</v>
      </c>
      <c r="CR73" s="191">
        <f xml:space="preserve"> Equity!CR$29</f>
        <v>21824.067412251883</v>
      </c>
      <c r="CS73" s="191">
        <f xml:space="preserve"> Equity!CS$29</f>
        <v>21824.067412251883</v>
      </c>
      <c r="CT73" s="191">
        <f xml:space="preserve"> Equity!CT$29</f>
        <v>21824.067412251883</v>
      </c>
      <c r="CU73" s="191">
        <f xml:space="preserve"> Equity!CU$29</f>
        <v>21824.067412251883</v>
      </c>
      <c r="CV73" s="191">
        <f xml:space="preserve"> Equity!CV$29</f>
        <v>21824.067412251883</v>
      </c>
      <c r="CW73" s="191">
        <f xml:space="preserve"> Equity!CW$29</f>
        <v>21824.067412251883</v>
      </c>
      <c r="CX73" s="191">
        <f xml:space="preserve"> Equity!CX$29</f>
        <v>21824.067412251883</v>
      </c>
      <c r="CY73" s="191">
        <f xml:space="preserve"> Equity!CY$29</f>
        <v>21824.067412251883</v>
      </c>
      <c r="CZ73" s="191">
        <f xml:space="preserve"> Equity!CZ$29</f>
        <v>21824.067412251883</v>
      </c>
      <c r="DA73" s="191">
        <f xml:space="preserve"> Equity!DA$29</f>
        <v>21824.067412251883</v>
      </c>
      <c r="DB73" s="191">
        <f xml:space="preserve"> Equity!DB$29</f>
        <v>21824.067412251883</v>
      </c>
      <c r="DC73" s="191">
        <f xml:space="preserve"> Equity!DC$29</f>
        <v>21824.067412251883</v>
      </c>
      <c r="DD73" s="191">
        <f xml:space="preserve"> Equity!DD$29</f>
        <v>21824.067412251883</v>
      </c>
      <c r="DE73" s="191">
        <f xml:space="preserve"> Equity!DE$29</f>
        <v>21824.067412251883</v>
      </c>
      <c r="DF73" s="191">
        <f xml:space="preserve"> Equity!DF$29</f>
        <v>21824.067412251883</v>
      </c>
      <c r="DG73" s="191">
        <f xml:space="preserve"> Equity!DG$29</f>
        <v>21824.067412251883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2288.4620779277475</v>
      </c>
      <c r="N74" s="191">
        <f xml:space="preserve"> Equity!N$41</f>
        <v>4225.8869344780833</v>
      </c>
      <c r="O74" s="191">
        <f xml:space="preserve"> Equity!O$41</f>
        <v>3167.906121210508</v>
      </c>
      <c r="P74" s="191">
        <f xml:space="preserve"> Equity!P$41</f>
        <v>2658.2359313922361</v>
      </c>
      <c r="Q74" s="191">
        <f xml:space="preserve"> Equity!Q$41</f>
        <v>4648.2005999991325</v>
      </c>
      <c r="R74" s="191">
        <f xml:space="preserve"> Equity!R$41</f>
        <v>6655.5462830672041</v>
      </c>
      <c r="S74" s="191">
        <f xml:space="preserve"> Equity!S$41</f>
        <v>5683.6402796381035</v>
      </c>
      <c r="T74" s="191">
        <f xml:space="preserve"> Equity!T$41</f>
        <v>5256.5262034030675</v>
      </c>
      <c r="U74" s="191">
        <f xml:space="preserve"> Equity!U$41</f>
        <v>7318.9153226682756</v>
      </c>
      <c r="V74" s="191">
        <f xml:space="preserve"> Equity!V$41</f>
        <v>9400.9409634576605</v>
      </c>
      <c r="W74" s="191">
        <f xml:space="preserve"> Equity!W$41</f>
        <v>8519.8659388550659</v>
      </c>
      <c r="X74" s="191">
        <f xml:space="preserve"> Equity!X$41</f>
        <v>8166.2720630231161</v>
      </c>
      <c r="Y74" s="191">
        <f xml:space="preserve"> Equity!Y$41</f>
        <v>10309.797879241492</v>
      </c>
      <c r="Z74" s="191">
        <f xml:space="preserve"> Equity!Z$41</f>
        <v>12471.400641717137</v>
      </c>
      <c r="AA74" s="191">
        <f xml:space="preserve"> Equity!AA$41</f>
        <v>11686.053273817755</v>
      </c>
      <c r="AB74" s="191">
        <f xml:space="preserve"> Equity!AB$41</f>
        <v>11438.394203248008</v>
      </c>
      <c r="AC74" s="191">
        <f xml:space="preserve"> Equity!AC$41</f>
        <v>13660.539495876867</v>
      </c>
      <c r="AD74" s="191">
        <f xml:space="preserve"> Equity!AD$41</f>
        <v>15907.222192175639</v>
      </c>
      <c r="AE74" s="191">
        <f xml:space="preserve"> Equity!AE$41</f>
        <v>15223.114451103182</v>
      </c>
      <c r="AF74" s="191">
        <f xml:space="preserve"> Equity!AF$41</f>
        <v>15073.104703723629</v>
      </c>
      <c r="AG74" s="191">
        <f xml:space="preserve"> Equity!AG$41</f>
        <v>17383.351306189055</v>
      </c>
      <c r="AH74" s="191">
        <f xml:space="preserve"> Equity!AH$41</f>
        <v>19720.800989213189</v>
      </c>
      <c r="AI74" s="191">
        <f xml:space="preserve"> Equity!AI$41</f>
        <v>19143.632266199733</v>
      </c>
      <c r="AJ74" s="191">
        <f xml:space="preserve"> Equity!AJ$41</f>
        <v>19096.942742695108</v>
      </c>
      <c r="AK74" s="191">
        <f xml:space="preserve"> Equity!AK$41</f>
        <v>21501.172358544936</v>
      </c>
      <c r="AL74" s="191">
        <f xml:space="preserve"> Equity!AL$41</f>
        <v>23935.42476967366</v>
      </c>
      <c r="AM74" s="191">
        <f xml:space="preserve"> Equity!AM$41</f>
        <v>23471.248844154197</v>
      </c>
      <c r="AN74" s="191">
        <f xml:space="preserve"> Equity!AN$41</f>
        <v>23525.406219957589</v>
      </c>
      <c r="AO74" s="191">
        <f xml:space="preserve"> Equity!AO$41</f>
        <v>26033.616250545285</v>
      </c>
      <c r="AP74" s="191">
        <f xml:space="preserve"> Equity!AP$41</f>
        <v>28571.004781395131</v>
      </c>
      <c r="AQ74" s="191">
        <f xml:space="preserve"> Equity!AQ$41</f>
        <v>28226.177998035877</v>
      </c>
      <c r="AR74" s="191">
        <f xml:space="preserve"> Equity!AR$41</f>
        <v>28404.497585122277</v>
      </c>
      <c r="AS74" s="191">
        <f xml:space="preserve"> Equity!AS$41</f>
        <v>31015.728825411265</v>
      </c>
      <c r="AT74" s="191">
        <f xml:space="preserve"> Equity!AT$41</f>
        <v>33663.121096574177</v>
      </c>
      <c r="AU74" s="191">
        <f xml:space="preserve"> Equity!AU$41</f>
        <v>33444.542569408542</v>
      </c>
      <c r="AV74" s="191">
        <f xml:space="preserve"> Equity!AV$41</f>
        <v>33745.390395482886</v>
      </c>
      <c r="AW74" s="191">
        <f xml:space="preserve"> Equity!AW$41</f>
        <v>36470.501107696953</v>
      </c>
      <c r="AX74" s="191">
        <f xml:space="preserve"> Equity!AX$41</f>
        <v>39235.114078105355</v>
      </c>
      <c r="AY74" s="191">
        <f xml:space="preserve"> Equity!AY$41</f>
        <v>39150.037962769129</v>
      </c>
      <c r="AZ74" s="191">
        <f xml:space="preserve"> Equity!AZ$41</f>
        <v>39580.628644083197</v>
      </c>
      <c r="BA74" s="191">
        <f xml:space="preserve"> Equity!BA$41</f>
        <v>40287.039280991259</v>
      </c>
      <c r="BB74" s="191">
        <f xml:space="preserve"> Equity!BB$41</f>
        <v>39545.865365012731</v>
      </c>
      <c r="BC74" s="191">
        <f xml:space="preserve"> Equity!BC$41</f>
        <v>36540.262021028706</v>
      </c>
      <c r="BD74" s="191">
        <f xml:space="preserve"> Equity!BD$41</f>
        <v>35554.488664474105</v>
      </c>
      <c r="BE74" s="191">
        <f xml:space="preserve"> Equity!BE$41</f>
        <v>36267.750159412637</v>
      </c>
      <c r="BF74" s="191">
        <f xml:space="preserve"> Equity!BF$41</f>
        <v>35525.311127380977</v>
      </c>
      <c r="BG74" s="191">
        <f xml:space="preserve"> Equity!BG$41</f>
        <v>32529.666967471829</v>
      </c>
      <c r="BH74" s="191">
        <f xml:space="preserve"> Equity!BH$41</f>
        <v>31558.959848488223</v>
      </c>
      <c r="BI74" s="191">
        <f xml:space="preserve"> Equity!BI$41</f>
        <v>32248.48021048179</v>
      </c>
      <c r="BJ74" s="191">
        <f xml:space="preserve"> Equity!BJ$41</f>
        <v>31504.782811422549</v>
      </c>
      <c r="BK74" s="191">
        <f xml:space="preserve"> Equity!BK$41</f>
        <v>28519.047905717725</v>
      </c>
      <c r="BL74" s="191">
        <f xml:space="preserve"> Equity!BL$41</f>
        <v>27548.088886568712</v>
      </c>
      <c r="BM74" s="191">
        <f xml:space="preserve"> Equity!BM$41</f>
        <v>28229.227791392383</v>
      </c>
      <c r="BN74" s="191">
        <f xml:space="preserve"> Equity!BN$41</f>
        <v>27484.27874992065</v>
      </c>
      <c r="BO74" s="191">
        <f xml:space="preserve"> Equity!BO$41</f>
        <v>24508.403409265644</v>
      </c>
      <c r="BP74" s="191">
        <f xml:space="preserve"> Equity!BP$41</f>
        <v>23537.191603919277</v>
      </c>
      <c r="BQ74" s="191">
        <f xml:space="preserve"> Equity!BQ$41</f>
        <v>24209.991236329937</v>
      </c>
      <c r="BR74" s="191">
        <f xml:space="preserve"> Equity!BR$41</f>
        <v>23463.797252956501</v>
      </c>
      <c r="BS74" s="191">
        <f xml:space="preserve"> Equity!BS$41</f>
        <v>20497.732027560287</v>
      </c>
      <c r="BT74" s="191">
        <f xml:space="preserve"> Equity!BT$41</f>
        <v>19511.427676960873</v>
      </c>
      <c r="BU74" s="191">
        <f xml:space="preserve"> Equity!BU$41</f>
        <v>20190.768855958017</v>
      </c>
      <c r="BV74" s="191">
        <f xml:space="preserve"> Equity!BV$41</f>
        <v>19443.33660739773</v>
      </c>
      <c r="BW74" s="191">
        <f xml:space="preserve"> Equity!BW$41</f>
        <v>16487.032285483783</v>
      </c>
      <c r="BX74" s="191">
        <f xml:space="preserve"> Equity!BX$41</f>
        <v>15515.3120941741</v>
      </c>
      <c r="BY74" s="191">
        <f xml:space="preserve"> Equity!BY$41</f>
        <v>16171.558936894253</v>
      </c>
      <c r="BZ74" s="191">
        <f xml:space="preserve"> Equity!BZ$41</f>
        <v>15422.895076376644</v>
      </c>
      <c r="CA74" s="191">
        <f xml:space="preserve"> Equity!CA$41</f>
        <v>12476.302682837504</v>
      </c>
      <c r="CB74" s="191">
        <f xml:space="preserve"> Equity!CB$41</f>
        <v>11504.326812321067</v>
      </c>
      <c r="CC74" s="191">
        <f xml:space="preserve"> Equity!CC$41</f>
        <v>12152.359741176082</v>
      </c>
      <c r="CD74" s="191">
        <f xml:space="preserve"> Equity!CD$41</f>
        <v>11402.470898758316</v>
      </c>
      <c r="CE74" s="191">
        <f xml:space="preserve"> Equity!CE$41</f>
        <v>8465.5416938135804</v>
      </c>
      <c r="CF74" s="191">
        <f xml:space="preserve"> Equity!CF$41</f>
        <v>7493.3090991483105</v>
      </c>
      <c r="CG74" s="191">
        <f xml:space="preserve"> Equity!CG$41</f>
        <v>8133.1695057159695</v>
      </c>
      <c r="CH74" s="191">
        <f xml:space="preserve"> Equity!CH$41</f>
        <v>7382.0622885981893</v>
      </c>
      <c r="CI74" s="191">
        <f xml:space="preserve"> Equity!CI$41</f>
        <v>4454.7477664558864</v>
      </c>
      <c r="CJ74" s="191">
        <f xml:space="preserve"> Equity!CJ$41</f>
        <v>3467.9021439193689</v>
      </c>
      <c r="CK74" s="191">
        <f xml:space="preserve"> Equity!CK$41</f>
        <v>4113.9864417458957</v>
      </c>
      <c r="CL74" s="191">
        <f xml:space="preserve"> Equity!CL$41</f>
        <v>3361.6674345890251</v>
      </c>
      <c r="CM74" s="191">
        <f xml:space="preserve"> Equity!CM$41</f>
        <v>443.9193221102405</v>
      </c>
      <c r="CN74" s="191">
        <f xml:space="preserve"> Equity!CN$41</f>
        <v>0</v>
      </c>
      <c r="CO74" s="191">
        <f xml:space="preserve"> Equity!CO$41</f>
        <v>94.808734250883845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550.06025187035596</v>
      </c>
      <c r="DI74" s="191">
        <f xml:space="preserve"> Equity!DI$41</f>
        <v>3.510649548843503E-10</v>
      </c>
      <c r="DJ74" s="191">
        <f xml:space="preserve"> Equity!DJ$41</f>
        <v>3.5650498288093758E-10</v>
      </c>
      <c r="DK74" s="191">
        <f xml:space="preserve"> Equity!DK$41</f>
        <v>3.6202842464013921E-10</v>
      </c>
      <c r="DL74" s="191">
        <f xml:space="preserve"> Equity!DL$41</f>
        <v>3.6751464320487664E-10</v>
      </c>
      <c r="DM74" s="191">
        <f xml:space="preserve"> Equity!DM$41</f>
        <v>3.7314502740189858E-10</v>
      </c>
      <c r="DN74" s="191">
        <f xml:space="preserve"> Equity!DN$41</f>
        <v>3.7892361651042161E-10</v>
      </c>
      <c r="DO74" s="191">
        <f xml:space="preserve"> Equity!DO$41</f>
        <v>3.84790810651942E-10</v>
      </c>
      <c r="DP74" s="191">
        <f xml:space="preserve"> Equity!DP$41</f>
        <v>3.9068321672191106E-10</v>
      </c>
      <c r="DQ74" s="191">
        <f xml:space="preserve"> Equity!DQ$41</f>
        <v>3.9666499095060801E-10</v>
      </c>
      <c r="DR74" s="191">
        <f xml:space="preserve"> Equity!DR$41</f>
        <v>4.0280421950021124E-10</v>
      </c>
      <c r="DS74" s="191">
        <f xml:space="preserve"> Equity!DS$41</f>
        <v>4.0903758288757506E-10</v>
      </c>
      <c r="DT74" s="191">
        <f xml:space="preserve"> Equity!DT$41</f>
        <v>4.1522893882602402E-10</v>
      </c>
      <c r="DU74" s="191">
        <f xml:space="preserve"> Equity!DU$41</f>
        <v>4.215829898399667E-10</v>
      </c>
      <c r="DV74" s="191">
        <f xml:space="preserve"> Equity!DV$41</f>
        <v>4.2810429437254008E-10</v>
      </c>
      <c r="DW74" s="191">
        <f xml:space="preserve"> Equity!DW$41</f>
        <v>4.3472559224127959E-10</v>
      </c>
      <c r="DX74" s="191">
        <f xml:space="preserve"> Equity!DX$41</f>
        <v>4.4130226832003412E-10</v>
      </c>
      <c r="DY74" s="191">
        <f xml:space="preserve"> Equity!DY$41</f>
        <v>4.4805176483130259E-10</v>
      </c>
      <c r="DZ74" s="191">
        <f xml:space="preserve"> Equity!DZ$41</f>
        <v>4.5497892391374315E-10</v>
      </c>
      <c r="EA74" s="191">
        <f xml:space="preserve"> Equity!EA$41</f>
        <v>4.6201229943544778E-10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102429.64285714286</v>
      </c>
      <c r="N75" s="163">
        <f t="shared" si="50"/>
        <v>101700.76086956522</v>
      </c>
      <c r="O75" s="163">
        <f t="shared" si="50"/>
        <v>98593.383152173919</v>
      </c>
      <c r="P75" s="163">
        <f t="shared" si="50"/>
        <v>97628.791666666672</v>
      </c>
      <c r="Q75" s="163">
        <f t="shared" si="50"/>
        <v>98412.57995735608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93620.688225538965</v>
      </c>
      <c r="U75" s="163">
        <f t="shared" si="50"/>
        <v>94395.601947617979</v>
      </c>
      <c r="V75" s="163">
        <f t="shared" si="50"/>
        <v>93664.028979050228</v>
      </c>
      <c r="W75" s="163">
        <f t="shared" si="50"/>
        <v>90577.568032646639</v>
      </c>
      <c r="X75" s="163">
        <f t="shared" si="50"/>
        <v>89594.903945093305</v>
      </c>
      <c r="Y75" s="163">
        <f t="shared" si="50"/>
        <v>90378.708405590034</v>
      </c>
      <c r="Z75" s="163">
        <f t="shared" si="50"/>
        <v>89645.799979154472</v>
      </c>
      <c r="AA75" s="163">
        <f t="shared" si="50"/>
        <v>86569.719435469291</v>
      </c>
      <c r="AB75" s="163">
        <f t="shared" si="50"/>
        <v>85604.60208959083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82561.909886039095</v>
      </c>
      <c r="AF75" s="163">
        <f t="shared" si="50"/>
        <v>81596.618994617733</v>
      </c>
      <c r="AG75" s="163">
        <f t="shared" si="50"/>
        <v>82345.17304580583</v>
      </c>
      <c r="AH75" s="163">
        <f t="shared" si="50"/>
        <v>81609.613602786529</v>
      </c>
      <c r="AI75" s="163">
        <f t="shared" si="50"/>
        <v>78554.139190088652</v>
      </c>
      <c r="AJ75" s="163">
        <f t="shared" si="50"/>
        <v>77588.675616535067</v>
      </c>
      <c r="AK75" s="163">
        <f t="shared" si="50"/>
        <v>78328.530393836671</v>
      </c>
      <c r="AL75" s="163">
        <f t="shared" si="50"/>
        <v>77591.655326155756</v>
      </c>
      <c r="AM75" s="163">
        <f t="shared" si="50"/>
        <v>74546.407154317072</v>
      </c>
      <c r="AN75" s="163">
        <f t="shared" si="50"/>
        <v>73563.40063952934</v>
      </c>
      <c r="AO75" s="163">
        <f t="shared" si="50"/>
        <v>74311.970541130999</v>
      </c>
      <c r="AP75" s="163">
        <f t="shared" ref="AP75:BU75" si="51" xml:space="preserve"> SUM(AP69:AP74)</f>
        <v>73573.786394184834</v>
      </c>
      <c r="AQ75" s="163">
        <f t="shared" si="51"/>
        <v>70538.713586385129</v>
      </c>
      <c r="AR75" s="163">
        <f t="shared" si="51"/>
        <v>69572.907221638132</v>
      </c>
      <c r="AS75" s="163">
        <f t="shared" si="51"/>
        <v>70295.493075752238</v>
      </c>
      <c r="AT75" s="163">
        <f t="shared" si="51"/>
        <v>69556.006362372966</v>
      </c>
      <c r="AU75" s="163">
        <f t="shared" si="51"/>
        <v>66531.058294910588</v>
      </c>
      <c r="AV75" s="163">
        <f t="shared" si="51"/>
        <v>65565.08181257527</v>
      </c>
      <c r="AW75" s="163">
        <f t="shared" si="51"/>
        <v>66279.097587813172</v>
      </c>
      <c r="AX75" s="163">
        <f t="shared" si="51"/>
        <v>65538.314788430813</v>
      </c>
      <c r="AY75" s="163">
        <f t="shared" si="51"/>
        <v>62523.441089463275</v>
      </c>
      <c r="AZ75" s="163">
        <f t="shared" si="51"/>
        <v>61557.295335895789</v>
      </c>
      <c r="BA75" s="163">
        <f t="shared" si="51"/>
        <v>62262.783669465847</v>
      </c>
      <c r="BB75" s="163">
        <f t="shared" si="51"/>
        <v>61520.711232269474</v>
      </c>
      <c r="BC75" s="163">
        <f t="shared" si="51"/>
        <v>58515.861780560474</v>
      </c>
      <c r="BD75" s="163">
        <f t="shared" si="51"/>
        <v>57532.519602324865</v>
      </c>
      <c r="BE75" s="163">
        <f t="shared" si="51"/>
        <v>58246.550914891384</v>
      </c>
      <c r="BF75" s="163">
        <f t="shared" si="51"/>
        <v>57503.195255989522</v>
      </c>
      <c r="BG75" s="163">
        <f t="shared" si="51"/>
        <v>54508.320179662158</v>
      </c>
      <c r="BH75" s="163">
        <f t="shared" si="51"/>
        <v>53541.838405876872</v>
      </c>
      <c r="BI75" s="163">
        <f t="shared" si="51"/>
        <v>54230.398920289939</v>
      </c>
      <c r="BJ75" s="163">
        <f t="shared" si="51"/>
        <v>53485.766423870169</v>
      </c>
      <c r="BK75" s="163">
        <f t="shared" si="51"/>
        <v>50500.816099166317</v>
      </c>
      <c r="BL75" s="163">
        <f t="shared" si="51"/>
        <v>49534.16756803669</v>
      </c>
      <c r="BM75" s="163">
        <f t="shared" si="51"/>
        <v>50214.327283870589</v>
      </c>
      <c r="BN75" s="163">
        <f t="shared" si="51"/>
        <v>49468.424302358384</v>
      </c>
      <c r="BO75" s="163">
        <f t="shared" si="51"/>
        <v>46493.349352404301</v>
      </c>
      <c r="BP75" s="163">
        <f t="shared" si="51"/>
        <v>45526.534893568838</v>
      </c>
      <c r="BQ75" s="163">
        <f t="shared" si="51"/>
        <v>46198.335605841377</v>
      </c>
      <c r="BR75" s="163">
        <f t="shared" si="51"/>
        <v>45451.168460058092</v>
      </c>
      <c r="BS75" s="163">
        <f t="shared" si="51"/>
        <v>42485.919753636117</v>
      </c>
      <c r="BT75" s="163">
        <f t="shared" si="51"/>
        <v>41502.248542137619</v>
      </c>
      <c r="BU75" s="163">
        <f t="shared" si="51"/>
        <v>42182.423488399378</v>
      </c>
      <c r="BV75" s="163">
        <f t="shared" ref="BV75:DA75" si="52" xml:space="preserve"> SUM(BV69:BV74)</f>
        <v>41433.998467719488</v>
      </c>
      <c r="BW75" s="163">
        <f t="shared" si="52"/>
        <v>38478.527118045895</v>
      </c>
      <c r="BX75" s="163">
        <f t="shared" si="52"/>
        <v>37511.383276224689</v>
      </c>
      <c r="BY75" s="163">
        <f t="shared" si="52"/>
        <v>38166.590535720781</v>
      </c>
      <c r="BZ75" s="163">
        <f t="shared" si="52"/>
        <v>37416.913898228348</v>
      </c>
      <c r="CA75" s="163">
        <f t="shared" si="52"/>
        <v>34471.17126173721</v>
      </c>
      <c r="CB75" s="163">
        <f t="shared" si="52"/>
        <v>33503.863956442481</v>
      </c>
      <c r="CC75" s="163">
        <f t="shared" si="52"/>
        <v>34150.836353951025</v>
      </c>
      <c r="CD75" s="163">
        <f t="shared" si="52"/>
        <v>33399.914326595375</v>
      </c>
      <c r="CE75" s="163">
        <f t="shared" si="52"/>
        <v>30463.852001728563</v>
      </c>
      <c r="CF75" s="163">
        <f t="shared" si="52"/>
        <v>29496.38204621142</v>
      </c>
      <c r="CG75" s="163">
        <f t="shared" si="52"/>
        <v>30135.160551195051</v>
      </c>
      <c r="CH75" s="163">
        <f t="shared" si="52"/>
        <v>29382.999329945647</v>
      </c>
      <c r="CI75" s="163">
        <f t="shared" si="52"/>
        <v>26456.569155948819</v>
      </c>
      <c r="CJ75" s="163">
        <f t="shared" si="52"/>
        <v>25472.575410409794</v>
      </c>
      <c r="CK75" s="163">
        <f t="shared" si="52"/>
        <v>26119.562737507513</v>
      </c>
      <c r="CL75" s="163">
        <f t="shared" si="52"/>
        <v>25366.168487508105</v>
      </c>
      <c r="CM75" s="163">
        <f t="shared" si="52"/>
        <v>22449.322543232654</v>
      </c>
      <c r="CN75" s="163">
        <f t="shared" si="52"/>
        <v>22010.359733231548</v>
      </c>
      <c r="CO75" s="163">
        <f t="shared" si="52"/>
        <v>22104.042524883098</v>
      </c>
      <c r="CP75" s="163">
        <f t="shared" si="52"/>
        <v>22008.136881108108</v>
      </c>
      <c r="CQ75" s="163">
        <f t="shared" si="52"/>
        <v>22009.057228452384</v>
      </c>
      <c r="CR75" s="163">
        <f t="shared" si="52"/>
        <v>22014.113616761868</v>
      </c>
      <c r="CS75" s="163">
        <f t="shared" si="52"/>
        <v>22012.964985855484</v>
      </c>
      <c r="CT75" s="163">
        <f t="shared" si="52"/>
        <v>22011.845973055326</v>
      </c>
      <c r="CU75" s="163">
        <f t="shared" si="52"/>
        <v>22012.784865859339</v>
      </c>
      <c r="CV75" s="163">
        <f t="shared" si="52"/>
        <v>22017.943142924614</v>
      </c>
      <c r="CW75" s="163">
        <f t="shared" si="52"/>
        <v>22016.771366530433</v>
      </c>
      <c r="CX75" s="163">
        <f t="shared" si="52"/>
        <v>22015.629805062144</v>
      </c>
      <c r="CY75" s="163">
        <f t="shared" si="52"/>
        <v>22016.587617026194</v>
      </c>
      <c r="CZ75" s="163">
        <f t="shared" si="52"/>
        <v>22019.676402729168</v>
      </c>
      <c r="DA75" s="163">
        <f t="shared" si="52"/>
        <v>22020.654447681551</v>
      </c>
      <c r="DB75" s="163">
        <f t="shared" ref="DB75:EA75" si="53" xml:space="preserve"> SUM(DB69:DB74)</f>
        <v>22019.489883178183</v>
      </c>
      <c r="DC75" s="163">
        <f t="shared" si="53"/>
        <v>22020.46699553281</v>
      </c>
      <c r="DD75" s="163">
        <f t="shared" si="53"/>
        <v>22025.835250809159</v>
      </c>
      <c r="DE75" s="163">
        <f t="shared" si="53"/>
        <v>22024.615774861828</v>
      </c>
      <c r="DF75" s="163">
        <f t="shared" si="53"/>
        <v>22023.427743800708</v>
      </c>
      <c r="DG75" s="163">
        <f t="shared" si="53"/>
        <v>22024.424545458449</v>
      </c>
      <c r="DH75" s="163">
        <f t="shared" si="53"/>
        <v>755.89381338457247</v>
      </c>
      <c r="DI75" s="163">
        <f t="shared" si="53"/>
        <v>-3.7194796756892858E-12</v>
      </c>
      <c r="DJ75" s="163">
        <f t="shared" si="53"/>
        <v>-3.7194796756892858E-12</v>
      </c>
      <c r="DK75" s="163">
        <f t="shared" si="53"/>
        <v>-3.7194796756892858E-12</v>
      </c>
      <c r="DL75" s="163">
        <f t="shared" si="53"/>
        <v>-3.7194796756892858E-12</v>
      </c>
      <c r="DM75" s="163">
        <f t="shared" si="53"/>
        <v>-3.7194796756892858E-12</v>
      </c>
      <c r="DN75" s="163">
        <f t="shared" si="53"/>
        <v>-3.7194796756892858E-12</v>
      </c>
      <c r="DO75" s="163">
        <f t="shared" si="53"/>
        <v>-3.7194796756892858E-12</v>
      </c>
      <c r="DP75" s="163">
        <f t="shared" si="53"/>
        <v>-3.7194796756892858E-12</v>
      </c>
      <c r="DQ75" s="163">
        <f t="shared" si="53"/>
        <v>-3.7194796756892858E-12</v>
      </c>
      <c r="DR75" s="163">
        <f t="shared" si="53"/>
        <v>-3.7194796756892858E-12</v>
      </c>
      <c r="DS75" s="163">
        <f t="shared" si="53"/>
        <v>-3.7194796756892858E-12</v>
      </c>
      <c r="DT75" s="163">
        <f t="shared" si="53"/>
        <v>-3.7194796756892858E-12</v>
      </c>
      <c r="DU75" s="163">
        <f t="shared" si="53"/>
        <v>-3.7194796756892858E-12</v>
      </c>
      <c r="DV75" s="163">
        <f t="shared" si="53"/>
        <v>-3.7194796756892858E-12</v>
      </c>
      <c r="DW75" s="163">
        <f t="shared" si="53"/>
        <v>-3.7194796756892858E-12</v>
      </c>
      <c r="DX75" s="163">
        <f t="shared" si="53"/>
        <v>-3.7194796756892858E-12</v>
      </c>
      <c r="DY75" s="163">
        <f t="shared" si="53"/>
        <v>-3.7194796756892858E-12</v>
      </c>
      <c r="DZ75" s="163">
        <f t="shared" si="53"/>
        <v>-3.7194796756892858E-12</v>
      </c>
      <c r="EA75" s="163">
        <f t="shared" si="53"/>
        <v>-3.7194796756892341E-12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102429.64285714286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97628.791666666672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93620.688225538965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89594.903945093291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85604.60208959083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81596.618994617733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77588.675616535067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73563.40063952934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69572.907221638132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65565.081812575256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29496.38204621142</v>
      </c>
      <c r="CG80" s="190">
        <f t="shared" si="55"/>
        <v>30135.160551195051</v>
      </c>
      <c r="CH80" s="190">
        <f t="shared" si="55"/>
        <v>29382.999329945647</v>
      </c>
      <c r="CI80" s="190">
        <f t="shared" si="55"/>
        <v>26456.569155948819</v>
      </c>
      <c r="CJ80" s="190">
        <f t="shared" si="55"/>
        <v>25472.575410409798</v>
      </c>
      <c r="CK80" s="190">
        <f t="shared" si="55"/>
        <v>26119.562737507513</v>
      </c>
      <c r="CL80" s="190">
        <f t="shared" si="55"/>
        <v>25366.168487508108</v>
      </c>
      <c r="CM80" s="190">
        <f t="shared" si="55"/>
        <v>22449.322543232658</v>
      </c>
      <c r="CN80" s="190">
        <f t="shared" si="55"/>
        <v>22010.359733231548</v>
      </c>
      <c r="CO80" s="190">
        <f t="shared" si="55"/>
        <v>22104.042524883098</v>
      </c>
      <c r="CP80" s="190">
        <f t="shared" si="55"/>
        <v>22008.136881108108</v>
      </c>
      <c r="CQ80" s="190">
        <f t="shared" si="55"/>
        <v>22009.057228452388</v>
      </c>
      <c r="CR80" s="190">
        <f t="shared" si="55"/>
        <v>22014.113616761872</v>
      </c>
      <c r="CS80" s="190">
        <f t="shared" si="55"/>
        <v>22012.964985855484</v>
      </c>
      <c r="CT80" s="190">
        <f t="shared" si="55"/>
        <v>22011.84597305533</v>
      </c>
      <c r="CU80" s="190">
        <f t="shared" si="55"/>
        <v>22012.784865859343</v>
      </c>
      <c r="CV80" s="190">
        <f t="shared" si="55"/>
        <v>22017.943142924618</v>
      </c>
      <c r="CW80" s="190">
        <f t="shared" si="55"/>
        <v>22016.771366530433</v>
      </c>
      <c r="CX80" s="190">
        <f t="shared" si="55"/>
        <v>22015.629805062148</v>
      </c>
      <c r="CY80" s="190">
        <f t="shared" si="55"/>
        <v>22016.587617026198</v>
      </c>
      <c r="CZ80" s="190">
        <f t="shared" si="55"/>
        <v>22019.676402729168</v>
      </c>
      <c r="DA80" s="190">
        <f t="shared" si="55"/>
        <v>22020.654447681554</v>
      </c>
      <c r="DB80" s="190">
        <f t="shared" si="55"/>
        <v>22019.489883178187</v>
      </c>
      <c r="DC80" s="190">
        <f t="shared" si="55"/>
        <v>22020.466995532814</v>
      </c>
      <c r="DD80" s="190">
        <f t="shared" si="55"/>
        <v>22025.835250809163</v>
      </c>
      <c r="DE80" s="190">
        <f t="shared" si="55"/>
        <v>22024.615774861832</v>
      </c>
      <c r="DF80" s="190">
        <f t="shared" si="55"/>
        <v>22023.427743800712</v>
      </c>
      <c r="DG80" s="190">
        <f t="shared" si="55"/>
        <v>22024.424545458452</v>
      </c>
      <c r="DH80" s="190">
        <f t="shared" si="55"/>
        <v>755.89381338457633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102429.64285714286</v>
      </c>
      <c r="N81" s="190">
        <f t="shared" ref="N81:AS81" si="57" xml:space="preserve"> N$75</f>
        <v>101700.76086956522</v>
      </c>
      <c r="O81" s="190">
        <f t="shared" si="57"/>
        <v>98593.383152173919</v>
      </c>
      <c r="P81" s="190">
        <f t="shared" si="57"/>
        <v>97628.791666666672</v>
      </c>
      <c r="Q81" s="190">
        <f t="shared" si="57"/>
        <v>98412.57995735608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93620.688225538965</v>
      </c>
      <c r="U81" s="190">
        <f t="shared" si="57"/>
        <v>94395.601947617979</v>
      </c>
      <c r="V81" s="190">
        <f t="shared" si="57"/>
        <v>93664.028979050228</v>
      </c>
      <c r="W81" s="190">
        <f t="shared" si="57"/>
        <v>90577.568032646639</v>
      </c>
      <c r="X81" s="190">
        <f t="shared" si="57"/>
        <v>89594.903945093305</v>
      </c>
      <c r="Y81" s="190">
        <f t="shared" si="57"/>
        <v>90378.708405590034</v>
      </c>
      <c r="Z81" s="190">
        <f t="shared" si="57"/>
        <v>89645.799979154472</v>
      </c>
      <c r="AA81" s="190">
        <f t="shared" si="57"/>
        <v>86569.719435469291</v>
      </c>
      <c r="AB81" s="190">
        <f t="shared" si="57"/>
        <v>85604.60208959083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82561.909886039095</v>
      </c>
      <c r="AF81" s="190">
        <f t="shared" si="57"/>
        <v>81596.618994617733</v>
      </c>
      <c r="AG81" s="190">
        <f t="shared" si="57"/>
        <v>82345.17304580583</v>
      </c>
      <c r="AH81" s="190">
        <f t="shared" si="57"/>
        <v>81609.613602786529</v>
      </c>
      <c r="AI81" s="190">
        <f t="shared" si="57"/>
        <v>78554.139190088652</v>
      </c>
      <c r="AJ81" s="190">
        <f t="shared" si="57"/>
        <v>77588.675616535067</v>
      </c>
      <c r="AK81" s="190">
        <f t="shared" si="57"/>
        <v>78328.530393836671</v>
      </c>
      <c r="AL81" s="190">
        <f t="shared" si="57"/>
        <v>77591.655326155756</v>
      </c>
      <c r="AM81" s="190">
        <f t="shared" si="57"/>
        <v>74546.407154317072</v>
      </c>
      <c r="AN81" s="190">
        <f t="shared" si="57"/>
        <v>73563.40063952934</v>
      </c>
      <c r="AO81" s="190">
        <f t="shared" si="57"/>
        <v>74311.970541130999</v>
      </c>
      <c r="AP81" s="190">
        <f t="shared" si="57"/>
        <v>73573.786394184834</v>
      </c>
      <c r="AQ81" s="190">
        <f t="shared" si="57"/>
        <v>70538.713586385129</v>
      </c>
      <c r="AR81" s="190">
        <f t="shared" si="57"/>
        <v>69572.907221638132</v>
      </c>
      <c r="AS81" s="190">
        <f t="shared" si="57"/>
        <v>70295.493075752238</v>
      </c>
      <c r="AT81" s="190">
        <f t="shared" ref="AT81:BY81" si="58" xml:space="preserve"> AT$75</f>
        <v>69556.006362372966</v>
      </c>
      <c r="AU81" s="190">
        <f t="shared" si="58"/>
        <v>66531.058294910588</v>
      </c>
      <c r="AV81" s="190">
        <f t="shared" si="58"/>
        <v>65565.08181257527</v>
      </c>
      <c r="AW81" s="190">
        <f t="shared" si="58"/>
        <v>66279.097587813172</v>
      </c>
      <c r="AX81" s="190">
        <f t="shared" si="58"/>
        <v>65538.314788430813</v>
      </c>
      <c r="AY81" s="190">
        <f t="shared" si="58"/>
        <v>62523.441089463275</v>
      </c>
      <c r="AZ81" s="190">
        <f t="shared" si="58"/>
        <v>61557.295335895789</v>
      </c>
      <c r="BA81" s="190">
        <f t="shared" si="58"/>
        <v>62262.783669465847</v>
      </c>
      <c r="BB81" s="190">
        <f t="shared" si="58"/>
        <v>61520.711232269474</v>
      </c>
      <c r="BC81" s="190">
        <f t="shared" si="58"/>
        <v>58515.861780560474</v>
      </c>
      <c r="BD81" s="190">
        <f t="shared" si="58"/>
        <v>57532.519602324865</v>
      </c>
      <c r="BE81" s="190">
        <f t="shared" si="58"/>
        <v>58246.550914891384</v>
      </c>
      <c r="BF81" s="190">
        <f t="shared" si="58"/>
        <v>57503.195255989522</v>
      </c>
      <c r="BG81" s="190">
        <f t="shared" si="58"/>
        <v>54508.320179662158</v>
      </c>
      <c r="BH81" s="190">
        <f t="shared" si="58"/>
        <v>53541.838405876872</v>
      </c>
      <c r="BI81" s="190">
        <f t="shared" si="58"/>
        <v>54230.398920289939</v>
      </c>
      <c r="BJ81" s="190">
        <f t="shared" si="58"/>
        <v>53485.766423870169</v>
      </c>
      <c r="BK81" s="190">
        <f t="shared" si="58"/>
        <v>50500.816099166317</v>
      </c>
      <c r="BL81" s="190">
        <f t="shared" si="58"/>
        <v>49534.16756803669</v>
      </c>
      <c r="BM81" s="190">
        <f t="shared" si="58"/>
        <v>50214.327283870589</v>
      </c>
      <c r="BN81" s="190">
        <f t="shared" si="58"/>
        <v>49468.424302358384</v>
      </c>
      <c r="BO81" s="190">
        <f t="shared" si="58"/>
        <v>46493.349352404301</v>
      </c>
      <c r="BP81" s="190">
        <f t="shared" si="58"/>
        <v>45526.534893568838</v>
      </c>
      <c r="BQ81" s="190">
        <f t="shared" si="58"/>
        <v>46198.335605841377</v>
      </c>
      <c r="BR81" s="190">
        <f t="shared" si="58"/>
        <v>45451.168460058092</v>
      </c>
      <c r="BS81" s="190">
        <f t="shared" si="58"/>
        <v>42485.919753636117</v>
      </c>
      <c r="BT81" s="190">
        <f t="shared" si="58"/>
        <v>41502.248542137619</v>
      </c>
      <c r="BU81" s="190">
        <f t="shared" si="58"/>
        <v>42182.423488399378</v>
      </c>
      <c r="BV81" s="190">
        <f t="shared" si="58"/>
        <v>41433.998467719488</v>
      </c>
      <c r="BW81" s="190">
        <f t="shared" si="58"/>
        <v>38478.527118045895</v>
      </c>
      <c r="BX81" s="190">
        <f t="shared" si="58"/>
        <v>37511.383276224689</v>
      </c>
      <c r="BY81" s="190">
        <f t="shared" si="58"/>
        <v>38166.590535720781</v>
      </c>
      <c r="BZ81" s="190">
        <f t="shared" ref="BZ81:DE81" si="59" xml:space="preserve"> BZ$75</f>
        <v>37416.913898228348</v>
      </c>
      <c r="CA81" s="190">
        <f t="shared" si="59"/>
        <v>34471.17126173721</v>
      </c>
      <c r="CB81" s="190">
        <f t="shared" si="59"/>
        <v>33503.863956442481</v>
      </c>
      <c r="CC81" s="190">
        <f t="shared" si="59"/>
        <v>34150.836353951025</v>
      </c>
      <c r="CD81" s="190">
        <f t="shared" si="59"/>
        <v>33399.914326595375</v>
      </c>
      <c r="CE81" s="190">
        <f t="shared" si="59"/>
        <v>30463.852001728563</v>
      </c>
      <c r="CF81" s="190">
        <f t="shared" si="59"/>
        <v>29496.38204621142</v>
      </c>
      <c r="CG81" s="190">
        <f t="shared" si="59"/>
        <v>30135.160551195051</v>
      </c>
      <c r="CH81" s="190">
        <f t="shared" si="59"/>
        <v>29382.999329945647</v>
      </c>
      <c r="CI81" s="190">
        <f t="shared" si="59"/>
        <v>26456.569155948819</v>
      </c>
      <c r="CJ81" s="190">
        <f t="shared" si="59"/>
        <v>25472.575410409794</v>
      </c>
      <c r="CK81" s="190">
        <f t="shared" si="59"/>
        <v>26119.562737507513</v>
      </c>
      <c r="CL81" s="190">
        <f t="shared" si="59"/>
        <v>25366.168487508105</v>
      </c>
      <c r="CM81" s="190">
        <f t="shared" si="59"/>
        <v>22449.322543232654</v>
      </c>
      <c r="CN81" s="190">
        <f t="shared" si="59"/>
        <v>22010.359733231548</v>
      </c>
      <c r="CO81" s="190">
        <f t="shared" si="59"/>
        <v>22104.042524883098</v>
      </c>
      <c r="CP81" s="190">
        <f t="shared" si="59"/>
        <v>22008.136881108108</v>
      </c>
      <c r="CQ81" s="190">
        <f t="shared" si="59"/>
        <v>22009.057228452384</v>
      </c>
      <c r="CR81" s="190">
        <f t="shared" si="59"/>
        <v>22014.113616761868</v>
      </c>
      <c r="CS81" s="190">
        <f t="shared" si="59"/>
        <v>22012.964985855484</v>
      </c>
      <c r="CT81" s="190">
        <f t="shared" si="59"/>
        <v>22011.845973055326</v>
      </c>
      <c r="CU81" s="190">
        <f t="shared" si="59"/>
        <v>22012.784865859339</v>
      </c>
      <c r="CV81" s="190">
        <f t="shared" si="59"/>
        <v>22017.943142924614</v>
      </c>
      <c r="CW81" s="190">
        <f t="shared" si="59"/>
        <v>22016.771366530433</v>
      </c>
      <c r="CX81" s="190">
        <f t="shared" si="59"/>
        <v>22015.629805062144</v>
      </c>
      <c r="CY81" s="190">
        <f t="shared" si="59"/>
        <v>22016.587617026194</v>
      </c>
      <c r="CZ81" s="190">
        <f t="shared" si="59"/>
        <v>22019.676402729168</v>
      </c>
      <c r="DA81" s="190">
        <f t="shared" si="59"/>
        <v>22020.654447681551</v>
      </c>
      <c r="DB81" s="190">
        <f t="shared" si="59"/>
        <v>22019.489883178183</v>
      </c>
      <c r="DC81" s="190">
        <f t="shared" si="59"/>
        <v>22020.46699553281</v>
      </c>
      <c r="DD81" s="190">
        <f t="shared" si="59"/>
        <v>22025.835250809159</v>
      </c>
      <c r="DE81" s="190">
        <f t="shared" si="59"/>
        <v>22024.615774861828</v>
      </c>
      <c r="DF81" s="190">
        <f t="shared" ref="DF81:EA81" si="60" xml:space="preserve"> DF$75</f>
        <v>22023.427743800708</v>
      </c>
      <c r="DG81" s="190">
        <f t="shared" si="60"/>
        <v>22024.424545458449</v>
      </c>
      <c r="DH81" s="190">
        <f t="shared" si="60"/>
        <v>755.89381338457247</v>
      </c>
      <c r="DI81" s="190">
        <f t="shared" si="60"/>
        <v>-3.7194796756892858E-12</v>
      </c>
      <c r="DJ81" s="190">
        <f t="shared" si="60"/>
        <v>-3.7194796756892858E-12</v>
      </c>
      <c r="DK81" s="190">
        <f t="shared" si="60"/>
        <v>-3.7194796756892858E-12</v>
      </c>
      <c r="DL81" s="190">
        <f t="shared" si="60"/>
        <v>-3.7194796756892858E-12</v>
      </c>
      <c r="DM81" s="190">
        <f t="shared" si="60"/>
        <v>-3.7194796756892858E-12</v>
      </c>
      <c r="DN81" s="190">
        <f t="shared" si="60"/>
        <v>-3.7194796756892858E-12</v>
      </c>
      <c r="DO81" s="190">
        <f t="shared" si="60"/>
        <v>-3.7194796756892858E-12</v>
      </c>
      <c r="DP81" s="190">
        <f t="shared" si="60"/>
        <v>-3.7194796756892858E-12</v>
      </c>
      <c r="DQ81" s="190">
        <f t="shared" si="60"/>
        <v>-3.7194796756892858E-12</v>
      </c>
      <c r="DR81" s="190">
        <f t="shared" si="60"/>
        <v>-3.7194796756892858E-12</v>
      </c>
      <c r="DS81" s="190">
        <f t="shared" si="60"/>
        <v>-3.7194796756892858E-12</v>
      </c>
      <c r="DT81" s="190">
        <f t="shared" si="60"/>
        <v>-3.7194796756892858E-12</v>
      </c>
      <c r="DU81" s="190">
        <f t="shared" si="60"/>
        <v>-3.7194796756892858E-12</v>
      </c>
      <c r="DV81" s="190">
        <f t="shared" si="60"/>
        <v>-3.7194796756892858E-12</v>
      </c>
      <c r="DW81" s="190">
        <f t="shared" si="60"/>
        <v>-3.7194796756892858E-12</v>
      </c>
      <c r="DX81" s="190">
        <f t="shared" si="60"/>
        <v>-3.7194796756892858E-12</v>
      </c>
      <c r="DY81" s="190">
        <f t="shared" si="60"/>
        <v>-3.7194796756892858E-12</v>
      </c>
      <c r="DZ81" s="190">
        <f t="shared" si="60"/>
        <v>-3.7194796756892858E-12</v>
      </c>
      <c r="EA81" s="190">
        <f t="shared" si="60"/>
        <v>-3.7194796756892341E-12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7.4535466320631324E-11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3.865352482534945E-12</v>
      </c>
      <c r="DI83" s="150">
        <f t="shared" si="66"/>
        <v>3.7194796756892858E-12</v>
      </c>
      <c r="DJ83" s="150">
        <f t="shared" si="66"/>
        <v>3.7194796756892858E-12</v>
      </c>
      <c r="DK83" s="150">
        <f t="shared" si="66"/>
        <v>3.7194796756892858E-12</v>
      </c>
      <c r="DL83" s="150">
        <f t="shared" si="66"/>
        <v>3.7194796756892858E-12</v>
      </c>
      <c r="DM83" s="150">
        <f t="shared" si="66"/>
        <v>3.7194796756892858E-12</v>
      </c>
      <c r="DN83" s="150">
        <f t="shared" si="66"/>
        <v>3.7194796756892858E-12</v>
      </c>
      <c r="DO83" s="150">
        <f t="shared" si="66"/>
        <v>3.7194796756892858E-12</v>
      </c>
      <c r="DP83" s="150">
        <f t="shared" si="66"/>
        <v>3.7194796756892858E-12</v>
      </c>
      <c r="DQ83" s="150">
        <f t="shared" si="66"/>
        <v>3.7194796756892858E-12</v>
      </c>
      <c r="DR83" s="150">
        <f t="shared" si="66"/>
        <v>3.7194796756892858E-12</v>
      </c>
      <c r="DS83" s="150">
        <f t="shared" si="66"/>
        <v>3.7194796756892858E-12</v>
      </c>
      <c r="DT83" s="150">
        <f t="shared" si="66"/>
        <v>3.7194796756892858E-12</v>
      </c>
      <c r="DU83" s="150">
        <f t="shared" si="66"/>
        <v>3.7194796756892858E-12</v>
      </c>
      <c r="DV83" s="150">
        <f t="shared" si="66"/>
        <v>3.7194796756892858E-12</v>
      </c>
      <c r="DW83" s="150">
        <f t="shared" si="66"/>
        <v>3.7194796756892858E-12</v>
      </c>
      <c r="DX83" s="150">
        <f t="shared" si="66"/>
        <v>3.7194796756892858E-12</v>
      </c>
      <c r="DY83" s="150">
        <f t="shared" si="66"/>
        <v>3.7194796756892858E-12</v>
      </c>
      <c r="DZ83" s="150">
        <f t="shared" si="66"/>
        <v>3.7194796756892858E-12</v>
      </c>
      <c r="EA83" s="150">
        <f t="shared" si="66"/>
        <v>3.7194796756892341E-12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-26512.862342169963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-4644.8701236979086</v>
      </c>
      <c r="L16" s="9">
        <f xml:space="preserve"> SUMIFS('FS Qtr'!$J16:$EA16, 'FS Qtr'!$J$4:$EA$4, 'FS Ann'!L$4)</f>
        <v>-4272.0391495333624</v>
      </c>
      <c r="M16" s="9">
        <f xml:space="preserve"> SUMIFS('FS Qtr'!$J16:$EA16, 'FS Qtr'!$J$4:$EA$4, 'FS Ann'!M$4)</f>
        <v>-3872.7876315096541</v>
      </c>
      <c r="N16" s="9">
        <f xml:space="preserve"> SUMIFS('FS Qtr'!$J16:$EA16, 'FS Qtr'!$J$4:$EA$4, 'FS Ann'!N$4)</f>
        <v>-3433.6886667026215</v>
      </c>
      <c r="O16" s="9">
        <f xml:space="preserve"> SUMIFS('FS Qtr'!$J16:$EA16, 'FS Qtr'!$J$4:$EA$4, 'FS Ann'!O$4)</f>
        <v>-2982.9218943964447</v>
      </c>
      <c r="P16" s="9">
        <f xml:space="preserve"> SUMIFS('FS Qtr'!$J16:$EA16, 'FS Qtr'!$J$4:$EA$4, 'FS Ann'!P$4)</f>
        <v>-2509.1606057186364</v>
      </c>
      <c r="Q16" s="9">
        <f xml:space="preserve"> SUMIFS('FS Qtr'!$J16:$EA16, 'FS Qtr'!$J$4:$EA$4, 'FS Ann'!Q$4)</f>
        <v>-2016.0372784669587</v>
      </c>
      <c r="R16" s="9">
        <f xml:space="preserve"> SUMIFS('FS Qtr'!$J16:$EA16, 'FS Qtr'!$J$4:$EA$4, 'FS Ann'!R$4)</f>
        <v>-1487.6124234987753</v>
      </c>
      <c r="S16" s="9">
        <f xml:space="preserve"> SUMIFS('FS Qtr'!$J16:$EA16, 'FS Qtr'!$J$4:$EA$4, 'FS Ann'!S$4)</f>
        <v>-936.83758572357328</v>
      </c>
      <c r="T16" s="9">
        <f xml:space="preserve"> SUMIFS('FS Qtr'!$J16:$EA16, 'FS Qtr'!$J$4:$EA$4, 'FS Ann'!T$4)</f>
        <v>-356.90698292234777</v>
      </c>
      <c r="U16" s="9">
        <f xml:space="preserve"> SUMIFS('FS Qtr'!$J16:$EA16, 'FS Qtr'!$J$4:$EA$4, 'FS Ann'!U$4)</f>
        <v>8.812176536588521E-12</v>
      </c>
      <c r="V16" s="9">
        <f xml:space="preserve"> SUMIFS('FS Qtr'!$J16:$EA16, 'FS Qtr'!$J$4:$EA$4, 'FS Ann'!V$4)</f>
        <v>9.3359755722748206E-12</v>
      </c>
      <c r="W16" s="9">
        <f xml:space="preserve"> SUMIFS('FS Qtr'!$J16:$EA16, 'FS Qtr'!$J$4:$EA$4, 'FS Ann'!W$4)</f>
        <v>9.9170016759524387E-12</v>
      </c>
      <c r="X16" s="9">
        <f xml:space="preserve"> SUMIFS('FS Qtr'!$J16:$EA16, 'FS Qtr'!$J$4:$EA$4, 'FS Ann'!X$4)</f>
        <v>1.0534188042747856E-11</v>
      </c>
      <c r="Y16" s="9">
        <f xml:space="preserve"> SUMIFS('FS Qtr'!$J16:$EA16, 'FS Qtr'!$J$4:$EA$4, 'FS Ann'!Y$4)</f>
        <v>1.122114606207786E-11</v>
      </c>
      <c r="Z16" s="9">
        <f xml:space="preserve"> SUMIFS('FS Qtr'!$J16:$EA16, 'FS Qtr'!$J$4:$EA$4, 'FS Ann'!Z$4)</f>
        <v>1.1888135138182655E-11</v>
      </c>
      <c r="AA16" s="9">
        <f xml:space="preserve"> SUMIFS('FS Qtr'!$J16:$EA16, 'FS Qtr'!$J$4:$EA$4, 'FS Ann'!AA$4)</f>
        <v>1.2627995347312168E-11</v>
      </c>
      <c r="AB16" s="9">
        <f xml:space="preserve"> SUMIFS('FS Qtr'!$J16:$EA16, 'FS Qtr'!$J$4:$EA$4, 'FS Ann'!AB$4)</f>
        <v>1.3413900888421044E-11</v>
      </c>
      <c r="AC16" s="9">
        <f xml:space="preserve"> SUMIFS('FS Qtr'!$J16:$EA16, 'FS Qtr'!$J$4:$EA$4, 'FS Ann'!AC$4)</f>
        <v>1.428865143857308E-11</v>
      </c>
      <c r="AD16" s="9">
        <f xml:space="preserve"> SUMIFS('FS Qtr'!$J16:$EA16, 'FS Qtr'!$J$4:$EA$4, 'FS Ann'!AD$4)</f>
        <v>1.5137974169876382E-11</v>
      </c>
      <c r="AE16" s="9">
        <f xml:space="preserve"> SUMIFS('FS Qtr'!$J16:$EA16, 'FS Qtr'!$J$4:$EA$4, 'FS Ann'!AE$4)</f>
        <v>1.6080088690357349E-11</v>
      </c>
      <c r="AF16" s="9">
        <f xml:space="preserve"> SUMIFS('FS Qtr'!$J16:$EA16, 'FS Qtr'!$J$4:$EA$4, 'FS Ann'!AF$4)</f>
        <v>1.7080835875932125E-11</v>
      </c>
      <c r="AG16" s="9">
        <f xml:space="preserve"> SUMIFS('FS Qtr'!$J16:$EA16, 'FS Qtr'!$J$4:$EA$4, 'FS Ann'!AG$4)</f>
        <v>1.8194715477683613E-11</v>
      </c>
      <c r="AH16" s="9">
        <f xml:space="preserve"> SUMIFS('FS Qtr'!$J16:$EA16, 'FS Qtr'!$J$4:$EA$4, 'FS Ann'!AH$4)</f>
        <v>1.9276216101533661E-11</v>
      </c>
      <c r="AI16" s="9">
        <f xml:space="preserve"> SUMIFS('FS Qtr'!$J16:$EA16, 'FS Qtr'!$J$4:$EA$4, 'FS Ann'!AI$4)</f>
        <v>2.0475874846184046E-11</v>
      </c>
      <c r="AJ16" s="9">
        <f xml:space="preserve"> SUMIFS('FS Qtr'!$J16:$EA16, 'FS Qtr'!$J$4:$EA$4, 'FS Ann'!AJ$4)</f>
        <v>2.1750194566621148E-11</v>
      </c>
      <c r="AK16" s="9">
        <f xml:space="preserve"> SUMIFS('FS Qtr'!$J16:$EA16, 'FS Qtr'!$J$4:$EA$4, 'FS Ann'!AK$4)</f>
        <v>2.3168573517034372E-11</v>
      </c>
      <c r="AL16" s="9">
        <f xml:space="preserve"> SUMIFS('FS Qtr'!$J16:$EA16, 'FS Qtr'!$J$4:$EA$4, 'FS Ann'!AL$4)</f>
        <v>2.454572210411294E-11</v>
      </c>
      <c r="AM16" s="9">
        <f xml:space="preserve"> SUMIFS('FS Qtr'!$J16:$EA16, 'FS Qtr'!$J$4:$EA$4, 'FS Ann'!AM$4)</f>
        <v>2.6073329494010097E-11</v>
      </c>
      <c r="AN16" s="9">
        <f xml:space="preserve"> SUMIFS('FS Qtr'!$J16:$EA16, 'FS Qtr'!$J$4:$EA$4, 'FS Ann'!AN$4)</f>
        <v>2.0710031115413649E-11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196154.17888513848</v>
      </c>
      <c r="I19" s="50"/>
      <c r="J19" s="50">
        <f t="shared" ref="J19:AN19" si="3" xml:space="preserve"> J14 + SUM(J16:J18)</f>
        <v>0</v>
      </c>
      <c r="K19" s="50">
        <f t="shared" si="3"/>
        <v>5598.7858916927144</v>
      </c>
      <c r="L19" s="50">
        <f t="shared" si="3"/>
        <v>5862.5910011861652</v>
      </c>
      <c r="M19" s="50">
        <f t="shared" si="3"/>
        <v>6152.5900902975773</v>
      </c>
      <c r="N19" s="50">
        <f t="shared" si="3"/>
        <v>6482.1956937746236</v>
      </c>
      <c r="O19" s="50">
        <f t="shared" si="3"/>
        <v>6823.2135634008191</v>
      </c>
      <c r="P19" s="50">
        <f t="shared" si="3"/>
        <v>7186.9555532665145</v>
      </c>
      <c r="Q19" s="50">
        <f t="shared" si="3"/>
        <v>7569.7740797465767</v>
      </c>
      <c r="R19" s="50">
        <f t="shared" si="3"/>
        <v>7987.5932698120841</v>
      </c>
      <c r="S19" s="50">
        <f t="shared" si="3"/>
        <v>8427.4459546333619</v>
      </c>
      <c r="T19" s="50">
        <f t="shared" si="3"/>
        <v>8896.1220252483308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8917.1080966429345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8577.5968295774164</v>
      </c>
      <c r="AA19" s="50">
        <f t="shared" si="3"/>
        <v>8463.5470304070768</v>
      </c>
      <c r="AB19" s="50">
        <f t="shared" si="3"/>
        <v>8349.0274023885049</v>
      </c>
      <c r="AC19" s="50">
        <f t="shared" si="3"/>
        <v>8234.0193820575769</v>
      </c>
      <c r="AD19" s="50">
        <f t="shared" si="3"/>
        <v>8118.5040771416852</v>
      </c>
      <c r="AE19" s="50">
        <f t="shared" si="3"/>
        <v>8002.4622597089547</v>
      </c>
      <c r="AF19" s="50">
        <f t="shared" si="3"/>
        <v>7885.8743591804987</v>
      </c>
      <c r="AG19" s="50">
        <f t="shared" si="3"/>
        <v>7768.7204552029762</v>
      </c>
      <c r="AH19" s="50">
        <f t="shared" si="3"/>
        <v>7650.9802703786963</v>
      </c>
      <c r="AI19" s="50">
        <f t="shared" si="3"/>
        <v>7532.6331628502658</v>
      </c>
      <c r="AJ19" s="50">
        <f t="shared" si="3"/>
        <v>2.1750194566621148E-11</v>
      </c>
      <c r="AK19" s="50">
        <f t="shared" si="3"/>
        <v>2.3168573517034372E-11</v>
      </c>
      <c r="AL19" s="50">
        <f t="shared" si="3"/>
        <v>2.454572210411294E-11</v>
      </c>
      <c r="AM19" s="50">
        <f t="shared" si="3"/>
        <v>2.6073329494010097E-11</v>
      </c>
      <c r="AN19" s="50">
        <f t="shared" si="3"/>
        <v>2.0710031115413649E-11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196154.17888513848</v>
      </c>
      <c r="I22" s="188"/>
      <c r="J22" s="188">
        <f t="shared" ref="J22:AN22" si="4" xml:space="preserve"> J19 + J21</f>
        <v>0</v>
      </c>
      <c r="K22" s="188">
        <f t="shared" si="4"/>
        <v>5598.7858916927144</v>
      </c>
      <c r="L22" s="188">
        <f t="shared" si="4"/>
        <v>5862.5910011861652</v>
      </c>
      <c r="M22" s="188">
        <f t="shared" si="4"/>
        <v>6152.5900902975773</v>
      </c>
      <c r="N22" s="188">
        <f t="shared" si="4"/>
        <v>6482.1956937746236</v>
      </c>
      <c r="O22" s="188">
        <f t="shared" si="4"/>
        <v>6823.2135634008191</v>
      </c>
      <c r="P22" s="188">
        <f t="shared" si="4"/>
        <v>7186.9555532665145</v>
      </c>
      <c r="Q22" s="188">
        <f t="shared" si="4"/>
        <v>7569.7740797465767</v>
      </c>
      <c r="R22" s="188">
        <f t="shared" si="4"/>
        <v>7987.5932698120841</v>
      </c>
      <c r="S22" s="188">
        <f t="shared" si="4"/>
        <v>8427.4459546333619</v>
      </c>
      <c r="T22" s="188">
        <f t="shared" si="4"/>
        <v>8896.1220252483308</v>
      </c>
      <c r="U22" s="188">
        <f t="shared" si="4"/>
        <v>9141.425932688051</v>
      </c>
      <c r="V22" s="188">
        <f t="shared" si="4"/>
        <v>9029.4578712278017</v>
      </c>
      <c r="W22" s="188">
        <f t="shared" si="4"/>
        <v>8917.1080966429345</v>
      </c>
      <c r="X22" s="188">
        <f t="shared" si="4"/>
        <v>8804.3595913553836</v>
      </c>
      <c r="Y22" s="188">
        <f t="shared" si="4"/>
        <v>8691.195041271727</v>
      </c>
      <c r="Z22" s="188">
        <f t="shared" si="4"/>
        <v>8577.5968295774164</v>
      </c>
      <c r="AA22" s="188">
        <f t="shared" si="4"/>
        <v>8463.5470304070768</v>
      </c>
      <c r="AB22" s="188">
        <f t="shared" si="4"/>
        <v>8349.0274023885049</v>
      </c>
      <c r="AC22" s="188">
        <f t="shared" si="4"/>
        <v>8234.0193820575769</v>
      </c>
      <c r="AD22" s="188">
        <f t="shared" si="4"/>
        <v>8118.5040771416852</v>
      </c>
      <c r="AE22" s="188">
        <f t="shared" si="4"/>
        <v>8002.4622597089547</v>
      </c>
      <c r="AF22" s="188">
        <f t="shared" si="4"/>
        <v>7885.8743591804987</v>
      </c>
      <c r="AG22" s="188">
        <f t="shared" si="4"/>
        <v>7768.7204552029762</v>
      </c>
      <c r="AH22" s="188">
        <f t="shared" si="4"/>
        <v>7650.9802703786963</v>
      </c>
      <c r="AI22" s="188">
        <f t="shared" si="4"/>
        <v>7532.6331628502658</v>
      </c>
      <c r="AJ22" s="188">
        <f t="shared" si="4"/>
        <v>2.1750194566621148E-11</v>
      </c>
      <c r="AK22" s="188">
        <f t="shared" si="4"/>
        <v>2.3168573517034372E-11</v>
      </c>
      <c r="AL22" s="188">
        <f t="shared" si="4"/>
        <v>2.454572210411294E-11</v>
      </c>
      <c r="AM22" s="188">
        <f t="shared" si="4"/>
        <v>2.6073329494010097E-11</v>
      </c>
      <c r="AN22" s="188">
        <f t="shared" si="4"/>
        <v>2.0710031115413649E-11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-196154.17888513798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-2940.549960300481</v>
      </c>
      <c r="L24" s="9">
        <f xml:space="preserve"> SUMIFS('FS Qtr'!$J24:$EA24, 'FS Qtr'!$J$4:$EA$4, 'FS Ann'!L$4)</f>
        <v>-3264.3007291753338</v>
      </c>
      <c r="M24" s="9">
        <f xml:space="preserve"> SUMIFS('FS Qtr'!$J24:$EA24, 'FS Qtr'!$J$4:$EA$4, 'FS Ann'!M$4)</f>
        <v>-3242.8442306775269</v>
      </c>
      <c r="N24" s="9">
        <f xml:space="preserve"> SUMIFS('FS Qtr'!$J24:$EA24, 'FS Qtr'!$J$4:$EA$4, 'FS Ann'!N$4)</f>
        <v>-3210.0735535497306</v>
      </c>
      <c r="O24" s="9">
        <f xml:space="preserve"> SUMIFS('FS Qtr'!$J24:$EA24, 'FS Qtr'!$J$4:$EA$4, 'FS Ann'!O$4)</f>
        <v>-3188.5030629251987</v>
      </c>
      <c r="P24" s="9">
        <f xml:space="preserve"> SUMIFS('FS Qtr'!$J24:$EA24, 'FS Qtr'!$J$4:$EA$4, 'FS Ann'!P$4)</f>
        <v>-3163.1175142950378</v>
      </c>
      <c r="Q24" s="9">
        <f xml:space="preserve"> SUMIFS('FS Qtr'!$J24:$EA24, 'FS Qtr'!$J$4:$EA$4, 'FS Ann'!Q$4)</f>
        <v>-3141.3106024840949</v>
      </c>
      <c r="R24" s="9">
        <f xml:space="preserve"> SUMIFS('FS Qtr'!$J24:$EA24, 'FS Qtr'!$J$4:$EA$4, 'FS Ann'!R$4)</f>
        <v>-3108.5019046473917</v>
      </c>
      <c r="S24" s="9">
        <f xml:space="preserve"> SUMIFS('FS Qtr'!$J24:$EA24, 'FS Qtr'!$J$4:$EA$4, 'FS Ann'!S$4)</f>
        <v>-3086.553144272757</v>
      </c>
      <c r="T24" s="9">
        <f xml:space="preserve"> SUMIFS('FS Qtr'!$J24:$EA24, 'FS Qtr'!$J$4:$EA$4, 'FS Ann'!T$4)</f>
        <v>-3060.8837766480192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-12360.045115561261</v>
      </c>
      <c r="AC24" s="9">
        <f xml:space="preserve"> SUMIFS('FS Qtr'!$J24:$EA24, 'FS Qtr'!$J$4:$EA$4, 'FS Ann'!AC$4)</f>
        <v>-12259.426337286519</v>
      </c>
      <c r="AD24" s="9">
        <f xml:space="preserve"> SUMIFS('FS Qtr'!$J24:$EA24, 'FS Qtr'!$J$4:$EA$4, 'FS Ann'!AD$4)</f>
        <v>-11586.406221061054</v>
      </c>
      <c r="AE24" s="9">
        <f xml:space="preserve"> SUMIFS('FS Qtr'!$J24:$EA24, 'FS Qtr'!$J$4:$EA$4, 'FS Ann'!AE$4)</f>
        <v>-8002.4622597089565</v>
      </c>
      <c r="AF24" s="9">
        <f xml:space="preserve"> SUMIFS('FS Qtr'!$J24:$EA24, 'FS Qtr'!$J$4:$EA$4, 'FS Ann'!AF$4)</f>
        <v>-7885.8743591804978</v>
      </c>
      <c r="AG24" s="9">
        <f xml:space="preserve"> SUMIFS('FS Qtr'!$J24:$EA24, 'FS Qtr'!$J$4:$EA$4, 'FS Ann'!AG$4)</f>
        <v>-7768.7204552029762</v>
      </c>
      <c r="AH24" s="9">
        <f xml:space="preserve"> SUMIFS('FS Qtr'!$J24:$EA24, 'FS Qtr'!$J$4:$EA$4, 'FS Ann'!AH$4)</f>
        <v>-7650.9802703786954</v>
      </c>
      <c r="AI24" s="9">
        <f xml:space="preserve"> SUMIFS('FS Qtr'!$J24:$EA24, 'FS Qtr'!$J$4:$EA$4, 'FS Ann'!AI$4)</f>
        <v>-6982.5729109799076</v>
      </c>
      <c r="AJ24" s="9">
        <f xml:space="preserve"> SUMIFS('FS Qtr'!$J24:$EA24, 'FS Qtr'!$J$4:$EA$4, 'FS Ann'!AJ$4)</f>
        <v>-550.06025187001023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4.6682204976886359E-10</v>
      </c>
      <c r="I25" s="50"/>
      <c r="J25" s="50">
        <f t="shared" ref="J25:AN25" si="5" xml:space="preserve"> J22 + J24</f>
        <v>0</v>
      </c>
      <c r="K25" s="50">
        <f t="shared" si="5"/>
        <v>2658.2359313922334</v>
      </c>
      <c r="L25" s="50">
        <f t="shared" si="5"/>
        <v>2598.2902720108314</v>
      </c>
      <c r="M25" s="50">
        <f t="shared" si="5"/>
        <v>2909.7458596200504</v>
      </c>
      <c r="N25" s="50">
        <f t="shared" si="5"/>
        <v>3272.122140224893</v>
      </c>
      <c r="O25" s="50">
        <f t="shared" si="5"/>
        <v>3634.7105004756204</v>
      </c>
      <c r="P25" s="50">
        <f t="shared" si="5"/>
        <v>4023.8380389714766</v>
      </c>
      <c r="Q25" s="50">
        <f t="shared" si="5"/>
        <v>4428.4634772624813</v>
      </c>
      <c r="R25" s="50">
        <f t="shared" si="5"/>
        <v>4879.0913651646924</v>
      </c>
      <c r="S25" s="50">
        <f t="shared" si="5"/>
        <v>5340.8928103606049</v>
      </c>
      <c r="T25" s="50">
        <f t="shared" si="5"/>
        <v>5835.2382486003116</v>
      </c>
      <c r="U25" s="50">
        <f t="shared" si="5"/>
        <v>-4026.1399796090864</v>
      </c>
      <c r="V25" s="50">
        <f t="shared" si="5"/>
        <v>-3995.5288159858865</v>
      </c>
      <c r="W25" s="50">
        <f t="shared" si="5"/>
        <v>-4010.8709619195124</v>
      </c>
      <c r="X25" s="50">
        <f t="shared" si="5"/>
        <v>-4010.8972826494319</v>
      </c>
      <c r="Y25" s="50">
        <f t="shared" si="5"/>
        <v>-4025.763926958407</v>
      </c>
      <c r="Z25" s="50">
        <f t="shared" si="5"/>
        <v>-3996.1155827867715</v>
      </c>
      <c r="AA25" s="50">
        <f t="shared" si="5"/>
        <v>-4010.9852818530362</v>
      </c>
      <c r="AB25" s="50">
        <f t="shared" si="5"/>
        <v>-4011.017713172756</v>
      </c>
      <c r="AC25" s="50">
        <f t="shared" si="5"/>
        <v>-4025.406955228942</v>
      </c>
      <c r="AD25" s="50">
        <f t="shared" si="5"/>
        <v>-3467.9021439193684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550.06025187035812</v>
      </c>
      <c r="AJ25" s="50">
        <f t="shared" si="5"/>
        <v>-550.06025186998852</v>
      </c>
      <c r="AK25" s="50">
        <f t="shared" si="5"/>
        <v>2.3168573517034372E-11</v>
      </c>
      <c r="AL25" s="50">
        <f t="shared" si="5"/>
        <v>2.454572210411294E-11</v>
      </c>
      <c r="AM25" s="50">
        <f t="shared" si="5"/>
        <v>2.6073329494010097E-11</v>
      </c>
      <c r="AN25" s="50">
        <f t="shared" si="5"/>
        <v>2.0710031115413649E-11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-26512.862342169963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-4644.8701236979086</v>
      </c>
      <c r="L35" s="9">
        <f xml:space="preserve"> SUMIFS('FS Qtr'!$J35:$EA35, 'FS Qtr'!$J$4:$EA$4, 'FS Ann'!L$4)</f>
        <v>-4272.0391495333624</v>
      </c>
      <c r="M35" s="9">
        <f xml:space="preserve"> SUMIFS('FS Qtr'!$J35:$EA35, 'FS Qtr'!$J$4:$EA$4, 'FS Ann'!M$4)</f>
        <v>-3872.7876315096541</v>
      </c>
      <c r="N35" s="9">
        <f xml:space="preserve"> SUMIFS('FS Qtr'!$J35:$EA35, 'FS Qtr'!$J$4:$EA$4, 'FS Ann'!N$4)</f>
        <v>-3433.6886667026215</v>
      </c>
      <c r="O35" s="9">
        <f xml:space="preserve"> SUMIFS('FS Qtr'!$J35:$EA35, 'FS Qtr'!$J$4:$EA$4, 'FS Ann'!O$4)</f>
        <v>-2982.9218943964447</v>
      </c>
      <c r="P35" s="9">
        <f xml:space="preserve"> SUMIFS('FS Qtr'!$J35:$EA35, 'FS Qtr'!$J$4:$EA$4, 'FS Ann'!P$4)</f>
        <v>-2509.1606057186364</v>
      </c>
      <c r="Q35" s="9">
        <f xml:space="preserve"> SUMIFS('FS Qtr'!$J35:$EA35, 'FS Qtr'!$J$4:$EA$4, 'FS Ann'!Q$4)</f>
        <v>-2016.0372784669587</v>
      </c>
      <c r="R35" s="9">
        <f xml:space="preserve"> SUMIFS('FS Qtr'!$J35:$EA35, 'FS Qtr'!$J$4:$EA$4, 'FS Ann'!R$4)</f>
        <v>-1487.6124234987753</v>
      </c>
      <c r="S35" s="9">
        <f xml:space="preserve"> SUMIFS('FS Qtr'!$J35:$EA35, 'FS Qtr'!$J$4:$EA$4, 'FS Ann'!S$4)</f>
        <v>-936.83758572357328</v>
      </c>
      <c r="T35" s="9">
        <f xml:space="preserve"> SUMIFS('FS Qtr'!$J35:$EA35, 'FS Qtr'!$J$4:$EA$4, 'FS Ann'!T$4)</f>
        <v>-356.90698292234777</v>
      </c>
      <c r="U35" s="9">
        <f xml:space="preserve"> SUMIFS('FS Qtr'!$J35:$EA35, 'FS Qtr'!$J$4:$EA$4, 'FS Ann'!U$4)</f>
        <v>8.812176536588521E-12</v>
      </c>
      <c r="V35" s="9">
        <f xml:space="preserve"> SUMIFS('FS Qtr'!$J35:$EA35, 'FS Qtr'!$J$4:$EA$4, 'FS Ann'!V$4)</f>
        <v>9.3359755722748206E-12</v>
      </c>
      <c r="W35" s="9">
        <f xml:space="preserve"> SUMIFS('FS Qtr'!$J35:$EA35, 'FS Qtr'!$J$4:$EA$4, 'FS Ann'!W$4)</f>
        <v>9.9170016759524387E-12</v>
      </c>
      <c r="X35" s="9">
        <f xml:space="preserve"> SUMIFS('FS Qtr'!$J35:$EA35, 'FS Qtr'!$J$4:$EA$4, 'FS Ann'!X$4)</f>
        <v>1.0534188042747856E-11</v>
      </c>
      <c r="Y35" s="9">
        <f xml:space="preserve"> SUMIFS('FS Qtr'!$J35:$EA35, 'FS Qtr'!$J$4:$EA$4, 'FS Ann'!Y$4)</f>
        <v>1.122114606207786E-11</v>
      </c>
      <c r="Z35" s="9">
        <f xml:space="preserve"> SUMIFS('FS Qtr'!$J35:$EA35, 'FS Qtr'!$J$4:$EA$4, 'FS Ann'!Z$4)</f>
        <v>1.1888135138182655E-11</v>
      </c>
      <c r="AA35" s="9">
        <f xml:space="preserve"> SUMIFS('FS Qtr'!$J35:$EA35, 'FS Qtr'!$J$4:$EA$4, 'FS Ann'!AA$4)</f>
        <v>1.2627995347312168E-11</v>
      </c>
      <c r="AB35" s="9">
        <f xml:space="preserve"> SUMIFS('FS Qtr'!$J35:$EA35, 'FS Qtr'!$J$4:$EA$4, 'FS Ann'!AB$4)</f>
        <v>1.3413900888421044E-11</v>
      </c>
      <c r="AC35" s="9">
        <f xml:space="preserve"> SUMIFS('FS Qtr'!$J35:$EA35, 'FS Qtr'!$J$4:$EA$4, 'FS Ann'!AC$4)</f>
        <v>1.428865143857308E-11</v>
      </c>
      <c r="AD35" s="9">
        <f xml:space="preserve"> SUMIFS('FS Qtr'!$J35:$EA35, 'FS Qtr'!$J$4:$EA$4, 'FS Ann'!AD$4)</f>
        <v>1.5137974169876382E-11</v>
      </c>
      <c r="AE35" s="9">
        <f xml:space="preserve"> SUMIFS('FS Qtr'!$J35:$EA35, 'FS Qtr'!$J$4:$EA$4, 'FS Ann'!AE$4)</f>
        <v>1.6080088690357349E-11</v>
      </c>
      <c r="AF35" s="9">
        <f xml:space="preserve"> SUMIFS('FS Qtr'!$J35:$EA35, 'FS Qtr'!$J$4:$EA$4, 'FS Ann'!AF$4)</f>
        <v>1.7080835875932125E-11</v>
      </c>
      <c r="AG35" s="9">
        <f xml:space="preserve"> SUMIFS('FS Qtr'!$J35:$EA35, 'FS Qtr'!$J$4:$EA$4, 'FS Ann'!AG$4)</f>
        <v>1.8194715477683613E-11</v>
      </c>
      <c r="AH35" s="9">
        <f xml:space="preserve"> SUMIFS('FS Qtr'!$J35:$EA35, 'FS Qtr'!$J$4:$EA$4, 'FS Ann'!AH$4)</f>
        <v>1.9276216101533661E-11</v>
      </c>
      <c r="AI35" s="9">
        <f xml:space="preserve"> SUMIFS('FS Qtr'!$J35:$EA35, 'FS Qtr'!$J$4:$EA$4, 'FS Ann'!AI$4)</f>
        <v>2.0475874846184046E-11</v>
      </c>
      <c r="AJ35" s="9">
        <f xml:space="preserve"> SUMIFS('FS Qtr'!$J35:$EA35, 'FS Qtr'!$J$4:$EA$4, 'FS Ann'!AJ$4)</f>
        <v>2.1750194566621148E-11</v>
      </c>
      <c r="AK35" s="9">
        <f xml:space="preserve"> SUMIFS('FS Qtr'!$J35:$EA35, 'FS Qtr'!$J$4:$EA$4, 'FS Ann'!AK$4)</f>
        <v>2.3168573517034372E-11</v>
      </c>
      <c r="AL35" s="9">
        <f xml:space="preserve"> SUMIFS('FS Qtr'!$J35:$EA35, 'FS Qtr'!$J$4:$EA$4, 'FS Ann'!AL$4)</f>
        <v>2.454572210411294E-11</v>
      </c>
      <c r="AM35" s="9">
        <f xml:space="preserve"> SUMIFS('FS Qtr'!$J35:$EA35, 'FS Qtr'!$J$4:$EA$4, 'FS Ann'!AM$4)</f>
        <v>2.6073329494010097E-11</v>
      </c>
      <c r="AN35" s="9">
        <f xml:space="preserve"> SUMIFS('FS Qtr'!$J35:$EA35, 'FS Qtr'!$J$4:$EA$4, 'FS Ann'!AN$4)</f>
        <v>2.0710031115413649E-11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-78175.932587748583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-5156.9630773036934</v>
      </c>
      <c r="L36" s="9">
        <f xml:space="preserve"> SUMIFS('FS Qtr'!$J36:$EA36, 'FS Qtr'!$J$4:$EA$4, 'FS Ann'!L$4)</f>
        <v>-6608.9632810510802</v>
      </c>
      <c r="M36" s="9">
        <f xml:space="preserve"> SUMIFS('FS Qtr'!$J36:$EA36, 'FS Qtr'!$J$4:$EA$4, 'FS Ann'!M$4)</f>
        <v>-6936.6931374154337</v>
      </c>
      <c r="N36" s="9">
        <f xml:space="preserve"> SUMIFS('FS Qtr'!$J36:$EA36, 'FS Qtr'!$J$4:$EA$4, 'FS Ann'!N$4)</f>
        <v>-7266.5565117964761</v>
      </c>
      <c r="O36" s="9">
        <f xml:space="preserve"> SUMIFS('FS Qtr'!$J36:$EA36, 'FS Qtr'!$J$4:$EA$4, 'FS Ann'!O$4)</f>
        <v>-7645.4216486875466</v>
      </c>
      <c r="P36" s="9">
        <f xml:space="preserve"> SUMIFS('FS Qtr'!$J36:$EA36, 'FS Qtr'!$J$4:$EA$4, 'FS Ann'!P$4)</f>
        <v>-8034.5644419314867</v>
      </c>
      <c r="Q36" s="9">
        <f xml:space="preserve"> SUMIFS('FS Qtr'!$J36:$EA36, 'FS Qtr'!$J$4:$EA$4, 'FS Ann'!Q$4)</f>
        <v>-8454.9980631466879</v>
      </c>
      <c r="R36" s="9">
        <f xml:space="preserve"> SUMIFS('FS Qtr'!$J36:$EA36, 'FS Qtr'!$J$4:$EA$4, 'FS Ann'!R$4)</f>
        <v>-8874.060591992531</v>
      </c>
      <c r="S36" s="9">
        <f xml:space="preserve"> SUMIFS('FS Qtr'!$J36:$EA36, 'FS Qtr'!$J$4:$EA$4, 'FS Ann'!S$4)</f>
        <v>-9351.672895185613</v>
      </c>
      <c r="T36" s="9">
        <f xml:space="preserve"> SUMIFS('FS Qtr'!$J36:$EA36, 'FS Qtr'!$J$4:$EA$4, 'FS Ann'!T$4)</f>
        <v>-9846.0389392377147</v>
      </c>
      <c r="U36" s="9">
        <f xml:space="preserve"> SUMIFS('FS Qtr'!$J36:$EA36, 'FS Qtr'!$J$4:$EA$4, 'FS Ann'!U$4)</f>
        <v>-8.812176536588521E-12</v>
      </c>
      <c r="V36" s="9">
        <f xml:space="preserve"> SUMIFS('FS Qtr'!$J36:$EA36, 'FS Qtr'!$J$4:$EA$4, 'FS Ann'!V$4)</f>
        <v>-9.3359755722748206E-12</v>
      </c>
      <c r="W36" s="9">
        <f xml:space="preserve"> SUMIFS('FS Qtr'!$J36:$EA36, 'FS Qtr'!$J$4:$EA$4, 'FS Ann'!W$4)</f>
        <v>-9.9170016759524387E-12</v>
      </c>
      <c r="X36" s="9">
        <f xml:space="preserve"> SUMIFS('FS Qtr'!$J36:$EA36, 'FS Qtr'!$J$4:$EA$4, 'FS Ann'!X$4)</f>
        <v>-1.0534188042747856E-11</v>
      </c>
      <c r="Y36" s="9">
        <f xml:space="preserve"> SUMIFS('FS Qtr'!$J36:$EA36, 'FS Qtr'!$J$4:$EA$4, 'FS Ann'!Y$4)</f>
        <v>-1.122114606207786E-11</v>
      </c>
      <c r="Z36" s="9">
        <f xml:space="preserve"> SUMIFS('FS Qtr'!$J36:$EA36, 'FS Qtr'!$J$4:$EA$4, 'FS Ann'!Z$4)</f>
        <v>-1.1888135138182655E-11</v>
      </c>
      <c r="AA36" s="9">
        <f xml:space="preserve"> SUMIFS('FS Qtr'!$J36:$EA36, 'FS Qtr'!$J$4:$EA$4, 'FS Ann'!AA$4)</f>
        <v>-1.2627995347312168E-11</v>
      </c>
      <c r="AB36" s="9">
        <f xml:space="preserve"> SUMIFS('FS Qtr'!$J36:$EA36, 'FS Qtr'!$J$4:$EA$4, 'FS Ann'!AB$4)</f>
        <v>-1.3413900888421044E-11</v>
      </c>
      <c r="AC36" s="9">
        <f xml:space="preserve"> SUMIFS('FS Qtr'!$J36:$EA36, 'FS Qtr'!$J$4:$EA$4, 'FS Ann'!AC$4)</f>
        <v>-1.428865143857308E-11</v>
      </c>
      <c r="AD36" s="9">
        <f xml:space="preserve"> SUMIFS('FS Qtr'!$J36:$EA36, 'FS Qtr'!$J$4:$EA$4, 'FS Ann'!AD$4)</f>
        <v>-1.5137974169876382E-11</v>
      </c>
      <c r="AE36" s="9">
        <f xml:space="preserve"> SUMIFS('FS Qtr'!$J36:$EA36, 'FS Qtr'!$J$4:$EA$4, 'FS Ann'!AE$4)</f>
        <v>-1.6080088690357349E-11</v>
      </c>
      <c r="AF36" s="9">
        <f xml:space="preserve"> SUMIFS('FS Qtr'!$J36:$EA36, 'FS Qtr'!$J$4:$EA$4, 'FS Ann'!AF$4)</f>
        <v>-1.7080835875932125E-11</v>
      </c>
      <c r="AG36" s="9">
        <f xml:space="preserve"> SUMIFS('FS Qtr'!$J36:$EA36, 'FS Qtr'!$J$4:$EA$4, 'FS Ann'!AG$4)</f>
        <v>-1.8194715477683613E-11</v>
      </c>
      <c r="AH36" s="9">
        <f xml:space="preserve"> SUMIFS('FS Qtr'!$J36:$EA36, 'FS Qtr'!$J$4:$EA$4, 'FS Ann'!AH$4)</f>
        <v>-1.9276216101533661E-11</v>
      </c>
      <c r="AI36" s="9">
        <f xml:space="preserve"> SUMIFS('FS Qtr'!$J36:$EA36, 'FS Qtr'!$J$4:$EA$4, 'FS Ann'!AI$4)</f>
        <v>-2.0475874846184046E-11</v>
      </c>
      <c r="AJ36" s="9">
        <f xml:space="preserve"> SUMIFS('FS Qtr'!$J36:$EA36, 'FS Qtr'!$J$4:$EA$4, 'FS Ann'!AJ$4)</f>
        <v>-2.1750194566621148E-11</v>
      </c>
      <c r="AK36" s="9">
        <f xml:space="preserve"> SUMIFS('FS Qtr'!$J36:$EA36, 'FS Qtr'!$J$4:$EA$4, 'FS Ann'!AK$4)</f>
        <v>-2.3168573517034372E-11</v>
      </c>
      <c r="AL36" s="9">
        <f xml:space="preserve"> SUMIFS('FS Qtr'!$J36:$EA36, 'FS Qtr'!$J$4:$EA$4, 'FS Ann'!AL$4)</f>
        <v>-2.454572210411294E-11</v>
      </c>
      <c r="AM36" s="9">
        <f xml:space="preserve"> SUMIFS('FS Qtr'!$J36:$EA36, 'FS Qtr'!$J$4:$EA$4, 'FS Ann'!AM$4)</f>
        <v>-2.6073329494010097E-11</v>
      </c>
      <c r="AN36" s="9">
        <f xml:space="preserve"> SUMIFS('FS Qtr'!$J36:$EA36, 'FS Qtr'!$J$4:$EA$4, 'FS Ann'!AN$4)</f>
        <v>-2.0710031115413649E-11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217978.24629738982</v>
      </c>
      <c r="I37" s="50"/>
      <c r="J37" s="50">
        <f t="shared" ref="J37:AN37" si="7" xml:space="preserve"> J33 + SUM(J35:J36)</f>
        <v>0</v>
      </c>
      <c r="K37" s="50">
        <f t="shared" si="7"/>
        <v>2940.5499603004828</v>
      </c>
      <c r="L37" s="50">
        <f t="shared" si="7"/>
        <v>3264.3007291753347</v>
      </c>
      <c r="M37" s="50">
        <f t="shared" si="7"/>
        <v>3242.8442306775287</v>
      </c>
      <c r="N37" s="50">
        <f t="shared" si="7"/>
        <v>3210.0735535497315</v>
      </c>
      <c r="O37" s="50">
        <f t="shared" si="7"/>
        <v>3188.5030629252014</v>
      </c>
      <c r="P37" s="50">
        <f t="shared" si="7"/>
        <v>3163.1175142950378</v>
      </c>
      <c r="Q37" s="50">
        <f t="shared" si="7"/>
        <v>3141.3106024840945</v>
      </c>
      <c r="R37" s="50">
        <f t="shared" si="7"/>
        <v>3108.5019046473917</v>
      </c>
      <c r="S37" s="50">
        <f t="shared" si="7"/>
        <v>3086.5531442727588</v>
      </c>
      <c r="T37" s="50">
        <f t="shared" si="7"/>
        <v>3060.8837766480174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217978.24629738982</v>
      </c>
      <c r="I41" s="50"/>
      <c r="J41" s="50">
        <f t="shared" ref="J41:AN41" si="8" xml:space="preserve"> J37 + SUM(J39:J40)</f>
        <v>0</v>
      </c>
      <c r="K41" s="50">
        <f t="shared" si="8"/>
        <v>2940.5499603004828</v>
      </c>
      <c r="L41" s="50">
        <f t="shared" si="8"/>
        <v>3264.3007291753347</v>
      </c>
      <c r="M41" s="50">
        <f t="shared" si="8"/>
        <v>3242.8442306775287</v>
      </c>
      <c r="N41" s="50">
        <f t="shared" si="8"/>
        <v>3210.0735535497315</v>
      </c>
      <c r="O41" s="50">
        <f t="shared" si="8"/>
        <v>3188.5030629252014</v>
      </c>
      <c r="P41" s="50">
        <f t="shared" si="8"/>
        <v>3163.1175142950378</v>
      </c>
      <c r="Q41" s="50">
        <f t="shared" si="8"/>
        <v>3141.3106024840945</v>
      </c>
      <c r="R41" s="50">
        <f t="shared" si="8"/>
        <v>3108.5019046473917</v>
      </c>
      <c r="S41" s="50">
        <f t="shared" si="8"/>
        <v>3086.5531442727588</v>
      </c>
      <c r="T41" s="50">
        <f t="shared" si="8"/>
        <v>3060.8837766480174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217978.24629738982</v>
      </c>
      <c r="I46" s="50"/>
      <c r="J46" s="50">
        <f t="shared" ref="J46:AN46" si="9" xml:space="preserve"> J41 + SUM(J43:J45)</f>
        <v>0</v>
      </c>
      <c r="K46" s="50">
        <f t="shared" si="9"/>
        <v>2940.5499603004828</v>
      </c>
      <c r="L46" s="50">
        <f t="shared" si="9"/>
        <v>3264.3007291753347</v>
      </c>
      <c r="M46" s="50">
        <f t="shared" si="9"/>
        <v>3242.8442306775287</v>
      </c>
      <c r="N46" s="50">
        <f t="shared" si="9"/>
        <v>3210.0735535497315</v>
      </c>
      <c r="O46" s="50">
        <f t="shared" si="9"/>
        <v>3188.5030629252014</v>
      </c>
      <c r="P46" s="50">
        <f t="shared" si="9"/>
        <v>3163.1175142950378</v>
      </c>
      <c r="Q46" s="50">
        <f t="shared" si="9"/>
        <v>3141.3106024840945</v>
      </c>
      <c r="R46" s="50">
        <f t="shared" si="9"/>
        <v>3108.5019046473917</v>
      </c>
      <c r="S46" s="50">
        <f t="shared" si="9"/>
        <v>3086.5531442727588</v>
      </c>
      <c r="T46" s="50">
        <f t="shared" si="9"/>
        <v>3060.8837766480174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-21824.067412251883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-21824.067412251883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196154.17888513792</v>
      </c>
      <c r="I49" s="50"/>
      <c r="J49" s="50">
        <f t="shared" ref="J49:AN49" si="10" xml:space="preserve"> J46 + J48</f>
        <v>0</v>
      </c>
      <c r="K49" s="50">
        <f t="shared" si="10"/>
        <v>2940.5499603004828</v>
      </c>
      <c r="L49" s="50">
        <f t="shared" si="10"/>
        <v>3264.3007291753347</v>
      </c>
      <c r="M49" s="50">
        <f t="shared" si="10"/>
        <v>3242.8442306775287</v>
      </c>
      <c r="N49" s="50">
        <f t="shared" si="10"/>
        <v>3210.0735535497315</v>
      </c>
      <c r="O49" s="50">
        <f t="shared" si="10"/>
        <v>3188.5030629252014</v>
      </c>
      <c r="P49" s="50">
        <f t="shared" si="10"/>
        <v>3163.1175142950378</v>
      </c>
      <c r="Q49" s="50">
        <f t="shared" si="10"/>
        <v>3141.3106024840945</v>
      </c>
      <c r="R49" s="50">
        <f t="shared" si="10"/>
        <v>3108.5019046473917</v>
      </c>
      <c r="S49" s="50">
        <f t="shared" si="10"/>
        <v>3086.5531442727588</v>
      </c>
      <c r="T49" s="50">
        <f t="shared" si="10"/>
        <v>3060.8837766480174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-10280.1433233233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-196154.17888513798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-2940.549960300481</v>
      </c>
      <c r="L51" s="9">
        <f xml:space="preserve"> SUMIFS('FS Qtr'!$J52:$EA52, 'FS Qtr'!$J$4:$EA$4, 'FS Ann'!L$4)</f>
        <v>-3264.3007291753338</v>
      </c>
      <c r="M51" s="9">
        <f xml:space="preserve"> SUMIFS('FS Qtr'!$J52:$EA52, 'FS Qtr'!$J$4:$EA$4, 'FS Ann'!M$4)</f>
        <v>-3242.8442306775269</v>
      </c>
      <c r="N51" s="9">
        <f xml:space="preserve"> SUMIFS('FS Qtr'!$J52:$EA52, 'FS Qtr'!$J$4:$EA$4, 'FS Ann'!N$4)</f>
        <v>-3210.0735535497306</v>
      </c>
      <c r="O51" s="9">
        <f xml:space="preserve"> SUMIFS('FS Qtr'!$J52:$EA52, 'FS Qtr'!$J$4:$EA$4, 'FS Ann'!O$4)</f>
        <v>-3188.5030629251987</v>
      </c>
      <c r="P51" s="9">
        <f xml:space="preserve"> SUMIFS('FS Qtr'!$J52:$EA52, 'FS Qtr'!$J$4:$EA$4, 'FS Ann'!P$4)</f>
        <v>-3163.1175142950378</v>
      </c>
      <c r="Q51" s="9">
        <f xml:space="preserve"> SUMIFS('FS Qtr'!$J52:$EA52, 'FS Qtr'!$J$4:$EA$4, 'FS Ann'!Q$4)</f>
        <v>-3141.3106024840949</v>
      </c>
      <c r="R51" s="9">
        <f xml:space="preserve"> SUMIFS('FS Qtr'!$J52:$EA52, 'FS Qtr'!$J$4:$EA$4, 'FS Ann'!R$4)</f>
        <v>-3108.5019046473917</v>
      </c>
      <c r="S51" s="9">
        <f xml:space="preserve"> SUMIFS('FS Qtr'!$J52:$EA52, 'FS Qtr'!$J$4:$EA$4, 'FS Ann'!S$4)</f>
        <v>-3086.553144272757</v>
      </c>
      <c r="T51" s="9">
        <f xml:space="preserve"> SUMIFS('FS Qtr'!$J52:$EA52, 'FS Qtr'!$J$4:$EA$4, 'FS Ann'!T$4)</f>
        <v>-3060.8837766480192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-12360.045115561261</v>
      </c>
      <c r="AC51" s="9">
        <f xml:space="preserve"> SUMIFS('FS Qtr'!$J52:$EA52, 'FS Qtr'!$J$4:$EA$4, 'FS Ann'!AC$4)</f>
        <v>-12259.426337286519</v>
      </c>
      <c r="AD51" s="9">
        <f xml:space="preserve"> SUMIFS('FS Qtr'!$J52:$EA52, 'FS Qtr'!$J$4:$EA$4, 'FS Ann'!AD$4)</f>
        <v>-11586.406221061054</v>
      </c>
      <c r="AE51" s="9">
        <f xml:space="preserve"> SUMIFS('FS Qtr'!$J52:$EA52, 'FS Qtr'!$J$4:$EA$4, 'FS Ann'!AE$4)</f>
        <v>-8002.4622597089565</v>
      </c>
      <c r="AF51" s="9">
        <f xml:space="preserve"> SUMIFS('FS Qtr'!$J52:$EA52, 'FS Qtr'!$J$4:$EA$4, 'FS Ann'!AF$4)</f>
        <v>-7885.8743591804978</v>
      </c>
      <c r="AG51" s="9">
        <f xml:space="preserve"> SUMIFS('FS Qtr'!$J52:$EA52, 'FS Qtr'!$J$4:$EA$4, 'FS Ann'!AG$4)</f>
        <v>-7768.7204552029762</v>
      </c>
      <c r="AH51" s="9">
        <f xml:space="preserve"> SUMIFS('FS Qtr'!$J52:$EA52, 'FS Qtr'!$J$4:$EA$4, 'FS Ann'!AH$4)</f>
        <v>-7650.9802703786954</v>
      </c>
      <c r="AI51" s="9">
        <f xml:space="preserve"> SUMIFS('FS Qtr'!$J52:$EA52, 'FS Qtr'!$J$4:$EA$4, 'FS Ann'!AI$4)</f>
        <v>-6982.5729109799076</v>
      </c>
      <c r="AJ51" s="9">
        <f xml:space="preserve"> SUMIFS('FS Qtr'!$J52:$EA52, 'FS Qtr'!$J$4:$EA$4, 'FS Ann'!AJ$4)</f>
        <v>-550.06025187001023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-1.0913936421275139E-11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528.83002237149776</v>
      </c>
      <c r="AE52" s="50">
        <f t="shared" si="11"/>
        <v>4011.1246781117134</v>
      </c>
      <c r="AF52" s="50">
        <f t="shared" si="11"/>
        <v>4011.1636501243302</v>
      </c>
      <c r="AG52" s="50">
        <f t="shared" si="11"/>
        <v>4025.0696555491377</v>
      </c>
      <c r="AH52" s="50">
        <f t="shared" si="11"/>
        <v>3997.3814172550628</v>
      </c>
      <c r="AI52" s="50">
        <f t="shared" si="11"/>
        <v>-17262.716234303207</v>
      </c>
      <c r="AJ52" s="50">
        <f t="shared" si="11"/>
        <v>689.14681089145597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528.83002237149753</v>
      </c>
      <c r="AF63" s="9">
        <f xml:space="preserve"> SUMIFS( 'FS Qtr'!$J63:$EA63, 'FS Qtr'!$J$2:$EA$2, 'FS Ann'!AF$2)</f>
        <v>4539.9547004832148</v>
      </c>
      <c r="AG63" s="9">
        <f xml:space="preserve"> SUMIFS( 'FS Qtr'!$J63:$EA63, 'FS Qtr'!$J$2:$EA$2, 'FS Ann'!AG$2)</f>
        <v>8551.1183506075449</v>
      </c>
      <c r="AH63" s="9">
        <f xml:space="preserve"> SUMIFS( 'FS Qtr'!$J63:$EA63, 'FS Qtr'!$J$2:$EA$2, 'FS Ann'!AH$2)</f>
        <v>12576.188006156686</v>
      </c>
      <c r="AI63" s="9">
        <f xml:space="preserve"> SUMIFS( 'FS Qtr'!$J63:$EA63, 'FS Qtr'!$J$2:$EA$2, 'FS Ann'!AI$2)</f>
        <v>16573.569423411751</v>
      </c>
      <c r="AJ63" s="9">
        <f xml:space="preserve"> SUMIFS( 'FS Qtr'!$J63:$EA63, 'FS Qtr'!$J$2:$EA$2, 'FS Ann'!AJ$2)</f>
        <v>-689.14681089145597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1496.3820462114209</v>
      </c>
      <c r="AD65" s="50">
        <f t="shared" si="13"/>
        <v>1472.5754104097964</v>
      </c>
      <c r="AE65" s="50">
        <f t="shared" si="13"/>
        <v>2010.3597332315469</v>
      </c>
      <c r="AF65" s="50">
        <f t="shared" si="13"/>
        <v>6014.1136167618706</v>
      </c>
      <c r="AG65" s="50">
        <f t="shared" si="13"/>
        <v>10017.943142924616</v>
      </c>
      <c r="AH65" s="50">
        <f t="shared" si="13"/>
        <v>14019.676402729168</v>
      </c>
      <c r="AI65" s="50">
        <f t="shared" si="13"/>
        <v>18025.835250809163</v>
      </c>
      <c r="AJ65" s="50">
        <f t="shared" si="13"/>
        <v>755.89381338457633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97628.791666666672</v>
      </c>
      <c r="M67" s="50">
        <f t="shared" si="14"/>
        <v>93620.688225538965</v>
      </c>
      <c r="N67" s="50">
        <f t="shared" si="14"/>
        <v>89594.903945093291</v>
      </c>
      <c r="O67" s="50">
        <f t="shared" si="14"/>
        <v>85604.60208959083</v>
      </c>
      <c r="P67" s="50">
        <f t="shared" si="14"/>
        <v>81596.618994617733</v>
      </c>
      <c r="Q67" s="50">
        <f t="shared" si="14"/>
        <v>77588.675616535067</v>
      </c>
      <c r="R67" s="50">
        <f t="shared" si="14"/>
        <v>73563.40063952934</v>
      </c>
      <c r="S67" s="50">
        <f t="shared" si="14"/>
        <v>69572.907221638132</v>
      </c>
      <c r="T67" s="50">
        <f t="shared" si="14"/>
        <v>65565.081812575256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29496.38204621142</v>
      </c>
      <c r="AD67" s="50">
        <f t="shared" si="14"/>
        <v>25472.575410409798</v>
      </c>
      <c r="AE67" s="50">
        <f t="shared" si="14"/>
        <v>22010.359733231548</v>
      </c>
      <c r="AF67" s="50">
        <f t="shared" si="14"/>
        <v>22014.113616761872</v>
      </c>
      <c r="AG67" s="50">
        <f t="shared" si="14"/>
        <v>22017.943142924618</v>
      </c>
      <c r="AH67" s="50">
        <f t="shared" si="14"/>
        <v>22019.676402729168</v>
      </c>
      <c r="AI67" s="50">
        <f t="shared" si="14"/>
        <v>22025.835250809163</v>
      </c>
      <c r="AJ67" s="50">
        <f t="shared" si="14"/>
        <v>755.89381338457633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78175.932587748117</v>
      </c>
      <c r="L70" s="9">
        <f xml:space="preserve"> SUMIFS( 'FS Qtr'!$J70:$EA70, 'FS Qtr'!$J$2:$EA$2, 'FS Ann'!L$2)</f>
        <v>73018.969510444425</v>
      </c>
      <c r="M70" s="9">
        <f xml:space="preserve"> SUMIFS( 'FS Qtr'!$J70:$EA70, 'FS Qtr'!$J$2:$EA$2, 'FS Ann'!M$2)</f>
        <v>66410.006229393344</v>
      </c>
      <c r="N70" s="9">
        <f xml:space="preserve"> SUMIFS( 'FS Qtr'!$J70:$EA70, 'FS Qtr'!$J$2:$EA$2, 'FS Ann'!N$2)</f>
        <v>59473.313091977907</v>
      </c>
      <c r="O70" s="9">
        <f xml:space="preserve"> SUMIFS( 'FS Qtr'!$J70:$EA70, 'FS Qtr'!$J$2:$EA$2, 'FS Ann'!O$2)</f>
        <v>52206.756580181434</v>
      </c>
      <c r="P70" s="9">
        <f xml:space="preserve"> SUMIFS( 'FS Qtr'!$J70:$EA70, 'FS Qtr'!$J$2:$EA$2, 'FS Ann'!P$2)</f>
        <v>44561.334931493882</v>
      </c>
      <c r="Q70" s="9">
        <f xml:space="preserve"> SUMIFS( 'FS Qtr'!$J70:$EA70, 'FS Qtr'!$J$2:$EA$2, 'FS Ann'!Q$2)</f>
        <v>36526.770489562405</v>
      </c>
      <c r="R70" s="9">
        <f xml:space="preserve"> SUMIFS( 'FS Qtr'!$J70:$EA70, 'FS Qtr'!$J$2:$EA$2, 'FS Ann'!R$2)</f>
        <v>28071.772426415719</v>
      </c>
      <c r="S70" s="9">
        <f xml:space="preserve"> SUMIFS( 'FS Qtr'!$J70:$EA70, 'FS Qtr'!$J$2:$EA$2, 'FS Ann'!S$2)</f>
        <v>19197.711834423186</v>
      </c>
      <c r="T70" s="9">
        <f xml:space="preserve"> SUMIFS( 'FS Qtr'!$J70:$EA70, 'FS Qtr'!$J$2:$EA$2, 'FS Ann'!T$2)</f>
        <v>9846.0389392375728</v>
      </c>
      <c r="U70" s="9">
        <f xml:space="preserve"> SUMIFS( 'FS Qtr'!$J70:$EA70, 'FS Qtr'!$J$2:$EA$2, 'FS Ann'!U$2)</f>
        <v>-1.4119905245024711E-10</v>
      </c>
      <c r="V70" s="9">
        <f xml:space="preserve"> SUMIFS( 'FS Qtr'!$J70:$EA70, 'FS Qtr'!$J$2:$EA$2, 'FS Ann'!V$2)</f>
        <v>-1.5001122898683564E-10</v>
      </c>
      <c r="W70" s="9">
        <f xml:space="preserve"> SUMIFS( 'FS Qtr'!$J70:$EA70, 'FS Qtr'!$J$2:$EA$2, 'FS Ann'!W$2)</f>
        <v>-1.5934720455911044E-10</v>
      </c>
      <c r="X70" s="9">
        <f xml:space="preserve"> SUMIFS( 'FS Qtr'!$J70:$EA70, 'FS Qtr'!$J$2:$EA$2, 'FS Ann'!X$2)</f>
        <v>-1.6926420623506289E-10</v>
      </c>
      <c r="Y70" s="9">
        <f xml:space="preserve"> SUMIFS( 'FS Qtr'!$J70:$EA70, 'FS Qtr'!$J$2:$EA$2, 'FS Ann'!Y$2)</f>
        <v>-1.7979839427781076E-10</v>
      </c>
      <c r="Z70" s="9">
        <f xml:space="preserve"> SUMIFS( 'FS Qtr'!$J70:$EA70, 'FS Qtr'!$J$2:$EA$2, 'FS Ann'!Z$2)</f>
        <v>-1.9101954033988864E-10</v>
      </c>
      <c r="AA70" s="9">
        <f xml:space="preserve"> SUMIFS( 'FS Qtr'!$J70:$EA70, 'FS Qtr'!$J$2:$EA$2, 'FS Ann'!AA$2)</f>
        <v>-2.0290767547807132E-10</v>
      </c>
      <c r="AB70" s="9">
        <f xml:space="preserve"> SUMIFS( 'FS Qtr'!$J70:$EA70, 'FS Qtr'!$J$2:$EA$2, 'FS Ann'!AB$2)</f>
        <v>-2.1553567082538349E-10</v>
      </c>
      <c r="AC70" s="9">
        <f xml:space="preserve"> SUMIFS( 'FS Qtr'!$J70:$EA70, 'FS Qtr'!$J$2:$EA$2, 'FS Ann'!AC$2)</f>
        <v>-2.2894957171380456E-10</v>
      </c>
      <c r="AD70" s="9">
        <f xml:space="preserve"> SUMIFS( 'FS Qtr'!$J70:$EA70, 'FS Qtr'!$J$2:$EA$2, 'FS Ann'!AD$2)</f>
        <v>-2.4323822315237762E-10</v>
      </c>
      <c r="AE70" s="9">
        <f xml:space="preserve"> SUMIFS( 'FS Qtr'!$J70:$EA70, 'FS Qtr'!$J$2:$EA$2, 'FS Ann'!AE$2)</f>
        <v>-2.5837619732225399E-10</v>
      </c>
      <c r="AF70" s="9">
        <f xml:space="preserve"> SUMIFS( 'FS Qtr'!$J70:$EA70, 'FS Qtr'!$J$2:$EA$2, 'FS Ann'!AF$2)</f>
        <v>-2.7445628601261134E-10</v>
      </c>
      <c r="AG70" s="9">
        <f xml:space="preserve"> SUMIFS( 'FS Qtr'!$J70:$EA70, 'FS Qtr'!$J$2:$EA$2, 'FS Ann'!AG$2)</f>
        <v>-2.915371218885435E-10</v>
      </c>
      <c r="AH70" s="9">
        <f xml:space="preserve"> SUMIFS( 'FS Qtr'!$J70:$EA70, 'FS Qtr'!$J$2:$EA$2, 'FS Ann'!AH$2)</f>
        <v>-3.0973183736622715E-10</v>
      </c>
      <c r="AI70" s="9">
        <f xml:space="preserve"> SUMIFS( 'FS Qtr'!$J70:$EA70, 'FS Qtr'!$J$2:$EA$2, 'FS Ann'!AI$2)</f>
        <v>-3.2900805346776078E-10</v>
      </c>
      <c r="AJ70" s="9">
        <f xml:space="preserve"> SUMIFS( 'FS Qtr'!$J70:$EA70, 'FS Qtr'!$J$2:$EA$2, 'FS Ann'!AJ$2)</f>
        <v>-3.4948392831394478E-10</v>
      </c>
      <c r="AK70" s="9">
        <f xml:space="preserve"> SUMIFS( 'FS Qtr'!$J70:$EA70, 'FS Qtr'!$J$2:$EA$2, 'FS Ann'!AK$2)</f>
        <v>-3.7123412288056593E-10</v>
      </c>
      <c r="AL70" s="9">
        <f xml:space="preserve"> SUMIFS( 'FS Qtr'!$J70:$EA70, 'FS Qtr'!$J$2:$EA$2, 'FS Ann'!AL$2)</f>
        <v>-3.9440269639760034E-10</v>
      </c>
      <c r="AM70" s="9">
        <f xml:space="preserve"> SUMIFS( 'FS Qtr'!$J70:$EA70, 'FS Qtr'!$J$2:$EA$2, 'FS Ann'!AM$2)</f>
        <v>-4.1894841850171331E-10</v>
      </c>
      <c r="AN70" s="9">
        <f xml:space="preserve"> SUMIFS( 'FS Qtr'!$J70:$EA70, 'FS Qtr'!$J$2:$EA$2, 'FS Ann'!AN$2)</f>
        <v>-4.450217479957234E-10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21824.067412251883</v>
      </c>
      <c r="L73" s="9">
        <f xml:space="preserve"> SUMIFS( 'FS Qtr'!$J73:$EA73, 'FS Qtr'!$J$2:$EA$2, 'FS Ann'!L$2)</f>
        <v>21824.067412251883</v>
      </c>
      <c r="M73" s="9">
        <f xml:space="preserve"> SUMIFS( 'FS Qtr'!$J73:$EA73, 'FS Qtr'!$J$2:$EA$2, 'FS Ann'!M$2)</f>
        <v>21824.067412251883</v>
      </c>
      <c r="N73" s="9">
        <f xml:space="preserve"> SUMIFS( 'FS Qtr'!$J73:$EA73, 'FS Qtr'!$J$2:$EA$2, 'FS Ann'!N$2)</f>
        <v>21824.067412251883</v>
      </c>
      <c r="O73" s="9">
        <f xml:space="preserve"> SUMIFS( 'FS Qtr'!$J73:$EA73, 'FS Qtr'!$J$2:$EA$2, 'FS Ann'!O$2)</f>
        <v>21824.067412251883</v>
      </c>
      <c r="P73" s="9">
        <f xml:space="preserve"> SUMIFS( 'FS Qtr'!$J73:$EA73, 'FS Qtr'!$J$2:$EA$2, 'FS Ann'!P$2)</f>
        <v>21824.067412251883</v>
      </c>
      <c r="Q73" s="9">
        <f xml:space="preserve"> SUMIFS( 'FS Qtr'!$J73:$EA73, 'FS Qtr'!$J$2:$EA$2, 'FS Ann'!Q$2)</f>
        <v>21824.067412251883</v>
      </c>
      <c r="R73" s="9">
        <f xml:space="preserve"> SUMIFS( 'FS Qtr'!$J73:$EA73, 'FS Qtr'!$J$2:$EA$2, 'FS Ann'!R$2)</f>
        <v>21824.067412251883</v>
      </c>
      <c r="S73" s="9">
        <f xml:space="preserve"> SUMIFS( 'FS Qtr'!$J73:$EA73, 'FS Qtr'!$J$2:$EA$2, 'FS Ann'!S$2)</f>
        <v>21824.067412251883</v>
      </c>
      <c r="T73" s="9">
        <f xml:space="preserve"> SUMIFS( 'FS Qtr'!$J73:$EA73, 'FS Qtr'!$J$2:$EA$2, 'FS Ann'!T$2)</f>
        <v>21824.067412251883</v>
      </c>
      <c r="U73" s="9">
        <f xml:space="preserve"> SUMIFS( 'FS Qtr'!$J73:$EA73, 'FS Qtr'!$J$2:$EA$2, 'FS Ann'!U$2)</f>
        <v>21824.067412251883</v>
      </c>
      <c r="V73" s="9">
        <f xml:space="preserve"> SUMIFS( 'FS Qtr'!$J73:$EA73, 'FS Qtr'!$J$2:$EA$2, 'FS Ann'!V$2)</f>
        <v>21824.067412251883</v>
      </c>
      <c r="W73" s="9">
        <f xml:space="preserve"> SUMIFS( 'FS Qtr'!$J73:$EA73, 'FS Qtr'!$J$2:$EA$2, 'FS Ann'!W$2)</f>
        <v>21824.067412251883</v>
      </c>
      <c r="X73" s="9">
        <f xml:space="preserve"> SUMIFS( 'FS Qtr'!$J73:$EA73, 'FS Qtr'!$J$2:$EA$2, 'FS Ann'!X$2)</f>
        <v>21824.067412251883</v>
      </c>
      <c r="Y73" s="9">
        <f xml:space="preserve"> SUMIFS( 'FS Qtr'!$J73:$EA73, 'FS Qtr'!$J$2:$EA$2, 'FS Ann'!Y$2)</f>
        <v>21824.067412251883</v>
      </c>
      <c r="Z73" s="9">
        <f xml:space="preserve"> SUMIFS( 'FS Qtr'!$J73:$EA73, 'FS Qtr'!$J$2:$EA$2, 'FS Ann'!Z$2)</f>
        <v>21824.067412251883</v>
      </c>
      <c r="AA73" s="9">
        <f xml:space="preserve"> SUMIFS( 'FS Qtr'!$J73:$EA73, 'FS Qtr'!$J$2:$EA$2, 'FS Ann'!AA$2)</f>
        <v>21824.067412251883</v>
      </c>
      <c r="AB73" s="9">
        <f xml:space="preserve"> SUMIFS( 'FS Qtr'!$J73:$EA73, 'FS Qtr'!$J$2:$EA$2, 'FS Ann'!AB$2)</f>
        <v>21824.067412251883</v>
      </c>
      <c r="AC73" s="9">
        <f xml:space="preserve"> SUMIFS( 'FS Qtr'!$J73:$EA73, 'FS Qtr'!$J$2:$EA$2, 'FS Ann'!AC$2)</f>
        <v>21824.067412251883</v>
      </c>
      <c r="AD73" s="9">
        <f xml:space="preserve"> SUMIFS( 'FS Qtr'!$J73:$EA73, 'FS Qtr'!$J$2:$EA$2, 'FS Ann'!AD$2)</f>
        <v>21824.067412251883</v>
      </c>
      <c r="AE73" s="9">
        <f xml:space="preserve"> SUMIFS( 'FS Qtr'!$J73:$EA73, 'FS Qtr'!$J$2:$EA$2, 'FS Ann'!AE$2)</f>
        <v>21824.067412251883</v>
      </c>
      <c r="AF73" s="9">
        <f xml:space="preserve"> SUMIFS( 'FS Qtr'!$J73:$EA73, 'FS Qtr'!$J$2:$EA$2, 'FS Ann'!AF$2)</f>
        <v>21824.067412251883</v>
      </c>
      <c r="AG73" s="9">
        <f xml:space="preserve"> SUMIFS( 'FS Qtr'!$J73:$EA73, 'FS Qtr'!$J$2:$EA$2, 'FS Ann'!AG$2)</f>
        <v>21824.067412251883</v>
      </c>
      <c r="AH73" s="9">
        <f xml:space="preserve"> SUMIFS( 'FS Qtr'!$J73:$EA73, 'FS Qtr'!$J$2:$EA$2, 'FS Ann'!AH$2)</f>
        <v>21824.067412251883</v>
      </c>
      <c r="AI73" s="9">
        <f xml:space="preserve"> SUMIFS( 'FS Qtr'!$J73:$EA73, 'FS Qtr'!$J$2:$EA$2, 'FS Ann'!AI$2)</f>
        <v>21824.067412251883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2658.2359313922361</v>
      </c>
      <c r="M74" s="9">
        <f xml:space="preserve"> SUMIFS( 'FS Qtr'!$J74:$EA74, 'FS Qtr'!$J$2:$EA$2, 'FS Ann'!M$2)</f>
        <v>5256.5262034030675</v>
      </c>
      <c r="N74" s="9">
        <f xml:space="preserve"> SUMIFS( 'FS Qtr'!$J74:$EA74, 'FS Qtr'!$J$2:$EA$2, 'FS Ann'!N$2)</f>
        <v>8166.2720630231161</v>
      </c>
      <c r="O74" s="9">
        <f xml:space="preserve"> SUMIFS( 'FS Qtr'!$J74:$EA74, 'FS Qtr'!$J$2:$EA$2, 'FS Ann'!O$2)</f>
        <v>11438.394203248008</v>
      </c>
      <c r="P74" s="9">
        <f xml:space="preserve"> SUMIFS( 'FS Qtr'!$J74:$EA74, 'FS Qtr'!$J$2:$EA$2, 'FS Ann'!P$2)</f>
        <v>15073.104703723629</v>
      </c>
      <c r="Q74" s="9">
        <f xml:space="preserve"> SUMIFS( 'FS Qtr'!$J74:$EA74, 'FS Qtr'!$J$2:$EA$2, 'FS Ann'!Q$2)</f>
        <v>19096.942742695108</v>
      </c>
      <c r="R74" s="9">
        <f xml:space="preserve"> SUMIFS( 'FS Qtr'!$J74:$EA74, 'FS Qtr'!$J$2:$EA$2, 'FS Ann'!R$2)</f>
        <v>23525.406219957589</v>
      </c>
      <c r="S74" s="9">
        <f xml:space="preserve"> SUMIFS( 'FS Qtr'!$J74:$EA74, 'FS Qtr'!$J$2:$EA$2, 'FS Ann'!S$2)</f>
        <v>28404.497585122277</v>
      </c>
      <c r="T74" s="9">
        <f xml:space="preserve"> SUMIFS( 'FS Qtr'!$J74:$EA74, 'FS Qtr'!$J$2:$EA$2, 'FS Ann'!T$2)</f>
        <v>33745.390395482886</v>
      </c>
      <c r="U74" s="9">
        <f xml:space="preserve"> SUMIFS( 'FS Qtr'!$J74:$EA74, 'FS Qtr'!$J$2:$EA$2, 'FS Ann'!U$2)</f>
        <v>39580.628644083197</v>
      </c>
      <c r="V74" s="9">
        <f xml:space="preserve"> SUMIFS( 'FS Qtr'!$J74:$EA74, 'FS Qtr'!$J$2:$EA$2, 'FS Ann'!V$2)</f>
        <v>35554.488664474105</v>
      </c>
      <c r="W74" s="9">
        <f xml:space="preserve"> SUMIFS( 'FS Qtr'!$J74:$EA74, 'FS Qtr'!$J$2:$EA$2, 'FS Ann'!W$2)</f>
        <v>31558.959848488223</v>
      </c>
      <c r="X74" s="9">
        <f xml:space="preserve"> SUMIFS( 'FS Qtr'!$J74:$EA74, 'FS Qtr'!$J$2:$EA$2, 'FS Ann'!X$2)</f>
        <v>27548.088886568712</v>
      </c>
      <c r="Y74" s="9">
        <f xml:space="preserve"> SUMIFS( 'FS Qtr'!$J74:$EA74, 'FS Qtr'!$J$2:$EA$2, 'FS Ann'!Y$2)</f>
        <v>23537.191603919277</v>
      </c>
      <c r="Z74" s="9">
        <f xml:space="preserve"> SUMIFS( 'FS Qtr'!$J74:$EA74, 'FS Qtr'!$J$2:$EA$2, 'FS Ann'!Z$2)</f>
        <v>19511.427676960873</v>
      </c>
      <c r="AA74" s="9">
        <f xml:space="preserve"> SUMIFS( 'FS Qtr'!$J74:$EA74, 'FS Qtr'!$J$2:$EA$2, 'FS Ann'!AA$2)</f>
        <v>15515.3120941741</v>
      </c>
      <c r="AB74" s="9">
        <f xml:space="preserve"> SUMIFS( 'FS Qtr'!$J74:$EA74, 'FS Qtr'!$J$2:$EA$2, 'FS Ann'!AB$2)</f>
        <v>11504.326812321067</v>
      </c>
      <c r="AC74" s="9">
        <f xml:space="preserve"> SUMIFS( 'FS Qtr'!$J74:$EA74, 'FS Qtr'!$J$2:$EA$2, 'FS Ann'!AC$2)</f>
        <v>7493.3090991483105</v>
      </c>
      <c r="AD74" s="9">
        <f xml:space="preserve"> SUMIFS( 'FS Qtr'!$J74:$EA74, 'FS Qtr'!$J$2:$EA$2, 'FS Ann'!AD$2)</f>
        <v>3467.9021439193689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550.06025187035596</v>
      </c>
      <c r="AK74" s="9">
        <f xml:space="preserve"> SUMIFS( 'FS Qtr'!$J74:$EA74, 'FS Qtr'!$J$2:$EA$2, 'FS Ann'!AK$2)</f>
        <v>3.6751464320487664E-10</v>
      </c>
      <c r="AL74" s="9">
        <f xml:space="preserve"> SUMIFS( 'FS Qtr'!$J74:$EA74, 'FS Qtr'!$J$2:$EA$2, 'FS Ann'!AL$2)</f>
        <v>3.9068321672191106E-10</v>
      </c>
      <c r="AM74" s="9">
        <f xml:space="preserve"> SUMIFS( 'FS Qtr'!$J74:$EA74, 'FS Qtr'!$J$2:$EA$2, 'FS Ann'!AM$2)</f>
        <v>4.1522893882602402E-10</v>
      </c>
      <c r="AN74" s="9">
        <f xml:space="preserve"> SUMIFS( 'FS Qtr'!$J74:$EA74, 'FS Qtr'!$J$2:$EA$2, 'FS Ann'!AN$2)</f>
        <v>4.4130226832003412E-10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97628.791666666672</v>
      </c>
      <c r="M75" s="50">
        <f t="shared" si="15"/>
        <v>93620.688225538965</v>
      </c>
      <c r="N75" s="50">
        <f t="shared" si="15"/>
        <v>89594.903945093305</v>
      </c>
      <c r="O75" s="50">
        <f t="shared" si="15"/>
        <v>85604.60208959083</v>
      </c>
      <c r="P75" s="50">
        <f t="shared" si="15"/>
        <v>81596.618994617733</v>
      </c>
      <c r="Q75" s="50">
        <f t="shared" si="15"/>
        <v>77588.675616535067</v>
      </c>
      <c r="R75" s="50">
        <f t="shared" si="15"/>
        <v>73563.40063952934</v>
      </c>
      <c r="S75" s="50">
        <f t="shared" si="15"/>
        <v>69572.907221638132</v>
      </c>
      <c r="T75" s="50">
        <f t="shared" si="15"/>
        <v>65565.08181257527</v>
      </c>
      <c r="U75" s="50">
        <f t="shared" si="15"/>
        <v>61557.295335895789</v>
      </c>
      <c r="V75" s="50">
        <f t="shared" si="15"/>
        <v>57532.519602324865</v>
      </c>
      <c r="W75" s="50">
        <f t="shared" si="15"/>
        <v>53541.838405876872</v>
      </c>
      <c r="X75" s="50">
        <f t="shared" si="15"/>
        <v>49534.16756803669</v>
      </c>
      <c r="Y75" s="50">
        <f t="shared" si="15"/>
        <v>45526.534893568838</v>
      </c>
      <c r="Z75" s="50">
        <f t="shared" si="15"/>
        <v>41502.248542137619</v>
      </c>
      <c r="AA75" s="50">
        <f t="shared" si="15"/>
        <v>37511.383276224689</v>
      </c>
      <c r="AB75" s="50">
        <f t="shared" si="15"/>
        <v>33503.863956442481</v>
      </c>
      <c r="AC75" s="50">
        <f t="shared" si="15"/>
        <v>29496.38204621142</v>
      </c>
      <c r="AD75" s="50">
        <f t="shared" si="15"/>
        <v>25472.575410409794</v>
      </c>
      <c r="AE75" s="50">
        <f t="shared" si="15"/>
        <v>22010.359733231548</v>
      </c>
      <c r="AF75" s="50">
        <f t="shared" si="15"/>
        <v>22014.113616761868</v>
      </c>
      <c r="AG75" s="50">
        <f t="shared" si="15"/>
        <v>22017.943142924614</v>
      </c>
      <c r="AH75" s="50">
        <f t="shared" si="15"/>
        <v>22019.676402729168</v>
      </c>
      <c r="AI75" s="50">
        <f t="shared" si="15"/>
        <v>22025.835250809159</v>
      </c>
      <c r="AJ75" s="50">
        <f t="shared" si="15"/>
        <v>755.89381338457247</v>
      </c>
      <c r="AK75" s="50">
        <f t="shared" si="15"/>
        <v>-3.7194796756892858E-12</v>
      </c>
      <c r="AL75" s="50">
        <f t="shared" si="15"/>
        <v>-3.7194796756892858E-12</v>
      </c>
      <c r="AM75" s="50">
        <f t="shared" si="15"/>
        <v>-3.7194796756892858E-12</v>
      </c>
      <c r="AN75" s="50">
        <f t="shared" si="15"/>
        <v>-3.7194796756892858E-12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97628.791666666672</v>
      </c>
      <c r="M80" s="113">
        <f t="shared" si="16"/>
        <v>93620.688225538965</v>
      </c>
      <c r="N80" s="113">
        <f t="shared" si="16"/>
        <v>89594.903945093291</v>
      </c>
      <c r="O80" s="113">
        <f t="shared" si="16"/>
        <v>85604.60208959083</v>
      </c>
      <c r="P80" s="113">
        <f t="shared" si="16"/>
        <v>81596.618994617733</v>
      </c>
      <c r="Q80" s="113">
        <f t="shared" si="16"/>
        <v>77588.675616535067</v>
      </c>
      <c r="R80" s="113">
        <f t="shared" si="16"/>
        <v>73563.40063952934</v>
      </c>
      <c r="S80" s="113">
        <f t="shared" si="16"/>
        <v>69572.907221638132</v>
      </c>
      <c r="T80" s="113">
        <f t="shared" si="16"/>
        <v>65565.081812575256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29496.38204621142</v>
      </c>
      <c r="AD80" s="113">
        <f t="shared" si="16"/>
        <v>25472.575410409798</v>
      </c>
      <c r="AE80" s="113">
        <f t="shared" si="16"/>
        <v>22010.359733231548</v>
      </c>
      <c r="AF80" s="113">
        <f t="shared" si="16"/>
        <v>22014.113616761872</v>
      </c>
      <c r="AG80" s="113">
        <f t="shared" si="16"/>
        <v>22017.943142924618</v>
      </c>
      <c r="AH80" s="113">
        <f t="shared" si="16"/>
        <v>22019.676402729168</v>
      </c>
      <c r="AI80" s="113">
        <f t="shared" si="16"/>
        <v>22025.835250809163</v>
      </c>
      <c r="AJ80" s="113">
        <f t="shared" si="16"/>
        <v>755.89381338457633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97628.791666666672</v>
      </c>
      <c r="M81" s="113">
        <f t="shared" si="17"/>
        <v>93620.688225538965</v>
      </c>
      <c r="N81" s="113">
        <f t="shared" si="17"/>
        <v>89594.903945093305</v>
      </c>
      <c r="O81" s="113">
        <f t="shared" si="17"/>
        <v>85604.60208959083</v>
      </c>
      <c r="P81" s="113">
        <f t="shared" si="17"/>
        <v>81596.618994617733</v>
      </c>
      <c r="Q81" s="113">
        <f t="shared" si="17"/>
        <v>77588.675616535067</v>
      </c>
      <c r="R81" s="113">
        <f t="shared" si="17"/>
        <v>73563.40063952934</v>
      </c>
      <c r="S81" s="113">
        <f t="shared" si="17"/>
        <v>69572.907221638132</v>
      </c>
      <c r="T81" s="113">
        <f t="shared" si="17"/>
        <v>65565.08181257527</v>
      </c>
      <c r="U81" s="113">
        <f t="shared" si="17"/>
        <v>61557.295335895789</v>
      </c>
      <c r="V81" s="113">
        <f t="shared" si="17"/>
        <v>57532.519602324865</v>
      </c>
      <c r="W81" s="113">
        <f t="shared" si="17"/>
        <v>53541.838405876872</v>
      </c>
      <c r="X81" s="113">
        <f t="shared" si="17"/>
        <v>49534.16756803669</v>
      </c>
      <c r="Y81" s="113">
        <f t="shared" si="17"/>
        <v>45526.534893568838</v>
      </c>
      <c r="Z81" s="113">
        <f t="shared" si="17"/>
        <v>41502.248542137619</v>
      </c>
      <c r="AA81" s="113">
        <f t="shared" si="17"/>
        <v>37511.383276224689</v>
      </c>
      <c r="AB81" s="113">
        <f t="shared" si="17"/>
        <v>33503.863956442481</v>
      </c>
      <c r="AC81" s="113">
        <f t="shared" si="17"/>
        <v>29496.38204621142</v>
      </c>
      <c r="AD81" s="113">
        <f t="shared" si="17"/>
        <v>25472.575410409794</v>
      </c>
      <c r="AE81" s="113">
        <f t="shared" si="17"/>
        <v>22010.359733231548</v>
      </c>
      <c r="AF81" s="113">
        <f t="shared" si="17"/>
        <v>22014.113616761868</v>
      </c>
      <c r="AG81" s="113">
        <f t="shared" si="17"/>
        <v>22017.943142924614</v>
      </c>
      <c r="AH81" s="113">
        <f t="shared" si="17"/>
        <v>22019.676402729168</v>
      </c>
      <c r="AI81" s="113">
        <f t="shared" si="17"/>
        <v>22025.835250809159</v>
      </c>
      <c r="AJ81" s="113">
        <f t="shared" si="17"/>
        <v>755.89381338457247</v>
      </c>
      <c r="AK81" s="113">
        <f xml:space="preserve"> AK$75</f>
        <v>-3.7194796756892858E-12</v>
      </c>
      <c r="AL81" s="113">
        <f xml:space="preserve"> AL$75</f>
        <v>-3.7194796756892858E-12</v>
      </c>
      <c r="AM81" s="113">
        <f xml:space="preserve"> AM$75</f>
        <v>-3.7194796756892858E-12</v>
      </c>
      <c r="AN81" s="113">
        <f xml:space="preserve"> AN$75</f>
        <v>-3.7194796756892858E-12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1.8743271185292088E-11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3.865352482534945E-12</v>
      </c>
      <c r="AK83" s="20">
        <f t="shared" si="19"/>
        <v>3.7194796756892858E-12</v>
      </c>
      <c r="AL83" s="20">
        <f t="shared" si="19"/>
        <v>3.7194796756892858E-12</v>
      </c>
      <c r="AM83" s="20">
        <f t="shared" si="19"/>
        <v>3.7194796756892858E-12</v>
      </c>
      <c r="AN83" s="20">
        <f t="shared" si="19"/>
        <v>3.7194796756892858E-12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G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J29" sqref="J29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1" width="12.53125" style="67" customWidth="1"/>
    <col min="32" max="32" width="0.46484375" style="114" customWidth="1"/>
    <col min="33" max="33" width="0" hidden="1" customWidth="1"/>
    <col min="34" max="16384" width="9.1328125" hidden="1"/>
  </cols>
  <sheetData>
    <row r="1" spans="1:32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1:32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44575</v>
      </c>
      <c r="U2" s="219">
        <v>44572</v>
      </c>
      <c r="V2" s="219">
        <v>44572</v>
      </c>
      <c r="W2" s="219">
        <v>44572</v>
      </c>
      <c r="X2" s="219">
        <v>44572</v>
      </c>
      <c r="Y2" s="219">
        <v>44571</v>
      </c>
      <c r="Z2" s="219">
        <v>44571</v>
      </c>
      <c r="AA2" s="219">
        <v>44564</v>
      </c>
      <c r="AB2" s="219">
        <v>44564</v>
      </c>
      <c r="AC2" s="219">
        <v>44564</v>
      </c>
      <c r="AD2" s="219"/>
      <c r="AE2" s="219"/>
    </row>
    <row r="3" spans="1:32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/>
      <c r="AE3" s="218"/>
      <c r="AF3" s="139"/>
    </row>
    <row r="4" spans="1:32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115"/>
    </row>
    <row r="5" spans="1:32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18</v>
      </c>
      <c r="I5" s="72"/>
      <c r="J5" s="314">
        <f xml:space="preserve"> MATCH($H$5, M5:AF5, 0)</f>
        <v>2</v>
      </c>
      <c r="K5" s="261" t="s">
        <v>65</v>
      </c>
      <c r="L5" s="259" t="s">
        <v>66</v>
      </c>
      <c r="M5" s="116"/>
      <c r="N5" s="220">
        <v>18</v>
      </c>
      <c r="O5" s="220">
        <v>17</v>
      </c>
      <c r="P5" s="220">
        <v>16</v>
      </c>
      <c r="Q5" s="220">
        <v>15</v>
      </c>
      <c r="R5" s="220">
        <v>14</v>
      </c>
      <c r="S5" s="220">
        <v>13</v>
      </c>
      <c r="T5" s="220">
        <v>12</v>
      </c>
      <c r="U5" s="220">
        <v>11</v>
      </c>
      <c r="V5" s="220">
        <v>10</v>
      </c>
      <c r="W5" s="220">
        <v>9</v>
      </c>
      <c r="X5" s="220">
        <v>8</v>
      </c>
      <c r="Y5" s="220">
        <v>7</v>
      </c>
      <c r="Z5" s="220">
        <v>6</v>
      </c>
      <c r="AA5" s="220">
        <v>5</v>
      </c>
      <c r="AB5" s="220">
        <v>4</v>
      </c>
      <c r="AC5" s="220">
        <v>3</v>
      </c>
      <c r="AD5" s="220">
        <v>2</v>
      </c>
      <c r="AE5" s="220">
        <v>1</v>
      </c>
      <c r="AF5" s="116"/>
    </row>
    <row r="6" spans="1:32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16"/>
    </row>
    <row r="7" spans="1:32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116"/>
    </row>
    <row r="8" spans="1:32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116"/>
    </row>
    <row r="9" spans="1:32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"/>
    </row>
    <row r="10" spans="1:32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0.21705926060676575</v>
      </c>
      <c r="I10" s="493"/>
      <c r="J10" s="316" t="str">
        <f xml:space="preserve"> IF(ABS(K10) &gt; TRK_TOL, "tu", "vw")</f>
        <v>vw</v>
      </c>
      <c r="K10" s="81">
        <f xml:space="preserve"> H10 - INDEX(M10:AF10, $J$5)</f>
        <v>0</v>
      </c>
      <c r="L10" s="81">
        <f xml:space="preserve"> IF(ABS(K10) &gt; TRK_TOL, IF(INDEX(M10:AF10, $J$5) = 0, 0, H10 / INDEX(M10:AF10, $J$5) - 1), 0)</f>
        <v>0</v>
      </c>
      <c r="M10" s="271"/>
      <c r="N10" s="257">
        <v>0.21705926060676575</v>
      </c>
      <c r="O10" s="257">
        <v>0.19669247269630433</v>
      </c>
      <c r="P10" s="257">
        <v>0.19669247269630433</v>
      </c>
      <c r="Q10" s="257">
        <v>0.18807238936424256</v>
      </c>
      <c r="R10" s="257">
        <v>0.26290706992149349</v>
      </c>
      <c r="S10" s="257">
        <v>7.5917240977287304E-2</v>
      </c>
      <c r="T10" s="257">
        <v>8.9617064595222493E-2</v>
      </c>
      <c r="U10" s="257">
        <v>9.8730558156967185E-2</v>
      </c>
      <c r="V10" s="257">
        <v>8.4725400805473347E-2</v>
      </c>
      <c r="W10" s="257">
        <v>0.13478659987449648</v>
      </c>
      <c r="X10" s="257"/>
      <c r="Y10" s="257"/>
      <c r="Z10" s="257"/>
      <c r="AA10" s="257"/>
      <c r="AB10" s="257"/>
      <c r="AC10" s="257"/>
      <c r="AD10" s="257"/>
      <c r="AE10" s="257"/>
      <c r="AF10" s="138"/>
    </row>
    <row r="11" spans="1:32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INDEX(M11:AF11, $J$5)</f>
        <v>0</v>
      </c>
      <c r="L11" s="274">
        <f xml:space="preserve"> IF(ABS(K11) &gt; TRK_TOL, IF(INDEX(M11:AF11, $J$5) = 0, 0, H11 / INDEX(M11:AF11, $J$5) - 1), 0)</f>
        <v>0</v>
      </c>
      <c r="M11" s="291"/>
      <c r="N11" s="518">
        <v>1.2999999999999998</v>
      </c>
      <c r="O11" s="518">
        <v>0.64672401028121584</v>
      </c>
      <c r="P11" s="518"/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9"/>
    </row>
    <row r="12" spans="1:32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INDEX(M12:AF12, $J$5)</f>
        <v>0</v>
      </c>
      <c r="L12" s="274">
        <f xml:space="preserve"> IF(ABS(K12) &gt; TRK_TOL, IF(INDEX(M12:AF12, $J$5) = 0, 0, H12 / INDEX(M12:AF12, $J$5) - 1), 0)</f>
        <v>0</v>
      </c>
      <c r="M12" s="291"/>
      <c r="N12" s="518">
        <v>1.2999999999999992</v>
      </c>
      <c r="O12" s="518">
        <v>1.448252360976626</v>
      </c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9"/>
    </row>
    <row r="13" spans="1:32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71"/>
    </row>
    <row r="14" spans="1:32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71"/>
    </row>
    <row r="15" spans="1:32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39"/>
    </row>
    <row r="16" spans="1:32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136"/>
    </row>
    <row r="17" spans="1:32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131"/>
    </row>
    <row r="18" spans="1:32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131"/>
    </row>
    <row r="19" spans="1:32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131"/>
    </row>
    <row r="20" spans="1:32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</row>
    <row r="21" spans="1:32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INDEX(M21:AF21, $J$5)</f>
        <v>0</v>
      </c>
      <c r="L21" s="274">
        <f xml:space="preserve"> IF(ABS(K21) &gt; TRK_TOL, IF(INDEX(M21:AF21, $J$5) = 0, 0, H21 / INDEX(M21:AF21,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0</v>
      </c>
      <c r="AD21" s="281"/>
      <c r="AE21" s="281"/>
      <c r="AF21" s="280"/>
    </row>
    <row r="22" spans="1:32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INDEX(M22:AF22, $J$5)</f>
        <v>0</v>
      </c>
      <c r="L22" s="274">
        <f xml:space="preserve"> IF(ABS(K22) &gt; TRK_TOL, IF(INDEX(M22:AF22, $J$5) = 0, 0, H22 / INDEX(M22:AF22,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0</v>
      </c>
      <c r="AB22" s="281">
        <v>0</v>
      </c>
      <c r="AC22" s="281">
        <v>0</v>
      </c>
      <c r="AD22" s="281"/>
      <c r="AE22" s="281"/>
      <c r="AF22" s="282"/>
    </row>
    <row r="23" spans="1:32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INDEX(M23:AF23, $J$5)</f>
        <v>0</v>
      </c>
      <c r="L23" s="285">
        <f xml:space="preserve"> IF(ABS(K23) &gt; TRK_TOL, IF(INDEX(M23:AF23, $J$5) = 0, 0, H23 / INDEX(M23:AF23,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371409.67882059288</v>
      </c>
      <c r="AB23" s="287">
        <v>371409.67882059288</v>
      </c>
      <c r="AC23" s="287">
        <v>10000</v>
      </c>
      <c r="AD23" s="287"/>
      <c r="AE23" s="287"/>
      <c r="AF23" s="286"/>
    </row>
    <row r="24" spans="1:32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0"/>
    </row>
    <row r="25" spans="1:32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INDEX(M25:AF25, $J$5)</f>
        <v>0</v>
      </c>
      <c r="L25" s="274">
        <f xml:space="preserve"> IF(ABS(K25) &gt; TRK_TOL, IF(INDEX(M25:AF25, $J$5) = 0, 0, H25 / INDEX(M25:AF25,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/>
      <c r="AE25" s="281"/>
      <c r="AF25" s="280"/>
    </row>
    <row r="26" spans="1:32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INDEX(M26:AF26, $J$5)</f>
        <v>0</v>
      </c>
      <c r="L26" s="285">
        <f xml:space="preserve"> IF(ABS(K26) &gt; TRK_TOL, IF(INDEX(M26:AF26, $J$5) = 0, 0, H26 / INDEX(M26:AF26,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322667.04122730839</v>
      </c>
      <c r="X26" s="287">
        <v>322667.04122730839</v>
      </c>
      <c r="Y26" s="287">
        <v>322667.04122730839</v>
      </c>
      <c r="Z26" s="287">
        <v>322667.04122730839</v>
      </c>
      <c r="AA26" s="287">
        <v>371409.67882059288</v>
      </c>
      <c r="AB26" s="287">
        <v>371409.67882059288</v>
      </c>
      <c r="AC26" s="287">
        <v>10000</v>
      </c>
      <c r="AD26" s="287"/>
      <c r="AE26" s="287"/>
      <c r="AF26" s="288"/>
    </row>
    <row r="27" spans="1:32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0"/>
    </row>
    <row r="28" spans="1:32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-26512.86234216993</v>
      </c>
      <c r="I28" s="279"/>
      <c r="J28" s="316" t="str">
        <f xml:space="preserve"> IF(ABS(K28) &gt; TRK_TOL, "tu", "vw")</f>
        <v>vw</v>
      </c>
      <c r="K28" s="149">
        <f xml:space="preserve"> H28 - INDEX(M28:AF28, $J$5)</f>
        <v>0</v>
      </c>
      <c r="L28" s="274">
        <f xml:space="preserve"> IF(ABS(K28) &gt; TRK_TOL, IF(INDEX(M28:AF28, $J$5) = 0, 0, H28 / INDEX(M28:AF28, $J$5) - 1), 0)</f>
        <v>0</v>
      </c>
      <c r="M28" s="289"/>
      <c r="N28" s="281">
        <v>-26512.86234216993</v>
      </c>
      <c r="O28" s="281">
        <v>-23972.181282768801</v>
      </c>
      <c r="P28" s="281">
        <v>-23972.181282768801</v>
      </c>
      <c r="Q28" s="281">
        <v>-21840.583333333336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/>
      <c r="AE28" s="281"/>
      <c r="AF28" s="289"/>
    </row>
    <row r="29" spans="1:32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INDEX(M29:AF29, $J$5)</f>
        <v>0</v>
      </c>
      <c r="L29" s="274">
        <f xml:space="preserve"> IF(ABS(K29) &gt; TRK_TOL, IF(INDEX(M29:AF29, $J$5) = 0, 0, H29 / INDEX(M29:AF29,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/>
      <c r="AE29" s="281"/>
      <c r="AF29" s="289"/>
    </row>
    <row r="30" spans="1:32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INDEX(M30:AF30, $J$5)</f>
        <v>0</v>
      </c>
      <c r="L30" s="274">
        <f xml:space="preserve"> IF(ABS(K30) &gt; TRK_TOL, IF(INDEX(M30:AF30, $J$5) = 0, 0, H30 / INDEX(M30:AF30,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/>
      <c r="AE30" s="281"/>
      <c r="AF30" s="291"/>
    </row>
    <row r="31" spans="1:32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196154.17888513833</v>
      </c>
      <c r="I31" s="321"/>
      <c r="J31" s="318" t="str">
        <f xml:space="preserve"> IF(ABS(K31) &gt; TRK_TOL, "tu", "vw")</f>
        <v>vw</v>
      </c>
      <c r="K31" s="284">
        <f xml:space="preserve"> H31 - INDEX(M31:AF31, $J$5)</f>
        <v>0</v>
      </c>
      <c r="L31" s="285">
        <f xml:space="preserve"> IF(ABS(K31) &gt; TRK_TOL, IF(INDEX(M31:AF31, $J$5) = 0, 0, H31 / INDEX(M31:AF31, $J$5) - 1), 0)</f>
        <v>0</v>
      </c>
      <c r="M31" s="286"/>
      <c r="N31" s="287">
        <v>196154.17888513833</v>
      </c>
      <c r="O31" s="287">
        <v>198694.85994453946</v>
      </c>
      <c r="P31" s="287">
        <v>198694.85994453946</v>
      </c>
      <c r="Q31" s="287">
        <v>200826.45789397514</v>
      </c>
      <c r="R31" s="287">
        <v>222667.04122730848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322667.04122730839</v>
      </c>
      <c r="X31" s="287">
        <v>322667.04122730839</v>
      </c>
      <c r="Y31" s="287">
        <v>322667.04122730839</v>
      </c>
      <c r="Z31" s="287">
        <v>322667.04122730839</v>
      </c>
      <c r="AA31" s="287">
        <v>371409.67882059288</v>
      </c>
      <c r="AB31" s="287">
        <v>371409.67882059288</v>
      </c>
      <c r="AC31" s="287">
        <v>10000</v>
      </c>
      <c r="AD31" s="287"/>
      <c r="AE31" s="287"/>
      <c r="AF31" s="286"/>
    </row>
    <row r="32" spans="1:32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91"/>
    </row>
    <row r="33" spans="1:32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INDEX(M33:AF33, $J$5)</f>
        <v>0</v>
      </c>
      <c r="L33" s="274">
        <f xml:space="preserve"> IF(ABS(K33) &gt; TRK_TOL, IF(INDEX(M33:AF33, $J$5) = 0, 0, H33 / INDEX(M33:AF33,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/>
      <c r="AE33" s="281"/>
      <c r="AF33" s="291"/>
    </row>
    <row r="34" spans="1:32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196154.17888513833</v>
      </c>
      <c r="I34" s="321"/>
      <c r="J34" s="318" t="str">
        <f xml:space="preserve"> IF(ABS(K34) &gt; TRK_TOL, "tu", "vw")</f>
        <v>vw</v>
      </c>
      <c r="K34" s="284">
        <f xml:space="preserve"> H34 - INDEX(M34:AF34, $J$5)</f>
        <v>0</v>
      </c>
      <c r="L34" s="285">
        <f xml:space="preserve"> IF(ABS(K34) &gt; TRK_TOL, IF(INDEX(M34:AF34, $J$5) = 0, 0, H34 / INDEX(M34:AF34, $J$5) - 1), 0)</f>
        <v>0</v>
      </c>
      <c r="M34" s="286"/>
      <c r="N34" s="287">
        <v>196154.17888513833</v>
      </c>
      <c r="O34" s="287">
        <v>198694.85994453946</v>
      </c>
      <c r="P34" s="287">
        <v>198694.85994453946</v>
      </c>
      <c r="Q34" s="287">
        <v>200826.45789397514</v>
      </c>
      <c r="R34" s="287">
        <v>222667.04122730848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322667.04122730839</v>
      </c>
      <c r="X34" s="287">
        <v>322667.04122730839</v>
      </c>
      <c r="Y34" s="287">
        <v>322667.04122730839</v>
      </c>
      <c r="Z34" s="287">
        <v>322667.04122730839</v>
      </c>
      <c r="AA34" s="287">
        <v>371409.67882059288</v>
      </c>
      <c r="AB34" s="287">
        <v>371409.67882059288</v>
      </c>
      <c r="AC34" s="287">
        <v>10000</v>
      </c>
      <c r="AD34" s="287"/>
      <c r="AE34" s="287"/>
      <c r="AF34" s="286"/>
    </row>
    <row r="35" spans="1:32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91"/>
    </row>
    <row r="36" spans="1:32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-196154.17888513798</v>
      </c>
      <c r="I36" s="279"/>
      <c r="J36" s="319" t="str">
        <f xml:space="preserve"> IF(ABS(K36) &gt; TRK_TOL, "tu", "vw")</f>
        <v>vw</v>
      </c>
      <c r="K36" s="149">
        <f xml:space="preserve"> H36 - INDEX(M36:AF36, $J$5)</f>
        <v>0</v>
      </c>
      <c r="L36" s="274">
        <f xml:space="preserve"> IF(ABS(K36) &gt; TRK_TOL, IF(INDEX(M36:AF36, $J$5) = 0, 0, H36 / INDEX(M36:AF36, $J$5) - 1), 0)</f>
        <v>0</v>
      </c>
      <c r="M36" s="291"/>
      <c r="N36" s="281">
        <v>-196154.17888513798</v>
      </c>
      <c r="O36" s="281">
        <v>-198694.8599445392</v>
      </c>
      <c r="P36" s="281">
        <v>-198694.8599445392</v>
      </c>
      <c r="Q36" s="281">
        <v>-200826.45789397517</v>
      </c>
      <c r="R36" s="281">
        <v>-222667.04122730848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-322667.04122730857</v>
      </c>
      <c r="X36" s="281">
        <v>-322667.04122730857</v>
      </c>
      <c r="Y36" s="281">
        <v>0</v>
      </c>
      <c r="Z36" s="281">
        <v>0</v>
      </c>
      <c r="AA36" s="281">
        <v>0</v>
      </c>
      <c r="AB36" s="281">
        <v>0</v>
      </c>
      <c r="AC36" s="281">
        <v>0</v>
      </c>
      <c r="AD36" s="281"/>
      <c r="AE36" s="281"/>
      <c r="AF36" s="291"/>
    </row>
    <row r="37" spans="1:32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4.865686563833169E-10</v>
      </c>
      <c r="I37" s="283"/>
      <c r="J37" s="318" t="str">
        <f xml:space="preserve"> IF(ABS(K37) &gt; TRK_TOL, "tu", "vw")</f>
        <v>vw</v>
      </c>
      <c r="K37" s="284">
        <f xml:space="preserve"> H37 - INDEX(M37:AF37, $J$5)</f>
        <v>0</v>
      </c>
      <c r="L37" s="285">
        <f xml:space="preserve"> IF(ABS(K37) &gt; TRK_TOL, IF(INDEX(M37:AF37, $J$5) = 0, 0, H37 / INDEX(M37:AF37, $J$5) - 1), 0)</f>
        <v>0</v>
      </c>
      <c r="M37" s="288"/>
      <c r="N37" s="344">
        <v>4.865686563833169E-10</v>
      </c>
      <c r="O37" s="344">
        <v>4.2634685317016288E-10</v>
      </c>
      <c r="P37" s="344">
        <v>4.2634685317016288E-10</v>
      </c>
      <c r="Q37" s="344">
        <v>-1.3642420526593924E-12</v>
      </c>
      <c r="R37" s="344">
        <v>-1.3642420526593924E-12</v>
      </c>
      <c r="S37" s="344">
        <v>-1.3642420526593924E-12</v>
      </c>
      <c r="T37" s="344">
        <v>0</v>
      </c>
      <c r="U37" s="344">
        <v>0</v>
      </c>
      <c r="V37" s="344">
        <v>0</v>
      </c>
      <c r="W37" s="344">
        <v>-9.0949470177292824E-13</v>
      </c>
      <c r="X37" s="344">
        <v>-9.0949470177292824E-13</v>
      </c>
      <c r="Y37" s="344">
        <v>322667.04122730839</v>
      </c>
      <c r="Z37" s="344">
        <v>322667.04122730839</v>
      </c>
      <c r="AA37" s="344">
        <v>371409.67882059288</v>
      </c>
      <c r="AB37" s="344">
        <v>371409.67882059288</v>
      </c>
      <c r="AC37" s="344">
        <v>10000</v>
      </c>
      <c r="AD37" s="344"/>
      <c r="AE37" s="344"/>
      <c r="AF37" s="288"/>
    </row>
    <row r="38" spans="1:32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80"/>
    </row>
    <row r="39" spans="1:32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80"/>
    </row>
    <row r="40" spans="1:32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80"/>
    </row>
    <row r="41" spans="1:32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80"/>
    </row>
    <row r="42" spans="1:32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INDEX(M42:AF42, $J$5)</f>
        <v>0</v>
      </c>
      <c r="L42" s="274">
        <f xml:space="preserve"> IF(ABS(K42) &gt; TRK_TOL, IF(INDEX(M42:AF42, $J$5) = 0, 0, H42 / INDEX(M42:AF42,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0</v>
      </c>
      <c r="AC42" s="281">
        <v>0</v>
      </c>
      <c r="AD42" s="281"/>
      <c r="AE42" s="281"/>
      <c r="AF42" s="289"/>
    </row>
    <row r="43" spans="1:32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INDEX(M43:AF43, $J$5)</f>
        <v>0</v>
      </c>
      <c r="L43" s="274">
        <f xml:space="preserve"> IF(ABS(K43) &gt; TRK_TOL, IF(INDEX(M43:AF43, $J$5) = 0, 0, H43 / INDEX(M43:AF43,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0</v>
      </c>
      <c r="AA43" s="281">
        <v>0</v>
      </c>
      <c r="AB43" s="281">
        <v>0</v>
      </c>
      <c r="AC43" s="281">
        <v>0</v>
      </c>
      <c r="AD43" s="281"/>
      <c r="AE43" s="281"/>
      <c r="AF43" s="289"/>
    </row>
    <row r="44" spans="1:32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INDEX(M44:AF44, $J$5)</f>
        <v>0</v>
      </c>
      <c r="L44" s="274">
        <f xml:space="preserve"> IF(ABS(K44) &gt; TRK_TOL, IF(INDEX(M44:AF44, $J$5) = 0, 0, H44 / INDEX(M44:AF44,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/>
      <c r="AE44" s="281"/>
      <c r="AF44" s="289"/>
    </row>
    <row r="45" spans="1:32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322667.04122730857</v>
      </c>
      <c r="I45" s="283"/>
      <c r="J45" s="318" t="str">
        <f xml:space="preserve"> IF(ABS(K45) &gt; TRK_TOL, "tu", "vw")</f>
        <v>vw</v>
      </c>
      <c r="K45" s="284">
        <f xml:space="preserve"> H45 - INDEX(M45:AF45, $J$5)</f>
        <v>0</v>
      </c>
      <c r="L45" s="285">
        <f xml:space="preserve"> IF(ABS(K45) &gt; TRK_TOL, IF(INDEX(M45:AF45, $J$5) = 0, 0, H45 / INDEX(M45:AF45, $J$5) - 1), 0)</f>
        <v>0</v>
      </c>
      <c r="M45" s="286"/>
      <c r="N45" s="287">
        <v>322667.04122730857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322667.04122730828</v>
      </c>
      <c r="Z45" s="287">
        <v>371409.67882059258</v>
      </c>
      <c r="AA45" s="287">
        <v>371409.67882059258</v>
      </c>
      <c r="AB45" s="287">
        <v>10000</v>
      </c>
      <c r="AC45" s="287">
        <v>10000</v>
      </c>
      <c r="AD45" s="287"/>
      <c r="AE45" s="287"/>
      <c r="AF45" s="286"/>
    </row>
    <row r="46" spans="1:32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9"/>
    </row>
    <row r="47" spans="1:32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-26512.86234216993</v>
      </c>
      <c r="I47" s="279"/>
      <c r="J47" s="316" t="str">
        <f xml:space="preserve"> IF(ABS(K47) &gt; TRK_TOL, "tu", "vw")</f>
        <v>vw</v>
      </c>
      <c r="K47" s="149">
        <f xml:space="preserve"> H47 - INDEX(M47:AF47, $J$5)</f>
        <v>0</v>
      </c>
      <c r="L47" s="274">
        <f xml:space="preserve"> IF(ABS(K47) &gt; TRK_TOL, IF(INDEX(M47:AF47, $J$5) = 0, 0, H47 / INDEX(M47:AF47, $J$5) - 1), 0)</f>
        <v>0</v>
      </c>
      <c r="M47" s="289"/>
      <c r="N47" s="281">
        <v>-26512.86234216993</v>
      </c>
      <c r="O47" s="281">
        <v>-23972.181282768801</v>
      </c>
      <c r="P47" s="281">
        <v>-23972.181282768801</v>
      </c>
      <c r="Q47" s="281">
        <v>-21840.583333333336</v>
      </c>
      <c r="R47" s="281">
        <v>0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/>
      <c r="AE47" s="281"/>
      <c r="AF47" s="289"/>
    </row>
    <row r="48" spans="1:32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-78175.932587748233</v>
      </c>
      <c r="I48" s="279"/>
      <c r="J48" s="316" t="str">
        <f xml:space="preserve"> IF(ABS(K48) &gt; TRK_TOL, "tu", "vw")</f>
        <v>vw</v>
      </c>
      <c r="K48" s="149">
        <f xml:space="preserve"> H48 - INDEX(M48:AF48, $J$5)</f>
        <v>0</v>
      </c>
      <c r="L48" s="274">
        <f xml:space="preserve"> IF(ABS(K48) &gt; TRK_TOL, IF(INDEX(M48:AF48, $J$5) = 0, 0, H48 / INDEX(M48:AF48, $J$5) - 1), 0)</f>
        <v>0</v>
      </c>
      <c r="M48" s="289"/>
      <c r="N48" s="281">
        <v>-78175.932587748233</v>
      </c>
      <c r="O48" s="281">
        <v>-70000.000000000131</v>
      </c>
      <c r="P48" s="281">
        <v>-70000.000000000131</v>
      </c>
      <c r="Q48" s="281">
        <v>-70000</v>
      </c>
      <c r="R48" s="281">
        <v>-70000</v>
      </c>
      <c r="S48" s="281">
        <v>-70000</v>
      </c>
      <c r="T48" s="281">
        <v>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/>
      <c r="AE48" s="281"/>
      <c r="AF48" s="289"/>
    </row>
    <row r="49" spans="1:32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217978.24629738973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217978.24629738973</v>
      </c>
      <c r="O49" s="287">
        <v>228694.85994453903</v>
      </c>
      <c r="P49" s="287">
        <v>228694.85994453903</v>
      </c>
      <c r="Q49" s="287">
        <v>230826.45789397496</v>
      </c>
      <c r="R49" s="287">
        <v>252667.04122730828</v>
      </c>
      <c r="S49" s="287">
        <v>252667.04122730828</v>
      </c>
      <c r="T49" s="287">
        <v>322667.04122730857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322667.04122730828</v>
      </c>
      <c r="Z49" s="287">
        <v>371409.67882059258</v>
      </c>
      <c r="AA49" s="287">
        <v>371409.67882059258</v>
      </c>
      <c r="AB49" s="287">
        <v>10000</v>
      </c>
      <c r="AC49" s="287">
        <v>10000</v>
      </c>
      <c r="AD49" s="287"/>
      <c r="AE49" s="287"/>
      <c r="AF49" s="286"/>
    </row>
    <row r="50" spans="1:32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9"/>
    </row>
    <row r="51" spans="1:32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INDEX(M51:AF51, $J$5)</f>
        <v>0</v>
      </c>
      <c r="L51" s="274">
        <f xml:space="preserve"> IF(ABS(K51) &gt; TRK_TOL, IF(INDEX(M51:AF51, $J$5) = 0, 0, H51 / INDEX(M51:AF51,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/>
      <c r="AE51" s="281"/>
      <c r="AF51" s="291"/>
    </row>
    <row r="52" spans="1:32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INDEX(M52:AF52, $J$5)</f>
        <v>0</v>
      </c>
      <c r="L52" s="274">
        <f xml:space="preserve"> IF(ABS(K52) &gt; TRK_TOL, IF(INDEX(M52:AF52, $J$5) = 0, 0, H52 / INDEX(M52:AF52,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/>
      <c r="AE52" s="281"/>
      <c r="AF52" s="291"/>
    </row>
    <row r="53" spans="1:32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INDEX(M53:AF53, $J$5)</f>
        <v>0</v>
      </c>
      <c r="L53" s="274">
        <f xml:space="preserve"> IF(ABS(K53) &gt; TRK_TOL, IF(INDEX(M53:AF53, $J$5) = 0, 0, H53 / INDEX(M53:AF53,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/>
      <c r="AE53" s="281"/>
      <c r="AF53" s="291"/>
    </row>
    <row r="54" spans="1:32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217978.24629738973</v>
      </c>
      <c r="I54" s="283"/>
      <c r="J54" s="318" t="str">
        <f xml:space="preserve"> IF(ABS(K54) &gt; TRK_TOL, "tu", "vw")</f>
        <v>vw</v>
      </c>
      <c r="K54" s="284">
        <f xml:space="preserve"> H54 - INDEX(M54:AF54, $J$5)</f>
        <v>0</v>
      </c>
      <c r="L54" s="285">
        <f xml:space="preserve"> IF(ABS(K54) &gt; TRK_TOL, IF(INDEX(M54:AF54, $J$5) = 0, 0, H54 / INDEX(M54:AF54, $J$5) - 1), 0)</f>
        <v>0</v>
      </c>
      <c r="M54" s="286"/>
      <c r="N54" s="287">
        <v>217978.24629738973</v>
      </c>
      <c r="O54" s="287">
        <v>228694.85994453903</v>
      </c>
      <c r="P54" s="287">
        <v>228694.85994453903</v>
      </c>
      <c r="Q54" s="287">
        <v>230826.45789397496</v>
      </c>
      <c r="R54" s="287">
        <v>252667.04122730828</v>
      </c>
      <c r="S54" s="287">
        <v>252667.04122730828</v>
      </c>
      <c r="T54" s="287">
        <v>322667.04122730857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322667.04122730828</v>
      </c>
      <c r="Z54" s="287">
        <v>371409.67882059258</v>
      </c>
      <c r="AA54" s="287">
        <v>371409.67882059258</v>
      </c>
      <c r="AB54" s="287">
        <v>10000</v>
      </c>
      <c r="AC54" s="287">
        <v>10000</v>
      </c>
      <c r="AD54" s="287"/>
      <c r="AE54" s="287"/>
      <c r="AF54" s="286"/>
    </row>
    <row r="55" spans="1:32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91"/>
    </row>
    <row r="56" spans="1:32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INDEX(M56:AF56, $J$5)</f>
        <v>0</v>
      </c>
      <c r="L56" s="274">
        <f xml:space="preserve"> IF(ABS(K56) &gt; TRK_TOL, IF(INDEX(M56:AF56, $J$5) = 0, 0, H56 / INDEX(M56:AF56,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/>
      <c r="AE56" s="281"/>
      <c r="AF56" s="291"/>
    </row>
    <row r="57" spans="1:32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INDEX(M57:AF57, $J$5)</f>
        <v>0</v>
      </c>
      <c r="L57" s="274">
        <f xml:space="preserve"> IF(ABS(K57) &gt; TRK_TOL, IF(INDEX(M57:AF57, $J$5) = 0, 0, H57 / INDEX(M57:AF57,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/>
      <c r="AE57" s="281"/>
      <c r="AF57" s="291"/>
    </row>
    <row r="58" spans="1:32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INDEX(M58:AF58, $J$5)</f>
        <v>0</v>
      </c>
      <c r="L58" s="274">
        <f xml:space="preserve"> IF(ABS(K58) &gt; TRK_TOL, IF(INDEX(M58:AF58, $J$5) = 0, 0, H58 / INDEX(M58:AF58,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/>
      <c r="AE58" s="281"/>
      <c r="AF58" s="291"/>
    </row>
    <row r="59" spans="1:32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217978.24629738973</v>
      </c>
      <c r="I59" s="283"/>
      <c r="J59" s="318" t="str">
        <f xml:space="preserve"> IF(ABS(K59) &gt; TRK_TOL, "tu", "vw")</f>
        <v>vw</v>
      </c>
      <c r="K59" s="284">
        <f xml:space="preserve"> H59 - INDEX(M59:AF59, $J$5)</f>
        <v>0</v>
      </c>
      <c r="L59" s="285">
        <f xml:space="preserve"> IF(ABS(K59) &gt; TRK_TOL, IF(INDEX(M59:AF59, $J$5) = 0, 0, H59 / INDEX(M59:AF59, $J$5) - 1), 0)</f>
        <v>0</v>
      </c>
      <c r="M59" s="286"/>
      <c r="N59" s="287">
        <v>217978.24629738973</v>
      </c>
      <c r="O59" s="287">
        <v>228694.85994453903</v>
      </c>
      <c r="P59" s="287">
        <v>228694.85994453903</v>
      </c>
      <c r="Q59" s="287">
        <v>230826.45789397496</v>
      </c>
      <c r="R59" s="287">
        <v>252667.04122730828</v>
      </c>
      <c r="S59" s="287">
        <v>252667.04122730828</v>
      </c>
      <c r="T59" s="287">
        <v>322667.04122730857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322667.04122730828</v>
      </c>
      <c r="Z59" s="287">
        <v>371409.67882059258</v>
      </c>
      <c r="AA59" s="287">
        <v>371409.67882059258</v>
      </c>
      <c r="AB59" s="287">
        <v>10000</v>
      </c>
      <c r="AC59" s="287">
        <v>10000</v>
      </c>
      <c r="AD59" s="287"/>
      <c r="AE59" s="287"/>
      <c r="AF59" s="286"/>
    </row>
    <row r="60" spans="1:32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91"/>
    </row>
    <row r="61" spans="1:32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-21824.067412251883</v>
      </c>
      <c r="I61" s="279"/>
      <c r="J61" s="319" t="str">
        <f xml:space="preserve"> IF(ABS(K61) &gt; TRK_TOL, "tu", "vw")</f>
        <v>vw</v>
      </c>
      <c r="K61" s="149">
        <f xml:space="preserve"> H61 - INDEX(M61:AF61, $J$5)</f>
        <v>0</v>
      </c>
      <c r="L61" s="274">
        <f xml:space="preserve"> IF(ABS(K61) &gt; TRK_TOL, IF(INDEX(M61:AF61, $J$5) = 0, 0, H61 / INDEX(M61:AF61, $J$5) - 1), 0)</f>
        <v>0</v>
      </c>
      <c r="M61" s="291"/>
      <c r="N61" s="281">
        <v>-21824.067412251883</v>
      </c>
      <c r="O61" s="281">
        <v>-30000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-100000</v>
      </c>
      <c r="V61" s="281">
        <v>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/>
      <c r="AE61" s="281"/>
      <c r="AF61" s="291"/>
    </row>
    <row r="62" spans="1:32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196154.17888513784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196154.17888513784</v>
      </c>
      <c r="O62" s="287">
        <v>198694.85994453903</v>
      </c>
      <c r="P62" s="287">
        <v>198694.85994453903</v>
      </c>
      <c r="Q62" s="287">
        <v>200826.45789397496</v>
      </c>
      <c r="R62" s="287">
        <v>222667.04122730828</v>
      </c>
      <c r="S62" s="287">
        <v>222667.04122730828</v>
      </c>
      <c r="T62" s="287">
        <v>292667.04122730851</v>
      </c>
      <c r="U62" s="287">
        <v>222667.04122730854</v>
      </c>
      <c r="V62" s="287">
        <v>322667.04122730857</v>
      </c>
      <c r="W62" s="287">
        <v>322667.04122730857</v>
      </c>
      <c r="X62" s="287">
        <v>322667.04122730857</v>
      </c>
      <c r="Y62" s="287">
        <v>322667.04122730828</v>
      </c>
      <c r="Z62" s="287">
        <v>371409.67882059258</v>
      </c>
      <c r="AA62" s="287">
        <v>371409.67882059258</v>
      </c>
      <c r="AB62" s="287">
        <v>10000</v>
      </c>
      <c r="AC62" s="287">
        <v>10000</v>
      </c>
      <c r="AD62" s="287"/>
      <c r="AE62" s="287"/>
      <c r="AF62" s="286"/>
    </row>
    <row r="63" spans="1:32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91"/>
    </row>
    <row r="64" spans="1:32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-196154.17888513798</v>
      </c>
      <c r="I64" s="279"/>
      <c r="J64" s="319" t="str">
        <f xml:space="preserve"> IF(ABS(K64) &gt; TRK_TOL, "tu", "vw")</f>
        <v>vw</v>
      </c>
      <c r="K64" s="149">
        <f xml:space="preserve"> H64 - INDEX(M64:AF64, $J$5)</f>
        <v>0</v>
      </c>
      <c r="L64" s="274">
        <f xml:space="preserve"> IF(ABS(K64) &gt; TRK_TOL, IF(INDEX(M64:AF64, $J$5) = 0, 0, H64 / INDEX(M64:AF64, $J$5) - 1), 0)</f>
        <v>0</v>
      </c>
      <c r="M64" s="291"/>
      <c r="N64" s="281">
        <v>-196154.17888513798</v>
      </c>
      <c r="O64" s="281">
        <v>-198694.8599445392</v>
      </c>
      <c r="P64" s="281">
        <v>-198694.8599445392</v>
      </c>
      <c r="Q64" s="281">
        <v>-200826.45789397517</v>
      </c>
      <c r="R64" s="281">
        <v>-222667.04122730848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-322667.04122730857</v>
      </c>
      <c r="X64" s="281">
        <v>-322667.04122730857</v>
      </c>
      <c r="Y64" s="281">
        <v>0</v>
      </c>
      <c r="Z64" s="281">
        <v>0</v>
      </c>
      <c r="AA64" s="281">
        <v>0</v>
      </c>
      <c r="AB64" s="281">
        <v>0</v>
      </c>
      <c r="AC64" s="281">
        <v>0</v>
      </c>
      <c r="AD64" s="281"/>
      <c r="AE64" s="281"/>
      <c r="AF64" s="291"/>
    </row>
    <row r="65" spans="1:32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0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0</v>
      </c>
      <c r="O65" s="287">
        <v>-7.2759576141834259E-12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70000.000000000029</v>
      </c>
      <c r="U65" s="287">
        <v>3.7744030123576522E-11</v>
      </c>
      <c r="V65" s="287">
        <v>100000.00000000003</v>
      </c>
      <c r="W65" s="287">
        <v>0</v>
      </c>
      <c r="X65" s="287">
        <v>0</v>
      </c>
      <c r="Y65" s="287">
        <v>322667.04122730828</v>
      </c>
      <c r="Z65" s="287">
        <v>371409.67882059258</v>
      </c>
      <c r="AA65" s="287">
        <v>371409.67882059258</v>
      </c>
      <c r="AB65" s="287">
        <v>10000</v>
      </c>
      <c r="AC65" s="287">
        <v>10000</v>
      </c>
      <c r="AD65" s="287"/>
      <c r="AE65" s="287"/>
      <c r="AF65" s="286"/>
    </row>
    <row r="66" spans="1:32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91"/>
    </row>
    <row r="67" spans="1:32" outlineLevel="1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91"/>
    </row>
    <row r="68" spans="1:32" outlineLevel="1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91"/>
    </row>
    <row r="69" spans="1:32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INDEX(M69:AF69, $J$5)</f>
        <v>0</v>
      </c>
      <c r="L69" s="274">
        <f xml:space="preserve"> IF(ABS(K69) &gt; TRK_TOL, IF(INDEX(M69:AF69, $J$5) = 0, 0, H69 / INDEX(M69:AF69,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91"/>
    </row>
    <row r="70" spans="1:32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91"/>
    </row>
    <row r="71" spans="1:32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9"/>
    </row>
    <row r="72" spans="1:32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89"/>
    </row>
    <row r="73" spans="1:32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44576.38651365741</v>
      </c>
      <c r="I73" s="292"/>
      <c r="K73" s="151"/>
      <c r="L73" s="276"/>
      <c r="M73" s="289"/>
      <c r="N73" s="300">
        <v>44576.386510995369</v>
      </c>
      <c r="O73" s="300">
        <v>44576.3718912037</v>
      </c>
      <c r="P73" s="300">
        <v>44576.363674652777</v>
      </c>
      <c r="Q73" s="300">
        <v>44576.303522685186</v>
      </c>
      <c r="R73" s="300">
        <v>44576.274718402776</v>
      </c>
      <c r="S73" s="300">
        <v>44576.270824189814</v>
      </c>
      <c r="T73" s="300">
        <v>44575.401448379627</v>
      </c>
      <c r="U73" s="300">
        <v>44572.708572916665</v>
      </c>
      <c r="V73" s="300">
        <v>44572.466787384263</v>
      </c>
      <c r="W73" s="300">
        <v>44572.374983333335</v>
      </c>
      <c r="X73" s="300">
        <v>44572.287801157407</v>
      </c>
      <c r="Y73" s="300">
        <v>44571.375070023147</v>
      </c>
      <c r="Z73" s="300">
        <v>44571.345448263892</v>
      </c>
      <c r="AA73" s="300">
        <v>44564.56703564815</v>
      </c>
      <c r="AB73" s="300">
        <v>44564.437968171296</v>
      </c>
      <c r="AC73" s="300">
        <v>44564.41158414352</v>
      </c>
      <c r="AD73" s="300">
        <v>43909.144523958334</v>
      </c>
      <c r="AE73" s="300"/>
      <c r="AF73" s="289"/>
    </row>
    <row r="74" spans="1:32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debt8 END 01a.xlsx</v>
      </c>
      <c r="I74" s="292"/>
      <c r="K74" s="151"/>
      <c r="L74" s="276"/>
      <c r="M74" s="289"/>
      <c r="N74" s="303" t="s">
        <v>300</v>
      </c>
      <c r="O74" s="303" t="s">
        <v>289</v>
      </c>
      <c r="P74" s="303" t="s">
        <v>284</v>
      </c>
      <c r="Q74" s="303" t="s">
        <v>274</v>
      </c>
      <c r="R74" s="303" t="s">
        <v>267</v>
      </c>
      <c r="S74" s="303" t="s">
        <v>266</v>
      </c>
      <c r="T74" s="303" t="s">
        <v>257</v>
      </c>
      <c r="U74" s="303" t="s">
        <v>247</v>
      </c>
      <c r="V74" s="303" t="s">
        <v>242</v>
      </c>
      <c r="W74" s="303" t="s">
        <v>236</v>
      </c>
      <c r="X74" s="303" t="s">
        <v>231</v>
      </c>
      <c r="Y74" s="303" t="s">
        <v>213</v>
      </c>
      <c r="Z74" s="303" t="s">
        <v>206</v>
      </c>
      <c r="AA74" s="303" t="s">
        <v>199</v>
      </c>
      <c r="AB74" s="303" t="s">
        <v>182</v>
      </c>
      <c r="AC74" s="303" t="s">
        <v>160</v>
      </c>
      <c r="AD74" s="303" t="s">
        <v>119</v>
      </c>
      <c r="AE74" s="303"/>
      <c r="AF74" s="289"/>
    </row>
    <row r="75" spans="1:32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89"/>
    </row>
    <row r="76" spans="1:32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289"/>
    </row>
    <row r="78" spans="1:32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Chart1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2023-09-21T10:04:18Z</dcterms:modified>
</cp:coreProperties>
</file>